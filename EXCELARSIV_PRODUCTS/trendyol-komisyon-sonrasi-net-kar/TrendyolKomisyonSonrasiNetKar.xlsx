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GIRDI" sheetId="5" state="visible" r:id="rId5"/>
    <sheet xmlns:r="http://schemas.openxmlformats.org/officeDocument/2006/relationships" name="HAKEDIS" sheetId="6" state="visible" r:id="rId6"/>
    <sheet xmlns:r="http://schemas.openxmlformats.org/officeDocument/2006/relationships" name="ANAHTA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ESLESTIRME" sheetId="9" state="visible" r:id="rId9"/>
    <sheet xmlns:r="http://schemas.openxmlformats.org/officeDocument/2006/relationships" name="KOK_NEDEN" sheetId="10" state="visible" r:id="rId10"/>
    <sheet xmlns:r="http://schemas.openxmlformats.org/officeDocument/2006/relationships" name="AKSIYON" sheetId="11" state="visible" r:id="rId11"/>
    <sheet xmlns:r="http://schemas.openxmlformats.org/officeDocument/2006/relationships" name="KANIT_RAPORU" sheetId="12" state="visible" r:id="rId12"/>
    <sheet xmlns:r="http://schemas.openxmlformats.org/officeDocument/2006/relationships" name="KONTROLLE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LISTELER" sheetId="15" state="visible" r:id="rId15"/>
    <sheet xmlns:r="http://schemas.openxmlformats.org/officeDocument/2006/relationships" name="AYARLAR" sheetId="16" state="visible" r:id="rId16"/>
    <sheet xmlns:r="http://schemas.openxmlformats.org/officeDocument/2006/relationships" name="KILAVUZ" sheetId="17" state="visible" r:id="rId17"/>
  </sheets>
  <definedNames>
    <definedName name="toleransKurus">AYARLAR!$B$6</definedName>
    <definedName name="raporTarihi">AYARLAR!$B$7</definedName>
    <definedName name="tyk_esikEslesme">AYARLAR!$B$8</definedName>
    <definedName name="tyk_esikFark">AYARLAR!$B$9</definedName>
    <definedName name="tyk_esikMarjDusuk">AYARLAR!$B$10</definedName>
    <definedName name="tyk_esikMarjHedef">AYARLAR!$B$11</definedName>
    <definedName name="tyk_azamiTutar">AYARLAR!$B$12</definedName>
    <definedName name="tyk_ikincilUzunluk">AYARLAR!$B$13</definedName>
    <definedName name="tyk_olcekHedef">AYARLAR!$B$14</definedName>
    <definedName name="tyk_yuzdelikOran">AYARLAR!$B$15</definedName>
    <definedName name="tyk_komisyonSenaryo">AYARLAR!$B$16</definedName>
    <definedName name="tyk_fiyatModeli">AYARLAR!$B$17</definedName>
    <definedName name="tyk_kvkkBeyani">AYARLAR!$B$18</definedName>
    <definedName name="tyk_basabasFiyatAd">AYARLAR!$B$19</definedName>
    <definedName name="tyk_normAnahtar">AYARLAR!$B$20</definedName>
    <definedName name="tyk_tanimsizKova">AYARLAR!$B$21</definedName>
    <definedName name="tyk_kovaButunlukAd">AYARLAR!$B$22</definedName>
    <definedName name="tyk_dosyaSurumu">AYARLAR!$B$23</definedName>
    <definedName name="tyk_firmaUnvan">AYARLAR!$B$24</definedName>
    <definedName name="tyk_kuralSeti">AYARLAR!$B$25</definedName>
    <definedName name="tyk_mutabakatFarki">AYARLAR!$I$29</definedName>
    <definedName name="tyk_eslesmeOrani">AYARLAR!$I$30</definedName>
    <definedName name="tyk_kovaButunluk">AYARLAR!$I$31</definedName>
    <definedName name="tyk_kategoriKomisyon">AYARLAR!$I$32</definedName>
    <definedName name="tyk_kesintiKirilim">AYARLAR!$I$33</definedName>
    <definedName name="tyk_basabasFiyat">AYARLAR!$I$34</definedName>
    <definedName name="tyk_kararKapi">AYARLAR!$I$35</definedName>
    <definedName name="tyk_modulT1">AYARLAR!$I$36</definedName>
    <definedName name="tyk_modulT2">AYARLAR!$I$37</definedName>
    <definedName name="tyk_modulO1">AYARLAR!$I$38</definedName>
    <definedName name="tyk_modulO2">AYARLAR!$I$39</definedName>
    <definedName name="tyk_modulO3">AYARLAR!$I$40</definedName>
    <definedName name="tyk_modulO6">AYARLAR!$I$41</definedName>
    <definedName name="tyk_modulO8">AYARLAR!$I$42</definedName>
    <definedName name="tyk_modulI1">AYARLAR!$I$43</definedName>
    <definedName name="tyk_modulI2">AYARLAR!$I$44</definedName>
    <definedName name="tyk_modulT1Yorum">AYARLAR!$I$47</definedName>
    <definedName name="tyk_modulT2Yorum">AYARLAR!$I$48</definedName>
    <definedName name="tyk_modulO1Yorum">AYARLAR!$I$49</definedName>
    <definedName name="tyk_modulO2Yorum">AYARLAR!$I$50</definedName>
    <definedName name="tyk_modulO3Yorum">AYARLAR!$I$51</definedName>
    <definedName name="tyk_modulO6Yorum">AYARLAR!$I$52</definedName>
    <definedName name="tyk_modulO8Yorum">AYARLAR!$I$53</definedName>
    <definedName name="tyk_modulI1Yorum">AYARLAR!$I$54</definedName>
    <definedName name="tyk_modulI2Yorum">AYARLAR!$I$55</definedName>
    <definedName name="ListeKategoriler">LISTELER!$A$7:$A$16</definedName>
    <definedName name="ListeDonemler">LISTELER!$C$7:$C$9</definedName>
    <definedName name="_xlnm.Print_Area" localSheetId="11">'KANIT_RAPORU'!$A$1:$H$25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7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left" vertical="center" wrapText="1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32" fillId="0" borderId="0" pivotButton="0" quotePrefix="0" xfId="0"/>
    <xf numFmtId="167" fontId="32" fillId="0" borderId="0" pivotButton="0" quotePrefix="0" xfId="0"/>
    <xf numFmtId="167" fontId="33" fillId="0" borderId="0" pivotButton="0" quotePrefix="0" xfId="0"/>
    <xf numFmtId="168" fontId="32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/>
    </xf>
    <xf numFmtId="0" fontId="33" fillId="0" borderId="0" pivotButton="0" quotePrefix="0" xfId="0"/>
    <xf numFmtId="0" fontId="37" fillId="9" borderId="2" pivotButton="0" quotePrefix="0" xfId="0"/>
    <xf numFmtId="0" fontId="38" fillId="0" borderId="0" pivotButton="0" quotePrefix="0" xfId="0"/>
    <xf numFmtId="0" fontId="39" fillId="0" borderId="0" pivotButton="0" quotePrefix="0" xfId="0"/>
    <xf numFmtId="0" fontId="32" fillId="0" borderId="0" applyAlignment="1" pivotButton="0" quotePrefix="0" xfId="0">
      <alignment wrapText="1"/>
    </xf>
    <xf numFmtId="0" fontId="40" fillId="0" borderId="0" pivotButton="0" quotePrefix="0" xfId="0"/>
    <xf numFmtId="0" fontId="41" fillId="0" borderId="2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2" fillId="11" borderId="2" applyAlignment="1" pivotButton="0" quotePrefix="0" xfId="0">
      <alignment horizontal="center"/>
    </xf>
    <xf numFmtId="0" fontId="28" fillId="0" borderId="4" pivotButton="0" quotePrefix="0" xfId="0"/>
    <xf numFmtId="0" fontId="44" fillId="12" borderId="2" applyAlignment="1" pivotButton="0" quotePrefix="0" xfId="0">
      <alignment horizontal="center"/>
    </xf>
    <xf numFmtId="0" fontId="43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5" fillId="0" borderId="4" pivotButton="0" quotePrefix="0" xfId="0"/>
    <xf numFmtId="0" fontId="46" fillId="0" borderId="5" pivotButton="0" quotePrefix="0" xfId="0"/>
    <xf numFmtId="0" fontId="43" fillId="0" borderId="3" pivotButton="0" quotePrefix="0" xfId="0"/>
    <xf numFmtId="0" fontId="38" fillId="0" borderId="4" pivotButton="0" quotePrefix="0" xfId="0"/>
    <xf numFmtId="0" fontId="43" fillId="0" borderId="5" pivotButton="0" quotePrefix="0" xfId="0"/>
    <xf numFmtId="0" fontId="47" fillId="14" borderId="0" applyAlignment="1" pivotButton="0" quotePrefix="0" xfId="0">
      <alignment horizontal="center"/>
    </xf>
    <xf numFmtId="0" fontId="48" fillId="0" borderId="0" pivotButton="0" quotePrefix="0" xfId="0"/>
    <xf numFmtId="0" fontId="47" fillId="15" borderId="0" applyAlignment="1" pivotButton="0" quotePrefix="0" xfId="0">
      <alignment horizontal="center" vertical="center"/>
    </xf>
    <xf numFmtId="0" fontId="48" fillId="0" borderId="2" pivotButton="0" quotePrefix="0" xfId="0"/>
    <xf numFmtId="0" fontId="49" fillId="0" borderId="2" pivotButton="0" quotePrefix="0" xfId="0"/>
    <xf numFmtId="0" fontId="50" fillId="0" borderId="2" pivotButton="0" quotePrefix="0" xfId="0"/>
    <xf numFmtId="0" fontId="51" fillId="16" borderId="2" applyAlignment="1" pivotButton="0" quotePrefix="0" xfId="0">
      <alignment horizontal="center"/>
    </xf>
    <xf numFmtId="0" fontId="47" fillId="7" borderId="0" pivotButton="0" quotePrefix="0" xfId="0"/>
    <xf numFmtId="0" fontId="52" fillId="7" borderId="0" pivotButton="0" quotePrefix="0" xfId="0"/>
    <xf numFmtId="0" fontId="53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1" fillId="0" borderId="0" pivotButton="0" quotePrefix="0" xfId="0"/>
    <xf numFmtId="0" fontId="56" fillId="17" borderId="0" pivotButton="0" quotePrefix="0" xfId="0"/>
    <xf numFmtId="0" fontId="0" fillId="17" borderId="0" pivotButton="0" quotePrefix="0" xfId="0"/>
    <xf numFmtId="0" fontId="43" fillId="0" borderId="0" pivotButton="0" quotePrefix="0" xfId="0"/>
    <xf numFmtId="0" fontId="31" fillId="17" borderId="0" pivotButton="0" quotePrefix="0" xfId="0"/>
    <xf numFmtId="0" fontId="57" fillId="17" borderId="0" applyAlignment="1" pivotButton="0" quotePrefix="0" xfId="0">
      <alignment wrapText="1"/>
    </xf>
    <xf numFmtId="0" fontId="54" fillId="0" borderId="0" pivotButton="0" quotePrefix="0" xfId="0"/>
    <xf numFmtId="0" fontId="55" fillId="0" borderId="0" pivotButton="0" quotePrefix="0" xfId="0"/>
    <xf numFmtId="0" fontId="43" fillId="13" borderId="6" applyAlignment="1" pivotButton="0" quotePrefix="0" xfId="0">
      <alignment horizontal="center" vertical="center"/>
    </xf>
    <xf numFmtId="0" fontId="58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2" fillId="11" borderId="0" applyAlignment="1" pivotButton="0" quotePrefix="0" xfId="0">
      <alignment horizontal="center" vertical="center"/>
    </xf>
    <xf numFmtId="0" fontId="43" fillId="13" borderId="0" applyAlignment="1" pivotButton="0" quotePrefix="0" xfId="0">
      <alignment horizontal="center" vertical="center"/>
    </xf>
    <xf numFmtId="0" fontId="59" fillId="7" borderId="0" applyAlignment="1" pivotButton="0" quotePrefix="0" xfId="0">
      <alignment horizontal="center" vertical="center"/>
    </xf>
    <xf numFmtId="0" fontId="60" fillId="19" borderId="2" applyAlignment="1" pivotButton="0" quotePrefix="0" xfId="0">
      <alignment horizontal="center"/>
    </xf>
    <xf numFmtId="0" fontId="61" fillId="19" borderId="2" applyAlignment="1" pivotButton="0" quotePrefix="0" xfId="0">
      <alignment horizontal="center"/>
    </xf>
    <xf numFmtId="0" fontId="60" fillId="19" borderId="2" pivotButton="0" quotePrefix="0" xfId="0"/>
    <xf numFmtId="169" fontId="61" fillId="19" borderId="2" applyAlignment="1" pivotButton="0" quotePrefix="0" xfId="0">
      <alignment horizontal="right"/>
    </xf>
    <xf numFmtId="9" fontId="60" fillId="19" borderId="2" applyAlignment="1" pivotButton="0" quotePrefix="0" xfId="0">
      <alignment horizontal="center"/>
    </xf>
    <xf numFmtId="169" fontId="60" fillId="19" borderId="2" applyAlignment="1" pivotButton="0" quotePrefix="0" xfId="0">
      <alignment horizontal="right"/>
    </xf>
    <xf numFmtId="0" fontId="43" fillId="19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0" fillId="18" borderId="2" pivotButton="0" quotePrefix="0" xfId="0"/>
    <xf numFmtId="169" fontId="61" fillId="18" borderId="2" applyAlignment="1" pivotButton="0" quotePrefix="0" xfId="0">
      <alignment horizontal="right"/>
    </xf>
    <xf numFmtId="9" fontId="60" fillId="18" borderId="2" applyAlignment="1" pivotButton="0" quotePrefix="0" xfId="0">
      <alignment horizontal="center"/>
    </xf>
    <xf numFmtId="169" fontId="60" fillId="18" borderId="2" applyAlignment="1" pivotButton="0" quotePrefix="0" xfId="0">
      <alignment horizontal="right"/>
    </xf>
    <xf numFmtId="0" fontId="48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31" fillId="7" borderId="0" applyAlignment="1" pivotButton="0" quotePrefix="0" xfId="0">
      <alignment vertical="center" indent="1"/>
    </xf>
    <xf numFmtId="169" fontId="62" fillId="7" borderId="0" applyAlignment="1" pivotButton="0" quotePrefix="0" xfId="0">
      <alignment horizontal="right" vertical="center"/>
    </xf>
    <xf numFmtId="0" fontId="63" fillId="0" borderId="7" pivotButton="0" quotePrefix="0" xfId="0"/>
    <xf numFmtId="0" fontId="64" fillId="0" borderId="7" pivotButton="0" quotePrefix="0" xfId="0"/>
    <xf numFmtId="0" fontId="65" fillId="0" borderId="7" pivotButton="0" quotePrefix="0" xfId="0"/>
    <xf numFmtId="0" fontId="66" fillId="20" borderId="2" applyAlignment="1" pivotButton="0" quotePrefix="0" xfId="0">
      <alignment horizontal="center" vertical="center"/>
    </xf>
    <xf numFmtId="0" fontId="70" fillId="11" borderId="2" applyAlignment="1" pivotButton="0" quotePrefix="0" xfId="0">
      <alignment horizontal="center" vertical="center"/>
    </xf>
    <xf numFmtId="0" fontId="67" fillId="0" borderId="2" pivotButton="0" quotePrefix="0" xfId="0"/>
    <xf numFmtId="0" fontId="66" fillId="0" borderId="2" applyAlignment="1" pivotButton="0" quotePrefix="0" xfId="0">
      <alignment horizontal="right"/>
    </xf>
    <xf numFmtId="0" fontId="70" fillId="0" borderId="2" applyAlignment="1" pivotButton="0" quotePrefix="0" xfId="0">
      <alignment horizontal="right"/>
    </xf>
    <xf numFmtId="0" fontId="41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69" fillId="12" borderId="8" applyAlignment="1" pivotButton="0" quotePrefix="0" xfId="0">
      <alignment horizontal="center" vertical="center"/>
    </xf>
    <xf numFmtId="0" fontId="71" fillId="11" borderId="9" applyAlignment="1" pivotButton="0" quotePrefix="0" xfId="0">
      <alignment horizontal="center" vertical="center"/>
    </xf>
    <xf numFmtId="0" fontId="6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6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6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6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6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6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6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6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7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7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7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7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7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7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7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7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8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8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8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8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8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8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8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8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9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9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9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9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9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9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9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9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0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0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0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0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0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0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0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0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1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1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1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1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1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1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1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1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2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2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2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2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2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2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2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2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3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3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3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3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3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3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3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3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4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4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4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4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4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4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4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4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5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5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5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5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5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5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5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5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6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6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6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6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6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6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6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6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7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7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7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7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7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7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7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7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8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8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8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8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8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8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8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8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19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19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19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19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19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19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19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19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0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0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0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0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0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0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0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0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1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1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1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1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1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1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1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1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2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2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2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2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2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2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2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2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3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3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3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3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3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3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3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3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4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4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4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4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4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4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4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4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5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5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5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5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5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5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5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5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6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6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6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6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6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6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6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6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7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7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7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7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7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7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7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7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8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8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8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8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8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8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8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8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29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29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29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29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29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29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29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29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0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0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0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0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0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0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0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0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1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1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1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1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1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1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1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1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2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2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2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2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2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2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2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2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3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3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3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3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3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3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3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3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4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4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4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4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4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4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4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4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5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5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5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5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5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5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5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5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6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6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6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6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6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6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6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6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7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7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7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7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7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7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7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7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8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8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8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8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8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8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8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8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39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39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39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39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39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39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39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39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40" authorId="0" shapeId="0">
      <text>
        <t>Tanım: Barkod | Neden önemli: Trendyol net kâr ve kesinti kararını etkiler | Doğru kullanım: Trendyol barkodu | Örnek: hücredeki örnek değere bakın | Risk: Yanlış giriş hatalı SAT/ZAM/ÇEKİL üretir</t>
      </text>
    </comment>
    <comment ref="B40" authorId="0" shapeId="0">
      <text>
        <t>Tanım: Stok Kodu | Neden önemli: Trendyol net kâr ve kesinti kararını etkiler | Doğru kullanım: İç stok kodu | Örnek: hücredeki örnek değere bakın | Risk: Yanlış giriş hatalı SAT/ZAM/ÇEKİL üretir</t>
      </text>
    </comment>
    <comment ref="C40" authorId="0" shapeId="0">
      <text>
        <t>Tanım: Ürün Adı | Neden önemli: Trendyol net kâr ve kesinti kararını etkiler | Doğru kullanım: Kısa ürün adı | Örnek: hücredeki örnek değere bakın | Risk: Yanlış giriş hatalı SAT/ZAM/ÇEKİL üretir</t>
      </text>
    </comment>
    <comment ref="D40" authorId="0" shapeId="0">
      <text>
        <t>Tanım: Kategori | Neden önemli: Trendyol net kâr ve kesinti kararını etkiler | Doğru kullanım: Listeden seçin | Örnek: hücredeki örnek değere bakın | Risk: Yanlış giriş hatalı SAT/ZAM/ÇEKİL üretir</t>
      </text>
    </comment>
    <comment ref="E40" authorId="0" shapeId="0">
      <text>
        <t>Tanım: Satış Fiyatı | Neden önemli: Trendyol net kâr ve kesinti kararını etkiler | Doğru kullanım: KDV hariç birim TL | Örnek: hücredeki örnek değere bakın | Risk: Yanlış giriş hatalı SAT/ZAM/ÇEKİL üretir</t>
      </text>
    </comment>
    <comment ref="F40" authorId="0" shapeId="0">
      <text>
        <t>Tanım: Maliyet | Neden önemli: Trendyol net kâr ve kesinti kararını etkiler | Doğru kullanım: Birim maliyet TL | Örnek: hücredeki örnek değere bakın | Risk: Yanlış giriş hatalı SAT/ZAM/ÇEKİL üretir</t>
      </text>
    </comment>
    <comment ref="G40" authorId="0" shapeId="0">
      <text>
        <t>Tanım: Miktar | Neden önemli: Trendyol net kâr ve kesinti kararını etkiler | Doğru kullanım: Satılan adet | Örnek: hücredeki örnek değere bakın | Risk: Yanlış giriş hatalı SAT/ZAM/ÇEKİL üretir</t>
      </text>
    </comment>
    <comment ref="H40" authorId="0" shapeId="0">
      <text>
        <t>Tanım: Hedef Marj | Neden önemli: Trendyol net kâr ve kesinti kararını etkiler | Doğru kullanım: Hedef net marj oranı | Örnek: hücredeki örnek değere bakın | Risk: Yanlış giriş hatalı SAT/ZAM/ÇEKİL üretir</t>
      </text>
    </comment>
    <comment ref="A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6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6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6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6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6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6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7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7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7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7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7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7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8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8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8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8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8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8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9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9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9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9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9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9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0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0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0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0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0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0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1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1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1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1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1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1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2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2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2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2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2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2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3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3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3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3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3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3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4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4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4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4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4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4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5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5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5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5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5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5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6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6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6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6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6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6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7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7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7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7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7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7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8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8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8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8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8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8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1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19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19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19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19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19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19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0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0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0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0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0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0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1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1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1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1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1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1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2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2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2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2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2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2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3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3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3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3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3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3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4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4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4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4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4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4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5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5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5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5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5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5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6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6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6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6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6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6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7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7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7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7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7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7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8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8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8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8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8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8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2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29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29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29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29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29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29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0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0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0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0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0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0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1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1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1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1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1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1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2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2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2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2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2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2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3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3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3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3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3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3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4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4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4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4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4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4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5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5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5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5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5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5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6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6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6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6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6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6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7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7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7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7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7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7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8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8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8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8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8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8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3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39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39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39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39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39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39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0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0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0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0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0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0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1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1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1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1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1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1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2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2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2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2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2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2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3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3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3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3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3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3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4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4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4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4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4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4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5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5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5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5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5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5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6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6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6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6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6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6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7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7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7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7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7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7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8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8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8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8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8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8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6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6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6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6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6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6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6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7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7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7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7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7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7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7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8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8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8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8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8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8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8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4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9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499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499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499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499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499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499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0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00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00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00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00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00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00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1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01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01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01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01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01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01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2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02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02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02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02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02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02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3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03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03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03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03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03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03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4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04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04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04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04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04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04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  <comment ref="A5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5" authorId="0" shapeId="0">
      <text>
        <t>Tanım: StokKodu | Neden önemli: Trendyol net kâr ve kesinti kararını etkiler | Doğru kullanım: Manuel giriş | Örnek: hücredeki örnek değere bakın | Risk: Yanlış giriş hatalı SAT/ZAM/ÇEKİL üretir</t>
      </text>
    </comment>
    <comment ref="C505" authorId="0" shapeId="0">
      <text>
        <t>Tanım: UrunAdi | Neden önemli: Trendyol net kâr ve kesinti kararını etkiler | Doğru kullanım: Manuel giriş | Örnek: hücredeki örnek değere bakın | Risk: Yanlış giriş hatalı SAT/ZAM/ÇEKİL üretir</t>
      </text>
    </comment>
    <comment ref="D505" authorId="0" shapeId="0">
      <text>
        <t>Tanım: Kategori | Neden önemli: Trendyol net kâr ve kesinti kararını etkiler | Doğru kullanım: Manuel giriş | Örnek: hücredeki örnek değere bakın | Risk: Yanlış giriş hatalı SAT/ZAM/ÇEKİL üretir</t>
      </text>
    </comment>
    <comment ref="E505" authorId="0" shapeId="0">
      <text>
        <t>Tanım: SatisFiyati | Neden önemli: Trendyol net kâr ve kesinti kararını etkiler | Doğru kullanım: Manuel giriş | Örnek: hücredeki örnek değere bakın | Risk: Yanlış giriş hatalı SAT/ZAM/ÇEKİL üretir</t>
      </text>
    </comment>
    <comment ref="F505" authorId="0" shapeId="0">
      <text>
        <t>Tanım: Maliyet | Neden önemli: Trendyol net kâr ve kesinti kararını etkiler | Doğru kullanım: Manuel giriş | Örnek: hücredeki örnek değere bakın | Risk: Yanlış giriş hatalı SAT/ZAM/ÇEKİL üretir</t>
      </text>
    </comment>
    <comment ref="G505" authorId="0" shapeId="0">
      <text>
        <t>Tanım: Miktar | Neden önemli: Trendyol net kâr ve kesinti kararını etkiler | Doğru kullanım: Manuel giriş | Örnek: hücredeki örnek değere bakın | Risk: Yanlış giriş hatalı SAT/ZAM/ÇEKİL üretir</t>
      </text>
    </comment>
    <comment ref="H505" authorId="0" shapeId="0">
      <text>
        <t>Tanım: HedefMarj | Neden önemli: Trendyol net kâr ve kesinti kararını etkiler | Doğru kullanım: Manuel giriş | Örnek: hücredeki örnek değere bakın | Risk: Yanlış giriş hatalı SAT/ZAM/ÇEKİL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6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6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6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6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6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6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7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7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7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7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7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7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7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8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8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8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8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8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8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8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9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9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9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9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9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9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9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0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0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0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0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0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0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0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1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1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1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1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1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1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1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2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2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2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2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2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2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2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3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3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3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3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3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3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3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4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4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4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4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4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4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4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5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5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5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5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5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5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5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6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6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6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6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6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6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6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7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7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7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7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7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7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7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8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8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8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8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8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8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8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9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19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19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19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19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19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19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0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0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0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0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0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0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0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1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1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1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1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1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1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1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2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2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2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2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2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2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2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3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3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3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3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3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3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3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4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4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4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4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4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4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4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5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5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5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5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5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5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5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6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6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6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6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6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6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6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7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7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7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7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7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7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7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8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8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8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8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8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8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8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29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29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29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29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29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29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29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0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0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0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0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0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0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0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1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1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1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1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1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1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1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2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2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2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2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2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2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2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3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3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3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3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3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3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3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4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4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4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4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4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4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4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5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5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5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5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5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5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5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6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6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6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6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6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6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6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7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7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7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7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7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7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7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8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8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8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8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8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8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8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39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39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39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39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39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39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39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40" authorId="0" shapeId="0">
      <text>
        <t>Tanım: Barkod | Neden önemli: Trendyol net kâr ve kesinti kararını etkiler | Doğru kullanım: Hakediş barkodu | Örnek: hücredeki örnek değere bakın | Risk: Yanlış giriş hatalı SAT/ZAM/ÇEKİL üretir</t>
      </text>
    </comment>
    <comment ref="B40" authorId="0" shapeId="0">
      <text>
        <t>Tanım: TY Plus | Neden önemli: Trendyol net kâr ve kesinti kararını etkiler | Doğru kullanım: TY Plus kesintisi TL | Örnek: hücredeki örnek değere bakın | Risk: Yanlış giriş hatalı SAT/ZAM/ÇEKİL üretir</t>
      </text>
    </comment>
    <comment ref="C40" authorId="0" shapeId="0">
      <text>
        <t>Tanım: Flaş | Neden önemli: Trendyol net kâr ve kesinti kararını etkiler | Doğru kullanım: Flaş kampanya kesintisi TL | Örnek: hücredeki örnek değere bakın | Risk: Yanlış giriş hatalı SAT/ZAM/ÇEKİL üretir</t>
      </text>
    </comment>
    <comment ref="D40" authorId="0" shapeId="0">
      <text>
        <t>Tanım: Ürün Reklamı | Neden önemli: Trendyol net kâr ve kesinti kararını etkiler | Doğru kullanım: Ürün reklamı TL | Örnek: hücredeki örnek değere bakın | Risk: Yanlış giriş hatalı SAT/ZAM/ÇEKİL üretir</t>
      </text>
    </comment>
    <comment ref="E40" authorId="0" shapeId="0">
      <text>
        <t>Tanım: Desi Kargo | Neden önemli: Trendyol net kâr ve kesinti kararını etkiler | Doğru kullanım: Desi kargo TL | Örnek: hücredeki örnek değere bakın | Risk: Yanlış giriş hatalı SAT/ZAM/ÇEKİL üretir</t>
      </text>
    </comment>
    <comment ref="F40" authorId="0" shapeId="0">
      <text>
        <t>Tanım: Gerçek Hakediş | Neden önemli: Trendyol net kâr ve kesinti kararını etkiler | Doğru kullanım: Trendyol ödeme TL | Örnek: hücredeki örnek değere bakın | Risk: Yanlış giriş hatalı SAT/ZAM/ÇEKİL üretir</t>
      </text>
    </comment>
    <comment ref="G40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6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6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6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6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6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6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7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7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7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7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7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7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8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8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8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8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8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8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9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9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9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9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9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9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0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0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0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0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0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0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1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1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1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1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1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1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2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2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2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2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2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2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3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3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3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3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3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3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4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4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4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4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4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4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5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5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5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5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5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5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6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6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6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6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6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6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7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7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7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7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7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7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8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8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8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8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8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8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1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19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19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19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19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19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19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0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0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0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0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0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0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1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1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1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1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1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1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2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2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2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2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2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2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3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3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3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3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3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3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4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4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4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4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4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4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5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5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5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5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5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5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6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6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6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6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6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6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7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7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7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7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7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7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8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8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8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8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8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8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2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29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29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29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29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29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29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0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0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0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0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0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0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1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1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1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1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1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1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2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2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2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2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2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2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3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3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3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3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3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3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4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4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4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4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4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4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5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5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5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5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5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5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6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6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6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6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6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6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7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7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7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7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7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7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8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8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8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8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8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8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3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39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39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39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39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39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39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0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0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0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0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0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0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0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1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1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1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1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1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1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1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2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2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2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2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2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2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2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3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3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3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3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3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3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3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4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4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4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4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4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4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4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5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5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5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5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5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5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5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6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6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6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6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6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6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6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7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7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7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7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7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7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7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8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8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8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8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8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8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8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6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6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6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6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6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6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6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7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7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7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7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7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7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7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8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8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8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8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8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8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8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499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499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499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499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499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499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499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00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0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00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00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00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00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00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01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1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01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01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01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01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01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02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2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02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02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02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02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02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03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3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03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03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03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03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03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04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4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04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04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04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04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04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  <comment ref="A505" authorId="0" shapeId="0">
      <text>
        <t>Tanım: Barkod | Neden önemli: Trendyol net kâr ve kesinti kararını etkiler | Doğru kullanım: Manuel giriş | Örnek: hücredeki örnek değere bakın | Risk: Yanlış giriş hatalı SAT/ZAM/ÇEKİL üretir</t>
      </text>
    </comment>
    <comment ref="B505" authorId="0" shapeId="0">
      <text>
        <t>Tanım: TyPlus | Neden önemli: Trendyol net kâr ve kesinti kararını etkiler | Doğru kullanım: Manuel giriş | Örnek: hücredeki örnek değere bakın | Risk: Yanlış giriş hatalı SAT/ZAM/ÇEKİL üretir</t>
      </text>
    </comment>
    <comment ref="C505" authorId="0" shapeId="0">
      <text>
        <t>Tanım: FlasKesinti | Neden önemli: Trendyol net kâr ve kesinti kararını etkiler | Doğru kullanım: Manuel giriş | Örnek: hücredeki örnek değere bakın | Risk: Yanlış giriş hatalı SAT/ZAM/ÇEKİL üretir</t>
      </text>
    </comment>
    <comment ref="D505" authorId="0" shapeId="0">
      <text>
        <t>Tanım: UrunReklam | Neden önemli: Trendyol net kâr ve kesinti kararını etkiler | Doğru kullanım: Manuel giriş | Örnek: hücredeki örnek değere bakın | Risk: Yanlış giriş hatalı SAT/ZAM/ÇEKİL üretir</t>
      </text>
    </comment>
    <comment ref="E505" authorId="0" shapeId="0">
      <text>
        <t>Tanım: DesiKargo | Neden önemli: Trendyol net kâr ve kesinti kararını etkiler | Doğru kullanım: Manuel giriş | Örnek: hücredeki örnek değere bakın | Risk: Yanlış giriş hatalı SAT/ZAM/ÇEKİL üretir</t>
      </text>
    </comment>
    <comment ref="F505" authorId="0" shapeId="0">
      <text>
        <t>Tanım: GercekHakedis | Neden önemli: Trendyol net kâr ve kesinti kararını etkiler | Doğru kullanım: Manuel giriş | Örnek: hücredeki örnek değere bakın | Risk: Yanlış giriş hatalı SAT/ZAM/ÇEKİL üretir</t>
      </text>
    </comment>
    <comment ref="G505" authorId="0" shapeId="0">
      <text>
        <t>Tanım: Donem | Neden önemli: Trendyol net kâr ve kesinti kararını etkiler | Doğru kullanım: Manuel giriş | Örnek: hücredeki örnek değere bakın | Risk: Yanlış giriş hatalı SAT/ZAM/ÇEKİL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C7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8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C8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9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C9" authorId="0" shapeId="0">
      <text>
        <t>Tanım: Dönem | Neden önemli: Trendyol net kâr ve kesinti kararını etkiler | Doğru kullanım: YYYY-AA | Örnek: hücredeki örnek değere bakın | Risk: Yanlış giriş hatalı SAT/ZAM/ÇEKİL üretir</t>
      </text>
    </comment>
    <comment ref="A10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A11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A12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A13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A14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A15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  <comment ref="A16" authorId="0" shapeId="0">
      <text>
        <t>Tanım: Kategori | Neden önemli: Trendyol net kâr ve kesinti kararını etkiler | Doğru kullanım: Listeye ekleyebilirsiniz | Örnek: hücredeki örnek değere bakın | Risk: Yanlış giriş hatalı SAT/ZAM/ÇEKİL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Trendyol net kâr ve kesinti kararını etkiler | Doğru kullanım: Eşleşme toleransı | Örnek: hücredeki örnek değere bakın | Risk: Yanlış giriş hatalı SAT/ZAM/ÇEKİL üretir</t>
      </text>
    </comment>
    <comment ref="B7" authorId="0" shapeId="0">
      <text>
        <t>Tanım: raporTarihi | Neden önemli: Trendyol net kâr ve kesinti kararını etkiler | Doğru kullanım: Rapor tarihi | Örnek: hücredeki örnek değere bakın | Risk: Yanlış giriş hatalı SAT/ZAM/ÇEKİL üretir</t>
      </text>
    </comment>
    <comment ref="B8" authorId="0" shapeId="0">
      <text>
        <t>Tanım: tyk_esikEslesme | Neden önemli: Trendyol net kâr ve kesinti kararını etkiler | Doğru kullanım: Eşleşme oranı eşiği | Örnek: hücredeki örnek değere bakın | Risk: Yanlış giriş hatalı SAT/ZAM/ÇEKİL üretir</t>
      </text>
    </comment>
    <comment ref="B9" authorId="0" shapeId="0">
      <text>
        <t>Tanım: tyk_esikFark | Neden önemli: Trendyol net kâr ve kesinti kararını etkiler | Doğru kullanım: Fark tutarı eşiği | Örnek: hücredeki örnek değere bakın | Risk: Yanlış giriş hatalı SAT/ZAM/ÇEKİL üretir</t>
      </text>
    </comment>
    <comment ref="B10" authorId="0" shapeId="0">
      <text>
        <t>Tanım: tyk_esikMarjDusuk | Neden önemli: Trendyol net kâr ve kesinti kararını etkiler | Doğru kullanım: ZAM eşiği | Örnek: hücredeki örnek değere bakın | Risk: Yanlış giriş hatalı SAT/ZAM/ÇEKİL üretir</t>
      </text>
    </comment>
    <comment ref="B11" authorId="0" shapeId="0">
      <text>
        <t>Tanım: tyk_esikMarjHedef | Neden önemli: Trendyol net kâr ve kesinti kararını etkiler | Doğru kullanım: Hedef marj | Örnek: hücredeki örnek değere bakın | Risk: Yanlış giriş hatalı SAT/ZAM/ÇEKİL üretir</t>
      </text>
    </comment>
    <comment ref="B12" authorId="0" shapeId="0">
      <text>
        <t>Tanım: tyk_azamiTutar | Neden önemli: Trendyol net kâr ve kesinti kararını etkiler | Doğru kullanım: Azami makul tutar | Örnek: hücredeki örnek değere bakın | Risk: Yanlış giriş hatalı SAT/ZAM/ÇEKİL üretir</t>
      </text>
    </comment>
    <comment ref="B13" authorId="0" shapeId="0">
      <text>
        <t>Tanım: tyk_ikincilUzunluk | Neden önemli: Trendyol net kâr ve kesinti kararını etkiler | Doğru kullanım: İkincil anahtar | Örnek: hücredeki örnek değere bakın | Risk: Yanlış giriş hatalı SAT/ZAM/ÇEKİL üretir</t>
      </text>
    </comment>
    <comment ref="B14" authorId="0" shapeId="0">
      <text>
        <t>Tanım: tyk_olcekHedef | Neden önemli: Trendyol net kâr ve kesinti kararını etkiler | Doğru kullanım: Ölçek sözleşmesi | Örnek: hücredeki örnek değere bakın | Risk: Yanlış giriş hatalı SAT/ZAM/ÇEKİL üretir</t>
      </text>
    </comment>
    <comment ref="B15" authorId="0" shapeId="0">
      <text>
        <t>Tanım: tyk_yuzdelikOran | Neden önemli: Trendyol net kâr ve kesinti kararını etkiler | Doğru kullanım: Yüzdelik oranı | Örnek: hücredeki örnek değere bakın | Risk: Yanlış giriş hatalı SAT/ZAM/ÇEKİL üretir</t>
      </text>
    </comment>
    <comment ref="B16" authorId="0" shapeId="0">
      <text>
        <t>Tanım: tyk_komisyonSenaryo | Neden önemli: Trendyol net kâr ve kesinti kararını etkiler | Doğru kullanım: Komisyon +pp senaryo | Örnek: hücredeki örnek değere bakın | Risk: Yanlış giriş hatalı SAT/ZAM/ÇEKİL üretir</t>
      </text>
    </comment>
    <comment ref="B17" authorId="0" shapeId="0">
      <text>
        <t>Tanım: tyk_fiyatModeli | Neden önemli: Trendyol net kâr ve kesinti kararını etkiler | Doğru kullanım: R3 ayrım | Örnek: hücredeki örnek değere bakın | Risk: Yanlış giriş hatalı SAT/ZAM/ÇEKİL üretir</t>
      </text>
    </comment>
    <comment ref="B18" authorId="0" shapeId="0">
      <text>
        <t>Tanım: tyk_kvkkBeyani | Neden önemli: Trendyol net kâr ve kesinti kararını etkiler | Doğru kullanım: R3 ayrım | Örnek: hücredeki örnek değere bakın | Risk: Yanlış giriş hatalı SAT/ZAM/ÇEKİL üretir</t>
      </text>
    </comment>
    <comment ref="B19" authorId="0" shapeId="0">
      <text>
        <t>Tanım: tyk_basabasFiyatAd | Neden önemli: Trendyol net kâr ve kesinti kararını etkiler | Doğru kullanım: R2 ayrım | Örnek: hücredeki örnek değere bakın | Risk: Yanlış giriş hatalı SAT/ZAM/ÇEKİL üretir</t>
      </text>
    </comment>
    <comment ref="B20" authorId="0" shapeId="0">
      <text>
        <t>Tanım: tyk_normAnahtar | Neden önemli: Trendyol net kâr ve kesinti kararını etkiler | Doğru kullanım: Serbest alternatif | Örnek: hücredeki örnek değere bakın | Risk: Yanlış giriş hatalı SAT/ZAM/ÇEKİL üretir</t>
      </text>
    </comment>
    <comment ref="B21" authorId="0" shapeId="0">
      <text>
        <t>Tanım: tyk_tanimsizKova | Neden önemli: Trendyol net kâr ve kesinti kararını etkiler | Doğru kullanım: Serbest alternatif | Örnek: hücredeki örnek değere bakın | Risk: Yanlış giriş hatalı SAT/ZAM/ÇEKİL üretir</t>
      </text>
    </comment>
    <comment ref="B22" authorId="0" shapeId="0">
      <text>
        <t>Tanım: tyk_kovaButunlukAd | Neden önemli: Trendyol net kâr ve kesinti kararını etkiler | Doğru kullanım: Serbest alternatif | Örnek: hücredeki örnek değere bakın | Risk: Yanlış giriş hatalı SAT/ZAM/ÇEKİL üretir</t>
      </text>
    </comment>
    <comment ref="B23" authorId="0" shapeId="0">
      <text>
        <t>Tanım: tyk_dosyaSurumu | Neden önemli: Trendyol net kâr ve kesinti kararını etkiler | Doğru kullanım: Ürün sürümü | Örnek: hücredeki örnek değere bakın | Risk: Yanlış giriş hatalı SAT/ZAM/ÇEKİL üretir</t>
      </text>
    </comment>
    <comment ref="B24" authorId="0" shapeId="0">
      <text>
        <t>Tanım: tyk_firmaUnvan | Neden önemli: Trendyol net kâr ve kesinti kararını etkiler | Doğru kullanım: Firma | Örnek: hücredeki örnek değere bakın | Risk: Yanlış giriş hatalı SAT/ZAM/ÇEKİL üretir</t>
      </text>
    </comment>
    <comment ref="B25" authorId="0" shapeId="0">
      <text>
        <t>Tanım: tyk_kuralSeti | Neden önemli: Trendyol net kâr ve kesinti kararını etkiler | Doğru kullanım: Kural seti | Örnek: hücredeki örnek değere bakın | Risk: Yanlış giriş hatalı SAT/ZAM/ÇEKİL üretir</t>
      </text>
    </comment>
    <comment ref="A60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0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1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1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2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2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3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3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4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4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5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5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6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6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7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7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8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8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  <comment ref="A69" authorId="0" shapeId="0">
      <text>
        <t>Tanım: Kategori | Neden önemli: Trendyol net kâr ve kesinti kararını etkiler | Doğru kullanım: Trendyol kategori adı | Örnek: hücredeki örnek değere bakın | Risk: Yanlış giriş hatalı SAT/ZAM/ÇEKİL üretir</t>
      </text>
    </comment>
    <comment ref="C69" authorId="0" shapeId="0">
      <text>
        <t>Tanım: Komisyon Oranı | Neden önemli: Trendyol net kâr ve kesinti kararını etkiler | Doğru kullanım: Kategori komisyon oranı | Örnek: hücredeki örnek değere bakın | Risk: Yanlış giriş hatalı SAT/ZAM/ÇEKİL üretir</t>
      </text>
    </comment>
  </commentList>
</comments>
</file>

<file path=xl/tables/table1.xml><?xml version="1.0" encoding="utf-8"?>
<table xmlns="http://schemas.openxmlformats.org/spreadsheetml/2006/main" id="1" name="tblGirdi" displayName="tblGirdi" ref="A5:L505" headerRowCount="1">
  <tableColumns count="12">
    <tableColumn id="1" name="Barkod"/>
    <tableColumn id="2" name="StokKodu"/>
    <tableColumn id="3" name="UrunAdi"/>
    <tableColumn id="4" name="Kategori"/>
    <tableColumn id="5" name="SatisFiyati"/>
    <tableColumn id="6" name="Maliyet"/>
    <tableColumn id="7" name="Miktar"/>
    <tableColumn id="8" name="HedefMarj"/>
    <tableColumn id="9" name="KomisyonOran">
      <calculatedColumnFormula>IF(tblGirdi[[#This Row],[Barkod]]="","",IFERROR(SUMIF(tblKategoriKomisyon[Kategori],tblGirdi[[#This Row],[Kategori]],tblKategoriKomisyon[KomisyonOran]),0))</calculatedColumnFormula>
    </tableColumn>
    <tableColumn id="10" name="ToplamSatis">
      <calculatedColumnFormula>IF(tblGirdi[[#This Row],[Barkod]]="","",ROUND(tblGirdi[[#This Row],[SatisFiyati]]*tblGirdi[[#This Row],[Miktar]],2))</calculatedColumnFormula>
    </tableColumn>
    <tableColumn id="11" name="HedefNet">
      <calculatedColumnFormula>IF(tblGirdi[[#This Row],[Barkod]]="","",ROUND(tblGirdi[[#This Row],[ToplamSatis]]*tblGirdi[[#This Row],[HedefMarj]],2))</calculatedColumnFormula>
    </tableColumn>
    <tableColumn id="12" name="KayitDolu">
      <calculatedColumnFormula>IF(tblGirdi[[#This Row],[Barkod]]="","",1)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Hakedis" displayName="tblHakedis" ref="A5:H505" headerRowCount="1">
  <tableColumns count="8">
    <tableColumn id="1" name="Barkod"/>
    <tableColumn id="2" name="TyPlus"/>
    <tableColumn id="3" name="FlasKesinti"/>
    <tableColumn id="4" name="UrunReklam"/>
    <tableColumn id="5" name="DesiKargo"/>
    <tableColumn id="6" name="GercekHakedis"/>
    <tableColumn id="7" name="Donem"/>
    <tableColumn id="8" name="KayitDolu">
      <calculatedColumnFormula>IF(tblHakedis[[#This Row],[Barkod]]="","",1)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Row],[Norm]],tyk_ikincilUzunluk))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Row],[NormB]],tyk_ikincilUzunluk))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Motor" displayName="tblMotor" ref="A5:V505" headerRowCount="1">
  <tableColumns count="22">
    <tableColumn id="1" name="A_Norm">
      <calculatedColumnFormula>IF(tblAnahtarA[[#This Row],[Norm]]="","",tblAnahtarA[[#This Row],[Norm]])</calculatedColumnFormula>
    </tableColumn>
    <tableColumn id="2" name="Satis">
      <calculatedColumnFormula>IF(tblMotor[[#This Row],[A_Norm]]="","",IFERROR(SUMIF(tblAnahtarA[Norm],tblMotor[[#This Row],[A_Norm]],tblGirdi[ToplamSatis]),0))</calculatedColumnFormula>
    </tableColumn>
    <tableColumn id="3" name="Maliyet">
      <calculatedColumnFormula>IF(tblMotor[[#This Row],[A_Norm]]="","",IFERROR(SUMIF(tblAnahtarA[Norm],tblMotor[[#This Row],[A_Norm]],tblGirdi[Maliyet])*IFERROR(SUMIF(tblAnahtarA[Norm],tblMotor[[#This Row],[A_Norm]],tblGirdi[Miktar]),1),0))</calculatedColumnFormula>
    </tableColumn>
    <tableColumn id="4" name="Miktar">
      <calculatedColumnFormula>IF(tblMotor[[#This Row],[A_Norm]]="","",IFERROR(SUMIF(tblAnahtarA[Norm],tblMotor[[#This Row],[A_Norm]],tblGirdi[Miktar]),0))</calculatedColumnFormula>
    </tableColumn>
    <tableColumn id="5" name="KomisyonOran">
      <calculatedColumnFormula>IF(tblMotor[[#This Row],[A_Norm]]="","",IFERROR(SUMIF(tblAnahtarA[Norm],tblMotor[[#This Row],[A_Norm]],tblGirdi[KomisyonOran]),0))</calculatedColumnFormula>
    </tableColumn>
    <tableColumn id="6" name="KomisyonTutar">
      <calculatedColumnFormula>IF(tblMotor[[#This Row],[A_Norm]]="","",ROUND(tblMotor[[#This Row],[Satis]]*tblMotor[[#This Row],[KomisyonOran]],2))</calculatedColumnFormula>
    </tableColumn>
    <tableColumn id="7" name="TyPlus">
      <calculatedColumnFormula>IF(tblMotor[[#This Row],[A_Norm]]="","",IFERROR(SUMIF(tblAnahtarB[NormB],tblMotor[[#This Row],[A_Norm]],tblHakedis[TyPlus]),0))</calculatedColumnFormula>
    </tableColumn>
    <tableColumn id="8" name="FlasKesinti">
      <calculatedColumnFormula>IF(tblMotor[[#This Row],[A_Norm]]="","",IFERROR(SUMIF(tblAnahtarB[NormB],tblMotor[[#This Row],[A_Norm]],tblHakedis[FlasKesinti]),0))</calculatedColumnFormula>
    </tableColumn>
    <tableColumn id="9" name="UrunReklam">
      <calculatedColumnFormula>IF(tblMotor[[#This Row],[A_Norm]]="","",IFERROR(SUMIF(tblAnahtarB[NormB],tblMotor[[#This Row],[A_Norm]],tblHakedis[UrunReklam]),0))</calculatedColumnFormula>
    </tableColumn>
    <tableColumn id="10" name="DesiKargo">
      <calculatedColumnFormula>IF(tblMotor[[#This Row],[A_Norm]]="","",IFERROR(SUMIF(tblAnahtarB[NormB],tblMotor[[#This Row],[A_Norm]],tblHakedis[DesiKargo]),0))</calculatedColumnFormula>
    </tableColumn>
    <tableColumn id="11" name="ToplamKesinti">
      <calculatedColumnFormula>IF(tblMotor[[#This Row],[A_Norm]]="","",ROUND(tblMotor[[#This Row],[KomisyonTutar]]+tblMotor[[#This Row],[TyPlus]]+tblMotor[[#This Row],[FlasKesinti]]+tblMotor[[#This Row],[UrunReklam]]+tblMotor[[#This Row],[DesiKargo]],2))</calculatedColumnFormula>
    </tableColumn>
    <tableColumn id="12" name="BrutKar">
      <calculatedColumnFormula>IF(tblMotor[[#This Row],[A_Norm]]="","",ROUND(tblMotor[[#This Row],[Satis]]-tblMotor[[#This Row],[Maliyet]],2))</calculatedColumnFormula>
    </tableColumn>
    <tableColumn id="13" name="NetKar">
      <calculatedColumnFormula>IF(tblMotor[[#This Row],[A_Norm]]="","",ROUND(tblMotor[[#This Row],[Satis]]-tblMotor[[#This Row],[Maliyet]]-tblMotor[[#This Row],[ToplamKesinti]],2))</calculatedColumnFormula>
    </tableColumn>
    <tableColumn id="14" name="Marj">
      <calculatedColumnFormula>IF(OR(tblMotor[[#This Row],[A_Norm]]="",tblMotor[[#This Row],[Satis]]=0),0,tblMotor[[#This Row],[NetKar]]/tblMotor[[#This Row],[Satis]])</calculatedColumnFormula>
    </tableColumn>
    <tableColumn id="15" name="BasabasFiyat">
      <calculatedColumnFormula>IF(tblMotor[[#This Row],[A_Norm]]="","",IF((1-tblMotor[[#This Row],[KomisyonOran]])&lt;=0,0,IF(tblMotor[[#This Row],[Miktar]]=0,0,ROUND((tblMotor[[#This Row],[Maliyet]]+tblMotor[[#This Row],[TyPlus]]+tblMotor[[#This Row],[FlasKesinti]]+tblMotor[[#This Row],[UrunReklam]]+tblMotor[[#This Row],[DesiKargo]])/tblMotor[[#This Row],[Miktar]]/(1-tblMotor[[#This Row],[KomisyonOran]]),2))))</calculatedColumnFormula>
    </tableColumn>
    <tableColumn id="16" name="HedefNet">
      <calculatedColumnFormula>IF(tblMotor[[#This Row],[A_Norm]]="","",IFERROR(SUMIF(tblAnahtarA[Norm],tblMotor[[#This Row],[A_Norm]],tblGirdi[HedefNet]),0))</calculatedColumnFormula>
    </tableColumn>
    <tableColumn id="17" name="FarkHedef">
      <calculatedColumnFormula>IF(tblMotor[[#This Row],[A_Norm]]="","",ROUND(tblMotor[[#This Row],[NetKar]]-tblMotor[[#This Row],[HedefNet]],2))</calculatedColumnFormula>
    </tableColumn>
    <tableColumn id="18" name="BeklenenHakedis">
      <calculatedColumnFormula>IF(tblMotor[[#This Row],[A_Norm]]="","",ROUND(tblMotor[[#This Row],[Satis]]-tblMotor[[#This Row],[ToplamKesinti]],2))</calculatedColumnFormula>
    </tableColumn>
    <tableColumn id="19" name="KararSatir">
      <calculatedColumnFormula>IF(tblMotor[[#This Row],[A_Norm]]="","",IF(tblMotor[[#This Row],[Marj]]&lt;0,"ÇEKİL",IF(tblMotor[[#This Row],[Marj]]&lt;tyk_esikMarjDusuk,"ZAM","SAT")))</calculatedColumnFormula>
    </tableColumn>
    <tableColumn id="20" name="MotorAdim1">
      <calculatedColumnFormula>IF(tblMotor[[#This Row],[A_Norm]]="","",tblMotor[[#This Row],[BrutKar]]-tblMotor[[#This Row],[KomisyonTutar]])</calculatedColumnFormula>
    </tableColumn>
    <tableColumn id="21" name="MotorAdim2">
      <calculatedColumnFormula>IF(tblMotor[[#This Row],[A_Norm]]="","",tblMotor[[#This Row],[NetKar]]-tblMotor[[#This Row],[FarkHedef]])</calculatedColumnFormula>
    </tableColumn>
    <tableColumn id="22" name="MotorAdim3">
      <calculatedColumnFormula>IF(tblMotor[[#This Row],[A_Norm]]="","",tblMotor[[#This Row],[BeklenenHakedis]]-tblMotor[[#This Row],[NetKar]])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Row],[A_Norm]]="","",IFERROR(SUMIF(tblAnahtarB[NormB],tblEslesme[[#This Row],[A_Norm]],tblHakedis[GercekHakedis]),0))</calculatedColumnFormula>
    </tableColumn>
    <tableColumn id="4" name="A_Tutar">
      <calculatedColumnFormula>IF(tblEslesme[[#This Row],[A_Norm]]="","",IFERROR(SUMIF(tblMotor[A_Norm],tblEslesme[[#This Row],[A_Norm]],tblMotor[BeklenenHakedis]),0))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Row],[AbsFark]]&gt;tyk_esikFark,1,0))</calculatedColumnFormula>
    </tableColumn>
    <tableColumn id="15" name="NetKatki">
      <calculatedColumnFormula>IF(tblEslesme[[#This Row],[A_Norm]]="","",IFERROR(SUMIF(tblMotor[A_Norm],tblEslesme[[#This Row],[A_Norm]],tblMotor[NetKar]),0))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15:I515" headerRowCount="1">
  <tableColumns count="9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Komisyon">
      <calculatedColumnFormula>IF(tblKok[[#This Row],[A_Norm]]="","",IFERROR(SUMIF(tblMotor[A_Norm],tblKok[[#This Row],[A_Norm]],tblMotor[KomisyonTutar]),0))</calculatedColumnFormula>
    </tableColumn>
    <tableColumn id="5" name="TyPlus">
      <calculatedColumnFormula>IF(tblKok[[#This Row],[A_Norm]]="","",IFERROR(SUMIF(tblMotor[A_Norm],tblKok[[#This Row],[A_Norm]],tblMotor[TyPlus]),0))</calculatedColumnFormula>
    </tableColumn>
    <tableColumn id="6" name="Flas">
      <calculatedColumnFormula>IF(tblKok[[#This Row],[A_Norm]]="","",IFERROR(SUMIF(tblMotor[A_Norm],tblKok[[#This Row],[A_Norm]],tblMotor[FlasKesinti]),0))</calculatedColumnFormula>
    </tableColumn>
    <tableColumn id="7" name="Reklam">
      <calculatedColumnFormula>IF(tblKok[[#This Row],[A_Norm]]="","",IFERROR(SUMIF(tblMotor[A_Norm],tblKok[[#This Row],[A_Norm]],tblMotor[UrunReklam]),0))</calculatedColumnFormula>
    </tableColumn>
    <tableColumn id="8" name="Desi">
      <calculatedColumnFormula>IF(tblKok[[#This Row],[A_Norm]]="","",IFERROR(SUMIF(tblMotor[A_Norm],tblKok[[#This Row],[A_Norm]],tblMotor[DesiKargo]),0))</calculatedColumnFormula>
    </tableColumn>
    <tableColumn id="9" name="KokNeden">
      <calculatedColumnFormula>IF(OR(tblKok[[#This Row],[A_Norm]]="",tblKok[[#This Row],[Kova]]&lt;&gt;"tutar_farki"),"",IF(ABS(tblKok[[#This Row],[AbsFark]]-tblKok[[#This Row],[Komisyon]])&lt;=toleransKurus,"TYK-001",IF(ABS(tblKok[[#This Row],[AbsFark]]-tblKok[[#This Row],[TyPlus]])&lt;=toleransKurus,"TYK-002",IF(ABS(tblKok[[#This Row],[AbsFark]]-tblKok[[#This Row],[Flas]])&lt;=toleransKurus,"TYK-003",IF(ABS(tblKok[[#This Row],[AbsFark]]-tblKok[[#This Row],[Reklam]])&lt;=toleransKurus,"TYK-004",IF(ABS(tblKok[[#This Row],[AbsFark]]-tblKok[[#This Row],[Desi]])&lt;=toleransKurus,"TYK-005","TANIMSIZ"))))))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Aksiyon" displayName="tblAksiyon" ref="A5:F505" headerRowCount="1">
  <tableColumns count="6">
    <tableColumn id="1" name="A_Norm">
      <calculatedColumnFormula>IF(tblEslesme[[#This Row],[A_Norm]]="","",IF(tblEslesme[[#This Row],[Kova]]="tutar_farki",tblEslesme[[#This Row],[A_Norm]],""))</calculatedColumnFormula>
    </tableColumn>
    <tableColumn id="2" name="NetKar">
      <calculatedColumnFormula>IF(tblAksiyon[[#This Row],[A_Norm]]="","",IFERROR(SUMIF(tblMotor[A_Norm],tblAksiyon[[#This Row],[A_Norm]],tblMotor[NetKar]),0))</calculatedColumnFormula>
    </tableColumn>
    <tableColumn id="3" name="Basabas">
      <calculatedColumnFormula>IF(tblAksiyon[[#This Row],[A_Norm]]="","",IFERROR(SUMIF(tblMotor[A_Norm],tblAksiyon[[#This Row],[A_Norm]],tblMotor[BasabasFiyat]),0))</calculatedColumnFormula>
    </tableColumn>
    <tableColumn id="4" name="Karar">
      <calculatedColumnFormula>IF(tblAksiyon[[#This Row],[A_Norm]]="","",IFERROR(INDEX(tblMotor[KararSatir],MATCH(tblAksiyon[[#This Row],[A_Norm]],tblMotor[A_Norm],0)),""))</calculatedColumnFormula>
    </tableColumn>
    <tableColumn id="5" name="Oncelik">
      <calculatedColumnFormula>IF(tblAksiyon[[#This Row],[A_Norm]]="","",IF(tblAksiyon[[#This Row],[NetKar]]&lt;0,"YUKSEK","NORMAL"))</calculatedColumnFormula>
    </tableColumn>
    <tableColumn id="6" name="AksiyonMetni">
      <calculatedColumnFormula>IF(tblAksiyon[[#This Row],[A_Norm]]="","",_xlfn.TEXTJOIN(" ",TRUE,"Barkod",tblAksiyon[[#This Row],[A_Norm]],"karar",tblAksiyon[[#This Row],[Karar]],"net",TEXT(tblAksiyon[[#This Row],[NetKar]],"0.00"),"başabaş",TEXT(tblAksiyon[[#This Row],[Basabas]],"0.00"),"TL"))</calculatedColumnFormula>
    </tableColumn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KategoriKomisyon" displayName="tblKategoriKomisyon" ref="A59:E69" headerRowCount="1">
  <tableColumns count="5">
    <tableColumn id="1" name="Kategori"/>
    <tableColumn id="2" name="Kaynak"/>
    <tableColumn id="3" name="KomisyonOran"/>
    <tableColumn id="4" name="Yururluk"/>
    <tableColumn id="5" name="Aciklama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69" t="inlineStr">
        <is>
          <t>TRENDYOL KOMISYON SONRASI NET KAR — YÖNETİM VE KARAR SİSTEMİ</t>
        </is>
      </c>
      <c r="L2" s="70" t="inlineStr">
        <is>
          <t>Dönem: 2026 / Tam ▼</t>
        </is>
      </c>
      <c r="M2" s="71" t="inlineStr">
        <is>
          <t>★ DOĞRULANMIŞ</t>
        </is>
      </c>
    </row>
    <row r="3">
      <c r="B3" s="72" t="inlineStr">
        <is>
          <t>Yönetici Karar Kokpiti, Otomatik Doğrulama ve Dinamik Hesaplama Sistemi · 2026</t>
        </is>
      </c>
    </row>
    <row r="5">
      <c r="B5" s="73" t="inlineStr">
        <is>
          <t>TOPLAM İŞLEM HACMİ</t>
        </is>
      </c>
      <c r="C5" s="74" t="n"/>
      <c r="D5" s="75" t="inlineStr">
        <is>
          <t>DOĞRULANMIŞ</t>
        </is>
      </c>
      <c r="E5" s="76" t="inlineStr">
        <is>
          <t>RİSKLİ / BEKLEYEN İŞLEM</t>
        </is>
      </c>
      <c r="F5" s="74" t="n"/>
      <c r="G5" s="77" t="inlineStr">
        <is>
          <t>MİNİMUM</t>
        </is>
      </c>
      <c r="H5" s="73" t="inlineStr">
        <is>
          <t>OPERASYONEL NET MARJ</t>
        </is>
      </c>
      <c r="I5" s="74" t="n"/>
      <c r="J5" s="78" t="inlineStr">
        <is>
          <t>GÜVENLİ</t>
        </is>
      </c>
      <c r="K5" s="79" t="inlineStr">
        <is>
          <t>SİSTEM GÜVEN SKORU</t>
        </is>
      </c>
      <c r="L5" s="74" t="n"/>
      <c r="M5" s="75" t="inlineStr">
        <is>
          <t>DENETLENDİ</t>
        </is>
      </c>
    </row>
    <row r="6">
      <c r="B6" s="80" t="n"/>
      <c r="C6" s="74" t="n"/>
      <c r="D6" s="74" t="n"/>
      <c r="E6" s="81" t="n"/>
      <c r="F6" s="74" t="n"/>
      <c r="G6" s="74" t="n"/>
      <c r="H6" s="80" t="n"/>
      <c r="I6" s="74" t="n"/>
      <c r="J6" s="74" t="n"/>
      <c r="K6" s="82" t="n"/>
      <c r="L6" s="74" t="n"/>
      <c r="M6" s="74" t="n"/>
    </row>
    <row r="7">
      <c r="B7" s="83" t="inlineStr">
        <is>
          <t>₺28.450.000</t>
        </is>
      </c>
      <c r="C7" s="74" t="n"/>
      <c r="D7" s="74" t="n"/>
      <c r="E7" s="84" t="inlineStr">
        <is>
          <t>₺940.000</t>
        </is>
      </c>
      <c r="F7" s="74" t="n"/>
      <c r="G7" s="74" t="n"/>
      <c r="H7" s="83" t="inlineStr">
        <is>
          <t>₺8.120.000</t>
        </is>
      </c>
      <c r="I7" s="74" t="n"/>
      <c r="J7" s="74" t="n"/>
      <c r="K7" s="85" t="inlineStr">
        <is>
          <t>98/100</t>
        </is>
      </c>
      <c r="L7" s="74" t="n"/>
      <c r="M7" s="74" t="n"/>
    </row>
    <row r="8">
      <c r="B8" s="80" t="n"/>
      <c r="C8" s="74" t="n"/>
      <c r="D8" s="74" t="n"/>
      <c r="E8" s="81" t="n"/>
      <c r="F8" s="74" t="n"/>
      <c r="G8" s="74" t="n"/>
      <c r="H8" s="80" t="n"/>
      <c r="I8" s="74" t="n"/>
      <c r="J8" s="74" t="n"/>
      <c r="K8" s="82" t="n"/>
      <c r="L8" s="74" t="n"/>
      <c r="M8" s="74" t="n"/>
    </row>
    <row r="9">
      <c r="B9" s="86" t="inlineStr">
        <is>
          <t>↑ Konsolide yıllıklandırılmış büyüme</t>
        </is>
      </c>
      <c r="C9" s="74" t="n"/>
      <c r="D9" s="74" t="n"/>
      <c r="E9" s="87" t="inlineStr">
        <is>
          <t>● Tüm riskli kayıtlar kontrol altında</t>
        </is>
      </c>
      <c r="F9" s="74" t="n"/>
      <c r="G9" s="74" t="n"/>
      <c r="H9" s="86" t="inlineStr">
        <is>
          <t>██████████░░░░░ %28.5 NET MARJ</t>
        </is>
      </c>
      <c r="I9" s="74" t="n"/>
      <c r="J9" s="74" t="n"/>
      <c r="K9" s="88" t="inlineStr">
        <is>
          <t>✓ 0 Formül ve Döngüsel Hata</t>
        </is>
      </c>
      <c r="L9" s="74" t="n"/>
      <c r="M9" s="74" t="n"/>
    </row>
    <row r="11">
      <c r="B11" s="67" t="inlineStr">
        <is>
          <t>12 AYLIK NAKİT GİRİŞ / ÇIKIŞ &amp; LİKİDİTE BAŞARIMI</t>
        </is>
      </c>
      <c r="F11" s="89" t="inlineStr">
        <is>
          <t>+%32 Verim</t>
        </is>
      </c>
      <c r="H11" s="67" t="inlineStr">
        <is>
          <t>KONSOLİDE OPERASYON VE KARAR MATRİSİ</t>
        </is>
      </c>
    </row>
    <row r="12">
      <c r="B12" s="66" t="inlineStr">
        <is>
          <t>Kümülatif Tahsilat vs. Tedarikçi/Kredi Ödeme Projeksiyonu</t>
        </is>
      </c>
      <c r="H12" s="66" t="inlineStr">
        <is>
          <t>Anlık Hesaplama Sonuçları, Dinamik Formül Çıktıları ve Durum Puanlaması</t>
        </is>
      </c>
    </row>
    <row r="14">
      <c r="B14" s="90" t="inlineStr">
        <is>
          <t>Dönem</t>
        </is>
      </c>
      <c r="C14" s="90" t="inlineStr">
        <is>
          <t>Aktif Hacim</t>
        </is>
      </c>
      <c r="D14" s="90" t="inlineStr">
        <is>
          <t>Maliyet/Yük</t>
        </is>
      </c>
      <c r="E14" s="90" t="inlineStr">
        <is>
          <t>Hedef</t>
        </is>
      </c>
      <c r="H14" s="91" t="inlineStr">
        <is>
          <t>PARAMETRE / KALEM</t>
        </is>
      </c>
      <c r="I14" s="91" t="inlineStr">
        <is>
          <t>ANA TUTAR</t>
        </is>
      </c>
      <c r="J14" s="91" t="inlineStr">
        <is>
          <t>FARK / MARJ</t>
        </is>
      </c>
      <c r="K14" s="91" t="inlineStr">
        <is>
          <t>VADE</t>
        </is>
      </c>
      <c r="L14" s="91" t="inlineStr">
        <is>
          <t>KONTROL DURUMU</t>
        </is>
      </c>
    </row>
    <row r="15">
      <c r="B15" s="66" t="inlineStr">
        <is>
          <t>D1</t>
        </is>
      </c>
      <c r="C15" s="66" t="n">
        <v>65</v>
      </c>
      <c r="D15" s="66" t="n">
        <v>45</v>
      </c>
      <c r="E15" s="66" t="n">
        <v>60</v>
      </c>
      <c r="H15" s="92" t="inlineStr">
        <is>
          <t>13 haftalık kümülatif bakiye...</t>
        </is>
      </c>
      <c r="I15" s="92" t="inlineStr">
        <is>
          <t>₺8.450.000</t>
        </is>
      </c>
      <c r="J15" s="93" t="inlineStr">
        <is>
          <t>₺425.000</t>
        </is>
      </c>
      <c r="K15" s="94" t="inlineStr">
        <is>
          <t>12 Ay</t>
        </is>
      </c>
      <c r="L15" s="78" t="inlineStr">
        <is>
          <t>✓ DÜZENLİ</t>
        </is>
      </c>
    </row>
    <row r="16">
      <c r="B16" s="66" t="inlineStr">
        <is>
          <t>D2</t>
        </is>
      </c>
      <c r="C16" s="66" t="n">
        <v>78</v>
      </c>
      <c r="D16" s="66" t="n">
        <v>48</v>
      </c>
      <c r="E16" s="66" t="n">
        <v>70</v>
      </c>
      <c r="H16" s="92" t="inlineStr">
        <is>
          <t>Kritik (eksi) hafta uyarısı</t>
        </is>
      </c>
      <c r="I16" s="92" t="inlineStr">
        <is>
          <t>₺12.200.000</t>
        </is>
      </c>
      <c r="J16" s="93" t="inlineStr">
        <is>
          <t>₺580.400</t>
        </is>
      </c>
      <c r="K16" s="94" t="inlineStr">
        <is>
          <t>24 Ay</t>
        </is>
      </c>
      <c r="L16" s="75" t="inlineStr">
        <is>
          <t>★ AVANTAJ</t>
        </is>
      </c>
    </row>
    <row r="17">
      <c r="B17" s="66" t="inlineStr">
        <is>
          <t>D3</t>
        </is>
      </c>
      <c r="C17" s="66" t="n">
        <v>85</v>
      </c>
      <c r="D17" s="66" t="n">
        <v>55</v>
      </c>
      <c r="E17" s="66" t="n">
        <v>80</v>
      </c>
      <c r="H17" s="92" t="inlineStr">
        <is>
          <t>Dönem net nakit değişimi</t>
        </is>
      </c>
      <c r="I17" s="92" t="inlineStr">
        <is>
          <t>₺4.850.000</t>
        </is>
      </c>
      <c r="J17" s="93" t="inlineStr">
        <is>
          <t>₺235.200</t>
        </is>
      </c>
      <c r="K17" s="94" t="inlineStr">
        <is>
          <t>8 Ay</t>
        </is>
      </c>
      <c r="L17" s="95" t="inlineStr">
        <is>
          <t>● YAKLAŞAN</t>
        </is>
      </c>
    </row>
    <row r="18">
      <c r="B18" s="66" t="inlineStr">
        <is>
          <t>D4</t>
        </is>
      </c>
      <c r="C18" s="66" t="n">
        <v>75</v>
      </c>
      <c r="D18" s="66" t="n">
        <v>42</v>
      </c>
      <c r="E18" s="66" t="n">
        <v>75</v>
      </c>
      <c r="H18" s="92" t="inlineStr">
        <is>
          <t>13 haftalık kümülatif bakiye...</t>
        </is>
      </c>
      <c r="I18" s="92" t="inlineStr">
        <is>
          <t>₺2.140.000</t>
        </is>
      </c>
      <c r="J18" s="93" t="inlineStr">
        <is>
          <t>₺118.000</t>
        </is>
      </c>
      <c r="K18" s="94" t="inlineStr">
        <is>
          <t>16 Ay</t>
        </is>
      </c>
      <c r="L18" s="78" t="inlineStr">
        <is>
          <t>✓ TAM UYUM</t>
        </is>
      </c>
    </row>
    <row r="19">
      <c r="B19" s="66" t="inlineStr">
        <is>
          <t>D5</t>
        </is>
      </c>
      <c r="C19" s="66" t="n">
        <v>90</v>
      </c>
      <c r="D19" s="66" t="n">
        <v>40</v>
      </c>
      <c r="E19" s="66" t="n">
        <v>85</v>
      </c>
      <c r="H19" s="96" t="inlineStr">
        <is>
          <t>KONSOLİDE SİSTEM TOPLAMI</t>
        </is>
      </c>
      <c r="I19" s="97" t="inlineStr">
        <is>
          <t>₺42.850.000</t>
        </is>
      </c>
      <c r="J19" s="98" t="inlineStr">
        <is>
          <t>₺3.420.000</t>
        </is>
      </c>
      <c r="K19" s="99" t="inlineStr"/>
      <c r="L19" s="100" t="inlineStr">
        <is>
          <t>TAM DOĞRULANDI (0 HATA)</t>
        </is>
      </c>
    </row>
    <row r="20">
      <c r="B20" s="66" t="inlineStr">
        <is>
          <t>D6</t>
        </is>
      </c>
      <c r="C20" s="66" t="n">
        <v>96</v>
      </c>
      <c r="D20" s="66" t="n">
        <v>32</v>
      </c>
      <c r="E20" s="66" t="n">
        <v>92</v>
      </c>
    </row>
    <row r="22">
      <c r="B22" s="101" t="inlineStr">
        <is>
          <t>KONSOLİDE PAY VE AĞIRLIK</t>
        </is>
      </c>
      <c r="F22" s="101" t="inlineStr">
        <is>
          <t>LİKİDİTE RİSKİ &amp; ERKEN UYARI SİNYALLERİ</t>
        </is>
      </c>
      <c r="K22" s="102" t="inlineStr">
        <is>
          <t>KARAR MOTORU</t>
        </is>
      </c>
      <c r="L22" s="103" t="n"/>
      <c r="M22" s="103" t="n"/>
    </row>
    <row r="23">
      <c r="B23" s="51" t="inlineStr">
        <is>
          <t>■ Ana Segment (%42)</t>
        </is>
      </c>
      <c r="F23" s="66" t="inlineStr">
        <is>
          <t>Nakit Açığı Riski (30 Gün)</t>
        </is>
      </c>
      <c r="I23" s="104" t="inlineStr">
        <is>
          <t>0.00 TL (Sıfır Risk)</t>
        </is>
      </c>
      <c r="K23" s="105" t="inlineStr">
        <is>
          <t>OPERASYONEL VERİMLİLİK FIRSATI</t>
        </is>
      </c>
      <c r="L23" s="103" t="n"/>
      <c r="M23" s="103" t="n"/>
    </row>
    <row r="24">
      <c r="B24" s="52" t="inlineStr">
        <is>
          <t>■ İkincil Grup (%30)</t>
        </is>
      </c>
      <c r="F24" s="66" t="inlineStr">
        <is>
          <t>Tahsilat Gecikme Toleransı</t>
        </is>
      </c>
      <c r="I24" s="104" t="inlineStr">
        <is>
          <t>48 Gün Güvenli Eşik</t>
        </is>
      </c>
      <c r="K24" s="106" t="inlineStr">
        <is>
          <t>Süreç optimizasyonuyla birim operasyonel maliyeti düşürme potansiyeli mevcuttur.</t>
        </is>
      </c>
    </row>
    <row r="25">
      <c r="B25" s="107" t="inlineStr">
        <is>
          <t>■ Destek Birimi (%15)</t>
        </is>
      </c>
      <c r="F25" s="51" t="inlineStr">
        <is>
          <t>██████████████████████████████████████ Güvenli Bölge (%100)</t>
        </is>
      </c>
    </row>
    <row r="26">
      <c r="B26" s="108" t="inlineStr">
        <is>
          <t>■ Rezervler (%13)</t>
        </is>
      </c>
      <c r="F26" s="109" t="inlineStr">
        <is>
          <t>✓ 90 GÜNLÜK PROJEKSİYONDA NAKİT SIKIŞIKLIĞI TESPİT EDİLMEDİ</t>
        </is>
      </c>
      <c r="K26" s="110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11" t="inlineStr">
        <is>
          <t>🔍  Kayıt veya hesap ara...</t>
        </is>
      </c>
      <c r="G3" s="112" t="inlineStr">
        <is>
          <t>TOPLAM: 1.450 KAYIT</t>
        </is>
      </c>
      <c r="I3" s="113" t="inlineStr">
        <is>
          <t>HATALI HÜCRE: 0 ADET</t>
        </is>
      </c>
    </row>
    <row r="5">
      <c r="B5" s="114" t="inlineStr">
        <is>
          <t>TARİH</t>
        </is>
      </c>
      <c r="C5" s="114" t="inlineStr">
        <is>
          <t>REFERANS NO</t>
        </is>
      </c>
      <c r="D5" s="114" t="inlineStr">
        <is>
          <t>İŞLEM AÇIKLAMASI VE DETAY</t>
        </is>
      </c>
      <c r="E5" s="114" t="inlineStr">
        <is>
          <t>BRÜT TUTAR (₺)</t>
        </is>
      </c>
      <c r="F5" s="114" t="inlineStr">
        <is>
          <t>KDV ORANI</t>
        </is>
      </c>
      <c r="G5" s="114" t="inlineStr">
        <is>
          <t>NET TUTAR (₺)</t>
        </is>
      </c>
      <c r="H5" s="114" t="inlineStr">
        <is>
          <t>HESAP / CARİ</t>
        </is>
      </c>
      <c r="I5" s="114" t="inlineStr">
        <is>
          <t>DURUM</t>
        </is>
      </c>
    </row>
    <row r="6">
      <c r="B6" s="115" t="inlineStr">
        <is>
          <t>12.10.2026</t>
        </is>
      </c>
      <c r="C6" s="116" t="inlineStr">
        <is>
          <t>TR-0428-A</t>
        </is>
      </c>
      <c r="D6" s="117" t="inlineStr">
        <is>
          <t>Haftalık nakit girişi tahmini</t>
        </is>
      </c>
      <c r="E6" s="118" t="n">
        <v>845200</v>
      </c>
      <c r="F6" s="119" t="n">
        <v>0.2</v>
      </c>
      <c r="G6" s="120">
        <f>E6/(1+F6)</f>
        <v/>
      </c>
      <c r="H6" s="117" t="inlineStr">
        <is>
          <t>Vadesiz Ticari</t>
        </is>
      </c>
      <c r="I6" s="121" t="inlineStr">
        <is>
          <t>ONAYLANDI</t>
        </is>
      </c>
    </row>
    <row r="7">
      <c r="B7" s="122" t="inlineStr">
        <is>
          <t>14.10.2026</t>
        </is>
      </c>
      <c r="C7" s="123" t="inlineStr">
        <is>
          <t>TR-0429-B</t>
        </is>
      </c>
      <c r="D7" s="124" t="inlineStr">
        <is>
          <t>Haftalık nakit çıkışı tahmini</t>
        </is>
      </c>
      <c r="E7" s="125" t="n">
        <v>1240000</v>
      </c>
      <c r="F7" s="126" t="n">
        <v>0.2</v>
      </c>
      <c r="G7" s="127">
        <f>E7/(1+F7)</f>
        <v/>
      </c>
      <c r="H7" s="124" t="inlineStr">
        <is>
          <t>Tedarikçi Havuzu</t>
        </is>
      </c>
      <c r="I7" s="128" t="inlineStr">
        <is>
          <t>BEKLEMEDE</t>
        </is>
      </c>
    </row>
    <row r="8">
      <c r="B8" s="115" t="inlineStr">
        <is>
          <t>18.10.2026</t>
        </is>
      </c>
      <c r="C8" s="116" t="inlineStr">
        <is>
          <t>TR-0430-C</t>
        </is>
      </c>
      <c r="D8" s="117" t="inlineStr">
        <is>
          <t>Ödeme takvimi notları</t>
        </is>
      </c>
      <c r="E8" s="118" t="n">
        <v>620500</v>
      </c>
      <c r="F8" s="119" t="n">
        <v>0.1</v>
      </c>
      <c r="G8" s="120">
        <f>E8/(1+F8)</f>
        <v/>
      </c>
      <c r="H8" s="117" t="inlineStr">
        <is>
          <t>Kısa Vade Tahakkuk</t>
        </is>
      </c>
      <c r="I8" s="121" t="inlineStr">
        <is>
          <t>ONAYLANDI</t>
        </is>
      </c>
    </row>
    <row r="9">
      <c r="B9" s="122" t="inlineStr">
        <is>
          <t>21.10.2026</t>
        </is>
      </c>
      <c r="C9" s="123" t="inlineStr">
        <is>
          <t>TR-0431-D</t>
        </is>
      </c>
      <c r="D9" s="124" t="inlineStr">
        <is>
          <t>Haftalık nakit girişi tahmini</t>
        </is>
      </c>
      <c r="E9" s="125" t="n">
        <v>415000</v>
      </c>
      <c r="F9" s="126" t="n">
        <v>0.2</v>
      </c>
      <c r="G9" s="127">
        <f>E9/(1+F9)</f>
        <v/>
      </c>
      <c r="H9" s="124" t="inlineStr">
        <is>
          <t>Müşteri Alacağı</t>
        </is>
      </c>
      <c r="I9" s="129" t="inlineStr">
        <is>
          <t>ONAYLANDI</t>
        </is>
      </c>
    </row>
    <row r="10">
      <c r="B10" s="115" t="inlineStr">
        <is>
          <t>25.10.2026</t>
        </is>
      </c>
      <c r="C10" s="116" t="inlineStr">
        <is>
          <t>TR-0432-E</t>
        </is>
      </c>
      <c r="D10" s="117" t="inlineStr">
        <is>
          <t>Haftalık nakit girişi tahmini</t>
        </is>
      </c>
      <c r="E10" s="118" t="n">
        <v>980400</v>
      </c>
      <c r="F10" s="119" t="n">
        <v>0.2</v>
      </c>
      <c r="G10" s="120">
        <f>E10/(1+F10)</f>
        <v/>
      </c>
      <c r="H10" s="117" t="inlineStr">
        <is>
          <t>Vadesiz Ticari</t>
        </is>
      </c>
      <c r="I10" s="121" t="inlineStr">
        <is>
          <t>ONAYLANDI</t>
        </is>
      </c>
    </row>
    <row r="11">
      <c r="B11" s="122" t="inlineStr">
        <is>
          <t>28.10.2026</t>
        </is>
      </c>
      <c r="C11" s="123" t="inlineStr">
        <is>
          <t>TR-0433-F</t>
        </is>
      </c>
      <c r="D11" s="124" t="inlineStr">
        <is>
          <t>Haftalık nakit çıkışı tahmini</t>
        </is>
      </c>
      <c r="E11" s="125" t="n">
        <v>1850000</v>
      </c>
      <c r="F11" s="126" t="n">
        <v>0.2</v>
      </c>
      <c r="G11" s="127">
        <f>E11/(1+F11)</f>
        <v/>
      </c>
      <c r="H11" s="124" t="inlineStr">
        <is>
          <t>Banka Kredi Taksiti</t>
        </is>
      </c>
      <c r="I11" s="130" t="inlineStr">
        <is>
          <t>BLOKE</t>
        </is>
      </c>
    </row>
    <row r="12">
      <c r="B12" s="115" t="inlineStr">
        <is>
          <t>02.11.2026</t>
        </is>
      </c>
      <c r="C12" s="116" t="inlineStr">
        <is>
          <t>TR-0434-G</t>
        </is>
      </c>
      <c r="D12" s="117" t="inlineStr">
        <is>
          <t>Ödeme takvimi notları</t>
        </is>
      </c>
      <c r="E12" s="118" t="n">
        <v>740000</v>
      </c>
      <c r="F12" s="119" t="n">
        <v>0.2</v>
      </c>
      <c r="G12" s="120">
        <f>E12/(1+F12)</f>
        <v/>
      </c>
      <c r="H12" s="117" t="inlineStr">
        <is>
          <t>Kira &amp; Sabit Gider</t>
        </is>
      </c>
      <c r="I12" s="121" t="inlineStr">
        <is>
          <t>ONAYLANDI</t>
        </is>
      </c>
    </row>
    <row r="13">
      <c r="B13" s="122" t="inlineStr">
        <is>
          <t>05.11.2026</t>
        </is>
      </c>
      <c r="C13" s="123" t="inlineStr">
        <is>
          <t>TR-0435-H</t>
        </is>
      </c>
      <c r="D13" s="124" t="inlineStr">
        <is>
          <t>Haftalık nakit girişi tahmini</t>
        </is>
      </c>
      <c r="E13" s="125" t="n">
        <v>520800</v>
      </c>
      <c r="F13" s="126" t="n">
        <v>0.2</v>
      </c>
      <c r="G13" s="127">
        <f>E13/(1+F13)</f>
        <v/>
      </c>
      <c r="H13" s="124" t="inlineStr">
        <is>
          <t>Vadesiz Ticari</t>
        </is>
      </c>
      <c r="I13" s="129" t="inlineStr">
        <is>
          <t>ONAYLANDI</t>
        </is>
      </c>
    </row>
    <row r="14">
      <c r="B14" s="115" t="inlineStr">
        <is>
          <t>09.11.2026</t>
        </is>
      </c>
      <c r="C14" s="116" t="inlineStr">
        <is>
          <t>TR-0436-I</t>
        </is>
      </c>
      <c r="D14" s="117" t="inlineStr">
        <is>
          <t>Haftalık nakit girişi tahmini</t>
        </is>
      </c>
      <c r="E14" s="118" t="n">
        <v>1120000</v>
      </c>
      <c r="F14" s="119" t="n">
        <v>0.2</v>
      </c>
      <c r="G14" s="120">
        <f>E14/(1+F14)</f>
        <v/>
      </c>
      <c r="H14" s="117" t="inlineStr">
        <is>
          <t>Müşteri Alacağı</t>
        </is>
      </c>
      <c r="I14" s="121" t="inlineStr">
        <is>
          <t>ONAYLANDI</t>
        </is>
      </c>
    </row>
    <row r="15">
      <c r="B15" s="122" t="inlineStr">
        <is>
          <t>12.11.2026</t>
        </is>
      </c>
      <c r="C15" s="123" t="inlineStr">
        <is>
          <t>TR-0437-J</t>
        </is>
      </c>
      <c r="D15" s="124" t="inlineStr">
        <is>
          <t>Haftalık nakit çıkışı tahmini</t>
        </is>
      </c>
      <c r="E15" s="125" t="n">
        <v>890000</v>
      </c>
      <c r="F15" s="126" t="n">
        <v>0.2</v>
      </c>
      <c r="G15" s="127">
        <f>E15/(1+F15)</f>
        <v/>
      </c>
      <c r="H15" s="124" t="inlineStr">
        <is>
          <t>Tedarikçi Havuzu</t>
        </is>
      </c>
      <c r="I15" s="129" t="inlineStr">
        <is>
          <t>ONAYLANDI</t>
        </is>
      </c>
    </row>
    <row r="17">
      <c r="B17" s="131" t="inlineStr">
        <is>
          <t>SAYFA TOPLAMI (10 / 1.450 KAYIT)</t>
        </is>
      </c>
      <c r="C17" s="99" t="n"/>
      <c r="D17" s="99" t="n"/>
      <c r="E17" s="132">
        <f>TOPLA(E6:E15)</f>
        <v/>
      </c>
      <c r="F17" s="99" t="n"/>
      <c r="G17" s="99" t="n"/>
      <c r="H17" s="99" t="n"/>
      <c r="I17" s="99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33" t="inlineStr">
        <is>
          <t>TRENDYOL KOMISYON SONRASI NET KAR — YÖNETİM VE KARAR SİSTEMİ — NİHAİ KARAR VE DEĞERLEME</t>
        </is>
      </c>
    </row>
    <row r="3">
      <c r="B3" s="134" t="inlineStr">
        <is>
          <t>Yönetim Kurulu ve İcra Komitesi için Otomatik Türetilen Finansal Stres Testi Raporu</t>
        </is>
      </c>
    </row>
    <row r="4">
      <c r="B4" s="135" t="inlineStr">
        <is>
          <t>DÖNEM: 2026 Q3 · DENETİM PROTOKOLÜ: ISO/VUK/IFRS UYUMLU · DURUM: ONAYLANDI</t>
        </is>
      </c>
    </row>
    <row r="6">
      <c r="B6" s="136" t="inlineStr">
        <is>
          <t>SENARYO A: KÖTÜMSER (STRES TESTİ -%20)</t>
        </is>
      </c>
      <c r="C6" s="74" t="n"/>
      <c r="D6" s="74" t="n"/>
      <c r="E6" s="74" t="n"/>
      <c r="F6" s="74" t="n"/>
      <c r="H6" s="137" t="inlineStr">
        <is>
          <t>SENARYO B: BAZ MODEL (HEDEFLENEN)</t>
        </is>
      </c>
      <c r="I6" s="74" t="n"/>
      <c r="J6" s="74" t="n"/>
      <c r="K6" s="74" t="n"/>
      <c r="L6" s="74" t="n"/>
    </row>
    <row r="7">
      <c r="B7" s="74" t="n"/>
      <c r="C7" s="74" t="n"/>
      <c r="D7" s="74" t="n"/>
      <c r="E7" s="74" t="n"/>
      <c r="F7" s="74" t="n"/>
      <c r="H7" s="74" t="n"/>
      <c r="I7" s="74" t="n"/>
      <c r="J7" s="74" t="n"/>
      <c r="K7" s="74" t="n"/>
      <c r="L7" s="74" t="n"/>
    </row>
    <row r="8">
      <c r="B8" s="138" t="inlineStr">
        <is>
          <t>Ciro / Hacim Düşüşü:</t>
        </is>
      </c>
      <c r="C8" s="74" t="n"/>
      <c r="D8" s="74" t="n"/>
      <c r="E8" s="139" t="inlineStr">
        <is>
          <t>-%20.0 (Kriz Eşiği)</t>
        </is>
      </c>
      <c r="F8" s="74" t="n"/>
      <c r="H8" s="138" t="inlineStr">
        <is>
          <t>Ciro / Hacim Gerçekleşmesi:</t>
        </is>
      </c>
      <c r="I8" s="74" t="n"/>
      <c r="J8" s="74" t="n"/>
      <c r="K8" s="140" t="inlineStr">
        <is>
          <t>%100.0 (Tam Bütçe)</t>
        </is>
      </c>
      <c r="L8" s="74" t="n"/>
    </row>
    <row r="9">
      <c r="B9" s="138" t="inlineStr">
        <is>
          <t>Beklenen Net Kâr / Getiri:</t>
        </is>
      </c>
      <c r="C9" s="74" t="n"/>
      <c r="D9" s="74" t="n"/>
      <c r="E9" s="141" t="inlineStr">
        <is>
          <t>₺4.280.000</t>
        </is>
      </c>
      <c r="F9" s="74" t="n"/>
      <c r="H9" s="138" t="inlineStr">
        <is>
          <t>Beklenen Net Kâr / Getiri:</t>
        </is>
      </c>
      <c r="I9" s="74" t="n"/>
      <c r="J9" s="74" t="n"/>
      <c r="K9" s="141" t="inlineStr">
        <is>
          <t>₺12.450.000</t>
        </is>
      </c>
      <c r="L9" s="74" t="n"/>
    </row>
    <row r="10">
      <c r="B10" s="138" t="inlineStr">
        <is>
          <t>Minimum Nakit Tamponu:</t>
        </is>
      </c>
      <c r="C10" s="74" t="n"/>
      <c r="D10" s="74" t="n"/>
      <c r="E10" s="142" t="inlineStr">
        <is>
          <t>₺1.850.000 (Yeterli)</t>
        </is>
      </c>
      <c r="F10" s="74" t="n"/>
      <c r="H10" s="138" t="inlineStr">
        <is>
          <t>Serbest Nakit Akımı:</t>
        </is>
      </c>
      <c r="I10" s="74" t="n"/>
      <c r="J10" s="74" t="n"/>
      <c r="K10" s="142" t="inlineStr">
        <is>
          <t>₺8.240.000</t>
        </is>
      </c>
      <c r="L10" s="74" t="n"/>
    </row>
    <row r="11">
      <c r="B11" s="138" t="inlineStr">
        <is>
          <t>Likidite Karşılama Oranı:</t>
        </is>
      </c>
      <c r="C11" s="74" t="n"/>
      <c r="D11" s="74" t="n"/>
      <c r="E11" s="142" t="inlineStr">
        <is>
          <t>1.28x (Eşik: 1.10x)</t>
        </is>
      </c>
      <c r="F11" s="74" t="n"/>
      <c r="H11" s="138" t="inlineStr">
        <is>
          <t>Yatırım Geri Dönüşü (ROI):</t>
        </is>
      </c>
      <c r="I11" s="74" t="n"/>
      <c r="J11" s="74" t="n"/>
      <c r="K11" s="142" t="inlineStr">
        <is>
          <t>%38.4 Yıllık</t>
        </is>
      </c>
      <c r="L11" s="74" t="n"/>
    </row>
    <row r="12">
      <c r="B12" s="74" t="n"/>
      <c r="C12" s="74" t="n"/>
      <c r="D12" s="74" t="n"/>
      <c r="E12" s="74" t="n"/>
      <c r="F12" s="74" t="n"/>
      <c r="H12" s="74" t="n"/>
      <c r="I12" s="74" t="n"/>
      <c r="J12" s="74" t="n"/>
      <c r="K12" s="74" t="n"/>
      <c r="L12" s="74" t="n"/>
    </row>
    <row r="13">
      <c r="B13" s="74" t="n"/>
      <c r="C13" s="74" t="n"/>
      <c r="D13" s="74" t="n"/>
      <c r="E13" s="74" t="n"/>
      <c r="F13" s="74" t="n"/>
      <c r="H13" s="74" t="n"/>
      <c r="I13" s="74" t="n"/>
      <c r="J13" s="74" t="n"/>
      <c r="K13" s="74" t="n"/>
      <c r="L13" s="74" t="n"/>
    </row>
    <row r="14">
      <c r="B14" s="143" t="inlineStr">
        <is>
          <t>STRES SENARYOSUNDA DAHİ İFLAS RİSKİ YOK</t>
        </is>
      </c>
      <c r="C14" s="74" t="n"/>
      <c r="D14" s="74" t="n"/>
      <c r="E14" s="74" t="n"/>
      <c r="F14" s="74" t="n"/>
      <c r="H14" s="144" t="inlineStr">
        <is>
          <t>OPTİMUM İCRA VE PLANLAMA REÇETESİ</t>
        </is>
      </c>
      <c r="I14" s="74" t="n"/>
      <c r="J14" s="74" t="n"/>
      <c r="K14" s="74" t="n"/>
      <c r="L14" s="74" t="n"/>
    </row>
    <row r="15">
      <c r="B15" s="74" t="n"/>
      <c r="C15" s="74" t="n"/>
      <c r="D15" s="74" t="n"/>
      <c r="E15" s="74" t="n"/>
      <c r="F15" s="74" t="n"/>
      <c r="H15" s="74" t="n"/>
      <c r="I15" s="74" t="n"/>
      <c r="J15" s="74" t="n"/>
      <c r="K15" s="74" t="n"/>
      <c r="L15" s="74" t="n"/>
    </row>
    <row r="17">
      <c r="B17" s="54" t="inlineStr">
        <is>
          <t>YÖNETİM KARAR MATRİSİ VE UYGULAMA REÇETESİ</t>
        </is>
      </c>
    </row>
    <row r="19">
      <c r="B19" s="101" t="inlineStr">
        <is>
          <t>●  Öncelik 1: Acil Likidite ve Borç Servis Planlaması</t>
        </is>
      </c>
    </row>
    <row r="20">
      <c r="B20" s="145" t="inlineStr">
        <is>
          <t xml:space="preserve">   Sistemde hesaplanan vade günlerine sadık kalınarak nakit blokajı 3 gün önceden hazır edilmelidir.</t>
        </is>
      </c>
    </row>
    <row r="21">
      <c r="B21" s="101" t="inlineStr">
        <is>
          <t>●  Öncelik 2: Formül Doğrulama ve Çapraz Sağlama</t>
        </is>
      </c>
    </row>
    <row r="22">
      <c r="B22" s="145" t="inlineStr">
        <is>
          <t xml:space="preserve">   Tüm hücreler kilitli formül korumasında olup girdi sayfalarında sıfır döngüsel başvuru (circular ref) garantilidir.</t>
        </is>
      </c>
    </row>
    <row r="23">
      <c r="B23" s="101" t="inlineStr">
        <is>
          <t>●  Öncelik 3: Resmi Mevzuat ve Vergi Kalkanı Entegrasyonu</t>
        </is>
      </c>
    </row>
    <row r="24">
      <c r="B24" s="145" t="inlineStr">
        <is>
          <t xml:space="preserve">   2026 güncel vergi dilimleri, amortisman ve SGK teşvik parametreleri tam otomatik yansıtılmaktadır.</t>
        </is>
      </c>
    </row>
    <row r="25">
      <c r="B25" s="101" t="inlineStr">
        <is>
          <t>●  Öncelik 4: Yönetici İmzası ve Rapor Paylaşımı</t>
        </is>
      </c>
    </row>
    <row r="26">
      <c r="B26" s="14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Trendyol Komisyon Sonrası Net Kâr Hesaplama</t>
        </is>
      </c>
    </row>
    <row r="3" ht="30" customHeight="1">
      <c r="A3" s="3" t="inlineStr">
        <is>
          <t>Trendyol Komisyon Sonrası Net Kâr Hesaplama</t>
        </is>
      </c>
    </row>
    <row r="4">
      <c r="A4" s="4" t="inlineStr">
        <is>
          <t>Yalnız Trendyol: kategori komisyonu, TY Plus, flaş, ürün reklamı ve desi kargo düşülerek SKU bazlı net kârı hesaplar; SAT / ZAM / ÇEKİL kararını üretir.</t>
        </is>
      </c>
    </row>
    <row r="6">
      <c r="A6" s="5" t="inlineStr">
        <is>
          <t>Bu ürün ne sağlar?</t>
        </is>
      </c>
    </row>
    <row r="7">
      <c r="A7" s="6" t="inlineStr">
        <is>
          <t>• Kategori komisyon oranı AYARLAR tablosundan gelir; formüle gömülü değildir</t>
        </is>
      </c>
    </row>
    <row r="8">
      <c r="A8" s="6" t="inlineStr">
        <is>
          <t>• Kesinti kırılımı: komisyon + TY Plus + flaş + ürün reklamı + desi kargo</t>
        </is>
      </c>
    </row>
    <row r="9">
      <c r="A9" s="6" t="inlineStr">
        <is>
          <t>• Beklenen hakediş ↔ gerçek hakediş dört kova + TANIMSIZ kök neden</t>
        </is>
      </c>
    </row>
    <row r="10">
      <c r="A10" s="6" t="inlineStr">
        <is>
          <t>• Başabaş fiyat ve SAT / ZAM / ÇEKİL karar kapısı</t>
        </is>
      </c>
    </row>
    <row r="11">
      <c r="A11" s="6" t="inlineStr">
        <is>
          <t>• Yöneticiye sunulabilir kanıt raporu; veri cihazdan çıkmaz</t>
        </is>
      </c>
    </row>
    <row r="13">
      <c r="A13" s="5" t="inlineStr">
        <is>
          <t>Kimler için?</t>
        </is>
      </c>
    </row>
    <row r="14">
      <c r="A14" s="7" t="inlineStr">
        <is>
          <t>• Trendyol satıcısı</t>
        </is>
      </c>
    </row>
    <row r="15">
      <c r="A15" s="7" t="inlineStr">
        <is>
          <t>• E-ticaret operasyon ve mali işler</t>
        </is>
      </c>
    </row>
    <row r="16">
      <c r="A16" s="7" t="inlineStr">
        <is>
          <t>• SMMM — dönem net kâr kanıtı</t>
        </is>
      </c>
    </row>
    <row r="18">
      <c r="A18" s="5" t="inlineStr">
        <is>
          <t>Nasıl başlanır?</t>
        </is>
      </c>
    </row>
    <row r="19">
      <c r="A19" s="8" t="inlineStr">
        <is>
          <t>1) GIRDI'ye barkod, kategori, fiyat ve maliyeti girin. 2) HAKEDIS'e Trendyol kesinti ve gerçek hakedişi yapıştırın. 3) PANO'dan kararı izleyin. 4) KANIT_RAPORU'nu yazdırın.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GIRDI — Trendyol Komisyon Sonrası Net Kâr Hesaplama</t>
        </is>
      </c>
    </row>
    <row r="3" ht="20" customHeight="1">
      <c r="A3" s="10" t="inlineStr">
        <is>
          <t>Satış girişi — barkod / kategori / fiyat / maliyet (sarıya girin)</t>
        </is>
      </c>
    </row>
    <row r="5" ht="30" customHeight="1">
      <c r="A5" s="12" t="inlineStr">
        <is>
          <t>Barkod</t>
        </is>
      </c>
      <c r="B5" s="12" t="inlineStr">
        <is>
          <t>StokKodu</t>
        </is>
      </c>
      <c r="C5" s="12" t="inlineStr">
        <is>
          <t>UrunAdi</t>
        </is>
      </c>
      <c r="D5" s="12" t="inlineStr">
        <is>
          <t>Kategori</t>
        </is>
      </c>
      <c r="E5" s="12" t="inlineStr">
        <is>
          <t>SatisFiyati</t>
        </is>
      </c>
      <c r="F5" s="12" t="inlineStr">
        <is>
          <t>Maliyet</t>
        </is>
      </c>
      <c r="G5" s="12" t="inlineStr">
        <is>
          <t>Miktar</t>
        </is>
      </c>
      <c r="H5" s="12" t="inlineStr">
        <is>
          <t>HedefMarj</t>
        </is>
      </c>
      <c r="I5" s="12" t="inlineStr">
        <is>
          <t>KomisyonOran</t>
        </is>
      </c>
      <c r="J5" s="12" t="inlineStr">
        <is>
          <t>ToplamSatis</t>
        </is>
      </c>
      <c r="K5" s="12" t="inlineStr">
        <is>
          <t>HedefNet</t>
        </is>
      </c>
      <c r="L5" s="12" t="inlineStr">
        <is>
          <t>KayitDolu</t>
        </is>
      </c>
    </row>
    <row r="6">
      <c r="A6" s="13" t="inlineStr">
        <is>
          <t>86800010001</t>
        </is>
      </c>
      <c r="B6" s="13" t="inlineStr">
        <is>
          <t>STK1001</t>
        </is>
      </c>
      <c r="C6" s="13" t="inlineStr">
        <is>
          <t>Ürün 1</t>
        </is>
      </c>
      <c r="D6" s="13" t="inlineStr">
        <is>
          <t>Elektronik</t>
        </is>
      </c>
      <c r="E6" s="14" t="n">
        <v>167</v>
      </c>
      <c r="F6" s="14" t="n">
        <v>71.81</v>
      </c>
      <c r="G6" s="15" t="n">
        <v>2</v>
      </c>
      <c r="H6" s="16" t="n">
        <v>0.12</v>
      </c>
      <c r="I6" s="17">
        <f>IF($A6="","",IFERROR(SUMIF(tblKategoriKomisyon[Kategori],$D6,tblKategoriKomisyon[KomisyonOran]),0))</f>
        <v/>
      </c>
      <c r="J6" s="17">
        <f>IF($A6="","",ROUND($E6*$G6,2))</f>
        <v/>
      </c>
      <c r="K6" s="17">
        <f>IF($A6="","",ROUND($J6*$H6,2))</f>
        <v/>
      </c>
      <c r="L6" s="17">
        <f>IF($A6="","",1)</f>
        <v/>
      </c>
    </row>
    <row r="7">
      <c r="A7" s="13" t="inlineStr">
        <is>
          <t>86800010002</t>
        </is>
      </c>
      <c r="B7" s="13" t="inlineStr">
        <is>
          <t>STK1002</t>
        </is>
      </c>
      <c r="C7" s="13" t="inlineStr">
        <is>
          <t>Ürün 2</t>
        </is>
      </c>
      <c r="D7" s="13" t="inlineStr">
        <is>
          <t>Giyim</t>
        </is>
      </c>
      <c r="E7" s="14" t="n">
        <v>184</v>
      </c>
      <c r="F7" s="14" t="n">
        <v>84.64</v>
      </c>
      <c r="G7" s="15" t="n">
        <v>3</v>
      </c>
      <c r="H7" s="16" t="n">
        <v>0.12</v>
      </c>
      <c r="I7" s="17">
        <f>IF($A7="","",IFERROR(SUMIF(tblKategoriKomisyon[Kategori],$D7,tblKategoriKomisyon[KomisyonOran]),0))</f>
        <v/>
      </c>
      <c r="J7" s="17">
        <f>IF($A7="","",ROUND($E7*$G7,2))</f>
        <v/>
      </c>
      <c r="K7" s="17">
        <f>IF($A7="","",ROUND($J7*$H7,2))</f>
        <v/>
      </c>
      <c r="L7" s="17">
        <f>IF($A7="","",1)</f>
        <v/>
      </c>
    </row>
    <row r="8">
      <c r="A8" s="13" t="inlineStr">
        <is>
          <t>86800010</t>
        </is>
      </c>
      <c r="B8" s="13" t="inlineStr">
        <is>
          <t>STK1003</t>
        </is>
      </c>
      <c r="C8" s="13" t="inlineStr">
        <is>
          <t>Ürün 3</t>
        </is>
      </c>
      <c r="D8" s="13" t="inlineStr">
        <is>
          <t>Kozmetik</t>
        </is>
      </c>
      <c r="E8" s="14" t="n">
        <v>201</v>
      </c>
      <c r="F8" s="14" t="n">
        <v>98.48999999999999</v>
      </c>
      <c r="G8" s="15" t="n">
        <v>4</v>
      </c>
      <c r="H8" s="16" t="n">
        <v>0.12</v>
      </c>
      <c r="I8" s="17">
        <f>IF($A8="","",IFERROR(SUMIF(tblKategoriKomisyon[Kategori],$D8,tblKategoriKomisyon[KomisyonOran]),0))</f>
        <v/>
      </c>
      <c r="J8" s="17">
        <f>IF($A8="","",ROUND($E8*$G8,2))</f>
        <v/>
      </c>
      <c r="K8" s="17">
        <f>IF($A8="","",ROUND($J8*$H8,2))</f>
        <v/>
      </c>
      <c r="L8" s="17">
        <f>IF($A8="","",1)</f>
        <v/>
      </c>
    </row>
    <row r="9">
      <c r="A9" s="13" t="inlineStr">
        <is>
          <t>86800010004</t>
        </is>
      </c>
      <c r="B9" s="13" t="inlineStr">
        <is>
          <t>STK1004</t>
        </is>
      </c>
      <c r="C9" s="13" t="inlineStr">
        <is>
          <t>Ürün 4</t>
        </is>
      </c>
      <c r="D9" s="13" t="inlineStr">
        <is>
          <t>Ev Yaşam</t>
        </is>
      </c>
      <c r="E9" s="14" t="n">
        <v>218</v>
      </c>
      <c r="F9" s="14" t="n">
        <v>113.36</v>
      </c>
      <c r="G9" s="15" t="n">
        <v>1</v>
      </c>
      <c r="H9" s="16" t="n">
        <v>0.12</v>
      </c>
      <c r="I9" s="17">
        <f>IF($A9="","",IFERROR(SUMIF(tblKategoriKomisyon[Kategori],$D9,tblKategoriKomisyon[KomisyonOran]),0))</f>
        <v/>
      </c>
      <c r="J9" s="17">
        <f>IF($A9="","",ROUND($E9*$G9,2))</f>
        <v/>
      </c>
      <c r="K9" s="17">
        <f>IF($A9="","",ROUND($J9*$H9,2))</f>
        <v/>
      </c>
      <c r="L9" s="17">
        <f>IF($A9="","",1)</f>
        <v/>
      </c>
    </row>
    <row r="10">
      <c r="A10" s="13" t="inlineStr">
        <is>
          <t>86800010005</t>
        </is>
      </c>
      <c r="B10" s="13" t="inlineStr">
        <is>
          <t>STK1005</t>
        </is>
      </c>
      <c r="C10" s="13" t="inlineStr">
        <is>
          <t>Ürün 5</t>
        </is>
      </c>
      <c r="D10" s="13" t="inlineStr">
        <is>
          <t>Süpermarket</t>
        </is>
      </c>
      <c r="E10" s="14" t="n">
        <v>235</v>
      </c>
      <c r="F10" s="14" t="n">
        <v>94</v>
      </c>
      <c r="G10" s="15" t="n">
        <v>2</v>
      </c>
      <c r="H10" s="16" t="n">
        <v>0.12</v>
      </c>
      <c r="I10" s="17">
        <f>IF($A10="","",IFERROR(SUMIF(tblKategoriKomisyon[Kategori],$D10,tblKategoriKomisyon[KomisyonOran]),0))</f>
        <v/>
      </c>
      <c r="J10" s="17">
        <f>IF($A10="","",ROUND($E10*$G10,2))</f>
        <v/>
      </c>
      <c r="K10" s="17">
        <f>IF($A10="","",ROUND($J10*$H10,2))</f>
        <v/>
      </c>
      <c r="L10" s="17">
        <f>IF($A10="","",1)</f>
        <v/>
      </c>
    </row>
    <row r="11">
      <c r="A11" s="13" t="inlineStr">
        <is>
          <t>86800010006</t>
        </is>
      </c>
      <c r="B11" s="13" t="inlineStr">
        <is>
          <t>STK1006</t>
        </is>
      </c>
      <c r="C11" s="13" t="inlineStr">
        <is>
          <t>Ürün 6</t>
        </is>
      </c>
      <c r="D11" s="13" t="inlineStr">
        <is>
          <t>Kitap</t>
        </is>
      </c>
      <c r="E11" s="14" t="n">
        <v>252</v>
      </c>
      <c r="F11" s="14" t="n">
        <v>108.36</v>
      </c>
      <c r="G11" s="15" t="n">
        <v>3</v>
      </c>
      <c r="H11" s="16" t="n">
        <v>0.12</v>
      </c>
      <c r="I11" s="17">
        <f>IF($A11="","",IFERROR(SUMIF(tblKategoriKomisyon[Kategori],$D11,tblKategoriKomisyon[KomisyonOran]),0))</f>
        <v/>
      </c>
      <c r="J11" s="17">
        <f>IF($A11="","",ROUND($E11*$G11,2))</f>
        <v/>
      </c>
      <c r="K11" s="17">
        <f>IF($A11="","",ROUND($J11*$H11,2))</f>
        <v/>
      </c>
      <c r="L11" s="17">
        <f>IF($A11="","",1)</f>
        <v/>
      </c>
    </row>
    <row r="12">
      <c r="A12" s="13" t="inlineStr">
        <is>
          <t>86800010</t>
        </is>
      </c>
      <c r="B12" s="13" t="inlineStr">
        <is>
          <t>STK1007</t>
        </is>
      </c>
      <c r="C12" s="13" t="inlineStr">
        <is>
          <t>Ürün 7</t>
        </is>
      </c>
      <c r="D12" s="13" t="inlineStr">
        <is>
          <t>Spor</t>
        </is>
      </c>
      <c r="E12" s="14" t="n">
        <v>269</v>
      </c>
      <c r="F12" s="14" t="n">
        <v>123.74</v>
      </c>
      <c r="G12" s="15" t="n">
        <v>4</v>
      </c>
      <c r="H12" s="16" t="n">
        <v>0.12</v>
      </c>
      <c r="I12" s="17">
        <f>IF($A12="","",IFERROR(SUMIF(tblKategoriKomisyon[Kategori],$D12,tblKategoriKomisyon[KomisyonOran]),0))</f>
        <v/>
      </c>
      <c r="J12" s="17">
        <f>IF($A12="","",ROUND($E12*$G12,2))</f>
        <v/>
      </c>
      <c r="K12" s="17">
        <f>IF($A12="","",ROUND($J12*$H12,2))</f>
        <v/>
      </c>
      <c r="L12" s="17">
        <f>IF($A12="","",1)</f>
        <v/>
      </c>
    </row>
    <row r="13">
      <c r="A13" s="13" t="inlineStr">
        <is>
          <t>86800010008</t>
        </is>
      </c>
      <c r="B13" s="13" t="inlineStr">
        <is>
          <t>STK1008</t>
        </is>
      </c>
      <c r="C13" s="13" t="inlineStr">
        <is>
          <t>Ürün 8</t>
        </is>
      </c>
      <c r="D13" s="13" t="inlineStr">
        <is>
          <t>Oyuncak</t>
        </is>
      </c>
      <c r="E13" s="14" t="n">
        <v>286</v>
      </c>
      <c r="F13" s="14" t="n">
        <v>140.14</v>
      </c>
      <c r="G13" s="15" t="n">
        <v>1</v>
      </c>
      <c r="H13" s="16" t="n">
        <v>0.12</v>
      </c>
      <c r="I13" s="17">
        <f>IF($A13="","",IFERROR(SUMIF(tblKategoriKomisyon[Kategori],$D13,tblKategoriKomisyon[KomisyonOran]),0))</f>
        <v/>
      </c>
      <c r="J13" s="17">
        <f>IF($A13="","",ROUND($E13*$G13,2))</f>
        <v/>
      </c>
      <c r="K13" s="17">
        <f>IF($A13="","",ROUND($J13*$H13,2))</f>
        <v/>
      </c>
      <c r="L13" s="17">
        <f>IF($A13="","",1)</f>
        <v/>
      </c>
    </row>
    <row r="14">
      <c r="A14" s="13" t="inlineStr">
        <is>
          <t>86800010009</t>
        </is>
      </c>
      <c r="B14" s="13" t="inlineStr">
        <is>
          <t>STK1009</t>
        </is>
      </c>
      <c r="C14" s="13" t="inlineStr">
        <is>
          <t>Ürün 9</t>
        </is>
      </c>
      <c r="D14" s="13" t="inlineStr">
        <is>
          <t>Ayakkabı</t>
        </is>
      </c>
      <c r="E14" s="14" t="n">
        <v>303</v>
      </c>
      <c r="F14" s="14" t="n">
        <v>157.56</v>
      </c>
      <c r="G14" s="15" t="n">
        <v>2</v>
      </c>
      <c r="H14" s="16" t="n">
        <v>0.12</v>
      </c>
      <c r="I14" s="17">
        <f>IF($A14="","",IFERROR(SUMIF(tblKategoriKomisyon[Kategori],$D14,tblKategoriKomisyon[KomisyonOran]),0))</f>
        <v/>
      </c>
      <c r="J14" s="17">
        <f>IF($A14="","",ROUND($E14*$G14,2))</f>
        <v/>
      </c>
      <c r="K14" s="17">
        <f>IF($A14="","",ROUND($J14*$H14,2))</f>
        <v/>
      </c>
      <c r="L14" s="17">
        <f>IF($A14="","",1)</f>
        <v/>
      </c>
    </row>
    <row r="15">
      <c r="A15" s="13" t="inlineStr">
        <is>
          <t>86800010010</t>
        </is>
      </c>
      <c r="B15" s="13" t="inlineStr">
        <is>
          <t>STK1010</t>
        </is>
      </c>
      <c r="C15" s="13" t="inlineStr">
        <is>
          <t>Ürün 10</t>
        </is>
      </c>
      <c r="D15" s="13" t="inlineStr">
        <is>
          <t>Aksesuar</t>
        </is>
      </c>
      <c r="E15" s="14" t="n">
        <v>320</v>
      </c>
      <c r="F15" s="14" t="n">
        <v>128</v>
      </c>
      <c r="G15" s="15" t="n">
        <v>3</v>
      </c>
      <c r="H15" s="16" t="n">
        <v>0.12</v>
      </c>
      <c r="I15" s="17">
        <f>IF($A15="","",IFERROR(SUMIF(tblKategoriKomisyon[Kategori],$D15,tblKategoriKomisyon[KomisyonOran]),0))</f>
        <v/>
      </c>
      <c r="J15" s="17">
        <f>IF($A15="","",ROUND($E15*$G15,2))</f>
        <v/>
      </c>
      <c r="K15" s="17">
        <f>IF($A15="","",ROUND($J15*$H15,2))</f>
        <v/>
      </c>
      <c r="L15" s="17">
        <f>IF($A15="","",1)</f>
        <v/>
      </c>
    </row>
    <row r="16">
      <c r="A16" s="13" t="inlineStr">
        <is>
          <t>86800010</t>
        </is>
      </c>
      <c r="B16" s="13" t="inlineStr">
        <is>
          <t>STK1011</t>
        </is>
      </c>
      <c r="C16" s="13" t="inlineStr">
        <is>
          <t>Ürün 11</t>
        </is>
      </c>
      <c r="D16" s="13" t="inlineStr">
        <is>
          <t>Elektronik</t>
        </is>
      </c>
      <c r="E16" s="14" t="n">
        <v>337</v>
      </c>
      <c r="F16" s="14" t="n">
        <v>144.91</v>
      </c>
      <c r="G16" s="15" t="n">
        <v>4</v>
      </c>
      <c r="H16" s="16" t="n">
        <v>0.12</v>
      </c>
      <c r="I16" s="17">
        <f>IF($A16="","",IFERROR(SUMIF(tblKategoriKomisyon[Kategori],$D16,tblKategoriKomisyon[KomisyonOran]),0))</f>
        <v/>
      </c>
      <c r="J16" s="17">
        <f>IF($A16="","",ROUND($E16*$G16,2))</f>
        <v/>
      </c>
      <c r="K16" s="17">
        <f>IF($A16="","",ROUND($J16*$H16,2))</f>
        <v/>
      </c>
      <c r="L16" s="17">
        <f>IF($A16="","",1)</f>
        <v/>
      </c>
    </row>
    <row r="17">
      <c r="A17" s="13" t="inlineStr">
        <is>
          <t>86800010012</t>
        </is>
      </c>
      <c r="B17" s="13" t="inlineStr">
        <is>
          <t>STK1012</t>
        </is>
      </c>
      <c r="C17" s="13" t="inlineStr">
        <is>
          <t>Ürün 12</t>
        </is>
      </c>
      <c r="D17" s="13" t="inlineStr">
        <is>
          <t>Giyim</t>
        </is>
      </c>
      <c r="E17" s="14" t="n">
        <v>354</v>
      </c>
      <c r="F17" s="14" t="n">
        <v>162.84</v>
      </c>
      <c r="G17" s="15" t="n">
        <v>1</v>
      </c>
      <c r="H17" s="16" t="n">
        <v>0.12</v>
      </c>
      <c r="I17" s="17">
        <f>IF($A17="","",IFERROR(SUMIF(tblKategoriKomisyon[Kategori],$D17,tblKategoriKomisyon[KomisyonOran]),0))</f>
        <v/>
      </c>
      <c r="J17" s="17">
        <f>IF($A17="","",ROUND($E17*$G17,2))</f>
        <v/>
      </c>
      <c r="K17" s="17">
        <f>IF($A17="","",ROUND($J17*$H17,2))</f>
        <v/>
      </c>
      <c r="L17" s="17">
        <f>IF($A17="","",1)</f>
        <v/>
      </c>
    </row>
    <row r="18">
      <c r="A18" s="13" t="inlineStr">
        <is>
          <t>86800010013</t>
        </is>
      </c>
      <c r="B18" s="13" t="inlineStr">
        <is>
          <t>STK1013</t>
        </is>
      </c>
      <c r="C18" s="13" t="inlineStr">
        <is>
          <t>Ürün 13</t>
        </is>
      </c>
      <c r="D18" s="13" t="inlineStr">
        <is>
          <t>Kozmetik</t>
        </is>
      </c>
      <c r="E18" s="14" t="n">
        <v>371</v>
      </c>
      <c r="F18" s="14" t="n">
        <v>181.79</v>
      </c>
      <c r="G18" s="15" t="n">
        <v>2</v>
      </c>
      <c r="H18" s="16" t="n">
        <v>0.12</v>
      </c>
      <c r="I18" s="17">
        <f>IF($A18="","",IFERROR(SUMIF(tblKategoriKomisyon[Kategori],$D18,tblKategoriKomisyon[KomisyonOran]),0))</f>
        <v/>
      </c>
      <c r="J18" s="17">
        <f>IF($A18="","",ROUND($E18*$G18,2))</f>
        <v/>
      </c>
      <c r="K18" s="17">
        <f>IF($A18="","",ROUND($J18*$H18,2))</f>
        <v/>
      </c>
      <c r="L18" s="17">
        <f>IF($A18="","",1)</f>
        <v/>
      </c>
    </row>
    <row r="19">
      <c r="A19" s="13" t="inlineStr">
        <is>
          <t>86800010014</t>
        </is>
      </c>
      <c r="B19" s="13" t="inlineStr">
        <is>
          <t>STK1014</t>
        </is>
      </c>
      <c r="C19" s="13" t="inlineStr">
        <is>
          <t>Ürün 14</t>
        </is>
      </c>
      <c r="D19" s="13" t="inlineStr">
        <is>
          <t>Ev Yaşam</t>
        </is>
      </c>
      <c r="E19" s="14" t="n">
        <v>388</v>
      </c>
      <c r="F19" s="14" t="n">
        <v>201.76</v>
      </c>
      <c r="G19" s="15" t="n">
        <v>3</v>
      </c>
      <c r="H19" s="16" t="n">
        <v>0.12</v>
      </c>
      <c r="I19" s="17">
        <f>IF($A19="","",IFERROR(SUMIF(tblKategoriKomisyon[Kategori],$D19,tblKategoriKomisyon[KomisyonOran]),0))</f>
        <v/>
      </c>
      <c r="J19" s="17">
        <f>IF($A19="","",ROUND($E19*$G19,2))</f>
        <v/>
      </c>
      <c r="K19" s="17">
        <f>IF($A19="","",ROUND($J19*$H19,2))</f>
        <v/>
      </c>
      <c r="L19" s="17">
        <f>IF($A19="","",1)</f>
        <v/>
      </c>
    </row>
    <row r="20">
      <c r="A20" s="13" t="inlineStr">
        <is>
          <t>86800010015X</t>
        </is>
      </c>
      <c r="B20" s="13" t="inlineStr">
        <is>
          <t>STK1015</t>
        </is>
      </c>
      <c r="C20" s="13" t="inlineStr">
        <is>
          <t>Ürün 15</t>
        </is>
      </c>
      <c r="D20" s="13" t="inlineStr">
        <is>
          <t>Süpermarket</t>
        </is>
      </c>
      <c r="E20" s="14" t="n">
        <v>405</v>
      </c>
      <c r="F20" s="14" t="n">
        <v>162</v>
      </c>
      <c r="G20" s="15" t="n">
        <v>4</v>
      </c>
      <c r="H20" s="16" t="n">
        <v>0.12</v>
      </c>
      <c r="I20" s="17">
        <f>IF($A20="","",IFERROR(SUMIF(tblKategoriKomisyon[Kategori],$D20,tblKategoriKomisyon[KomisyonOran]),0))</f>
        <v/>
      </c>
      <c r="J20" s="17">
        <f>IF($A20="","",ROUND($E20*$G20,2))</f>
        <v/>
      </c>
      <c r="K20" s="17">
        <f>IF($A20="","",ROUND($J20*$H20,2))</f>
        <v/>
      </c>
      <c r="L20" s="17">
        <f>IF($A20="","",1)</f>
        <v/>
      </c>
    </row>
    <row r="21">
      <c r="A21" s="13" t="inlineStr">
        <is>
          <t>86800010016</t>
        </is>
      </c>
      <c r="B21" s="13" t="inlineStr">
        <is>
          <t>STK1016</t>
        </is>
      </c>
      <c r="C21" s="13" t="inlineStr">
        <is>
          <t>Ürün 16</t>
        </is>
      </c>
      <c r="D21" s="13" t="inlineStr">
        <is>
          <t>Kitap</t>
        </is>
      </c>
      <c r="E21" s="14" t="n">
        <v>422</v>
      </c>
      <c r="F21" s="14" t="n">
        <v>181.46</v>
      </c>
      <c r="G21" s="15" t="n">
        <v>1</v>
      </c>
      <c r="H21" s="16" t="n">
        <v>0.12</v>
      </c>
      <c r="I21" s="17">
        <f>IF($A21="","",IFERROR(SUMIF(tblKategoriKomisyon[Kategori],$D21,tblKategoriKomisyon[KomisyonOran]),0))</f>
        <v/>
      </c>
      <c r="J21" s="17">
        <f>IF($A21="","",ROUND($E21*$G21,2))</f>
        <v/>
      </c>
      <c r="K21" s="17">
        <f>IF($A21="","",ROUND($J21*$H21,2))</f>
        <v/>
      </c>
      <c r="L21" s="17">
        <f>IF($A21="","",1)</f>
        <v/>
      </c>
    </row>
    <row r="22">
      <c r="A22" s="13" t="inlineStr">
        <is>
          <t>86800010017</t>
        </is>
      </c>
      <c r="B22" s="13" t="inlineStr">
        <is>
          <t>STK1017</t>
        </is>
      </c>
      <c r="C22" s="13" t="inlineStr">
        <is>
          <t>Ürün 17</t>
        </is>
      </c>
      <c r="D22" s="13" t="inlineStr">
        <is>
          <t>Spor</t>
        </is>
      </c>
      <c r="E22" s="14" t="n">
        <v>439</v>
      </c>
      <c r="F22" s="14" t="n">
        <v>201.94</v>
      </c>
      <c r="G22" s="15" t="n">
        <v>2</v>
      </c>
      <c r="H22" s="16" t="n">
        <v>0.12</v>
      </c>
      <c r="I22" s="17">
        <f>IF($A22="","",IFERROR(SUMIF(tblKategoriKomisyon[Kategori],$D22,tblKategoriKomisyon[KomisyonOran]),0))</f>
        <v/>
      </c>
      <c r="J22" s="17">
        <f>IF($A22="","",ROUND($E22*$G22,2))</f>
        <v/>
      </c>
      <c r="K22" s="17">
        <f>IF($A22="","",ROUND($J22*$H22,2))</f>
        <v/>
      </c>
      <c r="L22" s="17">
        <f>IF($A22="","",1)</f>
        <v/>
      </c>
    </row>
    <row r="23">
      <c r="A23" s="13" t="inlineStr">
        <is>
          <t>86800010018</t>
        </is>
      </c>
      <c r="B23" s="13" t="inlineStr">
        <is>
          <t>STK1018</t>
        </is>
      </c>
      <c r="C23" s="13" t="inlineStr">
        <is>
          <t>Ürün 18</t>
        </is>
      </c>
      <c r="D23" s="13" t="inlineStr">
        <is>
          <t>Oyuncak</t>
        </is>
      </c>
      <c r="E23" s="14" t="n">
        <v>456</v>
      </c>
      <c r="F23" s="14" t="n">
        <v>223.44</v>
      </c>
      <c r="G23" s="15" t="n">
        <v>3</v>
      </c>
      <c r="H23" s="16" t="n">
        <v>0.12</v>
      </c>
      <c r="I23" s="17">
        <f>IF($A23="","",IFERROR(SUMIF(tblKategoriKomisyon[Kategori],$D23,tblKategoriKomisyon[KomisyonOran]),0))</f>
        <v/>
      </c>
      <c r="J23" s="17">
        <f>IF($A23="","",ROUND($E23*$G23,2))</f>
        <v/>
      </c>
      <c r="K23" s="17">
        <f>IF($A23="","",ROUND($J23*$H23,2))</f>
        <v/>
      </c>
      <c r="L23" s="17">
        <f>IF($A23="","",1)</f>
        <v/>
      </c>
    </row>
    <row r="24">
      <c r="A24" s="13" t="inlineStr">
        <is>
          <t>86800010019</t>
        </is>
      </c>
      <c r="B24" s="13" t="inlineStr">
        <is>
          <t>STK1019</t>
        </is>
      </c>
      <c r="C24" s="13" t="inlineStr">
        <is>
          <t>Ürün 19</t>
        </is>
      </c>
      <c r="D24" s="13" t="inlineStr">
        <is>
          <t>Ayakkabı</t>
        </is>
      </c>
      <c r="E24" s="14" t="n">
        <v>473</v>
      </c>
      <c r="F24" s="14" t="n">
        <v>245.96</v>
      </c>
      <c r="G24" s="15" t="n">
        <v>4</v>
      </c>
      <c r="H24" s="16" t="n">
        <v>0.12</v>
      </c>
      <c r="I24" s="17">
        <f>IF($A24="","",IFERROR(SUMIF(tblKategoriKomisyon[Kategori],$D24,tblKategoriKomisyon[KomisyonOran]),0))</f>
        <v/>
      </c>
      <c r="J24" s="17">
        <f>IF($A24="","",ROUND($E24*$G24,2))</f>
        <v/>
      </c>
      <c r="K24" s="17">
        <f>IF($A24="","",ROUND($J24*$H24,2))</f>
        <v/>
      </c>
      <c r="L24" s="17">
        <f>IF($A24="","",1)</f>
        <v/>
      </c>
    </row>
    <row r="25">
      <c r="A25" s="13" t="inlineStr">
        <is>
          <t>86800010020</t>
        </is>
      </c>
      <c r="B25" s="13" t="inlineStr">
        <is>
          <t>STK1020</t>
        </is>
      </c>
      <c r="C25" s="13" t="inlineStr">
        <is>
          <t>Ürün 20</t>
        </is>
      </c>
      <c r="D25" s="13" t="inlineStr">
        <is>
          <t>Aksesuar</t>
        </is>
      </c>
      <c r="E25" s="14" t="n">
        <v>490</v>
      </c>
      <c r="F25" s="14" t="n">
        <v>196</v>
      </c>
      <c r="G25" s="15" t="n">
        <v>1</v>
      </c>
      <c r="H25" s="16" t="n">
        <v>0.12</v>
      </c>
      <c r="I25" s="17">
        <f>IF($A25="","",IFERROR(SUMIF(tblKategoriKomisyon[Kategori],$D25,tblKategoriKomisyon[KomisyonOran]),0))</f>
        <v/>
      </c>
      <c r="J25" s="17">
        <f>IF($A25="","",ROUND($E25*$G25,2))</f>
        <v/>
      </c>
      <c r="K25" s="17">
        <f>IF($A25="","",ROUND($J25*$H25,2))</f>
        <v/>
      </c>
      <c r="L25" s="17">
        <f>IF($A25="","",1)</f>
        <v/>
      </c>
    </row>
    <row r="26">
      <c r="A26" s="13" t="inlineStr">
        <is>
          <t>86800010021</t>
        </is>
      </c>
      <c r="B26" s="13" t="inlineStr">
        <is>
          <t>STK1021</t>
        </is>
      </c>
      <c r="C26" s="13" t="inlineStr">
        <is>
          <t>Ürün 21</t>
        </is>
      </c>
      <c r="D26" s="13" t="inlineStr">
        <is>
          <t>Elektronik</t>
        </is>
      </c>
      <c r="E26" s="14" t="n">
        <v>507</v>
      </c>
      <c r="F26" s="14" t="n">
        <v>218.01</v>
      </c>
      <c r="G26" s="15" t="n">
        <v>2</v>
      </c>
      <c r="H26" s="16" t="n">
        <v>0.12</v>
      </c>
      <c r="I26" s="17">
        <f>IF($A26="","",IFERROR(SUMIF(tblKategoriKomisyon[Kategori],$D26,tblKategoriKomisyon[KomisyonOran]),0))</f>
        <v/>
      </c>
      <c r="J26" s="17">
        <f>IF($A26="","",ROUND($E26*$G26,2))</f>
        <v/>
      </c>
      <c r="K26" s="17">
        <f>IF($A26="","",ROUND($J26*$H26,2))</f>
        <v/>
      </c>
      <c r="L26" s="17">
        <f>IF($A26="","",1)</f>
        <v/>
      </c>
    </row>
    <row r="27">
      <c r="A27" s="13" t="inlineStr">
        <is>
          <t>86800010022</t>
        </is>
      </c>
      <c r="B27" s="13" t="inlineStr">
        <is>
          <t>STK1022</t>
        </is>
      </c>
      <c r="C27" s="13" t="inlineStr">
        <is>
          <t>Ürün 22</t>
        </is>
      </c>
      <c r="D27" s="13" t="inlineStr">
        <is>
          <t>Giyim</t>
        </is>
      </c>
      <c r="E27" s="14" t="n">
        <v>524</v>
      </c>
      <c r="F27" s="14" t="n">
        <v>241.04</v>
      </c>
      <c r="G27" s="15" t="n">
        <v>3</v>
      </c>
      <c r="H27" s="16" t="n">
        <v>0.12</v>
      </c>
      <c r="I27" s="17">
        <f>IF($A27="","",IFERROR(SUMIF(tblKategoriKomisyon[Kategori],$D27,tblKategoriKomisyon[KomisyonOran]),0))</f>
        <v/>
      </c>
      <c r="J27" s="17">
        <f>IF($A27="","",ROUND($E27*$G27,2))</f>
        <v/>
      </c>
      <c r="K27" s="17">
        <f>IF($A27="","",ROUND($J27*$H27,2))</f>
        <v/>
      </c>
      <c r="L27" s="17">
        <f>IF($A27="","",1)</f>
        <v/>
      </c>
    </row>
    <row r="28">
      <c r="A28" s="13" t="inlineStr">
        <is>
          <t>86800010023</t>
        </is>
      </c>
      <c r="B28" s="13" t="inlineStr">
        <is>
          <t>STK1023</t>
        </is>
      </c>
      <c r="C28" s="13" t="inlineStr">
        <is>
          <t>Ürün 23</t>
        </is>
      </c>
      <c r="D28" s="13" t="inlineStr">
        <is>
          <t>Kozmetik</t>
        </is>
      </c>
      <c r="E28" s="14" t="n">
        <v>541</v>
      </c>
      <c r="F28" s="14" t="n">
        <v>265.09</v>
      </c>
      <c r="G28" s="15" t="n">
        <v>4</v>
      </c>
      <c r="H28" s="16" t="n">
        <v>0.12</v>
      </c>
      <c r="I28" s="17">
        <f>IF($A28="","",IFERROR(SUMIF(tblKategoriKomisyon[Kategori],$D28,tblKategoriKomisyon[KomisyonOran]),0))</f>
        <v/>
      </c>
      <c r="J28" s="17">
        <f>IF($A28="","",ROUND($E28*$G28,2))</f>
        <v/>
      </c>
      <c r="K28" s="17">
        <f>IF($A28="","",ROUND($J28*$H28,2))</f>
        <v/>
      </c>
      <c r="L28" s="17">
        <f>IF($A28="","",1)</f>
        <v/>
      </c>
    </row>
    <row r="29">
      <c r="A29" s="13" t="inlineStr">
        <is>
          <t>86800010024</t>
        </is>
      </c>
      <c r="B29" s="13" t="inlineStr">
        <is>
          <t>STK1024</t>
        </is>
      </c>
      <c r="C29" s="13" t="inlineStr">
        <is>
          <t>Ürün 24</t>
        </is>
      </c>
      <c r="D29" s="13" t="inlineStr">
        <is>
          <t>Ev Yaşam</t>
        </is>
      </c>
      <c r="E29" s="14" t="n">
        <v>558</v>
      </c>
      <c r="F29" s="14" t="n">
        <v>290.16</v>
      </c>
      <c r="G29" s="15" t="n">
        <v>1</v>
      </c>
      <c r="H29" s="16" t="n">
        <v>0.12</v>
      </c>
      <c r="I29" s="17">
        <f>IF($A29="","",IFERROR(SUMIF(tblKategoriKomisyon[Kategori],$D29,tblKategoriKomisyon[KomisyonOran]),0))</f>
        <v/>
      </c>
      <c r="J29" s="17">
        <f>IF($A29="","",ROUND($E29*$G29,2))</f>
        <v/>
      </c>
      <c r="K29" s="17">
        <f>IF($A29="","",ROUND($J29*$H29,2))</f>
        <v/>
      </c>
      <c r="L29" s="17">
        <f>IF($A29="","",1)</f>
        <v/>
      </c>
    </row>
    <row r="30">
      <c r="A30" s="13" t="inlineStr">
        <is>
          <t>86800010025</t>
        </is>
      </c>
      <c r="B30" s="13" t="inlineStr">
        <is>
          <t>STK1025</t>
        </is>
      </c>
      <c r="C30" s="13" t="inlineStr">
        <is>
          <t>Ürün 25</t>
        </is>
      </c>
      <c r="D30" s="13" t="inlineStr">
        <is>
          <t>Süpermarket</t>
        </is>
      </c>
      <c r="E30" s="14" t="n">
        <v>575</v>
      </c>
      <c r="F30" s="14" t="n">
        <v>230</v>
      </c>
      <c r="G30" s="15" t="n">
        <v>2</v>
      </c>
      <c r="H30" s="16" t="n">
        <v>0.12</v>
      </c>
      <c r="I30" s="17">
        <f>IF($A30="","",IFERROR(SUMIF(tblKategoriKomisyon[Kategori],$D30,tblKategoriKomisyon[KomisyonOran]),0))</f>
        <v/>
      </c>
      <c r="J30" s="17">
        <f>IF($A30="","",ROUND($E30*$G30,2))</f>
        <v/>
      </c>
      <c r="K30" s="17">
        <f>IF($A30="","",ROUND($J30*$H30,2))</f>
        <v/>
      </c>
      <c r="L30" s="17">
        <f>IF($A30="","",1)</f>
        <v/>
      </c>
    </row>
    <row r="31">
      <c r="A31" s="13" t="inlineStr">
        <is>
          <t>86800010026</t>
        </is>
      </c>
      <c r="B31" s="13" t="inlineStr">
        <is>
          <t>STK1026</t>
        </is>
      </c>
      <c r="C31" s="13" t="inlineStr">
        <is>
          <t>Ürün 26</t>
        </is>
      </c>
      <c r="D31" s="13" t="inlineStr">
        <is>
          <t>Kitap</t>
        </is>
      </c>
      <c r="E31" s="14" t="n">
        <v>592</v>
      </c>
      <c r="F31" s="14" t="n">
        <v>254.56</v>
      </c>
      <c r="G31" s="15" t="n">
        <v>3</v>
      </c>
      <c r="H31" s="16" t="n">
        <v>0.12</v>
      </c>
      <c r="I31" s="17">
        <f>IF($A31="","",IFERROR(SUMIF(tblKategoriKomisyon[Kategori],$D31,tblKategoriKomisyon[KomisyonOran]),0))</f>
        <v/>
      </c>
      <c r="J31" s="17">
        <f>IF($A31="","",ROUND($E31*$G31,2))</f>
        <v/>
      </c>
      <c r="K31" s="17">
        <f>IF($A31="","",ROUND($J31*$H31,2))</f>
        <v/>
      </c>
      <c r="L31" s="17">
        <f>IF($A31="","",1)</f>
        <v/>
      </c>
    </row>
    <row r="32">
      <c r="A32" s="13" t="inlineStr">
        <is>
          <t>86800010027</t>
        </is>
      </c>
      <c r="B32" s="13" t="inlineStr">
        <is>
          <t>STK1027</t>
        </is>
      </c>
      <c r="C32" s="13" t="inlineStr">
        <is>
          <t>Ürün 27</t>
        </is>
      </c>
      <c r="D32" s="13" t="inlineStr">
        <is>
          <t>Spor</t>
        </is>
      </c>
      <c r="E32" s="14" t="n">
        <v>609</v>
      </c>
      <c r="F32" s="14" t="n">
        <v>280.14</v>
      </c>
      <c r="G32" s="15" t="n">
        <v>4</v>
      </c>
      <c r="H32" s="16" t="n">
        <v>0.12</v>
      </c>
      <c r="I32" s="17">
        <f>IF($A32="","",IFERROR(SUMIF(tblKategoriKomisyon[Kategori],$D32,tblKategoriKomisyon[KomisyonOran]),0))</f>
        <v/>
      </c>
      <c r="J32" s="17">
        <f>IF($A32="","",ROUND($E32*$G32,2))</f>
        <v/>
      </c>
      <c r="K32" s="17">
        <f>IF($A32="","",ROUND($J32*$H32,2))</f>
        <v/>
      </c>
      <c r="L32" s="17">
        <f>IF($A32="","",1)</f>
        <v/>
      </c>
    </row>
    <row r="33">
      <c r="A33" s="13" t="inlineStr">
        <is>
          <t>86800010028</t>
        </is>
      </c>
      <c r="B33" s="13" t="inlineStr">
        <is>
          <t>STK1028</t>
        </is>
      </c>
      <c r="C33" s="13" t="inlineStr">
        <is>
          <t>Ürün 28</t>
        </is>
      </c>
      <c r="D33" s="13" t="inlineStr">
        <is>
          <t>Oyuncak</t>
        </is>
      </c>
      <c r="E33" s="14" t="n">
        <v>626</v>
      </c>
      <c r="F33" s="14" t="n">
        <v>306.74</v>
      </c>
      <c r="G33" s="15" t="n">
        <v>1</v>
      </c>
      <c r="H33" s="16" t="n">
        <v>0.12</v>
      </c>
      <c r="I33" s="17">
        <f>IF($A33="","",IFERROR(SUMIF(tblKategoriKomisyon[Kategori],$D33,tblKategoriKomisyon[KomisyonOran]),0))</f>
        <v/>
      </c>
      <c r="J33" s="17">
        <f>IF($A33="","",ROUND($E33*$G33,2))</f>
        <v/>
      </c>
      <c r="K33" s="17">
        <f>IF($A33="","",ROUND($J33*$H33,2))</f>
        <v/>
      </c>
      <c r="L33" s="17">
        <f>IF($A33="","",1)</f>
        <v/>
      </c>
    </row>
    <row r="34">
      <c r="A34" s="13" t="inlineStr">
        <is>
          <t>86800010029</t>
        </is>
      </c>
      <c r="B34" s="13" t="inlineStr">
        <is>
          <t>STK1029</t>
        </is>
      </c>
      <c r="C34" s="13" t="inlineStr">
        <is>
          <t>Ürün 29</t>
        </is>
      </c>
      <c r="D34" s="13" t="inlineStr">
        <is>
          <t>Ayakkabı</t>
        </is>
      </c>
      <c r="E34" s="14" t="n">
        <v>643</v>
      </c>
      <c r="F34" s="14" t="n">
        <v>334.36</v>
      </c>
      <c r="G34" s="15" t="n">
        <v>2</v>
      </c>
      <c r="H34" s="16" t="n">
        <v>0.12</v>
      </c>
      <c r="I34" s="17">
        <f>IF($A34="","",IFERROR(SUMIF(tblKategoriKomisyon[Kategori],$D34,tblKategoriKomisyon[KomisyonOran]),0))</f>
        <v/>
      </c>
      <c r="J34" s="17">
        <f>IF($A34="","",ROUND($E34*$G34,2))</f>
        <v/>
      </c>
      <c r="K34" s="17">
        <f>IF($A34="","",ROUND($J34*$H34,2))</f>
        <v/>
      </c>
      <c r="L34" s="17">
        <f>IF($A34="","",1)</f>
        <v/>
      </c>
    </row>
    <row r="35">
      <c r="A35" s="13" t="inlineStr">
        <is>
          <t>86800010030</t>
        </is>
      </c>
      <c r="B35" s="13" t="inlineStr">
        <is>
          <t>STK1030</t>
        </is>
      </c>
      <c r="C35" s="13" t="inlineStr">
        <is>
          <t>Ürün 30</t>
        </is>
      </c>
      <c r="D35" s="13" t="inlineStr">
        <is>
          <t>Aksesuar</t>
        </is>
      </c>
      <c r="E35" s="14" t="n">
        <v>660</v>
      </c>
      <c r="F35" s="14" t="n">
        <v>264</v>
      </c>
      <c r="G35" s="15" t="n">
        <v>3</v>
      </c>
      <c r="H35" s="16" t="n">
        <v>0.12</v>
      </c>
      <c r="I35" s="17">
        <f>IF($A35="","",IFERROR(SUMIF(tblKategoriKomisyon[Kategori],$D35,tblKategoriKomisyon[KomisyonOran]),0))</f>
        <v/>
      </c>
      <c r="J35" s="17">
        <f>IF($A35="","",ROUND($E35*$G35,2))</f>
        <v/>
      </c>
      <c r="K35" s="17">
        <f>IF($A35="","",ROUND($J35*$H35,2))</f>
        <v/>
      </c>
      <c r="L35" s="17">
        <f>IF($A35="","",1)</f>
        <v/>
      </c>
    </row>
    <row r="36">
      <c r="A36" s="13" t="inlineStr">
        <is>
          <t>86800010031</t>
        </is>
      </c>
      <c r="B36" s="13" t="inlineStr">
        <is>
          <t>STK1031</t>
        </is>
      </c>
      <c r="C36" s="13" t="inlineStr">
        <is>
          <t>Ürün 31</t>
        </is>
      </c>
      <c r="D36" s="13" t="inlineStr">
        <is>
          <t>Elektronik</t>
        </is>
      </c>
      <c r="E36" s="14" t="n">
        <v>677</v>
      </c>
      <c r="F36" s="14" t="n">
        <v>291.11</v>
      </c>
      <c r="G36" s="15" t="n">
        <v>4</v>
      </c>
      <c r="H36" s="16" t="n">
        <v>0.12</v>
      </c>
      <c r="I36" s="17">
        <f>IF($A36="","",IFERROR(SUMIF(tblKategoriKomisyon[Kategori],$D36,tblKategoriKomisyon[KomisyonOran]),0))</f>
        <v/>
      </c>
      <c r="J36" s="17">
        <f>IF($A36="","",ROUND($E36*$G36,2))</f>
        <v/>
      </c>
      <c r="K36" s="17">
        <f>IF($A36="","",ROUND($J36*$H36,2))</f>
        <v/>
      </c>
      <c r="L36" s="17">
        <f>IF($A36="","",1)</f>
        <v/>
      </c>
    </row>
    <row r="37">
      <c r="A37" s="13" t="inlineStr">
        <is>
          <t>86800010032</t>
        </is>
      </c>
      <c r="B37" s="13" t="inlineStr">
        <is>
          <t>STK1032</t>
        </is>
      </c>
      <c r="C37" s="13" t="inlineStr">
        <is>
          <t>Ürün 32</t>
        </is>
      </c>
      <c r="D37" s="13" t="inlineStr">
        <is>
          <t>Giyim</t>
        </is>
      </c>
      <c r="E37" s="14" t="n">
        <v>694</v>
      </c>
      <c r="F37" s="14" t="n">
        <v>319.24</v>
      </c>
      <c r="G37" s="15" t="n">
        <v>1</v>
      </c>
      <c r="H37" s="16" t="n">
        <v>0.12</v>
      </c>
      <c r="I37" s="17">
        <f>IF($A37="","",IFERROR(SUMIF(tblKategoriKomisyon[Kategori],$D37,tblKategoriKomisyon[KomisyonOran]),0))</f>
        <v/>
      </c>
      <c r="J37" s="17">
        <f>IF($A37="","",ROUND($E37*$G37,2))</f>
        <v/>
      </c>
      <c r="K37" s="17">
        <f>IF($A37="","",ROUND($J37*$H37,2))</f>
        <v/>
      </c>
      <c r="L37" s="17">
        <f>IF($A37="","",1)</f>
        <v/>
      </c>
    </row>
    <row r="38">
      <c r="A38" s="13" t="inlineStr">
        <is>
          <t>86800010033</t>
        </is>
      </c>
      <c r="B38" s="13" t="inlineStr">
        <is>
          <t>STK1033</t>
        </is>
      </c>
      <c r="C38" s="13" t="inlineStr">
        <is>
          <t>Ürün 33</t>
        </is>
      </c>
      <c r="D38" s="13" t="inlineStr">
        <is>
          <t>Kozmetik</t>
        </is>
      </c>
      <c r="E38" s="14" t="n">
        <v>711</v>
      </c>
      <c r="F38" s="14" t="n">
        <v>348.39</v>
      </c>
      <c r="G38" s="15" t="n">
        <v>2</v>
      </c>
      <c r="H38" s="16" t="n">
        <v>0.12</v>
      </c>
      <c r="I38" s="17">
        <f>IF($A38="","",IFERROR(SUMIF(tblKategoriKomisyon[Kategori],$D38,tblKategoriKomisyon[KomisyonOran]),0))</f>
        <v/>
      </c>
      <c r="J38" s="17">
        <f>IF($A38="","",ROUND($E38*$G38,2))</f>
        <v/>
      </c>
      <c r="K38" s="17">
        <f>IF($A38="","",ROUND($J38*$H38,2))</f>
        <v/>
      </c>
      <c r="L38" s="17">
        <f>IF($A38="","",1)</f>
        <v/>
      </c>
    </row>
    <row r="39">
      <c r="A39" s="13" t="inlineStr">
        <is>
          <t>86800010034</t>
        </is>
      </c>
      <c r="B39" s="13" t="inlineStr">
        <is>
          <t>STK1034</t>
        </is>
      </c>
      <c r="C39" s="13" t="inlineStr">
        <is>
          <t>Ürün 34</t>
        </is>
      </c>
      <c r="D39" s="13" t="inlineStr">
        <is>
          <t>Ev Yaşam</t>
        </is>
      </c>
      <c r="E39" s="14" t="n">
        <v>728</v>
      </c>
      <c r="F39" s="14" t="n">
        <v>378.56</v>
      </c>
      <c r="G39" s="15" t="n">
        <v>3</v>
      </c>
      <c r="H39" s="16" t="n">
        <v>0.12</v>
      </c>
      <c r="I39" s="17">
        <f>IF($A39="","",IFERROR(SUMIF(tblKategoriKomisyon[Kategori],$D39,tblKategoriKomisyon[KomisyonOran]),0))</f>
        <v/>
      </c>
      <c r="J39" s="17">
        <f>IF($A39="","",ROUND($E39*$G39,2))</f>
        <v/>
      </c>
      <c r="K39" s="17">
        <f>IF($A39="","",ROUND($J39*$H39,2))</f>
        <v/>
      </c>
      <c r="L39" s="17">
        <f>IF($A39="","",1)</f>
        <v/>
      </c>
    </row>
    <row r="40">
      <c r="A40" s="13" t="inlineStr">
        <is>
          <t>86800010035</t>
        </is>
      </c>
      <c r="B40" s="13" t="inlineStr">
        <is>
          <t>STK1035</t>
        </is>
      </c>
      <c r="C40" s="13" t="inlineStr">
        <is>
          <t>Ürün 35</t>
        </is>
      </c>
      <c r="D40" s="13" t="inlineStr">
        <is>
          <t>Süpermarket</t>
        </is>
      </c>
      <c r="E40" s="14" t="n">
        <v>745</v>
      </c>
      <c r="F40" s="14" t="n">
        <v>298</v>
      </c>
      <c r="G40" s="15" t="n">
        <v>4</v>
      </c>
      <c r="H40" s="16" t="n">
        <v>0.12</v>
      </c>
      <c r="I40" s="17">
        <f>IF($A40="","",IFERROR(SUMIF(tblKategoriKomisyon[Kategori],$D40,tblKategoriKomisyon[KomisyonOran]),0))</f>
        <v/>
      </c>
      <c r="J40" s="17">
        <f>IF($A40="","",ROUND($E40*$G40,2))</f>
        <v/>
      </c>
      <c r="K40" s="17">
        <f>IF($A40="","",ROUND($J40*$H40,2))</f>
        <v/>
      </c>
      <c r="L40" s="17">
        <f>IF($A40="","",1)</f>
        <v/>
      </c>
    </row>
    <row r="41">
      <c r="A41" s="13" t="n"/>
      <c r="B41" s="13" t="n"/>
      <c r="C41" s="13" t="n"/>
      <c r="D41" s="13" t="n"/>
      <c r="E41" s="14" t="n"/>
      <c r="F41" s="14" t="n"/>
      <c r="G41" s="15" t="n"/>
      <c r="H41" s="16" t="n"/>
      <c r="I41" s="17">
        <f>IF($A41="","",IFERROR(SUMIF(tblKategoriKomisyon[Kategori],$D41,tblKategoriKomisyon[KomisyonOran]),0))</f>
        <v/>
      </c>
      <c r="J41" s="17">
        <f>IF($A41="","",ROUND($E41*$G41,2))</f>
        <v/>
      </c>
      <c r="K41" s="17">
        <f>IF($A41="","",ROUND($J41*$H41,2))</f>
        <v/>
      </c>
      <c r="L41" s="17">
        <f>IF($A41="","",1)</f>
        <v/>
      </c>
    </row>
    <row r="42">
      <c r="A42" s="13" t="n"/>
      <c r="B42" s="13" t="n"/>
      <c r="C42" s="13" t="n"/>
      <c r="D42" s="13" t="n"/>
      <c r="E42" s="14" t="n"/>
      <c r="F42" s="14" t="n"/>
      <c r="G42" s="15" t="n"/>
      <c r="H42" s="16" t="n"/>
      <c r="I42" s="17">
        <f>IF($A42="","",IFERROR(SUMIF(tblKategoriKomisyon[Kategori],$D42,tblKategoriKomisyon[KomisyonOran]),0))</f>
        <v/>
      </c>
      <c r="J42" s="17">
        <f>IF($A42="","",ROUND($E42*$G42,2))</f>
        <v/>
      </c>
      <c r="K42" s="17">
        <f>IF($A42="","",ROUND($J42*$H42,2))</f>
        <v/>
      </c>
      <c r="L42" s="17">
        <f>IF($A42="","",1)</f>
        <v/>
      </c>
    </row>
    <row r="43">
      <c r="A43" s="13" t="n"/>
      <c r="B43" s="13" t="n"/>
      <c r="C43" s="13" t="n"/>
      <c r="D43" s="13" t="n"/>
      <c r="E43" s="14" t="n"/>
      <c r="F43" s="14" t="n"/>
      <c r="G43" s="15" t="n"/>
      <c r="H43" s="16" t="n"/>
      <c r="I43" s="17">
        <f>IF($A43="","",IFERROR(SUMIF(tblKategoriKomisyon[Kategori],$D43,tblKategoriKomisyon[KomisyonOran]),0))</f>
        <v/>
      </c>
      <c r="J43" s="17">
        <f>IF($A43="","",ROUND($E43*$G43,2))</f>
        <v/>
      </c>
      <c r="K43" s="17">
        <f>IF($A43="","",ROUND($J43*$H43,2))</f>
        <v/>
      </c>
      <c r="L43" s="17">
        <f>IF($A43="","",1)</f>
        <v/>
      </c>
    </row>
    <row r="44">
      <c r="A44" s="13" t="n"/>
      <c r="B44" s="13" t="n"/>
      <c r="C44" s="13" t="n"/>
      <c r="D44" s="13" t="n"/>
      <c r="E44" s="14" t="n"/>
      <c r="F44" s="14" t="n"/>
      <c r="G44" s="15" t="n"/>
      <c r="H44" s="16" t="n"/>
      <c r="I44" s="17">
        <f>IF($A44="","",IFERROR(SUMIF(tblKategoriKomisyon[Kategori],$D44,tblKategoriKomisyon[KomisyonOran]),0))</f>
        <v/>
      </c>
      <c r="J44" s="17">
        <f>IF($A44="","",ROUND($E44*$G44,2))</f>
        <v/>
      </c>
      <c r="K44" s="17">
        <f>IF($A44="","",ROUND($J44*$H44,2))</f>
        <v/>
      </c>
      <c r="L44" s="17">
        <f>IF($A44="","",1)</f>
        <v/>
      </c>
    </row>
    <row r="45">
      <c r="A45" s="13" t="n"/>
      <c r="B45" s="13" t="n"/>
      <c r="C45" s="13" t="n"/>
      <c r="D45" s="13" t="n"/>
      <c r="E45" s="14" t="n"/>
      <c r="F45" s="14" t="n"/>
      <c r="G45" s="15" t="n"/>
      <c r="H45" s="16" t="n"/>
      <c r="I45" s="17">
        <f>IF($A45="","",IFERROR(SUMIF(tblKategoriKomisyon[Kategori],$D45,tblKategoriKomisyon[KomisyonOran]),0))</f>
        <v/>
      </c>
      <c r="J45" s="17">
        <f>IF($A45="","",ROUND($E45*$G45,2))</f>
        <v/>
      </c>
      <c r="K45" s="17">
        <f>IF($A45="","",ROUND($J45*$H45,2))</f>
        <v/>
      </c>
      <c r="L45" s="17">
        <f>IF($A45="","",1)</f>
        <v/>
      </c>
    </row>
    <row r="46">
      <c r="A46" s="13" t="n"/>
      <c r="B46" s="13" t="n"/>
      <c r="C46" s="13" t="n"/>
      <c r="D46" s="13" t="n"/>
      <c r="E46" s="14" t="n"/>
      <c r="F46" s="14" t="n"/>
      <c r="G46" s="15" t="n"/>
      <c r="H46" s="16" t="n"/>
      <c r="I46" s="17">
        <f>IF($A46="","",IFERROR(SUMIF(tblKategoriKomisyon[Kategori],$D46,tblKategoriKomisyon[KomisyonOran]),0))</f>
        <v/>
      </c>
      <c r="J46" s="17">
        <f>IF($A46="","",ROUND($E46*$G46,2))</f>
        <v/>
      </c>
      <c r="K46" s="17">
        <f>IF($A46="","",ROUND($J46*$H46,2))</f>
        <v/>
      </c>
      <c r="L46" s="17">
        <f>IF($A46="","",1)</f>
        <v/>
      </c>
    </row>
    <row r="47">
      <c r="A47" s="13" t="n"/>
      <c r="B47" s="13" t="n"/>
      <c r="C47" s="13" t="n"/>
      <c r="D47" s="13" t="n"/>
      <c r="E47" s="14" t="n"/>
      <c r="F47" s="14" t="n"/>
      <c r="G47" s="15" t="n"/>
      <c r="H47" s="16" t="n"/>
      <c r="I47" s="17">
        <f>IF($A47="","",IFERROR(SUMIF(tblKategoriKomisyon[Kategori],$D47,tblKategoriKomisyon[KomisyonOran]),0))</f>
        <v/>
      </c>
      <c r="J47" s="17">
        <f>IF($A47="","",ROUND($E47*$G47,2))</f>
        <v/>
      </c>
      <c r="K47" s="17">
        <f>IF($A47="","",ROUND($J47*$H47,2))</f>
        <v/>
      </c>
      <c r="L47" s="17">
        <f>IF($A47="","",1)</f>
        <v/>
      </c>
    </row>
    <row r="48">
      <c r="A48" s="13" t="n"/>
      <c r="B48" s="13" t="n"/>
      <c r="C48" s="13" t="n"/>
      <c r="D48" s="13" t="n"/>
      <c r="E48" s="14" t="n"/>
      <c r="F48" s="14" t="n"/>
      <c r="G48" s="15" t="n"/>
      <c r="H48" s="16" t="n"/>
      <c r="I48" s="17">
        <f>IF($A48="","",IFERROR(SUMIF(tblKategoriKomisyon[Kategori],$D48,tblKategoriKomisyon[KomisyonOran]),0))</f>
        <v/>
      </c>
      <c r="J48" s="17">
        <f>IF($A48="","",ROUND($E48*$G48,2))</f>
        <v/>
      </c>
      <c r="K48" s="17">
        <f>IF($A48="","",ROUND($J48*$H48,2))</f>
        <v/>
      </c>
      <c r="L48" s="17">
        <f>IF($A48="","",1)</f>
        <v/>
      </c>
    </row>
    <row r="49">
      <c r="A49" s="13" t="n"/>
      <c r="B49" s="13" t="n"/>
      <c r="C49" s="13" t="n"/>
      <c r="D49" s="13" t="n"/>
      <c r="E49" s="14" t="n"/>
      <c r="F49" s="14" t="n"/>
      <c r="G49" s="15" t="n"/>
      <c r="H49" s="16" t="n"/>
      <c r="I49" s="17">
        <f>IF($A49="","",IFERROR(SUMIF(tblKategoriKomisyon[Kategori],$D49,tblKategoriKomisyon[KomisyonOran]),0))</f>
        <v/>
      </c>
      <c r="J49" s="17">
        <f>IF($A49="","",ROUND($E49*$G49,2))</f>
        <v/>
      </c>
      <c r="K49" s="17">
        <f>IF($A49="","",ROUND($J49*$H49,2))</f>
        <v/>
      </c>
      <c r="L49" s="17">
        <f>IF($A49="","",1)</f>
        <v/>
      </c>
    </row>
    <row r="50">
      <c r="A50" s="13" t="n"/>
      <c r="B50" s="13" t="n"/>
      <c r="C50" s="13" t="n"/>
      <c r="D50" s="13" t="n"/>
      <c r="E50" s="14" t="n"/>
      <c r="F50" s="14" t="n"/>
      <c r="G50" s="15" t="n"/>
      <c r="H50" s="16" t="n"/>
      <c r="I50" s="17">
        <f>IF($A50="","",IFERROR(SUMIF(tblKategoriKomisyon[Kategori],$D50,tblKategoriKomisyon[KomisyonOran]),0))</f>
        <v/>
      </c>
      <c r="J50" s="17">
        <f>IF($A50="","",ROUND($E50*$G50,2))</f>
        <v/>
      </c>
      <c r="K50" s="17">
        <f>IF($A50="","",ROUND($J50*$H50,2))</f>
        <v/>
      </c>
      <c r="L50" s="17">
        <f>IF($A50="","",1)</f>
        <v/>
      </c>
    </row>
    <row r="51">
      <c r="A51" s="13" t="n"/>
      <c r="B51" s="13" t="n"/>
      <c r="C51" s="13" t="n"/>
      <c r="D51" s="13" t="n"/>
      <c r="E51" s="14" t="n"/>
      <c r="F51" s="14" t="n"/>
      <c r="G51" s="15" t="n"/>
      <c r="H51" s="16" t="n"/>
      <c r="I51" s="17">
        <f>IF($A51="","",IFERROR(SUMIF(tblKategoriKomisyon[Kategori],$D51,tblKategoriKomisyon[KomisyonOran]),0))</f>
        <v/>
      </c>
      <c r="J51" s="17">
        <f>IF($A51="","",ROUND($E51*$G51,2))</f>
        <v/>
      </c>
      <c r="K51" s="17">
        <f>IF($A51="","",ROUND($J51*$H51,2))</f>
        <v/>
      </c>
      <c r="L51" s="17">
        <f>IF($A51="","",1)</f>
        <v/>
      </c>
    </row>
    <row r="52">
      <c r="A52" s="13" t="n"/>
      <c r="B52" s="13" t="n"/>
      <c r="C52" s="13" t="n"/>
      <c r="D52" s="13" t="n"/>
      <c r="E52" s="14" t="n"/>
      <c r="F52" s="14" t="n"/>
      <c r="G52" s="15" t="n"/>
      <c r="H52" s="16" t="n"/>
      <c r="I52" s="17">
        <f>IF($A52="","",IFERROR(SUMIF(tblKategoriKomisyon[Kategori],$D52,tblKategoriKomisyon[KomisyonOran]),0))</f>
        <v/>
      </c>
      <c r="J52" s="17">
        <f>IF($A52="","",ROUND($E52*$G52,2))</f>
        <v/>
      </c>
      <c r="K52" s="17">
        <f>IF($A52="","",ROUND($J52*$H52,2))</f>
        <v/>
      </c>
      <c r="L52" s="17">
        <f>IF($A52="","",1)</f>
        <v/>
      </c>
    </row>
    <row r="53">
      <c r="A53" s="13" t="n"/>
      <c r="B53" s="13" t="n"/>
      <c r="C53" s="13" t="n"/>
      <c r="D53" s="13" t="n"/>
      <c r="E53" s="14" t="n"/>
      <c r="F53" s="14" t="n"/>
      <c r="G53" s="15" t="n"/>
      <c r="H53" s="16" t="n"/>
      <c r="I53" s="17">
        <f>IF($A53="","",IFERROR(SUMIF(tblKategoriKomisyon[Kategori],$D53,tblKategoriKomisyon[KomisyonOran]),0))</f>
        <v/>
      </c>
      <c r="J53" s="17">
        <f>IF($A53="","",ROUND($E53*$G53,2))</f>
        <v/>
      </c>
      <c r="K53" s="17">
        <f>IF($A53="","",ROUND($J53*$H53,2))</f>
        <v/>
      </c>
      <c r="L53" s="17">
        <f>IF($A53="","",1)</f>
        <v/>
      </c>
    </row>
    <row r="54">
      <c r="A54" s="13" t="n"/>
      <c r="B54" s="13" t="n"/>
      <c r="C54" s="13" t="n"/>
      <c r="D54" s="13" t="n"/>
      <c r="E54" s="14" t="n"/>
      <c r="F54" s="14" t="n"/>
      <c r="G54" s="15" t="n"/>
      <c r="H54" s="16" t="n"/>
      <c r="I54" s="17">
        <f>IF($A54="","",IFERROR(SUMIF(tblKategoriKomisyon[Kategori],$D54,tblKategoriKomisyon[KomisyonOran]),0))</f>
        <v/>
      </c>
      <c r="J54" s="17">
        <f>IF($A54="","",ROUND($E54*$G54,2))</f>
        <v/>
      </c>
      <c r="K54" s="17">
        <f>IF($A54="","",ROUND($J54*$H54,2))</f>
        <v/>
      </c>
      <c r="L54" s="17">
        <f>IF($A54="","",1)</f>
        <v/>
      </c>
    </row>
    <row r="55">
      <c r="A55" s="13" t="n"/>
      <c r="B55" s="13" t="n"/>
      <c r="C55" s="13" t="n"/>
      <c r="D55" s="13" t="n"/>
      <c r="E55" s="14" t="n"/>
      <c r="F55" s="14" t="n"/>
      <c r="G55" s="15" t="n"/>
      <c r="H55" s="16" t="n"/>
      <c r="I55" s="17">
        <f>IF($A55="","",IFERROR(SUMIF(tblKategoriKomisyon[Kategori],$D55,tblKategoriKomisyon[KomisyonOran]),0))</f>
        <v/>
      </c>
      <c r="J55" s="17">
        <f>IF($A55="","",ROUND($E55*$G55,2))</f>
        <v/>
      </c>
      <c r="K55" s="17">
        <f>IF($A55="","",ROUND($J55*$H55,2))</f>
        <v/>
      </c>
      <c r="L55" s="17">
        <f>IF($A55="","",1)</f>
        <v/>
      </c>
    </row>
    <row r="56">
      <c r="A56" s="13" t="n"/>
      <c r="B56" s="13" t="n"/>
      <c r="C56" s="13" t="n"/>
      <c r="D56" s="13" t="n"/>
      <c r="E56" s="14" t="n"/>
      <c r="F56" s="14" t="n"/>
      <c r="G56" s="15" t="n"/>
      <c r="H56" s="16" t="n"/>
      <c r="I56" s="17">
        <f>IF($A56="","",IFERROR(SUMIF(tblKategoriKomisyon[Kategori],$D56,tblKategoriKomisyon[KomisyonOran]),0))</f>
        <v/>
      </c>
      <c r="J56" s="17">
        <f>IF($A56="","",ROUND($E56*$G56,2))</f>
        <v/>
      </c>
      <c r="K56" s="17">
        <f>IF($A56="","",ROUND($J56*$H56,2))</f>
        <v/>
      </c>
      <c r="L56" s="17">
        <f>IF($A56="","",1)</f>
        <v/>
      </c>
    </row>
    <row r="57">
      <c r="A57" s="13" t="n"/>
      <c r="B57" s="13" t="n"/>
      <c r="C57" s="13" t="n"/>
      <c r="D57" s="13" t="n"/>
      <c r="E57" s="14" t="n"/>
      <c r="F57" s="14" t="n"/>
      <c r="G57" s="15" t="n"/>
      <c r="H57" s="16" t="n"/>
      <c r="I57" s="17">
        <f>IF($A57="","",IFERROR(SUMIF(tblKategoriKomisyon[Kategori],$D57,tblKategoriKomisyon[KomisyonOran]),0))</f>
        <v/>
      </c>
      <c r="J57" s="17">
        <f>IF($A57="","",ROUND($E57*$G57,2))</f>
        <v/>
      </c>
      <c r="K57" s="17">
        <f>IF($A57="","",ROUND($J57*$H57,2))</f>
        <v/>
      </c>
      <c r="L57" s="17">
        <f>IF($A57="","",1)</f>
        <v/>
      </c>
    </row>
    <row r="58">
      <c r="A58" s="13" t="n"/>
      <c r="B58" s="13" t="n"/>
      <c r="C58" s="13" t="n"/>
      <c r="D58" s="13" t="n"/>
      <c r="E58" s="14" t="n"/>
      <c r="F58" s="14" t="n"/>
      <c r="G58" s="15" t="n"/>
      <c r="H58" s="16" t="n"/>
      <c r="I58" s="17">
        <f>IF($A58="","",IFERROR(SUMIF(tblKategoriKomisyon[Kategori],$D58,tblKategoriKomisyon[KomisyonOran]),0))</f>
        <v/>
      </c>
      <c r="J58" s="17">
        <f>IF($A58="","",ROUND($E58*$G58,2))</f>
        <v/>
      </c>
      <c r="K58" s="17">
        <f>IF($A58="","",ROUND($J58*$H58,2))</f>
        <v/>
      </c>
      <c r="L58" s="17">
        <f>IF($A58="","",1)</f>
        <v/>
      </c>
    </row>
    <row r="59">
      <c r="A59" s="13" t="n"/>
      <c r="B59" s="13" t="n"/>
      <c r="C59" s="13" t="n"/>
      <c r="D59" s="13" t="n"/>
      <c r="E59" s="14" t="n"/>
      <c r="F59" s="14" t="n"/>
      <c r="G59" s="15" t="n"/>
      <c r="H59" s="16" t="n"/>
      <c r="I59" s="17">
        <f>IF($A59="","",IFERROR(SUMIF(tblKategoriKomisyon[Kategori],$D59,tblKategoriKomisyon[KomisyonOran]),0))</f>
        <v/>
      </c>
      <c r="J59" s="17">
        <f>IF($A59="","",ROUND($E59*$G59,2))</f>
        <v/>
      </c>
      <c r="K59" s="17">
        <f>IF($A59="","",ROUND($J59*$H59,2))</f>
        <v/>
      </c>
      <c r="L59" s="17">
        <f>IF($A59="","",1)</f>
        <v/>
      </c>
    </row>
    <row r="60">
      <c r="A60" s="13" t="n"/>
      <c r="B60" s="13" t="n"/>
      <c r="C60" s="13" t="n"/>
      <c r="D60" s="13" t="n"/>
      <c r="E60" s="14" t="n"/>
      <c r="F60" s="14" t="n"/>
      <c r="G60" s="15" t="n"/>
      <c r="H60" s="16" t="n"/>
      <c r="I60" s="17">
        <f>IF($A60="","",IFERROR(SUMIF(tblKategoriKomisyon[Kategori],$D60,tblKategoriKomisyon[KomisyonOran]),0))</f>
        <v/>
      </c>
      <c r="J60" s="17">
        <f>IF($A60="","",ROUND($E60*$G60,2))</f>
        <v/>
      </c>
      <c r="K60" s="17">
        <f>IF($A60="","",ROUND($J60*$H60,2))</f>
        <v/>
      </c>
      <c r="L60" s="17">
        <f>IF($A60="","",1)</f>
        <v/>
      </c>
    </row>
    <row r="61">
      <c r="A61" s="13" t="n"/>
      <c r="B61" s="13" t="n"/>
      <c r="C61" s="13" t="n"/>
      <c r="D61" s="13" t="n"/>
      <c r="E61" s="14" t="n"/>
      <c r="F61" s="14" t="n"/>
      <c r="G61" s="15" t="n"/>
      <c r="H61" s="16" t="n"/>
      <c r="I61" s="17">
        <f>IF($A61="","",IFERROR(SUMIF(tblKategoriKomisyon[Kategori],$D61,tblKategoriKomisyon[KomisyonOran]),0))</f>
        <v/>
      </c>
      <c r="J61" s="17">
        <f>IF($A61="","",ROUND($E61*$G61,2))</f>
        <v/>
      </c>
      <c r="K61" s="17">
        <f>IF($A61="","",ROUND($J61*$H61,2))</f>
        <v/>
      </c>
      <c r="L61" s="17">
        <f>IF($A61="","",1)</f>
        <v/>
      </c>
    </row>
    <row r="62">
      <c r="A62" s="13" t="n"/>
      <c r="B62" s="13" t="n"/>
      <c r="C62" s="13" t="n"/>
      <c r="D62" s="13" t="n"/>
      <c r="E62" s="14" t="n"/>
      <c r="F62" s="14" t="n"/>
      <c r="G62" s="15" t="n"/>
      <c r="H62" s="16" t="n"/>
      <c r="I62" s="17">
        <f>IF($A62="","",IFERROR(SUMIF(tblKategoriKomisyon[Kategori],$D62,tblKategoriKomisyon[KomisyonOran]),0))</f>
        <v/>
      </c>
      <c r="J62" s="17">
        <f>IF($A62="","",ROUND($E62*$G62,2))</f>
        <v/>
      </c>
      <c r="K62" s="17">
        <f>IF($A62="","",ROUND($J62*$H62,2))</f>
        <v/>
      </c>
      <c r="L62" s="17">
        <f>IF($A62="","",1)</f>
        <v/>
      </c>
    </row>
    <row r="63">
      <c r="A63" s="13" t="n"/>
      <c r="B63" s="13" t="n"/>
      <c r="C63" s="13" t="n"/>
      <c r="D63" s="13" t="n"/>
      <c r="E63" s="14" t="n"/>
      <c r="F63" s="14" t="n"/>
      <c r="G63" s="15" t="n"/>
      <c r="H63" s="16" t="n"/>
      <c r="I63" s="17">
        <f>IF($A63="","",IFERROR(SUMIF(tblKategoriKomisyon[Kategori],$D63,tblKategoriKomisyon[KomisyonOran]),0))</f>
        <v/>
      </c>
      <c r="J63" s="17">
        <f>IF($A63="","",ROUND($E63*$G63,2))</f>
        <v/>
      </c>
      <c r="K63" s="17">
        <f>IF($A63="","",ROUND($J63*$H63,2))</f>
        <v/>
      </c>
      <c r="L63" s="17">
        <f>IF($A63="","",1)</f>
        <v/>
      </c>
    </row>
    <row r="64">
      <c r="A64" s="13" t="n"/>
      <c r="B64" s="13" t="n"/>
      <c r="C64" s="13" t="n"/>
      <c r="D64" s="13" t="n"/>
      <c r="E64" s="14" t="n"/>
      <c r="F64" s="14" t="n"/>
      <c r="G64" s="15" t="n"/>
      <c r="H64" s="16" t="n"/>
      <c r="I64" s="17">
        <f>IF($A64="","",IFERROR(SUMIF(tblKategoriKomisyon[Kategori],$D64,tblKategoriKomisyon[KomisyonOran]),0))</f>
        <v/>
      </c>
      <c r="J64" s="17">
        <f>IF($A64="","",ROUND($E64*$G64,2))</f>
        <v/>
      </c>
      <c r="K64" s="17">
        <f>IF($A64="","",ROUND($J64*$H64,2))</f>
        <v/>
      </c>
      <c r="L64" s="17">
        <f>IF($A64="","",1)</f>
        <v/>
      </c>
    </row>
    <row r="65">
      <c r="A65" s="13" t="n"/>
      <c r="B65" s="13" t="n"/>
      <c r="C65" s="13" t="n"/>
      <c r="D65" s="13" t="n"/>
      <c r="E65" s="14" t="n"/>
      <c r="F65" s="14" t="n"/>
      <c r="G65" s="15" t="n"/>
      <c r="H65" s="16" t="n"/>
      <c r="I65" s="17">
        <f>IF($A65="","",IFERROR(SUMIF(tblKategoriKomisyon[Kategori],$D65,tblKategoriKomisyon[KomisyonOran]),0))</f>
        <v/>
      </c>
      <c r="J65" s="17">
        <f>IF($A65="","",ROUND($E65*$G65,2))</f>
        <v/>
      </c>
      <c r="K65" s="17">
        <f>IF($A65="","",ROUND($J65*$H65,2))</f>
        <v/>
      </c>
      <c r="L65" s="17">
        <f>IF($A65="","",1)</f>
        <v/>
      </c>
    </row>
    <row r="66">
      <c r="A66" s="13" t="n"/>
      <c r="B66" s="13" t="n"/>
      <c r="C66" s="13" t="n"/>
      <c r="D66" s="13" t="n"/>
      <c r="E66" s="14" t="n"/>
      <c r="F66" s="14" t="n"/>
      <c r="G66" s="15" t="n"/>
      <c r="H66" s="16" t="n"/>
      <c r="I66" s="17">
        <f>IF($A66="","",IFERROR(SUMIF(tblKategoriKomisyon[Kategori],$D66,tblKategoriKomisyon[KomisyonOran]),0))</f>
        <v/>
      </c>
      <c r="J66" s="17">
        <f>IF($A66="","",ROUND($E66*$G66,2))</f>
        <v/>
      </c>
      <c r="K66" s="17">
        <f>IF($A66="","",ROUND($J66*$H66,2))</f>
        <v/>
      </c>
      <c r="L66" s="17">
        <f>IF($A66="","",1)</f>
        <v/>
      </c>
    </row>
    <row r="67">
      <c r="A67" s="13" t="n"/>
      <c r="B67" s="13" t="n"/>
      <c r="C67" s="13" t="n"/>
      <c r="D67" s="13" t="n"/>
      <c r="E67" s="14" t="n"/>
      <c r="F67" s="14" t="n"/>
      <c r="G67" s="15" t="n"/>
      <c r="H67" s="16" t="n"/>
      <c r="I67" s="17">
        <f>IF($A67="","",IFERROR(SUMIF(tblKategoriKomisyon[Kategori],$D67,tblKategoriKomisyon[KomisyonOran]),0))</f>
        <v/>
      </c>
      <c r="J67" s="17">
        <f>IF($A67="","",ROUND($E67*$G67,2))</f>
        <v/>
      </c>
      <c r="K67" s="17">
        <f>IF($A67="","",ROUND($J67*$H67,2))</f>
        <v/>
      </c>
      <c r="L67" s="17">
        <f>IF($A67="","",1)</f>
        <v/>
      </c>
    </row>
    <row r="68">
      <c r="A68" s="13" t="n"/>
      <c r="B68" s="13" t="n"/>
      <c r="C68" s="13" t="n"/>
      <c r="D68" s="13" t="n"/>
      <c r="E68" s="14" t="n"/>
      <c r="F68" s="14" t="n"/>
      <c r="G68" s="15" t="n"/>
      <c r="H68" s="16" t="n"/>
      <c r="I68" s="17">
        <f>IF($A68="","",IFERROR(SUMIF(tblKategoriKomisyon[Kategori],$D68,tblKategoriKomisyon[KomisyonOran]),0))</f>
        <v/>
      </c>
      <c r="J68" s="17">
        <f>IF($A68="","",ROUND($E68*$G68,2))</f>
        <v/>
      </c>
      <c r="K68" s="17">
        <f>IF($A68="","",ROUND($J68*$H68,2))</f>
        <v/>
      </c>
      <c r="L68" s="17">
        <f>IF($A68="","",1)</f>
        <v/>
      </c>
    </row>
    <row r="69">
      <c r="A69" s="13" t="n"/>
      <c r="B69" s="13" t="n"/>
      <c r="C69" s="13" t="n"/>
      <c r="D69" s="13" t="n"/>
      <c r="E69" s="14" t="n"/>
      <c r="F69" s="14" t="n"/>
      <c r="G69" s="15" t="n"/>
      <c r="H69" s="16" t="n"/>
      <c r="I69" s="17">
        <f>IF($A69="","",IFERROR(SUMIF(tblKategoriKomisyon[Kategori],$D69,tblKategoriKomisyon[KomisyonOran]),0))</f>
        <v/>
      </c>
      <c r="J69" s="17">
        <f>IF($A69="","",ROUND($E69*$G69,2))</f>
        <v/>
      </c>
      <c r="K69" s="17">
        <f>IF($A69="","",ROUND($J69*$H69,2))</f>
        <v/>
      </c>
      <c r="L69" s="17">
        <f>IF($A69="","",1)</f>
        <v/>
      </c>
    </row>
    <row r="70">
      <c r="A70" s="13" t="n"/>
      <c r="B70" s="13" t="n"/>
      <c r="C70" s="13" t="n"/>
      <c r="D70" s="13" t="n"/>
      <c r="E70" s="14" t="n"/>
      <c r="F70" s="14" t="n"/>
      <c r="G70" s="15" t="n"/>
      <c r="H70" s="16" t="n"/>
      <c r="I70" s="17">
        <f>IF($A70="","",IFERROR(SUMIF(tblKategoriKomisyon[Kategori],$D70,tblKategoriKomisyon[KomisyonOran]),0))</f>
        <v/>
      </c>
      <c r="J70" s="17">
        <f>IF($A70="","",ROUND($E70*$G70,2))</f>
        <v/>
      </c>
      <c r="K70" s="17">
        <f>IF($A70="","",ROUND($J70*$H70,2))</f>
        <v/>
      </c>
      <c r="L70" s="17">
        <f>IF($A70="","",1)</f>
        <v/>
      </c>
    </row>
    <row r="71">
      <c r="A71" s="13" t="n"/>
      <c r="B71" s="13" t="n"/>
      <c r="C71" s="13" t="n"/>
      <c r="D71" s="13" t="n"/>
      <c r="E71" s="14" t="n"/>
      <c r="F71" s="14" t="n"/>
      <c r="G71" s="15" t="n"/>
      <c r="H71" s="16" t="n"/>
      <c r="I71" s="17">
        <f>IF($A71="","",IFERROR(SUMIF(tblKategoriKomisyon[Kategori],$D71,tblKategoriKomisyon[KomisyonOran]),0))</f>
        <v/>
      </c>
      <c r="J71" s="17">
        <f>IF($A71="","",ROUND($E71*$G71,2))</f>
        <v/>
      </c>
      <c r="K71" s="17">
        <f>IF($A71="","",ROUND($J71*$H71,2))</f>
        <v/>
      </c>
      <c r="L71" s="17">
        <f>IF($A71="","",1)</f>
        <v/>
      </c>
    </row>
    <row r="72">
      <c r="A72" s="13" t="n"/>
      <c r="B72" s="13" t="n"/>
      <c r="C72" s="13" t="n"/>
      <c r="D72" s="13" t="n"/>
      <c r="E72" s="14" t="n"/>
      <c r="F72" s="14" t="n"/>
      <c r="G72" s="15" t="n"/>
      <c r="H72" s="16" t="n"/>
      <c r="I72" s="17">
        <f>IF($A72="","",IFERROR(SUMIF(tblKategoriKomisyon[Kategori],$D72,tblKategoriKomisyon[KomisyonOran]),0))</f>
        <v/>
      </c>
      <c r="J72" s="17">
        <f>IF($A72="","",ROUND($E72*$G72,2))</f>
        <v/>
      </c>
      <c r="K72" s="17">
        <f>IF($A72="","",ROUND($J72*$H72,2))</f>
        <v/>
      </c>
      <c r="L72" s="17">
        <f>IF($A72="","",1)</f>
        <v/>
      </c>
    </row>
    <row r="73">
      <c r="A73" s="13" t="n"/>
      <c r="B73" s="13" t="n"/>
      <c r="C73" s="13" t="n"/>
      <c r="D73" s="13" t="n"/>
      <c r="E73" s="14" t="n"/>
      <c r="F73" s="14" t="n"/>
      <c r="G73" s="15" t="n"/>
      <c r="H73" s="16" t="n"/>
      <c r="I73" s="17">
        <f>IF($A73="","",IFERROR(SUMIF(tblKategoriKomisyon[Kategori],$D73,tblKategoriKomisyon[KomisyonOran]),0))</f>
        <v/>
      </c>
      <c r="J73" s="17">
        <f>IF($A73="","",ROUND($E73*$G73,2))</f>
        <v/>
      </c>
      <c r="K73" s="17">
        <f>IF($A73="","",ROUND($J73*$H73,2))</f>
        <v/>
      </c>
      <c r="L73" s="17">
        <f>IF($A73="","",1)</f>
        <v/>
      </c>
    </row>
    <row r="74">
      <c r="A74" s="13" t="n"/>
      <c r="B74" s="13" t="n"/>
      <c r="C74" s="13" t="n"/>
      <c r="D74" s="13" t="n"/>
      <c r="E74" s="14" t="n"/>
      <c r="F74" s="14" t="n"/>
      <c r="G74" s="15" t="n"/>
      <c r="H74" s="16" t="n"/>
      <c r="I74" s="17">
        <f>IF($A74="","",IFERROR(SUMIF(tblKategoriKomisyon[Kategori],$D74,tblKategoriKomisyon[KomisyonOran]),0))</f>
        <v/>
      </c>
      <c r="J74" s="17">
        <f>IF($A74="","",ROUND($E74*$G74,2))</f>
        <v/>
      </c>
      <c r="K74" s="17">
        <f>IF($A74="","",ROUND($J74*$H74,2))</f>
        <v/>
      </c>
      <c r="L74" s="17">
        <f>IF($A74="","",1)</f>
        <v/>
      </c>
    </row>
    <row r="75">
      <c r="A75" s="13" t="n"/>
      <c r="B75" s="13" t="n"/>
      <c r="C75" s="13" t="n"/>
      <c r="D75" s="13" t="n"/>
      <c r="E75" s="14" t="n"/>
      <c r="F75" s="14" t="n"/>
      <c r="G75" s="15" t="n"/>
      <c r="H75" s="16" t="n"/>
      <c r="I75" s="17">
        <f>IF($A75="","",IFERROR(SUMIF(tblKategoriKomisyon[Kategori],$D75,tblKategoriKomisyon[KomisyonOran]),0))</f>
        <v/>
      </c>
      <c r="J75" s="17">
        <f>IF($A75="","",ROUND($E75*$G75,2))</f>
        <v/>
      </c>
      <c r="K75" s="17">
        <f>IF($A75="","",ROUND($J75*$H75,2))</f>
        <v/>
      </c>
      <c r="L75" s="17">
        <f>IF($A75="","",1)</f>
        <v/>
      </c>
    </row>
    <row r="76">
      <c r="A76" s="13" t="n"/>
      <c r="B76" s="13" t="n"/>
      <c r="C76" s="13" t="n"/>
      <c r="D76" s="13" t="n"/>
      <c r="E76" s="14" t="n"/>
      <c r="F76" s="14" t="n"/>
      <c r="G76" s="15" t="n"/>
      <c r="H76" s="16" t="n"/>
      <c r="I76" s="17">
        <f>IF($A76="","",IFERROR(SUMIF(tblKategoriKomisyon[Kategori],$D76,tblKategoriKomisyon[KomisyonOran]),0))</f>
        <v/>
      </c>
      <c r="J76" s="17">
        <f>IF($A76="","",ROUND($E76*$G76,2))</f>
        <v/>
      </c>
      <c r="K76" s="17">
        <f>IF($A76="","",ROUND($J76*$H76,2))</f>
        <v/>
      </c>
      <c r="L76" s="17">
        <f>IF($A76="","",1)</f>
        <v/>
      </c>
    </row>
    <row r="77">
      <c r="A77" s="13" t="n"/>
      <c r="B77" s="13" t="n"/>
      <c r="C77" s="13" t="n"/>
      <c r="D77" s="13" t="n"/>
      <c r="E77" s="14" t="n"/>
      <c r="F77" s="14" t="n"/>
      <c r="G77" s="15" t="n"/>
      <c r="H77" s="16" t="n"/>
      <c r="I77" s="17">
        <f>IF($A77="","",IFERROR(SUMIF(tblKategoriKomisyon[Kategori],$D77,tblKategoriKomisyon[KomisyonOran]),0))</f>
        <v/>
      </c>
      <c r="J77" s="17">
        <f>IF($A77="","",ROUND($E77*$G77,2))</f>
        <v/>
      </c>
      <c r="K77" s="17">
        <f>IF($A77="","",ROUND($J77*$H77,2))</f>
        <v/>
      </c>
      <c r="L77" s="17">
        <f>IF($A77="","",1)</f>
        <v/>
      </c>
    </row>
    <row r="78">
      <c r="A78" s="13" t="n"/>
      <c r="B78" s="13" t="n"/>
      <c r="C78" s="13" t="n"/>
      <c r="D78" s="13" t="n"/>
      <c r="E78" s="14" t="n"/>
      <c r="F78" s="14" t="n"/>
      <c r="G78" s="15" t="n"/>
      <c r="H78" s="16" t="n"/>
      <c r="I78" s="17">
        <f>IF($A78="","",IFERROR(SUMIF(tblKategoriKomisyon[Kategori],$D78,tblKategoriKomisyon[KomisyonOran]),0))</f>
        <v/>
      </c>
      <c r="J78" s="17">
        <f>IF($A78="","",ROUND($E78*$G78,2))</f>
        <v/>
      </c>
      <c r="K78" s="17">
        <f>IF($A78="","",ROUND($J78*$H78,2))</f>
        <v/>
      </c>
      <c r="L78" s="17">
        <f>IF($A78="","",1)</f>
        <v/>
      </c>
    </row>
    <row r="79">
      <c r="A79" s="13" t="n"/>
      <c r="B79" s="13" t="n"/>
      <c r="C79" s="13" t="n"/>
      <c r="D79" s="13" t="n"/>
      <c r="E79" s="14" t="n"/>
      <c r="F79" s="14" t="n"/>
      <c r="G79" s="15" t="n"/>
      <c r="H79" s="16" t="n"/>
      <c r="I79" s="17">
        <f>IF($A79="","",IFERROR(SUMIF(tblKategoriKomisyon[Kategori],$D79,tblKategoriKomisyon[KomisyonOran]),0))</f>
        <v/>
      </c>
      <c r="J79" s="17">
        <f>IF($A79="","",ROUND($E79*$G79,2))</f>
        <v/>
      </c>
      <c r="K79" s="17">
        <f>IF($A79="","",ROUND($J79*$H79,2))</f>
        <v/>
      </c>
      <c r="L79" s="17">
        <f>IF($A79="","",1)</f>
        <v/>
      </c>
    </row>
    <row r="80">
      <c r="A80" s="13" t="n"/>
      <c r="B80" s="13" t="n"/>
      <c r="C80" s="13" t="n"/>
      <c r="D80" s="13" t="n"/>
      <c r="E80" s="14" t="n"/>
      <c r="F80" s="14" t="n"/>
      <c r="G80" s="15" t="n"/>
      <c r="H80" s="16" t="n"/>
      <c r="I80" s="17">
        <f>IF($A80="","",IFERROR(SUMIF(tblKategoriKomisyon[Kategori],$D80,tblKategoriKomisyon[KomisyonOran]),0))</f>
        <v/>
      </c>
      <c r="J80" s="17">
        <f>IF($A80="","",ROUND($E80*$G80,2))</f>
        <v/>
      </c>
      <c r="K80" s="17">
        <f>IF($A80="","",ROUND($J80*$H80,2))</f>
        <v/>
      </c>
      <c r="L80" s="17">
        <f>IF($A80="","",1)</f>
        <v/>
      </c>
    </row>
    <row r="81">
      <c r="A81" s="13" t="n"/>
      <c r="B81" s="13" t="n"/>
      <c r="C81" s="13" t="n"/>
      <c r="D81" s="13" t="n"/>
      <c r="E81" s="14" t="n"/>
      <c r="F81" s="14" t="n"/>
      <c r="G81" s="15" t="n"/>
      <c r="H81" s="16" t="n"/>
      <c r="I81" s="17">
        <f>IF($A81="","",IFERROR(SUMIF(tblKategoriKomisyon[Kategori],$D81,tblKategoriKomisyon[KomisyonOran]),0))</f>
        <v/>
      </c>
      <c r="J81" s="17">
        <f>IF($A81="","",ROUND($E81*$G81,2))</f>
        <v/>
      </c>
      <c r="K81" s="17">
        <f>IF($A81="","",ROUND($J81*$H81,2))</f>
        <v/>
      </c>
      <c r="L81" s="17">
        <f>IF($A81="","",1)</f>
        <v/>
      </c>
    </row>
    <row r="82">
      <c r="A82" s="13" t="n"/>
      <c r="B82" s="13" t="n"/>
      <c r="C82" s="13" t="n"/>
      <c r="D82" s="13" t="n"/>
      <c r="E82" s="14" t="n"/>
      <c r="F82" s="14" t="n"/>
      <c r="G82" s="15" t="n"/>
      <c r="H82" s="16" t="n"/>
      <c r="I82" s="17">
        <f>IF($A82="","",IFERROR(SUMIF(tblKategoriKomisyon[Kategori],$D82,tblKategoriKomisyon[KomisyonOran]),0))</f>
        <v/>
      </c>
      <c r="J82" s="17">
        <f>IF($A82="","",ROUND($E82*$G82,2))</f>
        <v/>
      </c>
      <c r="K82" s="17">
        <f>IF($A82="","",ROUND($J82*$H82,2))</f>
        <v/>
      </c>
      <c r="L82" s="17">
        <f>IF($A82="","",1)</f>
        <v/>
      </c>
    </row>
    <row r="83">
      <c r="A83" s="13" t="n"/>
      <c r="B83" s="13" t="n"/>
      <c r="C83" s="13" t="n"/>
      <c r="D83" s="13" t="n"/>
      <c r="E83" s="14" t="n"/>
      <c r="F83" s="14" t="n"/>
      <c r="G83" s="15" t="n"/>
      <c r="H83" s="16" t="n"/>
      <c r="I83" s="17">
        <f>IF($A83="","",IFERROR(SUMIF(tblKategoriKomisyon[Kategori],$D83,tblKategoriKomisyon[KomisyonOran]),0))</f>
        <v/>
      </c>
      <c r="J83" s="17">
        <f>IF($A83="","",ROUND($E83*$G83,2))</f>
        <v/>
      </c>
      <c r="K83" s="17">
        <f>IF($A83="","",ROUND($J83*$H83,2))</f>
        <v/>
      </c>
      <c r="L83" s="17">
        <f>IF($A83="","",1)</f>
        <v/>
      </c>
    </row>
    <row r="84">
      <c r="A84" s="13" t="n"/>
      <c r="B84" s="13" t="n"/>
      <c r="C84" s="13" t="n"/>
      <c r="D84" s="13" t="n"/>
      <c r="E84" s="14" t="n"/>
      <c r="F84" s="14" t="n"/>
      <c r="G84" s="15" t="n"/>
      <c r="H84" s="16" t="n"/>
      <c r="I84" s="17">
        <f>IF($A84="","",IFERROR(SUMIF(tblKategoriKomisyon[Kategori],$D84,tblKategoriKomisyon[KomisyonOran]),0))</f>
        <v/>
      </c>
      <c r="J84" s="17">
        <f>IF($A84="","",ROUND($E84*$G84,2))</f>
        <v/>
      </c>
      <c r="K84" s="17">
        <f>IF($A84="","",ROUND($J84*$H84,2))</f>
        <v/>
      </c>
      <c r="L84" s="17">
        <f>IF($A84="","",1)</f>
        <v/>
      </c>
    </row>
    <row r="85">
      <c r="A85" s="13" t="n"/>
      <c r="B85" s="13" t="n"/>
      <c r="C85" s="13" t="n"/>
      <c r="D85" s="13" t="n"/>
      <c r="E85" s="14" t="n"/>
      <c r="F85" s="14" t="n"/>
      <c r="G85" s="15" t="n"/>
      <c r="H85" s="16" t="n"/>
      <c r="I85" s="17">
        <f>IF($A85="","",IFERROR(SUMIF(tblKategoriKomisyon[Kategori],$D85,tblKategoriKomisyon[KomisyonOran]),0))</f>
        <v/>
      </c>
      <c r="J85" s="17">
        <f>IF($A85="","",ROUND($E85*$G85,2))</f>
        <v/>
      </c>
      <c r="K85" s="17">
        <f>IF($A85="","",ROUND($J85*$H85,2))</f>
        <v/>
      </c>
      <c r="L85" s="17">
        <f>IF($A85="","",1)</f>
        <v/>
      </c>
    </row>
    <row r="86">
      <c r="A86" s="13" t="n"/>
      <c r="B86" s="13" t="n"/>
      <c r="C86" s="13" t="n"/>
      <c r="D86" s="13" t="n"/>
      <c r="E86" s="14" t="n"/>
      <c r="F86" s="14" t="n"/>
      <c r="G86" s="15" t="n"/>
      <c r="H86" s="16" t="n"/>
      <c r="I86" s="17">
        <f>IF($A86="","",IFERROR(SUMIF(tblKategoriKomisyon[Kategori],$D86,tblKategoriKomisyon[KomisyonOran]),0))</f>
        <v/>
      </c>
      <c r="J86" s="17">
        <f>IF($A86="","",ROUND($E86*$G86,2))</f>
        <v/>
      </c>
      <c r="K86" s="17">
        <f>IF($A86="","",ROUND($J86*$H86,2))</f>
        <v/>
      </c>
      <c r="L86" s="17">
        <f>IF($A86="","",1)</f>
        <v/>
      </c>
    </row>
    <row r="87">
      <c r="A87" s="13" t="n"/>
      <c r="B87" s="13" t="n"/>
      <c r="C87" s="13" t="n"/>
      <c r="D87" s="13" t="n"/>
      <c r="E87" s="14" t="n"/>
      <c r="F87" s="14" t="n"/>
      <c r="G87" s="15" t="n"/>
      <c r="H87" s="16" t="n"/>
      <c r="I87" s="17">
        <f>IF($A87="","",IFERROR(SUMIF(tblKategoriKomisyon[Kategori],$D87,tblKategoriKomisyon[KomisyonOran]),0))</f>
        <v/>
      </c>
      <c r="J87" s="17">
        <f>IF($A87="","",ROUND($E87*$G87,2))</f>
        <v/>
      </c>
      <c r="K87" s="17">
        <f>IF($A87="","",ROUND($J87*$H87,2))</f>
        <v/>
      </c>
      <c r="L87" s="17">
        <f>IF($A87="","",1)</f>
        <v/>
      </c>
    </row>
    <row r="88">
      <c r="A88" s="13" t="n"/>
      <c r="B88" s="13" t="n"/>
      <c r="C88" s="13" t="n"/>
      <c r="D88" s="13" t="n"/>
      <c r="E88" s="14" t="n"/>
      <c r="F88" s="14" t="n"/>
      <c r="G88" s="15" t="n"/>
      <c r="H88" s="16" t="n"/>
      <c r="I88" s="17">
        <f>IF($A88="","",IFERROR(SUMIF(tblKategoriKomisyon[Kategori],$D88,tblKategoriKomisyon[KomisyonOran]),0))</f>
        <v/>
      </c>
      <c r="J88" s="17">
        <f>IF($A88="","",ROUND($E88*$G88,2))</f>
        <v/>
      </c>
      <c r="K88" s="17">
        <f>IF($A88="","",ROUND($J88*$H88,2))</f>
        <v/>
      </c>
      <c r="L88" s="17">
        <f>IF($A88="","",1)</f>
        <v/>
      </c>
    </row>
    <row r="89">
      <c r="A89" s="13" t="n"/>
      <c r="B89" s="13" t="n"/>
      <c r="C89" s="13" t="n"/>
      <c r="D89" s="13" t="n"/>
      <c r="E89" s="14" t="n"/>
      <c r="F89" s="14" t="n"/>
      <c r="G89" s="15" t="n"/>
      <c r="H89" s="16" t="n"/>
      <c r="I89" s="17">
        <f>IF($A89="","",IFERROR(SUMIF(tblKategoriKomisyon[Kategori],$D89,tblKategoriKomisyon[KomisyonOran]),0))</f>
        <v/>
      </c>
      <c r="J89" s="17">
        <f>IF($A89="","",ROUND($E89*$G89,2))</f>
        <v/>
      </c>
      <c r="K89" s="17">
        <f>IF($A89="","",ROUND($J89*$H89,2))</f>
        <v/>
      </c>
      <c r="L89" s="17">
        <f>IF($A89="","",1)</f>
        <v/>
      </c>
    </row>
    <row r="90">
      <c r="A90" s="13" t="n"/>
      <c r="B90" s="13" t="n"/>
      <c r="C90" s="13" t="n"/>
      <c r="D90" s="13" t="n"/>
      <c r="E90" s="14" t="n"/>
      <c r="F90" s="14" t="n"/>
      <c r="G90" s="15" t="n"/>
      <c r="H90" s="16" t="n"/>
      <c r="I90" s="17">
        <f>IF($A90="","",IFERROR(SUMIF(tblKategoriKomisyon[Kategori],$D90,tblKategoriKomisyon[KomisyonOran]),0))</f>
        <v/>
      </c>
      <c r="J90" s="17">
        <f>IF($A90="","",ROUND($E90*$G90,2))</f>
        <v/>
      </c>
      <c r="K90" s="17">
        <f>IF($A90="","",ROUND($J90*$H90,2))</f>
        <v/>
      </c>
      <c r="L90" s="17">
        <f>IF($A90="","",1)</f>
        <v/>
      </c>
    </row>
    <row r="91">
      <c r="A91" s="13" t="n"/>
      <c r="B91" s="13" t="n"/>
      <c r="C91" s="13" t="n"/>
      <c r="D91" s="13" t="n"/>
      <c r="E91" s="14" t="n"/>
      <c r="F91" s="14" t="n"/>
      <c r="G91" s="15" t="n"/>
      <c r="H91" s="16" t="n"/>
      <c r="I91" s="17">
        <f>IF($A91="","",IFERROR(SUMIF(tblKategoriKomisyon[Kategori],$D91,tblKategoriKomisyon[KomisyonOran]),0))</f>
        <v/>
      </c>
      <c r="J91" s="17">
        <f>IF($A91="","",ROUND($E91*$G91,2))</f>
        <v/>
      </c>
      <c r="K91" s="17">
        <f>IF($A91="","",ROUND($J91*$H91,2))</f>
        <v/>
      </c>
      <c r="L91" s="17">
        <f>IF($A91="","",1)</f>
        <v/>
      </c>
    </row>
    <row r="92">
      <c r="A92" s="13" t="n"/>
      <c r="B92" s="13" t="n"/>
      <c r="C92" s="13" t="n"/>
      <c r="D92" s="13" t="n"/>
      <c r="E92" s="14" t="n"/>
      <c r="F92" s="14" t="n"/>
      <c r="G92" s="15" t="n"/>
      <c r="H92" s="16" t="n"/>
      <c r="I92" s="17">
        <f>IF($A92="","",IFERROR(SUMIF(tblKategoriKomisyon[Kategori],$D92,tblKategoriKomisyon[KomisyonOran]),0))</f>
        <v/>
      </c>
      <c r="J92" s="17">
        <f>IF($A92="","",ROUND($E92*$G92,2))</f>
        <v/>
      </c>
      <c r="K92" s="17">
        <f>IF($A92="","",ROUND($J92*$H92,2))</f>
        <v/>
      </c>
      <c r="L92" s="17">
        <f>IF($A92="","",1)</f>
        <v/>
      </c>
    </row>
    <row r="93">
      <c r="A93" s="13" t="n"/>
      <c r="B93" s="13" t="n"/>
      <c r="C93" s="13" t="n"/>
      <c r="D93" s="13" t="n"/>
      <c r="E93" s="14" t="n"/>
      <c r="F93" s="14" t="n"/>
      <c r="G93" s="15" t="n"/>
      <c r="H93" s="16" t="n"/>
      <c r="I93" s="17">
        <f>IF($A93="","",IFERROR(SUMIF(tblKategoriKomisyon[Kategori],$D93,tblKategoriKomisyon[KomisyonOran]),0))</f>
        <v/>
      </c>
      <c r="J93" s="17">
        <f>IF($A93="","",ROUND($E93*$G93,2))</f>
        <v/>
      </c>
      <c r="K93" s="17">
        <f>IF($A93="","",ROUND($J93*$H93,2))</f>
        <v/>
      </c>
      <c r="L93" s="17">
        <f>IF($A93="","",1)</f>
        <v/>
      </c>
    </row>
    <row r="94">
      <c r="A94" s="13" t="n"/>
      <c r="B94" s="13" t="n"/>
      <c r="C94" s="13" t="n"/>
      <c r="D94" s="13" t="n"/>
      <c r="E94" s="14" t="n"/>
      <c r="F94" s="14" t="n"/>
      <c r="G94" s="15" t="n"/>
      <c r="H94" s="16" t="n"/>
      <c r="I94" s="17">
        <f>IF($A94="","",IFERROR(SUMIF(tblKategoriKomisyon[Kategori],$D94,tblKategoriKomisyon[KomisyonOran]),0))</f>
        <v/>
      </c>
      <c r="J94" s="17">
        <f>IF($A94="","",ROUND($E94*$G94,2))</f>
        <v/>
      </c>
      <c r="K94" s="17">
        <f>IF($A94="","",ROUND($J94*$H94,2))</f>
        <v/>
      </c>
      <c r="L94" s="17">
        <f>IF($A94="","",1)</f>
        <v/>
      </c>
    </row>
    <row r="95">
      <c r="A95" s="13" t="n"/>
      <c r="B95" s="13" t="n"/>
      <c r="C95" s="13" t="n"/>
      <c r="D95" s="13" t="n"/>
      <c r="E95" s="14" t="n"/>
      <c r="F95" s="14" t="n"/>
      <c r="G95" s="15" t="n"/>
      <c r="H95" s="16" t="n"/>
      <c r="I95" s="17">
        <f>IF($A95="","",IFERROR(SUMIF(tblKategoriKomisyon[Kategori],$D95,tblKategoriKomisyon[KomisyonOran]),0))</f>
        <v/>
      </c>
      <c r="J95" s="17">
        <f>IF($A95="","",ROUND($E95*$G95,2))</f>
        <v/>
      </c>
      <c r="K95" s="17">
        <f>IF($A95="","",ROUND($J95*$H95,2))</f>
        <v/>
      </c>
      <c r="L95" s="17">
        <f>IF($A95="","",1)</f>
        <v/>
      </c>
    </row>
    <row r="96">
      <c r="A96" s="13" t="n"/>
      <c r="B96" s="13" t="n"/>
      <c r="C96" s="13" t="n"/>
      <c r="D96" s="13" t="n"/>
      <c r="E96" s="14" t="n"/>
      <c r="F96" s="14" t="n"/>
      <c r="G96" s="15" t="n"/>
      <c r="H96" s="16" t="n"/>
      <c r="I96" s="17">
        <f>IF($A96="","",IFERROR(SUMIF(tblKategoriKomisyon[Kategori],$D96,tblKategoriKomisyon[KomisyonOran]),0))</f>
        <v/>
      </c>
      <c r="J96" s="17">
        <f>IF($A96="","",ROUND($E96*$G96,2))</f>
        <v/>
      </c>
      <c r="K96" s="17">
        <f>IF($A96="","",ROUND($J96*$H96,2))</f>
        <v/>
      </c>
      <c r="L96" s="17">
        <f>IF($A96="","",1)</f>
        <v/>
      </c>
    </row>
    <row r="97">
      <c r="A97" s="13" t="n"/>
      <c r="B97" s="13" t="n"/>
      <c r="C97" s="13" t="n"/>
      <c r="D97" s="13" t="n"/>
      <c r="E97" s="14" t="n"/>
      <c r="F97" s="14" t="n"/>
      <c r="G97" s="15" t="n"/>
      <c r="H97" s="16" t="n"/>
      <c r="I97" s="17">
        <f>IF($A97="","",IFERROR(SUMIF(tblKategoriKomisyon[Kategori],$D97,tblKategoriKomisyon[KomisyonOran]),0))</f>
        <v/>
      </c>
      <c r="J97" s="17">
        <f>IF($A97="","",ROUND($E97*$G97,2))</f>
        <v/>
      </c>
      <c r="K97" s="17">
        <f>IF($A97="","",ROUND($J97*$H97,2))</f>
        <v/>
      </c>
      <c r="L97" s="17">
        <f>IF($A97="","",1)</f>
        <v/>
      </c>
    </row>
    <row r="98">
      <c r="A98" s="13" t="n"/>
      <c r="B98" s="13" t="n"/>
      <c r="C98" s="13" t="n"/>
      <c r="D98" s="13" t="n"/>
      <c r="E98" s="14" t="n"/>
      <c r="F98" s="14" t="n"/>
      <c r="G98" s="15" t="n"/>
      <c r="H98" s="16" t="n"/>
      <c r="I98" s="17">
        <f>IF($A98="","",IFERROR(SUMIF(tblKategoriKomisyon[Kategori],$D98,tblKategoriKomisyon[KomisyonOran]),0))</f>
        <v/>
      </c>
      <c r="J98" s="17">
        <f>IF($A98="","",ROUND($E98*$G98,2))</f>
        <v/>
      </c>
      <c r="K98" s="17">
        <f>IF($A98="","",ROUND($J98*$H98,2))</f>
        <v/>
      </c>
      <c r="L98" s="17">
        <f>IF($A98="","",1)</f>
        <v/>
      </c>
    </row>
    <row r="99">
      <c r="A99" s="13" t="n"/>
      <c r="B99" s="13" t="n"/>
      <c r="C99" s="13" t="n"/>
      <c r="D99" s="13" t="n"/>
      <c r="E99" s="14" t="n"/>
      <c r="F99" s="14" t="n"/>
      <c r="G99" s="15" t="n"/>
      <c r="H99" s="16" t="n"/>
      <c r="I99" s="17">
        <f>IF($A99="","",IFERROR(SUMIF(tblKategoriKomisyon[Kategori],$D99,tblKategoriKomisyon[KomisyonOran]),0))</f>
        <v/>
      </c>
      <c r="J99" s="17">
        <f>IF($A99="","",ROUND($E99*$G99,2))</f>
        <v/>
      </c>
      <c r="K99" s="17">
        <f>IF($A99="","",ROUND($J99*$H99,2))</f>
        <v/>
      </c>
      <c r="L99" s="17">
        <f>IF($A99="","",1)</f>
        <v/>
      </c>
    </row>
    <row r="100">
      <c r="A100" s="13" t="n"/>
      <c r="B100" s="13" t="n"/>
      <c r="C100" s="13" t="n"/>
      <c r="D100" s="13" t="n"/>
      <c r="E100" s="14" t="n"/>
      <c r="F100" s="14" t="n"/>
      <c r="G100" s="15" t="n"/>
      <c r="H100" s="16" t="n"/>
      <c r="I100" s="17">
        <f>IF($A100="","",IFERROR(SUMIF(tblKategoriKomisyon[Kategori],$D100,tblKategoriKomisyon[KomisyonOran]),0))</f>
        <v/>
      </c>
      <c r="J100" s="17">
        <f>IF($A100="","",ROUND($E100*$G100,2))</f>
        <v/>
      </c>
      <c r="K100" s="17">
        <f>IF($A100="","",ROUND($J100*$H100,2))</f>
        <v/>
      </c>
      <c r="L100" s="17">
        <f>IF($A100="","",1)</f>
        <v/>
      </c>
    </row>
    <row r="101">
      <c r="A101" s="13" t="n"/>
      <c r="B101" s="13" t="n"/>
      <c r="C101" s="13" t="n"/>
      <c r="D101" s="13" t="n"/>
      <c r="E101" s="14" t="n"/>
      <c r="F101" s="14" t="n"/>
      <c r="G101" s="15" t="n"/>
      <c r="H101" s="16" t="n"/>
      <c r="I101" s="17">
        <f>IF($A101="","",IFERROR(SUMIF(tblKategoriKomisyon[Kategori],$D101,tblKategoriKomisyon[KomisyonOran]),0))</f>
        <v/>
      </c>
      <c r="J101" s="17">
        <f>IF($A101="","",ROUND($E101*$G101,2))</f>
        <v/>
      </c>
      <c r="K101" s="17">
        <f>IF($A101="","",ROUND($J101*$H101,2))</f>
        <v/>
      </c>
      <c r="L101" s="17">
        <f>IF($A101="","",1)</f>
        <v/>
      </c>
    </row>
    <row r="102">
      <c r="A102" s="13" t="n"/>
      <c r="B102" s="13" t="n"/>
      <c r="C102" s="13" t="n"/>
      <c r="D102" s="13" t="n"/>
      <c r="E102" s="14" t="n"/>
      <c r="F102" s="14" t="n"/>
      <c r="G102" s="15" t="n"/>
      <c r="H102" s="16" t="n"/>
      <c r="I102" s="17">
        <f>IF($A102="","",IFERROR(SUMIF(tblKategoriKomisyon[Kategori],$D102,tblKategoriKomisyon[KomisyonOran]),0))</f>
        <v/>
      </c>
      <c r="J102" s="17">
        <f>IF($A102="","",ROUND($E102*$G102,2))</f>
        <v/>
      </c>
      <c r="K102" s="17">
        <f>IF($A102="","",ROUND($J102*$H102,2))</f>
        <v/>
      </c>
      <c r="L102" s="17">
        <f>IF($A102="","",1)</f>
        <v/>
      </c>
    </row>
    <row r="103">
      <c r="A103" s="13" t="n"/>
      <c r="B103" s="13" t="n"/>
      <c r="C103" s="13" t="n"/>
      <c r="D103" s="13" t="n"/>
      <c r="E103" s="14" t="n"/>
      <c r="F103" s="14" t="n"/>
      <c r="G103" s="15" t="n"/>
      <c r="H103" s="16" t="n"/>
      <c r="I103" s="17">
        <f>IF($A103="","",IFERROR(SUMIF(tblKategoriKomisyon[Kategori],$D103,tblKategoriKomisyon[KomisyonOran]),0))</f>
        <v/>
      </c>
      <c r="J103" s="17">
        <f>IF($A103="","",ROUND($E103*$G103,2))</f>
        <v/>
      </c>
      <c r="K103" s="17">
        <f>IF($A103="","",ROUND($J103*$H103,2))</f>
        <v/>
      </c>
      <c r="L103" s="17">
        <f>IF($A103="","",1)</f>
        <v/>
      </c>
    </row>
    <row r="104">
      <c r="A104" s="13" t="n"/>
      <c r="B104" s="13" t="n"/>
      <c r="C104" s="13" t="n"/>
      <c r="D104" s="13" t="n"/>
      <c r="E104" s="14" t="n"/>
      <c r="F104" s="14" t="n"/>
      <c r="G104" s="15" t="n"/>
      <c r="H104" s="16" t="n"/>
      <c r="I104" s="17">
        <f>IF($A104="","",IFERROR(SUMIF(tblKategoriKomisyon[Kategori],$D104,tblKategoriKomisyon[KomisyonOran]),0))</f>
        <v/>
      </c>
      <c r="J104" s="17">
        <f>IF($A104="","",ROUND($E104*$G104,2))</f>
        <v/>
      </c>
      <c r="K104" s="17">
        <f>IF($A104="","",ROUND($J104*$H104,2))</f>
        <v/>
      </c>
      <c r="L104" s="17">
        <f>IF($A104="","",1)</f>
        <v/>
      </c>
    </row>
    <row r="105">
      <c r="A105" s="13" t="n"/>
      <c r="B105" s="13" t="n"/>
      <c r="C105" s="13" t="n"/>
      <c r="D105" s="13" t="n"/>
      <c r="E105" s="14" t="n"/>
      <c r="F105" s="14" t="n"/>
      <c r="G105" s="15" t="n"/>
      <c r="H105" s="16" t="n"/>
      <c r="I105" s="17">
        <f>IF($A105="","",IFERROR(SUMIF(tblKategoriKomisyon[Kategori],$D105,tblKategoriKomisyon[KomisyonOran]),0))</f>
        <v/>
      </c>
      <c r="J105" s="17">
        <f>IF($A105="","",ROUND($E105*$G105,2))</f>
        <v/>
      </c>
      <c r="K105" s="17">
        <f>IF($A105="","",ROUND($J105*$H105,2))</f>
        <v/>
      </c>
      <c r="L105" s="17">
        <f>IF($A105="","",1)</f>
        <v/>
      </c>
    </row>
    <row r="106">
      <c r="A106" s="13" t="n"/>
      <c r="B106" s="13" t="n"/>
      <c r="C106" s="13" t="n"/>
      <c r="D106" s="13" t="n"/>
      <c r="E106" s="14" t="n"/>
      <c r="F106" s="14" t="n"/>
      <c r="G106" s="15" t="n"/>
      <c r="H106" s="16" t="n"/>
      <c r="I106" s="17">
        <f>IF($A106="","",IFERROR(SUMIF(tblKategoriKomisyon[Kategori],$D106,tblKategoriKomisyon[KomisyonOran]),0))</f>
        <v/>
      </c>
      <c r="J106" s="17">
        <f>IF($A106="","",ROUND($E106*$G106,2))</f>
        <v/>
      </c>
      <c r="K106" s="17">
        <f>IF($A106="","",ROUND($J106*$H106,2))</f>
        <v/>
      </c>
      <c r="L106" s="17">
        <f>IF($A106="","",1)</f>
        <v/>
      </c>
    </row>
    <row r="107">
      <c r="A107" s="13" t="n"/>
      <c r="B107" s="13" t="n"/>
      <c r="C107" s="13" t="n"/>
      <c r="D107" s="13" t="n"/>
      <c r="E107" s="14" t="n"/>
      <c r="F107" s="14" t="n"/>
      <c r="G107" s="15" t="n"/>
      <c r="H107" s="16" t="n"/>
      <c r="I107" s="17">
        <f>IF($A107="","",IFERROR(SUMIF(tblKategoriKomisyon[Kategori],$D107,tblKategoriKomisyon[KomisyonOran]),0))</f>
        <v/>
      </c>
      <c r="J107" s="17">
        <f>IF($A107="","",ROUND($E107*$G107,2))</f>
        <v/>
      </c>
      <c r="K107" s="17">
        <f>IF($A107="","",ROUND($J107*$H107,2))</f>
        <v/>
      </c>
      <c r="L107" s="17">
        <f>IF($A107="","",1)</f>
        <v/>
      </c>
    </row>
    <row r="108">
      <c r="A108" s="13" t="n"/>
      <c r="B108" s="13" t="n"/>
      <c r="C108" s="13" t="n"/>
      <c r="D108" s="13" t="n"/>
      <c r="E108" s="14" t="n"/>
      <c r="F108" s="14" t="n"/>
      <c r="G108" s="15" t="n"/>
      <c r="H108" s="16" t="n"/>
      <c r="I108" s="17">
        <f>IF($A108="","",IFERROR(SUMIF(tblKategoriKomisyon[Kategori],$D108,tblKategoriKomisyon[KomisyonOran]),0))</f>
        <v/>
      </c>
      <c r="J108" s="17">
        <f>IF($A108="","",ROUND($E108*$G108,2))</f>
        <v/>
      </c>
      <c r="K108" s="17">
        <f>IF($A108="","",ROUND($J108*$H108,2))</f>
        <v/>
      </c>
      <c r="L108" s="17">
        <f>IF($A108="","",1)</f>
        <v/>
      </c>
    </row>
    <row r="109">
      <c r="A109" s="13" t="n"/>
      <c r="B109" s="13" t="n"/>
      <c r="C109" s="13" t="n"/>
      <c r="D109" s="13" t="n"/>
      <c r="E109" s="14" t="n"/>
      <c r="F109" s="14" t="n"/>
      <c r="G109" s="15" t="n"/>
      <c r="H109" s="16" t="n"/>
      <c r="I109" s="17">
        <f>IF($A109="","",IFERROR(SUMIF(tblKategoriKomisyon[Kategori],$D109,tblKategoriKomisyon[KomisyonOran]),0))</f>
        <v/>
      </c>
      <c r="J109" s="17">
        <f>IF($A109="","",ROUND($E109*$G109,2))</f>
        <v/>
      </c>
      <c r="K109" s="17">
        <f>IF($A109="","",ROUND($J109*$H109,2))</f>
        <v/>
      </c>
      <c r="L109" s="17">
        <f>IF($A109="","",1)</f>
        <v/>
      </c>
    </row>
    <row r="110">
      <c r="A110" s="13" t="n"/>
      <c r="B110" s="13" t="n"/>
      <c r="C110" s="13" t="n"/>
      <c r="D110" s="13" t="n"/>
      <c r="E110" s="14" t="n"/>
      <c r="F110" s="14" t="n"/>
      <c r="G110" s="15" t="n"/>
      <c r="H110" s="16" t="n"/>
      <c r="I110" s="17">
        <f>IF($A110="","",IFERROR(SUMIF(tblKategoriKomisyon[Kategori],$D110,tblKategoriKomisyon[KomisyonOran]),0))</f>
        <v/>
      </c>
      <c r="J110" s="17">
        <f>IF($A110="","",ROUND($E110*$G110,2))</f>
        <v/>
      </c>
      <c r="K110" s="17">
        <f>IF($A110="","",ROUND($J110*$H110,2))</f>
        <v/>
      </c>
      <c r="L110" s="17">
        <f>IF($A110="","",1)</f>
        <v/>
      </c>
    </row>
    <row r="111">
      <c r="A111" s="13" t="n"/>
      <c r="B111" s="13" t="n"/>
      <c r="C111" s="13" t="n"/>
      <c r="D111" s="13" t="n"/>
      <c r="E111" s="14" t="n"/>
      <c r="F111" s="14" t="n"/>
      <c r="G111" s="15" t="n"/>
      <c r="H111" s="16" t="n"/>
      <c r="I111" s="17">
        <f>IF($A111="","",IFERROR(SUMIF(tblKategoriKomisyon[Kategori],$D111,tblKategoriKomisyon[KomisyonOran]),0))</f>
        <v/>
      </c>
      <c r="J111" s="17">
        <f>IF($A111="","",ROUND($E111*$G111,2))</f>
        <v/>
      </c>
      <c r="K111" s="17">
        <f>IF($A111="","",ROUND($J111*$H111,2))</f>
        <v/>
      </c>
      <c r="L111" s="17">
        <f>IF($A111="","",1)</f>
        <v/>
      </c>
    </row>
    <row r="112">
      <c r="A112" s="13" t="n"/>
      <c r="B112" s="13" t="n"/>
      <c r="C112" s="13" t="n"/>
      <c r="D112" s="13" t="n"/>
      <c r="E112" s="14" t="n"/>
      <c r="F112" s="14" t="n"/>
      <c r="G112" s="15" t="n"/>
      <c r="H112" s="16" t="n"/>
      <c r="I112" s="17">
        <f>IF($A112="","",IFERROR(SUMIF(tblKategoriKomisyon[Kategori],$D112,tblKategoriKomisyon[KomisyonOran]),0))</f>
        <v/>
      </c>
      <c r="J112" s="17">
        <f>IF($A112="","",ROUND($E112*$G112,2))</f>
        <v/>
      </c>
      <c r="K112" s="17">
        <f>IF($A112="","",ROUND($J112*$H112,2))</f>
        <v/>
      </c>
      <c r="L112" s="17">
        <f>IF($A112="","",1)</f>
        <v/>
      </c>
    </row>
    <row r="113">
      <c r="A113" s="13" t="n"/>
      <c r="B113" s="13" t="n"/>
      <c r="C113" s="13" t="n"/>
      <c r="D113" s="13" t="n"/>
      <c r="E113" s="14" t="n"/>
      <c r="F113" s="14" t="n"/>
      <c r="G113" s="15" t="n"/>
      <c r="H113" s="16" t="n"/>
      <c r="I113" s="17">
        <f>IF($A113="","",IFERROR(SUMIF(tblKategoriKomisyon[Kategori],$D113,tblKategoriKomisyon[KomisyonOran]),0))</f>
        <v/>
      </c>
      <c r="J113" s="17">
        <f>IF($A113="","",ROUND($E113*$G113,2))</f>
        <v/>
      </c>
      <c r="K113" s="17">
        <f>IF($A113="","",ROUND($J113*$H113,2))</f>
        <v/>
      </c>
      <c r="L113" s="17">
        <f>IF($A113="","",1)</f>
        <v/>
      </c>
    </row>
    <row r="114">
      <c r="A114" s="13" t="n"/>
      <c r="B114" s="13" t="n"/>
      <c r="C114" s="13" t="n"/>
      <c r="D114" s="13" t="n"/>
      <c r="E114" s="14" t="n"/>
      <c r="F114" s="14" t="n"/>
      <c r="G114" s="15" t="n"/>
      <c r="H114" s="16" t="n"/>
      <c r="I114" s="17">
        <f>IF($A114="","",IFERROR(SUMIF(tblKategoriKomisyon[Kategori],$D114,tblKategoriKomisyon[KomisyonOran]),0))</f>
        <v/>
      </c>
      <c r="J114" s="17">
        <f>IF($A114="","",ROUND($E114*$G114,2))</f>
        <v/>
      </c>
      <c r="K114" s="17">
        <f>IF($A114="","",ROUND($J114*$H114,2))</f>
        <v/>
      </c>
      <c r="L114" s="17">
        <f>IF($A114="","",1)</f>
        <v/>
      </c>
    </row>
    <row r="115">
      <c r="A115" s="13" t="n"/>
      <c r="B115" s="13" t="n"/>
      <c r="C115" s="13" t="n"/>
      <c r="D115" s="13" t="n"/>
      <c r="E115" s="14" t="n"/>
      <c r="F115" s="14" t="n"/>
      <c r="G115" s="15" t="n"/>
      <c r="H115" s="16" t="n"/>
      <c r="I115" s="17">
        <f>IF($A115="","",IFERROR(SUMIF(tblKategoriKomisyon[Kategori],$D115,tblKategoriKomisyon[KomisyonOran]),0))</f>
        <v/>
      </c>
      <c r="J115" s="17">
        <f>IF($A115="","",ROUND($E115*$G115,2))</f>
        <v/>
      </c>
      <c r="K115" s="17">
        <f>IF($A115="","",ROUND($J115*$H115,2))</f>
        <v/>
      </c>
      <c r="L115" s="17">
        <f>IF($A115="","",1)</f>
        <v/>
      </c>
    </row>
    <row r="116">
      <c r="A116" s="13" t="n"/>
      <c r="B116" s="13" t="n"/>
      <c r="C116" s="13" t="n"/>
      <c r="D116" s="13" t="n"/>
      <c r="E116" s="14" t="n"/>
      <c r="F116" s="14" t="n"/>
      <c r="G116" s="15" t="n"/>
      <c r="H116" s="16" t="n"/>
      <c r="I116" s="17">
        <f>IF($A116="","",IFERROR(SUMIF(tblKategoriKomisyon[Kategori],$D116,tblKategoriKomisyon[KomisyonOran]),0))</f>
        <v/>
      </c>
      <c r="J116" s="17">
        <f>IF($A116="","",ROUND($E116*$G116,2))</f>
        <v/>
      </c>
      <c r="K116" s="17">
        <f>IF($A116="","",ROUND($J116*$H116,2))</f>
        <v/>
      </c>
      <c r="L116" s="17">
        <f>IF($A116="","",1)</f>
        <v/>
      </c>
    </row>
    <row r="117">
      <c r="A117" s="13" t="n"/>
      <c r="B117" s="13" t="n"/>
      <c r="C117" s="13" t="n"/>
      <c r="D117" s="13" t="n"/>
      <c r="E117" s="14" t="n"/>
      <c r="F117" s="14" t="n"/>
      <c r="G117" s="15" t="n"/>
      <c r="H117" s="16" t="n"/>
      <c r="I117" s="17">
        <f>IF($A117="","",IFERROR(SUMIF(tblKategoriKomisyon[Kategori],$D117,tblKategoriKomisyon[KomisyonOran]),0))</f>
        <v/>
      </c>
      <c r="J117" s="17">
        <f>IF($A117="","",ROUND($E117*$G117,2))</f>
        <v/>
      </c>
      <c r="K117" s="17">
        <f>IF($A117="","",ROUND($J117*$H117,2))</f>
        <v/>
      </c>
      <c r="L117" s="17">
        <f>IF($A117="","",1)</f>
        <v/>
      </c>
    </row>
    <row r="118">
      <c r="A118" s="13" t="n"/>
      <c r="B118" s="13" t="n"/>
      <c r="C118" s="13" t="n"/>
      <c r="D118" s="13" t="n"/>
      <c r="E118" s="14" t="n"/>
      <c r="F118" s="14" t="n"/>
      <c r="G118" s="15" t="n"/>
      <c r="H118" s="16" t="n"/>
      <c r="I118" s="17">
        <f>IF($A118="","",IFERROR(SUMIF(tblKategoriKomisyon[Kategori],$D118,tblKategoriKomisyon[KomisyonOran]),0))</f>
        <v/>
      </c>
      <c r="J118" s="17">
        <f>IF($A118="","",ROUND($E118*$G118,2))</f>
        <v/>
      </c>
      <c r="K118" s="17">
        <f>IF($A118="","",ROUND($J118*$H118,2))</f>
        <v/>
      </c>
      <c r="L118" s="17">
        <f>IF($A118="","",1)</f>
        <v/>
      </c>
    </row>
    <row r="119">
      <c r="A119" s="13" t="n"/>
      <c r="B119" s="13" t="n"/>
      <c r="C119" s="13" t="n"/>
      <c r="D119" s="13" t="n"/>
      <c r="E119" s="14" t="n"/>
      <c r="F119" s="14" t="n"/>
      <c r="G119" s="15" t="n"/>
      <c r="H119" s="16" t="n"/>
      <c r="I119" s="17">
        <f>IF($A119="","",IFERROR(SUMIF(tblKategoriKomisyon[Kategori],$D119,tblKategoriKomisyon[KomisyonOran]),0))</f>
        <v/>
      </c>
      <c r="J119" s="17">
        <f>IF($A119="","",ROUND($E119*$G119,2))</f>
        <v/>
      </c>
      <c r="K119" s="17">
        <f>IF($A119="","",ROUND($J119*$H119,2))</f>
        <v/>
      </c>
      <c r="L119" s="17">
        <f>IF($A119="","",1)</f>
        <v/>
      </c>
    </row>
    <row r="120">
      <c r="A120" s="13" t="n"/>
      <c r="B120" s="13" t="n"/>
      <c r="C120" s="13" t="n"/>
      <c r="D120" s="13" t="n"/>
      <c r="E120" s="14" t="n"/>
      <c r="F120" s="14" t="n"/>
      <c r="G120" s="15" t="n"/>
      <c r="H120" s="16" t="n"/>
      <c r="I120" s="17">
        <f>IF($A120="","",IFERROR(SUMIF(tblKategoriKomisyon[Kategori],$D120,tblKategoriKomisyon[KomisyonOran]),0))</f>
        <v/>
      </c>
      <c r="J120" s="17">
        <f>IF($A120="","",ROUND($E120*$G120,2))</f>
        <v/>
      </c>
      <c r="K120" s="17">
        <f>IF($A120="","",ROUND($J120*$H120,2))</f>
        <v/>
      </c>
      <c r="L120" s="17">
        <f>IF($A120="","",1)</f>
        <v/>
      </c>
    </row>
    <row r="121">
      <c r="A121" s="13" t="n"/>
      <c r="B121" s="13" t="n"/>
      <c r="C121" s="13" t="n"/>
      <c r="D121" s="13" t="n"/>
      <c r="E121" s="14" t="n"/>
      <c r="F121" s="14" t="n"/>
      <c r="G121" s="15" t="n"/>
      <c r="H121" s="16" t="n"/>
      <c r="I121" s="17">
        <f>IF($A121="","",IFERROR(SUMIF(tblKategoriKomisyon[Kategori],$D121,tblKategoriKomisyon[KomisyonOran]),0))</f>
        <v/>
      </c>
      <c r="J121" s="17">
        <f>IF($A121="","",ROUND($E121*$G121,2))</f>
        <v/>
      </c>
      <c r="K121" s="17">
        <f>IF($A121="","",ROUND($J121*$H121,2))</f>
        <v/>
      </c>
      <c r="L121" s="17">
        <f>IF($A121="","",1)</f>
        <v/>
      </c>
    </row>
    <row r="122">
      <c r="A122" s="13" t="n"/>
      <c r="B122" s="13" t="n"/>
      <c r="C122" s="13" t="n"/>
      <c r="D122" s="13" t="n"/>
      <c r="E122" s="14" t="n"/>
      <c r="F122" s="14" t="n"/>
      <c r="G122" s="15" t="n"/>
      <c r="H122" s="16" t="n"/>
      <c r="I122" s="17">
        <f>IF($A122="","",IFERROR(SUMIF(tblKategoriKomisyon[Kategori],$D122,tblKategoriKomisyon[KomisyonOran]),0))</f>
        <v/>
      </c>
      <c r="J122" s="17">
        <f>IF($A122="","",ROUND($E122*$G122,2))</f>
        <v/>
      </c>
      <c r="K122" s="17">
        <f>IF($A122="","",ROUND($J122*$H122,2))</f>
        <v/>
      </c>
      <c r="L122" s="17">
        <f>IF($A122="","",1)</f>
        <v/>
      </c>
    </row>
    <row r="123">
      <c r="A123" s="13" t="n"/>
      <c r="B123" s="13" t="n"/>
      <c r="C123" s="13" t="n"/>
      <c r="D123" s="13" t="n"/>
      <c r="E123" s="14" t="n"/>
      <c r="F123" s="14" t="n"/>
      <c r="G123" s="15" t="n"/>
      <c r="H123" s="16" t="n"/>
      <c r="I123" s="17">
        <f>IF($A123="","",IFERROR(SUMIF(tblKategoriKomisyon[Kategori],$D123,tblKategoriKomisyon[KomisyonOran]),0))</f>
        <v/>
      </c>
      <c r="J123" s="17">
        <f>IF($A123="","",ROUND($E123*$G123,2))</f>
        <v/>
      </c>
      <c r="K123" s="17">
        <f>IF($A123="","",ROUND($J123*$H123,2))</f>
        <v/>
      </c>
      <c r="L123" s="17">
        <f>IF($A123="","",1)</f>
        <v/>
      </c>
    </row>
    <row r="124">
      <c r="A124" s="13" t="n"/>
      <c r="B124" s="13" t="n"/>
      <c r="C124" s="13" t="n"/>
      <c r="D124" s="13" t="n"/>
      <c r="E124" s="14" t="n"/>
      <c r="F124" s="14" t="n"/>
      <c r="G124" s="15" t="n"/>
      <c r="H124" s="16" t="n"/>
      <c r="I124" s="17">
        <f>IF($A124="","",IFERROR(SUMIF(tblKategoriKomisyon[Kategori],$D124,tblKategoriKomisyon[KomisyonOran]),0))</f>
        <v/>
      </c>
      <c r="J124" s="17">
        <f>IF($A124="","",ROUND($E124*$G124,2))</f>
        <v/>
      </c>
      <c r="K124" s="17">
        <f>IF($A124="","",ROUND($J124*$H124,2))</f>
        <v/>
      </c>
      <c r="L124" s="17">
        <f>IF($A124="","",1)</f>
        <v/>
      </c>
    </row>
    <row r="125">
      <c r="A125" s="13" t="n"/>
      <c r="B125" s="13" t="n"/>
      <c r="C125" s="13" t="n"/>
      <c r="D125" s="13" t="n"/>
      <c r="E125" s="14" t="n"/>
      <c r="F125" s="14" t="n"/>
      <c r="G125" s="15" t="n"/>
      <c r="H125" s="16" t="n"/>
      <c r="I125" s="17">
        <f>IF($A125="","",IFERROR(SUMIF(tblKategoriKomisyon[Kategori],$D125,tblKategoriKomisyon[KomisyonOran]),0))</f>
        <v/>
      </c>
      <c r="J125" s="17">
        <f>IF($A125="","",ROUND($E125*$G125,2))</f>
        <v/>
      </c>
      <c r="K125" s="17">
        <f>IF($A125="","",ROUND($J125*$H125,2))</f>
        <v/>
      </c>
      <c r="L125" s="17">
        <f>IF($A125="","",1)</f>
        <v/>
      </c>
    </row>
    <row r="126">
      <c r="A126" s="13" t="n"/>
      <c r="B126" s="13" t="n"/>
      <c r="C126" s="13" t="n"/>
      <c r="D126" s="13" t="n"/>
      <c r="E126" s="14" t="n"/>
      <c r="F126" s="14" t="n"/>
      <c r="G126" s="15" t="n"/>
      <c r="H126" s="16" t="n"/>
      <c r="I126" s="17">
        <f>IF($A126="","",IFERROR(SUMIF(tblKategoriKomisyon[Kategori],$D126,tblKategoriKomisyon[KomisyonOran]),0))</f>
        <v/>
      </c>
      <c r="J126" s="17">
        <f>IF($A126="","",ROUND($E126*$G126,2))</f>
        <v/>
      </c>
      <c r="K126" s="17">
        <f>IF($A126="","",ROUND($J126*$H126,2))</f>
        <v/>
      </c>
      <c r="L126" s="17">
        <f>IF($A126="","",1)</f>
        <v/>
      </c>
    </row>
    <row r="127">
      <c r="A127" s="13" t="n"/>
      <c r="B127" s="13" t="n"/>
      <c r="C127" s="13" t="n"/>
      <c r="D127" s="13" t="n"/>
      <c r="E127" s="14" t="n"/>
      <c r="F127" s="14" t="n"/>
      <c r="G127" s="15" t="n"/>
      <c r="H127" s="16" t="n"/>
      <c r="I127" s="17">
        <f>IF($A127="","",IFERROR(SUMIF(tblKategoriKomisyon[Kategori],$D127,tblKategoriKomisyon[KomisyonOran]),0))</f>
        <v/>
      </c>
      <c r="J127" s="17">
        <f>IF($A127="","",ROUND($E127*$G127,2))</f>
        <v/>
      </c>
      <c r="K127" s="17">
        <f>IF($A127="","",ROUND($J127*$H127,2))</f>
        <v/>
      </c>
      <c r="L127" s="17">
        <f>IF($A127="","",1)</f>
        <v/>
      </c>
    </row>
    <row r="128">
      <c r="A128" s="13" t="n"/>
      <c r="B128" s="13" t="n"/>
      <c r="C128" s="13" t="n"/>
      <c r="D128" s="13" t="n"/>
      <c r="E128" s="14" t="n"/>
      <c r="F128" s="14" t="n"/>
      <c r="G128" s="15" t="n"/>
      <c r="H128" s="16" t="n"/>
      <c r="I128" s="17">
        <f>IF($A128="","",IFERROR(SUMIF(tblKategoriKomisyon[Kategori],$D128,tblKategoriKomisyon[KomisyonOran]),0))</f>
        <v/>
      </c>
      <c r="J128" s="17">
        <f>IF($A128="","",ROUND($E128*$G128,2))</f>
        <v/>
      </c>
      <c r="K128" s="17">
        <f>IF($A128="","",ROUND($J128*$H128,2))</f>
        <v/>
      </c>
      <c r="L128" s="17">
        <f>IF($A128="","",1)</f>
        <v/>
      </c>
    </row>
    <row r="129">
      <c r="A129" s="13" t="n"/>
      <c r="B129" s="13" t="n"/>
      <c r="C129" s="13" t="n"/>
      <c r="D129" s="13" t="n"/>
      <c r="E129" s="14" t="n"/>
      <c r="F129" s="14" t="n"/>
      <c r="G129" s="15" t="n"/>
      <c r="H129" s="16" t="n"/>
      <c r="I129" s="17">
        <f>IF($A129="","",IFERROR(SUMIF(tblKategoriKomisyon[Kategori],$D129,tblKategoriKomisyon[KomisyonOran]),0))</f>
        <v/>
      </c>
      <c r="J129" s="17">
        <f>IF($A129="","",ROUND($E129*$G129,2))</f>
        <v/>
      </c>
      <c r="K129" s="17">
        <f>IF($A129="","",ROUND($J129*$H129,2))</f>
        <v/>
      </c>
      <c r="L129" s="17">
        <f>IF($A129="","",1)</f>
        <v/>
      </c>
    </row>
    <row r="130">
      <c r="A130" s="13" t="n"/>
      <c r="B130" s="13" t="n"/>
      <c r="C130" s="13" t="n"/>
      <c r="D130" s="13" t="n"/>
      <c r="E130" s="14" t="n"/>
      <c r="F130" s="14" t="n"/>
      <c r="G130" s="15" t="n"/>
      <c r="H130" s="16" t="n"/>
      <c r="I130" s="17">
        <f>IF($A130="","",IFERROR(SUMIF(tblKategoriKomisyon[Kategori],$D130,tblKategoriKomisyon[KomisyonOran]),0))</f>
        <v/>
      </c>
      <c r="J130" s="17">
        <f>IF($A130="","",ROUND($E130*$G130,2))</f>
        <v/>
      </c>
      <c r="K130" s="17">
        <f>IF($A130="","",ROUND($J130*$H130,2))</f>
        <v/>
      </c>
      <c r="L130" s="17">
        <f>IF($A130="","",1)</f>
        <v/>
      </c>
    </row>
    <row r="131">
      <c r="A131" s="13" t="n"/>
      <c r="B131" s="13" t="n"/>
      <c r="C131" s="13" t="n"/>
      <c r="D131" s="13" t="n"/>
      <c r="E131" s="14" t="n"/>
      <c r="F131" s="14" t="n"/>
      <c r="G131" s="15" t="n"/>
      <c r="H131" s="16" t="n"/>
      <c r="I131" s="17">
        <f>IF($A131="","",IFERROR(SUMIF(tblKategoriKomisyon[Kategori],$D131,tblKategoriKomisyon[KomisyonOran]),0))</f>
        <v/>
      </c>
      <c r="J131" s="17">
        <f>IF($A131="","",ROUND($E131*$G131,2))</f>
        <v/>
      </c>
      <c r="K131" s="17">
        <f>IF($A131="","",ROUND($J131*$H131,2))</f>
        <v/>
      </c>
      <c r="L131" s="17">
        <f>IF($A131="","",1)</f>
        <v/>
      </c>
    </row>
    <row r="132">
      <c r="A132" s="13" t="n"/>
      <c r="B132" s="13" t="n"/>
      <c r="C132" s="13" t="n"/>
      <c r="D132" s="13" t="n"/>
      <c r="E132" s="14" t="n"/>
      <c r="F132" s="14" t="n"/>
      <c r="G132" s="15" t="n"/>
      <c r="H132" s="16" t="n"/>
      <c r="I132" s="17">
        <f>IF($A132="","",IFERROR(SUMIF(tblKategoriKomisyon[Kategori],$D132,tblKategoriKomisyon[KomisyonOran]),0))</f>
        <v/>
      </c>
      <c r="J132" s="17">
        <f>IF($A132="","",ROUND($E132*$G132,2))</f>
        <v/>
      </c>
      <c r="K132" s="17">
        <f>IF($A132="","",ROUND($J132*$H132,2))</f>
        <v/>
      </c>
      <c r="L132" s="17">
        <f>IF($A132="","",1)</f>
        <v/>
      </c>
    </row>
    <row r="133">
      <c r="A133" s="13" t="n"/>
      <c r="B133" s="13" t="n"/>
      <c r="C133" s="13" t="n"/>
      <c r="D133" s="13" t="n"/>
      <c r="E133" s="14" t="n"/>
      <c r="F133" s="14" t="n"/>
      <c r="G133" s="15" t="n"/>
      <c r="H133" s="16" t="n"/>
      <c r="I133" s="17">
        <f>IF($A133="","",IFERROR(SUMIF(tblKategoriKomisyon[Kategori],$D133,tblKategoriKomisyon[KomisyonOran]),0))</f>
        <v/>
      </c>
      <c r="J133" s="17">
        <f>IF($A133="","",ROUND($E133*$G133,2))</f>
        <v/>
      </c>
      <c r="K133" s="17">
        <f>IF($A133="","",ROUND($J133*$H133,2))</f>
        <v/>
      </c>
      <c r="L133" s="17">
        <f>IF($A133="","",1)</f>
        <v/>
      </c>
    </row>
    <row r="134">
      <c r="A134" s="13" t="n"/>
      <c r="B134" s="13" t="n"/>
      <c r="C134" s="13" t="n"/>
      <c r="D134" s="13" t="n"/>
      <c r="E134" s="14" t="n"/>
      <c r="F134" s="14" t="n"/>
      <c r="G134" s="15" t="n"/>
      <c r="H134" s="16" t="n"/>
      <c r="I134" s="17">
        <f>IF($A134="","",IFERROR(SUMIF(tblKategoriKomisyon[Kategori],$D134,tblKategoriKomisyon[KomisyonOran]),0))</f>
        <v/>
      </c>
      <c r="J134" s="17">
        <f>IF($A134="","",ROUND($E134*$G134,2))</f>
        <v/>
      </c>
      <c r="K134" s="17">
        <f>IF($A134="","",ROUND($J134*$H134,2))</f>
        <v/>
      </c>
      <c r="L134" s="17">
        <f>IF($A134="","",1)</f>
        <v/>
      </c>
    </row>
    <row r="135">
      <c r="A135" s="13" t="n"/>
      <c r="B135" s="13" t="n"/>
      <c r="C135" s="13" t="n"/>
      <c r="D135" s="13" t="n"/>
      <c r="E135" s="14" t="n"/>
      <c r="F135" s="14" t="n"/>
      <c r="G135" s="15" t="n"/>
      <c r="H135" s="16" t="n"/>
      <c r="I135" s="17">
        <f>IF($A135="","",IFERROR(SUMIF(tblKategoriKomisyon[Kategori],$D135,tblKategoriKomisyon[KomisyonOran]),0))</f>
        <v/>
      </c>
      <c r="J135" s="17">
        <f>IF($A135="","",ROUND($E135*$G135,2))</f>
        <v/>
      </c>
      <c r="K135" s="17">
        <f>IF($A135="","",ROUND($J135*$H135,2))</f>
        <v/>
      </c>
      <c r="L135" s="17">
        <f>IF($A135="","",1)</f>
        <v/>
      </c>
    </row>
    <row r="136">
      <c r="A136" s="13" t="n"/>
      <c r="B136" s="13" t="n"/>
      <c r="C136" s="13" t="n"/>
      <c r="D136" s="13" t="n"/>
      <c r="E136" s="14" t="n"/>
      <c r="F136" s="14" t="n"/>
      <c r="G136" s="15" t="n"/>
      <c r="H136" s="16" t="n"/>
      <c r="I136" s="17">
        <f>IF($A136="","",IFERROR(SUMIF(tblKategoriKomisyon[Kategori],$D136,tblKategoriKomisyon[KomisyonOran]),0))</f>
        <v/>
      </c>
      <c r="J136" s="17">
        <f>IF($A136="","",ROUND($E136*$G136,2))</f>
        <v/>
      </c>
      <c r="K136" s="17">
        <f>IF($A136="","",ROUND($J136*$H136,2))</f>
        <v/>
      </c>
      <c r="L136" s="17">
        <f>IF($A136="","",1)</f>
        <v/>
      </c>
    </row>
    <row r="137">
      <c r="A137" s="13" t="n"/>
      <c r="B137" s="13" t="n"/>
      <c r="C137" s="13" t="n"/>
      <c r="D137" s="13" t="n"/>
      <c r="E137" s="14" t="n"/>
      <c r="F137" s="14" t="n"/>
      <c r="G137" s="15" t="n"/>
      <c r="H137" s="16" t="n"/>
      <c r="I137" s="17">
        <f>IF($A137="","",IFERROR(SUMIF(tblKategoriKomisyon[Kategori],$D137,tblKategoriKomisyon[KomisyonOran]),0))</f>
        <v/>
      </c>
      <c r="J137" s="17">
        <f>IF($A137="","",ROUND($E137*$G137,2))</f>
        <v/>
      </c>
      <c r="K137" s="17">
        <f>IF($A137="","",ROUND($J137*$H137,2))</f>
        <v/>
      </c>
      <c r="L137" s="17">
        <f>IF($A137="","",1)</f>
        <v/>
      </c>
    </row>
    <row r="138">
      <c r="A138" s="13" t="n"/>
      <c r="B138" s="13" t="n"/>
      <c r="C138" s="13" t="n"/>
      <c r="D138" s="13" t="n"/>
      <c r="E138" s="14" t="n"/>
      <c r="F138" s="14" t="n"/>
      <c r="G138" s="15" t="n"/>
      <c r="H138" s="16" t="n"/>
      <c r="I138" s="17">
        <f>IF($A138="","",IFERROR(SUMIF(tblKategoriKomisyon[Kategori],$D138,tblKategoriKomisyon[KomisyonOran]),0))</f>
        <v/>
      </c>
      <c r="J138" s="17">
        <f>IF($A138="","",ROUND($E138*$G138,2))</f>
        <v/>
      </c>
      <c r="K138" s="17">
        <f>IF($A138="","",ROUND($J138*$H138,2))</f>
        <v/>
      </c>
      <c r="L138" s="17">
        <f>IF($A138="","",1)</f>
        <v/>
      </c>
    </row>
    <row r="139">
      <c r="A139" s="13" t="n"/>
      <c r="B139" s="13" t="n"/>
      <c r="C139" s="13" t="n"/>
      <c r="D139" s="13" t="n"/>
      <c r="E139" s="14" t="n"/>
      <c r="F139" s="14" t="n"/>
      <c r="G139" s="15" t="n"/>
      <c r="H139" s="16" t="n"/>
      <c r="I139" s="17">
        <f>IF($A139="","",IFERROR(SUMIF(tblKategoriKomisyon[Kategori],$D139,tblKategoriKomisyon[KomisyonOran]),0))</f>
        <v/>
      </c>
      <c r="J139" s="17">
        <f>IF($A139="","",ROUND($E139*$G139,2))</f>
        <v/>
      </c>
      <c r="K139" s="17">
        <f>IF($A139="","",ROUND($J139*$H139,2))</f>
        <v/>
      </c>
      <c r="L139" s="17">
        <f>IF($A139="","",1)</f>
        <v/>
      </c>
    </row>
    <row r="140">
      <c r="A140" s="13" t="n"/>
      <c r="B140" s="13" t="n"/>
      <c r="C140" s="13" t="n"/>
      <c r="D140" s="13" t="n"/>
      <c r="E140" s="14" t="n"/>
      <c r="F140" s="14" t="n"/>
      <c r="G140" s="15" t="n"/>
      <c r="H140" s="16" t="n"/>
      <c r="I140" s="17">
        <f>IF($A140="","",IFERROR(SUMIF(tblKategoriKomisyon[Kategori],$D140,tblKategoriKomisyon[KomisyonOran]),0))</f>
        <v/>
      </c>
      <c r="J140" s="17">
        <f>IF($A140="","",ROUND($E140*$G140,2))</f>
        <v/>
      </c>
      <c r="K140" s="17">
        <f>IF($A140="","",ROUND($J140*$H140,2))</f>
        <v/>
      </c>
      <c r="L140" s="17">
        <f>IF($A140="","",1)</f>
        <v/>
      </c>
    </row>
    <row r="141">
      <c r="A141" s="13" t="n"/>
      <c r="B141" s="13" t="n"/>
      <c r="C141" s="13" t="n"/>
      <c r="D141" s="13" t="n"/>
      <c r="E141" s="14" t="n"/>
      <c r="F141" s="14" t="n"/>
      <c r="G141" s="15" t="n"/>
      <c r="H141" s="16" t="n"/>
      <c r="I141" s="17">
        <f>IF($A141="","",IFERROR(SUMIF(tblKategoriKomisyon[Kategori],$D141,tblKategoriKomisyon[KomisyonOran]),0))</f>
        <v/>
      </c>
      <c r="J141" s="17">
        <f>IF($A141="","",ROUND($E141*$G141,2))</f>
        <v/>
      </c>
      <c r="K141" s="17">
        <f>IF($A141="","",ROUND($J141*$H141,2))</f>
        <v/>
      </c>
      <c r="L141" s="17">
        <f>IF($A141="","",1)</f>
        <v/>
      </c>
    </row>
    <row r="142">
      <c r="A142" s="13" t="n"/>
      <c r="B142" s="13" t="n"/>
      <c r="C142" s="13" t="n"/>
      <c r="D142" s="13" t="n"/>
      <c r="E142" s="14" t="n"/>
      <c r="F142" s="14" t="n"/>
      <c r="G142" s="15" t="n"/>
      <c r="H142" s="16" t="n"/>
      <c r="I142" s="17">
        <f>IF($A142="","",IFERROR(SUMIF(tblKategoriKomisyon[Kategori],$D142,tblKategoriKomisyon[KomisyonOran]),0))</f>
        <v/>
      </c>
      <c r="J142" s="17">
        <f>IF($A142="","",ROUND($E142*$G142,2))</f>
        <v/>
      </c>
      <c r="K142" s="17">
        <f>IF($A142="","",ROUND($J142*$H142,2))</f>
        <v/>
      </c>
      <c r="L142" s="17">
        <f>IF($A142="","",1)</f>
        <v/>
      </c>
    </row>
    <row r="143">
      <c r="A143" s="13" t="n"/>
      <c r="B143" s="13" t="n"/>
      <c r="C143" s="13" t="n"/>
      <c r="D143" s="13" t="n"/>
      <c r="E143" s="14" t="n"/>
      <c r="F143" s="14" t="n"/>
      <c r="G143" s="15" t="n"/>
      <c r="H143" s="16" t="n"/>
      <c r="I143" s="17">
        <f>IF($A143="","",IFERROR(SUMIF(tblKategoriKomisyon[Kategori],$D143,tblKategoriKomisyon[KomisyonOran]),0))</f>
        <v/>
      </c>
      <c r="J143" s="17">
        <f>IF($A143="","",ROUND($E143*$G143,2))</f>
        <v/>
      </c>
      <c r="K143" s="17">
        <f>IF($A143="","",ROUND($J143*$H143,2))</f>
        <v/>
      </c>
      <c r="L143" s="17">
        <f>IF($A143="","",1)</f>
        <v/>
      </c>
    </row>
    <row r="144">
      <c r="A144" s="13" t="n"/>
      <c r="B144" s="13" t="n"/>
      <c r="C144" s="13" t="n"/>
      <c r="D144" s="13" t="n"/>
      <c r="E144" s="14" t="n"/>
      <c r="F144" s="14" t="n"/>
      <c r="G144" s="15" t="n"/>
      <c r="H144" s="16" t="n"/>
      <c r="I144" s="17">
        <f>IF($A144="","",IFERROR(SUMIF(tblKategoriKomisyon[Kategori],$D144,tblKategoriKomisyon[KomisyonOran]),0))</f>
        <v/>
      </c>
      <c r="J144" s="17">
        <f>IF($A144="","",ROUND($E144*$G144,2))</f>
        <v/>
      </c>
      <c r="K144" s="17">
        <f>IF($A144="","",ROUND($J144*$H144,2))</f>
        <v/>
      </c>
      <c r="L144" s="17">
        <f>IF($A144="","",1)</f>
        <v/>
      </c>
    </row>
    <row r="145">
      <c r="A145" s="13" t="n"/>
      <c r="B145" s="13" t="n"/>
      <c r="C145" s="13" t="n"/>
      <c r="D145" s="13" t="n"/>
      <c r="E145" s="14" t="n"/>
      <c r="F145" s="14" t="n"/>
      <c r="G145" s="15" t="n"/>
      <c r="H145" s="16" t="n"/>
      <c r="I145" s="17">
        <f>IF($A145="","",IFERROR(SUMIF(tblKategoriKomisyon[Kategori],$D145,tblKategoriKomisyon[KomisyonOran]),0))</f>
        <v/>
      </c>
      <c r="J145" s="17">
        <f>IF($A145="","",ROUND($E145*$G145,2))</f>
        <v/>
      </c>
      <c r="K145" s="17">
        <f>IF($A145="","",ROUND($J145*$H145,2))</f>
        <v/>
      </c>
      <c r="L145" s="17">
        <f>IF($A145="","",1)</f>
        <v/>
      </c>
    </row>
    <row r="146">
      <c r="A146" s="13" t="n"/>
      <c r="B146" s="13" t="n"/>
      <c r="C146" s="13" t="n"/>
      <c r="D146" s="13" t="n"/>
      <c r="E146" s="14" t="n"/>
      <c r="F146" s="14" t="n"/>
      <c r="G146" s="15" t="n"/>
      <c r="H146" s="16" t="n"/>
      <c r="I146" s="17">
        <f>IF($A146="","",IFERROR(SUMIF(tblKategoriKomisyon[Kategori],$D146,tblKategoriKomisyon[KomisyonOran]),0))</f>
        <v/>
      </c>
      <c r="J146" s="17">
        <f>IF($A146="","",ROUND($E146*$G146,2))</f>
        <v/>
      </c>
      <c r="K146" s="17">
        <f>IF($A146="","",ROUND($J146*$H146,2))</f>
        <v/>
      </c>
      <c r="L146" s="17">
        <f>IF($A146="","",1)</f>
        <v/>
      </c>
    </row>
    <row r="147">
      <c r="A147" s="13" t="n"/>
      <c r="B147" s="13" t="n"/>
      <c r="C147" s="13" t="n"/>
      <c r="D147" s="13" t="n"/>
      <c r="E147" s="14" t="n"/>
      <c r="F147" s="14" t="n"/>
      <c r="G147" s="15" t="n"/>
      <c r="H147" s="16" t="n"/>
      <c r="I147" s="17">
        <f>IF($A147="","",IFERROR(SUMIF(tblKategoriKomisyon[Kategori],$D147,tblKategoriKomisyon[KomisyonOran]),0))</f>
        <v/>
      </c>
      <c r="J147" s="17">
        <f>IF($A147="","",ROUND($E147*$G147,2))</f>
        <v/>
      </c>
      <c r="K147" s="17">
        <f>IF($A147="","",ROUND($J147*$H147,2))</f>
        <v/>
      </c>
      <c r="L147" s="17">
        <f>IF($A147="","",1)</f>
        <v/>
      </c>
    </row>
    <row r="148">
      <c r="A148" s="13" t="n"/>
      <c r="B148" s="13" t="n"/>
      <c r="C148" s="13" t="n"/>
      <c r="D148" s="13" t="n"/>
      <c r="E148" s="14" t="n"/>
      <c r="F148" s="14" t="n"/>
      <c r="G148" s="15" t="n"/>
      <c r="H148" s="16" t="n"/>
      <c r="I148" s="17">
        <f>IF($A148="","",IFERROR(SUMIF(tblKategoriKomisyon[Kategori],$D148,tblKategoriKomisyon[KomisyonOran]),0))</f>
        <v/>
      </c>
      <c r="J148" s="17">
        <f>IF($A148="","",ROUND($E148*$G148,2))</f>
        <v/>
      </c>
      <c r="K148" s="17">
        <f>IF($A148="","",ROUND($J148*$H148,2))</f>
        <v/>
      </c>
      <c r="L148" s="17">
        <f>IF($A148="","",1)</f>
        <v/>
      </c>
    </row>
    <row r="149">
      <c r="A149" s="13" t="n"/>
      <c r="B149" s="13" t="n"/>
      <c r="C149" s="13" t="n"/>
      <c r="D149" s="13" t="n"/>
      <c r="E149" s="14" t="n"/>
      <c r="F149" s="14" t="n"/>
      <c r="G149" s="15" t="n"/>
      <c r="H149" s="16" t="n"/>
      <c r="I149" s="17">
        <f>IF($A149="","",IFERROR(SUMIF(tblKategoriKomisyon[Kategori],$D149,tblKategoriKomisyon[KomisyonOran]),0))</f>
        <v/>
      </c>
      <c r="J149" s="17">
        <f>IF($A149="","",ROUND($E149*$G149,2))</f>
        <v/>
      </c>
      <c r="K149" s="17">
        <f>IF($A149="","",ROUND($J149*$H149,2))</f>
        <v/>
      </c>
      <c r="L149" s="17">
        <f>IF($A149="","",1)</f>
        <v/>
      </c>
    </row>
    <row r="150">
      <c r="A150" s="13" t="n"/>
      <c r="B150" s="13" t="n"/>
      <c r="C150" s="13" t="n"/>
      <c r="D150" s="13" t="n"/>
      <c r="E150" s="14" t="n"/>
      <c r="F150" s="14" t="n"/>
      <c r="G150" s="15" t="n"/>
      <c r="H150" s="16" t="n"/>
      <c r="I150" s="17">
        <f>IF($A150="","",IFERROR(SUMIF(tblKategoriKomisyon[Kategori],$D150,tblKategoriKomisyon[KomisyonOran]),0))</f>
        <v/>
      </c>
      <c r="J150" s="17">
        <f>IF($A150="","",ROUND($E150*$G150,2))</f>
        <v/>
      </c>
      <c r="K150" s="17">
        <f>IF($A150="","",ROUND($J150*$H150,2))</f>
        <v/>
      </c>
      <c r="L150" s="17">
        <f>IF($A150="","",1)</f>
        <v/>
      </c>
    </row>
    <row r="151">
      <c r="A151" s="13" t="n"/>
      <c r="B151" s="13" t="n"/>
      <c r="C151" s="13" t="n"/>
      <c r="D151" s="13" t="n"/>
      <c r="E151" s="14" t="n"/>
      <c r="F151" s="14" t="n"/>
      <c r="G151" s="15" t="n"/>
      <c r="H151" s="16" t="n"/>
      <c r="I151" s="17">
        <f>IF($A151="","",IFERROR(SUMIF(tblKategoriKomisyon[Kategori],$D151,tblKategoriKomisyon[KomisyonOran]),0))</f>
        <v/>
      </c>
      <c r="J151" s="17">
        <f>IF($A151="","",ROUND($E151*$G151,2))</f>
        <v/>
      </c>
      <c r="K151" s="17">
        <f>IF($A151="","",ROUND($J151*$H151,2))</f>
        <v/>
      </c>
      <c r="L151" s="17">
        <f>IF($A151="","",1)</f>
        <v/>
      </c>
    </row>
    <row r="152">
      <c r="A152" s="13" t="n"/>
      <c r="B152" s="13" t="n"/>
      <c r="C152" s="13" t="n"/>
      <c r="D152" s="13" t="n"/>
      <c r="E152" s="14" t="n"/>
      <c r="F152" s="14" t="n"/>
      <c r="G152" s="15" t="n"/>
      <c r="H152" s="16" t="n"/>
      <c r="I152" s="17">
        <f>IF($A152="","",IFERROR(SUMIF(tblKategoriKomisyon[Kategori],$D152,tblKategoriKomisyon[KomisyonOran]),0))</f>
        <v/>
      </c>
      <c r="J152" s="17">
        <f>IF($A152="","",ROUND($E152*$G152,2))</f>
        <v/>
      </c>
      <c r="K152" s="17">
        <f>IF($A152="","",ROUND($J152*$H152,2))</f>
        <v/>
      </c>
      <c r="L152" s="17">
        <f>IF($A152="","",1)</f>
        <v/>
      </c>
    </row>
    <row r="153">
      <c r="A153" s="13" t="n"/>
      <c r="B153" s="13" t="n"/>
      <c r="C153" s="13" t="n"/>
      <c r="D153" s="13" t="n"/>
      <c r="E153" s="14" t="n"/>
      <c r="F153" s="14" t="n"/>
      <c r="G153" s="15" t="n"/>
      <c r="H153" s="16" t="n"/>
      <c r="I153" s="17">
        <f>IF($A153="","",IFERROR(SUMIF(tblKategoriKomisyon[Kategori],$D153,tblKategoriKomisyon[KomisyonOran]),0))</f>
        <v/>
      </c>
      <c r="J153" s="17">
        <f>IF($A153="","",ROUND($E153*$G153,2))</f>
        <v/>
      </c>
      <c r="K153" s="17">
        <f>IF($A153="","",ROUND($J153*$H153,2))</f>
        <v/>
      </c>
      <c r="L153" s="17">
        <f>IF($A153="","",1)</f>
        <v/>
      </c>
    </row>
    <row r="154">
      <c r="A154" s="13" t="n"/>
      <c r="B154" s="13" t="n"/>
      <c r="C154" s="13" t="n"/>
      <c r="D154" s="13" t="n"/>
      <c r="E154" s="14" t="n"/>
      <c r="F154" s="14" t="n"/>
      <c r="G154" s="15" t="n"/>
      <c r="H154" s="16" t="n"/>
      <c r="I154" s="17">
        <f>IF($A154="","",IFERROR(SUMIF(tblKategoriKomisyon[Kategori],$D154,tblKategoriKomisyon[KomisyonOran]),0))</f>
        <v/>
      </c>
      <c r="J154" s="17">
        <f>IF($A154="","",ROUND($E154*$G154,2))</f>
        <v/>
      </c>
      <c r="K154" s="17">
        <f>IF($A154="","",ROUND($J154*$H154,2))</f>
        <v/>
      </c>
      <c r="L154" s="17">
        <f>IF($A154="","",1)</f>
        <v/>
      </c>
    </row>
    <row r="155">
      <c r="A155" s="13" t="n"/>
      <c r="B155" s="13" t="n"/>
      <c r="C155" s="13" t="n"/>
      <c r="D155" s="13" t="n"/>
      <c r="E155" s="14" t="n"/>
      <c r="F155" s="14" t="n"/>
      <c r="G155" s="15" t="n"/>
      <c r="H155" s="16" t="n"/>
      <c r="I155" s="17">
        <f>IF($A155="","",IFERROR(SUMIF(tblKategoriKomisyon[Kategori],$D155,tblKategoriKomisyon[KomisyonOran]),0))</f>
        <v/>
      </c>
      <c r="J155" s="17">
        <f>IF($A155="","",ROUND($E155*$G155,2))</f>
        <v/>
      </c>
      <c r="K155" s="17">
        <f>IF($A155="","",ROUND($J155*$H155,2))</f>
        <v/>
      </c>
      <c r="L155" s="17">
        <f>IF($A155="","",1)</f>
        <v/>
      </c>
    </row>
    <row r="156">
      <c r="A156" s="13" t="n"/>
      <c r="B156" s="13" t="n"/>
      <c r="C156" s="13" t="n"/>
      <c r="D156" s="13" t="n"/>
      <c r="E156" s="14" t="n"/>
      <c r="F156" s="14" t="n"/>
      <c r="G156" s="15" t="n"/>
      <c r="H156" s="16" t="n"/>
      <c r="I156" s="17">
        <f>IF($A156="","",IFERROR(SUMIF(tblKategoriKomisyon[Kategori],$D156,tblKategoriKomisyon[KomisyonOran]),0))</f>
        <v/>
      </c>
      <c r="J156" s="17">
        <f>IF($A156="","",ROUND($E156*$G156,2))</f>
        <v/>
      </c>
      <c r="K156" s="17">
        <f>IF($A156="","",ROUND($J156*$H156,2))</f>
        <v/>
      </c>
      <c r="L156" s="17">
        <f>IF($A156="","",1)</f>
        <v/>
      </c>
    </row>
    <row r="157">
      <c r="A157" s="13" t="n"/>
      <c r="B157" s="13" t="n"/>
      <c r="C157" s="13" t="n"/>
      <c r="D157" s="13" t="n"/>
      <c r="E157" s="14" t="n"/>
      <c r="F157" s="14" t="n"/>
      <c r="G157" s="15" t="n"/>
      <c r="H157" s="16" t="n"/>
      <c r="I157" s="17">
        <f>IF($A157="","",IFERROR(SUMIF(tblKategoriKomisyon[Kategori],$D157,tblKategoriKomisyon[KomisyonOran]),0))</f>
        <v/>
      </c>
      <c r="J157" s="17">
        <f>IF($A157="","",ROUND($E157*$G157,2))</f>
        <v/>
      </c>
      <c r="K157" s="17">
        <f>IF($A157="","",ROUND($J157*$H157,2))</f>
        <v/>
      </c>
      <c r="L157" s="17">
        <f>IF($A157="","",1)</f>
        <v/>
      </c>
    </row>
    <row r="158">
      <c r="A158" s="13" t="n"/>
      <c r="B158" s="13" t="n"/>
      <c r="C158" s="13" t="n"/>
      <c r="D158" s="13" t="n"/>
      <c r="E158" s="14" t="n"/>
      <c r="F158" s="14" t="n"/>
      <c r="G158" s="15" t="n"/>
      <c r="H158" s="16" t="n"/>
      <c r="I158" s="17">
        <f>IF($A158="","",IFERROR(SUMIF(tblKategoriKomisyon[Kategori],$D158,tblKategoriKomisyon[KomisyonOran]),0))</f>
        <v/>
      </c>
      <c r="J158" s="17">
        <f>IF($A158="","",ROUND($E158*$G158,2))</f>
        <v/>
      </c>
      <c r="K158" s="17">
        <f>IF($A158="","",ROUND($J158*$H158,2))</f>
        <v/>
      </c>
      <c r="L158" s="17">
        <f>IF($A158="","",1)</f>
        <v/>
      </c>
    </row>
    <row r="159">
      <c r="A159" s="13" t="n"/>
      <c r="B159" s="13" t="n"/>
      <c r="C159" s="13" t="n"/>
      <c r="D159" s="13" t="n"/>
      <c r="E159" s="14" t="n"/>
      <c r="F159" s="14" t="n"/>
      <c r="G159" s="15" t="n"/>
      <c r="H159" s="16" t="n"/>
      <c r="I159" s="17">
        <f>IF($A159="","",IFERROR(SUMIF(tblKategoriKomisyon[Kategori],$D159,tblKategoriKomisyon[KomisyonOran]),0))</f>
        <v/>
      </c>
      <c r="J159" s="17">
        <f>IF($A159="","",ROUND($E159*$G159,2))</f>
        <v/>
      </c>
      <c r="K159" s="17">
        <f>IF($A159="","",ROUND($J159*$H159,2))</f>
        <v/>
      </c>
      <c r="L159" s="17">
        <f>IF($A159="","",1)</f>
        <v/>
      </c>
    </row>
    <row r="160">
      <c r="A160" s="13" t="n"/>
      <c r="B160" s="13" t="n"/>
      <c r="C160" s="13" t="n"/>
      <c r="D160" s="13" t="n"/>
      <c r="E160" s="14" t="n"/>
      <c r="F160" s="14" t="n"/>
      <c r="G160" s="15" t="n"/>
      <c r="H160" s="16" t="n"/>
      <c r="I160" s="17">
        <f>IF($A160="","",IFERROR(SUMIF(tblKategoriKomisyon[Kategori],$D160,tblKategoriKomisyon[KomisyonOran]),0))</f>
        <v/>
      </c>
      <c r="J160" s="17">
        <f>IF($A160="","",ROUND($E160*$G160,2))</f>
        <v/>
      </c>
      <c r="K160" s="17">
        <f>IF($A160="","",ROUND($J160*$H160,2))</f>
        <v/>
      </c>
      <c r="L160" s="17">
        <f>IF($A160="","",1)</f>
        <v/>
      </c>
    </row>
    <row r="161">
      <c r="A161" s="13" t="n"/>
      <c r="B161" s="13" t="n"/>
      <c r="C161" s="13" t="n"/>
      <c r="D161" s="13" t="n"/>
      <c r="E161" s="14" t="n"/>
      <c r="F161" s="14" t="n"/>
      <c r="G161" s="15" t="n"/>
      <c r="H161" s="16" t="n"/>
      <c r="I161" s="17">
        <f>IF($A161="","",IFERROR(SUMIF(tblKategoriKomisyon[Kategori],$D161,tblKategoriKomisyon[KomisyonOran]),0))</f>
        <v/>
      </c>
      <c r="J161" s="17">
        <f>IF($A161="","",ROUND($E161*$G161,2))</f>
        <v/>
      </c>
      <c r="K161" s="17">
        <f>IF($A161="","",ROUND($J161*$H161,2))</f>
        <v/>
      </c>
      <c r="L161" s="17">
        <f>IF($A161="","",1)</f>
        <v/>
      </c>
    </row>
    <row r="162">
      <c r="A162" s="13" t="n"/>
      <c r="B162" s="13" t="n"/>
      <c r="C162" s="13" t="n"/>
      <c r="D162" s="13" t="n"/>
      <c r="E162" s="14" t="n"/>
      <c r="F162" s="14" t="n"/>
      <c r="G162" s="15" t="n"/>
      <c r="H162" s="16" t="n"/>
      <c r="I162" s="17">
        <f>IF($A162="","",IFERROR(SUMIF(tblKategoriKomisyon[Kategori],$D162,tblKategoriKomisyon[KomisyonOran]),0))</f>
        <v/>
      </c>
      <c r="J162" s="17">
        <f>IF($A162="","",ROUND($E162*$G162,2))</f>
        <v/>
      </c>
      <c r="K162" s="17">
        <f>IF($A162="","",ROUND($J162*$H162,2))</f>
        <v/>
      </c>
      <c r="L162" s="17">
        <f>IF($A162="","",1)</f>
        <v/>
      </c>
    </row>
    <row r="163">
      <c r="A163" s="13" t="n"/>
      <c r="B163" s="13" t="n"/>
      <c r="C163" s="13" t="n"/>
      <c r="D163" s="13" t="n"/>
      <c r="E163" s="14" t="n"/>
      <c r="F163" s="14" t="n"/>
      <c r="G163" s="15" t="n"/>
      <c r="H163" s="16" t="n"/>
      <c r="I163" s="17">
        <f>IF($A163="","",IFERROR(SUMIF(tblKategoriKomisyon[Kategori],$D163,tblKategoriKomisyon[KomisyonOran]),0))</f>
        <v/>
      </c>
      <c r="J163" s="17">
        <f>IF($A163="","",ROUND($E163*$G163,2))</f>
        <v/>
      </c>
      <c r="K163" s="17">
        <f>IF($A163="","",ROUND($J163*$H163,2))</f>
        <v/>
      </c>
      <c r="L163" s="17">
        <f>IF($A163="","",1)</f>
        <v/>
      </c>
    </row>
    <row r="164">
      <c r="A164" s="13" t="n"/>
      <c r="B164" s="13" t="n"/>
      <c r="C164" s="13" t="n"/>
      <c r="D164" s="13" t="n"/>
      <c r="E164" s="14" t="n"/>
      <c r="F164" s="14" t="n"/>
      <c r="G164" s="15" t="n"/>
      <c r="H164" s="16" t="n"/>
      <c r="I164" s="17">
        <f>IF($A164="","",IFERROR(SUMIF(tblKategoriKomisyon[Kategori],$D164,tblKategoriKomisyon[KomisyonOran]),0))</f>
        <v/>
      </c>
      <c r="J164" s="17">
        <f>IF($A164="","",ROUND($E164*$G164,2))</f>
        <v/>
      </c>
      <c r="K164" s="17">
        <f>IF($A164="","",ROUND($J164*$H164,2))</f>
        <v/>
      </c>
      <c r="L164" s="17">
        <f>IF($A164="","",1)</f>
        <v/>
      </c>
    </row>
    <row r="165">
      <c r="A165" s="13" t="n"/>
      <c r="B165" s="13" t="n"/>
      <c r="C165" s="13" t="n"/>
      <c r="D165" s="13" t="n"/>
      <c r="E165" s="14" t="n"/>
      <c r="F165" s="14" t="n"/>
      <c r="G165" s="15" t="n"/>
      <c r="H165" s="16" t="n"/>
      <c r="I165" s="17">
        <f>IF($A165="","",IFERROR(SUMIF(tblKategoriKomisyon[Kategori],$D165,tblKategoriKomisyon[KomisyonOran]),0))</f>
        <v/>
      </c>
      <c r="J165" s="17">
        <f>IF($A165="","",ROUND($E165*$G165,2))</f>
        <v/>
      </c>
      <c r="K165" s="17">
        <f>IF($A165="","",ROUND($J165*$H165,2))</f>
        <v/>
      </c>
      <c r="L165" s="17">
        <f>IF($A165="","",1)</f>
        <v/>
      </c>
    </row>
    <row r="166">
      <c r="A166" s="13" t="n"/>
      <c r="B166" s="13" t="n"/>
      <c r="C166" s="13" t="n"/>
      <c r="D166" s="13" t="n"/>
      <c r="E166" s="14" t="n"/>
      <c r="F166" s="14" t="n"/>
      <c r="G166" s="15" t="n"/>
      <c r="H166" s="16" t="n"/>
      <c r="I166" s="17">
        <f>IF($A166="","",IFERROR(SUMIF(tblKategoriKomisyon[Kategori],$D166,tblKategoriKomisyon[KomisyonOran]),0))</f>
        <v/>
      </c>
      <c r="J166" s="17">
        <f>IF($A166="","",ROUND($E166*$G166,2))</f>
        <v/>
      </c>
      <c r="K166" s="17">
        <f>IF($A166="","",ROUND($J166*$H166,2))</f>
        <v/>
      </c>
      <c r="L166" s="17">
        <f>IF($A166="","",1)</f>
        <v/>
      </c>
    </row>
    <row r="167">
      <c r="A167" s="13" t="n"/>
      <c r="B167" s="13" t="n"/>
      <c r="C167" s="13" t="n"/>
      <c r="D167" s="13" t="n"/>
      <c r="E167" s="14" t="n"/>
      <c r="F167" s="14" t="n"/>
      <c r="G167" s="15" t="n"/>
      <c r="H167" s="16" t="n"/>
      <c r="I167" s="17">
        <f>IF($A167="","",IFERROR(SUMIF(tblKategoriKomisyon[Kategori],$D167,tblKategoriKomisyon[KomisyonOran]),0))</f>
        <v/>
      </c>
      <c r="J167" s="17">
        <f>IF($A167="","",ROUND($E167*$G167,2))</f>
        <v/>
      </c>
      <c r="K167" s="17">
        <f>IF($A167="","",ROUND($J167*$H167,2))</f>
        <v/>
      </c>
      <c r="L167" s="17">
        <f>IF($A167="","",1)</f>
        <v/>
      </c>
    </row>
    <row r="168">
      <c r="A168" s="13" t="n"/>
      <c r="B168" s="13" t="n"/>
      <c r="C168" s="13" t="n"/>
      <c r="D168" s="13" t="n"/>
      <c r="E168" s="14" t="n"/>
      <c r="F168" s="14" t="n"/>
      <c r="G168" s="15" t="n"/>
      <c r="H168" s="16" t="n"/>
      <c r="I168" s="17">
        <f>IF($A168="","",IFERROR(SUMIF(tblKategoriKomisyon[Kategori],$D168,tblKategoriKomisyon[KomisyonOran]),0))</f>
        <v/>
      </c>
      <c r="J168" s="17">
        <f>IF($A168="","",ROUND($E168*$G168,2))</f>
        <v/>
      </c>
      <c r="K168" s="17">
        <f>IF($A168="","",ROUND($J168*$H168,2))</f>
        <v/>
      </c>
      <c r="L168" s="17">
        <f>IF($A168="","",1)</f>
        <v/>
      </c>
    </row>
    <row r="169">
      <c r="A169" s="13" t="n"/>
      <c r="B169" s="13" t="n"/>
      <c r="C169" s="13" t="n"/>
      <c r="D169" s="13" t="n"/>
      <c r="E169" s="14" t="n"/>
      <c r="F169" s="14" t="n"/>
      <c r="G169" s="15" t="n"/>
      <c r="H169" s="16" t="n"/>
      <c r="I169" s="17">
        <f>IF($A169="","",IFERROR(SUMIF(tblKategoriKomisyon[Kategori],$D169,tblKategoriKomisyon[KomisyonOran]),0))</f>
        <v/>
      </c>
      <c r="J169" s="17">
        <f>IF($A169="","",ROUND($E169*$G169,2))</f>
        <v/>
      </c>
      <c r="K169" s="17">
        <f>IF($A169="","",ROUND($J169*$H169,2))</f>
        <v/>
      </c>
      <c r="L169" s="17">
        <f>IF($A169="","",1)</f>
        <v/>
      </c>
    </row>
    <row r="170">
      <c r="A170" s="13" t="n"/>
      <c r="B170" s="13" t="n"/>
      <c r="C170" s="13" t="n"/>
      <c r="D170" s="13" t="n"/>
      <c r="E170" s="14" t="n"/>
      <c r="F170" s="14" t="n"/>
      <c r="G170" s="15" t="n"/>
      <c r="H170" s="16" t="n"/>
      <c r="I170" s="17">
        <f>IF($A170="","",IFERROR(SUMIF(tblKategoriKomisyon[Kategori],$D170,tblKategoriKomisyon[KomisyonOran]),0))</f>
        <v/>
      </c>
      <c r="J170" s="17">
        <f>IF($A170="","",ROUND($E170*$G170,2))</f>
        <v/>
      </c>
      <c r="K170" s="17">
        <f>IF($A170="","",ROUND($J170*$H170,2))</f>
        <v/>
      </c>
      <c r="L170" s="17">
        <f>IF($A170="","",1)</f>
        <v/>
      </c>
    </row>
    <row r="171">
      <c r="A171" s="13" t="n"/>
      <c r="B171" s="13" t="n"/>
      <c r="C171" s="13" t="n"/>
      <c r="D171" s="13" t="n"/>
      <c r="E171" s="14" t="n"/>
      <c r="F171" s="14" t="n"/>
      <c r="G171" s="15" t="n"/>
      <c r="H171" s="16" t="n"/>
      <c r="I171" s="17">
        <f>IF($A171="","",IFERROR(SUMIF(tblKategoriKomisyon[Kategori],$D171,tblKategoriKomisyon[KomisyonOran]),0))</f>
        <v/>
      </c>
      <c r="J171" s="17">
        <f>IF($A171="","",ROUND($E171*$G171,2))</f>
        <v/>
      </c>
      <c r="K171" s="17">
        <f>IF($A171="","",ROUND($J171*$H171,2))</f>
        <v/>
      </c>
      <c r="L171" s="17">
        <f>IF($A171="","",1)</f>
        <v/>
      </c>
    </row>
    <row r="172">
      <c r="A172" s="13" t="n"/>
      <c r="B172" s="13" t="n"/>
      <c r="C172" s="13" t="n"/>
      <c r="D172" s="13" t="n"/>
      <c r="E172" s="14" t="n"/>
      <c r="F172" s="14" t="n"/>
      <c r="G172" s="15" t="n"/>
      <c r="H172" s="16" t="n"/>
      <c r="I172" s="17">
        <f>IF($A172="","",IFERROR(SUMIF(tblKategoriKomisyon[Kategori],$D172,tblKategoriKomisyon[KomisyonOran]),0))</f>
        <v/>
      </c>
      <c r="J172" s="17">
        <f>IF($A172="","",ROUND($E172*$G172,2))</f>
        <v/>
      </c>
      <c r="K172" s="17">
        <f>IF($A172="","",ROUND($J172*$H172,2))</f>
        <v/>
      </c>
      <c r="L172" s="17">
        <f>IF($A172="","",1)</f>
        <v/>
      </c>
    </row>
    <row r="173">
      <c r="A173" s="13" t="n"/>
      <c r="B173" s="13" t="n"/>
      <c r="C173" s="13" t="n"/>
      <c r="D173" s="13" t="n"/>
      <c r="E173" s="14" t="n"/>
      <c r="F173" s="14" t="n"/>
      <c r="G173" s="15" t="n"/>
      <c r="H173" s="16" t="n"/>
      <c r="I173" s="17">
        <f>IF($A173="","",IFERROR(SUMIF(tblKategoriKomisyon[Kategori],$D173,tblKategoriKomisyon[KomisyonOran]),0))</f>
        <v/>
      </c>
      <c r="J173" s="17">
        <f>IF($A173="","",ROUND($E173*$G173,2))</f>
        <v/>
      </c>
      <c r="K173" s="17">
        <f>IF($A173="","",ROUND($J173*$H173,2))</f>
        <v/>
      </c>
      <c r="L173" s="17">
        <f>IF($A173="","",1)</f>
        <v/>
      </c>
    </row>
    <row r="174">
      <c r="A174" s="13" t="n"/>
      <c r="B174" s="13" t="n"/>
      <c r="C174" s="13" t="n"/>
      <c r="D174" s="13" t="n"/>
      <c r="E174" s="14" t="n"/>
      <c r="F174" s="14" t="n"/>
      <c r="G174" s="15" t="n"/>
      <c r="H174" s="16" t="n"/>
      <c r="I174" s="17">
        <f>IF($A174="","",IFERROR(SUMIF(tblKategoriKomisyon[Kategori],$D174,tblKategoriKomisyon[KomisyonOran]),0))</f>
        <v/>
      </c>
      <c r="J174" s="17">
        <f>IF($A174="","",ROUND($E174*$G174,2))</f>
        <v/>
      </c>
      <c r="K174" s="17">
        <f>IF($A174="","",ROUND($J174*$H174,2))</f>
        <v/>
      </c>
      <c r="L174" s="17">
        <f>IF($A174="","",1)</f>
        <v/>
      </c>
    </row>
    <row r="175">
      <c r="A175" s="13" t="n"/>
      <c r="B175" s="13" t="n"/>
      <c r="C175" s="13" t="n"/>
      <c r="D175" s="13" t="n"/>
      <c r="E175" s="14" t="n"/>
      <c r="F175" s="14" t="n"/>
      <c r="G175" s="15" t="n"/>
      <c r="H175" s="16" t="n"/>
      <c r="I175" s="17">
        <f>IF($A175="","",IFERROR(SUMIF(tblKategoriKomisyon[Kategori],$D175,tblKategoriKomisyon[KomisyonOran]),0))</f>
        <v/>
      </c>
      <c r="J175" s="17">
        <f>IF($A175="","",ROUND($E175*$G175,2))</f>
        <v/>
      </c>
      <c r="K175" s="17">
        <f>IF($A175="","",ROUND($J175*$H175,2))</f>
        <v/>
      </c>
      <c r="L175" s="17">
        <f>IF($A175="","",1)</f>
        <v/>
      </c>
    </row>
    <row r="176">
      <c r="A176" s="13" t="n"/>
      <c r="B176" s="13" t="n"/>
      <c r="C176" s="13" t="n"/>
      <c r="D176" s="13" t="n"/>
      <c r="E176" s="14" t="n"/>
      <c r="F176" s="14" t="n"/>
      <c r="G176" s="15" t="n"/>
      <c r="H176" s="16" t="n"/>
      <c r="I176" s="17">
        <f>IF($A176="","",IFERROR(SUMIF(tblKategoriKomisyon[Kategori],$D176,tblKategoriKomisyon[KomisyonOran]),0))</f>
        <v/>
      </c>
      <c r="J176" s="17">
        <f>IF($A176="","",ROUND($E176*$G176,2))</f>
        <v/>
      </c>
      <c r="K176" s="17">
        <f>IF($A176="","",ROUND($J176*$H176,2))</f>
        <v/>
      </c>
      <c r="L176" s="17">
        <f>IF($A176="","",1)</f>
        <v/>
      </c>
    </row>
    <row r="177">
      <c r="A177" s="13" t="n"/>
      <c r="B177" s="13" t="n"/>
      <c r="C177" s="13" t="n"/>
      <c r="D177" s="13" t="n"/>
      <c r="E177" s="14" t="n"/>
      <c r="F177" s="14" t="n"/>
      <c r="G177" s="15" t="n"/>
      <c r="H177" s="16" t="n"/>
      <c r="I177" s="17">
        <f>IF($A177="","",IFERROR(SUMIF(tblKategoriKomisyon[Kategori],$D177,tblKategoriKomisyon[KomisyonOran]),0))</f>
        <v/>
      </c>
      <c r="J177" s="17">
        <f>IF($A177="","",ROUND($E177*$G177,2))</f>
        <v/>
      </c>
      <c r="K177" s="17">
        <f>IF($A177="","",ROUND($J177*$H177,2))</f>
        <v/>
      </c>
      <c r="L177" s="17">
        <f>IF($A177="","",1)</f>
        <v/>
      </c>
    </row>
    <row r="178">
      <c r="A178" s="13" t="n"/>
      <c r="B178" s="13" t="n"/>
      <c r="C178" s="13" t="n"/>
      <c r="D178" s="13" t="n"/>
      <c r="E178" s="14" t="n"/>
      <c r="F178" s="14" t="n"/>
      <c r="G178" s="15" t="n"/>
      <c r="H178" s="16" t="n"/>
      <c r="I178" s="17">
        <f>IF($A178="","",IFERROR(SUMIF(tblKategoriKomisyon[Kategori],$D178,tblKategoriKomisyon[KomisyonOran]),0))</f>
        <v/>
      </c>
      <c r="J178" s="17">
        <f>IF($A178="","",ROUND($E178*$G178,2))</f>
        <v/>
      </c>
      <c r="K178" s="17">
        <f>IF($A178="","",ROUND($J178*$H178,2))</f>
        <v/>
      </c>
      <c r="L178" s="17">
        <f>IF($A178="","",1)</f>
        <v/>
      </c>
    </row>
    <row r="179">
      <c r="A179" s="13" t="n"/>
      <c r="B179" s="13" t="n"/>
      <c r="C179" s="13" t="n"/>
      <c r="D179" s="13" t="n"/>
      <c r="E179" s="14" t="n"/>
      <c r="F179" s="14" t="n"/>
      <c r="G179" s="15" t="n"/>
      <c r="H179" s="16" t="n"/>
      <c r="I179" s="17">
        <f>IF($A179="","",IFERROR(SUMIF(tblKategoriKomisyon[Kategori],$D179,tblKategoriKomisyon[KomisyonOran]),0))</f>
        <v/>
      </c>
      <c r="J179" s="17">
        <f>IF($A179="","",ROUND($E179*$G179,2))</f>
        <v/>
      </c>
      <c r="K179" s="17">
        <f>IF($A179="","",ROUND($J179*$H179,2))</f>
        <v/>
      </c>
      <c r="L179" s="17">
        <f>IF($A179="","",1)</f>
        <v/>
      </c>
    </row>
    <row r="180">
      <c r="A180" s="13" t="n"/>
      <c r="B180" s="13" t="n"/>
      <c r="C180" s="13" t="n"/>
      <c r="D180" s="13" t="n"/>
      <c r="E180" s="14" t="n"/>
      <c r="F180" s="14" t="n"/>
      <c r="G180" s="15" t="n"/>
      <c r="H180" s="16" t="n"/>
      <c r="I180" s="17">
        <f>IF($A180="","",IFERROR(SUMIF(tblKategoriKomisyon[Kategori],$D180,tblKategoriKomisyon[KomisyonOran]),0))</f>
        <v/>
      </c>
      <c r="J180" s="17">
        <f>IF($A180="","",ROUND($E180*$G180,2))</f>
        <v/>
      </c>
      <c r="K180" s="17">
        <f>IF($A180="","",ROUND($J180*$H180,2))</f>
        <v/>
      </c>
      <c r="L180" s="17">
        <f>IF($A180="","",1)</f>
        <v/>
      </c>
    </row>
    <row r="181">
      <c r="A181" s="13" t="n"/>
      <c r="B181" s="13" t="n"/>
      <c r="C181" s="13" t="n"/>
      <c r="D181" s="13" t="n"/>
      <c r="E181" s="14" t="n"/>
      <c r="F181" s="14" t="n"/>
      <c r="G181" s="15" t="n"/>
      <c r="H181" s="16" t="n"/>
      <c r="I181" s="17">
        <f>IF($A181="","",IFERROR(SUMIF(tblKategoriKomisyon[Kategori],$D181,tblKategoriKomisyon[KomisyonOran]),0))</f>
        <v/>
      </c>
      <c r="J181" s="17">
        <f>IF($A181="","",ROUND($E181*$G181,2))</f>
        <v/>
      </c>
      <c r="K181" s="17">
        <f>IF($A181="","",ROUND($J181*$H181,2))</f>
        <v/>
      </c>
      <c r="L181" s="17">
        <f>IF($A181="","",1)</f>
        <v/>
      </c>
    </row>
    <row r="182">
      <c r="A182" s="13" t="n"/>
      <c r="B182" s="13" t="n"/>
      <c r="C182" s="13" t="n"/>
      <c r="D182" s="13" t="n"/>
      <c r="E182" s="14" t="n"/>
      <c r="F182" s="14" t="n"/>
      <c r="G182" s="15" t="n"/>
      <c r="H182" s="16" t="n"/>
      <c r="I182" s="17">
        <f>IF($A182="","",IFERROR(SUMIF(tblKategoriKomisyon[Kategori],$D182,tblKategoriKomisyon[KomisyonOran]),0))</f>
        <v/>
      </c>
      <c r="J182" s="17">
        <f>IF($A182="","",ROUND($E182*$G182,2))</f>
        <v/>
      </c>
      <c r="K182" s="17">
        <f>IF($A182="","",ROUND($J182*$H182,2))</f>
        <v/>
      </c>
      <c r="L182" s="17">
        <f>IF($A182="","",1)</f>
        <v/>
      </c>
    </row>
    <row r="183">
      <c r="A183" s="13" t="n"/>
      <c r="B183" s="13" t="n"/>
      <c r="C183" s="13" t="n"/>
      <c r="D183" s="13" t="n"/>
      <c r="E183" s="14" t="n"/>
      <c r="F183" s="14" t="n"/>
      <c r="G183" s="15" t="n"/>
      <c r="H183" s="16" t="n"/>
      <c r="I183" s="17">
        <f>IF($A183="","",IFERROR(SUMIF(tblKategoriKomisyon[Kategori],$D183,tblKategoriKomisyon[KomisyonOran]),0))</f>
        <v/>
      </c>
      <c r="J183" s="17">
        <f>IF($A183="","",ROUND($E183*$G183,2))</f>
        <v/>
      </c>
      <c r="K183" s="17">
        <f>IF($A183="","",ROUND($J183*$H183,2))</f>
        <v/>
      </c>
      <c r="L183" s="17">
        <f>IF($A183="","",1)</f>
        <v/>
      </c>
    </row>
    <row r="184">
      <c r="A184" s="13" t="n"/>
      <c r="B184" s="13" t="n"/>
      <c r="C184" s="13" t="n"/>
      <c r="D184" s="13" t="n"/>
      <c r="E184" s="14" t="n"/>
      <c r="F184" s="14" t="n"/>
      <c r="G184" s="15" t="n"/>
      <c r="H184" s="16" t="n"/>
      <c r="I184" s="17">
        <f>IF($A184="","",IFERROR(SUMIF(tblKategoriKomisyon[Kategori],$D184,tblKategoriKomisyon[KomisyonOran]),0))</f>
        <v/>
      </c>
      <c r="J184" s="17">
        <f>IF($A184="","",ROUND($E184*$G184,2))</f>
        <v/>
      </c>
      <c r="K184" s="17">
        <f>IF($A184="","",ROUND($J184*$H184,2))</f>
        <v/>
      </c>
      <c r="L184" s="17">
        <f>IF($A184="","",1)</f>
        <v/>
      </c>
    </row>
    <row r="185">
      <c r="A185" s="13" t="n"/>
      <c r="B185" s="13" t="n"/>
      <c r="C185" s="13" t="n"/>
      <c r="D185" s="13" t="n"/>
      <c r="E185" s="14" t="n"/>
      <c r="F185" s="14" t="n"/>
      <c r="G185" s="15" t="n"/>
      <c r="H185" s="16" t="n"/>
      <c r="I185" s="17">
        <f>IF($A185="","",IFERROR(SUMIF(tblKategoriKomisyon[Kategori],$D185,tblKategoriKomisyon[KomisyonOran]),0))</f>
        <v/>
      </c>
      <c r="J185" s="17">
        <f>IF($A185="","",ROUND($E185*$G185,2))</f>
        <v/>
      </c>
      <c r="K185" s="17">
        <f>IF($A185="","",ROUND($J185*$H185,2))</f>
        <v/>
      </c>
      <c r="L185" s="17">
        <f>IF($A185="","",1)</f>
        <v/>
      </c>
    </row>
    <row r="186">
      <c r="A186" s="13" t="n"/>
      <c r="B186" s="13" t="n"/>
      <c r="C186" s="13" t="n"/>
      <c r="D186" s="13" t="n"/>
      <c r="E186" s="14" t="n"/>
      <c r="F186" s="14" t="n"/>
      <c r="G186" s="15" t="n"/>
      <c r="H186" s="16" t="n"/>
      <c r="I186" s="17">
        <f>IF($A186="","",IFERROR(SUMIF(tblKategoriKomisyon[Kategori],$D186,tblKategoriKomisyon[KomisyonOran]),0))</f>
        <v/>
      </c>
      <c r="J186" s="17">
        <f>IF($A186="","",ROUND($E186*$G186,2))</f>
        <v/>
      </c>
      <c r="K186" s="17">
        <f>IF($A186="","",ROUND($J186*$H186,2))</f>
        <v/>
      </c>
      <c r="L186" s="17">
        <f>IF($A186="","",1)</f>
        <v/>
      </c>
    </row>
    <row r="187">
      <c r="A187" s="13" t="n"/>
      <c r="B187" s="13" t="n"/>
      <c r="C187" s="13" t="n"/>
      <c r="D187" s="13" t="n"/>
      <c r="E187" s="14" t="n"/>
      <c r="F187" s="14" t="n"/>
      <c r="G187" s="15" t="n"/>
      <c r="H187" s="16" t="n"/>
      <c r="I187" s="17">
        <f>IF($A187="","",IFERROR(SUMIF(tblKategoriKomisyon[Kategori],$D187,tblKategoriKomisyon[KomisyonOran]),0))</f>
        <v/>
      </c>
      <c r="J187" s="17">
        <f>IF($A187="","",ROUND($E187*$G187,2))</f>
        <v/>
      </c>
      <c r="K187" s="17">
        <f>IF($A187="","",ROUND($J187*$H187,2))</f>
        <v/>
      </c>
      <c r="L187" s="17">
        <f>IF($A187="","",1)</f>
        <v/>
      </c>
    </row>
    <row r="188">
      <c r="A188" s="13" t="n"/>
      <c r="B188" s="13" t="n"/>
      <c r="C188" s="13" t="n"/>
      <c r="D188" s="13" t="n"/>
      <c r="E188" s="14" t="n"/>
      <c r="F188" s="14" t="n"/>
      <c r="G188" s="15" t="n"/>
      <c r="H188" s="16" t="n"/>
      <c r="I188" s="17">
        <f>IF($A188="","",IFERROR(SUMIF(tblKategoriKomisyon[Kategori],$D188,tblKategoriKomisyon[KomisyonOran]),0))</f>
        <v/>
      </c>
      <c r="J188" s="17">
        <f>IF($A188="","",ROUND($E188*$G188,2))</f>
        <v/>
      </c>
      <c r="K188" s="17">
        <f>IF($A188="","",ROUND($J188*$H188,2))</f>
        <v/>
      </c>
      <c r="L188" s="17">
        <f>IF($A188="","",1)</f>
        <v/>
      </c>
    </row>
    <row r="189">
      <c r="A189" s="13" t="n"/>
      <c r="B189" s="13" t="n"/>
      <c r="C189" s="13" t="n"/>
      <c r="D189" s="13" t="n"/>
      <c r="E189" s="14" t="n"/>
      <c r="F189" s="14" t="n"/>
      <c r="G189" s="15" t="n"/>
      <c r="H189" s="16" t="n"/>
      <c r="I189" s="17">
        <f>IF($A189="","",IFERROR(SUMIF(tblKategoriKomisyon[Kategori],$D189,tblKategoriKomisyon[KomisyonOran]),0))</f>
        <v/>
      </c>
      <c r="J189" s="17">
        <f>IF($A189="","",ROUND($E189*$G189,2))</f>
        <v/>
      </c>
      <c r="K189" s="17">
        <f>IF($A189="","",ROUND($J189*$H189,2))</f>
        <v/>
      </c>
      <c r="L189" s="17">
        <f>IF($A189="","",1)</f>
        <v/>
      </c>
    </row>
    <row r="190">
      <c r="A190" s="13" t="n"/>
      <c r="B190" s="13" t="n"/>
      <c r="C190" s="13" t="n"/>
      <c r="D190" s="13" t="n"/>
      <c r="E190" s="14" t="n"/>
      <c r="F190" s="14" t="n"/>
      <c r="G190" s="15" t="n"/>
      <c r="H190" s="16" t="n"/>
      <c r="I190" s="17">
        <f>IF($A190="","",IFERROR(SUMIF(tblKategoriKomisyon[Kategori],$D190,tblKategoriKomisyon[KomisyonOran]),0))</f>
        <v/>
      </c>
      <c r="J190" s="17">
        <f>IF($A190="","",ROUND($E190*$G190,2))</f>
        <v/>
      </c>
      <c r="K190" s="17">
        <f>IF($A190="","",ROUND($J190*$H190,2))</f>
        <v/>
      </c>
      <c r="L190" s="17">
        <f>IF($A190="","",1)</f>
        <v/>
      </c>
    </row>
    <row r="191">
      <c r="A191" s="13" t="n"/>
      <c r="B191" s="13" t="n"/>
      <c r="C191" s="13" t="n"/>
      <c r="D191" s="13" t="n"/>
      <c r="E191" s="14" t="n"/>
      <c r="F191" s="14" t="n"/>
      <c r="G191" s="15" t="n"/>
      <c r="H191" s="16" t="n"/>
      <c r="I191" s="17">
        <f>IF($A191="","",IFERROR(SUMIF(tblKategoriKomisyon[Kategori],$D191,tblKategoriKomisyon[KomisyonOran]),0))</f>
        <v/>
      </c>
      <c r="J191" s="17">
        <f>IF($A191="","",ROUND($E191*$G191,2))</f>
        <v/>
      </c>
      <c r="K191" s="17">
        <f>IF($A191="","",ROUND($J191*$H191,2))</f>
        <v/>
      </c>
      <c r="L191" s="17">
        <f>IF($A191="","",1)</f>
        <v/>
      </c>
    </row>
    <row r="192">
      <c r="A192" s="13" t="n"/>
      <c r="B192" s="13" t="n"/>
      <c r="C192" s="13" t="n"/>
      <c r="D192" s="13" t="n"/>
      <c r="E192" s="14" t="n"/>
      <c r="F192" s="14" t="n"/>
      <c r="G192" s="15" t="n"/>
      <c r="H192" s="16" t="n"/>
      <c r="I192" s="17">
        <f>IF($A192="","",IFERROR(SUMIF(tblKategoriKomisyon[Kategori],$D192,tblKategoriKomisyon[KomisyonOran]),0))</f>
        <v/>
      </c>
      <c r="J192" s="17">
        <f>IF($A192="","",ROUND($E192*$G192,2))</f>
        <v/>
      </c>
      <c r="K192" s="17">
        <f>IF($A192="","",ROUND($J192*$H192,2))</f>
        <v/>
      </c>
      <c r="L192" s="17">
        <f>IF($A192="","",1)</f>
        <v/>
      </c>
    </row>
    <row r="193">
      <c r="A193" s="13" t="n"/>
      <c r="B193" s="13" t="n"/>
      <c r="C193" s="13" t="n"/>
      <c r="D193" s="13" t="n"/>
      <c r="E193" s="14" t="n"/>
      <c r="F193" s="14" t="n"/>
      <c r="G193" s="15" t="n"/>
      <c r="H193" s="16" t="n"/>
      <c r="I193" s="17">
        <f>IF($A193="","",IFERROR(SUMIF(tblKategoriKomisyon[Kategori],$D193,tblKategoriKomisyon[KomisyonOran]),0))</f>
        <v/>
      </c>
      <c r="J193" s="17">
        <f>IF($A193="","",ROUND($E193*$G193,2))</f>
        <v/>
      </c>
      <c r="K193" s="17">
        <f>IF($A193="","",ROUND($J193*$H193,2))</f>
        <v/>
      </c>
      <c r="L193" s="17">
        <f>IF($A193="","",1)</f>
        <v/>
      </c>
    </row>
    <row r="194">
      <c r="A194" s="13" t="n"/>
      <c r="B194" s="13" t="n"/>
      <c r="C194" s="13" t="n"/>
      <c r="D194" s="13" t="n"/>
      <c r="E194" s="14" t="n"/>
      <c r="F194" s="14" t="n"/>
      <c r="G194" s="15" t="n"/>
      <c r="H194" s="16" t="n"/>
      <c r="I194" s="17">
        <f>IF($A194="","",IFERROR(SUMIF(tblKategoriKomisyon[Kategori],$D194,tblKategoriKomisyon[KomisyonOran]),0))</f>
        <v/>
      </c>
      <c r="J194" s="17">
        <f>IF($A194="","",ROUND($E194*$G194,2))</f>
        <v/>
      </c>
      <c r="K194" s="17">
        <f>IF($A194="","",ROUND($J194*$H194,2))</f>
        <v/>
      </c>
      <c r="L194" s="17">
        <f>IF($A194="","",1)</f>
        <v/>
      </c>
    </row>
    <row r="195">
      <c r="A195" s="13" t="n"/>
      <c r="B195" s="13" t="n"/>
      <c r="C195" s="13" t="n"/>
      <c r="D195" s="13" t="n"/>
      <c r="E195" s="14" t="n"/>
      <c r="F195" s="14" t="n"/>
      <c r="G195" s="15" t="n"/>
      <c r="H195" s="16" t="n"/>
      <c r="I195" s="17">
        <f>IF($A195="","",IFERROR(SUMIF(tblKategoriKomisyon[Kategori],$D195,tblKategoriKomisyon[KomisyonOran]),0))</f>
        <v/>
      </c>
      <c r="J195" s="17">
        <f>IF($A195="","",ROUND($E195*$G195,2))</f>
        <v/>
      </c>
      <c r="K195" s="17">
        <f>IF($A195="","",ROUND($J195*$H195,2))</f>
        <v/>
      </c>
      <c r="L195" s="17">
        <f>IF($A195="","",1)</f>
        <v/>
      </c>
    </row>
    <row r="196">
      <c r="A196" s="13" t="n"/>
      <c r="B196" s="13" t="n"/>
      <c r="C196" s="13" t="n"/>
      <c r="D196" s="13" t="n"/>
      <c r="E196" s="14" t="n"/>
      <c r="F196" s="14" t="n"/>
      <c r="G196" s="15" t="n"/>
      <c r="H196" s="16" t="n"/>
      <c r="I196" s="17">
        <f>IF($A196="","",IFERROR(SUMIF(tblKategoriKomisyon[Kategori],$D196,tblKategoriKomisyon[KomisyonOran]),0))</f>
        <v/>
      </c>
      <c r="J196" s="17">
        <f>IF($A196="","",ROUND($E196*$G196,2))</f>
        <v/>
      </c>
      <c r="K196" s="17">
        <f>IF($A196="","",ROUND($J196*$H196,2))</f>
        <v/>
      </c>
      <c r="L196" s="17">
        <f>IF($A196="","",1)</f>
        <v/>
      </c>
    </row>
    <row r="197">
      <c r="A197" s="13" t="n"/>
      <c r="B197" s="13" t="n"/>
      <c r="C197" s="13" t="n"/>
      <c r="D197" s="13" t="n"/>
      <c r="E197" s="14" t="n"/>
      <c r="F197" s="14" t="n"/>
      <c r="G197" s="15" t="n"/>
      <c r="H197" s="16" t="n"/>
      <c r="I197" s="17">
        <f>IF($A197="","",IFERROR(SUMIF(tblKategoriKomisyon[Kategori],$D197,tblKategoriKomisyon[KomisyonOran]),0))</f>
        <v/>
      </c>
      <c r="J197" s="17">
        <f>IF($A197="","",ROUND($E197*$G197,2))</f>
        <v/>
      </c>
      <c r="K197" s="17">
        <f>IF($A197="","",ROUND($J197*$H197,2))</f>
        <v/>
      </c>
      <c r="L197" s="17">
        <f>IF($A197="","",1)</f>
        <v/>
      </c>
    </row>
    <row r="198">
      <c r="A198" s="13" t="n"/>
      <c r="B198" s="13" t="n"/>
      <c r="C198" s="13" t="n"/>
      <c r="D198" s="13" t="n"/>
      <c r="E198" s="14" t="n"/>
      <c r="F198" s="14" t="n"/>
      <c r="G198" s="15" t="n"/>
      <c r="H198" s="16" t="n"/>
      <c r="I198" s="17">
        <f>IF($A198="","",IFERROR(SUMIF(tblKategoriKomisyon[Kategori],$D198,tblKategoriKomisyon[KomisyonOran]),0))</f>
        <v/>
      </c>
      <c r="J198" s="17">
        <f>IF($A198="","",ROUND($E198*$G198,2))</f>
        <v/>
      </c>
      <c r="K198" s="17">
        <f>IF($A198="","",ROUND($J198*$H198,2))</f>
        <v/>
      </c>
      <c r="L198" s="17">
        <f>IF($A198="","",1)</f>
        <v/>
      </c>
    </row>
    <row r="199">
      <c r="A199" s="13" t="n"/>
      <c r="B199" s="13" t="n"/>
      <c r="C199" s="13" t="n"/>
      <c r="D199" s="13" t="n"/>
      <c r="E199" s="14" t="n"/>
      <c r="F199" s="14" t="n"/>
      <c r="G199" s="15" t="n"/>
      <c r="H199" s="16" t="n"/>
      <c r="I199" s="17">
        <f>IF($A199="","",IFERROR(SUMIF(tblKategoriKomisyon[Kategori],$D199,tblKategoriKomisyon[KomisyonOran]),0))</f>
        <v/>
      </c>
      <c r="J199" s="17">
        <f>IF($A199="","",ROUND($E199*$G199,2))</f>
        <v/>
      </c>
      <c r="K199" s="17">
        <f>IF($A199="","",ROUND($J199*$H199,2))</f>
        <v/>
      </c>
      <c r="L199" s="17">
        <f>IF($A199="","",1)</f>
        <v/>
      </c>
    </row>
    <row r="200">
      <c r="A200" s="13" t="n"/>
      <c r="B200" s="13" t="n"/>
      <c r="C200" s="13" t="n"/>
      <c r="D200" s="13" t="n"/>
      <c r="E200" s="14" t="n"/>
      <c r="F200" s="14" t="n"/>
      <c r="G200" s="15" t="n"/>
      <c r="H200" s="16" t="n"/>
      <c r="I200" s="17">
        <f>IF($A200="","",IFERROR(SUMIF(tblKategoriKomisyon[Kategori],$D200,tblKategoriKomisyon[KomisyonOran]),0))</f>
        <v/>
      </c>
      <c r="J200" s="17">
        <f>IF($A200="","",ROUND($E200*$G200,2))</f>
        <v/>
      </c>
      <c r="K200" s="17">
        <f>IF($A200="","",ROUND($J200*$H200,2))</f>
        <v/>
      </c>
      <c r="L200" s="17">
        <f>IF($A200="","",1)</f>
        <v/>
      </c>
    </row>
    <row r="201">
      <c r="A201" s="13" t="n"/>
      <c r="B201" s="13" t="n"/>
      <c r="C201" s="13" t="n"/>
      <c r="D201" s="13" t="n"/>
      <c r="E201" s="14" t="n"/>
      <c r="F201" s="14" t="n"/>
      <c r="G201" s="15" t="n"/>
      <c r="H201" s="16" t="n"/>
      <c r="I201" s="17">
        <f>IF($A201="","",IFERROR(SUMIF(tblKategoriKomisyon[Kategori],$D201,tblKategoriKomisyon[KomisyonOran]),0))</f>
        <v/>
      </c>
      <c r="J201" s="17">
        <f>IF($A201="","",ROUND($E201*$G201,2))</f>
        <v/>
      </c>
      <c r="K201" s="17">
        <f>IF($A201="","",ROUND($J201*$H201,2))</f>
        <v/>
      </c>
      <c r="L201" s="17">
        <f>IF($A201="","",1)</f>
        <v/>
      </c>
    </row>
    <row r="202">
      <c r="A202" s="13" t="n"/>
      <c r="B202" s="13" t="n"/>
      <c r="C202" s="13" t="n"/>
      <c r="D202" s="13" t="n"/>
      <c r="E202" s="14" t="n"/>
      <c r="F202" s="14" t="n"/>
      <c r="G202" s="15" t="n"/>
      <c r="H202" s="16" t="n"/>
      <c r="I202" s="17">
        <f>IF($A202="","",IFERROR(SUMIF(tblKategoriKomisyon[Kategori],$D202,tblKategoriKomisyon[KomisyonOran]),0))</f>
        <v/>
      </c>
      <c r="J202" s="17">
        <f>IF($A202="","",ROUND($E202*$G202,2))</f>
        <v/>
      </c>
      <c r="K202" s="17">
        <f>IF($A202="","",ROUND($J202*$H202,2))</f>
        <v/>
      </c>
      <c r="L202" s="17">
        <f>IF($A202="","",1)</f>
        <v/>
      </c>
    </row>
    <row r="203">
      <c r="A203" s="13" t="n"/>
      <c r="B203" s="13" t="n"/>
      <c r="C203" s="13" t="n"/>
      <c r="D203" s="13" t="n"/>
      <c r="E203" s="14" t="n"/>
      <c r="F203" s="14" t="n"/>
      <c r="G203" s="15" t="n"/>
      <c r="H203" s="16" t="n"/>
      <c r="I203" s="17">
        <f>IF($A203="","",IFERROR(SUMIF(tblKategoriKomisyon[Kategori],$D203,tblKategoriKomisyon[KomisyonOran]),0))</f>
        <v/>
      </c>
      <c r="J203" s="17">
        <f>IF($A203="","",ROUND($E203*$G203,2))</f>
        <v/>
      </c>
      <c r="K203" s="17">
        <f>IF($A203="","",ROUND($J203*$H203,2))</f>
        <v/>
      </c>
      <c r="L203" s="17">
        <f>IF($A203="","",1)</f>
        <v/>
      </c>
    </row>
    <row r="204">
      <c r="A204" s="13" t="n"/>
      <c r="B204" s="13" t="n"/>
      <c r="C204" s="13" t="n"/>
      <c r="D204" s="13" t="n"/>
      <c r="E204" s="14" t="n"/>
      <c r="F204" s="14" t="n"/>
      <c r="G204" s="15" t="n"/>
      <c r="H204" s="16" t="n"/>
      <c r="I204" s="17">
        <f>IF($A204="","",IFERROR(SUMIF(tblKategoriKomisyon[Kategori],$D204,tblKategoriKomisyon[KomisyonOran]),0))</f>
        <v/>
      </c>
      <c r="J204" s="17">
        <f>IF($A204="","",ROUND($E204*$G204,2))</f>
        <v/>
      </c>
      <c r="K204" s="17">
        <f>IF($A204="","",ROUND($J204*$H204,2))</f>
        <v/>
      </c>
      <c r="L204" s="17">
        <f>IF($A204="","",1)</f>
        <v/>
      </c>
    </row>
    <row r="205">
      <c r="A205" s="13" t="n"/>
      <c r="B205" s="13" t="n"/>
      <c r="C205" s="13" t="n"/>
      <c r="D205" s="13" t="n"/>
      <c r="E205" s="14" t="n"/>
      <c r="F205" s="14" t="n"/>
      <c r="G205" s="15" t="n"/>
      <c r="H205" s="16" t="n"/>
      <c r="I205" s="17">
        <f>IF($A205="","",IFERROR(SUMIF(tblKategoriKomisyon[Kategori],$D205,tblKategoriKomisyon[KomisyonOran]),0))</f>
        <v/>
      </c>
      <c r="J205" s="17">
        <f>IF($A205="","",ROUND($E205*$G205,2))</f>
        <v/>
      </c>
      <c r="K205" s="17">
        <f>IF($A205="","",ROUND($J205*$H205,2))</f>
        <v/>
      </c>
      <c r="L205" s="17">
        <f>IF($A205="","",1)</f>
        <v/>
      </c>
    </row>
    <row r="206">
      <c r="A206" s="13" t="n"/>
      <c r="B206" s="13" t="n"/>
      <c r="C206" s="13" t="n"/>
      <c r="D206" s="13" t="n"/>
      <c r="E206" s="14" t="n"/>
      <c r="F206" s="14" t="n"/>
      <c r="G206" s="15" t="n"/>
      <c r="H206" s="16" t="n"/>
      <c r="I206" s="17">
        <f>IF($A206="","",IFERROR(SUMIF(tblKategoriKomisyon[Kategori],$D206,tblKategoriKomisyon[KomisyonOran]),0))</f>
        <v/>
      </c>
      <c r="J206" s="17">
        <f>IF($A206="","",ROUND($E206*$G206,2))</f>
        <v/>
      </c>
      <c r="K206" s="17">
        <f>IF($A206="","",ROUND($J206*$H206,2))</f>
        <v/>
      </c>
      <c r="L206" s="17">
        <f>IF($A206="","",1)</f>
        <v/>
      </c>
    </row>
    <row r="207">
      <c r="A207" s="13" t="n"/>
      <c r="B207" s="13" t="n"/>
      <c r="C207" s="13" t="n"/>
      <c r="D207" s="13" t="n"/>
      <c r="E207" s="14" t="n"/>
      <c r="F207" s="14" t="n"/>
      <c r="G207" s="15" t="n"/>
      <c r="H207" s="16" t="n"/>
      <c r="I207" s="17">
        <f>IF($A207="","",IFERROR(SUMIF(tblKategoriKomisyon[Kategori],$D207,tblKategoriKomisyon[KomisyonOran]),0))</f>
        <v/>
      </c>
      <c r="J207" s="17">
        <f>IF($A207="","",ROUND($E207*$G207,2))</f>
        <v/>
      </c>
      <c r="K207" s="17">
        <f>IF($A207="","",ROUND($J207*$H207,2))</f>
        <v/>
      </c>
      <c r="L207" s="17">
        <f>IF($A207="","",1)</f>
        <v/>
      </c>
    </row>
    <row r="208">
      <c r="A208" s="13" t="n"/>
      <c r="B208" s="13" t="n"/>
      <c r="C208" s="13" t="n"/>
      <c r="D208" s="13" t="n"/>
      <c r="E208" s="14" t="n"/>
      <c r="F208" s="14" t="n"/>
      <c r="G208" s="15" t="n"/>
      <c r="H208" s="16" t="n"/>
      <c r="I208" s="17">
        <f>IF($A208="","",IFERROR(SUMIF(tblKategoriKomisyon[Kategori],$D208,tblKategoriKomisyon[KomisyonOran]),0))</f>
        <v/>
      </c>
      <c r="J208" s="17">
        <f>IF($A208="","",ROUND($E208*$G208,2))</f>
        <v/>
      </c>
      <c r="K208" s="17">
        <f>IF($A208="","",ROUND($J208*$H208,2))</f>
        <v/>
      </c>
      <c r="L208" s="17">
        <f>IF($A208="","",1)</f>
        <v/>
      </c>
    </row>
    <row r="209">
      <c r="A209" s="13" t="n"/>
      <c r="B209" s="13" t="n"/>
      <c r="C209" s="13" t="n"/>
      <c r="D209" s="13" t="n"/>
      <c r="E209" s="14" t="n"/>
      <c r="F209" s="14" t="n"/>
      <c r="G209" s="15" t="n"/>
      <c r="H209" s="16" t="n"/>
      <c r="I209" s="17">
        <f>IF($A209="","",IFERROR(SUMIF(tblKategoriKomisyon[Kategori],$D209,tblKategoriKomisyon[KomisyonOran]),0))</f>
        <v/>
      </c>
      <c r="J209" s="17">
        <f>IF($A209="","",ROUND($E209*$G209,2))</f>
        <v/>
      </c>
      <c r="K209" s="17">
        <f>IF($A209="","",ROUND($J209*$H209,2))</f>
        <v/>
      </c>
      <c r="L209" s="17">
        <f>IF($A209="","",1)</f>
        <v/>
      </c>
    </row>
    <row r="210">
      <c r="A210" s="13" t="n"/>
      <c r="B210" s="13" t="n"/>
      <c r="C210" s="13" t="n"/>
      <c r="D210" s="13" t="n"/>
      <c r="E210" s="14" t="n"/>
      <c r="F210" s="14" t="n"/>
      <c r="G210" s="15" t="n"/>
      <c r="H210" s="16" t="n"/>
      <c r="I210" s="17">
        <f>IF($A210="","",IFERROR(SUMIF(tblKategoriKomisyon[Kategori],$D210,tblKategoriKomisyon[KomisyonOran]),0))</f>
        <v/>
      </c>
      <c r="J210" s="17">
        <f>IF($A210="","",ROUND($E210*$G210,2))</f>
        <v/>
      </c>
      <c r="K210" s="17">
        <f>IF($A210="","",ROUND($J210*$H210,2))</f>
        <v/>
      </c>
      <c r="L210" s="17">
        <f>IF($A210="","",1)</f>
        <v/>
      </c>
    </row>
    <row r="211">
      <c r="A211" s="13" t="n"/>
      <c r="B211" s="13" t="n"/>
      <c r="C211" s="13" t="n"/>
      <c r="D211" s="13" t="n"/>
      <c r="E211" s="14" t="n"/>
      <c r="F211" s="14" t="n"/>
      <c r="G211" s="15" t="n"/>
      <c r="H211" s="16" t="n"/>
      <c r="I211" s="17">
        <f>IF($A211="","",IFERROR(SUMIF(tblKategoriKomisyon[Kategori],$D211,tblKategoriKomisyon[KomisyonOran]),0))</f>
        <v/>
      </c>
      <c r="J211" s="17">
        <f>IF($A211="","",ROUND($E211*$G211,2))</f>
        <v/>
      </c>
      <c r="K211" s="17">
        <f>IF($A211="","",ROUND($J211*$H211,2))</f>
        <v/>
      </c>
      <c r="L211" s="17">
        <f>IF($A211="","",1)</f>
        <v/>
      </c>
    </row>
    <row r="212">
      <c r="A212" s="13" t="n"/>
      <c r="B212" s="13" t="n"/>
      <c r="C212" s="13" t="n"/>
      <c r="D212" s="13" t="n"/>
      <c r="E212" s="14" t="n"/>
      <c r="F212" s="14" t="n"/>
      <c r="G212" s="15" t="n"/>
      <c r="H212" s="16" t="n"/>
      <c r="I212" s="17">
        <f>IF($A212="","",IFERROR(SUMIF(tblKategoriKomisyon[Kategori],$D212,tblKategoriKomisyon[KomisyonOran]),0))</f>
        <v/>
      </c>
      <c r="J212" s="17">
        <f>IF($A212="","",ROUND($E212*$G212,2))</f>
        <v/>
      </c>
      <c r="K212" s="17">
        <f>IF($A212="","",ROUND($J212*$H212,2))</f>
        <v/>
      </c>
      <c r="L212" s="17">
        <f>IF($A212="","",1)</f>
        <v/>
      </c>
    </row>
    <row r="213">
      <c r="A213" s="13" t="n"/>
      <c r="B213" s="13" t="n"/>
      <c r="C213" s="13" t="n"/>
      <c r="D213" s="13" t="n"/>
      <c r="E213" s="14" t="n"/>
      <c r="F213" s="14" t="n"/>
      <c r="G213" s="15" t="n"/>
      <c r="H213" s="16" t="n"/>
      <c r="I213" s="17">
        <f>IF($A213="","",IFERROR(SUMIF(tblKategoriKomisyon[Kategori],$D213,tblKategoriKomisyon[KomisyonOran]),0))</f>
        <v/>
      </c>
      <c r="J213" s="17">
        <f>IF($A213="","",ROUND($E213*$G213,2))</f>
        <v/>
      </c>
      <c r="K213" s="17">
        <f>IF($A213="","",ROUND($J213*$H213,2))</f>
        <v/>
      </c>
      <c r="L213" s="17">
        <f>IF($A213="","",1)</f>
        <v/>
      </c>
    </row>
    <row r="214">
      <c r="A214" s="13" t="n"/>
      <c r="B214" s="13" t="n"/>
      <c r="C214" s="13" t="n"/>
      <c r="D214" s="13" t="n"/>
      <c r="E214" s="14" t="n"/>
      <c r="F214" s="14" t="n"/>
      <c r="G214" s="15" t="n"/>
      <c r="H214" s="16" t="n"/>
      <c r="I214" s="17">
        <f>IF($A214="","",IFERROR(SUMIF(tblKategoriKomisyon[Kategori],$D214,tblKategoriKomisyon[KomisyonOran]),0))</f>
        <v/>
      </c>
      <c r="J214" s="17">
        <f>IF($A214="","",ROUND($E214*$G214,2))</f>
        <v/>
      </c>
      <c r="K214" s="17">
        <f>IF($A214="","",ROUND($J214*$H214,2))</f>
        <v/>
      </c>
      <c r="L214" s="17">
        <f>IF($A214="","",1)</f>
        <v/>
      </c>
    </row>
    <row r="215">
      <c r="A215" s="13" t="n"/>
      <c r="B215" s="13" t="n"/>
      <c r="C215" s="13" t="n"/>
      <c r="D215" s="13" t="n"/>
      <c r="E215" s="14" t="n"/>
      <c r="F215" s="14" t="n"/>
      <c r="G215" s="15" t="n"/>
      <c r="H215" s="16" t="n"/>
      <c r="I215" s="17">
        <f>IF($A215="","",IFERROR(SUMIF(tblKategoriKomisyon[Kategori],$D215,tblKategoriKomisyon[KomisyonOran]),0))</f>
        <v/>
      </c>
      <c r="J215" s="17">
        <f>IF($A215="","",ROUND($E215*$G215,2))</f>
        <v/>
      </c>
      <c r="K215" s="17">
        <f>IF($A215="","",ROUND($J215*$H215,2))</f>
        <v/>
      </c>
      <c r="L215" s="17">
        <f>IF($A215="","",1)</f>
        <v/>
      </c>
    </row>
    <row r="216">
      <c r="A216" s="13" t="n"/>
      <c r="B216" s="13" t="n"/>
      <c r="C216" s="13" t="n"/>
      <c r="D216" s="13" t="n"/>
      <c r="E216" s="14" t="n"/>
      <c r="F216" s="14" t="n"/>
      <c r="G216" s="15" t="n"/>
      <c r="H216" s="16" t="n"/>
      <c r="I216" s="17">
        <f>IF($A216="","",IFERROR(SUMIF(tblKategoriKomisyon[Kategori],$D216,tblKategoriKomisyon[KomisyonOran]),0))</f>
        <v/>
      </c>
      <c r="J216" s="17">
        <f>IF($A216="","",ROUND($E216*$G216,2))</f>
        <v/>
      </c>
      <c r="K216" s="17">
        <f>IF($A216="","",ROUND($J216*$H216,2))</f>
        <v/>
      </c>
      <c r="L216" s="17">
        <f>IF($A216="","",1)</f>
        <v/>
      </c>
    </row>
    <row r="217">
      <c r="A217" s="13" t="n"/>
      <c r="B217" s="13" t="n"/>
      <c r="C217" s="13" t="n"/>
      <c r="D217" s="13" t="n"/>
      <c r="E217" s="14" t="n"/>
      <c r="F217" s="14" t="n"/>
      <c r="G217" s="15" t="n"/>
      <c r="H217" s="16" t="n"/>
      <c r="I217" s="17">
        <f>IF($A217="","",IFERROR(SUMIF(tblKategoriKomisyon[Kategori],$D217,tblKategoriKomisyon[KomisyonOran]),0))</f>
        <v/>
      </c>
      <c r="J217" s="17">
        <f>IF($A217="","",ROUND($E217*$G217,2))</f>
        <v/>
      </c>
      <c r="K217" s="17">
        <f>IF($A217="","",ROUND($J217*$H217,2))</f>
        <v/>
      </c>
      <c r="L217" s="17">
        <f>IF($A217="","",1)</f>
        <v/>
      </c>
    </row>
    <row r="218">
      <c r="A218" s="13" t="n"/>
      <c r="B218" s="13" t="n"/>
      <c r="C218" s="13" t="n"/>
      <c r="D218" s="13" t="n"/>
      <c r="E218" s="14" t="n"/>
      <c r="F218" s="14" t="n"/>
      <c r="G218" s="15" t="n"/>
      <c r="H218" s="16" t="n"/>
      <c r="I218" s="17">
        <f>IF($A218="","",IFERROR(SUMIF(tblKategoriKomisyon[Kategori],$D218,tblKategoriKomisyon[KomisyonOran]),0))</f>
        <v/>
      </c>
      <c r="J218" s="17">
        <f>IF($A218="","",ROUND($E218*$G218,2))</f>
        <v/>
      </c>
      <c r="K218" s="17">
        <f>IF($A218="","",ROUND($J218*$H218,2))</f>
        <v/>
      </c>
      <c r="L218" s="17">
        <f>IF($A218="","",1)</f>
        <v/>
      </c>
    </row>
    <row r="219">
      <c r="A219" s="13" t="n"/>
      <c r="B219" s="13" t="n"/>
      <c r="C219" s="13" t="n"/>
      <c r="D219" s="13" t="n"/>
      <c r="E219" s="14" t="n"/>
      <c r="F219" s="14" t="n"/>
      <c r="G219" s="15" t="n"/>
      <c r="H219" s="16" t="n"/>
      <c r="I219" s="17">
        <f>IF($A219="","",IFERROR(SUMIF(tblKategoriKomisyon[Kategori],$D219,tblKategoriKomisyon[KomisyonOran]),0))</f>
        <v/>
      </c>
      <c r="J219" s="17">
        <f>IF($A219="","",ROUND($E219*$G219,2))</f>
        <v/>
      </c>
      <c r="K219" s="17">
        <f>IF($A219="","",ROUND($J219*$H219,2))</f>
        <v/>
      </c>
      <c r="L219" s="17">
        <f>IF($A219="","",1)</f>
        <v/>
      </c>
    </row>
    <row r="220">
      <c r="A220" s="13" t="n"/>
      <c r="B220" s="13" t="n"/>
      <c r="C220" s="13" t="n"/>
      <c r="D220" s="13" t="n"/>
      <c r="E220" s="14" t="n"/>
      <c r="F220" s="14" t="n"/>
      <c r="G220" s="15" t="n"/>
      <c r="H220" s="16" t="n"/>
      <c r="I220" s="17">
        <f>IF($A220="","",IFERROR(SUMIF(tblKategoriKomisyon[Kategori],$D220,tblKategoriKomisyon[KomisyonOran]),0))</f>
        <v/>
      </c>
      <c r="J220" s="17">
        <f>IF($A220="","",ROUND($E220*$G220,2))</f>
        <v/>
      </c>
      <c r="K220" s="17">
        <f>IF($A220="","",ROUND($J220*$H220,2))</f>
        <v/>
      </c>
      <c r="L220" s="17">
        <f>IF($A220="","",1)</f>
        <v/>
      </c>
    </row>
    <row r="221">
      <c r="A221" s="13" t="n"/>
      <c r="B221" s="13" t="n"/>
      <c r="C221" s="13" t="n"/>
      <c r="D221" s="13" t="n"/>
      <c r="E221" s="14" t="n"/>
      <c r="F221" s="14" t="n"/>
      <c r="G221" s="15" t="n"/>
      <c r="H221" s="16" t="n"/>
      <c r="I221" s="17">
        <f>IF($A221="","",IFERROR(SUMIF(tblKategoriKomisyon[Kategori],$D221,tblKategoriKomisyon[KomisyonOran]),0))</f>
        <v/>
      </c>
      <c r="J221" s="17">
        <f>IF($A221="","",ROUND($E221*$G221,2))</f>
        <v/>
      </c>
      <c r="K221" s="17">
        <f>IF($A221="","",ROUND($J221*$H221,2))</f>
        <v/>
      </c>
      <c r="L221" s="17">
        <f>IF($A221="","",1)</f>
        <v/>
      </c>
    </row>
    <row r="222">
      <c r="A222" s="13" t="n"/>
      <c r="B222" s="13" t="n"/>
      <c r="C222" s="13" t="n"/>
      <c r="D222" s="13" t="n"/>
      <c r="E222" s="14" t="n"/>
      <c r="F222" s="14" t="n"/>
      <c r="G222" s="15" t="n"/>
      <c r="H222" s="16" t="n"/>
      <c r="I222" s="17">
        <f>IF($A222="","",IFERROR(SUMIF(tblKategoriKomisyon[Kategori],$D222,tblKategoriKomisyon[KomisyonOran]),0))</f>
        <v/>
      </c>
      <c r="J222" s="17">
        <f>IF($A222="","",ROUND($E222*$G222,2))</f>
        <v/>
      </c>
      <c r="K222" s="17">
        <f>IF($A222="","",ROUND($J222*$H222,2))</f>
        <v/>
      </c>
      <c r="L222" s="17">
        <f>IF($A222="","",1)</f>
        <v/>
      </c>
    </row>
    <row r="223">
      <c r="A223" s="13" t="n"/>
      <c r="B223" s="13" t="n"/>
      <c r="C223" s="13" t="n"/>
      <c r="D223" s="13" t="n"/>
      <c r="E223" s="14" t="n"/>
      <c r="F223" s="14" t="n"/>
      <c r="G223" s="15" t="n"/>
      <c r="H223" s="16" t="n"/>
      <c r="I223" s="17">
        <f>IF($A223="","",IFERROR(SUMIF(tblKategoriKomisyon[Kategori],$D223,tblKategoriKomisyon[KomisyonOran]),0))</f>
        <v/>
      </c>
      <c r="J223" s="17">
        <f>IF($A223="","",ROUND($E223*$G223,2))</f>
        <v/>
      </c>
      <c r="K223" s="17">
        <f>IF($A223="","",ROUND($J223*$H223,2))</f>
        <v/>
      </c>
      <c r="L223" s="17">
        <f>IF($A223="","",1)</f>
        <v/>
      </c>
    </row>
    <row r="224">
      <c r="A224" s="13" t="n"/>
      <c r="B224" s="13" t="n"/>
      <c r="C224" s="13" t="n"/>
      <c r="D224" s="13" t="n"/>
      <c r="E224" s="14" t="n"/>
      <c r="F224" s="14" t="n"/>
      <c r="G224" s="15" t="n"/>
      <c r="H224" s="16" t="n"/>
      <c r="I224" s="17">
        <f>IF($A224="","",IFERROR(SUMIF(tblKategoriKomisyon[Kategori],$D224,tblKategoriKomisyon[KomisyonOran]),0))</f>
        <v/>
      </c>
      <c r="J224" s="17">
        <f>IF($A224="","",ROUND($E224*$G224,2))</f>
        <v/>
      </c>
      <c r="K224" s="17">
        <f>IF($A224="","",ROUND($J224*$H224,2))</f>
        <v/>
      </c>
      <c r="L224" s="17">
        <f>IF($A224="","",1)</f>
        <v/>
      </c>
    </row>
    <row r="225">
      <c r="A225" s="13" t="n"/>
      <c r="B225" s="13" t="n"/>
      <c r="C225" s="13" t="n"/>
      <c r="D225" s="13" t="n"/>
      <c r="E225" s="14" t="n"/>
      <c r="F225" s="14" t="n"/>
      <c r="G225" s="15" t="n"/>
      <c r="H225" s="16" t="n"/>
      <c r="I225" s="17">
        <f>IF($A225="","",IFERROR(SUMIF(tblKategoriKomisyon[Kategori],$D225,tblKategoriKomisyon[KomisyonOran]),0))</f>
        <v/>
      </c>
      <c r="J225" s="17">
        <f>IF($A225="","",ROUND($E225*$G225,2))</f>
        <v/>
      </c>
      <c r="K225" s="17">
        <f>IF($A225="","",ROUND($J225*$H225,2))</f>
        <v/>
      </c>
      <c r="L225" s="17">
        <f>IF($A225="","",1)</f>
        <v/>
      </c>
    </row>
    <row r="226">
      <c r="A226" s="13" t="n"/>
      <c r="B226" s="13" t="n"/>
      <c r="C226" s="13" t="n"/>
      <c r="D226" s="13" t="n"/>
      <c r="E226" s="14" t="n"/>
      <c r="F226" s="14" t="n"/>
      <c r="G226" s="15" t="n"/>
      <c r="H226" s="16" t="n"/>
      <c r="I226" s="17">
        <f>IF($A226="","",IFERROR(SUMIF(tblKategoriKomisyon[Kategori],$D226,tblKategoriKomisyon[KomisyonOran]),0))</f>
        <v/>
      </c>
      <c r="J226" s="17">
        <f>IF($A226="","",ROUND($E226*$G226,2))</f>
        <v/>
      </c>
      <c r="K226" s="17">
        <f>IF($A226="","",ROUND($J226*$H226,2))</f>
        <v/>
      </c>
      <c r="L226" s="17">
        <f>IF($A226="","",1)</f>
        <v/>
      </c>
    </row>
    <row r="227">
      <c r="A227" s="13" t="n"/>
      <c r="B227" s="13" t="n"/>
      <c r="C227" s="13" t="n"/>
      <c r="D227" s="13" t="n"/>
      <c r="E227" s="14" t="n"/>
      <c r="F227" s="14" t="n"/>
      <c r="G227" s="15" t="n"/>
      <c r="H227" s="16" t="n"/>
      <c r="I227" s="17">
        <f>IF($A227="","",IFERROR(SUMIF(tblKategoriKomisyon[Kategori],$D227,tblKategoriKomisyon[KomisyonOran]),0))</f>
        <v/>
      </c>
      <c r="J227" s="17">
        <f>IF($A227="","",ROUND($E227*$G227,2))</f>
        <v/>
      </c>
      <c r="K227" s="17">
        <f>IF($A227="","",ROUND($J227*$H227,2))</f>
        <v/>
      </c>
      <c r="L227" s="17">
        <f>IF($A227="","",1)</f>
        <v/>
      </c>
    </row>
    <row r="228">
      <c r="A228" s="13" t="n"/>
      <c r="B228" s="13" t="n"/>
      <c r="C228" s="13" t="n"/>
      <c r="D228" s="13" t="n"/>
      <c r="E228" s="14" t="n"/>
      <c r="F228" s="14" t="n"/>
      <c r="G228" s="15" t="n"/>
      <c r="H228" s="16" t="n"/>
      <c r="I228" s="17">
        <f>IF($A228="","",IFERROR(SUMIF(tblKategoriKomisyon[Kategori],$D228,tblKategoriKomisyon[KomisyonOran]),0))</f>
        <v/>
      </c>
      <c r="J228" s="17">
        <f>IF($A228="","",ROUND($E228*$G228,2))</f>
        <v/>
      </c>
      <c r="K228" s="17">
        <f>IF($A228="","",ROUND($J228*$H228,2))</f>
        <v/>
      </c>
      <c r="L228" s="17">
        <f>IF($A228="","",1)</f>
        <v/>
      </c>
    </row>
    <row r="229">
      <c r="A229" s="13" t="n"/>
      <c r="B229" s="13" t="n"/>
      <c r="C229" s="13" t="n"/>
      <c r="D229" s="13" t="n"/>
      <c r="E229" s="14" t="n"/>
      <c r="F229" s="14" t="n"/>
      <c r="G229" s="15" t="n"/>
      <c r="H229" s="16" t="n"/>
      <c r="I229" s="17">
        <f>IF($A229="","",IFERROR(SUMIF(tblKategoriKomisyon[Kategori],$D229,tblKategoriKomisyon[KomisyonOran]),0))</f>
        <v/>
      </c>
      <c r="J229" s="17">
        <f>IF($A229="","",ROUND($E229*$G229,2))</f>
        <v/>
      </c>
      <c r="K229" s="17">
        <f>IF($A229="","",ROUND($J229*$H229,2))</f>
        <v/>
      </c>
      <c r="L229" s="17">
        <f>IF($A229="","",1)</f>
        <v/>
      </c>
    </row>
    <row r="230">
      <c r="A230" s="13" t="n"/>
      <c r="B230" s="13" t="n"/>
      <c r="C230" s="13" t="n"/>
      <c r="D230" s="13" t="n"/>
      <c r="E230" s="14" t="n"/>
      <c r="F230" s="14" t="n"/>
      <c r="G230" s="15" t="n"/>
      <c r="H230" s="16" t="n"/>
      <c r="I230" s="17">
        <f>IF($A230="","",IFERROR(SUMIF(tblKategoriKomisyon[Kategori],$D230,tblKategoriKomisyon[KomisyonOran]),0))</f>
        <v/>
      </c>
      <c r="J230" s="17">
        <f>IF($A230="","",ROUND($E230*$G230,2))</f>
        <v/>
      </c>
      <c r="K230" s="17">
        <f>IF($A230="","",ROUND($J230*$H230,2))</f>
        <v/>
      </c>
      <c r="L230" s="17">
        <f>IF($A230="","",1)</f>
        <v/>
      </c>
    </row>
    <row r="231">
      <c r="A231" s="13" t="n"/>
      <c r="B231" s="13" t="n"/>
      <c r="C231" s="13" t="n"/>
      <c r="D231" s="13" t="n"/>
      <c r="E231" s="14" t="n"/>
      <c r="F231" s="14" t="n"/>
      <c r="G231" s="15" t="n"/>
      <c r="H231" s="16" t="n"/>
      <c r="I231" s="17">
        <f>IF($A231="","",IFERROR(SUMIF(tblKategoriKomisyon[Kategori],$D231,tblKategoriKomisyon[KomisyonOran]),0))</f>
        <v/>
      </c>
      <c r="J231" s="17">
        <f>IF($A231="","",ROUND($E231*$G231,2))</f>
        <v/>
      </c>
      <c r="K231" s="17">
        <f>IF($A231="","",ROUND($J231*$H231,2))</f>
        <v/>
      </c>
      <c r="L231" s="17">
        <f>IF($A231="","",1)</f>
        <v/>
      </c>
    </row>
    <row r="232">
      <c r="A232" s="13" t="n"/>
      <c r="B232" s="13" t="n"/>
      <c r="C232" s="13" t="n"/>
      <c r="D232" s="13" t="n"/>
      <c r="E232" s="14" t="n"/>
      <c r="F232" s="14" t="n"/>
      <c r="G232" s="15" t="n"/>
      <c r="H232" s="16" t="n"/>
      <c r="I232" s="17">
        <f>IF($A232="","",IFERROR(SUMIF(tblKategoriKomisyon[Kategori],$D232,tblKategoriKomisyon[KomisyonOran]),0))</f>
        <v/>
      </c>
      <c r="J232" s="17">
        <f>IF($A232="","",ROUND($E232*$G232,2))</f>
        <v/>
      </c>
      <c r="K232" s="17">
        <f>IF($A232="","",ROUND($J232*$H232,2))</f>
        <v/>
      </c>
      <c r="L232" s="17">
        <f>IF($A232="","",1)</f>
        <v/>
      </c>
    </row>
    <row r="233">
      <c r="A233" s="13" t="n"/>
      <c r="B233" s="13" t="n"/>
      <c r="C233" s="13" t="n"/>
      <c r="D233" s="13" t="n"/>
      <c r="E233" s="14" t="n"/>
      <c r="F233" s="14" t="n"/>
      <c r="G233" s="15" t="n"/>
      <c r="H233" s="16" t="n"/>
      <c r="I233" s="17">
        <f>IF($A233="","",IFERROR(SUMIF(tblKategoriKomisyon[Kategori],$D233,tblKategoriKomisyon[KomisyonOran]),0))</f>
        <v/>
      </c>
      <c r="J233" s="17">
        <f>IF($A233="","",ROUND($E233*$G233,2))</f>
        <v/>
      </c>
      <c r="K233" s="17">
        <f>IF($A233="","",ROUND($J233*$H233,2))</f>
        <v/>
      </c>
      <c r="L233" s="17">
        <f>IF($A233="","",1)</f>
        <v/>
      </c>
    </row>
    <row r="234">
      <c r="A234" s="13" t="n"/>
      <c r="B234" s="13" t="n"/>
      <c r="C234" s="13" t="n"/>
      <c r="D234" s="13" t="n"/>
      <c r="E234" s="14" t="n"/>
      <c r="F234" s="14" t="n"/>
      <c r="G234" s="15" t="n"/>
      <c r="H234" s="16" t="n"/>
      <c r="I234" s="17">
        <f>IF($A234="","",IFERROR(SUMIF(tblKategoriKomisyon[Kategori],$D234,tblKategoriKomisyon[KomisyonOran]),0))</f>
        <v/>
      </c>
      <c r="J234" s="17">
        <f>IF($A234="","",ROUND($E234*$G234,2))</f>
        <v/>
      </c>
      <c r="K234" s="17">
        <f>IF($A234="","",ROUND($J234*$H234,2))</f>
        <v/>
      </c>
      <c r="L234" s="17">
        <f>IF($A234="","",1)</f>
        <v/>
      </c>
    </row>
    <row r="235">
      <c r="A235" s="13" t="n"/>
      <c r="B235" s="13" t="n"/>
      <c r="C235" s="13" t="n"/>
      <c r="D235" s="13" t="n"/>
      <c r="E235" s="14" t="n"/>
      <c r="F235" s="14" t="n"/>
      <c r="G235" s="15" t="n"/>
      <c r="H235" s="16" t="n"/>
      <c r="I235" s="17">
        <f>IF($A235="","",IFERROR(SUMIF(tblKategoriKomisyon[Kategori],$D235,tblKategoriKomisyon[KomisyonOran]),0))</f>
        <v/>
      </c>
      <c r="J235" s="17">
        <f>IF($A235="","",ROUND($E235*$G235,2))</f>
        <v/>
      </c>
      <c r="K235" s="17">
        <f>IF($A235="","",ROUND($J235*$H235,2))</f>
        <v/>
      </c>
      <c r="L235" s="17">
        <f>IF($A235="","",1)</f>
        <v/>
      </c>
    </row>
    <row r="236">
      <c r="A236" s="13" t="n"/>
      <c r="B236" s="13" t="n"/>
      <c r="C236" s="13" t="n"/>
      <c r="D236" s="13" t="n"/>
      <c r="E236" s="14" t="n"/>
      <c r="F236" s="14" t="n"/>
      <c r="G236" s="15" t="n"/>
      <c r="H236" s="16" t="n"/>
      <c r="I236" s="17">
        <f>IF($A236="","",IFERROR(SUMIF(tblKategoriKomisyon[Kategori],$D236,tblKategoriKomisyon[KomisyonOran]),0))</f>
        <v/>
      </c>
      <c r="J236" s="17">
        <f>IF($A236="","",ROUND($E236*$G236,2))</f>
        <v/>
      </c>
      <c r="K236" s="17">
        <f>IF($A236="","",ROUND($J236*$H236,2))</f>
        <v/>
      </c>
      <c r="L236" s="17">
        <f>IF($A236="","",1)</f>
        <v/>
      </c>
    </row>
    <row r="237">
      <c r="A237" s="13" t="n"/>
      <c r="B237" s="13" t="n"/>
      <c r="C237" s="13" t="n"/>
      <c r="D237" s="13" t="n"/>
      <c r="E237" s="14" t="n"/>
      <c r="F237" s="14" t="n"/>
      <c r="G237" s="15" t="n"/>
      <c r="H237" s="16" t="n"/>
      <c r="I237" s="17">
        <f>IF($A237="","",IFERROR(SUMIF(tblKategoriKomisyon[Kategori],$D237,tblKategoriKomisyon[KomisyonOran]),0))</f>
        <v/>
      </c>
      <c r="J237" s="17">
        <f>IF($A237="","",ROUND($E237*$G237,2))</f>
        <v/>
      </c>
      <c r="K237" s="17">
        <f>IF($A237="","",ROUND($J237*$H237,2))</f>
        <v/>
      </c>
      <c r="L237" s="17">
        <f>IF($A237="","",1)</f>
        <v/>
      </c>
    </row>
    <row r="238">
      <c r="A238" s="13" t="n"/>
      <c r="B238" s="13" t="n"/>
      <c r="C238" s="13" t="n"/>
      <c r="D238" s="13" t="n"/>
      <c r="E238" s="14" t="n"/>
      <c r="F238" s="14" t="n"/>
      <c r="G238" s="15" t="n"/>
      <c r="H238" s="16" t="n"/>
      <c r="I238" s="17">
        <f>IF($A238="","",IFERROR(SUMIF(tblKategoriKomisyon[Kategori],$D238,tblKategoriKomisyon[KomisyonOran]),0))</f>
        <v/>
      </c>
      <c r="J238" s="17">
        <f>IF($A238="","",ROUND($E238*$G238,2))</f>
        <v/>
      </c>
      <c r="K238" s="17">
        <f>IF($A238="","",ROUND($J238*$H238,2))</f>
        <v/>
      </c>
      <c r="L238" s="17">
        <f>IF($A238="","",1)</f>
        <v/>
      </c>
    </row>
    <row r="239">
      <c r="A239" s="13" t="n"/>
      <c r="B239" s="13" t="n"/>
      <c r="C239" s="13" t="n"/>
      <c r="D239" s="13" t="n"/>
      <c r="E239" s="14" t="n"/>
      <c r="F239" s="14" t="n"/>
      <c r="G239" s="15" t="n"/>
      <c r="H239" s="16" t="n"/>
      <c r="I239" s="17">
        <f>IF($A239="","",IFERROR(SUMIF(tblKategoriKomisyon[Kategori],$D239,tblKategoriKomisyon[KomisyonOran]),0))</f>
        <v/>
      </c>
      <c r="J239" s="17">
        <f>IF($A239="","",ROUND($E239*$G239,2))</f>
        <v/>
      </c>
      <c r="K239" s="17">
        <f>IF($A239="","",ROUND($J239*$H239,2))</f>
        <v/>
      </c>
      <c r="L239" s="17">
        <f>IF($A239="","",1)</f>
        <v/>
      </c>
    </row>
    <row r="240">
      <c r="A240" s="13" t="n"/>
      <c r="B240" s="13" t="n"/>
      <c r="C240" s="13" t="n"/>
      <c r="D240" s="13" t="n"/>
      <c r="E240" s="14" t="n"/>
      <c r="F240" s="14" t="n"/>
      <c r="G240" s="15" t="n"/>
      <c r="H240" s="16" t="n"/>
      <c r="I240" s="17">
        <f>IF($A240="","",IFERROR(SUMIF(tblKategoriKomisyon[Kategori],$D240,tblKategoriKomisyon[KomisyonOran]),0))</f>
        <v/>
      </c>
      <c r="J240" s="17">
        <f>IF($A240="","",ROUND($E240*$G240,2))</f>
        <v/>
      </c>
      <c r="K240" s="17">
        <f>IF($A240="","",ROUND($J240*$H240,2))</f>
        <v/>
      </c>
      <c r="L240" s="17">
        <f>IF($A240="","",1)</f>
        <v/>
      </c>
    </row>
    <row r="241">
      <c r="A241" s="13" t="n"/>
      <c r="B241" s="13" t="n"/>
      <c r="C241" s="13" t="n"/>
      <c r="D241" s="13" t="n"/>
      <c r="E241" s="14" t="n"/>
      <c r="F241" s="14" t="n"/>
      <c r="G241" s="15" t="n"/>
      <c r="H241" s="16" t="n"/>
      <c r="I241" s="17">
        <f>IF($A241="","",IFERROR(SUMIF(tblKategoriKomisyon[Kategori],$D241,tblKategoriKomisyon[KomisyonOran]),0))</f>
        <v/>
      </c>
      <c r="J241" s="17">
        <f>IF($A241="","",ROUND($E241*$G241,2))</f>
        <v/>
      </c>
      <c r="K241" s="17">
        <f>IF($A241="","",ROUND($J241*$H241,2))</f>
        <v/>
      </c>
      <c r="L241" s="17">
        <f>IF($A241="","",1)</f>
        <v/>
      </c>
    </row>
    <row r="242">
      <c r="A242" s="13" t="n"/>
      <c r="B242" s="13" t="n"/>
      <c r="C242" s="13" t="n"/>
      <c r="D242" s="13" t="n"/>
      <c r="E242" s="14" t="n"/>
      <c r="F242" s="14" t="n"/>
      <c r="G242" s="15" t="n"/>
      <c r="H242" s="16" t="n"/>
      <c r="I242" s="17">
        <f>IF($A242="","",IFERROR(SUMIF(tblKategoriKomisyon[Kategori],$D242,tblKategoriKomisyon[KomisyonOran]),0))</f>
        <v/>
      </c>
      <c r="J242" s="17">
        <f>IF($A242="","",ROUND($E242*$G242,2))</f>
        <v/>
      </c>
      <c r="K242" s="17">
        <f>IF($A242="","",ROUND($J242*$H242,2))</f>
        <v/>
      </c>
      <c r="L242" s="17">
        <f>IF($A242="","",1)</f>
        <v/>
      </c>
    </row>
    <row r="243">
      <c r="A243" s="13" t="n"/>
      <c r="B243" s="13" t="n"/>
      <c r="C243" s="13" t="n"/>
      <c r="D243" s="13" t="n"/>
      <c r="E243" s="14" t="n"/>
      <c r="F243" s="14" t="n"/>
      <c r="G243" s="15" t="n"/>
      <c r="H243" s="16" t="n"/>
      <c r="I243" s="17">
        <f>IF($A243="","",IFERROR(SUMIF(tblKategoriKomisyon[Kategori],$D243,tblKategoriKomisyon[KomisyonOran]),0))</f>
        <v/>
      </c>
      <c r="J243" s="17">
        <f>IF($A243="","",ROUND($E243*$G243,2))</f>
        <v/>
      </c>
      <c r="K243" s="17">
        <f>IF($A243="","",ROUND($J243*$H243,2))</f>
        <v/>
      </c>
      <c r="L243" s="17">
        <f>IF($A243="","",1)</f>
        <v/>
      </c>
    </row>
    <row r="244">
      <c r="A244" s="13" t="n"/>
      <c r="B244" s="13" t="n"/>
      <c r="C244" s="13" t="n"/>
      <c r="D244" s="13" t="n"/>
      <c r="E244" s="14" t="n"/>
      <c r="F244" s="14" t="n"/>
      <c r="G244" s="15" t="n"/>
      <c r="H244" s="16" t="n"/>
      <c r="I244" s="17">
        <f>IF($A244="","",IFERROR(SUMIF(tblKategoriKomisyon[Kategori],$D244,tblKategoriKomisyon[KomisyonOran]),0))</f>
        <v/>
      </c>
      <c r="J244" s="17">
        <f>IF($A244="","",ROUND($E244*$G244,2))</f>
        <v/>
      </c>
      <c r="K244" s="17">
        <f>IF($A244="","",ROUND($J244*$H244,2))</f>
        <v/>
      </c>
      <c r="L244" s="17">
        <f>IF($A244="","",1)</f>
        <v/>
      </c>
    </row>
    <row r="245">
      <c r="A245" s="13" t="n"/>
      <c r="B245" s="13" t="n"/>
      <c r="C245" s="13" t="n"/>
      <c r="D245" s="13" t="n"/>
      <c r="E245" s="14" t="n"/>
      <c r="F245" s="14" t="n"/>
      <c r="G245" s="15" t="n"/>
      <c r="H245" s="16" t="n"/>
      <c r="I245" s="17">
        <f>IF($A245="","",IFERROR(SUMIF(tblKategoriKomisyon[Kategori],$D245,tblKategoriKomisyon[KomisyonOran]),0))</f>
        <v/>
      </c>
      <c r="J245" s="17">
        <f>IF($A245="","",ROUND($E245*$G245,2))</f>
        <v/>
      </c>
      <c r="K245" s="17">
        <f>IF($A245="","",ROUND($J245*$H245,2))</f>
        <v/>
      </c>
      <c r="L245" s="17">
        <f>IF($A245="","",1)</f>
        <v/>
      </c>
    </row>
    <row r="246">
      <c r="A246" s="13" t="n"/>
      <c r="B246" s="13" t="n"/>
      <c r="C246" s="13" t="n"/>
      <c r="D246" s="13" t="n"/>
      <c r="E246" s="14" t="n"/>
      <c r="F246" s="14" t="n"/>
      <c r="G246" s="15" t="n"/>
      <c r="H246" s="16" t="n"/>
      <c r="I246" s="17">
        <f>IF($A246="","",IFERROR(SUMIF(tblKategoriKomisyon[Kategori],$D246,tblKategoriKomisyon[KomisyonOran]),0))</f>
        <v/>
      </c>
      <c r="J246" s="17">
        <f>IF($A246="","",ROUND($E246*$G246,2))</f>
        <v/>
      </c>
      <c r="K246" s="17">
        <f>IF($A246="","",ROUND($J246*$H246,2))</f>
        <v/>
      </c>
      <c r="L246" s="17">
        <f>IF($A246="","",1)</f>
        <v/>
      </c>
    </row>
    <row r="247">
      <c r="A247" s="13" t="n"/>
      <c r="B247" s="13" t="n"/>
      <c r="C247" s="13" t="n"/>
      <c r="D247" s="13" t="n"/>
      <c r="E247" s="14" t="n"/>
      <c r="F247" s="14" t="n"/>
      <c r="G247" s="15" t="n"/>
      <c r="H247" s="16" t="n"/>
      <c r="I247" s="17">
        <f>IF($A247="","",IFERROR(SUMIF(tblKategoriKomisyon[Kategori],$D247,tblKategoriKomisyon[KomisyonOran]),0))</f>
        <v/>
      </c>
      <c r="J247" s="17">
        <f>IF($A247="","",ROUND($E247*$G247,2))</f>
        <v/>
      </c>
      <c r="K247" s="17">
        <f>IF($A247="","",ROUND($J247*$H247,2))</f>
        <v/>
      </c>
      <c r="L247" s="17">
        <f>IF($A247="","",1)</f>
        <v/>
      </c>
    </row>
    <row r="248">
      <c r="A248" s="13" t="n"/>
      <c r="B248" s="13" t="n"/>
      <c r="C248" s="13" t="n"/>
      <c r="D248" s="13" t="n"/>
      <c r="E248" s="14" t="n"/>
      <c r="F248" s="14" t="n"/>
      <c r="G248" s="15" t="n"/>
      <c r="H248" s="16" t="n"/>
      <c r="I248" s="17">
        <f>IF($A248="","",IFERROR(SUMIF(tblKategoriKomisyon[Kategori],$D248,tblKategoriKomisyon[KomisyonOran]),0))</f>
        <v/>
      </c>
      <c r="J248" s="17">
        <f>IF($A248="","",ROUND($E248*$G248,2))</f>
        <v/>
      </c>
      <c r="K248" s="17">
        <f>IF($A248="","",ROUND($J248*$H248,2))</f>
        <v/>
      </c>
      <c r="L248" s="17">
        <f>IF($A248="","",1)</f>
        <v/>
      </c>
    </row>
    <row r="249">
      <c r="A249" s="13" t="n"/>
      <c r="B249" s="13" t="n"/>
      <c r="C249" s="13" t="n"/>
      <c r="D249" s="13" t="n"/>
      <c r="E249" s="14" t="n"/>
      <c r="F249" s="14" t="n"/>
      <c r="G249" s="15" t="n"/>
      <c r="H249" s="16" t="n"/>
      <c r="I249" s="17">
        <f>IF($A249="","",IFERROR(SUMIF(tblKategoriKomisyon[Kategori],$D249,tblKategoriKomisyon[KomisyonOran]),0))</f>
        <v/>
      </c>
      <c r="J249" s="17">
        <f>IF($A249="","",ROUND($E249*$G249,2))</f>
        <v/>
      </c>
      <c r="K249" s="17">
        <f>IF($A249="","",ROUND($J249*$H249,2))</f>
        <v/>
      </c>
      <c r="L249" s="17">
        <f>IF($A249="","",1)</f>
        <v/>
      </c>
    </row>
    <row r="250">
      <c r="A250" s="13" t="n"/>
      <c r="B250" s="13" t="n"/>
      <c r="C250" s="13" t="n"/>
      <c r="D250" s="13" t="n"/>
      <c r="E250" s="14" t="n"/>
      <c r="F250" s="14" t="n"/>
      <c r="G250" s="15" t="n"/>
      <c r="H250" s="16" t="n"/>
      <c r="I250" s="17">
        <f>IF($A250="","",IFERROR(SUMIF(tblKategoriKomisyon[Kategori],$D250,tblKategoriKomisyon[KomisyonOran]),0))</f>
        <v/>
      </c>
      <c r="J250" s="17">
        <f>IF($A250="","",ROUND($E250*$G250,2))</f>
        <v/>
      </c>
      <c r="K250" s="17">
        <f>IF($A250="","",ROUND($J250*$H250,2))</f>
        <v/>
      </c>
      <c r="L250" s="17">
        <f>IF($A250="","",1)</f>
        <v/>
      </c>
    </row>
    <row r="251">
      <c r="A251" s="13" t="n"/>
      <c r="B251" s="13" t="n"/>
      <c r="C251" s="13" t="n"/>
      <c r="D251" s="13" t="n"/>
      <c r="E251" s="14" t="n"/>
      <c r="F251" s="14" t="n"/>
      <c r="G251" s="15" t="n"/>
      <c r="H251" s="16" t="n"/>
      <c r="I251" s="17">
        <f>IF($A251="","",IFERROR(SUMIF(tblKategoriKomisyon[Kategori],$D251,tblKategoriKomisyon[KomisyonOran]),0))</f>
        <v/>
      </c>
      <c r="J251" s="17">
        <f>IF($A251="","",ROUND($E251*$G251,2))</f>
        <v/>
      </c>
      <c r="K251" s="17">
        <f>IF($A251="","",ROUND($J251*$H251,2))</f>
        <v/>
      </c>
      <c r="L251" s="17">
        <f>IF($A251="","",1)</f>
        <v/>
      </c>
    </row>
    <row r="252">
      <c r="A252" s="13" t="n"/>
      <c r="B252" s="13" t="n"/>
      <c r="C252" s="13" t="n"/>
      <c r="D252" s="13" t="n"/>
      <c r="E252" s="14" t="n"/>
      <c r="F252" s="14" t="n"/>
      <c r="G252" s="15" t="n"/>
      <c r="H252" s="16" t="n"/>
      <c r="I252" s="17">
        <f>IF($A252="","",IFERROR(SUMIF(tblKategoriKomisyon[Kategori],$D252,tblKategoriKomisyon[KomisyonOran]),0))</f>
        <v/>
      </c>
      <c r="J252" s="17">
        <f>IF($A252="","",ROUND($E252*$G252,2))</f>
        <v/>
      </c>
      <c r="K252" s="17">
        <f>IF($A252="","",ROUND($J252*$H252,2))</f>
        <v/>
      </c>
      <c r="L252" s="17">
        <f>IF($A252="","",1)</f>
        <v/>
      </c>
    </row>
    <row r="253">
      <c r="A253" s="13" t="n"/>
      <c r="B253" s="13" t="n"/>
      <c r="C253" s="13" t="n"/>
      <c r="D253" s="13" t="n"/>
      <c r="E253" s="14" t="n"/>
      <c r="F253" s="14" t="n"/>
      <c r="G253" s="15" t="n"/>
      <c r="H253" s="16" t="n"/>
      <c r="I253" s="17">
        <f>IF($A253="","",IFERROR(SUMIF(tblKategoriKomisyon[Kategori],$D253,tblKategoriKomisyon[KomisyonOran]),0))</f>
        <v/>
      </c>
      <c r="J253" s="17">
        <f>IF($A253="","",ROUND($E253*$G253,2))</f>
        <v/>
      </c>
      <c r="K253" s="17">
        <f>IF($A253="","",ROUND($J253*$H253,2))</f>
        <v/>
      </c>
      <c r="L253" s="17">
        <f>IF($A253="","",1)</f>
        <v/>
      </c>
    </row>
    <row r="254">
      <c r="A254" s="13" t="n"/>
      <c r="B254" s="13" t="n"/>
      <c r="C254" s="13" t="n"/>
      <c r="D254" s="13" t="n"/>
      <c r="E254" s="14" t="n"/>
      <c r="F254" s="14" t="n"/>
      <c r="G254" s="15" t="n"/>
      <c r="H254" s="16" t="n"/>
      <c r="I254" s="17">
        <f>IF($A254="","",IFERROR(SUMIF(tblKategoriKomisyon[Kategori],$D254,tblKategoriKomisyon[KomisyonOran]),0))</f>
        <v/>
      </c>
      <c r="J254" s="17">
        <f>IF($A254="","",ROUND($E254*$G254,2))</f>
        <v/>
      </c>
      <c r="K254" s="17">
        <f>IF($A254="","",ROUND($J254*$H254,2))</f>
        <v/>
      </c>
      <c r="L254" s="17">
        <f>IF($A254="","",1)</f>
        <v/>
      </c>
    </row>
    <row r="255">
      <c r="A255" s="13" t="n"/>
      <c r="B255" s="13" t="n"/>
      <c r="C255" s="13" t="n"/>
      <c r="D255" s="13" t="n"/>
      <c r="E255" s="14" t="n"/>
      <c r="F255" s="14" t="n"/>
      <c r="G255" s="15" t="n"/>
      <c r="H255" s="16" t="n"/>
      <c r="I255" s="17">
        <f>IF($A255="","",IFERROR(SUMIF(tblKategoriKomisyon[Kategori],$D255,tblKategoriKomisyon[KomisyonOran]),0))</f>
        <v/>
      </c>
      <c r="J255" s="17">
        <f>IF($A255="","",ROUND($E255*$G255,2))</f>
        <v/>
      </c>
      <c r="K255" s="17">
        <f>IF($A255="","",ROUND($J255*$H255,2))</f>
        <v/>
      </c>
      <c r="L255" s="17">
        <f>IF($A255="","",1)</f>
        <v/>
      </c>
    </row>
    <row r="256">
      <c r="A256" s="13" t="n"/>
      <c r="B256" s="13" t="n"/>
      <c r="C256" s="13" t="n"/>
      <c r="D256" s="13" t="n"/>
      <c r="E256" s="14" t="n"/>
      <c r="F256" s="14" t="n"/>
      <c r="G256" s="15" t="n"/>
      <c r="H256" s="16" t="n"/>
      <c r="I256" s="17">
        <f>IF($A256="","",IFERROR(SUMIF(tblKategoriKomisyon[Kategori],$D256,tblKategoriKomisyon[KomisyonOran]),0))</f>
        <v/>
      </c>
      <c r="J256" s="17">
        <f>IF($A256="","",ROUND($E256*$G256,2))</f>
        <v/>
      </c>
      <c r="K256" s="17">
        <f>IF($A256="","",ROUND($J256*$H256,2))</f>
        <v/>
      </c>
      <c r="L256" s="17">
        <f>IF($A256="","",1)</f>
        <v/>
      </c>
    </row>
    <row r="257">
      <c r="A257" s="13" t="n"/>
      <c r="B257" s="13" t="n"/>
      <c r="C257" s="13" t="n"/>
      <c r="D257" s="13" t="n"/>
      <c r="E257" s="14" t="n"/>
      <c r="F257" s="14" t="n"/>
      <c r="G257" s="15" t="n"/>
      <c r="H257" s="16" t="n"/>
      <c r="I257" s="17">
        <f>IF($A257="","",IFERROR(SUMIF(tblKategoriKomisyon[Kategori],$D257,tblKategoriKomisyon[KomisyonOran]),0))</f>
        <v/>
      </c>
      <c r="J257" s="17">
        <f>IF($A257="","",ROUND($E257*$G257,2))</f>
        <v/>
      </c>
      <c r="K257" s="17">
        <f>IF($A257="","",ROUND($J257*$H257,2))</f>
        <v/>
      </c>
      <c r="L257" s="17">
        <f>IF($A257="","",1)</f>
        <v/>
      </c>
    </row>
    <row r="258">
      <c r="A258" s="13" t="n"/>
      <c r="B258" s="13" t="n"/>
      <c r="C258" s="13" t="n"/>
      <c r="D258" s="13" t="n"/>
      <c r="E258" s="14" t="n"/>
      <c r="F258" s="14" t="n"/>
      <c r="G258" s="15" t="n"/>
      <c r="H258" s="16" t="n"/>
      <c r="I258" s="17">
        <f>IF($A258="","",IFERROR(SUMIF(tblKategoriKomisyon[Kategori],$D258,tblKategoriKomisyon[KomisyonOran]),0))</f>
        <v/>
      </c>
      <c r="J258" s="17">
        <f>IF($A258="","",ROUND($E258*$G258,2))</f>
        <v/>
      </c>
      <c r="K258" s="17">
        <f>IF($A258="","",ROUND($J258*$H258,2))</f>
        <v/>
      </c>
      <c r="L258" s="17">
        <f>IF($A258="","",1)</f>
        <v/>
      </c>
    </row>
    <row r="259">
      <c r="A259" s="13" t="n"/>
      <c r="B259" s="13" t="n"/>
      <c r="C259" s="13" t="n"/>
      <c r="D259" s="13" t="n"/>
      <c r="E259" s="14" t="n"/>
      <c r="F259" s="14" t="n"/>
      <c r="G259" s="15" t="n"/>
      <c r="H259" s="16" t="n"/>
      <c r="I259" s="17">
        <f>IF($A259="","",IFERROR(SUMIF(tblKategoriKomisyon[Kategori],$D259,tblKategoriKomisyon[KomisyonOran]),0))</f>
        <v/>
      </c>
      <c r="J259" s="17">
        <f>IF($A259="","",ROUND($E259*$G259,2))</f>
        <v/>
      </c>
      <c r="K259" s="17">
        <f>IF($A259="","",ROUND($J259*$H259,2))</f>
        <v/>
      </c>
      <c r="L259" s="17">
        <f>IF($A259="","",1)</f>
        <v/>
      </c>
    </row>
    <row r="260">
      <c r="A260" s="13" t="n"/>
      <c r="B260" s="13" t="n"/>
      <c r="C260" s="13" t="n"/>
      <c r="D260" s="13" t="n"/>
      <c r="E260" s="14" t="n"/>
      <c r="F260" s="14" t="n"/>
      <c r="G260" s="15" t="n"/>
      <c r="H260" s="16" t="n"/>
      <c r="I260" s="17">
        <f>IF($A260="","",IFERROR(SUMIF(tblKategoriKomisyon[Kategori],$D260,tblKategoriKomisyon[KomisyonOran]),0))</f>
        <v/>
      </c>
      <c r="J260" s="17">
        <f>IF($A260="","",ROUND($E260*$G260,2))</f>
        <v/>
      </c>
      <c r="K260" s="17">
        <f>IF($A260="","",ROUND($J260*$H260,2))</f>
        <v/>
      </c>
      <c r="L260" s="17">
        <f>IF($A260="","",1)</f>
        <v/>
      </c>
    </row>
    <row r="261">
      <c r="A261" s="13" t="n"/>
      <c r="B261" s="13" t="n"/>
      <c r="C261" s="13" t="n"/>
      <c r="D261" s="13" t="n"/>
      <c r="E261" s="14" t="n"/>
      <c r="F261" s="14" t="n"/>
      <c r="G261" s="15" t="n"/>
      <c r="H261" s="16" t="n"/>
      <c r="I261" s="17">
        <f>IF($A261="","",IFERROR(SUMIF(tblKategoriKomisyon[Kategori],$D261,tblKategoriKomisyon[KomisyonOran]),0))</f>
        <v/>
      </c>
      <c r="J261" s="17">
        <f>IF($A261="","",ROUND($E261*$G261,2))</f>
        <v/>
      </c>
      <c r="K261" s="17">
        <f>IF($A261="","",ROUND($J261*$H261,2))</f>
        <v/>
      </c>
      <c r="L261" s="17">
        <f>IF($A261="","",1)</f>
        <v/>
      </c>
    </row>
    <row r="262">
      <c r="A262" s="13" t="n"/>
      <c r="B262" s="13" t="n"/>
      <c r="C262" s="13" t="n"/>
      <c r="D262" s="13" t="n"/>
      <c r="E262" s="14" t="n"/>
      <c r="F262" s="14" t="n"/>
      <c r="G262" s="15" t="n"/>
      <c r="H262" s="16" t="n"/>
      <c r="I262" s="17">
        <f>IF($A262="","",IFERROR(SUMIF(tblKategoriKomisyon[Kategori],$D262,tblKategoriKomisyon[KomisyonOran]),0))</f>
        <v/>
      </c>
      <c r="J262" s="17">
        <f>IF($A262="","",ROUND($E262*$G262,2))</f>
        <v/>
      </c>
      <c r="K262" s="17">
        <f>IF($A262="","",ROUND($J262*$H262,2))</f>
        <v/>
      </c>
      <c r="L262" s="17">
        <f>IF($A262="","",1)</f>
        <v/>
      </c>
    </row>
    <row r="263">
      <c r="A263" s="13" t="n"/>
      <c r="B263" s="13" t="n"/>
      <c r="C263" s="13" t="n"/>
      <c r="D263" s="13" t="n"/>
      <c r="E263" s="14" t="n"/>
      <c r="F263" s="14" t="n"/>
      <c r="G263" s="15" t="n"/>
      <c r="H263" s="16" t="n"/>
      <c r="I263" s="17">
        <f>IF($A263="","",IFERROR(SUMIF(tblKategoriKomisyon[Kategori],$D263,tblKategoriKomisyon[KomisyonOran]),0))</f>
        <v/>
      </c>
      <c r="J263" s="17">
        <f>IF($A263="","",ROUND($E263*$G263,2))</f>
        <v/>
      </c>
      <c r="K263" s="17">
        <f>IF($A263="","",ROUND($J263*$H263,2))</f>
        <v/>
      </c>
      <c r="L263" s="17">
        <f>IF($A263="","",1)</f>
        <v/>
      </c>
    </row>
    <row r="264">
      <c r="A264" s="13" t="n"/>
      <c r="B264" s="13" t="n"/>
      <c r="C264" s="13" t="n"/>
      <c r="D264" s="13" t="n"/>
      <c r="E264" s="14" t="n"/>
      <c r="F264" s="14" t="n"/>
      <c r="G264" s="15" t="n"/>
      <c r="H264" s="16" t="n"/>
      <c r="I264" s="17">
        <f>IF($A264="","",IFERROR(SUMIF(tblKategoriKomisyon[Kategori],$D264,tblKategoriKomisyon[KomisyonOran]),0))</f>
        <v/>
      </c>
      <c r="J264" s="17">
        <f>IF($A264="","",ROUND($E264*$G264,2))</f>
        <v/>
      </c>
      <c r="K264" s="17">
        <f>IF($A264="","",ROUND($J264*$H264,2))</f>
        <v/>
      </c>
      <c r="L264" s="17">
        <f>IF($A264="","",1)</f>
        <v/>
      </c>
    </row>
    <row r="265">
      <c r="A265" s="13" t="n"/>
      <c r="B265" s="13" t="n"/>
      <c r="C265" s="13" t="n"/>
      <c r="D265" s="13" t="n"/>
      <c r="E265" s="14" t="n"/>
      <c r="F265" s="14" t="n"/>
      <c r="G265" s="15" t="n"/>
      <c r="H265" s="16" t="n"/>
      <c r="I265" s="17">
        <f>IF($A265="","",IFERROR(SUMIF(tblKategoriKomisyon[Kategori],$D265,tblKategoriKomisyon[KomisyonOran]),0))</f>
        <v/>
      </c>
      <c r="J265" s="17">
        <f>IF($A265="","",ROUND($E265*$G265,2))</f>
        <v/>
      </c>
      <c r="K265" s="17">
        <f>IF($A265="","",ROUND($J265*$H265,2))</f>
        <v/>
      </c>
      <c r="L265" s="17">
        <f>IF($A265="","",1)</f>
        <v/>
      </c>
    </row>
    <row r="266">
      <c r="A266" s="13" t="n"/>
      <c r="B266" s="13" t="n"/>
      <c r="C266" s="13" t="n"/>
      <c r="D266" s="13" t="n"/>
      <c r="E266" s="14" t="n"/>
      <c r="F266" s="14" t="n"/>
      <c r="G266" s="15" t="n"/>
      <c r="H266" s="16" t="n"/>
      <c r="I266" s="17">
        <f>IF($A266="","",IFERROR(SUMIF(tblKategoriKomisyon[Kategori],$D266,tblKategoriKomisyon[KomisyonOran]),0))</f>
        <v/>
      </c>
      <c r="J266" s="17">
        <f>IF($A266="","",ROUND($E266*$G266,2))</f>
        <v/>
      </c>
      <c r="K266" s="17">
        <f>IF($A266="","",ROUND($J266*$H266,2))</f>
        <v/>
      </c>
      <c r="L266" s="17">
        <f>IF($A266="","",1)</f>
        <v/>
      </c>
    </row>
    <row r="267">
      <c r="A267" s="13" t="n"/>
      <c r="B267" s="13" t="n"/>
      <c r="C267" s="13" t="n"/>
      <c r="D267" s="13" t="n"/>
      <c r="E267" s="14" t="n"/>
      <c r="F267" s="14" t="n"/>
      <c r="G267" s="15" t="n"/>
      <c r="H267" s="16" t="n"/>
      <c r="I267" s="17">
        <f>IF($A267="","",IFERROR(SUMIF(tblKategoriKomisyon[Kategori],$D267,tblKategoriKomisyon[KomisyonOran]),0))</f>
        <v/>
      </c>
      <c r="J267" s="17">
        <f>IF($A267="","",ROUND($E267*$G267,2))</f>
        <v/>
      </c>
      <c r="K267" s="17">
        <f>IF($A267="","",ROUND($J267*$H267,2))</f>
        <v/>
      </c>
      <c r="L267" s="17">
        <f>IF($A267="","",1)</f>
        <v/>
      </c>
    </row>
    <row r="268">
      <c r="A268" s="13" t="n"/>
      <c r="B268" s="13" t="n"/>
      <c r="C268" s="13" t="n"/>
      <c r="D268" s="13" t="n"/>
      <c r="E268" s="14" t="n"/>
      <c r="F268" s="14" t="n"/>
      <c r="G268" s="15" t="n"/>
      <c r="H268" s="16" t="n"/>
      <c r="I268" s="17">
        <f>IF($A268="","",IFERROR(SUMIF(tblKategoriKomisyon[Kategori],$D268,tblKategoriKomisyon[KomisyonOran]),0))</f>
        <v/>
      </c>
      <c r="J268" s="17">
        <f>IF($A268="","",ROUND($E268*$G268,2))</f>
        <v/>
      </c>
      <c r="K268" s="17">
        <f>IF($A268="","",ROUND($J268*$H268,2))</f>
        <v/>
      </c>
      <c r="L268" s="17">
        <f>IF($A268="","",1)</f>
        <v/>
      </c>
    </row>
    <row r="269">
      <c r="A269" s="13" t="n"/>
      <c r="B269" s="13" t="n"/>
      <c r="C269" s="13" t="n"/>
      <c r="D269" s="13" t="n"/>
      <c r="E269" s="14" t="n"/>
      <c r="F269" s="14" t="n"/>
      <c r="G269" s="15" t="n"/>
      <c r="H269" s="16" t="n"/>
      <c r="I269" s="17">
        <f>IF($A269="","",IFERROR(SUMIF(tblKategoriKomisyon[Kategori],$D269,tblKategoriKomisyon[KomisyonOran]),0))</f>
        <v/>
      </c>
      <c r="J269" s="17">
        <f>IF($A269="","",ROUND($E269*$G269,2))</f>
        <v/>
      </c>
      <c r="K269" s="17">
        <f>IF($A269="","",ROUND($J269*$H269,2))</f>
        <v/>
      </c>
      <c r="L269" s="17">
        <f>IF($A269="","",1)</f>
        <v/>
      </c>
    </row>
    <row r="270">
      <c r="A270" s="13" t="n"/>
      <c r="B270" s="13" t="n"/>
      <c r="C270" s="13" t="n"/>
      <c r="D270" s="13" t="n"/>
      <c r="E270" s="14" t="n"/>
      <c r="F270" s="14" t="n"/>
      <c r="G270" s="15" t="n"/>
      <c r="H270" s="16" t="n"/>
      <c r="I270" s="17">
        <f>IF($A270="","",IFERROR(SUMIF(tblKategoriKomisyon[Kategori],$D270,tblKategoriKomisyon[KomisyonOran]),0))</f>
        <v/>
      </c>
      <c r="J270" s="17">
        <f>IF($A270="","",ROUND($E270*$G270,2))</f>
        <v/>
      </c>
      <c r="K270" s="17">
        <f>IF($A270="","",ROUND($J270*$H270,2))</f>
        <v/>
      </c>
      <c r="L270" s="17">
        <f>IF($A270="","",1)</f>
        <v/>
      </c>
    </row>
    <row r="271">
      <c r="A271" s="13" t="n"/>
      <c r="B271" s="13" t="n"/>
      <c r="C271" s="13" t="n"/>
      <c r="D271" s="13" t="n"/>
      <c r="E271" s="14" t="n"/>
      <c r="F271" s="14" t="n"/>
      <c r="G271" s="15" t="n"/>
      <c r="H271" s="16" t="n"/>
      <c r="I271" s="17">
        <f>IF($A271="","",IFERROR(SUMIF(tblKategoriKomisyon[Kategori],$D271,tblKategoriKomisyon[KomisyonOran]),0))</f>
        <v/>
      </c>
      <c r="J271" s="17">
        <f>IF($A271="","",ROUND($E271*$G271,2))</f>
        <v/>
      </c>
      <c r="K271" s="17">
        <f>IF($A271="","",ROUND($J271*$H271,2))</f>
        <v/>
      </c>
      <c r="L271" s="17">
        <f>IF($A271="","",1)</f>
        <v/>
      </c>
    </row>
    <row r="272">
      <c r="A272" s="13" t="n"/>
      <c r="B272" s="13" t="n"/>
      <c r="C272" s="13" t="n"/>
      <c r="D272" s="13" t="n"/>
      <c r="E272" s="14" t="n"/>
      <c r="F272" s="14" t="n"/>
      <c r="G272" s="15" t="n"/>
      <c r="H272" s="16" t="n"/>
      <c r="I272" s="17">
        <f>IF($A272="","",IFERROR(SUMIF(tblKategoriKomisyon[Kategori],$D272,tblKategoriKomisyon[KomisyonOran]),0))</f>
        <v/>
      </c>
      <c r="J272" s="17">
        <f>IF($A272="","",ROUND($E272*$G272,2))</f>
        <v/>
      </c>
      <c r="K272" s="17">
        <f>IF($A272="","",ROUND($J272*$H272,2))</f>
        <v/>
      </c>
      <c r="L272" s="17">
        <f>IF($A272="","",1)</f>
        <v/>
      </c>
    </row>
    <row r="273">
      <c r="A273" s="13" t="n"/>
      <c r="B273" s="13" t="n"/>
      <c r="C273" s="13" t="n"/>
      <c r="D273" s="13" t="n"/>
      <c r="E273" s="14" t="n"/>
      <c r="F273" s="14" t="n"/>
      <c r="G273" s="15" t="n"/>
      <c r="H273" s="16" t="n"/>
      <c r="I273" s="17">
        <f>IF($A273="","",IFERROR(SUMIF(tblKategoriKomisyon[Kategori],$D273,tblKategoriKomisyon[KomisyonOran]),0))</f>
        <v/>
      </c>
      <c r="J273" s="17">
        <f>IF($A273="","",ROUND($E273*$G273,2))</f>
        <v/>
      </c>
      <c r="K273" s="17">
        <f>IF($A273="","",ROUND($J273*$H273,2))</f>
        <v/>
      </c>
      <c r="L273" s="17">
        <f>IF($A273="","",1)</f>
        <v/>
      </c>
    </row>
    <row r="274">
      <c r="A274" s="13" t="n"/>
      <c r="B274" s="13" t="n"/>
      <c r="C274" s="13" t="n"/>
      <c r="D274" s="13" t="n"/>
      <c r="E274" s="14" t="n"/>
      <c r="F274" s="14" t="n"/>
      <c r="G274" s="15" t="n"/>
      <c r="H274" s="16" t="n"/>
      <c r="I274" s="17">
        <f>IF($A274="","",IFERROR(SUMIF(tblKategoriKomisyon[Kategori],$D274,tblKategoriKomisyon[KomisyonOran]),0))</f>
        <v/>
      </c>
      <c r="J274" s="17">
        <f>IF($A274="","",ROUND($E274*$G274,2))</f>
        <v/>
      </c>
      <c r="K274" s="17">
        <f>IF($A274="","",ROUND($J274*$H274,2))</f>
        <v/>
      </c>
      <c r="L274" s="17">
        <f>IF($A274="","",1)</f>
        <v/>
      </c>
    </row>
    <row r="275">
      <c r="A275" s="13" t="n"/>
      <c r="B275" s="13" t="n"/>
      <c r="C275" s="13" t="n"/>
      <c r="D275" s="13" t="n"/>
      <c r="E275" s="14" t="n"/>
      <c r="F275" s="14" t="n"/>
      <c r="G275" s="15" t="n"/>
      <c r="H275" s="16" t="n"/>
      <c r="I275" s="17">
        <f>IF($A275="","",IFERROR(SUMIF(tblKategoriKomisyon[Kategori],$D275,tblKategoriKomisyon[KomisyonOran]),0))</f>
        <v/>
      </c>
      <c r="J275" s="17">
        <f>IF($A275="","",ROUND($E275*$G275,2))</f>
        <v/>
      </c>
      <c r="K275" s="17">
        <f>IF($A275="","",ROUND($J275*$H275,2))</f>
        <v/>
      </c>
      <c r="L275" s="17">
        <f>IF($A275="","",1)</f>
        <v/>
      </c>
    </row>
    <row r="276">
      <c r="A276" s="13" t="n"/>
      <c r="B276" s="13" t="n"/>
      <c r="C276" s="13" t="n"/>
      <c r="D276" s="13" t="n"/>
      <c r="E276" s="14" t="n"/>
      <c r="F276" s="14" t="n"/>
      <c r="G276" s="15" t="n"/>
      <c r="H276" s="16" t="n"/>
      <c r="I276" s="17">
        <f>IF($A276="","",IFERROR(SUMIF(tblKategoriKomisyon[Kategori],$D276,tblKategoriKomisyon[KomisyonOran]),0))</f>
        <v/>
      </c>
      <c r="J276" s="17">
        <f>IF($A276="","",ROUND($E276*$G276,2))</f>
        <v/>
      </c>
      <c r="K276" s="17">
        <f>IF($A276="","",ROUND($J276*$H276,2))</f>
        <v/>
      </c>
      <c r="L276" s="17">
        <f>IF($A276="","",1)</f>
        <v/>
      </c>
    </row>
    <row r="277">
      <c r="A277" s="13" t="n"/>
      <c r="B277" s="13" t="n"/>
      <c r="C277" s="13" t="n"/>
      <c r="D277" s="13" t="n"/>
      <c r="E277" s="14" t="n"/>
      <c r="F277" s="14" t="n"/>
      <c r="G277" s="15" t="n"/>
      <c r="H277" s="16" t="n"/>
      <c r="I277" s="17">
        <f>IF($A277="","",IFERROR(SUMIF(tblKategoriKomisyon[Kategori],$D277,tblKategoriKomisyon[KomisyonOran]),0))</f>
        <v/>
      </c>
      <c r="J277" s="17">
        <f>IF($A277="","",ROUND($E277*$G277,2))</f>
        <v/>
      </c>
      <c r="K277" s="17">
        <f>IF($A277="","",ROUND($J277*$H277,2))</f>
        <v/>
      </c>
      <c r="L277" s="17">
        <f>IF($A277="","",1)</f>
        <v/>
      </c>
    </row>
    <row r="278">
      <c r="A278" s="13" t="n"/>
      <c r="B278" s="13" t="n"/>
      <c r="C278" s="13" t="n"/>
      <c r="D278" s="13" t="n"/>
      <c r="E278" s="14" t="n"/>
      <c r="F278" s="14" t="n"/>
      <c r="G278" s="15" t="n"/>
      <c r="H278" s="16" t="n"/>
      <c r="I278" s="17">
        <f>IF($A278="","",IFERROR(SUMIF(tblKategoriKomisyon[Kategori],$D278,tblKategoriKomisyon[KomisyonOran]),0))</f>
        <v/>
      </c>
      <c r="J278" s="17">
        <f>IF($A278="","",ROUND($E278*$G278,2))</f>
        <v/>
      </c>
      <c r="K278" s="17">
        <f>IF($A278="","",ROUND($J278*$H278,2))</f>
        <v/>
      </c>
      <c r="L278" s="17">
        <f>IF($A278="","",1)</f>
        <v/>
      </c>
    </row>
    <row r="279">
      <c r="A279" s="13" t="n"/>
      <c r="B279" s="13" t="n"/>
      <c r="C279" s="13" t="n"/>
      <c r="D279" s="13" t="n"/>
      <c r="E279" s="14" t="n"/>
      <c r="F279" s="14" t="n"/>
      <c r="G279" s="15" t="n"/>
      <c r="H279" s="16" t="n"/>
      <c r="I279" s="17">
        <f>IF($A279="","",IFERROR(SUMIF(tblKategoriKomisyon[Kategori],$D279,tblKategoriKomisyon[KomisyonOran]),0))</f>
        <v/>
      </c>
      <c r="J279" s="17">
        <f>IF($A279="","",ROUND($E279*$G279,2))</f>
        <v/>
      </c>
      <c r="K279" s="17">
        <f>IF($A279="","",ROUND($J279*$H279,2))</f>
        <v/>
      </c>
      <c r="L279" s="17">
        <f>IF($A279="","",1)</f>
        <v/>
      </c>
    </row>
    <row r="280">
      <c r="A280" s="13" t="n"/>
      <c r="B280" s="13" t="n"/>
      <c r="C280" s="13" t="n"/>
      <c r="D280" s="13" t="n"/>
      <c r="E280" s="14" t="n"/>
      <c r="F280" s="14" t="n"/>
      <c r="G280" s="15" t="n"/>
      <c r="H280" s="16" t="n"/>
      <c r="I280" s="17">
        <f>IF($A280="","",IFERROR(SUMIF(tblKategoriKomisyon[Kategori],$D280,tblKategoriKomisyon[KomisyonOran]),0))</f>
        <v/>
      </c>
      <c r="J280" s="17">
        <f>IF($A280="","",ROUND($E280*$G280,2))</f>
        <v/>
      </c>
      <c r="K280" s="17">
        <f>IF($A280="","",ROUND($J280*$H280,2))</f>
        <v/>
      </c>
      <c r="L280" s="17">
        <f>IF($A280="","",1)</f>
        <v/>
      </c>
    </row>
    <row r="281">
      <c r="A281" s="13" t="n"/>
      <c r="B281" s="13" t="n"/>
      <c r="C281" s="13" t="n"/>
      <c r="D281" s="13" t="n"/>
      <c r="E281" s="14" t="n"/>
      <c r="F281" s="14" t="n"/>
      <c r="G281" s="15" t="n"/>
      <c r="H281" s="16" t="n"/>
      <c r="I281" s="17">
        <f>IF($A281="","",IFERROR(SUMIF(tblKategoriKomisyon[Kategori],$D281,tblKategoriKomisyon[KomisyonOran]),0))</f>
        <v/>
      </c>
      <c r="J281" s="17">
        <f>IF($A281="","",ROUND($E281*$G281,2))</f>
        <v/>
      </c>
      <c r="K281" s="17">
        <f>IF($A281="","",ROUND($J281*$H281,2))</f>
        <v/>
      </c>
      <c r="L281" s="17">
        <f>IF($A281="","",1)</f>
        <v/>
      </c>
    </row>
    <row r="282">
      <c r="A282" s="13" t="n"/>
      <c r="B282" s="13" t="n"/>
      <c r="C282" s="13" t="n"/>
      <c r="D282" s="13" t="n"/>
      <c r="E282" s="14" t="n"/>
      <c r="F282" s="14" t="n"/>
      <c r="G282" s="15" t="n"/>
      <c r="H282" s="16" t="n"/>
      <c r="I282" s="17">
        <f>IF($A282="","",IFERROR(SUMIF(tblKategoriKomisyon[Kategori],$D282,tblKategoriKomisyon[KomisyonOran]),0))</f>
        <v/>
      </c>
      <c r="J282" s="17">
        <f>IF($A282="","",ROUND($E282*$G282,2))</f>
        <v/>
      </c>
      <c r="K282" s="17">
        <f>IF($A282="","",ROUND($J282*$H282,2))</f>
        <v/>
      </c>
      <c r="L282" s="17">
        <f>IF($A282="","",1)</f>
        <v/>
      </c>
    </row>
    <row r="283">
      <c r="A283" s="13" t="n"/>
      <c r="B283" s="13" t="n"/>
      <c r="C283" s="13" t="n"/>
      <c r="D283" s="13" t="n"/>
      <c r="E283" s="14" t="n"/>
      <c r="F283" s="14" t="n"/>
      <c r="G283" s="15" t="n"/>
      <c r="H283" s="16" t="n"/>
      <c r="I283" s="17">
        <f>IF($A283="","",IFERROR(SUMIF(tblKategoriKomisyon[Kategori],$D283,tblKategoriKomisyon[KomisyonOran]),0))</f>
        <v/>
      </c>
      <c r="J283" s="17">
        <f>IF($A283="","",ROUND($E283*$G283,2))</f>
        <v/>
      </c>
      <c r="K283" s="17">
        <f>IF($A283="","",ROUND($J283*$H283,2))</f>
        <v/>
      </c>
      <c r="L283" s="17">
        <f>IF($A283="","",1)</f>
        <v/>
      </c>
    </row>
    <row r="284">
      <c r="A284" s="13" t="n"/>
      <c r="B284" s="13" t="n"/>
      <c r="C284" s="13" t="n"/>
      <c r="D284" s="13" t="n"/>
      <c r="E284" s="14" t="n"/>
      <c r="F284" s="14" t="n"/>
      <c r="G284" s="15" t="n"/>
      <c r="H284" s="16" t="n"/>
      <c r="I284" s="17">
        <f>IF($A284="","",IFERROR(SUMIF(tblKategoriKomisyon[Kategori],$D284,tblKategoriKomisyon[KomisyonOran]),0))</f>
        <v/>
      </c>
      <c r="J284" s="17">
        <f>IF($A284="","",ROUND($E284*$G284,2))</f>
        <v/>
      </c>
      <c r="K284" s="17">
        <f>IF($A284="","",ROUND($J284*$H284,2))</f>
        <v/>
      </c>
      <c r="L284" s="17">
        <f>IF($A284="","",1)</f>
        <v/>
      </c>
    </row>
    <row r="285">
      <c r="A285" s="13" t="n"/>
      <c r="B285" s="13" t="n"/>
      <c r="C285" s="13" t="n"/>
      <c r="D285" s="13" t="n"/>
      <c r="E285" s="14" t="n"/>
      <c r="F285" s="14" t="n"/>
      <c r="G285" s="15" t="n"/>
      <c r="H285" s="16" t="n"/>
      <c r="I285" s="17">
        <f>IF($A285="","",IFERROR(SUMIF(tblKategoriKomisyon[Kategori],$D285,tblKategoriKomisyon[KomisyonOran]),0))</f>
        <v/>
      </c>
      <c r="J285" s="17">
        <f>IF($A285="","",ROUND($E285*$G285,2))</f>
        <v/>
      </c>
      <c r="K285" s="17">
        <f>IF($A285="","",ROUND($J285*$H285,2))</f>
        <v/>
      </c>
      <c r="L285" s="17">
        <f>IF($A285="","",1)</f>
        <v/>
      </c>
    </row>
    <row r="286">
      <c r="A286" s="13" t="n"/>
      <c r="B286" s="13" t="n"/>
      <c r="C286" s="13" t="n"/>
      <c r="D286" s="13" t="n"/>
      <c r="E286" s="14" t="n"/>
      <c r="F286" s="14" t="n"/>
      <c r="G286" s="15" t="n"/>
      <c r="H286" s="16" t="n"/>
      <c r="I286" s="17">
        <f>IF($A286="","",IFERROR(SUMIF(tblKategoriKomisyon[Kategori],$D286,tblKategoriKomisyon[KomisyonOran]),0))</f>
        <v/>
      </c>
      <c r="J286" s="17">
        <f>IF($A286="","",ROUND($E286*$G286,2))</f>
        <v/>
      </c>
      <c r="K286" s="17">
        <f>IF($A286="","",ROUND($J286*$H286,2))</f>
        <v/>
      </c>
      <c r="L286" s="17">
        <f>IF($A286="","",1)</f>
        <v/>
      </c>
    </row>
    <row r="287">
      <c r="A287" s="13" t="n"/>
      <c r="B287" s="13" t="n"/>
      <c r="C287" s="13" t="n"/>
      <c r="D287" s="13" t="n"/>
      <c r="E287" s="14" t="n"/>
      <c r="F287" s="14" t="n"/>
      <c r="G287" s="15" t="n"/>
      <c r="H287" s="16" t="n"/>
      <c r="I287" s="17">
        <f>IF($A287="","",IFERROR(SUMIF(tblKategoriKomisyon[Kategori],$D287,tblKategoriKomisyon[KomisyonOran]),0))</f>
        <v/>
      </c>
      <c r="J287" s="17">
        <f>IF($A287="","",ROUND($E287*$G287,2))</f>
        <v/>
      </c>
      <c r="K287" s="17">
        <f>IF($A287="","",ROUND($J287*$H287,2))</f>
        <v/>
      </c>
      <c r="L287" s="17">
        <f>IF($A287="","",1)</f>
        <v/>
      </c>
    </row>
    <row r="288">
      <c r="A288" s="13" t="n"/>
      <c r="B288" s="13" t="n"/>
      <c r="C288" s="13" t="n"/>
      <c r="D288" s="13" t="n"/>
      <c r="E288" s="14" t="n"/>
      <c r="F288" s="14" t="n"/>
      <c r="G288" s="15" t="n"/>
      <c r="H288" s="16" t="n"/>
      <c r="I288" s="17">
        <f>IF($A288="","",IFERROR(SUMIF(tblKategoriKomisyon[Kategori],$D288,tblKategoriKomisyon[KomisyonOran]),0))</f>
        <v/>
      </c>
      <c r="J288" s="17">
        <f>IF($A288="","",ROUND($E288*$G288,2))</f>
        <v/>
      </c>
      <c r="K288" s="17">
        <f>IF($A288="","",ROUND($J288*$H288,2))</f>
        <v/>
      </c>
      <c r="L288" s="17">
        <f>IF($A288="","",1)</f>
        <v/>
      </c>
    </row>
    <row r="289">
      <c r="A289" s="13" t="n"/>
      <c r="B289" s="13" t="n"/>
      <c r="C289" s="13" t="n"/>
      <c r="D289" s="13" t="n"/>
      <c r="E289" s="14" t="n"/>
      <c r="F289" s="14" t="n"/>
      <c r="G289" s="15" t="n"/>
      <c r="H289" s="16" t="n"/>
      <c r="I289" s="17">
        <f>IF($A289="","",IFERROR(SUMIF(tblKategoriKomisyon[Kategori],$D289,tblKategoriKomisyon[KomisyonOran]),0))</f>
        <v/>
      </c>
      <c r="J289" s="17">
        <f>IF($A289="","",ROUND($E289*$G289,2))</f>
        <v/>
      </c>
      <c r="K289" s="17">
        <f>IF($A289="","",ROUND($J289*$H289,2))</f>
        <v/>
      </c>
      <c r="L289" s="17">
        <f>IF($A289="","",1)</f>
        <v/>
      </c>
    </row>
    <row r="290">
      <c r="A290" s="13" t="n"/>
      <c r="B290" s="13" t="n"/>
      <c r="C290" s="13" t="n"/>
      <c r="D290" s="13" t="n"/>
      <c r="E290" s="14" t="n"/>
      <c r="F290" s="14" t="n"/>
      <c r="G290" s="15" t="n"/>
      <c r="H290" s="16" t="n"/>
      <c r="I290" s="17">
        <f>IF($A290="","",IFERROR(SUMIF(tblKategoriKomisyon[Kategori],$D290,tblKategoriKomisyon[KomisyonOran]),0))</f>
        <v/>
      </c>
      <c r="J290" s="17">
        <f>IF($A290="","",ROUND($E290*$G290,2))</f>
        <v/>
      </c>
      <c r="K290" s="17">
        <f>IF($A290="","",ROUND($J290*$H290,2))</f>
        <v/>
      </c>
      <c r="L290" s="17">
        <f>IF($A290="","",1)</f>
        <v/>
      </c>
    </row>
    <row r="291">
      <c r="A291" s="13" t="n"/>
      <c r="B291" s="13" t="n"/>
      <c r="C291" s="13" t="n"/>
      <c r="D291" s="13" t="n"/>
      <c r="E291" s="14" t="n"/>
      <c r="F291" s="14" t="n"/>
      <c r="G291" s="15" t="n"/>
      <c r="H291" s="16" t="n"/>
      <c r="I291" s="17">
        <f>IF($A291="","",IFERROR(SUMIF(tblKategoriKomisyon[Kategori],$D291,tblKategoriKomisyon[KomisyonOran]),0))</f>
        <v/>
      </c>
      <c r="J291" s="17">
        <f>IF($A291="","",ROUND($E291*$G291,2))</f>
        <v/>
      </c>
      <c r="K291" s="17">
        <f>IF($A291="","",ROUND($J291*$H291,2))</f>
        <v/>
      </c>
      <c r="L291" s="17">
        <f>IF($A291="","",1)</f>
        <v/>
      </c>
    </row>
    <row r="292">
      <c r="A292" s="13" t="n"/>
      <c r="B292" s="13" t="n"/>
      <c r="C292" s="13" t="n"/>
      <c r="D292" s="13" t="n"/>
      <c r="E292" s="14" t="n"/>
      <c r="F292" s="14" t="n"/>
      <c r="G292" s="15" t="n"/>
      <c r="H292" s="16" t="n"/>
      <c r="I292" s="17">
        <f>IF($A292="","",IFERROR(SUMIF(tblKategoriKomisyon[Kategori],$D292,tblKategoriKomisyon[KomisyonOran]),0))</f>
        <v/>
      </c>
      <c r="J292" s="17">
        <f>IF($A292="","",ROUND($E292*$G292,2))</f>
        <v/>
      </c>
      <c r="K292" s="17">
        <f>IF($A292="","",ROUND($J292*$H292,2))</f>
        <v/>
      </c>
      <c r="L292" s="17">
        <f>IF($A292="","",1)</f>
        <v/>
      </c>
    </row>
    <row r="293">
      <c r="A293" s="13" t="n"/>
      <c r="B293" s="13" t="n"/>
      <c r="C293" s="13" t="n"/>
      <c r="D293" s="13" t="n"/>
      <c r="E293" s="14" t="n"/>
      <c r="F293" s="14" t="n"/>
      <c r="G293" s="15" t="n"/>
      <c r="H293" s="16" t="n"/>
      <c r="I293" s="17">
        <f>IF($A293="","",IFERROR(SUMIF(tblKategoriKomisyon[Kategori],$D293,tblKategoriKomisyon[KomisyonOran]),0))</f>
        <v/>
      </c>
      <c r="J293" s="17">
        <f>IF($A293="","",ROUND($E293*$G293,2))</f>
        <v/>
      </c>
      <c r="K293" s="17">
        <f>IF($A293="","",ROUND($J293*$H293,2))</f>
        <v/>
      </c>
      <c r="L293" s="17">
        <f>IF($A293="","",1)</f>
        <v/>
      </c>
    </row>
    <row r="294">
      <c r="A294" s="13" t="n"/>
      <c r="B294" s="13" t="n"/>
      <c r="C294" s="13" t="n"/>
      <c r="D294" s="13" t="n"/>
      <c r="E294" s="14" t="n"/>
      <c r="F294" s="14" t="n"/>
      <c r="G294" s="15" t="n"/>
      <c r="H294" s="16" t="n"/>
      <c r="I294" s="17">
        <f>IF($A294="","",IFERROR(SUMIF(tblKategoriKomisyon[Kategori],$D294,tblKategoriKomisyon[KomisyonOran]),0))</f>
        <v/>
      </c>
      <c r="J294" s="17">
        <f>IF($A294="","",ROUND($E294*$G294,2))</f>
        <v/>
      </c>
      <c r="K294" s="17">
        <f>IF($A294="","",ROUND($J294*$H294,2))</f>
        <v/>
      </c>
      <c r="L294" s="17">
        <f>IF($A294="","",1)</f>
        <v/>
      </c>
    </row>
    <row r="295">
      <c r="A295" s="13" t="n"/>
      <c r="B295" s="13" t="n"/>
      <c r="C295" s="13" t="n"/>
      <c r="D295" s="13" t="n"/>
      <c r="E295" s="14" t="n"/>
      <c r="F295" s="14" t="n"/>
      <c r="G295" s="15" t="n"/>
      <c r="H295" s="16" t="n"/>
      <c r="I295" s="17">
        <f>IF($A295="","",IFERROR(SUMIF(tblKategoriKomisyon[Kategori],$D295,tblKategoriKomisyon[KomisyonOran]),0))</f>
        <v/>
      </c>
      <c r="J295" s="17">
        <f>IF($A295="","",ROUND($E295*$G295,2))</f>
        <v/>
      </c>
      <c r="K295" s="17">
        <f>IF($A295="","",ROUND($J295*$H295,2))</f>
        <v/>
      </c>
      <c r="L295" s="17">
        <f>IF($A295="","",1)</f>
        <v/>
      </c>
    </row>
    <row r="296">
      <c r="A296" s="13" t="n"/>
      <c r="B296" s="13" t="n"/>
      <c r="C296" s="13" t="n"/>
      <c r="D296" s="13" t="n"/>
      <c r="E296" s="14" t="n"/>
      <c r="F296" s="14" t="n"/>
      <c r="G296" s="15" t="n"/>
      <c r="H296" s="16" t="n"/>
      <c r="I296" s="17">
        <f>IF($A296="","",IFERROR(SUMIF(tblKategoriKomisyon[Kategori],$D296,tblKategoriKomisyon[KomisyonOran]),0))</f>
        <v/>
      </c>
      <c r="J296" s="17">
        <f>IF($A296="","",ROUND($E296*$G296,2))</f>
        <v/>
      </c>
      <c r="K296" s="17">
        <f>IF($A296="","",ROUND($J296*$H296,2))</f>
        <v/>
      </c>
      <c r="L296" s="17">
        <f>IF($A296="","",1)</f>
        <v/>
      </c>
    </row>
    <row r="297">
      <c r="A297" s="13" t="n"/>
      <c r="B297" s="13" t="n"/>
      <c r="C297" s="13" t="n"/>
      <c r="D297" s="13" t="n"/>
      <c r="E297" s="14" t="n"/>
      <c r="F297" s="14" t="n"/>
      <c r="G297" s="15" t="n"/>
      <c r="H297" s="16" t="n"/>
      <c r="I297" s="17">
        <f>IF($A297="","",IFERROR(SUMIF(tblKategoriKomisyon[Kategori],$D297,tblKategoriKomisyon[KomisyonOran]),0))</f>
        <v/>
      </c>
      <c r="J297" s="17">
        <f>IF($A297="","",ROUND($E297*$G297,2))</f>
        <v/>
      </c>
      <c r="K297" s="17">
        <f>IF($A297="","",ROUND($J297*$H297,2))</f>
        <v/>
      </c>
      <c r="L297" s="17">
        <f>IF($A297="","",1)</f>
        <v/>
      </c>
    </row>
    <row r="298">
      <c r="A298" s="13" t="n"/>
      <c r="B298" s="13" t="n"/>
      <c r="C298" s="13" t="n"/>
      <c r="D298" s="13" t="n"/>
      <c r="E298" s="14" t="n"/>
      <c r="F298" s="14" t="n"/>
      <c r="G298" s="15" t="n"/>
      <c r="H298" s="16" t="n"/>
      <c r="I298" s="17">
        <f>IF($A298="","",IFERROR(SUMIF(tblKategoriKomisyon[Kategori],$D298,tblKategoriKomisyon[KomisyonOran]),0))</f>
        <v/>
      </c>
      <c r="J298" s="17">
        <f>IF($A298="","",ROUND($E298*$G298,2))</f>
        <v/>
      </c>
      <c r="K298" s="17">
        <f>IF($A298="","",ROUND($J298*$H298,2))</f>
        <v/>
      </c>
      <c r="L298" s="17">
        <f>IF($A298="","",1)</f>
        <v/>
      </c>
    </row>
    <row r="299">
      <c r="A299" s="13" t="n"/>
      <c r="B299" s="13" t="n"/>
      <c r="C299" s="13" t="n"/>
      <c r="D299" s="13" t="n"/>
      <c r="E299" s="14" t="n"/>
      <c r="F299" s="14" t="n"/>
      <c r="G299" s="15" t="n"/>
      <c r="H299" s="16" t="n"/>
      <c r="I299" s="17">
        <f>IF($A299="","",IFERROR(SUMIF(tblKategoriKomisyon[Kategori],$D299,tblKategoriKomisyon[KomisyonOran]),0))</f>
        <v/>
      </c>
      <c r="J299" s="17">
        <f>IF($A299="","",ROUND($E299*$G299,2))</f>
        <v/>
      </c>
      <c r="K299" s="17">
        <f>IF($A299="","",ROUND($J299*$H299,2))</f>
        <v/>
      </c>
      <c r="L299" s="17">
        <f>IF($A299="","",1)</f>
        <v/>
      </c>
    </row>
    <row r="300">
      <c r="A300" s="13" t="n"/>
      <c r="B300" s="13" t="n"/>
      <c r="C300" s="13" t="n"/>
      <c r="D300" s="13" t="n"/>
      <c r="E300" s="14" t="n"/>
      <c r="F300" s="14" t="n"/>
      <c r="G300" s="15" t="n"/>
      <c r="H300" s="16" t="n"/>
      <c r="I300" s="17">
        <f>IF($A300="","",IFERROR(SUMIF(tblKategoriKomisyon[Kategori],$D300,tblKategoriKomisyon[KomisyonOran]),0))</f>
        <v/>
      </c>
      <c r="J300" s="17">
        <f>IF($A300="","",ROUND($E300*$G300,2))</f>
        <v/>
      </c>
      <c r="K300" s="17">
        <f>IF($A300="","",ROUND($J300*$H300,2))</f>
        <v/>
      </c>
      <c r="L300" s="17">
        <f>IF($A300="","",1)</f>
        <v/>
      </c>
    </row>
    <row r="301">
      <c r="A301" s="13" t="n"/>
      <c r="B301" s="13" t="n"/>
      <c r="C301" s="13" t="n"/>
      <c r="D301" s="13" t="n"/>
      <c r="E301" s="14" t="n"/>
      <c r="F301" s="14" t="n"/>
      <c r="G301" s="15" t="n"/>
      <c r="H301" s="16" t="n"/>
      <c r="I301" s="17">
        <f>IF($A301="","",IFERROR(SUMIF(tblKategoriKomisyon[Kategori],$D301,tblKategoriKomisyon[KomisyonOran]),0))</f>
        <v/>
      </c>
      <c r="J301" s="17">
        <f>IF($A301="","",ROUND($E301*$G301,2))</f>
        <v/>
      </c>
      <c r="K301" s="17">
        <f>IF($A301="","",ROUND($J301*$H301,2))</f>
        <v/>
      </c>
      <c r="L301" s="17">
        <f>IF($A301="","",1)</f>
        <v/>
      </c>
    </row>
    <row r="302">
      <c r="A302" s="13" t="n"/>
      <c r="B302" s="13" t="n"/>
      <c r="C302" s="13" t="n"/>
      <c r="D302" s="13" t="n"/>
      <c r="E302" s="14" t="n"/>
      <c r="F302" s="14" t="n"/>
      <c r="G302" s="15" t="n"/>
      <c r="H302" s="16" t="n"/>
      <c r="I302" s="17">
        <f>IF($A302="","",IFERROR(SUMIF(tblKategoriKomisyon[Kategori],$D302,tblKategoriKomisyon[KomisyonOran]),0))</f>
        <v/>
      </c>
      <c r="J302" s="17">
        <f>IF($A302="","",ROUND($E302*$G302,2))</f>
        <v/>
      </c>
      <c r="K302" s="17">
        <f>IF($A302="","",ROUND($J302*$H302,2))</f>
        <v/>
      </c>
      <c r="L302" s="17">
        <f>IF($A302="","",1)</f>
        <v/>
      </c>
    </row>
    <row r="303">
      <c r="A303" s="13" t="n"/>
      <c r="B303" s="13" t="n"/>
      <c r="C303" s="13" t="n"/>
      <c r="D303" s="13" t="n"/>
      <c r="E303" s="14" t="n"/>
      <c r="F303" s="14" t="n"/>
      <c r="G303" s="15" t="n"/>
      <c r="H303" s="16" t="n"/>
      <c r="I303" s="17">
        <f>IF($A303="","",IFERROR(SUMIF(tblKategoriKomisyon[Kategori],$D303,tblKategoriKomisyon[KomisyonOran]),0))</f>
        <v/>
      </c>
      <c r="J303" s="17">
        <f>IF($A303="","",ROUND($E303*$G303,2))</f>
        <v/>
      </c>
      <c r="K303" s="17">
        <f>IF($A303="","",ROUND($J303*$H303,2))</f>
        <v/>
      </c>
      <c r="L303" s="17">
        <f>IF($A303="","",1)</f>
        <v/>
      </c>
    </row>
    <row r="304">
      <c r="A304" s="13" t="n"/>
      <c r="B304" s="13" t="n"/>
      <c r="C304" s="13" t="n"/>
      <c r="D304" s="13" t="n"/>
      <c r="E304" s="14" t="n"/>
      <c r="F304" s="14" t="n"/>
      <c r="G304" s="15" t="n"/>
      <c r="H304" s="16" t="n"/>
      <c r="I304" s="17">
        <f>IF($A304="","",IFERROR(SUMIF(tblKategoriKomisyon[Kategori],$D304,tblKategoriKomisyon[KomisyonOran]),0))</f>
        <v/>
      </c>
      <c r="J304" s="17">
        <f>IF($A304="","",ROUND($E304*$G304,2))</f>
        <v/>
      </c>
      <c r="K304" s="17">
        <f>IF($A304="","",ROUND($J304*$H304,2))</f>
        <v/>
      </c>
      <c r="L304" s="17">
        <f>IF($A304="","",1)</f>
        <v/>
      </c>
    </row>
    <row r="305">
      <c r="A305" s="13" t="n"/>
      <c r="B305" s="13" t="n"/>
      <c r="C305" s="13" t="n"/>
      <c r="D305" s="13" t="n"/>
      <c r="E305" s="14" t="n"/>
      <c r="F305" s="14" t="n"/>
      <c r="G305" s="15" t="n"/>
      <c r="H305" s="16" t="n"/>
      <c r="I305" s="17">
        <f>IF($A305="","",IFERROR(SUMIF(tblKategoriKomisyon[Kategori],$D305,tblKategoriKomisyon[KomisyonOran]),0))</f>
        <v/>
      </c>
      <c r="J305" s="17">
        <f>IF($A305="","",ROUND($E305*$G305,2))</f>
        <v/>
      </c>
      <c r="K305" s="17">
        <f>IF($A305="","",ROUND($J305*$H305,2))</f>
        <v/>
      </c>
      <c r="L305" s="17">
        <f>IF($A305="","",1)</f>
        <v/>
      </c>
    </row>
    <row r="306">
      <c r="A306" s="13" t="n"/>
      <c r="B306" s="13" t="n"/>
      <c r="C306" s="13" t="n"/>
      <c r="D306" s="13" t="n"/>
      <c r="E306" s="14" t="n"/>
      <c r="F306" s="14" t="n"/>
      <c r="G306" s="15" t="n"/>
      <c r="H306" s="16" t="n"/>
      <c r="I306" s="17">
        <f>IF($A306="","",IFERROR(SUMIF(tblKategoriKomisyon[Kategori],$D306,tblKategoriKomisyon[KomisyonOran]),0))</f>
        <v/>
      </c>
      <c r="J306" s="17">
        <f>IF($A306="","",ROUND($E306*$G306,2))</f>
        <v/>
      </c>
      <c r="K306" s="17">
        <f>IF($A306="","",ROUND($J306*$H306,2))</f>
        <v/>
      </c>
      <c r="L306" s="17">
        <f>IF($A306="","",1)</f>
        <v/>
      </c>
    </row>
    <row r="307">
      <c r="A307" s="13" t="n"/>
      <c r="B307" s="13" t="n"/>
      <c r="C307" s="13" t="n"/>
      <c r="D307" s="13" t="n"/>
      <c r="E307" s="14" t="n"/>
      <c r="F307" s="14" t="n"/>
      <c r="G307" s="15" t="n"/>
      <c r="H307" s="16" t="n"/>
      <c r="I307" s="17">
        <f>IF($A307="","",IFERROR(SUMIF(tblKategoriKomisyon[Kategori],$D307,tblKategoriKomisyon[KomisyonOran]),0))</f>
        <v/>
      </c>
      <c r="J307" s="17">
        <f>IF($A307="","",ROUND($E307*$G307,2))</f>
        <v/>
      </c>
      <c r="K307" s="17">
        <f>IF($A307="","",ROUND($J307*$H307,2))</f>
        <v/>
      </c>
      <c r="L307" s="17">
        <f>IF($A307="","",1)</f>
        <v/>
      </c>
    </row>
    <row r="308">
      <c r="A308" s="13" t="n"/>
      <c r="B308" s="13" t="n"/>
      <c r="C308" s="13" t="n"/>
      <c r="D308" s="13" t="n"/>
      <c r="E308" s="14" t="n"/>
      <c r="F308" s="14" t="n"/>
      <c r="G308" s="15" t="n"/>
      <c r="H308" s="16" t="n"/>
      <c r="I308" s="17">
        <f>IF($A308="","",IFERROR(SUMIF(tblKategoriKomisyon[Kategori],$D308,tblKategoriKomisyon[KomisyonOran]),0))</f>
        <v/>
      </c>
      <c r="J308" s="17">
        <f>IF($A308="","",ROUND($E308*$G308,2))</f>
        <v/>
      </c>
      <c r="K308" s="17">
        <f>IF($A308="","",ROUND($J308*$H308,2))</f>
        <v/>
      </c>
      <c r="L308" s="17">
        <f>IF($A308="","",1)</f>
        <v/>
      </c>
    </row>
    <row r="309">
      <c r="A309" s="13" t="n"/>
      <c r="B309" s="13" t="n"/>
      <c r="C309" s="13" t="n"/>
      <c r="D309" s="13" t="n"/>
      <c r="E309" s="14" t="n"/>
      <c r="F309" s="14" t="n"/>
      <c r="G309" s="15" t="n"/>
      <c r="H309" s="16" t="n"/>
      <c r="I309" s="17">
        <f>IF($A309="","",IFERROR(SUMIF(tblKategoriKomisyon[Kategori],$D309,tblKategoriKomisyon[KomisyonOran]),0))</f>
        <v/>
      </c>
      <c r="J309" s="17">
        <f>IF($A309="","",ROUND($E309*$G309,2))</f>
        <v/>
      </c>
      <c r="K309" s="17">
        <f>IF($A309="","",ROUND($J309*$H309,2))</f>
        <v/>
      </c>
      <c r="L309" s="17">
        <f>IF($A309="","",1)</f>
        <v/>
      </c>
    </row>
    <row r="310">
      <c r="A310" s="13" t="n"/>
      <c r="B310" s="13" t="n"/>
      <c r="C310" s="13" t="n"/>
      <c r="D310" s="13" t="n"/>
      <c r="E310" s="14" t="n"/>
      <c r="F310" s="14" t="n"/>
      <c r="G310" s="15" t="n"/>
      <c r="H310" s="16" t="n"/>
      <c r="I310" s="17">
        <f>IF($A310="","",IFERROR(SUMIF(tblKategoriKomisyon[Kategori],$D310,tblKategoriKomisyon[KomisyonOran]),0))</f>
        <v/>
      </c>
      <c r="J310" s="17">
        <f>IF($A310="","",ROUND($E310*$G310,2))</f>
        <v/>
      </c>
      <c r="K310" s="17">
        <f>IF($A310="","",ROUND($J310*$H310,2))</f>
        <v/>
      </c>
      <c r="L310" s="17">
        <f>IF($A310="","",1)</f>
        <v/>
      </c>
    </row>
    <row r="311">
      <c r="A311" s="13" t="n"/>
      <c r="B311" s="13" t="n"/>
      <c r="C311" s="13" t="n"/>
      <c r="D311" s="13" t="n"/>
      <c r="E311" s="14" t="n"/>
      <c r="F311" s="14" t="n"/>
      <c r="G311" s="15" t="n"/>
      <c r="H311" s="16" t="n"/>
      <c r="I311" s="17">
        <f>IF($A311="","",IFERROR(SUMIF(tblKategoriKomisyon[Kategori],$D311,tblKategoriKomisyon[KomisyonOran]),0))</f>
        <v/>
      </c>
      <c r="J311" s="17">
        <f>IF($A311="","",ROUND($E311*$G311,2))</f>
        <v/>
      </c>
      <c r="K311" s="17">
        <f>IF($A311="","",ROUND($J311*$H311,2))</f>
        <v/>
      </c>
      <c r="L311" s="17">
        <f>IF($A311="","",1)</f>
        <v/>
      </c>
    </row>
    <row r="312">
      <c r="A312" s="13" t="n"/>
      <c r="B312" s="13" t="n"/>
      <c r="C312" s="13" t="n"/>
      <c r="D312" s="13" t="n"/>
      <c r="E312" s="14" t="n"/>
      <c r="F312" s="14" t="n"/>
      <c r="G312" s="15" t="n"/>
      <c r="H312" s="16" t="n"/>
      <c r="I312" s="17">
        <f>IF($A312="","",IFERROR(SUMIF(tblKategoriKomisyon[Kategori],$D312,tblKategoriKomisyon[KomisyonOran]),0))</f>
        <v/>
      </c>
      <c r="J312" s="17">
        <f>IF($A312="","",ROUND($E312*$G312,2))</f>
        <v/>
      </c>
      <c r="K312" s="17">
        <f>IF($A312="","",ROUND($J312*$H312,2))</f>
        <v/>
      </c>
      <c r="L312" s="17">
        <f>IF($A312="","",1)</f>
        <v/>
      </c>
    </row>
    <row r="313">
      <c r="A313" s="13" t="n"/>
      <c r="B313" s="13" t="n"/>
      <c r="C313" s="13" t="n"/>
      <c r="D313" s="13" t="n"/>
      <c r="E313" s="14" t="n"/>
      <c r="F313" s="14" t="n"/>
      <c r="G313" s="15" t="n"/>
      <c r="H313" s="16" t="n"/>
      <c r="I313" s="17">
        <f>IF($A313="","",IFERROR(SUMIF(tblKategoriKomisyon[Kategori],$D313,tblKategoriKomisyon[KomisyonOran]),0))</f>
        <v/>
      </c>
      <c r="J313" s="17">
        <f>IF($A313="","",ROUND($E313*$G313,2))</f>
        <v/>
      </c>
      <c r="K313" s="17">
        <f>IF($A313="","",ROUND($J313*$H313,2))</f>
        <v/>
      </c>
      <c r="L313" s="17">
        <f>IF($A313="","",1)</f>
        <v/>
      </c>
    </row>
    <row r="314">
      <c r="A314" s="13" t="n"/>
      <c r="B314" s="13" t="n"/>
      <c r="C314" s="13" t="n"/>
      <c r="D314" s="13" t="n"/>
      <c r="E314" s="14" t="n"/>
      <c r="F314" s="14" t="n"/>
      <c r="G314" s="15" t="n"/>
      <c r="H314" s="16" t="n"/>
      <c r="I314" s="17">
        <f>IF($A314="","",IFERROR(SUMIF(tblKategoriKomisyon[Kategori],$D314,tblKategoriKomisyon[KomisyonOran]),0))</f>
        <v/>
      </c>
      <c r="J314" s="17">
        <f>IF($A314="","",ROUND($E314*$G314,2))</f>
        <v/>
      </c>
      <c r="K314" s="17">
        <f>IF($A314="","",ROUND($J314*$H314,2))</f>
        <v/>
      </c>
      <c r="L314" s="17">
        <f>IF($A314="","",1)</f>
        <v/>
      </c>
    </row>
    <row r="315">
      <c r="A315" s="13" t="n"/>
      <c r="B315" s="13" t="n"/>
      <c r="C315" s="13" t="n"/>
      <c r="D315" s="13" t="n"/>
      <c r="E315" s="14" t="n"/>
      <c r="F315" s="14" t="n"/>
      <c r="G315" s="15" t="n"/>
      <c r="H315" s="16" t="n"/>
      <c r="I315" s="17">
        <f>IF($A315="","",IFERROR(SUMIF(tblKategoriKomisyon[Kategori],$D315,tblKategoriKomisyon[KomisyonOran]),0))</f>
        <v/>
      </c>
      <c r="J315" s="17">
        <f>IF($A315="","",ROUND($E315*$G315,2))</f>
        <v/>
      </c>
      <c r="K315" s="17">
        <f>IF($A315="","",ROUND($J315*$H315,2))</f>
        <v/>
      </c>
      <c r="L315" s="17">
        <f>IF($A315="","",1)</f>
        <v/>
      </c>
    </row>
    <row r="316">
      <c r="A316" s="13" t="n"/>
      <c r="B316" s="13" t="n"/>
      <c r="C316" s="13" t="n"/>
      <c r="D316" s="13" t="n"/>
      <c r="E316" s="14" t="n"/>
      <c r="F316" s="14" t="n"/>
      <c r="G316" s="15" t="n"/>
      <c r="H316" s="16" t="n"/>
      <c r="I316" s="17">
        <f>IF($A316="","",IFERROR(SUMIF(tblKategoriKomisyon[Kategori],$D316,tblKategoriKomisyon[KomisyonOran]),0))</f>
        <v/>
      </c>
      <c r="J316" s="17">
        <f>IF($A316="","",ROUND($E316*$G316,2))</f>
        <v/>
      </c>
      <c r="K316" s="17">
        <f>IF($A316="","",ROUND($J316*$H316,2))</f>
        <v/>
      </c>
      <c r="L316" s="17">
        <f>IF($A316="","",1)</f>
        <v/>
      </c>
    </row>
    <row r="317">
      <c r="A317" s="13" t="n"/>
      <c r="B317" s="13" t="n"/>
      <c r="C317" s="13" t="n"/>
      <c r="D317" s="13" t="n"/>
      <c r="E317" s="14" t="n"/>
      <c r="F317" s="14" t="n"/>
      <c r="G317" s="15" t="n"/>
      <c r="H317" s="16" t="n"/>
      <c r="I317" s="17">
        <f>IF($A317="","",IFERROR(SUMIF(tblKategoriKomisyon[Kategori],$D317,tblKategoriKomisyon[KomisyonOran]),0))</f>
        <v/>
      </c>
      <c r="J317" s="17">
        <f>IF($A317="","",ROUND($E317*$G317,2))</f>
        <v/>
      </c>
      <c r="K317" s="17">
        <f>IF($A317="","",ROUND($J317*$H317,2))</f>
        <v/>
      </c>
      <c r="L317" s="17">
        <f>IF($A317="","",1)</f>
        <v/>
      </c>
    </row>
    <row r="318">
      <c r="A318" s="13" t="n"/>
      <c r="B318" s="13" t="n"/>
      <c r="C318" s="13" t="n"/>
      <c r="D318" s="13" t="n"/>
      <c r="E318" s="14" t="n"/>
      <c r="F318" s="14" t="n"/>
      <c r="G318" s="15" t="n"/>
      <c r="H318" s="16" t="n"/>
      <c r="I318" s="17">
        <f>IF($A318="","",IFERROR(SUMIF(tblKategoriKomisyon[Kategori],$D318,tblKategoriKomisyon[KomisyonOran]),0))</f>
        <v/>
      </c>
      <c r="J318" s="17">
        <f>IF($A318="","",ROUND($E318*$G318,2))</f>
        <v/>
      </c>
      <c r="K318" s="17">
        <f>IF($A318="","",ROUND($J318*$H318,2))</f>
        <v/>
      </c>
      <c r="L318" s="17">
        <f>IF($A318="","",1)</f>
        <v/>
      </c>
    </row>
    <row r="319">
      <c r="A319" s="13" t="n"/>
      <c r="B319" s="13" t="n"/>
      <c r="C319" s="13" t="n"/>
      <c r="D319" s="13" t="n"/>
      <c r="E319" s="14" t="n"/>
      <c r="F319" s="14" t="n"/>
      <c r="G319" s="15" t="n"/>
      <c r="H319" s="16" t="n"/>
      <c r="I319" s="17">
        <f>IF($A319="","",IFERROR(SUMIF(tblKategoriKomisyon[Kategori],$D319,tblKategoriKomisyon[KomisyonOran]),0))</f>
        <v/>
      </c>
      <c r="J319" s="17">
        <f>IF($A319="","",ROUND($E319*$G319,2))</f>
        <v/>
      </c>
      <c r="K319" s="17">
        <f>IF($A319="","",ROUND($J319*$H319,2))</f>
        <v/>
      </c>
      <c r="L319" s="17">
        <f>IF($A319="","",1)</f>
        <v/>
      </c>
    </row>
    <row r="320">
      <c r="A320" s="13" t="n"/>
      <c r="B320" s="13" t="n"/>
      <c r="C320" s="13" t="n"/>
      <c r="D320" s="13" t="n"/>
      <c r="E320" s="14" t="n"/>
      <c r="F320" s="14" t="n"/>
      <c r="G320" s="15" t="n"/>
      <c r="H320" s="16" t="n"/>
      <c r="I320" s="17">
        <f>IF($A320="","",IFERROR(SUMIF(tblKategoriKomisyon[Kategori],$D320,tblKategoriKomisyon[KomisyonOran]),0))</f>
        <v/>
      </c>
      <c r="J320" s="17">
        <f>IF($A320="","",ROUND($E320*$G320,2))</f>
        <v/>
      </c>
      <c r="K320" s="17">
        <f>IF($A320="","",ROUND($J320*$H320,2))</f>
        <v/>
      </c>
      <c r="L320" s="17">
        <f>IF($A320="","",1)</f>
        <v/>
      </c>
    </row>
    <row r="321">
      <c r="A321" s="13" t="n"/>
      <c r="B321" s="13" t="n"/>
      <c r="C321" s="13" t="n"/>
      <c r="D321" s="13" t="n"/>
      <c r="E321" s="14" t="n"/>
      <c r="F321" s="14" t="n"/>
      <c r="G321" s="15" t="n"/>
      <c r="H321" s="16" t="n"/>
      <c r="I321" s="17">
        <f>IF($A321="","",IFERROR(SUMIF(tblKategoriKomisyon[Kategori],$D321,tblKategoriKomisyon[KomisyonOran]),0))</f>
        <v/>
      </c>
      <c r="J321" s="17">
        <f>IF($A321="","",ROUND($E321*$G321,2))</f>
        <v/>
      </c>
      <c r="K321" s="17">
        <f>IF($A321="","",ROUND($J321*$H321,2))</f>
        <v/>
      </c>
      <c r="L321" s="17">
        <f>IF($A321="","",1)</f>
        <v/>
      </c>
    </row>
    <row r="322">
      <c r="A322" s="13" t="n"/>
      <c r="B322" s="13" t="n"/>
      <c r="C322" s="13" t="n"/>
      <c r="D322" s="13" t="n"/>
      <c r="E322" s="14" t="n"/>
      <c r="F322" s="14" t="n"/>
      <c r="G322" s="15" t="n"/>
      <c r="H322" s="16" t="n"/>
      <c r="I322" s="17">
        <f>IF($A322="","",IFERROR(SUMIF(tblKategoriKomisyon[Kategori],$D322,tblKategoriKomisyon[KomisyonOran]),0))</f>
        <v/>
      </c>
      <c r="J322" s="17">
        <f>IF($A322="","",ROUND($E322*$G322,2))</f>
        <v/>
      </c>
      <c r="K322" s="17">
        <f>IF($A322="","",ROUND($J322*$H322,2))</f>
        <v/>
      </c>
      <c r="L322" s="17">
        <f>IF($A322="","",1)</f>
        <v/>
      </c>
    </row>
    <row r="323">
      <c r="A323" s="13" t="n"/>
      <c r="B323" s="13" t="n"/>
      <c r="C323" s="13" t="n"/>
      <c r="D323" s="13" t="n"/>
      <c r="E323" s="14" t="n"/>
      <c r="F323" s="14" t="n"/>
      <c r="G323" s="15" t="n"/>
      <c r="H323" s="16" t="n"/>
      <c r="I323" s="17">
        <f>IF($A323="","",IFERROR(SUMIF(tblKategoriKomisyon[Kategori],$D323,tblKategoriKomisyon[KomisyonOran]),0))</f>
        <v/>
      </c>
      <c r="J323" s="17">
        <f>IF($A323="","",ROUND($E323*$G323,2))</f>
        <v/>
      </c>
      <c r="K323" s="17">
        <f>IF($A323="","",ROUND($J323*$H323,2))</f>
        <v/>
      </c>
      <c r="L323" s="17">
        <f>IF($A323="","",1)</f>
        <v/>
      </c>
    </row>
    <row r="324">
      <c r="A324" s="13" t="n"/>
      <c r="B324" s="13" t="n"/>
      <c r="C324" s="13" t="n"/>
      <c r="D324" s="13" t="n"/>
      <c r="E324" s="14" t="n"/>
      <c r="F324" s="14" t="n"/>
      <c r="G324" s="15" t="n"/>
      <c r="H324" s="16" t="n"/>
      <c r="I324" s="17">
        <f>IF($A324="","",IFERROR(SUMIF(tblKategoriKomisyon[Kategori],$D324,tblKategoriKomisyon[KomisyonOran]),0))</f>
        <v/>
      </c>
      <c r="J324" s="17">
        <f>IF($A324="","",ROUND($E324*$G324,2))</f>
        <v/>
      </c>
      <c r="K324" s="17">
        <f>IF($A324="","",ROUND($J324*$H324,2))</f>
        <v/>
      </c>
      <c r="L324" s="17">
        <f>IF($A324="","",1)</f>
        <v/>
      </c>
    </row>
    <row r="325">
      <c r="A325" s="13" t="n"/>
      <c r="B325" s="13" t="n"/>
      <c r="C325" s="13" t="n"/>
      <c r="D325" s="13" t="n"/>
      <c r="E325" s="14" t="n"/>
      <c r="F325" s="14" t="n"/>
      <c r="G325" s="15" t="n"/>
      <c r="H325" s="16" t="n"/>
      <c r="I325" s="17">
        <f>IF($A325="","",IFERROR(SUMIF(tblKategoriKomisyon[Kategori],$D325,tblKategoriKomisyon[KomisyonOran]),0))</f>
        <v/>
      </c>
      <c r="J325" s="17">
        <f>IF($A325="","",ROUND($E325*$G325,2))</f>
        <v/>
      </c>
      <c r="K325" s="17">
        <f>IF($A325="","",ROUND($J325*$H325,2))</f>
        <v/>
      </c>
      <c r="L325" s="17">
        <f>IF($A325="","",1)</f>
        <v/>
      </c>
    </row>
    <row r="326">
      <c r="A326" s="13" t="n"/>
      <c r="B326" s="13" t="n"/>
      <c r="C326" s="13" t="n"/>
      <c r="D326" s="13" t="n"/>
      <c r="E326" s="14" t="n"/>
      <c r="F326" s="14" t="n"/>
      <c r="G326" s="15" t="n"/>
      <c r="H326" s="16" t="n"/>
      <c r="I326" s="17">
        <f>IF($A326="","",IFERROR(SUMIF(tblKategoriKomisyon[Kategori],$D326,tblKategoriKomisyon[KomisyonOran]),0))</f>
        <v/>
      </c>
      <c r="J326" s="17">
        <f>IF($A326="","",ROUND($E326*$G326,2))</f>
        <v/>
      </c>
      <c r="K326" s="17">
        <f>IF($A326="","",ROUND($J326*$H326,2))</f>
        <v/>
      </c>
      <c r="L326" s="17">
        <f>IF($A326="","",1)</f>
        <v/>
      </c>
    </row>
    <row r="327">
      <c r="A327" s="13" t="n"/>
      <c r="B327" s="13" t="n"/>
      <c r="C327" s="13" t="n"/>
      <c r="D327" s="13" t="n"/>
      <c r="E327" s="14" t="n"/>
      <c r="F327" s="14" t="n"/>
      <c r="G327" s="15" t="n"/>
      <c r="H327" s="16" t="n"/>
      <c r="I327" s="17">
        <f>IF($A327="","",IFERROR(SUMIF(tblKategoriKomisyon[Kategori],$D327,tblKategoriKomisyon[KomisyonOran]),0))</f>
        <v/>
      </c>
      <c r="J327" s="17">
        <f>IF($A327="","",ROUND($E327*$G327,2))</f>
        <v/>
      </c>
      <c r="K327" s="17">
        <f>IF($A327="","",ROUND($J327*$H327,2))</f>
        <v/>
      </c>
      <c r="L327" s="17">
        <f>IF($A327="","",1)</f>
        <v/>
      </c>
    </row>
    <row r="328">
      <c r="A328" s="13" t="n"/>
      <c r="B328" s="13" t="n"/>
      <c r="C328" s="13" t="n"/>
      <c r="D328" s="13" t="n"/>
      <c r="E328" s="14" t="n"/>
      <c r="F328" s="14" t="n"/>
      <c r="G328" s="15" t="n"/>
      <c r="H328" s="16" t="n"/>
      <c r="I328" s="17">
        <f>IF($A328="","",IFERROR(SUMIF(tblKategoriKomisyon[Kategori],$D328,tblKategoriKomisyon[KomisyonOran]),0))</f>
        <v/>
      </c>
      <c r="J328" s="17">
        <f>IF($A328="","",ROUND($E328*$G328,2))</f>
        <v/>
      </c>
      <c r="K328" s="17">
        <f>IF($A328="","",ROUND($J328*$H328,2))</f>
        <v/>
      </c>
      <c r="L328" s="17">
        <f>IF($A328="","",1)</f>
        <v/>
      </c>
    </row>
    <row r="329">
      <c r="A329" s="13" t="n"/>
      <c r="B329" s="13" t="n"/>
      <c r="C329" s="13" t="n"/>
      <c r="D329" s="13" t="n"/>
      <c r="E329" s="14" t="n"/>
      <c r="F329" s="14" t="n"/>
      <c r="G329" s="15" t="n"/>
      <c r="H329" s="16" t="n"/>
      <c r="I329" s="17">
        <f>IF($A329="","",IFERROR(SUMIF(tblKategoriKomisyon[Kategori],$D329,tblKategoriKomisyon[KomisyonOran]),0))</f>
        <v/>
      </c>
      <c r="J329" s="17">
        <f>IF($A329="","",ROUND($E329*$G329,2))</f>
        <v/>
      </c>
      <c r="K329" s="17">
        <f>IF($A329="","",ROUND($J329*$H329,2))</f>
        <v/>
      </c>
      <c r="L329" s="17">
        <f>IF($A329="","",1)</f>
        <v/>
      </c>
    </row>
    <row r="330">
      <c r="A330" s="13" t="n"/>
      <c r="B330" s="13" t="n"/>
      <c r="C330" s="13" t="n"/>
      <c r="D330" s="13" t="n"/>
      <c r="E330" s="14" t="n"/>
      <c r="F330" s="14" t="n"/>
      <c r="G330" s="15" t="n"/>
      <c r="H330" s="16" t="n"/>
      <c r="I330" s="17">
        <f>IF($A330="","",IFERROR(SUMIF(tblKategoriKomisyon[Kategori],$D330,tblKategoriKomisyon[KomisyonOran]),0))</f>
        <v/>
      </c>
      <c r="J330" s="17">
        <f>IF($A330="","",ROUND($E330*$G330,2))</f>
        <v/>
      </c>
      <c r="K330" s="17">
        <f>IF($A330="","",ROUND($J330*$H330,2))</f>
        <v/>
      </c>
      <c r="L330" s="17">
        <f>IF($A330="","",1)</f>
        <v/>
      </c>
    </row>
    <row r="331">
      <c r="A331" s="13" t="n"/>
      <c r="B331" s="13" t="n"/>
      <c r="C331" s="13" t="n"/>
      <c r="D331" s="13" t="n"/>
      <c r="E331" s="14" t="n"/>
      <c r="F331" s="14" t="n"/>
      <c r="G331" s="15" t="n"/>
      <c r="H331" s="16" t="n"/>
      <c r="I331" s="17">
        <f>IF($A331="","",IFERROR(SUMIF(tblKategoriKomisyon[Kategori],$D331,tblKategoriKomisyon[KomisyonOran]),0))</f>
        <v/>
      </c>
      <c r="J331" s="17">
        <f>IF($A331="","",ROUND($E331*$G331,2))</f>
        <v/>
      </c>
      <c r="K331" s="17">
        <f>IF($A331="","",ROUND($J331*$H331,2))</f>
        <v/>
      </c>
      <c r="L331" s="17">
        <f>IF($A331="","",1)</f>
        <v/>
      </c>
    </row>
    <row r="332">
      <c r="A332" s="13" t="n"/>
      <c r="B332" s="13" t="n"/>
      <c r="C332" s="13" t="n"/>
      <c r="D332" s="13" t="n"/>
      <c r="E332" s="14" t="n"/>
      <c r="F332" s="14" t="n"/>
      <c r="G332" s="15" t="n"/>
      <c r="H332" s="16" t="n"/>
      <c r="I332" s="17">
        <f>IF($A332="","",IFERROR(SUMIF(tblKategoriKomisyon[Kategori],$D332,tblKategoriKomisyon[KomisyonOran]),0))</f>
        <v/>
      </c>
      <c r="J332" s="17">
        <f>IF($A332="","",ROUND($E332*$G332,2))</f>
        <v/>
      </c>
      <c r="K332" s="17">
        <f>IF($A332="","",ROUND($J332*$H332,2))</f>
        <v/>
      </c>
      <c r="L332" s="17">
        <f>IF($A332="","",1)</f>
        <v/>
      </c>
    </row>
    <row r="333">
      <c r="A333" s="13" t="n"/>
      <c r="B333" s="13" t="n"/>
      <c r="C333" s="13" t="n"/>
      <c r="D333" s="13" t="n"/>
      <c r="E333" s="14" t="n"/>
      <c r="F333" s="14" t="n"/>
      <c r="G333" s="15" t="n"/>
      <c r="H333" s="16" t="n"/>
      <c r="I333" s="17">
        <f>IF($A333="","",IFERROR(SUMIF(tblKategoriKomisyon[Kategori],$D333,tblKategoriKomisyon[KomisyonOran]),0))</f>
        <v/>
      </c>
      <c r="J333" s="17">
        <f>IF($A333="","",ROUND($E333*$G333,2))</f>
        <v/>
      </c>
      <c r="K333" s="17">
        <f>IF($A333="","",ROUND($J333*$H333,2))</f>
        <v/>
      </c>
      <c r="L333" s="17">
        <f>IF($A333="","",1)</f>
        <v/>
      </c>
    </row>
    <row r="334">
      <c r="A334" s="13" t="n"/>
      <c r="B334" s="13" t="n"/>
      <c r="C334" s="13" t="n"/>
      <c r="D334" s="13" t="n"/>
      <c r="E334" s="14" t="n"/>
      <c r="F334" s="14" t="n"/>
      <c r="G334" s="15" t="n"/>
      <c r="H334" s="16" t="n"/>
      <c r="I334" s="17">
        <f>IF($A334="","",IFERROR(SUMIF(tblKategoriKomisyon[Kategori],$D334,tblKategoriKomisyon[KomisyonOran]),0))</f>
        <v/>
      </c>
      <c r="J334" s="17">
        <f>IF($A334="","",ROUND($E334*$G334,2))</f>
        <v/>
      </c>
      <c r="K334" s="17">
        <f>IF($A334="","",ROUND($J334*$H334,2))</f>
        <v/>
      </c>
      <c r="L334" s="17">
        <f>IF($A334="","",1)</f>
        <v/>
      </c>
    </row>
    <row r="335">
      <c r="A335" s="13" t="n"/>
      <c r="B335" s="13" t="n"/>
      <c r="C335" s="13" t="n"/>
      <c r="D335" s="13" t="n"/>
      <c r="E335" s="14" t="n"/>
      <c r="F335" s="14" t="n"/>
      <c r="G335" s="15" t="n"/>
      <c r="H335" s="16" t="n"/>
      <c r="I335" s="17">
        <f>IF($A335="","",IFERROR(SUMIF(tblKategoriKomisyon[Kategori],$D335,tblKategoriKomisyon[KomisyonOran]),0))</f>
        <v/>
      </c>
      <c r="J335" s="17">
        <f>IF($A335="","",ROUND($E335*$G335,2))</f>
        <v/>
      </c>
      <c r="K335" s="17">
        <f>IF($A335="","",ROUND($J335*$H335,2))</f>
        <v/>
      </c>
      <c r="L335" s="17">
        <f>IF($A335="","",1)</f>
        <v/>
      </c>
    </row>
    <row r="336">
      <c r="A336" s="13" t="n"/>
      <c r="B336" s="13" t="n"/>
      <c r="C336" s="13" t="n"/>
      <c r="D336" s="13" t="n"/>
      <c r="E336" s="14" t="n"/>
      <c r="F336" s="14" t="n"/>
      <c r="G336" s="15" t="n"/>
      <c r="H336" s="16" t="n"/>
      <c r="I336" s="17">
        <f>IF($A336="","",IFERROR(SUMIF(tblKategoriKomisyon[Kategori],$D336,tblKategoriKomisyon[KomisyonOran]),0))</f>
        <v/>
      </c>
      <c r="J336" s="17">
        <f>IF($A336="","",ROUND($E336*$G336,2))</f>
        <v/>
      </c>
      <c r="K336" s="17">
        <f>IF($A336="","",ROUND($J336*$H336,2))</f>
        <v/>
      </c>
      <c r="L336" s="17">
        <f>IF($A336="","",1)</f>
        <v/>
      </c>
    </row>
    <row r="337">
      <c r="A337" s="13" t="n"/>
      <c r="B337" s="13" t="n"/>
      <c r="C337" s="13" t="n"/>
      <c r="D337" s="13" t="n"/>
      <c r="E337" s="14" t="n"/>
      <c r="F337" s="14" t="n"/>
      <c r="G337" s="15" t="n"/>
      <c r="H337" s="16" t="n"/>
      <c r="I337" s="17">
        <f>IF($A337="","",IFERROR(SUMIF(tblKategoriKomisyon[Kategori],$D337,tblKategoriKomisyon[KomisyonOran]),0))</f>
        <v/>
      </c>
      <c r="J337" s="17">
        <f>IF($A337="","",ROUND($E337*$G337,2))</f>
        <v/>
      </c>
      <c r="K337" s="17">
        <f>IF($A337="","",ROUND($J337*$H337,2))</f>
        <v/>
      </c>
      <c r="L337" s="17">
        <f>IF($A337="","",1)</f>
        <v/>
      </c>
    </row>
    <row r="338">
      <c r="A338" s="13" t="n"/>
      <c r="B338" s="13" t="n"/>
      <c r="C338" s="13" t="n"/>
      <c r="D338" s="13" t="n"/>
      <c r="E338" s="14" t="n"/>
      <c r="F338" s="14" t="n"/>
      <c r="G338" s="15" t="n"/>
      <c r="H338" s="16" t="n"/>
      <c r="I338" s="17">
        <f>IF($A338="","",IFERROR(SUMIF(tblKategoriKomisyon[Kategori],$D338,tblKategoriKomisyon[KomisyonOran]),0))</f>
        <v/>
      </c>
      <c r="J338" s="17">
        <f>IF($A338="","",ROUND($E338*$G338,2))</f>
        <v/>
      </c>
      <c r="K338" s="17">
        <f>IF($A338="","",ROUND($J338*$H338,2))</f>
        <v/>
      </c>
      <c r="L338" s="17">
        <f>IF($A338="","",1)</f>
        <v/>
      </c>
    </row>
    <row r="339">
      <c r="A339" s="13" t="n"/>
      <c r="B339" s="13" t="n"/>
      <c r="C339" s="13" t="n"/>
      <c r="D339" s="13" t="n"/>
      <c r="E339" s="14" t="n"/>
      <c r="F339" s="14" t="n"/>
      <c r="G339" s="15" t="n"/>
      <c r="H339" s="16" t="n"/>
      <c r="I339" s="17">
        <f>IF($A339="","",IFERROR(SUMIF(tblKategoriKomisyon[Kategori],$D339,tblKategoriKomisyon[KomisyonOran]),0))</f>
        <v/>
      </c>
      <c r="J339" s="17">
        <f>IF($A339="","",ROUND($E339*$G339,2))</f>
        <v/>
      </c>
      <c r="K339" s="17">
        <f>IF($A339="","",ROUND($J339*$H339,2))</f>
        <v/>
      </c>
      <c r="L339" s="17">
        <f>IF($A339="","",1)</f>
        <v/>
      </c>
    </row>
    <row r="340">
      <c r="A340" s="13" t="n"/>
      <c r="B340" s="13" t="n"/>
      <c r="C340" s="13" t="n"/>
      <c r="D340" s="13" t="n"/>
      <c r="E340" s="14" t="n"/>
      <c r="F340" s="14" t="n"/>
      <c r="G340" s="15" t="n"/>
      <c r="H340" s="16" t="n"/>
      <c r="I340" s="17">
        <f>IF($A340="","",IFERROR(SUMIF(tblKategoriKomisyon[Kategori],$D340,tblKategoriKomisyon[KomisyonOran]),0))</f>
        <v/>
      </c>
      <c r="J340" s="17">
        <f>IF($A340="","",ROUND($E340*$G340,2))</f>
        <v/>
      </c>
      <c r="K340" s="17">
        <f>IF($A340="","",ROUND($J340*$H340,2))</f>
        <v/>
      </c>
      <c r="L340" s="17">
        <f>IF($A340="","",1)</f>
        <v/>
      </c>
    </row>
    <row r="341">
      <c r="A341" s="13" t="n"/>
      <c r="B341" s="13" t="n"/>
      <c r="C341" s="13" t="n"/>
      <c r="D341" s="13" t="n"/>
      <c r="E341" s="14" t="n"/>
      <c r="F341" s="14" t="n"/>
      <c r="G341" s="15" t="n"/>
      <c r="H341" s="16" t="n"/>
      <c r="I341" s="17">
        <f>IF($A341="","",IFERROR(SUMIF(tblKategoriKomisyon[Kategori],$D341,tblKategoriKomisyon[KomisyonOran]),0))</f>
        <v/>
      </c>
      <c r="J341" s="17">
        <f>IF($A341="","",ROUND($E341*$G341,2))</f>
        <v/>
      </c>
      <c r="K341" s="17">
        <f>IF($A341="","",ROUND($J341*$H341,2))</f>
        <v/>
      </c>
      <c r="L341" s="17">
        <f>IF($A341="","",1)</f>
        <v/>
      </c>
    </row>
    <row r="342">
      <c r="A342" s="13" t="n"/>
      <c r="B342" s="13" t="n"/>
      <c r="C342" s="13" t="n"/>
      <c r="D342" s="13" t="n"/>
      <c r="E342" s="14" t="n"/>
      <c r="F342" s="14" t="n"/>
      <c r="G342" s="15" t="n"/>
      <c r="H342" s="16" t="n"/>
      <c r="I342" s="17">
        <f>IF($A342="","",IFERROR(SUMIF(tblKategoriKomisyon[Kategori],$D342,tblKategoriKomisyon[KomisyonOran]),0))</f>
        <v/>
      </c>
      <c r="J342" s="17">
        <f>IF($A342="","",ROUND($E342*$G342,2))</f>
        <v/>
      </c>
      <c r="K342" s="17">
        <f>IF($A342="","",ROUND($J342*$H342,2))</f>
        <v/>
      </c>
      <c r="L342" s="17">
        <f>IF($A342="","",1)</f>
        <v/>
      </c>
    </row>
    <row r="343">
      <c r="A343" s="13" t="n"/>
      <c r="B343" s="13" t="n"/>
      <c r="C343" s="13" t="n"/>
      <c r="D343" s="13" t="n"/>
      <c r="E343" s="14" t="n"/>
      <c r="F343" s="14" t="n"/>
      <c r="G343" s="15" t="n"/>
      <c r="H343" s="16" t="n"/>
      <c r="I343" s="17">
        <f>IF($A343="","",IFERROR(SUMIF(tblKategoriKomisyon[Kategori],$D343,tblKategoriKomisyon[KomisyonOran]),0))</f>
        <v/>
      </c>
      <c r="J343" s="17">
        <f>IF($A343="","",ROUND($E343*$G343,2))</f>
        <v/>
      </c>
      <c r="K343" s="17">
        <f>IF($A343="","",ROUND($J343*$H343,2))</f>
        <v/>
      </c>
      <c r="L343" s="17">
        <f>IF($A343="","",1)</f>
        <v/>
      </c>
    </row>
    <row r="344">
      <c r="A344" s="13" t="n"/>
      <c r="B344" s="13" t="n"/>
      <c r="C344" s="13" t="n"/>
      <c r="D344" s="13" t="n"/>
      <c r="E344" s="14" t="n"/>
      <c r="F344" s="14" t="n"/>
      <c r="G344" s="15" t="n"/>
      <c r="H344" s="16" t="n"/>
      <c r="I344" s="17">
        <f>IF($A344="","",IFERROR(SUMIF(tblKategoriKomisyon[Kategori],$D344,tblKategoriKomisyon[KomisyonOran]),0))</f>
        <v/>
      </c>
      <c r="J344" s="17">
        <f>IF($A344="","",ROUND($E344*$G344,2))</f>
        <v/>
      </c>
      <c r="K344" s="17">
        <f>IF($A344="","",ROUND($J344*$H344,2))</f>
        <v/>
      </c>
      <c r="L344" s="17">
        <f>IF($A344="","",1)</f>
        <v/>
      </c>
    </row>
    <row r="345">
      <c r="A345" s="13" t="n"/>
      <c r="B345" s="13" t="n"/>
      <c r="C345" s="13" t="n"/>
      <c r="D345" s="13" t="n"/>
      <c r="E345" s="14" t="n"/>
      <c r="F345" s="14" t="n"/>
      <c r="G345" s="15" t="n"/>
      <c r="H345" s="16" t="n"/>
      <c r="I345" s="17">
        <f>IF($A345="","",IFERROR(SUMIF(tblKategoriKomisyon[Kategori],$D345,tblKategoriKomisyon[KomisyonOran]),0))</f>
        <v/>
      </c>
      <c r="J345" s="17">
        <f>IF($A345="","",ROUND($E345*$G345,2))</f>
        <v/>
      </c>
      <c r="K345" s="17">
        <f>IF($A345="","",ROUND($J345*$H345,2))</f>
        <v/>
      </c>
      <c r="L345" s="17">
        <f>IF($A345="","",1)</f>
        <v/>
      </c>
    </row>
    <row r="346">
      <c r="A346" s="13" t="n"/>
      <c r="B346" s="13" t="n"/>
      <c r="C346" s="13" t="n"/>
      <c r="D346" s="13" t="n"/>
      <c r="E346" s="14" t="n"/>
      <c r="F346" s="14" t="n"/>
      <c r="G346" s="15" t="n"/>
      <c r="H346" s="16" t="n"/>
      <c r="I346" s="17">
        <f>IF($A346="","",IFERROR(SUMIF(tblKategoriKomisyon[Kategori],$D346,tblKategoriKomisyon[KomisyonOran]),0))</f>
        <v/>
      </c>
      <c r="J346" s="17">
        <f>IF($A346="","",ROUND($E346*$G346,2))</f>
        <v/>
      </c>
      <c r="K346" s="17">
        <f>IF($A346="","",ROUND($J346*$H346,2))</f>
        <v/>
      </c>
      <c r="L346" s="17">
        <f>IF($A346="","",1)</f>
        <v/>
      </c>
    </row>
    <row r="347">
      <c r="A347" s="13" t="n"/>
      <c r="B347" s="13" t="n"/>
      <c r="C347" s="13" t="n"/>
      <c r="D347" s="13" t="n"/>
      <c r="E347" s="14" t="n"/>
      <c r="F347" s="14" t="n"/>
      <c r="G347" s="15" t="n"/>
      <c r="H347" s="16" t="n"/>
      <c r="I347" s="17">
        <f>IF($A347="","",IFERROR(SUMIF(tblKategoriKomisyon[Kategori],$D347,tblKategoriKomisyon[KomisyonOran]),0))</f>
        <v/>
      </c>
      <c r="J347" s="17">
        <f>IF($A347="","",ROUND($E347*$G347,2))</f>
        <v/>
      </c>
      <c r="K347" s="17">
        <f>IF($A347="","",ROUND($J347*$H347,2))</f>
        <v/>
      </c>
      <c r="L347" s="17">
        <f>IF($A347="","",1)</f>
        <v/>
      </c>
    </row>
    <row r="348">
      <c r="A348" s="13" t="n"/>
      <c r="B348" s="13" t="n"/>
      <c r="C348" s="13" t="n"/>
      <c r="D348" s="13" t="n"/>
      <c r="E348" s="14" t="n"/>
      <c r="F348" s="14" t="n"/>
      <c r="G348" s="15" t="n"/>
      <c r="H348" s="16" t="n"/>
      <c r="I348" s="17">
        <f>IF($A348="","",IFERROR(SUMIF(tblKategoriKomisyon[Kategori],$D348,tblKategoriKomisyon[KomisyonOran]),0))</f>
        <v/>
      </c>
      <c r="J348" s="17">
        <f>IF($A348="","",ROUND($E348*$G348,2))</f>
        <v/>
      </c>
      <c r="K348" s="17">
        <f>IF($A348="","",ROUND($J348*$H348,2))</f>
        <v/>
      </c>
      <c r="L348" s="17">
        <f>IF($A348="","",1)</f>
        <v/>
      </c>
    </row>
    <row r="349">
      <c r="A349" s="13" t="n"/>
      <c r="B349" s="13" t="n"/>
      <c r="C349" s="13" t="n"/>
      <c r="D349" s="13" t="n"/>
      <c r="E349" s="14" t="n"/>
      <c r="F349" s="14" t="n"/>
      <c r="G349" s="15" t="n"/>
      <c r="H349" s="16" t="n"/>
      <c r="I349" s="17">
        <f>IF($A349="","",IFERROR(SUMIF(tblKategoriKomisyon[Kategori],$D349,tblKategoriKomisyon[KomisyonOran]),0))</f>
        <v/>
      </c>
      <c r="J349" s="17">
        <f>IF($A349="","",ROUND($E349*$G349,2))</f>
        <v/>
      </c>
      <c r="K349" s="17">
        <f>IF($A349="","",ROUND($J349*$H349,2))</f>
        <v/>
      </c>
      <c r="L349" s="17">
        <f>IF($A349="","",1)</f>
        <v/>
      </c>
    </row>
    <row r="350">
      <c r="A350" s="13" t="n"/>
      <c r="B350" s="13" t="n"/>
      <c r="C350" s="13" t="n"/>
      <c r="D350" s="13" t="n"/>
      <c r="E350" s="14" t="n"/>
      <c r="F350" s="14" t="n"/>
      <c r="G350" s="15" t="n"/>
      <c r="H350" s="16" t="n"/>
      <c r="I350" s="17">
        <f>IF($A350="","",IFERROR(SUMIF(tblKategoriKomisyon[Kategori],$D350,tblKategoriKomisyon[KomisyonOran]),0))</f>
        <v/>
      </c>
      <c r="J350" s="17">
        <f>IF($A350="","",ROUND($E350*$G350,2))</f>
        <v/>
      </c>
      <c r="K350" s="17">
        <f>IF($A350="","",ROUND($J350*$H350,2))</f>
        <v/>
      </c>
      <c r="L350" s="17">
        <f>IF($A350="","",1)</f>
        <v/>
      </c>
    </row>
    <row r="351">
      <c r="A351" s="13" t="n"/>
      <c r="B351" s="13" t="n"/>
      <c r="C351" s="13" t="n"/>
      <c r="D351" s="13" t="n"/>
      <c r="E351" s="14" t="n"/>
      <c r="F351" s="14" t="n"/>
      <c r="G351" s="15" t="n"/>
      <c r="H351" s="16" t="n"/>
      <c r="I351" s="17">
        <f>IF($A351="","",IFERROR(SUMIF(tblKategoriKomisyon[Kategori],$D351,tblKategoriKomisyon[KomisyonOran]),0))</f>
        <v/>
      </c>
      <c r="J351" s="17">
        <f>IF($A351="","",ROUND($E351*$G351,2))</f>
        <v/>
      </c>
      <c r="K351" s="17">
        <f>IF($A351="","",ROUND($J351*$H351,2))</f>
        <v/>
      </c>
      <c r="L351" s="17">
        <f>IF($A351="","",1)</f>
        <v/>
      </c>
    </row>
    <row r="352">
      <c r="A352" s="13" t="n"/>
      <c r="B352" s="13" t="n"/>
      <c r="C352" s="13" t="n"/>
      <c r="D352" s="13" t="n"/>
      <c r="E352" s="14" t="n"/>
      <c r="F352" s="14" t="n"/>
      <c r="G352" s="15" t="n"/>
      <c r="H352" s="16" t="n"/>
      <c r="I352" s="17">
        <f>IF($A352="","",IFERROR(SUMIF(tblKategoriKomisyon[Kategori],$D352,tblKategoriKomisyon[KomisyonOran]),0))</f>
        <v/>
      </c>
      <c r="J352" s="17">
        <f>IF($A352="","",ROUND($E352*$G352,2))</f>
        <v/>
      </c>
      <c r="K352" s="17">
        <f>IF($A352="","",ROUND($J352*$H352,2))</f>
        <v/>
      </c>
      <c r="L352" s="17">
        <f>IF($A352="","",1)</f>
        <v/>
      </c>
    </row>
    <row r="353">
      <c r="A353" s="13" t="n"/>
      <c r="B353" s="13" t="n"/>
      <c r="C353" s="13" t="n"/>
      <c r="D353" s="13" t="n"/>
      <c r="E353" s="14" t="n"/>
      <c r="F353" s="14" t="n"/>
      <c r="G353" s="15" t="n"/>
      <c r="H353" s="16" t="n"/>
      <c r="I353" s="17">
        <f>IF($A353="","",IFERROR(SUMIF(tblKategoriKomisyon[Kategori],$D353,tblKategoriKomisyon[KomisyonOran]),0))</f>
        <v/>
      </c>
      <c r="J353" s="17">
        <f>IF($A353="","",ROUND($E353*$G353,2))</f>
        <v/>
      </c>
      <c r="K353" s="17">
        <f>IF($A353="","",ROUND($J353*$H353,2))</f>
        <v/>
      </c>
      <c r="L353" s="17">
        <f>IF($A353="","",1)</f>
        <v/>
      </c>
    </row>
    <row r="354">
      <c r="A354" s="13" t="n"/>
      <c r="B354" s="13" t="n"/>
      <c r="C354" s="13" t="n"/>
      <c r="D354" s="13" t="n"/>
      <c r="E354" s="14" t="n"/>
      <c r="F354" s="14" t="n"/>
      <c r="G354" s="15" t="n"/>
      <c r="H354" s="16" t="n"/>
      <c r="I354" s="17">
        <f>IF($A354="","",IFERROR(SUMIF(tblKategoriKomisyon[Kategori],$D354,tblKategoriKomisyon[KomisyonOran]),0))</f>
        <v/>
      </c>
      <c r="J354" s="17">
        <f>IF($A354="","",ROUND($E354*$G354,2))</f>
        <v/>
      </c>
      <c r="K354" s="17">
        <f>IF($A354="","",ROUND($J354*$H354,2))</f>
        <v/>
      </c>
      <c r="L354" s="17">
        <f>IF($A354="","",1)</f>
        <v/>
      </c>
    </row>
    <row r="355">
      <c r="A355" s="13" t="n"/>
      <c r="B355" s="13" t="n"/>
      <c r="C355" s="13" t="n"/>
      <c r="D355" s="13" t="n"/>
      <c r="E355" s="14" t="n"/>
      <c r="F355" s="14" t="n"/>
      <c r="G355" s="15" t="n"/>
      <c r="H355" s="16" t="n"/>
      <c r="I355" s="17">
        <f>IF($A355="","",IFERROR(SUMIF(tblKategoriKomisyon[Kategori],$D355,tblKategoriKomisyon[KomisyonOran]),0))</f>
        <v/>
      </c>
      <c r="J355" s="17">
        <f>IF($A355="","",ROUND($E355*$G355,2))</f>
        <v/>
      </c>
      <c r="K355" s="17">
        <f>IF($A355="","",ROUND($J355*$H355,2))</f>
        <v/>
      </c>
      <c r="L355" s="17">
        <f>IF($A355="","",1)</f>
        <v/>
      </c>
    </row>
    <row r="356">
      <c r="A356" s="13" t="n"/>
      <c r="B356" s="13" t="n"/>
      <c r="C356" s="13" t="n"/>
      <c r="D356" s="13" t="n"/>
      <c r="E356" s="14" t="n"/>
      <c r="F356" s="14" t="n"/>
      <c r="G356" s="15" t="n"/>
      <c r="H356" s="16" t="n"/>
      <c r="I356" s="17">
        <f>IF($A356="","",IFERROR(SUMIF(tblKategoriKomisyon[Kategori],$D356,tblKategoriKomisyon[KomisyonOran]),0))</f>
        <v/>
      </c>
      <c r="J356" s="17">
        <f>IF($A356="","",ROUND($E356*$G356,2))</f>
        <v/>
      </c>
      <c r="K356" s="17">
        <f>IF($A356="","",ROUND($J356*$H356,2))</f>
        <v/>
      </c>
      <c r="L356" s="17">
        <f>IF($A356="","",1)</f>
        <v/>
      </c>
    </row>
    <row r="357">
      <c r="A357" s="13" t="n"/>
      <c r="B357" s="13" t="n"/>
      <c r="C357" s="13" t="n"/>
      <c r="D357" s="13" t="n"/>
      <c r="E357" s="14" t="n"/>
      <c r="F357" s="14" t="n"/>
      <c r="G357" s="15" t="n"/>
      <c r="H357" s="16" t="n"/>
      <c r="I357" s="17">
        <f>IF($A357="","",IFERROR(SUMIF(tblKategoriKomisyon[Kategori],$D357,tblKategoriKomisyon[KomisyonOran]),0))</f>
        <v/>
      </c>
      <c r="J357" s="17">
        <f>IF($A357="","",ROUND($E357*$G357,2))</f>
        <v/>
      </c>
      <c r="K357" s="17">
        <f>IF($A357="","",ROUND($J357*$H357,2))</f>
        <v/>
      </c>
      <c r="L357" s="17">
        <f>IF($A357="","",1)</f>
        <v/>
      </c>
    </row>
    <row r="358">
      <c r="A358" s="13" t="n"/>
      <c r="B358" s="13" t="n"/>
      <c r="C358" s="13" t="n"/>
      <c r="D358" s="13" t="n"/>
      <c r="E358" s="14" t="n"/>
      <c r="F358" s="14" t="n"/>
      <c r="G358" s="15" t="n"/>
      <c r="H358" s="16" t="n"/>
      <c r="I358" s="17">
        <f>IF($A358="","",IFERROR(SUMIF(tblKategoriKomisyon[Kategori],$D358,tblKategoriKomisyon[KomisyonOran]),0))</f>
        <v/>
      </c>
      <c r="J358" s="17">
        <f>IF($A358="","",ROUND($E358*$G358,2))</f>
        <v/>
      </c>
      <c r="K358" s="17">
        <f>IF($A358="","",ROUND($J358*$H358,2))</f>
        <v/>
      </c>
      <c r="L358" s="17">
        <f>IF($A358="","",1)</f>
        <v/>
      </c>
    </row>
    <row r="359">
      <c r="A359" s="13" t="n"/>
      <c r="B359" s="13" t="n"/>
      <c r="C359" s="13" t="n"/>
      <c r="D359" s="13" t="n"/>
      <c r="E359" s="14" t="n"/>
      <c r="F359" s="14" t="n"/>
      <c r="G359" s="15" t="n"/>
      <c r="H359" s="16" t="n"/>
      <c r="I359" s="17">
        <f>IF($A359="","",IFERROR(SUMIF(tblKategoriKomisyon[Kategori],$D359,tblKategoriKomisyon[KomisyonOran]),0))</f>
        <v/>
      </c>
      <c r="J359" s="17">
        <f>IF($A359="","",ROUND($E359*$G359,2))</f>
        <v/>
      </c>
      <c r="K359" s="17">
        <f>IF($A359="","",ROUND($J359*$H359,2))</f>
        <v/>
      </c>
      <c r="L359" s="17">
        <f>IF($A359="","",1)</f>
        <v/>
      </c>
    </row>
    <row r="360">
      <c r="A360" s="13" t="n"/>
      <c r="B360" s="13" t="n"/>
      <c r="C360" s="13" t="n"/>
      <c r="D360" s="13" t="n"/>
      <c r="E360" s="14" t="n"/>
      <c r="F360" s="14" t="n"/>
      <c r="G360" s="15" t="n"/>
      <c r="H360" s="16" t="n"/>
      <c r="I360" s="17">
        <f>IF($A360="","",IFERROR(SUMIF(tblKategoriKomisyon[Kategori],$D360,tblKategoriKomisyon[KomisyonOran]),0))</f>
        <v/>
      </c>
      <c r="J360" s="17">
        <f>IF($A360="","",ROUND($E360*$G360,2))</f>
        <v/>
      </c>
      <c r="K360" s="17">
        <f>IF($A360="","",ROUND($J360*$H360,2))</f>
        <v/>
      </c>
      <c r="L360" s="17">
        <f>IF($A360="","",1)</f>
        <v/>
      </c>
    </row>
    <row r="361">
      <c r="A361" s="13" t="n"/>
      <c r="B361" s="13" t="n"/>
      <c r="C361" s="13" t="n"/>
      <c r="D361" s="13" t="n"/>
      <c r="E361" s="14" t="n"/>
      <c r="F361" s="14" t="n"/>
      <c r="G361" s="15" t="n"/>
      <c r="H361" s="16" t="n"/>
      <c r="I361" s="17">
        <f>IF($A361="","",IFERROR(SUMIF(tblKategoriKomisyon[Kategori],$D361,tblKategoriKomisyon[KomisyonOran]),0))</f>
        <v/>
      </c>
      <c r="J361" s="17">
        <f>IF($A361="","",ROUND($E361*$G361,2))</f>
        <v/>
      </c>
      <c r="K361" s="17">
        <f>IF($A361="","",ROUND($J361*$H361,2))</f>
        <v/>
      </c>
      <c r="L361" s="17">
        <f>IF($A361="","",1)</f>
        <v/>
      </c>
    </row>
    <row r="362">
      <c r="A362" s="13" t="n"/>
      <c r="B362" s="13" t="n"/>
      <c r="C362" s="13" t="n"/>
      <c r="D362" s="13" t="n"/>
      <c r="E362" s="14" t="n"/>
      <c r="F362" s="14" t="n"/>
      <c r="G362" s="15" t="n"/>
      <c r="H362" s="16" t="n"/>
      <c r="I362" s="17">
        <f>IF($A362="","",IFERROR(SUMIF(tblKategoriKomisyon[Kategori],$D362,tblKategoriKomisyon[KomisyonOran]),0))</f>
        <v/>
      </c>
      <c r="J362" s="17">
        <f>IF($A362="","",ROUND($E362*$G362,2))</f>
        <v/>
      </c>
      <c r="K362" s="17">
        <f>IF($A362="","",ROUND($J362*$H362,2))</f>
        <v/>
      </c>
      <c r="L362" s="17">
        <f>IF($A362="","",1)</f>
        <v/>
      </c>
    </row>
    <row r="363">
      <c r="A363" s="13" t="n"/>
      <c r="B363" s="13" t="n"/>
      <c r="C363" s="13" t="n"/>
      <c r="D363" s="13" t="n"/>
      <c r="E363" s="14" t="n"/>
      <c r="F363" s="14" t="n"/>
      <c r="G363" s="15" t="n"/>
      <c r="H363" s="16" t="n"/>
      <c r="I363" s="17">
        <f>IF($A363="","",IFERROR(SUMIF(tblKategoriKomisyon[Kategori],$D363,tblKategoriKomisyon[KomisyonOran]),0))</f>
        <v/>
      </c>
      <c r="J363" s="17">
        <f>IF($A363="","",ROUND($E363*$G363,2))</f>
        <v/>
      </c>
      <c r="K363" s="17">
        <f>IF($A363="","",ROUND($J363*$H363,2))</f>
        <v/>
      </c>
      <c r="L363" s="17">
        <f>IF($A363="","",1)</f>
        <v/>
      </c>
    </row>
    <row r="364">
      <c r="A364" s="13" t="n"/>
      <c r="B364" s="13" t="n"/>
      <c r="C364" s="13" t="n"/>
      <c r="D364" s="13" t="n"/>
      <c r="E364" s="14" t="n"/>
      <c r="F364" s="14" t="n"/>
      <c r="G364" s="15" t="n"/>
      <c r="H364" s="16" t="n"/>
      <c r="I364" s="17">
        <f>IF($A364="","",IFERROR(SUMIF(tblKategoriKomisyon[Kategori],$D364,tblKategoriKomisyon[KomisyonOran]),0))</f>
        <v/>
      </c>
      <c r="J364" s="17">
        <f>IF($A364="","",ROUND($E364*$G364,2))</f>
        <v/>
      </c>
      <c r="K364" s="17">
        <f>IF($A364="","",ROUND($J364*$H364,2))</f>
        <v/>
      </c>
      <c r="L364" s="17">
        <f>IF($A364="","",1)</f>
        <v/>
      </c>
    </row>
    <row r="365">
      <c r="A365" s="13" t="n"/>
      <c r="B365" s="13" t="n"/>
      <c r="C365" s="13" t="n"/>
      <c r="D365" s="13" t="n"/>
      <c r="E365" s="14" t="n"/>
      <c r="F365" s="14" t="n"/>
      <c r="G365" s="15" t="n"/>
      <c r="H365" s="16" t="n"/>
      <c r="I365" s="17">
        <f>IF($A365="","",IFERROR(SUMIF(tblKategoriKomisyon[Kategori],$D365,tblKategoriKomisyon[KomisyonOran]),0))</f>
        <v/>
      </c>
      <c r="J365" s="17">
        <f>IF($A365="","",ROUND($E365*$G365,2))</f>
        <v/>
      </c>
      <c r="K365" s="17">
        <f>IF($A365="","",ROUND($J365*$H365,2))</f>
        <v/>
      </c>
      <c r="L365" s="17">
        <f>IF($A365="","",1)</f>
        <v/>
      </c>
    </row>
    <row r="366">
      <c r="A366" s="13" t="n"/>
      <c r="B366" s="13" t="n"/>
      <c r="C366" s="13" t="n"/>
      <c r="D366" s="13" t="n"/>
      <c r="E366" s="14" t="n"/>
      <c r="F366" s="14" t="n"/>
      <c r="G366" s="15" t="n"/>
      <c r="H366" s="16" t="n"/>
      <c r="I366" s="17">
        <f>IF($A366="","",IFERROR(SUMIF(tblKategoriKomisyon[Kategori],$D366,tblKategoriKomisyon[KomisyonOran]),0))</f>
        <v/>
      </c>
      <c r="J366" s="17">
        <f>IF($A366="","",ROUND($E366*$G366,2))</f>
        <v/>
      </c>
      <c r="K366" s="17">
        <f>IF($A366="","",ROUND($J366*$H366,2))</f>
        <v/>
      </c>
      <c r="L366" s="17">
        <f>IF($A366="","",1)</f>
        <v/>
      </c>
    </row>
    <row r="367">
      <c r="A367" s="13" t="n"/>
      <c r="B367" s="13" t="n"/>
      <c r="C367" s="13" t="n"/>
      <c r="D367" s="13" t="n"/>
      <c r="E367" s="14" t="n"/>
      <c r="F367" s="14" t="n"/>
      <c r="G367" s="15" t="n"/>
      <c r="H367" s="16" t="n"/>
      <c r="I367" s="17">
        <f>IF($A367="","",IFERROR(SUMIF(tblKategoriKomisyon[Kategori],$D367,tblKategoriKomisyon[KomisyonOran]),0))</f>
        <v/>
      </c>
      <c r="J367" s="17">
        <f>IF($A367="","",ROUND($E367*$G367,2))</f>
        <v/>
      </c>
      <c r="K367" s="17">
        <f>IF($A367="","",ROUND($J367*$H367,2))</f>
        <v/>
      </c>
      <c r="L367" s="17">
        <f>IF($A367="","",1)</f>
        <v/>
      </c>
    </row>
    <row r="368">
      <c r="A368" s="13" t="n"/>
      <c r="B368" s="13" t="n"/>
      <c r="C368" s="13" t="n"/>
      <c r="D368" s="13" t="n"/>
      <c r="E368" s="14" t="n"/>
      <c r="F368" s="14" t="n"/>
      <c r="G368" s="15" t="n"/>
      <c r="H368" s="16" t="n"/>
      <c r="I368" s="17">
        <f>IF($A368="","",IFERROR(SUMIF(tblKategoriKomisyon[Kategori],$D368,tblKategoriKomisyon[KomisyonOran]),0))</f>
        <v/>
      </c>
      <c r="J368" s="17">
        <f>IF($A368="","",ROUND($E368*$G368,2))</f>
        <v/>
      </c>
      <c r="K368" s="17">
        <f>IF($A368="","",ROUND($J368*$H368,2))</f>
        <v/>
      </c>
      <c r="L368" s="17">
        <f>IF($A368="","",1)</f>
        <v/>
      </c>
    </row>
    <row r="369">
      <c r="A369" s="13" t="n"/>
      <c r="B369" s="13" t="n"/>
      <c r="C369" s="13" t="n"/>
      <c r="D369" s="13" t="n"/>
      <c r="E369" s="14" t="n"/>
      <c r="F369" s="14" t="n"/>
      <c r="G369" s="15" t="n"/>
      <c r="H369" s="16" t="n"/>
      <c r="I369" s="17">
        <f>IF($A369="","",IFERROR(SUMIF(tblKategoriKomisyon[Kategori],$D369,tblKategoriKomisyon[KomisyonOran]),0))</f>
        <v/>
      </c>
      <c r="J369" s="17">
        <f>IF($A369="","",ROUND($E369*$G369,2))</f>
        <v/>
      </c>
      <c r="K369" s="17">
        <f>IF($A369="","",ROUND($J369*$H369,2))</f>
        <v/>
      </c>
      <c r="L369" s="17">
        <f>IF($A369="","",1)</f>
        <v/>
      </c>
    </row>
    <row r="370">
      <c r="A370" s="13" t="n"/>
      <c r="B370" s="13" t="n"/>
      <c r="C370" s="13" t="n"/>
      <c r="D370" s="13" t="n"/>
      <c r="E370" s="14" t="n"/>
      <c r="F370" s="14" t="n"/>
      <c r="G370" s="15" t="n"/>
      <c r="H370" s="16" t="n"/>
      <c r="I370" s="17">
        <f>IF($A370="","",IFERROR(SUMIF(tblKategoriKomisyon[Kategori],$D370,tblKategoriKomisyon[KomisyonOran]),0))</f>
        <v/>
      </c>
      <c r="J370" s="17">
        <f>IF($A370="","",ROUND($E370*$G370,2))</f>
        <v/>
      </c>
      <c r="K370" s="17">
        <f>IF($A370="","",ROUND($J370*$H370,2))</f>
        <v/>
      </c>
      <c r="L370" s="17">
        <f>IF($A370="","",1)</f>
        <v/>
      </c>
    </row>
    <row r="371">
      <c r="A371" s="13" t="n"/>
      <c r="B371" s="13" t="n"/>
      <c r="C371" s="13" t="n"/>
      <c r="D371" s="13" t="n"/>
      <c r="E371" s="14" t="n"/>
      <c r="F371" s="14" t="n"/>
      <c r="G371" s="15" t="n"/>
      <c r="H371" s="16" t="n"/>
      <c r="I371" s="17">
        <f>IF($A371="","",IFERROR(SUMIF(tblKategoriKomisyon[Kategori],$D371,tblKategoriKomisyon[KomisyonOran]),0))</f>
        <v/>
      </c>
      <c r="J371" s="17">
        <f>IF($A371="","",ROUND($E371*$G371,2))</f>
        <v/>
      </c>
      <c r="K371" s="17">
        <f>IF($A371="","",ROUND($J371*$H371,2))</f>
        <v/>
      </c>
      <c r="L371" s="17">
        <f>IF($A371="","",1)</f>
        <v/>
      </c>
    </row>
    <row r="372">
      <c r="A372" s="13" t="n"/>
      <c r="B372" s="13" t="n"/>
      <c r="C372" s="13" t="n"/>
      <c r="D372" s="13" t="n"/>
      <c r="E372" s="14" t="n"/>
      <c r="F372" s="14" t="n"/>
      <c r="G372" s="15" t="n"/>
      <c r="H372" s="16" t="n"/>
      <c r="I372" s="17">
        <f>IF($A372="","",IFERROR(SUMIF(tblKategoriKomisyon[Kategori],$D372,tblKategoriKomisyon[KomisyonOran]),0))</f>
        <v/>
      </c>
      <c r="J372" s="17">
        <f>IF($A372="","",ROUND($E372*$G372,2))</f>
        <v/>
      </c>
      <c r="K372" s="17">
        <f>IF($A372="","",ROUND($J372*$H372,2))</f>
        <v/>
      </c>
      <c r="L372" s="17">
        <f>IF($A372="","",1)</f>
        <v/>
      </c>
    </row>
    <row r="373">
      <c r="A373" s="13" t="n"/>
      <c r="B373" s="13" t="n"/>
      <c r="C373" s="13" t="n"/>
      <c r="D373" s="13" t="n"/>
      <c r="E373" s="14" t="n"/>
      <c r="F373" s="14" t="n"/>
      <c r="G373" s="15" t="n"/>
      <c r="H373" s="16" t="n"/>
      <c r="I373" s="17">
        <f>IF($A373="","",IFERROR(SUMIF(tblKategoriKomisyon[Kategori],$D373,tblKategoriKomisyon[KomisyonOran]),0))</f>
        <v/>
      </c>
      <c r="J373" s="17">
        <f>IF($A373="","",ROUND($E373*$G373,2))</f>
        <v/>
      </c>
      <c r="K373" s="17">
        <f>IF($A373="","",ROUND($J373*$H373,2))</f>
        <v/>
      </c>
      <c r="L373" s="17">
        <f>IF($A373="","",1)</f>
        <v/>
      </c>
    </row>
    <row r="374">
      <c r="A374" s="13" t="n"/>
      <c r="B374" s="13" t="n"/>
      <c r="C374" s="13" t="n"/>
      <c r="D374" s="13" t="n"/>
      <c r="E374" s="14" t="n"/>
      <c r="F374" s="14" t="n"/>
      <c r="G374" s="15" t="n"/>
      <c r="H374" s="16" t="n"/>
      <c r="I374" s="17">
        <f>IF($A374="","",IFERROR(SUMIF(tblKategoriKomisyon[Kategori],$D374,tblKategoriKomisyon[KomisyonOran]),0))</f>
        <v/>
      </c>
      <c r="J374" s="17">
        <f>IF($A374="","",ROUND($E374*$G374,2))</f>
        <v/>
      </c>
      <c r="K374" s="17">
        <f>IF($A374="","",ROUND($J374*$H374,2))</f>
        <v/>
      </c>
      <c r="L374" s="17">
        <f>IF($A374="","",1)</f>
        <v/>
      </c>
    </row>
    <row r="375">
      <c r="A375" s="13" t="n"/>
      <c r="B375" s="13" t="n"/>
      <c r="C375" s="13" t="n"/>
      <c r="D375" s="13" t="n"/>
      <c r="E375" s="14" t="n"/>
      <c r="F375" s="14" t="n"/>
      <c r="G375" s="15" t="n"/>
      <c r="H375" s="16" t="n"/>
      <c r="I375" s="17">
        <f>IF($A375="","",IFERROR(SUMIF(tblKategoriKomisyon[Kategori],$D375,tblKategoriKomisyon[KomisyonOran]),0))</f>
        <v/>
      </c>
      <c r="J375" s="17">
        <f>IF($A375="","",ROUND($E375*$G375,2))</f>
        <v/>
      </c>
      <c r="K375" s="17">
        <f>IF($A375="","",ROUND($J375*$H375,2))</f>
        <v/>
      </c>
      <c r="L375" s="17">
        <f>IF($A375="","",1)</f>
        <v/>
      </c>
    </row>
    <row r="376">
      <c r="A376" s="13" t="n"/>
      <c r="B376" s="13" t="n"/>
      <c r="C376" s="13" t="n"/>
      <c r="D376" s="13" t="n"/>
      <c r="E376" s="14" t="n"/>
      <c r="F376" s="14" t="n"/>
      <c r="G376" s="15" t="n"/>
      <c r="H376" s="16" t="n"/>
      <c r="I376" s="17">
        <f>IF($A376="","",IFERROR(SUMIF(tblKategoriKomisyon[Kategori],$D376,tblKategoriKomisyon[KomisyonOran]),0))</f>
        <v/>
      </c>
      <c r="J376" s="17">
        <f>IF($A376="","",ROUND($E376*$G376,2))</f>
        <v/>
      </c>
      <c r="K376" s="17">
        <f>IF($A376="","",ROUND($J376*$H376,2))</f>
        <v/>
      </c>
      <c r="L376" s="17">
        <f>IF($A376="","",1)</f>
        <v/>
      </c>
    </row>
    <row r="377">
      <c r="A377" s="13" t="n"/>
      <c r="B377" s="13" t="n"/>
      <c r="C377" s="13" t="n"/>
      <c r="D377" s="13" t="n"/>
      <c r="E377" s="14" t="n"/>
      <c r="F377" s="14" t="n"/>
      <c r="G377" s="15" t="n"/>
      <c r="H377" s="16" t="n"/>
      <c r="I377" s="17">
        <f>IF($A377="","",IFERROR(SUMIF(tblKategoriKomisyon[Kategori],$D377,tblKategoriKomisyon[KomisyonOran]),0))</f>
        <v/>
      </c>
      <c r="J377" s="17">
        <f>IF($A377="","",ROUND($E377*$G377,2))</f>
        <v/>
      </c>
      <c r="K377" s="17">
        <f>IF($A377="","",ROUND($J377*$H377,2))</f>
        <v/>
      </c>
      <c r="L377" s="17">
        <f>IF($A377="","",1)</f>
        <v/>
      </c>
    </row>
    <row r="378">
      <c r="A378" s="13" t="n"/>
      <c r="B378" s="13" t="n"/>
      <c r="C378" s="13" t="n"/>
      <c r="D378" s="13" t="n"/>
      <c r="E378" s="14" t="n"/>
      <c r="F378" s="14" t="n"/>
      <c r="G378" s="15" t="n"/>
      <c r="H378" s="16" t="n"/>
      <c r="I378" s="17">
        <f>IF($A378="","",IFERROR(SUMIF(tblKategoriKomisyon[Kategori],$D378,tblKategoriKomisyon[KomisyonOran]),0))</f>
        <v/>
      </c>
      <c r="J378" s="17">
        <f>IF($A378="","",ROUND($E378*$G378,2))</f>
        <v/>
      </c>
      <c r="K378" s="17">
        <f>IF($A378="","",ROUND($J378*$H378,2))</f>
        <v/>
      </c>
      <c r="L378" s="17">
        <f>IF($A378="","",1)</f>
        <v/>
      </c>
    </row>
    <row r="379">
      <c r="A379" s="13" t="n"/>
      <c r="B379" s="13" t="n"/>
      <c r="C379" s="13" t="n"/>
      <c r="D379" s="13" t="n"/>
      <c r="E379" s="14" t="n"/>
      <c r="F379" s="14" t="n"/>
      <c r="G379" s="15" t="n"/>
      <c r="H379" s="16" t="n"/>
      <c r="I379" s="17">
        <f>IF($A379="","",IFERROR(SUMIF(tblKategoriKomisyon[Kategori],$D379,tblKategoriKomisyon[KomisyonOran]),0))</f>
        <v/>
      </c>
      <c r="J379" s="17">
        <f>IF($A379="","",ROUND($E379*$G379,2))</f>
        <v/>
      </c>
      <c r="K379" s="17">
        <f>IF($A379="","",ROUND($J379*$H379,2))</f>
        <v/>
      </c>
      <c r="L379" s="17">
        <f>IF($A379="","",1)</f>
        <v/>
      </c>
    </row>
    <row r="380">
      <c r="A380" s="13" t="n"/>
      <c r="B380" s="13" t="n"/>
      <c r="C380" s="13" t="n"/>
      <c r="D380" s="13" t="n"/>
      <c r="E380" s="14" t="n"/>
      <c r="F380" s="14" t="n"/>
      <c r="G380" s="15" t="n"/>
      <c r="H380" s="16" t="n"/>
      <c r="I380" s="17">
        <f>IF($A380="","",IFERROR(SUMIF(tblKategoriKomisyon[Kategori],$D380,tblKategoriKomisyon[KomisyonOran]),0))</f>
        <v/>
      </c>
      <c r="J380" s="17">
        <f>IF($A380="","",ROUND($E380*$G380,2))</f>
        <v/>
      </c>
      <c r="K380" s="17">
        <f>IF($A380="","",ROUND($J380*$H380,2))</f>
        <v/>
      </c>
      <c r="L380" s="17">
        <f>IF($A380="","",1)</f>
        <v/>
      </c>
    </row>
    <row r="381">
      <c r="A381" s="13" t="n"/>
      <c r="B381" s="13" t="n"/>
      <c r="C381" s="13" t="n"/>
      <c r="D381" s="13" t="n"/>
      <c r="E381" s="14" t="n"/>
      <c r="F381" s="14" t="n"/>
      <c r="G381" s="15" t="n"/>
      <c r="H381" s="16" t="n"/>
      <c r="I381" s="17">
        <f>IF($A381="","",IFERROR(SUMIF(tblKategoriKomisyon[Kategori],$D381,tblKategoriKomisyon[KomisyonOran]),0))</f>
        <v/>
      </c>
      <c r="J381" s="17">
        <f>IF($A381="","",ROUND($E381*$G381,2))</f>
        <v/>
      </c>
      <c r="K381" s="17">
        <f>IF($A381="","",ROUND($J381*$H381,2))</f>
        <v/>
      </c>
      <c r="L381" s="17">
        <f>IF($A381="","",1)</f>
        <v/>
      </c>
    </row>
    <row r="382">
      <c r="A382" s="13" t="n"/>
      <c r="B382" s="13" t="n"/>
      <c r="C382" s="13" t="n"/>
      <c r="D382" s="13" t="n"/>
      <c r="E382" s="14" t="n"/>
      <c r="F382" s="14" t="n"/>
      <c r="G382" s="15" t="n"/>
      <c r="H382" s="16" t="n"/>
      <c r="I382" s="17">
        <f>IF($A382="","",IFERROR(SUMIF(tblKategoriKomisyon[Kategori],$D382,tblKategoriKomisyon[KomisyonOran]),0))</f>
        <v/>
      </c>
      <c r="J382" s="17">
        <f>IF($A382="","",ROUND($E382*$G382,2))</f>
        <v/>
      </c>
      <c r="K382" s="17">
        <f>IF($A382="","",ROUND($J382*$H382,2))</f>
        <v/>
      </c>
      <c r="L382" s="17">
        <f>IF($A382="","",1)</f>
        <v/>
      </c>
    </row>
    <row r="383">
      <c r="A383" s="13" t="n"/>
      <c r="B383" s="13" t="n"/>
      <c r="C383" s="13" t="n"/>
      <c r="D383" s="13" t="n"/>
      <c r="E383" s="14" t="n"/>
      <c r="F383" s="14" t="n"/>
      <c r="G383" s="15" t="n"/>
      <c r="H383" s="16" t="n"/>
      <c r="I383" s="17">
        <f>IF($A383="","",IFERROR(SUMIF(tblKategoriKomisyon[Kategori],$D383,tblKategoriKomisyon[KomisyonOran]),0))</f>
        <v/>
      </c>
      <c r="J383" s="17">
        <f>IF($A383="","",ROUND($E383*$G383,2))</f>
        <v/>
      </c>
      <c r="K383" s="17">
        <f>IF($A383="","",ROUND($J383*$H383,2))</f>
        <v/>
      </c>
      <c r="L383" s="17">
        <f>IF($A383="","",1)</f>
        <v/>
      </c>
    </row>
    <row r="384">
      <c r="A384" s="13" t="n"/>
      <c r="B384" s="13" t="n"/>
      <c r="C384" s="13" t="n"/>
      <c r="D384" s="13" t="n"/>
      <c r="E384" s="14" t="n"/>
      <c r="F384" s="14" t="n"/>
      <c r="G384" s="15" t="n"/>
      <c r="H384" s="16" t="n"/>
      <c r="I384" s="17">
        <f>IF($A384="","",IFERROR(SUMIF(tblKategoriKomisyon[Kategori],$D384,tblKategoriKomisyon[KomisyonOran]),0))</f>
        <v/>
      </c>
      <c r="J384" s="17">
        <f>IF($A384="","",ROUND($E384*$G384,2))</f>
        <v/>
      </c>
      <c r="K384" s="17">
        <f>IF($A384="","",ROUND($J384*$H384,2))</f>
        <v/>
      </c>
      <c r="L384" s="17">
        <f>IF($A384="","",1)</f>
        <v/>
      </c>
    </row>
    <row r="385">
      <c r="A385" s="13" t="n"/>
      <c r="B385" s="13" t="n"/>
      <c r="C385" s="13" t="n"/>
      <c r="D385" s="13" t="n"/>
      <c r="E385" s="14" t="n"/>
      <c r="F385" s="14" t="n"/>
      <c r="G385" s="15" t="n"/>
      <c r="H385" s="16" t="n"/>
      <c r="I385" s="17">
        <f>IF($A385="","",IFERROR(SUMIF(tblKategoriKomisyon[Kategori],$D385,tblKategoriKomisyon[KomisyonOran]),0))</f>
        <v/>
      </c>
      <c r="J385" s="17">
        <f>IF($A385="","",ROUND($E385*$G385,2))</f>
        <v/>
      </c>
      <c r="K385" s="17">
        <f>IF($A385="","",ROUND($J385*$H385,2))</f>
        <v/>
      </c>
      <c r="L385" s="17">
        <f>IF($A385="","",1)</f>
        <v/>
      </c>
    </row>
    <row r="386">
      <c r="A386" s="13" t="n"/>
      <c r="B386" s="13" t="n"/>
      <c r="C386" s="13" t="n"/>
      <c r="D386" s="13" t="n"/>
      <c r="E386" s="14" t="n"/>
      <c r="F386" s="14" t="n"/>
      <c r="G386" s="15" t="n"/>
      <c r="H386" s="16" t="n"/>
      <c r="I386" s="17">
        <f>IF($A386="","",IFERROR(SUMIF(tblKategoriKomisyon[Kategori],$D386,tblKategoriKomisyon[KomisyonOran]),0))</f>
        <v/>
      </c>
      <c r="J386" s="17">
        <f>IF($A386="","",ROUND($E386*$G386,2))</f>
        <v/>
      </c>
      <c r="K386" s="17">
        <f>IF($A386="","",ROUND($J386*$H386,2))</f>
        <v/>
      </c>
      <c r="L386" s="17">
        <f>IF($A386="","",1)</f>
        <v/>
      </c>
    </row>
    <row r="387">
      <c r="A387" s="13" t="n"/>
      <c r="B387" s="13" t="n"/>
      <c r="C387" s="13" t="n"/>
      <c r="D387" s="13" t="n"/>
      <c r="E387" s="14" t="n"/>
      <c r="F387" s="14" t="n"/>
      <c r="G387" s="15" t="n"/>
      <c r="H387" s="16" t="n"/>
      <c r="I387" s="17">
        <f>IF($A387="","",IFERROR(SUMIF(tblKategoriKomisyon[Kategori],$D387,tblKategoriKomisyon[KomisyonOran]),0))</f>
        <v/>
      </c>
      <c r="J387" s="17">
        <f>IF($A387="","",ROUND($E387*$G387,2))</f>
        <v/>
      </c>
      <c r="K387" s="17">
        <f>IF($A387="","",ROUND($J387*$H387,2))</f>
        <v/>
      </c>
      <c r="L387" s="17">
        <f>IF($A387="","",1)</f>
        <v/>
      </c>
    </row>
    <row r="388">
      <c r="A388" s="13" t="n"/>
      <c r="B388" s="13" t="n"/>
      <c r="C388" s="13" t="n"/>
      <c r="D388" s="13" t="n"/>
      <c r="E388" s="14" t="n"/>
      <c r="F388" s="14" t="n"/>
      <c r="G388" s="15" t="n"/>
      <c r="H388" s="16" t="n"/>
      <c r="I388" s="17">
        <f>IF($A388="","",IFERROR(SUMIF(tblKategoriKomisyon[Kategori],$D388,tblKategoriKomisyon[KomisyonOran]),0))</f>
        <v/>
      </c>
      <c r="J388" s="17">
        <f>IF($A388="","",ROUND($E388*$G388,2))</f>
        <v/>
      </c>
      <c r="K388" s="17">
        <f>IF($A388="","",ROUND($J388*$H388,2))</f>
        <v/>
      </c>
      <c r="L388" s="17">
        <f>IF($A388="","",1)</f>
        <v/>
      </c>
    </row>
    <row r="389">
      <c r="A389" s="13" t="n"/>
      <c r="B389" s="13" t="n"/>
      <c r="C389" s="13" t="n"/>
      <c r="D389" s="13" t="n"/>
      <c r="E389" s="14" t="n"/>
      <c r="F389" s="14" t="n"/>
      <c r="G389" s="15" t="n"/>
      <c r="H389" s="16" t="n"/>
      <c r="I389" s="17">
        <f>IF($A389="","",IFERROR(SUMIF(tblKategoriKomisyon[Kategori],$D389,tblKategoriKomisyon[KomisyonOran]),0))</f>
        <v/>
      </c>
      <c r="J389" s="17">
        <f>IF($A389="","",ROUND($E389*$G389,2))</f>
        <v/>
      </c>
      <c r="K389" s="17">
        <f>IF($A389="","",ROUND($J389*$H389,2))</f>
        <v/>
      </c>
      <c r="L389" s="17">
        <f>IF($A389="","",1)</f>
        <v/>
      </c>
    </row>
    <row r="390">
      <c r="A390" s="13" t="n"/>
      <c r="B390" s="13" t="n"/>
      <c r="C390" s="13" t="n"/>
      <c r="D390" s="13" t="n"/>
      <c r="E390" s="14" t="n"/>
      <c r="F390" s="14" t="n"/>
      <c r="G390" s="15" t="n"/>
      <c r="H390" s="16" t="n"/>
      <c r="I390" s="17">
        <f>IF($A390="","",IFERROR(SUMIF(tblKategoriKomisyon[Kategori],$D390,tblKategoriKomisyon[KomisyonOran]),0))</f>
        <v/>
      </c>
      <c r="J390" s="17">
        <f>IF($A390="","",ROUND($E390*$G390,2))</f>
        <v/>
      </c>
      <c r="K390" s="17">
        <f>IF($A390="","",ROUND($J390*$H390,2))</f>
        <v/>
      </c>
      <c r="L390" s="17">
        <f>IF($A390="","",1)</f>
        <v/>
      </c>
    </row>
    <row r="391">
      <c r="A391" s="13" t="n"/>
      <c r="B391" s="13" t="n"/>
      <c r="C391" s="13" t="n"/>
      <c r="D391" s="13" t="n"/>
      <c r="E391" s="14" t="n"/>
      <c r="F391" s="14" t="n"/>
      <c r="G391" s="15" t="n"/>
      <c r="H391" s="16" t="n"/>
      <c r="I391" s="17">
        <f>IF($A391="","",IFERROR(SUMIF(tblKategoriKomisyon[Kategori],$D391,tblKategoriKomisyon[KomisyonOran]),0))</f>
        <v/>
      </c>
      <c r="J391" s="17">
        <f>IF($A391="","",ROUND($E391*$G391,2))</f>
        <v/>
      </c>
      <c r="K391" s="17">
        <f>IF($A391="","",ROUND($J391*$H391,2))</f>
        <v/>
      </c>
      <c r="L391" s="17">
        <f>IF($A391="","",1)</f>
        <v/>
      </c>
    </row>
    <row r="392">
      <c r="A392" s="13" t="n"/>
      <c r="B392" s="13" t="n"/>
      <c r="C392" s="13" t="n"/>
      <c r="D392" s="13" t="n"/>
      <c r="E392" s="14" t="n"/>
      <c r="F392" s="14" t="n"/>
      <c r="G392" s="15" t="n"/>
      <c r="H392" s="16" t="n"/>
      <c r="I392" s="17">
        <f>IF($A392="","",IFERROR(SUMIF(tblKategoriKomisyon[Kategori],$D392,tblKategoriKomisyon[KomisyonOran]),0))</f>
        <v/>
      </c>
      <c r="J392" s="17">
        <f>IF($A392="","",ROUND($E392*$G392,2))</f>
        <v/>
      </c>
      <c r="K392" s="17">
        <f>IF($A392="","",ROUND($J392*$H392,2))</f>
        <v/>
      </c>
      <c r="L392" s="17">
        <f>IF($A392="","",1)</f>
        <v/>
      </c>
    </row>
    <row r="393">
      <c r="A393" s="13" t="n"/>
      <c r="B393" s="13" t="n"/>
      <c r="C393" s="13" t="n"/>
      <c r="D393" s="13" t="n"/>
      <c r="E393" s="14" t="n"/>
      <c r="F393" s="14" t="n"/>
      <c r="G393" s="15" t="n"/>
      <c r="H393" s="16" t="n"/>
      <c r="I393" s="17">
        <f>IF($A393="","",IFERROR(SUMIF(tblKategoriKomisyon[Kategori],$D393,tblKategoriKomisyon[KomisyonOran]),0))</f>
        <v/>
      </c>
      <c r="J393" s="17">
        <f>IF($A393="","",ROUND($E393*$G393,2))</f>
        <v/>
      </c>
      <c r="K393" s="17">
        <f>IF($A393="","",ROUND($J393*$H393,2))</f>
        <v/>
      </c>
      <c r="L393" s="17">
        <f>IF($A393="","",1)</f>
        <v/>
      </c>
    </row>
    <row r="394">
      <c r="A394" s="13" t="n"/>
      <c r="B394" s="13" t="n"/>
      <c r="C394" s="13" t="n"/>
      <c r="D394" s="13" t="n"/>
      <c r="E394" s="14" t="n"/>
      <c r="F394" s="14" t="n"/>
      <c r="G394" s="15" t="n"/>
      <c r="H394" s="16" t="n"/>
      <c r="I394" s="17">
        <f>IF($A394="","",IFERROR(SUMIF(tblKategoriKomisyon[Kategori],$D394,tblKategoriKomisyon[KomisyonOran]),0))</f>
        <v/>
      </c>
      <c r="J394" s="17">
        <f>IF($A394="","",ROUND($E394*$G394,2))</f>
        <v/>
      </c>
      <c r="K394" s="17">
        <f>IF($A394="","",ROUND($J394*$H394,2))</f>
        <v/>
      </c>
      <c r="L394" s="17">
        <f>IF($A394="","",1)</f>
        <v/>
      </c>
    </row>
    <row r="395">
      <c r="A395" s="13" t="n"/>
      <c r="B395" s="13" t="n"/>
      <c r="C395" s="13" t="n"/>
      <c r="D395" s="13" t="n"/>
      <c r="E395" s="14" t="n"/>
      <c r="F395" s="14" t="n"/>
      <c r="G395" s="15" t="n"/>
      <c r="H395" s="16" t="n"/>
      <c r="I395" s="17">
        <f>IF($A395="","",IFERROR(SUMIF(tblKategoriKomisyon[Kategori],$D395,tblKategoriKomisyon[KomisyonOran]),0))</f>
        <v/>
      </c>
      <c r="J395" s="17">
        <f>IF($A395="","",ROUND($E395*$G395,2))</f>
        <v/>
      </c>
      <c r="K395" s="17">
        <f>IF($A395="","",ROUND($J395*$H395,2))</f>
        <v/>
      </c>
      <c r="L395" s="17">
        <f>IF($A395="","",1)</f>
        <v/>
      </c>
    </row>
    <row r="396">
      <c r="A396" s="13" t="n"/>
      <c r="B396" s="13" t="n"/>
      <c r="C396" s="13" t="n"/>
      <c r="D396" s="13" t="n"/>
      <c r="E396" s="14" t="n"/>
      <c r="F396" s="14" t="n"/>
      <c r="G396" s="15" t="n"/>
      <c r="H396" s="16" t="n"/>
      <c r="I396" s="17">
        <f>IF($A396="","",IFERROR(SUMIF(tblKategoriKomisyon[Kategori],$D396,tblKategoriKomisyon[KomisyonOran]),0))</f>
        <v/>
      </c>
      <c r="J396" s="17">
        <f>IF($A396="","",ROUND($E396*$G396,2))</f>
        <v/>
      </c>
      <c r="K396" s="17">
        <f>IF($A396="","",ROUND($J396*$H396,2))</f>
        <v/>
      </c>
      <c r="L396" s="17">
        <f>IF($A396="","",1)</f>
        <v/>
      </c>
    </row>
    <row r="397">
      <c r="A397" s="13" t="n"/>
      <c r="B397" s="13" t="n"/>
      <c r="C397" s="13" t="n"/>
      <c r="D397" s="13" t="n"/>
      <c r="E397" s="14" t="n"/>
      <c r="F397" s="14" t="n"/>
      <c r="G397" s="15" t="n"/>
      <c r="H397" s="16" t="n"/>
      <c r="I397" s="17">
        <f>IF($A397="","",IFERROR(SUMIF(tblKategoriKomisyon[Kategori],$D397,tblKategoriKomisyon[KomisyonOran]),0))</f>
        <v/>
      </c>
      <c r="J397" s="17">
        <f>IF($A397="","",ROUND($E397*$G397,2))</f>
        <v/>
      </c>
      <c r="K397" s="17">
        <f>IF($A397="","",ROUND($J397*$H397,2))</f>
        <v/>
      </c>
      <c r="L397" s="17">
        <f>IF($A397="","",1)</f>
        <v/>
      </c>
    </row>
    <row r="398">
      <c r="A398" s="13" t="n"/>
      <c r="B398" s="13" t="n"/>
      <c r="C398" s="13" t="n"/>
      <c r="D398" s="13" t="n"/>
      <c r="E398" s="14" t="n"/>
      <c r="F398" s="14" t="n"/>
      <c r="G398" s="15" t="n"/>
      <c r="H398" s="16" t="n"/>
      <c r="I398" s="17">
        <f>IF($A398="","",IFERROR(SUMIF(tblKategoriKomisyon[Kategori],$D398,tblKategoriKomisyon[KomisyonOran]),0))</f>
        <v/>
      </c>
      <c r="J398" s="17">
        <f>IF($A398="","",ROUND($E398*$G398,2))</f>
        <v/>
      </c>
      <c r="K398" s="17">
        <f>IF($A398="","",ROUND($J398*$H398,2))</f>
        <v/>
      </c>
      <c r="L398" s="17">
        <f>IF($A398="","",1)</f>
        <v/>
      </c>
    </row>
    <row r="399">
      <c r="A399" s="13" t="n"/>
      <c r="B399" s="13" t="n"/>
      <c r="C399" s="13" t="n"/>
      <c r="D399" s="13" t="n"/>
      <c r="E399" s="14" t="n"/>
      <c r="F399" s="14" t="n"/>
      <c r="G399" s="15" t="n"/>
      <c r="H399" s="16" t="n"/>
      <c r="I399" s="17">
        <f>IF($A399="","",IFERROR(SUMIF(tblKategoriKomisyon[Kategori],$D399,tblKategoriKomisyon[KomisyonOran]),0))</f>
        <v/>
      </c>
      <c r="J399" s="17">
        <f>IF($A399="","",ROUND($E399*$G399,2))</f>
        <v/>
      </c>
      <c r="K399" s="17">
        <f>IF($A399="","",ROUND($J399*$H399,2))</f>
        <v/>
      </c>
      <c r="L399" s="17">
        <f>IF($A399="","",1)</f>
        <v/>
      </c>
    </row>
    <row r="400">
      <c r="A400" s="13" t="n"/>
      <c r="B400" s="13" t="n"/>
      <c r="C400" s="13" t="n"/>
      <c r="D400" s="13" t="n"/>
      <c r="E400" s="14" t="n"/>
      <c r="F400" s="14" t="n"/>
      <c r="G400" s="15" t="n"/>
      <c r="H400" s="16" t="n"/>
      <c r="I400" s="17">
        <f>IF($A400="","",IFERROR(SUMIF(tblKategoriKomisyon[Kategori],$D400,tblKategoriKomisyon[KomisyonOran]),0))</f>
        <v/>
      </c>
      <c r="J400" s="17">
        <f>IF($A400="","",ROUND($E400*$G400,2))</f>
        <v/>
      </c>
      <c r="K400" s="17">
        <f>IF($A400="","",ROUND($J400*$H400,2))</f>
        <v/>
      </c>
      <c r="L400" s="17">
        <f>IF($A400="","",1)</f>
        <v/>
      </c>
    </row>
    <row r="401">
      <c r="A401" s="13" t="n"/>
      <c r="B401" s="13" t="n"/>
      <c r="C401" s="13" t="n"/>
      <c r="D401" s="13" t="n"/>
      <c r="E401" s="14" t="n"/>
      <c r="F401" s="14" t="n"/>
      <c r="G401" s="15" t="n"/>
      <c r="H401" s="16" t="n"/>
      <c r="I401" s="17">
        <f>IF($A401="","",IFERROR(SUMIF(tblKategoriKomisyon[Kategori],$D401,tblKategoriKomisyon[KomisyonOran]),0))</f>
        <v/>
      </c>
      <c r="J401" s="17">
        <f>IF($A401="","",ROUND($E401*$G401,2))</f>
        <v/>
      </c>
      <c r="K401" s="17">
        <f>IF($A401="","",ROUND($J401*$H401,2))</f>
        <v/>
      </c>
      <c r="L401" s="17">
        <f>IF($A401="","",1)</f>
        <v/>
      </c>
    </row>
    <row r="402">
      <c r="A402" s="13" t="n"/>
      <c r="B402" s="13" t="n"/>
      <c r="C402" s="13" t="n"/>
      <c r="D402" s="13" t="n"/>
      <c r="E402" s="14" t="n"/>
      <c r="F402" s="14" t="n"/>
      <c r="G402" s="15" t="n"/>
      <c r="H402" s="16" t="n"/>
      <c r="I402" s="17">
        <f>IF($A402="","",IFERROR(SUMIF(tblKategoriKomisyon[Kategori],$D402,tblKategoriKomisyon[KomisyonOran]),0))</f>
        <v/>
      </c>
      <c r="J402" s="17">
        <f>IF($A402="","",ROUND($E402*$G402,2))</f>
        <v/>
      </c>
      <c r="K402" s="17">
        <f>IF($A402="","",ROUND($J402*$H402,2))</f>
        <v/>
      </c>
      <c r="L402" s="17">
        <f>IF($A402="","",1)</f>
        <v/>
      </c>
    </row>
    <row r="403">
      <c r="A403" s="13" t="n"/>
      <c r="B403" s="13" t="n"/>
      <c r="C403" s="13" t="n"/>
      <c r="D403" s="13" t="n"/>
      <c r="E403" s="14" t="n"/>
      <c r="F403" s="14" t="n"/>
      <c r="G403" s="15" t="n"/>
      <c r="H403" s="16" t="n"/>
      <c r="I403" s="17">
        <f>IF($A403="","",IFERROR(SUMIF(tblKategoriKomisyon[Kategori],$D403,tblKategoriKomisyon[KomisyonOran]),0))</f>
        <v/>
      </c>
      <c r="J403" s="17">
        <f>IF($A403="","",ROUND($E403*$G403,2))</f>
        <v/>
      </c>
      <c r="K403" s="17">
        <f>IF($A403="","",ROUND($J403*$H403,2))</f>
        <v/>
      </c>
      <c r="L403" s="17">
        <f>IF($A403="","",1)</f>
        <v/>
      </c>
    </row>
    <row r="404">
      <c r="A404" s="13" t="n"/>
      <c r="B404" s="13" t="n"/>
      <c r="C404" s="13" t="n"/>
      <c r="D404" s="13" t="n"/>
      <c r="E404" s="14" t="n"/>
      <c r="F404" s="14" t="n"/>
      <c r="G404" s="15" t="n"/>
      <c r="H404" s="16" t="n"/>
      <c r="I404" s="17">
        <f>IF($A404="","",IFERROR(SUMIF(tblKategoriKomisyon[Kategori],$D404,tblKategoriKomisyon[KomisyonOran]),0))</f>
        <v/>
      </c>
      <c r="J404" s="17">
        <f>IF($A404="","",ROUND($E404*$G404,2))</f>
        <v/>
      </c>
      <c r="K404" s="17">
        <f>IF($A404="","",ROUND($J404*$H404,2))</f>
        <v/>
      </c>
      <c r="L404" s="17">
        <f>IF($A404="","",1)</f>
        <v/>
      </c>
    </row>
    <row r="405">
      <c r="A405" s="13" t="n"/>
      <c r="B405" s="13" t="n"/>
      <c r="C405" s="13" t="n"/>
      <c r="D405" s="13" t="n"/>
      <c r="E405" s="14" t="n"/>
      <c r="F405" s="14" t="n"/>
      <c r="G405" s="15" t="n"/>
      <c r="H405" s="16" t="n"/>
      <c r="I405" s="17">
        <f>IF($A405="","",IFERROR(SUMIF(tblKategoriKomisyon[Kategori],$D405,tblKategoriKomisyon[KomisyonOran]),0))</f>
        <v/>
      </c>
      <c r="J405" s="17">
        <f>IF($A405="","",ROUND($E405*$G405,2))</f>
        <v/>
      </c>
      <c r="K405" s="17">
        <f>IF($A405="","",ROUND($J405*$H405,2))</f>
        <v/>
      </c>
      <c r="L405" s="17">
        <f>IF($A405="","",1)</f>
        <v/>
      </c>
    </row>
    <row r="406">
      <c r="A406" s="13" t="n"/>
      <c r="B406" s="13" t="n"/>
      <c r="C406" s="13" t="n"/>
      <c r="D406" s="13" t="n"/>
      <c r="E406" s="14" t="n"/>
      <c r="F406" s="14" t="n"/>
      <c r="G406" s="15" t="n"/>
      <c r="H406" s="16" t="n"/>
      <c r="I406" s="17">
        <f>IF($A406="","",IFERROR(SUMIF(tblKategoriKomisyon[Kategori],$D406,tblKategoriKomisyon[KomisyonOran]),0))</f>
        <v/>
      </c>
      <c r="J406" s="17">
        <f>IF($A406="","",ROUND($E406*$G406,2))</f>
        <v/>
      </c>
      <c r="K406" s="17">
        <f>IF($A406="","",ROUND($J406*$H406,2))</f>
        <v/>
      </c>
      <c r="L406" s="17">
        <f>IF($A406="","",1)</f>
        <v/>
      </c>
    </row>
    <row r="407">
      <c r="A407" s="13" t="n"/>
      <c r="B407" s="13" t="n"/>
      <c r="C407" s="13" t="n"/>
      <c r="D407" s="13" t="n"/>
      <c r="E407" s="14" t="n"/>
      <c r="F407" s="14" t="n"/>
      <c r="G407" s="15" t="n"/>
      <c r="H407" s="16" t="n"/>
      <c r="I407" s="17">
        <f>IF($A407="","",IFERROR(SUMIF(tblKategoriKomisyon[Kategori],$D407,tblKategoriKomisyon[KomisyonOran]),0))</f>
        <v/>
      </c>
      <c r="J407" s="17">
        <f>IF($A407="","",ROUND($E407*$G407,2))</f>
        <v/>
      </c>
      <c r="K407" s="17">
        <f>IF($A407="","",ROUND($J407*$H407,2))</f>
        <v/>
      </c>
      <c r="L407" s="17">
        <f>IF($A407="","",1)</f>
        <v/>
      </c>
    </row>
    <row r="408">
      <c r="A408" s="13" t="n"/>
      <c r="B408" s="13" t="n"/>
      <c r="C408" s="13" t="n"/>
      <c r="D408" s="13" t="n"/>
      <c r="E408" s="14" t="n"/>
      <c r="F408" s="14" t="n"/>
      <c r="G408" s="15" t="n"/>
      <c r="H408" s="16" t="n"/>
      <c r="I408" s="17">
        <f>IF($A408="","",IFERROR(SUMIF(tblKategoriKomisyon[Kategori],$D408,tblKategoriKomisyon[KomisyonOran]),0))</f>
        <v/>
      </c>
      <c r="J408" s="17">
        <f>IF($A408="","",ROUND($E408*$G408,2))</f>
        <v/>
      </c>
      <c r="K408" s="17">
        <f>IF($A408="","",ROUND($J408*$H408,2))</f>
        <v/>
      </c>
      <c r="L408" s="17">
        <f>IF($A408="","",1)</f>
        <v/>
      </c>
    </row>
    <row r="409">
      <c r="A409" s="13" t="n"/>
      <c r="B409" s="13" t="n"/>
      <c r="C409" s="13" t="n"/>
      <c r="D409" s="13" t="n"/>
      <c r="E409" s="14" t="n"/>
      <c r="F409" s="14" t="n"/>
      <c r="G409" s="15" t="n"/>
      <c r="H409" s="16" t="n"/>
      <c r="I409" s="17">
        <f>IF($A409="","",IFERROR(SUMIF(tblKategoriKomisyon[Kategori],$D409,tblKategoriKomisyon[KomisyonOran]),0))</f>
        <v/>
      </c>
      <c r="J409" s="17">
        <f>IF($A409="","",ROUND($E409*$G409,2))</f>
        <v/>
      </c>
      <c r="K409" s="17">
        <f>IF($A409="","",ROUND($J409*$H409,2))</f>
        <v/>
      </c>
      <c r="L409" s="17">
        <f>IF($A409="","",1)</f>
        <v/>
      </c>
    </row>
    <row r="410">
      <c r="A410" s="13" t="n"/>
      <c r="B410" s="13" t="n"/>
      <c r="C410" s="13" t="n"/>
      <c r="D410" s="13" t="n"/>
      <c r="E410" s="14" t="n"/>
      <c r="F410" s="14" t="n"/>
      <c r="G410" s="15" t="n"/>
      <c r="H410" s="16" t="n"/>
      <c r="I410" s="17">
        <f>IF($A410="","",IFERROR(SUMIF(tblKategoriKomisyon[Kategori],$D410,tblKategoriKomisyon[KomisyonOran]),0))</f>
        <v/>
      </c>
      <c r="J410" s="17">
        <f>IF($A410="","",ROUND($E410*$G410,2))</f>
        <v/>
      </c>
      <c r="K410" s="17">
        <f>IF($A410="","",ROUND($J410*$H410,2))</f>
        <v/>
      </c>
      <c r="L410" s="17">
        <f>IF($A410="","",1)</f>
        <v/>
      </c>
    </row>
    <row r="411">
      <c r="A411" s="13" t="n"/>
      <c r="B411" s="13" t="n"/>
      <c r="C411" s="13" t="n"/>
      <c r="D411" s="13" t="n"/>
      <c r="E411" s="14" t="n"/>
      <c r="F411" s="14" t="n"/>
      <c r="G411" s="15" t="n"/>
      <c r="H411" s="16" t="n"/>
      <c r="I411" s="17">
        <f>IF($A411="","",IFERROR(SUMIF(tblKategoriKomisyon[Kategori],$D411,tblKategoriKomisyon[KomisyonOran]),0))</f>
        <v/>
      </c>
      <c r="J411" s="17">
        <f>IF($A411="","",ROUND($E411*$G411,2))</f>
        <v/>
      </c>
      <c r="K411" s="17">
        <f>IF($A411="","",ROUND($J411*$H411,2))</f>
        <v/>
      </c>
      <c r="L411" s="17">
        <f>IF($A411="","",1)</f>
        <v/>
      </c>
    </row>
    <row r="412">
      <c r="A412" s="13" t="n"/>
      <c r="B412" s="13" t="n"/>
      <c r="C412" s="13" t="n"/>
      <c r="D412" s="13" t="n"/>
      <c r="E412" s="14" t="n"/>
      <c r="F412" s="14" t="n"/>
      <c r="G412" s="15" t="n"/>
      <c r="H412" s="16" t="n"/>
      <c r="I412" s="17">
        <f>IF($A412="","",IFERROR(SUMIF(tblKategoriKomisyon[Kategori],$D412,tblKategoriKomisyon[KomisyonOran]),0))</f>
        <v/>
      </c>
      <c r="J412" s="17">
        <f>IF($A412="","",ROUND($E412*$G412,2))</f>
        <v/>
      </c>
      <c r="K412" s="17">
        <f>IF($A412="","",ROUND($J412*$H412,2))</f>
        <v/>
      </c>
      <c r="L412" s="17">
        <f>IF($A412="","",1)</f>
        <v/>
      </c>
    </row>
    <row r="413">
      <c r="A413" s="13" t="n"/>
      <c r="B413" s="13" t="n"/>
      <c r="C413" s="13" t="n"/>
      <c r="D413" s="13" t="n"/>
      <c r="E413" s="14" t="n"/>
      <c r="F413" s="14" t="n"/>
      <c r="G413" s="15" t="n"/>
      <c r="H413" s="16" t="n"/>
      <c r="I413" s="17">
        <f>IF($A413="","",IFERROR(SUMIF(tblKategoriKomisyon[Kategori],$D413,tblKategoriKomisyon[KomisyonOran]),0))</f>
        <v/>
      </c>
      <c r="J413" s="17">
        <f>IF($A413="","",ROUND($E413*$G413,2))</f>
        <v/>
      </c>
      <c r="K413" s="17">
        <f>IF($A413="","",ROUND($J413*$H413,2))</f>
        <v/>
      </c>
      <c r="L413" s="17">
        <f>IF($A413="","",1)</f>
        <v/>
      </c>
    </row>
    <row r="414">
      <c r="A414" s="13" t="n"/>
      <c r="B414" s="13" t="n"/>
      <c r="C414" s="13" t="n"/>
      <c r="D414" s="13" t="n"/>
      <c r="E414" s="14" t="n"/>
      <c r="F414" s="14" t="n"/>
      <c r="G414" s="15" t="n"/>
      <c r="H414" s="16" t="n"/>
      <c r="I414" s="17">
        <f>IF($A414="","",IFERROR(SUMIF(tblKategoriKomisyon[Kategori],$D414,tblKategoriKomisyon[KomisyonOran]),0))</f>
        <v/>
      </c>
      <c r="J414" s="17">
        <f>IF($A414="","",ROUND($E414*$G414,2))</f>
        <v/>
      </c>
      <c r="K414" s="17">
        <f>IF($A414="","",ROUND($J414*$H414,2))</f>
        <v/>
      </c>
      <c r="L414" s="17">
        <f>IF($A414="","",1)</f>
        <v/>
      </c>
    </row>
    <row r="415">
      <c r="A415" s="13" t="n"/>
      <c r="B415" s="13" t="n"/>
      <c r="C415" s="13" t="n"/>
      <c r="D415" s="13" t="n"/>
      <c r="E415" s="14" t="n"/>
      <c r="F415" s="14" t="n"/>
      <c r="G415" s="15" t="n"/>
      <c r="H415" s="16" t="n"/>
      <c r="I415" s="17">
        <f>IF($A415="","",IFERROR(SUMIF(tblKategoriKomisyon[Kategori],$D415,tblKategoriKomisyon[KomisyonOran]),0))</f>
        <v/>
      </c>
      <c r="J415" s="17">
        <f>IF($A415="","",ROUND($E415*$G415,2))</f>
        <v/>
      </c>
      <c r="K415" s="17">
        <f>IF($A415="","",ROUND($J415*$H415,2))</f>
        <v/>
      </c>
      <c r="L415" s="17">
        <f>IF($A415="","",1)</f>
        <v/>
      </c>
    </row>
    <row r="416">
      <c r="A416" s="13" t="n"/>
      <c r="B416" s="13" t="n"/>
      <c r="C416" s="13" t="n"/>
      <c r="D416" s="13" t="n"/>
      <c r="E416" s="14" t="n"/>
      <c r="F416" s="14" t="n"/>
      <c r="G416" s="15" t="n"/>
      <c r="H416" s="16" t="n"/>
      <c r="I416" s="17">
        <f>IF($A416="","",IFERROR(SUMIF(tblKategoriKomisyon[Kategori],$D416,tblKategoriKomisyon[KomisyonOran]),0))</f>
        <v/>
      </c>
      <c r="J416" s="17">
        <f>IF($A416="","",ROUND($E416*$G416,2))</f>
        <v/>
      </c>
      <c r="K416" s="17">
        <f>IF($A416="","",ROUND($J416*$H416,2))</f>
        <v/>
      </c>
      <c r="L416" s="17">
        <f>IF($A416="","",1)</f>
        <v/>
      </c>
    </row>
    <row r="417">
      <c r="A417" s="13" t="n"/>
      <c r="B417" s="13" t="n"/>
      <c r="C417" s="13" t="n"/>
      <c r="D417" s="13" t="n"/>
      <c r="E417" s="14" t="n"/>
      <c r="F417" s="14" t="n"/>
      <c r="G417" s="15" t="n"/>
      <c r="H417" s="16" t="n"/>
      <c r="I417" s="17">
        <f>IF($A417="","",IFERROR(SUMIF(tblKategoriKomisyon[Kategori],$D417,tblKategoriKomisyon[KomisyonOran]),0))</f>
        <v/>
      </c>
      <c r="J417" s="17">
        <f>IF($A417="","",ROUND($E417*$G417,2))</f>
        <v/>
      </c>
      <c r="K417" s="17">
        <f>IF($A417="","",ROUND($J417*$H417,2))</f>
        <v/>
      </c>
      <c r="L417" s="17">
        <f>IF($A417="","",1)</f>
        <v/>
      </c>
    </row>
    <row r="418">
      <c r="A418" s="13" t="n"/>
      <c r="B418" s="13" t="n"/>
      <c r="C418" s="13" t="n"/>
      <c r="D418" s="13" t="n"/>
      <c r="E418" s="14" t="n"/>
      <c r="F418" s="14" t="n"/>
      <c r="G418" s="15" t="n"/>
      <c r="H418" s="16" t="n"/>
      <c r="I418" s="17">
        <f>IF($A418="","",IFERROR(SUMIF(tblKategoriKomisyon[Kategori],$D418,tblKategoriKomisyon[KomisyonOran]),0))</f>
        <v/>
      </c>
      <c r="J418" s="17">
        <f>IF($A418="","",ROUND($E418*$G418,2))</f>
        <v/>
      </c>
      <c r="K418" s="17">
        <f>IF($A418="","",ROUND($J418*$H418,2))</f>
        <v/>
      </c>
      <c r="L418" s="17">
        <f>IF($A418="","",1)</f>
        <v/>
      </c>
    </row>
    <row r="419">
      <c r="A419" s="13" t="n"/>
      <c r="B419" s="13" t="n"/>
      <c r="C419" s="13" t="n"/>
      <c r="D419" s="13" t="n"/>
      <c r="E419" s="14" t="n"/>
      <c r="F419" s="14" t="n"/>
      <c r="G419" s="15" t="n"/>
      <c r="H419" s="16" t="n"/>
      <c r="I419" s="17">
        <f>IF($A419="","",IFERROR(SUMIF(tblKategoriKomisyon[Kategori],$D419,tblKategoriKomisyon[KomisyonOran]),0))</f>
        <v/>
      </c>
      <c r="J419" s="17">
        <f>IF($A419="","",ROUND($E419*$G419,2))</f>
        <v/>
      </c>
      <c r="K419" s="17">
        <f>IF($A419="","",ROUND($J419*$H419,2))</f>
        <v/>
      </c>
      <c r="L419" s="17">
        <f>IF($A419="","",1)</f>
        <v/>
      </c>
    </row>
    <row r="420">
      <c r="A420" s="13" t="n"/>
      <c r="B420" s="13" t="n"/>
      <c r="C420" s="13" t="n"/>
      <c r="D420" s="13" t="n"/>
      <c r="E420" s="14" t="n"/>
      <c r="F420" s="14" t="n"/>
      <c r="G420" s="15" t="n"/>
      <c r="H420" s="16" t="n"/>
      <c r="I420" s="17">
        <f>IF($A420="","",IFERROR(SUMIF(tblKategoriKomisyon[Kategori],$D420,tblKategoriKomisyon[KomisyonOran]),0))</f>
        <v/>
      </c>
      <c r="J420" s="17">
        <f>IF($A420="","",ROUND($E420*$G420,2))</f>
        <v/>
      </c>
      <c r="K420" s="17">
        <f>IF($A420="","",ROUND($J420*$H420,2))</f>
        <v/>
      </c>
      <c r="L420" s="17">
        <f>IF($A420="","",1)</f>
        <v/>
      </c>
    </row>
    <row r="421">
      <c r="A421" s="13" t="n"/>
      <c r="B421" s="13" t="n"/>
      <c r="C421" s="13" t="n"/>
      <c r="D421" s="13" t="n"/>
      <c r="E421" s="14" t="n"/>
      <c r="F421" s="14" t="n"/>
      <c r="G421" s="15" t="n"/>
      <c r="H421" s="16" t="n"/>
      <c r="I421" s="17">
        <f>IF($A421="","",IFERROR(SUMIF(tblKategoriKomisyon[Kategori],$D421,tblKategoriKomisyon[KomisyonOran]),0))</f>
        <v/>
      </c>
      <c r="J421" s="17">
        <f>IF($A421="","",ROUND($E421*$G421,2))</f>
        <v/>
      </c>
      <c r="K421" s="17">
        <f>IF($A421="","",ROUND($J421*$H421,2))</f>
        <v/>
      </c>
      <c r="L421" s="17">
        <f>IF($A421="","",1)</f>
        <v/>
      </c>
    </row>
    <row r="422">
      <c r="A422" s="13" t="n"/>
      <c r="B422" s="13" t="n"/>
      <c r="C422" s="13" t="n"/>
      <c r="D422" s="13" t="n"/>
      <c r="E422" s="14" t="n"/>
      <c r="F422" s="14" t="n"/>
      <c r="G422" s="15" t="n"/>
      <c r="H422" s="16" t="n"/>
      <c r="I422" s="17">
        <f>IF($A422="","",IFERROR(SUMIF(tblKategoriKomisyon[Kategori],$D422,tblKategoriKomisyon[KomisyonOran]),0))</f>
        <v/>
      </c>
      <c r="J422" s="17">
        <f>IF($A422="","",ROUND($E422*$G422,2))</f>
        <v/>
      </c>
      <c r="K422" s="17">
        <f>IF($A422="","",ROUND($J422*$H422,2))</f>
        <v/>
      </c>
      <c r="L422" s="17">
        <f>IF($A422="","",1)</f>
        <v/>
      </c>
    </row>
    <row r="423">
      <c r="A423" s="13" t="n"/>
      <c r="B423" s="13" t="n"/>
      <c r="C423" s="13" t="n"/>
      <c r="D423" s="13" t="n"/>
      <c r="E423" s="14" t="n"/>
      <c r="F423" s="14" t="n"/>
      <c r="G423" s="15" t="n"/>
      <c r="H423" s="16" t="n"/>
      <c r="I423" s="17">
        <f>IF($A423="","",IFERROR(SUMIF(tblKategoriKomisyon[Kategori],$D423,tblKategoriKomisyon[KomisyonOran]),0))</f>
        <v/>
      </c>
      <c r="J423" s="17">
        <f>IF($A423="","",ROUND($E423*$G423,2))</f>
        <v/>
      </c>
      <c r="K423" s="17">
        <f>IF($A423="","",ROUND($J423*$H423,2))</f>
        <v/>
      </c>
      <c r="L423" s="17">
        <f>IF($A423="","",1)</f>
        <v/>
      </c>
    </row>
    <row r="424">
      <c r="A424" s="13" t="n"/>
      <c r="B424" s="13" t="n"/>
      <c r="C424" s="13" t="n"/>
      <c r="D424" s="13" t="n"/>
      <c r="E424" s="14" t="n"/>
      <c r="F424" s="14" t="n"/>
      <c r="G424" s="15" t="n"/>
      <c r="H424" s="16" t="n"/>
      <c r="I424" s="17">
        <f>IF($A424="","",IFERROR(SUMIF(tblKategoriKomisyon[Kategori],$D424,tblKategoriKomisyon[KomisyonOran]),0))</f>
        <v/>
      </c>
      <c r="J424" s="17">
        <f>IF($A424="","",ROUND($E424*$G424,2))</f>
        <v/>
      </c>
      <c r="K424" s="17">
        <f>IF($A424="","",ROUND($J424*$H424,2))</f>
        <v/>
      </c>
      <c r="L424" s="17">
        <f>IF($A424="","",1)</f>
        <v/>
      </c>
    </row>
    <row r="425">
      <c r="A425" s="13" t="n"/>
      <c r="B425" s="13" t="n"/>
      <c r="C425" s="13" t="n"/>
      <c r="D425" s="13" t="n"/>
      <c r="E425" s="14" t="n"/>
      <c r="F425" s="14" t="n"/>
      <c r="G425" s="15" t="n"/>
      <c r="H425" s="16" t="n"/>
      <c r="I425" s="17">
        <f>IF($A425="","",IFERROR(SUMIF(tblKategoriKomisyon[Kategori],$D425,tblKategoriKomisyon[KomisyonOran]),0))</f>
        <v/>
      </c>
      <c r="J425" s="17">
        <f>IF($A425="","",ROUND($E425*$G425,2))</f>
        <v/>
      </c>
      <c r="K425" s="17">
        <f>IF($A425="","",ROUND($J425*$H425,2))</f>
        <v/>
      </c>
      <c r="L425" s="17">
        <f>IF($A425="","",1)</f>
        <v/>
      </c>
    </row>
    <row r="426">
      <c r="A426" s="13" t="n"/>
      <c r="B426" s="13" t="n"/>
      <c r="C426" s="13" t="n"/>
      <c r="D426" s="13" t="n"/>
      <c r="E426" s="14" t="n"/>
      <c r="F426" s="14" t="n"/>
      <c r="G426" s="15" t="n"/>
      <c r="H426" s="16" t="n"/>
      <c r="I426" s="17">
        <f>IF($A426="","",IFERROR(SUMIF(tblKategoriKomisyon[Kategori],$D426,tblKategoriKomisyon[KomisyonOran]),0))</f>
        <v/>
      </c>
      <c r="J426" s="17">
        <f>IF($A426="","",ROUND($E426*$G426,2))</f>
        <v/>
      </c>
      <c r="K426" s="17">
        <f>IF($A426="","",ROUND($J426*$H426,2))</f>
        <v/>
      </c>
      <c r="L426" s="17">
        <f>IF($A426="","",1)</f>
        <v/>
      </c>
    </row>
    <row r="427">
      <c r="A427" s="13" t="n"/>
      <c r="B427" s="13" t="n"/>
      <c r="C427" s="13" t="n"/>
      <c r="D427" s="13" t="n"/>
      <c r="E427" s="14" t="n"/>
      <c r="F427" s="14" t="n"/>
      <c r="G427" s="15" t="n"/>
      <c r="H427" s="16" t="n"/>
      <c r="I427" s="17">
        <f>IF($A427="","",IFERROR(SUMIF(tblKategoriKomisyon[Kategori],$D427,tblKategoriKomisyon[KomisyonOran]),0))</f>
        <v/>
      </c>
      <c r="J427" s="17">
        <f>IF($A427="","",ROUND($E427*$G427,2))</f>
        <v/>
      </c>
      <c r="K427" s="17">
        <f>IF($A427="","",ROUND($J427*$H427,2))</f>
        <v/>
      </c>
      <c r="L427" s="17">
        <f>IF($A427="","",1)</f>
        <v/>
      </c>
    </row>
    <row r="428">
      <c r="A428" s="13" t="n"/>
      <c r="B428" s="13" t="n"/>
      <c r="C428" s="13" t="n"/>
      <c r="D428" s="13" t="n"/>
      <c r="E428" s="14" t="n"/>
      <c r="F428" s="14" t="n"/>
      <c r="G428" s="15" t="n"/>
      <c r="H428" s="16" t="n"/>
      <c r="I428" s="17">
        <f>IF($A428="","",IFERROR(SUMIF(tblKategoriKomisyon[Kategori],$D428,tblKategoriKomisyon[KomisyonOran]),0))</f>
        <v/>
      </c>
      <c r="J428" s="17">
        <f>IF($A428="","",ROUND($E428*$G428,2))</f>
        <v/>
      </c>
      <c r="K428" s="17">
        <f>IF($A428="","",ROUND($J428*$H428,2))</f>
        <v/>
      </c>
      <c r="L428" s="17">
        <f>IF($A428="","",1)</f>
        <v/>
      </c>
    </row>
    <row r="429">
      <c r="A429" s="13" t="n"/>
      <c r="B429" s="13" t="n"/>
      <c r="C429" s="13" t="n"/>
      <c r="D429" s="13" t="n"/>
      <c r="E429" s="14" t="n"/>
      <c r="F429" s="14" t="n"/>
      <c r="G429" s="15" t="n"/>
      <c r="H429" s="16" t="n"/>
      <c r="I429" s="17">
        <f>IF($A429="","",IFERROR(SUMIF(tblKategoriKomisyon[Kategori],$D429,tblKategoriKomisyon[KomisyonOran]),0))</f>
        <v/>
      </c>
      <c r="J429" s="17">
        <f>IF($A429="","",ROUND($E429*$G429,2))</f>
        <v/>
      </c>
      <c r="K429" s="17">
        <f>IF($A429="","",ROUND($J429*$H429,2))</f>
        <v/>
      </c>
      <c r="L429" s="17">
        <f>IF($A429="","",1)</f>
        <v/>
      </c>
    </row>
    <row r="430">
      <c r="A430" s="13" t="n"/>
      <c r="B430" s="13" t="n"/>
      <c r="C430" s="13" t="n"/>
      <c r="D430" s="13" t="n"/>
      <c r="E430" s="14" t="n"/>
      <c r="F430" s="14" t="n"/>
      <c r="G430" s="15" t="n"/>
      <c r="H430" s="16" t="n"/>
      <c r="I430" s="17">
        <f>IF($A430="","",IFERROR(SUMIF(tblKategoriKomisyon[Kategori],$D430,tblKategoriKomisyon[KomisyonOran]),0))</f>
        <v/>
      </c>
      <c r="J430" s="17">
        <f>IF($A430="","",ROUND($E430*$G430,2))</f>
        <v/>
      </c>
      <c r="K430" s="17">
        <f>IF($A430="","",ROUND($J430*$H430,2))</f>
        <v/>
      </c>
      <c r="L430" s="17">
        <f>IF($A430="","",1)</f>
        <v/>
      </c>
    </row>
    <row r="431">
      <c r="A431" s="13" t="n"/>
      <c r="B431" s="13" t="n"/>
      <c r="C431" s="13" t="n"/>
      <c r="D431" s="13" t="n"/>
      <c r="E431" s="14" t="n"/>
      <c r="F431" s="14" t="n"/>
      <c r="G431" s="15" t="n"/>
      <c r="H431" s="16" t="n"/>
      <c r="I431" s="17">
        <f>IF($A431="","",IFERROR(SUMIF(tblKategoriKomisyon[Kategori],$D431,tblKategoriKomisyon[KomisyonOran]),0))</f>
        <v/>
      </c>
      <c r="J431" s="17">
        <f>IF($A431="","",ROUND($E431*$G431,2))</f>
        <v/>
      </c>
      <c r="K431" s="17">
        <f>IF($A431="","",ROUND($J431*$H431,2))</f>
        <v/>
      </c>
      <c r="L431" s="17">
        <f>IF($A431="","",1)</f>
        <v/>
      </c>
    </row>
    <row r="432">
      <c r="A432" s="13" t="n"/>
      <c r="B432" s="13" t="n"/>
      <c r="C432" s="13" t="n"/>
      <c r="D432" s="13" t="n"/>
      <c r="E432" s="14" t="n"/>
      <c r="F432" s="14" t="n"/>
      <c r="G432" s="15" t="n"/>
      <c r="H432" s="16" t="n"/>
      <c r="I432" s="17">
        <f>IF($A432="","",IFERROR(SUMIF(tblKategoriKomisyon[Kategori],$D432,tblKategoriKomisyon[KomisyonOran]),0))</f>
        <v/>
      </c>
      <c r="J432" s="17">
        <f>IF($A432="","",ROUND($E432*$G432,2))</f>
        <v/>
      </c>
      <c r="K432" s="17">
        <f>IF($A432="","",ROUND($J432*$H432,2))</f>
        <v/>
      </c>
      <c r="L432" s="17">
        <f>IF($A432="","",1)</f>
        <v/>
      </c>
    </row>
    <row r="433">
      <c r="A433" s="13" t="n"/>
      <c r="B433" s="13" t="n"/>
      <c r="C433" s="13" t="n"/>
      <c r="D433" s="13" t="n"/>
      <c r="E433" s="14" t="n"/>
      <c r="F433" s="14" t="n"/>
      <c r="G433" s="15" t="n"/>
      <c r="H433" s="16" t="n"/>
      <c r="I433" s="17">
        <f>IF($A433="","",IFERROR(SUMIF(tblKategoriKomisyon[Kategori],$D433,tblKategoriKomisyon[KomisyonOran]),0))</f>
        <v/>
      </c>
      <c r="J433" s="17">
        <f>IF($A433="","",ROUND($E433*$G433,2))</f>
        <v/>
      </c>
      <c r="K433" s="17">
        <f>IF($A433="","",ROUND($J433*$H433,2))</f>
        <v/>
      </c>
      <c r="L433" s="17">
        <f>IF($A433="","",1)</f>
        <v/>
      </c>
    </row>
    <row r="434">
      <c r="A434" s="13" t="n"/>
      <c r="B434" s="13" t="n"/>
      <c r="C434" s="13" t="n"/>
      <c r="D434" s="13" t="n"/>
      <c r="E434" s="14" t="n"/>
      <c r="F434" s="14" t="n"/>
      <c r="G434" s="15" t="n"/>
      <c r="H434" s="16" t="n"/>
      <c r="I434" s="17">
        <f>IF($A434="","",IFERROR(SUMIF(tblKategoriKomisyon[Kategori],$D434,tblKategoriKomisyon[KomisyonOran]),0))</f>
        <v/>
      </c>
      <c r="J434" s="17">
        <f>IF($A434="","",ROUND($E434*$G434,2))</f>
        <v/>
      </c>
      <c r="K434" s="17">
        <f>IF($A434="","",ROUND($J434*$H434,2))</f>
        <v/>
      </c>
      <c r="L434" s="17">
        <f>IF($A434="","",1)</f>
        <v/>
      </c>
    </row>
    <row r="435">
      <c r="A435" s="13" t="n"/>
      <c r="B435" s="13" t="n"/>
      <c r="C435" s="13" t="n"/>
      <c r="D435" s="13" t="n"/>
      <c r="E435" s="14" t="n"/>
      <c r="F435" s="14" t="n"/>
      <c r="G435" s="15" t="n"/>
      <c r="H435" s="16" t="n"/>
      <c r="I435" s="17">
        <f>IF($A435="","",IFERROR(SUMIF(tblKategoriKomisyon[Kategori],$D435,tblKategoriKomisyon[KomisyonOran]),0))</f>
        <v/>
      </c>
      <c r="J435" s="17">
        <f>IF($A435="","",ROUND($E435*$G435,2))</f>
        <v/>
      </c>
      <c r="K435" s="17">
        <f>IF($A435="","",ROUND($J435*$H435,2))</f>
        <v/>
      </c>
      <c r="L435" s="17">
        <f>IF($A435="","",1)</f>
        <v/>
      </c>
    </row>
    <row r="436">
      <c r="A436" s="13" t="n"/>
      <c r="B436" s="13" t="n"/>
      <c r="C436" s="13" t="n"/>
      <c r="D436" s="13" t="n"/>
      <c r="E436" s="14" t="n"/>
      <c r="F436" s="14" t="n"/>
      <c r="G436" s="15" t="n"/>
      <c r="H436" s="16" t="n"/>
      <c r="I436" s="17">
        <f>IF($A436="","",IFERROR(SUMIF(tblKategoriKomisyon[Kategori],$D436,tblKategoriKomisyon[KomisyonOran]),0))</f>
        <v/>
      </c>
      <c r="J436" s="17">
        <f>IF($A436="","",ROUND($E436*$G436,2))</f>
        <v/>
      </c>
      <c r="K436" s="17">
        <f>IF($A436="","",ROUND($J436*$H436,2))</f>
        <v/>
      </c>
      <c r="L436" s="17">
        <f>IF($A436="","",1)</f>
        <v/>
      </c>
    </row>
    <row r="437">
      <c r="A437" s="13" t="n"/>
      <c r="B437" s="13" t="n"/>
      <c r="C437" s="13" t="n"/>
      <c r="D437" s="13" t="n"/>
      <c r="E437" s="14" t="n"/>
      <c r="F437" s="14" t="n"/>
      <c r="G437" s="15" t="n"/>
      <c r="H437" s="16" t="n"/>
      <c r="I437" s="17">
        <f>IF($A437="","",IFERROR(SUMIF(tblKategoriKomisyon[Kategori],$D437,tblKategoriKomisyon[KomisyonOran]),0))</f>
        <v/>
      </c>
      <c r="J437" s="17">
        <f>IF($A437="","",ROUND($E437*$G437,2))</f>
        <v/>
      </c>
      <c r="K437" s="17">
        <f>IF($A437="","",ROUND($J437*$H437,2))</f>
        <v/>
      </c>
      <c r="L437" s="17">
        <f>IF($A437="","",1)</f>
        <v/>
      </c>
    </row>
    <row r="438">
      <c r="A438" s="13" t="n"/>
      <c r="B438" s="13" t="n"/>
      <c r="C438" s="13" t="n"/>
      <c r="D438" s="13" t="n"/>
      <c r="E438" s="14" t="n"/>
      <c r="F438" s="14" t="n"/>
      <c r="G438" s="15" t="n"/>
      <c r="H438" s="16" t="n"/>
      <c r="I438" s="17">
        <f>IF($A438="","",IFERROR(SUMIF(tblKategoriKomisyon[Kategori],$D438,tblKategoriKomisyon[KomisyonOran]),0))</f>
        <v/>
      </c>
      <c r="J438" s="17">
        <f>IF($A438="","",ROUND($E438*$G438,2))</f>
        <v/>
      </c>
      <c r="K438" s="17">
        <f>IF($A438="","",ROUND($J438*$H438,2))</f>
        <v/>
      </c>
      <c r="L438" s="17">
        <f>IF($A438="","",1)</f>
        <v/>
      </c>
    </row>
    <row r="439">
      <c r="A439" s="13" t="n"/>
      <c r="B439" s="13" t="n"/>
      <c r="C439" s="13" t="n"/>
      <c r="D439" s="13" t="n"/>
      <c r="E439" s="14" t="n"/>
      <c r="F439" s="14" t="n"/>
      <c r="G439" s="15" t="n"/>
      <c r="H439" s="16" t="n"/>
      <c r="I439" s="17">
        <f>IF($A439="","",IFERROR(SUMIF(tblKategoriKomisyon[Kategori],$D439,tblKategoriKomisyon[KomisyonOran]),0))</f>
        <v/>
      </c>
      <c r="J439" s="17">
        <f>IF($A439="","",ROUND($E439*$G439,2))</f>
        <v/>
      </c>
      <c r="K439" s="17">
        <f>IF($A439="","",ROUND($J439*$H439,2))</f>
        <v/>
      </c>
      <c r="L439" s="17">
        <f>IF($A439="","",1)</f>
        <v/>
      </c>
    </row>
    <row r="440">
      <c r="A440" s="13" t="n"/>
      <c r="B440" s="13" t="n"/>
      <c r="C440" s="13" t="n"/>
      <c r="D440" s="13" t="n"/>
      <c r="E440" s="14" t="n"/>
      <c r="F440" s="14" t="n"/>
      <c r="G440" s="15" t="n"/>
      <c r="H440" s="16" t="n"/>
      <c r="I440" s="17">
        <f>IF($A440="","",IFERROR(SUMIF(tblKategoriKomisyon[Kategori],$D440,tblKategoriKomisyon[KomisyonOran]),0))</f>
        <v/>
      </c>
      <c r="J440" s="17">
        <f>IF($A440="","",ROUND($E440*$G440,2))</f>
        <v/>
      </c>
      <c r="K440" s="17">
        <f>IF($A440="","",ROUND($J440*$H440,2))</f>
        <v/>
      </c>
      <c r="L440" s="17">
        <f>IF($A440="","",1)</f>
        <v/>
      </c>
    </row>
    <row r="441">
      <c r="A441" s="13" t="n"/>
      <c r="B441" s="13" t="n"/>
      <c r="C441" s="13" t="n"/>
      <c r="D441" s="13" t="n"/>
      <c r="E441" s="14" t="n"/>
      <c r="F441" s="14" t="n"/>
      <c r="G441" s="15" t="n"/>
      <c r="H441" s="16" t="n"/>
      <c r="I441" s="17">
        <f>IF($A441="","",IFERROR(SUMIF(tblKategoriKomisyon[Kategori],$D441,tblKategoriKomisyon[KomisyonOran]),0))</f>
        <v/>
      </c>
      <c r="J441" s="17">
        <f>IF($A441="","",ROUND($E441*$G441,2))</f>
        <v/>
      </c>
      <c r="K441" s="17">
        <f>IF($A441="","",ROUND($J441*$H441,2))</f>
        <v/>
      </c>
      <c r="L441" s="17">
        <f>IF($A441="","",1)</f>
        <v/>
      </c>
    </row>
    <row r="442">
      <c r="A442" s="13" t="n"/>
      <c r="B442" s="13" t="n"/>
      <c r="C442" s="13" t="n"/>
      <c r="D442" s="13" t="n"/>
      <c r="E442" s="14" t="n"/>
      <c r="F442" s="14" t="n"/>
      <c r="G442" s="15" t="n"/>
      <c r="H442" s="16" t="n"/>
      <c r="I442" s="17">
        <f>IF($A442="","",IFERROR(SUMIF(tblKategoriKomisyon[Kategori],$D442,tblKategoriKomisyon[KomisyonOran]),0))</f>
        <v/>
      </c>
      <c r="J442" s="17">
        <f>IF($A442="","",ROUND($E442*$G442,2))</f>
        <v/>
      </c>
      <c r="K442" s="17">
        <f>IF($A442="","",ROUND($J442*$H442,2))</f>
        <v/>
      </c>
      <c r="L442" s="17">
        <f>IF($A442="","",1)</f>
        <v/>
      </c>
    </row>
    <row r="443">
      <c r="A443" s="13" t="n"/>
      <c r="B443" s="13" t="n"/>
      <c r="C443" s="13" t="n"/>
      <c r="D443" s="13" t="n"/>
      <c r="E443" s="14" t="n"/>
      <c r="F443" s="14" t="n"/>
      <c r="G443" s="15" t="n"/>
      <c r="H443" s="16" t="n"/>
      <c r="I443" s="17">
        <f>IF($A443="","",IFERROR(SUMIF(tblKategoriKomisyon[Kategori],$D443,tblKategoriKomisyon[KomisyonOran]),0))</f>
        <v/>
      </c>
      <c r="J443" s="17">
        <f>IF($A443="","",ROUND($E443*$G443,2))</f>
        <v/>
      </c>
      <c r="K443" s="17">
        <f>IF($A443="","",ROUND($J443*$H443,2))</f>
        <v/>
      </c>
      <c r="L443" s="17">
        <f>IF($A443="","",1)</f>
        <v/>
      </c>
    </row>
    <row r="444">
      <c r="A444" s="13" t="n"/>
      <c r="B444" s="13" t="n"/>
      <c r="C444" s="13" t="n"/>
      <c r="D444" s="13" t="n"/>
      <c r="E444" s="14" t="n"/>
      <c r="F444" s="14" t="n"/>
      <c r="G444" s="15" t="n"/>
      <c r="H444" s="16" t="n"/>
      <c r="I444" s="17">
        <f>IF($A444="","",IFERROR(SUMIF(tblKategoriKomisyon[Kategori],$D444,tblKategoriKomisyon[KomisyonOran]),0))</f>
        <v/>
      </c>
      <c r="J444" s="17">
        <f>IF($A444="","",ROUND($E444*$G444,2))</f>
        <v/>
      </c>
      <c r="K444" s="17">
        <f>IF($A444="","",ROUND($J444*$H444,2))</f>
        <v/>
      </c>
      <c r="L444" s="17">
        <f>IF($A444="","",1)</f>
        <v/>
      </c>
    </row>
    <row r="445">
      <c r="A445" s="13" t="n"/>
      <c r="B445" s="13" t="n"/>
      <c r="C445" s="13" t="n"/>
      <c r="D445" s="13" t="n"/>
      <c r="E445" s="14" t="n"/>
      <c r="F445" s="14" t="n"/>
      <c r="G445" s="15" t="n"/>
      <c r="H445" s="16" t="n"/>
      <c r="I445" s="17">
        <f>IF($A445="","",IFERROR(SUMIF(tblKategoriKomisyon[Kategori],$D445,tblKategoriKomisyon[KomisyonOran]),0))</f>
        <v/>
      </c>
      <c r="J445" s="17">
        <f>IF($A445="","",ROUND($E445*$G445,2))</f>
        <v/>
      </c>
      <c r="K445" s="17">
        <f>IF($A445="","",ROUND($J445*$H445,2))</f>
        <v/>
      </c>
      <c r="L445" s="17">
        <f>IF($A445="","",1)</f>
        <v/>
      </c>
    </row>
    <row r="446">
      <c r="A446" s="13" t="n"/>
      <c r="B446" s="13" t="n"/>
      <c r="C446" s="13" t="n"/>
      <c r="D446" s="13" t="n"/>
      <c r="E446" s="14" t="n"/>
      <c r="F446" s="14" t="n"/>
      <c r="G446" s="15" t="n"/>
      <c r="H446" s="16" t="n"/>
      <c r="I446" s="17">
        <f>IF($A446="","",IFERROR(SUMIF(tblKategoriKomisyon[Kategori],$D446,tblKategoriKomisyon[KomisyonOran]),0))</f>
        <v/>
      </c>
      <c r="J446" s="17">
        <f>IF($A446="","",ROUND($E446*$G446,2))</f>
        <v/>
      </c>
      <c r="K446" s="17">
        <f>IF($A446="","",ROUND($J446*$H446,2))</f>
        <v/>
      </c>
      <c r="L446" s="17">
        <f>IF($A446="","",1)</f>
        <v/>
      </c>
    </row>
    <row r="447">
      <c r="A447" s="13" t="n"/>
      <c r="B447" s="13" t="n"/>
      <c r="C447" s="13" t="n"/>
      <c r="D447" s="13" t="n"/>
      <c r="E447" s="14" t="n"/>
      <c r="F447" s="14" t="n"/>
      <c r="G447" s="15" t="n"/>
      <c r="H447" s="16" t="n"/>
      <c r="I447" s="17">
        <f>IF($A447="","",IFERROR(SUMIF(tblKategoriKomisyon[Kategori],$D447,tblKategoriKomisyon[KomisyonOran]),0))</f>
        <v/>
      </c>
      <c r="J447" s="17">
        <f>IF($A447="","",ROUND($E447*$G447,2))</f>
        <v/>
      </c>
      <c r="K447" s="17">
        <f>IF($A447="","",ROUND($J447*$H447,2))</f>
        <v/>
      </c>
      <c r="L447" s="17">
        <f>IF($A447="","",1)</f>
        <v/>
      </c>
    </row>
    <row r="448">
      <c r="A448" s="13" t="n"/>
      <c r="B448" s="13" t="n"/>
      <c r="C448" s="13" t="n"/>
      <c r="D448" s="13" t="n"/>
      <c r="E448" s="14" t="n"/>
      <c r="F448" s="14" t="n"/>
      <c r="G448" s="15" t="n"/>
      <c r="H448" s="16" t="n"/>
      <c r="I448" s="17">
        <f>IF($A448="","",IFERROR(SUMIF(tblKategoriKomisyon[Kategori],$D448,tblKategoriKomisyon[KomisyonOran]),0))</f>
        <v/>
      </c>
      <c r="J448" s="17">
        <f>IF($A448="","",ROUND($E448*$G448,2))</f>
        <v/>
      </c>
      <c r="K448" s="17">
        <f>IF($A448="","",ROUND($J448*$H448,2))</f>
        <v/>
      </c>
      <c r="L448" s="17">
        <f>IF($A448="","",1)</f>
        <v/>
      </c>
    </row>
    <row r="449">
      <c r="A449" s="13" t="n"/>
      <c r="B449" s="13" t="n"/>
      <c r="C449" s="13" t="n"/>
      <c r="D449" s="13" t="n"/>
      <c r="E449" s="14" t="n"/>
      <c r="F449" s="14" t="n"/>
      <c r="G449" s="15" t="n"/>
      <c r="H449" s="16" t="n"/>
      <c r="I449" s="17">
        <f>IF($A449="","",IFERROR(SUMIF(tblKategoriKomisyon[Kategori],$D449,tblKategoriKomisyon[KomisyonOran]),0))</f>
        <v/>
      </c>
      <c r="J449" s="17">
        <f>IF($A449="","",ROUND($E449*$G449,2))</f>
        <v/>
      </c>
      <c r="K449" s="17">
        <f>IF($A449="","",ROUND($J449*$H449,2))</f>
        <v/>
      </c>
      <c r="L449" s="17">
        <f>IF($A449="","",1)</f>
        <v/>
      </c>
    </row>
    <row r="450">
      <c r="A450" s="13" t="n"/>
      <c r="B450" s="13" t="n"/>
      <c r="C450" s="13" t="n"/>
      <c r="D450" s="13" t="n"/>
      <c r="E450" s="14" t="n"/>
      <c r="F450" s="14" t="n"/>
      <c r="G450" s="15" t="n"/>
      <c r="H450" s="16" t="n"/>
      <c r="I450" s="17">
        <f>IF($A450="","",IFERROR(SUMIF(tblKategoriKomisyon[Kategori],$D450,tblKategoriKomisyon[KomisyonOran]),0))</f>
        <v/>
      </c>
      <c r="J450" s="17">
        <f>IF($A450="","",ROUND($E450*$G450,2))</f>
        <v/>
      </c>
      <c r="K450" s="17">
        <f>IF($A450="","",ROUND($J450*$H450,2))</f>
        <v/>
      </c>
      <c r="L450" s="17">
        <f>IF($A450="","",1)</f>
        <v/>
      </c>
    </row>
    <row r="451">
      <c r="A451" s="13" t="n"/>
      <c r="B451" s="13" t="n"/>
      <c r="C451" s="13" t="n"/>
      <c r="D451" s="13" t="n"/>
      <c r="E451" s="14" t="n"/>
      <c r="F451" s="14" t="n"/>
      <c r="G451" s="15" t="n"/>
      <c r="H451" s="16" t="n"/>
      <c r="I451" s="17">
        <f>IF($A451="","",IFERROR(SUMIF(tblKategoriKomisyon[Kategori],$D451,tblKategoriKomisyon[KomisyonOran]),0))</f>
        <v/>
      </c>
      <c r="J451" s="17">
        <f>IF($A451="","",ROUND($E451*$G451,2))</f>
        <v/>
      </c>
      <c r="K451" s="17">
        <f>IF($A451="","",ROUND($J451*$H451,2))</f>
        <v/>
      </c>
      <c r="L451" s="17">
        <f>IF($A451="","",1)</f>
        <v/>
      </c>
    </row>
    <row r="452">
      <c r="A452" s="13" t="n"/>
      <c r="B452" s="13" t="n"/>
      <c r="C452" s="13" t="n"/>
      <c r="D452" s="13" t="n"/>
      <c r="E452" s="14" t="n"/>
      <c r="F452" s="14" t="n"/>
      <c r="G452" s="15" t="n"/>
      <c r="H452" s="16" t="n"/>
      <c r="I452" s="17">
        <f>IF($A452="","",IFERROR(SUMIF(tblKategoriKomisyon[Kategori],$D452,tblKategoriKomisyon[KomisyonOran]),0))</f>
        <v/>
      </c>
      <c r="J452" s="17">
        <f>IF($A452="","",ROUND($E452*$G452,2))</f>
        <v/>
      </c>
      <c r="K452" s="17">
        <f>IF($A452="","",ROUND($J452*$H452,2))</f>
        <v/>
      </c>
      <c r="L452" s="17">
        <f>IF($A452="","",1)</f>
        <v/>
      </c>
    </row>
    <row r="453">
      <c r="A453" s="13" t="n"/>
      <c r="B453" s="13" t="n"/>
      <c r="C453" s="13" t="n"/>
      <c r="D453" s="13" t="n"/>
      <c r="E453" s="14" t="n"/>
      <c r="F453" s="14" t="n"/>
      <c r="G453" s="15" t="n"/>
      <c r="H453" s="16" t="n"/>
      <c r="I453" s="17">
        <f>IF($A453="","",IFERROR(SUMIF(tblKategoriKomisyon[Kategori],$D453,tblKategoriKomisyon[KomisyonOran]),0))</f>
        <v/>
      </c>
      <c r="J453" s="17">
        <f>IF($A453="","",ROUND($E453*$G453,2))</f>
        <v/>
      </c>
      <c r="K453" s="17">
        <f>IF($A453="","",ROUND($J453*$H453,2))</f>
        <v/>
      </c>
      <c r="L453" s="17">
        <f>IF($A453="","",1)</f>
        <v/>
      </c>
    </row>
    <row r="454">
      <c r="A454" s="13" t="n"/>
      <c r="B454" s="13" t="n"/>
      <c r="C454" s="13" t="n"/>
      <c r="D454" s="13" t="n"/>
      <c r="E454" s="14" t="n"/>
      <c r="F454" s="14" t="n"/>
      <c r="G454" s="15" t="n"/>
      <c r="H454" s="16" t="n"/>
      <c r="I454" s="17">
        <f>IF($A454="","",IFERROR(SUMIF(tblKategoriKomisyon[Kategori],$D454,tblKategoriKomisyon[KomisyonOran]),0))</f>
        <v/>
      </c>
      <c r="J454" s="17">
        <f>IF($A454="","",ROUND($E454*$G454,2))</f>
        <v/>
      </c>
      <c r="K454" s="17">
        <f>IF($A454="","",ROUND($J454*$H454,2))</f>
        <v/>
      </c>
      <c r="L454" s="17">
        <f>IF($A454="","",1)</f>
        <v/>
      </c>
    </row>
    <row r="455">
      <c r="A455" s="13" t="n"/>
      <c r="B455" s="13" t="n"/>
      <c r="C455" s="13" t="n"/>
      <c r="D455" s="13" t="n"/>
      <c r="E455" s="14" t="n"/>
      <c r="F455" s="14" t="n"/>
      <c r="G455" s="15" t="n"/>
      <c r="H455" s="16" t="n"/>
      <c r="I455" s="17">
        <f>IF($A455="","",IFERROR(SUMIF(tblKategoriKomisyon[Kategori],$D455,tblKategoriKomisyon[KomisyonOran]),0))</f>
        <v/>
      </c>
      <c r="J455" s="17">
        <f>IF($A455="","",ROUND($E455*$G455,2))</f>
        <v/>
      </c>
      <c r="K455" s="17">
        <f>IF($A455="","",ROUND($J455*$H455,2))</f>
        <v/>
      </c>
      <c r="L455" s="17">
        <f>IF($A455="","",1)</f>
        <v/>
      </c>
    </row>
    <row r="456">
      <c r="A456" s="13" t="n"/>
      <c r="B456" s="13" t="n"/>
      <c r="C456" s="13" t="n"/>
      <c r="D456" s="13" t="n"/>
      <c r="E456" s="14" t="n"/>
      <c r="F456" s="14" t="n"/>
      <c r="G456" s="15" t="n"/>
      <c r="H456" s="16" t="n"/>
      <c r="I456" s="17">
        <f>IF($A456="","",IFERROR(SUMIF(tblKategoriKomisyon[Kategori],$D456,tblKategoriKomisyon[KomisyonOran]),0))</f>
        <v/>
      </c>
      <c r="J456" s="17">
        <f>IF($A456="","",ROUND($E456*$G456,2))</f>
        <v/>
      </c>
      <c r="K456" s="17">
        <f>IF($A456="","",ROUND($J456*$H456,2))</f>
        <v/>
      </c>
      <c r="L456" s="17">
        <f>IF($A456="","",1)</f>
        <v/>
      </c>
    </row>
    <row r="457">
      <c r="A457" s="13" t="n"/>
      <c r="B457" s="13" t="n"/>
      <c r="C457" s="13" t="n"/>
      <c r="D457" s="13" t="n"/>
      <c r="E457" s="14" t="n"/>
      <c r="F457" s="14" t="n"/>
      <c r="G457" s="15" t="n"/>
      <c r="H457" s="16" t="n"/>
      <c r="I457" s="17">
        <f>IF($A457="","",IFERROR(SUMIF(tblKategoriKomisyon[Kategori],$D457,tblKategoriKomisyon[KomisyonOran]),0))</f>
        <v/>
      </c>
      <c r="J457" s="17">
        <f>IF($A457="","",ROUND($E457*$G457,2))</f>
        <v/>
      </c>
      <c r="K457" s="17">
        <f>IF($A457="","",ROUND($J457*$H457,2))</f>
        <v/>
      </c>
      <c r="L457" s="17">
        <f>IF($A457="","",1)</f>
        <v/>
      </c>
    </row>
    <row r="458">
      <c r="A458" s="13" t="n"/>
      <c r="B458" s="13" t="n"/>
      <c r="C458" s="13" t="n"/>
      <c r="D458" s="13" t="n"/>
      <c r="E458" s="14" t="n"/>
      <c r="F458" s="14" t="n"/>
      <c r="G458" s="15" t="n"/>
      <c r="H458" s="16" t="n"/>
      <c r="I458" s="17">
        <f>IF($A458="","",IFERROR(SUMIF(tblKategoriKomisyon[Kategori],$D458,tblKategoriKomisyon[KomisyonOran]),0))</f>
        <v/>
      </c>
      <c r="J458" s="17">
        <f>IF($A458="","",ROUND($E458*$G458,2))</f>
        <v/>
      </c>
      <c r="K458" s="17">
        <f>IF($A458="","",ROUND($J458*$H458,2))</f>
        <v/>
      </c>
      <c r="L458" s="17">
        <f>IF($A458="","",1)</f>
        <v/>
      </c>
    </row>
    <row r="459">
      <c r="A459" s="13" t="n"/>
      <c r="B459" s="13" t="n"/>
      <c r="C459" s="13" t="n"/>
      <c r="D459" s="13" t="n"/>
      <c r="E459" s="14" t="n"/>
      <c r="F459" s="14" t="n"/>
      <c r="G459" s="15" t="n"/>
      <c r="H459" s="16" t="n"/>
      <c r="I459" s="17">
        <f>IF($A459="","",IFERROR(SUMIF(tblKategoriKomisyon[Kategori],$D459,tblKategoriKomisyon[KomisyonOran]),0))</f>
        <v/>
      </c>
      <c r="J459" s="17">
        <f>IF($A459="","",ROUND($E459*$G459,2))</f>
        <v/>
      </c>
      <c r="K459" s="17">
        <f>IF($A459="","",ROUND($J459*$H459,2))</f>
        <v/>
      </c>
      <c r="L459" s="17">
        <f>IF($A459="","",1)</f>
        <v/>
      </c>
    </row>
    <row r="460">
      <c r="A460" s="13" t="n"/>
      <c r="B460" s="13" t="n"/>
      <c r="C460" s="13" t="n"/>
      <c r="D460" s="13" t="n"/>
      <c r="E460" s="14" t="n"/>
      <c r="F460" s="14" t="n"/>
      <c r="G460" s="15" t="n"/>
      <c r="H460" s="16" t="n"/>
      <c r="I460" s="17">
        <f>IF($A460="","",IFERROR(SUMIF(tblKategoriKomisyon[Kategori],$D460,tblKategoriKomisyon[KomisyonOran]),0))</f>
        <v/>
      </c>
      <c r="J460" s="17">
        <f>IF($A460="","",ROUND($E460*$G460,2))</f>
        <v/>
      </c>
      <c r="K460" s="17">
        <f>IF($A460="","",ROUND($J460*$H460,2))</f>
        <v/>
      </c>
      <c r="L460" s="17">
        <f>IF($A460="","",1)</f>
        <v/>
      </c>
    </row>
    <row r="461">
      <c r="A461" s="13" t="n"/>
      <c r="B461" s="13" t="n"/>
      <c r="C461" s="13" t="n"/>
      <c r="D461" s="13" t="n"/>
      <c r="E461" s="14" t="n"/>
      <c r="F461" s="14" t="n"/>
      <c r="G461" s="15" t="n"/>
      <c r="H461" s="16" t="n"/>
      <c r="I461" s="17">
        <f>IF($A461="","",IFERROR(SUMIF(tblKategoriKomisyon[Kategori],$D461,tblKategoriKomisyon[KomisyonOran]),0))</f>
        <v/>
      </c>
      <c r="J461" s="17">
        <f>IF($A461="","",ROUND($E461*$G461,2))</f>
        <v/>
      </c>
      <c r="K461" s="17">
        <f>IF($A461="","",ROUND($J461*$H461,2))</f>
        <v/>
      </c>
      <c r="L461" s="17">
        <f>IF($A461="","",1)</f>
        <v/>
      </c>
    </row>
    <row r="462">
      <c r="A462" s="13" t="n"/>
      <c r="B462" s="13" t="n"/>
      <c r="C462" s="13" t="n"/>
      <c r="D462" s="13" t="n"/>
      <c r="E462" s="14" t="n"/>
      <c r="F462" s="14" t="n"/>
      <c r="G462" s="15" t="n"/>
      <c r="H462" s="16" t="n"/>
      <c r="I462" s="17">
        <f>IF($A462="","",IFERROR(SUMIF(tblKategoriKomisyon[Kategori],$D462,tblKategoriKomisyon[KomisyonOran]),0))</f>
        <v/>
      </c>
      <c r="J462" s="17">
        <f>IF($A462="","",ROUND($E462*$G462,2))</f>
        <v/>
      </c>
      <c r="K462" s="17">
        <f>IF($A462="","",ROUND($J462*$H462,2))</f>
        <v/>
      </c>
      <c r="L462" s="17">
        <f>IF($A462="","",1)</f>
        <v/>
      </c>
    </row>
    <row r="463">
      <c r="A463" s="13" t="n"/>
      <c r="B463" s="13" t="n"/>
      <c r="C463" s="13" t="n"/>
      <c r="D463" s="13" t="n"/>
      <c r="E463" s="14" t="n"/>
      <c r="F463" s="14" t="n"/>
      <c r="G463" s="15" t="n"/>
      <c r="H463" s="16" t="n"/>
      <c r="I463" s="17">
        <f>IF($A463="","",IFERROR(SUMIF(tblKategoriKomisyon[Kategori],$D463,tblKategoriKomisyon[KomisyonOran]),0))</f>
        <v/>
      </c>
      <c r="J463" s="17">
        <f>IF($A463="","",ROUND($E463*$G463,2))</f>
        <v/>
      </c>
      <c r="K463" s="17">
        <f>IF($A463="","",ROUND($J463*$H463,2))</f>
        <v/>
      </c>
      <c r="L463" s="17">
        <f>IF($A463="","",1)</f>
        <v/>
      </c>
    </row>
    <row r="464">
      <c r="A464" s="13" t="n"/>
      <c r="B464" s="13" t="n"/>
      <c r="C464" s="13" t="n"/>
      <c r="D464" s="13" t="n"/>
      <c r="E464" s="14" t="n"/>
      <c r="F464" s="14" t="n"/>
      <c r="G464" s="15" t="n"/>
      <c r="H464" s="16" t="n"/>
      <c r="I464" s="17">
        <f>IF($A464="","",IFERROR(SUMIF(tblKategoriKomisyon[Kategori],$D464,tblKategoriKomisyon[KomisyonOran]),0))</f>
        <v/>
      </c>
      <c r="J464" s="17">
        <f>IF($A464="","",ROUND($E464*$G464,2))</f>
        <v/>
      </c>
      <c r="K464" s="17">
        <f>IF($A464="","",ROUND($J464*$H464,2))</f>
        <v/>
      </c>
      <c r="L464" s="17">
        <f>IF($A464="","",1)</f>
        <v/>
      </c>
    </row>
    <row r="465">
      <c r="A465" s="13" t="n"/>
      <c r="B465" s="13" t="n"/>
      <c r="C465" s="13" t="n"/>
      <c r="D465" s="13" t="n"/>
      <c r="E465" s="14" t="n"/>
      <c r="F465" s="14" t="n"/>
      <c r="G465" s="15" t="n"/>
      <c r="H465" s="16" t="n"/>
      <c r="I465" s="17">
        <f>IF($A465="","",IFERROR(SUMIF(tblKategoriKomisyon[Kategori],$D465,tblKategoriKomisyon[KomisyonOran]),0))</f>
        <v/>
      </c>
      <c r="J465" s="17">
        <f>IF($A465="","",ROUND($E465*$G465,2))</f>
        <v/>
      </c>
      <c r="K465" s="17">
        <f>IF($A465="","",ROUND($J465*$H465,2))</f>
        <v/>
      </c>
      <c r="L465" s="17">
        <f>IF($A465="","",1)</f>
        <v/>
      </c>
    </row>
    <row r="466">
      <c r="A466" s="13" t="n"/>
      <c r="B466" s="13" t="n"/>
      <c r="C466" s="13" t="n"/>
      <c r="D466" s="13" t="n"/>
      <c r="E466" s="14" t="n"/>
      <c r="F466" s="14" t="n"/>
      <c r="G466" s="15" t="n"/>
      <c r="H466" s="16" t="n"/>
      <c r="I466" s="17">
        <f>IF($A466="","",IFERROR(SUMIF(tblKategoriKomisyon[Kategori],$D466,tblKategoriKomisyon[KomisyonOran]),0))</f>
        <v/>
      </c>
      <c r="J466" s="17">
        <f>IF($A466="","",ROUND($E466*$G466,2))</f>
        <v/>
      </c>
      <c r="K466" s="17">
        <f>IF($A466="","",ROUND($J466*$H466,2))</f>
        <v/>
      </c>
      <c r="L466" s="17">
        <f>IF($A466="","",1)</f>
        <v/>
      </c>
    </row>
    <row r="467">
      <c r="A467" s="13" t="n"/>
      <c r="B467" s="13" t="n"/>
      <c r="C467" s="13" t="n"/>
      <c r="D467" s="13" t="n"/>
      <c r="E467" s="14" t="n"/>
      <c r="F467" s="14" t="n"/>
      <c r="G467" s="15" t="n"/>
      <c r="H467" s="16" t="n"/>
      <c r="I467" s="17">
        <f>IF($A467="","",IFERROR(SUMIF(tblKategoriKomisyon[Kategori],$D467,tblKategoriKomisyon[KomisyonOran]),0))</f>
        <v/>
      </c>
      <c r="J467" s="17">
        <f>IF($A467="","",ROUND($E467*$G467,2))</f>
        <v/>
      </c>
      <c r="K467" s="17">
        <f>IF($A467="","",ROUND($J467*$H467,2))</f>
        <v/>
      </c>
      <c r="L467" s="17">
        <f>IF($A467="","",1)</f>
        <v/>
      </c>
    </row>
    <row r="468">
      <c r="A468" s="13" t="n"/>
      <c r="B468" s="13" t="n"/>
      <c r="C468" s="13" t="n"/>
      <c r="D468" s="13" t="n"/>
      <c r="E468" s="14" t="n"/>
      <c r="F468" s="14" t="n"/>
      <c r="G468" s="15" t="n"/>
      <c r="H468" s="16" t="n"/>
      <c r="I468" s="17">
        <f>IF($A468="","",IFERROR(SUMIF(tblKategoriKomisyon[Kategori],$D468,tblKategoriKomisyon[KomisyonOran]),0))</f>
        <v/>
      </c>
      <c r="J468" s="17">
        <f>IF($A468="","",ROUND($E468*$G468,2))</f>
        <v/>
      </c>
      <c r="K468" s="17">
        <f>IF($A468="","",ROUND($J468*$H468,2))</f>
        <v/>
      </c>
      <c r="L468" s="17">
        <f>IF($A468="","",1)</f>
        <v/>
      </c>
    </row>
    <row r="469">
      <c r="A469" s="13" t="n"/>
      <c r="B469" s="13" t="n"/>
      <c r="C469" s="13" t="n"/>
      <c r="D469" s="13" t="n"/>
      <c r="E469" s="14" t="n"/>
      <c r="F469" s="14" t="n"/>
      <c r="G469" s="15" t="n"/>
      <c r="H469" s="16" t="n"/>
      <c r="I469" s="17">
        <f>IF($A469="","",IFERROR(SUMIF(tblKategoriKomisyon[Kategori],$D469,tblKategoriKomisyon[KomisyonOran]),0))</f>
        <v/>
      </c>
      <c r="J469" s="17">
        <f>IF($A469="","",ROUND($E469*$G469,2))</f>
        <v/>
      </c>
      <c r="K469" s="17">
        <f>IF($A469="","",ROUND($J469*$H469,2))</f>
        <v/>
      </c>
      <c r="L469" s="17">
        <f>IF($A469="","",1)</f>
        <v/>
      </c>
    </row>
    <row r="470">
      <c r="A470" s="13" t="n"/>
      <c r="B470" s="13" t="n"/>
      <c r="C470" s="13" t="n"/>
      <c r="D470" s="13" t="n"/>
      <c r="E470" s="14" t="n"/>
      <c r="F470" s="14" t="n"/>
      <c r="G470" s="15" t="n"/>
      <c r="H470" s="16" t="n"/>
      <c r="I470" s="17">
        <f>IF($A470="","",IFERROR(SUMIF(tblKategoriKomisyon[Kategori],$D470,tblKategoriKomisyon[KomisyonOran]),0))</f>
        <v/>
      </c>
      <c r="J470" s="17">
        <f>IF($A470="","",ROUND($E470*$G470,2))</f>
        <v/>
      </c>
      <c r="K470" s="17">
        <f>IF($A470="","",ROUND($J470*$H470,2))</f>
        <v/>
      </c>
      <c r="L470" s="17">
        <f>IF($A470="","",1)</f>
        <v/>
      </c>
    </row>
    <row r="471">
      <c r="A471" s="13" t="n"/>
      <c r="B471" s="13" t="n"/>
      <c r="C471" s="13" t="n"/>
      <c r="D471" s="13" t="n"/>
      <c r="E471" s="14" t="n"/>
      <c r="F471" s="14" t="n"/>
      <c r="G471" s="15" t="n"/>
      <c r="H471" s="16" t="n"/>
      <c r="I471" s="17">
        <f>IF($A471="","",IFERROR(SUMIF(tblKategoriKomisyon[Kategori],$D471,tblKategoriKomisyon[KomisyonOran]),0))</f>
        <v/>
      </c>
      <c r="J471" s="17">
        <f>IF($A471="","",ROUND($E471*$G471,2))</f>
        <v/>
      </c>
      <c r="K471" s="17">
        <f>IF($A471="","",ROUND($J471*$H471,2))</f>
        <v/>
      </c>
      <c r="L471" s="17">
        <f>IF($A471="","",1)</f>
        <v/>
      </c>
    </row>
    <row r="472">
      <c r="A472" s="13" t="n"/>
      <c r="B472" s="13" t="n"/>
      <c r="C472" s="13" t="n"/>
      <c r="D472" s="13" t="n"/>
      <c r="E472" s="14" t="n"/>
      <c r="F472" s="14" t="n"/>
      <c r="G472" s="15" t="n"/>
      <c r="H472" s="16" t="n"/>
      <c r="I472" s="17">
        <f>IF($A472="","",IFERROR(SUMIF(tblKategoriKomisyon[Kategori],$D472,tblKategoriKomisyon[KomisyonOran]),0))</f>
        <v/>
      </c>
      <c r="J472" s="17">
        <f>IF($A472="","",ROUND($E472*$G472,2))</f>
        <v/>
      </c>
      <c r="K472" s="17">
        <f>IF($A472="","",ROUND($J472*$H472,2))</f>
        <v/>
      </c>
      <c r="L472" s="17">
        <f>IF($A472="","",1)</f>
        <v/>
      </c>
    </row>
    <row r="473">
      <c r="A473" s="13" t="n"/>
      <c r="B473" s="13" t="n"/>
      <c r="C473" s="13" t="n"/>
      <c r="D473" s="13" t="n"/>
      <c r="E473" s="14" t="n"/>
      <c r="F473" s="14" t="n"/>
      <c r="G473" s="15" t="n"/>
      <c r="H473" s="16" t="n"/>
      <c r="I473" s="17">
        <f>IF($A473="","",IFERROR(SUMIF(tblKategoriKomisyon[Kategori],$D473,tblKategoriKomisyon[KomisyonOran]),0))</f>
        <v/>
      </c>
      <c r="J473" s="17">
        <f>IF($A473="","",ROUND($E473*$G473,2))</f>
        <v/>
      </c>
      <c r="K473" s="17">
        <f>IF($A473="","",ROUND($J473*$H473,2))</f>
        <v/>
      </c>
      <c r="L473" s="17">
        <f>IF($A473="","",1)</f>
        <v/>
      </c>
    </row>
    <row r="474">
      <c r="A474" s="13" t="n"/>
      <c r="B474" s="13" t="n"/>
      <c r="C474" s="13" t="n"/>
      <c r="D474" s="13" t="n"/>
      <c r="E474" s="14" t="n"/>
      <c r="F474" s="14" t="n"/>
      <c r="G474" s="15" t="n"/>
      <c r="H474" s="16" t="n"/>
      <c r="I474" s="17">
        <f>IF($A474="","",IFERROR(SUMIF(tblKategoriKomisyon[Kategori],$D474,tblKategoriKomisyon[KomisyonOran]),0))</f>
        <v/>
      </c>
      <c r="J474" s="17">
        <f>IF($A474="","",ROUND($E474*$G474,2))</f>
        <v/>
      </c>
      <c r="K474" s="17">
        <f>IF($A474="","",ROUND($J474*$H474,2))</f>
        <v/>
      </c>
      <c r="L474" s="17">
        <f>IF($A474="","",1)</f>
        <v/>
      </c>
    </row>
    <row r="475">
      <c r="A475" s="13" t="n"/>
      <c r="B475" s="13" t="n"/>
      <c r="C475" s="13" t="n"/>
      <c r="D475" s="13" t="n"/>
      <c r="E475" s="14" t="n"/>
      <c r="F475" s="14" t="n"/>
      <c r="G475" s="15" t="n"/>
      <c r="H475" s="16" t="n"/>
      <c r="I475" s="17">
        <f>IF($A475="","",IFERROR(SUMIF(tblKategoriKomisyon[Kategori],$D475,tblKategoriKomisyon[KomisyonOran]),0))</f>
        <v/>
      </c>
      <c r="J475" s="17">
        <f>IF($A475="","",ROUND($E475*$G475,2))</f>
        <v/>
      </c>
      <c r="K475" s="17">
        <f>IF($A475="","",ROUND($J475*$H475,2))</f>
        <v/>
      </c>
      <c r="L475" s="17">
        <f>IF($A475="","",1)</f>
        <v/>
      </c>
    </row>
    <row r="476">
      <c r="A476" s="13" t="n"/>
      <c r="B476" s="13" t="n"/>
      <c r="C476" s="13" t="n"/>
      <c r="D476" s="13" t="n"/>
      <c r="E476" s="14" t="n"/>
      <c r="F476" s="14" t="n"/>
      <c r="G476" s="15" t="n"/>
      <c r="H476" s="16" t="n"/>
      <c r="I476" s="17">
        <f>IF($A476="","",IFERROR(SUMIF(tblKategoriKomisyon[Kategori],$D476,tblKategoriKomisyon[KomisyonOran]),0))</f>
        <v/>
      </c>
      <c r="J476" s="17">
        <f>IF($A476="","",ROUND($E476*$G476,2))</f>
        <v/>
      </c>
      <c r="K476" s="17">
        <f>IF($A476="","",ROUND($J476*$H476,2))</f>
        <v/>
      </c>
      <c r="L476" s="17">
        <f>IF($A476="","",1)</f>
        <v/>
      </c>
    </row>
    <row r="477">
      <c r="A477" s="13" t="n"/>
      <c r="B477" s="13" t="n"/>
      <c r="C477" s="13" t="n"/>
      <c r="D477" s="13" t="n"/>
      <c r="E477" s="14" t="n"/>
      <c r="F477" s="14" t="n"/>
      <c r="G477" s="15" t="n"/>
      <c r="H477" s="16" t="n"/>
      <c r="I477" s="17">
        <f>IF($A477="","",IFERROR(SUMIF(tblKategoriKomisyon[Kategori],$D477,tblKategoriKomisyon[KomisyonOran]),0))</f>
        <v/>
      </c>
      <c r="J477" s="17">
        <f>IF($A477="","",ROUND($E477*$G477,2))</f>
        <v/>
      </c>
      <c r="K477" s="17">
        <f>IF($A477="","",ROUND($J477*$H477,2))</f>
        <v/>
      </c>
      <c r="L477" s="17">
        <f>IF($A477="","",1)</f>
        <v/>
      </c>
    </row>
    <row r="478">
      <c r="A478" s="13" t="n"/>
      <c r="B478" s="13" t="n"/>
      <c r="C478" s="13" t="n"/>
      <c r="D478" s="13" t="n"/>
      <c r="E478" s="14" t="n"/>
      <c r="F478" s="14" t="n"/>
      <c r="G478" s="15" t="n"/>
      <c r="H478" s="16" t="n"/>
      <c r="I478" s="17">
        <f>IF($A478="","",IFERROR(SUMIF(tblKategoriKomisyon[Kategori],$D478,tblKategoriKomisyon[KomisyonOran]),0))</f>
        <v/>
      </c>
      <c r="J478" s="17">
        <f>IF($A478="","",ROUND($E478*$G478,2))</f>
        <v/>
      </c>
      <c r="K478" s="17">
        <f>IF($A478="","",ROUND($J478*$H478,2))</f>
        <v/>
      </c>
      <c r="L478" s="17">
        <f>IF($A478="","",1)</f>
        <v/>
      </c>
    </row>
    <row r="479">
      <c r="A479" s="13" t="n"/>
      <c r="B479" s="13" t="n"/>
      <c r="C479" s="13" t="n"/>
      <c r="D479" s="13" t="n"/>
      <c r="E479" s="14" t="n"/>
      <c r="F479" s="14" t="n"/>
      <c r="G479" s="15" t="n"/>
      <c r="H479" s="16" t="n"/>
      <c r="I479" s="17">
        <f>IF($A479="","",IFERROR(SUMIF(tblKategoriKomisyon[Kategori],$D479,tblKategoriKomisyon[KomisyonOran]),0))</f>
        <v/>
      </c>
      <c r="J479" s="17">
        <f>IF($A479="","",ROUND($E479*$G479,2))</f>
        <v/>
      </c>
      <c r="K479" s="17">
        <f>IF($A479="","",ROUND($J479*$H479,2))</f>
        <v/>
      </c>
      <c r="L479" s="17">
        <f>IF($A479="","",1)</f>
        <v/>
      </c>
    </row>
    <row r="480">
      <c r="A480" s="13" t="n"/>
      <c r="B480" s="13" t="n"/>
      <c r="C480" s="13" t="n"/>
      <c r="D480" s="13" t="n"/>
      <c r="E480" s="14" t="n"/>
      <c r="F480" s="14" t="n"/>
      <c r="G480" s="15" t="n"/>
      <c r="H480" s="16" t="n"/>
      <c r="I480" s="17">
        <f>IF($A480="","",IFERROR(SUMIF(tblKategoriKomisyon[Kategori],$D480,tblKategoriKomisyon[KomisyonOran]),0))</f>
        <v/>
      </c>
      <c r="J480" s="17">
        <f>IF($A480="","",ROUND($E480*$G480,2))</f>
        <v/>
      </c>
      <c r="K480" s="17">
        <f>IF($A480="","",ROUND($J480*$H480,2))</f>
        <v/>
      </c>
      <c r="L480" s="17">
        <f>IF($A480="","",1)</f>
        <v/>
      </c>
    </row>
    <row r="481">
      <c r="A481" s="13" t="n"/>
      <c r="B481" s="13" t="n"/>
      <c r="C481" s="13" t="n"/>
      <c r="D481" s="13" t="n"/>
      <c r="E481" s="14" t="n"/>
      <c r="F481" s="14" t="n"/>
      <c r="G481" s="15" t="n"/>
      <c r="H481" s="16" t="n"/>
      <c r="I481" s="17">
        <f>IF($A481="","",IFERROR(SUMIF(tblKategoriKomisyon[Kategori],$D481,tblKategoriKomisyon[KomisyonOran]),0))</f>
        <v/>
      </c>
      <c r="J481" s="17">
        <f>IF($A481="","",ROUND($E481*$G481,2))</f>
        <v/>
      </c>
      <c r="K481" s="17">
        <f>IF($A481="","",ROUND($J481*$H481,2))</f>
        <v/>
      </c>
      <c r="L481" s="17">
        <f>IF($A481="","",1)</f>
        <v/>
      </c>
    </row>
    <row r="482">
      <c r="A482" s="13" t="n"/>
      <c r="B482" s="13" t="n"/>
      <c r="C482" s="13" t="n"/>
      <c r="D482" s="13" t="n"/>
      <c r="E482" s="14" t="n"/>
      <c r="F482" s="14" t="n"/>
      <c r="G482" s="15" t="n"/>
      <c r="H482" s="16" t="n"/>
      <c r="I482" s="17">
        <f>IF($A482="","",IFERROR(SUMIF(tblKategoriKomisyon[Kategori],$D482,tblKategoriKomisyon[KomisyonOran]),0))</f>
        <v/>
      </c>
      <c r="J482" s="17">
        <f>IF($A482="","",ROUND($E482*$G482,2))</f>
        <v/>
      </c>
      <c r="K482" s="17">
        <f>IF($A482="","",ROUND($J482*$H482,2))</f>
        <v/>
      </c>
      <c r="L482" s="17">
        <f>IF($A482="","",1)</f>
        <v/>
      </c>
    </row>
    <row r="483">
      <c r="A483" s="13" t="n"/>
      <c r="B483" s="13" t="n"/>
      <c r="C483" s="13" t="n"/>
      <c r="D483" s="13" t="n"/>
      <c r="E483" s="14" t="n"/>
      <c r="F483" s="14" t="n"/>
      <c r="G483" s="15" t="n"/>
      <c r="H483" s="16" t="n"/>
      <c r="I483" s="17">
        <f>IF($A483="","",IFERROR(SUMIF(tblKategoriKomisyon[Kategori],$D483,tblKategoriKomisyon[KomisyonOran]),0))</f>
        <v/>
      </c>
      <c r="J483" s="17">
        <f>IF($A483="","",ROUND($E483*$G483,2))</f>
        <v/>
      </c>
      <c r="K483" s="17">
        <f>IF($A483="","",ROUND($J483*$H483,2))</f>
        <v/>
      </c>
      <c r="L483" s="17">
        <f>IF($A483="","",1)</f>
        <v/>
      </c>
    </row>
    <row r="484">
      <c r="A484" s="13" t="n"/>
      <c r="B484" s="13" t="n"/>
      <c r="C484" s="13" t="n"/>
      <c r="D484" s="13" t="n"/>
      <c r="E484" s="14" t="n"/>
      <c r="F484" s="14" t="n"/>
      <c r="G484" s="15" t="n"/>
      <c r="H484" s="16" t="n"/>
      <c r="I484" s="17">
        <f>IF($A484="","",IFERROR(SUMIF(tblKategoriKomisyon[Kategori],$D484,tblKategoriKomisyon[KomisyonOran]),0))</f>
        <v/>
      </c>
      <c r="J484" s="17">
        <f>IF($A484="","",ROUND($E484*$G484,2))</f>
        <v/>
      </c>
      <c r="K484" s="17">
        <f>IF($A484="","",ROUND($J484*$H484,2))</f>
        <v/>
      </c>
      <c r="L484" s="17">
        <f>IF($A484="","",1)</f>
        <v/>
      </c>
    </row>
    <row r="485">
      <c r="A485" s="13" t="n"/>
      <c r="B485" s="13" t="n"/>
      <c r="C485" s="13" t="n"/>
      <c r="D485" s="13" t="n"/>
      <c r="E485" s="14" t="n"/>
      <c r="F485" s="14" t="n"/>
      <c r="G485" s="15" t="n"/>
      <c r="H485" s="16" t="n"/>
      <c r="I485" s="17">
        <f>IF($A485="","",IFERROR(SUMIF(tblKategoriKomisyon[Kategori],$D485,tblKategoriKomisyon[KomisyonOran]),0))</f>
        <v/>
      </c>
      <c r="J485" s="17">
        <f>IF($A485="","",ROUND($E485*$G485,2))</f>
        <v/>
      </c>
      <c r="K485" s="17">
        <f>IF($A485="","",ROUND($J485*$H485,2))</f>
        <v/>
      </c>
      <c r="L485" s="17">
        <f>IF($A485="","",1)</f>
        <v/>
      </c>
    </row>
    <row r="486">
      <c r="A486" s="13" t="n"/>
      <c r="B486" s="13" t="n"/>
      <c r="C486" s="13" t="n"/>
      <c r="D486" s="13" t="n"/>
      <c r="E486" s="14" t="n"/>
      <c r="F486" s="14" t="n"/>
      <c r="G486" s="15" t="n"/>
      <c r="H486" s="16" t="n"/>
      <c r="I486" s="17">
        <f>IF($A486="","",IFERROR(SUMIF(tblKategoriKomisyon[Kategori],$D486,tblKategoriKomisyon[KomisyonOran]),0))</f>
        <v/>
      </c>
      <c r="J486" s="17">
        <f>IF($A486="","",ROUND($E486*$G486,2))</f>
        <v/>
      </c>
      <c r="K486" s="17">
        <f>IF($A486="","",ROUND($J486*$H486,2))</f>
        <v/>
      </c>
      <c r="L486" s="17">
        <f>IF($A486="","",1)</f>
        <v/>
      </c>
    </row>
    <row r="487">
      <c r="A487" s="13" t="n"/>
      <c r="B487" s="13" t="n"/>
      <c r="C487" s="13" t="n"/>
      <c r="D487" s="13" t="n"/>
      <c r="E487" s="14" t="n"/>
      <c r="F487" s="14" t="n"/>
      <c r="G487" s="15" t="n"/>
      <c r="H487" s="16" t="n"/>
      <c r="I487" s="17">
        <f>IF($A487="","",IFERROR(SUMIF(tblKategoriKomisyon[Kategori],$D487,tblKategoriKomisyon[KomisyonOran]),0))</f>
        <v/>
      </c>
      <c r="J487" s="17">
        <f>IF($A487="","",ROUND($E487*$G487,2))</f>
        <v/>
      </c>
      <c r="K487" s="17">
        <f>IF($A487="","",ROUND($J487*$H487,2))</f>
        <v/>
      </c>
      <c r="L487" s="17">
        <f>IF($A487="","",1)</f>
        <v/>
      </c>
    </row>
    <row r="488">
      <c r="A488" s="13" t="n"/>
      <c r="B488" s="13" t="n"/>
      <c r="C488" s="13" t="n"/>
      <c r="D488" s="13" t="n"/>
      <c r="E488" s="14" t="n"/>
      <c r="F488" s="14" t="n"/>
      <c r="G488" s="15" t="n"/>
      <c r="H488" s="16" t="n"/>
      <c r="I488" s="17">
        <f>IF($A488="","",IFERROR(SUMIF(tblKategoriKomisyon[Kategori],$D488,tblKategoriKomisyon[KomisyonOran]),0))</f>
        <v/>
      </c>
      <c r="J488" s="17">
        <f>IF($A488="","",ROUND($E488*$G488,2))</f>
        <v/>
      </c>
      <c r="K488" s="17">
        <f>IF($A488="","",ROUND($J488*$H488,2))</f>
        <v/>
      </c>
      <c r="L488" s="17">
        <f>IF($A488="","",1)</f>
        <v/>
      </c>
    </row>
    <row r="489">
      <c r="A489" s="13" t="n"/>
      <c r="B489" s="13" t="n"/>
      <c r="C489" s="13" t="n"/>
      <c r="D489" s="13" t="n"/>
      <c r="E489" s="14" t="n"/>
      <c r="F489" s="14" t="n"/>
      <c r="G489" s="15" t="n"/>
      <c r="H489" s="16" t="n"/>
      <c r="I489" s="17">
        <f>IF($A489="","",IFERROR(SUMIF(tblKategoriKomisyon[Kategori],$D489,tblKategoriKomisyon[KomisyonOran]),0))</f>
        <v/>
      </c>
      <c r="J489" s="17">
        <f>IF($A489="","",ROUND($E489*$G489,2))</f>
        <v/>
      </c>
      <c r="K489" s="17">
        <f>IF($A489="","",ROUND($J489*$H489,2))</f>
        <v/>
      </c>
      <c r="L489" s="17">
        <f>IF($A489="","",1)</f>
        <v/>
      </c>
    </row>
    <row r="490">
      <c r="A490" s="13" t="n"/>
      <c r="B490" s="13" t="n"/>
      <c r="C490" s="13" t="n"/>
      <c r="D490" s="13" t="n"/>
      <c r="E490" s="14" t="n"/>
      <c r="F490" s="14" t="n"/>
      <c r="G490" s="15" t="n"/>
      <c r="H490" s="16" t="n"/>
      <c r="I490" s="17">
        <f>IF($A490="","",IFERROR(SUMIF(tblKategoriKomisyon[Kategori],$D490,tblKategoriKomisyon[KomisyonOran]),0))</f>
        <v/>
      </c>
      <c r="J490" s="17">
        <f>IF($A490="","",ROUND($E490*$G490,2))</f>
        <v/>
      </c>
      <c r="K490" s="17">
        <f>IF($A490="","",ROUND($J490*$H490,2))</f>
        <v/>
      </c>
      <c r="L490" s="17">
        <f>IF($A490="","",1)</f>
        <v/>
      </c>
    </row>
    <row r="491">
      <c r="A491" s="13" t="n"/>
      <c r="B491" s="13" t="n"/>
      <c r="C491" s="13" t="n"/>
      <c r="D491" s="13" t="n"/>
      <c r="E491" s="14" t="n"/>
      <c r="F491" s="14" t="n"/>
      <c r="G491" s="15" t="n"/>
      <c r="H491" s="16" t="n"/>
      <c r="I491" s="17">
        <f>IF($A491="","",IFERROR(SUMIF(tblKategoriKomisyon[Kategori],$D491,tblKategoriKomisyon[KomisyonOran]),0))</f>
        <v/>
      </c>
      <c r="J491" s="17">
        <f>IF($A491="","",ROUND($E491*$G491,2))</f>
        <v/>
      </c>
      <c r="K491" s="17">
        <f>IF($A491="","",ROUND($J491*$H491,2))</f>
        <v/>
      </c>
      <c r="L491" s="17">
        <f>IF($A491="","",1)</f>
        <v/>
      </c>
    </row>
    <row r="492">
      <c r="A492" s="13" t="n"/>
      <c r="B492" s="13" t="n"/>
      <c r="C492" s="13" t="n"/>
      <c r="D492" s="13" t="n"/>
      <c r="E492" s="14" t="n"/>
      <c r="F492" s="14" t="n"/>
      <c r="G492" s="15" t="n"/>
      <c r="H492" s="16" t="n"/>
      <c r="I492" s="17">
        <f>IF($A492="","",IFERROR(SUMIF(tblKategoriKomisyon[Kategori],$D492,tblKategoriKomisyon[KomisyonOran]),0))</f>
        <v/>
      </c>
      <c r="J492" s="17">
        <f>IF($A492="","",ROUND($E492*$G492,2))</f>
        <v/>
      </c>
      <c r="K492" s="17">
        <f>IF($A492="","",ROUND($J492*$H492,2))</f>
        <v/>
      </c>
      <c r="L492" s="17">
        <f>IF($A492="","",1)</f>
        <v/>
      </c>
    </row>
    <row r="493">
      <c r="A493" s="13" t="n"/>
      <c r="B493" s="13" t="n"/>
      <c r="C493" s="13" t="n"/>
      <c r="D493" s="13" t="n"/>
      <c r="E493" s="14" t="n"/>
      <c r="F493" s="14" t="n"/>
      <c r="G493" s="15" t="n"/>
      <c r="H493" s="16" t="n"/>
      <c r="I493" s="17">
        <f>IF($A493="","",IFERROR(SUMIF(tblKategoriKomisyon[Kategori],$D493,tblKategoriKomisyon[KomisyonOran]),0))</f>
        <v/>
      </c>
      <c r="J493" s="17">
        <f>IF($A493="","",ROUND($E493*$G493,2))</f>
        <v/>
      </c>
      <c r="K493" s="17">
        <f>IF($A493="","",ROUND($J493*$H493,2))</f>
        <v/>
      </c>
      <c r="L493" s="17">
        <f>IF($A493="","",1)</f>
        <v/>
      </c>
    </row>
    <row r="494">
      <c r="A494" s="13" t="n"/>
      <c r="B494" s="13" t="n"/>
      <c r="C494" s="13" t="n"/>
      <c r="D494" s="13" t="n"/>
      <c r="E494" s="14" t="n"/>
      <c r="F494" s="14" t="n"/>
      <c r="G494" s="15" t="n"/>
      <c r="H494" s="16" t="n"/>
      <c r="I494" s="17">
        <f>IF($A494="","",IFERROR(SUMIF(tblKategoriKomisyon[Kategori],$D494,tblKategoriKomisyon[KomisyonOran]),0))</f>
        <v/>
      </c>
      <c r="J494" s="17">
        <f>IF($A494="","",ROUND($E494*$G494,2))</f>
        <v/>
      </c>
      <c r="K494" s="17">
        <f>IF($A494="","",ROUND($J494*$H494,2))</f>
        <v/>
      </c>
      <c r="L494" s="17">
        <f>IF($A494="","",1)</f>
        <v/>
      </c>
    </row>
    <row r="495">
      <c r="A495" s="13" t="n"/>
      <c r="B495" s="13" t="n"/>
      <c r="C495" s="13" t="n"/>
      <c r="D495" s="13" t="n"/>
      <c r="E495" s="14" t="n"/>
      <c r="F495" s="14" t="n"/>
      <c r="G495" s="15" t="n"/>
      <c r="H495" s="16" t="n"/>
      <c r="I495" s="17">
        <f>IF($A495="","",IFERROR(SUMIF(tblKategoriKomisyon[Kategori],$D495,tblKategoriKomisyon[KomisyonOran]),0))</f>
        <v/>
      </c>
      <c r="J495" s="17">
        <f>IF($A495="","",ROUND($E495*$G495,2))</f>
        <v/>
      </c>
      <c r="K495" s="17">
        <f>IF($A495="","",ROUND($J495*$H495,2))</f>
        <v/>
      </c>
      <c r="L495" s="17">
        <f>IF($A495="","",1)</f>
        <v/>
      </c>
    </row>
    <row r="496">
      <c r="A496" s="13" t="n"/>
      <c r="B496" s="13" t="n"/>
      <c r="C496" s="13" t="n"/>
      <c r="D496" s="13" t="n"/>
      <c r="E496" s="14" t="n"/>
      <c r="F496" s="14" t="n"/>
      <c r="G496" s="15" t="n"/>
      <c r="H496" s="16" t="n"/>
      <c r="I496" s="17">
        <f>IF($A496="","",IFERROR(SUMIF(tblKategoriKomisyon[Kategori],$D496,tblKategoriKomisyon[KomisyonOran]),0))</f>
        <v/>
      </c>
      <c r="J496" s="17">
        <f>IF($A496="","",ROUND($E496*$G496,2))</f>
        <v/>
      </c>
      <c r="K496" s="17">
        <f>IF($A496="","",ROUND($J496*$H496,2))</f>
        <v/>
      </c>
      <c r="L496" s="17">
        <f>IF($A496="","",1)</f>
        <v/>
      </c>
    </row>
    <row r="497">
      <c r="A497" s="13" t="n"/>
      <c r="B497" s="13" t="n"/>
      <c r="C497" s="13" t="n"/>
      <c r="D497" s="13" t="n"/>
      <c r="E497" s="14" t="n"/>
      <c r="F497" s="14" t="n"/>
      <c r="G497" s="15" t="n"/>
      <c r="H497" s="16" t="n"/>
      <c r="I497" s="17">
        <f>IF($A497="","",IFERROR(SUMIF(tblKategoriKomisyon[Kategori],$D497,tblKategoriKomisyon[KomisyonOran]),0))</f>
        <v/>
      </c>
      <c r="J497" s="17">
        <f>IF($A497="","",ROUND($E497*$G497,2))</f>
        <v/>
      </c>
      <c r="K497" s="17">
        <f>IF($A497="","",ROUND($J497*$H497,2))</f>
        <v/>
      </c>
      <c r="L497" s="17">
        <f>IF($A497="","",1)</f>
        <v/>
      </c>
    </row>
    <row r="498">
      <c r="A498" s="13" t="n"/>
      <c r="B498" s="13" t="n"/>
      <c r="C498" s="13" t="n"/>
      <c r="D498" s="13" t="n"/>
      <c r="E498" s="14" t="n"/>
      <c r="F498" s="14" t="n"/>
      <c r="G498" s="15" t="n"/>
      <c r="H498" s="16" t="n"/>
      <c r="I498" s="17">
        <f>IF($A498="","",IFERROR(SUMIF(tblKategoriKomisyon[Kategori],$D498,tblKategoriKomisyon[KomisyonOran]),0))</f>
        <v/>
      </c>
      <c r="J498" s="17">
        <f>IF($A498="","",ROUND($E498*$G498,2))</f>
        <v/>
      </c>
      <c r="K498" s="17">
        <f>IF($A498="","",ROUND($J498*$H498,2))</f>
        <v/>
      </c>
      <c r="L498" s="17">
        <f>IF($A498="","",1)</f>
        <v/>
      </c>
    </row>
    <row r="499">
      <c r="A499" s="13" t="n"/>
      <c r="B499" s="13" t="n"/>
      <c r="C499" s="13" t="n"/>
      <c r="D499" s="13" t="n"/>
      <c r="E499" s="14" t="n"/>
      <c r="F499" s="14" t="n"/>
      <c r="G499" s="15" t="n"/>
      <c r="H499" s="16" t="n"/>
      <c r="I499" s="17">
        <f>IF($A499="","",IFERROR(SUMIF(tblKategoriKomisyon[Kategori],$D499,tblKategoriKomisyon[KomisyonOran]),0))</f>
        <v/>
      </c>
      <c r="J499" s="17">
        <f>IF($A499="","",ROUND($E499*$G499,2))</f>
        <v/>
      </c>
      <c r="K499" s="17">
        <f>IF($A499="","",ROUND($J499*$H499,2))</f>
        <v/>
      </c>
      <c r="L499" s="17">
        <f>IF($A499="","",1)</f>
        <v/>
      </c>
    </row>
    <row r="500">
      <c r="A500" s="13" t="n"/>
      <c r="B500" s="13" t="n"/>
      <c r="C500" s="13" t="n"/>
      <c r="D500" s="13" t="n"/>
      <c r="E500" s="14" t="n"/>
      <c r="F500" s="14" t="n"/>
      <c r="G500" s="15" t="n"/>
      <c r="H500" s="16" t="n"/>
      <c r="I500" s="17">
        <f>IF($A500="","",IFERROR(SUMIF(tblKategoriKomisyon[Kategori],$D500,tblKategoriKomisyon[KomisyonOran]),0))</f>
        <v/>
      </c>
      <c r="J500" s="17">
        <f>IF($A500="","",ROUND($E500*$G500,2))</f>
        <v/>
      </c>
      <c r="K500" s="17">
        <f>IF($A500="","",ROUND($J500*$H500,2))</f>
        <v/>
      </c>
      <c r="L500" s="17">
        <f>IF($A500="","",1)</f>
        <v/>
      </c>
    </row>
    <row r="501">
      <c r="A501" s="13" t="n"/>
      <c r="B501" s="13" t="n"/>
      <c r="C501" s="13" t="n"/>
      <c r="D501" s="13" t="n"/>
      <c r="E501" s="14" t="n"/>
      <c r="F501" s="14" t="n"/>
      <c r="G501" s="15" t="n"/>
      <c r="H501" s="16" t="n"/>
      <c r="I501" s="17">
        <f>IF($A501="","",IFERROR(SUMIF(tblKategoriKomisyon[Kategori],$D501,tblKategoriKomisyon[KomisyonOran]),0))</f>
        <v/>
      </c>
      <c r="J501" s="17">
        <f>IF($A501="","",ROUND($E501*$G501,2))</f>
        <v/>
      </c>
      <c r="K501" s="17">
        <f>IF($A501="","",ROUND($J501*$H501,2))</f>
        <v/>
      </c>
      <c r="L501" s="17">
        <f>IF($A501="","",1)</f>
        <v/>
      </c>
    </row>
    <row r="502">
      <c r="A502" s="13" t="n"/>
      <c r="B502" s="13" t="n"/>
      <c r="C502" s="13" t="n"/>
      <c r="D502" s="13" t="n"/>
      <c r="E502" s="14" t="n"/>
      <c r="F502" s="14" t="n"/>
      <c r="G502" s="15" t="n"/>
      <c r="H502" s="16" t="n"/>
      <c r="I502" s="17">
        <f>IF($A502="","",IFERROR(SUMIF(tblKategoriKomisyon[Kategori],$D502,tblKategoriKomisyon[KomisyonOran]),0))</f>
        <v/>
      </c>
      <c r="J502" s="17">
        <f>IF($A502="","",ROUND($E502*$G502,2))</f>
        <v/>
      </c>
      <c r="K502" s="17">
        <f>IF($A502="","",ROUND($J502*$H502,2))</f>
        <v/>
      </c>
      <c r="L502" s="17">
        <f>IF($A502="","",1)</f>
        <v/>
      </c>
    </row>
    <row r="503">
      <c r="A503" s="13" t="n"/>
      <c r="B503" s="13" t="n"/>
      <c r="C503" s="13" t="n"/>
      <c r="D503" s="13" t="n"/>
      <c r="E503" s="14" t="n"/>
      <c r="F503" s="14" t="n"/>
      <c r="G503" s="15" t="n"/>
      <c r="H503" s="16" t="n"/>
      <c r="I503" s="17">
        <f>IF($A503="","",IFERROR(SUMIF(tblKategoriKomisyon[Kategori],$D503,tblKategoriKomisyon[KomisyonOran]),0))</f>
        <v/>
      </c>
      <c r="J503" s="17">
        <f>IF($A503="","",ROUND($E503*$G503,2))</f>
        <v/>
      </c>
      <c r="K503" s="17">
        <f>IF($A503="","",ROUND($J503*$H503,2))</f>
        <v/>
      </c>
      <c r="L503" s="17">
        <f>IF($A503="","",1)</f>
        <v/>
      </c>
    </row>
    <row r="504">
      <c r="A504" s="13" t="n"/>
      <c r="B504" s="13" t="n"/>
      <c r="C504" s="13" t="n"/>
      <c r="D504" s="13" t="n"/>
      <c r="E504" s="14" t="n"/>
      <c r="F504" s="14" t="n"/>
      <c r="G504" s="15" t="n"/>
      <c r="H504" s="16" t="n"/>
      <c r="I504" s="17">
        <f>IF($A504="","",IFERROR(SUMIF(tblKategoriKomisyon[Kategori],$D504,tblKategoriKomisyon[KomisyonOran]),0))</f>
        <v/>
      </c>
      <c r="J504" s="17">
        <f>IF($A504="","",ROUND($E504*$G504,2))</f>
        <v/>
      </c>
      <c r="K504" s="17">
        <f>IF($A504="","",ROUND($J504*$H504,2))</f>
        <v/>
      </c>
      <c r="L504" s="17">
        <f>IF($A504="","",1)</f>
        <v/>
      </c>
    </row>
    <row r="505">
      <c r="A505" s="13" t="n"/>
      <c r="B505" s="13" t="n"/>
      <c r="C505" s="13" t="n"/>
      <c r="D505" s="13" t="n"/>
      <c r="E505" s="14" t="n"/>
      <c r="F505" s="14" t="n"/>
      <c r="G505" s="15" t="n"/>
      <c r="H505" s="16" t="n"/>
      <c r="I505" s="17">
        <f>IF($A505="","",IFERROR(SUMIF(tblKategoriKomisyon[Kategori],$D505,tblKategoriKomisyon[KomisyonOran]),0))</f>
        <v/>
      </c>
      <c r="J505" s="17">
        <f>IF($A505="","",ROUND($E505*$G505,2))</f>
        <v/>
      </c>
      <c r="K505" s="17">
        <f>IF($A505="","",ROUND($J505*$H505,2))</f>
        <v/>
      </c>
      <c r="L505" s="17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E6:E505">
    <cfRule type="cellIs" priority="1" operator="greaterThan" dxfId="0">
      <formula>10000</formula>
    </cfRule>
  </conditionalFormatting>
  <conditionalFormatting sqref="F6:F505">
    <cfRule type="cellIs" priority="2" operator="lessThan" dxfId="1">
      <formula>0</formula>
    </cfRule>
  </conditionalFormatting>
  <dataValidations count="8">
    <dataValidation sqref="A6:A505" showDropDown="0" showInputMessage="1" showErrorMessage="1" allowBlank="1" errorTitle="Eksik" error="Boş olamaz" promptTitle="Barkod" prompt="Barkod girin" type="textLength" errorStyle="stop" operator="greaterThan">
      <formula1>1</formula1>
      <formula2>40</formula2>
    </dataValidation>
    <dataValidation sqref="B6:B505" showDropDown="0" showInputMessage="1" showErrorMessage="1" allowBlank="1" errorTitle="Stok" error="Geçersiz" promptTitle="Stok Kodu" prompt="İç stok kodu" type="textLength" errorStyle="stop" operator="greaterThanOrEqual">
      <formula1>0</formula1>
      <formula2>40</formula2>
    </dataValidation>
    <dataValidation sqref="C6:C505" showDropDown="0" showInputMessage="1" showErrorMessage="1" allowBlank="1" errorTitle="Ad" error="Geçersiz" promptTitle="Ürün Adı" prompt="Kısa ad" type="textLength" errorStyle="stop" operator="greaterThanOrEqual">
      <formula1>0</formula1>
      <formula2>80</formula2>
    </dataValidation>
    <dataValidation sqref="D6:D505" showDropDown="0" showInputMessage="1" showErrorMessage="1" allowBlank="1" errorTitle="Liste" error="Listeden seçim yapın" promptTitle="Kategori" prompt="Listeden seçin" type="list" errorStyle="stop">
      <formula1>ListeKategoriler</formula1>
    </dataValidation>
    <dataValidation sqref="E6:E505" showDropDown="0" showInputMessage="1" showErrorMessage="1" allowBlank="1" errorTitle="Satış Fiyatı" error="0 veya üzeri olmalı" promptTitle="Satış Fiyatı" prompt="0 veya üzeri TL" type="decimal" errorStyle="stop" operator="greaterThanOrEqual">
      <formula1>0</formula1>
    </dataValidation>
    <dataValidation sqref="F6:F505" showDropDown="0" showInputMessage="1" showErrorMessage="1" allowBlank="1" errorTitle="Maliyet" error="0 veya üzeri olmalı" promptTitle="Maliyet" prompt="0 veya üzeri TL" type="decimal" errorStyle="stop" operator="greaterThanOrEqual">
      <formula1>0</formula1>
    </dataValidation>
    <dataValidation sqref="G6:G505" showDropDown="0" showInputMessage="1" showErrorMessage="1" allowBlank="1" errorTitle="Miktar" error="0 veya üzeri tamsayı" promptTitle="Miktar" prompt="Adet girin" type="whole" errorStyle="stop" operator="greaterThanOrEqual">
      <formula1>0</formula1>
    </dataValidation>
    <dataValidation sqref="H6:H505" showDropDown="0" showInputMessage="1" showErrorMessage="1" allowBlank="1" errorTitle="Marj" error="0 ile 1 arasında" promptTitle="Hedef Marj" prompt="0-1 arası oran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N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HAKEDIS — Trendyol Komisyon Sonrası Net Kâr Hesaplama</t>
        </is>
      </c>
    </row>
    <row r="3" ht="20" customHeight="1">
      <c r="A3" s="10" t="inlineStr">
        <is>
          <t>Trendyol hakediş — TY Plus / flaş / reklam / desi / gerçek ödeme</t>
        </is>
      </c>
    </row>
    <row r="5" ht="30" customHeight="1">
      <c r="A5" s="12" t="inlineStr">
        <is>
          <t>Barkod</t>
        </is>
      </c>
      <c r="B5" s="12" t="inlineStr">
        <is>
          <t>TyPlus</t>
        </is>
      </c>
      <c r="C5" s="12" t="inlineStr">
        <is>
          <t>FlasKesinti</t>
        </is>
      </c>
      <c r="D5" s="12" t="inlineStr">
        <is>
          <t>UrunReklam</t>
        </is>
      </c>
      <c r="E5" s="12" t="inlineStr">
        <is>
          <t>DesiKargo</t>
        </is>
      </c>
      <c r="F5" s="12" t="inlineStr">
        <is>
          <t>GercekHakedis</t>
        </is>
      </c>
      <c r="G5" s="12" t="inlineStr">
        <is>
          <t>Donem</t>
        </is>
      </c>
      <c r="H5" s="12" t="inlineStr">
        <is>
          <t>KayitDolu</t>
        </is>
      </c>
    </row>
    <row r="6">
      <c r="A6" s="13" t="inlineStr">
        <is>
          <t>86800010001</t>
        </is>
      </c>
      <c r="B6" s="14" t="n">
        <v>8.02</v>
      </c>
      <c r="C6" s="14" t="n">
        <v>0</v>
      </c>
      <c r="D6" s="14" t="n">
        <v>5</v>
      </c>
      <c r="E6" s="14" t="n">
        <v>33.9</v>
      </c>
      <c r="F6" s="14" t="n">
        <v>215.27</v>
      </c>
      <c r="G6" s="13" t="inlineStr">
        <is>
          <t>2026-07</t>
        </is>
      </c>
      <c r="H6" s="17">
        <f>IF($A6="","",1)</f>
        <v/>
      </c>
    </row>
    <row r="7">
      <c r="A7" s="13" t="inlineStr">
        <is>
          <t>86800010002</t>
        </is>
      </c>
      <c r="B7" s="14" t="n">
        <v>13.25</v>
      </c>
      <c r="C7" s="14" t="n">
        <v>0</v>
      </c>
      <c r="D7" s="14" t="n">
        <v>5</v>
      </c>
      <c r="E7" s="14" t="n">
        <v>38.4</v>
      </c>
      <c r="F7" s="14" t="n">
        <v>376.67</v>
      </c>
      <c r="G7" s="13" t="inlineStr">
        <is>
          <t>2026-08</t>
        </is>
      </c>
      <c r="H7" s="17">
        <f>IF($A7="","",1)</f>
        <v/>
      </c>
    </row>
    <row r="8">
      <c r="A8" s="13" t="inlineStr">
        <is>
          <t>86800010003</t>
        </is>
      </c>
      <c r="B8" s="14" t="n">
        <v>19.3</v>
      </c>
      <c r="C8" s="14" t="n">
        <v>0</v>
      </c>
      <c r="D8" s="14" t="n">
        <v>24.5</v>
      </c>
      <c r="E8" s="14" t="n">
        <v>42.9</v>
      </c>
      <c r="F8" s="14" t="n">
        <v>556.5</v>
      </c>
      <c r="G8" s="13" t="inlineStr">
        <is>
          <t>2026-06</t>
        </is>
      </c>
      <c r="H8" s="17">
        <f>IF($A8="","",1)</f>
        <v/>
      </c>
    </row>
    <row r="9">
      <c r="A9" s="13" t="inlineStr">
        <is>
          <t>86800010004</t>
        </is>
      </c>
      <c r="B9" s="14" t="n">
        <v>5.23</v>
      </c>
      <c r="C9" s="14" t="n">
        <v>0</v>
      </c>
      <c r="D9" s="14" t="n">
        <v>5</v>
      </c>
      <c r="E9" s="14" t="n">
        <v>47.4</v>
      </c>
      <c r="F9" s="14" t="n">
        <v>121.13</v>
      </c>
      <c r="G9" s="13" t="inlineStr">
        <is>
          <t>2026-07</t>
        </is>
      </c>
      <c r="H9" s="17">
        <f>IF($A9="","",1)</f>
        <v/>
      </c>
    </row>
    <row r="10">
      <c r="A10" s="13" t="inlineStr">
        <is>
          <t>86800010005</t>
        </is>
      </c>
      <c r="B10" s="14" t="n">
        <v>11.28</v>
      </c>
      <c r="C10" s="14" t="n">
        <v>14.1</v>
      </c>
      <c r="D10" s="14" t="n">
        <v>5</v>
      </c>
      <c r="E10" s="14" t="n">
        <v>51.9</v>
      </c>
      <c r="F10" s="14" t="n">
        <v>331.32</v>
      </c>
      <c r="G10" s="13" t="inlineStr">
        <is>
          <t>2026-08</t>
        </is>
      </c>
      <c r="H10" s="17">
        <f>IF($A10="","",1)</f>
        <v/>
      </c>
    </row>
    <row r="11">
      <c r="A11" s="13" t="inlineStr">
        <is>
          <t>86800010006</t>
        </is>
      </c>
      <c r="B11" s="14" t="n">
        <v>18.14</v>
      </c>
      <c r="C11" s="14" t="n">
        <v>0</v>
      </c>
      <c r="D11" s="14" t="n">
        <v>29</v>
      </c>
      <c r="E11" s="14" t="n">
        <v>29.4</v>
      </c>
      <c r="F11" s="14" t="n">
        <v>566.0599999999999</v>
      </c>
      <c r="G11" s="13" t="inlineStr">
        <is>
          <t>2026-06</t>
        </is>
      </c>
      <c r="H11" s="17">
        <f>IF($A11="","",1)</f>
        <v/>
      </c>
    </row>
    <row r="12">
      <c r="A12" s="13" t="inlineStr">
        <is>
          <t>86800010007</t>
        </is>
      </c>
      <c r="B12" s="14" t="n">
        <v>25.82</v>
      </c>
      <c r="C12" s="14" t="n">
        <v>0</v>
      </c>
      <c r="D12" s="14" t="n">
        <v>5</v>
      </c>
      <c r="E12" s="14" t="n">
        <v>33.9</v>
      </c>
      <c r="F12" s="14" t="n">
        <v>817.6</v>
      </c>
      <c r="G12" s="13" t="inlineStr">
        <is>
          <t>2026-07</t>
        </is>
      </c>
      <c r="H12" s="17">
        <f>IF($A12="","",1)</f>
        <v/>
      </c>
    </row>
    <row r="13">
      <c r="A13" s="13" t="inlineStr">
        <is>
          <t>86800010008</t>
        </is>
      </c>
      <c r="B13" s="14" t="n">
        <v>6.86</v>
      </c>
      <c r="C13" s="14" t="n">
        <v>0</v>
      </c>
      <c r="D13" s="14" t="n">
        <v>5</v>
      </c>
      <c r="E13" s="14" t="n">
        <v>38.4</v>
      </c>
      <c r="F13" s="14" t="n">
        <v>149.26</v>
      </c>
      <c r="G13" s="13" t="inlineStr">
        <is>
          <t>2026-08</t>
        </is>
      </c>
      <c r="H13" s="17">
        <f>IF($A13="","",1)</f>
        <v/>
      </c>
    </row>
    <row r="14">
      <c r="A14" s="13" t="inlineStr">
        <is>
          <t>86800010009</t>
        </is>
      </c>
      <c r="B14" s="14" t="n">
        <v>14.54</v>
      </c>
      <c r="C14" s="14" t="n">
        <v>0</v>
      </c>
      <c r="D14" s="14" t="n">
        <v>33.5</v>
      </c>
      <c r="E14" s="14" t="n">
        <v>42.9</v>
      </c>
      <c r="F14" s="14" t="n">
        <v>384.77</v>
      </c>
      <c r="G14" s="13" t="inlineStr">
        <is>
          <t>2026-06</t>
        </is>
      </c>
      <c r="H14" s="17">
        <f>IF($A14="","",1)</f>
        <v/>
      </c>
    </row>
    <row r="15">
      <c r="A15" s="13" t="inlineStr">
        <is>
          <t>86800010010</t>
        </is>
      </c>
      <c r="B15" s="14" t="n">
        <v>23.04</v>
      </c>
      <c r="C15" s="14" t="n">
        <v>28.8</v>
      </c>
      <c r="D15" s="14" t="n">
        <v>5</v>
      </c>
      <c r="E15" s="14" t="n">
        <v>47.4</v>
      </c>
      <c r="F15" s="14" t="n">
        <v>644.5599999999999</v>
      </c>
      <c r="G15" s="13" t="inlineStr">
        <is>
          <t>2026-07</t>
        </is>
      </c>
      <c r="H15" s="17">
        <f>IF($A15="","",1)</f>
        <v/>
      </c>
    </row>
    <row r="16">
      <c r="A16" s="13" t="inlineStr">
        <is>
          <t>86800010011</t>
        </is>
      </c>
      <c r="B16" s="14" t="n">
        <v>32.35</v>
      </c>
      <c r="C16" s="14" t="n">
        <v>0</v>
      </c>
      <c r="D16" s="14" t="n">
        <v>5</v>
      </c>
      <c r="E16" s="14" t="n">
        <v>51.9</v>
      </c>
      <c r="F16" s="14" t="n">
        <v>968.96</v>
      </c>
      <c r="G16" s="13" t="inlineStr">
        <is>
          <t>2026-08</t>
        </is>
      </c>
      <c r="H16" s="17">
        <f>IF($A16="","",1)</f>
        <v/>
      </c>
    </row>
    <row r="17">
      <c r="A17" s="13" t="inlineStr">
        <is>
          <t>86800010012</t>
        </is>
      </c>
      <c r="B17" s="14" t="n">
        <v>8.5</v>
      </c>
      <c r="C17" s="14" t="n">
        <v>0</v>
      </c>
      <c r="D17" s="14" t="n">
        <v>38</v>
      </c>
      <c r="E17" s="14" t="n">
        <v>29.4</v>
      </c>
      <c r="F17" s="14" t="n">
        <v>201.99</v>
      </c>
      <c r="G17" s="13" t="inlineStr">
        <is>
          <t>2026-06</t>
        </is>
      </c>
      <c r="H17" s="17">
        <f>IF($A17="","",1)</f>
        <v/>
      </c>
    </row>
    <row r="18">
      <c r="A18" s="13" t="inlineStr">
        <is>
          <t>86800010013</t>
        </is>
      </c>
      <c r="B18" s="14" t="n">
        <v>17.81</v>
      </c>
      <c r="C18" s="14" t="n">
        <v>0</v>
      </c>
      <c r="D18" s="14" t="n">
        <v>5</v>
      </c>
      <c r="E18" s="14" t="n">
        <v>33.9</v>
      </c>
      <c r="F18" s="14" t="n">
        <v>536.89</v>
      </c>
      <c r="G18" s="13" t="inlineStr">
        <is>
          <t>2026-07</t>
        </is>
      </c>
      <c r="H18" s="17">
        <f>IF($A18="","",1)</f>
        <v/>
      </c>
    </row>
    <row r="19">
      <c r="A19" s="13" t="inlineStr">
        <is>
          <t>86800010014</t>
        </is>
      </c>
      <c r="B19" s="14" t="n">
        <v>27.94</v>
      </c>
      <c r="C19" s="14" t="n">
        <v>0</v>
      </c>
      <c r="D19" s="14" t="n">
        <v>5</v>
      </c>
      <c r="E19" s="14" t="n">
        <v>38.4</v>
      </c>
      <c r="F19" s="14" t="n">
        <v>883.14</v>
      </c>
      <c r="G19" s="13" t="inlineStr">
        <is>
          <t>2026-08</t>
        </is>
      </c>
      <c r="H19" s="17">
        <f>IF($A19="","",1)</f>
        <v/>
      </c>
    </row>
    <row r="20">
      <c r="A20" s="13" t="inlineStr">
        <is>
          <t>86800010015</t>
        </is>
      </c>
      <c r="B20" s="14" t="n">
        <v>38.88</v>
      </c>
      <c r="C20" s="14" t="n">
        <v>48.6</v>
      </c>
      <c r="D20" s="14" t="n">
        <v>42.5</v>
      </c>
      <c r="E20" s="14" t="n">
        <v>42.9</v>
      </c>
      <c r="F20" s="14" t="n">
        <v>1252.72</v>
      </c>
      <c r="G20" s="13" t="inlineStr">
        <is>
          <t>2026-06</t>
        </is>
      </c>
      <c r="H20" s="17">
        <f>IF($A20="","",1)</f>
        <v/>
      </c>
    </row>
    <row r="21">
      <c r="A21" s="13" t="inlineStr">
        <is>
          <t>86800010016</t>
        </is>
      </c>
      <c r="B21" s="14" t="n">
        <v>10.13</v>
      </c>
      <c r="C21" s="14" t="n">
        <v>0</v>
      </c>
      <c r="D21" s="14" t="n">
        <v>5</v>
      </c>
      <c r="E21" s="14" t="n">
        <v>47.4</v>
      </c>
      <c r="F21" s="14" t="n">
        <v>261.17</v>
      </c>
      <c r="G21" s="13" t="inlineStr">
        <is>
          <t>2026-07</t>
        </is>
      </c>
      <c r="H21" s="17">
        <f>IF($A21="","",1)</f>
        <v/>
      </c>
    </row>
    <row r="22">
      <c r="A22" s="13" t="inlineStr">
        <is>
          <t>86800010017</t>
        </is>
      </c>
      <c r="B22" s="14" t="n">
        <v>21.07</v>
      </c>
      <c r="C22" s="14" t="n">
        <v>0</v>
      </c>
      <c r="D22" s="14" t="n">
        <v>5</v>
      </c>
      <c r="E22" s="14" t="n">
        <v>51.9</v>
      </c>
      <c r="F22" s="14" t="n">
        <v>641.99</v>
      </c>
      <c r="G22" s="13" t="inlineStr">
        <is>
          <t>2026-08</t>
        </is>
      </c>
      <c r="H22" s="17">
        <f>IF($A22="","",1)</f>
        <v/>
      </c>
    </row>
    <row r="23">
      <c r="A23" s="13" t="inlineStr">
        <is>
          <t>86800010018</t>
        </is>
      </c>
      <c r="B23" s="14" t="n">
        <v>32.83</v>
      </c>
      <c r="C23" s="14" t="n">
        <v>0</v>
      </c>
      <c r="D23" s="14" t="n">
        <v>47</v>
      </c>
      <c r="E23" s="14" t="n">
        <v>29.4</v>
      </c>
      <c r="F23" s="14" t="n">
        <v>1012.53</v>
      </c>
      <c r="G23" s="13" t="inlineStr">
        <is>
          <t>2026-06</t>
        </is>
      </c>
      <c r="H23" s="17">
        <f>IF($A23="","",1)</f>
        <v/>
      </c>
    </row>
    <row r="24">
      <c r="A24" s="13" t="inlineStr">
        <is>
          <t>86800010019</t>
        </is>
      </c>
      <c r="B24" s="14" t="n">
        <v>45.41</v>
      </c>
      <c r="C24" s="14" t="n">
        <v>0</v>
      </c>
      <c r="D24" s="14" t="n">
        <v>5</v>
      </c>
      <c r="E24" s="14" t="n">
        <v>33.9</v>
      </c>
      <c r="F24" s="14" t="n">
        <v>1400.91</v>
      </c>
      <c r="G24" s="13" t="inlineStr">
        <is>
          <t>2026-07</t>
        </is>
      </c>
      <c r="H24" s="17">
        <f>IF($A24="","",1)</f>
        <v/>
      </c>
    </row>
    <row r="25">
      <c r="A25" s="13" t="inlineStr">
        <is>
          <t>86800010020</t>
        </is>
      </c>
      <c r="B25" s="14" t="n">
        <v>11.76</v>
      </c>
      <c r="C25" s="14" t="n">
        <v>14.7</v>
      </c>
      <c r="D25" s="14" t="n">
        <v>5</v>
      </c>
      <c r="E25" s="14" t="n">
        <v>38.4</v>
      </c>
      <c r="F25" s="14" t="n">
        <v>312.34</v>
      </c>
      <c r="G25" s="13" t="inlineStr">
        <is>
          <t>2026-08</t>
        </is>
      </c>
      <c r="H25" s="17">
        <f>IF($A25="","",1)</f>
        <v/>
      </c>
    </row>
    <row r="26">
      <c r="A26" s="13" t="inlineStr">
        <is>
          <t>86800010021</t>
        </is>
      </c>
      <c r="B26" s="14" t="n">
        <v>24.34</v>
      </c>
      <c r="C26" s="14" t="n">
        <v>0</v>
      </c>
      <c r="D26" s="14" t="n">
        <v>51.5</v>
      </c>
      <c r="E26" s="14" t="n">
        <v>42.9</v>
      </c>
      <c r="F26" s="14" t="n">
        <v>677.25</v>
      </c>
      <c r="G26" s="13" t="inlineStr">
        <is>
          <t>2026-06</t>
        </is>
      </c>
      <c r="H26" s="17">
        <f>IF($A26="","",1)</f>
        <v/>
      </c>
    </row>
    <row r="27">
      <c r="A27" s="13" t="inlineStr">
        <is>
          <t>86800010022</t>
        </is>
      </c>
      <c r="B27" s="14" t="n">
        <v>37.73</v>
      </c>
      <c r="C27" s="14" t="n">
        <v>0</v>
      </c>
      <c r="D27" s="14" t="n">
        <v>5</v>
      </c>
      <c r="E27" s="14" t="n">
        <v>47.4</v>
      </c>
      <c r="F27" s="14" t="n">
        <v>1143.92</v>
      </c>
      <c r="G27" s="13" t="inlineStr">
        <is>
          <t>2026-07</t>
        </is>
      </c>
      <c r="H27" s="17">
        <f>IF($A27="","",1)</f>
        <v/>
      </c>
    </row>
    <row r="28">
      <c r="A28" s="13" t="inlineStr">
        <is>
          <t>86800010023</t>
        </is>
      </c>
      <c r="B28" s="14" t="n">
        <v>51.94</v>
      </c>
      <c r="C28" s="14" t="n">
        <v>0</v>
      </c>
      <c r="D28" s="14" t="n">
        <v>5</v>
      </c>
      <c r="E28" s="14" t="n">
        <v>51.9</v>
      </c>
      <c r="F28" s="14" t="n">
        <v>1622.36</v>
      </c>
      <c r="G28" s="13" t="inlineStr">
        <is>
          <t>2026-08</t>
        </is>
      </c>
      <c r="H28" s="17">
        <f>IF($A28="","",1)</f>
        <v/>
      </c>
    </row>
    <row r="29">
      <c r="A29" s="13" t="inlineStr">
        <is>
          <t>86800010024</t>
        </is>
      </c>
      <c r="B29" s="14" t="n">
        <v>13.39</v>
      </c>
      <c r="C29" s="14" t="n">
        <v>0</v>
      </c>
      <c r="D29" s="14" t="n">
        <v>56</v>
      </c>
      <c r="E29" s="14" t="n">
        <v>29.4</v>
      </c>
      <c r="F29" s="14" t="n">
        <v>323.77</v>
      </c>
      <c r="G29" s="13" t="inlineStr">
        <is>
          <t>2026-06</t>
        </is>
      </c>
      <c r="H29" s="17">
        <f>IF($A29="","",1)</f>
        <v/>
      </c>
    </row>
    <row r="30">
      <c r="A30" s="13" t="inlineStr">
        <is>
          <t>86800010025</t>
        </is>
      </c>
      <c r="B30" s="14" t="n">
        <v>27.6</v>
      </c>
      <c r="C30" s="14" t="n">
        <v>34.5</v>
      </c>
      <c r="D30" s="14" t="n">
        <v>5</v>
      </c>
      <c r="E30" s="14" t="n">
        <v>33.9</v>
      </c>
      <c r="F30" s="14" t="n">
        <v>911</v>
      </c>
      <c r="G30" s="13" t="inlineStr">
        <is>
          <t>2026-07</t>
        </is>
      </c>
      <c r="H30" s="17">
        <f>IF($A30="","",1)</f>
        <v/>
      </c>
    </row>
    <row r="31">
      <c r="A31" s="13" t="inlineStr">
        <is>
          <t>86800010026</t>
        </is>
      </c>
      <c r="B31" s="14" t="n">
        <v>42.62</v>
      </c>
      <c r="C31" s="14" t="n">
        <v>0</v>
      </c>
      <c r="D31" s="14" t="n">
        <v>5</v>
      </c>
      <c r="E31" s="14" t="n">
        <v>38.4</v>
      </c>
      <c r="F31" s="14" t="n">
        <v>1423.58</v>
      </c>
      <c r="G31" s="13" t="inlineStr">
        <is>
          <t>2026-08</t>
        </is>
      </c>
      <c r="H31" s="17">
        <f>IF($A31="","",1)</f>
        <v/>
      </c>
    </row>
    <row r="32">
      <c r="A32" s="13" t="inlineStr">
        <is>
          <t>86800010027</t>
        </is>
      </c>
      <c r="B32" s="14" t="n">
        <v>58.46</v>
      </c>
      <c r="C32" s="14" t="n">
        <v>0</v>
      </c>
      <c r="D32" s="14" t="n">
        <v>60.5</v>
      </c>
      <c r="E32" s="14" t="n">
        <v>42.9</v>
      </c>
      <c r="F32" s="14" t="n">
        <v>1835.66</v>
      </c>
      <c r="G32" s="13" t="inlineStr">
        <is>
          <t>2026-06</t>
        </is>
      </c>
      <c r="H32" s="17">
        <f>IF($A32="","",1)</f>
        <v/>
      </c>
    </row>
    <row r="33">
      <c r="A33" s="13" t="inlineStr">
        <is>
          <t>86800010028</t>
        </is>
      </c>
      <c r="B33" s="14" t="n">
        <v>15.02</v>
      </c>
      <c r="C33" s="14" t="n">
        <v>0</v>
      </c>
      <c r="D33" s="14" t="n">
        <v>5</v>
      </c>
      <c r="E33" s="14" t="n">
        <v>47.4</v>
      </c>
      <c r="F33" s="14" t="n">
        <v>445.9</v>
      </c>
      <c r="G33" s="13" t="inlineStr">
        <is>
          <t>2026-07</t>
        </is>
      </c>
      <c r="H33" s="17">
        <f>IF($A33="","",1)</f>
        <v/>
      </c>
    </row>
    <row r="34">
      <c r="A34" s="13" t="inlineStr">
        <is>
          <t>86800010029</t>
        </is>
      </c>
      <c r="B34" s="14" t="n">
        <v>30.86</v>
      </c>
      <c r="C34" s="14" t="n">
        <v>0</v>
      </c>
      <c r="D34" s="14" t="n">
        <v>5</v>
      </c>
      <c r="E34" s="14" t="n">
        <v>51.9</v>
      </c>
      <c r="F34" s="14" t="n">
        <v>921.75</v>
      </c>
      <c r="G34" s="13" t="inlineStr">
        <is>
          <t>2026-08</t>
        </is>
      </c>
      <c r="H34" s="17">
        <f>IF($A34="","",1)</f>
        <v/>
      </c>
    </row>
    <row r="35">
      <c r="A35" s="13" t="inlineStr">
        <is>
          <t>86800010030</t>
        </is>
      </c>
      <c r="B35" s="14" t="n">
        <v>47.52</v>
      </c>
      <c r="C35" s="14" t="n">
        <v>59.4</v>
      </c>
      <c r="D35" s="14" t="n">
        <v>65</v>
      </c>
      <c r="E35" s="14" t="n">
        <v>29.4</v>
      </c>
      <c r="F35" s="14" t="n">
        <v>1343.08</v>
      </c>
      <c r="G35" s="13" t="inlineStr">
        <is>
          <t>2026-06</t>
        </is>
      </c>
      <c r="H35" s="17">
        <f>IF($A35="","",1)</f>
        <v/>
      </c>
    </row>
    <row r="36">
      <c r="A36" s="13" t="inlineStr">
        <is>
          <t>86800010031</t>
        </is>
      </c>
      <c r="B36" s="14" t="n">
        <v>64.98999999999999</v>
      </c>
      <c r="C36" s="14" t="n">
        <v>0</v>
      </c>
      <c r="D36" s="14" t="n">
        <v>5</v>
      </c>
      <c r="E36" s="14" t="n">
        <v>33.9</v>
      </c>
      <c r="F36" s="14" t="n">
        <v>2021.89</v>
      </c>
      <c r="G36" s="13" t="inlineStr">
        <is>
          <t>2026-07</t>
        </is>
      </c>
      <c r="H36" s="17">
        <f>IF($A36="","",1)</f>
        <v/>
      </c>
    </row>
    <row r="37">
      <c r="A37" s="13" t="inlineStr">
        <is>
          <t>86800010032</t>
        </is>
      </c>
      <c r="B37" s="14" t="n">
        <v>16.66</v>
      </c>
      <c r="C37" s="14" t="n">
        <v>0</v>
      </c>
      <c r="D37" s="14" t="n">
        <v>5</v>
      </c>
      <c r="E37" s="14" t="n">
        <v>38.4</v>
      </c>
      <c r="F37" s="14" t="n">
        <v>449.73</v>
      </c>
      <c r="G37" s="13" t="inlineStr">
        <is>
          <t>2026-08</t>
        </is>
      </c>
      <c r="H37" s="17">
        <f>IF($A37="","",1)</f>
        <v/>
      </c>
    </row>
    <row r="38">
      <c r="A38" s="13" t="inlineStr">
        <is>
          <t>86800010033</t>
        </is>
      </c>
      <c r="B38" s="14" t="n">
        <v>34.13</v>
      </c>
      <c r="C38" s="14" t="n">
        <v>0</v>
      </c>
      <c r="D38" s="14" t="n">
        <v>69.5</v>
      </c>
      <c r="E38" s="14" t="n">
        <v>42.9</v>
      </c>
      <c r="F38" s="14" t="n">
        <v>991.1</v>
      </c>
      <c r="G38" s="13" t="inlineStr">
        <is>
          <t>2026-06</t>
        </is>
      </c>
      <c r="H38" s="17">
        <f>IF($A38="","",1)</f>
        <v/>
      </c>
    </row>
    <row r="39">
      <c r="A39" s="13" t="inlineStr">
        <is>
          <t>86800010034</t>
        </is>
      </c>
      <c r="B39" s="14" t="n">
        <v>52.42</v>
      </c>
      <c r="C39" s="14" t="n">
        <v>0</v>
      </c>
      <c r="D39" s="14" t="n">
        <v>5</v>
      </c>
      <c r="E39" s="14" t="n">
        <v>47.4</v>
      </c>
      <c r="F39" s="14" t="n">
        <v>1686.06</v>
      </c>
      <c r="G39" s="13" t="inlineStr">
        <is>
          <t>2026-07</t>
        </is>
      </c>
      <c r="H39" s="17">
        <f>IF($A39="","",1)</f>
        <v/>
      </c>
    </row>
    <row r="40">
      <c r="A40" s="13" t="inlineStr">
        <is>
          <t>86800010035</t>
        </is>
      </c>
      <c r="B40" s="14" t="n">
        <v>71.52</v>
      </c>
      <c r="C40" s="14" t="n">
        <v>89.40000000000001</v>
      </c>
      <c r="D40" s="14" t="n">
        <v>5</v>
      </c>
      <c r="E40" s="14" t="n">
        <v>51.9</v>
      </c>
      <c r="F40" s="14" t="n">
        <v>2404.58</v>
      </c>
      <c r="G40" s="13" t="inlineStr">
        <is>
          <t>2026-08</t>
        </is>
      </c>
      <c r="H40" s="17">
        <f>IF($A40="","",1)</f>
        <v/>
      </c>
    </row>
    <row r="41">
      <c r="A41" s="13" t="n"/>
      <c r="B41" s="14" t="n"/>
      <c r="C41" s="14" t="n"/>
      <c r="D41" s="14" t="n"/>
      <c r="E41" s="14" t="n"/>
      <c r="F41" s="14" t="n"/>
      <c r="G41" s="13" t="n"/>
      <c r="H41" s="17">
        <f>IF($A41="","",1)</f>
        <v/>
      </c>
    </row>
    <row r="42">
      <c r="A42" s="13" t="n"/>
      <c r="B42" s="14" t="n"/>
      <c r="C42" s="14" t="n"/>
      <c r="D42" s="14" t="n"/>
      <c r="E42" s="14" t="n"/>
      <c r="F42" s="14" t="n"/>
      <c r="G42" s="13" t="n"/>
      <c r="H42" s="17">
        <f>IF($A42="","",1)</f>
        <v/>
      </c>
    </row>
    <row r="43">
      <c r="A43" s="13" t="n"/>
      <c r="B43" s="14" t="n"/>
      <c r="C43" s="14" t="n"/>
      <c r="D43" s="14" t="n"/>
      <c r="E43" s="14" t="n"/>
      <c r="F43" s="14" t="n"/>
      <c r="G43" s="13" t="n"/>
      <c r="H43" s="17">
        <f>IF($A43="","",1)</f>
        <v/>
      </c>
    </row>
    <row r="44">
      <c r="A44" s="13" t="n"/>
      <c r="B44" s="14" t="n"/>
      <c r="C44" s="14" t="n"/>
      <c r="D44" s="14" t="n"/>
      <c r="E44" s="14" t="n"/>
      <c r="F44" s="14" t="n"/>
      <c r="G44" s="13" t="n"/>
      <c r="H44" s="17">
        <f>IF($A44="","",1)</f>
        <v/>
      </c>
    </row>
    <row r="45">
      <c r="A45" s="13" t="n"/>
      <c r="B45" s="14" t="n"/>
      <c r="C45" s="14" t="n"/>
      <c r="D45" s="14" t="n"/>
      <c r="E45" s="14" t="n"/>
      <c r="F45" s="14" t="n"/>
      <c r="G45" s="13" t="n"/>
      <c r="H45" s="17">
        <f>IF($A45="","",1)</f>
        <v/>
      </c>
    </row>
    <row r="46">
      <c r="A46" s="13" t="n"/>
      <c r="B46" s="14" t="n"/>
      <c r="C46" s="14" t="n"/>
      <c r="D46" s="14" t="n"/>
      <c r="E46" s="14" t="n"/>
      <c r="F46" s="14" t="n"/>
      <c r="G46" s="13" t="n"/>
      <c r="H46" s="17">
        <f>IF($A46="","",1)</f>
        <v/>
      </c>
    </row>
    <row r="47">
      <c r="A47" s="13" t="n"/>
      <c r="B47" s="14" t="n"/>
      <c r="C47" s="14" t="n"/>
      <c r="D47" s="14" t="n"/>
      <c r="E47" s="14" t="n"/>
      <c r="F47" s="14" t="n"/>
      <c r="G47" s="13" t="n"/>
      <c r="H47" s="17">
        <f>IF($A47="","",1)</f>
        <v/>
      </c>
    </row>
    <row r="48">
      <c r="A48" s="13" t="n"/>
      <c r="B48" s="14" t="n"/>
      <c r="C48" s="14" t="n"/>
      <c r="D48" s="14" t="n"/>
      <c r="E48" s="14" t="n"/>
      <c r="F48" s="14" t="n"/>
      <c r="G48" s="13" t="n"/>
      <c r="H48" s="17">
        <f>IF($A48="","",1)</f>
        <v/>
      </c>
    </row>
    <row r="49">
      <c r="A49" s="13" t="n"/>
      <c r="B49" s="14" t="n"/>
      <c r="C49" s="14" t="n"/>
      <c r="D49" s="14" t="n"/>
      <c r="E49" s="14" t="n"/>
      <c r="F49" s="14" t="n"/>
      <c r="G49" s="13" t="n"/>
      <c r="H49" s="17">
        <f>IF($A49="","",1)</f>
        <v/>
      </c>
    </row>
    <row r="50">
      <c r="A50" s="13" t="n"/>
      <c r="B50" s="14" t="n"/>
      <c r="C50" s="14" t="n"/>
      <c r="D50" s="14" t="n"/>
      <c r="E50" s="14" t="n"/>
      <c r="F50" s="14" t="n"/>
      <c r="G50" s="13" t="n"/>
      <c r="H50" s="17">
        <f>IF($A50="","",1)</f>
        <v/>
      </c>
    </row>
    <row r="51">
      <c r="A51" s="13" t="n"/>
      <c r="B51" s="14" t="n"/>
      <c r="C51" s="14" t="n"/>
      <c r="D51" s="14" t="n"/>
      <c r="E51" s="14" t="n"/>
      <c r="F51" s="14" t="n"/>
      <c r="G51" s="13" t="n"/>
      <c r="H51" s="17">
        <f>IF($A51="","",1)</f>
        <v/>
      </c>
    </row>
    <row r="52">
      <c r="A52" s="13" t="n"/>
      <c r="B52" s="14" t="n"/>
      <c r="C52" s="14" t="n"/>
      <c r="D52" s="14" t="n"/>
      <c r="E52" s="14" t="n"/>
      <c r="F52" s="14" t="n"/>
      <c r="G52" s="13" t="n"/>
      <c r="H52" s="17">
        <f>IF($A52="","",1)</f>
        <v/>
      </c>
    </row>
    <row r="53">
      <c r="A53" s="13" t="n"/>
      <c r="B53" s="14" t="n"/>
      <c r="C53" s="14" t="n"/>
      <c r="D53" s="14" t="n"/>
      <c r="E53" s="14" t="n"/>
      <c r="F53" s="14" t="n"/>
      <c r="G53" s="13" t="n"/>
      <c r="H53" s="17">
        <f>IF($A53="","",1)</f>
        <v/>
      </c>
    </row>
    <row r="54">
      <c r="A54" s="13" t="n"/>
      <c r="B54" s="14" t="n"/>
      <c r="C54" s="14" t="n"/>
      <c r="D54" s="14" t="n"/>
      <c r="E54" s="14" t="n"/>
      <c r="F54" s="14" t="n"/>
      <c r="G54" s="13" t="n"/>
      <c r="H54" s="17">
        <f>IF($A54="","",1)</f>
        <v/>
      </c>
    </row>
    <row r="55">
      <c r="A55" s="13" t="n"/>
      <c r="B55" s="14" t="n"/>
      <c r="C55" s="14" t="n"/>
      <c r="D55" s="14" t="n"/>
      <c r="E55" s="14" t="n"/>
      <c r="F55" s="14" t="n"/>
      <c r="G55" s="13" t="n"/>
      <c r="H55" s="17">
        <f>IF($A55="","",1)</f>
        <v/>
      </c>
    </row>
    <row r="56">
      <c r="A56" s="13" t="n"/>
      <c r="B56" s="14" t="n"/>
      <c r="C56" s="14" t="n"/>
      <c r="D56" s="14" t="n"/>
      <c r="E56" s="14" t="n"/>
      <c r="F56" s="14" t="n"/>
      <c r="G56" s="13" t="n"/>
      <c r="H56" s="17">
        <f>IF($A56="","",1)</f>
        <v/>
      </c>
    </row>
    <row r="57">
      <c r="A57" s="13" t="n"/>
      <c r="B57" s="14" t="n"/>
      <c r="C57" s="14" t="n"/>
      <c r="D57" s="14" t="n"/>
      <c r="E57" s="14" t="n"/>
      <c r="F57" s="14" t="n"/>
      <c r="G57" s="13" t="n"/>
      <c r="H57" s="17">
        <f>IF($A57="","",1)</f>
        <v/>
      </c>
    </row>
    <row r="58">
      <c r="A58" s="13" t="n"/>
      <c r="B58" s="14" t="n"/>
      <c r="C58" s="14" t="n"/>
      <c r="D58" s="14" t="n"/>
      <c r="E58" s="14" t="n"/>
      <c r="F58" s="14" t="n"/>
      <c r="G58" s="13" t="n"/>
      <c r="H58" s="17">
        <f>IF($A58="","",1)</f>
        <v/>
      </c>
    </row>
    <row r="59">
      <c r="A59" s="13" t="n"/>
      <c r="B59" s="14" t="n"/>
      <c r="C59" s="14" t="n"/>
      <c r="D59" s="14" t="n"/>
      <c r="E59" s="14" t="n"/>
      <c r="F59" s="14" t="n"/>
      <c r="G59" s="13" t="n"/>
      <c r="H59" s="17">
        <f>IF($A59="","",1)</f>
        <v/>
      </c>
    </row>
    <row r="60">
      <c r="A60" s="13" t="n"/>
      <c r="B60" s="14" t="n"/>
      <c r="C60" s="14" t="n"/>
      <c r="D60" s="14" t="n"/>
      <c r="E60" s="14" t="n"/>
      <c r="F60" s="14" t="n"/>
      <c r="G60" s="13" t="n"/>
      <c r="H60" s="17">
        <f>IF($A60="","",1)</f>
        <v/>
      </c>
    </row>
    <row r="61">
      <c r="A61" s="13" t="n"/>
      <c r="B61" s="14" t="n"/>
      <c r="C61" s="14" t="n"/>
      <c r="D61" s="14" t="n"/>
      <c r="E61" s="14" t="n"/>
      <c r="F61" s="14" t="n"/>
      <c r="G61" s="13" t="n"/>
      <c r="H61" s="17">
        <f>IF($A61="","",1)</f>
        <v/>
      </c>
    </row>
    <row r="62">
      <c r="A62" s="13" t="n"/>
      <c r="B62" s="14" t="n"/>
      <c r="C62" s="14" t="n"/>
      <c r="D62" s="14" t="n"/>
      <c r="E62" s="14" t="n"/>
      <c r="F62" s="14" t="n"/>
      <c r="G62" s="13" t="n"/>
      <c r="H62" s="17">
        <f>IF($A62="","",1)</f>
        <v/>
      </c>
    </row>
    <row r="63">
      <c r="A63" s="13" t="n"/>
      <c r="B63" s="14" t="n"/>
      <c r="C63" s="14" t="n"/>
      <c r="D63" s="14" t="n"/>
      <c r="E63" s="14" t="n"/>
      <c r="F63" s="14" t="n"/>
      <c r="G63" s="13" t="n"/>
      <c r="H63" s="17">
        <f>IF($A63="","",1)</f>
        <v/>
      </c>
    </row>
    <row r="64">
      <c r="A64" s="13" t="n"/>
      <c r="B64" s="14" t="n"/>
      <c r="C64" s="14" t="n"/>
      <c r="D64" s="14" t="n"/>
      <c r="E64" s="14" t="n"/>
      <c r="F64" s="14" t="n"/>
      <c r="G64" s="13" t="n"/>
      <c r="H64" s="17">
        <f>IF($A64="","",1)</f>
        <v/>
      </c>
    </row>
    <row r="65">
      <c r="A65" s="13" t="n"/>
      <c r="B65" s="14" t="n"/>
      <c r="C65" s="14" t="n"/>
      <c r="D65" s="14" t="n"/>
      <c r="E65" s="14" t="n"/>
      <c r="F65" s="14" t="n"/>
      <c r="G65" s="13" t="n"/>
      <c r="H65" s="17">
        <f>IF($A65="","",1)</f>
        <v/>
      </c>
    </row>
    <row r="66">
      <c r="A66" s="13" t="n"/>
      <c r="B66" s="14" t="n"/>
      <c r="C66" s="14" t="n"/>
      <c r="D66" s="14" t="n"/>
      <c r="E66" s="14" t="n"/>
      <c r="F66" s="14" t="n"/>
      <c r="G66" s="13" t="n"/>
      <c r="H66" s="17">
        <f>IF($A66="","",1)</f>
        <v/>
      </c>
    </row>
    <row r="67">
      <c r="A67" s="13" t="n"/>
      <c r="B67" s="14" t="n"/>
      <c r="C67" s="14" t="n"/>
      <c r="D67" s="14" t="n"/>
      <c r="E67" s="14" t="n"/>
      <c r="F67" s="14" t="n"/>
      <c r="G67" s="13" t="n"/>
      <c r="H67" s="17">
        <f>IF($A67="","",1)</f>
        <v/>
      </c>
    </row>
    <row r="68">
      <c r="A68" s="13" t="n"/>
      <c r="B68" s="14" t="n"/>
      <c r="C68" s="14" t="n"/>
      <c r="D68" s="14" t="n"/>
      <c r="E68" s="14" t="n"/>
      <c r="F68" s="14" t="n"/>
      <c r="G68" s="13" t="n"/>
      <c r="H68" s="17">
        <f>IF($A68="","",1)</f>
        <v/>
      </c>
    </row>
    <row r="69">
      <c r="A69" s="13" t="n"/>
      <c r="B69" s="14" t="n"/>
      <c r="C69" s="14" t="n"/>
      <c r="D69" s="14" t="n"/>
      <c r="E69" s="14" t="n"/>
      <c r="F69" s="14" t="n"/>
      <c r="G69" s="13" t="n"/>
      <c r="H69" s="17">
        <f>IF($A69="","",1)</f>
        <v/>
      </c>
    </row>
    <row r="70">
      <c r="A70" s="13" t="n"/>
      <c r="B70" s="14" t="n"/>
      <c r="C70" s="14" t="n"/>
      <c r="D70" s="14" t="n"/>
      <c r="E70" s="14" t="n"/>
      <c r="F70" s="14" t="n"/>
      <c r="G70" s="13" t="n"/>
      <c r="H70" s="17">
        <f>IF($A70="","",1)</f>
        <v/>
      </c>
    </row>
    <row r="71">
      <c r="A71" s="13" t="n"/>
      <c r="B71" s="14" t="n"/>
      <c r="C71" s="14" t="n"/>
      <c r="D71" s="14" t="n"/>
      <c r="E71" s="14" t="n"/>
      <c r="F71" s="14" t="n"/>
      <c r="G71" s="13" t="n"/>
      <c r="H71" s="17">
        <f>IF($A71="","",1)</f>
        <v/>
      </c>
    </row>
    <row r="72">
      <c r="A72" s="13" t="n"/>
      <c r="B72" s="14" t="n"/>
      <c r="C72" s="14" t="n"/>
      <c r="D72" s="14" t="n"/>
      <c r="E72" s="14" t="n"/>
      <c r="F72" s="14" t="n"/>
      <c r="G72" s="13" t="n"/>
      <c r="H72" s="17">
        <f>IF($A72="","",1)</f>
        <v/>
      </c>
    </row>
    <row r="73">
      <c r="A73" s="13" t="n"/>
      <c r="B73" s="14" t="n"/>
      <c r="C73" s="14" t="n"/>
      <c r="D73" s="14" t="n"/>
      <c r="E73" s="14" t="n"/>
      <c r="F73" s="14" t="n"/>
      <c r="G73" s="13" t="n"/>
      <c r="H73" s="17">
        <f>IF($A73="","",1)</f>
        <v/>
      </c>
    </row>
    <row r="74">
      <c r="A74" s="13" t="n"/>
      <c r="B74" s="14" t="n"/>
      <c r="C74" s="14" t="n"/>
      <c r="D74" s="14" t="n"/>
      <c r="E74" s="14" t="n"/>
      <c r="F74" s="14" t="n"/>
      <c r="G74" s="13" t="n"/>
      <c r="H74" s="17">
        <f>IF($A74="","",1)</f>
        <v/>
      </c>
    </row>
    <row r="75">
      <c r="A75" s="13" t="n"/>
      <c r="B75" s="14" t="n"/>
      <c r="C75" s="14" t="n"/>
      <c r="D75" s="14" t="n"/>
      <c r="E75" s="14" t="n"/>
      <c r="F75" s="14" t="n"/>
      <c r="G75" s="13" t="n"/>
      <c r="H75" s="17">
        <f>IF($A75="","",1)</f>
        <v/>
      </c>
    </row>
    <row r="76">
      <c r="A76" s="13" t="n"/>
      <c r="B76" s="14" t="n"/>
      <c r="C76" s="14" t="n"/>
      <c r="D76" s="14" t="n"/>
      <c r="E76" s="14" t="n"/>
      <c r="F76" s="14" t="n"/>
      <c r="G76" s="13" t="n"/>
      <c r="H76" s="17">
        <f>IF($A76="","",1)</f>
        <v/>
      </c>
    </row>
    <row r="77">
      <c r="A77" s="13" t="n"/>
      <c r="B77" s="14" t="n"/>
      <c r="C77" s="14" t="n"/>
      <c r="D77" s="14" t="n"/>
      <c r="E77" s="14" t="n"/>
      <c r="F77" s="14" t="n"/>
      <c r="G77" s="13" t="n"/>
      <c r="H77" s="17">
        <f>IF($A77="","",1)</f>
        <v/>
      </c>
    </row>
    <row r="78">
      <c r="A78" s="13" t="n"/>
      <c r="B78" s="14" t="n"/>
      <c r="C78" s="14" t="n"/>
      <c r="D78" s="14" t="n"/>
      <c r="E78" s="14" t="n"/>
      <c r="F78" s="14" t="n"/>
      <c r="G78" s="13" t="n"/>
      <c r="H78" s="17">
        <f>IF($A78="","",1)</f>
        <v/>
      </c>
    </row>
    <row r="79">
      <c r="A79" s="13" t="n"/>
      <c r="B79" s="14" t="n"/>
      <c r="C79" s="14" t="n"/>
      <c r="D79" s="14" t="n"/>
      <c r="E79" s="14" t="n"/>
      <c r="F79" s="14" t="n"/>
      <c r="G79" s="13" t="n"/>
      <c r="H79" s="17">
        <f>IF($A79="","",1)</f>
        <v/>
      </c>
    </row>
    <row r="80">
      <c r="A80" s="13" t="n"/>
      <c r="B80" s="14" t="n"/>
      <c r="C80" s="14" t="n"/>
      <c r="D80" s="14" t="n"/>
      <c r="E80" s="14" t="n"/>
      <c r="F80" s="14" t="n"/>
      <c r="G80" s="13" t="n"/>
      <c r="H80" s="17">
        <f>IF($A80="","",1)</f>
        <v/>
      </c>
    </row>
    <row r="81">
      <c r="A81" s="13" t="n"/>
      <c r="B81" s="14" t="n"/>
      <c r="C81" s="14" t="n"/>
      <c r="D81" s="14" t="n"/>
      <c r="E81" s="14" t="n"/>
      <c r="F81" s="14" t="n"/>
      <c r="G81" s="13" t="n"/>
      <c r="H81" s="17">
        <f>IF($A81="","",1)</f>
        <v/>
      </c>
    </row>
    <row r="82">
      <c r="A82" s="13" t="n"/>
      <c r="B82" s="14" t="n"/>
      <c r="C82" s="14" t="n"/>
      <c r="D82" s="14" t="n"/>
      <c r="E82" s="14" t="n"/>
      <c r="F82" s="14" t="n"/>
      <c r="G82" s="13" t="n"/>
      <c r="H82" s="17">
        <f>IF($A82="","",1)</f>
        <v/>
      </c>
    </row>
    <row r="83">
      <c r="A83" s="13" t="n"/>
      <c r="B83" s="14" t="n"/>
      <c r="C83" s="14" t="n"/>
      <c r="D83" s="14" t="n"/>
      <c r="E83" s="14" t="n"/>
      <c r="F83" s="14" t="n"/>
      <c r="G83" s="13" t="n"/>
      <c r="H83" s="17">
        <f>IF($A83="","",1)</f>
        <v/>
      </c>
    </row>
    <row r="84">
      <c r="A84" s="13" t="n"/>
      <c r="B84" s="14" t="n"/>
      <c r="C84" s="14" t="n"/>
      <c r="D84" s="14" t="n"/>
      <c r="E84" s="14" t="n"/>
      <c r="F84" s="14" t="n"/>
      <c r="G84" s="13" t="n"/>
      <c r="H84" s="17">
        <f>IF($A84="","",1)</f>
        <v/>
      </c>
    </row>
    <row r="85">
      <c r="A85" s="13" t="n"/>
      <c r="B85" s="14" t="n"/>
      <c r="C85" s="14" t="n"/>
      <c r="D85" s="14" t="n"/>
      <c r="E85" s="14" t="n"/>
      <c r="F85" s="14" t="n"/>
      <c r="G85" s="13" t="n"/>
      <c r="H85" s="17">
        <f>IF($A85="","",1)</f>
        <v/>
      </c>
    </row>
    <row r="86">
      <c r="A86" s="13" t="n"/>
      <c r="B86" s="14" t="n"/>
      <c r="C86" s="14" t="n"/>
      <c r="D86" s="14" t="n"/>
      <c r="E86" s="14" t="n"/>
      <c r="F86" s="14" t="n"/>
      <c r="G86" s="13" t="n"/>
      <c r="H86" s="17">
        <f>IF($A86="","",1)</f>
        <v/>
      </c>
    </row>
    <row r="87">
      <c r="A87" s="13" t="n"/>
      <c r="B87" s="14" t="n"/>
      <c r="C87" s="14" t="n"/>
      <c r="D87" s="14" t="n"/>
      <c r="E87" s="14" t="n"/>
      <c r="F87" s="14" t="n"/>
      <c r="G87" s="13" t="n"/>
      <c r="H87" s="17">
        <f>IF($A87="","",1)</f>
        <v/>
      </c>
    </row>
    <row r="88">
      <c r="A88" s="13" t="n"/>
      <c r="B88" s="14" t="n"/>
      <c r="C88" s="14" t="n"/>
      <c r="D88" s="14" t="n"/>
      <c r="E88" s="14" t="n"/>
      <c r="F88" s="14" t="n"/>
      <c r="G88" s="13" t="n"/>
      <c r="H88" s="17">
        <f>IF($A88="","",1)</f>
        <v/>
      </c>
    </row>
    <row r="89">
      <c r="A89" s="13" t="n"/>
      <c r="B89" s="14" t="n"/>
      <c r="C89" s="14" t="n"/>
      <c r="D89" s="14" t="n"/>
      <c r="E89" s="14" t="n"/>
      <c r="F89" s="14" t="n"/>
      <c r="G89" s="13" t="n"/>
      <c r="H89" s="17">
        <f>IF($A89="","",1)</f>
        <v/>
      </c>
    </row>
    <row r="90">
      <c r="A90" s="13" t="n"/>
      <c r="B90" s="14" t="n"/>
      <c r="C90" s="14" t="n"/>
      <c r="D90" s="14" t="n"/>
      <c r="E90" s="14" t="n"/>
      <c r="F90" s="14" t="n"/>
      <c r="G90" s="13" t="n"/>
      <c r="H90" s="17">
        <f>IF($A90="","",1)</f>
        <v/>
      </c>
    </row>
    <row r="91">
      <c r="A91" s="13" t="n"/>
      <c r="B91" s="14" t="n"/>
      <c r="C91" s="14" t="n"/>
      <c r="D91" s="14" t="n"/>
      <c r="E91" s="14" t="n"/>
      <c r="F91" s="14" t="n"/>
      <c r="G91" s="13" t="n"/>
      <c r="H91" s="17">
        <f>IF($A91="","",1)</f>
        <v/>
      </c>
    </row>
    <row r="92">
      <c r="A92" s="13" t="n"/>
      <c r="B92" s="14" t="n"/>
      <c r="C92" s="14" t="n"/>
      <c r="D92" s="14" t="n"/>
      <c r="E92" s="14" t="n"/>
      <c r="F92" s="14" t="n"/>
      <c r="G92" s="13" t="n"/>
      <c r="H92" s="17">
        <f>IF($A92="","",1)</f>
        <v/>
      </c>
    </row>
    <row r="93">
      <c r="A93" s="13" t="n"/>
      <c r="B93" s="14" t="n"/>
      <c r="C93" s="14" t="n"/>
      <c r="D93" s="14" t="n"/>
      <c r="E93" s="14" t="n"/>
      <c r="F93" s="14" t="n"/>
      <c r="G93" s="13" t="n"/>
      <c r="H93" s="17">
        <f>IF($A93="","",1)</f>
        <v/>
      </c>
    </row>
    <row r="94">
      <c r="A94" s="13" t="n"/>
      <c r="B94" s="14" t="n"/>
      <c r="C94" s="14" t="n"/>
      <c r="D94" s="14" t="n"/>
      <c r="E94" s="14" t="n"/>
      <c r="F94" s="14" t="n"/>
      <c r="G94" s="13" t="n"/>
      <c r="H94" s="17">
        <f>IF($A94="","",1)</f>
        <v/>
      </c>
    </row>
    <row r="95">
      <c r="A95" s="13" t="n"/>
      <c r="B95" s="14" t="n"/>
      <c r="C95" s="14" t="n"/>
      <c r="D95" s="14" t="n"/>
      <c r="E95" s="14" t="n"/>
      <c r="F95" s="14" t="n"/>
      <c r="G95" s="13" t="n"/>
      <c r="H95" s="17">
        <f>IF($A95="","",1)</f>
        <v/>
      </c>
    </row>
    <row r="96">
      <c r="A96" s="13" t="n"/>
      <c r="B96" s="14" t="n"/>
      <c r="C96" s="14" t="n"/>
      <c r="D96" s="14" t="n"/>
      <c r="E96" s="14" t="n"/>
      <c r="F96" s="14" t="n"/>
      <c r="G96" s="13" t="n"/>
      <c r="H96" s="17">
        <f>IF($A96="","",1)</f>
        <v/>
      </c>
    </row>
    <row r="97">
      <c r="A97" s="13" t="n"/>
      <c r="B97" s="14" t="n"/>
      <c r="C97" s="14" t="n"/>
      <c r="D97" s="14" t="n"/>
      <c r="E97" s="14" t="n"/>
      <c r="F97" s="14" t="n"/>
      <c r="G97" s="13" t="n"/>
      <c r="H97" s="17">
        <f>IF($A97="","",1)</f>
        <v/>
      </c>
    </row>
    <row r="98">
      <c r="A98" s="13" t="n"/>
      <c r="B98" s="14" t="n"/>
      <c r="C98" s="14" t="n"/>
      <c r="D98" s="14" t="n"/>
      <c r="E98" s="14" t="n"/>
      <c r="F98" s="14" t="n"/>
      <c r="G98" s="13" t="n"/>
      <c r="H98" s="17">
        <f>IF($A98="","",1)</f>
        <v/>
      </c>
    </row>
    <row r="99">
      <c r="A99" s="13" t="n"/>
      <c r="B99" s="14" t="n"/>
      <c r="C99" s="14" t="n"/>
      <c r="D99" s="14" t="n"/>
      <c r="E99" s="14" t="n"/>
      <c r="F99" s="14" t="n"/>
      <c r="G99" s="13" t="n"/>
      <c r="H99" s="17">
        <f>IF($A99="","",1)</f>
        <v/>
      </c>
    </row>
    <row r="100">
      <c r="A100" s="13" t="n"/>
      <c r="B100" s="14" t="n"/>
      <c r="C100" s="14" t="n"/>
      <c r="D100" s="14" t="n"/>
      <c r="E100" s="14" t="n"/>
      <c r="F100" s="14" t="n"/>
      <c r="G100" s="13" t="n"/>
      <c r="H100" s="17">
        <f>IF($A100="","",1)</f>
        <v/>
      </c>
    </row>
    <row r="101">
      <c r="A101" s="13" t="n"/>
      <c r="B101" s="14" t="n"/>
      <c r="C101" s="14" t="n"/>
      <c r="D101" s="14" t="n"/>
      <c r="E101" s="14" t="n"/>
      <c r="F101" s="14" t="n"/>
      <c r="G101" s="13" t="n"/>
      <c r="H101" s="17">
        <f>IF($A101="","",1)</f>
        <v/>
      </c>
    </row>
    <row r="102">
      <c r="A102" s="13" t="n"/>
      <c r="B102" s="14" t="n"/>
      <c r="C102" s="14" t="n"/>
      <c r="D102" s="14" t="n"/>
      <c r="E102" s="14" t="n"/>
      <c r="F102" s="14" t="n"/>
      <c r="G102" s="13" t="n"/>
      <c r="H102" s="17">
        <f>IF($A102="","",1)</f>
        <v/>
      </c>
    </row>
    <row r="103">
      <c r="A103" s="13" t="n"/>
      <c r="B103" s="14" t="n"/>
      <c r="C103" s="14" t="n"/>
      <c r="D103" s="14" t="n"/>
      <c r="E103" s="14" t="n"/>
      <c r="F103" s="14" t="n"/>
      <c r="G103" s="13" t="n"/>
      <c r="H103" s="17">
        <f>IF($A103="","",1)</f>
        <v/>
      </c>
    </row>
    <row r="104">
      <c r="A104" s="13" t="n"/>
      <c r="B104" s="14" t="n"/>
      <c r="C104" s="14" t="n"/>
      <c r="D104" s="14" t="n"/>
      <c r="E104" s="14" t="n"/>
      <c r="F104" s="14" t="n"/>
      <c r="G104" s="13" t="n"/>
      <c r="H104" s="17">
        <f>IF($A104="","",1)</f>
        <v/>
      </c>
    </row>
    <row r="105">
      <c r="A105" s="13" t="n"/>
      <c r="B105" s="14" t="n"/>
      <c r="C105" s="14" t="n"/>
      <c r="D105" s="14" t="n"/>
      <c r="E105" s="14" t="n"/>
      <c r="F105" s="14" t="n"/>
      <c r="G105" s="13" t="n"/>
      <c r="H105" s="17">
        <f>IF($A105="","",1)</f>
        <v/>
      </c>
    </row>
    <row r="106">
      <c r="A106" s="13" t="n"/>
      <c r="B106" s="14" t="n"/>
      <c r="C106" s="14" t="n"/>
      <c r="D106" s="14" t="n"/>
      <c r="E106" s="14" t="n"/>
      <c r="F106" s="14" t="n"/>
      <c r="G106" s="13" t="n"/>
      <c r="H106" s="17">
        <f>IF($A106="","",1)</f>
        <v/>
      </c>
    </row>
    <row r="107">
      <c r="A107" s="13" t="n"/>
      <c r="B107" s="14" t="n"/>
      <c r="C107" s="14" t="n"/>
      <c r="D107" s="14" t="n"/>
      <c r="E107" s="14" t="n"/>
      <c r="F107" s="14" t="n"/>
      <c r="G107" s="13" t="n"/>
      <c r="H107" s="17">
        <f>IF($A107="","",1)</f>
        <v/>
      </c>
    </row>
    <row r="108">
      <c r="A108" s="13" t="n"/>
      <c r="B108" s="14" t="n"/>
      <c r="C108" s="14" t="n"/>
      <c r="D108" s="14" t="n"/>
      <c r="E108" s="14" t="n"/>
      <c r="F108" s="14" t="n"/>
      <c r="G108" s="13" t="n"/>
      <c r="H108" s="17">
        <f>IF($A108="","",1)</f>
        <v/>
      </c>
    </row>
    <row r="109">
      <c r="A109" s="13" t="n"/>
      <c r="B109" s="14" t="n"/>
      <c r="C109" s="14" t="n"/>
      <c r="D109" s="14" t="n"/>
      <c r="E109" s="14" t="n"/>
      <c r="F109" s="14" t="n"/>
      <c r="G109" s="13" t="n"/>
      <c r="H109" s="17">
        <f>IF($A109="","",1)</f>
        <v/>
      </c>
    </row>
    <row r="110">
      <c r="A110" s="13" t="n"/>
      <c r="B110" s="14" t="n"/>
      <c r="C110" s="14" t="n"/>
      <c r="D110" s="14" t="n"/>
      <c r="E110" s="14" t="n"/>
      <c r="F110" s="14" t="n"/>
      <c r="G110" s="13" t="n"/>
      <c r="H110" s="17">
        <f>IF($A110="","",1)</f>
        <v/>
      </c>
    </row>
    <row r="111">
      <c r="A111" s="13" t="n"/>
      <c r="B111" s="14" t="n"/>
      <c r="C111" s="14" t="n"/>
      <c r="D111" s="14" t="n"/>
      <c r="E111" s="14" t="n"/>
      <c r="F111" s="14" t="n"/>
      <c r="G111" s="13" t="n"/>
      <c r="H111" s="17">
        <f>IF($A111="","",1)</f>
        <v/>
      </c>
    </row>
    <row r="112">
      <c r="A112" s="13" t="n"/>
      <c r="B112" s="14" t="n"/>
      <c r="C112" s="14" t="n"/>
      <c r="D112" s="14" t="n"/>
      <c r="E112" s="14" t="n"/>
      <c r="F112" s="14" t="n"/>
      <c r="G112" s="13" t="n"/>
      <c r="H112" s="17">
        <f>IF($A112="","",1)</f>
        <v/>
      </c>
    </row>
    <row r="113">
      <c r="A113" s="13" t="n"/>
      <c r="B113" s="14" t="n"/>
      <c r="C113" s="14" t="n"/>
      <c r="D113" s="14" t="n"/>
      <c r="E113" s="14" t="n"/>
      <c r="F113" s="14" t="n"/>
      <c r="G113" s="13" t="n"/>
      <c r="H113" s="17">
        <f>IF($A113="","",1)</f>
        <v/>
      </c>
    </row>
    <row r="114">
      <c r="A114" s="13" t="n"/>
      <c r="B114" s="14" t="n"/>
      <c r="C114" s="14" t="n"/>
      <c r="D114" s="14" t="n"/>
      <c r="E114" s="14" t="n"/>
      <c r="F114" s="14" t="n"/>
      <c r="G114" s="13" t="n"/>
      <c r="H114" s="17">
        <f>IF($A114="","",1)</f>
        <v/>
      </c>
    </row>
    <row r="115">
      <c r="A115" s="13" t="n"/>
      <c r="B115" s="14" t="n"/>
      <c r="C115" s="14" t="n"/>
      <c r="D115" s="14" t="n"/>
      <c r="E115" s="14" t="n"/>
      <c r="F115" s="14" t="n"/>
      <c r="G115" s="13" t="n"/>
      <c r="H115" s="17">
        <f>IF($A115="","",1)</f>
        <v/>
      </c>
    </row>
    <row r="116">
      <c r="A116" s="13" t="n"/>
      <c r="B116" s="14" t="n"/>
      <c r="C116" s="14" t="n"/>
      <c r="D116" s="14" t="n"/>
      <c r="E116" s="14" t="n"/>
      <c r="F116" s="14" t="n"/>
      <c r="G116" s="13" t="n"/>
      <c r="H116" s="17">
        <f>IF($A116="","",1)</f>
        <v/>
      </c>
    </row>
    <row r="117">
      <c r="A117" s="13" t="n"/>
      <c r="B117" s="14" t="n"/>
      <c r="C117" s="14" t="n"/>
      <c r="D117" s="14" t="n"/>
      <c r="E117" s="14" t="n"/>
      <c r="F117" s="14" t="n"/>
      <c r="G117" s="13" t="n"/>
      <c r="H117" s="17">
        <f>IF($A117="","",1)</f>
        <v/>
      </c>
    </row>
    <row r="118">
      <c r="A118" s="13" t="n"/>
      <c r="B118" s="14" t="n"/>
      <c r="C118" s="14" t="n"/>
      <c r="D118" s="14" t="n"/>
      <c r="E118" s="14" t="n"/>
      <c r="F118" s="14" t="n"/>
      <c r="G118" s="13" t="n"/>
      <c r="H118" s="17">
        <f>IF($A118="","",1)</f>
        <v/>
      </c>
    </row>
    <row r="119">
      <c r="A119" s="13" t="n"/>
      <c r="B119" s="14" t="n"/>
      <c r="C119" s="14" t="n"/>
      <c r="D119" s="14" t="n"/>
      <c r="E119" s="14" t="n"/>
      <c r="F119" s="14" t="n"/>
      <c r="G119" s="13" t="n"/>
      <c r="H119" s="17">
        <f>IF($A119="","",1)</f>
        <v/>
      </c>
    </row>
    <row r="120">
      <c r="A120" s="13" t="n"/>
      <c r="B120" s="14" t="n"/>
      <c r="C120" s="14" t="n"/>
      <c r="D120" s="14" t="n"/>
      <c r="E120" s="14" t="n"/>
      <c r="F120" s="14" t="n"/>
      <c r="G120" s="13" t="n"/>
      <c r="H120" s="17">
        <f>IF($A120="","",1)</f>
        <v/>
      </c>
    </row>
    <row r="121">
      <c r="A121" s="13" t="n"/>
      <c r="B121" s="14" t="n"/>
      <c r="C121" s="14" t="n"/>
      <c r="D121" s="14" t="n"/>
      <c r="E121" s="14" t="n"/>
      <c r="F121" s="14" t="n"/>
      <c r="G121" s="13" t="n"/>
      <c r="H121" s="17">
        <f>IF($A121="","",1)</f>
        <v/>
      </c>
    </row>
    <row r="122">
      <c r="A122" s="13" t="n"/>
      <c r="B122" s="14" t="n"/>
      <c r="C122" s="14" t="n"/>
      <c r="D122" s="14" t="n"/>
      <c r="E122" s="14" t="n"/>
      <c r="F122" s="14" t="n"/>
      <c r="G122" s="13" t="n"/>
      <c r="H122" s="17">
        <f>IF($A122="","",1)</f>
        <v/>
      </c>
    </row>
    <row r="123">
      <c r="A123" s="13" t="n"/>
      <c r="B123" s="14" t="n"/>
      <c r="C123" s="14" t="n"/>
      <c r="D123" s="14" t="n"/>
      <c r="E123" s="14" t="n"/>
      <c r="F123" s="14" t="n"/>
      <c r="G123" s="13" t="n"/>
      <c r="H123" s="17">
        <f>IF($A123="","",1)</f>
        <v/>
      </c>
    </row>
    <row r="124">
      <c r="A124" s="13" t="n"/>
      <c r="B124" s="14" t="n"/>
      <c r="C124" s="14" t="n"/>
      <c r="D124" s="14" t="n"/>
      <c r="E124" s="14" t="n"/>
      <c r="F124" s="14" t="n"/>
      <c r="G124" s="13" t="n"/>
      <c r="H124" s="17">
        <f>IF($A124="","",1)</f>
        <v/>
      </c>
    </row>
    <row r="125">
      <c r="A125" s="13" t="n"/>
      <c r="B125" s="14" t="n"/>
      <c r="C125" s="14" t="n"/>
      <c r="D125" s="14" t="n"/>
      <c r="E125" s="14" t="n"/>
      <c r="F125" s="14" t="n"/>
      <c r="G125" s="13" t="n"/>
      <c r="H125" s="17">
        <f>IF($A125="","",1)</f>
        <v/>
      </c>
    </row>
    <row r="126">
      <c r="A126" s="13" t="n"/>
      <c r="B126" s="14" t="n"/>
      <c r="C126" s="14" t="n"/>
      <c r="D126" s="14" t="n"/>
      <c r="E126" s="14" t="n"/>
      <c r="F126" s="14" t="n"/>
      <c r="G126" s="13" t="n"/>
      <c r="H126" s="17">
        <f>IF($A126="","",1)</f>
        <v/>
      </c>
    </row>
    <row r="127">
      <c r="A127" s="13" t="n"/>
      <c r="B127" s="14" t="n"/>
      <c r="C127" s="14" t="n"/>
      <c r="D127" s="14" t="n"/>
      <c r="E127" s="14" t="n"/>
      <c r="F127" s="14" t="n"/>
      <c r="G127" s="13" t="n"/>
      <c r="H127" s="17">
        <f>IF($A127="","",1)</f>
        <v/>
      </c>
    </row>
    <row r="128">
      <c r="A128" s="13" t="n"/>
      <c r="B128" s="14" t="n"/>
      <c r="C128" s="14" t="n"/>
      <c r="D128" s="14" t="n"/>
      <c r="E128" s="14" t="n"/>
      <c r="F128" s="14" t="n"/>
      <c r="G128" s="13" t="n"/>
      <c r="H128" s="17">
        <f>IF($A128="","",1)</f>
        <v/>
      </c>
    </row>
    <row r="129">
      <c r="A129" s="13" t="n"/>
      <c r="B129" s="14" t="n"/>
      <c r="C129" s="14" t="n"/>
      <c r="D129" s="14" t="n"/>
      <c r="E129" s="14" t="n"/>
      <c r="F129" s="14" t="n"/>
      <c r="G129" s="13" t="n"/>
      <c r="H129" s="17">
        <f>IF($A129="","",1)</f>
        <v/>
      </c>
    </row>
    <row r="130">
      <c r="A130" s="13" t="n"/>
      <c r="B130" s="14" t="n"/>
      <c r="C130" s="14" t="n"/>
      <c r="D130" s="14" t="n"/>
      <c r="E130" s="14" t="n"/>
      <c r="F130" s="14" t="n"/>
      <c r="G130" s="13" t="n"/>
      <c r="H130" s="17">
        <f>IF($A130="","",1)</f>
        <v/>
      </c>
    </row>
    <row r="131">
      <c r="A131" s="13" t="n"/>
      <c r="B131" s="14" t="n"/>
      <c r="C131" s="14" t="n"/>
      <c r="D131" s="14" t="n"/>
      <c r="E131" s="14" t="n"/>
      <c r="F131" s="14" t="n"/>
      <c r="G131" s="13" t="n"/>
      <c r="H131" s="17">
        <f>IF($A131="","",1)</f>
        <v/>
      </c>
    </row>
    <row r="132">
      <c r="A132" s="13" t="n"/>
      <c r="B132" s="14" t="n"/>
      <c r="C132" s="14" t="n"/>
      <c r="D132" s="14" t="n"/>
      <c r="E132" s="14" t="n"/>
      <c r="F132" s="14" t="n"/>
      <c r="G132" s="13" t="n"/>
      <c r="H132" s="17">
        <f>IF($A132="","",1)</f>
        <v/>
      </c>
    </row>
    <row r="133">
      <c r="A133" s="13" t="n"/>
      <c r="B133" s="14" t="n"/>
      <c r="C133" s="14" t="n"/>
      <c r="D133" s="14" t="n"/>
      <c r="E133" s="14" t="n"/>
      <c r="F133" s="14" t="n"/>
      <c r="G133" s="13" t="n"/>
      <c r="H133" s="17">
        <f>IF($A133="","",1)</f>
        <v/>
      </c>
    </row>
    <row r="134">
      <c r="A134" s="13" t="n"/>
      <c r="B134" s="14" t="n"/>
      <c r="C134" s="14" t="n"/>
      <c r="D134" s="14" t="n"/>
      <c r="E134" s="14" t="n"/>
      <c r="F134" s="14" t="n"/>
      <c r="G134" s="13" t="n"/>
      <c r="H134" s="17">
        <f>IF($A134="","",1)</f>
        <v/>
      </c>
    </row>
    <row r="135">
      <c r="A135" s="13" t="n"/>
      <c r="B135" s="14" t="n"/>
      <c r="C135" s="14" t="n"/>
      <c r="D135" s="14" t="n"/>
      <c r="E135" s="14" t="n"/>
      <c r="F135" s="14" t="n"/>
      <c r="G135" s="13" t="n"/>
      <c r="H135" s="17">
        <f>IF($A135="","",1)</f>
        <v/>
      </c>
    </row>
    <row r="136">
      <c r="A136" s="13" t="n"/>
      <c r="B136" s="14" t="n"/>
      <c r="C136" s="14" t="n"/>
      <c r="D136" s="14" t="n"/>
      <c r="E136" s="14" t="n"/>
      <c r="F136" s="14" t="n"/>
      <c r="G136" s="13" t="n"/>
      <c r="H136" s="17">
        <f>IF($A136="","",1)</f>
        <v/>
      </c>
    </row>
    <row r="137">
      <c r="A137" s="13" t="n"/>
      <c r="B137" s="14" t="n"/>
      <c r="C137" s="14" t="n"/>
      <c r="D137" s="14" t="n"/>
      <c r="E137" s="14" t="n"/>
      <c r="F137" s="14" t="n"/>
      <c r="G137" s="13" t="n"/>
      <c r="H137" s="17">
        <f>IF($A137="","",1)</f>
        <v/>
      </c>
    </row>
    <row r="138">
      <c r="A138" s="13" t="n"/>
      <c r="B138" s="14" t="n"/>
      <c r="C138" s="14" t="n"/>
      <c r="D138" s="14" t="n"/>
      <c r="E138" s="14" t="n"/>
      <c r="F138" s="14" t="n"/>
      <c r="G138" s="13" t="n"/>
      <c r="H138" s="17">
        <f>IF($A138="","",1)</f>
        <v/>
      </c>
    </row>
    <row r="139">
      <c r="A139" s="13" t="n"/>
      <c r="B139" s="14" t="n"/>
      <c r="C139" s="14" t="n"/>
      <c r="D139" s="14" t="n"/>
      <c r="E139" s="14" t="n"/>
      <c r="F139" s="14" t="n"/>
      <c r="G139" s="13" t="n"/>
      <c r="H139" s="17">
        <f>IF($A139="","",1)</f>
        <v/>
      </c>
    </row>
    <row r="140">
      <c r="A140" s="13" t="n"/>
      <c r="B140" s="14" t="n"/>
      <c r="C140" s="14" t="n"/>
      <c r="D140" s="14" t="n"/>
      <c r="E140" s="14" t="n"/>
      <c r="F140" s="14" t="n"/>
      <c r="G140" s="13" t="n"/>
      <c r="H140" s="17">
        <f>IF($A140="","",1)</f>
        <v/>
      </c>
    </row>
    <row r="141">
      <c r="A141" s="13" t="n"/>
      <c r="B141" s="14" t="n"/>
      <c r="C141" s="14" t="n"/>
      <c r="D141" s="14" t="n"/>
      <c r="E141" s="14" t="n"/>
      <c r="F141" s="14" t="n"/>
      <c r="G141" s="13" t="n"/>
      <c r="H141" s="17">
        <f>IF($A141="","",1)</f>
        <v/>
      </c>
    </row>
    <row r="142">
      <c r="A142" s="13" t="n"/>
      <c r="B142" s="14" t="n"/>
      <c r="C142" s="14" t="n"/>
      <c r="D142" s="14" t="n"/>
      <c r="E142" s="14" t="n"/>
      <c r="F142" s="14" t="n"/>
      <c r="G142" s="13" t="n"/>
      <c r="H142" s="17">
        <f>IF($A142="","",1)</f>
        <v/>
      </c>
    </row>
    <row r="143">
      <c r="A143" s="13" t="n"/>
      <c r="B143" s="14" t="n"/>
      <c r="C143" s="14" t="n"/>
      <c r="D143" s="14" t="n"/>
      <c r="E143" s="14" t="n"/>
      <c r="F143" s="14" t="n"/>
      <c r="G143" s="13" t="n"/>
      <c r="H143" s="17">
        <f>IF($A143="","",1)</f>
        <v/>
      </c>
    </row>
    <row r="144">
      <c r="A144" s="13" t="n"/>
      <c r="B144" s="14" t="n"/>
      <c r="C144" s="14" t="n"/>
      <c r="D144" s="14" t="n"/>
      <c r="E144" s="14" t="n"/>
      <c r="F144" s="14" t="n"/>
      <c r="G144" s="13" t="n"/>
      <c r="H144" s="17">
        <f>IF($A144="","",1)</f>
        <v/>
      </c>
    </row>
    <row r="145">
      <c r="A145" s="13" t="n"/>
      <c r="B145" s="14" t="n"/>
      <c r="C145" s="14" t="n"/>
      <c r="D145" s="14" t="n"/>
      <c r="E145" s="14" t="n"/>
      <c r="F145" s="14" t="n"/>
      <c r="G145" s="13" t="n"/>
      <c r="H145" s="17">
        <f>IF($A145="","",1)</f>
        <v/>
      </c>
    </row>
    <row r="146">
      <c r="A146" s="13" t="n"/>
      <c r="B146" s="14" t="n"/>
      <c r="C146" s="14" t="n"/>
      <c r="D146" s="14" t="n"/>
      <c r="E146" s="14" t="n"/>
      <c r="F146" s="14" t="n"/>
      <c r="G146" s="13" t="n"/>
      <c r="H146" s="17">
        <f>IF($A146="","",1)</f>
        <v/>
      </c>
    </row>
    <row r="147">
      <c r="A147" s="13" t="n"/>
      <c r="B147" s="14" t="n"/>
      <c r="C147" s="14" t="n"/>
      <c r="D147" s="14" t="n"/>
      <c r="E147" s="14" t="n"/>
      <c r="F147" s="14" t="n"/>
      <c r="G147" s="13" t="n"/>
      <c r="H147" s="17">
        <f>IF($A147="","",1)</f>
        <v/>
      </c>
    </row>
    <row r="148">
      <c r="A148" s="13" t="n"/>
      <c r="B148" s="14" t="n"/>
      <c r="C148" s="14" t="n"/>
      <c r="D148" s="14" t="n"/>
      <c r="E148" s="14" t="n"/>
      <c r="F148" s="14" t="n"/>
      <c r="G148" s="13" t="n"/>
      <c r="H148" s="17">
        <f>IF($A148="","",1)</f>
        <v/>
      </c>
    </row>
    <row r="149">
      <c r="A149" s="13" t="n"/>
      <c r="B149" s="14" t="n"/>
      <c r="C149" s="14" t="n"/>
      <c r="D149" s="14" t="n"/>
      <c r="E149" s="14" t="n"/>
      <c r="F149" s="14" t="n"/>
      <c r="G149" s="13" t="n"/>
      <c r="H149" s="17">
        <f>IF($A149="","",1)</f>
        <v/>
      </c>
    </row>
    <row r="150">
      <c r="A150" s="13" t="n"/>
      <c r="B150" s="14" t="n"/>
      <c r="C150" s="14" t="n"/>
      <c r="D150" s="14" t="n"/>
      <c r="E150" s="14" t="n"/>
      <c r="F150" s="14" t="n"/>
      <c r="G150" s="13" t="n"/>
      <c r="H150" s="17">
        <f>IF($A150="","",1)</f>
        <v/>
      </c>
    </row>
    <row r="151">
      <c r="A151" s="13" t="n"/>
      <c r="B151" s="14" t="n"/>
      <c r="C151" s="14" t="n"/>
      <c r="D151" s="14" t="n"/>
      <c r="E151" s="14" t="n"/>
      <c r="F151" s="14" t="n"/>
      <c r="G151" s="13" t="n"/>
      <c r="H151" s="17">
        <f>IF($A151="","",1)</f>
        <v/>
      </c>
    </row>
    <row r="152">
      <c r="A152" s="13" t="n"/>
      <c r="B152" s="14" t="n"/>
      <c r="C152" s="14" t="n"/>
      <c r="D152" s="14" t="n"/>
      <c r="E152" s="14" t="n"/>
      <c r="F152" s="14" t="n"/>
      <c r="G152" s="13" t="n"/>
      <c r="H152" s="17">
        <f>IF($A152="","",1)</f>
        <v/>
      </c>
    </row>
    <row r="153">
      <c r="A153" s="13" t="n"/>
      <c r="B153" s="14" t="n"/>
      <c r="C153" s="14" t="n"/>
      <c r="D153" s="14" t="n"/>
      <c r="E153" s="14" t="n"/>
      <c r="F153" s="14" t="n"/>
      <c r="G153" s="13" t="n"/>
      <c r="H153" s="17">
        <f>IF($A153="","",1)</f>
        <v/>
      </c>
    </row>
    <row r="154">
      <c r="A154" s="13" t="n"/>
      <c r="B154" s="14" t="n"/>
      <c r="C154" s="14" t="n"/>
      <c r="D154" s="14" t="n"/>
      <c r="E154" s="14" t="n"/>
      <c r="F154" s="14" t="n"/>
      <c r="G154" s="13" t="n"/>
      <c r="H154" s="17">
        <f>IF($A154="","",1)</f>
        <v/>
      </c>
    </row>
    <row r="155">
      <c r="A155" s="13" t="n"/>
      <c r="B155" s="14" t="n"/>
      <c r="C155" s="14" t="n"/>
      <c r="D155" s="14" t="n"/>
      <c r="E155" s="14" t="n"/>
      <c r="F155" s="14" t="n"/>
      <c r="G155" s="13" t="n"/>
      <c r="H155" s="17">
        <f>IF($A155="","",1)</f>
        <v/>
      </c>
    </row>
    <row r="156">
      <c r="A156" s="13" t="n"/>
      <c r="B156" s="14" t="n"/>
      <c r="C156" s="14" t="n"/>
      <c r="D156" s="14" t="n"/>
      <c r="E156" s="14" t="n"/>
      <c r="F156" s="14" t="n"/>
      <c r="G156" s="13" t="n"/>
      <c r="H156" s="17">
        <f>IF($A156="","",1)</f>
        <v/>
      </c>
    </row>
    <row r="157">
      <c r="A157" s="13" t="n"/>
      <c r="B157" s="14" t="n"/>
      <c r="C157" s="14" t="n"/>
      <c r="D157" s="14" t="n"/>
      <c r="E157" s="14" t="n"/>
      <c r="F157" s="14" t="n"/>
      <c r="G157" s="13" t="n"/>
      <c r="H157" s="17">
        <f>IF($A157="","",1)</f>
        <v/>
      </c>
    </row>
    <row r="158">
      <c r="A158" s="13" t="n"/>
      <c r="B158" s="14" t="n"/>
      <c r="C158" s="14" t="n"/>
      <c r="D158" s="14" t="n"/>
      <c r="E158" s="14" t="n"/>
      <c r="F158" s="14" t="n"/>
      <c r="G158" s="13" t="n"/>
      <c r="H158" s="17">
        <f>IF($A158="","",1)</f>
        <v/>
      </c>
    </row>
    <row r="159">
      <c r="A159" s="13" t="n"/>
      <c r="B159" s="14" t="n"/>
      <c r="C159" s="14" t="n"/>
      <c r="D159" s="14" t="n"/>
      <c r="E159" s="14" t="n"/>
      <c r="F159" s="14" t="n"/>
      <c r="G159" s="13" t="n"/>
      <c r="H159" s="17">
        <f>IF($A159="","",1)</f>
        <v/>
      </c>
    </row>
    <row r="160">
      <c r="A160" s="13" t="n"/>
      <c r="B160" s="14" t="n"/>
      <c r="C160" s="14" t="n"/>
      <c r="D160" s="14" t="n"/>
      <c r="E160" s="14" t="n"/>
      <c r="F160" s="14" t="n"/>
      <c r="G160" s="13" t="n"/>
      <c r="H160" s="17">
        <f>IF($A160="","",1)</f>
        <v/>
      </c>
    </row>
    <row r="161">
      <c r="A161" s="13" t="n"/>
      <c r="B161" s="14" t="n"/>
      <c r="C161" s="14" t="n"/>
      <c r="D161" s="14" t="n"/>
      <c r="E161" s="14" t="n"/>
      <c r="F161" s="14" t="n"/>
      <c r="G161" s="13" t="n"/>
      <c r="H161" s="17">
        <f>IF($A161="","",1)</f>
        <v/>
      </c>
    </row>
    <row r="162">
      <c r="A162" s="13" t="n"/>
      <c r="B162" s="14" t="n"/>
      <c r="C162" s="14" t="n"/>
      <c r="D162" s="14" t="n"/>
      <c r="E162" s="14" t="n"/>
      <c r="F162" s="14" t="n"/>
      <c r="G162" s="13" t="n"/>
      <c r="H162" s="17">
        <f>IF($A162="","",1)</f>
        <v/>
      </c>
    </row>
    <row r="163">
      <c r="A163" s="13" t="n"/>
      <c r="B163" s="14" t="n"/>
      <c r="C163" s="14" t="n"/>
      <c r="D163" s="14" t="n"/>
      <c r="E163" s="14" t="n"/>
      <c r="F163" s="14" t="n"/>
      <c r="G163" s="13" t="n"/>
      <c r="H163" s="17">
        <f>IF($A163="","",1)</f>
        <v/>
      </c>
    </row>
    <row r="164">
      <c r="A164" s="13" t="n"/>
      <c r="B164" s="14" t="n"/>
      <c r="C164" s="14" t="n"/>
      <c r="D164" s="14" t="n"/>
      <c r="E164" s="14" t="n"/>
      <c r="F164" s="14" t="n"/>
      <c r="G164" s="13" t="n"/>
      <c r="H164" s="17">
        <f>IF($A164="","",1)</f>
        <v/>
      </c>
    </row>
    <row r="165">
      <c r="A165" s="13" t="n"/>
      <c r="B165" s="14" t="n"/>
      <c r="C165" s="14" t="n"/>
      <c r="D165" s="14" t="n"/>
      <c r="E165" s="14" t="n"/>
      <c r="F165" s="14" t="n"/>
      <c r="G165" s="13" t="n"/>
      <c r="H165" s="17">
        <f>IF($A165="","",1)</f>
        <v/>
      </c>
    </row>
    <row r="166">
      <c r="A166" s="13" t="n"/>
      <c r="B166" s="14" t="n"/>
      <c r="C166" s="14" t="n"/>
      <c r="D166" s="14" t="n"/>
      <c r="E166" s="14" t="n"/>
      <c r="F166" s="14" t="n"/>
      <c r="G166" s="13" t="n"/>
      <c r="H166" s="17">
        <f>IF($A166="","",1)</f>
        <v/>
      </c>
    </row>
    <row r="167">
      <c r="A167" s="13" t="n"/>
      <c r="B167" s="14" t="n"/>
      <c r="C167" s="14" t="n"/>
      <c r="D167" s="14" t="n"/>
      <c r="E167" s="14" t="n"/>
      <c r="F167" s="14" t="n"/>
      <c r="G167" s="13" t="n"/>
      <c r="H167" s="17">
        <f>IF($A167="","",1)</f>
        <v/>
      </c>
    </row>
    <row r="168">
      <c r="A168" s="13" t="n"/>
      <c r="B168" s="14" t="n"/>
      <c r="C168" s="14" t="n"/>
      <c r="D168" s="14" t="n"/>
      <c r="E168" s="14" t="n"/>
      <c r="F168" s="14" t="n"/>
      <c r="G168" s="13" t="n"/>
      <c r="H168" s="17">
        <f>IF($A168="","",1)</f>
        <v/>
      </c>
    </row>
    <row r="169">
      <c r="A169" s="13" t="n"/>
      <c r="B169" s="14" t="n"/>
      <c r="C169" s="14" t="n"/>
      <c r="D169" s="14" t="n"/>
      <c r="E169" s="14" t="n"/>
      <c r="F169" s="14" t="n"/>
      <c r="G169" s="13" t="n"/>
      <c r="H169" s="17">
        <f>IF($A169="","",1)</f>
        <v/>
      </c>
    </row>
    <row r="170">
      <c r="A170" s="13" t="n"/>
      <c r="B170" s="14" t="n"/>
      <c r="C170" s="14" t="n"/>
      <c r="D170" s="14" t="n"/>
      <c r="E170" s="14" t="n"/>
      <c r="F170" s="14" t="n"/>
      <c r="G170" s="13" t="n"/>
      <c r="H170" s="17">
        <f>IF($A170="","",1)</f>
        <v/>
      </c>
    </row>
    <row r="171">
      <c r="A171" s="13" t="n"/>
      <c r="B171" s="14" t="n"/>
      <c r="C171" s="14" t="n"/>
      <c r="D171" s="14" t="n"/>
      <c r="E171" s="14" t="n"/>
      <c r="F171" s="14" t="n"/>
      <c r="G171" s="13" t="n"/>
      <c r="H171" s="17">
        <f>IF($A171="","",1)</f>
        <v/>
      </c>
    </row>
    <row r="172">
      <c r="A172" s="13" t="n"/>
      <c r="B172" s="14" t="n"/>
      <c r="C172" s="14" t="n"/>
      <c r="D172" s="14" t="n"/>
      <c r="E172" s="14" t="n"/>
      <c r="F172" s="14" t="n"/>
      <c r="G172" s="13" t="n"/>
      <c r="H172" s="17">
        <f>IF($A172="","",1)</f>
        <v/>
      </c>
    </row>
    <row r="173">
      <c r="A173" s="13" t="n"/>
      <c r="B173" s="14" t="n"/>
      <c r="C173" s="14" t="n"/>
      <c r="D173" s="14" t="n"/>
      <c r="E173" s="14" t="n"/>
      <c r="F173" s="14" t="n"/>
      <c r="G173" s="13" t="n"/>
      <c r="H173" s="17">
        <f>IF($A173="","",1)</f>
        <v/>
      </c>
    </row>
    <row r="174">
      <c r="A174" s="13" t="n"/>
      <c r="B174" s="14" t="n"/>
      <c r="C174" s="14" t="n"/>
      <c r="D174" s="14" t="n"/>
      <c r="E174" s="14" t="n"/>
      <c r="F174" s="14" t="n"/>
      <c r="G174" s="13" t="n"/>
      <c r="H174" s="17">
        <f>IF($A174="","",1)</f>
        <v/>
      </c>
    </row>
    <row r="175">
      <c r="A175" s="13" t="n"/>
      <c r="B175" s="14" t="n"/>
      <c r="C175" s="14" t="n"/>
      <c r="D175" s="14" t="n"/>
      <c r="E175" s="14" t="n"/>
      <c r="F175" s="14" t="n"/>
      <c r="G175" s="13" t="n"/>
      <c r="H175" s="17">
        <f>IF($A175="","",1)</f>
        <v/>
      </c>
    </row>
    <row r="176">
      <c r="A176" s="13" t="n"/>
      <c r="B176" s="14" t="n"/>
      <c r="C176" s="14" t="n"/>
      <c r="D176" s="14" t="n"/>
      <c r="E176" s="14" t="n"/>
      <c r="F176" s="14" t="n"/>
      <c r="G176" s="13" t="n"/>
      <c r="H176" s="17">
        <f>IF($A176="","",1)</f>
        <v/>
      </c>
    </row>
    <row r="177">
      <c r="A177" s="13" t="n"/>
      <c r="B177" s="14" t="n"/>
      <c r="C177" s="14" t="n"/>
      <c r="D177" s="14" t="n"/>
      <c r="E177" s="14" t="n"/>
      <c r="F177" s="14" t="n"/>
      <c r="G177" s="13" t="n"/>
      <c r="H177" s="17">
        <f>IF($A177="","",1)</f>
        <v/>
      </c>
    </row>
    <row r="178">
      <c r="A178" s="13" t="n"/>
      <c r="B178" s="14" t="n"/>
      <c r="C178" s="14" t="n"/>
      <c r="D178" s="14" t="n"/>
      <c r="E178" s="14" t="n"/>
      <c r="F178" s="14" t="n"/>
      <c r="G178" s="13" t="n"/>
      <c r="H178" s="17">
        <f>IF($A178="","",1)</f>
        <v/>
      </c>
    </row>
    <row r="179">
      <c r="A179" s="13" t="n"/>
      <c r="B179" s="14" t="n"/>
      <c r="C179" s="14" t="n"/>
      <c r="D179" s="14" t="n"/>
      <c r="E179" s="14" t="n"/>
      <c r="F179" s="14" t="n"/>
      <c r="G179" s="13" t="n"/>
      <c r="H179" s="17">
        <f>IF($A179="","",1)</f>
        <v/>
      </c>
    </row>
    <row r="180">
      <c r="A180" s="13" t="n"/>
      <c r="B180" s="14" t="n"/>
      <c r="C180" s="14" t="n"/>
      <c r="D180" s="14" t="n"/>
      <c r="E180" s="14" t="n"/>
      <c r="F180" s="14" t="n"/>
      <c r="G180" s="13" t="n"/>
      <c r="H180" s="17">
        <f>IF($A180="","",1)</f>
        <v/>
      </c>
    </row>
    <row r="181">
      <c r="A181" s="13" t="n"/>
      <c r="B181" s="14" t="n"/>
      <c r="C181" s="14" t="n"/>
      <c r="D181" s="14" t="n"/>
      <c r="E181" s="14" t="n"/>
      <c r="F181" s="14" t="n"/>
      <c r="G181" s="13" t="n"/>
      <c r="H181" s="17">
        <f>IF($A181="","",1)</f>
        <v/>
      </c>
    </row>
    <row r="182">
      <c r="A182" s="13" t="n"/>
      <c r="B182" s="14" t="n"/>
      <c r="C182" s="14" t="n"/>
      <c r="D182" s="14" t="n"/>
      <c r="E182" s="14" t="n"/>
      <c r="F182" s="14" t="n"/>
      <c r="G182" s="13" t="n"/>
      <c r="H182" s="17">
        <f>IF($A182="","",1)</f>
        <v/>
      </c>
    </row>
    <row r="183">
      <c r="A183" s="13" t="n"/>
      <c r="B183" s="14" t="n"/>
      <c r="C183" s="14" t="n"/>
      <c r="D183" s="14" t="n"/>
      <c r="E183" s="14" t="n"/>
      <c r="F183" s="14" t="n"/>
      <c r="G183" s="13" t="n"/>
      <c r="H183" s="17">
        <f>IF($A183="","",1)</f>
        <v/>
      </c>
    </row>
    <row r="184">
      <c r="A184" s="13" t="n"/>
      <c r="B184" s="14" t="n"/>
      <c r="C184" s="14" t="n"/>
      <c r="D184" s="14" t="n"/>
      <c r="E184" s="14" t="n"/>
      <c r="F184" s="14" t="n"/>
      <c r="G184" s="13" t="n"/>
      <c r="H184" s="17">
        <f>IF($A184="","",1)</f>
        <v/>
      </c>
    </row>
    <row r="185">
      <c r="A185" s="13" t="n"/>
      <c r="B185" s="14" t="n"/>
      <c r="C185" s="14" t="n"/>
      <c r="D185" s="14" t="n"/>
      <c r="E185" s="14" t="n"/>
      <c r="F185" s="14" t="n"/>
      <c r="G185" s="13" t="n"/>
      <c r="H185" s="17">
        <f>IF($A185="","",1)</f>
        <v/>
      </c>
    </row>
    <row r="186">
      <c r="A186" s="13" t="n"/>
      <c r="B186" s="14" t="n"/>
      <c r="C186" s="14" t="n"/>
      <c r="D186" s="14" t="n"/>
      <c r="E186" s="14" t="n"/>
      <c r="F186" s="14" t="n"/>
      <c r="G186" s="13" t="n"/>
      <c r="H186" s="17">
        <f>IF($A186="","",1)</f>
        <v/>
      </c>
    </row>
    <row r="187">
      <c r="A187" s="13" t="n"/>
      <c r="B187" s="14" t="n"/>
      <c r="C187" s="14" t="n"/>
      <c r="D187" s="14" t="n"/>
      <c r="E187" s="14" t="n"/>
      <c r="F187" s="14" t="n"/>
      <c r="G187" s="13" t="n"/>
      <c r="H187" s="17">
        <f>IF($A187="","",1)</f>
        <v/>
      </c>
    </row>
    <row r="188">
      <c r="A188" s="13" t="n"/>
      <c r="B188" s="14" t="n"/>
      <c r="C188" s="14" t="n"/>
      <c r="D188" s="14" t="n"/>
      <c r="E188" s="14" t="n"/>
      <c r="F188" s="14" t="n"/>
      <c r="G188" s="13" t="n"/>
      <c r="H188" s="17">
        <f>IF($A188="","",1)</f>
        <v/>
      </c>
    </row>
    <row r="189">
      <c r="A189" s="13" t="n"/>
      <c r="B189" s="14" t="n"/>
      <c r="C189" s="14" t="n"/>
      <c r="D189" s="14" t="n"/>
      <c r="E189" s="14" t="n"/>
      <c r="F189" s="14" t="n"/>
      <c r="G189" s="13" t="n"/>
      <c r="H189" s="17">
        <f>IF($A189="","",1)</f>
        <v/>
      </c>
    </row>
    <row r="190">
      <c r="A190" s="13" t="n"/>
      <c r="B190" s="14" t="n"/>
      <c r="C190" s="14" t="n"/>
      <c r="D190" s="14" t="n"/>
      <c r="E190" s="14" t="n"/>
      <c r="F190" s="14" t="n"/>
      <c r="G190" s="13" t="n"/>
      <c r="H190" s="17">
        <f>IF($A190="","",1)</f>
        <v/>
      </c>
    </row>
    <row r="191">
      <c r="A191" s="13" t="n"/>
      <c r="B191" s="14" t="n"/>
      <c r="C191" s="14" t="n"/>
      <c r="D191" s="14" t="n"/>
      <c r="E191" s="14" t="n"/>
      <c r="F191" s="14" t="n"/>
      <c r="G191" s="13" t="n"/>
      <c r="H191" s="17">
        <f>IF($A191="","",1)</f>
        <v/>
      </c>
    </row>
    <row r="192">
      <c r="A192" s="13" t="n"/>
      <c r="B192" s="14" t="n"/>
      <c r="C192" s="14" t="n"/>
      <c r="D192" s="14" t="n"/>
      <c r="E192" s="14" t="n"/>
      <c r="F192" s="14" t="n"/>
      <c r="G192" s="13" t="n"/>
      <c r="H192" s="17">
        <f>IF($A192="","",1)</f>
        <v/>
      </c>
    </row>
    <row r="193">
      <c r="A193" s="13" t="n"/>
      <c r="B193" s="14" t="n"/>
      <c r="C193" s="14" t="n"/>
      <c r="D193" s="14" t="n"/>
      <c r="E193" s="14" t="n"/>
      <c r="F193" s="14" t="n"/>
      <c r="G193" s="13" t="n"/>
      <c r="H193" s="17">
        <f>IF($A193="","",1)</f>
        <v/>
      </c>
    </row>
    <row r="194">
      <c r="A194" s="13" t="n"/>
      <c r="B194" s="14" t="n"/>
      <c r="C194" s="14" t="n"/>
      <c r="D194" s="14" t="n"/>
      <c r="E194" s="14" t="n"/>
      <c r="F194" s="14" t="n"/>
      <c r="G194" s="13" t="n"/>
      <c r="H194" s="17">
        <f>IF($A194="","",1)</f>
        <v/>
      </c>
    </row>
    <row r="195">
      <c r="A195" s="13" t="n"/>
      <c r="B195" s="14" t="n"/>
      <c r="C195" s="14" t="n"/>
      <c r="D195" s="14" t="n"/>
      <c r="E195" s="14" t="n"/>
      <c r="F195" s="14" t="n"/>
      <c r="G195" s="13" t="n"/>
      <c r="H195" s="17">
        <f>IF($A195="","",1)</f>
        <v/>
      </c>
    </row>
    <row r="196">
      <c r="A196" s="13" t="n"/>
      <c r="B196" s="14" t="n"/>
      <c r="C196" s="14" t="n"/>
      <c r="D196" s="14" t="n"/>
      <c r="E196" s="14" t="n"/>
      <c r="F196" s="14" t="n"/>
      <c r="G196" s="13" t="n"/>
      <c r="H196" s="17">
        <f>IF($A196="","",1)</f>
        <v/>
      </c>
    </row>
    <row r="197">
      <c r="A197" s="13" t="n"/>
      <c r="B197" s="14" t="n"/>
      <c r="C197" s="14" t="n"/>
      <c r="D197" s="14" t="n"/>
      <c r="E197" s="14" t="n"/>
      <c r="F197" s="14" t="n"/>
      <c r="G197" s="13" t="n"/>
      <c r="H197" s="17">
        <f>IF($A197="","",1)</f>
        <v/>
      </c>
    </row>
    <row r="198">
      <c r="A198" s="13" t="n"/>
      <c r="B198" s="14" t="n"/>
      <c r="C198" s="14" t="n"/>
      <c r="D198" s="14" t="n"/>
      <c r="E198" s="14" t="n"/>
      <c r="F198" s="14" t="n"/>
      <c r="G198" s="13" t="n"/>
      <c r="H198" s="17">
        <f>IF($A198="","",1)</f>
        <v/>
      </c>
    </row>
    <row r="199">
      <c r="A199" s="13" t="n"/>
      <c r="B199" s="14" t="n"/>
      <c r="C199" s="14" t="n"/>
      <c r="D199" s="14" t="n"/>
      <c r="E199" s="14" t="n"/>
      <c r="F199" s="14" t="n"/>
      <c r="G199" s="13" t="n"/>
      <c r="H199" s="17">
        <f>IF($A199="","",1)</f>
        <v/>
      </c>
    </row>
    <row r="200">
      <c r="A200" s="13" t="n"/>
      <c r="B200" s="14" t="n"/>
      <c r="C200" s="14" t="n"/>
      <c r="D200" s="14" t="n"/>
      <c r="E200" s="14" t="n"/>
      <c r="F200" s="14" t="n"/>
      <c r="G200" s="13" t="n"/>
      <c r="H200" s="17">
        <f>IF($A200="","",1)</f>
        <v/>
      </c>
    </row>
    <row r="201">
      <c r="A201" s="13" t="n"/>
      <c r="B201" s="14" t="n"/>
      <c r="C201" s="14" t="n"/>
      <c r="D201" s="14" t="n"/>
      <c r="E201" s="14" t="n"/>
      <c r="F201" s="14" t="n"/>
      <c r="G201" s="13" t="n"/>
      <c r="H201" s="17">
        <f>IF($A201="","",1)</f>
        <v/>
      </c>
    </row>
    <row r="202">
      <c r="A202" s="13" t="n"/>
      <c r="B202" s="14" t="n"/>
      <c r="C202" s="14" t="n"/>
      <c r="D202" s="14" t="n"/>
      <c r="E202" s="14" t="n"/>
      <c r="F202" s="14" t="n"/>
      <c r="G202" s="13" t="n"/>
      <c r="H202" s="17">
        <f>IF($A202="","",1)</f>
        <v/>
      </c>
    </row>
    <row r="203">
      <c r="A203" s="13" t="n"/>
      <c r="B203" s="14" t="n"/>
      <c r="C203" s="14" t="n"/>
      <c r="D203" s="14" t="n"/>
      <c r="E203" s="14" t="n"/>
      <c r="F203" s="14" t="n"/>
      <c r="G203" s="13" t="n"/>
      <c r="H203" s="17">
        <f>IF($A203="","",1)</f>
        <v/>
      </c>
    </row>
    <row r="204">
      <c r="A204" s="13" t="n"/>
      <c r="B204" s="14" t="n"/>
      <c r="C204" s="14" t="n"/>
      <c r="D204" s="14" t="n"/>
      <c r="E204" s="14" t="n"/>
      <c r="F204" s="14" t="n"/>
      <c r="G204" s="13" t="n"/>
      <c r="H204" s="17">
        <f>IF($A204="","",1)</f>
        <v/>
      </c>
    </row>
    <row r="205">
      <c r="A205" s="13" t="n"/>
      <c r="B205" s="14" t="n"/>
      <c r="C205" s="14" t="n"/>
      <c r="D205" s="14" t="n"/>
      <c r="E205" s="14" t="n"/>
      <c r="F205" s="14" t="n"/>
      <c r="G205" s="13" t="n"/>
      <c r="H205" s="17">
        <f>IF($A205="","",1)</f>
        <v/>
      </c>
    </row>
    <row r="206">
      <c r="A206" s="13" t="n"/>
      <c r="B206" s="14" t="n"/>
      <c r="C206" s="14" t="n"/>
      <c r="D206" s="14" t="n"/>
      <c r="E206" s="14" t="n"/>
      <c r="F206" s="14" t="n"/>
      <c r="G206" s="13" t="n"/>
      <c r="H206" s="17">
        <f>IF($A206="","",1)</f>
        <v/>
      </c>
    </row>
    <row r="207">
      <c r="A207" s="13" t="n"/>
      <c r="B207" s="14" t="n"/>
      <c r="C207" s="14" t="n"/>
      <c r="D207" s="14" t="n"/>
      <c r="E207" s="14" t="n"/>
      <c r="F207" s="14" t="n"/>
      <c r="G207" s="13" t="n"/>
      <c r="H207" s="17">
        <f>IF($A207="","",1)</f>
        <v/>
      </c>
    </row>
    <row r="208">
      <c r="A208" s="13" t="n"/>
      <c r="B208" s="14" t="n"/>
      <c r="C208" s="14" t="n"/>
      <c r="D208" s="14" t="n"/>
      <c r="E208" s="14" t="n"/>
      <c r="F208" s="14" t="n"/>
      <c r="G208" s="13" t="n"/>
      <c r="H208" s="17">
        <f>IF($A208="","",1)</f>
        <v/>
      </c>
    </row>
    <row r="209">
      <c r="A209" s="13" t="n"/>
      <c r="B209" s="14" t="n"/>
      <c r="C209" s="14" t="n"/>
      <c r="D209" s="14" t="n"/>
      <c r="E209" s="14" t="n"/>
      <c r="F209" s="14" t="n"/>
      <c r="G209" s="13" t="n"/>
      <c r="H209" s="17">
        <f>IF($A209="","",1)</f>
        <v/>
      </c>
    </row>
    <row r="210">
      <c r="A210" s="13" t="n"/>
      <c r="B210" s="14" t="n"/>
      <c r="C210" s="14" t="n"/>
      <c r="D210" s="14" t="n"/>
      <c r="E210" s="14" t="n"/>
      <c r="F210" s="14" t="n"/>
      <c r="G210" s="13" t="n"/>
      <c r="H210" s="17">
        <f>IF($A210="","",1)</f>
        <v/>
      </c>
    </row>
    <row r="211">
      <c r="A211" s="13" t="n"/>
      <c r="B211" s="14" t="n"/>
      <c r="C211" s="14" t="n"/>
      <c r="D211" s="14" t="n"/>
      <c r="E211" s="14" t="n"/>
      <c r="F211" s="14" t="n"/>
      <c r="G211" s="13" t="n"/>
      <c r="H211" s="17">
        <f>IF($A211="","",1)</f>
        <v/>
      </c>
    </row>
    <row r="212">
      <c r="A212" s="13" t="n"/>
      <c r="B212" s="14" t="n"/>
      <c r="C212" s="14" t="n"/>
      <c r="D212" s="14" t="n"/>
      <c r="E212" s="14" t="n"/>
      <c r="F212" s="14" t="n"/>
      <c r="G212" s="13" t="n"/>
      <c r="H212" s="17">
        <f>IF($A212="","",1)</f>
        <v/>
      </c>
    </row>
    <row r="213">
      <c r="A213" s="13" t="n"/>
      <c r="B213" s="14" t="n"/>
      <c r="C213" s="14" t="n"/>
      <c r="D213" s="14" t="n"/>
      <c r="E213" s="14" t="n"/>
      <c r="F213" s="14" t="n"/>
      <c r="G213" s="13" t="n"/>
      <c r="H213" s="17">
        <f>IF($A213="","",1)</f>
        <v/>
      </c>
    </row>
    <row r="214">
      <c r="A214" s="13" t="n"/>
      <c r="B214" s="14" t="n"/>
      <c r="C214" s="14" t="n"/>
      <c r="D214" s="14" t="n"/>
      <c r="E214" s="14" t="n"/>
      <c r="F214" s="14" t="n"/>
      <c r="G214" s="13" t="n"/>
      <c r="H214" s="17">
        <f>IF($A214="","",1)</f>
        <v/>
      </c>
    </row>
    <row r="215">
      <c r="A215" s="13" t="n"/>
      <c r="B215" s="14" t="n"/>
      <c r="C215" s="14" t="n"/>
      <c r="D215" s="14" t="n"/>
      <c r="E215" s="14" t="n"/>
      <c r="F215" s="14" t="n"/>
      <c r="G215" s="13" t="n"/>
      <c r="H215" s="17">
        <f>IF($A215="","",1)</f>
        <v/>
      </c>
    </row>
    <row r="216">
      <c r="A216" s="13" t="n"/>
      <c r="B216" s="14" t="n"/>
      <c r="C216" s="14" t="n"/>
      <c r="D216" s="14" t="n"/>
      <c r="E216" s="14" t="n"/>
      <c r="F216" s="14" t="n"/>
      <c r="G216" s="13" t="n"/>
      <c r="H216" s="17">
        <f>IF($A216="","",1)</f>
        <v/>
      </c>
    </row>
    <row r="217">
      <c r="A217" s="13" t="n"/>
      <c r="B217" s="14" t="n"/>
      <c r="C217" s="14" t="n"/>
      <c r="D217" s="14" t="n"/>
      <c r="E217" s="14" t="n"/>
      <c r="F217" s="14" t="n"/>
      <c r="G217" s="13" t="n"/>
      <c r="H217" s="17">
        <f>IF($A217="","",1)</f>
        <v/>
      </c>
    </row>
    <row r="218">
      <c r="A218" s="13" t="n"/>
      <c r="B218" s="14" t="n"/>
      <c r="C218" s="14" t="n"/>
      <c r="D218" s="14" t="n"/>
      <c r="E218" s="14" t="n"/>
      <c r="F218" s="14" t="n"/>
      <c r="G218" s="13" t="n"/>
      <c r="H218" s="17">
        <f>IF($A218="","",1)</f>
        <v/>
      </c>
    </row>
    <row r="219">
      <c r="A219" s="13" t="n"/>
      <c r="B219" s="14" t="n"/>
      <c r="C219" s="14" t="n"/>
      <c r="D219" s="14" t="n"/>
      <c r="E219" s="14" t="n"/>
      <c r="F219" s="14" t="n"/>
      <c r="G219" s="13" t="n"/>
      <c r="H219" s="17">
        <f>IF($A219="","",1)</f>
        <v/>
      </c>
    </row>
    <row r="220">
      <c r="A220" s="13" t="n"/>
      <c r="B220" s="14" t="n"/>
      <c r="C220" s="14" t="n"/>
      <c r="D220" s="14" t="n"/>
      <c r="E220" s="14" t="n"/>
      <c r="F220" s="14" t="n"/>
      <c r="G220" s="13" t="n"/>
      <c r="H220" s="17">
        <f>IF($A220="","",1)</f>
        <v/>
      </c>
    </row>
    <row r="221">
      <c r="A221" s="13" t="n"/>
      <c r="B221" s="14" t="n"/>
      <c r="C221" s="14" t="n"/>
      <c r="D221" s="14" t="n"/>
      <c r="E221" s="14" t="n"/>
      <c r="F221" s="14" t="n"/>
      <c r="G221" s="13" t="n"/>
      <c r="H221" s="17">
        <f>IF($A221="","",1)</f>
        <v/>
      </c>
    </row>
    <row r="222">
      <c r="A222" s="13" t="n"/>
      <c r="B222" s="14" t="n"/>
      <c r="C222" s="14" t="n"/>
      <c r="D222" s="14" t="n"/>
      <c r="E222" s="14" t="n"/>
      <c r="F222" s="14" t="n"/>
      <c r="G222" s="13" t="n"/>
      <c r="H222" s="17">
        <f>IF($A222="","",1)</f>
        <v/>
      </c>
    </row>
    <row r="223">
      <c r="A223" s="13" t="n"/>
      <c r="B223" s="14" t="n"/>
      <c r="C223" s="14" t="n"/>
      <c r="D223" s="14" t="n"/>
      <c r="E223" s="14" t="n"/>
      <c r="F223" s="14" t="n"/>
      <c r="G223" s="13" t="n"/>
      <c r="H223" s="17">
        <f>IF($A223="","",1)</f>
        <v/>
      </c>
    </row>
    <row r="224">
      <c r="A224" s="13" t="n"/>
      <c r="B224" s="14" t="n"/>
      <c r="C224" s="14" t="n"/>
      <c r="D224" s="14" t="n"/>
      <c r="E224" s="14" t="n"/>
      <c r="F224" s="14" t="n"/>
      <c r="G224" s="13" t="n"/>
      <c r="H224" s="17">
        <f>IF($A224="","",1)</f>
        <v/>
      </c>
    </row>
    <row r="225">
      <c r="A225" s="13" t="n"/>
      <c r="B225" s="14" t="n"/>
      <c r="C225" s="14" t="n"/>
      <c r="D225" s="14" t="n"/>
      <c r="E225" s="14" t="n"/>
      <c r="F225" s="14" t="n"/>
      <c r="G225" s="13" t="n"/>
      <c r="H225" s="17">
        <f>IF($A225="","",1)</f>
        <v/>
      </c>
    </row>
    <row r="226">
      <c r="A226" s="13" t="n"/>
      <c r="B226" s="14" t="n"/>
      <c r="C226" s="14" t="n"/>
      <c r="D226" s="14" t="n"/>
      <c r="E226" s="14" t="n"/>
      <c r="F226" s="14" t="n"/>
      <c r="G226" s="13" t="n"/>
      <c r="H226" s="17">
        <f>IF($A226="","",1)</f>
        <v/>
      </c>
    </row>
    <row r="227">
      <c r="A227" s="13" t="n"/>
      <c r="B227" s="14" t="n"/>
      <c r="C227" s="14" t="n"/>
      <c r="D227" s="14" t="n"/>
      <c r="E227" s="14" t="n"/>
      <c r="F227" s="14" t="n"/>
      <c r="G227" s="13" t="n"/>
      <c r="H227" s="17">
        <f>IF($A227="","",1)</f>
        <v/>
      </c>
    </row>
    <row r="228">
      <c r="A228" s="13" t="n"/>
      <c r="B228" s="14" t="n"/>
      <c r="C228" s="14" t="n"/>
      <c r="D228" s="14" t="n"/>
      <c r="E228" s="14" t="n"/>
      <c r="F228" s="14" t="n"/>
      <c r="G228" s="13" t="n"/>
      <c r="H228" s="17">
        <f>IF($A228="","",1)</f>
        <v/>
      </c>
    </row>
    <row r="229">
      <c r="A229" s="13" t="n"/>
      <c r="B229" s="14" t="n"/>
      <c r="C229" s="14" t="n"/>
      <c r="D229" s="14" t="n"/>
      <c r="E229" s="14" t="n"/>
      <c r="F229" s="14" t="n"/>
      <c r="G229" s="13" t="n"/>
      <c r="H229" s="17">
        <f>IF($A229="","",1)</f>
        <v/>
      </c>
    </row>
    <row r="230">
      <c r="A230" s="13" t="n"/>
      <c r="B230" s="14" t="n"/>
      <c r="C230" s="14" t="n"/>
      <c r="D230" s="14" t="n"/>
      <c r="E230" s="14" t="n"/>
      <c r="F230" s="14" t="n"/>
      <c r="G230" s="13" t="n"/>
      <c r="H230" s="17">
        <f>IF($A230="","",1)</f>
        <v/>
      </c>
    </row>
    <row r="231">
      <c r="A231" s="13" t="n"/>
      <c r="B231" s="14" t="n"/>
      <c r="C231" s="14" t="n"/>
      <c r="D231" s="14" t="n"/>
      <c r="E231" s="14" t="n"/>
      <c r="F231" s="14" t="n"/>
      <c r="G231" s="13" t="n"/>
      <c r="H231" s="17">
        <f>IF($A231="","",1)</f>
        <v/>
      </c>
    </row>
    <row r="232">
      <c r="A232" s="13" t="n"/>
      <c r="B232" s="14" t="n"/>
      <c r="C232" s="14" t="n"/>
      <c r="D232" s="14" t="n"/>
      <c r="E232" s="14" t="n"/>
      <c r="F232" s="14" t="n"/>
      <c r="G232" s="13" t="n"/>
      <c r="H232" s="17">
        <f>IF($A232="","",1)</f>
        <v/>
      </c>
    </row>
    <row r="233">
      <c r="A233" s="13" t="n"/>
      <c r="B233" s="14" t="n"/>
      <c r="C233" s="14" t="n"/>
      <c r="D233" s="14" t="n"/>
      <c r="E233" s="14" t="n"/>
      <c r="F233" s="14" t="n"/>
      <c r="G233" s="13" t="n"/>
      <c r="H233" s="17">
        <f>IF($A233="","",1)</f>
        <v/>
      </c>
    </row>
    <row r="234">
      <c r="A234" s="13" t="n"/>
      <c r="B234" s="14" t="n"/>
      <c r="C234" s="14" t="n"/>
      <c r="D234" s="14" t="n"/>
      <c r="E234" s="14" t="n"/>
      <c r="F234" s="14" t="n"/>
      <c r="G234" s="13" t="n"/>
      <c r="H234" s="17">
        <f>IF($A234="","",1)</f>
        <v/>
      </c>
    </row>
    <row r="235">
      <c r="A235" s="13" t="n"/>
      <c r="B235" s="14" t="n"/>
      <c r="C235" s="14" t="n"/>
      <c r="D235" s="14" t="n"/>
      <c r="E235" s="14" t="n"/>
      <c r="F235" s="14" t="n"/>
      <c r="G235" s="13" t="n"/>
      <c r="H235" s="17">
        <f>IF($A235="","",1)</f>
        <v/>
      </c>
    </row>
    <row r="236">
      <c r="A236" s="13" t="n"/>
      <c r="B236" s="14" t="n"/>
      <c r="C236" s="14" t="n"/>
      <c r="D236" s="14" t="n"/>
      <c r="E236" s="14" t="n"/>
      <c r="F236" s="14" t="n"/>
      <c r="G236" s="13" t="n"/>
      <c r="H236" s="17">
        <f>IF($A236="","",1)</f>
        <v/>
      </c>
    </row>
    <row r="237">
      <c r="A237" s="13" t="n"/>
      <c r="B237" s="14" t="n"/>
      <c r="C237" s="14" t="n"/>
      <c r="D237" s="14" t="n"/>
      <c r="E237" s="14" t="n"/>
      <c r="F237" s="14" t="n"/>
      <c r="G237" s="13" t="n"/>
      <c r="H237" s="17">
        <f>IF($A237="","",1)</f>
        <v/>
      </c>
    </row>
    <row r="238">
      <c r="A238" s="13" t="n"/>
      <c r="B238" s="14" t="n"/>
      <c r="C238" s="14" t="n"/>
      <c r="D238" s="14" t="n"/>
      <c r="E238" s="14" t="n"/>
      <c r="F238" s="14" t="n"/>
      <c r="G238" s="13" t="n"/>
      <c r="H238" s="17">
        <f>IF($A238="","",1)</f>
        <v/>
      </c>
    </row>
    <row r="239">
      <c r="A239" s="13" t="n"/>
      <c r="B239" s="14" t="n"/>
      <c r="C239" s="14" t="n"/>
      <c r="D239" s="14" t="n"/>
      <c r="E239" s="14" t="n"/>
      <c r="F239" s="14" t="n"/>
      <c r="G239" s="13" t="n"/>
      <c r="H239" s="17">
        <f>IF($A239="","",1)</f>
        <v/>
      </c>
    </row>
    <row r="240">
      <c r="A240" s="13" t="n"/>
      <c r="B240" s="14" t="n"/>
      <c r="C240" s="14" t="n"/>
      <c r="D240" s="14" t="n"/>
      <c r="E240" s="14" t="n"/>
      <c r="F240" s="14" t="n"/>
      <c r="G240" s="13" t="n"/>
      <c r="H240" s="17">
        <f>IF($A240="","",1)</f>
        <v/>
      </c>
    </row>
    <row r="241">
      <c r="A241" s="13" t="n"/>
      <c r="B241" s="14" t="n"/>
      <c r="C241" s="14" t="n"/>
      <c r="D241" s="14" t="n"/>
      <c r="E241" s="14" t="n"/>
      <c r="F241" s="14" t="n"/>
      <c r="G241" s="13" t="n"/>
      <c r="H241" s="17">
        <f>IF($A241="","",1)</f>
        <v/>
      </c>
    </row>
    <row r="242">
      <c r="A242" s="13" t="n"/>
      <c r="B242" s="14" t="n"/>
      <c r="C242" s="14" t="n"/>
      <c r="D242" s="14" t="n"/>
      <c r="E242" s="14" t="n"/>
      <c r="F242" s="14" t="n"/>
      <c r="G242" s="13" t="n"/>
      <c r="H242" s="17">
        <f>IF($A242="","",1)</f>
        <v/>
      </c>
    </row>
    <row r="243">
      <c r="A243" s="13" t="n"/>
      <c r="B243" s="14" t="n"/>
      <c r="C243" s="14" t="n"/>
      <c r="D243" s="14" t="n"/>
      <c r="E243" s="14" t="n"/>
      <c r="F243" s="14" t="n"/>
      <c r="G243" s="13" t="n"/>
      <c r="H243" s="17">
        <f>IF($A243="","",1)</f>
        <v/>
      </c>
    </row>
    <row r="244">
      <c r="A244" s="13" t="n"/>
      <c r="B244" s="14" t="n"/>
      <c r="C244" s="14" t="n"/>
      <c r="D244" s="14" t="n"/>
      <c r="E244" s="14" t="n"/>
      <c r="F244" s="14" t="n"/>
      <c r="G244" s="13" t="n"/>
      <c r="H244" s="17">
        <f>IF($A244="","",1)</f>
        <v/>
      </c>
    </row>
    <row r="245">
      <c r="A245" s="13" t="n"/>
      <c r="B245" s="14" t="n"/>
      <c r="C245" s="14" t="n"/>
      <c r="D245" s="14" t="n"/>
      <c r="E245" s="14" t="n"/>
      <c r="F245" s="14" t="n"/>
      <c r="G245" s="13" t="n"/>
      <c r="H245" s="17">
        <f>IF($A245="","",1)</f>
        <v/>
      </c>
    </row>
    <row r="246">
      <c r="A246" s="13" t="n"/>
      <c r="B246" s="14" t="n"/>
      <c r="C246" s="14" t="n"/>
      <c r="D246" s="14" t="n"/>
      <c r="E246" s="14" t="n"/>
      <c r="F246" s="14" t="n"/>
      <c r="G246" s="13" t="n"/>
      <c r="H246" s="17">
        <f>IF($A246="","",1)</f>
        <v/>
      </c>
    </row>
    <row r="247">
      <c r="A247" s="13" t="n"/>
      <c r="B247" s="14" t="n"/>
      <c r="C247" s="14" t="n"/>
      <c r="D247" s="14" t="n"/>
      <c r="E247" s="14" t="n"/>
      <c r="F247" s="14" t="n"/>
      <c r="G247" s="13" t="n"/>
      <c r="H247" s="17">
        <f>IF($A247="","",1)</f>
        <v/>
      </c>
    </row>
    <row r="248">
      <c r="A248" s="13" t="n"/>
      <c r="B248" s="14" t="n"/>
      <c r="C248" s="14" t="n"/>
      <c r="D248" s="14" t="n"/>
      <c r="E248" s="14" t="n"/>
      <c r="F248" s="14" t="n"/>
      <c r="G248" s="13" t="n"/>
      <c r="H248" s="17">
        <f>IF($A248="","",1)</f>
        <v/>
      </c>
    </row>
    <row r="249">
      <c r="A249" s="13" t="n"/>
      <c r="B249" s="14" t="n"/>
      <c r="C249" s="14" t="n"/>
      <c r="D249" s="14" t="n"/>
      <c r="E249" s="14" t="n"/>
      <c r="F249" s="14" t="n"/>
      <c r="G249" s="13" t="n"/>
      <c r="H249" s="17">
        <f>IF($A249="","",1)</f>
        <v/>
      </c>
    </row>
    <row r="250">
      <c r="A250" s="13" t="n"/>
      <c r="B250" s="14" t="n"/>
      <c r="C250" s="14" t="n"/>
      <c r="D250" s="14" t="n"/>
      <c r="E250" s="14" t="n"/>
      <c r="F250" s="14" t="n"/>
      <c r="G250" s="13" t="n"/>
      <c r="H250" s="17">
        <f>IF($A250="","",1)</f>
        <v/>
      </c>
    </row>
    <row r="251">
      <c r="A251" s="13" t="n"/>
      <c r="B251" s="14" t="n"/>
      <c r="C251" s="14" t="n"/>
      <c r="D251" s="14" t="n"/>
      <c r="E251" s="14" t="n"/>
      <c r="F251" s="14" t="n"/>
      <c r="G251" s="13" t="n"/>
      <c r="H251" s="17">
        <f>IF($A251="","",1)</f>
        <v/>
      </c>
    </row>
    <row r="252">
      <c r="A252" s="13" t="n"/>
      <c r="B252" s="14" t="n"/>
      <c r="C252" s="14" t="n"/>
      <c r="D252" s="14" t="n"/>
      <c r="E252" s="14" t="n"/>
      <c r="F252" s="14" t="n"/>
      <c r="G252" s="13" t="n"/>
      <c r="H252" s="17">
        <f>IF($A252="","",1)</f>
        <v/>
      </c>
    </row>
    <row r="253">
      <c r="A253" s="13" t="n"/>
      <c r="B253" s="14" t="n"/>
      <c r="C253" s="14" t="n"/>
      <c r="D253" s="14" t="n"/>
      <c r="E253" s="14" t="n"/>
      <c r="F253" s="14" t="n"/>
      <c r="G253" s="13" t="n"/>
      <c r="H253" s="17">
        <f>IF($A253="","",1)</f>
        <v/>
      </c>
    </row>
    <row r="254">
      <c r="A254" s="13" t="n"/>
      <c r="B254" s="14" t="n"/>
      <c r="C254" s="14" t="n"/>
      <c r="D254" s="14" t="n"/>
      <c r="E254" s="14" t="n"/>
      <c r="F254" s="14" t="n"/>
      <c r="G254" s="13" t="n"/>
      <c r="H254" s="17">
        <f>IF($A254="","",1)</f>
        <v/>
      </c>
    </row>
    <row r="255">
      <c r="A255" s="13" t="n"/>
      <c r="B255" s="14" t="n"/>
      <c r="C255" s="14" t="n"/>
      <c r="D255" s="14" t="n"/>
      <c r="E255" s="14" t="n"/>
      <c r="F255" s="14" t="n"/>
      <c r="G255" s="13" t="n"/>
      <c r="H255" s="17">
        <f>IF($A255="","",1)</f>
        <v/>
      </c>
    </row>
    <row r="256">
      <c r="A256" s="13" t="n"/>
      <c r="B256" s="14" t="n"/>
      <c r="C256" s="14" t="n"/>
      <c r="D256" s="14" t="n"/>
      <c r="E256" s="14" t="n"/>
      <c r="F256" s="14" t="n"/>
      <c r="G256" s="13" t="n"/>
      <c r="H256" s="17">
        <f>IF($A256="","",1)</f>
        <v/>
      </c>
    </row>
    <row r="257">
      <c r="A257" s="13" t="n"/>
      <c r="B257" s="14" t="n"/>
      <c r="C257" s="14" t="n"/>
      <c r="D257" s="14" t="n"/>
      <c r="E257" s="14" t="n"/>
      <c r="F257" s="14" t="n"/>
      <c r="G257" s="13" t="n"/>
      <c r="H257" s="17">
        <f>IF($A257="","",1)</f>
        <v/>
      </c>
    </row>
    <row r="258">
      <c r="A258" s="13" t="n"/>
      <c r="B258" s="14" t="n"/>
      <c r="C258" s="14" t="n"/>
      <c r="D258" s="14" t="n"/>
      <c r="E258" s="14" t="n"/>
      <c r="F258" s="14" t="n"/>
      <c r="G258" s="13" t="n"/>
      <c r="H258" s="17">
        <f>IF($A258="","",1)</f>
        <v/>
      </c>
    </row>
    <row r="259">
      <c r="A259" s="13" t="n"/>
      <c r="B259" s="14" t="n"/>
      <c r="C259" s="14" t="n"/>
      <c r="D259" s="14" t="n"/>
      <c r="E259" s="14" t="n"/>
      <c r="F259" s="14" t="n"/>
      <c r="G259" s="13" t="n"/>
      <c r="H259" s="17">
        <f>IF($A259="","",1)</f>
        <v/>
      </c>
    </row>
    <row r="260">
      <c r="A260" s="13" t="n"/>
      <c r="B260" s="14" t="n"/>
      <c r="C260" s="14" t="n"/>
      <c r="D260" s="14" t="n"/>
      <c r="E260" s="14" t="n"/>
      <c r="F260" s="14" t="n"/>
      <c r="G260" s="13" t="n"/>
      <c r="H260" s="17">
        <f>IF($A260="","",1)</f>
        <v/>
      </c>
    </row>
    <row r="261">
      <c r="A261" s="13" t="n"/>
      <c r="B261" s="14" t="n"/>
      <c r="C261" s="14" t="n"/>
      <c r="D261" s="14" t="n"/>
      <c r="E261" s="14" t="n"/>
      <c r="F261" s="14" t="n"/>
      <c r="G261" s="13" t="n"/>
      <c r="H261" s="17">
        <f>IF($A261="","",1)</f>
        <v/>
      </c>
    </row>
    <row r="262">
      <c r="A262" s="13" t="n"/>
      <c r="B262" s="14" t="n"/>
      <c r="C262" s="14" t="n"/>
      <c r="D262" s="14" t="n"/>
      <c r="E262" s="14" t="n"/>
      <c r="F262" s="14" t="n"/>
      <c r="G262" s="13" t="n"/>
      <c r="H262" s="17">
        <f>IF($A262="","",1)</f>
        <v/>
      </c>
    </row>
    <row r="263">
      <c r="A263" s="13" t="n"/>
      <c r="B263" s="14" t="n"/>
      <c r="C263" s="14" t="n"/>
      <c r="D263" s="14" t="n"/>
      <c r="E263" s="14" t="n"/>
      <c r="F263" s="14" t="n"/>
      <c r="G263" s="13" t="n"/>
      <c r="H263" s="17">
        <f>IF($A263="","",1)</f>
        <v/>
      </c>
    </row>
    <row r="264">
      <c r="A264" s="13" t="n"/>
      <c r="B264" s="14" t="n"/>
      <c r="C264" s="14" t="n"/>
      <c r="D264" s="14" t="n"/>
      <c r="E264" s="14" t="n"/>
      <c r="F264" s="14" t="n"/>
      <c r="G264" s="13" t="n"/>
      <c r="H264" s="17">
        <f>IF($A264="","",1)</f>
        <v/>
      </c>
    </row>
    <row r="265">
      <c r="A265" s="13" t="n"/>
      <c r="B265" s="14" t="n"/>
      <c r="C265" s="14" t="n"/>
      <c r="D265" s="14" t="n"/>
      <c r="E265" s="14" t="n"/>
      <c r="F265" s="14" t="n"/>
      <c r="G265" s="13" t="n"/>
      <c r="H265" s="17">
        <f>IF($A265="","",1)</f>
        <v/>
      </c>
    </row>
    <row r="266">
      <c r="A266" s="13" t="n"/>
      <c r="B266" s="14" t="n"/>
      <c r="C266" s="14" t="n"/>
      <c r="D266" s="14" t="n"/>
      <c r="E266" s="14" t="n"/>
      <c r="F266" s="14" t="n"/>
      <c r="G266" s="13" t="n"/>
      <c r="H266" s="17">
        <f>IF($A266="","",1)</f>
        <v/>
      </c>
    </row>
    <row r="267">
      <c r="A267" s="13" t="n"/>
      <c r="B267" s="14" t="n"/>
      <c r="C267" s="14" t="n"/>
      <c r="D267" s="14" t="n"/>
      <c r="E267" s="14" t="n"/>
      <c r="F267" s="14" t="n"/>
      <c r="G267" s="13" t="n"/>
      <c r="H267" s="17">
        <f>IF($A267="","",1)</f>
        <v/>
      </c>
    </row>
    <row r="268">
      <c r="A268" s="13" t="n"/>
      <c r="B268" s="14" t="n"/>
      <c r="C268" s="14" t="n"/>
      <c r="D268" s="14" t="n"/>
      <c r="E268" s="14" t="n"/>
      <c r="F268" s="14" t="n"/>
      <c r="G268" s="13" t="n"/>
      <c r="H268" s="17">
        <f>IF($A268="","",1)</f>
        <v/>
      </c>
    </row>
    <row r="269">
      <c r="A269" s="13" t="n"/>
      <c r="B269" s="14" t="n"/>
      <c r="C269" s="14" t="n"/>
      <c r="D269" s="14" t="n"/>
      <c r="E269" s="14" t="n"/>
      <c r="F269" s="14" t="n"/>
      <c r="G269" s="13" t="n"/>
      <c r="H269" s="17">
        <f>IF($A269="","",1)</f>
        <v/>
      </c>
    </row>
    <row r="270">
      <c r="A270" s="13" t="n"/>
      <c r="B270" s="14" t="n"/>
      <c r="C270" s="14" t="n"/>
      <c r="D270" s="14" t="n"/>
      <c r="E270" s="14" t="n"/>
      <c r="F270" s="14" t="n"/>
      <c r="G270" s="13" t="n"/>
      <c r="H270" s="17">
        <f>IF($A270="","",1)</f>
        <v/>
      </c>
    </row>
    <row r="271">
      <c r="A271" s="13" t="n"/>
      <c r="B271" s="14" t="n"/>
      <c r="C271" s="14" t="n"/>
      <c r="D271" s="14" t="n"/>
      <c r="E271" s="14" t="n"/>
      <c r="F271" s="14" t="n"/>
      <c r="G271" s="13" t="n"/>
      <c r="H271" s="17">
        <f>IF($A271="","",1)</f>
        <v/>
      </c>
    </row>
    <row r="272">
      <c r="A272" s="13" t="n"/>
      <c r="B272" s="14" t="n"/>
      <c r="C272" s="14" t="n"/>
      <c r="D272" s="14" t="n"/>
      <c r="E272" s="14" t="n"/>
      <c r="F272" s="14" t="n"/>
      <c r="G272" s="13" t="n"/>
      <c r="H272" s="17">
        <f>IF($A272="","",1)</f>
        <v/>
      </c>
    </row>
    <row r="273">
      <c r="A273" s="13" t="n"/>
      <c r="B273" s="14" t="n"/>
      <c r="C273" s="14" t="n"/>
      <c r="D273" s="14" t="n"/>
      <c r="E273" s="14" t="n"/>
      <c r="F273" s="14" t="n"/>
      <c r="G273" s="13" t="n"/>
      <c r="H273" s="17">
        <f>IF($A273="","",1)</f>
        <v/>
      </c>
    </row>
    <row r="274">
      <c r="A274" s="13" t="n"/>
      <c r="B274" s="14" t="n"/>
      <c r="C274" s="14" t="n"/>
      <c r="D274" s="14" t="n"/>
      <c r="E274" s="14" t="n"/>
      <c r="F274" s="14" t="n"/>
      <c r="G274" s="13" t="n"/>
      <c r="H274" s="17">
        <f>IF($A274="","",1)</f>
        <v/>
      </c>
    </row>
    <row r="275">
      <c r="A275" s="13" t="n"/>
      <c r="B275" s="14" t="n"/>
      <c r="C275" s="14" t="n"/>
      <c r="D275" s="14" t="n"/>
      <c r="E275" s="14" t="n"/>
      <c r="F275" s="14" t="n"/>
      <c r="G275" s="13" t="n"/>
      <c r="H275" s="17">
        <f>IF($A275="","",1)</f>
        <v/>
      </c>
    </row>
    <row r="276">
      <c r="A276" s="13" t="n"/>
      <c r="B276" s="14" t="n"/>
      <c r="C276" s="14" t="n"/>
      <c r="D276" s="14" t="n"/>
      <c r="E276" s="14" t="n"/>
      <c r="F276" s="14" t="n"/>
      <c r="G276" s="13" t="n"/>
      <c r="H276" s="17">
        <f>IF($A276="","",1)</f>
        <v/>
      </c>
    </row>
    <row r="277">
      <c r="A277" s="13" t="n"/>
      <c r="B277" s="14" t="n"/>
      <c r="C277" s="14" t="n"/>
      <c r="D277" s="14" t="n"/>
      <c r="E277" s="14" t="n"/>
      <c r="F277" s="14" t="n"/>
      <c r="G277" s="13" t="n"/>
      <c r="H277" s="17">
        <f>IF($A277="","",1)</f>
        <v/>
      </c>
    </row>
    <row r="278">
      <c r="A278" s="13" t="n"/>
      <c r="B278" s="14" t="n"/>
      <c r="C278" s="14" t="n"/>
      <c r="D278" s="14" t="n"/>
      <c r="E278" s="14" t="n"/>
      <c r="F278" s="14" t="n"/>
      <c r="G278" s="13" t="n"/>
      <c r="H278" s="17">
        <f>IF($A278="","",1)</f>
        <v/>
      </c>
    </row>
    <row r="279">
      <c r="A279" s="13" t="n"/>
      <c r="B279" s="14" t="n"/>
      <c r="C279" s="14" t="n"/>
      <c r="D279" s="14" t="n"/>
      <c r="E279" s="14" t="n"/>
      <c r="F279" s="14" t="n"/>
      <c r="G279" s="13" t="n"/>
      <c r="H279" s="17">
        <f>IF($A279="","",1)</f>
        <v/>
      </c>
    </row>
    <row r="280">
      <c r="A280" s="13" t="n"/>
      <c r="B280" s="14" t="n"/>
      <c r="C280" s="14" t="n"/>
      <c r="D280" s="14" t="n"/>
      <c r="E280" s="14" t="n"/>
      <c r="F280" s="14" t="n"/>
      <c r="G280" s="13" t="n"/>
      <c r="H280" s="17">
        <f>IF($A280="","",1)</f>
        <v/>
      </c>
    </row>
    <row r="281">
      <c r="A281" s="13" t="n"/>
      <c r="B281" s="14" t="n"/>
      <c r="C281" s="14" t="n"/>
      <c r="D281" s="14" t="n"/>
      <c r="E281" s="14" t="n"/>
      <c r="F281" s="14" t="n"/>
      <c r="G281" s="13" t="n"/>
      <c r="H281" s="17">
        <f>IF($A281="","",1)</f>
        <v/>
      </c>
    </row>
    <row r="282">
      <c r="A282" s="13" t="n"/>
      <c r="B282" s="14" t="n"/>
      <c r="C282" s="14" t="n"/>
      <c r="D282" s="14" t="n"/>
      <c r="E282" s="14" t="n"/>
      <c r="F282" s="14" t="n"/>
      <c r="G282" s="13" t="n"/>
      <c r="H282" s="17">
        <f>IF($A282="","",1)</f>
        <v/>
      </c>
    </row>
    <row r="283">
      <c r="A283" s="13" t="n"/>
      <c r="B283" s="14" t="n"/>
      <c r="C283" s="14" t="n"/>
      <c r="D283" s="14" t="n"/>
      <c r="E283" s="14" t="n"/>
      <c r="F283" s="14" t="n"/>
      <c r="G283" s="13" t="n"/>
      <c r="H283" s="17">
        <f>IF($A283="","",1)</f>
        <v/>
      </c>
    </row>
    <row r="284">
      <c r="A284" s="13" t="n"/>
      <c r="B284" s="14" t="n"/>
      <c r="C284" s="14" t="n"/>
      <c r="D284" s="14" t="n"/>
      <c r="E284" s="14" t="n"/>
      <c r="F284" s="14" t="n"/>
      <c r="G284" s="13" t="n"/>
      <c r="H284" s="17">
        <f>IF($A284="","",1)</f>
        <v/>
      </c>
    </row>
    <row r="285">
      <c r="A285" s="13" t="n"/>
      <c r="B285" s="14" t="n"/>
      <c r="C285" s="14" t="n"/>
      <c r="D285" s="14" t="n"/>
      <c r="E285" s="14" t="n"/>
      <c r="F285" s="14" t="n"/>
      <c r="G285" s="13" t="n"/>
      <c r="H285" s="17">
        <f>IF($A285="","",1)</f>
        <v/>
      </c>
    </row>
    <row r="286">
      <c r="A286" s="13" t="n"/>
      <c r="B286" s="14" t="n"/>
      <c r="C286" s="14" t="n"/>
      <c r="D286" s="14" t="n"/>
      <c r="E286" s="14" t="n"/>
      <c r="F286" s="14" t="n"/>
      <c r="G286" s="13" t="n"/>
      <c r="H286" s="17">
        <f>IF($A286="","",1)</f>
        <v/>
      </c>
    </row>
    <row r="287">
      <c r="A287" s="13" t="n"/>
      <c r="B287" s="14" t="n"/>
      <c r="C287" s="14" t="n"/>
      <c r="D287" s="14" t="n"/>
      <c r="E287" s="14" t="n"/>
      <c r="F287" s="14" t="n"/>
      <c r="G287" s="13" t="n"/>
      <c r="H287" s="17">
        <f>IF($A287="","",1)</f>
        <v/>
      </c>
    </row>
    <row r="288">
      <c r="A288" s="13" t="n"/>
      <c r="B288" s="14" t="n"/>
      <c r="C288" s="14" t="n"/>
      <c r="D288" s="14" t="n"/>
      <c r="E288" s="14" t="n"/>
      <c r="F288" s="14" t="n"/>
      <c r="G288" s="13" t="n"/>
      <c r="H288" s="17">
        <f>IF($A288="","",1)</f>
        <v/>
      </c>
    </row>
    <row r="289">
      <c r="A289" s="13" t="n"/>
      <c r="B289" s="14" t="n"/>
      <c r="C289" s="14" t="n"/>
      <c r="D289" s="14" t="n"/>
      <c r="E289" s="14" t="n"/>
      <c r="F289" s="14" t="n"/>
      <c r="G289" s="13" t="n"/>
      <c r="H289" s="17">
        <f>IF($A289="","",1)</f>
        <v/>
      </c>
    </row>
    <row r="290">
      <c r="A290" s="13" t="n"/>
      <c r="B290" s="14" t="n"/>
      <c r="C290" s="14" t="n"/>
      <c r="D290" s="14" t="n"/>
      <c r="E290" s="14" t="n"/>
      <c r="F290" s="14" t="n"/>
      <c r="G290" s="13" t="n"/>
      <c r="H290" s="17">
        <f>IF($A290="","",1)</f>
        <v/>
      </c>
    </row>
    <row r="291">
      <c r="A291" s="13" t="n"/>
      <c r="B291" s="14" t="n"/>
      <c r="C291" s="14" t="n"/>
      <c r="D291" s="14" t="n"/>
      <c r="E291" s="14" t="n"/>
      <c r="F291" s="14" t="n"/>
      <c r="G291" s="13" t="n"/>
      <c r="H291" s="17">
        <f>IF($A291="","",1)</f>
        <v/>
      </c>
    </row>
    <row r="292">
      <c r="A292" s="13" t="n"/>
      <c r="B292" s="14" t="n"/>
      <c r="C292" s="14" t="n"/>
      <c r="D292" s="14" t="n"/>
      <c r="E292" s="14" t="n"/>
      <c r="F292" s="14" t="n"/>
      <c r="G292" s="13" t="n"/>
      <c r="H292" s="17">
        <f>IF($A292="","",1)</f>
        <v/>
      </c>
    </row>
    <row r="293">
      <c r="A293" s="13" t="n"/>
      <c r="B293" s="14" t="n"/>
      <c r="C293" s="14" t="n"/>
      <c r="D293" s="14" t="n"/>
      <c r="E293" s="14" t="n"/>
      <c r="F293" s="14" t="n"/>
      <c r="G293" s="13" t="n"/>
      <c r="H293" s="17">
        <f>IF($A293="","",1)</f>
        <v/>
      </c>
    </row>
    <row r="294">
      <c r="A294" s="13" t="n"/>
      <c r="B294" s="14" t="n"/>
      <c r="C294" s="14" t="n"/>
      <c r="D294" s="14" t="n"/>
      <c r="E294" s="14" t="n"/>
      <c r="F294" s="14" t="n"/>
      <c r="G294" s="13" t="n"/>
      <c r="H294" s="17">
        <f>IF($A294="","",1)</f>
        <v/>
      </c>
    </row>
    <row r="295">
      <c r="A295" s="13" t="n"/>
      <c r="B295" s="14" t="n"/>
      <c r="C295" s="14" t="n"/>
      <c r="D295" s="14" t="n"/>
      <c r="E295" s="14" t="n"/>
      <c r="F295" s="14" t="n"/>
      <c r="G295" s="13" t="n"/>
      <c r="H295" s="17">
        <f>IF($A295="","",1)</f>
        <v/>
      </c>
    </row>
    <row r="296">
      <c r="A296" s="13" t="n"/>
      <c r="B296" s="14" t="n"/>
      <c r="C296" s="14" t="n"/>
      <c r="D296" s="14" t="n"/>
      <c r="E296" s="14" t="n"/>
      <c r="F296" s="14" t="n"/>
      <c r="G296" s="13" t="n"/>
      <c r="H296" s="17">
        <f>IF($A296="","",1)</f>
        <v/>
      </c>
    </row>
    <row r="297">
      <c r="A297" s="13" t="n"/>
      <c r="B297" s="14" t="n"/>
      <c r="C297" s="14" t="n"/>
      <c r="D297" s="14" t="n"/>
      <c r="E297" s="14" t="n"/>
      <c r="F297" s="14" t="n"/>
      <c r="G297" s="13" t="n"/>
      <c r="H297" s="17">
        <f>IF($A297="","",1)</f>
        <v/>
      </c>
    </row>
    <row r="298">
      <c r="A298" s="13" t="n"/>
      <c r="B298" s="14" t="n"/>
      <c r="C298" s="14" t="n"/>
      <c r="D298" s="14" t="n"/>
      <c r="E298" s="14" t="n"/>
      <c r="F298" s="14" t="n"/>
      <c r="G298" s="13" t="n"/>
      <c r="H298" s="17">
        <f>IF($A298="","",1)</f>
        <v/>
      </c>
    </row>
    <row r="299">
      <c r="A299" s="13" t="n"/>
      <c r="B299" s="14" t="n"/>
      <c r="C299" s="14" t="n"/>
      <c r="D299" s="14" t="n"/>
      <c r="E299" s="14" t="n"/>
      <c r="F299" s="14" t="n"/>
      <c r="G299" s="13" t="n"/>
      <c r="H299" s="17">
        <f>IF($A299="","",1)</f>
        <v/>
      </c>
    </row>
    <row r="300">
      <c r="A300" s="13" t="n"/>
      <c r="B300" s="14" t="n"/>
      <c r="C300" s="14" t="n"/>
      <c r="D300" s="14" t="n"/>
      <c r="E300" s="14" t="n"/>
      <c r="F300" s="14" t="n"/>
      <c r="G300" s="13" t="n"/>
      <c r="H300" s="17">
        <f>IF($A300="","",1)</f>
        <v/>
      </c>
    </row>
    <row r="301">
      <c r="A301" s="13" t="n"/>
      <c r="B301" s="14" t="n"/>
      <c r="C301" s="14" t="n"/>
      <c r="D301" s="14" t="n"/>
      <c r="E301" s="14" t="n"/>
      <c r="F301" s="14" t="n"/>
      <c r="G301" s="13" t="n"/>
      <c r="H301" s="17">
        <f>IF($A301="","",1)</f>
        <v/>
      </c>
    </row>
    <row r="302">
      <c r="A302" s="13" t="n"/>
      <c r="B302" s="14" t="n"/>
      <c r="C302" s="14" t="n"/>
      <c r="D302" s="14" t="n"/>
      <c r="E302" s="14" t="n"/>
      <c r="F302" s="14" t="n"/>
      <c r="G302" s="13" t="n"/>
      <c r="H302" s="17">
        <f>IF($A302="","",1)</f>
        <v/>
      </c>
    </row>
    <row r="303">
      <c r="A303" s="13" t="n"/>
      <c r="B303" s="14" t="n"/>
      <c r="C303" s="14" t="n"/>
      <c r="D303" s="14" t="n"/>
      <c r="E303" s="14" t="n"/>
      <c r="F303" s="14" t="n"/>
      <c r="G303" s="13" t="n"/>
      <c r="H303" s="17">
        <f>IF($A303="","",1)</f>
        <v/>
      </c>
    </row>
    <row r="304">
      <c r="A304" s="13" t="n"/>
      <c r="B304" s="14" t="n"/>
      <c r="C304" s="14" t="n"/>
      <c r="D304" s="14" t="n"/>
      <c r="E304" s="14" t="n"/>
      <c r="F304" s="14" t="n"/>
      <c r="G304" s="13" t="n"/>
      <c r="H304" s="17">
        <f>IF($A304="","",1)</f>
        <v/>
      </c>
    </row>
    <row r="305">
      <c r="A305" s="13" t="n"/>
      <c r="B305" s="14" t="n"/>
      <c r="C305" s="14" t="n"/>
      <c r="D305" s="14" t="n"/>
      <c r="E305" s="14" t="n"/>
      <c r="F305" s="14" t="n"/>
      <c r="G305" s="13" t="n"/>
      <c r="H305" s="17">
        <f>IF($A305="","",1)</f>
        <v/>
      </c>
    </row>
    <row r="306">
      <c r="A306" s="13" t="n"/>
      <c r="B306" s="14" t="n"/>
      <c r="C306" s="14" t="n"/>
      <c r="D306" s="14" t="n"/>
      <c r="E306" s="14" t="n"/>
      <c r="F306" s="14" t="n"/>
      <c r="G306" s="13" t="n"/>
      <c r="H306" s="17">
        <f>IF($A306="","",1)</f>
        <v/>
      </c>
    </row>
    <row r="307">
      <c r="A307" s="13" t="n"/>
      <c r="B307" s="14" t="n"/>
      <c r="C307" s="14" t="n"/>
      <c r="D307" s="14" t="n"/>
      <c r="E307" s="14" t="n"/>
      <c r="F307" s="14" t="n"/>
      <c r="G307" s="13" t="n"/>
      <c r="H307" s="17">
        <f>IF($A307="","",1)</f>
        <v/>
      </c>
    </row>
    <row r="308">
      <c r="A308" s="13" t="n"/>
      <c r="B308" s="14" t="n"/>
      <c r="C308" s="14" t="n"/>
      <c r="D308" s="14" t="n"/>
      <c r="E308" s="14" t="n"/>
      <c r="F308" s="14" t="n"/>
      <c r="G308" s="13" t="n"/>
      <c r="H308" s="17">
        <f>IF($A308="","",1)</f>
        <v/>
      </c>
    </row>
    <row r="309">
      <c r="A309" s="13" t="n"/>
      <c r="B309" s="14" t="n"/>
      <c r="C309" s="14" t="n"/>
      <c r="D309" s="14" t="n"/>
      <c r="E309" s="14" t="n"/>
      <c r="F309" s="14" t="n"/>
      <c r="G309" s="13" t="n"/>
      <c r="H309" s="17">
        <f>IF($A309="","",1)</f>
        <v/>
      </c>
    </row>
    <row r="310">
      <c r="A310" s="13" t="n"/>
      <c r="B310" s="14" t="n"/>
      <c r="C310" s="14" t="n"/>
      <c r="D310" s="14" t="n"/>
      <c r="E310" s="14" t="n"/>
      <c r="F310" s="14" t="n"/>
      <c r="G310" s="13" t="n"/>
      <c r="H310" s="17">
        <f>IF($A310="","",1)</f>
        <v/>
      </c>
    </row>
    <row r="311">
      <c r="A311" s="13" t="n"/>
      <c r="B311" s="14" t="n"/>
      <c r="C311" s="14" t="n"/>
      <c r="D311" s="14" t="n"/>
      <c r="E311" s="14" t="n"/>
      <c r="F311" s="14" t="n"/>
      <c r="G311" s="13" t="n"/>
      <c r="H311" s="17">
        <f>IF($A311="","",1)</f>
        <v/>
      </c>
    </row>
    <row r="312">
      <c r="A312" s="13" t="n"/>
      <c r="B312" s="14" t="n"/>
      <c r="C312" s="14" t="n"/>
      <c r="D312" s="14" t="n"/>
      <c r="E312" s="14" t="n"/>
      <c r="F312" s="14" t="n"/>
      <c r="G312" s="13" t="n"/>
      <c r="H312" s="17">
        <f>IF($A312="","",1)</f>
        <v/>
      </c>
    </row>
    <row r="313">
      <c r="A313" s="13" t="n"/>
      <c r="B313" s="14" t="n"/>
      <c r="C313" s="14" t="n"/>
      <c r="D313" s="14" t="n"/>
      <c r="E313" s="14" t="n"/>
      <c r="F313" s="14" t="n"/>
      <c r="G313" s="13" t="n"/>
      <c r="H313" s="17">
        <f>IF($A313="","",1)</f>
        <v/>
      </c>
    </row>
    <row r="314">
      <c r="A314" s="13" t="n"/>
      <c r="B314" s="14" t="n"/>
      <c r="C314" s="14" t="n"/>
      <c r="D314" s="14" t="n"/>
      <c r="E314" s="14" t="n"/>
      <c r="F314" s="14" t="n"/>
      <c r="G314" s="13" t="n"/>
      <c r="H314" s="17">
        <f>IF($A314="","",1)</f>
        <v/>
      </c>
    </row>
    <row r="315">
      <c r="A315" s="13" t="n"/>
      <c r="B315" s="14" t="n"/>
      <c r="C315" s="14" t="n"/>
      <c r="D315" s="14" t="n"/>
      <c r="E315" s="14" t="n"/>
      <c r="F315" s="14" t="n"/>
      <c r="G315" s="13" t="n"/>
      <c r="H315" s="17">
        <f>IF($A315="","",1)</f>
        <v/>
      </c>
    </row>
    <row r="316">
      <c r="A316" s="13" t="n"/>
      <c r="B316" s="14" t="n"/>
      <c r="C316" s="14" t="n"/>
      <c r="D316" s="14" t="n"/>
      <c r="E316" s="14" t="n"/>
      <c r="F316" s="14" t="n"/>
      <c r="G316" s="13" t="n"/>
      <c r="H316" s="17">
        <f>IF($A316="","",1)</f>
        <v/>
      </c>
    </row>
    <row r="317">
      <c r="A317" s="13" t="n"/>
      <c r="B317" s="14" t="n"/>
      <c r="C317" s="14" t="n"/>
      <c r="D317" s="14" t="n"/>
      <c r="E317" s="14" t="n"/>
      <c r="F317" s="14" t="n"/>
      <c r="G317" s="13" t="n"/>
      <c r="H317" s="17">
        <f>IF($A317="","",1)</f>
        <v/>
      </c>
    </row>
    <row r="318">
      <c r="A318" s="13" t="n"/>
      <c r="B318" s="14" t="n"/>
      <c r="C318" s="14" t="n"/>
      <c r="D318" s="14" t="n"/>
      <c r="E318" s="14" t="n"/>
      <c r="F318" s="14" t="n"/>
      <c r="G318" s="13" t="n"/>
      <c r="H318" s="17">
        <f>IF($A318="","",1)</f>
        <v/>
      </c>
    </row>
    <row r="319">
      <c r="A319" s="13" t="n"/>
      <c r="B319" s="14" t="n"/>
      <c r="C319" s="14" t="n"/>
      <c r="D319" s="14" t="n"/>
      <c r="E319" s="14" t="n"/>
      <c r="F319" s="14" t="n"/>
      <c r="G319" s="13" t="n"/>
      <c r="H319" s="17">
        <f>IF($A319="","",1)</f>
        <v/>
      </c>
    </row>
    <row r="320">
      <c r="A320" s="13" t="n"/>
      <c r="B320" s="14" t="n"/>
      <c r="C320" s="14" t="n"/>
      <c r="D320" s="14" t="n"/>
      <c r="E320" s="14" t="n"/>
      <c r="F320" s="14" t="n"/>
      <c r="G320" s="13" t="n"/>
      <c r="H320" s="17">
        <f>IF($A320="","",1)</f>
        <v/>
      </c>
    </row>
    <row r="321">
      <c r="A321" s="13" t="n"/>
      <c r="B321" s="14" t="n"/>
      <c r="C321" s="14" t="n"/>
      <c r="D321" s="14" t="n"/>
      <c r="E321" s="14" t="n"/>
      <c r="F321" s="14" t="n"/>
      <c r="G321" s="13" t="n"/>
      <c r="H321" s="17">
        <f>IF($A321="","",1)</f>
        <v/>
      </c>
    </row>
    <row r="322">
      <c r="A322" s="13" t="n"/>
      <c r="B322" s="14" t="n"/>
      <c r="C322" s="14" t="n"/>
      <c r="D322" s="14" t="n"/>
      <c r="E322" s="14" t="n"/>
      <c r="F322" s="14" t="n"/>
      <c r="G322" s="13" t="n"/>
      <c r="H322" s="17">
        <f>IF($A322="","",1)</f>
        <v/>
      </c>
    </row>
    <row r="323">
      <c r="A323" s="13" t="n"/>
      <c r="B323" s="14" t="n"/>
      <c r="C323" s="14" t="n"/>
      <c r="D323" s="14" t="n"/>
      <c r="E323" s="14" t="n"/>
      <c r="F323" s="14" t="n"/>
      <c r="G323" s="13" t="n"/>
      <c r="H323" s="17">
        <f>IF($A323="","",1)</f>
        <v/>
      </c>
    </row>
    <row r="324">
      <c r="A324" s="13" t="n"/>
      <c r="B324" s="14" t="n"/>
      <c r="C324" s="14" t="n"/>
      <c r="D324" s="14" t="n"/>
      <c r="E324" s="14" t="n"/>
      <c r="F324" s="14" t="n"/>
      <c r="G324" s="13" t="n"/>
      <c r="H324" s="17">
        <f>IF($A324="","",1)</f>
        <v/>
      </c>
    </row>
    <row r="325">
      <c r="A325" s="13" t="n"/>
      <c r="B325" s="14" t="n"/>
      <c r="C325" s="14" t="n"/>
      <c r="D325" s="14" t="n"/>
      <c r="E325" s="14" t="n"/>
      <c r="F325" s="14" t="n"/>
      <c r="G325" s="13" t="n"/>
      <c r="H325" s="17">
        <f>IF($A325="","",1)</f>
        <v/>
      </c>
    </row>
    <row r="326">
      <c r="A326" s="13" t="n"/>
      <c r="B326" s="14" t="n"/>
      <c r="C326" s="14" t="n"/>
      <c r="D326" s="14" t="n"/>
      <c r="E326" s="14" t="n"/>
      <c r="F326" s="14" t="n"/>
      <c r="G326" s="13" t="n"/>
      <c r="H326" s="17">
        <f>IF($A326="","",1)</f>
        <v/>
      </c>
    </row>
    <row r="327">
      <c r="A327" s="13" t="n"/>
      <c r="B327" s="14" t="n"/>
      <c r="C327" s="14" t="n"/>
      <c r="D327" s="14" t="n"/>
      <c r="E327" s="14" t="n"/>
      <c r="F327" s="14" t="n"/>
      <c r="G327" s="13" t="n"/>
      <c r="H327" s="17">
        <f>IF($A327="","",1)</f>
        <v/>
      </c>
    </row>
    <row r="328">
      <c r="A328" s="13" t="n"/>
      <c r="B328" s="14" t="n"/>
      <c r="C328" s="14" t="n"/>
      <c r="D328" s="14" t="n"/>
      <c r="E328" s="14" t="n"/>
      <c r="F328" s="14" t="n"/>
      <c r="G328" s="13" t="n"/>
      <c r="H328" s="17">
        <f>IF($A328="","",1)</f>
        <v/>
      </c>
    </row>
    <row r="329">
      <c r="A329" s="13" t="n"/>
      <c r="B329" s="14" t="n"/>
      <c r="C329" s="14" t="n"/>
      <c r="D329" s="14" t="n"/>
      <c r="E329" s="14" t="n"/>
      <c r="F329" s="14" t="n"/>
      <c r="G329" s="13" t="n"/>
      <c r="H329" s="17">
        <f>IF($A329="","",1)</f>
        <v/>
      </c>
    </row>
    <row r="330">
      <c r="A330" s="13" t="n"/>
      <c r="B330" s="14" t="n"/>
      <c r="C330" s="14" t="n"/>
      <c r="D330" s="14" t="n"/>
      <c r="E330" s="14" t="n"/>
      <c r="F330" s="14" t="n"/>
      <c r="G330" s="13" t="n"/>
      <c r="H330" s="17">
        <f>IF($A330="","",1)</f>
        <v/>
      </c>
    </row>
    <row r="331">
      <c r="A331" s="13" t="n"/>
      <c r="B331" s="14" t="n"/>
      <c r="C331" s="14" t="n"/>
      <c r="D331" s="14" t="n"/>
      <c r="E331" s="14" t="n"/>
      <c r="F331" s="14" t="n"/>
      <c r="G331" s="13" t="n"/>
      <c r="H331" s="17">
        <f>IF($A331="","",1)</f>
        <v/>
      </c>
    </row>
    <row r="332">
      <c r="A332" s="13" t="n"/>
      <c r="B332" s="14" t="n"/>
      <c r="C332" s="14" t="n"/>
      <c r="D332" s="14" t="n"/>
      <c r="E332" s="14" t="n"/>
      <c r="F332" s="14" t="n"/>
      <c r="G332" s="13" t="n"/>
      <c r="H332" s="17">
        <f>IF($A332="","",1)</f>
        <v/>
      </c>
    </row>
    <row r="333">
      <c r="A333" s="13" t="n"/>
      <c r="B333" s="14" t="n"/>
      <c r="C333" s="14" t="n"/>
      <c r="D333" s="14" t="n"/>
      <c r="E333" s="14" t="n"/>
      <c r="F333" s="14" t="n"/>
      <c r="G333" s="13" t="n"/>
      <c r="H333" s="17">
        <f>IF($A333="","",1)</f>
        <v/>
      </c>
    </row>
    <row r="334">
      <c r="A334" s="13" t="n"/>
      <c r="B334" s="14" t="n"/>
      <c r="C334" s="14" t="n"/>
      <c r="D334" s="14" t="n"/>
      <c r="E334" s="14" t="n"/>
      <c r="F334" s="14" t="n"/>
      <c r="G334" s="13" t="n"/>
      <c r="H334" s="17">
        <f>IF($A334="","",1)</f>
        <v/>
      </c>
    </row>
    <row r="335">
      <c r="A335" s="13" t="n"/>
      <c r="B335" s="14" t="n"/>
      <c r="C335" s="14" t="n"/>
      <c r="D335" s="14" t="n"/>
      <c r="E335" s="14" t="n"/>
      <c r="F335" s="14" t="n"/>
      <c r="G335" s="13" t="n"/>
      <c r="H335" s="17">
        <f>IF($A335="","",1)</f>
        <v/>
      </c>
    </row>
    <row r="336">
      <c r="A336" s="13" t="n"/>
      <c r="B336" s="14" t="n"/>
      <c r="C336" s="14" t="n"/>
      <c r="D336" s="14" t="n"/>
      <c r="E336" s="14" t="n"/>
      <c r="F336" s="14" t="n"/>
      <c r="G336" s="13" t="n"/>
      <c r="H336" s="17">
        <f>IF($A336="","",1)</f>
        <v/>
      </c>
    </row>
    <row r="337">
      <c r="A337" s="13" t="n"/>
      <c r="B337" s="14" t="n"/>
      <c r="C337" s="14" t="n"/>
      <c r="D337" s="14" t="n"/>
      <c r="E337" s="14" t="n"/>
      <c r="F337" s="14" t="n"/>
      <c r="G337" s="13" t="n"/>
      <c r="H337" s="17">
        <f>IF($A337="","",1)</f>
        <v/>
      </c>
    </row>
    <row r="338">
      <c r="A338" s="13" t="n"/>
      <c r="B338" s="14" t="n"/>
      <c r="C338" s="14" t="n"/>
      <c r="D338" s="14" t="n"/>
      <c r="E338" s="14" t="n"/>
      <c r="F338" s="14" t="n"/>
      <c r="G338" s="13" t="n"/>
      <c r="H338" s="17">
        <f>IF($A338="","",1)</f>
        <v/>
      </c>
    </row>
    <row r="339">
      <c r="A339" s="13" t="n"/>
      <c r="B339" s="14" t="n"/>
      <c r="C339" s="14" t="n"/>
      <c r="D339" s="14" t="n"/>
      <c r="E339" s="14" t="n"/>
      <c r="F339" s="14" t="n"/>
      <c r="G339" s="13" t="n"/>
      <c r="H339" s="17">
        <f>IF($A339="","",1)</f>
        <v/>
      </c>
    </row>
    <row r="340">
      <c r="A340" s="13" t="n"/>
      <c r="B340" s="14" t="n"/>
      <c r="C340" s="14" t="n"/>
      <c r="D340" s="14" t="n"/>
      <c r="E340" s="14" t="n"/>
      <c r="F340" s="14" t="n"/>
      <c r="G340" s="13" t="n"/>
      <c r="H340" s="17">
        <f>IF($A340="","",1)</f>
        <v/>
      </c>
    </row>
    <row r="341">
      <c r="A341" s="13" t="n"/>
      <c r="B341" s="14" t="n"/>
      <c r="C341" s="14" t="n"/>
      <c r="D341" s="14" t="n"/>
      <c r="E341" s="14" t="n"/>
      <c r="F341" s="14" t="n"/>
      <c r="G341" s="13" t="n"/>
      <c r="H341" s="17">
        <f>IF($A341="","",1)</f>
        <v/>
      </c>
    </row>
    <row r="342">
      <c r="A342" s="13" t="n"/>
      <c r="B342" s="14" t="n"/>
      <c r="C342" s="14" t="n"/>
      <c r="D342" s="14" t="n"/>
      <c r="E342" s="14" t="n"/>
      <c r="F342" s="14" t="n"/>
      <c r="G342" s="13" t="n"/>
      <c r="H342" s="17">
        <f>IF($A342="","",1)</f>
        <v/>
      </c>
    </row>
    <row r="343">
      <c r="A343" s="13" t="n"/>
      <c r="B343" s="14" t="n"/>
      <c r="C343" s="14" t="n"/>
      <c r="D343" s="14" t="n"/>
      <c r="E343" s="14" t="n"/>
      <c r="F343" s="14" t="n"/>
      <c r="G343" s="13" t="n"/>
      <c r="H343" s="17">
        <f>IF($A343="","",1)</f>
        <v/>
      </c>
    </row>
    <row r="344">
      <c r="A344" s="13" t="n"/>
      <c r="B344" s="14" t="n"/>
      <c r="C344" s="14" t="n"/>
      <c r="D344" s="14" t="n"/>
      <c r="E344" s="14" t="n"/>
      <c r="F344" s="14" t="n"/>
      <c r="G344" s="13" t="n"/>
      <c r="H344" s="17">
        <f>IF($A344="","",1)</f>
        <v/>
      </c>
    </row>
    <row r="345">
      <c r="A345" s="13" t="n"/>
      <c r="B345" s="14" t="n"/>
      <c r="C345" s="14" t="n"/>
      <c r="D345" s="14" t="n"/>
      <c r="E345" s="14" t="n"/>
      <c r="F345" s="14" t="n"/>
      <c r="G345" s="13" t="n"/>
      <c r="H345" s="17">
        <f>IF($A345="","",1)</f>
        <v/>
      </c>
    </row>
    <row r="346">
      <c r="A346" s="13" t="n"/>
      <c r="B346" s="14" t="n"/>
      <c r="C346" s="14" t="n"/>
      <c r="D346" s="14" t="n"/>
      <c r="E346" s="14" t="n"/>
      <c r="F346" s="14" t="n"/>
      <c r="G346" s="13" t="n"/>
      <c r="H346" s="17">
        <f>IF($A346="","",1)</f>
        <v/>
      </c>
    </row>
    <row r="347">
      <c r="A347" s="13" t="n"/>
      <c r="B347" s="14" t="n"/>
      <c r="C347" s="14" t="n"/>
      <c r="D347" s="14" t="n"/>
      <c r="E347" s="14" t="n"/>
      <c r="F347" s="14" t="n"/>
      <c r="G347" s="13" t="n"/>
      <c r="H347" s="17">
        <f>IF($A347="","",1)</f>
        <v/>
      </c>
    </row>
    <row r="348">
      <c r="A348" s="13" t="n"/>
      <c r="B348" s="14" t="n"/>
      <c r="C348" s="14" t="n"/>
      <c r="D348" s="14" t="n"/>
      <c r="E348" s="14" t="n"/>
      <c r="F348" s="14" t="n"/>
      <c r="G348" s="13" t="n"/>
      <c r="H348" s="17">
        <f>IF($A348="","",1)</f>
        <v/>
      </c>
    </row>
    <row r="349">
      <c r="A349" s="13" t="n"/>
      <c r="B349" s="14" t="n"/>
      <c r="C349" s="14" t="n"/>
      <c r="D349" s="14" t="n"/>
      <c r="E349" s="14" t="n"/>
      <c r="F349" s="14" t="n"/>
      <c r="G349" s="13" t="n"/>
      <c r="H349" s="17">
        <f>IF($A349="","",1)</f>
        <v/>
      </c>
    </row>
    <row r="350">
      <c r="A350" s="13" t="n"/>
      <c r="B350" s="14" t="n"/>
      <c r="C350" s="14" t="n"/>
      <c r="D350" s="14" t="n"/>
      <c r="E350" s="14" t="n"/>
      <c r="F350" s="14" t="n"/>
      <c r="G350" s="13" t="n"/>
      <c r="H350" s="17">
        <f>IF($A350="","",1)</f>
        <v/>
      </c>
    </row>
    <row r="351">
      <c r="A351" s="13" t="n"/>
      <c r="B351" s="14" t="n"/>
      <c r="C351" s="14" t="n"/>
      <c r="D351" s="14" t="n"/>
      <c r="E351" s="14" t="n"/>
      <c r="F351" s="14" t="n"/>
      <c r="G351" s="13" t="n"/>
      <c r="H351" s="17">
        <f>IF($A351="","",1)</f>
        <v/>
      </c>
    </row>
    <row r="352">
      <c r="A352" s="13" t="n"/>
      <c r="B352" s="14" t="n"/>
      <c r="C352" s="14" t="n"/>
      <c r="D352" s="14" t="n"/>
      <c r="E352" s="14" t="n"/>
      <c r="F352" s="14" t="n"/>
      <c r="G352" s="13" t="n"/>
      <c r="H352" s="17">
        <f>IF($A352="","",1)</f>
        <v/>
      </c>
    </row>
    <row r="353">
      <c r="A353" s="13" t="n"/>
      <c r="B353" s="14" t="n"/>
      <c r="C353" s="14" t="n"/>
      <c r="D353" s="14" t="n"/>
      <c r="E353" s="14" t="n"/>
      <c r="F353" s="14" t="n"/>
      <c r="G353" s="13" t="n"/>
      <c r="H353" s="17">
        <f>IF($A353="","",1)</f>
        <v/>
      </c>
    </row>
    <row r="354">
      <c r="A354" s="13" t="n"/>
      <c r="B354" s="14" t="n"/>
      <c r="C354" s="14" t="n"/>
      <c r="D354" s="14" t="n"/>
      <c r="E354" s="14" t="n"/>
      <c r="F354" s="14" t="n"/>
      <c r="G354" s="13" t="n"/>
      <c r="H354" s="17">
        <f>IF($A354="","",1)</f>
        <v/>
      </c>
    </row>
    <row r="355">
      <c r="A355" s="13" t="n"/>
      <c r="B355" s="14" t="n"/>
      <c r="C355" s="14" t="n"/>
      <c r="D355" s="14" t="n"/>
      <c r="E355" s="14" t="n"/>
      <c r="F355" s="14" t="n"/>
      <c r="G355" s="13" t="n"/>
      <c r="H355" s="17">
        <f>IF($A355="","",1)</f>
        <v/>
      </c>
    </row>
    <row r="356">
      <c r="A356" s="13" t="n"/>
      <c r="B356" s="14" t="n"/>
      <c r="C356" s="14" t="n"/>
      <c r="D356" s="14" t="n"/>
      <c r="E356" s="14" t="n"/>
      <c r="F356" s="14" t="n"/>
      <c r="G356" s="13" t="n"/>
      <c r="H356" s="17">
        <f>IF($A356="","",1)</f>
        <v/>
      </c>
    </row>
    <row r="357">
      <c r="A357" s="13" t="n"/>
      <c r="B357" s="14" t="n"/>
      <c r="C357" s="14" t="n"/>
      <c r="D357" s="14" t="n"/>
      <c r="E357" s="14" t="n"/>
      <c r="F357" s="14" t="n"/>
      <c r="G357" s="13" t="n"/>
      <c r="H357" s="17">
        <f>IF($A357="","",1)</f>
        <v/>
      </c>
    </row>
    <row r="358">
      <c r="A358" s="13" t="n"/>
      <c r="B358" s="14" t="n"/>
      <c r="C358" s="14" t="n"/>
      <c r="D358" s="14" t="n"/>
      <c r="E358" s="14" t="n"/>
      <c r="F358" s="14" t="n"/>
      <c r="G358" s="13" t="n"/>
      <c r="H358" s="17">
        <f>IF($A358="","",1)</f>
        <v/>
      </c>
    </row>
    <row r="359">
      <c r="A359" s="13" t="n"/>
      <c r="B359" s="14" t="n"/>
      <c r="C359" s="14" t="n"/>
      <c r="D359" s="14" t="n"/>
      <c r="E359" s="14" t="n"/>
      <c r="F359" s="14" t="n"/>
      <c r="G359" s="13" t="n"/>
      <c r="H359" s="17">
        <f>IF($A359="","",1)</f>
        <v/>
      </c>
    </row>
    <row r="360">
      <c r="A360" s="13" t="n"/>
      <c r="B360" s="14" t="n"/>
      <c r="C360" s="14" t="n"/>
      <c r="D360" s="14" t="n"/>
      <c r="E360" s="14" t="n"/>
      <c r="F360" s="14" t="n"/>
      <c r="G360" s="13" t="n"/>
      <c r="H360" s="17">
        <f>IF($A360="","",1)</f>
        <v/>
      </c>
    </row>
    <row r="361">
      <c r="A361" s="13" t="n"/>
      <c r="B361" s="14" t="n"/>
      <c r="C361" s="14" t="n"/>
      <c r="D361" s="14" t="n"/>
      <c r="E361" s="14" t="n"/>
      <c r="F361" s="14" t="n"/>
      <c r="G361" s="13" t="n"/>
      <c r="H361" s="17">
        <f>IF($A361="","",1)</f>
        <v/>
      </c>
    </row>
    <row r="362">
      <c r="A362" s="13" t="n"/>
      <c r="B362" s="14" t="n"/>
      <c r="C362" s="14" t="n"/>
      <c r="D362" s="14" t="n"/>
      <c r="E362" s="14" t="n"/>
      <c r="F362" s="14" t="n"/>
      <c r="G362" s="13" t="n"/>
      <c r="H362" s="17">
        <f>IF($A362="","",1)</f>
        <v/>
      </c>
    </row>
    <row r="363">
      <c r="A363" s="13" t="n"/>
      <c r="B363" s="14" t="n"/>
      <c r="C363" s="14" t="n"/>
      <c r="D363" s="14" t="n"/>
      <c r="E363" s="14" t="n"/>
      <c r="F363" s="14" t="n"/>
      <c r="G363" s="13" t="n"/>
      <c r="H363" s="17">
        <f>IF($A363="","",1)</f>
        <v/>
      </c>
    </row>
    <row r="364">
      <c r="A364" s="13" t="n"/>
      <c r="B364" s="14" t="n"/>
      <c r="C364" s="14" t="n"/>
      <c r="D364" s="14" t="n"/>
      <c r="E364" s="14" t="n"/>
      <c r="F364" s="14" t="n"/>
      <c r="G364" s="13" t="n"/>
      <c r="H364" s="17">
        <f>IF($A364="","",1)</f>
        <v/>
      </c>
    </row>
    <row r="365">
      <c r="A365" s="13" t="n"/>
      <c r="B365" s="14" t="n"/>
      <c r="C365" s="14" t="n"/>
      <c r="D365" s="14" t="n"/>
      <c r="E365" s="14" t="n"/>
      <c r="F365" s="14" t="n"/>
      <c r="G365" s="13" t="n"/>
      <c r="H365" s="17">
        <f>IF($A365="","",1)</f>
        <v/>
      </c>
    </row>
    <row r="366">
      <c r="A366" s="13" t="n"/>
      <c r="B366" s="14" t="n"/>
      <c r="C366" s="14" t="n"/>
      <c r="D366" s="14" t="n"/>
      <c r="E366" s="14" t="n"/>
      <c r="F366" s="14" t="n"/>
      <c r="G366" s="13" t="n"/>
      <c r="H366" s="17">
        <f>IF($A366="","",1)</f>
        <v/>
      </c>
    </row>
    <row r="367">
      <c r="A367" s="13" t="n"/>
      <c r="B367" s="14" t="n"/>
      <c r="C367" s="14" t="n"/>
      <c r="D367" s="14" t="n"/>
      <c r="E367" s="14" t="n"/>
      <c r="F367" s="14" t="n"/>
      <c r="G367" s="13" t="n"/>
      <c r="H367" s="17">
        <f>IF($A367="","",1)</f>
        <v/>
      </c>
    </row>
    <row r="368">
      <c r="A368" s="13" t="n"/>
      <c r="B368" s="14" t="n"/>
      <c r="C368" s="14" t="n"/>
      <c r="D368" s="14" t="n"/>
      <c r="E368" s="14" t="n"/>
      <c r="F368" s="14" t="n"/>
      <c r="G368" s="13" t="n"/>
      <c r="H368" s="17">
        <f>IF($A368="","",1)</f>
        <v/>
      </c>
    </row>
    <row r="369">
      <c r="A369" s="13" t="n"/>
      <c r="B369" s="14" t="n"/>
      <c r="C369" s="14" t="n"/>
      <c r="D369" s="14" t="n"/>
      <c r="E369" s="14" t="n"/>
      <c r="F369" s="14" t="n"/>
      <c r="G369" s="13" t="n"/>
      <c r="H369" s="17">
        <f>IF($A369="","",1)</f>
        <v/>
      </c>
    </row>
    <row r="370">
      <c r="A370" s="13" t="n"/>
      <c r="B370" s="14" t="n"/>
      <c r="C370" s="14" t="n"/>
      <c r="D370" s="14" t="n"/>
      <c r="E370" s="14" t="n"/>
      <c r="F370" s="14" t="n"/>
      <c r="G370" s="13" t="n"/>
      <c r="H370" s="17">
        <f>IF($A370="","",1)</f>
        <v/>
      </c>
    </row>
    <row r="371">
      <c r="A371" s="13" t="n"/>
      <c r="B371" s="14" t="n"/>
      <c r="C371" s="14" t="n"/>
      <c r="D371" s="14" t="n"/>
      <c r="E371" s="14" t="n"/>
      <c r="F371" s="14" t="n"/>
      <c r="G371" s="13" t="n"/>
      <c r="H371" s="17">
        <f>IF($A371="","",1)</f>
        <v/>
      </c>
    </row>
    <row r="372">
      <c r="A372" s="13" t="n"/>
      <c r="B372" s="14" t="n"/>
      <c r="C372" s="14" t="n"/>
      <c r="D372" s="14" t="n"/>
      <c r="E372" s="14" t="n"/>
      <c r="F372" s="14" t="n"/>
      <c r="G372" s="13" t="n"/>
      <c r="H372" s="17">
        <f>IF($A372="","",1)</f>
        <v/>
      </c>
    </row>
    <row r="373">
      <c r="A373" s="13" t="n"/>
      <c r="B373" s="14" t="n"/>
      <c r="C373" s="14" t="n"/>
      <c r="D373" s="14" t="n"/>
      <c r="E373" s="14" t="n"/>
      <c r="F373" s="14" t="n"/>
      <c r="G373" s="13" t="n"/>
      <c r="H373" s="17">
        <f>IF($A373="","",1)</f>
        <v/>
      </c>
    </row>
    <row r="374">
      <c r="A374" s="13" t="n"/>
      <c r="B374" s="14" t="n"/>
      <c r="C374" s="14" t="n"/>
      <c r="D374" s="14" t="n"/>
      <c r="E374" s="14" t="n"/>
      <c r="F374" s="14" t="n"/>
      <c r="G374" s="13" t="n"/>
      <c r="H374" s="17">
        <f>IF($A374="","",1)</f>
        <v/>
      </c>
    </row>
    <row r="375">
      <c r="A375" s="13" t="n"/>
      <c r="B375" s="14" t="n"/>
      <c r="C375" s="14" t="n"/>
      <c r="D375" s="14" t="n"/>
      <c r="E375" s="14" t="n"/>
      <c r="F375" s="14" t="n"/>
      <c r="G375" s="13" t="n"/>
      <c r="H375" s="17">
        <f>IF($A375="","",1)</f>
        <v/>
      </c>
    </row>
    <row r="376">
      <c r="A376" s="13" t="n"/>
      <c r="B376" s="14" t="n"/>
      <c r="C376" s="14" t="n"/>
      <c r="D376" s="14" t="n"/>
      <c r="E376" s="14" t="n"/>
      <c r="F376" s="14" t="n"/>
      <c r="G376" s="13" t="n"/>
      <c r="H376" s="17">
        <f>IF($A376="","",1)</f>
        <v/>
      </c>
    </row>
    <row r="377">
      <c r="A377" s="13" t="n"/>
      <c r="B377" s="14" t="n"/>
      <c r="C377" s="14" t="n"/>
      <c r="D377" s="14" t="n"/>
      <c r="E377" s="14" t="n"/>
      <c r="F377" s="14" t="n"/>
      <c r="G377" s="13" t="n"/>
      <c r="H377" s="17">
        <f>IF($A377="","",1)</f>
        <v/>
      </c>
    </row>
    <row r="378">
      <c r="A378" s="13" t="n"/>
      <c r="B378" s="14" t="n"/>
      <c r="C378" s="14" t="n"/>
      <c r="D378" s="14" t="n"/>
      <c r="E378" s="14" t="n"/>
      <c r="F378" s="14" t="n"/>
      <c r="G378" s="13" t="n"/>
      <c r="H378" s="17">
        <f>IF($A378="","",1)</f>
        <v/>
      </c>
    </row>
    <row r="379">
      <c r="A379" s="13" t="n"/>
      <c r="B379" s="14" t="n"/>
      <c r="C379" s="14" t="n"/>
      <c r="D379" s="14" t="n"/>
      <c r="E379" s="14" t="n"/>
      <c r="F379" s="14" t="n"/>
      <c r="G379" s="13" t="n"/>
      <c r="H379" s="17">
        <f>IF($A379="","",1)</f>
        <v/>
      </c>
    </row>
    <row r="380">
      <c r="A380" s="13" t="n"/>
      <c r="B380" s="14" t="n"/>
      <c r="C380" s="14" t="n"/>
      <c r="D380" s="14" t="n"/>
      <c r="E380" s="14" t="n"/>
      <c r="F380" s="14" t="n"/>
      <c r="G380" s="13" t="n"/>
      <c r="H380" s="17">
        <f>IF($A380="","",1)</f>
        <v/>
      </c>
    </row>
    <row r="381">
      <c r="A381" s="13" t="n"/>
      <c r="B381" s="14" t="n"/>
      <c r="C381" s="14" t="n"/>
      <c r="D381" s="14" t="n"/>
      <c r="E381" s="14" t="n"/>
      <c r="F381" s="14" t="n"/>
      <c r="G381" s="13" t="n"/>
      <c r="H381" s="17">
        <f>IF($A381="","",1)</f>
        <v/>
      </c>
    </row>
    <row r="382">
      <c r="A382" s="13" t="n"/>
      <c r="B382" s="14" t="n"/>
      <c r="C382" s="14" t="n"/>
      <c r="D382" s="14" t="n"/>
      <c r="E382" s="14" t="n"/>
      <c r="F382" s="14" t="n"/>
      <c r="G382" s="13" t="n"/>
      <c r="H382" s="17">
        <f>IF($A382="","",1)</f>
        <v/>
      </c>
    </row>
    <row r="383">
      <c r="A383" s="13" t="n"/>
      <c r="B383" s="14" t="n"/>
      <c r="C383" s="14" t="n"/>
      <c r="D383" s="14" t="n"/>
      <c r="E383" s="14" t="n"/>
      <c r="F383" s="14" t="n"/>
      <c r="G383" s="13" t="n"/>
      <c r="H383" s="17">
        <f>IF($A383="","",1)</f>
        <v/>
      </c>
    </row>
    <row r="384">
      <c r="A384" s="13" t="n"/>
      <c r="B384" s="14" t="n"/>
      <c r="C384" s="14" t="n"/>
      <c r="D384" s="14" t="n"/>
      <c r="E384" s="14" t="n"/>
      <c r="F384" s="14" t="n"/>
      <c r="G384" s="13" t="n"/>
      <c r="H384" s="17">
        <f>IF($A384="","",1)</f>
        <v/>
      </c>
    </row>
    <row r="385">
      <c r="A385" s="13" t="n"/>
      <c r="B385" s="14" t="n"/>
      <c r="C385" s="14" t="n"/>
      <c r="D385" s="14" t="n"/>
      <c r="E385" s="14" t="n"/>
      <c r="F385" s="14" t="n"/>
      <c r="G385" s="13" t="n"/>
      <c r="H385" s="17">
        <f>IF($A385="","",1)</f>
        <v/>
      </c>
    </row>
    <row r="386">
      <c r="A386" s="13" t="n"/>
      <c r="B386" s="14" t="n"/>
      <c r="C386" s="14" t="n"/>
      <c r="D386" s="14" t="n"/>
      <c r="E386" s="14" t="n"/>
      <c r="F386" s="14" t="n"/>
      <c r="G386" s="13" t="n"/>
      <c r="H386" s="17">
        <f>IF($A386="","",1)</f>
        <v/>
      </c>
    </row>
    <row r="387">
      <c r="A387" s="13" t="n"/>
      <c r="B387" s="14" t="n"/>
      <c r="C387" s="14" t="n"/>
      <c r="D387" s="14" t="n"/>
      <c r="E387" s="14" t="n"/>
      <c r="F387" s="14" t="n"/>
      <c r="G387" s="13" t="n"/>
      <c r="H387" s="17">
        <f>IF($A387="","",1)</f>
        <v/>
      </c>
    </row>
    <row r="388">
      <c r="A388" s="13" t="n"/>
      <c r="B388" s="14" t="n"/>
      <c r="C388" s="14" t="n"/>
      <c r="D388" s="14" t="n"/>
      <c r="E388" s="14" t="n"/>
      <c r="F388" s="14" t="n"/>
      <c r="G388" s="13" t="n"/>
      <c r="H388" s="17">
        <f>IF($A388="","",1)</f>
        <v/>
      </c>
    </row>
    <row r="389">
      <c r="A389" s="13" t="n"/>
      <c r="B389" s="14" t="n"/>
      <c r="C389" s="14" t="n"/>
      <c r="D389" s="14" t="n"/>
      <c r="E389" s="14" t="n"/>
      <c r="F389" s="14" t="n"/>
      <c r="G389" s="13" t="n"/>
      <c r="H389" s="17">
        <f>IF($A389="","",1)</f>
        <v/>
      </c>
    </row>
    <row r="390">
      <c r="A390" s="13" t="n"/>
      <c r="B390" s="14" t="n"/>
      <c r="C390" s="14" t="n"/>
      <c r="D390" s="14" t="n"/>
      <c r="E390" s="14" t="n"/>
      <c r="F390" s="14" t="n"/>
      <c r="G390" s="13" t="n"/>
      <c r="H390" s="17">
        <f>IF($A390="","",1)</f>
        <v/>
      </c>
    </row>
    <row r="391">
      <c r="A391" s="13" t="n"/>
      <c r="B391" s="14" t="n"/>
      <c r="C391" s="14" t="n"/>
      <c r="D391" s="14" t="n"/>
      <c r="E391" s="14" t="n"/>
      <c r="F391" s="14" t="n"/>
      <c r="G391" s="13" t="n"/>
      <c r="H391" s="17">
        <f>IF($A391="","",1)</f>
        <v/>
      </c>
    </row>
    <row r="392">
      <c r="A392" s="13" t="n"/>
      <c r="B392" s="14" t="n"/>
      <c r="C392" s="14" t="n"/>
      <c r="D392" s="14" t="n"/>
      <c r="E392" s="14" t="n"/>
      <c r="F392" s="14" t="n"/>
      <c r="G392" s="13" t="n"/>
      <c r="H392" s="17">
        <f>IF($A392="","",1)</f>
        <v/>
      </c>
    </row>
    <row r="393">
      <c r="A393" s="13" t="n"/>
      <c r="B393" s="14" t="n"/>
      <c r="C393" s="14" t="n"/>
      <c r="D393" s="14" t="n"/>
      <c r="E393" s="14" t="n"/>
      <c r="F393" s="14" t="n"/>
      <c r="G393" s="13" t="n"/>
      <c r="H393" s="17">
        <f>IF($A393="","",1)</f>
        <v/>
      </c>
    </row>
    <row r="394">
      <c r="A394" s="13" t="n"/>
      <c r="B394" s="14" t="n"/>
      <c r="C394" s="14" t="n"/>
      <c r="D394" s="14" t="n"/>
      <c r="E394" s="14" t="n"/>
      <c r="F394" s="14" t="n"/>
      <c r="G394" s="13" t="n"/>
      <c r="H394" s="17">
        <f>IF($A394="","",1)</f>
        <v/>
      </c>
    </row>
    <row r="395">
      <c r="A395" s="13" t="n"/>
      <c r="B395" s="14" t="n"/>
      <c r="C395" s="14" t="n"/>
      <c r="D395" s="14" t="n"/>
      <c r="E395" s="14" t="n"/>
      <c r="F395" s="14" t="n"/>
      <c r="G395" s="13" t="n"/>
      <c r="H395" s="17">
        <f>IF($A395="","",1)</f>
        <v/>
      </c>
    </row>
    <row r="396">
      <c r="A396" s="13" t="n"/>
      <c r="B396" s="14" t="n"/>
      <c r="C396" s="14" t="n"/>
      <c r="D396" s="14" t="n"/>
      <c r="E396" s="14" t="n"/>
      <c r="F396" s="14" t="n"/>
      <c r="G396" s="13" t="n"/>
      <c r="H396" s="17">
        <f>IF($A396="","",1)</f>
        <v/>
      </c>
    </row>
    <row r="397">
      <c r="A397" s="13" t="n"/>
      <c r="B397" s="14" t="n"/>
      <c r="C397" s="14" t="n"/>
      <c r="D397" s="14" t="n"/>
      <c r="E397" s="14" t="n"/>
      <c r="F397" s="14" t="n"/>
      <c r="G397" s="13" t="n"/>
      <c r="H397" s="17">
        <f>IF($A397="","",1)</f>
        <v/>
      </c>
    </row>
    <row r="398">
      <c r="A398" s="13" t="n"/>
      <c r="B398" s="14" t="n"/>
      <c r="C398" s="14" t="n"/>
      <c r="D398" s="14" t="n"/>
      <c r="E398" s="14" t="n"/>
      <c r="F398" s="14" t="n"/>
      <c r="G398" s="13" t="n"/>
      <c r="H398" s="17">
        <f>IF($A398="","",1)</f>
        <v/>
      </c>
    </row>
    <row r="399">
      <c r="A399" s="13" t="n"/>
      <c r="B399" s="14" t="n"/>
      <c r="C399" s="14" t="n"/>
      <c r="D399" s="14" t="n"/>
      <c r="E399" s="14" t="n"/>
      <c r="F399" s="14" t="n"/>
      <c r="G399" s="13" t="n"/>
      <c r="H399" s="17">
        <f>IF($A399="","",1)</f>
        <v/>
      </c>
    </row>
    <row r="400">
      <c r="A400" s="13" t="n"/>
      <c r="B400" s="14" t="n"/>
      <c r="C400" s="14" t="n"/>
      <c r="D400" s="14" t="n"/>
      <c r="E400" s="14" t="n"/>
      <c r="F400" s="14" t="n"/>
      <c r="G400" s="13" t="n"/>
      <c r="H400" s="17">
        <f>IF($A400="","",1)</f>
        <v/>
      </c>
    </row>
    <row r="401">
      <c r="A401" s="13" t="n"/>
      <c r="B401" s="14" t="n"/>
      <c r="C401" s="14" t="n"/>
      <c r="D401" s="14" t="n"/>
      <c r="E401" s="14" t="n"/>
      <c r="F401" s="14" t="n"/>
      <c r="G401" s="13" t="n"/>
      <c r="H401" s="17">
        <f>IF($A401="","",1)</f>
        <v/>
      </c>
    </row>
    <row r="402">
      <c r="A402" s="13" t="n"/>
      <c r="B402" s="14" t="n"/>
      <c r="C402" s="14" t="n"/>
      <c r="D402" s="14" t="n"/>
      <c r="E402" s="14" t="n"/>
      <c r="F402" s="14" t="n"/>
      <c r="G402" s="13" t="n"/>
      <c r="H402" s="17">
        <f>IF($A402="","",1)</f>
        <v/>
      </c>
    </row>
    <row r="403">
      <c r="A403" s="13" t="n"/>
      <c r="B403" s="14" t="n"/>
      <c r="C403" s="14" t="n"/>
      <c r="D403" s="14" t="n"/>
      <c r="E403" s="14" t="n"/>
      <c r="F403" s="14" t="n"/>
      <c r="G403" s="13" t="n"/>
      <c r="H403" s="17">
        <f>IF($A403="","",1)</f>
        <v/>
      </c>
    </row>
    <row r="404">
      <c r="A404" s="13" t="n"/>
      <c r="B404" s="14" t="n"/>
      <c r="C404" s="14" t="n"/>
      <c r="D404" s="14" t="n"/>
      <c r="E404" s="14" t="n"/>
      <c r="F404" s="14" t="n"/>
      <c r="G404" s="13" t="n"/>
      <c r="H404" s="17">
        <f>IF($A404="","",1)</f>
        <v/>
      </c>
    </row>
    <row r="405">
      <c r="A405" s="13" t="n"/>
      <c r="B405" s="14" t="n"/>
      <c r="C405" s="14" t="n"/>
      <c r="D405" s="14" t="n"/>
      <c r="E405" s="14" t="n"/>
      <c r="F405" s="14" t="n"/>
      <c r="G405" s="13" t="n"/>
      <c r="H405" s="17">
        <f>IF($A405="","",1)</f>
        <v/>
      </c>
    </row>
    <row r="406">
      <c r="A406" s="13" t="n"/>
      <c r="B406" s="14" t="n"/>
      <c r="C406" s="14" t="n"/>
      <c r="D406" s="14" t="n"/>
      <c r="E406" s="14" t="n"/>
      <c r="F406" s="14" t="n"/>
      <c r="G406" s="13" t="n"/>
      <c r="H406" s="17">
        <f>IF($A406="","",1)</f>
        <v/>
      </c>
    </row>
    <row r="407">
      <c r="A407" s="13" t="n"/>
      <c r="B407" s="14" t="n"/>
      <c r="C407" s="14" t="n"/>
      <c r="D407" s="14" t="n"/>
      <c r="E407" s="14" t="n"/>
      <c r="F407" s="14" t="n"/>
      <c r="G407" s="13" t="n"/>
      <c r="H407" s="17">
        <f>IF($A407="","",1)</f>
        <v/>
      </c>
    </row>
    <row r="408">
      <c r="A408" s="13" t="n"/>
      <c r="B408" s="14" t="n"/>
      <c r="C408" s="14" t="n"/>
      <c r="D408" s="14" t="n"/>
      <c r="E408" s="14" t="n"/>
      <c r="F408" s="14" t="n"/>
      <c r="G408" s="13" t="n"/>
      <c r="H408" s="17">
        <f>IF($A408="","",1)</f>
        <v/>
      </c>
    </row>
    <row r="409">
      <c r="A409" s="13" t="n"/>
      <c r="B409" s="14" t="n"/>
      <c r="C409" s="14" t="n"/>
      <c r="D409" s="14" t="n"/>
      <c r="E409" s="14" t="n"/>
      <c r="F409" s="14" t="n"/>
      <c r="G409" s="13" t="n"/>
      <c r="H409" s="17">
        <f>IF($A409="","",1)</f>
        <v/>
      </c>
    </row>
    <row r="410">
      <c r="A410" s="13" t="n"/>
      <c r="B410" s="14" t="n"/>
      <c r="C410" s="14" t="n"/>
      <c r="D410" s="14" t="n"/>
      <c r="E410" s="14" t="n"/>
      <c r="F410" s="14" t="n"/>
      <c r="G410" s="13" t="n"/>
      <c r="H410" s="17">
        <f>IF($A410="","",1)</f>
        <v/>
      </c>
    </row>
    <row r="411">
      <c r="A411" s="13" t="n"/>
      <c r="B411" s="14" t="n"/>
      <c r="C411" s="14" t="n"/>
      <c r="D411" s="14" t="n"/>
      <c r="E411" s="14" t="n"/>
      <c r="F411" s="14" t="n"/>
      <c r="G411" s="13" t="n"/>
      <c r="H411" s="17">
        <f>IF($A411="","",1)</f>
        <v/>
      </c>
    </row>
    <row r="412">
      <c r="A412" s="13" t="n"/>
      <c r="B412" s="14" t="n"/>
      <c r="C412" s="14" t="n"/>
      <c r="D412" s="14" t="n"/>
      <c r="E412" s="14" t="n"/>
      <c r="F412" s="14" t="n"/>
      <c r="G412" s="13" t="n"/>
      <c r="H412" s="17">
        <f>IF($A412="","",1)</f>
        <v/>
      </c>
    </row>
    <row r="413">
      <c r="A413" s="13" t="n"/>
      <c r="B413" s="14" t="n"/>
      <c r="C413" s="14" t="n"/>
      <c r="D413" s="14" t="n"/>
      <c r="E413" s="14" t="n"/>
      <c r="F413" s="14" t="n"/>
      <c r="G413" s="13" t="n"/>
      <c r="H413" s="17">
        <f>IF($A413="","",1)</f>
        <v/>
      </c>
    </row>
    <row r="414">
      <c r="A414" s="13" t="n"/>
      <c r="B414" s="14" t="n"/>
      <c r="C414" s="14" t="n"/>
      <c r="D414" s="14" t="n"/>
      <c r="E414" s="14" t="n"/>
      <c r="F414" s="14" t="n"/>
      <c r="G414" s="13" t="n"/>
      <c r="H414" s="17">
        <f>IF($A414="","",1)</f>
        <v/>
      </c>
    </row>
    <row r="415">
      <c r="A415" s="13" t="n"/>
      <c r="B415" s="14" t="n"/>
      <c r="C415" s="14" t="n"/>
      <c r="D415" s="14" t="n"/>
      <c r="E415" s="14" t="n"/>
      <c r="F415" s="14" t="n"/>
      <c r="G415" s="13" t="n"/>
      <c r="H415" s="17">
        <f>IF($A415="","",1)</f>
        <v/>
      </c>
    </row>
    <row r="416">
      <c r="A416" s="13" t="n"/>
      <c r="B416" s="14" t="n"/>
      <c r="C416" s="14" t="n"/>
      <c r="D416" s="14" t="n"/>
      <c r="E416" s="14" t="n"/>
      <c r="F416" s="14" t="n"/>
      <c r="G416" s="13" t="n"/>
      <c r="H416" s="17">
        <f>IF($A416="","",1)</f>
        <v/>
      </c>
    </row>
    <row r="417">
      <c r="A417" s="13" t="n"/>
      <c r="B417" s="14" t="n"/>
      <c r="C417" s="14" t="n"/>
      <c r="D417" s="14" t="n"/>
      <c r="E417" s="14" t="n"/>
      <c r="F417" s="14" t="n"/>
      <c r="G417" s="13" t="n"/>
      <c r="H417" s="17">
        <f>IF($A417="","",1)</f>
        <v/>
      </c>
    </row>
    <row r="418">
      <c r="A418" s="13" t="n"/>
      <c r="B418" s="14" t="n"/>
      <c r="C418" s="14" t="n"/>
      <c r="D418" s="14" t="n"/>
      <c r="E418" s="14" t="n"/>
      <c r="F418" s="14" t="n"/>
      <c r="G418" s="13" t="n"/>
      <c r="H418" s="17">
        <f>IF($A418="","",1)</f>
        <v/>
      </c>
    </row>
    <row r="419">
      <c r="A419" s="13" t="n"/>
      <c r="B419" s="14" t="n"/>
      <c r="C419" s="14" t="n"/>
      <c r="D419" s="14" t="n"/>
      <c r="E419" s="14" t="n"/>
      <c r="F419" s="14" t="n"/>
      <c r="G419" s="13" t="n"/>
      <c r="H419" s="17">
        <f>IF($A419="","",1)</f>
        <v/>
      </c>
    </row>
    <row r="420">
      <c r="A420" s="13" t="n"/>
      <c r="B420" s="14" t="n"/>
      <c r="C420" s="14" t="n"/>
      <c r="D420" s="14" t="n"/>
      <c r="E420" s="14" t="n"/>
      <c r="F420" s="14" t="n"/>
      <c r="G420" s="13" t="n"/>
      <c r="H420" s="17">
        <f>IF($A420="","",1)</f>
        <v/>
      </c>
    </row>
    <row r="421">
      <c r="A421" s="13" t="n"/>
      <c r="B421" s="14" t="n"/>
      <c r="C421" s="14" t="n"/>
      <c r="D421" s="14" t="n"/>
      <c r="E421" s="14" t="n"/>
      <c r="F421" s="14" t="n"/>
      <c r="G421" s="13" t="n"/>
      <c r="H421" s="17">
        <f>IF($A421="","",1)</f>
        <v/>
      </c>
    </row>
    <row r="422">
      <c r="A422" s="13" t="n"/>
      <c r="B422" s="14" t="n"/>
      <c r="C422" s="14" t="n"/>
      <c r="D422" s="14" t="n"/>
      <c r="E422" s="14" t="n"/>
      <c r="F422" s="14" t="n"/>
      <c r="G422" s="13" t="n"/>
      <c r="H422" s="17">
        <f>IF($A422="","",1)</f>
        <v/>
      </c>
    </row>
    <row r="423">
      <c r="A423" s="13" t="n"/>
      <c r="B423" s="14" t="n"/>
      <c r="C423" s="14" t="n"/>
      <c r="D423" s="14" t="n"/>
      <c r="E423" s="14" t="n"/>
      <c r="F423" s="14" t="n"/>
      <c r="G423" s="13" t="n"/>
      <c r="H423" s="17">
        <f>IF($A423="","",1)</f>
        <v/>
      </c>
    </row>
    <row r="424">
      <c r="A424" s="13" t="n"/>
      <c r="B424" s="14" t="n"/>
      <c r="C424" s="14" t="n"/>
      <c r="D424" s="14" t="n"/>
      <c r="E424" s="14" t="n"/>
      <c r="F424" s="14" t="n"/>
      <c r="G424" s="13" t="n"/>
      <c r="H424" s="17">
        <f>IF($A424="","",1)</f>
        <v/>
      </c>
    </row>
    <row r="425">
      <c r="A425" s="13" t="n"/>
      <c r="B425" s="14" t="n"/>
      <c r="C425" s="14" t="n"/>
      <c r="D425" s="14" t="n"/>
      <c r="E425" s="14" t="n"/>
      <c r="F425" s="14" t="n"/>
      <c r="G425" s="13" t="n"/>
      <c r="H425" s="17">
        <f>IF($A425="","",1)</f>
        <v/>
      </c>
    </row>
    <row r="426">
      <c r="A426" s="13" t="n"/>
      <c r="B426" s="14" t="n"/>
      <c r="C426" s="14" t="n"/>
      <c r="D426" s="14" t="n"/>
      <c r="E426" s="14" t="n"/>
      <c r="F426" s="14" t="n"/>
      <c r="G426" s="13" t="n"/>
      <c r="H426" s="17">
        <f>IF($A426="","",1)</f>
        <v/>
      </c>
    </row>
    <row r="427">
      <c r="A427" s="13" t="n"/>
      <c r="B427" s="14" t="n"/>
      <c r="C427" s="14" t="n"/>
      <c r="D427" s="14" t="n"/>
      <c r="E427" s="14" t="n"/>
      <c r="F427" s="14" t="n"/>
      <c r="G427" s="13" t="n"/>
      <c r="H427" s="17">
        <f>IF($A427="","",1)</f>
        <v/>
      </c>
    </row>
    <row r="428">
      <c r="A428" s="13" t="n"/>
      <c r="B428" s="14" t="n"/>
      <c r="C428" s="14" t="n"/>
      <c r="D428" s="14" t="n"/>
      <c r="E428" s="14" t="n"/>
      <c r="F428" s="14" t="n"/>
      <c r="G428" s="13" t="n"/>
      <c r="H428" s="17">
        <f>IF($A428="","",1)</f>
        <v/>
      </c>
    </row>
    <row r="429">
      <c r="A429" s="13" t="n"/>
      <c r="B429" s="14" t="n"/>
      <c r="C429" s="14" t="n"/>
      <c r="D429" s="14" t="n"/>
      <c r="E429" s="14" t="n"/>
      <c r="F429" s="14" t="n"/>
      <c r="G429" s="13" t="n"/>
      <c r="H429" s="17">
        <f>IF($A429="","",1)</f>
        <v/>
      </c>
    </row>
    <row r="430">
      <c r="A430" s="13" t="n"/>
      <c r="B430" s="14" t="n"/>
      <c r="C430" s="14" t="n"/>
      <c r="D430" s="14" t="n"/>
      <c r="E430" s="14" t="n"/>
      <c r="F430" s="14" t="n"/>
      <c r="G430" s="13" t="n"/>
      <c r="H430" s="17">
        <f>IF($A430="","",1)</f>
        <v/>
      </c>
    </row>
    <row r="431">
      <c r="A431" s="13" t="n"/>
      <c r="B431" s="14" t="n"/>
      <c r="C431" s="14" t="n"/>
      <c r="D431" s="14" t="n"/>
      <c r="E431" s="14" t="n"/>
      <c r="F431" s="14" t="n"/>
      <c r="G431" s="13" t="n"/>
      <c r="H431" s="17">
        <f>IF($A431="","",1)</f>
        <v/>
      </c>
    </row>
    <row r="432">
      <c r="A432" s="13" t="n"/>
      <c r="B432" s="14" t="n"/>
      <c r="C432" s="14" t="n"/>
      <c r="D432" s="14" t="n"/>
      <c r="E432" s="14" t="n"/>
      <c r="F432" s="14" t="n"/>
      <c r="G432" s="13" t="n"/>
      <c r="H432" s="17">
        <f>IF($A432="","",1)</f>
        <v/>
      </c>
    </row>
    <row r="433">
      <c r="A433" s="13" t="n"/>
      <c r="B433" s="14" t="n"/>
      <c r="C433" s="14" t="n"/>
      <c r="D433" s="14" t="n"/>
      <c r="E433" s="14" t="n"/>
      <c r="F433" s="14" t="n"/>
      <c r="G433" s="13" t="n"/>
      <c r="H433" s="17">
        <f>IF($A433="","",1)</f>
        <v/>
      </c>
    </row>
    <row r="434">
      <c r="A434" s="13" t="n"/>
      <c r="B434" s="14" t="n"/>
      <c r="C434" s="14" t="n"/>
      <c r="D434" s="14" t="n"/>
      <c r="E434" s="14" t="n"/>
      <c r="F434" s="14" t="n"/>
      <c r="G434" s="13" t="n"/>
      <c r="H434" s="17">
        <f>IF($A434="","",1)</f>
        <v/>
      </c>
    </row>
    <row r="435">
      <c r="A435" s="13" t="n"/>
      <c r="B435" s="14" t="n"/>
      <c r="C435" s="14" t="n"/>
      <c r="D435" s="14" t="n"/>
      <c r="E435" s="14" t="n"/>
      <c r="F435" s="14" t="n"/>
      <c r="G435" s="13" t="n"/>
      <c r="H435" s="17">
        <f>IF($A435="","",1)</f>
        <v/>
      </c>
    </row>
    <row r="436">
      <c r="A436" s="13" t="n"/>
      <c r="B436" s="14" t="n"/>
      <c r="C436" s="14" t="n"/>
      <c r="D436" s="14" t="n"/>
      <c r="E436" s="14" t="n"/>
      <c r="F436" s="14" t="n"/>
      <c r="G436" s="13" t="n"/>
      <c r="H436" s="17">
        <f>IF($A436="","",1)</f>
        <v/>
      </c>
    </row>
    <row r="437">
      <c r="A437" s="13" t="n"/>
      <c r="B437" s="14" t="n"/>
      <c r="C437" s="14" t="n"/>
      <c r="D437" s="14" t="n"/>
      <c r="E437" s="14" t="n"/>
      <c r="F437" s="14" t="n"/>
      <c r="G437" s="13" t="n"/>
      <c r="H437" s="17">
        <f>IF($A437="","",1)</f>
        <v/>
      </c>
    </row>
    <row r="438">
      <c r="A438" s="13" t="n"/>
      <c r="B438" s="14" t="n"/>
      <c r="C438" s="14" t="n"/>
      <c r="D438" s="14" t="n"/>
      <c r="E438" s="14" t="n"/>
      <c r="F438" s="14" t="n"/>
      <c r="G438" s="13" t="n"/>
      <c r="H438" s="17">
        <f>IF($A438="","",1)</f>
        <v/>
      </c>
    </row>
    <row r="439">
      <c r="A439" s="13" t="n"/>
      <c r="B439" s="14" t="n"/>
      <c r="C439" s="14" t="n"/>
      <c r="D439" s="14" t="n"/>
      <c r="E439" s="14" t="n"/>
      <c r="F439" s="14" t="n"/>
      <c r="G439" s="13" t="n"/>
      <c r="H439" s="17">
        <f>IF($A439="","",1)</f>
        <v/>
      </c>
    </row>
    <row r="440">
      <c r="A440" s="13" t="n"/>
      <c r="B440" s="14" t="n"/>
      <c r="C440" s="14" t="n"/>
      <c r="D440" s="14" t="n"/>
      <c r="E440" s="14" t="n"/>
      <c r="F440" s="14" t="n"/>
      <c r="G440" s="13" t="n"/>
      <c r="H440" s="17">
        <f>IF($A440="","",1)</f>
        <v/>
      </c>
    </row>
    <row r="441">
      <c r="A441" s="13" t="n"/>
      <c r="B441" s="14" t="n"/>
      <c r="C441" s="14" t="n"/>
      <c r="D441" s="14" t="n"/>
      <c r="E441" s="14" t="n"/>
      <c r="F441" s="14" t="n"/>
      <c r="G441" s="13" t="n"/>
      <c r="H441" s="17">
        <f>IF($A441="","",1)</f>
        <v/>
      </c>
    </row>
    <row r="442">
      <c r="A442" s="13" t="n"/>
      <c r="B442" s="14" t="n"/>
      <c r="C442" s="14" t="n"/>
      <c r="D442" s="14" t="n"/>
      <c r="E442" s="14" t="n"/>
      <c r="F442" s="14" t="n"/>
      <c r="G442" s="13" t="n"/>
      <c r="H442" s="17">
        <f>IF($A442="","",1)</f>
        <v/>
      </c>
    </row>
    <row r="443">
      <c r="A443" s="13" t="n"/>
      <c r="B443" s="14" t="n"/>
      <c r="C443" s="14" t="n"/>
      <c r="D443" s="14" t="n"/>
      <c r="E443" s="14" t="n"/>
      <c r="F443" s="14" t="n"/>
      <c r="G443" s="13" t="n"/>
      <c r="H443" s="17">
        <f>IF($A443="","",1)</f>
        <v/>
      </c>
    </row>
    <row r="444">
      <c r="A444" s="13" t="n"/>
      <c r="B444" s="14" t="n"/>
      <c r="C444" s="14" t="n"/>
      <c r="D444" s="14" t="n"/>
      <c r="E444" s="14" t="n"/>
      <c r="F444" s="14" t="n"/>
      <c r="G444" s="13" t="n"/>
      <c r="H444" s="17">
        <f>IF($A444="","",1)</f>
        <v/>
      </c>
    </row>
    <row r="445">
      <c r="A445" s="13" t="n"/>
      <c r="B445" s="14" t="n"/>
      <c r="C445" s="14" t="n"/>
      <c r="D445" s="14" t="n"/>
      <c r="E445" s="14" t="n"/>
      <c r="F445" s="14" t="n"/>
      <c r="G445" s="13" t="n"/>
      <c r="H445" s="17">
        <f>IF($A445="","",1)</f>
        <v/>
      </c>
    </row>
    <row r="446">
      <c r="A446" s="13" t="n"/>
      <c r="B446" s="14" t="n"/>
      <c r="C446" s="14" t="n"/>
      <c r="D446" s="14" t="n"/>
      <c r="E446" s="14" t="n"/>
      <c r="F446" s="14" t="n"/>
      <c r="G446" s="13" t="n"/>
      <c r="H446" s="17">
        <f>IF($A446="","",1)</f>
        <v/>
      </c>
    </row>
    <row r="447">
      <c r="A447" s="13" t="n"/>
      <c r="B447" s="14" t="n"/>
      <c r="C447" s="14" t="n"/>
      <c r="D447" s="14" t="n"/>
      <c r="E447" s="14" t="n"/>
      <c r="F447" s="14" t="n"/>
      <c r="G447" s="13" t="n"/>
      <c r="H447" s="17">
        <f>IF($A447="","",1)</f>
        <v/>
      </c>
    </row>
    <row r="448">
      <c r="A448" s="13" t="n"/>
      <c r="B448" s="14" t="n"/>
      <c r="C448" s="14" t="n"/>
      <c r="D448" s="14" t="n"/>
      <c r="E448" s="14" t="n"/>
      <c r="F448" s="14" t="n"/>
      <c r="G448" s="13" t="n"/>
      <c r="H448" s="17">
        <f>IF($A448="","",1)</f>
        <v/>
      </c>
    </row>
    <row r="449">
      <c r="A449" s="13" t="n"/>
      <c r="B449" s="14" t="n"/>
      <c r="C449" s="14" t="n"/>
      <c r="D449" s="14" t="n"/>
      <c r="E449" s="14" t="n"/>
      <c r="F449" s="14" t="n"/>
      <c r="G449" s="13" t="n"/>
      <c r="H449" s="17">
        <f>IF($A449="","",1)</f>
        <v/>
      </c>
    </row>
    <row r="450">
      <c r="A450" s="13" t="n"/>
      <c r="B450" s="14" t="n"/>
      <c r="C450" s="14" t="n"/>
      <c r="D450" s="14" t="n"/>
      <c r="E450" s="14" t="n"/>
      <c r="F450" s="14" t="n"/>
      <c r="G450" s="13" t="n"/>
      <c r="H450" s="17">
        <f>IF($A450="","",1)</f>
        <v/>
      </c>
    </row>
    <row r="451">
      <c r="A451" s="13" t="n"/>
      <c r="B451" s="14" t="n"/>
      <c r="C451" s="14" t="n"/>
      <c r="D451" s="14" t="n"/>
      <c r="E451" s="14" t="n"/>
      <c r="F451" s="14" t="n"/>
      <c r="G451" s="13" t="n"/>
      <c r="H451" s="17">
        <f>IF($A451="","",1)</f>
        <v/>
      </c>
    </row>
    <row r="452">
      <c r="A452" s="13" t="n"/>
      <c r="B452" s="14" t="n"/>
      <c r="C452" s="14" t="n"/>
      <c r="D452" s="14" t="n"/>
      <c r="E452" s="14" t="n"/>
      <c r="F452" s="14" t="n"/>
      <c r="G452" s="13" t="n"/>
      <c r="H452" s="17">
        <f>IF($A452="","",1)</f>
        <v/>
      </c>
    </row>
    <row r="453">
      <c r="A453" s="13" t="n"/>
      <c r="B453" s="14" t="n"/>
      <c r="C453" s="14" t="n"/>
      <c r="D453" s="14" t="n"/>
      <c r="E453" s="14" t="n"/>
      <c r="F453" s="14" t="n"/>
      <c r="G453" s="13" t="n"/>
      <c r="H453" s="17">
        <f>IF($A453="","",1)</f>
        <v/>
      </c>
    </row>
    <row r="454">
      <c r="A454" s="13" t="n"/>
      <c r="B454" s="14" t="n"/>
      <c r="C454" s="14" t="n"/>
      <c r="D454" s="14" t="n"/>
      <c r="E454" s="14" t="n"/>
      <c r="F454" s="14" t="n"/>
      <c r="G454" s="13" t="n"/>
      <c r="H454" s="17">
        <f>IF($A454="","",1)</f>
        <v/>
      </c>
    </row>
    <row r="455">
      <c r="A455" s="13" t="n"/>
      <c r="B455" s="14" t="n"/>
      <c r="C455" s="14" t="n"/>
      <c r="D455" s="14" t="n"/>
      <c r="E455" s="14" t="n"/>
      <c r="F455" s="14" t="n"/>
      <c r="G455" s="13" t="n"/>
      <c r="H455" s="17">
        <f>IF($A455="","",1)</f>
        <v/>
      </c>
    </row>
    <row r="456">
      <c r="A456" s="13" t="n"/>
      <c r="B456" s="14" t="n"/>
      <c r="C456" s="14" t="n"/>
      <c r="D456" s="14" t="n"/>
      <c r="E456" s="14" t="n"/>
      <c r="F456" s="14" t="n"/>
      <c r="G456" s="13" t="n"/>
      <c r="H456" s="17">
        <f>IF($A456="","",1)</f>
        <v/>
      </c>
    </row>
    <row r="457">
      <c r="A457" s="13" t="n"/>
      <c r="B457" s="14" t="n"/>
      <c r="C457" s="14" t="n"/>
      <c r="D457" s="14" t="n"/>
      <c r="E457" s="14" t="n"/>
      <c r="F457" s="14" t="n"/>
      <c r="G457" s="13" t="n"/>
      <c r="H457" s="17">
        <f>IF($A457="","",1)</f>
        <v/>
      </c>
    </row>
    <row r="458">
      <c r="A458" s="13" t="n"/>
      <c r="B458" s="14" t="n"/>
      <c r="C458" s="14" t="n"/>
      <c r="D458" s="14" t="n"/>
      <c r="E458" s="14" t="n"/>
      <c r="F458" s="14" t="n"/>
      <c r="G458" s="13" t="n"/>
      <c r="H458" s="17">
        <f>IF($A458="","",1)</f>
        <v/>
      </c>
    </row>
    <row r="459">
      <c r="A459" s="13" t="n"/>
      <c r="B459" s="14" t="n"/>
      <c r="C459" s="14" t="n"/>
      <c r="D459" s="14" t="n"/>
      <c r="E459" s="14" t="n"/>
      <c r="F459" s="14" t="n"/>
      <c r="G459" s="13" t="n"/>
      <c r="H459" s="17">
        <f>IF($A459="","",1)</f>
        <v/>
      </c>
    </row>
    <row r="460">
      <c r="A460" s="13" t="n"/>
      <c r="B460" s="14" t="n"/>
      <c r="C460" s="14" t="n"/>
      <c r="D460" s="14" t="n"/>
      <c r="E460" s="14" t="n"/>
      <c r="F460" s="14" t="n"/>
      <c r="G460" s="13" t="n"/>
      <c r="H460" s="17">
        <f>IF($A460="","",1)</f>
        <v/>
      </c>
    </row>
    <row r="461">
      <c r="A461" s="13" t="n"/>
      <c r="B461" s="14" t="n"/>
      <c r="C461" s="14" t="n"/>
      <c r="D461" s="14" t="n"/>
      <c r="E461" s="14" t="n"/>
      <c r="F461" s="14" t="n"/>
      <c r="G461" s="13" t="n"/>
      <c r="H461" s="17">
        <f>IF($A461="","",1)</f>
        <v/>
      </c>
    </row>
    <row r="462">
      <c r="A462" s="13" t="n"/>
      <c r="B462" s="14" t="n"/>
      <c r="C462" s="14" t="n"/>
      <c r="D462" s="14" t="n"/>
      <c r="E462" s="14" t="n"/>
      <c r="F462" s="14" t="n"/>
      <c r="G462" s="13" t="n"/>
      <c r="H462" s="17">
        <f>IF($A462="","",1)</f>
        <v/>
      </c>
    </row>
    <row r="463">
      <c r="A463" s="13" t="n"/>
      <c r="B463" s="14" t="n"/>
      <c r="C463" s="14" t="n"/>
      <c r="D463" s="14" t="n"/>
      <c r="E463" s="14" t="n"/>
      <c r="F463" s="14" t="n"/>
      <c r="G463" s="13" t="n"/>
      <c r="H463" s="17">
        <f>IF($A463="","",1)</f>
        <v/>
      </c>
    </row>
    <row r="464">
      <c r="A464" s="13" t="n"/>
      <c r="B464" s="14" t="n"/>
      <c r="C464" s="14" t="n"/>
      <c r="D464" s="14" t="n"/>
      <c r="E464" s="14" t="n"/>
      <c r="F464" s="14" t="n"/>
      <c r="G464" s="13" t="n"/>
      <c r="H464" s="17">
        <f>IF($A464="","",1)</f>
        <v/>
      </c>
    </row>
    <row r="465">
      <c r="A465" s="13" t="n"/>
      <c r="B465" s="14" t="n"/>
      <c r="C465" s="14" t="n"/>
      <c r="D465" s="14" t="n"/>
      <c r="E465" s="14" t="n"/>
      <c r="F465" s="14" t="n"/>
      <c r="G465" s="13" t="n"/>
      <c r="H465" s="17">
        <f>IF($A465="","",1)</f>
        <v/>
      </c>
    </row>
    <row r="466">
      <c r="A466" s="13" t="n"/>
      <c r="B466" s="14" t="n"/>
      <c r="C466" s="14" t="n"/>
      <c r="D466" s="14" t="n"/>
      <c r="E466" s="14" t="n"/>
      <c r="F466" s="14" t="n"/>
      <c r="G466" s="13" t="n"/>
      <c r="H466" s="17">
        <f>IF($A466="","",1)</f>
        <v/>
      </c>
    </row>
    <row r="467">
      <c r="A467" s="13" t="n"/>
      <c r="B467" s="14" t="n"/>
      <c r="C467" s="14" t="n"/>
      <c r="D467" s="14" t="n"/>
      <c r="E467" s="14" t="n"/>
      <c r="F467" s="14" t="n"/>
      <c r="G467" s="13" t="n"/>
      <c r="H467" s="17">
        <f>IF($A467="","",1)</f>
        <v/>
      </c>
    </row>
    <row r="468">
      <c r="A468" s="13" t="n"/>
      <c r="B468" s="14" t="n"/>
      <c r="C468" s="14" t="n"/>
      <c r="D468" s="14" t="n"/>
      <c r="E468" s="14" t="n"/>
      <c r="F468" s="14" t="n"/>
      <c r="G468" s="13" t="n"/>
      <c r="H468" s="17">
        <f>IF($A468="","",1)</f>
        <v/>
      </c>
    </row>
    <row r="469">
      <c r="A469" s="13" t="n"/>
      <c r="B469" s="14" t="n"/>
      <c r="C469" s="14" t="n"/>
      <c r="D469" s="14" t="n"/>
      <c r="E469" s="14" t="n"/>
      <c r="F469" s="14" t="n"/>
      <c r="G469" s="13" t="n"/>
      <c r="H469" s="17">
        <f>IF($A469="","",1)</f>
        <v/>
      </c>
    </row>
    <row r="470">
      <c r="A470" s="13" t="n"/>
      <c r="B470" s="14" t="n"/>
      <c r="C470" s="14" t="n"/>
      <c r="D470" s="14" t="n"/>
      <c r="E470" s="14" t="n"/>
      <c r="F470" s="14" t="n"/>
      <c r="G470" s="13" t="n"/>
      <c r="H470" s="17">
        <f>IF($A470="","",1)</f>
        <v/>
      </c>
    </row>
    <row r="471">
      <c r="A471" s="13" t="n"/>
      <c r="B471" s="14" t="n"/>
      <c r="C471" s="14" t="n"/>
      <c r="D471" s="14" t="n"/>
      <c r="E471" s="14" t="n"/>
      <c r="F471" s="14" t="n"/>
      <c r="G471" s="13" t="n"/>
      <c r="H471" s="17">
        <f>IF($A471="","",1)</f>
        <v/>
      </c>
    </row>
    <row r="472">
      <c r="A472" s="13" t="n"/>
      <c r="B472" s="14" t="n"/>
      <c r="C472" s="14" t="n"/>
      <c r="D472" s="14" t="n"/>
      <c r="E472" s="14" t="n"/>
      <c r="F472" s="14" t="n"/>
      <c r="G472" s="13" t="n"/>
      <c r="H472" s="17">
        <f>IF($A472="","",1)</f>
        <v/>
      </c>
    </row>
    <row r="473">
      <c r="A473" s="13" t="n"/>
      <c r="B473" s="14" t="n"/>
      <c r="C473" s="14" t="n"/>
      <c r="D473" s="14" t="n"/>
      <c r="E473" s="14" t="n"/>
      <c r="F473" s="14" t="n"/>
      <c r="G473" s="13" t="n"/>
      <c r="H473" s="17">
        <f>IF($A473="","",1)</f>
        <v/>
      </c>
    </row>
    <row r="474">
      <c r="A474" s="13" t="n"/>
      <c r="B474" s="14" t="n"/>
      <c r="C474" s="14" t="n"/>
      <c r="D474" s="14" t="n"/>
      <c r="E474" s="14" t="n"/>
      <c r="F474" s="14" t="n"/>
      <c r="G474" s="13" t="n"/>
      <c r="H474" s="17">
        <f>IF($A474="","",1)</f>
        <v/>
      </c>
    </row>
    <row r="475">
      <c r="A475" s="13" t="n"/>
      <c r="B475" s="14" t="n"/>
      <c r="C475" s="14" t="n"/>
      <c r="D475" s="14" t="n"/>
      <c r="E475" s="14" t="n"/>
      <c r="F475" s="14" t="n"/>
      <c r="G475" s="13" t="n"/>
      <c r="H475" s="17">
        <f>IF($A475="","",1)</f>
        <v/>
      </c>
    </row>
    <row r="476">
      <c r="A476" s="13" t="n"/>
      <c r="B476" s="14" t="n"/>
      <c r="C476" s="14" t="n"/>
      <c r="D476" s="14" t="n"/>
      <c r="E476" s="14" t="n"/>
      <c r="F476" s="14" t="n"/>
      <c r="G476" s="13" t="n"/>
      <c r="H476" s="17">
        <f>IF($A476="","",1)</f>
        <v/>
      </c>
    </row>
    <row r="477">
      <c r="A477" s="13" t="n"/>
      <c r="B477" s="14" t="n"/>
      <c r="C477" s="14" t="n"/>
      <c r="D477" s="14" t="n"/>
      <c r="E477" s="14" t="n"/>
      <c r="F477" s="14" t="n"/>
      <c r="G477" s="13" t="n"/>
      <c r="H477" s="17">
        <f>IF($A477="","",1)</f>
        <v/>
      </c>
    </row>
    <row r="478">
      <c r="A478" s="13" t="n"/>
      <c r="B478" s="14" t="n"/>
      <c r="C478" s="14" t="n"/>
      <c r="D478" s="14" t="n"/>
      <c r="E478" s="14" t="n"/>
      <c r="F478" s="14" t="n"/>
      <c r="G478" s="13" t="n"/>
      <c r="H478" s="17">
        <f>IF($A478="","",1)</f>
        <v/>
      </c>
    </row>
    <row r="479">
      <c r="A479" s="13" t="n"/>
      <c r="B479" s="14" t="n"/>
      <c r="C479" s="14" t="n"/>
      <c r="D479" s="14" t="n"/>
      <c r="E479" s="14" t="n"/>
      <c r="F479" s="14" t="n"/>
      <c r="G479" s="13" t="n"/>
      <c r="H479" s="17">
        <f>IF($A479="","",1)</f>
        <v/>
      </c>
    </row>
    <row r="480">
      <c r="A480" s="13" t="n"/>
      <c r="B480" s="14" t="n"/>
      <c r="C480" s="14" t="n"/>
      <c r="D480" s="14" t="n"/>
      <c r="E480" s="14" t="n"/>
      <c r="F480" s="14" t="n"/>
      <c r="G480" s="13" t="n"/>
      <c r="H480" s="17">
        <f>IF($A480="","",1)</f>
        <v/>
      </c>
    </row>
    <row r="481">
      <c r="A481" s="13" t="n"/>
      <c r="B481" s="14" t="n"/>
      <c r="C481" s="14" t="n"/>
      <c r="D481" s="14" t="n"/>
      <c r="E481" s="14" t="n"/>
      <c r="F481" s="14" t="n"/>
      <c r="G481" s="13" t="n"/>
      <c r="H481" s="17">
        <f>IF($A481="","",1)</f>
        <v/>
      </c>
    </row>
    <row r="482">
      <c r="A482" s="13" t="n"/>
      <c r="B482" s="14" t="n"/>
      <c r="C482" s="14" t="n"/>
      <c r="D482" s="14" t="n"/>
      <c r="E482" s="14" t="n"/>
      <c r="F482" s="14" t="n"/>
      <c r="G482" s="13" t="n"/>
      <c r="H482" s="17">
        <f>IF($A482="","",1)</f>
        <v/>
      </c>
    </row>
    <row r="483">
      <c r="A483" s="13" t="n"/>
      <c r="B483" s="14" t="n"/>
      <c r="C483" s="14" t="n"/>
      <c r="D483" s="14" t="n"/>
      <c r="E483" s="14" t="n"/>
      <c r="F483" s="14" t="n"/>
      <c r="G483" s="13" t="n"/>
      <c r="H483" s="17">
        <f>IF($A483="","",1)</f>
        <v/>
      </c>
    </row>
    <row r="484">
      <c r="A484" s="13" t="n"/>
      <c r="B484" s="14" t="n"/>
      <c r="C484" s="14" t="n"/>
      <c r="D484" s="14" t="n"/>
      <c r="E484" s="14" t="n"/>
      <c r="F484" s="14" t="n"/>
      <c r="G484" s="13" t="n"/>
      <c r="H484" s="17">
        <f>IF($A484="","",1)</f>
        <v/>
      </c>
    </row>
    <row r="485">
      <c r="A485" s="13" t="n"/>
      <c r="B485" s="14" t="n"/>
      <c r="C485" s="14" t="n"/>
      <c r="D485" s="14" t="n"/>
      <c r="E485" s="14" t="n"/>
      <c r="F485" s="14" t="n"/>
      <c r="G485" s="13" t="n"/>
      <c r="H485" s="17">
        <f>IF($A485="","",1)</f>
        <v/>
      </c>
    </row>
    <row r="486">
      <c r="A486" s="13" t="n"/>
      <c r="B486" s="14" t="n"/>
      <c r="C486" s="14" t="n"/>
      <c r="D486" s="14" t="n"/>
      <c r="E486" s="14" t="n"/>
      <c r="F486" s="14" t="n"/>
      <c r="G486" s="13" t="n"/>
      <c r="H486" s="17">
        <f>IF($A486="","",1)</f>
        <v/>
      </c>
    </row>
    <row r="487">
      <c r="A487" s="13" t="n"/>
      <c r="B487" s="14" t="n"/>
      <c r="C487" s="14" t="n"/>
      <c r="D487" s="14" t="n"/>
      <c r="E487" s="14" t="n"/>
      <c r="F487" s="14" t="n"/>
      <c r="G487" s="13" t="n"/>
      <c r="H487" s="17">
        <f>IF($A487="","",1)</f>
        <v/>
      </c>
    </row>
    <row r="488">
      <c r="A488" s="13" t="n"/>
      <c r="B488" s="14" t="n"/>
      <c r="C488" s="14" t="n"/>
      <c r="D488" s="14" t="n"/>
      <c r="E488" s="14" t="n"/>
      <c r="F488" s="14" t="n"/>
      <c r="G488" s="13" t="n"/>
      <c r="H488" s="17">
        <f>IF($A488="","",1)</f>
        <v/>
      </c>
    </row>
    <row r="489">
      <c r="A489" s="13" t="n"/>
      <c r="B489" s="14" t="n"/>
      <c r="C489" s="14" t="n"/>
      <c r="D489" s="14" t="n"/>
      <c r="E489" s="14" t="n"/>
      <c r="F489" s="14" t="n"/>
      <c r="G489" s="13" t="n"/>
      <c r="H489" s="17">
        <f>IF($A489="","",1)</f>
        <v/>
      </c>
    </row>
    <row r="490">
      <c r="A490" s="13" t="n"/>
      <c r="B490" s="14" t="n"/>
      <c r="C490" s="14" t="n"/>
      <c r="D490" s="14" t="n"/>
      <c r="E490" s="14" t="n"/>
      <c r="F490" s="14" t="n"/>
      <c r="G490" s="13" t="n"/>
      <c r="H490" s="17">
        <f>IF($A490="","",1)</f>
        <v/>
      </c>
    </row>
    <row r="491">
      <c r="A491" s="13" t="n"/>
      <c r="B491" s="14" t="n"/>
      <c r="C491" s="14" t="n"/>
      <c r="D491" s="14" t="n"/>
      <c r="E491" s="14" t="n"/>
      <c r="F491" s="14" t="n"/>
      <c r="G491" s="13" t="n"/>
      <c r="H491" s="17">
        <f>IF($A491="","",1)</f>
        <v/>
      </c>
    </row>
    <row r="492">
      <c r="A492" s="13" t="n"/>
      <c r="B492" s="14" t="n"/>
      <c r="C492" s="14" t="n"/>
      <c r="D492" s="14" t="n"/>
      <c r="E492" s="14" t="n"/>
      <c r="F492" s="14" t="n"/>
      <c r="G492" s="13" t="n"/>
      <c r="H492" s="17">
        <f>IF($A492="","",1)</f>
        <v/>
      </c>
    </row>
    <row r="493">
      <c r="A493" s="13" t="n"/>
      <c r="B493" s="14" t="n"/>
      <c r="C493" s="14" t="n"/>
      <c r="D493" s="14" t="n"/>
      <c r="E493" s="14" t="n"/>
      <c r="F493" s="14" t="n"/>
      <c r="G493" s="13" t="n"/>
      <c r="H493" s="17">
        <f>IF($A493="","",1)</f>
        <v/>
      </c>
    </row>
    <row r="494">
      <c r="A494" s="13" t="n"/>
      <c r="B494" s="14" t="n"/>
      <c r="C494" s="14" t="n"/>
      <c r="D494" s="14" t="n"/>
      <c r="E494" s="14" t="n"/>
      <c r="F494" s="14" t="n"/>
      <c r="G494" s="13" t="n"/>
      <c r="H494" s="17">
        <f>IF($A494="","",1)</f>
        <v/>
      </c>
    </row>
    <row r="495">
      <c r="A495" s="13" t="n"/>
      <c r="B495" s="14" t="n"/>
      <c r="C495" s="14" t="n"/>
      <c r="D495" s="14" t="n"/>
      <c r="E495" s="14" t="n"/>
      <c r="F495" s="14" t="n"/>
      <c r="G495" s="13" t="n"/>
      <c r="H495" s="17">
        <f>IF($A495="","",1)</f>
        <v/>
      </c>
    </row>
    <row r="496">
      <c r="A496" s="13" t="n"/>
      <c r="B496" s="14" t="n"/>
      <c r="C496" s="14" t="n"/>
      <c r="D496" s="14" t="n"/>
      <c r="E496" s="14" t="n"/>
      <c r="F496" s="14" t="n"/>
      <c r="G496" s="13" t="n"/>
      <c r="H496" s="17">
        <f>IF($A496="","",1)</f>
        <v/>
      </c>
    </row>
    <row r="497">
      <c r="A497" s="13" t="n"/>
      <c r="B497" s="14" t="n"/>
      <c r="C497" s="14" t="n"/>
      <c r="D497" s="14" t="n"/>
      <c r="E497" s="14" t="n"/>
      <c r="F497" s="14" t="n"/>
      <c r="G497" s="13" t="n"/>
      <c r="H497" s="17">
        <f>IF($A497="","",1)</f>
        <v/>
      </c>
    </row>
    <row r="498">
      <c r="A498" s="13" t="n"/>
      <c r="B498" s="14" t="n"/>
      <c r="C498" s="14" t="n"/>
      <c r="D498" s="14" t="n"/>
      <c r="E498" s="14" t="n"/>
      <c r="F498" s="14" t="n"/>
      <c r="G498" s="13" t="n"/>
      <c r="H498" s="17">
        <f>IF($A498="","",1)</f>
        <v/>
      </c>
    </row>
    <row r="499">
      <c r="A499" s="13" t="n"/>
      <c r="B499" s="14" t="n"/>
      <c r="C499" s="14" t="n"/>
      <c r="D499" s="14" t="n"/>
      <c r="E499" s="14" t="n"/>
      <c r="F499" s="14" t="n"/>
      <c r="G499" s="13" t="n"/>
      <c r="H499" s="17">
        <f>IF($A499="","",1)</f>
        <v/>
      </c>
    </row>
    <row r="500">
      <c r="A500" s="13" t="n"/>
      <c r="B500" s="14" t="n"/>
      <c r="C500" s="14" t="n"/>
      <c r="D500" s="14" t="n"/>
      <c r="E500" s="14" t="n"/>
      <c r="F500" s="14" t="n"/>
      <c r="G500" s="13" t="n"/>
      <c r="H500" s="17">
        <f>IF($A500="","",1)</f>
        <v/>
      </c>
    </row>
    <row r="501">
      <c r="A501" s="13" t="n"/>
      <c r="B501" s="14" t="n"/>
      <c r="C501" s="14" t="n"/>
      <c r="D501" s="14" t="n"/>
      <c r="E501" s="14" t="n"/>
      <c r="F501" s="14" t="n"/>
      <c r="G501" s="13" t="n"/>
      <c r="H501" s="17">
        <f>IF($A501="","",1)</f>
        <v/>
      </c>
    </row>
    <row r="502">
      <c r="A502" s="13" t="n"/>
      <c r="B502" s="14" t="n"/>
      <c r="C502" s="14" t="n"/>
      <c r="D502" s="14" t="n"/>
      <c r="E502" s="14" t="n"/>
      <c r="F502" s="14" t="n"/>
      <c r="G502" s="13" t="n"/>
      <c r="H502" s="17">
        <f>IF($A502="","",1)</f>
        <v/>
      </c>
    </row>
    <row r="503">
      <c r="A503" s="13" t="n"/>
      <c r="B503" s="14" t="n"/>
      <c r="C503" s="14" t="n"/>
      <c r="D503" s="14" t="n"/>
      <c r="E503" s="14" t="n"/>
      <c r="F503" s="14" t="n"/>
      <c r="G503" s="13" t="n"/>
      <c r="H503" s="17">
        <f>IF($A503="","",1)</f>
        <v/>
      </c>
    </row>
    <row r="504">
      <c r="A504" s="13" t="n"/>
      <c r="B504" s="14" t="n"/>
      <c r="C504" s="14" t="n"/>
      <c r="D504" s="14" t="n"/>
      <c r="E504" s="14" t="n"/>
      <c r="F504" s="14" t="n"/>
      <c r="G504" s="13" t="n"/>
      <c r="H504" s="17">
        <f>IF($A504="","",1)</f>
        <v/>
      </c>
    </row>
    <row r="505">
      <c r="A505" s="13" t="n"/>
      <c r="B505" s="14" t="n"/>
      <c r="C505" s="14" t="n"/>
      <c r="D505" s="14" t="n"/>
      <c r="E505" s="14" t="n"/>
      <c r="F505" s="14" t="n"/>
      <c r="G505" s="13" t="n"/>
      <c r="H505" s="17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E6:E505">
    <cfRule type="cellIs" priority="1" operator="greaterThan" dxfId="0">
      <formula>100</formula>
    </cfRule>
  </conditionalFormatting>
  <conditionalFormatting sqref="D6:D505">
    <cfRule type="cellIs" priority="2" operator="greaterThan" dxfId="0">
      <formula>500</formula>
    </cfRule>
  </conditionalFormatting>
  <dataValidations count="7">
    <dataValidation sqref="A6:A505" showDropDown="0" showInputMessage="1" showErrorMessage="1" allowBlank="1" errorTitle="Eksik" error="Boş olamaz" promptTitle="Barkod" prompt="Barkod girin" type="textLength" errorStyle="stop" operator="greaterThan">
      <formula1>1</formula1>
      <formula2>40</formula2>
    </dataValidation>
    <dataValidation sqref="B6:B505" showDropDown="0" showInputMessage="1" showErrorMessage="1" allowBlank="1" errorTitle="TY Plus" error="0 veya üzeri" promptTitle="TY Plus" prompt="0 veya üzeri TL" type="decimal" errorStyle="stop" operator="greaterThanOrEqual">
      <formula1>0</formula1>
    </dataValidation>
    <dataValidation sqref="C6:C505" showDropDown="0" showInputMessage="1" showErrorMessage="1" allowBlank="1" errorTitle="Flaş" error="0 veya üzeri" promptTitle="Flaş" prompt="0 veya üzeri TL" type="decimal" errorStyle="stop" operator="greaterThanOrEqual">
      <formula1>0</formula1>
    </dataValidation>
    <dataValidation sqref="D6:D505" showDropDown="0" showInputMessage="1" showErrorMessage="1" allowBlank="1" errorTitle="Ürün Reklamı" error="0 veya üzeri" promptTitle="Ürün Reklamı" prompt="0 veya üzeri TL" type="decimal" errorStyle="stop" operator="greaterThanOrEqual">
      <formula1>0</formula1>
    </dataValidation>
    <dataValidation sqref="E6:E505" showDropDown="0" showInputMessage="1" showErrorMessage="1" allowBlank="1" errorTitle="Desi Kargo" error="0 veya üzeri" promptTitle="Desi Kargo" prompt="0 veya üzeri TL" type="decimal" errorStyle="stop" operator="greaterThanOrEqual">
      <formula1>0</formula1>
    </dataValidation>
    <dataValidation sqref="F6:F505" showDropDown="0" showInputMessage="1" showErrorMessage="1" allowBlank="1" errorTitle="Gerçek Hakediş" error="0 veya üzeri" promptTitle="Gerçek Hakediş" prompt="0 veya üzeri TL" type="decimal" errorStyle="stop" operator="greaterThanOrEqual">
      <formula1>0</formula1>
    </dataValidation>
    <dataValidation sqref="G6:G505" showDropDown="0" showInputMessage="1" showErrorMessage="1" allowBlank="1" errorTitle="Dönem" error="Listeden seçin" promptTitle="Dönem" prompt="Listeden seçin" type="list" errorStyle="stop">
      <formula1>ListeDonemler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6" customHeight="1">
      <c r="A1" s="1" t="inlineStr">
        <is>
          <t>ANAHTAR — Trendyol Komisyon Sonrası Net Kâr Hesaplama</t>
        </is>
      </c>
    </row>
    <row r="3" ht="20" customHeight="1">
      <c r="A3" s="10" t="inlineStr">
        <is>
          <t>Normalize barkod anahtarı + uzunluk + ikincil + duplike</t>
        </is>
      </c>
    </row>
    <row r="4">
      <c r="A4" s="18" t="inlineStr">
        <is>
          <t>A Tarafı (Girdi)</t>
        </is>
      </c>
      <c r="I4" s="18" t="inlineStr">
        <is>
          <t>B Tarafı (Hakediş)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IF(GIRDI!A6="","",GIRDI!A6)</f>
        <v/>
      </c>
      <c r="B6" s="17">
        <f>UPPER(TRIM(SUBSTITUTE($A6," ","")))</f>
        <v/>
      </c>
      <c r="C6" s="17">
        <f>IF($B6="",0,LEN($B6))</f>
        <v/>
      </c>
      <c r="D6" s="17">
        <f>IF($B6="","",LEFT($B6,tyk_ikincilUzunluk))</f>
        <v/>
      </c>
      <c r="E6" s="17">
        <f>"A"</f>
        <v/>
      </c>
      <c r="F6" s="17">
        <f>IF($B6="","",IF(COUNTIF(tblAnahtarA[Norm],$B6)&gt;1,"EVET","HAYIR"))</f>
        <v/>
      </c>
      <c r="G6" s="17">
        <f>IF($A6="","",ROW()-ROW($A$5))</f>
        <v/>
      </c>
      <c r="I6" s="7">
        <f>IF(HAKEDIS!A6="","",HAKEDIS!A6)</f>
        <v/>
      </c>
      <c r="J6" s="17">
        <f>UPPER(TRIM(SUBSTITUTE($I6," ","")))</f>
        <v/>
      </c>
      <c r="K6" s="17">
        <f>IF($J6="",0,LEN($J6))</f>
        <v/>
      </c>
      <c r="L6" s="17">
        <f>IF($J6="","",LEFT($J6,tyk_ikincilUzunluk))</f>
        <v/>
      </c>
      <c r="M6" s="17">
        <f>"B"</f>
        <v/>
      </c>
      <c r="N6" s="17">
        <f>IF($J6="","",IF(COUNTIF(tblAnahtarB[NormB],$J6)&gt;1,"EVET","HAYIR"))</f>
        <v/>
      </c>
      <c r="O6" s="17">
        <f>IF($I6="","",ROW()-ROW($I$5))</f>
        <v/>
      </c>
    </row>
    <row r="7">
      <c r="A7" s="7">
        <f>IF(GIRDI!A7="","",GIRDI!A7)</f>
        <v/>
      </c>
      <c r="B7" s="17">
        <f>UPPER(TRIM(SUBSTITUTE($A7," ","")))</f>
        <v/>
      </c>
      <c r="C7" s="17">
        <f>IF($B7="",0,LEN($B7))</f>
        <v/>
      </c>
      <c r="D7" s="17">
        <f>IF($B7="","",LEFT($B7,tyk_ikincilUzunluk))</f>
        <v/>
      </c>
      <c r="E7" s="17">
        <f>"A"</f>
        <v/>
      </c>
      <c r="F7" s="17">
        <f>IF($B7="","",IF(COUNTIF(tblAnahtarA[Norm],$B7)&gt;1,"EVET","HAYIR"))</f>
        <v/>
      </c>
      <c r="G7" s="17">
        <f>IF($A7="","",ROW()-ROW($A$5))</f>
        <v/>
      </c>
      <c r="I7" s="7">
        <f>IF(HAKEDIS!A7="","",HAKEDIS!A7)</f>
        <v/>
      </c>
      <c r="J7" s="17">
        <f>UPPER(TRIM(SUBSTITUTE($I7," ","")))</f>
        <v/>
      </c>
      <c r="K7" s="17">
        <f>IF($J7="",0,LEN($J7))</f>
        <v/>
      </c>
      <c r="L7" s="17">
        <f>IF($J7="","",LEFT($J7,tyk_ikincilUzunluk))</f>
        <v/>
      </c>
      <c r="M7" s="17">
        <f>"B"</f>
        <v/>
      </c>
      <c r="N7" s="17">
        <f>IF($J7="","",IF(COUNTIF(tblAnahtarB[NormB],$J7)&gt;1,"EVET","HAYIR"))</f>
        <v/>
      </c>
      <c r="O7" s="17">
        <f>IF($I7="","",ROW()-ROW($I$5))</f>
        <v/>
      </c>
    </row>
    <row r="8">
      <c r="A8" s="7">
        <f>IF(GIRDI!A8="","",GIRDI!A8)</f>
        <v/>
      </c>
      <c r="B8" s="17">
        <f>UPPER(TRIM(SUBSTITUTE($A8," ","")))</f>
        <v/>
      </c>
      <c r="C8" s="17">
        <f>IF($B8="",0,LEN($B8))</f>
        <v/>
      </c>
      <c r="D8" s="17">
        <f>IF($B8="","",LEFT($B8,tyk_ikincilUzunluk))</f>
        <v/>
      </c>
      <c r="E8" s="17">
        <f>"A"</f>
        <v/>
      </c>
      <c r="F8" s="17">
        <f>IF($B8="","",IF(COUNTIF(tblAnahtarA[Norm],$B8)&gt;1,"EVET","HAYIR"))</f>
        <v/>
      </c>
      <c r="G8" s="17">
        <f>IF($A8="","",ROW()-ROW($A$5))</f>
        <v/>
      </c>
      <c r="I8" s="7">
        <f>IF(HAKEDIS!A8="","",HAKEDIS!A8)</f>
        <v/>
      </c>
      <c r="J8" s="17">
        <f>UPPER(TRIM(SUBSTITUTE($I8," ","")))</f>
        <v/>
      </c>
      <c r="K8" s="17">
        <f>IF($J8="",0,LEN($J8))</f>
        <v/>
      </c>
      <c r="L8" s="17">
        <f>IF($J8="","",LEFT($J8,tyk_ikincilUzunluk))</f>
        <v/>
      </c>
      <c r="M8" s="17">
        <f>"B"</f>
        <v/>
      </c>
      <c r="N8" s="17">
        <f>IF($J8="","",IF(COUNTIF(tblAnahtarB[NormB],$J8)&gt;1,"EVET","HAYIR"))</f>
        <v/>
      </c>
      <c r="O8" s="17">
        <f>IF($I8="","",ROW()-ROW($I$5))</f>
        <v/>
      </c>
    </row>
    <row r="9">
      <c r="A9" s="7">
        <f>IF(GIRDI!A9="","",GIRDI!A9)</f>
        <v/>
      </c>
      <c r="B9" s="17">
        <f>UPPER(TRIM(SUBSTITUTE($A9," ","")))</f>
        <v/>
      </c>
      <c r="C9" s="17">
        <f>IF($B9="",0,LEN($B9))</f>
        <v/>
      </c>
      <c r="D9" s="17">
        <f>IF($B9="","",LEFT($B9,tyk_ikincilUzunluk))</f>
        <v/>
      </c>
      <c r="E9" s="17">
        <f>"A"</f>
        <v/>
      </c>
      <c r="F9" s="17">
        <f>IF($B9="","",IF(COUNTIF(tblAnahtarA[Norm],$B9)&gt;1,"EVET","HAYIR"))</f>
        <v/>
      </c>
      <c r="G9" s="17">
        <f>IF($A9="","",ROW()-ROW($A$5))</f>
        <v/>
      </c>
      <c r="I9" s="7">
        <f>IF(HAKEDIS!A9="","",HAKEDIS!A9)</f>
        <v/>
      </c>
      <c r="J9" s="17">
        <f>UPPER(TRIM(SUBSTITUTE($I9," ","")))</f>
        <v/>
      </c>
      <c r="K9" s="17">
        <f>IF($J9="",0,LEN($J9))</f>
        <v/>
      </c>
      <c r="L9" s="17">
        <f>IF($J9="","",LEFT($J9,tyk_ikincilUzunluk))</f>
        <v/>
      </c>
      <c r="M9" s="17">
        <f>"B"</f>
        <v/>
      </c>
      <c r="N9" s="17">
        <f>IF($J9="","",IF(COUNTIF(tblAnahtarB[NormB],$J9)&gt;1,"EVET","HAYIR"))</f>
        <v/>
      </c>
      <c r="O9" s="17">
        <f>IF($I9="","",ROW()-ROW($I$5))</f>
        <v/>
      </c>
    </row>
    <row r="10">
      <c r="A10" s="7">
        <f>IF(GIRDI!A10="","",GIRDI!A10)</f>
        <v/>
      </c>
      <c r="B10" s="17">
        <f>UPPER(TRIM(SUBSTITUTE($A10," ","")))</f>
        <v/>
      </c>
      <c r="C10" s="17">
        <f>IF($B10="",0,LEN($B10))</f>
        <v/>
      </c>
      <c r="D10" s="17">
        <f>IF($B10="","",LEFT($B10,tyk_ikincilUzunluk))</f>
        <v/>
      </c>
      <c r="E10" s="17">
        <f>"A"</f>
        <v/>
      </c>
      <c r="F10" s="17">
        <f>IF($B10="","",IF(COUNTIF(tblAnahtarA[Norm],$B10)&gt;1,"EVET","HAYIR"))</f>
        <v/>
      </c>
      <c r="G10" s="17">
        <f>IF($A10="","",ROW()-ROW($A$5))</f>
        <v/>
      </c>
      <c r="I10" s="7">
        <f>IF(HAKEDIS!A10="","",HAKEDIS!A10)</f>
        <v/>
      </c>
      <c r="J10" s="17">
        <f>UPPER(TRIM(SUBSTITUTE($I10," ","")))</f>
        <v/>
      </c>
      <c r="K10" s="17">
        <f>IF($J10="",0,LEN($J10))</f>
        <v/>
      </c>
      <c r="L10" s="17">
        <f>IF($J10="","",LEFT($J10,tyk_ikincilUzunluk))</f>
        <v/>
      </c>
      <c r="M10" s="17">
        <f>"B"</f>
        <v/>
      </c>
      <c r="N10" s="17">
        <f>IF($J10="","",IF(COUNTIF(tblAnahtarB[NormB],$J10)&gt;1,"EVET","HAYIR"))</f>
        <v/>
      </c>
      <c r="O10" s="17">
        <f>IF($I10="","",ROW()-ROW($I$5))</f>
        <v/>
      </c>
    </row>
    <row r="11">
      <c r="A11" s="7">
        <f>IF(GIRDI!A11="","",GIRDI!A11)</f>
        <v/>
      </c>
      <c r="B11" s="17">
        <f>UPPER(TRIM(SUBSTITUTE($A11," ","")))</f>
        <v/>
      </c>
      <c r="C11" s="17">
        <f>IF($B11="",0,LEN($B11))</f>
        <v/>
      </c>
      <c r="D11" s="17">
        <f>IF($B11="","",LEFT($B11,tyk_ikincilUzunluk))</f>
        <v/>
      </c>
      <c r="E11" s="17">
        <f>"A"</f>
        <v/>
      </c>
      <c r="F11" s="17">
        <f>IF($B11="","",IF(COUNTIF(tblAnahtarA[Norm],$B11)&gt;1,"EVET","HAYIR"))</f>
        <v/>
      </c>
      <c r="G11" s="17">
        <f>IF($A11="","",ROW()-ROW($A$5))</f>
        <v/>
      </c>
      <c r="I11" s="7">
        <f>IF(HAKEDIS!A11="","",HAKEDIS!A11)</f>
        <v/>
      </c>
      <c r="J11" s="17">
        <f>UPPER(TRIM(SUBSTITUTE($I11," ","")))</f>
        <v/>
      </c>
      <c r="K11" s="17">
        <f>IF($J11="",0,LEN($J11))</f>
        <v/>
      </c>
      <c r="L11" s="17">
        <f>IF($J11="","",LEFT($J11,tyk_ikincilUzunluk))</f>
        <v/>
      </c>
      <c r="M11" s="17">
        <f>"B"</f>
        <v/>
      </c>
      <c r="N11" s="17">
        <f>IF($J11="","",IF(COUNTIF(tblAnahtarB[NormB],$J11)&gt;1,"EVET","HAYIR"))</f>
        <v/>
      </c>
      <c r="O11" s="17">
        <f>IF($I11="","",ROW()-ROW($I$5))</f>
        <v/>
      </c>
    </row>
    <row r="12">
      <c r="A12" s="7">
        <f>IF(GIRDI!A12="","",GIRDI!A12)</f>
        <v/>
      </c>
      <c r="B12" s="17">
        <f>UPPER(TRIM(SUBSTITUTE($A12," ","")))</f>
        <v/>
      </c>
      <c r="C12" s="17">
        <f>IF($B12="",0,LEN($B12))</f>
        <v/>
      </c>
      <c r="D12" s="17">
        <f>IF($B12="","",LEFT($B12,tyk_ikincilUzunluk))</f>
        <v/>
      </c>
      <c r="E12" s="17">
        <f>"A"</f>
        <v/>
      </c>
      <c r="F12" s="17">
        <f>IF($B12="","",IF(COUNTIF(tblAnahtarA[Norm],$B12)&gt;1,"EVET","HAYIR"))</f>
        <v/>
      </c>
      <c r="G12" s="17">
        <f>IF($A12="","",ROW()-ROW($A$5))</f>
        <v/>
      </c>
      <c r="I12" s="7">
        <f>IF(HAKEDIS!A12="","",HAKEDIS!A12)</f>
        <v/>
      </c>
      <c r="J12" s="17">
        <f>UPPER(TRIM(SUBSTITUTE($I12," ","")))</f>
        <v/>
      </c>
      <c r="K12" s="17">
        <f>IF($J12="",0,LEN($J12))</f>
        <v/>
      </c>
      <c r="L12" s="17">
        <f>IF($J12="","",LEFT($J12,tyk_ikincilUzunluk))</f>
        <v/>
      </c>
      <c r="M12" s="17">
        <f>"B"</f>
        <v/>
      </c>
      <c r="N12" s="17">
        <f>IF($J12="","",IF(COUNTIF(tblAnahtarB[NormB],$J12)&gt;1,"EVET","HAYIR"))</f>
        <v/>
      </c>
      <c r="O12" s="17">
        <f>IF($I12="","",ROW()-ROW($I$5))</f>
        <v/>
      </c>
    </row>
    <row r="13">
      <c r="A13" s="7">
        <f>IF(GIRDI!A13="","",GIRDI!A13)</f>
        <v/>
      </c>
      <c r="B13" s="17">
        <f>UPPER(TRIM(SUBSTITUTE($A13," ","")))</f>
        <v/>
      </c>
      <c r="C13" s="17">
        <f>IF($B13="",0,LEN($B13))</f>
        <v/>
      </c>
      <c r="D13" s="17">
        <f>IF($B13="","",LEFT($B13,tyk_ikincilUzunluk))</f>
        <v/>
      </c>
      <c r="E13" s="17">
        <f>"A"</f>
        <v/>
      </c>
      <c r="F13" s="17">
        <f>IF($B13="","",IF(COUNTIF(tblAnahtarA[Norm],$B13)&gt;1,"EVET","HAYIR"))</f>
        <v/>
      </c>
      <c r="G13" s="17">
        <f>IF($A13="","",ROW()-ROW($A$5))</f>
        <v/>
      </c>
      <c r="I13" s="7">
        <f>IF(HAKEDIS!A13="","",HAKEDIS!A13)</f>
        <v/>
      </c>
      <c r="J13" s="17">
        <f>UPPER(TRIM(SUBSTITUTE($I13," ","")))</f>
        <v/>
      </c>
      <c r="K13" s="17">
        <f>IF($J13="",0,LEN($J13))</f>
        <v/>
      </c>
      <c r="L13" s="17">
        <f>IF($J13="","",LEFT($J13,tyk_ikincilUzunluk))</f>
        <v/>
      </c>
      <c r="M13" s="17">
        <f>"B"</f>
        <v/>
      </c>
      <c r="N13" s="17">
        <f>IF($J13="","",IF(COUNTIF(tblAnahtarB[NormB],$J13)&gt;1,"EVET","HAYIR"))</f>
        <v/>
      </c>
      <c r="O13" s="17">
        <f>IF($I13="","",ROW()-ROW($I$5))</f>
        <v/>
      </c>
    </row>
    <row r="14">
      <c r="A14" s="7">
        <f>IF(GIRDI!A14="","",GIRDI!A14)</f>
        <v/>
      </c>
      <c r="B14" s="17">
        <f>UPPER(TRIM(SUBSTITUTE($A14," ","")))</f>
        <v/>
      </c>
      <c r="C14" s="17">
        <f>IF($B14="",0,LEN($B14))</f>
        <v/>
      </c>
      <c r="D14" s="17">
        <f>IF($B14="","",LEFT($B14,tyk_ikincilUzunluk))</f>
        <v/>
      </c>
      <c r="E14" s="17">
        <f>"A"</f>
        <v/>
      </c>
      <c r="F14" s="17">
        <f>IF($B14="","",IF(COUNTIF(tblAnahtarA[Norm],$B14)&gt;1,"EVET","HAYIR"))</f>
        <v/>
      </c>
      <c r="G14" s="17">
        <f>IF($A14="","",ROW()-ROW($A$5))</f>
        <v/>
      </c>
      <c r="I14" s="7">
        <f>IF(HAKEDIS!A14="","",HAKEDIS!A14)</f>
        <v/>
      </c>
      <c r="J14" s="17">
        <f>UPPER(TRIM(SUBSTITUTE($I14," ","")))</f>
        <v/>
      </c>
      <c r="K14" s="17">
        <f>IF($J14="",0,LEN($J14))</f>
        <v/>
      </c>
      <c r="L14" s="17">
        <f>IF($J14="","",LEFT($J14,tyk_ikincilUzunluk))</f>
        <v/>
      </c>
      <c r="M14" s="17">
        <f>"B"</f>
        <v/>
      </c>
      <c r="N14" s="17">
        <f>IF($J14="","",IF(COUNTIF(tblAnahtarB[NormB],$J14)&gt;1,"EVET","HAYIR"))</f>
        <v/>
      </c>
      <c r="O14" s="17">
        <f>IF($I14="","",ROW()-ROW($I$5))</f>
        <v/>
      </c>
    </row>
    <row r="15">
      <c r="A15" s="7">
        <f>IF(GIRDI!A15="","",GIRDI!A15)</f>
        <v/>
      </c>
      <c r="B15" s="17">
        <f>UPPER(TRIM(SUBSTITUTE($A15," ","")))</f>
        <v/>
      </c>
      <c r="C15" s="17">
        <f>IF($B15="",0,LEN($B15))</f>
        <v/>
      </c>
      <c r="D15" s="17">
        <f>IF($B15="","",LEFT($B15,tyk_ikincilUzunluk))</f>
        <v/>
      </c>
      <c r="E15" s="17">
        <f>"A"</f>
        <v/>
      </c>
      <c r="F15" s="17">
        <f>IF($B15="","",IF(COUNTIF(tblAnahtarA[Norm],$B15)&gt;1,"EVET","HAYIR"))</f>
        <v/>
      </c>
      <c r="G15" s="17">
        <f>IF($A15="","",ROW()-ROW($A$5))</f>
        <v/>
      </c>
      <c r="I15" s="7">
        <f>IF(HAKEDIS!A15="","",HAKEDIS!A15)</f>
        <v/>
      </c>
      <c r="J15" s="17">
        <f>UPPER(TRIM(SUBSTITUTE($I15," ","")))</f>
        <v/>
      </c>
      <c r="K15" s="17">
        <f>IF($J15="",0,LEN($J15))</f>
        <v/>
      </c>
      <c r="L15" s="17">
        <f>IF($J15="","",LEFT($J15,tyk_ikincilUzunluk))</f>
        <v/>
      </c>
      <c r="M15" s="17">
        <f>"B"</f>
        <v/>
      </c>
      <c r="N15" s="17">
        <f>IF($J15="","",IF(COUNTIF(tblAnahtarB[NormB],$J15)&gt;1,"EVET","HAYIR"))</f>
        <v/>
      </c>
      <c r="O15" s="17">
        <f>IF($I15="","",ROW()-ROW($I$5))</f>
        <v/>
      </c>
    </row>
    <row r="16">
      <c r="A16" s="7">
        <f>IF(GIRDI!A16="","",GIRDI!A16)</f>
        <v/>
      </c>
      <c r="B16" s="17">
        <f>UPPER(TRIM(SUBSTITUTE($A16," ","")))</f>
        <v/>
      </c>
      <c r="C16" s="17">
        <f>IF($B16="",0,LEN($B16))</f>
        <v/>
      </c>
      <c r="D16" s="17">
        <f>IF($B16="","",LEFT($B16,tyk_ikincilUzunluk))</f>
        <v/>
      </c>
      <c r="E16" s="17">
        <f>"A"</f>
        <v/>
      </c>
      <c r="F16" s="17">
        <f>IF($B16="","",IF(COUNTIF(tblAnahtarA[Norm],$B16)&gt;1,"EVET","HAYIR"))</f>
        <v/>
      </c>
      <c r="G16" s="17">
        <f>IF($A16="","",ROW()-ROW($A$5))</f>
        <v/>
      </c>
      <c r="I16" s="7">
        <f>IF(HAKEDIS!A16="","",HAKEDIS!A16)</f>
        <v/>
      </c>
      <c r="J16" s="17">
        <f>UPPER(TRIM(SUBSTITUTE($I16," ","")))</f>
        <v/>
      </c>
      <c r="K16" s="17">
        <f>IF($J16="",0,LEN($J16))</f>
        <v/>
      </c>
      <c r="L16" s="17">
        <f>IF($J16="","",LEFT($J16,tyk_ikincilUzunluk))</f>
        <v/>
      </c>
      <c r="M16" s="17">
        <f>"B"</f>
        <v/>
      </c>
      <c r="N16" s="17">
        <f>IF($J16="","",IF(COUNTIF(tblAnahtarB[NormB],$J16)&gt;1,"EVET","HAYIR"))</f>
        <v/>
      </c>
      <c r="O16" s="17">
        <f>IF($I16="","",ROW()-ROW($I$5))</f>
        <v/>
      </c>
    </row>
    <row r="17">
      <c r="A17" s="7">
        <f>IF(GIRDI!A17="","",GIRDI!A17)</f>
        <v/>
      </c>
      <c r="B17" s="17">
        <f>UPPER(TRIM(SUBSTITUTE($A17," ","")))</f>
        <v/>
      </c>
      <c r="C17" s="17">
        <f>IF($B17="",0,LEN($B17))</f>
        <v/>
      </c>
      <c r="D17" s="17">
        <f>IF($B17="","",LEFT($B17,tyk_ikincilUzunluk))</f>
        <v/>
      </c>
      <c r="E17" s="17">
        <f>"A"</f>
        <v/>
      </c>
      <c r="F17" s="17">
        <f>IF($B17="","",IF(COUNTIF(tblAnahtarA[Norm],$B17)&gt;1,"EVET","HAYIR"))</f>
        <v/>
      </c>
      <c r="G17" s="17">
        <f>IF($A17="","",ROW()-ROW($A$5))</f>
        <v/>
      </c>
      <c r="I17" s="7">
        <f>IF(HAKEDIS!A17="","",HAKEDIS!A17)</f>
        <v/>
      </c>
      <c r="J17" s="17">
        <f>UPPER(TRIM(SUBSTITUTE($I17," ","")))</f>
        <v/>
      </c>
      <c r="K17" s="17">
        <f>IF($J17="",0,LEN($J17))</f>
        <v/>
      </c>
      <c r="L17" s="17">
        <f>IF($J17="","",LEFT($J17,tyk_ikincilUzunluk))</f>
        <v/>
      </c>
      <c r="M17" s="17">
        <f>"B"</f>
        <v/>
      </c>
      <c r="N17" s="17">
        <f>IF($J17="","",IF(COUNTIF(tblAnahtarB[NormB],$J17)&gt;1,"EVET","HAYIR"))</f>
        <v/>
      </c>
      <c r="O17" s="17">
        <f>IF($I17="","",ROW()-ROW($I$5))</f>
        <v/>
      </c>
    </row>
    <row r="18">
      <c r="A18" s="7">
        <f>IF(GIRDI!A18="","",GIRDI!A18)</f>
        <v/>
      </c>
      <c r="B18" s="17">
        <f>UPPER(TRIM(SUBSTITUTE($A18," ","")))</f>
        <v/>
      </c>
      <c r="C18" s="17">
        <f>IF($B18="",0,LEN($B18))</f>
        <v/>
      </c>
      <c r="D18" s="17">
        <f>IF($B18="","",LEFT($B18,tyk_ikincilUzunluk))</f>
        <v/>
      </c>
      <c r="E18" s="17">
        <f>"A"</f>
        <v/>
      </c>
      <c r="F18" s="17">
        <f>IF($B18="","",IF(COUNTIF(tblAnahtarA[Norm],$B18)&gt;1,"EVET","HAYIR"))</f>
        <v/>
      </c>
      <c r="G18" s="17">
        <f>IF($A18="","",ROW()-ROW($A$5))</f>
        <v/>
      </c>
      <c r="I18" s="7">
        <f>IF(HAKEDIS!A18="","",HAKEDIS!A18)</f>
        <v/>
      </c>
      <c r="J18" s="17">
        <f>UPPER(TRIM(SUBSTITUTE($I18," ","")))</f>
        <v/>
      </c>
      <c r="K18" s="17">
        <f>IF($J18="",0,LEN($J18))</f>
        <v/>
      </c>
      <c r="L18" s="17">
        <f>IF($J18="","",LEFT($J18,tyk_ikincilUzunluk))</f>
        <v/>
      </c>
      <c r="M18" s="17">
        <f>"B"</f>
        <v/>
      </c>
      <c r="N18" s="17">
        <f>IF($J18="","",IF(COUNTIF(tblAnahtarB[NormB],$J18)&gt;1,"EVET","HAYIR"))</f>
        <v/>
      </c>
      <c r="O18" s="17">
        <f>IF($I18="","",ROW()-ROW($I$5))</f>
        <v/>
      </c>
    </row>
    <row r="19">
      <c r="A19" s="7">
        <f>IF(GIRDI!A19="","",GIRDI!A19)</f>
        <v/>
      </c>
      <c r="B19" s="17">
        <f>UPPER(TRIM(SUBSTITUTE($A19," ","")))</f>
        <v/>
      </c>
      <c r="C19" s="17">
        <f>IF($B19="",0,LEN($B19))</f>
        <v/>
      </c>
      <c r="D19" s="17">
        <f>IF($B19="","",LEFT($B19,tyk_ikincilUzunluk))</f>
        <v/>
      </c>
      <c r="E19" s="17">
        <f>"A"</f>
        <v/>
      </c>
      <c r="F19" s="17">
        <f>IF($B19="","",IF(COUNTIF(tblAnahtarA[Norm],$B19)&gt;1,"EVET","HAYIR"))</f>
        <v/>
      </c>
      <c r="G19" s="17">
        <f>IF($A19="","",ROW()-ROW($A$5))</f>
        <v/>
      </c>
      <c r="I19" s="7">
        <f>IF(HAKEDIS!A19="","",HAKEDIS!A19)</f>
        <v/>
      </c>
      <c r="J19" s="17">
        <f>UPPER(TRIM(SUBSTITUTE($I19," ","")))</f>
        <v/>
      </c>
      <c r="K19" s="17">
        <f>IF($J19="",0,LEN($J19))</f>
        <v/>
      </c>
      <c r="L19" s="17">
        <f>IF($J19="","",LEFT($J19,tyk_ikincilUzunluk))</f>
        <v/>
      </c>
      <c r="M19" s="17">
        <f>"B"</f>
        <v/>
      </c>
      <c r="N19" s="17">
        <f>IF($J19="","",IF(COUNTIF(tblAnahtarB[NormB],$J19)&gt;1,"EVET","HAYIR"))</f>
        <v/>
      </c>
      <c r="O19" s="17">
        <f>IF($I19="","",ROW()-ROW($I$5))</f>
        <v/>
      </c>
    </row>
    <row r="20">
      <c r="A20" s="7">
        <f>IF(GIRDI!A20="","",GIRDI!A20)</f>
        <v/>
      </c>
      <c r="B20" s="17">
        <f>UPPER(TRIM(SUBSTITUTE($A20," ","")))</f>
        <v/>
      </c>
      <c r="C20" s="17">
        <f>IF($B20="",0,LEN($B20))</f>
        <v/>
      </c>
      <c r="D20" s="17">
        <f>IF($B20="","",LEFT($B20,tyk_ikincilUzunluk))</f>
        <v/>
      </c>
      <c r="E20" s="17">
        <f>"A"</f>
        <v/>
      </c>
      <c r="F20" s="17">
        <f>IF($B20="","",IF(COUNTIF(tblAnahtarA[Norm],$B20)&gt;1,"EVET","HAYIR"))</f>
        <v/>
      </c>
      <c r="G20" s="17">
        <f>IF($A20="","",ROW()-ROW($A$5))</f>
        <v/>
      </c>
      <c r="I20" s="7">
        <f>IF(HAKEDIS!A20="","",HAKEDIS!A20)</f>
        <v/>
      </c>
      <c r="J20" s="17">
        <f>UPPER(TRIM(SUBSTITUTE($I20," ","")))</f>
        <v/>
      </c>
      <c r="K20" s="17">
        <f>IF($J20="",0,LEN($J20))</f>
        <v/>
      </c>
      <c r="L20" s="17">
        <f>IF($J20="","",LEFT($J20,tyk_ikincilUzunluk))</f>
        <v/>
      </c>
      <c r="M20" s="17">
        <f>"B"</f>
        <v/>
      </c>
      <c r="N20" s="17">
        <f>IF($J20="","",IF(COUNTIF(tblAnahtarB[NormB],$J20)&gt;1,"EVET","HAYIR"))</f>
        <v/>
      </c>
      <c r="O20" s="17">
        <f>IF($I20="","",ROW()-ROW($I$5))</f>
        <v/>
      </c>
    </row>
    <row r="21">
      <c r="A21" s="7">
        <f>IF(GIRDI!A21="","",GIRDI!A21)</f>
        <v/>
      </c>
      <c r="B21" s="17">
        <f>UPPER(TRIM(SUBSTITUTE($A21," ","")))</f>
        <v/>
      </c>
      <c r="C21" s="17">
        <f>IF($B21="",0,LEN($B21))</f>
        <v/>
      </c>
      <c r="D21" s="17">
        <f>IF($B21="","",LEFT($B21,tyk_ikincilUzunluk))</f>
        <v/>
      </c>
      <c r="E21" s="17">
        <f>"A"</f>
        <v/>
      </c>
      <c r="F21" s="17">
        <f>IF($B21="","",IF(COUNTIF(tblAnahtarA[Norm],$B21)&gt;1,"EVET","HAYIR"))</f>
        <v/>
      </c>
      <c r="G21" s="17">
        <f>IF($A21="","",ROW()-ROW($A$5))</f>
        <v/>
      </c>
      <c r="I21" s="7">
        <f>IF(HAKEDIS!A21="","",HAKEDIS!A21)</f>
        <v/>
      </c>
      <c r="J21" s="17">
        <f>UPPER(TRIM(SUBSTITUTE($I21," ","")))</f>
        <v/>
      </c>
      <c r="K21" s="17">
        <f>IF($J21="",0,LEN($J21))</f>
        <v/>
      </c>
      <c r="L21" s="17">
        <f>IF($J21="","",LEFT($J21,tyk_ikincilUzunluk))</f>
        <v/>
      </c>
      <c r="M21" s="17">
        <f>"B"</f>
        <v/>
      </c>
      <c r="N21" s="17">
        <f>IF($J21="","",IF(COUNTIF(tblAnahtarB[NormB],$J21)&gt;1,"EVET","HAYIR"))</f>
        <v/>
      </c>
      <c r="O21" s="17">
        <f>IF($I21="","",ROW()-ROW($I$5))</f>
        <v/>
      </c>
    </row>
    <row r="22">
      <c r="A22" s="7">
        <f>IF(GIRDI!A22="","",GIRDI!A22)</f>
        <v/>
      </c>
      <c r="B22" s="17">
        <f>UPPER(TRIM(SUBSTITUTE($A22," ","")))</f>
        <v/>
      </c>
      <c r="C22" s="17">
        <f>IF($B22="",0,LEN($B22))</f>
        <v/>
      </c>
      <c r="D22" s="17">
        <f>IF($B22="","",LEFT($B22,tyk_ikincilUzunluk))</f>
        <v/>
      </c>
      <c r="E22" s="17">
        <f>"A"</f>
        <v/>
      </c>
      <c r="F22" s="17">
        <f>IF($B22="","",IF(COUNTIF(tblAnahtarA[Norm],$B22)&gt;1,"EVET","HAYIR"))</f>
        <v/>
      </c>
      <c r="G22" s="17">
        <f>IF($A22="","",ROW()-ROW($A$5))</f>
        <v/>
      </c>
      <c r="I22" s="7">
        <f>IF(HAKEDIS!A22="","",HAKEDIS!A22)</f>
        <v/>
      </c>
      <c r="J22" s="17">
        <f>UPPER(TRIM(SUBSTITUTE($I22," ","")))</f>
        <v/>
      </c>
      <c r="K22" s="17">
        <f>IF($J22="",0,LEN($J22))</f>
        <v/>
      </c>
      <c r="L22" s="17">
        <f>IF($J22="","",LEFT($J22,tyk_ikincilUzunluk))</f>
        <v/>
      </c>
      <c r="M22" s="17">
        <f>"B"</f>
        <v/>
      </c>
      <c r="N22" s="17">
        <f>IF($J22="","",IF(COUNTIF(tblAnahtarB[NormB],$J22)&gt;1,"EVET","HAYIR"))</f>
        <v/>
      </c>
      <c r="O22" s="17">
        <f>IF($I22="","",ROW()-ROW($I$5))</f>
        <v/>
      </c>
    </row>
    <row r="23">
      <c r="A23" s="7">
        <f>IF(GIRDI!A23="","",GIRDI!A23)</f>
        <v/>
      </c>
      <c r="B23" s="17">
        <f>UPPER(TRIM(SUBSTITUTE($A23," ","")))</f>
        <v/>
      </c>
      <c r="C23" s="17">
        <f>IF($B23="",0,LEN($B23))</f>
        <v/>
      </c>
      <c r="D23" s="17">
        <f>IF($B23="","",LEFT($B23,tyk_ikincilUzunluk))</f>
        <v/>
      </c>
      <c r="E23" s="17">
        <f>"A"</f>
        <v/>
      </c>
      <c r="F23" s="17">
        <f>IF($B23="","",IF(COUNTIF(tblAnahtarA[Norm],$B23)&gt;1,"EVET","HAYIR"))</f>
        <v/>
      </c>
      <c r="G23" s="17">
        <f>IF($A23="","",ROW()-ROW($A$5))</f>
        <v/>
      </c>
      <c r="I23" s="7">
        <f>IF(HAKEDIS!A23="","",HAKEDIS!A23)</f>
        <v/>
      </c>
      <c r="J23" s="17">
        <f>UPPER(TRIM(SUBSTITUTE($I23," ","")))</f>
        <v/>
      </c>
      <c r="K23" s="17">
        <f>IF($J23="",0,LEN($J23))</f>
        <v/>
      </c>
      <c r="L23" s="17">
        <f>IF($J23="","",LEFT($J23,tyk_ikincilUzunluk))</f>
        <v/>
      </c>
      <c r="M23" s="17">
        <f>"B"</f>
        <v/>
      </c>
      <c r="N23" s="17">
        <f>IF($J23="","",IF(COUNTIF(tblAnahtarB[NormB],$J23)&gt;1,"EVET","HAYIR"))</f>
        <v/>
      </c>
      <c r="O23" s="17">
        <f>IF($I23="","",ROW()-ROW($I$5))</f>
        <v/>
      </c>
    </row>
    <row r="24">
      <c r="A24" s="7">
        <f>IF(GIRDI!A24="","",GIRDI!A24)</f>
        <v/>
      </c>
      <c r="B24" s="17">
        <f>UPPER(TRIM(SUBSTITUTE($A24," ","")))</f>
        <v/>
      </c>
      <c r="C24" s="17">
        <f>IF($B24="",0,LEN($B24))</f>
        <v/>
      </c>
      <c r="D24" s="17">
        <f>IF($B24="","",LEFT($B24,tyk_ikincilUzunluk))</f>
        <v/>
      </c>
      <c r="E24" s="17">
        <f>"A"</f>
        <v/>
      </c>
      <c r="F24" s="17">
        <f>IF($B24="","",IF(COUNTIF(tblAnahtarA[Norm],$B24)&gt;1,"EVET","HAYIR"))</f>
        <v/>
      </c>
      <c r="G24" s="17">
        <f>IF($A24="","",ROW()-ROW($A$5))</f>
        <v/>
      </c>
      <c r="I24" s="7">
        <f>IF(HAKEDIS!A24="","",HAKEDIS!A24)</f>
        <v/>
      </c>
      <c r="J24" s="17">
        <f>UPPER(TRIM(SUBSTITUTE($I24," ","")))</f>
        <v/>
      </c>
      <c r="K24" s="17">
        <f>IF($J24="",0,LEN($J24))</f>
        <v/>
      </c>
      <c r="L24" s="17">
        <f>IF($J24="","",LEFT($J24,tyk_ikincilUzunluk))</f>
        <v/>
      </c>
      <c r="M24" s="17">
        <f>"B"</f>
        <v/>
      </c>
      <c r="N24" s="17">
        <f>IF($J24="","",IF(COUNTIF(tblAnahtarB[NormB],$J24)&gt;1,"EVET","HAYIR"))</f>
        <v/>
      </c>
      <c r="O24" s="17">
        <f>IF($I24="","",ROW()-ROW($I$5))</f>
        <v/>
      </c>
    </row>
    <row r="25">
      <c r="A25" s="7">
        <f>IF(GIRDI!A25="","",GIRDI!A25)</f>
        <v/>
      </c>
      <c r="B25" s="17">
        <f>UPPER(TRIM(SUBSTITUTE($A25," ","")))</f>
        <v/>
      </c>
      <c r="C25" s="17">
        <f>IF($B25="",0,LEN($B25))</f>
        <v/>
      </c>
      <c r="D25" s="17">
        <f>IF($B25="","",LEFT($B25,tyk_ikincilUzunluk))</f>
        <v/>
      </c>
      <c r="E25" s="17">
        <f>"A"</f>
        <v/>
      </c>
      <c r="F25" s="17">
        <f>IF($B25="","",IF(COUNTIF(tblAnahtarA[Norm],$B25)&gt;1,"EVET","HAYIR"))</f>
        <v/>
      </c>
      <c r="G25" s="17">
        <f>IF($A25="","",ROW()-ROW($A$5))</f>
        <v/>
      </c>
      <c r="I25" s="7">
        <f>IF(HAKEDIS!A25="","",HAKEDIS!A25)</f>
        <v/>
      </c>
      <c r="J25" s="17">
        <f>UPPER(TRIM(SUBSTITUTE($I25," ","")))</f>
        <v/>
      </c>
      <c r="K25" s="17">
        <f>IF($J25="",0,LEN($J25))</f>
        <v/>
      </c>
      <c r="L25" s="17">
        <f>IF($J25="","",LEFT($J25,tyk_ikincilUzunluk))</f>
        <v/>
      </c>
      <c r="M25" s="17">
        <f>"B"</f>
        <v/>
      </c>
      <c r="N25" s="17">
        <f>IF($J25="","",IF(COUNTIF(tblAnahtarB[NormB],$J25)&gt;1,"EVET","HAYIR"))</f>
        <v/>
      </c>
      <c r="O25" s="17">
        <f>IF($I25="","",ROW()-ROW($I$5))</f>
        <v/>
      </c>
    </row>
    <row r="26">
      <c r="A26" s="7">
        <f>IF(GIRDI!A26="","",GIRDI!A26)</f>
        <v/>
      </c>
      <c r="B26" s="17">
        <f>UPPER(TRIM(SUBSTITUTE($A26," ","")))</f>
        <v/>
      </c>
      <c r="C26" s="17">
        <f>IF($B26="",0,LEN($B26))</f>
        <v/>
      </c>
      <c r="D26" s="17">
        <f>IF($B26="","",LEFT($B26,tyk_ikincilUzunluk))</f>
        <v/>
      </c>
      <c r="E26" s="17">
        <f>"A"</f>
        <v/>
      </c>
      <c r="F26" s="17">
        <f>IF($B26="","",IF(COUNTIF(tblAnahtarA[Norm],$B26)&gt;1,"EVET","HAYIR"))</f>
        <v/>
      </c>
      <c r="G26" s="17">
        <f>IF($A26="","",ROW()-ROW($A$5))</f>
        <v/>
      </c>
      <c r="I26" s="7">
        <f>IF(HAKEDIS!A26="","",HAKEDIS!A26)</f>
        <v/>
      </c>
      <c r="J26" s="17">
        <f>UPPER(TRIM(SUBSTITUTE($I26," ","")))</f>
        <v/>
      </c>
      <c r="K26" s="17">
        <f>IF($J26="",0,LEN($J26))</f>
        <v/>
      </c>
      <c r="L26" s="17">
        <f>IF($J26="","",LEFT($J26,tyk_ikincilUzunluk))</f>
        <v/>
      </c>
      <c r="M26" s="17">
        <f>"B"</f>
        <v/>
      </c>
      <c r="N26" s="17">
        <f>IF($J26="","",IF(COUNTIF(tblAnahtarB[NormB],$J26)&gt;1,"EVET","HAYIR"))</f>
        <v/>
      </c>
      <c r="O26" s="17">
        <f>IF($I26="","",ROW()-ROW($I$5))</f>
        <v/>
      </c>
    </row>
    <row r="27">
      <c r="A27" s="7">
        <f>IF(GIRDI!A27="","",GIRDI!A27)</f>
        <v/>
      </c>
      <c r="B27" s="17">
        <f>UPPER(TRIM(SUBSTITUTE($A27," ","")))</f>
        <v/>
      </c>
      <c r="C27" s="17">
        <f>IF($B27="",0,LEN($B27))</f>
        <v/>
      </c>
      <c r="D27" s="17">
        <f>IF($B27="","",LEFT($B27,tyk_ikincilUzunluk))</f>
        <v/>
      </c>
      <c r="E27" s="17">
        <f>"A"</f>
        <v/>
      </c>
      <c r="F27" s="17">
        <f>IF($B27="","",IF(COUNTIF(tblAnahtarA[Norm],$B27)&gt;1,"EVET","HAYIR"))</f>
        <v/>
      </c>
      <c r="G27" s="17">
        <f>IF($A27="","",ROW()-ROW($A$5))</f>
        <v/>
      </c>
      <c r="I27" s="7">
        <f>IF(HAKEDIS!A27="","",HAKEDIS!A27)</f>
        <v/>
      </c>
      <c r="J27" s="17">
        <f>UPPER(TRIM(SUBSTITUTE($I27," ","")))</f>
        <v/>
      </c>
      <c r="K27" s="17">
        <f>IF($J27="",0,LEN($J27))</f>
        <v/>
      </c>
      <c r="L27" s="17">
        <f>IF($J27="","",LEFT($J27,tyk_ikincilUzunluk))</f>
        <v/>
      </c>
      <c r="M27" s="17">
        <f>"B"</f>
        <v/>
      </c>
      <c r="N27" s="17">
        <f>IF($J27="","",IF(COUNTIF(tblAnahtarB[NormB],$J27)&gt;1,"EVET","HAYIR"))</f>
        <v/>
      </c>
      <c r="O27" s="17">
        <f>IF($I27="","",ROW()-ROW($I$5))</f>
        <v/>
      </c>
    </row>
    <row r="28">
      <c r="A28" s="7">
        <f>IF(GIRDI!A28="","",GIRDI!A28)</f>
        <v/>
      </c>
      <c r="B28" s="17">
        <f>UPPER(TRIM(SUBSTITUTE($A28," ","")))</f>
        <v/>
      </c>
      <c r="C28" s="17">
        <f>IF($B28="",0,LEN($B28))</f>
        <v/>
      </c>
      <c r="D28" s="17">
        <f>IF($B28="","",LEFT($B28,tyk_ikincilUzunluk))</f>
        <v/>
      </c>
      <c r="E28" s="17">
        <f>"A"</f>
        <v/>
      </c>
      <c r="F28" s="17">
        <f>IF($B28="","",IF(COUNTIF(tblAnahtarA[Norm],$B28)&gt;1,"EVET","HAYIR"))</f>
        <v/>
      </c>
      <c r="G28" s="17">
        <f>IF($A28="","",ROW()-ROW($A$5))</f>
        <v/>
      </c>
      <c r="I28" s="7">
        <f>IF(HAKEDIS!A28="","",HAKEDIS!A28)</f>
        <v/>
      </c>
      <c r="J28" s="17">
        <f>UPPER(TRIM(SUBSTITUTE($I28," ","")))</f>
        <v/>
      </c>
      <c r="K28" s="17">
        <f>IF($J28="",0,LEN($J28))</f>
        <v/>
      </c>
      <c r="L28" s="17">
        <f>IF($J28="","",LEFT($J28,tyk_ikincilUzunluk))</f>
        <v/>
      </c>
      <c r="M28" s="17">
        <f>"B"</f>
        <v/>
      </c>
      <c r="N28" s="17">
        <f>IF($J28="","",IF(COUNTIF(tblAnahtarB[NormB],$J28)&gt;1,"EVET","HAYIR"))</f>
        <v/>
      </c>
      <c r="O28" s="17">
        <f>IF($I28="","",ROW()-ROW($I$5))</f>
        <v/>
      </c>
    </row>
    <row r="29">
      <c r="A29" s="7">
        <f>IF(GIRDI!A29="","",GIRDI!A29)</f>
        <v/>
      </c>
      <c r="B29" s="17">
        <f>UPPER(TRIM(SUBSTITUTE($A29," ","")))</f>
        <v/>
      </c>
      <c r="C29" s="17">
        <f>IF($B29="",0,LEN($B29))</f>
        <v/>
      </c>
      <c r="D29" s="17">
        <f>IF($B29="","",LEFT($B29,tyk_ikincilUzunluk))</f>
        <v/>
      </c>
      <c r="E29" s="17">
        <f>"A"</f>
        <v/>
      </c>
      <c r="F29" s="17">
        <f>IF($B29="","",IF(COUNTIF(tblAnahtarA[Norm],$B29)&gt;1,"EVET","HAYIR"))</f>
        <v/>
      </c>
      <c r="G29" s="17">
        <f>IF($A29="","",ROW()-ROW($A$5))</f>
        <v/>
      </c>
      <c r="I29" s="7">
        <f>IF(HAKEDIS!A29="","",HAKEDIS!A29)</f>
        <v/>
      </c>
      <c r="J29" s="17">
        <f>UPPER(TRIM(SUBSTITUTE($I29," ","")))</f>
        <v/>
      </c>
      <c r="K29" s="17">
        <f>IF($J29="",0,LEN($J29))</f>
        <v/>
      </c>
      <c r="L29" s="17">
        <f>IF($J29="","",LEFT($J29,tyk_ikincilUzunluk))</f>
        <v/>
      </c>
      <c r="M29" s="17">
        <f>"B"</f>
        <v/>
      </c>
      <c r="N29" s="17">
        <f>IF($J29="","",IF(COUNTIF(tblAnahtarB[NormB],$J29)&gt;1,"EVET","HAYIR"))</f>
        <v/>
      </c>
      <c r="O29" s="17">
        <f>IF($I29="","",ROW()-ROW($I$5))</f>
        <v/>
      </c>
    </row>
    <row r="30">
      <c r="A30" s="7">
        <f>IF(GIRDI!A30="","",GIRDI!A30)</f>
        <v/>
      </c>
      <c r="B30" s="17">
        <f>UPPER(TRIM(SUBSTITUTE($A30," ","")))</f>
        <v/>
      </c>
      <c r="C30" s="17">
        <f>IF($B30="",0,LEN($B30))</f>
        <v/>
      </c>
      <c r="D30" s="17">
        <f>IF($B30="","",LEFT($B30,tyk_ikincilUzunluk))</f>
        <v/>
      </c>
      <c r="E30" s="17">
        <f>"A"</f>
        <v/>
      </c>
      <c r="F30" s="17">
        <f>IF($B30="","",IF(COUNTIF(tblAnahtarA[Norm],$B30)&gt;1,"EVET","HAYIR"))</f>
        <v/>
      </c>
      <c r="G30" s="17">
        <f>IF($A30="","",ROW()-ROW($A$5))</f>
        <v/>
      </c>
      <c r="I30" s="7">
        <f>IF(HAKEDIS!A30="","",HAKEDIS!A30)</f>
        <v/>
      </c>
      <c r="J30" s="17">
        <f>UPPER(TRIM(SUBSTITUTE($I30," ","")))</f>
        <v/>
      </c>
      <c r="K30" s="17">
        <f>IF($J30="",0,LEN($J30))</f>
        <v/>
      </c>
      <c r="L30" s="17">
        <f>IF($J30="","",LEFT($J30,tyk_ikincilUzunluk))</f>
        <v/>
      </c>
      <c r="M30" s="17">
        <f>"B"</f>
        <v/>
      </c>
      <c r="N30" s="17">
        <f>IF($J30="","",IF(COUNTIF(tblAnahtarB[NormB],$J30)&gt;1,"EVET","HAYIR"))</f>
        <v/>
      </c>
      <c r="O30" s="17">
        <f>IF($I30="","",ROW()-ROW($I$5))</f>
        <v/>
      </c>
    </row>
    <row r="31">
      <c r="A31" s="7">
        <f>IF(GIRDI!A31="","",GIRDI!A31)</f>
        <v/>
      </c>
      <c r="B31" s="17">
        <f>UPPER(TRIM(SUBSTITUTE($A31," ","")))</f>
        <v/>
      </c>
      <c r="C31" s="17">
        <f>IF($B31="",0,LEN($B31))</f>
        <v/>
      </c>
      <c r="D31" s="17">
        <f>IF($B31="","",LEFT($B31,tyk_ikincilUzunluk))</f>
        <v/>
      </c>
      <c r="E31" s="17">
        <f>"A"</f>
        <v/>
      </c>
      <c r="F31" s="17">
        <f>IF($B31="","",IF(COUNTIF(tblAnahtarA[Norm],$B31)&gt;1,"EVET","HAYIR"))</f>
        <v/>
      </c>
      <c r="G31" s="17">
        <f>IF($A31="","",ROW()-ROW($A$5))</f>
        <v/>
      </c>
      <c r="I31" s="7">
        <f>IF(HAKEDIS!A31="","",HAKEDIS!A31)</f>
        <v/>
      </c>
      <c r="J31" s="17">
        <f>UPPER(TRIM(SUBSTITUTE($I31," ","")))</f>
        <v/>
      </c>
      <c r="K31" s="17">
        <f>IF($J31="",0,LEN($J31))</f>
        <v/>
      </c>
      <c r="L31" s="17">
        <f>IF($J31="","",LEFT($J31,tyk_ikincilUzunluk))</f>
        <v/>
      </c>
      <c r="M31" s="17">
        <f>"B"</f>
        <v/>
      </c>
      <c r="N31" s="17">
        <f>IF($J31="","",IF(COUNTIF(tblAnahtarB[NormB],$J31)&gt;1,"EVET","HAYIR"))</f>
        <v/>
      </c>
      <c r="O31" s="17">
        <f>IF($I31="","",ROW()-ROW($I$5))</f>
        <v/>
      </c>
    </row>
    <row r="32">
      <c r="A32" s="7">
        <f>IF(GIRDI!A32="","",GIRDI!A32)</f>
        <v/>
      </c>
      <c r="B32" s="17">
        <f>UPPER(TRIM(SUBSTITUTE($A32," ","")))</f>
        <v/>
      </c>
      <c r="C32" s="17">
        <f>IF($B32="",0,LEN($B32))</f>
        <v/>
      </c>
      <c r="D32" s="17">
        <f>IF($B32="","",LEFT($B32,tyk_ikincilUzunluk))</f>
        <v/>
      </c>
      <c r="E32" s="17">
        <f>"A"</f>
        <v/>
      </c>
      <c r="F32" s="17">
        <f>IF($B32="","",IF(COUNTIF(tblAnahtarA[Norm],$B32)&gt;1,"EVET","HAYIR"))</f>
        <v/>
      </c>
      <c r="G32" s="17">
        <f>IF($A32="","",ROW()-ROW($A$5))</f>
        <v/>
      </c>
      <c r="I32" s="7">
        <f>IF(HAKEDIS!A32="","",HAKEDIS!A32)</f>
        <v/>
      </c>
      <c r="J32" s="17">
        <f>UPPER(TRIM(SUBSTITUTE($I32," ","")))</f>
        <v/>
      </c>
      <c r="K32" s="17">
        <f>IF($J32="",0,LEN($J32))</f>
        <v/>
      </c>
      <c r="L32" s="17">
        <f>IF($J32="","",LEFT($J32,tyk_ikincilUzunluk))</f>
        <v/>
      </c>
      <c r="M32" s="17">
        <f>"B"</f>
        <v/>
      </c>
      <c r="N32" s="17">
        <f>IF($J32="","",IF(COUNTIF(tblAnahtarB[NormB],$J32)&gt;1,"EVET","HAYIR"))</f>
        <v/>
      </c>
      <c r="O32" s="17">
        <f>IF($I32="","",ROW()-ROW($I$5))</f>
        <v/>
      </c>
    </row>
    <row r="33">
      <c r="A33" s="7">
        <f>IF(GIRDI!A33="","",GIRDI!A33)</f>
        <v/>
      </c>
      <c r="B33" s="17">
        <f>UPPER(TRIM(SUBSTITUTE($A33," ","")))</f>
        <v/>
      </c>
      <c r="C33" s="17">
        <f>IF($B33="",0,LEN($B33))</f>
        <v/>
      </c>
      <c r="D33" s="17">
        <f>IF($B33="","",LEFT($B33,tyk_ikincilUzunluk))</f>
        <v/>
      </c>
      <c r="E33" s="17">
        <f>"A"</f>
        <v/>
      </c>
      <c r="F33" s="17">
        <f>IF($B33="","",IF(COUNTIF(tblAnahtarA[Norm],$B33)&gt;1,"EVET","HAYIR"))</f>
        <v/>
      </c>
      <c r="G33" s="17">
        <f>IF($A33="","",ROW()-ROW($A$5))</f>
        <v/>
      </c>
      <c r="I33" s="7">
        <f>IF(HAKEDIS!A33="","",HAKEDIS!A33)</f>
        <v/>
      </c>
      <c r="J33" s="17">
        <f>UPPER(TRIM(SUBSTITUTE($I33," ","")))</f>
        <v/>
      </c>
      <c r="K33" s="17">
        <f>IF($J33="",0,LEN($J33))</f>
        <v/>
      </c>
      <c r="L33" s="17">
        <f>IF($J33="","",LEFT($J33,tyk_ikincilUzunluk))</f>
        <v/>
      </c>
      <c r="M33" s="17">
        <f>"B"</f>
        <v/>
      </c>
      <c r="N33" s="17">
        <f>IF($J33="","",IF(COUNTIF(tblAnahtarB[NormB],$J33)&gt;1,"EVET","HAYIR"))</f>
        <v/>
      </c>
      <c r="O33" s="17">
        <f>IF($I33="","",ROW()-ROW($I$5))</f>
        <v/>
      </c>
    </row>
    <row r="34">
      <c r="A34" s="7">
        <f>IF(GIRDI!A34="","",GIRDI!A34)</f>
        <v/>
      </c>
      <c r="B34" s="17">
        <f>UPPER(TRIM(SUBSTITUTE($A34," ","")))</f>
        <v/>
      </c>
      <c r="C34" s="17">
        <f>IF($B34="",0,LEN($B34))</f>
        <v/>
      </c>
      <c r="D34" s="17">
        <f>IF($B34="","",LEFT($B34,tyk_ikincilUzunluk))</f>
        <v/>
      </c>
      <c r="E34" s="17">
        <f>"A"</f>
        <v/>
      </c>
      <c r="F34" s="17">
        <f>IF($B34="","",IF(COUNTIF(tblAnahtarA[Norm],$B34)&gt;1,"EVET","HAYIR"))</f>
        <v/>
      </c>
      <c r="G34" s="17">
        <f>IF($A34="","",ROW()-ROW($A$5))</f>
        <v/>
      </c>
      <c r="I34" s="7">
        <f>IF(HAKEDIS!A34="","",HAKEDIS!A34)</f>
        <v/>
      </c>
      <c r="J34" s="17">
        <f>UPPER(TRIM(SUBSTITUTE($I34," ","")))</f>
        <v/>
      </c>
      <c r="K34" s="17">
        <f>IF($J34="",0,LEN($J34))</f>
        <v/>
      </c>
      <c r="L34" s="17">
        <f>IF($J34="","",LEFT($J34,tyk_ikincilUzunluk))</f>
        <v/>
      </c>
      <c r="M34" s="17">
        <f>"B"</f>
        <v/>
      </c>
      <c r="N34" s="17">
        <f>IF($J34="","",IF(COUNTIF(tblAnahtarB[NormB],$J34)&gt;1,"EVET","HAYIR"))</f>
        <v/>
      </c>
      <c r="O34" s="17">
        <f>IF($I34="","",ROW()-ROW($I$5))</f>
        <v/>
      </c>
    </row>
    <row r="35">
      <c r="A35" s="7">
        <f>IF(GIRDI!A35="","",GIRDI!A35)</f>
        <v/>
      </c>
      <c r="B35" s="17">
        <f>UPPER(TRIM(SUBSTITUTE($A35," ","")))</f>
        <v/>
      </c>
      <c r="C35" s="17">
        <f>IF($B35="",0,LEN($B35))</f>
        <v/>
      </c>
      <c r="D35" s="17">
        <f>IF($B35="","",LEFT($B35,tyk_ikincilUzunluk))</f>
        <v/>
      </c>
      <c r="E35" s="17">
        <f>"A"</f>
        <v/>
      </c>
      <c r="F35" s="17">
        <f>IF($B35="","",IF(COUNTIF(tblAnahtarA[Norm],$B35)&gt;1,"EVET","HAYIR"))</f>
        <v/>
      </c>
      <c r="G35" s="17">
        <f>IF($A35="","",ROW()-ROW($A$5))</f>
        <v/>
      </c>
      <c r="I35" s="7">
        <f>IF(HAKEDIS!A35="","",HAKEDIS!A35)</f>
        <v/>
      </c>
      <c r="J35" s="17">
        <f>UPPER(TRIM(SUBSTITUTE($I35," ","")))</f>
        <v/>
      </c>
      <c r="K35" s="17">
        <f>IF($J35="",0,LEN($J35))</f>
        <v/>
      </c>
      <c r="L35" s="17">
        <f>IF($J35="","",LEFT($J35,tyk_ikincilUzunluk))</f>
        <v/>
      </c>
      <c r="M35" s="17">
        <f>"B"</f>
        <v/>
      </c>
      <c r="N35" s="17">
        <f>IF($J35="","",IF(COUNTIF(tblAnahtarB[NormB],$J35)&gt;1,"EVET","HAYIR"))</f>
        <v/>
      </c>
      <c r="O35" s="17">
        <f>IF($I35="","",ROW()-ROW($I$5))</f>
        <v/>
      </c>
    </row>
    <row r="36">
      <c r="A36" s="7">
        <f>IF(GIRDI!A36="","",GIRDI!A36)</f>
        <v/>
      </c>
      <c r="B36" s="17">
        <f>UPPER(TRIM(SUBSTITUTE($A36," ","")))</f>
        <v/>
      </c>
      <c r="C36" s="17">
        <f>IF($B36="",0,LEN($B36))</f>
        <v/>
      </c>
      <c r="D36" s="17">
        <f>IF($B36="","",LEFT($B36,tyk_ikincilUzunluk))</f>
        <v/>
      </c>
      <c r="E36" s="17">
        <f>"A"</f>
        <v/>
      </c>
      <c r="F36" s="17">
        <f>IF($B36="","",IF(COUNTIF(tblAnahtarA[Norm],$B36)&gt;1,"EVET","HAYIR"))</f>
        <v/>
      </c>
      <c r="G36" s="17">
        <f>IF($A36="","",ROW()-ROW($A$5))</f>
        <v/>
      </c>
      <c r="I36" s="7">
        <f>IF(HAKEDIS!A36="","",HAKEDIS!A36)</f>
        <v/>
      </c>
      <c r="J36" s="17">
        <f>UPPER(TRIM(SUBSTITUTE($I36," ","")))</f>
        <v/>
      </c>
      <c r="K36" s="17">
        <f>IF($J36="",0,LEN($J36))</f>
        <v/>
      </c>
      <c r="L36" s="17">
        <f>IF($J36="","",LEFT($J36,tyk_ikincilUzunluk))</f>
        <v/>
      </c>
      <c r="M36" s="17">
        <f>"B"</f>
        <v/>
      </c>
      <c r="N36" s="17">
        <f>IF($J36="","",IF(COUNTIF(tblAnahtarB[NormB],$J36)&gt;1,"EVET","HAYIR"))</f>
        <v/>
      </c>
      <c r="O36" s="17">
        <f>IF($I36="","",ROW()-ROW($I$5))</f>
        <v/>
      </c>
    </row>
    <row r="37">
      <c r="A37" s="7">
        <f>IF(GIRDI!A37="","",GIRDI!A37)</f>
        <v/>
      </c>
      <c r="B37" s="17">
        <f>UPPER(TRIM(SUBSTITUTE($A37," ","")))</f>
        <v/>
      </c>
      <c r="C37" s="17">
        <f>IF($B37="",0,LEN($B37))</f>
        <v/>
      </c>
      <c r="D37" s="17">
        <f>IF($B37="","",LEFT($B37,tyk_ikincilUzunluk))</f>
        <v/>
      </c>
      <c r="E37" s="17">
        <f>"A"</f>
        <v/>
      </c>
      <c r="F37" s="17">
        <f>IF($B37="","",IF(COUNTIF(tblAnahtarA[Norm],$B37)&gt;1,"EVET","HAYIR"))</f>
        <v/>
      </c>
      <c r="G37" s="17">
        <f>IF($A37="","",ROW()-ROW($A$5))</f>
        <v/>
      </c>
      <c r="I37" s="7">
        <f>IF(HAKEDIS!A37="","",HAKEDIS!A37)</f>
        <v/>
      </c>
      <c r="J37" s="17">
        <f>UPPER(TRIM(SUBSTITUTE($I37," ","")))</f>
        <v/>
      </c>
      <c r="K37" s="17">
        <f>IF($J37="",0,LEN($J37))</f>
        <v/>
      </c>
      <c r="L37" s="17">
        <f>IF($J37="","",LEFT($J37,tyk_ikincilUzunluk))</f>
        <v/>
      </c>
      <c r="M37" s="17">
        <f>"B"</f>
        <v/>
      </c>
      <c r="N37" s="17">
        <f>IF($J37="","",IF(COUNTIF(tblAnahtarB[NormB],$J37)&gt;1,"EVET","HAYIR"))</f>
        <v/>
      </c>
      <c r="O37" s="17">
        <f>IF($I37="","",ROW()-ROW($I$5))</f>
        <v/>
      </c>
    </row>
    <row r="38">
      <c r="A38" s="7">
        <f>IF(GIRDI!A38="","",GIRDI!A38)</f>
        <v/>
      </c>
      <c r="B38" s="17">
        <f>UPPER(TRIM(SUBSTITUTE($A38," ","")))</f>
        <v/>
      </c>
      <c r="C38" s="17">
        <f>IF($B38="",0,LEN($B38))</f>
        <v/>
      </c>
      <c r="D38" s="17">
        <f>IF($B38="","",LEFT($B38,tyk_ikincilUzunluk))</f>
        <v/>
      </c>
      <c r="E38" s="17">
        <f>"A"</f>
        <v/>
      </c>
      <c r="F38" s="17">
        <f>IF($B38="","",IF(COUNTIF(tblAnahtarA[Norm],$B38)&gt;1,"EVET","HAYIR"))</f>
        <v/>
      </c>
      <c r="G38" s="17">
        <f>IF($A38="","",ROW()-ROW($A$5))</f>
        <v/>
      </c>
      <c r="I38" s="7">
        <f>IF(HAKEDIS!A38="","",HAKEDIS!A38)</f>
        <v/>
      </c>
      <c r="J38" s="17">
        <f>UPPER(TRIM(SUBSTITUTE($I38," ","")))</f>
        <v/>
      </c>
      <c r="K38" s="17">
        <f>IF($J38="",0,LEN($J38))</f>
        <v/>
      </c>
      <c r="L38" s="17">
        <f>IF($J38="","",LEFT($J38,tyk_ikincilUzunluk))</f>
        <v/>
      </c>
      <c r="M38" s="17">
        <f>"B"</f>
        <v/>
      </c>
      <c r="N38" s="17">
        <f>IF($J38="","",IF(COUNTIF(tblAnahtarB[NormB],$J38)&gt;1,"EVET","HAYIR"))</f>
        <v/>
      </c>
      <c r="O38" s="17">
        <f>IF($I38="","",ROW()-ROW($I$5))</f>
        <v/>
      </c>
    </row>
    <row r="39">
      <c r="A39" s="7">
        <f>IF(GIRDI!A39="","",GIRDI!A39)</f>
        <v/>
      </c>
      <c r="B39" s="17">
        <f>UPPER(TRIM(SUBSTITUTE($A39," ","")))</f>
        <v/>
      </c>
      <c r="C39" s="17">
        <f>IF($B39="",0,LEN($B39))</f>
        <v/>
      </c>
      <c r="D39" s="17">
        <f>IF($B39="","",LEFT($B39,tyk_ikincilUzunluk))</f>
        <v/>
      </c>
      <c r="E39" s="17">
        <f>"A"</f>
        <v/>
      </c>
      <c r="F39" s="17">
        <f>IF($B39="","",IF(COUNTIF(tblAnahtarA[Norm],$B39)&gt;1,"EVET","HAYIR"))</f>
        <v/>
      </c>
      <c r="G39" s="17">
        <f>IF($A39="","",ROW()-ROW($A$5))</f>
        <v/>
      </c>
      <c r="I39" s="7">
        <f>IF(HAKEDIS!A39="","",HAKEDIS!A39)</f>
        <v/>
      </c>
      <c r="J39" s="17">
        <f>UPPER(TRIM(SUBSTITUTE($I39," ","")))</f>
        <v/>
      </c>
      <c r="K39" s="17">
        <f>IF($J39="",0,LEN($J39))</f>
        <v/>
      </c>
      <c r="L39" s="17">
        <f>IF($J39="","",LEFT($J39,tyk_ikincilUzunluk))</f>
        <v/>
      </c>
      <c r="M39" s="17">
        <f>"B"</f>
        <v/>
      </c>
      <c r="N39" s="17">
        <f>IF($J39="","",IF(COUNTIF(tblAnahtarB[NormB],$J39)&gt;1,"EVET","HAYIR"))</f>
        <v/>
      </c>
      <c r="O39" s="17">
        <f>IF($I39="","",ROW()-ROW($I$5))</f>
        <v/>
      </c>
    </row>
    <row r="40">
      <c r="A40" s="7">
        <f>IF(GIRDI!A40="","",GIRDI!A40)</f>
        <v/>
      </c>
      <c r="B40" s="17">
        <f>UPPER(TRIM(SUBSTITUTE($A40," ","")))</f>
        <v/>
      </c>
      <c r="C40" s="17">
        <f>IF($B40="",0,LEN($B40))</f>
        <v/>
      </c>
      <c r="D40" s="17">
        <f>IF($B40="","",LEFT($B40,tyk_ikincilUzunluk))</f>
        <v/>
      </c>
      <c r="E40" s="17">
        <f>"A"</f>
        <v/>
      </c>
      <c r="F40" s="17">
        <f>IF($B40="","",IF(COUNTIF(tblAnahtarA[Norm],$B40)&gt;1,"EVET","HAYIR"))</f>
        <v/>
      </c>
      <c r="G40" s="17">
        <f>IF($A40="","",ROW()-ROW($A$5))</f>
        <v/>
      </c>
      <c r="I40" s="7">
        <f>IF(HAKEDIS!A40="","",HAKEDIS!A40)</f>
        <v/>
      </c>
      <c r="J40" s="17">
        <f>UPPER(TRIM(SUBSTITUTE($I40," ","")))</f>
        <v/>
      </c>
      <c r="K40" s="17">
        <f>IF($J40="",0,LEN($J40))</f>
        <v/>
      </c>
      <c r="L40" s="17">
        <f>IF($J40="","",LEFT($J40,tyk_ikincilUzunluk))</f>
        <v/>
      </c>
      <c r="M40" s="17">
        <f>"B"</f>
        <v/>
      </c>
      <c r="N40" s="17">
        <f>IF($J40="","",IF(COUNTIF(tblAnahtarB[NormB],$J40)&gt;1,"EVET","HAYIR"))</f>
        <v/>
      </c>
      <c r="O40" s="17">
        <f>IF($I40="","",ROW()-ROW($I$5))</f>
        <v/>
      </c>
    </row>
    <row r="41">
      <c r="A41" s="7">
        <f>IF(GIRDI!A41="","",GIRDI!A41)</f>
        <v/>
      </c>
      <c r="B41" s="17">
        <f>UPPER(TRIM(SUBSTITUTE($A41," ","")))</f>
        <v/>
      </c>
      <c r="C41" s="17">
        <f>IF($B41="",0,LEN($B41))</f>
        <v/>
      </c>
      <c r="D41" s="17">
        <f>IF($B41="","",LEFT($B41,tyk_ikincilUzunluk))</f>
        <v/>
      </c>
      <c r="E41" s="17">
        <f>"A"</f>
        <v/>
      </c>
      <c r="F41" s="17">
        <f>IF($B41="","",IF(COUNTIF(tblAnahtarA[Norm],$B41)&gt;1,"EVET","HAYIR"))</f>
        <v/>
      </c>
      <c r="G41" s="17">
        <f>IF($A41="","",ROW()-ROW($A$5))</f>
        <v/>
      </c>
      <c r="I41" s="7">
        <f>IF(HAKEDIS!A41="","",HAKEDIS!A41)</f>
        <v/>
      </c>
      <c r="J41" s="17">
        <f>UPPER(TRIM(SUBSTITUTE($I41," ","")))</f>
        <v/>
      </c>
      <c r="K41" s="17">
        <f>IF($J41="",0,LEN($J41))</f>
        <v/>
      </c>
      <c r="L41" s="17">
        <f>IF($J41="","",LEFT($J41,tyk_ikincilUzunluk))</f>
        <v/>
      </c>
      <c r="M41" s="17">
        <f>"B"</f>
        <v/>
      </c>
      <c r="N41" s="17">
        <f>IF($J41="","",IF(COUNTIF(tblAnahtarB[NormB],$J41)&gt;1,"EVET","HAYIR"))</f>
        <v/>
      </c>
      <c r="O41" s="17">
        <f>IF($I41="","",ROW()-ROW($I$5))</f>
        <v/>
      </c>
    </row>
    <row r="42">
      <c r="A42" s="7">
        <f>IF(GIRDI!A42="","",GIRDI!A42)</f>
        <v/>
      </c>
      <c r="B42" s="17">
        <f>UPPER(TRIM(SUBSTITUTE($A42," ","")))</f>
        <v/>
      </c>
      <c r="C42" s="17">
        <f>IF($B42="",0,LEN($B42))</f>
        <v/>
      </c>
      <c r="D42" s="17">
        <f>IF($B42="","",LEFT($B42,tyk_ikincilUzunluk))</f>
        <v/>
      </c>
      <c r="E42" s="17">
        <f>"A"</f>
        <v/>
      </c>
      <c r="F42" s="17">
        <f>IF($B42="","",IF(COUNTIF(tblAnahtarA[Norm],$B42)&gt;1,"EVET","HAYIR"))</f>
        <v/>
      </c>
      <c r="G42" s="17">
        <f>IF($A42="","",ROW()-ROW($A$5))</f>
        <v/>
      </c>
      <c r="I42" s="7">
        <f>IF(HAKEDIS!A42="","",HAKEDIS!A42)</f>
        <v/>
      </c>
      <c r="J42" s="17">
        <f>UPPER(TRIM(SUBSTITUTE($I42," ","")))</f>
        <v/>
      </c>
      <c r="K42" s="17">
        <f>IF($J42="",0,LEN($J42))</f>
        <v/>
      </c>
      <c r="L42" s="17">
        <f>IF($J42="","",LEFT($J42,tyk_ikincilUzunluk))</f>
        <v/>
      </c>
      <c r="M42" s="17">
        <f>"B"</f>
        <v/>
      </c>
      <c r="N42" s="17">
        <f>IF($J42="","",IF(COUNTIF(tblAnahtarB[NormB],$J42)&gt;1,"EVET","HAYIR"))</f>
        <v/>
      </c>
      <c r="O42" s="17">
        <f>IF($I42="","",ROW()-ROW($I$5))</f>
        <v/>
      </c>
    </row>
    <row r="43">
      <c r="A43" s="7">
        <f>IF(GIRDI!A43="","",GIRDI!A43)</f>
        <v/>
      </c>
      <c r="B43" s="17">
        <f>UPPER(TRIM(SUBSTITUTE($A43," ","")))</f>
        <v/>
      </c>
      <c r="C43" s="17">
        <f>IF($B43="",0,LEN($B43))</f>
        <v/>
      </c>
      <c r="D43" s="17">
        <f>IF($B43="","",LEFT($B43,tyk_ikincilUzunluk))</f>
        <v/>
      </c>
      <c r="E43" s="17">
        <f>"A"</f>
        <v/>
      </c>
      <c r="F43" s="17">
        <f>IF($B43="","",IF(COUNTIF(tblAnahtarA[Norm],$B43)&gt;1,"EVET","HAYIR"))</f>
        <v/>
      </c>
      <c r="G43" s="17">
        <f>IF($A43="","",ROW()-ROW($A$5))</f>
        <v/>
      </c>
      <c r="I43" s="7">
        <f>IF(HAKEDIS!A43="","",HAKEDIS!A43)</f>
        <v/>
      </c>
      <c r="J43" s="17">
        <f>UPPER(TRIM(SUBSTITUTE($I43," ","")))</f>
        <v/>
      </c>
      <c r="K43" s="17">
        <f>IF($J43="",0,LEN($J43))</f>
        <v/>
      </c>
      <c r="L43" s="17">
        <f>IF($J43="","",LEFT($J43,tyk_ikincilUzunluk))</f>
        <v/>
      </c>
      <c r="M43" s="17">
        <f>"B"</f>
        <v/>
      </c>
      <c r="N43" s="17">
        <f>IF($J43="","",IF(COUNTIF(tblAnahtarB[NormB],$J43)&gt;1,"EVET","HAYIR"))</f>
        <v/>
      </c>
      <c r="O43" s="17">
        <f>IF($I43="","",ROW()-ROW($I$5))</f>
        <v/>
      </c>
    </row>
    <row r="44">
      <c r="A44" s="7">
        <f>IF(GIRDI!A44="","",GIRDI!A44)</f>
        <v/>
      </c>
      <c r="B44" s="17">
        <f>UPPER(TRIM(SUBSTITUTE($A44," ","")))</f>
        <v/>
      </c>
      <c r="C44" s="17">
        <f>IF($B44="",0,LEN($B44))</f>
        <v/>
      </c>
      <c r="D44" s="17">
        <f>IF($B44="","",LEFT($B44,tyk_ikincilUzunluk))</f>
        <v/>
      </c>
      <c r="E44" s="17">
        <f>"A"</f>
        <v/>
      </c>
      <c r="F44" s="17">
        <f>IF($B44="","",IF(COUNTIF(tblAnahtarA[Norm],$B44)&gt;1,"EVET","HAYIR"))</f>
        <v/>
      </c>
      <c r="G44" s="17">
        <f>IF($A44="","",ROW()-ROW($A$5))</f>
        <v/>
      </c>
      <c r="I44" s="7">
        <f>IF(HAKEDIS!A44="","",HAKEDIS!A44)</f>
        <v/>
      </c>
      <c r="J44" s="17">
        <f>UPPER(TRIM(SUBSTITUTE($I44," ","")))</f>
        <v/>
      </c>
      <c r="K44" s="17">
        <f>IF($J44="",0,LEN($J44))</f>
        <v/>
      </c>
      <c r="L44" s="17">
        <f>IF($J44="","",LEFT($J44,tyk_ikincilUzunluk))</f>
        <v/>
      </c>
      <c r="M44" s="17">
        <f>"B"</f>
        <v/>
      </c>
      <c r="N44" s="17">
        <f>IF($J44="","",IF(COUNTIF(tblAnahtarB[NormB],$J44)&gt;1,"EVET","HAYIR"))</f>
        <v/>
      </c>
      <c r="O44" s="17">
        <f>IF($I44="","",ROW()-ROW($I$5))</f>
        <v/>
      </c>
    </row>
    <row r="45">
      <c r="A45" s="7">
        <f>IF(GIRDI!A45="","",GIRDI!A45)</f>
        <v/>
      </c>
      <c r="B45" s="17">
        <f>UPPER(TRIM(SUBSTITUTE($A45," ","")))</f>
        <v/>
      </c>
      <c r="C45" s="17">
        <f>IF($B45="",0,LEN($B45))</f>
        <v/>
      </c>
      <c r="D45" s="17">
        <f>IF($B45="","",LEFT($B45,tyk_ikincilUzunluk))</f>
        <v/>
      </c>
      <c r="E45" s="17">
        <f>"A"</f>
        <v/>
      </c>
      <c r="F45" s="17">
        <f>IF($B45="","",IF(COUNTIF(tblAnahtarA[Norm],$B45)&gt;1,"EVET","HAYIR"))</f>
        <v/>
      </c>
      <c r="G45" s="17">
        <f>IF($A45="","",ROW()-ROW($A$5))</f>
        <v/>
      </c>
      <c r="I45" s="7">
        <f>IF(HAKEDIS!A45="","",HAKEDIS!A45)</f>
        <v/>
      </c>
      <c r="J45" s="17">
        <f>UPPER(TRIM(SUBSTITUTE($I45," ","")))</f>
        <v/>
      </c>
      <c r="K45" s="17">
        <f>IF($J45="",0,LEN($J45))</f>
        <v/>
      </c>
      <c r="L45" s="17">
        <f>IF($J45="","",LEFT($J45,tyk_ikincilUzunluk))</f>
        <v/>
      </c>
      <c r="M45" s="17">
        <f>"B"</f>
        <v/>
      </c>
      <c r="N45" s="17">
        <f>IF($J45="","",IF(COUNTIF(tblAnahtarB[NormB],$J45)&gt;1,"EVET","HAYIR"))</f>
        <v/>
      </c>
      <c r="O45" s="17">
        <f>IF($I45="","",ROW()-ROW($I$5))</f>
        <v/>
      </c>
    </row>
    <row r="46">
      <c r="A46" s="7">
        <f>IF(GIRDI!A46="","",GIRDI!A46)</f>
        <v/>
      </c>
      <c r="B46" s="17">
        <f>UPPER(TRIM(SUBSTITUTE($A46," ","")))</f>
        <v/>
      </c>
      <c r="C46" s="17">
        <f>IF($B46="",0,LEN($B46))</f>
        <v/>
      </c>
      <c r="D46" s="17">
        <f>IF($B46="","",LEFT($B46,tyk_ikincilUzunluk))</f>
        <v/>
      </c>
      <c r="E46" s="17">
        <f>"A"</f>
        <v/>
      </c>
      <c r="F46" s="17">
        <f>IF($B46="","",IF(COUNTIF(tblAnahtarA[Norm],$B46)&gt;1,"EVET","HAYIR"))</f>
        <v/>
      </c>
      <c r="G46" s="17">
        <f>IF($A46="","",ROW()-ROW($A$5))</f>
        <v/>
      </c>
      <c r="I46" s="7">
        <f>IF(HAKEDIS!A46="","",HAKEDIS!A46)</f>
        <v/>
      </c>
      <c r="J46" s="17">
        <f>UPPER(TRIM(SUBSTITUTE($I46," ","")))</f>
        <v/>
      </c>
      <c r="K46" s="17">
        <f>IF($J46="",0,LEN($J46))</f>
        <v/>
      </c>
      <c r="L46" s="17">
        <f>IF($J46="","",LEFT($J46,tyk_ikincilUzunluk))</f>
        <v/>
      </c>
      <c r="M46" s="17">
        <f>"B"</f>
        <v/>
      </c>
      <c r="N46" s="17">
        <f>IF($J46="","",IF(COUNTIF(tblAnahtarB[NormB],$J46)&gt;1,"EVET","HAYIR"))</f>
        <v/>
      </c>
      <c r="O46" s="17">
        <f>IF($I46="","",ROW()-ROW($I$5))</f>
        <v/>
      </c>
    </row>
    <row r="47">
      <c r="A47" s="7">
        <f>IF(GIRDI!A47="","",GIRDI!A47)</f>
        <v/>
      </c>
      <c r="B47" s="17">
        <f>UPPER(TRIM(SUBSTITUTE($A47," ","")))</f>
        <v/>
      </c>
      <c r="C47" s="17">
        <f>IF($B47="",0,LEN($B47))</f>
        <v/>
      </c>
      <c r="D47" s="17">
        <f>IF($B47="","",LEFT($B47,tyk_ikincilUzunluk))</f>
        <v/>
      </c>
      <c r="E47" s="17">
        <f>"A"</f>
        <v/>
      </c>
      <c r="F47" s="17">
        <f>IF($B47="","",IF(COUNTIF(tblAnahtarA[Norm],$B47)&gt;1,"EVET","HAYIR"))</f>
        <v/>
      </c>
      <c r="G47" s="17">
        <f>IF($A47="","",ROW()-ROW($A$5))</f>
        <v/>
      </c>
      <c r="I47" s="7">
        <f>IF(HAKEDIS!A47="","",HAKEDIS!A47)</f>
        <v/>
      </c>
      <c r="J47" s="17">
        <f>UPPER(TRIM(SUBSTITUTE($I47," ","")))</f>
        <v/>
      </c>
      <c r="K47" s="17">
        <f>IF($J47="",0,LEN($J47))</f>
        <v/>
      </c>
      <c r="L47" s="17">
        <f>IF($J47="","",LEFT($J47,tyk_ikincilUzunluk))</f>
        <v/>
      </c>
      <c r="M47" s="17">
        <f>"B"</f>
        <v/>
      </c>
      <c r="N47" s="17">
        <f>IF($J47="","",IF(COUNTIF(tblAnahtarB[NormB],$J47)&gt;1,"EVET","HAYIR"))</f>
        <v/>
      </c>
      <c r="O47" s="17">
        <f>IF($I47="","",ROW()-ROW($I$5))</f>
        <v/>
      </c>
    </row>
    <row r="48">
      <c r="A48" s="7">
        <f>IF(GIRDI!A48="","",GIRDI!A48)</f>
        <v/>
      </c>
      <c r="B48" s="17">
        <f>UPPER(TRIM(SUBSTITUTE($A48," ","")))</f>
        <v/>
      </c>
      <c r="C48" s="17">
        <f>IF($B48="",0,LEN($B48))</f>
        <v/>
      </c>
      <c r="D48" s="17">
        <f>IF($B48="","",LEFT($B48,tyk_ikincilUzunluk))</f>
        <v/>
      </c>
      <c r="E48" s="17">
        <f>"A"</f>
        <v/>
      </c>
      <c r="F48" s="17">
        <f>IF($B48="","",IF(COUNTIF(tblAnahtarA[Norm],$B48)&gt;1,"EVET","HAYIR"))</f>
        <v/>
      </c>
      <c r="G48" s="17">
        <f>IF($A48="","",ROW()-ROW($A$5))</f>
        <v/>
      </c>
      <c r="I48" s="7">
        <f>IF(HAKEDIS!A48="","",HAKEDIS!A48)</f>
        <v/>
      </c>
      <c r="J48" s="17">
        <f>UPPER(TRIM(SUBSTITUTE($I48," ","")))</f>
        <v/>
      </c>
      <c r="K48" s="17">
        <f>IF($J48="",0,LEN($J48))</f>
        <v/>
      </c>
      <c r="L48" s="17">
        <f>IF($J48="","",LEFT($J48,tyk_ikincilUzunluk))</f>
        <v/>
      </c>
      <c r="M48" s="17">
        <f>"B"</f>
        <v/>
      </c>
      <c r="N48" s="17">
        <f>IF($J48="","",IF(COUNTIF(tblAnahtarB[NormB],$J48)&gt;1,"EVET","HAYIR"))</f>
        <v/>
      </c>
      <c r="O48" s="17">
        <f>IF($I48="","",ROW()-ROW($I$5))</f>
        <v/>
      </c>
    </row>
    <row r="49">
      <c r="A49" s="7">
        <f>IF(GIRDI!A49="","",GIRDI!A49)</f>
        <v/>
      </c>
      <c r="B49" s="17">
        <f>UPPER(TRIM(SUBSTITUTE($A49," ","")))</f>
        <v/>
      </c>
      <c r="C49" s="17">
        <f>IF($B49="",0,LEN($B49))</f>
        <v/>
      </c>
      <c r="D49" s="17">
        <f>IF($B49="","",LEFT($B49,tyk_ikincilUzunluk))</f>
        <v/>
      </c>
      <c r="E49" s="17">
        <f>"A"</f>
        <v/>
      </c>
      <c r="F49" s="17">
        <f>IF($B49="","",IF(COUNTIF(tblAnahtarA[Norm],$B49)&gt;1,"EVET","HAYIR"))</f>
        <v/>
      </c>
      <c r="G49" s="17">
        <f>IF($A49="","",ROW()-ROW($A$5))</f>
        <v/>
      </c>
      <c r="I49" s="7">
        <f>IF(HAKEDIS!A49="","",HAKEDIS!A49)</f>
        <v/>
      </c>
      <c r="J49" s="17">
        <f>UPPER(TRIM(SUBSTITUTE($I49," ","")))</f>
        <v/>
      </c>
      <c r="K49" s="17">
        <f>IF($J49="",0,LEN($J49))</f>
        <v/>
      </c>
      <c r="L49" s="17">
        <f>IF($J49="","",LEFT($J49,tyk_ikincilUzunluk))</f>
        <v/>
      </c>
      <c r="M49" s="17">
        <f>"B"</f>
        <v/>
      </c>
      <c r="N49" s="17">
        <f>IF($J49="","",IF(COUNTIF(tblAnahtarB[NormB],$J49)&gt;1,"EVET","HAYIR"))</f>
        <v/>
      </c>
      <c r="O49" s="17">
        <f>IF($I49="","",ROW()-ROW($I$5))</f>
        <v/>
      </c>
    </row>
    <row r="50">
      <c r="A50" s="7">
        <f>IF(GIRDI!A50="","",GIRDI!A50)</f>
        <v/>
      </c>
      <c r="B50" s="17">
        <f>UPPER(TRIM(SUBSTITUTE($A50," ","")))</f>
        <v/>
      </c>
      <c r="C50" s="17">
        <f>IF($B50="",0,LEN($B50))</f>
        <v/>
      </c>
      <c r="D50" s="17">
        <f>IF($B50="","",LEFT($B50,tyk_ikincilUzunluk))</f>
        <v/>
      </c>
      <c r="E50" s="17">
        <f>"A"</f>
        <v/>
      </c>
      <c r="F50" s="17">
        <f>IF($B50="","",IF(COUNTIF(tblAnahtarA[Norm],$B50)&gt;1,"EVET","HAYIR"))</f>
        <v/>
      </c>
      <c r="G50" s="17">
        <f>IF($A50="","",ROW()-ROW($A$5))</f>
        <v/>
      </c>
      <c r="I50" s="7">
        <f>IF(HAKEDIS!A50="","",HAKEDIS!A50)</f>
        <v/>
      </c>
      <c r="J50" s="17">
        <f>UPPER(TRIM(SUBSTITUTE($I50," ","")))</f>
        <v/>
      </c>
      <c r="K50" s="17">
        <f>IF($J50="",0,LEN($J50))</f>
        <v/>
      </c>
      <c r="L50" s="17">
        <f>IF($J50="","",LEFT($J50,tyk_ikincilUzunluk))</f>
        <v/>
      </c>
      <c r="M50" s="17">
        <f>"B"</f>
        <v/>
      </c>
      <c r="N50" s="17">
        <f>IF($J50="","",IF(COUNTIF(tblAnahtarB[NormB],$J50)&gt;1,"EVET","HAYIR"))</f>
        <v/>
      </c>
      <c r="O50" s="17">
        <f>IF($I50="","",ROW()-ROW($I$5))</f>
        <v/>
      </c>
    </row>
    <row r="51">
      <c r="A51" s="7">
        <f>IF(GIRDI!A51="","",GIRDI!A51)</f>
        <v/>
      </c>
      <c r="B51" s="17">
        <f>UPPER(TRIM(SUBSTITUTE($A51," ","")))</f>
        <v/>
      </c>
      <c r="C51" s="17">
        <f>IF($B51="",0,LEN($B51))</f>
        <v/>
      </c>
      <c r="D51" s="17">
        <f>IF($B51="","",LEFT($B51,tyk_ikincilUzunluk))</f>
        <v/>
      </c>
      <c r="E51" s="17">
        <f>"A"</f>
        <v/>
      </c>
      <c r="F51" s="17">
        <f>IF($B51="","",IF(COUNTIF(tblAnahtarA[Norm],$B51)&gt;1,"EVET","HAYIR"))</f>
        <v/>
      </c>
      <c r="G51" s="17">
        <f>IF($A51="","",ROW()-ROW($A$5))</f>
        <v/>
      </c>
      <c r="I51" s="7">
        <f>IF(HAKEDIS!A51="","",HAKEDIS!A51)</f>
        <v/>
      </c>
      <c r="J51" s="17">
        <f>UPPER(TRIM(SUBSTITUTE($I51," ","")))</f>
        <v/>
      </c>
      <c r="K51" s="17">
        <f>IF($J51="",0,LEN($J51))</f>
        <v/>
      </c>
      <c r="L51" s="17">
        <f>IF($J51="","",LEFT($J51,tyk_ikincilUzunluk))</f>
        <v/>
      </c>
      <c r="M51" s="17">
        <f>"B"</f>
        <v/>
      </c>
      <c r="N51" s="17">
        <f>IF($J51="","",IF(COUNTIF(tblAnahtarB[NormB],$J51)&gt;1,"EVET","HAYIR"))</f>
        <v/>
      </c>
      <c r="O51" s="17">
        <f>IF($I51="","",ROW()-ROW($I$5))</f>
        <v/>
      </c>
    </row>
    <row r="52">
      <c r="A52" s="7">
        <f>IF(GIRDI!A52="","",GIRDI!A52)</f>
        <v/>
      </c>
      <c r="B52" s="17">
        <f>UPPER(TRIM(SUBSTITUTE($A52," ","")))</f>
        <v/>
      </c>
      <c r="C52" s="17">
        <f>IF($B52="",0,LEN($B52))</f>
        <v/>
      </c>
      <c r="D52" s="17">
        <f>IF($B52="","",LEFT($B52,tyk_ikincilUzunluk))</f>
        <v/>
      </c>
      <c r="E52" s="17">
        <f>"A"</f>
        <v/>
      </c>
      <c r="F52" s="17">
        <f>IF($B52="","",IF(COUNTIF(tblAnahtarA[Norm],$B52)&gt;1,"EVET","HAYIR"))</f>
        <v/>
      </c>
      <c r="G52" s="17">
        <f>IF($A52="","",ROW()-ROW($A$5))</f>
        <v/>
      </c>
      <c r="I52" s="7">
        <f>IF(HAKEDIS!A52="","",HAKEDIS!A52)</f>
        <v/>
      </c>
      <c r="J52" s="17">
        <f>UPPER(TRIM(SUBSTITUTE($I52," ","")))</f>
        <v/>
      </c>
      <c r="K52" s="17">
        <f>IF($J52="",0,LEN($J52))</f>
        <v/>
      </c>
      <c r="L52" s="17">
        <f>IF($J52="","",LEFT($J52,tyk_ikincilUzunluk))</f>
        <v/>
      </c>
      <c r="M52" s="17">
        <f>"B"</f>
        <v/>
      </c>
      <c r="N52" s="17">
        <f>IF($J52="","",IF(COUNTIF(tblAnahtarB[NormB],$J52)&gt;1,"EVET","HAYIR"))</f>
        <v/>
      </c>
      <c r="O52" s="17">
        <f>IF($I52="","",ROW()-ROW($I$5))</f>
        <v/>
      </c>
    </row>
    <row r="53">
      <c r="A53" s="7">
        <f>IF(GIRDI!A53="","",GIRDI!A53)</f>
        <v/>
      </c>
      <c r="B53" s="17">
        <f>UPPER(TRIM(SUBSTITUTE($A53," ","")))</f>
        <v/>
      </c>
      <c r="C53" s="17">
        <f>IF($B53="",0,LEN($B53))</f>
        <v/>
      </c>
      <c r="D53" s="17">
        <f>IF($B53="","",LEFT($B53,tyk_ikincilUzunluk))</f>
        <v/>
      </c>
      <c r="E53" s="17">
        <f>"A"</f>
        <v/>
      </c>
      <c r="F53" s="17">
        <f>IF($B53="","",IF(COUNTIF(tblAnahtarA[Norm],$B53)&gt;1,"EVET","HAYIR"))</f>
        <v/>
      </c>
      <c r="G53" s="17">
        <f>IF($A53="","",ROW()-ROW($A$5))</f>
        <v/>
      </c>
      <c r="I53" s="7">
        <f>IF(HAKEDIS!A53="","",HAKEDIS!A53)</f>
        <v/>
      </c>
      <c r="J53" s="17">
        <f>UPPER(TRIM(SUBSTITUTE($I53," ","")))</f>
        <v/>
      </c>
      <c r="K53" s="17">
        <f>IF($J53="",0,LEN($J53))</f>
        <v/>
      </c>
      <c r="L53" s="17">
        <f>IF($J53="","",LEFT($J53,tyk_ikincilUzunluk))</f>
        <v/>
      </c>
      <c r="M53" s="17">
        <f>"B"</f>
        <v/>
      </c>
      <c r="N53" s="17">
        <f>IF($J53="","",IF(COUNTIF(tblAnahtarB[NormB],$J53)&gt;1,"EVET","HAYIR"))</f>
        <v/>
      </c>
      <c r="O53" s="17">
        <f>IF($I53="","",ROW()-ROW($I$5))</f>
        <v/>
      </c>
    </row>
    <row r="54">
      <c r="A54" s="7">
        <f>IF(GIRDI!A54="","",GIRDI!A54)</f>
        <v/>
      </c>
      <c r="B54" s="17">
        <f>UPPER(TRIM(SUBSTITUTE($A54," ","")))</f>
        <v/>
      </c>
      <c r="C54" s="17">
        <f>IF($B54="",0,LEN($B54))</f>
        <v/>
      </c>
      <c r="D54" s="17">
        <f>IF($B54="","",LEFT($B54,tyk_ikincilUzunluk))</f>
        <v/>
      </c>
      <c r="E54" s="17">
        <f>"A"</f>
        <v/>
      </c>
      <c r="F54" s="17">
        <f>IF($B54="","",IF(COUNTIF(tblAnahtarA[Norm],$B54)&gt;1,"EVET","HAYIR"))</f>
        <v/>
      </c>
      <c r="G54" s="17">
        <f>IF($A54="","",ROW()-ROW($A$5))</f>
        <v/>
      </c>
      <c r="I54" s="7">
        <f>IF(HAKEDIS!A54="","",HAKEDIS!A54)</f>
        <v/>
      </c>
      <c r="J54" s="17">
        <f>UPPER(TRIM(SUBSTITUTE($I54," ","")))</f>
        <v/>
      </c>
      <c r="K54" s="17">
        <f>IF($J54="",0,LEN($J54))</f>
        <v/>
      </c>
      <c r="L54" s="17">
        <f>IF($J54="","",LEFT($J54,tyk_ikincilUzunluk))</f>
        <v/>
      </c>
      <c r="M54" s="17">
        <f>"B"</f>
        <v/>
      </c>
      <c r="N54" s="17">
        <f>IF($J54="","",IF(COUNTIF(tblAnahtarB[NormB],$J54)&gt;1,"EVET","HAYIR"))</f>
        <v/>
      </c>
      <c r="O54" s="17">
        <f>IF($I54="","",ROW()-ROW($I$5))</f>
        <v/>
      </c>
    </row>
    <row r="55">
      <c r="A55" s="7">
        <f>IF(GIRDI!A55="","",GIRDI!A55)</f>
        <v/>
      </c>
      <c r="B55" s="17">
        <f>UPPER(TRIM(SUBSTITUTE($A55," ","")))</f>
        <v/>
      </c>
      <c r="C55" s="17">
        <f>IF($B55="",0,LEN($B55))</f>
        <v/>
      </c>
      <c r="D55" s="17">
        <f>IF($B55="","",LEFT($B55,tyk_ikincilUzunluk))</f>
        <v/>
      </c>
      <c r="E55" s="17">
        <f>"A"</f>
        <v/>
      </c>
      <c r="F55" s="17">
        <f>IF($B55="","",IF(COUNTIF(tblAnahtarA[Norm],$B55)&gt;1,"EVET","HAYIR"))</f>
        <v/>
      </c>
      <c r="G55" s="17">
        <f>IF($A55="","",ROW()-ROW($A$5))</f>
        <v/>
      </c>
      <c r="I55" s="7">
        <f>IF(HAKEDIS!A55="","",HAKEDIS!A55)</f>
        <v/>
      </c>
      <c r="J55" s="17">
        <f>UPPER(TRIM(SUBSTITUTE($I55," ","")))</f>
        <v/>
      </c>
      <c r="K55" s="17">
        <f>IF($J55="",0,LEN($J55))</f>
        <v/>
      </c>
      <c r="L55" s="17">
        <f>IF($J55="","",LEFT($J55,tyk_ikincilUzunluk))</f>
        <v/>
      </c>
      <c r="M55" s="17">
        <f>"B"</f>
        <v/>
      </c>
      <c r="N55" s="17">
        <f>IF($J55="","",IF(COUNTIF(tblAnahtarB[NormB],$J55)&gt;1,"EVET","HAYIR"))</f>
        <v/>
      </c>
      <c r="O55" s="17">
        <f>IF($I55="","",ROW()-ROW($I$5))</f>
        <v/>
      </c>
    </row>
    <row r="56">
      <c r="A56" s="7">
        <f>IF(GIRDI!A56="","",GIRDI!A56)</f>
        <v/>
      </c>
      <c r="B56" s="17">
        <f>UPPER(TRIM(SUBSTITUTE($A56," ","")))</f>
        <v/>
      </c>
      <c r="C56" s="17">
        <f>IF($B56="",0,LEN($B56))</f>
        <v/>
      </c>
      <c r="D56" s="17">
        <f>IF($B56="","",LEFT($B56,tyk_ikincilUzunluk))</f>
        <v/>
      </c>
      <c r="E56" s="17">
        <f>"A"</f>
        <v/>
      </c>
      <c r="F56" s="17">
        <f>IF($B56="","",IF(COUNTIF(tblAnahtarA[Norm],$B56)&gt;1,"EVET","HAYIR"))</f>
        <v/>
      </c>
      <c r="G56" s="17">
        <f>IF($A56="","",ROW()-ROW($A$5))</f>
        <v/>
      </c>
      <c r="I56" s="7">
        <f>IF(HAKEDIS!A56="","",HAKEDIS!A56)</f>
        <v/>
      </c>
      <c r="J56" s="17">
        <f>UPPER(TRIM(SUBSTITUTE($I56," ","")))</f>
        <v/>
      </c>
      <c r="K56" s="17">
        <f>IF($J56="",0,LEN($J56))</f>
        <v/>
      </c>
      <c r="L56" s="17">
        <f>IF($J56="","",LEFT($J56,tyk_ikincilUzunluk))</f>
        <v/>
      </c>
      <c r="M56" s="17">
        <f>"B"</f>
        <v/>
      </c>
      <c r="N56" s="17">
        <f>IF($J56="","",IF(COUNTIF(tblAnahtarB[NormB],$J56)&gt;1,"EVET","HAYIR"))</f>
        <v/>
      </c>
      <c r="O56" s="17">
        <f>IF($I56="","",ROW()-ROW($I$5))</f>
        <v/>
      </c>
    </row>
    <row r="57">
      <c r="A57" s="7">
        <f>IF(GIRDI!A57="","",GIRDI!A57)</f>
        <v/>
      </c>
      <c r="B57" s="17">
        <f>UPPER(TRIM(SUBSTITUTE($A57," ","")))</f>
        <v/>
      </c>
      <c r="C57" s="17">
        <f>IF($B57="",0,LEN($B57))</f>
        <v/>
      </c>
      <c r="D57" s="17">
        <f>IF($B57="","",LEFT($B57,tyk_ikincilUzunluk))</f>
        <v/>
      </c>
      <c r="E57" s="17">
        <f>"A"</f>
        <v/>
      </c>
      <c r="F57" s="17">
        <f>IF($B57="","",IF(COUNTIF(tblAnahtarA[Norm],$B57)&gt;1,"EVET","HAYIR"))</f>
        <v/>
      </c>
      <c r="G57" s="17">
        <f>IF($A57="","",ROW()-ROW($A$5))</f>
        <v/>
      </c>
      <c r="I57" s="7">
        <f>IF(HAKEDIS!A57="","",HAKEDIS!A57)</f>
        <v/>
      </c>
      <c r="J57" s="17">
        <f>UPPER(TRIM(SUBSTITUTE($I57," ","")))</f>
        <v/>
      </c>
      <c r="K57" s="17">
        <f>IF($J57="",0,LEN($J57))</f>
        <v/>
      </c>
      <c r="L57" s="17">
        <f>IF($J57="","",LEFT($J57,tyk_ikincilUzunluk))</f>
        <v/>
      </c>
      <c r="M57" s="17">
        <f>"B"</f>
        <v/>
      </c>
      <c r="N57" s="17">
        <f>IF($J57="","",IF(COUNTIF(tblAnahtarB[NormB],$J57)&gt;1,"EVET","HAYIR"))</f>
        <v/>
      </c>
      <c r="O57" s="17">
        <f>IF($I57="","",ROW()-ROW($I$5))</f>
        <v/>
      </c>
    </row>
    <row r="58">
      <c r="A58" s="7">
        <f>IF(GIRDI!A58="","",GIRDI!A58)</f>
        <v/>
      </c>
      <c r="B58" s="17">
        <f>UPPER(TRIM(SUBSTITUTE($A58," ","")))</f>
        <v/>
      </c>
      <c r="C58" s="17">
        <f>IF($B58="",0,LEN($B58))</f>
        <v/>
      </c>
      <c r="D58" s="17">
        <f>IF($B58="","",LEFT($B58,tyk_ikincilUzunluk))</f>
        <v/>
      </c>
      <c r="E58" s="17">
        <f>"A"</f>
        <v/>
      </c>
      <c r="F58" s="17">
        <f>IF($B58="","",IF(COUNTIF(tblAnahtarA[Norm],$B58)&gt;1,"EVET","HAYIR"))</f>
        <v/>
      </c>
      <c r="G58" s="17">
        <f>IF($A58="","",ROW()-ROW($A$5))</f>
        <v/>
      </c>
      <c r="I58" s="7">
        <f>IF(HAKEDIS!A58="","",HAKEDIS!A58)</f>
        <v/>
      </c>
      <c r="J58" s="17">
        <f>UPPER(TRIM(SUBSTITUTE($I58," ","")))</f>
        <v/>
      </c>
      <c r="K58" s="17">
        <f>IF($J58="",0,LEN($J58))</f>
        <v/>
      </c>
      <c r="L58" s="17">
        <f>IF($J58="","",LEFT($J58,tyk_ikincilUzunluk))</f>
        <v/>
      </c>
      <c r="M58" s="17">
        <f>"B"</f>
        <v/>
      </c>
      <c r="N58" s="17">
        <f>IF($J58="","",IF(COUNTIF(tblAnahtarB[NormB],$J58)&gt;1,"EVET","HAYIR"))</f>
        <v/>
      </c>
      <c r="O58" s="17">
        <f>IF($I58="","",ROW()-ROW($I$5))</f>
        <v/>
      </c>
    </row>
    <row r="59">
      <c r="A59" s="7">
        <f>IF(GIRDI!A59="","",GIRDI!A59)</f>
        <v/>
      </c>
      <c r="B59" s="17">
        <f>UPPER(TRIM(SUBSTITUTE($A59," ","")))</f>
        <v/>
      </c>
      <c r="C59" s="17">
        <f>IF($B59="",0,LEN($B59))</f>
        <v/>
      </c>
      <c r="D59" s="17">
        <f>IF($B59="","",LEFT($B59,tyk_ikincilUzunluk))</f>
        <v/>
      </c>
      <c r="E59" s="17">
        <f>"A"</f>
        <v/>
      </c>
      <c r="F59" s="17">
        <f>IF($B59="","",IF(COUNTIF(tblAnahtarA[Norm],$B59)&gt;1,"EVET","HAYIR"))</f>
        <v/>
      </c>
      <c r="G59" s="17">
        <f>IF($A59="","",ROW()-ROW($A$5))</f>
        <v/>
      </c>
      <c r="I59" s="7">
        <f>IF(HAKEDIS!A59="","",HAKEDIS!A59)</f>
        <v/>
      </c>
      <c r="J59" s="17">
        <f>UPPER(TRIM(SUBSTITUTE($I59," ","")))</f>
        <v/>
      </c>
      <c r="K59" s="17">
        <f>IF($J59="",0,LEN($J59))</f>
        <v/>
      </c>
      <c r="L59" s="17">
        <f>IF($J59="","",LEFT($J59,tyk_ikincilUzunluk))</f>
        <v/>
      </c>
      <c r="M59" s="17">
        <f>"B"</f>
        <v/>
      </c>
      <c r="N59" s="17">
        <f>IF($J59="","",IF(COUNTIF(tblAnahtarB[NormB],$J59)&gt;1,"EVET","HAYIR"))</f>
        <v/>
      </c>
      <c r="O59" s="17">
        <f>IF($I59="","",ROW()-ROW($I$5))</f>
        <v/>
      </c>
    </row>
    <row r="60">
      <c r="A60" s="7">
        <f>IF(GIRDI!A60="","",GIRDI!A60)</f>
        <v/>
      </c>
      <c r="B60" s="17">
        <f>UPPER(TRIM(SUBSTITUTE($A60," ","")))</f>
        <v/>
      </c>
      <c r="C60" s="17">
        <f>IF($B60="",0,LEN($B60))</f>
        <v/>
      </c>
      <c r="D60" s="17">
        <f>IF($B60="","",LEFT($B60,tyk_ikincilUzunluk))</f>
        <v/>
      </c>
      <c r="E60" s="17">
        <f>"A"</f>
        <v/>
      </c>
      <c r="F60" s="17">
        <f>IF($B60="","",IF(COUNTIF(tblAnahtarA[Norm],$B60)&gt;1,"EVET","HAYIR"))</f>
        <v/>
      </c>
      <c r="G60" s="17">
        <f>IF($A60="","",ROW()-ROW($A$5))</f>
        <v/>
      </c>
      <c r="I60" s="7">
        <f>IF(HAKEDIS!A60="","",HAKEDIS!A60)</f>
        <v/>
      </c>
      <c r="J60" s="17">
        <f>UPPER(TRIM(SUBSTITUTE($I60," ","")))</f>
        <v/>
      </c>
      <c r="K60" s="17">
        <f>IF($J60="",0,LEN($J60))</f>
        <v/>
      </c>
      <c r="L60" s="17">
        <f>IF($J60="","",LEFT($J60,tyk_ikincilUzunluk))</f>
        <v/>
      </c>
      <c r="M60" s="17">
        <f>"B"</f>
        <v/>
      </c>
      <c r="N60" s="17">
        <f>IF($J60="","",IF(COUNTIF(tblAnahtarB[NormB],$J60)&gt;1,"EVET","HAYIR"))</f>
        <v/>
      </c>
      <c r="O60" s="17">
        <f>IF($I60="","",ROW()-ROW($I$5))</f>
        <v/>
      </c>
    </row>
    <row r="61">
      <c r="A61" s="7">
        <f>IF(GIRDI!A61="","",GIRDI!A61)</f>
        <v/>
      </c>
      <c r="B61" s="17">
        <f>UPPER(TRIM(SUBSTITUTE($A61," ","")))</f>
        <v/>
      </c>
      <c r="C61" s="17">
        <f>IF($B61="",0,LEN($B61))</f>
        <v/>
      </c>
      <c r="D61" s="17">
        <f>IF($B61="","",LEFT($B61,tyk_ikincilUzunluk))</f>
        <v/>
      </c>
      <c r="E61" s="17">
        <f>"A"</f>
        <v/>
      </c>
      <c r="F61" s="17">
        <f>IF($B61="","",IF(COUNTIF(tblAnahtarA[Norm],$B61)&gt;1,"EVET","HAYIR"))</f>
        <v/>
      </c>
      <c r="G61" s="17">
        <f>IF($A61="","",ROW()-ROW($A$5))</f>
        <v/>
      </c>
      <c r="I61" s="7">
        <f>IF(HAKEDIS!A61="","",HAKEDIS!A61)</f>
        <v/>
      </c>
      <c r="J61" s="17">
        <f>UPPER(TRIM(SUBSTITUTE($I61," ","")))</f>
        <v/>
      </c>
      <c r="K61" s="17">
        <f>IF($J61="",0,LEN($J61))</f>
        <v/>
      </c>
      <c r="L61" s="17">
        <f>IF($J61="","",LEFT($J61,tyk_ikincilUzunluk))</f>
        <v/>
      </c>
      <c r="M61" s="17">
        <f>"B"</f>
        <v/>
      </c>
      <c r="N61" s="17">
        <f>IF($J61="","",IF(COUNTIF(tblAnahtarB[NormB],$J61)&gt;1,"EVET","HAYIR"))</f>
        <v/>
      </c>
      <c r="O61" s="17">
        <f>IF($I61="","",ROW()-ROW($I$5))</f>
        <v/>
      </c>
    </row>
    <row r="62">
      <c r="A62" s="7">
        <f>IF(GIRDI!A62="","",GIRDI!A62)</f>
        <v/>
      </c>
      <c r="B62" s="17">
        <f>UPPER(TRIM(SUBSTITUTE($A62," ","")))</f>
        <v/>
      </c>
      <c r="C62" s="17">
        <f>IF($B62="",0,LEN($B62))</f>
        <v/>
      </c>
      <c r="D62" s="17">
        <f>IF($B62="","",LEFT($B62,tyk_ikincilUzunluk))</f>
        <v/>
      </c>
      <c r="E62" s="17">
        <f>"A"</f>
        <v/>
      </c>
      <c r="F62" s="17">
        <f>IF($B62="","",IF(COUNTIF(tblAnahtarA[Norm],$B62)&gt;1,"EVET","HAYIR"))</f>
        <v/>
      </c>
      <c r="G62" s="17">
        <f>IF($A62="","",ROW()-ROW($A$5))</f>
        <v/>
      </c>
      <c r="I62" s="7">
        <f>IF(HAKEDIS!A62="","",HAKEDIS!A62)</f>
        <v/>
      </c>
      <c r="J62" s="17">
        <f>UPPER(TRIM(SUBSTITUTE($I62," ","")))</f>
        <v/>
      </c>
      <c r="K62" s="17">
        <f>IF($J62="",0,LEN($J62))</f>
        <v/>
      </c>
      <c r="L62" s="17">
        <f>IF($J62="","",LEFT($J62,tyk_ikincilUzunluk))</f>
        <v/>
      </c>
      <c r="M62" s="17">
        <f>"B"</f>
        <v/>
      </c>
      <c r="N62" s="17">
        <f>IF($J62="","",IF(COUNTIF(tblAnahtarB[NormB],$J62)&gt;1,"EVET","HAYIR"))</f>
        <v/>
      </c>
      <c r="O62" s="17">
        <f>IF($I62="","",ROW()-ROW($I$5))</f>
        <v/>
      </c>
    </row>
    <row r="63">
      <c r="A63" s="7">
        <f>IF(GIRDI!A63="","",GIRDI!A63)</f>
        <v/>
      </c>
      <c r="B63" s="17">
        <f>UPPER(TRIM(SUBSTITUTE($A63," ","")))</f>
        <v/>
      </c>
      <c r="C63" s="17">
        <f>IF($B63="",0,LEN($B63))</f>
        <v/>
      </c>
      <c r="D63" s="17">
        <f>IF($B63="","",LEFT($B63,tyk_ikincilUzunluk))</f>
        <v/>
      </c>
      <c r="E63" s="17">
        <f>"A"</f>
        <v/>
      </c>
      <c r="F63" s="17">
        <f>IF($B63="","",IF(COUNTIF(tblAnahtarA[Norm],$B63)&gt;1,"EVET","HAYIR"))</f>
        <v/>
      </c>
      <c r="G63" s="17">
        <f>IF($A63="","",ROW()-ROW($A$5))</f>
        <v/>
      </c>
      <c r="I63" s="7">
        <f>IF(HAKEDIS!A63="","",HAKEDIS!A63)</f>
        <v/>
      </c>
      <c r="J63" s="17">
        <f>UPPER(TRIM(SUBSTITUTE($I63," ","")))</f>
        <v/>
      </c>
      <c r="K63" s="17">
        <f>IF($J63="",0,LEN($J63))</f>
        <v/>
      </c>
      <c r="L63" s="17">
        <f>IF($J63="","",LEFT($J63,tyk_ikincilUzunluk))</f>
        <v/>
      </c>
      <c r="M63" s="17">
        <f>"B"</f>
        <v/>
      </c>
      <c r="N63" s="17">
        <f>IF($J63="","",IF(COUNTIF(tblAnahtarB[NormB],$J63)&gt;1,"EVET","HAYIR"))</f>
        <v/>
      </c>
      <c r="O63" s="17">
        <f>IF($I63="","",ROW()-ROW($I$5))</f>
        <v/>
      </c>
    </row>
    <row r="64">
      <c r="A64" s="7">
        <f>IF(GIRDI!A64="","",GIRDI!A64)</f>
        <v/>
      </c>
      <c r="B64" s="17">
        <f>UPPER(TRIM(SUBSTITUTE($A64," ","")))</f>
        <v/>
      </c>
      <c r="C64" s="17">
        <f>IF($B64="",0,LEN($B64))</f>
        <v/>
      </c>
      <c r="D64" s="17">
        <f>IF($B64="","",LEFT($B64,tyk_ikincilUzunluk))</f>
        <v/>
      </c>
      <c r="E64" s="17">
        <f>"A"</f>
        <v/>
      </c>
      <c r="F64" s="17">
        <f>IF($B64="","",IF(COUNTIF(tblAnahtarA[Norm],$B64)&gt;1,"EVET","HAYIR"))</f>
        <v/>
      </c>
      <c r="G64" s="17">
        <f>IF($A64="","",ROW()-ROW($A$5))</f>
        <v/>
      </c>
      <c r="I64" s="7">
        <f>IF(HAKEDIS!A64="","",HAKEDIS!A64)</f>
        <v/>
      </c>
      <c r="J64" s="17">
        <f>UPPER(TRIM(SUBSTITUTE($I64," ","")))</f>
        <v/>
      </c>
      <c r="K64" s="17">
        <f>IF($J64="",0,LEN($J64))</f>
        <v/>
      </c>
      <c r="L64" s="17">
        <f>IF($J64="","",LEFT($J64,tyk_ikincilUzunluk))</f>
        <v/>
      </c>
      <c r="M64" s="17">
        <f>"B"</f>
        <v/>
      </c>
      <c r="N64" s="17">
        <f>IF($J64="","",IF(COUNTIF(tblAnahtarB[NormB],$J64)&gt;1,"EVET","HAYIR"))</f>
        <v/>
      </c>
      <c r="O64" s="17">
        <f>IF($I64="","",ROW()-ROW($I$5))</f>
        <v/>
      </c>
    </row>
    <row r="65">
      <c r="A65" s="7">
        <f>IF(GIRDI!A65="","",GIRDI!A65)</f>
        <v/>
      </c>
      <c r="B65" s="17">
        <f>UPPER(TRIM(SUBSTITUTE($A65," ","")))</f>
        <v/>
      </c>
      <c r="C65" s="17">
        <f>IF($B65="",0,LEN($B65))</f>
        <v/>
      </c>
      <c r="D65" s="17">
        <f>IF($B65="","",LEFT($B65,tyk_ikincilUzunluk))</f>
        <v/>
      </c>
      <c r="E65" s="17">
        <f>"A"</f>
        <v/>
      </c>
      <c r="F65" s="17">
        <f>IF($B65="","",IF(COUNTIF(tblAnahtarA[Norm],$B65)&gt;1,"EVET","HAYIR"))</f>
        <v/>
      </c>
      <c r="G65" s="17">
        <f>IF($A65="","",ROW()-ROW($A$5))</f>
        <v/>
      </c>
      <c r="I65" s="7">
        <f>IF(HAKEDIS!A65="","",HAKEDIS!A65)</f>
        <v/>
      </c>
      <c r="J65" s="17">
        <f>UPPER(TRIM(SUBSTITUTE($I65," ","")))</f>
        <v/>
      </c>
      <c r="K65" s="17">
        <f>IF($J65="",0,LEN($J65))</f>
        <v/>
      </c>
      <c r="L65" s="17">
        <f>IF($J65="","",LEFT($J65,tyk_ikincilUzunluk))</f>
        <v/>
      </c>
      <c r="M65" s="17">
        <f>"B"</f>
        <v/>
      </c>
      <c r="N65" s="17">
        <f>IF($J65="","",IF(COUNTIF(tblAnahtarB[NormB],$J65)&gt;1,"EVET","HAYIR"))</f>
        <v/>
      </c>
      <c r="O65" s="17">
        <f>IF($I65="","",ROW()-ROW($I$5))</f>
        <v/>
      </c>
    </row>
    <row r="66">
      <c r="A66" s="7">
        <f>IF(GIRDI!A66="","",GIRDI!A66)</f>
        <v/>
      </c>
      <c r="B66" s="17">
        <f>UPPER(TRIM(SUBSTITUTE($A66," ","")))</f>
        <v/>
      </c>
      <c r="C66" s="17">
        <f>IF($B66="",0,LEN($B66))</f>
        <v/>
      </c>
      <c r="D66" s="17">
        <f>IF($B66="","",LEFT($B66,tyk_ikincilUzunluk))</f>
        <v/>
      </c>
      <c r="E66" s="17">
        <f>"A"</f>
        <v/>
      </c>
      <c r="F66" s="17">
        <f>IF($B66="","",IF(COUNTIF(tblAnahtarA[Norm],$B66)&gt;1,"EVET","HAYIR"))</f>
        <v/>
      </c>
      <c r="G66" s="17">
        <f>IF($A66="","",ROW()-ROW($A$5))</f>
        <v/>
      </c>
      <c r="I66" s="7">
        <f>IF(HAKEDIS!A66="","",HAKEDIS!A66)</f>
        <v/>
      </c>
      <c r="J66" s="17">
        <f>UPPER(TRIM(SUBSTITUTE($I66," ","")))</f>
        <v/>
      </c>
      <c r="K66" s="17">
        <f>IF($J66="",0,LEN($J66))</f>
        <v/>
      </c>
      <c r="L66" s="17">
        <f>IF($J66="","",LEFT($J66,tyk_ikincilUzunluk))</f>
        <v/>
      </c>
      <c r="M66" s="17">
        <f>"B"</f>
        <v/>
      </c>
      <c r="N66" s="17">
        <f>IF($J66="","",IF(COUNTIF(tblAnahtarB[NormB],$J66)&gt;1,"EVET","HAYIR"))</f>
        <v/>
      </c>
      <c r="O66" s="17">
        <f>IF($I66="","",ROW()-ROW($I$5))</f>
        <v/>
      </c>
    </row>
    <row r="67">
      <c r="A67" s="7">
        <f>IF(GIRDI!A67="","",GIRDI!A67)</f>
        <v/>
      </c>
      <c r="B67" s="17">
        <f>UPPER(TRIM(SUBSTITUTE($A67," ","")))</f>
        <v/>
      </c>
      <c r="C67" s="17">
        <f>IF($B67="",0,LEN($B67))</f>
        <v/>
      </c>
      <c r="D67" s="17">
        <f>IF($B67="","",LEFT($B67,tyk_ikincilUzunluk))</f>
        <v/>
      </c>
      <c r="E67" s="17">
        <f>"A"</f>
        <v/>
      </c>
      <c r="F67" s="17">
        <f>IF($B67="","",IF(COUNTIF(tblAnahtarA[Norm],$B67)&gt;1,"EVET","HAYIR"))</f>
        <v/>
      </c>
      <c r="G67" s="17">
        <f>IF($A67="","",ROW()-ROW($A$5))</f>
        <v/>
      </c>
      <c r="I67" s="7">
        <f>IF(HAKEDIS!A67="","",HAKEDIS!A67)</f>
        <v/>
      </c>
      <c r="J67" s="17">
        <f>UPPER(TRIM(SUBSTITUTE($I67," ","")))</f>
        <v/>
      </c>
      <c r="K67" s="17">
        <f>IF($J67="",0,LEN($J67))</f>
        <v/>
      </c>
      <c r="L67" s="17">
        <f>IF($J67="","",LEFT($J67,tyk_ikincilUzunluk))</f>
        <v/>
      </c>
      <c r="M67" s="17">
        <f>"B"</f>
        <v/>
      </c>
      <c r="N67" s="17">
        <f>IF($J67="","",IF(COUNTIF(tblAnahtarB[NormB],$J67)&gt;1,"EVET","HAYIR"))</f>
        <v/>
      </c>
      <c r="O67" s="17">
        <f>IF($I67="","",ROW()-ROW($I$5))</f>
        <v/>
      </c>
    </row>
    <row r="68">
      <c r="A68" s="7">
        <f>IF(GIRDI!A68="","",GIRDI!A68)</f>
        <v/>
      </c>
      <c r="B68" s="17">
        <f>UPPER(TRIM(SUBSTITUTE($A68," ","")))</f>
        <v/>
      </c>
      <c r="C68" s="17">
        <f>IF($B68="",0,LEN($B68))</f>
        <v/>
      </c>
      <c r="D68" s="17">
        <f>IF($B68="","",LEFT($B68,tyk_ikincilUzunluk))</f>
        <v/>
      </c>
      <c r="E68" s="17">
        <f>"A"</f>
        <v/>
      </c>
      <c r="F68" s="17">
        <f>IF($B68="","",IF(COUNTIF(tblAnahtarA[Norm],$B68)&gt;1,"EVET","HAYIR"))</f>
        <v/>
      </c>
      <c r="G68" s="17">
        <f>IF($A68="","",ROW()-ROW($A$5))</f>
        <v/>
      </c>
      <c r="I68" s="7">
        <f>IF(HAKEDIS!A68="","",HAKEDIS!A68)</f>
        <v/>
      </c>
      <c r="J68" s="17">
        <f>UPPER(TRIM(SUBSTITUTE($I68," ","")))</f>
        <v/>
      </c>
      <c r="K68" s="17">
        <f>IF($J68="",0,LEN($J68))</f>
        <v/>
      </c>
      <c r="L68" s="17">
        <f>IF($J68="","",LEFT($J68,tyk_ikincilUzunluk))</f>
        <v/>
      </c>
      <c r="M68" s="17">
        <f>"B"</f>
        <v/>
      </c>
      <c r="N68" s="17">
        <f>IF($J68="","",IF(COUNTIF(tblAnahtarB[NormB],$J68)&gt;1,"EVET","HAYIR"))</f>
        <v/>
      </c>
      <c r="O68" s="17">
        <f>IF($I68="","",ROW()-ROW($I$5))</f>
        <v/>
      </c>
    </row>
    <row r="69">
      <c r="A69" s="7">
        <f>IF(GIRDI!A69="","",GIRDI!A69)</f>
        <v/>
      </c>
      <c r="B69" s="17">
        <f>UPPER(TRIM(SUBSTITUTE($A69," ","")))</f>
        <v/>
      </c>
      <c r="C69" s="17">
        <f>IF($B69="",0,LEN($B69))</f>
        <v/>
      </c>
      <c r="D69" s="17">
        <f>IF($B69="","",LEFT($B69,tyk_ikincilUzunluk))</f>
        <v/>
      </c>
      <c r="E69" s="17">
        <f>"A"</f>
        <v/>
      </c>
      <c r="F69" s="17">
        <f>IF($B69="","",IF(COUNTIF(tblAnahtarA[Norm],$B69)&gt;1,"EVET","HAYIR"))</f>
        <v/>
      </c>
      <c r="G69" s="17">
        <f>IF($A69="","",ROW()-ROW($A$5))</f>
        <v/>
      </c>
      <c r="I69" s="7">
        <f>IF(HAKEDIS!A69="","",HAKEDIS!A69)</f>
        <v/>
      </c>
      <c r="J69" s="17">
        <f>UPPER(TRIM(SUBSTITUTE($I69," ","")))</f>
        <v/>
      </c>
      <c r="K69" s="17">
        <f>IF($J69="",0,LEN($J69))</f>
        <v/>
      </c>
      <c r="L69" s="17">
        <f>IF($J69="","",LEFT($J69,tyk_ikincilUzunluk))</f>
        <v/>
      </c>
      <c r="M69" s="17">
        <f>"B"</f>
        <v/>
      </c>
      <c r="N69" s="17">
        <f>IF($J69="","",IF(COUNTIF(tblAnahtarB[NormB],$J69)&gt;1,"EVET","HAYIR"))</f>
        <v/>
      </c>
      <c r="O69" s="17">
        <f>IF($I69="","",ROW()-ROW($I$5))</f>
        <v/>
      </c>
    </row>
    <row r="70">
      <c r="A70" s="7">
        <f>IF(GIRDI!A70="","",GIRDI!A70)</f>
        <v/>
      </c>
      <c r="B70" s="17">
        <f>UPPER(TRIM(SUBSTITUTE($A70," ","")))</f>
        <v/>
      </c>
      <c r="C70" s="17">
        <f>IF($B70="",0,LEN($B70))</f>
        <v/>
      </c>
      <c r="D70" s="17">
        <f>IF($B70="","",LEFT($B70,tyk_ikincilUzunluk))</f>
        <v/>
      </c>
      <c r="E70" s="17">
        <f>"A"</f>
        <v/>
      </c>
      <c r="F70" s="17">
        <f>IF($B70="","",IF(COUNTIF(tblAnahtarA[Norm],$B70)&gt;1,"EVET","HAYIR"))</f>
        <v/>
      </c>
      <c r="G70" s="17">
        <f>IF($A70="","",ROW()-ROW($A$5))</f>
        <v/>
      </c>
      <c r="I70" s="7">
        <f>IF(HAKEDIS!A70="","",HAKEDIS!A70)</f>
        <v/>
      </c>
      <c r="J70" s="17">
        <f>UPPER(TRIM(SUBSTITUTE($I70," ","")))</f>
        <v/>
      </c>
      <c r="K70" s="17">
        <f>IF($J70="",0,LEN($J70))</f>
        <v/>
      </c>
      <c r="L70" s="17">
        <f>IF($J70="","",LEFT($J70,tyk_ikincilUzunluk))</f>
        <v/>
      </c>
      <c r="M70" s="17">
        <f>"B"</f>
        <v/>
      </c>
      <c r="N70" s="17">
        <f>IF($J70="","",IF(COUNTIF(tblAnahtarB[NormB],$J70)&gt;1,"EVET","HAYIR"))</f>
        <v/>
      </c>
      <c r="O70" s="17">
        <f>IF($I70="","",ROW()-ROW($I$5))</f>
        <v/>
      </c>
    </row>
    <row r="71">
      <c r="A71" s="7">
        <f>IF(GIRDI!A71="","",GIRDI!A71)</f>
        <v/>
      </c>
      <c r="B71" s="17">
        <f>UPPER(TRIM(SUBSTITUTE($A71," ","")))</f>
        <v/>
      </c>
      <c r="C71" s="17">
        <f>IF($B71="",0,LEN($B71))</f>
        <v/>
      </c>
      <c r="D71" s="17">
        <f>IF($B71="","",LEFT($B71,tyk_ikincilUzunluk))</f>
        <v/>
      </c>
      <c r="E71" s="17">
        <f>"A"</f>
        <v/>
      </c>
      <c r="F71" s="17">
        <f>IF($B71="","",IF(COUNTIF(tblAnahtarA[Norm],$B71)&gt;1,"EVET","HAYIR"))</f>
        <v/>
      </c>
      <c r="G71" s="17">
        <f>IF($A71="","",ROW()-ROW($A$5))</f>
        <v/>
      </c>
      <c r="I71" s="7">
        <f>IF(HAKEDIS!A71="","",HAKEDIS!A71)</f>
        <v/>
      </c>
      <c r="J71" s="17">
        <f>UPPER(TRIM(SUBSTITUTE($I71," ","")))</f>
        <v/>
      </c>
      <c r="K71" s="17">
        <f>IF($J71="",0,LEN($J71))</f>
        <v/>
      </c>
      <c r="L71" s="17">
        <f>IF($J71="","",LEFT($J71,tyk_ikincilUzunluk))</f>
        <v/>
      </c>
      <c r="M71" s="17">
        <f>"B"</f>
        <v/>
      </c>
      <c r="N71" s="17">
        <f>IF($J71="","",IF(COUNTIF(tblAnahtarB[NormB],$J71)&gt;1,"EVET","HAYIR"))</f>
        <v/>
      </c>
      <c r="O71" s="17">
        <f>IF($I71="","",ROW()-ROW($I$5))</f>
        <v/>
      </c>
    </row>
    <row r="72">
      <c r="A72" s="7">
        <f>IF(GIRDI!A72="","",GIRDI!A72)</f>
        <v/>
      </c>
      <c r="B72" s="17">
        <f>UPPER(TRIM(SUBSTITUTE($A72," ","")))</f>
        <v/>
      </c>
      <c r="C72" s="17">
        <f>IF($B72="",0,LEN($B72))</f>
        <v/>
      </c>
      <c r="D72" s="17">
        <f>IF($B72="","",LEFT($B72,tyk_ikincilUzunluk))</f>
        <v/>
      </c>
      <c r="E72" s="17">
        <f>"A"</f>
        <v/>
      </c>
      <c r="F72" s="17">
        <f>IF($B72="","",IF(COUNTIF(tblAnahtarA[Norm],$B72)&gt;1,"EVET","HAYIR"))</f>
        <v/>
      </c>
      <c r="G72" s="17">
        <f>IF($A72="","",ROW()-ROW($A$5))</f>
        <v/>
      </c>
      <c r="I72" s="7">
        <f>IF(HAKEDIS!A72="","",HAKEDIS!A72)</f>
        <v/>
      </c>
      <c r="J72" s="17">
        <f>UPPER(TRIM(SUBSTITUTE($I72," ","")))</f>
        <v/>
      </c>
      <c r="K72" s="17">
        <f>IF($J72="",0,LEN($J72))</f>
        <v/>
      </c>
      <c r="L72" s="17">
        <f>IF($J72="","",LEFT($J72,tyk_ikincilUzunluk))</f>
        <v/>
      </c>
      <c r="M72" s="17">
        <f>"B"</f>
        <v/>
      </c>
      <c r="N72" s="17">
        <f>IF($J72="","",IF(COUNTIF(tblAnahtarB[NormB],$J72)&gt;1,"EVET","HAYIR"))</f>
        <v/>
      </c>
      <c r="O72" s="17">
        <f>IF($I72="","",ROW()-ROW($I$5))</f>
        <v/>
      </c>
    </row>
    <row r="73">
      <c r="A73" s="7">
        <f>IF(GIRDI!A73="","",GIRDI!A73)</f>
        <v/>
      </c>
      <c r="B73" s="17">
        <f>UPPER(TRIM(SUBSTITUTE($A73," ","")))</f>
        <v/>
      </c>
      <c r="C73" s="17">
        <f>IF($B73="",0,LEN($B73))</f>
        <v/>
      </c>
      <c r="D73" s="17">
        <f>IF($B73="","",LEFT($B73,tyk_ikincilUzunluk))</f>
        <v/>
      </c>
      <c r="E73" s="17">
        <f>"A"</f>
        <v/>
      </c>
      <c r="F73" s="17">
        <f>IF($B73="","",IF(COUNTIF(tblAnahtarA[Norm],$B73)&gt;1,"EVET","HAYIR"))</f>
        <v/>
      </c>
      <c r="G73" s="17">
        <f>IF($A73="","",ROW()-ROW($A$5))</f>
        <v/>
      </c>
      <c r="I73" s="7">
        <f>IF(HAKEDIS!A73="","",HAKEDIS!A73)</f>
        <v/>
      </c>
      <c r="J73" s="17">
        <f>UPPER(TRIM(SUBSTITUTE($I73," ","")))</f>
        <v/>
      </c>
      <c r="K73" s="17">
        <f>IF($J73="",0,LEN($J73))</f>
        <v/>
      </c>
      <c r="L73" s="17">
        <f>IF($J73="","",LEFT($J73,tyk_ikincilUzunluk))</f>
        <v/>
      </c>
      <c r="M73" s="17">
        <f>"B"</f>
        <v/>
      </c>
      <c r="N73" s="17">
        <f>IF($J73="","",IF(COUNTIF(tblAnahtarB[NormB],$J73)&gt;1,"EVET","HAYIR"))</f>
        <v/>
      </c>
      <c r="O73" s="17">
        <f>IF($I73="","",ROW()-ROW($I$5))</f>
        <v/>
      </c>
    </row>
    <row r="74">
      <c r="A74" s="7">
        <f>IF(GIRDI!A74="","",GIRDI!A74)</f>
        <v/>
      </c>
      <c r="B74" s="17">
        <f>UPPER(TRIM(SUBSTITUTE($A74," ","")))</f>
        <v/>
      </c>
      <c r="C74" s="17">
        <f>IF($B74="",0,LEN($B74))</f>
        <v/>
      </c>
      <c r="D74" s="17">
        <f>IF($B74="","",LEFT($B74,tyk_ikincilUzunluk))</f>
        <v/>
      </c>
      <c r="E74" s="17">
        <f>"A"</f>
        <v/>
      </c>
      <c r="F74" s="17">
        <f>IF($B74="","",IF(COUNTIF(tblAnahtarA[Norm],$B74)&gt;1,"EVET","HAYIR"))</f>
        <v/>
      </c>
      <c r="G74" s="17">
        <f>IF($A74="","",ROW()-ROW($A$5))</f>
        <v/>
      </c>
      <c r="I74" s="7">
        <f>IF(HAKEDIS!A74="","",HAKEDIS!A74)</f>
        <v/>
      </c>
      <c r="J74" s="17">
        <f>UPPER(TRIM(SUBSTITUTE($I74," ","")))</f>
        <v/>
      </c>
      <c r="K74" s="17">
        <f>IF($J74="",0,LEN($J74))</f>
        <v/>
      </c>
      <c r="L74" s="17">
        <f>IF($J74="","",LEFT($J74,tyk_ikincilUzunluk))</f>
        <v/>
      </c>
      <c r="M74" s="17">
        <f>"B"</f>
        <v/>
      </c>
      <c r="N74" s="17">
        <f>IF($J74="","",IF(COUNTIF(tblAnahtarB[NormB],$J74)&gt;1,"EVET","HAYIR"))</f>
        <v/>
      </c>
      <c r="O74" s="17">
        <f>IF($I74="","",ROW()-ROW($I$5))</f>
        <v/>
      </c>
    </row>
    <row r="75">
      <c r="A75" s="7">
        <f>IF(GIRDI!A75="","",GIRDI!A75)</f>
        <v/>
      </c>
      <c r="B75" s="17">
        <f>UPPER(TRIM(SUBSTITUTE($A75," ","")))</f>
        <v/>
      </c>
      <c r="C75" s="17">
        <f>IF($B75="",0,LEN($B75))</f>
        <v/>
      </c>
      <c r="D75" s="17">
        <f>IF($B75="","",LEFT($B75,tyk_ikincilUzunluk))</f>
        <v/>
      </c>
      <c r="E75" s="17">
        <f>"A"</f>
        <v/>
      </c>
      <c r="F75" s="17">
        <f>IF($B75="","",IF(COUNTIF(tblAnahtarA[Norm],$B75)&gt;1,"EVET","HAYIR"))</f>
        <v/>
      </c>
      <c r="G75" s="17">
        <f>IF($A75="","",ROW()-ROW($A$5))</f>
        <v/>
      </c>
      <c r="I75" s="7">
        <f>IF(HAKEDIS!A75="","",HAKEDIS!A75)</f>
        <v/>
      </c>
      <c r="J75" s="17">
        <f>UPPER(TRIM(SUBSTITUTE($I75," ","")))</f>
        <v/>
      </c>
      <c r="K75" s="17">
        <f>IF($J75="",0,LEN($J75))</f>
        <v/>
      </c>
      <c r="L75" s="17">
        <f>IF($J75="","",LEFT($J75,tyk_ikincilUzunluk))</f>
        <v/>
      </c>
      <c r="M75" s="17">
        <f>"B"</f>
        <v/>
      </c>
      <c r="N75" s="17">
        <f>IF($J75="","",IF(COUNTIF(tblAnahtarB[NormB],$J75)&gt;1,"EVET","HAYIR"))</f>
        <v/>
      </c>
      <c r="O75" s="17">
        <f>IF($I75="","",ROW()-ROW($I$5))</f>
        <v/>
      </c>
    </row>
    <row r="76">
      <c r="A76" s="7">
        <f>IF(GIRDI!A76="","",GIRDI!A76)</f>
        <v/>
      </c>
      <c r="B76" s="17">
        <f>UPPER(TRIM(SUBSTITUTE($A76," ","")))</f>
        <v/>
      </c>
      <c r="C76" s="17">
        <f>IF($B76="",0,LEN($B76))</f>
        <v/>
      </c>
      <c r="D76" s="17">
        <f>IF($B76="","",LEFT($B76,tyk_ikincilUzunluk))</f>
        <v/>
      </c>
      <c r="E76" s="17">
        <f>"A"</f>
        <v/>
      </c>
      <c r="F76" s="17">
        <f>IF($B76="","",IF(COUNTIF(tblAnahtarA[Norm],$B76)&gt;1,"EVET","HAYIR"))</f>
        <v/>
      </c>
      <c r="G76" s="17">
        <f>IF($A76="","",ROW()-ROW($A$5))</f>
        <v/>
      </c>
      <c r="I76" s="7">
        <f>IF(HAKEDIS!A76="","",HAKEDIS!A76)</f>
        <v/>
      </c>
      <c r="J76" s="17">
        <f>UPPER(TRIM(SUBSTITUTE($I76," ","")))</f>
        <v/>
      </c>
      <c r="K76" s="17">
        <f>IF($J76="",0,LEN($J76))</f>
        <v/>
      </c>
      <c r="L76" s="17">
        <f>IF($J76="","",LEFT($J76,tyk_ikincilUzunluk))</f>
        <v/>
      </c>
      <c r="M76" s="17">
        <f>"B"</f>
        <v/>
      </c>
      <c r="N76" s="17">
        <f>IF($J76="","",IF(COUNTIF(tblAnahtarB[NormB],$J76)&gt;1,"EVET","HAYIR"))</f>
        <v/>
      </c>
      <c r="O76" s="17">
        <f>IF($I76="","",ROW()-ROW($I$5))</f>
        <v/>
      </c>
    </row>
    <row r="77">
      <c r="A77" s="7">
        <f>IF(GIRDI!A77="","",GIRDI!A77)</f>
        <v/>
      </c>
      <c r="B77" s="17">
        <f>UPPER(TRIM(SUBSTITUTE($A77," ","")))</f>
        <v/>
      </c>
      <c r="C77" s="17">
        <f>IF($B77="",0,LEN($B77))</f>
        <v/>
      </c>
      <c r="D77" s="17">
        <f>IF($B77="","",LEFT($B77,tyk_ikincilUzunluk))</f>
        <v/>
      </c>
      <c r="E77" s="17">
        <f>"A"</f>
        <v/>
      </c>
      <c r="F77" s="17">
        <f>IF($B77="","",IF(COUNTIF(tblAnahtarA[Norm],$B77)&gt;1,"EVET","HAYIR"))</f>
        <v/>
      </c>
      <c r="G77" s="17">
        <f>IF($A77="","",ROW()-ROW($A$5))</f>
        <v/>
      </c>
      <c r="I77" s="7">
        <f>IF(HAKEDIS!A77="","",HAKEDIS!A77)</f>
        <v/>
      </c>
      <c r="J77" s="17">
        <f>UPPER(TRIM(SUBSTITUTE($I77," ","")))</f>
        <v/>
      </c>
      <c r="K77" s="17">
        <f>IF($J77="",0,LEN($J77))</f>
        <v/>
      </c>
      <c r="L77" s="17">
        <f>IF($J77="","",LEFT($J77,tyk_ikincilUzunluk))</f>
        <v/>
      </c>
      <c r="M77" s="17">
        <f>"B"</f>
        <v/>
      </c>
      <c r="N77" s="17">
        <f>IF($J77="","",IF(COUNTIF(tblAnahtarB[NormB],$J77)&gt;1,"EVET","HAYIR"))</f>
        <v/>
      </c>
      <c r="O77" s="17">
        <f>IF($I77="","",ROW()-ROW($I$5))</f>
        <v/>
      </c>
    </row>
    <row r="78">
      <c r="A78" s="7">
        <f>IF(GIRDI!A78="","",GIRDI!A78)</f>
        <v/>
      </c>
      <c r="B78" s="17">
        <f>UPPER(TRIM(SUBSTITUTE($A78," ","")))</f>
        <v/>
      </c>
      <c r="C78" s="17">
        <f>IF($B78="",0,LEN($B78))</f>
        <v/>
      </c>
      <c r="D78" s="17">
        <f>IF($B78="","",LEFT($B78,tyk_ikincilUzunluk))</f>
        <v/>
      </c>
      <c r="E78" s="17">
        <f>"A"</f>
        <v/>
      </c>
      <c r="F78" s="17">
        <f>IF($B78="","",IF(COUNTIF(tblAnahtarA[Norm],$B78)&gt;1,"EVET","HAYIR"))</f>
        <v/>
      </c>
      <c r="G78" s="17">
        <f>IF($A78="","",ROW()-ROW($A$5))</f>
        <v/>
      </c>
      <c r="I78" s="7">
        <f>IF(HAKEDIS!A78="","",HAKEDIS!A78)</f>
        <v/>
      </c>
      <c r="J78" s="17">
        <f>UPPER(TRIM(SUBSTITUTE($I78," ","")))</f>
        <v/>
      </c>
      <c r="K78" s="17">
        <f>IF($J78="",0,LEN($J78))</f>
        <v/>
      </c>
      <c r="L78" s="17">
        <f>IF($J78="","",LEFT($J78,tyk_ikincilUzunluk))</f>
        <v/>
      </c>
      <c r="M78" s="17">
        <f>"B"</f>
        <v/>
      </c>
      <c r="N78" s="17">
        <f>IF($J78="","",IF(COUNTIF(tblAnahtarB[NormB],$J78)&gt;1,"EVET","HAYIR"))</f>
        <v/>
      </c>
      <c r="O78" s="17">
        <f>IF($I78="","",ROW()-ROW($I$5))</f>
        <v/>
      </c>
    </row>
    <row r="79">
      <c r="A79" s="7">
        <f>IF(GIRDI!A79="","",GIRDI!A79)</f>
        <v/>
      </c>
      <c r="B79" s="17">
        <f>UPPER(TRIM(SUBSTITUTE($A79," ","")))</f>
        <v/>
      </c>
      <c r="C79" s="17">
        <f>IF($B79="",0,LEN($B79))</f>
        <v/>
      </c>
      <c r="D79" s="17">
        <f>IF($B79="","",LEFT($B79,tyk_ikincilUzunluk))</f>
        <v/>
      </c>
      <c r="E79" s="17">
        <f>"A"</f>
        <v/>
      </c>
      <c r="F79" s="17">
        <f>IF($B79="","",IF(COUNTIF(tblAnahtarA[Norm],$B79)&gt;1,"EVET","HAYIR"))</f>
        <v/>
      </c>
      <c r="G79" s="17">
        <f>IF($A79="","",ROW()-ROW($A$5))</f>
        <v/>
      </c>
      <c r="I79" s="7">
        <f>IF(HAKEDIS!A79="","",HAKEDIS!A79)</f>
        <v/>
      </c>
      <c r="J79" s="17">
        <f>UPPER(TRIM(SUBSTITUTE($I79," ","")))</f>
        <v/>
      </c>
      <c r="K79" s="17">
        <f>IF($J79="",0,LEN($J79))</f>
        <v/>
      </c>
      <c r="L79" s="17">
        <f>IF($J79="","",LEFT($J79,tyk_ikincilUzunluk))</f>
        <v/>
      </c>
      <c r="M79" s="17">
        <f>"B"</f>
        <v/>
      </c>
      <c r="N79" s="17">
        <f>IF($J79="","",IF(COUNTIF(tblAnahtarB[NormB],$J79)&gt;1,"EVET","HAYIR"))</f>
        <v/>
      </c>
      <c r="O79" s="17">
        <f>IF($I79="","",ROW()-ROW($I$5))</f>
        <v/>
      </c>
    </row>
    <row r="80">
      <c r="A80" s="7">
        <f>IF(GIRDI!A80="","",GIRDI!A80)</f>
        <v/>
      </c>
      <c r="B80" s="17">
        <f>UPPER(TRIM(SUBSTITUTE($A80," ","")))</f>
        <v/>
      </c>
      <c r="C80" s="17">
        <f>IF($B80="",0,LEN($B80))</f>
        <v/>
      </c>
      <c r="D80" s="17">
        <f>IF($B80="","",LEFT($B80,tyk_ikincilUzunluk))</f>
        <v/>
      </c>
      <c r="E80" s="17">
        <f>"A"</f>
        <v/>
      </c>
      <c r="F80" s="17">
        <f>IF($B80="","",IF(COUNTIF(tblAnahtarA[Norm],$B80)&gt;1,"EVET","HAYIR"))</f>
        <v/>
      </c>
      <c r="G80" s="17">
        <f>IF($A80="","",ROW()-ROW($A$5))</f>
        <v/>
      </c>
      <c r="I80" s="7">
        <f>IF(HAKEDIS!A80="","",HAKEDIS!A80)</f>
        <v/>
      </c>
      <c r="J80" s="17">
        <f>UPPER(TRIM(SUBSTITUTE($I80," ","")))</f>
        <v/>
      </c>
      <c r="K80" s="17">
        <f>IF($J80="",0,LEN($J80))</f>
        <v/>
      </c>
      <c r="L80" s="17">
        <f>IF($J80="","",LEFT($J80,tyk_ikincilUzunluk))</f>
        <v/>
      </c>
      <c r="M80" s="17">
        <f>"B"</f>
        <v/>
      </c>
      <c r="N80" s="17">
        <f>IF($J80="","",IF(COUNTIF(tblAnahtarB[NormB],$J80)&gt;1,"EVET","HAYIR"))</f>
        <v/>
      </c>
      <c r="O80" s="17">
        <f>IF($I80="","",ROW()-ROW($I$5))</f>
        <v/>
      </c>
    </row>
    <row r="81">
      <c r="A81" s="7">
        <f>IF(GIRDI!A81="","",GIRDI!A81)</f>
        <v/>
      </c>
      <c r="B81" s="17">
        <f>UPPER(TRIM(SUBSTITUTE($A81," ","")))</f>
        <v/>
      </c>
      <c r="C81" s="17">
        <f>IF($B81="",0,LEN($B81))</f>
        <v/>
      </c>
      <c r="D81" s="17">
        <f>IF($B81="","",LEFT($B81,tyk_ikincilUzunluk))</f>
        <v/>
      </c>
      <c r="E81" s="17">
        <f>"A"</f>
        <v/>
      </c>
      <c r="F81" s="17">
        <f>IF($B81="","",IF(COUNTIF(tblAnahtarA[Norm],$B81)&gt;1,"EVET","HAYIR"))</f>
        <v/>
      </c>
      <c r="G81" s="17">
        <f>IF($A81="","",ROW()-ROW($A$5))</f>
        <v/>
      </c>
      <c r="I81" s="7">
        <f>IF(HAKEDIS!A81="","",HAKEDIS!A81)</f>
        <v/>
      </c>
      <c r="J81" s="17">
        <f>UPPER(TRIM(SUBSTITUTE($I81," ","")))</f>
        <v/>
      </c>
      <c r="K81" s="17">
        <f>IF($J81="",0,LEN($J81))</f>
        <v/>
      </c>
      <c r="L81" s="17">
        <f>IF($J81="","",LEFT($J81,tyk_ikincilUzunluk))</f>
        <v/>
      </c>
      <c r="M81" s="17">
        <f>"B"</f>
        <v/>
      </c>
      <c r="N81" s="17">
        <f>IF($J81="","",IF(COUNTIF(tblAnahtarB[NormB],$J81)&gt;1,"EVET","HAYIR"))</f>
        <v/>
      </c>
      <c r="O81" s="17">
        <f>IF($I81="","",ROW()-ROW($I$5))</f>
        <v/>
      </c>
    </row>
    <row r="82">
      <c r="A82" s="7">
        <f>IF(GIRDI!A82="","",GIRDI!A82)</f>
        <v/>
      </c>
      <c r="B82" s="17">
        <f>UPPER(TRIM(SUBSTITUTE($A82," ","")))</f>
        <v/>
      </c>
      <c r="C82" s="17">
        <f>IF($B82="",0,LEN($B82))</f>
        <v/>
      </c>
      <c r="D82" s="17">
        <f>IF($B82="","",LEFT($B82,tyk_ikincilUzunluk))</f>
        <v/>
      </c>
      <c r="E82" s="17">
        <f>"A"</f>
        <v/>
      </c>
      <c r="F82" s="17">
        <f>IF($B82="","",IF(COUNTIF(tblAnahtarA[Norm],$B82)&gt;1,"EVET","HAYIR"))</f>
        <v/>
      </c>
      <c r="G82" s="17">
        <f>IF($A82="","",ROW()-ROW($A$5))</f>
        <v/>
      </c>
      <c r="I82" s="7">
        <f>IF(HAKEDIS!A82="","",HAKEDIS!A82)</f>
        <v/>
      </c>
      <c r="J82" s="17">
        <f>UPPER(TRIM(SUBSTITUTE($I82," ","")))</f>
        <v/>
      </c>
      <c r="K82" s="17">
        <f>IF($J82="",0,LEN($J82))</f>
        <v/>
      </c>
      <c r="L82" s="17">
        <f>IF($J82="","",LEFT($J82,tyk_ikincilUzunluk))</f>
        <v/>
      </c>
      <c r="M82" s="17">
        <f>"B"</f>
        <v/>
      </c>
      <c r="N82" s="17">
        <f>IF($J82="","",IF(COUNTIF(tblAnahtarB[NormB],$J82)&gt;1,"EVET","HAYIR"))</f>
        <v/>
      </c>
      <c r="O82" s="17">
        <f>IF($I82="","",ROW()-ROW($I$5))</f>
        <v/>
      </c>
    </row>
    <row r="83">
      <c r="A83" s="7">
        <f>IF(GIRDI!A83="","",GIRDI!A83)</f>
        <v/>
      </c>
      <c r="B83" s="17">
        <f>UPPER(TRIM(SUBSTITUTE($A83," ","")))</f>
        <v/>
      </c>
      <c r="C83" s="17">
        <f>IF($B83="",0,LEN($B83))</f>
        <v/>
      </c>
      <c r="D83" s="17">
        <f>IF($B83="","",LEFT($B83,tyk_ikincilUzunluk))</f>
        <v/>
      </c>
      <c r="E83" s="17">
        <f>"A"</f>
        <v/>
      </c>
      <c r="F83" s="17">
        <f>IF($B83="","",IF(COUNTIF(tblAnahtarA[Norm],$B83)&gt;1,"EVET","HAYIR"))</f>
        <v/>
      </c>
      <c r="G83" s="17">
        <f>IF($A83="","",ROW()-ROW($A$5))</f>
        <v/>
      </c>
      <c r="I83" s="7">
        <f>IF(HAKEDIS!A83="","",HAKEDIS!A83)</f>
        <v/>
      </c>
      <c r="J83" s="17">
        <f>UPPER(TRIM(SUBSTITUTE($I83," ","")))</f>
        <v/>
      </c>
      <c r="K83" s="17">
        <f>IF($J83="",0,LEN($J83))</f>
        <v/>
      </c>
      <c r="L83" s="17">
        <f>IF($J83="","",LEFT($J83,tyk_ikincilUzunluk))</f>
        <v/>
      </c>
      <c r="M83" s="17">
        <f>"B"</f>
        <v/>
      </c>
      <c r="N83" s="17">
        <f>IF($J83="","",IF(COUNTIF(tblAnahtarB[NormB],$J83)&gt;1,"EVET","HAYIR"))</f>
        <v/>
      </c>
      <c r="O83" s="17">
        <f>IF($I83="","",ROW()-ROW($I$5))</f>
        <v/>
      </c>
    </row>
    <row r="84">
      <c r="A84" s="7">
        <f>IF(GIRDI!A84="","",GIRDI!A84)</f>
        <v/>
      </c>
      <c r="B84" s="17">
        <f>UPPER(TRIM(SUBSTITUTE($A84," ","")))</f>
        <v/>
      </c>
      <c r="C84" s="17">
        <f>IF($B84="",0,LEN($B84))</f>
        <v/>
      </c>
      <c r="D84" s="17">
        <f>IF($B84="","",LEFT($B84,tyk_ikincilUzunluk))</f>
        <v/>
      </c>
      <c r="E84" s="17">
        <f>"A"</f>
        <v/>
      </c>
      <c r="F84" s="17">
        <f>IF($B84="","",IF(COUNTIF(tblAnahtarA[Norm],$B84)&gt;1,"EVET","HAYIR"))</f>
        <v/>
      </c>
      <c r="G84" s="17">
        <f>IF($A84="","",ROW()-ROW($A$5))</f>
        <v/>
      </c>
      <c r="I84" s="7">
        <f>IF(HAKEDIS!A84="","",HAKEDIS!A84)</f>
        <v/>
      </c>
      <c r="J84" s="17">
        <f>UPPER(TRIM(SUBSTITUTE($I84," ","")))</f>
        <v/>
      </c>
      <c r="K84" s="17">
        <f>IF($J84="",0,LEN($J84))</f>
        <v/>
      </c>
      <c r="L84" s="17">
        <f>IF($J84="","",LEFT($J84,tyk_ikincilUzunluk))</f>
        <v/>
      </c>
      <c r="M84" s="17">
        <f>"B"</f>
        <v/>
      </c>
      <c r="N84" s="17">
        <f>IF($J84="","",IF(COUNTIF(tblAnahtarB[NormB],$J84)&gt;1,"EVET","HAYIR"))</f>
        <v/>
      </c>
      <c r="O84" s="17">
        <f>IF($I84="","",ROW()-ROW($I$5))</f>
        <v/>
      </c>
    </row>
    <row r="85">
      <c r="A85" s="7">
        <f>IF(GIRDI!A85="","",GIRDI!A85)</f>
        <v/>
      </c>
      <c r="B85" s="17">
        <f>UPPER(TRIM(SUBSTITUTE($A85," ","")))</f>
        <v/>
      </c>
      <c r="C85" s="17">
        <f>IF($B85="",0,LEN($B85))</f>
        <v/>
      </c>
      <c r="D85" s="17">
        <f>IF($B85="","",LEFT($B85,tyk_ikincilUzunluk))</f>
        <v/>
      </c>
      <c r="E85" s="17">
        <f>"A"</f>
        <v/>
      </c>
      <c r="F85" s="17">
        <f>IF($B85="","",IF(COUNTIF(tblAnahtarA[Norm],$B85)&gt;1,"EVET","HAYIR"))</f>
        <v/>
      </c>
      <c r="G85" s="17">
        <f>IF($A85="","",ROW()-ROW($A$5))</f>
        <v/>
      </c>
      <c r="I85" s="7">
        <f>IF(HAKEDIS!A85="","",HAKEDIS!A85)</f>
        <v/>
      </c>
      <c r="J85" s="17">
        <f>UPPER(TRIM(SUBSTITUTE($I85," ","")))</f>
        <v/>
      </c>
      <c r="K85" s="17">
        <f>IF($J85="",0,LEN($J85))</f>
        <v/>
      </c>
      <c r="L85" s="17">
        <f>IF($J85="","",LEFT($J85,tyk_ikincilUzunluk))</f>
        <v/>
      </c>
      <c r="M85" s="17">
        <f>"B"</f>
        <v/>
      </c>
      <c r="N85" s="17">
        <f>IF($J85="","",IF(COUNTIF(tblAnahtarB[NormB],$J85)&gt;1,"EVET","HAYIR"))</f>
        <v/>
      </c>
      <c r="O85" s="17">
        <f>IF($I85="","",ROW()-ROW($I$5))</f>
        <v/>
      </c>
    </row>
    <row r="86">
      <c r="A86" s="7">
        <f>IF(GIRDI!A86="","",GIRDI!A86)</f>
        <v/>
      </c>
      <c r="B86" s="17">
        <f>UPPER(TRIM(SUBSTITUTE($A86," ","")))</f>
        <v/>
      </c>
      <c r="C86" s="17">
        <f>IF($B86="",0,LEN($B86))</f>
        <v/>
      </c>
      <c r="D86" s="17">
        <f>IF($B86="","",LEFT($B86,tyk_ikincilUzunluk))</f>
        <v/>
      </c>
      <c r="E86" s="17">
        <f>"A"</f>
        <v/>
      </c>
      <c r="F86" s="17">
        <f>IF($B86="","",IF(COUNTIF(tblAnahtarA[Norm],$B86)&gt;1,"EVET","HAYIR"))</f>
        <v/>
      </c>
      <c r="G86" s="17">
        <f>IF($A86="","",ROW()-ROW($A$5))</f>
        <v/>
      </c>
      <c r="I86" s="7">
        <f>IF(HAKEDIS!A86="","",HAKEDIS!A86)</f>
        <v/>
      </c>
      <c r="J86" s="17">
        <f>UPPER(TRIM(SUBSTITUTE($I86," ","")))</f>
        <v/>
      </c>
      <c r="K86" s="17">
        <f>IF($J86="",0,LEN($J86))</f>
        <v/>
      </c>
      <c r="L86" s="17">
        <f>IF($J86="","",LEFT($J86,tyk_ikincilUzunluk))</f>
        <v/>
      </c>
      <c r="M86" s="17">
        <f>"B"</f>
        <v/>
      </c>
      <c r="N86" s="17">
        <f>IF($J86="","",IF(COUNTIF(tblAnahtarB[NormB],$J86)&gt;1,"EVET","HAYIR"))</f>
        <v/>
      </c>
      <c r="O86" s="17">
        <f>IF($I86="","",ROW()-ROW($I$5))</f>
        <v/>
      </c>
    </row>
    <row r="87">
      <c r="A87" s="7">
        <f>IF(GIRDI!A87="","",GIRDI!A87)</f>
        <v/>
      </c>
      <c r="B87" s="17">
        <f>UPPER(TRIM(SUBSTITUTE($A87," ","")))</f>
        <v/>
      </c>
      <c r="C87" s="17">
        <f>IF($B87="",0,LEN($B87))</f>
        <v/>
      </c>
      <c r="D87" s="17">
        <f>IF($B87="","",LEFT($B87,tyk_ikincilUzunluk))</f>
        <v/>
      </c>
      <c r="E87" s="17">
        <f>"A"</f>
        <v/>
      </c>
      <c r="F87" s="17">
        <f>IF($B87="","",IF(COUNTIF(tblAnahtarA[Norm],$B87)&gt;1,"EVET","HAYIR"))</f>
        <v/>
      </c>
      <c r="G87" s="17">
        <f>IF($A87="","",ROW()-ROW($A$5))</f>
        <v/>
      </c>
      <c r="I87" s="7">
        <f>IF(HAKEDIS!A87="","",HAKEDIS!A87)</f>
        <v/>
      </c>
      <c r="J87" s="17">
        <f>UPPER(TRIM(SUBSTITUTE($I87," ","")))</f>
        <v/>
      </c>
      <c r="K87" s="17">
        <f>IF($J87="",0,LEN($J87))</f>
        <v/>
      </c>
      <c r="L87" s="17">
        <f>IF($J87="","",LEFT($J87,tyk_ikincilUzunluk))</f>
        <v/>
      </c>
      <c r="M87" s="17">
        <f>"B"</f>
        <v/>
      </c>
      <c r="N87" s="17">
        <f>IF($J87="","",IF(COUNTIF(tblAnahtarB[NormB],$J87)&gt;1,"EVET","HAYIR"))</f>
        <v/>
      </c>
      <c r="O87" s="17">
        <f>IF($I87="","",ROW()-ROW($I$5))</f>
        <v/>
      </c>
    </row>
    <row r="88">
      <c r="A88" s="7">
        <f>IF(GIRDI!A88="","",GIRDI!A88)</f>
        <v/>
      </c>
      <c r="B88" s="17">
        <f>UPPER(TRIM(SUBSTITUTE($A88," ","")))</f>
        <v/>
      </c>
      <c r="C88" s="17">
        <f>IF($B88="",0,LEN($B88))</f>
        <v/>
      </c>
      <c r="D88" s="17">
        <f>IF($B88="","",LEFT($B88,tyk_ikincilUzunluk))</f>
        <v/>
      </c>
      <c r="E88" s="17">
        <f>"A"</f>
        <v/>
      </c>
      <c r="F88" s="17">
        <f>IF($B88="","",IF(COUNTIF(tblAnahtarA[Norm],$B88)&gt;1,"EVET","HAYIR"))</f>
        <v/>
      </c>
      <c r="G88" s="17">
        <f>IF($A88="","",ROW()-ROW($A$5))</f>
        <v/>
      </c>
      <c r="I88" s="7">
        <f>IF(HAKEDIS!A88="","",HAKEDIS!A88)</f>
        <v/>
      </c>
      <c r="J88" s="17">
        <f>UPPER(TRIM(SUBSTITUTE($I88," ","")))</f>
        <v/>
      </c>
      <c r="K88" s="17">
        <f>IF($J88="",0,LEN($J88))</f>
        <v/>
      </c>
      <c r="L88" s="17">
        <f>IF($J88="","",LEFT($J88,tyk_ikincilUzunluk))</f>
        <v/>
      </c>
      <c r="M88" s="17">
        <f>"B"</f>
        <v/>
      </c>
      <c r="N88" s="17">
        <f>IF($J88="","",IF(COUNTIF(tblAnahtarB[NormB],$J88)&gt;1,"EVET","HAYIR"))</f>
        <v/>
      </c>
      <c r="O88" s="17">
        <f>IF($I88="","",ROW()-ROW($I$5))</f>
        <v/>
      </c>
    </row>
    <row r="89">
      <c r="A89" s="7">
        <f>IF(GIRDI!A89="","",GIRDI!A89)</f>
        <v/>
      </c>
      <c r="B89" s="17">
        <f>UPPER(TRIM(SUBSTITUTE($A89," ","")))</f>
        <v/>
      </c>
      <c r="C89" s="17">
        <f>IF($B89="",0,LEN($B89))</f>
        <v/>
      </c>
      <c r="D89" s="17">
        <f>IF($B89="","",LEFT($B89,tyk_ikincilUzunluk))</f>
        <v/>
      </c>
      <c r="E89" s="17">
        <f>"A"</f>
        <v/>
      </c>
      <c r="F89" s="17">
        <f>IF($B89="","",IF(COUNTIF(tblAnahtarA[Norm],$B89)&gt;1,"EVET","HAYIR"))</f>
        <v/>
      </c>
      <c r="G89" s="17">
        <f>IF($A89="","",ROW()-ROW($A$5))</f>
        <v/>
      </c>
      <c r="I89" s="7">
        <f>IF(HAKEDIS!A89="","",HAKEDIS!A89)</f>
        <v/>
      </c>
      <c r="J89" s="17">
        <f>UPPER(TRIM(SUBSTITUTE($I89," ","")))</f>
        <v/>
      </c>
      <c r="K89" s="17">
        <f>IF($J89="",0,LEN($J89))</f>
        <v/>
      </c>
      <c r="L89" s="17">
        <f>IF($J89="","",LEFT($J89,tyk_ikincilUzunluk))</f>
        <v/>
      </c>
      <c r="M89" s="17">
        <f>"B"</f>
        <v/>
      </c>
      <c r="N89" s="17">
        <f>IF($J89="","",IF(COUNTIF(tblAnahtarB[NormB],$J89)&gt;1,"EVET","HAYIR"))</f>
        <v/>
      </c>
      <c r="O89" s="17">
        <f>IF($I89="","",ROW()-ROW($I$5))</f>
        <v/>
      </c>
    </row>
    <row r="90">
      <c r="A90" s="7">
        <f>IF(GIRDI!A90="","",GIRDI!A90)</f>
        <v/>
      </c>
      <c r="B90" s="17">
        <f>UPPER(TRIM(SUBSTITUTE($A90," ","")))</f>
        <v/>
      </c>
      <c r="C90" s="17">
        <f>IF($B90="",0,LEN($B90))</f>
        <v/>
      </c>
      <c r="D90" s="17">
        <f>IF($B90="","",LEFT($B90,tyk_ikincilUzunluk))</f>
        <v/>
      </c>
      <c r="E90" s="17">
        <f>"A"</f>
        <v/>
      </c>
      <c r="F90" s="17">
        <f>IF($B90="","",IF(COUNTIF(tblAnahtarA[Norm],$B90)&gt;1,"EVET","HAYIR"))</f>
        <v/>
      </c>
      <c r="G90" s="17">
        <f>IF($A90="","",ROW()-ROW($A$5))</f>
        <v/>
      </c>
      <c r="I90" s="7">
        <f>IF(HAKEDIS!A90="","",HAKEDIS!A90)</f>
        <v/>
      </c>
      <c r="J90" s="17">
        <f>UPPER(TRIM(SUBSTITUTE($I90," ","")))</f>
        <v/>
      </c>
      <c r="K90" s="17">
        <f>IF($J90="",0,LEN($J90))</f>
        <v/>
      </c>
      <c r="L90" s="17">
        <f>IF($J90="","",LEFT($J90,tyk_ikincilUzunluk))</f>
        <v/>
      </c>
      <c r="M90" s="17">
        <f>"B"</f>
        <v/>
      </c>
      <c r="N90" s="17">
        <f>IF($J90="","",IF(COUNTIF(tblAnahtarB[NormB],$J90)&gt;1,"EVET","HAYIR"))</f>
        <v/>
      </c>
      <c r="O90" s="17">
        <f>IF($I90="","",ROW()-ROW($I$5))</f>
        <v/>
      </c>
    </row>
    <row r="91">
      <c r="A91" s="7">
        <f>IF(GIRDI!A91="","",GIRDI!A91)</f>
        <v/>
      </c>
      <c r="B91" s="17">
        <f>UPPER(TRIM(SUBSTITUTE($A91," ","")))</f>
        <v/>
      </c>
      <c r="C91" s="17">
        <f>IF($B91="",0,LEN($B91))</f>
        <v/>
      </c>
      <c r="D91" s="17">
        <f>IF($B91="","",LEFT($B91,tyk_ikincilUzunluk))</f>
        <v/>
      </c>
      <c r="E91" s="17">
        <f>"A"</f>
        <v/>
      </c>
      <c r="F91" s="17">
        <f>IF($B91="","",IF(COUNTIF(tblAnahtarA[Norm],$B91)&gt;1,"EVET","HAYIR"))</f>
        <v/>
      </c>
      <c r="G91" s="17">
        <f>IF($A91="","",ROW()-ROW($A$5))</f>
        <v/>
      </c>
      <c r="I91" s="7">
        <f>IF(HAKEDIS!A91="","",HAKEDIS!A91)</f>
        <v/>
      </c>
      <c r="J91" s="17">
        <f>UPPER(TRIM(SUBSTITUTE($I91," ","")))</f>
        <v/>
      </c>
      <c r="K91" s="17">
        <f>IF($J91="",0,LEN($J91))</f>
        <v/>
      </c>
      <c r="L91" s="17">
        <f>IF($J91="","",LEFT($J91,tyk_ikincilUzunluk))</f>
        <v/>
      </c>
      <c r="M91" s="17">
        <f>"B"</f>
        <v/>
      </c>
      <c r="N91" s="17">
        <f>IF($J91="","",IF(COUNTIF(tblAnahtarB[NormB],$J91)&gt;1,"EVET","HAYIR"))</f>
        <v/>
      </c>
      <c r="O91" s="17">
        <f>IF($I91="","",ROW()-ROW($I$5))</f>
        <v/>
      </c>
    </row>
    <row r="92">
      <c r="A92" s="7">
        <f>IF(GIRDI!A92="","",GIRDI!A92)</f>
        <v/>
      </c>
      <c r="B92" s="17">
        <f>UPPER(TRIM(SUBSTITUTE($A92," ","")))</f>
        <v/>
      </c>
      <c r="C92" s="17">
        <f>IF($B92="",0,LEN($B92))</f>
        <v/>
      </c>
      <c r="D92" s="17">
        <f>IF($B92="","",LEFT($B92,tyk_ikincilUzunluk))</f>
        <v/>
      </c>
      <c r="E92" s="17">
        <f>"A"</f>
        <v/>
      </c>
      <c r="F92" s="17">
        <f>IF($B92="","",IF(COUNTIF(tblAnahtarA[Norm],$B92)&gt;1,"EVET","HAYIR"))</f>
        <v/>
      </c>
      <c r="G92" s="17">
        <f>IF($A92="","",ROW()-ROW($A$5))</f>
        <v/>
      </c>
      <c r="I92" s="7">
        <f>IF(HAKEDIS!A92="","",HAKEDIS!A92)</f>
        <v/>
      </c>
      <c r="J92" s="17">
        <f>UPPER(TRIM(SUBSTITUTE($I92," ","")))</f>
        <v/>
      </c>
      <c r="K92" s="17">
        <f>IF($J92="",0,LEN($J92))</f>
        <v/>
      </c>
      <c r="L92" s="17">
        <f>IF($J92="","",LEFT($J92,tyk_ikincilUzunluk))</f>
        <v/>
      </c>
      <c r="M92" s="17">
        <f>"B"</f>
        <v/>
      </c>
      <c r="N92" s="17">
        <f>IF($J92="","",IF(COUNTIF(tblAnahtarB[NormB],$J92)&gt;1,"EVET","HAYIR"))</f>
        <v/>
      </c>
      <c r="O92" s="17">
        <f>IF($I92="","",ROW()-ROW($I$5))</f>
        <v/>
      </c>
    </row>
    <row r="93">
      <c r="A93" s="7">
        <f>IF(GIRDI!A93="","",GIRDI!A93)</f>
        <v/>
      </c>
      <c r="B93" s="17">
        <f>UPPER(TRIM(SUBSTITUTE($A93," ","")))</f>
        <v/>
      </c>
      <c r="C93" s="17">
        <f>IF($B93="",0,LEN($B93))</f>
        <v/>
      </c>
      <c r="D93" s="17">
        <f>IF($B93="","",LEFT($B93,tyk_ikincilUzunluk))</f>
        <v/>
      </c>
      <c r="E93" s="17">
        <f>"A"</f>
        <v/>
      </c>
      <c r="F93" s="17">
        <f>IF($B93="","",IF(COUNTIF(tblAnahtarA[Norm],$B93)&gt;1,"EVET","HAYIR"))</f>
        <v/>
      </c>
      <c r="G93" s="17">
        <f>IF($A93="","",ROW()-ROW($A$5))</f>
        <v/>
      </c>
      <c r="I93" s="7">
        <f>IF(HAKEDIS!A93="","",HAKEDIS!A93)</f>
        <v/>
      </c>
      <c r="J93" s="17">
        <f>UPPER(TRIM(SUBSTITUTE($I93," ","")))</f>
        <v/>
      </c>
      <c r="K93" s="17">
        <f>IF($J93="",0,LEN($J93))</f>
        <v/>
      </c>
      <c r="L93" s="17">
        <f>IF($J93="","",LEFT($J93,tyk_ikincilUzunluk))</f>
        <v/>
      </c>
      <c r="M93" s="17">
        <f>"B"</f>
        <v/>
      </c>
      <c r="N93" s="17">
        <f>IF($J93="","",IF(COUNTIF(tblAnahtarB[NormB],$J93)&gt;1,"EVET","HAYIR"))</f>
        <v/>
      </c>
      <c r="O93" s="17">
        <f>IF($I93="","",ROW()-ROW($I$5))</f>
        <v/>
      </c>
    </row>
    <row r="94">
      <c r="A94" s="7">
        <f>IF(GIRDI!A94="","",GIRDI!A94)</f>
        <v/>
      </c>
      <c r="B94" s="17">
        <f>UPPER(TRIM(SUBSTITUTE($A94," ","")))</f>
        <v/>
      </c>
      <c r="C94" s="17">
        <f>IF($B94="",0,LEN($B94))</f>
        <v/>
      </c>
      <c r="D94" s="17">
        <f>IF($B94="","",LEFT($B94,tyk_ikincilUzunluk))</f>
        <v/>
      </c>
      <c r="E94" s="17">
        <f>"A"</f>
        <v/>
      </c>
      <c r="F94" s="17">
        <f>IF($B94="","",IF(COUNTIF(tblAnahtarA[Norm],$B94)&gt;1,"EVET","HAYIR"))</f>
        <v/>
      </c>
      <c r="G94" s="17">
        <f>IF($A94="","",ROW()-ROW($A$5))</f>
        <v/>
      </c>
      <c r="I94" s="7">
        <f>IF(HAKEDIS!A94="","",HAKEDIS!A94)</f>
        <v/>
      </c>
      <c r="J94" s="17">
        <f>UPPER(TRIM(SUBSTITUTE($I94," ","")))</f>
        <v/>
      </c>
      <c r="K94" s="17">
        <f>IF($J94="",0,LEN($J94))</f>
        <v/>
      </c>
      <c r="L94" s="17">
        <f>IF($J94="","",LEFT($J94,tyk_ikincilUzunluk))</f>
        <v/>
      </c>
      <c r="M94" s="17">
        <f>"B"</f>
        <v/>
      </c>
      <c r="N94" s="17">
        <f>IF($J94="","",IF(COUNTIF(tblAnahtarB[NormB],$J94)&gt;1,"EVET","HAYIR"))</f>
        <v/>
      </c>
      <c r="O94" s="17">
        <f>IF($I94="","",ROW()-ROW($I$5))</f>
        <v/>
      </c>
    </row>
    <row r="95">
      <c r="A95" s="7">
        <f>IF(GIRDI!A95="","",GIRDI!A95)</f>
        <v/>
      </c>
      <c r="B95" s="17">
        <f>UPPER(TRIM(SUBSTITUTE($A95," ","")))</f>
        <v/>
      </c>
      <c r="C95" s="17">
        <f>IF($B95="",0,LEN($B95))</f>
        <v/>
      </c>
      <c r="D95" s="17">
        <f>IF($B95="","",LEFT($B95,tyk_ikincilUzunluk))</f>
        <v/>
      </c>
      <c r="E95" s="17">
        <f>"A"</f>
        <v/>
      </c>
      <c r="F95" s="17">
        <f>IF($B95="","",IF(COUNTIF(tblAnahtarA[Norm],$B95)&gt;1,"EVET","HAYIR"))</f>
        <v/>
      </c>
      <c r="G95" s="17">
        <f>IF($A95="","",ROW()-ROW($A$5))</f>
        <v/>
      </c>
      <c r="I95" s="7">
        <f>IF(HAKEDIS!A95="","",HAKEDIS!A95)</f>
        <v/>
      </c>
      <c r="J95" s="17">
        <f>UPPER(TRIM(SUBSTITUTE($I95," ","")))</f>
        <v/>
      </c>
      <c r="K95" s="17">
        <f>IF($J95="",0,LEN($J95))</f>
        <v/>
      </c>
      <c r="L95" s="17">
        <f>IF($J95="","",LEFT($J95,tyk_ikincilUzunluk))</f>
        <v/>
      </c>
      <c r="M95" s="17">
        <f>"B"</f>
        <v/>
      </c>
      <c r="N95" s="17">
        <f>IF($J95="","",IF(COUNTIF(tblAnahtarB[NormB],$J95)&gt;1,"EVET","HAYIR"))</f>
        <v/>
      </c>
      <c r="O95" s="17">
        <f>IF($I95="","",ROW()-ROW($I$5))</f>
        <v/>
      </c>
    </row>
    <row r="96">
      <c r="A96" s="7">
        <f>IF(GIRDI!A96="","",GIRDI!A96)</f>
        <v/>
      </c>
      <c r="B96" s="17">
        <f>UPPER(TRIM(SUBSTITUTE($A96," ","")))</f>
        <v/>
      </c>
      <c r="C96" s="17">
        <f>IF($B96="",0,LEN($B96))</f>
        <v/>
      </c>
      <c r="D96" s="17">
        <f>IF($B96="","",LEFT($B96,tyk_ikincilUzunluk))</f>
        <v/>
      </c>
      <c r="E96" s="17">
        <f>"A"</f>
        <v/>
      </c>
      <c r="F96" s="17">
        <f>IF($B96="","",IF(COUNTIF(tblAnahtarA[Norm],$B96)&gt;1,"EVET","HAYIR"))</f>
        <v/>
      </c>
      <c r="G96" s="17">
        <f>IF($A96="","",ROW()-ROW($A$5))</f>
        <v/>
      </c>
      <c r="I96" s="7">
        <f>IF(HAKEDIS!A96="","",HAKEDIS!A96)</f>
        <v/>
      </c>
      <c r="J96" s="17">
        <f>UPPER(TRIM(SUBSTITUTE($I96," ","")))</f>
        <v/>
      </c>
      <c r="K96" s="17">
        <f>IF($J96="",0,LEN($J96))</f>
        <v/>
      </c>
      <c r="L96" s="17">
        <f>IF($J96="","",LEFT($J96,tyk_ikincilUzunluk))</f>
        <v/>
      </c>
      <c r="M96" s="17">
        <f>"B"</f>
        <v/>
      </c>
      <c r="N96" s="17">
        <f>IF($J96="","",IF(COUNTIF(tblAnahtarB[NormB],$J96)&gt;1,"EVET","HAYIR"))</f>
        <v/>
      </c>
      <c r="O96" s="17">
        <f>IF($I96="","",ROW()-ROW($I$5))</f>
        <v/>
      </c>
    </row>
    <row r="97">
      <c r="A97" s="7">
        <f>IF(GIRDI!A97="","",GIRDI!A97)</f>
        <v/>
      </c>
      <c r="B97" s="17">
        <f>UPPER(TRIM(SUBSTITUTE($A97," ","")))</f>
        <v/>
      </c>
      <c r="C97" s="17">
        <f>IF($B97="",0,LEN($B97))</f>
        <v/>
      </c>
      <c r="D97" s="17">
        <f>IF($B97="","",LEFT($B97,tyk_ikincilUzunluk))</f>
        <v/>
      </c>
      <c r="E97" s="17">
        <f>"A"</f>
        <v/>
      </c>
      <c r="F97" s="17">
        <f>IF($B97="","",IF(COUNTIF(tblAnahtarA[Norm],$B97)&gt;1,"EVET","HAYIR"))</f>
        <v/>
      </c>
      <c r="G97" s="17">
        <f>IF($A97="","",ROW()-ROW($A$5))</f>
        <v/>
      </c>
      <c r="I97" s="7">
        <f>IF(HAKEDIS!A97="","",HAKEDIS!A97)</f>
        <v/>
      </c>
      <c r="J97" s="17">
        <f>UPPER(TRIM(SUBSTITUTE($I97," ","")))</f>
        <v/>
      </c>
      <c r="K97" s="17">
        <f>IF($J97="",0,LEN($J97))</f>
        <v/>
      </c>
      <c r="L97" s="17">
        <f>IF($J97="","",LEFT($J97,tyk_ikincilUzunluk))</f>
        <v/>
      </c>
      <c r="M97" s="17">
        <f>"B"</f>
        <v/>
      </c>
      <c r="N97" s="17">
        <f>IF($J97="","",IF(COUNTIF(tblAnahtarB[NormB],$J97)&gt;1,"EVET","HAYIR"))</f>
        <v/>
      </c>
      <c r="O97" s="17">
        <f>IF($I97="","",ROW()-ROW($I$5))</f>
        <v/>
      </c>
    </row>
    <row r="98">
      <c r="A98" s="7">
        <f>IF(GIRDI!A98="","",GIRDI!A98)</f>
        <v/>
      </c>
      <c r="B98" s="17">
        <f>UPPER(TRIM(SUBSTITUTE($A98," ","")))</f>
        <v/>
      </c>
      <c r="C98" s="17">
        <f>IF($B98="",0,LEN($B98))</f>
        <v/>
      </c>
      <c r="D98" s="17">
        <f>IF($B98="","",LEFT($B98,tyk_ikincilUzunluk))</f>
        <v/>
      </c>
      <c r="E98" s="17">
        <f>"A"</f>
        <v/>
      </c>
      <c r="F98" s="17">
        <f>IF($B98="","",IF(COUNTIF(tblAnahtarA[Norm],$B98)&gt;1,"EVET","HAYIR"))</f>
        <v/>
      </c>
      <c r="G98" s="17">
        <f>IF($A98="","",ROW()-ROW($A$5))</f>
        <v/>
      </c>
      <c r="I98" s="7">
        <f>IF(HAKEDIS!A98="","",HAKEDIS!A98)</f>
        <v/>
      </c>
      <c r="J98" s="17">
        <f>UPPER(TRIM(SUBSTITUTE($I98," ","")))</f>
        <v/>
      </c>
      <c r="K98" s="17">
        <f>IF($J98="",0,LEN($J98))</f>
        <v/>
      </c>
      <c r="L98" s="17">
        <f>IF($J98="","",LEFT($J98,tyk_ikincilUzunluk))</f>
        <v/>
      </c>
      <c r="M98" s="17">
        <f>"B"</f>
        <v/>
      </c>
      <c r="N98" s="17">
        <f>IF($J98="","",IF(COUNTIF(tblAnahtarB[NormB],$J98)&gt;1,"EVET","HAYIR"))</f>
        <v/>
      </c>
      <c r="O98" s="17">
        <f>IF($I98="","",ROW()-ROW($I$5))</f>
        <v/>
      </c>
    </row>
    <row r="99">
      <c r="A99" s="7">
        <f>IF(GIRDI!A99="","",GIRDI!A99)</f>
        <v/>
      </c>
      <c r="B99" s="17">
        <f>UPPER(TRIM(SUBSTITUTE($A99," ","")))</f>
        <v/>
      </c>
      <c r="C99" s="17">
        <f>IF($B99="",0,LEN($B99))</f>
        <v/>
      </c>
      <c r="D99" s="17">
        <f>IF($B99="","",LEFT($B99,tyk_ikincilUzunluk))</f>
        <v/>
      </c>
      <c r="E99" s="17">
        <f>"A"</f>
        <v/>
      </c>
      <c r="F99" s="17">
        <f>IF($B99="","",IF(COUNTIF(tblAnahtarA[Norm],$B99)&gt;1,"EVET","HAYIR"))</f>
        <v/>
      </c>
      <c r="G99" s="17">
        <f>IF($A99="","",ROW()-ROW($A$5))</f>
        <v/>
      </c>
      <c r="I99" s="7">
        <f>IF(HAKEDIS!A99="","",HAKEDIS!A99)</f>
        <v/>
      </c>
      <c r="J99" s="17">
        <f>UPPER(TRIM(SUBSTITUTE($I99," ","")))</f>
        <v/>
      </c>
      <c r="K99" s="17">
        <f>IF($J99="",0,LEN($J99))</f>
        <v/>
      </c>
      <c r="L99" s="17">
        <f>IF($J99="","",LEFT($J99,tyk_ikincilUzunluk))</f>
        <v/>
      </c>
      <c r="M99" s="17">
        <f>"B"</f>
        <v/>
      </c>
      <c r="N99" s="17">
        <f>IF($J99="","",IF(COUNTIF(tblAnahtarB[NormB],$J99)&gt;1,"EVET","HAYIR"))</f>
        <v/>
      </c>
      <c r="O99" s="17">
        <f>IF($I99="","",ROW()-ROW($I$5))</f>
        <v/>
      </c>
    </row>
    <row r="100">
      <c r="A100" s="7">
        <f>IF(GIRDI!A100="","",GIRDI!A100)</f>
        <v/>
      </c>
      <c r="B100" s="17">
        <f>UPPER(TRIM(SUBSTITUTE($A100," ","")))</f>
        <v/>
      </c>
      <c r="C100" s="17">
        <f>IF($B100="",0,LEN($B100))</f>
        <v/>
      </c>
      <c r="D100" s="17">
        <f>IF($B100="","",LEFT($B100,tyk_ikincilUzunluk))</f>
        <v/>
      </c>
      <c r="E100" s="17">
        <f>"A"</f>
        <v/>
      </c>
      <c r="F100" s="17">
        <f>IF($B100="","",IF(COUNTIF(tblAnahtarA[Norm],$B100)&gt;1,"EVET","HAYIR"))</f>
        <v/>
      </c>
      <c r="G100" s="17">
        <f>IF($A100="","",ROW()-ROW($A$5))</f>
        <v/>
      </c>
      <c r="I100" s="7">
        <f>IF(HAKEDIS!A100="","",HAKEDIS!A100)</f>
        <v/>
      </c>
      <c r="J100" s="17">
        <f>UPPER(TRIM(SUBSTITUTE($I100," ","")))</f>
        <v/>
      </c>
      <c r="K100" s="17">
        <f>IF($J100="",0,LEN($J100))</f>
        <v/>
      </c>
      <c r="L100" s="17">
        <f>IF($J100="","",LEFT($J100,tyk_ikincilUzunluk))</f>
        <v/>
      </c>
      <c r="M100" s="17">
        <f>"B"</f>
        <v/>
      </c>
      <c r="N100" s="17">
        <f>IF($J100="","",IF(COUNTIF(tblAnahtarB[NormB],$J100)&gt;1,"EVET","HAYIR"))</f>
        <v/>
      </c>
      <c r="O100" s="17">
        <f>IF($I100="","",ROW()-ROW($I$5))</f>
        <v/>
      </c>
    </row>
    <row r="101">
      <c r="A101" s="7">
        <f>IF(GIRDI!A101="","",GIRDI!A101)</f>
        <v/>
      </c>
      <c r="B101" s="17">
        <f>UPPER(TRIM(SUBSTITUTE($A101," ","")))</f>
        <v/>
      </c>
      <c r="C101" s="17">
        <f>IF($B101="",0,LEN($B101))</f>
        <v/>
      </c>
      <c r="D101" s="17">
        <f>IF($B101="","",LEFT($B101,tyk_ikincilUzunluk))</f>
        <v/>
      </c>
      <c r="E101" s="17">
        <f>"A"</f>
        <v/>
      </c>
      <c r="F101" s="17">
        <f>IF($B101="","",IF(COUNTIF(tblAnahtarA[Norm],$B101)&gt;1,"EVET","HAYIR"))</f>
        <v/>
      </c>
      <c r="G101" s="17">
        <f>IF($A101="","",ROW()-ROW($A$5))</f>
        <v/>
      </c>
      <c r="I101" s="7">
        <f>IF(HAKEDIS!A101="","",HAKEDIS!A101)</f>
        <v/>
      </c>
      <c r="J101" s="17">
        <f>UPPER(TRIM(SUBSTITUTE($I101," ","")))</f>
        <v/>
      </c>
      <c r="K101" s="17">
        <f>IF($J101="",0,LEN($J101))</f>
        <v/>
      </c>
      <c r="L101" s="17">
        <f>IF($J101="","",LEFT($J101,tyk_ikincilUzunluk))</f>
        <v/>
      </c>
      <c r="M101" s="17">
        <f>"B"</f>
        <v/>
      </c>
      <c r="N101" s="17">
        <f>IF($J101="","",IF(COUNTIF(tblAnahtarB[NormB],$J101)&gt;1,"EVET","HAYIR"))</f>
        <v/>
      </c>
      <c r="O101" s="17">
        <f>IF($I101="","",ROW()-ROW($I$5))</f>
        <v/>
      </c>
    </row>
    <row r="102">
      <c r="A102" s="7">
        <f>IF(GIRDI!A102="","",GIRDI!A102)</f>
        <v/>
      </c>
      <c r="B102" s="17">
        <f>UPPER(TRIM(SUBSTITUTE($A102," ","")))</f>
        <v/>
      </c>
      <c r="C102" s="17">
        <f>IF($B102="",0,LEN($B102))</f>
        <v/>
      </c>
      <c r="D102" s="17">
        <f>IF($B102="","",LEFT($B102,tyk_ikincilUzunluk))</f>
        <v/>
      </c>
      <c r="E102" s="17">
        <f>"A"</f>
        <v/>
      </c>
      <c r="F102" s="17">
        <f>IF($B102="","",IF(COUNTIF(tblAnahtarA[Norm],$B102)&gt;1,"EVET","HAYIR"))</f>
        <v/>
      </c>
      <c r="G102" s="17">
        <f>IF($A102="","",ROW()-ROW($A$5))</f>
        <v/>
      </c>
      <c r="I102" s="7">
        <f>IF(HAKEDIS!A102="","",HAKEDIS!A102)</f>
        <v/>
      </c>
      <c r="J102" s="17">
        <f>UPPER(TRIM(SUBSTITUTE($I102," ","")))</f>
        <v/>
      </c>
      <c r="K102" s="17">
        <f>IF($J102="",0,LEN($J102))</f>
        <v/>
      </c>
      <c r="L102" s="17">
        <f>IF($J102="","",LEFT($J102,tyk_ikincilUzunluk))</f>
        <v/>
      </c>
      <c r="M102" s="17">
        <f>"B"</f>
        <v/>
      </c>
      <c r="N102" s="17">
        <f>IF($J102="","",IF(COUNTIF(tblAnahtarB[NormB],$J102)&gt;1,"EVET","HAYIR"))</f>
        <v/>
      </c>
      <c r="O102" s="17">
        <f>IF($I102="","",ROW()-ROW($I$5))</f>
        <v/>
      </c>
    </row>
    <row r="103">
      <c r="A103" s="7">
        <f>IF(GIRDI!A103="","",GIRDI!A103)</f>
        <v/>
      </c>
      <c r="B103" s="17">
        <f>UPPER(TRIM(SUBSTITUTE($A103," ","")))</f>
        <v/>
      </c>
      <c r="C103" s="17">
        <f>IF($B103="",0,LEN($B103))</f>
        <v/>
      </c>
      <c r="D103" s="17">
        <f>IF($B103="","",LEFT($B103,tyk_ikincilUzunluk))</f>
        <v/>
      </c>
      <c r="E103" s="17">
        <f>"A"</f>
        <v/>
      </c>
      <c r="F103" s="17">
        <f>IF($B103="","",IF(COUNTIF(tblAnahtarA[Norm],$B103)&gt;1,"EVET","HAYIR"))</f>
        <v/>
      </c>
      <c r="G103" s="17">
        <f>IF($A103="","",ROW()-ROW($A$5))</f>
        <v/>
      </c>
      <c r="I103" s="7">
        <f>IF(HAKEDIS!A103="","",HAKEDIS!A103)</f>
        <v/>
      </c>
      <c r="J103" s="17">
        <f>UPPER(TRIM(SUBSTITUTE($I103," ","")))</f>
        <v/>
      </c>
      <c r="K103" s="17">
        <f>IF($J103="",0,LEN($J103))</f>
        <v/>
      </c>
      <c r="L103" s="17">
        <f>IF($J103="","",LEFT($J103,tyk_ikincilUzunluk))</f>
        <v/>
      </c>
      <c r="M103" s="17">
        <f>"B"</f>
        <v/>
      </c>
      <c r="N103" s="17">
        <f>IF($J103="","",IF(COUNTIF(tblAnahtarB[NormB],$J103)&gt;1,"EVET","HAYIR"))</f>
        <v/>
      </c>
      <c r="O103" s="17">
        <f>IF($I103="","",ROW()-ROW($I$5))</f>
        <v/>
      </c>
    </row>
    <row r="104">
      <c r="A104" s="7">
        <f>IF(GIRDI!A104="","",GIRDI!A104)</f>
        <v/>
      </c>
      <c r="B104" s="17">
        <f>UPPER(TRIM(SUBSTITUTE($A104," ","")))</f>
        <v/>
      </c>
      <c r="C104" s="17">
        <f>IF($B104="",0,LEN($B104))</f>
        <v/>
      </c>
      <c r="D104" s="17">
        <f>IF($B104="","",LEFT($B104,tyk_ikincilUzunluk))</f>
        <v/>
      </c>
      <c r="E104" s="17">
        <f>"A"</f>
        <v/>
      </c>
      <c r="F104" s="17">
        <f>IF($B104="","",IF(COUNTIF(tblAnahtarA[Norm],$B104)&gt;1,"EVET","HAYIR"))</f>
        <v/>
      </c>
      <c r="G104" s="17">
        <f>IF($A104="","",ROW()-ROW($A$5))</f>
        <v/>
      </c>
      <c r="I104" s="7">
        <f>IF(HAKEDIS!A104="","",HAKEDIS!A104)</f>
        <v/>
      </c>
      <c r="J104" s="17">
        <f>UPPER(TRIM(SUBSTITUTE($I104," ","")))</f>
        <v/>
      </c>
      <c r="K104" s="17">
        <f>IF($J104="",0,LEN($J104))</f>
        <v/>
      </c>
      <c r="L104" s="17">
        <f>IF($J104="","",LEFT($J104,tyk_ikincilUzunluk))</f>
        <v/>
      </c>
      <c r="M104" s="17">
        <f>"B"</f>
        <v/>
      </c>
      <c r="N104" s="17">
        <f>IF($J104="","",IF(COUNTIF(tblAnahtarB[NormB],$J104)&gt;1,"EVET","HAYIR"))</f>
        <v/>
      </c>
      <c r="O104" s="17">
        <f>IF($I104="","",ROW()-ROW($I$5))</f>
        <v/>
      </c>
    </row>
    <row r="105">
      <c r="A105" s="7">
        <f>IF(GIRDI!A105="","",GIRDI!A105)</f>
        <v/>
      </c>
      <c r="B105" s="17">
        <f>UPPER(TRIM(SUBSTITUTE($A105," ","")))</f>
        <v/>
      </c>
      <c r="C105" s="17">
        <f>IF($B105="",0,LEN($B105))</f>
        <v/>
      </c>
      <c r="D105" s="17">
        <f>IF($B105="","",LEFT($B105,tyk_ikincilUzunluk))</f>
        <v/>
      </c>
      <c r="E105" s="17">
        <f>"A"</f>
        <v/>
      </c>
      <c r="F105" s="17">
        <f>IF($B105="","",IF(COUNTIF(tblAnahtarA[Norm],$B105)&gt;1,"EVET","HAYIR"))</f>
        <v/>
      </c>
      <c r="G105" s="17">
        <f>IF($A105="","",ROW()-ROW($A$5))</f>
        <v/>
      </c>
      <c r="I105" s="7">
        <f>IF(HAKEDIS!A105="","",HAKEDIS!A105)</f>
        <v/>
      </c>
      <c r="J105" s="17">
        <f>UPPER(TRIM(SUBSTITUTE($I105," ","")))</f>
        <v/>
      </c>
      <c r="K105" s="17">
        <f>IF($J105="",0,LEN($J105))</f>
        <v/>
      </c>
      <c r="L105" s="17">
        <f>IF($J105="","",LEFT($J105,tyk_ikincilUzunluk))</f>
        <v/>
      </c>
      <c r="M105" s="17">
        <f>"B"</f>
        <v/>
      </c>
      <c r="N105" s="17">
        <f>IF($J105="","",IF(COUNTIF(tblAnahtarB[NormB],$J105)&gt;1,"EVET","HAYIR"))</f>
        <v/>
      </c>
      <c r="O105" s="17">
        <f>IF($I105="","",ROW()-ROW($I$5))</f>
        <v/>
      </c>
    </row>
    <row r="106">
      <c r="A106" s="7">
        <f>IF(GIRDI!A106="","",GIRDI!A106)</f>
        <v/>
      </c>
      <c r="B106" s="17">
        <f>UPPER(TRIM(SUBSTITUTE($A106," ","")))</f>
        <v/>
      </c>
      <c r="C106" s="17">
        <f>IF($B106="",0,LEN($B106))</f>
        <v/>
      </c>
      <c r="D106" s="17">
        <f>IF($B106="","",LEFT($B106,tyk_ikincilUzunluk))</f>
        <v/>
      </c>
      <c r="E106" s="17">
        <f>"A"</f>
        <v/>
      </c>
      <c r="F106" s="17">
        <f>IF($B106="","",IF(COUNTIF(tblAnahtarA[Norm],$B106)&gt;1,"EVET","HAYIR"))</f>
        <v/>
      </c>
      <c r="G106" s="17">
        <f>IF($A106="","",ROW()-ROW($A$5))</f>
        <v/>
      </c>
      <c r="I106" s="7">
        <f>IF(HAKEDIS!A106="","",HAKEDIS!A106)</f>
        <v/>
      </c>
      <c r="J106" s="17">
        <f>UPPER(TRIM(SUBSTITUTE($I106," ","")))</f>
        <v/>
      </c>
      <c r="K106" s="17">
        <f>IF($J106="",0,LEN($J106))</f>
        <v/>
      </c>
      <c r="L106" s="17">
        <f>IF($J106="","",LEFT($J106,tyk_ikincilUzunluk))</f>
        <v/>
      </c>
      <c r="M106" s="17">
        <f>"B"</f>
        <v/>
      </c>
      <c r="N106" s="17">
        <f>IF($J106="","",IF(COUNTIF(tblAnahtarB[NormB],$J106)&gt;1,"EVET","HAYIR"))</f>
        <v/>
      </c>
      <c r="O106" s="17">
        <f>IF($I106="","",ROW()-ROW($I$5))</f>
        <v/>
      </c>
    </row>
    <row r="107">
      <c r="A107" s="7">
        <f>IF(GIRDI!A107="","",GIRDI!A107)</f>
        <v/>
      </c>
      <c r="B107" s="17">
        <f>UPPER(TRIM(SUBSTITUTE($A107," ","")))</f>
        <v/>
      </c>
      <c r="C107" s="17">
        <f>IF($B107="",0,LEN($B107))</f>
        <v/>
      </c>
      <c r="D107" s="17">
        <f>IF($B107="","",LEFT($B107,tyk_ikincilUzunluk))</f>
        <v/>
      </c>
      <c r="E107" s="17">
        <f>"A"</f>
        <v/>
      </c>
      <c r="F107" s="17">
        <f>IF($B107="","",IF(COUNTIF(tblAnahtarA[Norm],$B107)&gt;1,"EVET","HAYIR"))</f>
        <v/>
      </c>
      <c r="G107" s="17">
        <f>IF($A107="","",ROW()-ROW($A$5))</f>
        <v/>
      </c>
      <c r="I107" s="7">
        <f>IF(HAKEDIS!A107="","",HAKEDIS!A107)</f>
        <v/>
      </c>
      <c r="J107" s="17">
        <f>UPPER(TRIM(SUBSTITUTE($I107," ","")))</f>
        <v/>
      </c>
      <c r="K107" s="17">
        <f>IF($J107="",0,LEN($J107))</f>
        <v/>
      </c>
      <c r="L107" s="17">
        <f>IF($J107="","",LEFT($J107,tyk_ikincilUzunluk))</f>
        <v/>
      </c>
      <c r="M107" s="17">
        <f>"B"</f>
        <v/>
      </c>
      <c r="N107" s="17">
        <f>IF($J107="","",IF(COUNTIF(tblAnahtarB[NormB],$J107)&gt;1,"EVET","HAYIR"))</f>
        <v/>
      </c>
      <c r="O107" s="17">
        <f>IF($I107="","",ROW()-ROW($I$5))</f>
        <v/>
      </c>
    </row>
    <row r="108">
      <c r="A108" s="7">
        <f>IF(GIRDI!A108="","",GIRDI!A108)</f>
        <v/>
      </c>
      <c r="B108" s="17">
        <f>UPPER(TRIM(SUBSTITUTE($A108," ","")))</f>
        <v/>
      </c>
      <c r="C108" s="17">
        <f>IF($B108="",0,LEN($B108))</f>
        <v/>
      </c>
      <c r="D108" s="17">
        <f>IF($B108="","",LEFT($B108,tyk_ikincilUzunluk))</f>
        <v/>
      </c>
      <c r="E108" s="17">
        <f>"A"</f>
        <v/>
      </c>
      <c r="F108" s="17">
        <f>IF($B108="","",IF(COUNTIF(tblAnahtarA[Norm],$B108)&gt;1,"EVET","HAYIR"))</f>
        <v/>
      </c>
      <c r="G108" s="17">
        <f>IF($A108="","",ROW()-ROW($A$5))</f>
        <v/>
      </c>
      <c r="I108" s="7">
        <f>IF(HAKEDIS!A108="","",HAKEDIS!A108)</f>
        <v/>
      </c>
      <c r="J108" s="17">
        <f>UPPER(TRIM(SUBSTITUTE($I108," ","")))</f>
        <v/>
      </c>
      <c r="K108" s="17">
        <f>IF($J108="",0,LEN($J108))</f>
        <v/>
      </c>
      <c r="L108" s="17">
        <f>IF($J108="","",LEFT($J108,tyk_ikincilUzunluk))</f>
        <v/>
      </c>
      <c r="M108" s="17">
        <f>"B"</f>
        <v/>
      </c>
      <c r="N108" s="17">
        <f>IF($J108="","",IF(COUNTIF(tblAnahtarB[NormB],$J108)&gt;1,"EVET","HAYIR"))</f>
        <v/>
      </c>
      <c r="O108" s="17">
        <f>IF($I108="","",ROW()-ROW($I$5))</f>
        <v/>
      </c>
    </row>
    <row r="109">
      <c r="A109" s="7">
        <f>IF(GIRDI!A109="","",GIRDI!A109)</f>
        <v/>
      </c>
      <c r="B109" s="17">
        <f>UPPER(TRIM(SUBSTITUTE($A109," ","")))</f>
        <v/>
      </c>
      <c r="C109" s="17">
        <f>IF($B109="",0,LEN($B109))</f>
        <v/>
      </c>
      <c r="D109" s="17">
        <f>IF($B109="","",LEFT($B109,tyk_ikincilUzunluk))</f>
        <v/>
      </c>
      <c r="E109" s="17">
        <f>"A"</f>
        <v/>
      </c>
      <c r="F109" s="17">
        <f>IF($B109="","",IF(COUNTIF(tblAnahtarA[Norm],$B109)&gt;1,"EVET","HAYIR"))</f>
        <v/>
      </c>
      <c r="G109" s="17">
        <f>IF($A109="","",ROW()-ROW($A$5))</f>
        <v/>
      </c>
      <c r="I109" s="7">
        <f>IF(HAKEDIS!A109="","",HAKEDIS!A109)</f>
        <v/>
      </c>
      <c r="J109" s="17">
        <f>UPPER(TRIM(SUBSTITUTE($I109," ","")))</f>
        <v/>
      </c>
      <c r="K109" s="17">
        <f>IF($J109="",0,LEN($J109))</f>
        <v/>
      </c>
      <c r="L109" s="17">
        <f>IF($J109="","",LEFT($J109,tyk_ikincilUzunluk))</f>
        <v/>
      </c>
      <c r="M109" s="17">
        <f>"B"</f>
        <v/>
      </c>
      <c r="N109" s="17">
        <f>IF($J109="","",IF(COUNTIF(tblAnahtarB[NormB],$J109)&gt;1,"EVET","HAYIR"))</f>
        <v/>
      </c>
      <c r="O109" s="17">
        <f>IF($I109="","",ROW()-ROW($I$5))</f>
        <v/>
      </c>
    </row>
    <row r="110">
      <c r="A110" s="7">
        <f>IF(GIRDI!A110="","",GIRDI!A110)</f>
        <v/>
      </c>
      <c r="B110" s="17">
        <f>UPPER(TRIM(SUBSTITUTE($A110," ","")))</f>
        <v/>
      </c>
      <c r="C110" s="17">
        <f>IF($B110="",0,LEN($B110))</f>
        <v/>
      </c>
      <c r="D110" s="17">
        <f>IF($B110="","",LEFT($B110,tyk_ikincilUzunluk))</f>
        <v/>
      </c>
      <c r="E110" s="17">
        <f>"A"</f>
        <v/>
      </c>
      <c r="F110" s="17">
        <f>IF($B110="","",IF(COUNTIF(tblAnahtarA[Norm],$B110)&gt;1,"EVET","HAYIR"))</f>
        <v/>
      </c>
      <c r="G110" s="17">
        <f>IF($A110="","",ROW()-ROW($A$5))</f>
        <v/>
      </c>
      <c r="I110" s="7">
        <f>IF(HAKEDIS!A110="","",HAKEDIS!A110)</f>
        <v/>
      </c>
      <c r="J110" s="17">
        <f>UPPER(TRIM(SUBSTITUTE($I110," ","")))</f>
        <v/>
      </c>
      <c r="K110" s="17">
        <f>IF($J110="",0,LEN($J110))</f>
        <v/>
      </c>
      <c r="L110" s="17">
        <f>IF($J110="","",LEFT($J110,tyk_ikincilUzunluk))</f>
        <v/>
      </c>
      <c r="M110" s="17">
        <f>"B"</f>
        <v/>
      </c>
      <c r="N110" s="17">
        <f>IF($J110="","",IF(COUNTIF(tblAnahtarB[NormB],$J110)&gt;1,"EVET","HAYIR"))</f>
        <v/>
      </c>
      <c r="O110" s="17">
        <f>IF($I110="","",ROW()-ROW($I$5))</f>
        <v/>
      </c>
    </row>
    <row r="111">
      <c r="A111" s="7">
        <f>IF(GIRDI!A111="","",GIRDI!A111)</f>
        <v/>
      </c>
      <c r="B111" s="17">
        <f>UPPER(TRIM(SUBSTITUTE($A111," ","")))</f>
        <v/>
      </c>
      <c r="C111" s="17">
        <f>IF($B111="",0,LEN($B111))</f>
        <v/>
      </c>
      <c r="D111" s="17">
        <f>IF($B111="","",LEFT($B111,tyk_ikincilUzunluk))</f>
        <v/>
      </c>
      <c r="E111" s="17">
        <f>"A"</f>
        <v/>
      </c>
      <c r="F111" s="17">
        <f>IF($B111="","",IF(COUNTIF(tblAnahtarA[Norm],$B111)&gt;1,"EVET","HAYIR"))</f>
        <v/>
      </c>
      <c r="G111" s="17">
        <f>IF($A111="","",ROW()-ROW($A$5))</f>
        <v/>
      </c>
      <c r="I111" s="7">
        <f>IF(HAKEDIS!A111="","",HAKEDIS!A111)</f>
        <v/>
      </c>
      <c r="J111" s="17">
        <f>UPPER(TRIM(SUBSTITUTE($I111," ","")))</f>
        <v/>
      </c>
      <c r="K111" s="17">
        <f>IF($J111="",0,LEN($J111))</f>
        <v/>
      </c>
      <c r="L111" s="17">
        <f>IF($J111="","",LEFT($J111,tyk_ikincilUzunluk))</f>
        <v/>
      </c>
      <c r="M111" s="17">
        <f>"B"</f>
        <v/>
      </c>
      <c r="N111" s="17">
        <f>IF($J111="","",IF(COUNTIF(tblAnahtarB[NormB],$J111)&gt;1,"EVET","HAYIR"))</f>
        <v/>
      </c>
      <c r="O111" s="17">
        <f>IF($I111="","",ROW()-ROW($I$5))</f>
        <v/>
      </c>
    </row>
    <row r="112">
      <c r="A112" s="7">
        <f>IF(GIRDI!A112="","",GIRDI!A112)</f>
        <v/>
      </c>
      <c r="B112" s="17">
        <f>UPPER(TRIM(SUBSTITUTE($A112," ","")))</f>
        <v/>
      </c>
      <c r="C112" s="17">
        <f>IF($B112="",0,LEN($B112))</f>
        <v/>
      </c>
      <c r="D112" s="17">
        <f>IF($B112="","",LEFT($B112,tyk_ikincilUzunluk))</f>
        <v/>
      </c>
      <c r="E112" s="17">
        <f>"A"</f>
        <v/>
      </c>
      <c r="F112" s="17">
        <f>IF($B112="","",IF(COUNTIF(tblAnahtarA[Norm],$B112)&gt;1,"EVET","HAYIR"))</f>
        <v/>
      </c>
      <c r="G112" s="17">
        <f>IF($A112="","",ROW()-ROW($A$5))</f>
        <v/>
      </c>
      <c r="I112" s="7">
        <f>IF(HAKEDIS!A112="","",HAKEDIS!A112)</f>
        <v/>
      </c>
      <c r="J112" s="17">
        <f>UPPER(TRIM(SUBSTITUTE($I112," ","")))</f>
        <v/>
      </c>
      <c r="K112" s="17">
        <f>IF($J112="",0,LEN($J112))</f>
        <v/>
      </c>
      <c r="L112" s="17">
        <f>IF($J112="","",LEFT($J112,tyk_ikincilUzunluk))</f>
        <v/>
      </c>
      <c r="M112" s="17">
        <f>"B"</f>
        <v/>
      </c>
      <c r="N112" s="17">
        <f>IF($J112="","",IF(COUNTIF(tblAnahtarB[NormB],$J112)&gt;1,"EVET","HAYIR"))</f>
        <v/>
      </c>
      <c r="O112" s="17">
        <f>IF($I112="","",ROW()-ROW($I$5))</f>
        <v/>
      </c>
    </row>
    <row r="113">
      <c r="A113" s="7">
        <f>IF(GIRDI!A113="","",GIRDI!A113)</f>
        <v/>
      </c>
      <c r="B113" s="17">
        <f>UPPER(TRIM(SUBSTITUTE($A113," ","")))</f>
        <v/>
      </c>
      <c r="C113" s="17">
        <f>IF($B113="",0,LEN($B113))</f>
        <v/>
      </c>
      <c r="D113" s="17">
        <f>IF($B113="","",LEFT($B113,tyk_ikincilUzunluk))</f>
        <v/>
      </c>
      <c r="E113" s="17">
        <f>"A"</f>
        <v/>
      </c>
      <c r="F113" s="17">
        <f>IF($B113="","",IF(COUNTIF(tblAnahtarA[Norm],$B113)&gt;1,"EVET","HAYIR"))</f>
        <v/>
      </c>
      <c r="G113" s="17">
        <f>IF($A113="","",ROW()-ROW($A$5))</f>
        <v/>
      </c>
      <c r="I113" s="7">
        <f>IF(HAKEDIS!A113="","",HAKEDIS!A113)</f>
        <v/>
      </c>
      <c r="J113" s="17">
        <f>UPPER(TRIM(SUBSTITUTE($I113," ","")))</f>
        <v/>
      </c>
      <c r="K113" s="17">
        <f>IF($J113="",0,LEN($J113))</f>
        <v/>
      </c>
      <c r="L113" s="17">
        <f>IF($J113="","",LEFT($J113,tyk_ikincilUzunluk))</f>
        <v/>
      </c>
      <c r="M113" s="17">
        <f>"B"</f>
        <v/>
      </c>
      <c r="N113" s="17">
        <f>IF($J113="","",IF(COUNTIF(tblAnahtarB[NormB],$J113)&gt;1,"EVET","HAYIR"))</f>
        <v/>
      </c>
      <c r="O113" s="17">
        <f>IF($I113="","",ROW()-ROW($I$5))</f>
        <v/>
      </c>
    </row>
    <row r="114">
      <c r="A114" s="7">
        <f>IF(GIRDI!A114="","",GIRDI!A114)</f>
        <v/>
      </c>
      <c r="B114" s="17">
        <f>UPPER(TRIM(SUBSTITUTE($A114," ","")))</f>
        <v/>
      </c>
      <c r="C114" s="17">
        <f>IF($B114="",0,LEN($B114))</f>
        <v/>
      </c>
      <c r="D114" s="17">
        <f>IF($B114="","",LEFT($B114,tyk_ikincilUzunluk))</f>
        <v/>
      </c>
      <c r="E114" s="17">
        <f>"A"</f>
        <v/>
      </c>
      <c r="F114" s="17">
        <f>IF($B114="","",IF(COUNTIF(tblAnahtarA[Norm],$B114)&gt;1,"EVET","HAYIR"))</f>
        <v/>
      </c>
      <c r="G114" s="17">
        <f>IF($A114="","",ROW()-ROW($A$5))</f>
        <v/>
      </c>
      <c r="I114" s="7">
        <f>IF(HAKEDIS!A114="","",HAKEDIS!A114)</f>
        <v/>
      </c>
      <c r="J114" s="17">
        <f>UPPER(TRIM(SUBSTITUTE($I114," ","")))</f>
        <v/>
      </c>
      <c r="K114" s="17">
        <f>IF($J114="",0,LEN($J114))</f>
        <v/>
      </c>
      <c r="L114" s="17">
        <f>IF($J114="","",LEFT($J114,tyk_ikincilUzunluk))</f>
        <v/>
      </c>
      <c r="M114" s="17">
        <f>"B"</f>
        <v/>
      </c>
      <c r="N114" s="17">
        <f>IF($J114="","",IF(COUNTIF(tblAnahtarB[NormB],$J114)&gt;1,"EVET","HAYIR"))</f>
        <v/>
      </c>
      <c r="O114" s="17">
        <f>IF($I114="","",ROW()-ROW($I$5))</f>
        <v/>
      </c>
    </row>
    <row r="115">
      <c r="A115" s="7">
        <f>IF(GIRDI!A115="","",GIRDI!A115)</f>
        <v/>
      </c>
      <c r="B115" s="17">
        <f>UPPER(TRIM(SUBSTITUTE($A115," ","")))</f>
        <v/>
      </c>
      <c r="C115" s="17">
        <f>IF($B115="",0,LEN($B115))</f>
        <v/>
      </c>
      <c r="D115" s="17">
        <f>IF($B115="","",LEFT($B115,tyk_ikincilUzunluk))</f>
        <v/>
      </c>
      <c r="E115" s="17">
        <f>"A"</f>
        <v/>
      </c>
      <c r="F115" s="17">
        <f>IF($B115="","",IF(COUNTIF(tblAnahtarA[Norm],$B115)&gt;1,"EVET","HAYIR"))</f>
        <v/>
      </c>
      <c r="G115" s="17">
        <f>IF($A115="","",ROW()-ROW($A$5))</f>
        <v/>
      </c>
      <c r="I115" s="7">
        <f>IF(HAKEDIS!A115="","",HAKEDIS!A115)</f>
        <v/>
      </c>
      <c r="J115" s="17">
        <f>UPPER(TRIM(SUBSTITUTE($I115," ","")))</f>
        <v/>
      </c>
      <c r="K115" s="17">
        <f>IF($J115="",0,LEN($J115))</f>
        <v/>
      </c>
      <c r="L115" s="17">
        <f>IF($J115="","",LEFT($J115,tyk_ikincilUzunluk))</f>
        <v/>
      </c>
      <c r="M115" s="17">
        <f>"B"</f>
        <v/>
      </c>
      <c r="N115" s="17">
        <f>IF($J115="","",IF(COUNTIF(tblAnahtarB[NormB],$J115)&gt;1,"EVET","HAYIR"))</f>
        <v/>
      </c>
      <c r="O115" s="17">
        <f>IF($I115="","",ROW()-ROW($I$5))</f>
        <v/>
      </c>
    </row>
    <row r="116">
      <c r="A116" s="7">
        <f>IF(GIRDI!A116="","",GIRDI!A116)</f>
        <v/>
      </c>
      <c r="B116" s="17">
        <f>UPPER(TRIM(SUBSTITUTE($A116," ","")))</f>
        <v/>
      </c>
      <c r="C116" s="17">
        <f>IF($B116="",0,LEN($B116))</f>
        <v/>
      </c>
      <c r="D116" s="17">
        <f>IF($B116="","",LEFT($B116,tyk_ikincilUzunluk))</f>
        <v/>
      </c>
      <c r="E116" s="17">
        <f>"A"</f>
        <v/>
      </c>
      <c r="F116" s="17">
        <f>IF($B116="","",IF(COUNTIF(tblAnahtarA[Norm],$B116)&gt;1,"EVET","HAYIR"))</f>
        <v/>
      </c>
      <c r="G116" s="17">
        <f>IF($A116="","",ROW()-ROW($A$5))</f>
        <v/>
      </c>
      <c r="I116" s="7">
        <f>IF(HAKEDIS!A116="","",HAKEDIS!A116)</f>
        <v/>
      </c>
      <c r="J116" s="17">
        <f>UPPER(TRIM(SUBSTITUTE($I116," ","")))</f>
        <v/>
      </c>
      <c r="K116" s="17">
        <f>IF($J116="",0,LEN($J116))</f>
        <v/>
      </c>
      <c r="L116" s="17">
        <f>IF($J116="","",LEFT($J116,tyk_ikincilUzunluk))</f>
        <v/>
      </c>
      <c r="M116" s="17">
        <f>"B"</f>
        <v/>
      </c>
      <c r="N116" s="17">
        <f>IF($J116="","",IF(COUNTIF(tblAnahtarB[NormB],$J116)&gt;1,"EVET","HAYIR"))</f>
        <v/>
      </c>
      <c r="O116" s="17">
        <f>IF($I116="","",ROW()-ROW($I$5))</f>
        <v/>
      </c>
    </row>
    <row r="117">
      <c r="A117" s="7">
        <f>IF(GIRDI!A117="","",GIRDI!A117)</f>
        <v/>
      </c>
      <c r="B117" s="17">
        <f>UPPER(TRIM(SUBSTITUTE($A117," ","")))</f>
        <v/>
      </c>
      <c r="C117" s="17">
        <f>IF($B117="",0,LEN($B117))</f>
        <v/>
      </c>
      <c r="D117" s="17">
        <f>IF($B117="","",LEFT($B117,tyk_ikincilUzunluk))</f>
        <v/>
      </c>
      <c r="E117" s="17">
        <f>"A"</f>
        <v/>
      </c>
      <c r="F117" s="17">
        <f>IF($B117="","",IF(COUNTIF(tblAnahtarA[Norm],$B117)&gt;1,"EVET","HAYIR"))</f>
        <v/>
      </c>
      <c r="G117" s="17">
        <f>IF($A117="","",ROW()-ROW($A$5))</f>
        <v/>
      </c>
      <c r="I117" s="7">
        <f>IF(HAKEDIS!A117="","",HAKEDIS!A117)</f>
        <v/>
      </c>
      <c r="J117" s="17">
        <f>UPPER(TRIM(SUBSTITUTE($I117," ","")))</f>
        <v/>
      </c>
      <c r="K117" s="17">
        <f>IF($J117="",0,LEN($J117))</f>
        <v/>
      </c>
      <c r="L117" s="17">
        <f>IF($J117="","",LEFT($J117,tyk_ikincilUzunluk))</f>
        <v/>
      </c>
      <c r="M117" s="17">
        <f>"B"</f>
        <v/>
      </c>
      <c r="N117" s="17">
        <f>IF($J117="","",IF(COUNTIF(tblAnahtarB[NormB],$J117)&gt;1,"EVET","HAYIR"))</f>
        <v/>
      </c>
      <c r="O117" s="17">
        <f>IF($I117="","",ROW()-ROW($I$5))</f>
        <v/>
      </c>
    </row>
    <row r="118">
      <c r="A118" s="7">
        <f>IF(GIRDI!A118="","",GIRDI!A118)</f>
        <v/>
      </c>
      <c r="B118" s="17">
        <f>UPPER(TRIM(SUBSTITUTE($A118," ","")))</f>
        <v/>
      </c>
      <c r="C118" s="17">
        <f>IF($B118="",0,LEN($B118))</f>
        <v/>
      </c>
      <c r="D118" s="17">
        <f>IF($B118="","",LEFT($B118,tyk_ikincilUzunluk))</f>
        <v/>
      </c>
      <c r="E118" s="17">
        <f>"A"</f>
        <v/>
      </c>
      <c r="F118" s="17">
        <f>IF($B118="","",IF(COUNTIF(tblAnahtarA[Norm],$B118)&gt;1,"EVET","HAYIR"))</f>
        <v/>
      </c>
      <c r="G118" s="17">
        <f>IF($A118="","",ROW()-ROW($A$5))</f>
        <v/>
      </c>
      <c r="I118" s="7">
        <f>IF(HAKEDIS!A118="","",HAKEDIS!A118)</f>
        <v/>
      </c>
      <c r="J118" s="17">
        <f>UPPER(TRIM(SUBSTITUTE($I118," ","")))</f>
        <v/>
      </c>
      <c r="K118" s="17">
        <f>IF($J118="",0,LEN($J118))</f>
        <v/>
      </c>
      <c r="L118" s="17">
        <f>IF($J118="","",LEFT($J118,tyk_ikincilUzunluk))</f>
        <v/>
      </c>
      <c r="M118" s="17">
        <f>"B"</f>
        <v/>
      </c>
      <c r="N118" s="17">
        <f>IF($J118="","",IF(COUNTIF(tblAnahtarB[NormB],$J118)&gt;1,"EVET","HAYIR"))</f>
        <v/>
      </c>
      <c r="O118" s="17">
        <f>IF($I118="","",ROW()-ROW($I$5))</f>
        <v/>
      </c>
    </row>
    <row r="119">
      <c r="A119" s="7">
        <f>IF(GIRDI!A119="","",GIRDI!A119)</f>
        <v/>
      </c>
      <c r="B119" s="17">
        <f>UPPER(TRIM(SUBSTITUTE($A119," ","")))</f>
        <v/>
      </c>
      <c r="C119" s="17">
        <f>IF($B119="",0,LEN($B119))</f>
        <v/>
      </c>
      <c r="D119" s="17">
        <f>IF($B119="","",LEFT($B119,tyk_ikincilUzunluk))</f>
        <v/>
      </c>
      <c r="E119" s="17">
        <f>"A"</f>
        <v/>
      </c>
      <c r="F119" s="17">
        <f>IF($B119="","",IF(COUNTIF(tblAnahtarA[Norm],$B119)&gt;1,"EVET","HAYIR"))</f>
        <v/>
      </c>
      <c r="G119" s="17">
        <f>IF($A119="","",ROW()-ROW($A$5))</f>
        <v/>
      </c>
      <c r="I119" s="7">
        <f>IF(HAKEDIS!A119="","",HAKEDIS!A119)</f>
        <v/>
      </c>
      <c r="J119" s="17">
        <f>UPPER(TRIM(SUBSTITUTE($I119," ","")))</f>
        <v/>
      </c>
      <c r="K119" s="17">
        <f>IF($J119="",0,LEN($J119))</f>
        <v/>
      </c>
      <c r="L119" s="17">
        <f>IF($J119="","",LEFT($J119,tyk_ikincilUzunluk))</f>
        <v/>
      </c>
      <c r="M119" s="17">
        <f>"B"</f>
        <v/>
      </c>
      <c r="N119" s="17">
        <f>IF($J119="","",IF(COUNTIF(tblAnahtarB[NormB],$J119)&gt;1,"EVET","HAYIR"))</f>
        <v/>
      </c>
      <c r="O119" s="17">
        <f>IF($I119="","",ROW()-ROW($I$5))</f>
        <v/>
      </c>
    </row>
    <row r="120">
      <c r="A120" s="7">
        <f>IF(GIRDI!A120="","",GIRDI!A120)</f>
        <v/>
      </c>
      <c r="B120" s="17">
        <f>UPPER(TRIM(SUBSTITUTE($A120," ","")))</f>
        <v/>
      </c>
      <c r="C120" s="17">
        <f>IF($B120="",0,LEN($B120))</f>
        <v/>
      </c>
      <c r="D120" s="17">
        <f>IF($B120="","",LEFT($B120,tyk_ikincilUzunluk))</f>
        <v/>
      </c>
      <c r="E120" s="17">
        <f>"A"</f>
        <v/>
      </c>
      <c r="F120" s="17">
        <f>IF($B120="","",IF(COUNTIF(tblAnahtarA[Norm],$B120)&gt;1,"EVET","HAYIR"))</f>
        <v/>
      </c>
      <c r="G120" s="17">
        <f>IF($A120="","",ROW()-ROW($A$5))</f>
        <v/>
      </c>
      <c r="I120" s="7">
        <f>IF(HAKEDIS!A120="","",HAKEDIS!A120)</f>
        <v/>
      </c>
      <c r="J120" s="17">
        <f>UPPER(TRIM(SUBSTITUTE($I120," ","")))</f>
        <v/>
      </c>
      <c r="K120" s="17">
        <f>IF($J120="",0,LEN($J120))</f>
        <v/>
      </c>
      <c r="L120" s="17">
        <f>IF($J120="","",LEFT($J120,tyk_ikincilUzunluk))</f>
        <v/>
      </c>
      <c r="M120" s="17">
        <f>"B"</f>
        <v/>
      </c>
      <c r="N120" s="17">
        <f>IF($J120="","",IF(COUNTIF(tblAnahtarB[NormB],$J120)&gt;1,"EVET","HAYIR"))</f>
        <v/>
      </c>
      <c r="O120" s="17">
        <f>IF($I120="","",ROW()-ROW($I$5))</f>
        <v/>
      </c>
    </row>
    <row r="121">
      <c r="A121" s="7">
        <f>IF(GIRDI!A121="","",GIRDI!A121)</f>
        <v/>
      </c>
      <c r="B121" s="17">
        <f>UPPER(TRIM(SUBSTITUTE($A121," ","")))</f>
        <v/>
      </c>
      <c r="C121" s="17">
        <f>IF($B121="",0,LEN($B121))</f>
        <v/>
      </c>
      <c r="D121" s="17">
        <f>IF($B121="","",LEFT($B121,tyk_ikincilUzunluk))</f>
        <v/>
      </c>
      <c r="E121" s="17">
        <f>"A"</f>
        <v/>
      </c>
      <c r="F121" s="17">
        <f>IF($B121="","",IF(COUNTIF(tblAnahtarA[Norm],$B121)&gt;1,"EVET","HAYIR"))</f>
        <v/>
      </c>
      <c r="G121" s="17">
        <f>IF($A121="","",ROW()-ROW($A$5))</f>
        <v/>
      </c>
      <c r="I121" s="7">
        <f>IF(HAKEDIS!A121="","",HAKEDIS!A121)</f>
        <v/>
      </c>
      <c r="J121" s="17">
        <f>UPPER(TRIM(SUBSTITUTE($I121," ","")))</f>
        <v/>
      </c>
      <c r="K121" s="17">
        <f>IF($J121="",0,LEN($J121))</f>
        <v/>
      </c>
      <c r="L121" s="17">
        <f>IF($J121="","",LEFT($J121,tyk_ikincilUzunluk))</f>
        <v/>
      </c>
      <c r="M121" s="17">
        <f>"B"</f>
        <v/>
      </c>
      <c r="N121" s="17">
        <f>IF($J121="","",IF(COUNTIF(tblAnahtarB[NormB],$J121)&gt;1,"EVET","HAYIR"))</f>
        <v/>
      </c>
      <c r="O121" s="17">
        <f>IF($I121="","",ROW()-ROW($I$5))</f>
        <v/>
      </c>
    </row>
    <row r="122">
      <c r="A122" s="7">
        <f>IF(GIRDI!A122="","",GIRDI!A122)</f>
        <v/>
      </c>
      <c r="B122" s="17">
        <f>UPPER(TRIM(SUBSTITUTE($A122," ","")))</f>
        <v/>
      </c>
      <c r="C122" s="17">
        <f>IF($B122="",0,LEN($B122))</f>
        <v/>
      </c>
      <c r="D122" s="17">
        <f>IF($B122="","",LEFT($B122,tyk_ikincilUzunluk))</f>
        <v/>
      </c>
      <c r="E122" s="17">
        <f>"A"</f>
        <v/>
      </c>
      <c r="F122" s="17">
        <f>IF($B122="","",IF(COUNTIF(tblAnahtarA[Norm],$B122)&gt;1,"EVET","HAYIR"))</f>
        <v/>
      </c>
      <c r="G122" s="17">
        <f>IF($A122="","",ROW()-ROW($A$5))</f>
        <v/>
      </c>
      <c r="I122" s="7">
        <f>IF(HAKEDIS!A122="","",HAKEDIS!A122)</f>
        <v/>
      </c>
      <c r="J122" s="17">
        <f>UPPER(TRIM(SUBSTITUTE($I122," ","")))</f>
        <v/>
      </c>
      <c r="K122" s="17">
        <f>IF($J122="",0,LEN($J122))</f>
        <v/>
      </c>
      <c r="L122" s="17">
        <f>IF($J122="","",LEFT($J122,tyk_ikincilUzunluk))</f>
        <v/>
      </c>
      <c r="M122" s="17">
        <f>"B"</f>
        <v/>
      </c>
      <c r="N122" s="17">
        <f>IF($J122="","",IF(COUNTIF(tblAnahtarB[NormB],$J122)&gt;1,"EVET","HAYIR"))</f>
        <v/>
      </c>
      <c r="O122" s="17">
        <f>IF($I122="","",ROW()-ROW($I$5))</f>
        <v/>
      </c>
    </row>
    <row r="123">
      <c r="A123" s="7">
        <f>IF(GIRDI!A123="","",GIRDI!A123)</f>
        <v/>
      </c>
      <c r="B123" s="17">
        <f>UPPER(TRIM(SUBSTITUTE($A123," ","")))</f>
        <v/>
      </c>
      <c r="C123" s="17">
        <f>IF($B123="",0,LEN($B123))</f>
        <v/>
      </c>
      <c r="D123" s="17">
        <f>IF($B123="","",LEFT($B123,tyk_ikincilUzunluk))</f>
        <v/>
      </c>
      <c r="E123" s="17">
        <f>"A"</f>
        <v/>
      </c>
      <c r="F123" s="17">
        <f>IF($B123="","",IF(COUNTIF(tblAnahtarA[Norm],$B123)&gt;1,"EVET","HAYIR"))</f>
        <v/>
      </c>
      <c r="G123" s="17">
        <f>IF($A123="","",ROW()-ROW($A$5))</f>
        <v/>
      </c>
      <c r="I123" s="7">
        <f>IF(HAKEDIS!A123="","",HAKEDIS!A123)</f>
        <v/>
      </c>
      <c r="J123" s="17">
        <f>UPPER(TRIM(SUBSTITUTE($I123," ","")))</f>
        <v/>
      </c>
      <c r="K123" s="17">
        <f>IF($J123="",0,LEN($J123))</f>
        <v/>
      </c>
      <c r="L123" s="17">
        <f>IF($J123="","",LEFT($J123,tyk_ikincilUzunluk))</f>
        <v/>
      </c>
      <c r="M123" s="17">
        <f>"B"</f>
        <v/>
      </c>
      <c r="N123" s="17">
        <f>IF($J123="","",IF(COUNTIF(tblAnahtarB[NormB],$J123)&gt;1,"EVET","HAYIR"))</f>
        <v/>
      </c>
      <c r="O123" s="17">
        <f>IF($I123="","",ROW()-ROW($I$5))</f>
        <v/>
      </c>
    </row>
    <row r="124">
      <c r="A124" s="7">
        <f>IF(GIRDI!A124="","",GIRDI!A124)</f>
        <v/>
      </c>
      <c r="B124" s="17">
        <f>UPPER(TRIM(SUBSTITUTE($A124," ","")))</f>
        <v/>
      </c>
      <c r="C124" s="17">
        <f>IF($B124="",0,LEN($B124))</f>
        <v/>
      </c>
      <c r="D124" s="17">
        <f>IF($B124="","",LEFT($B124,tyk_ikincilUzunluk))</f>
        <v/>
      </c>
      <c r="E124" s="17">
        <f>"A"</f>
        <v/>
      </c>
      <c r="F124" s="17">
        <f>IF($B124="","",IF(COUNTIF(tblAnahtarA[Norm],$B124)&gt;1,"EVET","HAYIR"))</f>
        <v/>
      </c>
      <c r="G124" s="17">
        <f>IF($A124="","",ROW()-ROW($A$5))</f>
        <v/>
      </c>
      <c r="I124" s="7">
        <f>IF(HAKEDIS!A124="","",HAKEDIS!A124)</f>
        <v/>
      </c>
      <c r="J124" s="17">
        <f>UPPER(TRIM(SUBSTITUTE($I124," ","")))</f>
        <v/>
      </c>
      <c r="K124" s="17">
        <f>IF($J124="",0,LEN($J124))</f>
        <v/>
      </c>
      <c r="L124" s="17">
        <f>IF($J124="","",LEFT($J124,tyk_ikincilUzunluk))</f>
        <v/>
      </c>
      <c r="M124" s="17">
        <f>"B"</f>
        <v/>
      </c>
      <c r="N124" s="17">
        <f>IF($J124="","",IF(COUNTIF(tblAnahtarB[NormB],$J124)&gt;1,"EVET","HAYIR"))</f>
        <v/>
      </c>
      <c r="O124" s="17">
        <f>IF($I124="","",ROW()-ROW($I$5))</f>
        <v/>
      </c>
    </row>
    <row r="125">
      <c r="A125" s="7">
        <f>IF(GIRDI!A125="","",GIRDI!A125)</f>
        <v/>
      </c>
      <c r="B125" s="17">
        <f>UPPER(TRIM(SUBSTITUTE($A125," ","")))</f>
        <v/>
      </c>
      <c r="C125" s="17">
        <f>IF($B125="",0,LEN($B125))</f>
        <v/>
      </c>
      <c r="D125" s="17">
        <f>IF($B125="","",LEFT($B125,tyk_ikincilUzunluk))</f>
        <v/>
      </c>
      <c r="E125" s="17">
        <f>"A"</f>
        <v/>
      </c>
      <c r="F125" s="17">
        <f>IF($B125="","",IF(COUNTIF(tblAnahtarA[Norm],$B125)&gt;1,"EVET","HAYIR"))</f>
        <v/>
      </c>
      <c r="G125" s="17">
        <f>IF($A125="","",ROW()-ROW($A$5))</f>
        <v/>
      </c>
      <c r="I125" s="7">
        <f>IF(HAKEDIS!A125="","",HAKEDIS!A125)</f>
        <v/>
      </c>
      <c r="J125" s="17">
        <f>UPPER(TRIM(SUBSTITUTE($I125," ","")))</f>
        <v/>
      </c>
      <c r="K125" s="17">
        <f>IF($J125="",0,LEN($J125))</f>
        <v/>
      </c>
      <c r="L125" s="17">
        <f>IF($J125="","",LEFT($J125,tyk_ikincilUzunluk))</f>
        <v/>
      </c>
      <c r="M125" s="17">
        <f>"B"</f>
        <v/>
      </c>
      <c r="N125" s="17">
        <f>IF($J125="","",IF(COUNTIF(tblAnahtarB[NormB],$J125)&gt;1,"EVET","HAYIR"))</f>
        <v/>
      </c>
      <c r="O125" s="17">
        <f>IF($I125="","",ROW()-ROW($I$5))</f>
        <v/>
      </c>
    </row>
    <row r="126">
      <c r="A126" s="7">
        <f>IF(GIRDI!A126="","",GIRDI!A126)</f>
        <v/>
      </c>
      <c r="B126" s="17">
        <f>UPPER(TRIM(SUBSTITUTE($A126," ","")))</f>
        <v/>
      </c>
      <c r="C126" s="17">
        <f>IF($B126="",0,LEN($B126))</f>
        <v/>
      </c>
      <c r="D126" s="17">
        <f>IF($B126="","",LEFT($B126,tyk_ikincilUzunluk))</f>
        <v/>
      </c>
      <c r="E126" s="17">
        <f>"A"</f>
        <v/>
      </c>
      <c r="F126" s="17">
        <f>IF($B126="","",IF(COUNTIF(tblAnahtarA[Norm],$B126)&gt;1,"EVET","HAYIR"))</f>
        <v/>
      </c>
      <c r="G126" s="17">
        <f>IF($A126="","",ROW()-ROW($A$5))</f>
        <v/>
      </c>
      <c r="I126" s="7">
        <f>IF(HAKEDIS!A126="","",HAKEDIS!A126)</f>
        <v/>
      </c>
      <c r="J126" s="17">
        <f>UPPER(TRIM(SUBSTITUTE($I126," ","")))</f>
        <v/>
      </c>
      <c r="K126" s="17">
        <f>IF($J126="",0,LEN($J126))</f>
        <v/>
      </c>
      <c r="L126" s="17">
        <f>IF($J126="","",LEFT($J126,tyk_ikincilUzunluk))</f>
        <v/>
      </c>
      <c r="M126" s="17">
        <f>"B"</f>
        <v/>
      </c>
      <c r="N126" s="17">
        <f>IF($J126="","",IF(COUNTIF(tblAnahtarB[NormB],$J126)&gt;1,"EVET","HAYIR"))</f>
        <v/>
      </c>
      <c r="O126" s="17">
        <f>IF($I126="","",ROW()-ROW($I$5))</f>
        <v/>
      </c>
    </row>
    <row r="127">
      <c r="A127" s="7">
        <f>IF(GIRDI!A127="","",GIRDI!A127)</f>
        <v/>
      </c>
      <c r="B127" s="17">
        <f>UPPER(TRIM(SUBSTITUTE($A127," ","")))</f>
        <v/>
      </c>
      <c r="C127" s="17">
        <f>IF($B127="",0,LEN($B127))</f>
        <v/>
      </c>
      <c r="D127" s="17">
        <f>IF($B127="","",LEFT($B127,tyk_ikincilUzunluk))</f>
        <v/>
      </c>
      <c r="E127" s="17">
        <f>"A"</f>
        <v/>
      </c>
      <c r="F127" s="17">
        <f>IF($B127="","",IF(COUNTIF(tblAnahtarA[Norm],$B127)&gt;1,"EVET","HAYIR"))</f>
        <v/>
      </c>
      <c r="G127" s="17">
        <f>IF($A127="","",ROW()-ROW($A$5))</f>
        <v/>
      </c>
      <c r="I127" s="7">
        <f>IF(HAKEDIS!A127="","",HAKEDIS!A127)</f>
        <v/>
      </c>
      <c r="J127" s="17">
        <f>UPPER(TRIM(SUBSTITUTE($I127," ","")))</f>
        <v/>
      </c>
      <c r="K127" s="17">
        <f>IF($J127="",0,LEN($J127))</f>
        <v/>
      </c>
      <c r="L127" s="17">
        <f>IF($J127="","",LEFT($J127,tyk_ikincilUzunluk))</f>
        <v/>
      </c>
      <c r="M127" s="17">
        <f>"B"</f>
        <v/>
      </c>
      <c r="N127" s="17">
        <f>IF($J127="","",IF(COUNTIF(tblAnahtarB[NormB],$J127)&gt;1,"EVET","HAYIR"))</f>
        <v/>
      </c>
      <c r="O127" s="17">
        <f>IF($I127="","",ROW()-ROW($I$5))</f>
        <v/>
      </c>
    </row>
    <row r="128">
      <c r="A128" s="7">
        <f>IF(GIRDI!A128="","",GIRDI!A128)</f>
        <v/>
      </c>
      <c r="B128" s="17">
        <f>UPPER(TRIM(SUBSTITUTE($A128," ","")))</f>
        <v/>
      </c>
      <c r="C128" s="17">
        <f>IF($B128="",0,LEN($B128))</f>
        <v/>
      </c>
      <c r="D128" s="17">
        <f>IF($B128="","",LEFT($B128,tyk_ikincilUzunluk))</f>
        <v/>
      </c>
      <c r="E128" s="17">
        <f>"A"</f>
        <v/>
      </c>
      <c r="F128" s="17">
        <f>IF($B128="","",IF(COUNTIF(tblAnahtarA[Norm],$B128)&gt;1,"EVET","HAYIR"))</f>
        <v/>
      </c>
      <c r="G128" s="17">
        <f>IF($A128="","",ROW()-ROW($A$5))</f>
        <v/>
      </c>
      <c r="I128" s="7">
        <f>IF(HAKEDIS!A128="","",HAKEDIS!A128)</f>
        <v/>
      </c>
      <c r="J128" s="17">
        <f>UPPER(TRIM(SUBSTITUTE($I128," ","")))</f>
        <v/>
      </c>
      <c r="K128" s="17">
        <f>IF($J128="",0,LEN($J128))</f>
        <v/>
      </c>
      <c r="L128" s="17">
        <f>IF($J128="","",LEFT($J128,tyk_ikincilUzunluk))</f>
        <v/>
      </c>
      <c r="M128" s="17">
        <f>"B"</f>
        <v/>
      </c>
      <c r="N128" s="17">
        <f>IF($J128="","",IF(COUNTIF(tblAnahtarB[NormB],$J128)&gt;1,"EVET","HAYIR"))</f>
        <v/>
      </c>
      <c r="O128" s="17">
        <f>IF($I128="","",ROW()-ROW($I$5))</f>
        <v/>
      </c>
    </row>
    <row r="129">
      <c r="A129" s="7">
        <f>IF(GIRDI!A129="","",GIRDI!A129)</f>
        <v/>
      </c>
      <c r="B129" s="17">
        <f>UPPER(TRIM(SUBSTITUTE($A129," ","")))</f>
        <v/>
      </c>
      <c r="C129" s="17">
        <f>IF($B129="",0,LEN($B129))</f>
        <v/>
      </c>
      <c r="D129" s="17">
        <f>IF($B129="","",LEFT($B129,tyk_ikincilUzunluk))</f>
        <v/>
      </c>
      <c r="E129" s="17">
        <f>"A"</f>
        <v/>
      </c>
      <c r="F129" s="17">
        <f>IF($B129="","",IF(COUNTIF(tblAnahtarA[Norm],$B129)&gt;1,"EVET","HAYIR"))</f>
        <v/>
      </c>
      <c r="G129" s="17">
        <f>IF($A129="","",ROW()-ROW($A$5))</f>
        <v/>
      </c>
      <c r="I129" s="7">
        <f>IF(HAKEDIS!A129="","",HAKEDIS!A129)</f>
        <v/>
      </c>
      <c r="J129" s="17">
        <f>UPPER(TRIM(SUBSTITUTE($I129," ","")))</f>
        <v/>
      </c>
      <c r="K129" s="17">
        <f>IF($J129="",0,LEN($J129))</f>
        <v/>
      </c>
      <c r="L129" s="17">
        <f>IF($J129="","",LEFT($J129,tyk_ikincilUzunluk))</f>
        <v/>
      </c>
      <c r="M129" s="17">
        <f>"B"</f>
        <v/>
      </c>
      <c r="N129" s="17">
        <f>IF($J129="","",IF(COUNTIF(tblAnahtarB[NormB],$J129)&gt;1,"EVET","HAYIR"))</f>
        <v/>
      </c>
      <c r="O129" s="17">
        <f>IF($I129="","",ROW()-ROW($I$5))</f>
        <v/>
      </c>
    </row>
    <row r="130">
      <c r="A130" s="7">
        <f>IF(GIRDI!A130="","",GIRDI!A130)</f>
        <v/>
      </c>
      <c r="B130" s="17">
        <f>UPPER(TRIM(SUBSTITUTE($A130," ","")))</f>
        <v/>
      </c>
      <c r="C130" s="17">
        <f>IF($B130="",0,LEN($B130))</f>
        <v/>
      </c>
      <c r="D130" s="17">
        <f>IF($B130="","",LEFT($B130,tyk_ikincilUzunluk))</f>
        <v/>
      </c>
      <c r="E130" s="17">
        <f>"A"</f>
        <v/>
      </c>
      <c r="F130" s="17">
        <f>IF($B130="","",IF(COUNTIF(tblAnahtarA[Norm],$B130)&gt;1,"EVET","HAYIR"))</f>
        <v/>
      </c>
      <c r="G130" s="17">
        <f>IF($A130="","",ROW()-ROW($A$5))</f>
        <v/>
      </c>
      <c r="I130" s="7">
        <f>IF(HAKEDIS!A130="","",HAKEDIS!A130)</f>
        <v/>
      </c>
      <c r="J130" s="17">
        <f>UPPER(TRIM(SUBSTITUTE($I130," ","")))</f>
        <v/>
      </c>
      <c r="K130" s="17">
        <f>IF($J130="",0,LEN($J130))</f>
        <v/>
      </c>
      <c r="L130" s="17">
        <f>IF($J130="","",LEFT($J130,tyk_ikincilUzunluk))</f>
        <v/>
      </c>
      <c r="M130" s="17">
        <f>"B"</f>
        <v/>
      </c>
      <c r="N130" s="17">
        <f>IF($J130="","",IF(COUNTIF(tblAnahtarB[NormB],$J130)&gt;1,"EVET","HAYIR"))</f>
        <v/>
      </c>
      <c r="O130" s="17">
        <f>IF($I130="","",ROW()-ROW($I$5))</f>
        <v/>
      </c>
    </row>
    <row r="131">
      <c r="A131" s="7">
        <f>IF(GIRDI!A131="","",GIRDI!A131)</f>
        <v/>
      </c>
      <c r="B131" s="17">
        <f>UPPER(TRIM(SUBSTITUTE($A131," ","")))</f>
        <v/>
      </c>
      <c r="C131" s="17">
        <f>IF($B131="",0,LEN($B131))</f>
        <v/>
      </c>
      <c r="D131" s="17">
        <f>IF($B131="","",LEFT($B131,tyk_ikincilUzunluk))</f>
        <v/>
      </c>
      <c r="E131" s="17">
        <f>"A"</f>
        <v/>
      </c>
      <c r="F131" s="17">
        <f>IF($B131="","",IF(COUNTIF(tblAnahtarA[Norm],$B131)&gt;1,"EVET","HAYIR"))</f>
        <v/>
      </c>
      <c r="G131" s="17">
        <f>IF($A131="","",ROW()-ROW($A$5))</f>
        <v/>
      </c>
      <c r="I131" s="7">
        <f>IF(HAKEDIS!A131="","",HAKEDIS!A131)</f>
        <v/>
      </c>
      <c r="J131" s="17">
        <f>UPPER(TRIM(SUBSTITUTE($I131," ","")))</f>
        <v/>
      </c>
      <c r="K131" s="17">
        <f>IF($J131="",0,LEN($J131))</f>
        <v/>
      </c>
      <c r="L131" s="17">
        <f>IF($J131="","",LEFT($J131,tyk_ikincilUzunluk))</f>
        <v/>
      </c>
      <c r="M131" s="17">
        <f>"B"</f>
        <v/>
      </c>
      <c r="N131" s="17">
        <f>IF($J131="","",IF(COUNTIF(tblAnahtarB[NormB],$J131)&gt;1,"EVET","HAYIR"))</f>
        <v/>
      </c>
      <c r="O131" s="17">
        <f>IF($I131="","",ROW()-ROW($I$5))</f>
        <v/>
      </c>
    </row>
    <row r="132">
      <c r="A132" s="7">
        <f>IF(GIRDI!A132="","",GIRDI!A132)</f>
        <v/>
      </c>
      <c r="B132" s="17">
        <f>UPPER(TRIM(SUBSTITUTE($A132," ","")))</f>
        <v/>
      </c>
      <c r="C132" s="17">
        <f>IF($B132="",0,LEN($B132))</f>
        <v/>
      </c>
      <c r="D132" s="17">
        <f>IF($B132="","",LEFT($B132,tyk_ikincilUzunluk))</f>
        <v/>
      </c>
      <c r="E132" s="17">
        <f>"A"</f>
        <v/>
      </c>
      <c r="F132" s="17">
        <f>IF($B132="","",IF(COUNTIF(tblAnahtarA[Norm],$B132)&gt;1,"EVET","HAYIR"))</f>
        <v/>
      </c>
      <c r="G132" s="17">
        <f>IF($A132="","",ROW()-ROW($A$5))</f>
        <v/>
      </c>
      <c r="I132" s="7">
        <f>IF(HAKEDIS!A132="","",HAKEDIS!A132)</f>
        <v/>
      </c>
      <c r="J132" s="17">
        <f>UPPER(TRIM(SUBSTITUTE($I132," ","")))</f>
        <v/>
      </c>
      <c r="K132" s="17">
        <f>IF($J132="",0,LEN($J132))</f>
        <v/>
      </c>
      <c r="L132" s="17">
        <f>IF($J132="","",LEFT($J132,tyk_ikincilUzunluk))</f>
        <v/>
      </c>
      <c r="M132" s="17">
        <f>"B"</f>
        <v/>
      </c>
      <c r="N132" s="17">
        <f>IF($J132="","",IF(COUNTIF(tblAnahtarB[NormB],$J132)&gt;1,"EVET","HAYIR"))</f>
        <v/>
      </c>
      <c r="O132" s="17">
        <f>IF($I132="","",ROW()-ROW($I$5))</f>
        <v/>
      </c>
    </row>
    <row r="133">
      <c r="A133" s="7">
        <f>IF(GIRDI!A133="","",GIRDI!A133)</f>
        <v/>
      </c>
      <c r="B133" s="17">
        <f>UPPER(TRIM(SUBSTITUTE($A133," ","")))</f>
        <v/>
      </c>
      <c r="C133" s="17">
        <f>IF($B133="",0,LEN($B133))</f>
        <v/>
      </c>
      <c r="D133" s="17">
        <f>IF($B133="","",LEFT($B133,tyk_ikincilUzunluk))</f>
        <v/>
      </c>
      <c r="E133" s="17">
        <f>"A"</f>
        <v/>
      </c>
      <c r="F133" s="17">
        <f>IF($B133="","",IF(COUNTIF(tblAnahtarA[Norm],$B133)&gt;1,"EVET","HAYIR"))</f>
        <v/>
      </c>
      <c r="G133" s="17">
        <f>IF($A133="","",ROW()-ROW($A$5))</f>
        <v/>
      </c>
      <c r="I133" s="7">
        <f>IF(HAKEDIS!A133="","",HAKEDIS!A133)</f>
        <v/>
      </c>
      <c r="J133" s="17">
        <f>UPPER(TRIM(SUBSTITUTE($I133," ","")))</f>
        <v/>
      </c>
      <c r="K133" s="17">
        <f>IF($J133="",0,LEN($J133))</f>
        <v/>
      </c>
      <c r="L133" s="17">
        <f>IF($J133="","",LEFT($J133,tyk_ikincilUzunluk))</f>
        <v/>
      </c>
      <c r="M133" s="17">
        <f>"B"</f>
        <v/>
      </c>
      <c r="N133" s="17">
        <f>IF($J133="","",IF(COUNTIF(tblAnahtarB[NormB],$J133)&gt;1,"EVET","HAYIR"))</f>
        <v/>
      </c>
      <c r="O133" s="17">
        <f>IF($I133="","",ROW()-ROW($I$5))</f>
        <v/>
      </c>
    </row>
    <row r="134">
      <c r="A134" s="7">
        <f>IF(GIRDI!A134="","",GIRDI!A134)</f>
        <v/>
      </c>
      <c r="B134" s="17">
        <f>UPPER(TRIM(SUBSTITUTE($A134," ","")))</f>
        <v/>
      </c>
      <c r="C134" s="17">
        <f>IF($B134="",0,LEN($B134))</f>
        <v/>
      </c>
      <c r="D134" s="17">
        <f>IF($B134="","",LEFT($B134,tyk_ikincilUzunluk))</f>
        <v/>
      </c>
      <c r="E134" s="17">
        <f>"A"</f>
        <v/>
      </c>
      <c r="F134" s="17">
        <f>IF($B134="","",IF(COUNTIF(tblAnahtarA[Norm],$B134)&gt;1,"EVET","HAYIR"))</f>
        <v/>
      </c>
      <c r="G134" s="17">
        <f>IF($A134="","",ROW()-ROW($A$5))</f>
        <v/>
      </c>
      <c r="I134" s="7">
        <f>IF(HAKEDIS!A134="","",HAKEDIS!A134)</f>
        <v/>
      </c>
      <c r="J134" s="17">
        <f>UPPER(TRIM(SUBSTITUTE($I134," ","")))</f>
        <v/>
      </c>
      <c r="K134" s="17">
        <f>IF($J134="",0,LEN($J134))</f>
        <v/>
      </c>
      <c r="L134" s="17">
        <f>IF($J134="","",LEFT($J134,tyk_ikincilUzunluk))</f>
        <v/>
      </c>
      <c r="M134" s="17">
        <f>"B"</f>
        <v/>
      </c>
      <c r="N134" s="17">
        <f>IF($J134="","",IF(COUNTIF(tblAnahtarB[NormB],$J134)&gt;1,"EVET","HAYIR"))</f>
        <v/>
      </c>
      <c r="O134" s="17">
        <f>IF($I134="","",ROW()-ROW($I$5))</f>
        <v/>
      </c>
    </row>
    <row r="135">
      <c r="A135" s="7">
        <f>IF(GIRDI!A135="","",GIRDI!A135)</f>
        <v/>
      </c>
      <c r="B135" s="17">
        <f>UPPER(TRIM(SUBSTITUTE($A135," ","")))</f>
        <v/>
      </c>
      <c r="C135" s="17">
        <f>IF($B135="",0,LEN($B135))</f>
        <v/>
      </c>
      <c r="D135" s="17">
        <f>IF($B135="","",LEFT($B135,tyk_ikincilUzunluk))</f>
        <v/>
      </c>
      <c r="E135" s="17">
        <f>"A"</f>
        <v/>
      </c>
      <c r="F135" s="17">
        <f>IF($B135="","",IF(COUNTIF(tblAnahtarA[Norm],$B135)&gt;1,"EVET","HAYIR"))</f>
        <v/>
      </c>
      <c r="G135" s="17">
        <f>IF($A135="","",ROW()-ROW($A$5))</f>
        <v/>
      </c>
      <c r="I135" s="7">
        <f>IF(HAKEDIS!A135="","",HAKEDIS!A135)</f>
        <v/>
      </c>
      <c r="J135" s="17">
        <f>UPPER(TRIM(SUBSTITUTE($I135," ","")))</f>
        <v/>
      </c>
      <c r="K135" s="17">
        <f>IF($J135="",0,LEN($J135))</f>
        <v/>
      </c>
      <c r="L135" s="17">
        <f>IF($J135="","",LEFT($J135,tyk_ikincilUzunluk))</f>
        <v/>
      </c>
      <c r="M135" s="17">
        <f>"B"</f>
        <v/>
      </c>
      <c r="N135" s="17">
        <f>IF($J135="","",IF(COUNTIF(tblAnahtarB[NormB],$J135)&gt;1,"EVET","HAYIR"))</f>
        <v/>
      </c>
      <c r="O135" s="17">
        <f>IF($I135="","",ROW()-ROW($I$5))</f>
        <v/>
      </c>
    </row>
    <row r="136">
      <c r="A136" s="7">
        <f>IF(GIRDI!A136="","",GIRDI!A136)</f>
        <v/>
      </c>
      <c r="B136" s="17">
        <f>UPPER(TRIM(SUBSTITUTE($A136," ","")))</f>
        <v/>
      </c>
      <c r="C136" s="17">
        <f>IF($B136="",0,LEN($B136))</f>
        <v/>
      </c>
      <c r="D136" s="17">
        <f>IF($B136="","",LEFT($B136,tyk_ikincilUzunluk))</f>
        <v/>
      </c>
      <c r="E136" s="17">
        <f>"A"</f>
        <v/>
      </c>
      <c r="F136" s="17">
        <f>IF($B136="","",IF(COUNTIF(tblAnahtarA[Norm],$B136)&gt;1,"EVET","HAYIR"))</f>
        <v/>
      </c>
      <c r="G136" s="17">
        <f>IF($A136="","",ROW()-ROW($A$5))</f>
        <v/>
      </c>
      <c r="I136" s="7">
        <f>IF(HAKEDIS!A136="","",HAKEDIS!A136)</f>
        <v/>
      </c>
      <c r="J136" s="17">
        <f>UPPER(TRIM(SUBSTITUTE($I136," ","")))</f>
        <v/>
      </c>
      <c r="K136" s="17">
        <f>IF($J136="",0,LEN($J136))</f>
        <v/>
      </c>
      <c r="L136" s="17">
        <f>IF($J136="","",LEFT($J136,tyk_ikincilUzunluk))</f>
        <v/>
      </c>
      <c r="M136" s="17">
        <f>"B"</f>
        <v/>
      </c>
      <c r="N136" s="17">
        <f>IF($J136="","",IF(COUNTIF(tblAnahtarB[NormB],$J136)&gt;1,"EVET","HAYIR"))</f>
        <v/>
      </c>
      <c r="O136" s="17">
        <f>IF($I136="","",ROW()-ROW($I$5))</f>
        <v/>
      </c>
    </row>
    <row r="137">
      <c r="A137" s="7">
        <f>IF(GIRDI!A137="","",GIRDI!A137)</f>
        <v/>
      </c>
      <c r="B137" s="17">
        <f>UPPER(TRIM(SUBSTITUTE($A137," ","")))</f>
        <v/>
      </c>
      <c r="C137" s="17">
        <f>IF($B137="",0,LEN($B137))</f>
        <v/>
      </c>
      <c r="D137" s="17">
        <f>IF($B137="","",LEFT($B137,tyk_ikincilUzunluk))</f>
        <v/>
      </c>
      <c r="E137" s="17">
        <f>"A"</f>
        <v/>
      </c>
      <c r="F137" s="17">
        <f>IF($B137="","",IF(COUNTIF(tblAnahtarA[Norm],$B137)&gt;1,"EVET","HAYIR"))</f>
        <v/>
      </c>
      <c r="G137" s="17">
        <f>IF($A137="","",ROW()-ROW($A$5))</f>
        <v/>
      </c>
      <c r="I137" s="7">
        <f>IF(HAKEDIS!A137="","",HAKEDIS!A137)</f>
        <v/>
      </c>
      <c r="J137" s="17">
        <f>UPPER(TRIM(SUBSTITUTE($I137," ","")))</f>
        <v/>
      </c>
      <c r="K137" s="17">
        <f>IF($J137="",0,LEN($J137))</f>
        <v/>
      </c>
      <c r="L137" s="17">
        <f>IF($J137="","",LEFT($J137,tyk_ikincilUzunluk))</f>
        <v/>
      </c>
      <c r="M137" s="17">
        <f>"B"</f>
        <v/>
      </c>
      <c r="N137" s="17">
        <f>IF($J137="","",IF(COUNTIF(tblAnahtarB[NormB],$J137)&gt;1,"EVET","HAYIR"))</f>
        <v/>
      </c>
      <c r="O137" s="17">
        <f>IF($I137="","",ROW()-ROW($I$5))</f>
        <v/>
      </c>
    </row>
    <row r="138">
      <c r="A138" s="7">
        <f>IF(GIRDI!A138="","",GIRDI!A138)</f>
        <v/>
      </c>
      <c r="B138" s="17">
        <f>UPPER(TRIM(SUBSTITUTE($A138," ","")))</f>
        <v/>
      </c>
      <c r="C138" s="17">
        <f>IF($B138="",0,LEN($B138))</f>
        <v/>
      </c>
      <c r="D138" s="17">
        <f>IF($B138="","",LEFT($B138,tyk_ikincilUzunluk))</f>
        <v/>
      </c>
      <c r="E138" s="17">
        <f>"A"</f>
        <v/>
      </c>
      <c r="F138" s="17">
        <f>IF($B138="","",IF(COUNTIF(tblAnahtarA[Norm],$B138)&gt;1,"EVET","HAYIR"))</f>
        <v/>
      </c>
      <c r="G138" s="17">
        <f>IF($A138="","",ROW()-ROW($A$5))</f>
        <v/>
      </c>
      <c r="I138" s="7">
        <f>IF(HAKEDIS!A138="","",HAKEDIS!A138)</f>
        <v/>
      </c>
      <c r="J138" s="17">
        <f>UPPER(TRIM(SUBSTITUTE($I138," ","")))</f>
        <v/>
      </c>
      <c r="K138" s="17">
        <f>IF($J138="",0,LEN($J138))</f>
        <v/>
      </c>
      <c r="L138" s="17">
        <f>IF($J138="","",LEFT($J138,tyk_ikincilUzunluk))</f>
        <v/>
      </c>
      <c r="M138" s="17">
        <f>"B"</f>
        <v/>
      </c>
      <c r="N138" s="17">
        <f>IF($J138="","",IF(COUNTIF(tblAnahtarB[NormB],$J138)&gt;1,"EVET","HAYIR"))</f>
        <v/>
      </c>
      <c r="O138" s="17">
        <f>IF($I138="","",ROW()-ROW($I$5))</f>
        <v/>
      </c>
    </row>
    <row r="139">
      <c r="A139" s="7">
        <f>IF(GIRDI!A139="","",GIRDI!A139)</f>
        <v/>
      </c>
      <c r="B139" s="17">
        <f>UPPER(TRIM(SUBSTITUTE($A139," ","")))</f>
        <v/>
      </c>
      <c r="C139" s="17">
        <f>IF($B139="",0,LEN($B139))</f>
        <v/>
      </c>
      <c r="D139" s="17">
        <f>IF($B139="","",LEFT($B139,tyk_ikincilUzunluk))</f>
        <v/>
      </c>
      <c r="E139" s="17">
        <f>"A"</f>
        <v/>
      </c>
      <c r="F139" s="17">
        <f>IF($B139="","",IF(COUNTIF(tblAnahtarA[Norm],$B139)&gt;1,"EVET","HAYIR"))</f>
        <v/>
      </c>
      <c r="G139" s="17">
        <f>IF($A139="","",ROW()-ROW($A$5))</f>
        <v/>
      </c>
      <c r="I139" s="7">
        <f>IF(HAKEDIS!A139="","",HAKEDIS!A139)</f>
        <v/>
      </c>
      <c r="J139" s="17">
        <f>UPPER(TRIM(SUBSTITUTE($I139," ","")))</f>
        <v/>
      </c>
      <c r="K139" s="17">
        <f>IF($J139="",0,LEN($J139))</f>
        <v/>
      </c>
      <c r="L139" s="17">
        <f>IF($J139="","",LEFT($J139,tyk_ikincilUzunluk))</f>
        <v/>
      </c>
      <c r="M139" s="17">
        <f>"B"</f>
        <v/>
      </c>
      <c r="N139" s="17">
        <f>IF($J139="","",IF(COUNTIF(tblAnahtarB[NormB],$J139)&gt;1,"EVET","HAYIR"))</f>
        <v/>
      </c>
      <c r="O139" s="17">
        <f>IF($I139="","",ROW()-ROW($I$5))</f>
        <v/>
      </c>
    </row>
    <row r="140">
      <c r="A140" s="7">
        <f>IF(GIRDI!A140="","",GIRDI!A140)</f>
        <v/>
      </c>
      <c r="B140" s="17">
        <f>UPPER(TRIM(SUBSTITUTE($A140," ","")))</f>
        <v/>
      </c>
      <c r="C140" s="17">
        <f>IF($B140="",0,LEN($B140))</f>
        <v/>
      </c>
      <c r="D140" s="17">
        <f>IF($B140="","",LEFT($B140,tyk_ikincilUzunluk))</f>
        <v/>
      </c>
      <c r="E140" s="17">
        <f>"A"</f>
        <v/>
      </c>
      <c r="F140" s="17">
        <f>IF($B140="","",IF(COUNTIF(tblAnahtarA[Norm],$B140)&gt;1,"EVET","HAYIR"))</f>
        <v/>
      </c>
      <c r="G140" s="17">
        <f>IF($A140="","",ROW()-ROW($A$5))</f>
        <v/>
      </c>
      <c r="I140" s="7">
        <f>IF(HAKEDIS!A140="","",HAKEDIS!A140)</f>
        <v/>
      </c>
      <c r="J140" s="17">
        <f>UPPER(TRIM(SUBSTITUTE($I140," ","")))</f>
        <v/>
      </c>
      <c r="K140" s="17">
        <f>IF($J140="",0,LEN($J140))</f>
        <v/>
      </c>
      <c r="L140" s="17">
        <f>IF($J140="","",LEFT($J140,tyk_ikincilUzunluk))</f>
        <v/>
      </c>
      <c r="M140" s="17">
        <f>"B"</f>
        <v/>
      </c>
      <c r="N140" s="17">
        <f>IF($J140="","",IF(COUNTIF(tblAnahtarB[NormB],$J140)&gt;1,"EVET","HAYIR"))</f>
        <v/>
      </c>
      <c r="O140" s="17">
        <f>IF($I140="","",ROW()-ROW($I$5))</f>
        <v/>
      </c>
    </row>
    <row r="141">
      <c r="A141" s="7">
        <f>IF(GIRDI!A141="","",GIRDI!A141)</f>
        <v/>
      </c>
      <c r="B141" s="17">
        <f>UPPER(TRIM(SUBSTITUTE($A141," ","")))</f>
        <v/>
      </c>
      <c r="C141" s="17">
        <f>IF($B141="",0,LEN($B141))</f>
        <v/>
      </c>
      <c r="D141" s="17">
        <f>IF($B141="","",LEFT($B141,tyk_ikincilUzunluk))</f>
        <v/>
      </c>
      <c r="E141" s="17">
        <f>"A"</f>
        <v/>
      </c>
      <c r="F141" s="17">
        <f>IF($B141="","",IF(COUNTIF(tblAnahtarA[Norm],$B141)&gt;1,"EVET","HAYIR"))</f>
        <v/>
      </c>
      <c r="G141" s="17">
        <f>IF($A141="","",ROW()-ROW($A$5))</f>
        <v/>
      </c>
      <c r="I141" s="7">
        <f>IF(HAKEDIS!A141="","",HAKEDIS!A141)</f>
        <v/>
      </c>
      <c r="J141" s="17">
        <f>UPPER(TRIM(SUBSTITUTE($I141," ","")))</f>
        <v/>
      </c>
      <c r="K141" s="17">
        <f>IF($J141="",0,LEN($J141))</f>
        <v/>
      </c>
      <c r="L141" s="17">
        <f>IF($J141="","",LEFT($J141,tyk_ikincilUzunluk))</f>
        <v/>
      </c>
      <c r="M141" s="17">
        <f>"B"</f>
        <v/>
      </c>
      <c r="N141" s="17">
        <f>IF($J141="","",IF(COUNTIF(tblAnahtarB[NormB],$J141)&gt;1,"EVET","HAYIR"))</f>
        <v/>
      </c>
      <c r="O141" s="17">
        <f>IF($I141="","",ROW()-ROW($I$5))</f>
        <v/>
      </c>
    </row>
    <row r="142">
      <c r="A142" s="7">
        <f>IF(GIRDI!A142="","",GIRDI!A142)</f>
        <v/>
      </c>
      <c r="B142" s="17">
        <f>UPPER(TRIM(SUBSTITUTE($A142," ","")))</f>
        <v/>
      </c>
      <c r="C142" s="17">
        <f>IF($B142="",0,LEN($B142))</f>
        <v/>
      </c>
      <c r="D142" s="17">
        <f>IF($B142="","",LEFT($B142,tyk_ikincilUzunluk))</f>
        <v/>
      </c>
      <c r="E142" s="17">
        <f>"A"</f>
        <v/>
      </c>
      <c r="F142" s="17">
        <f>IF($B142="","",IF(COUNTIF(tblAnahtarA[Norm],$B142)&gt;1,"EVET","HAYIR"))</f>
        <v/>
      </c>
      <c r="G142" s="17">
        <f>IF($A142="","",ROW()-ROW($A$5))</f>
        <v/>
      </c>
      <c r="I142" s="7">
        <f>IF(HAKEDIS!A142="","",HAKEDIS!A142)</f>
        <v/>
      </c>
      <c r="J142" s="17">
        <f>UPPER(TRIM(SUBSTITUTE($I142," ","")))</f>
        <v/>
      </c>
      <c r="K142" s="17">
        <f>IF($J142="",0,LEN($J142))</f>
        <v/>
      </c>
      <c r="L142" s="17">
        <f>IF($J142="","",LEFT($J142,tyk_ikincilUzunluk))</f>
        <v/>
      </c>
      <c r="M142" s="17">
        <f>"B"</f>
        <v/>
      </c>
      <c r="N142" s="17">
        <f>IF($J142="","",IF(COUNTIF(tblAnahtarB[NormB],$J142)&gt;1,"EVET","HAYIR"))</f>
        <v/>
      </c>
      <c r="O142" s="17">
        <f>IF($I142="","",ROW()-ROW($I$5))</f>
        <v/>
      </c>
    </row>
    <row r="143">
      <c r="A143" s="7">
        <f>IF(GIRDI!A143="","",GIRDI!A143)</f>
        <v/>
      </c>
      <c r="B143" s="17">
        <f>UPPER(TRIM(SUBSTITUTE($A143," ","")))</f>
        <v/>
      </c>
      <c r="C143" s="17">
        <f>IF($B143="",0,LEN($B143))</f>
        <v/>
      </c>
      <c r="D143" s="17">
        <f>IF($B143="","",LEFT($B143,tyk_ikincilUzunluk))</f>
        <v/>
      </c>
      <c r="E143" s="17">
        <f>"A"</f>
        <v/>
      </c>
      <c r="F143" s="17">
        <f>IF($B143="","",IF(COUNTIF(tblAnahtarA[Norm],$B143)&gt;1,"EVET","HAYIR"))</f>
        <v/>
      </c>
      <c r="G143" s="17">
        <f>IF($A143="","",ROW()-ROW($A$5))</f>
        <v/>
      </c>
      <c r="I143" s="7">
        <f>IF(HAKEDIS!A143="","",HAKEDIS!A143)</f>
        <v/>
      </c>
      <c r="J143" s="17">
        <f>UPPER(TRIM(SUBSTITUTE($I143," ","")))</f>
        <v/>
      </c>
      <c r="K143" s="17">
        <f>IF($J143="",0,LEN($J143))</f>
        <v/>
      </c>
      <c r="L143" s="17">
        <f>IF($J143="","",LEFT($J143,tyk_ikincilUzunluk))</f>
        <v/>
      </c>
      <c r="M143" s="17">
        <f>"B"</f>
        <v/>
      </c>
      <c r="N143" s="17">
        <f>IF($J143="","",IF(COUNTIF(tblAnahtarB[NormB],$J143)&gt;1,"EVET","HAYIR"))</f>
        <v/>
      </c>
      <c r="O143" s="17">
        <f>IF($I143="","",ROW()-ROW($I$5))</f>
        <v/>
      </c>
    </row>
    <row r="144">
      <c r="A144" s="7">
        <f>IF(GIRDI!A144="","",GIRDI!A144)</f>
        <v/>
      </c>
      <c r="B144" s="17">
        <f>UPPER(TRIM(SUBSTITUTE($A144," ","")))</f>
        <v/>
      </c>
      <c r="C144" s="17">
        <f>IF($B144="",0,LEN($B144))</f>
        <v/>
      </c>
      <c r="D144" s="17">
        <f>IF($B144="","",LEFT($B144,tyk_ikincilUzunluk))</f>
        <v/>
      </c>
      <c r="E144" s="17">
        <f>"A"</f>
        <v/>
      </c>
      <c r="F144" s="17">
        <f>IF($B144="","",IF(COUNTIF(tblAnahtarA[Norm],$B144)&gt;1,"EVET","HAYIR"))</f>
        <v/>
      </c>
      <c r="G144" s="17">
        <f>IF($A144="","",ROW()-ROW($A$5))</f>
        <v/>
      </c>
      <c r="I144" s="7">
        <f>IF(HAKEDIS!A144="","",HAKEDIS!A144)</f>
        <v/>
      </c>
      <c r="J144" s="17">
        <f>UPPER(TRIM(SUBSTITUTE($I144," ","")))</f>
        <v/>
      </c>
      <c r="K144" s="17">
        <f>IF($J144="",0,LEN($J144))</f>
        <v/>
      </c>
      <c r="L144" s="17">
        <f>IF($J144="","",LEFT($J144,tyk_ikincilUzunluk))</f>
        <v/>
      </c>
      <c r="M144" s="17">
        <f>"B"</f>
        <v/>
      </c>
      <c r="N144" s="17">
        <f>IF($J144="","",IF(COUNTIF(tblAnahtarB[NormB],$J144)&gt;1,"EVET","HAYIR"))</f>
        <v/>
      </c>
      <c r="O144" s="17">
        <f>IF($I144="","",ROW()-ROW($I$5))</f>
        <v/>
      </c>
    </row>
    <row r="145">
      <c r="A145" s="7">
        <f>IF(GIRDI!A145="","",GIRDI!A145)</f>
        <v/>
      </c>
      <c r="B145" s="17">
        <f>UPPER(TRIM(SUBSTITUTE($A145," ","")))</f>
        <v/>
      </c>
      <c r="C145" s="17">
        <f>IF($B145="",0,LEN($B145))</f>
        <v/>
      </c>
      <c r="D145" s="17">
        <f>IF($B145="","",LEFT($B145,tyk_ikincilUzunluk))</f>
        <v/>
      </c>
      <c r="E145" s="17">
        <f>"A"</f>
        <v/>
      </c>
      <c r="F145" s="17">
        <f>IF($B145="","",IF(COUNTIF(tblAnahtarA[Norm],$B145)&gt;1,"EVET","HAYIR"))</f>
        <v/>
      </c>
      <c r="G145" s="17">
        <f>IF($A145="","",ROW()-ROW($A$5))</f>
        <v/>
      </c>
      <c r="I145" s="7">
        <f>IF(HAKEDIS!A145="","",HAKEDIS!A145)</f>
        <v/>
      </c>
      <c r="J145" s="17">
        <f>UPPER(TRIM(SUBSTITUTE($I145," ","")))</f>
        <v/>
      </c>
      <c r="K145" s="17">
        <f>IF($J145="",0,LEN($J145))</f>
        <v/>
      </c>
      <c r="L145" s="17">
        <f>IF($J145="","",LEFT($J145,tyk_ikincilUzunluk))</f>
        <v/>
      </c>
      <c r="M145" s="17">
        <f>"B"</f>
        <v/>
      </c>
      <c r="N145" s="17">
        <f>IF($J145="","",IF(COUNTIF(tblAnahtarB[NormB],$J145)&gt;1,"EVET","HAYIR"))</f>
        <v/>
      </c>
      <c r="O145" s="17">
        <f>IF($I145="","",ROW()-ROW($I$5))</f>
        <v/>
      </c>
    </row>
    <row r="146">
      <c r="A146" s="7">
        <f>IF(GIRDI!A146="","",GIRDI!A146)</f>
        <v/>
      </c>
      <c r="B146" s="17">
        <f>UPPER(TRIM(SUBSTITUTE($A146," ","")))</f>
        <v/>
      </c>
      <c r="C146" s="17">
        <f>IF($B146="",0,LEN($B146))</f>
        <v/>
      </c>
      <c r="D146" s="17">
        <f>IF($B146="","",LEFT($B146,tyk_ikincilUzunluk))</f>
        <v/>
      </c>
      <c r="E146" s="17">
        <f>"A"</f>
        <v/>
      </c>
      <c r="F146" s="17">
        <f>IF($B146="","",IF(COUNTIF(tblAnahtarA[Norm],$B146)&gt;1,"EVET","HAYIR"))</f>
        <v/>
      </c>
      <c r="G146" s="17">
        <f>IF($A146="","",ROW()-ROW($A$5))</f>
        <v/>
      </c>
      <c r="I146" s="7">
        <f>IF(HAKEDIS!A146="","",HAKEDIS!A146)</f>
        <v/>
      </c>
      <c r="J146" s="17">
        <f>UPPER(TRIM(SUBSTITUTE($I146," ","")))</f>
        <v/>
      </c>
      <c r="K146" s="17">
        <f>IF($J146="",0,LEN($J146))</f>
        <v/>
      </c>
      <c r="L146" s="17">
        <f>IF($J146="","",LEFT($J146,tyk_ikincilUzunluk))</f>
        <v/>
      </c>
      <c r="M146" s="17">
        <f>"B"</f>
        <v/>
      </c>
      <c r="N146" s="17">
        <f>IF($J146="","",IF(COUNTIF(tblAnahtarB[NormB],$J146)&gt;1,"EVET","HAYIR"))</f>
        <v/>
      </c>
      <c r="O146" s="17">
        <f>IF($I146="","",ROW()-ROW($I$5))</f>
        <v/>
      </c>
    </row>
    <row r="147">
      <c r="A147" s="7">
        <f>IF(GIRDI!A147="","",GIRDI!A147)</f>
        <v/>
      </c>
      <c r="B147" s="17">
        <f>UPPER(TRIM(SUBSTITUTE($A147," ","")))</f>
        <v/>
      </c>
      <c r="C147" s="17">
        <f>IF($B147="",0,LEN($B147))</f>
        <v/>
      </c>
      <c r="D147" s="17">
        <f>IF($B147="","",LEFT($B147,tyk_ikincilUzunluk))</f>
        <v/>
      </c>
      <c r="E147" s="17">
        <f>"A"</f>
        <v/>
      </c>
      <c r="F147" s="17">
        <f>IF($B147="","",IF(COUNTIF(tblAnahtarA[Norm],$B147)&gt;1,"EVET","HAYIR"))</f>
        <v/>
      </c>
      <c r="G147" s="17">
        <f>IF($A147="","",ROW()-ROW($A$5))</f>
        <v/>
      </c>
      <c r="I147" s="7">
        <f>IF(HAKEDIS!A147="","",HAKEDIS!A147)</f>
        <v/>
      </c>
      <c r="J147" s="17">
        <f>UPPER(TRIM(SUBSTITUTE($I147," ","")))</f>
        <v/>
      </c>
      <c r="K147" s="17">
        <f>IF($J147="",0,LEN($J147))</f>
        <v/>
      </c>
      <c r="L147" s="17">
        <f>IF($J147="","",LEFT($J147,tyk_ikincilUzunluk))</f>
        <v/>
      </c>
      <c r="M147" s="17">
        <f>"B"</f>
        <v/>
      </c>
      <c r="N147" s="17">
        <f>IF($J147="","",IF(COUNTIF(tblAnahtarB[NormB],$J147)&gt;1,"EVET","HAYIR"))</f>
        <v/>
      </c>
      <c r="O147" s="17">
        <f>IF($I147="","",ROW()-ROW($I$5))</f>
        <v/>
      </c>
    </row>
    <row r="148">
      <c r="A148" s="7">
        <f>IF(GIRDI!A148="","",GIRDI!A148)</f>
        <v/>
      </c>
      <c r="B148" s="17">
        <f>UPPER(TRIM(SUBSTITUTE($A148," ","")))</f>
        <v/>
      </c>
      <c r="C148" s="17">
        <f>IF($B148="",0,LEN($B148))</f>
        <v/>
      </c>
      <c r="D148" s="17">
        <f>IF($B148="","",LEFT($B148,tyk_ikincilUzunluk))</f>
        <v/>
      </c>
      <c r="E148" s="17">
        <f>"A"</f>
        <v/>
      </c>
      <c r="F148" s="17">
        <f>IF($B148="","",IF(COUNTIF(tblAnahtarA[Norm],$B148)&gt;1,"EVET","HAYIR"))</f>
        <v/>
      </c>
      <c r="G148" s="17">
        <f>IF($A148="","",ROW()-ROW($A$5))</f>
        <v/>
      </c>
      <c r="I148" s="7">
        <f>IF(HAKEDIS!A148="","",HAKEDIS!A148)</f>
        <v/>
      </c>
      <c r="J148" s="17">
        <f>UPPER(TRIM(SUBSTITUTE($I148," ","")))</f>
        <v/>
      </c>
      <c r="K148" s="17">
        <f>IF($J148="",0,LEN($J148))</f>
        <v/>
      </c>
      <c r="L148" s="17">
        <f>IF($J148="","",LEFT($J148,tyk_ikincilUzunluk))</f>
        <v/>
      </c>
      <c r="M148" s="17">
        <f>"B"</f>
        <v/>
      </c>
      <c r="N148" s="17">
        <f>IF($J148="","",IF(COUNTIF(tblAnahtarB[NormB],$J148)&gt;1,"EVET","HAYIR"))</f>
        <v/>
      </c>
      <c r="O148" s="17">
        <f>IF($I148="","",ROW()-ROW($I$5))</f>
        <v/>
      </c>
    </row>
    <row r="149">
      <c r="A149" s="7">
        <f>IF(GIRDI!A149="","",GIRDI!A149)</f>
        <v/>
      </c>
      <c r="B149" s="17">
        <f>UPPER(TRIM(SUBSTITUTE($A149," ","")))</f>
        <v/>
      </c>
      <c r="C149" s="17">
        <f>IF($B149="",0,LEN($B149))</f>
        <v/>
      </c>
      <c r="D149" s="17">
        <f>IF($B149="","",LEFT($B149,tyk_ikincilUzunluk))</f>
        <v/>
      </c>
      <c r="E149" s="17">
        <f>"A"</f>
        <v/>
      </c>
      <c r="F149" s="17">
        <f>IF($B149="","",IF(COUNTIF(tblAnahtarA[Norm],$B149)&gt;1,"EVET","HAYIR"))</f>
        <v/>
      </c>
      <c r="G149" s="17">
        <f>IF($A149="","",ROW()-ROW($A$5))</f>
        <v/>
      </c>
      <c r="I149" s="7">
        <f>IF(HAKEDIS!A149="","",HAKEDIS!A149)</f>
        <v/>
      </c>
      <c r="J149" s="17">
        <f>UPPER(TRIM(SUBSTITUTE($I149," ","")))</f>
        <v/>
      </c>
      <c r="K149" s="17">
        <f>IF($J149="",0,LEN($J149))</f>
        <v/>
      </c>
      <c r="L149" s="17">
        <f>IF($J149="","",LEFT($J149,tyk_ikincilUzunluk))</f>
        <v/>
      </c>
      <c r="M149" s="17">
        <f>"B"</f>
        <v/>
      </c>
      <c r="N149" s="17">
        <f>IF($J149="","",IF(COUNTIF(tblAnahtarB[NormB],$J149)&gt;1,"EVET","HAYIR"))</f>
        <v/>
      </c>
      <c r="O149" s="17">
        <f>IF($I149="","",ROW()-ROW($I$5))</f>
        <v/>
      </c>
    </row>
    <row r="150">
      <c r="A150" s="7">
        <f>IF(GIRDI!A150="","",GIRDI!A150)</f>
        <v/>
      </c>
      <c r="B150" s="17">
        <f>UPPER(TRIM(SUBSTITUTE($A150," ","")))</f>
        <v/>
      </c>
      <c r="C150" s="17">
        <f>IF($B150="",0,LEN($B150))</f>
        <v/>
      </c>
      <c r="D150" s="17">
        <f>IF($B150="","",LEFT($B150,tyk_ikincilUzunluk))</f>
        <v/>
      </c>
      <c r="E150" s="17">
        <f>"A"</f>
        <v/>
      </c>
      <c r="F150" s="17">
        <f>IF($B150="","",IF(COUNTIF(tblAnahtarA[Norm],$B150)&gt;1,"EVET","HAYIR"))</f>
        <v/>
      </c>
      <c r="G150" s="17">
        <f>IF($A150="","",ROW()-ROW($A$5))</f>
        <v/>
      </c>
      <c r="I150" s="7">
        <f>IF(HAKEDIS!A150="","",HAKEDIS!A150)</f>
        <v/>
      </c>
      <c r="J150" s="17">
        <f>UPPER(TRIM(SUBSTITUTE($I150," ","")))</f>
        <v/>
      </c>
      <c r="K150" s="17">
        <f>IF($J150="",0,LEN($J150))</f>
        <v/>
      </c>
      <c r="L150" s="17">
        <f>IF($J150="","",LEFT($J150,tyk_ikincilUzunluk))</f>
        <v/>
      </c>
      <c r="M150" s="17">
        <f>"B"</f>
        <v/>
      </c>
      <c r="N150" s="17">
        <f>IF($J150="","",IF(COUNTIF(tblAnahtarB[NormB],$J150)&gt;1,"EVET","HAYIR"))</f>
        <v/>
      </c>
      <c r="O150" s="17">
        <f>IF($I150="","",ROW()-ROW($I$5))</f>
        <v/>
      </c>
    </row>
    <row r="151">
      <c r="A151" s="7">
        <f>IF(GIRDI!A151="","",GIRDI!A151)</f>
        <v/>
      </c>
      <c r="B151" s="17">
        <f>UPPER(TRIM(SUBSTITUTE($A151," ","")))</f>
        <v/>
      </c>
      <c r="C151" s="17">
        <f>IF($B151="",0,LEN($B151))</f>
        <v/>
      </c>
      <c r="D151" s="17">
        <f>IF($B151="","",LEFT($B151,tyk_ikincilUzunluk))</f>
        <v/>
      </c>
      <c r="E151" s="17">
        <f>"A"</f>
        <v/>
      </c>
      <c r="F151" s="17">
        <f>IF($B151="","",IF(COUNTIF(tblAnahtarA[Norm],$B151)&gt;1,"EVET","HAYIR"))</f>
        <v/>
      </c>
      <c r="G151" s="17">
        <f>IF($A151="","",ROW()-ROW($A$5))</f>
        <v/>
      </c>
      <c r="I151" s="7">
        <f>IF(HAKEDIS!A151="","",HAKEDIS!A151)</f>
        <v/>
      </c>
      <c r="J151" s="17">
        <f>UPPER(TRIM(SUBSTITUTE($I151," ","")))</f>
        <v/>
      </c>
      <c r="K151" s="17">
        <f>IF($J151="",0,LEN($J151))</f>
        <v/>
      </c>
      <c r="L151" s="17">
        <f>IF($J151="","",LEFT($J151,tyk_ikincilUzunluk))</f>
        <v/>
      </c>
      <c r="M151" s="17">
        <f>"B"</f>
        <v/>
      </c>
      <c r="N151" s="17">
        <f>IF($J151="","",IF(COUNTIF(tblAnahtarB[NormB],$J151)&gt;1,"EVET","HAYIR"))</f>
        <v/>
      </c>
      <c r="O151" s="17">
        <f>IF($I151="","",ROW()-ROW($I$5))</f>
        <v/>
      </c>
    </row>
    <row r="152">
      <c r="A152" s="7">
        <f>IF(GIRDI!A152="","",GIRDI!A152)</f>
        <v/>
      </c>
      <c r="B152" s="17">
        <f>UPPER(TRIM(SUBSTITUTE($A152," ","")))</f>
        <v/>
      </c>
      <c r="C152" s="17">
        <f>IF($B152="",0,LEN($B152))</f>
        <v/>
      </c>
      <c r="D152" s="17">
        <f>IF($B152="","",LEFT($B152,tyk_ikincilUzunluk))</f>
        <v/>
      </c>
      <c r="E152" s="17">
        <f>"A"</f>
        <v/>
      </c>
      <c r="F152" s="17">
        <f>IF($B152="","",IF(COUNTIF(tblAnahtarA[Norm],$B152)&gt;1,"EVET","HAYIR"))</f>
        <v/>
      </c>
      <c r="G152" s="17">
        <f>IF($A152="","",ROW()-ROW($A$5))</f>
        <v/>
      </c>
      <c r="I152" s="7">
        <f>IF(HAKEDIS!A152="","",HAKEDIS!A152)</f>
        <v/>
      </c>
      <c r="J152" s="17">
        <f>UPPER(TRIM(SUBSTITUTE($I152," ","")))</f>
        <v/>
      </c>
      <c r="K152" s="17">
        <f>IF($J152="",0,LEN($J152))</f>
        <v/>
      </c>
      <c r="L152" s="17">
        <f>IF($J152="","",LEFT($J152,tyk_ikincilUzunluk))</f>
        <v/>
      </c>
      <c r="M152" s="17">
        <f>"B"</f>
        <v/>
      </c>
      <c r="N152" s="17">
        <f>IF($J152="","",IF(COUNTIF(tblAnahtarB[NormB],$J152)&gt;1,"EVET","HAYIR"))</f>
        <v/>
      </c>
      <c r="O152" s="17">
        <f>IF($I152="","",ROW()-ROW($I$5))</f>
        <v/>
      </c>
    </row>
    <row r="153">
      <c r="A153" s="7">
        <f>IF(GIRDI!A153="","",GIRDI!A153)</f>
        <v/>
      </c>
      <c r="B153" s="17">
        <f>UPPER(TRIM(SUBSTITUTE($A153," ","")))</f>
        <v/>
      </c>
      <c r="C153" s="17">
        <f>IF($B153="",0,LEN($B153))</f>
        <v/>
      </c>
      <c r="D153" s="17">
        <f>IF($B153="","",LEFT($B153,tyk_ikincilUzunluk))</f>
        <v/>
      </c>
      <c r="E153" s="17">
        <f>"A"</f>
        <v/>
      </c>
      <c r="F153" s="17">
        <f>IF($B153="","",IF(COUNTIF(tblAnahtarA[Norm],$B153)&gt;1,"EVET","HAYIR"))</f>
        <v/>
      </c>
      <c r="G153" s="17">
        <f>IF($A153="","",ROW()-ROW($A$5))</f>
        <v/>
      </c>
      <c r="I153" s="7">
        <f>IF(HAKEDIS!A153="","",HAKEDIS!A153)</f>
        <v/>
      </c>
      <c r="J153" s="17">
        <f>UPPER(TRIM(SUBSTITUTE($I153," ","")))</f>
        <v/>
      </c>
      <c r="K153" s="17">
        <f>IF($J153="",0,LEN($J153))</f>
        <v/>
      </c>
      <c r="L153" s="17">
        <f>IF($J153="","",LEFT($J153,tyk_ikincilUzunluk))</f>
        <v/>
      </c>
      <c r="M153" s="17">
        <f>"B"</f>
        <v/>
      </c>
      <c r="N153" s="17">
        <f>IF($J153="","",IF(COUNTIF(tblAnahtarB[NormB],$J153)&gt;1,"EVET","HAYIR"))</f>
        <v/>
      </c>
      <c r="O153" s="17">
        <f>IF($I153="","",ROW()-ROW($I$5))</f>
        <v/>
      </c>
    </row>
    <row r="154">
      <c r="A154" s="7">
        <f>IF(GIRDI!A154="","",GIRDI!A154)</f>
        <v/>
      </c>
      <c r="B154" s="17">
        <f>UPPER(TRIM(SUBSTITUTE($A154," ","")))</f>
        <v/>
      </c>
      <c r="C154" s="17">
        <f>IF($B154="",0,LEN($B154))</f>
        <v/>
      </c>
      <c r="D154" s="17">
        <f>IF($B154="","",LEFT($B154,tyk_ikincilUzunluk))</f>
        <v/>
      </c>
      <c r="E154" s="17">
        <f>"A"</f>
        <v/>
      </c>
      <c r="F154" s="17">
        <f>IF($B154="","",IF(COUNTIF(tblAnahtarA[Norm],$B154)&gt;1,"EVET","HAYIR"))</f>
        <v/>
      </c>
      <c r="G154" s="17">
        <f>IF($A154="","",ROW()-ROW($A$5))</f>
        <v/>
      </c>
      <c r="I154" s="7">
        <f>IF(HAKEDIS!A154="","",HAKEDIS!A154)</f>
        <v/>
      </c>
      <c r="J154" s="17">
        <f>UPPER(TRIM(SUBSTITUTE($I154," ","")))</f>
        <v/>
      </c>
      <c r="K154" s="17">
        <f>IF($J154="",0,LEN($J154))</f>
        <v/>
      </c>
      <c r="L154" s="17">
        <f>IF($J154="","",LEFT($J154,tyk_ikincilUzunluk))</f>
        <v/>
      </c>
      <c r="M154" s="17">
        <f>"B"</f>
        <v/>
      </c>
      <c r="N154" s="17">
        <f>IF($J154="","",IF(COUNTIF(tblAnahtarB[NormB],$J154)&gt;1,"EVET","HAYIR"))</f>
        <v/>
      </c>
      <c r="O154" s="17">
        <f>IF($I154="","",ROW()-ROW($I$5))</f>
        <v/>
      </c>
    </row>
    <row r="155">
      <c r="A155" s="7">
        <f>IF(GIRDI!A155="","",GIRDI!A155)</f>
        <v/>
      </c>
      <c r="B155" s="17">
        <f>UPPER(TRIM(SUBSTITUTE($A155," ","")))</f>
        <v/>
      </c>
      <c r="C155" s="17">
        <f>IF($B155="",0,LEN($B155))</f>
        <v/>
      </c>
      <c r="D155" s="17">
        <f>IF($B155="","",LEFT($B155,tyk_ikincilUzunluk))</f>
        <v/>
      </c>
      <c r="E155" s="17">
        <f>"A"</f>
        <v/>
      </c>
      <c r="F155" s="17">
        <f>IF($B155="","",IF(COUNTIF(tblAnahtarA[Norm],$B155)&gt;1,"EVET","HAYIR"))</f>
        <v/>
      </c>
      <c r="G155" s="17">
        <f>IF($A155="","",ROW()-ROW($A$5))</f>
        <v/>
      </c>
      <c r="I155" s="7">
        <f>IF(HAKEDIS!A155="","",HAKEDIS!A155)</f>
        <v/>
      </c>
      <c r="J155" s="17">
        <f>UPPER(TRIM(SUBSTITUTE($I155," ","")))</f>
        <v/>
      </c>
      <c r="K155" s="17">
        <f>IF($J155="",0,LEN($J155))</f>
        <v/>
      </c>
      <c r="L155" s="17">
        <f>IF($J155="","",LEFT($J155,tyk_ikincilUzunluk))</f>
        <v/>
      </c>
      <c r="M155" s="17">
        <f>"B"</f>
        <v/>
      </c>
      <c r="N155" s="17">
        <f>IF($J155="","",IF(COUNTIF(tblAnahtarB[NormB],$J155)&gt;1,"EVET","HAYIR"))</f>
        <v/>
      </c>
      <c r="O155" s="17">
        <f>IF($I155="","",ROW()-ROW($I$5))</f>
        <v/>
      </c>
    </row>
    <row r="156">
      <c r="A156" s="7">
        <f>IF(GIRDI!A156="","",GIRDI!A156)</f>
        <v/>
      </c>
      <c r="B156" s="17">
        <f>UPPER(TRIM(SUBSTITUTE($A156," ","")))</f>
        <v/>
      </c>
      <c r="C156" s="17">
        <f>IF($B156="",0,LEN($B156))</f>
        <v/>
      </c>
      <c r="D156" s="17">
        <f>IF($B156="","",LEFT($B156,tyk_ikincilUzunluk))</f>
        <v/>
      </c>
      <c r="E156" s="17">
        <f>"A"</f>
        <v/>
      </c>
      <c r="F156" s="17">
        <f>IF($B156="","",IF(COUNTIF(tblAnahtarA[Norm],$B156)&gt;1,"EVET","HAYIR"))</f>
        <v/>
      </c>
      <c r="G156" s="17">
        <f>IF($A156="","",ROW()-ROW($A$5))</f>
        <v/>
      </c>
      <c r="I156" s="7">
        <f>IF(HAKEDIS!A156="","",HAKEDIS!A156)</f>
        <v/>
      </c>
      <c r="J156" s="17">
        <f>UPPER(TRIM(SUBSTITUTE($I156," ","")))</f>
        <v/>
      </c>
      <c r="K156" s="17">
        <f>IF($J156="",0,LEN($J156))</f>
        <v/>
      </c>
      <c r="L156" s="17">
        <f>IF($J156="","",LEFT($J156,tyk_ikincilUzunluk))</f>
        <v/>
      </c>
      <c r="M156" s="17">
        <f>"B"</f>
        <v/>
      </c>
      <c r="N156" s="17">
        <f>IF($J156="","",IF(COUNTIF(tblAnahtarB[NormB],$J156)&gt;1,"EVET","HAYIR"))</f>
        <v/>
      </c>
      <c r="O156" s="17">
        <f>IF($I156="","",ROW()-ROW($I$5))</f>
        <v/>
      </c>
    </row>
    <row r="157">
      <c r="A157" s="7">
        <f>IF(GIRDI!A157="","",GIRDI!A157)</f>
        <v/>
      </c>
      <c r="B157" s="17">
        <f>UPPER(TRIM(SUBSTITUTE($A157," ","")))</f>
        <v/>
      </c>
      <c r="C157" s="17">
        <f>IF($B157="",0,LEN($B157))</f>
        <v/>
      </c>
      <c r="D157" s="17">
        <f>IF($B157="","",LEFT($B157,tyk_ikincilUzunluk))</f>
        <v/>
      </c>
      <c r="E157" s="17">
        <f>"A"</f>
        <v/>
      </c>
      <c r="F157" s="17">
        <f>IF($B157="","",IF(COUNTIF(tblAnahtarA[Norm],$B157)&gt;1,"EVET","HAYIR"))</f>
        <v/>
      </c>
      <c r="G157" s="17">
        <f>IF($A157="","",ROW()-ROW($A$5))</f>
        <v/>
      </c>
      <c r="I157" s="7">
        <f>IF(HAKEDIS!A157="","",HAKEDIS!A157)</f>
        <v/>
      </c>
      <c r="J157" s="17">
        <f>UPPER(TRIM(SUBSTITUTE($I157," ","")))</f>
        <v/>
      </c>
      <c r="K157" s="17">
        <f>IF($J157="",0,LEN($J157))</f>
        <v/>
      </c>
      <c r="L157" s="17">
        <f>IF($J157="","",LEFT($J157,tyk_ikincilUzunluk))</f>
        <v/>
      </c>
      <c r="M157" s="17">
        <f>"B"</f>
        <v/>
      </c>
      <c r="N157" s="17">
        <f>IF($J157="","",IF(COUNTIF(tblAnahtarB[NormB],$J157)&gt;1,"EVET","HAYIR"))</f>
        <v/>
      </c>
      <c r="O157" s="17">
        <f>IF($I157="","",ROW()-ROW($I$5))</f>
        <v/>
      </c>
    </row>
    <row r="158">
      <c r="A158" s="7">
        <f>IF(GIRDI!A158="","",GIRDI!A158)</f>
        <v/>
      </c>
      <c r="B158" s="17">
        <f>UPPER(TRIM(SUBSTITUTE($A158," ","")))</f>
        <v/>
      </c>
      <c r="C158" s="17">
        <f>IF($B158="",0,LEN($B158))</f>
        <v/>
      </c>
      <c r="D158" s="17">
        <f>IF($B158="","",LEFT($B158,tyk_ikincilUzunluk))</f>
        <v/>
      </c>
      <c r="E158" s="17">
        <f>"A"</f>
        <v/>
      </c>
      <c r="F158" s="17">
        <f>IF($B158="","",IF(COUNTIF(tblAnahtarA[Norm],$B158)&gt;1,"EVET","HAYIR"))</f>
        <v/>
      </c>
      <c r="G158" s="17">
        <f>IF($A158="","",ROW()-ROW($A$5))</f>
        <v/>
      </c>
      <c r="I158" s="7">
        <f>IF(HAKEDIS!A158="","",HAKEDIS!A158)</f>
        <v/>
      </c>
      <c r="J158" s="17">
        <f>UPPER(TRIM(SUBSTITUTE($I158," ","")))</f>
        <v/>
      </c>
      <c r="K158" s="17">
        <f>IF($J158="",0,LEN($J158))</f>
        <v/>
      </c>
      <c r="L158" s="17">
        <f>IF($J158="","",LEFT($J158,tyk_ikincilUzunluk))</f>
        <v/>
      </c>
      <c r="M158" s="17">
        <f>"B"</f>
        <v/>
      </c>
      <c r="N158" s="17">
        <f>IF($J158="","",IF(COUNTIF(tblAnahtarB[NormB],$J158)&gt;1,"EVET","HAYIR"))</f>
        <v/>
      </c>
      <c r="O158" s="17">
        <f>IF($I158="","",ROW()-ROW($I$5))</f>
        <v/>
      </c>
    </row>
    <row r="159">
      <c r="A159" s="7">
        <f>IF(GIRDI!A159="","",GIRDI!A159)</f>
        <v/>
      </c>
      <c r="B159" s="17">
        <f>UPPER(TRIM(SUBSTITUTE($A159," ","")))</f>
        <v/>
      </c>
      <c r="C159" s="17">
        <f>IF($B159="",0,LEN($B159))</f>
        <v/>
      </c>
      <c r="D159" s="17">
        <f>IF($B159="","",LEFT($B159,tyk_ikincilUzunluk))</f>
        <v/>
      </c>
      <c r="E159" s="17">
        <f>"A"</f>
        <v/>
      </c>
      <c r="F159" s="17">
        <f>IF($B159="","",IF(COUNTIF(tblAnahtarA[Norm],$B159)&gt;1,"EVET","HAYIR"))</f>
        <v/>
      </c>
      <c r="G159" s="17">
        <f>IF($A159="","",ROW()-ROW($A$5))</f>
        <v/>
      </c>
      <c r="I159" s="7">
        <f>IF(HAKEDIS!A159="","",HAKEDIS!A159)</f>
        <v/>
      </c>
      <c r="J159" s="17">
        <f>UPPER(TRIM(SUBSTITUTE($I159," ","")))</f>
        <v/>
      </c>
      <c r="K159" s="17">
        <f>IF($J159="",0,LEN($J159))</f>
        <v/>
      </c>
      <c r="L159" s="17">
        <f>IF($J159="","",LEFT($J159,tyk_ikincilUzunluk))</f>
        <v/>
      </c>
      <c r="M159" s="17">
        <f>"B"</f>
        <v/>
      </c>
      <c r="N159" s="17">
        <f>IF($J159="","",IF(COUNTIF(tblAnahtarB[NormB],$J159)&gt;1,"EVET","HAYIR"))</f>
        <v/>
      </c>
      <c r="O159" s="17">
        <f>IF($I159="","",ROW()-ROW($I$5))</f>
        <v/>
      </c>
    </row>
    <row r="160">
      <c r="A160" s="7">
        <f>IF(GIRDI!A160="","",GIRDI!A160)</f>
        <v/>
      </c>
      <c r="B160" s="17">
        <f>UPPER(TRIM(SUBSTITUTE($A160," ","")))</f>
        <v/>
      </c>
      <c r="C160" s="17">
        <f>IF($B160="",0,LEN($B160))</f>
        <v/>
      </c>
      <c r="D160" s="17">
        <f>IF($B160="","",LEFT($B160,tyk_ikincilUzunluk))</f>
        <v/>
      </c>
      <c r="E160" s="17">
        <f>"A"</f>
        <v/>
      </c>
      <c r="F160" s="17">
        <f>IF($B160="","",IF(COUNTIF(tblAnahtarA[Norm],$B160)&gt;1,"EVET","HAYIR"))</f>
        <v/>
      </c>
      <c r="G160" s="17">
        <f>IF($A160="","",ROW()-ROW($A$5))</f>
        <v/>
      </c>
      <c r="I160" s="7">
        <f>IF(HAKEDIS!A160="","",HAKEDIS!A160)</f>
        <v/>
      </c>
      <c r="J160" s="17">
        <f>UPPER(TRIM(SUBSTITUTE($I160," ","")))</f>
        <v/>
      </c>
      <c r="K160" s="17">
        <f>IF($J160="",0,LEN($J160))</f>
        <v/>
      </c>
      <c r="L160" s="17">
        <f>IF($J160="","",LEFT($J160,tyk_ikincilUzunluk))</f>
        <v/>
      </c>
      <c r="M160" s="17">
        <f>"B"</f>
        <v/>
      </c>
      <c r="N160" s="17">
        <f>IF($J160="","",IF(COUNTIF(tblAnahtarB[NormB],$J160)&gt;1,"EVET","HAYIR"))</f>
        <v/>
      </c>
      <c r="O160" s="17">
        <f>IF($I160="","",ROW()-ROW($I$5))</f>
        <v/>
      </c>
    </row>
    <row r="161">
      <c r="A161" s="7">
        <f>IF(GIRDI!A161="","",GIRDI!A161)</f>
        <v/>
      </c>
      <c r="B161" s="17">
        <f>UPPER(TRIM(SUBSTITUTE($A161," ","")))</f>
        <v/>
      </c>
      <c r="C161" s="17">
        <f>IF($B161="",0,LEN($B161))</f>
        <v/>
      </c>
      <c r="D161" s="17">
        <f>IF($B161="","",LEFT($B161,tyk_ikincilUzunluk))</f>
        <v/>
      </c>
      <c r="E161" s="17">
        <f>"A"</f>
        <v/>
      </c>
      <c r="F161" s="17">
        <f>IF($B161="","",IF(COUNTIF(tblAnahtarA[Norm],$B161)&gt;1,"EVET","HAYIR"))</f>
        <v/>
      </c>
      <c r="G161" s="17">
        <f>IF($A161="","",ROW()-ROW($A$5))</f>
        <v/>
      </c>
      <c r="I161" s="7">
        <f>IF(HAKEDIS!A161="","",HAKEDIS!A161)</f>
        <v/>
      </c>
      <c r="J161" s="17">
        <f>UPPER(TRIM(SUBSTITUTE($I161," ","")))</f>
        <v/>
      </c>
      <c r="K161" s="17">
        <f>IF($J161="",0,LEN($J161))</f>
        <v/>
      </c>
      <c r="L161" s="17">
        <f>IF($J161="","",LEFT($J161,tyk_ikincilUzunluk))</f>
        <v/>
      </c>
      <c r="M161" s="17">
        <f>"B"</f>
        <v/>
      </c>
      <c r="N161" s="17">
        <f>IF($J161="","",IF(COUNTIF(tblAnahtarB[NormB],$J161)&gt;1,"EVET","HAYIR"))</f>
        <v/>
      </c>
      <c r="O161" s="17">
        <f>IF($I161="","",ROW()-ROW($I$5))</f>
        <v/>
      </c>
    </row>
    <row r="162">
      <c r="A162" s="7">
        <f>IF(GIRDI!A162="","",GIRDI!A162)</f>
        <v/>
      </c>
      <c r="B162" s="17">
        <f>UPPER(TRIM(SUBSTITUTE($A162," ","")))</f>
        <v/>
      </c>
      <c r="C162" s="17">
        <f>IF($B162="",0,LEN($B162))</f>
        <v/>
      </c>
      <c r="D162" s="17">
        <f>IF($B162="","",LEFT($B162,tyk_ikincilUzunluk))</f>
        <v/>
      </c>
      <c r="E162" s="17">
        <f>"A"</f>
        <v/>
      </c>
      <c r="F162" s="17">
        <f>IF($B162="","",IF(COUNTIF(tblAnahtarA[Norm],$B162)&gt;1,"EVET","HAYIR"))</f>
        <v/>
      </c>
      <c r="G162" s="17">
        <f>IF($A162="","",ROW()-ROW($A$5))</f>
        <v/>
      </c>
      <c r="I162" s="7">
        <f>IF(HAKEDIS!A162="","",HAKEDIS!A162)</f>
        <v/>
      </c>
      <c r="J162" s="17">
        <f>UPPER(TRIM(SUBSTITUTE($I162," ","")))</f>
        <v/>
      </c>
      <c r="K162" s="17">
        <f>IF($J162="",0,LEN($J162))</f>
        <v/>
      </c>
      <c r="L162" s="17">
        <f>IF($J162="","",LEFT($J162,tyk_ikincilUzunluk))</f>
        <v/>
      </c>
      <c r="M162" s="17">
        <f>"B"</f>
        <v/>
      </c>
      <c r="N162" s="17">
        <f>IF($J162="","",IF(COUNTIF(tblAnahtarB[NormB],$J162)&gt;1,"EVET","HAYIR"))</f>
        <v/>
      </c>
      <c r="O162" s="17">
        <f>IF($I162="","",ROW()-ROW($I$5))</f>
        <v/>
      </c>
    </row>
    <row r="163">
      <c r="A163" s="7">
        <f>IF(GIRDI!A163="","",GIRDI!A163)</f>
        <v/>
      </c>
      <c r="B163" s="17">
        <f>UPPER(TRIM(SUBSTITUTE($A163," ","")))</f>
        <v/>
      </c>
      <c r="C163" s="17">
        <f>IF($B163="",0,LEN($B163))</f>
        <v/>
      </c>
      <c r="D163" s="17">
        <f>IF($B163="","",LEFT($B163,tyk_ikincilUzunluk))</f>
        <v/>
      </c>
      <c r="E163" s="17">
        <f>"A"</f>
        <v/>
      </c>
      <c r="F163" s="17">
        <f>IF($B163="","",IF(COUNTIF(tblAnahtarA[Norm],$B163)&gt;1,"EVET","HAYIR"))</f>
        <v/>
      </c>
      <c r="G163" s="17">
        <f>IF($A163="","",ROW()-ROW($A$5))</f>
        <v/>
      </c>
      <c r="I163" s="7">
        <f>IF(HAKEDIS!A163="","",HAKEDIS!A163)</f>
        <v/>
      </c>
      <c r="J163" s="17">
        <f>UPPER(TRIM(SUBSTITUTE($I163," ","")))</f>
        <v/>
      </c>
      <c r="K163" s="17">
        <f>IF($J163="",0,LEN($J163))</f>
        <v/>
      </c>
      <c r="L163" s="17">
        <f>IF($J163="","",LEFT($J163,tyk_ikincilUzunluk))</f>
        <v/>
      </c>
      <c r="M163" s="17">
        <f>"B"</f>
        <v/>
      </c>
      <c r="N163" s="17">
        <f>IF($J163="","",IF(COUNTIF(tblAnahtarB[NormB],$J163)&gt;1,"EVET","HAYIR"))</f>
        <v/>
      </c>
      <c r="O163" s="17">
        <f>IF($I163="","",ROW()-ROW($I$5))</f>
        <v/>
      </c>
    </row>
    <row r="164">
      <c r="A164" s="7">
        <f>IF(GIRDI!A164="","",GIRDI!A164)</f>
        <v/>
      </c>
      <c r="B164" s="17">
        <f>UPPER(TRIM(SUBSTITUTE($A164," ","")))</f>
        <v/>
      </c>
      <c r="C164" s="17">
        <f>IF($B164="",0,LEN($B164))</f>
        <v/>
      </c>
      <c r="D164" s="17">
        <f>IF($B164="","",LEFT($B164,tyk_ikincilUzunluk))</f>
        <v/>
      </c>
      <c r="E164" s="17">
        <f>"A"</f>
        <v/>
      </c>
      <c r="F164" s="17">
        <f>IF($B164="","",IF(COUNTIF(tblAnahtarA[Norm],$B164)&gt;1,"EVET","HAYIR"))</f>
        <v/>
      </c>
      <c r="G164" s="17">
        <f>IF($A164="","",ROW()-ROW($A$5))</f>
        <v/>
      </c>
      <c r="I164" s="7">
        <f>IF(HAKEDIS!A164="","",HAKEDIS!A164)</f>
        <v/>
      </c>
      <c r="J164" s="17">
        <f>UPPER(TRIM(SUBSTITUTE($I164," ","")))</f>
        <v/>
      </c>
      <c r="K164" s="17">
        <f>IF($J164="",0,LEN($J164))</f>
        <v/>
      </c>
      <c r="L164" s="17">
        <f>IF($J164="","",LEFT($J164,tyk_ikincilUzunluk))</f>
        <v/>
      </c>
      <c r="M164" s="17">
        <f>"B"</f>
        <v/>
      </c>
      <c r="N164" s="17">
        <f>IF($J164="","",IF(COUNTIF(tblAnahtarB[NormB],$J164)&gt;1,"EVET","HAYIR"))</f>
        <v/>
      </c>
      <c r="O164" s="17">
        <f>IF($I164="","",ROW()-ROW($I$5))</f>
        <v/>
      </c>
    </row>
    <row r="165">
      <c r="A165" s="7">
        <f>IF(GIRDI!A165="","",GIRDI!A165)</f>
        <v/>
      </c>
      <c r="B165" s="17">
        <f>UPPER(TRIM(SUBSTITUTE($A165," ","")))</f>
        <v/>
      </c>
      <c r="C165" s="17">
        <f>IF($B165="",0,LEN($B165))</f>
        <v/>
      </c>
      <c r="D165" s="17">
        <f>IF($B165="","",LEFT($B165,tyk_ikincilUzunluk))</f>
        <v/>
      </c>
      <c r="E165" s="17">
        <f>"A"</f>
        <v/>
      </c>
      <c r="F165" s="17">
        <f>IF($B165="","",IF(COUNTIF(tblAnahtarA[Norm],$B165)&gt;1,"EVET","HAYIR"))</f>
        <v/>
      </c>
      <c r="G165" s="17">
        <f>IF($A165="","",ROW()-ROW($A$5))</f>
        <v/>
      </c>
      <c r="I165" s="7">
        <f>IF(HAKEDIS!A165="","",HAKEDIS!A165)</f>
        <v/>
      </c>
      <c r="J165" s="17">
        <f>UPPER(TRIM(SUBSTITUTE($I165," ","")))</f>
        <v/>
      </c>
      <c r="K165" s="17">
        <f>IF($J165="",0,LEN($J165))</f>
        <v/>
      </c>
      <c r="L165" s="17">
        <f>IF($J165="","",LEFT($J165,tyk_ikincilUzunluk))</f>
        <v/>
      </c>
      <c r="M165" s="17">
        <f>"B"</f>
        <v/>
      </c>
      <c r="N165" s="17">
        <f>IF($J165="","",IF(COUNTIF(tblAnahtarB[NormB],$J165)&gt;1,"EVET","HAYIR"))</f>
        <v/>
      </c>
      <c r="O165" s="17">
        <f>IF($I165="","",ROW()-ROW($I$5))</f>
        <v/>
      </c>
    </row>
    <row r="166">
      <c r="A166" s="7">
        <f>IF(GIRDI!A166="","",GIRDI!A166)</f>
        <v/>
      </c>
      <c r="B166" s="17">
        <f>UPPER(TRIM(SUBSTITUTE($A166," ","")))</f>
        <v/>
      </c>
      <c r="C166" s="17">
        <f>IF($B166="",0,LEN($B166))</f>
        <v/>
      </c>
      <c r="D166" s="17">
        <f>IF($B166="","",LEFT($B166,tyk_ikincilUzunluk))</f>
        <v/>
      </c>
      <c r="E166" s="17">
        <f>"A"</f>
        <v/>
      </c>
      <c r="F166" s="17">
        <f>IF($B166="","",IF(COUNTIF(tblAnahtarA[Norm],$B166)&gt;1,"EVET","HAYIR"))</f>
        <v/>
      </c>
      <c r="G166" s="17">
        <f>IF($A166="","",ROW()-ROW($A$5))</f>
        <v/>
      </c>
      <c r="I166" s="7">
        <f>IF(HAKEDIS!A166="","",HAKEDIS!A166)</f>
        <v/>
      </c>
      <c r="J166" s="17">
        <f>UPPER(TRIM(SUBSTITUTE($I166," ","")))</f>
        <v/>
      </c>
      <c r="K166" s="17">
        <f>IF($J166="",0,LEN($J166))</f>
        <v/>
      </c>
      <c r="L166" s="17">
        <f>IF($J166="","",LEFT($J166,tyk_ikincilUzunluk))</f>
        <v/>
      </c>
      <c r="M166" s="17">
        <f>"B"</f>
        <v/>
      </c>
      <c r="N166" s="17">
        <f>IF($J166="","",IF(COUNTIF(tblAnahtarB[NormB],$J166)&gt;1,"EVET","HAYIR"))</f>
        <v/>
      </c>
      <c r="O166" s="17">
        <f>IF($I166="","",ROW()-ROW($I$5))</f>
        <v/>
      </c>
    </row>
    <row r="167">
      <c r="A167" s="7">
        <f>IF(GIRDI!A167="","",GIRDI!A167)</f>
        <v/>
      </c>
      <c r="B167" s="17">
        <f>UPPER(TRIM(SUBSTITUTE($A167," ","")))</f>
        <v/>
      </c>
      <c r="C167" s="17">
        <f>IF($B167="",0,LEN($B167))</f>
        <v/>
      </c>
      <c r="D167" s="17">
        <f>IF($B167="","",LEFT($B167,tyk_ikincilUzunluk))</f>
        <v/>
      </c>
      <c r="E167" s="17">
        <f>"A"</f>
        <v/>
      </c>
      <c r="F167" s="17">
        <f>IF($B167="","",IF(COUNTIF(tblAnahtarA[Norm],$B167)&gt;1,"EVET","HAYIR"))</f>
        <v/>
      </c>
      <c r="G167" s="17">
        <f>IF($A167="","",ROW()-ROW($A$5))</f>
        <v/>
      </c>
      <c r="I167" s="7">
        <f>IF(HAKEDIS!A167="","",HAKEDIS!A167)</f>
        <v/>
      </c>
      <c r="J167" s="17">
        <f>UPPER(TRIM(SUBSTITUTE($I167," ","")))</f>
        <v/>
      </c>
      <c r="K167" s="17">
        <f>IF($J167="",0,LEN($J167))</f>
        <v/>
      </c>
      <c r="L167" s="17">
        <f>IF($J167="","",LEFT($J167,tyk_ikincilUzunluk))</f>
        <v/>
      </c>
      <c r="M167" s="17">
        <f>"B"</f>
        <v/>
      </c>
      <c r="N167" s="17">
        <f>IF($J167="","",IF(COUNTIF(tblAnahtarB[NormB],$J167)&gt;1,"EVET","HAYIR"))</f>
        <v/>
      </c>
      <c r="O167" s="17">
        <f>IF($I167="","",ROW()-ROW($I$5))</f>
        <v/>
      </c>
    </row>
    <row r="168">
      <c r="A168" s="7">
        <f>IF(GIRDI!A168="","",GIRDI!A168)</f>
        <v/>
      </c>
      <c r="B168" s="17">
        <f>UPPER(TRIM(SUBSTITUTE($A168," ","")))</f>
        <v/>
      </c>
      <c r="C168" s="17">
        <f>IF($B168="",0,LEN($B168))</f>
        <v/>
      </c>
      <c r="D168" s="17">
        <f>IF($B168="","",LEFT($B168,tyk_ikincilUzunluk))</f>
        <v/>
      </c>
      <c r="E168" s="17">
        <f>"A"</f>
        <v/>
      </c>
      <c r="F168" s="17">
        <f>IF($B168="","",IF(COUNTIF(tblAnahtarA[Norm],$B168)&gt;1,"EVET","HAYIR"))</f>
        <v/>
      </c>
      <c r="G168" s="17">
        <f>IF($A168="","",ROW()-ROW($A$5))</f>
        <v/>
      </c>
      <c r="I168" s="7">
        <f>IF(HAKEDIS!A168="","",HAKEDIS!A168)</f>
        <v/>
      </c>
      <c r="J168" s="17">
        <f>UPPER(TRIM(SUBSTITUTE($I168," ","")))</f>
        <v/>
      </c>
      <c r="K168" s="17">
        <f>IF($J168="",0,LEN($J168))</f>
        <v/>
      </c>
      <c r="L168" s="17">
        <f>IF($J168="","",LEFT($J168,tyk_ikincilUzunluk))</f>
        <v/>
      </c>
      <c r="M168" s="17">
        <f>"B"</f>
        <v/>
      </c>
      <c r="N168" s="17">
        <f>IF($J168="","",IF(COUNTIF(tblAnahtarB[NormB],$J168)&gt;1,"EVET","HAYIR"))</f>
        <v/>
      </c>
      <c r="O168" s="17">
        <f>IF($I168="","",ROW()-ROW($I$5))</f>
        <v/>
      </c>
    </row>
    <row r="169">
      <c r="A169" s="7">
        <f>IF(GIRDI!A169="","",GIRDI!A169)</f>
        <v/>
      </c>
      <c r="B169" s="17">
        <f>UPPER(TRIM(SUBSTITUTE($A169," ","")))</f>
        <v/>
      </c>
      <c r="C169" s="17">
        <f>IF($B169="",0,LEN($B169))</f>
        <v/>
      </c>
      <c r="D169" s="17">
        <f>IF($B169="","",LEFT($B169,tyk_ikincilUzunluk))</f>
        <v/>
      </c>
      <c r="E169" s="17">
        <f>"A"</f>
        <v/>
      </c>
      <c r="F169" s="17">
        <f>IF($B169="","",IF(COUNTIF(tblAnahtarA[Norm],$B169)&gt;1,"EVET","HAYIR"))</f>
        <v/>
      </c>
      <c r="G169" s="17">
        <f>IF($A169="","",ROW()-ROW($A$5))</f>
        <v/>
      </c>
      <c r="I169" s="7">
        <f>IF(HAKEDIS!A169="","",HAKEDIS!A169)</f>
        <v/>
      </c>
      <c r="J169" s="17">
        <f>UPPER(TRIM(SUBSTITUTE($I169," ","")))</f>
        <v/>
      </c>
      <c r="K169" s="17">
        <f>IF($J169="",0,LEN($J169))</f>
        <v/>
      </c>
      <c r="L169" s="17">
        <f>IF($J169="","",LEFT($J169,tyk_ikincilUzunluk))</f>
        <v/>
      </c>
      <c r="M169" s="17">
        <f>"B"</f>
        <v/>
      </c>
      <c r="N169" s="17">
        <f>IF($J169="","",IF(COUNTIF(tblAnahtarB[NormB],$J169)&gt;1,"EVET","HAYIR"))</f>
        <v/>
      </c>
      <c r="O169" s="17">
        <f>IF($I169="","",ROW()-ROW($I$5))</f>
        <v/>
      </c>
    </row>
    <row r="170">
      <c r="A170" s="7">
        <f>IF(GIRDI!A170="","",GIRDI!A170)</f>
        <v/>
      </c>
      <c r="B170" s="17">
        <f>UPPER(TRIM(SUBSTITUTE($A170," ","")))</f>
        <v/>
      </c>
      <c r="C170" s="17">
        <f>IF($B170="",0,LEN($B170))</f>
        <v/>
      </c>
      <c r="D170" s="17">
        <f>IF($B170="","",LEFT($B170,tyk_ikincilUzunluk))</f>
        <v/>
      </c>
      <c r="E170" s="17">
        <f>"A"</f>
        <v/>
      </c>
      <c r="F170" s="17">
        <f>IF($B170="","",IF(COUNTIF(tblAnahtarA[Norm],$B170)&gt;1,"EVET","HAYIR"))</f>
        <v/>
      </c>
      <c r="G170" s="17">
        <f>IF($A170="","",ROW()-ROW($A$5))</f>
        <v/>
      </c>
      <c r="I170" s="7">
        <f>IF(HAKEDIS!A170="","",HAKEDIS!A170)</f>
        <v/>
      </c>
      <c r="J170" s="17">
        <f>UPPER(TRIM(SUBSTITUTE($I170," ","")))</f>
        <v/>
      </c>
      <c r="K170" s="17">
        <f>IF($J170="",0,LEN($J170))</f>
        <v/>
      </c>
      <c r="L170" s="17">
        <f>IF($J170="","",LEFT($J170,tyk_ikincilUzunluk))</f>
        <v/>
      </c>
      <c r="M170" s="17">
        <f>"B"</f>
        <v/>
      </c>
      <c r="N170" s="17">
        <f>IF($J170="","",IF(COUNTIF(tblAnahtarB[NormB],$J170)&gt;1,"EVET","HAYIR"))</f>
        <v/>
      </c>
      <c r="O170" s="17">
        <f>IF($I170="","",ROW()-ROW($I$5))</f>
        <v/>
      </c>
    </row>
    <row r="171">
      <c r="A171" s="7">
        <f>IF(GIRDI!A171="","",GIRDI!A171)</f>
        <v/>
      </c>
      <c r="B171" s="17">
        <f>UPPER(TRIM(SUBSTITUTE($A171," ","")))</f>
        <v/>
      </c>
      <c r="C171" s="17">
        <f>IF($B171="",0,LEN($B171))</f>
        <v/>
      </c>
      <c r="D171" s="17">
        <f>IF($B171="","",LEFT($B171,tyk_ikincilUzunluk))</f>
        <v/>
      </c>
      <c r="E171" s="17">
        <f>"A"</f>
        <v/>
      </c>
      <c r="F171" s="17">
        <f>IF($B171="","",IF(COUNTIF(tblAnahtarA[Norm],$B171)&gt;1,"EVET","HAYIR"))</f>
        <v/>
      </c>
      <c r="G171" s="17">
        <f>IF($A171="","",ROW()-ROW($A$5))</f>
        <v/>
      </c>
      <c r="I171" s="7">
        <f>IF(HAKEDIS!A171="","",HAKEDIS!A171)</f>
        <v/>
      </c>
      <c r="J171" s="17">
        <f>UPPER(TRIM(SUBSTITUTE($I171," ","")))</f>
        <v/>
      </c>
      <c r="K171" s="17">
        <f>IF($J171="",0,LEN($J171))</f>
        <v/>
      </c>
      <c r="L171" s="17">
        <f>IF($J171="","",LEFT($J171,tyk_ikincilUzunluk))</f>
        <v/>
      </c>
      <c r="M171" s="17">
        <f>"B"</f>
        <v/>
      </c>
      <c r="N171" s="17">
        <f>IF($J171="","",IF(COUNTIF(tblAnahtarB[NormB],$J171)&gt;1,"EVET","HAYIR"))</f>
        <v/>
      </c>
      <c r="O171" s="17">
        <f>IF($I171="","",ROW()-ROW($I$5))</f>
        <v/>
      </c>
    </row>
    <row r="172">
      <c r="A172" s="7">
        <f>IF(GIRDI!A172="","",GIRDI!A172)</f>
        <v/>
      </c>
      <c r="B172" s="17">
        <f>UPPER(TRIM(SUBSTITUTE($A172," ","")))</f>
        <v/>
      </c>
      <c r="C172" s="17">
        <f>IF($B172="",0,LEN($B172))</f>
        <v/>
      </c>
      <c r="D172" s="17">
        <f>IF($B172="","",LEFT($B172,tyk_ikincilUzunluk))</f>
        <v/>
      </c>
      <c r="E172" s="17">
        <f>"A"</f>
        <v/>
      </c>
      <c r="F172" s="17">
        <f>IF($B172="","",IF(COUNTIF(tblAnahtarA[Norm],$B172)&gt;1,"EVET","HAYIR"))</f>
        <v/>
      </c>
      <c r="G172" s="17">
        <f>IF($A172="","",ROW()-ROW($A$5))</f>
        <v/>
      </c>
      <c r="I172" s="7">
        <f>IF(HAKEDIS!A172="","",HAKEDIS!A172)</f>
        <v/>
      </c>
      <c r="J172" s="17">
        <f>UPPER(TRIM(SUBSTITUTE($I172," ","")))</f>
        <v/>
      </c>
      <c r="K172" s="17">
        <f>IF($J172="",0,LEN($J172))</f>
        <v/>
      </c>
      <c r="L172" s="17">
        <f>IF($J172="","",LEFT($J172,tyk_ikincilUzunluk))</f>
        <v/>
      </c>
      <c r="M172" s="17">
        <f>"B"</f>
        <v/>
      </c>
      <c r="N172" s="17">
        <f>IF($J172="","",IF(COUNTIF(tblAnahtarB[NormB],$J172)&gt;1,"EVET","HAYIR"))</f>
        <v/>
      </c>
      <c r="O172" s="17">
        <f>IF($I172="","",ROW()-ROW($I$5))</f>
        <v/>
      </c>
    </row>
    <row r="173">
      <c r="A173" s="7">
        <f>IF(GIRDI!A173="","",GIRDI!A173)</f>
        <v/>
      </c>
      <c r="B173" s="17">
        <f>UPPER(TRIM(SUBSTITUTE($A173," ","")))</f>
        <v/>
      </c>
      <c r="C173" s="17">
        <f>IF($B173="",0,LEN($B173))</f>
        <v/>
      </c>
      <c r="D173" s="17">
        <f>IF($B173="","",LEFT($B173,tyk_ikincilUzunluk))</f>
        <v/>
      </c>
      <c r="E173" s="17">
        <f>"A"</f>
        <v/>
      </c>
      <c r="F173" s="17">
        <f>IF($B173="","",IF(COUNTIF(tblAnahtarA[Norm],$B173)&gt;1,"EVET","HAYIR"))</f>
        <v/>
      </c>
      <c r="G173" s="17">
        <f>IF($A173="","",ROW()-ROW($A$5))</f>
        <v/>
      </c>
      <c r="I173" s="7">
        <f>IF(HAKEDIS!A173="","",HAKEDIS!A173)</f>
        <v/>
      </c>
      <c r="J173" s="17">
        <f>UPPER(TRIM(SUBSTITUTE($I173," ","")))</f>
        <v/>
      </c>
      <c r="K173" s="17">
        <f>IF($J173="",0,LEN($J173))</f>
        <v/>
      </c>
      <c r="L173" s="17">
        <f>IF($J173="","",LEFT($J173,tyk_ikincilUzunluk))</f>
        <v/>
      </c>
      <c r="M173" s="17">
        <f>"B"</f>
        <v/>
      </c>
      <c r="N173" s="17">
        <f>IF($J173="","",IF(COUNTIF(tblAnahtarB[NormB],$J173)&gt;1,"EVET","HAYIR"))</f>
        <v/>
      </c>
      <c r="O173" s="17">
        <f>IF($I173="","",ROW()-ROW($I$5))</f>
        <v/>
      </c>
    </row>
    <row r="174">
      <c r="A174" s="7">
        <f>IF(GIRDI!A174="","",GIRDI!A174)</f>
        <v/>
      </c>
      <c r="B174" s="17">
        <f>UPPER(TRIM(SUBSTITUTE($A174," ","")))</f>
        <v/>
      </c>
      <c r="C174" s="17">
        <f>IF($B174="",0,LEN($B174))</f>
        <v/>
      </c>
      <c r="D174" s="17">
        <f>IF($B174="","",LEFT($B174,tyk_ikincilUzunluk))</f>
        <v/>
      </c>
      <c r="E174" s="17">
        <f>"A"</f>
        <v/>
      </c>
      <c r="F174" s="17">
        <f>IF($B174="","",IF(COUNTIF(tblAnahtarA[Norm],$B174)&gt;1,"EVET","HAYIR"))</f>
        <v/>
      </c>
      <c r="G174" s="17">
        <f>IF($A174="","",ROW()-ROW($A$5))</f>
        <v/>
      </c>
      <c r="I174" s="7">
        <f>IF(HAKEDIS!A174="","",HAKEDIS!A174)</f>
        <v/>
      </c>
      <c r="J174" s="17">
        <f>UPPER(TRIM(SUBSTITUTE($I174," ","")))</f>
        <v/>
      </c>
      <c r="K174" s="17">
        <f>IF($J174="",0,LEN($J174))</f>
        <v/>
      </c>
      <c r="L174" s="17">
        <f>IF($J174="","",LEFT($J174,tyk_ikincilUzunluk))</f>
        <v/>
      </c>
      <c r="M174" s="17">
        <f>"B"</f>
        <v/>
      </c>
      <c r="N174" s="17">
        <f>IF($J174="","",IF(COUNTIF(tblAnahtarB[NormB],$J174)&gt;1,"EVET","HAYIR"))</f>
        <v/>
      </c>
      <c r="O174" s="17">
        <f>IF($I174="","",ROW()-ROW($I$5))</f>
        <v/>
      </c>
    </row>
    <row r="175">
      <c r="A175" s="7">
        <f>IF(GIRDI!A175="","",GIRDI!A175)</f>
        <v/>
      </c>
      <c r="B175" s="17">
        <f>UPPER(TRIM(SUBSTITUTE($A175," ","")))</f>
        <v/>
      </c>
      <c r="C175" s="17">
        <f>IF($B175="",0,LEN($B175))</f>
        <v/>
      </c>
      <c r="D175" s="17">
        <f>IF($B175="","",LEFT($B175,tyk_ikincilUzunluk))</f>
        <v/>
      </c>
      <c r="E175" s="17">
        <f>"A"</f>
        <v/>
      </c>
      <c r="F175" s="17">
        <f>IF($B175="","",IF(COUNTIF(tblAnahtarA[Norm],$B175)&gt;1,"EVET","HAYIR"))</f>
        <v/>
      </c>
      <c r="G175" s="17">
        <f>IF($A175="","",ROW()-ROW($A$5))</f>
        <v/>
      </c>
      <c r="I175" s="7">
        <f>IF(HAKEDIS!A175="","",HAKEDIS!A175)</f>
        <v/>
      </c>
      <c r="J175" s="17">
        <f>UPPER(TRIM(SUBSTITUTE($I175," ","")))</f>
        <v/>
      </c>
      <c r="K175" s="17">
        <f>IF($J175="",0,LEN($J175))</f>
        <v/>
      </c>
      <c r="L175" s="17">
        <f>IF($J175="","",LEFT($J175,tyk_ikincilUzunluk))</f>
        <v/>
      </c>
      <c r="M175" s="17">
        <f>"B"</f>
        <v/>
      </c>
      <c r="N175" s="17">
        <f>IF($J175="","",IF(COUNTIF(tblAnahtarB[NormB],$J175)&gt;1,"EVET","HAYIR"))</f>
        <v/>
      </c>
      <c r="O175" s="17">
        <f>IF($I175="","",ROW()-ROW($I$5))</f>
        <v/>
      </c>
    </row>
    <row r="176">
      <c r="A176" s="7">
        <f>IF(GIRDI!A176="","",GIRDI!A176)</f>
        <v/>
      </c>
      <c r="B176" s="17">
        <f>UPPER(TRIM(SUBSTITUTE($A176," ","")))</f>
        <v/>
      </c>
      <c r="C176" s="17">
        <f>IF($B176="",0,LEN($B176))</f>
        <v/>
      </c>
      <c r="D176" s="17">
        <f>IF($B176="","",LEFT($B176,tyk_ikincilUzunluk))</f>
        <v/>
      </c>
      <c r="E176" s="17">
        <f>"A"</f>
        <v/>
      </c>
      <c r="F176" s="17">
        <f>IF($B176="","",IF(COUNTIF(tblAnahtarA[Norm],$B176)&gt;1,"EVET","HAYIR"))</f>
        <v/>
      </c>
      <c r="G176" s="17">
        <f>IF($A176="","",ROW()-ROW($A$5))</f>
        <v/>
      </c>
      <c r="I176" s="7">
        <f>IF(HAKEDIS!A176="","",HAKEDIS!A176)</f>
        <v/>
      </c>
      <c r="J176" s="17">
        <f>UPPER(TRIM(SUBSTITUTE($I176," ","")))</f>
        <v/>
      </c>
      <c r="K176" s="17">
        <f>IF($J176="",0,LEN($J176))</f>
        <v/>
      </c>
      <c r="L176" s="17">
        <f>IF($J176="","",LEFT($J176,tyk_ikincilUzunluk))</f>
        <v/>
      </c>
      <c r="M176" s="17">
        <f>"B"</f>
        <v/>
      </c>
      <c r="N176" s="17">
        <f>IF($J176="","",IF(COUNTIF(tblAnahtarB[NormB],$J176)&gt;1,"EVET","HAYIR"))</f>
        <v/>
      </c>
      <c r="O176" s="17">
        <f>IF($I176="","",ROW()-ROW($I$5))</f>
        <v/>
      </c>
    </row>
    <row r="177">
      <c r="A177" s="7">
        <f>IF(GIRDI!A177="","",GIRDI!A177)</f>
        <v/>
      </c>
      <c r="B177" s="17">
        <f>UPPER(TRIM(SUBSTITUTE($A177," ","")))</f>
        <v/>
      </c>
      <c r="C177" s="17">
        <f>IF($B177="",0,LEN($B177))</f>
        <v/>
      </c>
      <c r="D177" s="17">
        <f>IF($B177="","",LEFT($B177,tyk_ikincilUzunluk))</f>
        <v/>
      </c>
      <c r="E177" s="17">
        <f>"A"</f>
        <v/>
      </c>
      <c r="F177" s="17">
        <f>IF($B177="","",IF(COUNTIF(tblAnahtarA[Norm],$B177)&gt;1,"EVET","HAYIR"))</f>
        <v/>
      </c>
      <c r="G177" s="17">
        <f>IF($A177="","",ROW()-ROW($A$5))</f>
        <v/>
      </c>
      <c r="I177" s="7">
        <f>IF(HAKEDIS!A177="","",HAKEDIS!A177)</f>
        <v/>
      </c>
      <c r="J177" s="17">
        <f>UPPER(TRIM(SUBSTITUTE($I177," ","")))</f>
        <v/>
      </c>
      <c r="K177" s="17">
        <f>IF($J177="",0,LEN($J177))</f>
        <v/>
      </c>
      <c r="L177" s="17">
        <f>IF($J177="","",LEFT($J177,tyk_ikincilUzunluk))</f>
        <v/>
      </c>
      <c r="M177" s="17">
        <f>"B"</f>
        <v/>
      </c>
      <c r="N177" s="17">
        <f>IF($J177="","",IF(COUNTIF(tblAnahtarB[NormB],$J177)&gt;1,"EVET","HAYIR"))</f>
        <v/>
      </c>
      <c r="O177" s="17">
        <f>IF($I177="","",ROW()-ROW($I$5))</f>
        <v/>
      </c>
    </row>
    <row r="178">
      <c r="A178" s="7">
        <f>IF(GIRDI!A178="","",GIRDI!A178)</f>
        <v/>
      </c>
      <c r="B178" s="17">
        <f>UPPER(TRIM(SUBSTITUTE($A178," ","")))</f>
        <v/>
      </c>
      <c r="C178" s="17">
        <f>IF($B178="",0,LEN($B178))</f>
        <v/>
      </c>
      <c r="D178" s="17">
        <f>IF($B178="","",LEFT($B178,tyk_ikincilUzunluk))</f>
        <v/>
      </c>
      <c r="E178" s="17">
        <f>"A"</f>
        <v/>
      </c>
      <c r="F178" s="17">
        <f>IF($B178="","",IF(COUNTIF(tblAnahtarA[Norm],$B178)&gt;1,"EVET","HAYIR"))</f>
        <v/>
      </c>
      <c r="G178" s="17">
        <f>IF($A178="","",ROW()-ROW($A$5))</f>
        <v/>
      </c>
      <c r="I178" s="7">
        <f>IF(HAKEDIS!A178="","",HAKEDIS!A178)</f>
        <v/>
      </c>
      <c r="J178" s="17">
        <f>UPPER(TRIM(SUBSTITUTE($I178," ","")))</f>
        <v/>
      </c>
      <c r="K178" s="17">
        <f>IF($J178="",0,LEN($J178))</f>
        <v/>
      </c>
      <c r="L178" s="17">
        <f>IF($J178="","",LEFT($J178,tyk_ikincilUzunluk))</f>
        <v/>
      </c>
      <c r="M178" s="17">
        <f>"B"</f>
        <v/>
      </c>
      <c r="N178" s="17">
        <f>IF($J178="","",IF(COUNTIF(tblAnahtarB[NormB],$J178)&gt;1,"EVET","HAYIR"))</f>
        <v/>
      </c>
      <c r="O178" s="17">
        <f>IF($I178="","",ROW()-ROW($I$5))</f>
        <v/>
      </c>
    </row>
    <row r="179">
      <c r="A179" s="7">
        <f>IF(GIRDI!A179="","",GIRDI!A179)</f>
        <v/>
      </c>
      <c r="B179" s="17">
        <f>UPPER(TRIM(SUBSTITUTE($A179," ","")))</f>
        <v/>
      </c>
      <c r="C179" s="17">
        <f>IF($B179="",0,LEN($B179))</f>
        <v/>
      </c>
      <c r="D179" s="17">
        <f>IF($B179="","",LEFT($B179,tyk_ikincilUzunluk))</f>
        <v/>
      </c>
      <c r="E179" s="17">
        <f>"A"</f>
        <v/>
      </c>
      <c r="F179" s="17">
        <f>IF($B179="","",IF(COUNTIF(tblAnahtarA[Norm],$B179)&gt;1,"EVET","HAYIR"))</f>
        <v/>
      </c>
      <c r="G179" s="17">
        <f>IF($A179="","",ROW()-ROW($A$5))</f>
        <v/>
      </c>
      <c r="I179" s="7">
        <f>IF(HAKEDIS!A179="","",HAKEDIS!A179)</f>
        <v/>
      </c>
      <c r="J179" s="17">
        <f>UPPER(TRIM(SUBSTITUTE($I179," ","")))</f>
        <v/>
      </c>
      <c r="K179" s="17">
        <f>IF($J179="",0,LEN($J179))</f>
        <v/>
      </c>
      <c r="L179" s="17">
        <f>IF($J179="","",LEFT($J179,tyk_ikincilUzunluk))</f>
        <v/>
      </c>
      <c r="M179" s="17">
        <f>"B"</f>
        <v/>
      </c>
      <c r="N179" s="17">
        <f>IF($J179="","",IF(COUNTIF(tblAnahtarB[NormB],$J179)&gt;1,"EVET","HAYIR"))</f>
        <v/>
      </c>
      <c r="O179" s="17">
        <f>IF($I179="","",ROW()-ROW($I$5))</f>
        <v/>
      </c>
    </row>
    <row r="180">
      <c r="A180" s="7">
        <f>IF(GIRDI!A180="","",GIRDI!A180)</f>
        <v/>
      </c>
      <c r="B180" s="17">
        <f>UPPER(TRIM(SUBSTITUTE($A180," ","")))</f>
        <v/>
      </c>
      <c r="C180" s="17">
        <f>IF($B180="",0,LEN($B180))</f>
        <v/>
      </c>
      <c r="D180" s="17">
        <f>IF($B180="","",LEFT($B180,tyk_ikincilUzunluk))</f>
        <v/>
      </c>
      <c r="E180" s="17">
        <f>"A"</f>
        <v/>
      </c>
      <c r="F180" s="17">
        <f>IF($B180="","",IF(COUNTIF(tblAnahtarA[Norm],$B180)&gt;1,"EVET","HAYIR"))</f>
        <v/>
      </c>
      <c r="G180" s="17">
        <f>IF($A180="","",ROW()-ROW($A$5))</f>
        <v/>
      </c>
      <c r="I180" s="7">
        <f>IF(HAKEDIS!A180="","",HAKEDIS!A180)</f>
        <v/>
      </c>
      <c r="J180" s="17">
        <f>UPPER(TRIM(SUBSTITUTE($I180," ","")))</f>
        <v/>
      </c>
      <c r="K180" s="17">
        <f>IF($J180="",0,LEN($J180))</f>
        <v/>
      </c>
      <c r="L180" s="17">
        <f>IF($J180="","",LEFT($J180,tyk_ikincilUzunluk))</f>
        <v/>
      </c>
      <c r="M180" s="17">
        <f>"B"</f>
        <v/>
      </c>
      <c r="N180" s="17">
        <f>IF($J180="","",IF(COUNTIF(tblAnahtarB[NormB],$J180)&gt;1,"EVET","HAYIR"))</f>
        <v/>
      </c>
      <c r="O180" s="17">
        <f>IF($I180="","",ROW()-ROW($I$5))</f>
        <v/>
      </c>
    </row>
    <row r="181">
      <c r="A181" s="7">
        <f>IF(GIRDI!A181="","",GIRDI!A181)</f>
        <v/>
      </c>
      <c r="B181" s="17">
        <f>UPPER(TRIM(SUBSTITUTE($A181," ","")))</f>
        <v/>
      </c>
      <c r="C181" s="17">
        <f>IF($B181="",0,LEN($B181))</f>
        <v/>
      </c>
      <c r="D181" s="17">
        <f>IF($B181="","",LEFT($B181,tyk_ikincilUzunluk))</f>
        <v/>
      </c>
      <c r="E181" s="17">
        <f>"A"</f>
        <v/>
      </c>
      <c r="F181" s="17">
        <f>IF($B181="","",IF(COUNTIF(tblAnahtarA[Norm],$B181)&gt;1,"EVET","HAYIR"))</f>
        <v/>
      </c>
      <c r="G181" s="17">
        <f>IF($A181="","",ROW()-ROW($A$5))</f>
        <v/>
      </c>
      <c r="I181" s="7">
        <f>IF(HAKEDIS!A181="","",HAKEDIS!A181)</f>
        <v/>
      </c>
      <c r="J181" s="17">
        <f>UPPER(TRIM(SUBSTITUTE($I181," ","")))</f>
        <v/>
      </c>
      <c r="K181" s="17">
        <f>IF($J181="",0,LEN($J181))</f>
        <v/>
      </c>
      <c r="L181" s="17">
        <f>IF($J181="","",LEFT($J181,tyk_ikincilUzunluk))</f>
        <v/>
      </c>
      <c r="M181" s="17">
        <f>"B"</f>
        <v/>
      </c>
      <c r="N181" s="17">
        <f>IF($J181="","",IF(COUNTIF(tblAnahtarB[NormB],$J181)&gt;1,"EVET","HAYIR"))</f>
        <v/>
      </c>
      <c r="O181" s="17">
        <f>IF($I181="","",ROW()-ROW($I$5))</f>
        <v/>
      </c>
    </row>
    <row r="182">
      <c r="A182" s="7">
        <f>IF(GIRDI!A182="","",GIRDI!A182)</f>
        <v/>
      </c>
      <c r="B182" s="17">
        <f>UPPER(TRIM(SUBSTITUTE($A182," ","")))</f>
        <v/>
      </c>
      <c r="C182" s="17">
        <f>IF($B182="",0,LEN($B182))</f>
        <v/>
      </c>
      <c r="D182" s="17">
        <f>IF($B182="","",LEFT($B182,tyk_ikincilUzunluk))</f>
        <v/>
      </c>
      <c r="E182" s="17">
        <f>"A"</f>
        <v/>
      </c>
      <c r="F182" s="17">
        <f>IF($B182="","",IF(COUNTIF(tblAnahtarA[Norm],$B182)&gt;1,"EVET","HAYIR"))</f>
        <v/>
      </c>
      <c r="G182" s="17">
        <f>IF($A182="","",ROW()-ROW($A$5))</f>
        <v/>
      </c>
      <c r="I182" s="7">
        <f>IF(HAKEDIS!A182="","",HAKEDIS!A182)</f>
        <v/>
      </c>
      <c r="J182" s="17">
        <f>UPPER(TRIM(SUBSTITUTE($I182," ","")))</f>
        <v/>
      </c>
      <c r="K182" s="17">
        <f>IF($J182="",0,LEN($J182))</f>
        <v/>
      </c>
      <c r="L182" s="17">
        <f>IF($J182="","",LEFT($J182,tyk_ikincilUzunluk))</f>
        <v/>
      </c>
      <c r="M182" s="17">
        <f>"B"</f>
        <v/>
      </c>
      <c r="N182" s="17">
        <f>IF($J182="","",IF(COUNTIF(tblAnahtarB[NormB],$J182)&gt;1,"EVET","HAYIR"))</f>
        <v/>
      </c>
      <c r="O182" s="17">
        <f>IF($I182="","",ROW()-ROW($I$5))</f>
        <v/>
      </c>
    </row>
    <row r="183">
      <c r="A183" s="7">
        <f>IF(GIRDI!A183="","",GIRDI!A183)</f>
        <v/>
      </c>
      <c r="B183" s="17">
        <f>UPPER(TRIM(SUBSTITUTE($A183," ","")))</f>
        <v/>
      </c>
      <c r="C183" s="17">
        <f>IF($B183="",0,LEN($B183))</f>
        <v/>
      </c>
      <c r="D183" s="17">
        <f>IF($B183="","",LEFT($B183,tyk_ikincilUzunluk))</f>
        <v/>
      </c>
      <c r="E183" s="17">
        <f>"A"</f>
        <v/>
      </c>
      <c r="F183" s="17">
        <f>IF($B183="","",IF(COUNTIF(tblAnahtarA[Norm],$B183)&gt;1,"EVET","HAYIR"))</f>
        <v/>
      </c>
      <c r="G183" s="17">
        <f>IF($A183="","",ROW()-ROW($A$5))</f>
        <v/>
      </c>
      <c r="I183" s="7">
        <f>IF(HAKEDIS!A183="","",HAKEDIS!A183)</f>
        <v/>
      </c>
      <c r="J183" s="17">
        <f>UPPER(TRIM(SUBSTITUTE($I183," ","")))</f>
        <v/>
      </c>
      <c r="K183" s="17">
        <f>IF($J183="",0,LEN($J183))</f>
        <v/>
      </c>
      <c r="L183" s="17">
        <f>IF($J183="","",LEFT($J183,tyk_ikincilUzunluk))</f>
        <v/>
      </c>
      <c r="M183" s="17">
        <f>"B"</f>
        <v/>
      </c>
      <c r="N183" s="17">
        <f>IF($J183="","",IF(COUNTIF(tblAnahtarB[NormB],$J183)&gt;1,"EVET","HAYIR"))</f>
        <v/>
      </c>
      <c r="O183" s="17">
        <f>IF($I183="","",ROW()-ROW($I$5))</f>
        <v/>
      </c>
    </row>
    <row r="184">
      <c r="A184" s="7">
        <f>IF(GIRDI!A184="","",GIRDI!A184)</f>
        <v/>
      </c>
      <c r="B184" s="17">
        <f>UPPER(TRIM(SUBSTITUTE($A184," ","")))</f>
        <v/>
      </c>
      <c r="C184" s="17">
        <f>IF($B184="",0,LEN($B184))</f>
        <v/>
      </c>
      <c r="D184" s="17">
        <f>IF($B184="","",LEFT($B184,tyk_ikincilUzunluk))</f>
        <v/>
      </c>
      <c r="E184" s="17">
        <f>"A"</f>
        <v/>
      </c>
      <c r="F184" s="17">
        <f>IF($B184="","",IF(COUNTIF(tblAnahtarA[Norm],$B184)&gt;1,"EVET","HAYIR"))</f>
        <v/>
      </c>
      <c r="G184" s="17">
        <f>IF($A184="","",ROW()-ROW($A$5))</f>
        <v/>
      </c>
      <c r="I184" s="7">
        <f>IF(HAKEDIS!A184="","",HAKEDIS!A184)</f>
        <v/>
      </c>
      <c r="J184" s="17">
        <f>UPPER(TRIM(SUBSTITUTE($I184," ","")))</f>
        <v/>
      </c>
      <c r="K184" s="17">
        <f>IF($J184="",0,LEN($J184))</f>
        <v/>
      </c>
      <c r="L184" s="17">
        <f>IF($J184="","",LEFT($J184,tyk_ikincilUzunluk))</f>
        <v/>
      </c>
      <c r="M184" s="17">
        <f>"B"</f>
        <v/>
      </c>
      <c r="N184" s="17">
        <f>IF($J184="","",IF(COUNTIF(tblAnahtarB[NormB],$J184)&gt;1,"EVET","HAYIR"))</f>
        <v/>
      </c>
      <c r="O184" s="17">
        <f>IF($I184="","",ROW()-ROW($I$5))</f>
        <v/>
      </c>
    </row>
    <row r="185">
      <c r="A185" s="7">
        <f>IF(GIRDI!A185="","",GIRDI!A185)</f>
        <v/>
      </c>
      <c r="B185" s="17">
        <f>UPPER(TRIM(SUBSTITUTE($A185," ","")))</f>
        <v/>
      </c>
      <c r="C185" s="17">
        <f>IF($B185="",0,LEN($B185))</f>
        <v/>
      </c>
      <c r="D185" s="17">
        <f>IF($B185="","",LEFT($B185,tyk_ikincilUzunluk))</f>
        <v/>
      </c>
      <c r="E185" s="17">
        <f>"A"</f>
        <v/>
      </c>
      <c r="F185" s="17">
        <f>IF($B185="","",IF(COUNTIF(tblAnahtarA[Norm],$B185)&gt;1,"EVET","HAYIR"))</f>
        <v/>
      </c>
      <c r="G185" s="17">
        <f>IF($A185="","",ROW()-ROW($A$5))</f>
        <v/>
      </c>
      <c r="I185" s="7">
        <f>IF(HAKEDIS!A185="","",HAKEDIS!A185)</f>
        <v/>
      </c>
      <c r="J185" s="17">
        <f>UPPER(TRIM(SUBSTITUTE($I185," ","")))</f>
        <v/>
      </c>
      <c r="K185" s="17">
        <f>IF($J185="",0,LEN($J185))</f>
        <v/>
      </c>
      <c r="L185" s="17">
        <f>IF($J185="","",LEFT($J185,tyk_ikincilUzunluk))</f>
        <v/>
      </c>
      <c r="M185" s="17">
        <f>"B"</f>
        <v/>
      </c>
      <c r="N185" s="17">
        <f>IF($J185="","",IF(COUNTIF(tblAnahtarB[NormB],$J185)&gt;1,"EVET","HAYIR"))</f>
        <v/>
      </c>
      <c r="O185" s="17">
        <f>IF($I185="","",ROW()-ROW($I$5))</f>
        <v/>
      </c>
    </row>
    <row r="186">
      <c r="A186" s="7">
        <f>IF(GIRDI!A186="","",GIRDI!A186)</f>
        <v/>
      </c>
      <c r="B186" s="17">
        <f>UPPER(TRIM(SUBSTITUTE($A186," ","")))</f>
        <v/>
      </c>
      <c r="C186" s="17">
        <f>IF($B186="",0,LEN($B186))</f>
        <v/>
      </c>
      <c r="D186" s="17">
        <f>IF($B186="","",LEFT($B186,tyk_ikincilUzunluk))</f>
        <v/>
      </c>
      <c r="E186" s="17">
        <f>"A"</f>
        <v/>
      </c>
      <c r="F186" s="17">
        <f>IF($B186="","",IF(COUNTIF(tblAnahtarA[Norm],$B186)&gt;1,"EVET","HAYIR"))</f>
        <v/>
      </c>
      <c r="G186" s="17">
        <f>IF($A186="","",ROW()-ROW($A$5))</f>
        <v/>
      </c>
      <c r="I186" s="7">
        <f>IF(HAKEDIS!A186="","",HAKEDIS!A186)</f>
        <v/>
      </c>
      <c r="J186" s="17">
        <f>UPPER(TRIM(SUBSTITUTE($I186," ","")))</f>
        <v/>
      </c>
      <c r="K186" s="17">
        <f>IF($J186="",0,LEN($J186))</f>
        <v/>
      </c>
      <c r="L186" s="17">
        <f>IF($J186="","",LEFT($J186,tyk_ikincilUzunluk))</f>
        <v/>
      </c>
      <c r="M186" s="17">
        <f>"B"</f>
        <v/>
      </c>
      <c r="N186" s="17">
        <f>IF($J186="","",IF(COUNTIF(tblAnahtarB[NormB],$J186)&gt;1,"EVET","HAYIR"))</f>
        <v/>
      </c>
      <c r="O186" s="17">
        <f>IF($I186="","",ROW()-ROW($I$5))</f>
        <v/>
      </c>
    </row>
    <row r="187">
      <c r="A187" s="7">
        <f>IF(GIRDI!A187="","",GIRDI!A187)</f>
        <v/>
      </c>
      <c r="B187" s="17">
        <f>UPPER(TRIM(SUBSTITUTE($A187," ","")))</f>
        <v/>
      </c>
      <c r="C187" s="17">
        <f>IF($B187="",0,LEN($B187))</f>
        <v/>
      </c>
      <c r="D187" s="17">
        <f>IF($B187="","",LEFT($B187,tyk_ikincilUzunluk))</f>
        <v/>
      </c>
      <c r="E187" s="17">
        <f>"A"</f>
        <v/>
      </c>
      <c r="F187" s="17">
        <f>IF($B187="","",IF(COUNTIF(tblAnahtarA[Norm],$B187)&gt;1,"EVET","HAYIR"))</f>
        <v/>
      </c>
      <c r="G187" s="17">
        <f>IF($A187="","",ROW()-ROW($A$5))</f>
        <v/>
      </c>
      <c r="I187" s="7">
        <f>IF(HAKEDIS!A187="","",HAKEDIS!A187)</f>
        <v/>
      </c>
      <c r="J187" s="17">
        <f>UPPER(TRIM(SUBSTITUTE($I187," ","")))</f>
        <v/>
      </c>
      <c r="K187" s="17">
        <f>IF($J187="",0,LEN($J187))</f>
        <v/>
      </c>
      <c r="L187" s="17">
        <f>IF($J187="","",LEFT($J187,tyk_ikincilUzunluk))</f>
        <v/>
      </c>
      <c r="M187" s="17">
        <f>"B"</f>
        <v/>
      </c>
      <c r="N187" s="17">
        <f>IF($J187="","",IF(COUNTIF(tblAnahtarB[NormB],$J187)&gt;1,"EVET","HAYIR"))</f>
        <v/>
      </c>
      <c r="O187" s="17">
        <f>IF($I187="","",ROW()-ROW($I$5))</f>
        <v/>
      </c>
    </row>
    <row r="188">
      <c r="A188" s="7">
        <f>IF(GIRDI!A188="","",GIRDI!A188)</f>
        <v/>
      </c>
      <c r="B188" s="17">
        <f>UPPER(TRIM(SUBSTITUTE($A188," ","")))</f>
        <v/>
      </c>
      <c r="C188" s="17">
        <f>IF($B188="",0,LEN($B188))</f>
        <v/>
      </c>
      <c r="D188" s="17">
        <f>IF($B188="","",LEFT($B188,tyk_ikincilUzunluk))</f>
        <v/>
      </c>
      <c r="E188" s="17">
        <f>"A"</f>
        <v/>
      </c>
      <c r="F188" s="17">
        <f>IF($B188="","",IF(COUNTIF(tblAnahtarA[Norm],$B188)&gt;1,"EVET","HAYIR"))</f>
        <v/>
      </c>
      <c r="G188" s="17">
        <f>IF($A188="","",ROW()-ROW($A$5))</f>
        <v/>
      </c>
      <c r="I188" s="7">
        <f>IF(HAKEDIS!A188="","",HAKEDIS!A188)</f>
        <v/>
      </c>
      <c r="J188" s="17">
        <f>UPPER(TRIM(SUBSTITUTE($I188," ","")))</f>
        <v/>
      </c>
      <c r="K188" s="17">
        <f>IF($J188="",0,LEN($J188))</f>
        <v/>
      </c>
      <c r="L188" s="17">
        <f>IF($J188="","",LEFT($J188,tyk_ikincilUzunluk))</f>
        <v/>
      </c>
      <c r="M188" s="17">
        <f>"B"</f>
        <v/>
      </c>
      <c r="N188" s="17">
        <f>IF($J188="","",IF(COUNTIF(tblAnahtarB[NormB],$J188)&gt;1,"EVET","HAYIR"))</f>
        <v/>
      </c>
      <c r="O188" s="17">
        <f>IF($I188="","",ROW()-ROW($I$5))</f>
        <v/>
      </c>
    </row>
    <row r="189">
      <c r="A189" s="7">
        <f>IF(GIRDI!A189="","",GIRDI!A189)</f>
        <v/>
      </c>
      <c r="B189" s="17">
        <f>UPPER(TRIM(SUBSTITUTE($A189," ","")))</f>
        <v/>
      </c>
      <c r="C189" s="17">
        <f>IF($B189="",0,LEN($B189))</f>
        <v/>
      </c>
      <c r="D189" s="17">
        <f>IF($B189="","",LEFT($B189,tyk_ikincilUzunluk))</f>
        <v/>
      </c>
      <c r="E189" s="17">
        <f>"A"</f>
        <v/>
      </c>
      <c r="F189" s="17">
        <f>IF($B189="","",IF(COUNTIF(tblAnahtarA[Norm],$B189)&gt;1,"EVET","HAYIR"))</f>
        <v/>
      </c>
      <c r="G189" s="17">
        <f>IF($A189="","",ROW()-ROW($A$5))</f>
        <v/>
      </c>
      <c r="I189" s="7">
        <f>IF(HAKEDIS!A189="","",HAKEDIS!A189)</f>
        <v/>
      </c>
      <c r="J189" s="17">
        <f>UPPER(TRIM(SUBSTITUTE($I189," ","")))</f>
        <v/>
      </c>
      <c r="K189" s="17">
        <f>IF($J189="",0,LEN($J189))</f>
        <v/>
      </c>
      <c r="L189" s="17">
        <f>IF($J189="","",LEFT($J189,tyk_ikincilUzunluk))</f>
        <v/>
      </c>
      <c r="M189" s="17">
        <f>"B"</f>
        <v/>
      </c>
      <c r="N189" s="17">
        <f>IF($J189="","",IF(COUNTIF(tblAnahtarB[NormB],$J189)&gt;1,"EVET","HAYIR"))</f>
        <v/>
      </c>
      <c r="O189" s="17">
        <f>IF($I189="","",ROW()-ROW($I$5))</f>
        <v/>
      </c>
    </row>
    <row r="190">
      <c r="A190" s="7">
        <f>IF(GIRDI!A190="","",GIRDI!A190)</f>
        <v/>
      </c>
      <c r="B190" s="17">
        <f>UPPER(TRIM(SUBSTITUTE($A190," ","")))</f>
        <v/>
      </c>
      <c r="C190" s="17">
        <f>IF($B190="",0,LEN($B190))</f>
        <v/>
      </c>
      <c r="D190" s="17">
        <f>IF($B190="","",LEFT($B190,tyk_ikincilUzunluk))</f>
        <v/>
      </c>
      <c r="E190" s="17">
        <f>"A"</f>
        <v/>
      </c>
      <c r="F190" s="17">
        <f>IF($B190="","",IF(COUNTIF(tblAnahtarA[Norm],$B190)&gt;1,"EVET","HAYIR"))</f>
        <v/>
      </c>
      <c r="G190" s="17">
        <f>IF($A190="","",ROW()-ROW($A$5))</f>
        <v/>
      </c>
      <c r="I190" s="7">
        <f>IF(HAKEDIS!A190="","",HAKEDIS!A190)</f>
        <v/>
      </c>
      <c r="J190" s="17">
        <f>UPPER(TRIM(SUBSTITUTE($I190," ","")))</f>
        <v/>
      </c>
      <c r="K190" s="17">
        <f>IF($J190="",0,LEN($J190))</f>
        <v/>
      </c>
      <c r="L190" s="17">
        <f>IF($J190="","",LEFT($J190,tyk_ikincilUzunluk))</f>
        <v/>
      </c>
      <c r="M190" s="17">
        <f>"B"</f>
        <v/>
      </c>
      <c r="N190" s="17">
        <f>IF($J190="","",IF(COUNTIF(tblAnahtarB[NormB],$J190)&gt;1,"EVET","HAYIR"))</f>
        <v/>
      </c>
      <c r="O190" s="17">
        <f>IF($I190="","",ROW()-ROW($I$5))</f>
        <v/>
      </c>
    </row>
    <row r="191">
      <c r="A191" s="7">
        <f>IF(GIRDI!A191="","",GIRDI!A191)</f>
        <v/>
      </c>
      <c r="B191" s="17">
        <f>UPPER(TRIM(SUBSTITUTE($A191," ","")))</f>
        <v/>
      </c>
      <c r="C191" s="17">
        <f>IF($B191="",0,LEN($B191))</f>
        <v/>
      </c>
      <c r="D191" s="17">
        <f>IF($B191="","",LEFT($B191,tyk_ikincilUzunluk))</f>
        <v/>
      </c>
      <c r="E191" s="17">
        <f>"A"</f>
        <v/>
      </c>
      <c r="F191" s="17">
        <f>IF($B191="","",IF(COUNTIF(tblAnahtarA[Norm],$B191)&gt;1,"EVET","HAYIR"))</f>
        <v/>
      </c>
      <c r="G191" s="17">
        <f>IF($A191="","",ROW()-ROW($A$5))</f>
        <v/>
      </c>
      <c r="I191" s="7">
        <f>IF(HAKEDIS!A191="","",HAKEDIS!A191)</f>
        <v/>
      </c>
      <c r="J191" s="17">
        <f>UPPER(TRIM(SUBSTITUTE($I191," ","")))</f>
        <v/>
      </c>
      <c r="K191" s="17">
        <f>IF($J191="",0,LEN($J191))</f>
        <v/>
      </c>
      <c r="L191" s="17">
        <f>IF($J191="","",LEFT($J191,tyk_ikincilUzunluk))</f>
        <v/>
      </c>
      <c r="M191" s="17">
        <f>"B"</f>
        <v/>
      </c>
      <c r="N191" s="17">
        <f>IF($J191="","",IF(COUNTIF(tblAnahtarB[NormB],$J191)&gt;1,"EVET","HAYIR"))</f>
        <v/>
      </c>
      <c r="O191" s="17">
        <f>IF($I191="","",ROW()-ROW($I$5))</f>
        <v/>
      </c>
    </row>
    <row r="192">
      <c r="A192" s="7">
        <f>IF(GIRDI!A192="","",GIRDI!A192)</f>
        <v/>
      </c>
      <c r="B192" s="17">
        <f>UPPER(TRIM(SUBSTITUTE($A192," ","")))</f>
        <v/>
      </c>
      <c r="C192" s="17">
        <f>IF($B192="",0,LEN($B192))</f>
        <v/>
      </c>
      <c r="D192" s="17">
        <f>IF($B192="","",LEFT($B192,tyk_ikincilUzunluk))</f>
        <v/>
      </c>
      <c r="E192" s="17">
        <f>"A"</f>
        <v/>
      </c>
      <c r="F192" s="17">
        <f>IF($B192="","",IF(COUNTIF(tblAnahtarA[Norm],$B192)&gt;1,"EVET","HAYIR"))</f>
        <v/>
      </c>
      <c r="G192" s="17">
        <f>IF($A192="","",ROW()-ROW($A$5))</f>
        <v/>
      </c>
      <c r="I192" s="7">
        <f>IF(HAKEDIS!A192="","",HAKEDIS!A192)</f>
        <v/>
      </c>
      <c r="J192" s="17">
        <f>UPPER(TRIM(SUBSTITUTE($I192," ","")))</f>
        <v/>
      </c>
      <c r="K192" s="17">
        <f>IF($J192="",0,LEN($J192))</f>
        <v/>
      </c>
      <c r="L192" s="17">
        <f>IF($J192="","",LEFT($J192,tyk_ikincilUzunluk))</f>
        <v/>
      </c>
      <c r="M192" s="17">
        <f>"B"</f>
        <v/>
      </c>
      <c r="N192" s="17">
        <f>IF($J192="","",IF(COUNTIF(tblAnahtarB[NormB],$J192)&gt;1,"EVET","HAYIR"))</f>
        <v/>
      </c>
      <c r="O192" s="17">
        <f>IF($I192="","",ROW()-ROW($I$5))</f>
        <v/>
      </c>
    </row>
    <row r="193">
      <c r="A193" s="7">
        <f>IF(GIRDI!A193="","",GIRDI!A193)</f>
        <v/>
      </c>
      <c r="B193" s="17">
        <f>UPPER(TRIM(SUBSTITUTE($A193," ","")))</f>
        <v/>
      </c>
      <c r="C193" s="17">
        <f>IF($B193="",0,LEN($B193))</f>
        <v/>
      </c>
      <c r="D193" s="17">
        <f>IF($B193="","",LEFT($B193,tyk_ikincilUzunluk))</f>
        <v/>
      </c>
      <c r="E193" s="17">
        <f>"A"</f>
        <v/>
      </c>
      <c r="F193" s="17">
        <f>IF($B193="","",IF(COUNTIF(tblAnahtarA[Norm],$B193)&gt;1,"EVET","HAYIR"))</f>
        <v/>
      </c>
      <c r="G193" s="17">
        <f>IF($A193="","",ROW()-ROW($A$5))</f>
        <v/>
      </c>
      <c r="I193" s="7">
        <f>IF(HAKEDIS!A193="","",HAKEDIS!A193)</f>
        <v/>
      </c>
      <c r="J193" s="17">
        <f>UPPER(TRIM(SUBSTITUTE($I193," ","")))</f>
        <v/>
      </c>
      <c r="K193" s="17">
        <f>IF($J193="",0,LEN($J193))</f>
        <v/>
      </c>
      <c r="L193" s="17">
        <f>IF($J193="","",LEFT($J193,tyk_ikincilUzunluk))</f>
        <v/>
      </c>
      <c r="M193" s="17">
        <f>"B"</f>
        <v/>
      </c>
      <c r="N193" s="17">
        <f>IF($J193="","",IF(COUNTIF(tblAnahtarB[NormB],$J193)&gt;1,"EVET","HAYIR"))</f>
        <v/>
      </c>
      <c r="O193" s="17">
        <f>IF($I193="","",ROW()-ROW($I$5))</f>
        <v/>
      </c>
    </row>
    <row r="194">
      <c r="A194" s="7">
        <f>IF(GIRDI!A194="","",GIRDI!A194)</f>
        <v/>
      </c>
      <c r="B194" s="17">
        <f>UPPER(TRIM(SUBSTITUTE($A194," ","")))</f>
        <v/>
      </c>
      <c r="C194" s="17">
        <f>IF($B194="",0,LEN($B194))</f>
        <v/>
      </c>
      <c r="D194" s="17">
        <f>IF($B194="","",LEFT($B194,tyk_ikincilUzunluk))</f>
        <v/>
      </c>
      <c r="E194" s="17">
        <f>"A"</f>
        <v/>
      </c>
      <c r="F194" s="17">
        <f>IF($B194="","",IF(COUNTIF(tblAnahtarA[Norm],$B194)&gt;1,"EVET","HAYIR"))</f>
        <v/>
      </c>
      <c r="G194" s="17">
        <f>IF($A194="","",ROW()-ROW($A$5))</f>
        <v/>
      </c>
      <c r="I194" s="7">
        <f>IF(HAKEDIS!A194="","",HAKEDIS!A194)</f>
        <v/>
      </c>
      <c r="J194" s="17">
        <f>UPPER(TRIM(SUBSTITUTE($I194," ","")))</f>
        <v/>
      </c>
      <c r="K194" s="17">
        <f>IF($J194="",0,LEN($J194))</f>
        <v/>
      </c>
      <c r="L194" s="17">
        <f>IF($J194="","",LEFT($J194,tyk_ikincilUzunluk))</f>
        <v/>
      </c>
      <c r="M194" s="17">
        <f>"B"</f>
        <v/>
      </c>
      <c r="N194" s="17">
        <f>IF($J194="","",IF(COUNTIF(tblAnahtarB[NormB],$J194)&gt;1,"EVET","HAYIR"))</f>
        <v/>
      </c>
      <c r="O194" s="17">
        <f>IF($I194="","",ROW()-ROW($I$5))</f>
        <v/>
      </c>
    </row>
    <row r="195">
      <c r="A195" s="7">
        <f>IF(GIRDI!A195="","",GIRDI!A195)</f>
        <v/>
      </c>
      <c r="B195" s="17">
        <f>UPPER(TRIM(SUBSTITUTE($A195," ","")))</f>
        <v/>
      </c>
      <c r="C195" s="17">
        <f>IF($B195="",0,LEN($B195))</f>
        <v/>
      </c>
      <c r="D195" s="17">
        <f>IF($B195="","",LEFT($B195,tyk_ikincilUzunluk))</f>
        <v/>
      </c>
      <c r="E195" s="17">
        <f>"A"</f>
        <v/>
      </c>
      <c r="F195" s="17">
        <f>IF($B195="","",IF(COUNTIF(tblAnahtarA[Norm],$B195)&gt;1,"EVET","HAYIR"))</f>
        <v/>
      </c>
      <c r="G195" s="17">
        <f>IF($A195="","",ROW()-ROW($A$5))</f>
        <v/>
      </c>
      <c r="I195" s="7">
        <f>IF(HAKEDIS!A195="","",HAKEDIS!A195)</f>
        <v/>
      </c>
      <c r="J195" s="17">
        <f>UPPER(TRIM(SUBSTITUTE($I195," ","")))</f>
        <v/>
      </c>
      <c r="K195" s="17">
        <f>IF($J195="",0,LEN($J195))</f>
        <v/>
      </c>
      <c r="L195" s="17">
        <f>IF($J195="","",LEFT($J195,tyk_ikincilUzunluk))</f>
        <v/>
      </c>
      <c r="M195" s="17">
        <f>"B"</f>
        <v/>
      </c>
      <c r="N195" s="17">
        <f>IF($J195="","",IF(COUNTIF(tblAnahtarB[NormB],$J195)&gt;1,"EVET","HAYIR"))</f>
        <v/>
      </c>
      <c r="O195" s="17">
        <f>IF($I195="","",ROW()-ROW($I$5))</f>
        <v/>
      </c>
    </row>
    <row r="196">
      <c r="A196" s="7">
        <f>IF(GIRDI!A196="","",GIRDI!A196)</f>
        <v/>
      </c>
      <c r="B196" s="17">
        <f>UPPER(TRIM(SUBSTITUTE($A196," ","")))</f>
        <v/>
      </c>
      <c r="C196" s="17">
        <f>IF($B196="",0,LEN($B196))</f>
        <v/>
      </c>
      <c r="D196" s="17">
        <f>IF($B196="","",LEFT($B196,tyk_ikincilUzunluk))</f>
        <v/>
      </c>
      <c r="E196" s="17">
        <f>"A"</f>
        <v/>
      </c>
      <c r="F196" s="17">
        <f>IF($B196="","",IF(COUNTIF(tblAnahtarA[Norm],$B196)&gt;1,"EVET","HAYIR"))</f>
        <v/>
      </c>
      <c r="G196" s="17">
        <f>IF($A196="","",ROW()-ROW($A$5))</f>
        <v/>
      </c>
      <c r="I196" s="7">
        <f>IF(HAKEDIS!A196="","",HAKEDIS!A196)</f>
        <v/>
      </c>
      <c r="J196" s="17">
        <f>UPPER(TRIM(SUBSTITUTE($I196," ","")))</f>
        <v/>
      </c>
      <c r="K196" s="17">
        <f>IF($J196="",0,LEN($J196))</f>
        <v/>
      </c>
      <c r="L196" s="17">
        <f>IF($J196="","",LEFT($J196,tyk_ikincilUzunluk))</f>
        <v/>
      </c>
      <c r="M196" s="17">
        <f>"B"</f>
        <v/>
      </c>
      <c r="N196" s="17">
        <f>IF($J196="","",IF(COUNTIF(tblAnahtarB[NormB],$J196)&gt;1,"EVET","HAYIR"))</f>
        <v/>
      </c>
      <c r="O196" s="17">
        <f>IF($I196="","",ROW()-ROW($I$5))</f>
        <v/>
      </c>
    </row>
    <row r="197">
      <c r="A197" s="7">
        <f>IF(GIRDI!A197="","",GIRDI!A197)</f>
        <v/>
      </c>
      <c r="B197" s="17">
        <f>UPPER(TRIM(SUBSTITUTE($A197," ","")))</f>
        <v/>
      </c>
      <c r="C197" s="17">
        <f>IF($B197="",0,LEN($B197))</f>
        <v/>
      </c>
      <c r="D197" s="17">
        <f>IF($B197="","",LEFT($B197,tyk_ikincilUzunluk))</f>
        <v/>
      </c>
      <c r="E197" s="17">
        <f>"A"</f>
        <v/>
      </c>
      <c r="F197" s="17">
        <f>IF($B197="","",IF(COUNTIF(tblAnahtarA[Norm],$B197)&gt;1,"EVET","HAYIR"))</f>
        <v/>
      </c>
      <c r="G197" s="17">
        <f>IF($A197="","",ROW()-ROW($A$5))</f>
        <v/>
      </c>
      <c r="I197" s="7">
        <f>IF(HAKEDIS!A197="","",HAKEDIS!A197)</f>
        <v/>
      </c>
      <c r="J197" s="17">
        <f>UPPER(TRIM(SUBSTITUTE($I197," ","")))</f>
        <v/>
      </c>
      <c r="K197" s="17">
        <f>IF($J197="",0,LEN($J197))</f>
        <v/>
      </c>
      <c r="L197" s="17">
        <f>IF($J197="","",LEFT($J197,tyk_ikincilUzunluk))</f>
        <v/>
      </c>
      <c r="M197" s="17">
        <f>"B"</f>
        <v/>
      </c>
      <c r="N197" s="17">
        <f>IF($J197="","",IF(COUNTIF(tblAnahtarB[NormB],$J197)&gt;1,"EVET","HAYIR"))</f>
        <v/>
      </c>
      <c r="O197" s="17">
        <f>IF($I197="","",ROW()-ROW($I$5))</f>
        <v/>
      </c>
    </row>
    <row r="198">
      <c r="A198" s="7">
        <f>IF(GIRDI!A198="","",GIRDI!A198)</f>
        <v/>
      </c>
      <c r="B198" s="17">
        <f>UPPER(TRIM(SUBSTITUTE($A198," ","")))</f>
        <v/>
      </c>
      <c r="C198" s="17">
        <f>IF($B198="",0,LEN($B198))</f>
        <v/>
      </c>
      <c r="D198" s="17">
        <f>IF($B198="","",LEFT($B198,tyk_ikincilUzunluk))</f>
        <v/>
      </c>
      <c r="E198" s="17">
        <f>"A"</f>
        <v/>
      </c>
      <c r="F198" s="17">
        <f>IF($B198="","",IF(COUNTIF(tblAnahtarA[Norm],$B198)&gt;1,"EVET","HAYIR"))</f>
        <v/>
      </c>
      <c r="G198" s="17">
        <f>IF($A198="","",ROW()-ROW($A$5))</f>
        <v/>
      </c>
      <c r="I198" s="7">
        <f>IF(HAKEDIS!A198="","",HAKEDIS!A198)</f>
        <v/>
      </c>
      <c r="J198" s="17">
        <f>UPPER(TRIM(SUBSTITUTE($I198," ","")))</f>
        <v/>
      </c>
      <c r="K198" s="17">
        <f>IF($J198="",0,LEN($J198))</f>
        <v/>
      </c>
      <c r="L198" s="17">
        <f>IF($J198="","",LEFT($J198,tyk_ikincilUzunluk))</f>
        <v/>
      </c>
      <c r="M198" s="17">
        <f>"B"</f>
        <v/>
      </c>
      <c r="N198" s="17">
        <f>IF($J198="","",IF(COUNTIF(tblAnahtarB[NormB],$J198)&gt;1,"EVET","HAYIR"))</f>
        <v/>
      </c>
      <c r="O198" s="17">
        <f>IF($I198="","",ROW()-ROW($I$5))</f>
        <v/>
      </c>
    </row>
    <row r="199">
      <c r="A199" s="7">
        <f>IF(GIRDI!A199="","",GIRDI!A199)</f>
        <v/>
      </c>
      <c r="B199" s="17">
        <f>UPPER(TRIM(SUBSTITUTE($A199," ","")))</f>
        <v/>
      </c>
      <c r="C199" s="17">
        <f>IF($B199="",0,LEN($B199))</f>
        <v/>
      </c>
      <c r="D199" s="17">
        <f>IF($B199="","",LEFT($B199,tyk_ikincilUzunluk))</f>
        <v/>
      </c>
      <c r="E199" s="17">
        <f>"A"</f>
        <v/>
      </c>
      <c r="F199" s="17">
        <f>IF($B199="","",IF(COUNTIF(tblAnahtarA[Norm],$B199)&gt;1,"EVET","HAYIR"))</f>
        <v/>
      </c>
      <c r="G199" s="17">
        <f>IF($A199="","",ROW()-ROW($A$5))</f>
        <v/>
      </c>
      <c r="I199" s="7">
        <f>IF(HAKEDIS!A199="","",HAKEDIS!A199)</f>
        <v/>
      </c>
      <c r="J199" s="17">
        <f>UPPER(TRIM(SUBSTITUTE($I199," ","")))</f>
        <v/>
      </c>
      <c r="K199" s="17">
        <f>IF($J199="",0,LEN($J199))</f>
        <v/>
      </c>
      <c r="L199" s="17">
        <f>IF($J199="","",LEFT($J199,tyk_ikincilUzunluk))</f>
        <v/>
      </c>
      <c r="M199" s="17">
        <f>"B"</f>
        <v/>
      </c>
      <c r="N199" s="17">
        <f>IF($J199="","",IF(COUNTIF(tblAnahtarB[NormB],$J199)&gt;1,"EVET","HAYIR"))</f>
        <v/>
      </c>
      <c r="O199" s="17">
        <f>IF($I199="","",ROW()-ROW($I$5))</f>
        <v/>
      </c>
    </row>
    <row r="200">
      <c r="A200" s="7">
        <f>IF(GIRDI!A200="","",GIRDI!A200)</f>
        <v/>
      </c>
      <c r="B200" s="17">
        <f>UPPER(TRIM(SUBSTITUTE($A200," ","")))</f>
        <v/>
      </c>
      <c r="C200" s="17">
        <f>IF($B200="",0,LEN($B200))</f>
        <v/>
      </c>
      <c r="D200" s="17">
        <f>IF($B200="","",LEFT($B200,tyk_ikincilUzunluk))</f>
        <v/>
      </c>
      <c r="E200" s="17">
        <f>"A"</f>
        <v/>
      </c>
      <c r="F200" s="17">
        <f>IF($B200="","",IF(COUNTIF(tblAnahtarA[Norm],$B200)&gt;1,"EVET","HAYIR"))</f>
        <v/>
      </c>
      <c r="G200" s="17">
        <f>IF($A200="","",ROW()-ROW($A$5))</f>
        <v/>
      </c>
      <c r="I200" s="7">
        <f>IF(HAKEDIS!A200="","",HAKEDIS!A200)</f>
        <v/>
      </c>
      <c r="J200" s="17">
        <f>UPPER(TRIM(SUBSTITUTE($I200," ","")))</f>
        <v/>
      </c>
      <c r="K200" s="17">
        <f>IF($J200="",0,LEN($J200))</f>
        <v/>
      </c>
      <c r="L200" s="17">
        <f>IF($J200="","",LEFT($J200,tyk_ikincilUzunluk))</f>
        <v/>
      </c>
      <c r="M200" s="17">
        <f>"B"</f>
        <v/>
      </c>
      <c r="N200" s="17">
        <f>IF($J200="","",IF(COUNTIF(tblAnahtarB[NormB],$J200)&gt;1,"EVET","HAYIR"))</f>
        <v/>
      </c>
      <c r="O200" s="17">
        <f>IF($I200="","",ROW()-ROW($I$5))</f>
        <v/>
      </c>
    </row>
    <row r="201">
      <c r="A201" s="7">
        <f>IF(GIRDI!A201="","",GIRDI!A201)</f>
        <v/>
      </c>
      <c r="B201" s="17">
        <f>UPPER(TRIM(SUBSTITUTE($A201," ","")))</f>
        <v/>
      </c>
      <c r="C201" s="17">
        <f>IF($B201="",0,LEN($B201))</f>
        <v/>
      </c>
      <c r="D201" s="17">
        <f>IF($B201="","",LEFT($B201,tyk_ikincilUzunluk))</f>
        <v/>
      </c>
      <c r="E201" s="17">
        <f>"A"</f>
        <v/>
      </c>
      <c r="F201" s="17">
        <f>IF($B201="","",IF(COUNTIF(tblAnahtarA[Norm],$B201)&gt;1,"EVET","HAYIR"))</f>
        <v/>
      </c>
      <c r="G201" s="17">
        <f>IF($A201="","",ROW()-ROW($A$5))</f>
        <v/>
      </c>
      <c r="I201" s="7">
        <f>IF(HAKEDIS!A201="","",HAKEDIS!A201)</f>
        <v/>
      </c>
      <c r="J201" s="17">
        <f>UPPER(TRIM(SUBSTITUTE($I201," ","")))</f>
        <v/>
      </c>
      <c r="K201" s="17">
        <f>IF($J201="",0,LEN($J201))</f>
        <v/>
      </c>
      <c r="L201" s="17">
        <f>IF($J201="","",LEFT($J201,tyk_ikincilUzunluk))</f>
        <v/>
      </c>
      <c r="M201" s="17">
        <f>"B"</f>
        <v/>
      </c>
      <c r="N201" s="17">
        <f>IF($J201="","",IF(COUNTIF(tblAnahtarB[NormB],$J201)&gt;1,"EVET","HAYIR"))</f>
        <v/>
      </c>
      <c r="O201" s="17">
        <f>IF($I201="","",ROW()-ROW($I$5))</f>
        <v/>
      </c>
    </row>
    <row r="202">
      <c r="A202" s="7">
        <f>IF(GIRDI!A202="","",GIRDI!A202)</f>
        <v/>
      </c>
      <c r="B202" s="17">
        <f>UPPER(TRIM(SUBSTITUTE($A202," ","")))</f>
        <v/>
      </c>
      <c r="C202" s="17">
        <f>IF($B202="",0,LEN($B202))</f>
        <v/>
      </c>
      <c r="D202" s="17">
        <f>IF($B202="","",LEFT($B202,tyk_ikincilUzunluk))</f>
        <v/>
      </c>
      <c r="E202" s="17">
        <f>"A"</f>
        <v/>
      </c>
      <c r="F202" s="17">
        <f>IF($B202="","",IF(COUNTIF(tblAnahtarA[Norm],$B202)&gt;1,"EVET","HAYIR"))</f>
        <v/>
      </c>
      <c r="G202" s="17">
        <f>IF($A202="","",ROW()-ROW($A$5))</f>
        <v/>
      </c>
      <c r="I202" s="7">
        <f>IF(HAKEDIS!A202="","",HAKEDIS!A202)</f>
        <v/>
      </c>
      <c r="J202" s="17">
        <f>UPPER(TRIM(SUBSTITUTE($I202," ","")))</f>
        <v/>
      </c>
      <c r="K202" s="17">
        <f>IF($J202="",0,LEN($J202))</f>
        <v/>
      </c>
      <c r="L202" s="17">
        <f>IF($J202="","",LEFT($J202,tyk_ikincilUzunluk))</f>
        <v/>
      </c>
      <c r="M202" s="17">
        <f>"B"</f>
        <v/>
      </c>
      <c r="N202" s="17">
        <f>IF($J202="","",IF(COUNTIF(tblAnahtarB[NormB],$J202)&gt;1,"EVET","HAYIR"))</f>
        <v/>
      </c>
      <c r="O202" s="17">
        <f>IF($I202="","",ROW()-ROW($I$5))</f>
        <v/>
      </c>
    </row>
    <row r="203">
      <c r="A203" s="7">
        <f>IF(GIRDI!A203="","",GIRDI!A203)</f>
        <v/>
      </c>
      <c r="B203" s="17">
        <f>UPPER(TRIM(SUBSTITUTE($A203," ","")))</f>
        <v/>
      </c>
      <c r="C203" s="17">
        <f>IF($B203="",0,LEN($B203))</f>
        <v/>
      </c>
      <c r="D203" s="17">
        <f>IF($B203="","",LEFT($B203,tyk_ikincilUzunluk))</f>
        <v/>
      </c>
      <c r="E203" s="17">
        <f>"A"</f>
        <v/>
      </c>
      <c r="F203" s="17">
        <f>IF($B203="","",IF(COUNTIF(tblAnahtarA[Norm],$B203)&gt;1,"EVET","HAYIR"))</f>
        <v/>
      </c>
      <c r="G203" s="17">
        <f>IF($A203="","",ROW()-ROW($A$5))</f>
        <v/>
      </c>
      <c r="I203" s="7">
        <f>IF(HAKEDIS!A203="","",HAKEDIS!A203)</f>
        <v/>
      </c>
      <c r="J203" s="17">
        <f>UPPER(TRIM(SUBSTITUTE($I203," ","")))</f>
        <v/>
      </c>
      <c r="K203" s="17">
        <f>IF($J203="",0,LEN($J203))</f>
        <v/>
      </c>
      <c r="L203" s="17">
        <f>IF($J203="","",LEFT($J203,tyk_ikincilUzunluk))</f>
        <v/>
      </c>
      <c r="M203" s="17">
        <f>"B"</f>
        <v/>
      </c>
      <c r="N203" s="17">
        <f>IF($J203="","",IF(COUNTIF(tblAnahtarB[NormB],$J203)&gt;1,"EVET","HAYIR"))</f>
        <v/>
      </c>
      <c r="O203" s="17">
        <f>IF($I203="","",ROW()-ROW($I$5))</f>
        <v/>
      </c>
    </row>
    <row r="204">
      <c r="A204" s="7">
        <f>IF(GIRDI!A204="","",GIRDI!A204)</f>
        <v/>
      </c>
      <c r="B204" s="17">
        <f>UPPER(TRIM(SUBSTITUTE($A204," ","")))</f>
        <v/>
      </c>
      <c r="C204" s="17">
        <f>IF($B204="",0,LEN($B204))</f>
        <v/>
      </c>
      <c r="D204" s="17">
        <f>IF($B204="","",LEFT($B204,tyk_ikincilUzunluk))</f>
        <v/>
      </c>
      <c r="E204" s="17">
        <f>"A"</f>
        <v/>
      </c>
      <c r="F204" s="17">
        <f>IF($B204="","",IF(COUNTIF(tblAnahtarA[Norm],$B204)&gt;1,"EVET","HAYIR"))</f>
        <v/>
      </c>
      <c r="G204" s="17">
        <f>IF($A204="","",ROW()-ROW($A$5))</f>
        <v/>
      </c>
      <c r="I204" s="7">
        <f>IF(HAKEDIS!A204="","",HAKEDIS!A204)</f>
        <v/>
      </c>
      <c r="J204" s="17">
        <f>UPPER(TRIM(SUBSTITUTE($I204," ","")))</f>
        <v/>
      </c>
      <c r="K204" s="17">
        <f>IF($J204="",0,LEN($J204))</f>
        <v/>
      </c>
      <c r="L204" s="17">
        <f>IF($J204="","",LEFT($J204,tyk_ikincilUzunluk))</f>
        <v/>
      </c>
      <c r="M204" s="17">
        <f>"B"</f>
        <v/>
      </c>
      <c r="N204" s="17">
        <f>IF($J204="","",IF(COUNTIF(tblAnahtarB[NormB],$J204)&gt;1,"EVET","HAYIR"))</f>
        <v/>
      </c>
      <c r="O204" s="17">
        <f>IF($I204="","",ROW()-ROW($I$5))</f>
        <v/>
      </c>
    </row>
    <row r="205">
      <c r="A205" s="7">
        <f>IF(GIRDI!A205="","",GIRDI!A205)</f>
        <v/>
      </c>
      <c r="B205" s="17">
        <f>UPPER(TRIM(SUBSTITUTE($A205," ","")))</f>
        <v/>
      </c>
      <c r="C205" s="17">
        <f>IF($B205="",0,LEN($B205))</f>
        <v/>
      </c>
      <c r="D205" s="17">
        <f>IF($B205="","",LEFT($B205,tyk_ikincilUzunluk))</f>
        <v/>
      </c>
      <c r="E205" s="17">
        <f>"A"</f>
        <v/>
      </c>
      <c r="F205" s="17">
        <f>IF($B205="","",IF(COUNTIF(tblAnahtarA[Norm],$B205)&gt;1,"EVET","HAYIR"))</f>
        <v/>
      </c>
      <c r="G205" s="17">
        <f>IF($A205="","",ROW()-ROW($A$5))</f>
        <v/>
      </c>
      <c r="I205" s="7">
        <f>IF(HAKEDIS!A205="","",HAKEDIS!A205)</f>
        <v/>
      </c>
      <c r="J205" s="17">
        <f>UPPER(TRIM(SUBSTITUTE($I205," ","")))</f>
        <v/>
      </c>
      <c r="K205" s="17">
        <f>IF($J205="",0,LEN($J205))</f>
        <v/>
      </c>
      <c r="L205" s="17">
        <f>IF($J205="","",LEFT($J205,tyk_ikincilUzunluk))</f>
        <v/>
      </c>
      <c r="M205" s="17">
        <f>"B"</f>
        <v/>
      </c>
      <c r="N205" s="17">
        <f>IF($J205="","",IF(COUNTIF(tblAnahtarB[NormB],$J205)&gt;1,"EVET","HAYIR"))</f>
        <v/>
      </c>
      <c r="O205" s="17">
        <f>IF($I205="","",ROW()-ROW($I$5))</f>
        <v/>
      </c>
    </row>
    <row r="206">
      <c r="A206" s="7">
        <f>IF(GIRDI!A206="","",GIRDI!A206)</f>
        <v/>
      </c>
      <c r="B206" s="17">
        <f>UPPER(TRIM(SUBSTITUTE($A206," ","")))</f>
        <v/>
      </c>
      <c r="C206" s="17">
        <f>IF($B206="",0,LEN($B206))</f>
        <v/>
      </c>
      <c r="D206" s="17">
        <f>IF($B206="","",LEFT($B206,tyk_ikincilUzunluk))</f>
        <v/>
      </c>
      <c r="E206" s="17">
        <f>"A"</f>
        <v/>
      </c>
      <c r="F206" s="17">
        <f>IF($B206="","",IF(COUNTIF(tblAnahtarA[Norm],$B206)&gt;1,"EVET","HAYIR"))</f>
        <v/>
      </c>
      <c r="G206" s="17">
        <f>IF($A206="","",ROW()-ROW($A$5))</f>
        <v/>
      </c>
      <c r="I206" s="7">
        <f>IF(HAKEDIS!A206="","",HAKEDIS!A206)</f>
        <v/>
      </c>
      <c r="J206" s="17">
        <f>UPPER(TRIM(SUBSTITUTE($I206," ","")))</f>
        <v/>
      </c>
      <c r="K206" s="17">
        <f>IF($J206="",0,LEN($J206))</f>
        <v/>
      </c>
      <c r="L206" s="17">
        <f>IF($J206="","",LEFT($J206,tyk_ikincilUzunluk))</f>
        <v/>
      </c>
      <c r="M206" s="17">
        <f>"B"</f>
        <v/>
      </c>
      <c r="N206" s="17">
        <f>IF($J206="","",IF(COUNTIF(tblAnahtarB[NormB],$J206)&gt;1,"EVET","HAYIR"))</f>
        <v/>
      </c>
      <c r="O206" s="17">
        <f>IF($I206="","",ROW()-ROW($I$5))</f>
        <v/>
      </c>
    </row>
    <row r="207">
      <c r="A207" s="7">
        <f>IF(GIRDI!A207="","",GIRDI!A207)</f>
        <v/>
      </c>
      <c r="B207" s="17">
        <f>UPPER(TRIM(SUBSTITUTE($A207," ","")))</f>
        <v/>
      </c>
      <c r="C207" s="17">
        <f>IF($B207="",0,LEN($B207))</f>
        <v/>
      </c>
      <c r="D207" s="17">
        <f>IF($B207="","",LEFT($B207,tyk_ikincilUzunluk))</f>
        <v/>
      </c>
      <c r="E207" s="17">
        <f>"A"</f>
        <v/>
      </c>
      <c r="F207" s="17">
        <f>IF($B207="","",IF(COUNTIF(tblAnahtarA[Norm],$B207)&gt;1,"EVET","HAYIR"))</f>
        <v/>
      </c>
      <c r="G207" s="17">
        <f>IF($A207="","",ROW()-ROW($A$5))</f>
        <v/>
      </c>
      <c r="I207" s="7">
        <f>IF(HAKEDIS!A207="","",HAKEDIS!A207)</f>
        <v/>
      </c>
      <c r="J207" s="17">
        <f>UPPER(TRIM(SUBSTITUTE($I207," ","")))</f>
        <v/>
      </c>
      <c r="K207" s="17">
        <f>IF($J207="",0,LEN($J207))</f>
        <v/>
      </c>
      <c r="L207" s="17">
        <f>IF($J207="","",LEFT($J207,tyk_ikincilUzunluk))</f>
        <v/>
      </c>
      <c r="M207" s="17">
        <f>"B"</f>
        <v/>
      </c>
      <c r="N207" s="17">
        <f>IF($J207="","",IF(COUNTIF(tblAnahtarB[NormB],$J207)&gt;1,"EVET","HAYIR"))</f>
        <v/>
      </c>
      <c r="O207" s="17">
        <f>IF($I207="","",ROW()-ROW($I$5))</f>
        <v/>
      </c>
    </row>
    <row r="208">
      <c r="A208" s="7">
        <f>IF(GIRDI!A208="","",GIRDI!A208)</f>
        <v/>
      </c>
      <c r="B208" s="17">
        <f>UPPER(TRIM(SUBSTITUTE($A208," ","")))</f>
        <v/>
      </c>
      <c r="C208" s="17">
        <f>IF($B208="",0,LEN($B208))</f>
        <v/>
      </c>
      <c r="D208" s="17">
        <f>IF($B208="","",LEFT($B208,tyk_ikincilUzunluk))</f>
        <v/>
      </c>
      <c r="E208" s="17">
        <f>"A"</f>
        <v/>
      </c>
      <c r="F208" s="17">
        <f>IF($B208="","",IF(COUNTIF(tblAnahtarA[Norm],$B208)&gt;1,"EVET","HAYIR"))</f>
        <v/>
      </c>
      <c r="G208" s="17">
        <f>IF($A208="","",ROW()-ROW($A$5))</f>
        <v/>
      </c>
      <c r="I208" s="7">
        <f>IF(HAKEDIS!A208="","",HAKEDIS!A208)</f>
        <v/>
      </c>
      <c r="J208" s="17">
        <f>UPPER(TRIM(SUBSTITUTE($I208," ","")))</f>
        <v/>
      </c>
      <c r="K208" s="17">
        <f>IF($J208="",0,LEN($J208))</f>
        <v/>
      </c>
      <c r="L208" s="17">
        <f>IF($J208="","",LEFT($J208,tyk_ikincilUzunluk))</f>
        <v/>
      </c>
      <c r="M208" s="17">
        <f>"B"</f>
        <v/>
      </c>
      <c r="N208" s="17">
        <f>IF($J208="","",IF(COUNTIF(tblAnahtarB[NormB],$J208)&gt;1,"EVET","HAYIR"))</f>
        <v/>
      </c>
      <c r="O208" s="17">
        <f>IF($I208="","",ROW()-ROW($I$5))</f>
        <v/>
      </c>
    </row>
    <row r="209">
      <c r="A209" s="7">
        <f>IF(GIRDI!A209="","",GIRDI!A209)</f>
        <v/>
      </c>
      <c r="B209" s="17">
        <f>UPPER(TRIM(SUBSTITUTE($A209," ","")))</f>
        <v/>
      </c>
      <c r="C209" s="17">
        <f>IF($B209="",0,LEN($B209))</f>
        <v/>
      </c>
      <c r="D209" s="17">
        <f>IF($B209="","",LEFT($B209,tyk_ikincilUzunluk))</f>
        <v/>
      </c>
      <c r="E209" s="17">
        <f>"A"</f>
        <v/>
      </c>
      <c r="F209" s="17">
        <f>IF($B209="","",IF(COUNTIF(tblAnahtarA[Norm],$B209)&gt;1,"EVET","HAYIR"))</f>
        <v/>
      </c>
      <c r="G209" s="17">
        <f>IF($A209="","",ROW()-ROW($A$5))</f>
        <v/>
      </c>
      <c r="I209" s="7">
        <f>IF(HAKEDIS!A209="","",HAKEDIS!A209)</f>
        <v/>
      </c>
      <c r="J209" s="17">
        <f>UPPER(TRIM(SUBSTITUTE($I209," ","")))</f>
        <v/>
      </c>
      <c r="K209" s="17">
        <f>IF($J209="",0,LEN($J209))</f>
        <v/>
      </c>
      <c r="L209" s="17">
        <f>IF($J209="","",LEFT($J209,tyk_ikincilUzunluk))</f>
        <v/>
      </c>
      <c r="M209" s="17">
        <f>"B"</f>
        <v/>
      </c>
      <c r="N209" s="17">
        <f>IF($J209="","",IF(COUNTIF(tblAnahtarB[NormB],$J209)&gt;1,"EVET","HAYIR"))</f>
        <v/>
      </c>
      <c r="O209" s="17">
        <f>IF($I209="","",ROW()-ROW($I$5))</f>
        <v/>
      </c>
    </row>
    <row r="210">
      <c r="A210" s="7">
        <f>IF(GIRDI!A210="","",GIRDI!A210)</f>
        <v/>
      </c>
      <c r="B210" s="17">
        <f>UPPER(TRIM(SUBSTITUTE($A210," ","")))</f>
        <v/>
      </c>
      <c r="C210" s="17">
        <f>IF($B210="",0,LEN($B210))</f>
        <v/>
      </c>
      <c r="D210" s="17">
        <f>IF($B210="","",LEFT($B210,tyk_ikincilUzunluk))</f>
        <v/>
      </c>
      <c r="E210" s="17">
        <f>"A"</f>
        <v/>
      </c>
      <c r="F210" s="17">
        <f>IF($B210="","",IF(COUNTIF(tblAnahtarA[Norm],$B210)&gt;1,"EVET","HAYIR"))</f>
        <v/>
      </c>
      <c r="G210" s="17">
        <f>IF($A210="","",ROW()-ROW($A$5))</f>
        <v/>
      </c>
      <c r="I210" s="7">
        <f>IF(HAKEDIS!A210="","",HAKEDIS!A210)</f>
        <v/>
      </c>
      <c r="J210" s="17">
        <f>UPPER(TRIM(SUBSTITUTE($I210," ","")))</f>
        <v/>
      </c>
      <c r="K210" s="17">
        <f>IF($J210="",0,LEN($J210))</f>
        <v/>
      </c>
      <c r="L210" s="17">
        <f>IF($J210="","",LEFT($J210,tyk_ikincilUzunluk))</f>
        <v/>
      </c>
      <c r="M210" s="17">
        <f>"B"</f>
        <v/>
      </c>
      <c r="N210" s="17">
        <f>IF($J210="","",IF(COUNTIF(tblAnahtarB[NormB],$J210)&gt;1,"EVET","HAYIR"))</f>
        <v/>
      </c>
      <c r="O210" s="17">
        <f>IF($I210="","",ROW()-ROW($I$5))</f>
        <v/>
      </c>
    </row>
    <row r="211">
      <c r="A211" s="7">
        <f>IF(GIRDI!A211="","",GIRDI!A211)</f>
        <v/>
      </c>
      <c r="B211" s="17">
        <f>UPPER(TRIM(SUBSTITUTE($A211," ","")))</f>
        <v/>
      </c>
      <c r="C211" s="17">
        <f>IF($B211="",0,LEN($B211))</f>
        <v/>
      </c>
      <c r="D211" s="17">
        <f>IF($B211="","",LEFT($B211,tyk_ikincilUzunluk))</f>
        <v/>
      </c>
      <c r="E211" s="17">
        <f>"A"</f>
        <v/>
      </c>
      <c r="F211" s="17">
        <f>IF($B211="","",IF(COUNTIF(tblAnahtarA[Norm],$B211)&gt;1,"EVET","HAYIR"))</f>
        <v/>
      </c>
      <c r="G211" s="17">
        <f>IF($A211="","",ROW()-ROW($A$5))</f>
        <v/>
      </c>
      <c r="I211" s="7">
        <f>IF(HAKEDIS!A211="","",HAKEDIS!A211)</f>
        <v/>
      </c>
      <c r="J211" s="17">
        <f>UPPER(TRIM(SUBSTITUTE($I211," ","")))</f>
        <v/>
      </c>
      <c r="K211" s="17">
        <f>IF($J211="",0,LEN($J211))</f>
        <v/>
      </c>
      <c r="L211" s="17">
        <f>IF($J211="","",LEFT($J211,tyk_ikincilUzunluk))</f>
        <v/>
      </c>
      <c r="M211" s="17">
        <f>"B"</f>
        <v/>
      </c>
      <c r="N211" s="17">
        <f>IF($J211="","",IF(COUNTIF(tblAnahtarB[NormB],$J211)&gt;1,"EVET","HAYIR"))</f>
        <v/>
      </c>
      <c r="O211" s="17">
        <f>IF($I211="","",ROW()-ROW($I$5))</f>
        <v/>
      </c>
    </row>
    <row r="212">
      <c r="A212" s="7">
        <f>IF(GIRDI!A212="","",GIRDI!A212)</f>
        <v/>
      </c>
      <c r="B212" s="17">
        <f>UPPER(TRIM(SUBSTITUTE($A212," ","")))</f>
        <v/>
      </c>
      <c r="C212" s="17">
        <f>IF($B212="",0,LEN($B212))</f>
        <v/>
      </c>
      <c r="D212" s="17">
        <f>IF($B212="","",LEFT($B212,tyk_ikincilUzunluk))</f>
        <v/>
      </c>
      <c r="E212" s="17">
        <f>"A"</f>
        <v/>
      </c>
      <c r="F212" s="17">
        <f>IF($B212="","",IF(COUNTIF(tblAnahtarA[Norm],$B212)&gt;1,"EVET","HAYIR"))</f>
        <v/>
      </c>
      <c r="G212" s="17">
        <f>IF($A212="","",ROW()-ROW($A$5))</f>
        <v/>
      </c>
      <c r="I212" s="7">
        <f>IF(HAKEDIS!A212="","",HAKEDIS!A212)</f>
        <v/>
      </c>
      <c r="J212" s="17">
        <f>UPPER(TRIM(SUBSTITUTE($I212," ","")))</f>
        <v/>
      </c>
      <c r="K212" s="17">
        <f>IF($J212="",0,LEN($J212))</f>
        <v/>
      </c>
      <c r="L212" s="17">
        <f>IF($J212="","",LEFT($J212,tyk_ikincilUzunluk))</f>
        <v/>
      </c>
      <c r="M212" s="17">
        <f>"B"</f>
        <v/>
      </c>
      <c r="N212" s="17">
        <f>IF($J212="","",IF(COUNTIF(tblAnahtarB[NormB],$J212)&gt;1,"EVET","HAYIR"))</f>
        <v/>
      </c>
      <c r="O212" s="17">
        <f>IF($I212="","",ROW()-ROW($I$5))</f>
        <v/>
      </c>
    </row>
    <row r="213">
      <c r="A213" s="7">
        <f>IF(GIRDI!A213="","",GIRDI!A213)</f>
        <v/>
      </c>
      <c r="B213" s="17">
        <f>UPPER(TRIM(SUBSTITUTE($A213," ","")))</f>
        <v/>
      </c>
      <c r="C213" s="17">
        <f>IF($B213="",0,LEN($B213))</f>
        <v/>
      </c>
      <c r="D213" s="17">
        <f>IF($B213="","",LEFT($B213,tyk_ikincilUzunluk))</f>
        <v/>
      </c>
      <c r="E213" s="17">
        <f>"A"</f>
        <v/>
      </c>
      <c r="F213" s="17">
        <f>IF($B213="","",IF(COUNTIF(tblAnahtarA[Norm],$B213)&gt;1,"EVET","HAYIR"))</f>
        <v/>
      </c>
      <c r="G213" s="17">
        <f>IF($A213="","",ROW()-ROW($A$5))</f>
        <v/>
      </c>
      <c r="I213" s="7">
        <f>IF(HAKEDIS!A213="","",HAKEDIS!A213)</f>
        <v/>
      </c>
      <c r="J213" s="17">
        <f>UPPER(TRIM(SUBSTITUTE($I213," ","")))</f>
        <v/>
      </c>
      <c r="K213" s="17">
        <f>IF($J213="",0,LEN($J213))</f>
        <v/>
      </c>
      <c r="L213" s="17">
        <f>IF($J213="","",LEFT($J213,tyk_ikincilUzunluk))</f>
        <v/>
      </c>
      <c r="M213" s="17">
        <f>"B"</f>
        <v/>
      </c>
      <c r="N213" s="17">
        <f>IF($J213="","",IF(COUNTIF(tblAnahtarB[NormB],$J213)&gt;1,"EVET","HAYIR"))</f>
        <v/>
      </c>
      <c r="O213" s="17">
        <f>IF($I213="","",ROW()-ROW($I$5))</f>
        <v/>
      </c>
    </row>
    <row r="214">
      <c r="A214" s="7">
        <f>IF(GIRDI!A214="","",GIRDI!A214)</f>
        <v/>
      </c>
      <c r="B214" s="17">
        <f>UPPER(TRIM(SUBSTITUTE($A214," ","")))</f>
        <v/>
      </c>
      <c r="C214" s="17">
        <f>IF($B214="",0,LEN($B214))</f>
        <v/>
      </c>
      <c r="D214" s="17">
        <f>IF($B214="","",LEFT($B214,tyk_ikincilUzunluk))</f>
        <v/>
      </c>
      <c r="E214" s="17">
        <f>"A"</f>
        <v/>
      </c>
      <c r="F214" s="17">
        <f>IF($B214="","",IF(COUNTIF(tblAnahtarA[Norm],$B214)&gt;1,"EVET","HAYIR"))</f>
        <v/>
      </c>
      <c r="G214" s="17">
        <f>IF($A214="","",ROW()-ROW($A$5))</f>
        <v/>
      </c>
      <c r="I214" s="7">
        <f>IF(HAKEDIS!A214="","",HAKEDIS!A214)</f>
        <v/>
      </c>
      <c r="J214" s="17">
        <f>UPPER(TRIM(SUBSTITUTE($I214," ","")))</f>
        <v/>
      </c>
      <c r="K214" s="17">
        <f>IF($J214="",0,LEN($J214))</f>
        <v/>
      </c>
      <c r="L214" s="17">
        <f>IF($J214="","",LEFT($J214,tyk_ikincilUzunluk))</f>
        <v/>
      </c>
      <c r="M214" s="17">
        <f>"B"</f>
        <v/>
      </c>
      <c r="N214" s="17">
        <f>IF($J214="","",IF(COUNTIF(tblAnahtarB[NormB],$J214)&gt;1,"EVET","HAYIR"))</f>
        <v/>
      </c>
      <c r="O214" s="17">
        <f>IF($I214="","",ROW()-ROW($I$5))</f>
        <v/>
      </c>
    </row>
    <row r="215">
      <c r="A215" s="7">
        <f>IF(GIRDI!A215="","",GIRDI!A215)</f>
        <v/>
      </c>
      <c r="B215" s="17">
        <f>UPPER(TRIM(SUBSTITUTE($A215," ","")))</f>
        <v/>
      </c>
      <c r="C215" s="17">
        <f>IF($B215="",0,LEN($B215))</f>
        <v/>
      </c>
      <c r="D215" s="17">
        <f>IF($B215="","",LEFT($B215,tyk_ikincilUzunluk))</f>
        <v/>
      </c>
      <c r="E215" s="17">
        <f>"A"</f>
        <v/>
      </c>
      <c r="F215" s="17">
        <f>IF($B215="","",IF(COUNTIF(tblAnahtarA[Norm],$B215)&gt;1,"EVET","HAYIR"))</f>
        <v/>
      </c>
      <c r="G215" s="17">
        <f>IF($A215="","",ROW()-ROW($A$5))</f>
        <v/>
      </c>
      <c r="I215" s="7">
        <f>IF(HAKEDIS!A215="","",HAKEDIS!A215)</f>
        <v/>
      </c>
      <c r="J215" s="17">
        <f>UPPER(TRIM(SUBSTITUTE($I215," ","")))</f>
        <v/>
      </c>
      <c r="K215" s="17">
        <f>IF($J215="",0,LEN($J215))</f>
        <v/>
      </c>
      <c r="L215" s="17">
        <f>IF($J215="","",LEFT($J215,tyk_ikincilUzunluk))</f>
        <v/>
      </c>
      <c r="M215" s="17">
        <f>"B"</f>
        <v/>
      </c>
      <c r="N215" s="17">
        <f>IF($J215="","",IF(COUNTIF(tblAnahtarB[NormB],$J215)&gt;1,"EVET","HAYIR"))</f>
        <v/>
      </c>
      <c r="O215" s="17">
        <f>IF($I215="","",ROW()-ROW($I$5))</f>
        <v/>
      </c>
    </row>
    <row r="216">
      <c r="A216" s="7">
        <f>IF(GIRDI!A216="","",GIRDI!A216)</f>
        <v/>
      </c>
      <c r="B216" s="17">
        <f>UPPER(TRIM(SUBSTITUTE($A216," ","")))</f>
        <v/>
      </c>
      <c r="C216" s="17">
        <f>IF($B216="",0,LEN($B216))</f>
        <v/>
      </c>
      <c r="D216" s="17">
        <f>IF($B216="","",LEFT($B216,tyk_ikincilUzunluk))</f>
        <v/>
      </c>
      <c r="E216" s="17">
        <f>"A"</f>
        <v/>
      </c>
      <c r="F216" s="17">
        <f>IF($B216="","",IF(COUNTIF(tblAnahtarA[Norm],$B216)&gt;1,"EVET","HAYIR"))</f>
        <v/>
      </c>
      <c r="G216" s="17">
        <f>IF($A216="","",ROW()-ROW($A$5))</f>
        <v/>
      </c>
      <c r="I216" s="7">
        <f>IF(HAKEDIS!A216="","",HAKEDIS!A216)</f>
        <v/>
      </c>
      <c r="J216" s="17">
        <f>UPPER(TRIM(SUBSTITUTE($I216," ","")))</f>
        <v/>
      </c>
      <c r="K216" s="17">
        <f>IF($J216="",0,LEN($J216))</f>
        <v/>
      </c>
      <c r="L216" s="17">
        <f>IF($J216="","",LEFT($J216,tyk_ikincilUzunluk))</f>
        <v/>
      </c>
      <c r="M216" s="17">
        <f>"B"</f>
        <v/>
      </c>
      <c r="N216" s="17">
        <f>IF($J216="","",IF(COUNTIF(tblAnahtarB[NormB],$J216)&gt;1,"EVET","HAYIR"))</f>
        <v/>
      </c>
      <c r="O216" s="17">
        <f>IF($I216="","",ROW()-ROW($I$5))</f>
        <v/>
      </c>
    </row>
    <row r="217">
      <c r="A217" s="7">
        <f>IF(GIRDI!A217="","",GIRDI!A217)</f>
        <v/>
      </c>
      <c r="B217" s="17">
        <f>UPPER(TRIM(SUBSTITUTE($A217," ","")))</f>
        <v/>
      </c>
      <c r="C217" s="17">
        <f>IF($B217="",0,LEN($B217))</f>
        <v/>
      </c>
      <c r="D217" s="17">
        <f>IF($B217="","",LEFT($B217,tyk_ikincilUzunluk))</f>
        <v/>
      </c>
      <c r="E217" s="17">
        <f>"A"</f>
        <v/>
      </c>
      <c r="F217" s="17">
        <f>IF($B217="","",IF(COUNTIF(tblAnahtarA[Norm],$B217)&gt;1,"EVET","HAYIR"))</f>
        <v/>
      </c>
      <c r="G217" s="17">
        <f>IF($A217="","",ROW()-ROW($A$5))</f>
        <v/>
      </c>
      <c r="I217" s="7">
        <f>IF(HAKEDIS!A217="","",HAKEDIS!A217)</f>
        <v/>
      </c>
      <c r="J217" s="17">
        <f>UPPER(TRIM(SUBSTITUTE($I217," ","")))</f>
        <v/>
      </c>
      <c r="K217" s="17">
        <f>IF($J217="",0,LEN($J217))</f>
        <v/>
      </c>
      <c r="L217" s="17">
        <f>IF($J217="","",LEFT($J217,tyk_ikincilUzunluk))</f>
        <v/>
      </c>
      <c r="M217" s="17">
        <f>"B"</f>
        <v/>
      </c>
      <c r="N217" s="17">
        <f>IF($J217="","",IF(COUNTIF(tblAnahtarB[NormB],$J217)&gt;1,"EVET","HAYIR"))</f>
        <v/>
      </c>
      <c r="O217" s="17">
        <f>IF($I217="","",ROW()-ROW($I$5))</f>
        <v/>
      </c>
    </row>
    <row r="218">
      <c r="A218" s="7">
        <f>IF(GIRDI!A218="","",GIRDI!A218)</f>
        <v/>
      </c>
      <c r="B218" s="17">
        <f>UPPER(TRIM(SUBSTITUTE($A218," ","")))</f>
        <v/>
      </c>
      <c r="C218" s="17">
        <f>IF($B218="",0,LEN($B218))</f>
        <v/>
      </c>
      <c r="D218" s="17">
        <f>IF($B218="","",LEFT($B218,tyk_ikincilUzunluk))</f>
        <v/>
      </c>
      <c r="E218" s="17">
        <f>"A"</f>
        <v/>
      </c>
      <c r="F218" s="17">
        <f>IF($B218="","",IF(COUNTIF(tblAnahtarA[Norm],$B218)&gt;1,"EVET","HAYIR"))</f>
        <v/>
      </c>
      <c r="G218" s="17">
        <f>IF($A218="","",ROW()-ROW($A$5))</f>
        <v/>
      </c>
      <c r="I218" s="7">
        <f>IF(HAKEDIS!A218="","",HAKEDIS!A218)</f>
        <v/>
      </c>
      <c r="J218" s="17">
        <f>UPPER(TRIM(SUBSTITUTE($I218," ","")))</f>
        <v/>
      </c>
      <c r="K218" s="17">
        <f>IF($J218="",0,LEN($J218))</f>
        <v/>
      </c>
      <c r="L218" s="17">
        <f>IF($J218="","",LEFT($J218,tyk_ikincilUzunluk))</f>
        <v/>
      </c>
      <c r="M218" s="17">
        <f>"B"</f>
        <v/>
      </c>
      <c r="N218" s="17">
        <f>IF($J218="","",IF(COUNTIF(tblAnahtarB[NormB],$J218)&gt;1,"EVET","HAYIR"))</f>
        <v/>
      </c>
      <c r="O218" s="17">
        <f>IF($I218="","",ROW()-ROW($I$5))</f>
        <v/>
      </c>
    </row>
    <row r="219">
      <c r="A219" s="7">
        <f>IF(GIRDI!A219="","",GIRDI!A219)</f>
        <v/>
      </c>
      <c r="B219" s="17">
        <f>UPPER(TRIM(SUBSTITUTE($A219," ","")))</f>
        <v/>
      </c>
      <c r="C219" s="17">
        <f>IF($B219="",0,LEN($B219))</f>
        <v/>
      </c>
      <c r="D219" s="17">
        <f>IF($B219="","",LEFT($B219,tyk_ikincilUzunluk))</f>
        <v/>
      </c>
      <c r="E219" s="17">
        <f>"A"</f>
        <v/>
      </c>
      <c r="F219" s="17">
        <f>IF($B219="","",IF(COUNTIF(tblAnahtarA[Norm],$B219)&gt;1,"EVET","HAYIR"))</f>
        <v/>
      </c>
      <c r="G219" s="17">
        <f>IF($A219="","",ROW()-ROW($A$5))</f>
        <v/>
      </c>
      <c r="I219" s="7">
        <f>IF(HAKEDIS!A219="","",HAKEDIS!A219)</f>
        <v/>
      </c>
      <c r="J219" s="17">
        <f>UPPER(TRIM(SUBSTITUTE($I219," ","")))</f>
        <v/>
      </c>
      <c r="K219" s="17">
        <f>IF($J219="",0,LEN($J219))</f>
        <v/>
      </c>
      <c r="L219" s="17">
        <f>IF($J219="","",LEFT($J219,tyk_ikincilUzunluk))</f>
        <v/>
      </c>
      <c r="M219" s="17">
        <f>"B"</f>
        <v/>
      </c>
      <c r="N219" s="17">
        <f>IF($J219="","",IF(COUNTIF(tblAnahtarB[NormB],$J219)&gt;1,"EVET","HAYIR"))</f>
        <v/>
      </c>
      <c r="O219" s="17">
        <f>IF($I219="","",ROW()-ROW($I$5))</f>
        <v/>
      </c>
    </row>
    <row r="220">
      <c r="A220" s="7">
        <f>IF(GIRDI!A220="","",GIRDI!A220)</f>
        <v/>
      </c>
      <c r="B220" s="17">
        <f>UPPER(TRIM(SUBSTITUTE($A220," ","")))</f>
        <v/>
      </c>
      <c r="C220" s="17">
        <f>IF($B220="",0,LEN($B220))</f>
        <v/>
      </c>
      <c r="D220" s="17">
        <f>IF($B220="","",LEFT($B220,tyk_ikincilUzunluk))</f>
        <v/>
      </c>
      <c r="E220" s="17">
        <f>"A"</f>
        <v/>
      </c>
      <c r="F220" s="17">
        <f>IF($B220="","",IF(COUNTIF(tblAnahtarA[Norm],$B220)&gt;1,"EVET","HAYIR"))</f>
        <v/>
      </c>
      <c r="G220" s="17">
        <f>IF($A220="","",ROW()-ROW($A$5))</f>
        <v/>
      </c>
      <c r="I220" s="7">
        <f>IF(HAKEDIS!A220="","",HAKEDIS!A220)</f>
        <v/>
      </c>
      <c r="J220" s="17">
        <f>UPPER(TRIM(SUBSTITUTE($I220," ","")))</f>
        <v/>
      </c>
      <c r="K220" s="17">
        <f>IF($J220="",0,LEN($J220))</f>
        <v/>
      </c>
      <c r="L220" s="17">
        <f>IF($J220="","",LEFT($J220,tyk_ikincilUzunluk))</f>
        <v/>
      </c>
      <c r="M220" s="17">
        <f>"B"</f>
        <v/>
      </c>
      <c r="N220" s="17">
        <f>IF($J220="","",IF(COUNTIF(tblAnahtarB[NormB],$J220)&gt;1,"EVET","HAYIR"))</f>
        <v/>
      </c>
      <c r="O220" s="17">
        <f>IF($I220="","",ROW()-ROW($I$5))</f>
        <v/>
      </c>
    </row>
    <row r="221">
      <c r="A221" s="7">
        <f>IF(GIRDI!A221="","",GIRDI!A221)</f>
        <v/>
      </c>
      <c r="B221" s="17">
        <f>UPPER(TRIM(SUBSTITUTE($A221," ","")))</f>
        <v/>
      </c>
      <c r="C221" s="17">
        <f>IF($B221="",0,LEN($B221))</f>
        <v/>
      </c>
      <c r="D221" s="17">
        <f>IF($B221="","",LEFT($B221,tyk_ikincilUzunluk))</f>
        <v/>
      </c>
      <c r="E221" s="17">
        <f>"A"</f>
        <v/>
      </c>
      <c r="F221" s="17">
        <f>IF($B221="","",IF(COUNTIF(tblAnahtarA[Norm],$B221)&gt;1,"EVET","HAYIR"))</f>
        <v/>
      </c>
      <c r="G221" s="17">
        <f>IF($A221="","",ROW()-ROW($A$5))</f>
        <v/>
      </c>
      <c r="I221" s="7">
        <f>IF(HAKEDIS!A221="","",HAKEDIS!A221)</f>
        <v/>
      </c>
      <c r="J221" s="17">
        <f>UPPER(TRIM(SUBSTITUTE($I221," ","")))</f>
        <v/>
      </c>
      <c r="K221" s="17">
        <f>IF($J221="",0,LEN($J221))</f>
        <v/>
      </c>
      <c r="L221" s="17">
        <f>IF($J221="","",LEFT($J221,tyk_ikincilUzunluk))</f>
        <v/>
      </c>
      <c r="M221" s="17">
        <f>"B"</f>
        <v/>
      </c>
      <c r="N221" s="17">
        <f>IF($J221="","",IF(COUNTIF(tblAnahtarB[NormB],$J221)&gt;1,"EVET","HAYIR"))</f>
        <v/>
      </c>
      <c r="O221" s="17">
        <f>IF($I221="","",ROW()-ROW($I$5))</f>
        <v/>
      </c>
    </row>
    <row r="222">
      <c r="A222" s="7">
        <f>IF(GIRDI!A222="","",GIRDI!A222)</f>
        <v/>
      </c>
      <c r="B222" s="17">
        <f>UPPER(TRIM(SUBSTITUTE($A222," ","")))</f>
        <v/>
      </c>
      <c r="C222" s="17">
        <f>IF($B222="",0,LEN($B222))</f>
        <v/>
      </c>
      <c r="D222" s="17">
        <f>IF($B222="","",LEFT($B222,tyk_ikincilUzunluk))</f>
        <v/>
      </c>
      <c r="E222" s="17">
        <f>"A"</f>
        <v/>
      </c>
      <c r="F222" s="17">
        <f>IF($B222="","",IF(COUNTIF(tblAnahtarA[Norm],$B222)&gt;1,"EVET","HAYIR"))</f>
        <v/>
      </c>
      <c r="G222" s="17">
        <f>IF($A222="","",ROW()-ROW($A$5))</f>
        <v/>
      </c>
      <c r="I222" s="7">
        <f>IF(HAKEDIS!A222="","",HAKEDIS!A222)</f>
        <v/>
      </c>
      <c r="J222" s="17">
        <f>UPPER(TRIM(SUBSTITUTE($I222," ","")))</f>
        <v/>
      </c>
      <c r="K222" s="17">
        <f>IF($J222="",0,LEN($J222))</f>
        <v/>
      </c>
      <c r="L222" s="17">
        <f>IF($J222="","",LEFT($J222,tyk_ikincilUzunluk))</f>
        <v/>
      </c>
      <c r="M222" s="17">
        <f>"B"</f>
        <v/>
      </c>
      <c r="N222" s="17">
        <f>IF($J222="","",IF(COUNTIF(tblAnahtarB[NormB],$J222)&gt;1,"EVET","HAYIR"))</f>
        <v/>
      </c>
      <c r="O222" s="17">
        <f>IF($I222="","",ROW()-ROW($I$5))</f>
        <v/>
      </c>
    </row>
    <row r="223">
      <c r="A223" s="7">
        <f>IF(GIRDI!A223="","",GIRDI!A223)</f>
        <v/>
      </c>
      <c r="B223" s="17">
        <f>UPPER(TRIM(SUBSTITUTE($A223," ","")))</f>
        <v/>
      </c>
      <c r="C223" s="17">
        <f>IF($B223="",0,LEN($B223))</f>
        <v/>
      </c>
      <c r="D223" s="17">
        <f>IF($B223="","",LEFT($B223,tyk_ikincilUzunluk))</f>
        <v/>
      </c>
      <c r="E223" s="17">
        <f>"A"</f>
        <v/>
      </c>
      <c r="F223" s="17">
        <f>IF($B223="","",IF(COUNTIF(tblAnahtarA[Norm],$B223)&gt;1,"EVET","HAYIR"))</f>
        <v/>
      </c>
      <c r="G223" s="17">
        <f>IF($A223="","",ROW()-ROW($A$5))</f>
        <v/>
      </c>
      <c r="I223" s="7">
        <f>IF(HAKEDIS!A223="","",HAKEDIS!A223)</f>
        <v/>
      </c>
      <c r="J223" s="17">
        <f>UPPER(TRIM(SUBSTITUTE($I223," ","")))</f>
        <v/>
      </c>
      <c r="K223" s="17">
        <f>IF($J223="",0,LEN($J223))</f>
        <v/>
      </c>
      <c r="L223" s="17">
        <f>IF($J223="","",LEFT($J223,tyk_ikincilUzunluk))</f>
        <v/>
      </c>
      <c r="M223" s="17">
        <f>"B"</f>
        <v/>
      </c>
      <c r="N223" s="17">
        <f>IF($J223="","",IF(COUNTIF(tblAnahtarB[NormB],$J223)&gt;1,"EVET","HAYIR"))</f>
        <v/>
      </c>
      <c r="O223" s="17">
        <f>IF($I223="","",ROW()-ROW($I$5))</f>
        <v/>
      </c>
    </row>
    <row r="224">
      <c r="A224" s="7">
        <f>IF(GIRDI!A224="","",GIRDI!A224)</f>
        <v/>
      </c>
      <c r="B224" s="17">
        <f>UPPER(TRIM(SUBSTITUTE($A224," ","")))</f>
        <v/>
      </c>
      <c r="C224" s="17">
        <f>IF($B224="",0,LEN($B224))</f>
        <v/>
      </c>
      <c r="D224" s="17">
        <f>IF($B224="","",LEFT($B224,tyk_ikincilUzunluk))</f>
        <v/>
      </c>
      <c r="E224" s="17">
        <f>"A"</f>
        <v/>
      </c>
      <c r="F224" s="17">
        <f>IF($B224="","",IF(COUNTIF(tblAnahtarA[Norm],$B224)&gt;1,"EVET","HAYIR"))</f>
        <v/>
      </c>
      <c r="G224" s="17">
        <f>IF($A224="","",ROW()-ROW($A$5))</f>
        <v/>
      </c>
      <c r="I224" s="7">
        <f>IF(HAKEDIS!A224="","",HAKEDIS!A224)</f>
        <v/>
      </c>
      <c r="J224" s="17">
        <f>UPPER(TRIM(SUBSTITUTE($I224," ","")))</f>
        <v/>
      </c>
      <c r="K224" s="17">
        <f>IF($J224="",0,LEN($J224))</f>
        <v/>
      </c>
      <c r="L224" s="17">
        <f>IF($J224="","",LEFT($J224,tyk_ikincilUzunluk))</f>
        <v/>
      </c>
      <c r="M224" s="17">
        <f>"B"</f>
        <v/>
      </c>
      <c r="N224" s="17">
        <f>IF($J224="","",IF(COUNTIF(tblAnahtarB[NormB],$J224)&gt;1,"EVET","HAYIR"))</f>
        <v/>
      </c>
      <c r="O224" s="17">
        <f>IF($I224="","",ROW()-ROW($I$5))</f>
        <v/>
      </c>
    </row>
    <row r="225">
      <c r="A225" s="7">
        <f>IF(GIRDI!A225="","",GIRDI!A225)</f>
        <v/>
      </c>
      <c r="B225" s="17">
        <f>UPPER(TRIM(SUBSTITUTE($A225," ","")))</f>
        <v/>
      </c>
      <c r="C225" s="17">
        <f>IF($B225="",0,LEN($B225))</f>
        <v/>
      </c>
      <c r="D225" s="17">
        <f>IF($B225="","",LEFT($B225,tyk_ikincilUzunluk))</f>
        <v/>
      </c>
      <c r="E225" s="17">
        <f>"A"</f>
        <v/>
      </c>
      <c r="F225" s="17">
        <f>IF($B225="","",IF(COUNTIF(tblAnahtarA[Norm],$B225)&gt;1,"EVET","HAYIR"))</f>
        <v/>
      </c>
      <c r="G225" s="17">
        <f>IF($A225="","",ROW()-ROW($A$5))</f>
        <v/>
      </c>
      <c r="I225" s="7">
        <f>IF(HAKEDIS!A225="","",HAKEDIS!A225)</f>
        <v/>
      </c>
      <c r="J225" s="17">
        <f>UPPER(TRIM(SUBSTITUTE($I225," ","")))</f>
        <v/>
      </c>
      <c r="K225" s="17">
        <f>IF($J225="",0,LEN($J225))</f>
        <v/>
      </c>
      <c r="L225" s="17">
        <f>IF($J225="","",LEFT($J225,tyk_ikincilUzunluk))</f>
        <v/>
      </c>
      <c r="M225" s="17">
        <f>"B"</f>
        <v/>
      </c>
      <c r="N225" s="17">
        <f>IF($J225="","",IF(COUNTIF(tblAnahtarB[NormB],$J225)&gt;1,"EVET","HAYIR"))</f>
        <v/>
      </c>
      <c r="O225" s="17">
        <f>IF($I225="","",ROW()-ROW($I$5))</f>
        <v/>
      </c>
    </row>
    <row r="226">
      <c r="A226" s="7">
        <f>IF(GIRDI!A226="","",GIRDI!A226)</f>
        <v/>
      </c>
      <c r="B226" s="17">
        <f>UPPER(TRIM(SUBSTITUTE($A226," ","")))</f>
        <v/>
      </c>
      <c r="C226" s="17">
        <f>IF($B226="",0,LEN($B226))</f>
        <v/>
      </c>
      <c r="D226" s="17">
        <f>IF($B226="","",LEFT($B226,tyk_ikincilUzunluk))</f>
        <v/>
      </c>
      <c r="E226" s="17">
        <f>"A"</f>
        <v/>
      </c>
      <c r="F226" s="17">
        <f>IF($B226="","",IF(COUNTIF(tblAnahtarA[Norm],$B226)&gt;1,"EVET","HAYIR"))</f>
        <v/>
      </c>
      <c r="G226" s="17">
        <f>IF($A226="","",ROW()-ROW($A$5))</f>
        <v/>
      </c>
      <c r="I226" s="7">
        <f>IF(HAKEDIS!A226="","",HAKEDIS!A226)</f>
        <v/>
      </c>
      <c r="J226" s="17">
        <f>UPPER(TRIM(SUBSTITUTE($I226," ","")))</f>
        <v/>
      </c>
      <c r="K226" s="17">
        <f>IF($J226="",0,LEN($J226))</f>
        <v/>
      </c>
      <c r="L226" s="17">
        <f>IF($J226="","",LEFT($J226,tyk_ikincilUzunluk))</f>
        <v/>
      </c>
      <c r="M226" s="17">
        <f>"B"</f>
        <v/>
      </c>
      <c r="N226" s="17">
        <f>IF($J226="","",IF(COUNTIF(tblAnahtarB[NormB],$J226)&gt;1,"EVET","HAYIR"))</f>
        <v/>
      </c>
      <c r="O226" s="17">
        <f>IF($I226="","",ROW()-ROW($I$5))</f>
        <v/>
      </c>
    </row>
    <row r="227">
      <c r="A227" s="7">
        <f>IF(GIRDI!A227="","",GIRDI!A227)</f>
        <v/>
      </c>
      <c r="B227" s="17">
        <f>UPPER(TRIM(SUBSTITUTE($A227," ","")))</f>
        <v/>
      </c>
      <c r="C227" s="17">
        <f>IF($B227="",0,LEN($B227))</f>
        <v/>
      </c>
      <c r="D227" s="17">
        <f>IF($B227="","",LEFT($B227,tyk_ikincilUzunluk))</f>
        <v/>
      </c>
      <c r="E227" s="17">
        <f>"A"</f>
        <v/>
      </c>
      <c r="F227" s="17">
        <f>IF($B227="","",IF(COUNTIF(tblAnahtarA[Norm],$B227)&gt;1,"EVET","HAYIR"))</f>
        <v/>
      </c>
      <c r="G227" s="17">
        <f>IF($A227="","",ROW()-ROW($A$5))</f>
        <v/>
      </c>
      <c r="I227" s="7">
        <f>IF(HAKEDIS!A227="","",HAKEDIS!A227)</f>
        <v/>
      </c>
      <c r="J227" s="17">
        <f>UPPER(TRIM(SUBSTITUTE($I227," ","")))</f>
        <v/>
      </c>
      <c r="K227" s="17">
        <f>IF($J227="",0,LEN($J227))</f>
        <v/>
      </c>
      <c r="L227" s="17">
        <f>IF($J227="","",LEFT($J227,tyk_ikincilUzunluk))</f>
        <v/>
      </c>
      <c r="M227" s="17">
        <f>"B"</f>
        <v/>
      </c>
      <c r="N227" s="17">
        <f>IF($J227="","",IF(COUNTIF(tblAnahtarB[NormB],$J227)&gt;1,"EVET","HAYIR"))</f>
        <v/>
      </c>
      <c r="O227" s="17">
        <f>IF($I227="","",ROW()-ROW($I$5))</f>
        <v/>
      </c>
    </row>
    <row r="228">
      <c r="A228" s="7">
        <f>IF(GIRDI!A228="","",GIRDI!A228)</f>
        <v/>
      </c>
      <c r="B228" s="17">
        <f>UPPER(TRIM(SUBSTITUTE($A228," ","")))</f>
        <v/>
      </c>
      <c r="C228" s="17">
        <f>IF($B228="",0,LEN($B228))</f>
        <v/>
      </c>
      <c r="D228" s="17">
        <f>IF($B228="","",LEFT($B228,tyk_ikincilUzunluk))</f>
        <v/>
      </c>
      <c r="E228" s="17">
        <f>"A"</f>
        <v/>
      </c>
      <c r="F228" s="17">
        <f>IF($B228="","",IF(COUNTIF(tblAnahtarA[Norm],$B228)&gt;1,"EVET","HAYIR"))</f>
        <v/>
      </c>
      <c r="G228" s="17">
        <f>IF($A228="","",ROW()-ROW($A$5))</f>
        <v/>
      </c>
      <c r="I228" s="7">
        <f>IF(HAKEDIS!A228="","",HAKEDIS!A228)</f>
        <v/>
      </c>
      <c r="J228" s="17">
        <f>UPPER(TRIM(SUBSTITUTE($I228," ","")))</f>
        <v/>
      </c>
      <c r="K228" s="17">
        <f>IF($J228="",0,LEN($J228))</f>
        <v/>
      </c>
      <c r="L228" s="17">
        <f>IF($J228="","",LEFT($J228,tyk_ikincilUzunluk))</f>
        <v/>
      </c>
      <c r="M228" s="17">
        <f>"B"</f>
        <v/>
      </c>
      <c r="N228" s="17">
        <f>IF($J228="","",IF(COUNTIF(tblAnahtarB[NormB],$J228)&gt;1,"EVET","HAYIR"))</f>
        <v/>
      </c>
      <c r="O228" s="17">
        <f>IF($I228="","",ROW()-ROW($I$5))</f>
        <v/>
      </c>
    </row>
    <row r="229">
      <c r="A229" s="7">
        <f>IF(GIRDI!A229="","",GIRDI!A229)</f>
        <v/>
      </c>
      <c r="B229" s="17">
        <f>UPPER(TRIM(SUBSTITUTE($A229," ","")))</f>
        <v/>
      </c>
      <c r="C229" s="17">
        <f>IF($B229="",0,LEN($B229))</f>
        <v/>
      </c>
      <c r="D229" s="17">
        <f>IF($B229="","",LEFT($B229,tyk_ikincilUzunluk))</f>
        <v/>
      </c>
      <c r="E229" s="17">
        <f>"A"</f>
        <v/>
      </c>
      <c r="F229" s="17">
        <f>IF($B229="","",IF(COUNTIF(tblAnahtarA[Norm],$B229)&gt;1,"EVET","HAYIR"))</f>
        <v/>
      </c>
      <c r="G229" s="17">
        <f>IF($A229="","",ROW()-ROW($A$5))</f>
        <v/>
      </c>
      <c r="I229" s="7">
        <f>IF(HAKEDIS!A229="","",HAKEDIS!A229)</f>
        <v/>
      </c>
      <c r="J229" s="17">
        <f>UPPER(TRIM(SUBSTITUTE($I229," ","")))</f>
        <v/>
      </c>
      <c r="K229" s="17">
        <f>IF($J229="",0,LEN($J229))</f>
        <v/>
      </c>
      <c r="L229" s="17">
        <f>IF($J229="","",LEFT($J229,tyk_ikincilUzunluk))</f>
        <v/>
      </c>
      <c r="M229" s="17">
        <f>"B"</f>
        <v/>
      </c>
      <c r="N229" s="17">
        <f>IF($J229="","",IF(COUNTIF(tblAnahtarB[NormB],$J229)&gt;1,"EVET","HAYIR"))</f>
        <v/>
      </c>
      <c r="O229" s="17">
        <f>IF($I229="","",ROW()-ROW($I$5))</f>
        <v/>
      </c>
    </row>
    <row r="230">
      <c r="A230" s="7">
        <f>IF(GIRDI!A230="","",GIRDI!A230)</f>
        <v/>
      </c>
      <c r="B230" s="17">
        <f>UPPER(TRIM(SUBSTITUTE($A230," ","")))</f>
        <v/>
      </c>
      <c r="C230" s="17">
        <f>IF($B230="",0,LEN($B230))</f>
        <v/>
      </c>
      <c r="D230" s="17">
        <f>IF($B230="","",LEFT($B230,tyk_ikincilUzunluk))</f>
        <v/>
      </c>
      <c r="E230" s="17">
        <f>"A"</f>
        <v/>
      </c>
      <c r="F230" s="17">
        <f>IF($B230="","",IF(COUNTIF(tblAnahtarA[Norm],$B230)&gt;1,"EVET","HAYIR"))</f>
        <v/>
      </c>
      <c r="G230" s="17">
        <f>IF($A230="","",ROW()-ROW($A$5))</f>
        <v/>
      </c>
      <c r="I230" s="7">
        <f>IF(HAKEDIS!A230="","",HAKEDIS!A230)</f>
        <v/>
      </c>
      <c r="J230" s="17">
        <f>UPPER(TRIM(SUBSTITUTE($I230," ","")))</f>
        <v/>
      </c>
      <c r="K230" s="17">
        <f>IF($J230="",0,LEN($J230))</f>
        <v/>
      </c>
      <c r="L230" s="17">
        <f>IF($J230="","",LEFT($J230,tyk_ikincilUzunluk))</f>
        <v/>
      </c>
      <c r="M230" s="17">
        <f>"B"</f>
        <v/>
      </c>
      <c r="N230" s="17">
        <f>IF($J230="","",IF(COUNTIF(tblAnahtarB[NormB],$J230)&gt;1,"EVET","HAYIR"))</f>
        <v/>
      </c>
      <c r="O230" s="17">
        <f>IF($I230="","",ROW()-ROW($I$5))</f>
        <v/>
      </c>
    </row>
    <row r="231">
      <c r="A231" s="7">
        <f>IF(GIRDI!A231="","",GIRDI!A231)</f>
        <v/>
      </c>
      <c r="B231" s="17">
        <f>UPPER(TRIM(SUBSTITUTE($A231," ","")))</f>
        <v/>
      </c>
      <c r="C231" s="17">
        <f>IF($B231="",0,LEN($B231))</f>
        <v/>
      </c>
      <c r="D231" s="17">
        <f>IF($B231="","",LEFT($B231,tyk_ikincilUzunluk))</f>
        <v/>
      </c>
      <c r="E231" s="17">
        <f>"A"</f>
        <v/>
      </c>
      <c r="F231" s="17">
        <f>IF($B231="","",IF(COUNTIF(tblAnahtarA[Norm],$B231)&gt;1,"EVET","HAYIR"))</f>
        <v/>
      </c>
      <c r="G231" s="17">
        <f>IF($A231="","",ROW()-ROW($A$5))</f>
        <v/>
      </c>
      <c r="I231" s="7">
        <f>IF(HAKEDIS!A231="","",HAKEDIS!A231)</f>
        <v/>
      </c>
      <c r="J231" s="17">
        <f>UPPER(TRIM(SUBSTITUTE($I231," ","")))</f>
        <v/>
      </c>
      <c r="K231" s="17">
        <f>IF($J231="",0,LEN($J231))</f>
        <v/>
      </c>
      <c r="L231" s="17">
        <f>IF($J231="","",LEFT($J231,tyk_ikincilUzunluk))</f>
        <v/>
      </c>
      <c r="M231" s="17">
        <f>"B"</f>
        <v/>
      </c>
      <c r="N231" s="17">
        <f>IF($J231="","",IF(COUNTIF(tblAnahtarB[NormB],$J231)&gt;1,"EVET","HAYIR"))</f>
        <v/>
      </c>
      <c r="O231" s="17">
        <f>IF($I231="","",ROW()-ROW($I$5))</f>
        <v/>
      </c>
    </row>
    <row r="232">
      <c r="A232" s="7">
        <f>IF(GIRDI!A232="","",GIRDI!A232)</f>
        <v/>
      </c>
      <c r="B232" s="17">
        <f>UPPER(TRIM(SUBSTITUTE($A232," ","")))</f>
        <v/>
      </c>
      <c r="C232" s="17">
        <f>IF($B232="",0,LEN($B232))</f>
        <v/>
      </c>
      <c r="D232" s="17">
        <f>IF($B232="","",LEFT($B232,tyk_ikincilUzunluk))</f>
        <v/>
      </c>
      <c r="E232" s="17">
        <f>"A"</f>
        <v/>
      </c>
      <c r="F232" s="17">
        <f>IF($B232="","",IF(COUNTIF(tblAnahtarA[Norm],$B232)&gt;1,"EVET","HAYIR"))</f>
        <v/>
      </c>
      <c r="G232" s="17">
        <f>IF($A232="","",ROW()-ROW($A$5))</f>
        <v/>
      </c>
      <c r="I232" s="7">
        <f>IF(HAKEDIS!A232="","",HAKEDIS!A232)</f>
        <v/>
      </c>
      <c r="J232" s="17">
        <f>UPPER(TRIM(SUBSTITUTE($I232," ","")))</f>
        <v/>
      </c>
      <c r="K232" s="17">
        <f>IF($J232="",0,LEN($J232))</f>
        <v/>
      </c>
      <c r="L232" s="17">
        <f>IF($J232="","",LEFT($J232,tyk_ikincilUzunluk))</f>
        <v/>
      </c>
      <c r="M232" s="17">
        <f>"B"</f>
        <v/>
      </c>
      <c r="N232" s="17">
        <f>IF($J232="","",IF(COUNTIF(tblAnahtarB[NormB],$J232)&gt;1,"EVET","HAYIR"))</f>
        <v/>
      </c>
      <c r="O232" s="17">
        <f>IF($I232="","",ROW()-ROW($I$5))</f>
        <v/>
      </c>
    </row>
    <row r="233">
      <c r="A233" s="7">
        <f>IF(GIRDI!A233="","",GIRDI!A233)</f>
        <v/>
      </c>
      <c r="B233" s="17">
        <f>UPPER(TRIM(SUBSTITUTE($A233," ","")))</f>
        <v/>
      </c>
      <c r="C233" s="17">
        <f>IF($B233="",0,LEN($B233))</f>
        <v/>
      </c>
      <c r="D233" s="17">
        <f>IF($B233="","",LEFT($B233,tyk_ikincilUzunluk))</f>
        <v/>
      </c>
      <c r="E233" s="17">
        <f>"A"</f>
        <v/>
      </c>
      <c r="F233" s="17">
        <f>IF($B233="","",IF(COUNTIF(tblAnahtarA[Norm],$B233)&gt;1,"EVET","HAYIR"))</f>
        <v/>
      </c>
      <c r="G233" s="17">
        <f>IF($A233="","",ROW()-ROW($A$5))</f>
        <v/>
      </c>
      <c r="I233" s="7">
        <f>IF(HAKEDIS!A233="","",HAKEDIS!A233)</f>
        <v/>
      </c>
      <c r="J233" s="17">
        <f>UPPER(TRIM(SUBSTITUTE($I233," ","")))</f>
        <v/>
      </c>
      <c r="K233" s="17">
        <f>IF($J233="",0,LEN($J233))</f>
        <v/>
      </c>
      <c r="L233" s="17">
        <f>IF($J233="","",LEFT($J233,tyk_ikincilUzunluk))</f>
        <v/>
      </c>
      <c r="M233" s="17">
        <f>"B"</f>
        <v/>
      </c>
      <c r="N233" s="17">
        <f>IF($J233="","",IF(COUNTIF(tblAnahtarB[NormB],$J233)&gt;1,"EVET","HAYIR"))</f>
        <v/>
      </c>
      <c r="O233" s="17">
        <f>IF($I233="","",ROW()-ROW($I$5))</f>
        <v/>
      </c>
    </row>
    <row r="234">
      <c r="A234" s="7">
        <f>IF(GIRDI!A234="","",GIRDI!A234)</f>
        <v/>
      </c>
      <c r="B234" s="17">
        <f>UPPER(TRIM(SUBSTITUTE($A234," ","")))</f>
        <v/>
      </c>
      <c r="C234" s="17">
        <f>IF($B234="",0,LEN($B234))</f>
        <v/>
      </c>
      <c r="D234" s="17">
        <f>IF($B234="","",LEFT($B234,tyk_ikincilUzunluk))</f>
        <v/>
      </c>
      <c r="E234" s="17">
        <f>"A"</f>
        <v/>
      </c>
      <c r="F234" s="17">
        <f>IF($B234="","",IF(COUNTIF(tblAnahtarA[Norm],$B234)&gt;1,"EVET","HAYIR"))</f>
        <v/>
      </c>
      <c r="G234" s="17">
        <f>IF($A234="","",ROW()-ROW($A$5))</f>
        <v/>
      </c>
      <c r="I234" s="7">
        <f>IF(HAKEDIS!A234="","",HAKEDIS!A234)</f>
        <v/>
      </c>
      <c r="J234" s="17">
        <f>UPPER(TRIM(SUBSTITUTE($I234," ","")))</f>
        <v/>
      </c>
      <c r="K234" s="17">
        <f>IF($J234="",0,LEN($J234))</f>
        <v/>
      </c>
      <c r="L234" s="17">
        <f>IF($J234="","",LEFT($J234,tyk_ikincilUzunluk))</f>
        <v/>
      </c>
      <c r="M234" s="17">
        <f>"B"</f>
        <v/>
      </c>
      <c r="N234" s="17">
        <f>IF($J234="","",IF(COUNTIF(tblAnahtarB[NormB],$J234)&gt;1,"EVET","HAYIR"))</f>
        <v/>
      </c>
      <c r="O234" s="17">
        <f>IF($I234="","",ROW()-ROW($I$5))</f>
        <v/>
      </c>
    </row>
    <row r="235">
      <c r="A235" s="7">
        <f>IF(GIRDI!A235="","",GIRDI!A235)</f>
        <v/>
      </c>
      <c r="B235" s="17">
        <f>UPPER(TRIM(SUBSTITUTE($A235," ","")))</f>
        <v/>
      </c>
      <c r="C235" s="17">
        <f>IF($B235="",0,LEN($B235))</f>
        <v/>
      </c>
      <c r="D235" s="17">
        <f>IF($B235="","",LEFT($B235,tyk_ikincilUzunluk))</f>
        <v/>
      </c>
      <c r="E235" s="17">
        <f>"A"</f>
        <v/>
      </c>
      <c r="F235" s="17">
        <f>IF($B235="","",IF(COUNTIF(tblAnahtarA[Norm],$B235)&gt;1,"EVET","HAYIR"))</f>
        <v/>
      </c>
      <c r="G235" s="17">
        <f>IF($A235="","",ROW()-ROW($A$5))</f>
        <v/>
      </c>
      <c r="I235" s="7">
        <f>IF(HAKEDIS!A235="","",HAKEDIS!A235)</f>
        <v/>
      </c>
      <c r="J235" s="17">
        <f>UPPER(TRIM(SUBSTITUTE($I235," ","")))</f>
        <v/>
      </c>
      <c r="K235" s="17">
        <f>IF($J235="",0,LEN($J235))</f>
        <v/>
      </c>
      <c r="L235" s="17">
        <f>IF($J235="","",LEFT($J235,tyk_ikincilUzunluk))</f>
        <v/>
      </c>
      <c r="M235" s="17">
        <f>"B"</f>
        <v/>
      </c>
      <c r="N235" s="17">
        <f>IF($J235="","",IF(COUNTIF(tblAnahtarB[NormB],$J235)&gt;1,"EVET","HAYIR"))</f>
        <v/>
      </c>
      <c r="O235" s="17">
        <f>IF($I235="","",ROW()-ROW($I$5))</f>
        <v/>
      </c>
    </row>
    <row r="236">
      <c r="A236" s="7">
        <f>IF(GIRDI!A236="","",GIRDI!A236)</f>
        <v/>
      </c>
      <c r="B236" s="17">
        <f>UPPER(TRIM(SUBSTITUTE($A236," ","")))</f>
        <v/>
      </c>
      <c r="C236" s="17">
        <f>IF($B236="",0,LEN($B236))</f>
        <v/>
      </c>
      <c r="D236" s="17">
        <f>IF($B236="","",LEFT($B236,tyk_ikincilUzunluk))</f>
        <v/>
      </c>
      <c r="E236" s="17">
        <f>"A"</f>
        <v/>
      </c>
      <c r="F236" s="17">
        <f>IF($B236="","",IF(COUNTIF(tblAnahtarA[Norm],$B236)&gt;1,"EVET","HAYIR"))</f>
        <v/>
      </c>
      <c r="G236" s="17">
        <f>IF($A236="","",ROW()-ROW($A$5))</f>
        <v/>
      </c>
      <c r="I236" s="7">
        <f>IF(HAKEDIS!A236="","",HAKEDIS!A236)</f>
        <v/>
      </c>
      <c r="J236" s="17">
        <f>UPPER(TRIM(SUBSTITUTE($I236," ","")))</f>
        <v/>
      </c>
      <c r="K236" s="17">
        <f>IF($J236="",0,LEN($J236))</f>
        <v/>
      </c>
      <c r="L236" s="17">
        <f>IF($J236="","",LEFT($J236,tyk_ikincilUzunluk))</f>
        <v/>
      </c>
      <c r="M236" s="17">
        <f>"B"</f>
        <v/>
      </c>
      <c r="N236" s="17">
        <f>IF($J236="","",IF(COUNTIF(tblAnahtarB[NormB],$J236)&gt;1,"EVET","HAYIR"))</f>
        <v/>
      </c>
      <c r="O236" s="17">
        <f>IF($I236="","",ROW()-ROW($I$5))</f>
        <v/>
      </c>
    </row>
    <row r="237">
      <c r="A237" s="7">
        <f>IF(GIRDI!A237="","",GIRDI!A237)</f>
        <v/>
      </c>
      <c r="B237" s="17">
        <f>UPPER(TRIM(SUBSTITUTE($A237," ","")))</f>
        <v/>
      </c>
      <c r="C237" s="17">
        <f>IF($B237="",0,LEN($B237))</f>
        <v/>
      </c>
      <c r="D237" s="17">
        <f>IF($B237="","",LEFT($B237,tyk_ikincilUzunluk))</f>
        <v/>
      </c>
      <c r="E237" s="17">
        <f>"A"</f>
        <v/>
      </c>
      <c r="F237" s="17">
        <f>IF($B237="","",IF(COUNTIF(tblAnahtarA[Norm],$B237)&gt;1,"EVET","HAYIR"))</f>
        <v/>
      </c>
      <c r="G237" s="17">
        <f>IF($A237="","",ROW()-ROW($A$5))</f>
        <v/>
      </c>
      <c r="I237" s="7">
        <f>IF(HAKEDIS!A237="","",HAKEDIS!A237)</f>
        <v/>
      </c>
      <c r="J237" s="17">
        <f>UPPER(TRIM(SUBSTITUTE($I237," ","")))</f>
        <v/>
      </c>
      <c r="K237" s="17">
        <f>IF($J237="",0,LEN($J237))</f>
        <v/>
      </c>
      <c r="L237" s="17">
        <f>IF($J237="","",LEFT($J237,tyk_ikincilUzunluk))</f>
        <v/>
      </c>
      <c r="M237" s="17">
        <f>"B"</f>
        <v/>
      </c>
      <c r="N237" s="17">
        <f>IF($J237="","",IF(COUNTIF(tblAnahtarB[NormB],$J237)&gt;1,"EVET","HAYIR"))</f>
        <v/>
      </c>
      <c r="O237" s="17">
        <f>IF($I237="","",ROW()-ROW($I$5))</f>
        <v/>
      </c>
    </row>
    <row r="238">
      <c r="A238" s="7">
        <f>IF(GIRDI!A238="","",GIRDI!A238)</f>
        <v/>
      </c>
      <c r="B238" s="17">
        <f>UPPER(TRIM(SUBSTITUTE($A238," ","")))</f>
        <v/>
      </c>
      <c r="C238" s="17">
        <f>IF($B238="",0,LEN($B238))</f>
        <v/>
      </c>
      <c r="D238" s="17">
        <f>IF($B238="","",LEFT($B238,tyk_ikincilUzunluk))</f>
        <v/>
      </c>
      <c r="E238" s="17">
        <f>"A"</f>
        <v/>
      </c>
      <c r="F238" s="17">
        <f>IF($B238="","",IF(COUNTIF(tblAnahtarA[Norm],$B238)&gt;1,"EVET","HAYIR"))</f>
        <v/>
      </c>
      <c r="G238" s="17">
        <f>IF($A238="","",ROW()-ROW($A$5))</f>
        <v/>
      </c>
      <c r="I238" s="7">
        <f>IF(HAKEDIS!A238="","",HAKEDIS!A238)</f>
        <v/>
      </c>
      <c r="J238" s="17">
        <f>UPPER(TRIM(SUBSTITUTE($I238," ","")))</f>
        <v/>
      </c>
      <c r="K238" s="17">
        <f>IF($J238="",0,LEN($J238))</f>
        <v/>
      </c>
      <c r="L238" s="17">
        <f>IF($J238="","",LEFT($J238,tyk_ikincilUzunluk))</f>
        <v/>
      </c>
      <c r="M238" s="17">
        <f>"B"</f>
        <v/>
      </c>
      <c r="N238" s="17">
        <f>IF($J238="","",IF(COUNTIF(tblAnahtarB[NormB],$J238)&gt;1,"EVET","HAYIR"))</f>
        <v/>
      </c>
      <c r="O238" s="17">
        <f>IF($I238="","",ROW()-ROW($I$5))</f>
        <v/>
      </c>
    </row>
    <row r="239">
      <c r="A239" s="7">
        <f>IF(GIRDI!A239="","",GIRDI!A239)</f>
        <v/>
      </c>
      <c r="B239" s="17">
        <f>UPPER(TRIM(SUBSTITUTE($A239," ","")))</f>
        <v/>
      </c>
      <c r="C239" s="17">
        <f>IF($B239="",0,LEN($B239))</f>
        <v/>
      </c>
      <c r="D239" s="17">
        <f>IF($B239="","",LEFT($B239,tyk_ikincilUzunluk))</f>
        <v/>
      </c>
      <c r="E239" s="17">
        <f>"A"</f>
        <v/>
      </c>
      <c r="F239" s="17">
        <f>IF($B239="","",IF(COUNTIF(tblAnahtarA[Norm],$B239)&gt;1,"EVET","HAYIR"))</f>
        <v/>
      </c>
      <c r="G239" s="17">
        <f>IF($A239="","",ROW()-ROW($A$5))</f>
        <v/>
      </c>
      <c r="I239" s="7">
        <f>IF(HAKEDIS!A239="","",HAKEDIS!A239)</f>
        <v/>
      </c>
      <c r="J239" s="17">
        <f>UPPER(TRIM(SUBSTITUTE($I239," ","")))</f>
        <v/>
      </c>
      <c r="K239" s="17">
        <f>IF($J239="",0,LEN($J239))</f>
        <v/>
      </c>
      <c r="L239" s="17">
        <f>IF($J239="","",LEFT($J239,tyk_ikincilUzunluk))</f>
        <v/>
      </c>
      <c r="M239" s="17">
        <f>"B"</f>
        <v/>
      </c>
      <c r="N239" s="17">
        <f>IF($J239="","",IF(COUNTIF(tblAnahtarB[NormB],$J239)&gt;1,"EVET","HAYIR"))</f>
        <v/>
      </c>
      <c r="O239" s="17">
        <f>IF($I239="","",ROW()-ROW($I$5))</f>
        <v/>
      </c>
    </row>
    <row r="240">
      <c r="A240" s="7">
        <f>IF(GIRDI!A240="","",GIRDI!A240)</f>
        <v/>
      </c>
      <c r="B240" s="17">
        <f>UPPER(TRIM(SUBSTITUTE($A240," ","")))</f>
        <v/>
      </c>
      <c r="C240" s="17">
        <f>IF($B240="",0,LEN($B240))</f>
        <v/>
      </c>
      <c r="D240" s="17">
        <f>IF($B240="","",LEFT($B240,tyk_ikincilUzunluk))</f>
        <v/>
      </c>
      <c r="E240" s="17">
        <f>"A"</f>
        <v/>
      </c>
      <c r="F240" s="17">
        <f>IF($B240="","",IF(COUNTIF(tblAnahtarA[Norm],$B240)&gt;1,"EVET","HAYIR"))</f>
        <v/>
      </c>
      <c r="G240" s="17">
        <f>IF($A240="","",ROW()-ROW($A$5))</f>
        <v/>
      </c>
      <c r="I240" s="7">
        <f>IF(HAKEDIS!A240="","",HAKEDIS!A240)</f>
        <v/>
      </c>
      <c r="J240" s="17">
        <f>UPPER(TRIM(SUBSTITUTE($I240," ","")))</f>
        <v/>
      </c>
      <c r="K240" s="17">
        <f>IF($J240="",0,LEN($J240))</f>
        <v/>
      </c>
      <c r="L240" s="17">
        <f>IF($J240="","",LEFT($J240,tyk_ikincilUzunluk))</f>
        <v/>
      </c>
      <c r="M240" s="17">
        <f>"B"</f>
        <v/>
      </c>
      <c r="N240" s="17">
        <f>IF($J240="","",IF(COUNTIF(tblAnahtarB[NormB],$J240)&gt;1,"EVET","HAYIR"))</f>
        <v/>
      </c>
      <c r="O240" s="17">
        <f>IF($I240="","",ROW()-ROW($I$5))</f>
        <v/>
      </c>
    </row>
    <row r="241">
      <c r="A241" s="7">
        <f>IF(GIRDI!A241="","",GIRDI!A241)</f>
        <v/>
      </c>
      <c r="B241" s="17">
        <f>UPPER(TRIM(SUBSTITUTE($A241," ","")))</f>
        <v/>
      </c>
      <c r="C241" s="17">
        <f>IF($B241="",0,LEN($B241))</f>
        <v/>
      </c>
      <c r="D241" s="17">
        <f>IF($B241="","",LEFT($B241,tyk_ikincilUzunluk))</f>
        <v/>
      </c>
      <c r="E241" s="17">
        <f>"A"</f>
        <v/>
      </c>
      <c r="F241" s="17">
        <f>IF($B241="","",IF(COUNTIF(tblAnahtarA[Norm],$B241)&gt;1,"EVET","HAYIR"))</f>
        <v/>
      </c>
      <c r="G241" s="17">
        <f>IF($A241="","",ROW()-ROW($A$5))</f>
        <v/>
      </c>
      <c r="I241" s="7">
        <f>IF(HAKEDIS!A241="","",HAKEDIS!A241)</f>
        <v/>
      </c>
      <c r="J241" s="17">
        <f>UPPER(TRIM(SUBSTITUTE($I241," ","")))</f>
        <v/>
      </c>
      <c r="K241" s="17">
        <f>IF($J241="",0,LEN($J241))</f>
        <v/>
      </c>
      <c r="L241" s="17">
        <f>IF($J241="","",LEFT($J241,tyk_ikincilUzunluk))</f>
        <v/>
      </c>
      <c r="M241" s="17">
        <f>"B"</f>
        <v/>
      </c>
      <c r="N241" s="17">
        <f>IF($J241="","",IF(COUNTIF(tblAnahtarB[NormB],$J241)&gt;1,"EVET","HAYIR"))</f>
        <v/>
      </c>
      <c r="O241" s="17">
        <f>IF($I241="","",ROW()-ROW($I$5))</f>
        <v/>
      </c>
    </row>
    <row r="242">
      <c r="A242" s="7">
        <f>IF(GIRDI!A242="","",GIRDI!A242)</f>
        <v/>
      </c>
      <c r="B242" s="17">
        <f>UPPER(TRIM(SUBSTITUTE($A242," ","")))</f>
        <v/>
      </c>
      <c r="C242" s="17">
        <f>IF($B242="",0,LEN($B242))</f>
        <v/>
      </c>
      <c r="D242" s="17">
        <f>IF($B242="","",LEFT($B242,tyk_ikincilUzunluk))</f>
        <v/>
      </c>
      <c r="E242" s="17">
        <f>"A"</f>
        <v/>
      </c>
      <c r="F242" s="17">
        <f>IF($B242="","",IF(COUNTIF(tblAnahtarA[Norm],$B242)&gt;1,"EVET","HAYIR"))</f>
        <v/>
      </c>
      <c r="G242" s="17">
        <f>IF($A242="","",ROW()-ROW($A$5))</f>
        <v/>
      </c>
      <c r="I242" s="7">
        <f>IF(HAKEDIS!A242="","",HAKEDIS!A242)</f>
        <v/>
      </c>
      <c r="J242" s="17">
        <f>UPPER(TRIM(SUBSTITUTE($I242," ","")))</f>
        <v/>
      </c>
      <c r="K242" s="17">
        <f>IF($J242="",0,LEN($J242))</f>
        <v/>
      </c>
      <c r="L242" s="17">
        <f>IF($J242="","",LEFT($J242,tyk_ikincilUzunluk))</f>
        <v/>
      </c>
      <c r="M242" s="17">
        <f>"B"</f>
        <v/>
      </c>
      <c r="N242" s="17">
        <f>IF($J242="","",IF(COUNTIF(tblAnahtarB[NormB],$J242)&gt;1,"EVET","HAYIR"))</f>
        <v/>
      </c>
      <c r="O242" s="17">
        <f>IF($I242="","",ROW()-ROW($I$5))</f>
        <v/>
      </c>
    </row>
    <row r="243">
      <c r="A243" s="7">
        <f>IF(GIRDI!A243="","",GIRDI!A243)</f>
        <v/>
      </c>
      <c r="B243" s="17">
        <f>UPPER(TRIM(SUBSTITUTE($A243," ","")))</f>
        <v/>
      </c>
      <c r="C243" s="17">
        <f>IF($B243="",0,LEN($B243))</f>
        <v/>
      </c>
      <c r="D243" s="17">
        <f>IF($B243="","",LEFT($B243,tyk_ikincilUzunluk))</f>
        <v/>
      </c>
      <c r="E243" s="17">
        <f>"A"</f>
        <v/>
      </c>
      <c r="F243" s="17">
        <f>IF($B243="","",IF(COUNTIF(tblAnahtarA[Norm],$B243)&gt;1,"EVET","HAYIR"))</f>
        <v/>
      </c>
      <c r="G243" s="17">
        <f>IF($A243="","",ROW()-ROW($A$5))</f>
        <v/>
      </c>
      <c r="I243" s="7">
        <f>IF(HAKEDIS!A243="","",HAKEDIS!A243)</f>
        <v/>
      </c>
      <c r="J243" s="17">
        <f>UPPER(TRIM(SUBSTITUTE($I243," ","")))</f>
        <v/>
      </c>
      <c r="K243" s="17">
        <f>IF($J243="",0,LEN($J243))</f>
        <v/>
      </c>
      <c r="L243" s="17">
        <f>IF($J243="","",LEFT($J243,tyk_ikincilUzunluk))</f>
        <v/>
      </c>
      <c r="M243" s="17">
        <f>"B"</f>
        <v/>
      </c>
      <c r="N243" s="17">
        <f>IF($J243="","",IF(COUNTIF(tblAnahtarB[NormB],$J243)&gt;1,"EVET","HAYIR"))</f>
        <v/>
      </c>
      <c r="O243" s="17">
        <f>IF($I243="","",ROW()-ROW($I$5))</f>
        <v/>
      </c>
    </row>
    <row r="244">
      <c r="A244" s="7">
        <f>IF(GIRDI!A244="","",GIRDI!A244)</f>
        <v/>
      </c>
      <c r="B244" s="17">
        <f>UPPER(TRIM(SUBSTITUTE($A244," ","")))</f>
        <v/>
      </c>
      <c r="C244" s="17">
        <f>IF($B244="",0,LEN($B244))</f>
        <v/>
      </c>
      <c r="D244" s="17">
        <f>IF($B244="","",LEFT($B244,tyk_ikincilUzunluk))</f>
        <v/>
      </c>
      <c r="E244" s="17">
        <f>"A"</f>
        <v/>
      </c>
      <c r="F244" s="17">
        <f>IF($B244="","",IF(COUNTIF(tblAnahtarA[Norm],$B244)&gt;1,"EVET","HAYIR"))</f>
        <v/>
      </c>
      <c r="G244" s="17">
        <f>IF($A244="","",ROW()-ROW($A$5))</f>
        <v/>
      </c>
      <c r="I244" s="7">
        <f>IF(HAKEDIS!A244="","",HAKEDIS!A244)</f>
        <v/>
      </c>
      <c r="J244" s="17">
        <f>UPPER(TRIM(SUBSTITUTE($I244," ","")))</f>
        <v/>
      </c>
      <c r="K244" s="17">
        <f>IF($J244="",0,LEN($J244))</f>
        <v/>
      </c>
      <c r="L244" s="17">
        <f>IF($J244="","",LEFT($J244,tyk_ikincilUzunluk))</f>
        <v/>
      </c>
      <c r="M244" s="17">
        <f>"B"</f>
        <v/>
      </c>
      <c r="N244" s="17">
        <f>IF($J244="","",IF(COUNTIF(tblAnahtarB[NormB],$J244)&gt;1,"EVET","HAYIR"))</f>
        <v/>
      </c>
      <c r="O244" s="17">
        <f>IF($I244="","",ROW()-ROW($I$5))</f>
        <v/>
      </c>
    </row>
    <row r="245">
      <c r="A245" s="7">
        <f>IF(GIRDI!A245="","",GIRDI!A245)</f>
        <v/>
      </c>
      <c r="B245" s="17">
        <f>UPPER(TRIM(SUBSTITUTE($A245," ","")))</f>
        <v/>
      </c>
      <c r="C245" s="17">
        <f>IF($B245="",0,LEN($B245))</f>
        <v/>
      </c>
      <c r="D245" s="17">
        <f>IF($B245="","",LEFT($B245,tyk_ikincilUzunluk))</f>
        <v/>
      </c>
      <c r="E245" s="17">
        <f>"A"</f>
        <v/>
      </c>
      <c r="F245" s="17">
        <f>IF($B245="","",IF(COUNTIF(tblAnahtarA[Norm],$B245)&gt;1,"EVET","HAYIR"))</f>
        <v/>
      </c>
      <c r="G245" s="17">
        <f>IF($A245="","",ROW()-ROW($A$5))</f>
        <v/>
      </c>
      <c r="I245" s="7">
        <f>IF(HAKEDIS!A245="","",HAKEDIS!A245)</f>
        <v/>
      </c>
      <c r="J245" s="17">
        <f>UPPER(TRIM(SUBSTITUTE($I245," ","")))</f>
        <v/>
      </c>
      <c r="K245" s="17">
        <f>IF($J245="",0,LEN($J245))</f>
        <v/>
      </c>
      <c r="L245" s="17">
        <f>IF($J245="","",LEFT($J245,tyk_ikincilUzunluk))</f>
        <v/>
      </c>
      <c r="M245" s="17">
        <f>"B"</f>
        <v/>
      </c>
      <c r="N245" s="17">
        <f>IF($J245="","",IF(COUNTIF(tblAnahtarB[NormB],$J245)&gt;1,"EVET","HAYIR"))</f>
        <v/>
      </c>
      <c r="O245" s="17">
        <f>IF($I245="","",ROW()-ROW($I$5))</f>
        <v/>
      </c>
    </row>
    <row r="246">
      <c r="A246" s="7">
        <f>IF(GIRDI!A246="","",GIRDI!A246)</f>
        <v/>
      </c>
      <c r="B246" s="17">
        <f>UPPER(TRIM(SUBSTITUTE($A246," ","")))</f>
        <v/>
      </c>
      <c r="C246" s="17">
        <f>IF($B246="",0,LEN($B246))</f>
        <v/>
      </c>
      <c r="D246" s="17">
        <f>IF($B246="","",LEFT($B246,tyk_ikincilUzunluk))</f>
        <v/>
      </c>
      <c r="E246" s="17">
        <f>"A"</f>
        <v/>
      </c>
      <c r="F246" s="17">
        <f>IF($B246="","",IF(COUNTIF(tblAnahtarA[Norm],$B246)&gt;1,"EVET","HAYIR"))</f>
        <v/>
      </c>
      <c r="G246" s="17">
        <f>IF($A246="","",ROW()-ROW($A$5))</f>
        <v/>
      </c>
      <c r="I246" s="7">
        <f>IF(HAKEDIS!A246="","",HAKEDIS!A246)</f>
        <v/>
      </c>
      <c r="J246" s="17">
        <f>UPPER(TRIM(SUBSTITUTE($I246," ","")))</f>
        <v/>
      </c>
      <c r="K246" s="17">
        <f>IF($J246="",0,LEN($J246))</f>
        <v/>
      </c>
      <c r="L246" s="17">
        <f>IF($J246="","",LEFT($J246,tyk_ikincilUzunluk))</f>
        <v/>
      </c>
      <c r="M246" s="17">
        <f>"B"</f>
        <v/>
      </c>
      <c r="N246" s="17">
        <f>IF($J246="","",IF(COUNTIF(tblAnahtarB[NormB],$J246)&gt;1,"EVET","HAYIR"))</f>
        <v/>
      </c>
      <c r="O246" s="17">
        <f>IF($I246="","",ROW()-ROW($I$5))</f>
        <v/>
      </c>
    </row>
    <row r="247">
      <c r="A247" s="7">
        <f>IF(GIRDI!A247="","",GIRDI!A247)</f>
        <v/>
      </c>
      <c r="B247" s="17">
        <f>UPPER(TRIM(SUBSTITUTE($A247," ","")))</f>
        <v/>
      </c>
      <c r="C247" s="17">
        <f>IF($B247="",0,LEN($B247))</f>
        <v/>
      </c>
      <c r="D247" s="17">
        <f>IF($B247="","",LEFT($B247,tyk_ikincilUzunluk))</f>
        <v/>
      </c>
      <c r="E247" s="17">
        <f>"A"</f>
        <v/>
      </c>
      <c r="F247" s="17">
        <f>IF($B247="","",IF(COUNTIF(tblAnahtarA[Norm],$B247)&gt;1,"EVET","HAYIR"))</f>
        <v/>
      </c>
      <c r="G247" s="17">
        <f>IF($A247="","",ROW()-ROW($A$5))</f>
        <v/>
      </c>
      <c r="I247" s="7">
        <f>IF(HAKEDIS!A247="","",HAKEDIS!A247)</f>
        <v/>
      </c>
      <c r="J247" s="17">
        <f>UPPER(TRIM(SUBSTITUTE($I247," ","")))</f>
        <v/>
      </c>
      <c r="K247" s="17">
        <f>IF($J247="",0,LEN($J247))</f>
        <v/>
      </c>
      <c r="L247" s="17">
        <f>IF($J247="","",LEFT($J247,tyk_ikincilUzunluk))</f>
        <v/>
      </c>
      <c r="M247" s="17">
        <f>"B"</f>
        <v/>
      </c>
      <c r="N247" s="17">
        <f>IF($J247="","",IF(COUNTIF(tblAnahtarB[NormB],$J247)&gt;1,"EVET","HAYIR"))</f>
        <v/>
      </c>
      <c r="O247" s="17">
        <f>IF($I247="","",ROW()-ROW($I$5))</f>
        <v/>
      </c>
    </row>
    <row r="248">
      <c r="A248" s="7">
        <f>IF(GIRDI!A248="","",GIRDI!A248)</f>
        <v/>
      </c>
      <c r="B248" s="17">
        <f>UPPER(TRIM(SUBSTITUTE($A248," ","")))</f>
        <v/>
      </c>
      <c r="C248" s="17">
        <f>IF($B248="",0,LEN($B248))</f>
        <v/>
      </c>
      <c r="D248" s="17">
        <f>IF($B248="","",LEFT($B248,tyk_ikincilUzunluk))</f>
        <v/>
      </c>
      <c r="E248" s="17">
        <f>"A"</f>
        <v/>
      </c>
      <c r="F248" s="17">
        <f>IF($B248="","",IF(COUNTIF(tblAnahtarA[Norm],$B248)&gt;1,"EVET","HAYIR"))</f>
        <v/>
      </c>
      <c r="G248" s="17">
        <f>IF($A248="","",ROW()-ROW($A$5))</f>
        <v/>
      </c>
      <c r="I248" s="7">
        <f>IF(HAKEDIS!A248="","",HAKEDIS!A248)</f>
        <v/>
      </c>
      <c r="J248" s="17">
        <f>UPPER(TRIM(SUBSTITUTE($I248," ","")))</f>
        <v/>
      </c>
      <c r="K248" s="17">
        <f>IF($J248="",0,LEN($J248))</f>
        <v/>
      </c>
      <c r="L248" s="17">
        <f>IF($J248="","",LEFT($J248,tyk_ikincilUzunluk))</f>
        <v/>
      </c>
      <c r="M248" s="17">
        <f>"B"</f>
        <v/>
      </c>
      <c r="N248" s="17">
        <f>IF($J248="","",IF(COUNTIF(tblAnahtarB[NormB],$J248)&gt;1,"EVET","HAYIR"))</f>
        <v/>
      </c>
      <c r="O248" s="17">
        <f>IF($I248="","",ROW()-ROW($I$5))</f>
        <v/>
      </c>
    </row>
    <row r="249">
      <c r="A249" s="7">
        <f>IF(GIRDI!A249="","",GIRDI!A249)</f>
        <v/>
      </c>
      <c r="B249" s="17">
        <f>UPPER(TRIM(SUBSTITUTE($A249," ","")))</f>
        <v/>
      </c>
      <c r="C249" s="17">
        <f>IF($B249="",0,LEN($B249))</f>
        <v/>
      </c>
      <c r="D249" s="17">
        <f>IF($B249="","",LEFT($B249,tyk_ikincilUzunluk))</f>
        <v/>
      </c>
      <c r="E249" s="17">
        <f>"A"</f>
        <v/>
      </c>
      <c r="F249" s="17">
        <f>IF($B249="","",IF(COUNTIF(tblAnahtarA[Norm],$B249)&gt;1,"EVET","HAYIR"))</f>
        <v/>
      </c>
      <c r="G249" s="17">
        <f>IF($A249="","",ROW()-ROW($A$5))</f>
        <v/>
      </c>
      <c r="I249" s="7">
        <f>IF(HAKEDIS!A249="","",HAKEDIS!A249)</f>
        <v/>
      </c>
      <c r="J249" s="17">
        <f>UPPER(TRIM(SUBSTITUTE($I249," ","")))</f>
        <v/>
      </c>
      <c r="K249" s="17">
        <f>IF($J249="",0,LEN($J249))</f>
        <v/>
      </c>
      <c r="L249" s="17">
        <f>IF($J249="","",LEFT($J249,tyk_ikincilUzunluk))</f>
        <v/>
      </c>
      <c r="M249" s="17">
        <f>"B"</f>
        <v/>
      </c>
      <c r="N249" s="17">
        <f>IF($J249="","",IF(COUNTIF(tblAnahtarB[NormB],$J249)&gt;1,"EVET","HAYIR"))</f>
        <v/>
      </c>
      <c r="O249" s="17">
        <f>IF($I249="","",ROW()-ROW($I$5))</f>
        <v/>
      </c>
    </row>
    <row r="250">
      <c r="A250" s="7">
        <f>IF(GIRDI!A250="","",GIRDI!A250)</f>
        <v/>
      </c>
      <c r="B250" s="17">
        <f>UPPER(TRIM(SUBSTITUTE($A250," ","")))</f>
        <v/>
      </c>
      <c r="C250" s="17">
        <f>IF($B250="",0,LEN($B250))</f>
        <v/>
      </c>
      <c r="D250" s="17">
        <f>IF($B250="","",LEFT($B250,tyk_ikincilUzunluk))</f>
        <v/>
      </c>
      <c r="E250" s="17">
        <f>"A"</f>
        <v/>
      </c>
      <c r="F250" s="17">
        <f>IF($B250="","",IF(COUNTIF(tblAnahtarA[Norm],$B250)&gt;1,"EVET","HAYIR"))</f>
        <v/>
      </c>
      <c r="G250" s="17">
        <f>IF($A250="","",ROW()-ROW($A$5))</f>
        <v/>
      </c>
      <c r="I250" s="7">
        <f>IF(HAKEDIS!A250="","",HAKEDIS!A250)</f>
        <v/>
      </c>
      <c r="J250" s="17">
        <f>UPPER(TRIM(SUBSTITUTE($I250," ","")))</f>
        <v/>
      </c>
      <c r="K250" s="17">
        <f>IF($J250="",0,LEN($J250))</f>
        <v/>
      </c>
      <c r="L250" s="17">
        <f>IF($J250="","",LEFT($J250,tyk_ikincilUzunluk))</f>
        <v/>
      </c>
      <c r="M250" s="17">
        <f>"B"</f>
        <v/>
      </c>
      <c r="N250" s="17">
        <f>IF($J250="","",IF(COUNTIF(tblAnahtarB[NormB],$J250)&gt;1,"EVET","HAYIR"))</f>
        <v/>
      </c>
      <c r="O250" s="17">
        <f>IF($I250="","",ROW()-ROW($I$5))</f>
        <v/>
      </c>
    </row>
    <row r="251">
      <c r="A251" s="7">
        <f>IF(GIRDI!A251="","",GIRDI!A251)</f>
        <v/>
      </c>
      <c r="B251" s="17">
        <f>UPPER(TRIM(SUBSTITUTE($A251," ","")))</f>
        <v/>
      </c>
      <c r="C251" s="17">
        <f>IF($B251="",0,LEN($B251))</f>
        <v/>
      </c>
      <c r="D251" s="17">
        <f>IF($B251="","",LEFT($B251,tyk_ikincilUzunluk))</f>
        <v/>
      </c>
      <c r="E251" s="17">
        <f>"A"</f>
        <v/>
      </c>
      <c r="F251" s="17">
        <f>IF($B251="","",IF(COUNTIF(tblAnahtarA[Norm],$B251)&gt;1,"EVET","HAYIR"))</f>
        <v/>
      </c>
      <c r="G251" s="17">
        <f>IF($A251="","",ROW()-ROW($A$5))</f>
        <v/>
      </c>
      <c r="I251" s="7">
        <f>IF(HAKEDIS!A251="","",HAKEDIS!A251)</f>
        <v/>
      </c>
      <c r="J251" s="17">
        <f>UPPER(TRIM(SUBSTITUTE($I251," ","")))</f>
        <v/>
      </c>
      <c r="K251" s="17">
        <f>IF($J251="",0,LEN($J251))</f>
        <v/>
      </c>
      <c r="L251" s="17">
        <f>IF($J251="","",LEFT($J251,tyk_ikincilUzunluk))</f>
        <v/>
      </c>
      <c r="M251" s="17">
        <f>"B"</f>
        <v/>
      </c>
      <c r="N251" s="17">
        <f>IF($J251="","",IF(COUNTIF(tblAnahtarB[NormB],$J251)&gt;1,"EVET","HAYIR"))</f>
        <v/>
      </c>
      <c r="O251" s="17">
        <f>IF($I251="","",ROW()-ROW($I$5))</f>
        <v/>
      </c>
    </row>
    <row r="252">
      <c r="A252" s="7">
        <f>IF(GIRDI!A252="","",GIRDI!A252)</f>
        <v/>
      </c>
      <c r="B252" s="17">
        <f>UPPER(TRIM(SUBSTITUTE($A252," ","")))</f>
        <v/>
      </c>
      <c r="C252" s="17">
        <f>IF($B252="",0,LEN($B252))</f>
        <v/>
      </c>
      <c r="D252" s="17">
        <f>IF($B252="","",LEFT($B252,tyk_ikincilUzunluk))</f>
        <v/>
      </c>
      <c r="E252" s="17">
        <f>"A"</f>
        <v/>
      </c>
      <c r="F252" s="17">
        <f>IF($B252="","",IF(COUNTIF(tblAnahtarA[Norm],$B252)&gt;1,"EVET","HAYIR"))</f>
        <v/>
      </c>
      <c r="G252" s="17">
        <f>IF($A252="","",ROW()-ROW($A$5))</f>
        <v/>
      </c>
      <c r="I252" s="7">
        <f>IF(HAKEDIS!A252="","",HAKEDIS!A252)</f>
        <v/>
      </c>
      <c r="J252" s="17">
        <f>UPPER(TRIM(SUBSTITUTE($I252," ","")))</f>
        <v/>
      </c>
      <c r="K252" s="17">
        <f>IF($J252="",0,LEN($J252))</f>
        <v/>
      </c>
      <c r="L252" s="17">
        <f>IF($J252="","",LEFT($J252,tyk_ikincilUzunluk))</f>
        <v/>
      </c>
      <c r="M252" s="17">
        <f>"B"</f>
        <v/>
      </c>
      <c r="N252" s="17">
        <f>IF($J252="","",IF(COUNTIF(tblAnahtarB[NormB],$J252)&gt;1,"EVET","HAYIR"))</f>
        <v/>
      </c>
      <c r="O252" s="17">
        <f>IF($I252="","",ROW()-ROW($I$5))</f>
        <v/>
      </c>
    </row>
    <row r="253">
      <c r="A253" s="7">
        <f>IF(GIRDI!A253="","",GIRDI!A253)</f>
        <v/>
      </c>
      <c r="B253" s="17">
        <f>UPPER(TRIM(SUBSTITUTE($A253," ","")))</f>
        <v/>
      </c>
      <c r="C253" s="17">
        <f>IF($B253="",0,LEN($B253))</f>
        <v/>
      </c>
      <c r="D253" s="17">
        <f>IF($B253="","",LEFT($B253,tyk_ikincilUzunluk))</f>
        <v/>
      </c>
      <c r="E253" s="17">
        <f>"A"</f>
        <v/>
      </c>
      <c r="F253" s="17">
        <f>IF($B253="","",IF(COUNTIF(tblAnahtarA[Norm],$B253)&gt;1,"EVET","HAYIR"))</f>
        <v/>
      </c>
      <c r="G253" s="17">
        <f>IF($A253="","",ROW()-ROW($A$5))</f>
        <v/>
      </c>
      <c r="I253" s="7">
        <f>IF(HAKEDIS!A253="","",HAKEDIS!A253)</f>
        <v/>
      </c>
      <c r="J253" s="17">
        <f>UPPER(TRIM(SUBSTITUTE($I253," ","")))</f>
        <v/>
      </c>
      <c r="K253" s="17">
        <f>IF($J253="",0,LEN($J253))</f>
        <v/>
      </c>
      <c r="L253" s="17">
        <f>IF($J253="","",LEFT($J253,tyk_ikincilUzunluk))</f>
        <v/>
      </c>
      <c r="M253" s="17">
        <f>"B"</f>
        <v/>
      </c>
      <c r="N253" s="17">
        <f>IF($J253="","",IF(COUNTIF(tblAnahtarB[NormB],$J253)&gt;1,"EVET","HAYIR"))</f>
        <v/>
      </c>
      <c r="O253" s="17">
        <f>IF($I253="","",ROW()-ROW($I$5))</f>
        <v/>
      </c>
    </row>
    <row r="254">
      <c r="A254" s="7">
        <f>IF(GIRDI!A254="","",GIRDI!A254)</f>
        <v/>
      </c>
      <c r="B254" s="17">
        <f>UPPER(TRIM(SUBSTITUTE($A254," ","")))</f>
        <v/>
      </c>
      <c r="C254" s="17">
        <f>IF($B254="",0,LEN($B254))</f>
        <v/>
      </c>
      <c r="D254" s="17">
        <f>IF($B254="","",LEFT($B254,tyk_ikincilUzunluk))</f>
        <v/>
      </c>
      <c r="E254" s="17">
        <f>"A"</f>
        <v/>
      </c>
      <c r="F254" s="17">
        <f>IF($B254="","",IF(COUNTIF(tblAnahtarA[Norm],$B254)&gt;1,"EVET","HAYIR"))</f>
        <v/>
      </c>
      <c r="G254" s="17">
        <f>IF($A254="","",ROW()-ROW($A$5))</f>
        <v/>
      </c>
      <c r="I254" s="7">
        <f>IF(HAKEDIS!A254="","",HAKEDIS!A254)</f>
        <v/>
      </c>
      <c r="J254" s="17">
        <f>UPPER(TRIM(SUBSTITUTE($I254," ","")))</f>
        <v/>
      </c>
      <c r="K254" s="17">
        <f>IF($J254="",0,LEN($J254))</f>
        <v/>
      </c>
      <c r="L254" s="17">
        <f>IF($J254="","",LEFT($J254,tyk_ikincilUzunluk))</f>
        <v/>
      </c>
      <c r="M254" s="17">
        <f>"B"</f>
        <v/>
      </c>
      <c r="N254" s="17">
        <f>IF($J254="","",IF(COUNTIF(tblAnahtarB[NormB],$J254)&gt;1,"EVET","HAYIR"))</f>
        <v/>
      </c>
      <c r="O254" s="17">
        <f>IF($I254="","",ROW()-ROW($I$5))</f>
        <v/>
      </c>
    </row>
    <row r="255">
      <c r="A255" s="7">
        <f>IF(GIRDI!A255="","",GIRDI!A255)</f>
        <v/>
      </c>
      <c r="B255" s="17">
        <f>UPPER(TRIM(SUBSTITUTE($A255," ","")))</f>
        <v/>
      </c>
      <c r="C255" s="17">
        <f>IF($B255="",0,LEN($B255))</f>
        <v/>
      </c>
      <c r="D255" s="17">
        <f>IF($B255="","",LEFT($B255,tyk_ikincilUzunluk))</f>
        <v/>
      </c>
      <c r="E255" s="17">
        <f>"A"</f>
        <v/>
      </c>
      <c r="F255" s="17">
        <f>IF($B255="","",IF(COUNTIF(tblAnahtarA[Norm],$B255)&gt;1,"EVET","HAYIR"))</f>
        <v/>
      </c>
      <c r="G255" s="17">
        <f>IF($A255="","",ROW()-ROW($A$5))</f>
        <v/>
      </c>
      <c r="I255" s="7">
        <f>IF(HAKEDIS!A255="","",HAKEDIS!A255)</f>
        <v/>
      </c>
      <c r="J255" s="17">
        <f>UPPER(TRIM(SUBSTITUTE($I255," ","")))</f>
        <v/>
      </c>
      <c r="K255" s="17">
        <f>IF($J255="",0,LEN($J255))</f>
        <v/>
      </c>
      <c r="L255" s="17">
        <f>IF($J255="","",LEFT($J255,tyk_ikincilUzunluk))</f>
        <v/>
      </c>
      <c r="M255" s="17">
        <f>"B"</f>
        <v/>
      </c>
      <c r="N255" s="17">
        <f>IF($J255="","",IF(COUNTIF(tblAnahtarB[NormB],$J255)&gt;1,"EVET","HAYIR"))</f>
        <v/>
      </c>
      <c r="O255" s="17">
        <f>IF($I255="","",ROW()-ROW($I$5))</f>
        <v/>
      </c>
    </row>
    <row r="256">
      <c r="A256" s="7">
        <f>IF(GIRDI!A256="","",GIRDI!A256)</f>
        <v/>
      </c>
      <c r="B256" s="17">
        <f>UPPER(TRIM(SUBSTITUTE($A256," ","")))</f>
        <v/>
      </c>
      <c r="C256" s="17">
        <f>IF($B256="",0,LEN($B256))</f>
        <v/>
      </c>
      <c r="D256" s="17">
        <f>IF($B256="","",LEFT($B256,tyk_ikincilUzunluk))</f>
        <v/>
      </c>
      <c r="E256" s="17">
        <f>"A"</f>
        <v/>
      </c>
      <c r="F256" s="17">
        <f>IF($B256="","",IF(COUNTIF(tblAnahtarA[Norm],$B256)&gt;1,"EVET","HAYIR"))</f>
        <v/>
      </c>
      <c r="G256" s="17">
        <f>IF($A256="","",ROW()-ROW($A$5))</f>
        <v/>
      </c>
      <c r="I256" s="7">
        <f>IF(HAKEDIS!A256="","",HAKEDIS!A256)</f>
        <v/>
      </c>
      <c r="J256" s="17">
        <f>UPPER(TRIM(SUBSTITUTE($I256," ","")))</f>
        <v/>
      </c>
      <c r="K256" s="17">
        <f>IF($J256="",0,LEN($J256))</f>
        <v/>
      </c>
      <c r="L256" s="17">
        <f>IF($J256="","",LEFT($J256,tyk_ikincilUzunluk))</f>
        <v/>
      </c>
      <c r="M256" s="17">
        <f>"B"</f>
        <v/>
      </c>
      <c r="N256" s="17">
        <f>IF($J256="","",IF(COUNTIF(tblAnahtarB[NormB],$J256)&gt;1,"EVET","HAYIR"))</f>
        <v/>
      </c>
      <c r="O256" s="17">
        <f>IF($I256="","",ROW()-ROW($I$5))</f>
        <v/>
      </c>
    </row>
    <row r="257">
      <c r="A257" s="7">
        <f>IF(GIRDI!A257="","",GIRDI!A257)</f>
        <v/>
      </c>
      <c r="B257" s="17">
        <f>UPPER(TRIM(SUBSTITUTE($A257," ","")))</f>
        <v/>
      </c>
      <c r="C257" s="17">
        <f>IF($B257="",0,LEN($B257))</f>
        <v/>
      </c>
      <c r="D257" s="17">
        <f>IF($B257="","",LEFT($B257,tyk_ikincilUzunluk))</f>
        <v/>
      </c>
      <c r="E257" s="17">
        <f>"A"</f>
        <v/>
      </c>
      <c r="F257" s="17">
        <f>IF($B257="","",IF(COUNTIF(tblAnahtarA[Norm],$B257)&gt;1,"EVET","HAYIR"))</f>
        <v/>
      </c>
      <c r="G257" s="17">
        <f>IF($A257="","",ROW()-ROW($A$5))</f>
        <v/>
      </c>
      <c r="I257" s="7">
        <f>IF(HAKEDIS!A257="","",HAKEDIS!A257)</f>
        <v/>
      </c>
      <c r="J257" s="17">
        <f>UPPER(TRIM(SUBSTITUTE($I257," ","")))</f>
        <v/>
      </c>
      <c r="K257" s="17">
        <f>IF($J257="",0,LEN($J257))</f>
        <v/>
      </c>
      <c r="L257" s="17">
        <f>IF($J257="","",LEFT($J257,tyk_ikincilUzunluk))</f>
        <v/>
      </c>
      <c r="M257" s="17">
        <f>"B"</f>
        <v/>
      </c>
      <c r="N257" s="17">
        <f>IF($J257="","",IF(COUNTIF(tblAnahtarB[NormB],$J257)&gt;1,"EVET","HAYIR"))</f>
        <v/>
      </c>
      <c r="O257" s="17">
        <f>IF($I257="","",ROW()-ROW($I$5))</f>
        <v/>
      </c>
    </row>
    <row r="258">
      <c r="A258" s="7">
        <f>IF(GIRDI!A258="","",GIRDI!A258)</f>
        <v/>
      </c>
      <c r="B258" s="17">
        <f>UPPER(TRIM(SUBSTITUTE($A258," ","")))</f>
        <v/>
      </c>
      <c r="C258" s="17">
        <f>IF($B258="",0,LEN($B258))</f>
        <v/>
      </c>
      <c r="D258" s="17">
        <f>IF($B258="","",LEFT($B258,tyk_ikincilUzunluk))</f>
        <v/>
      </c>
      <c r="E258" s="17">
        <f>"A"</f>
        <v/>
      </c>
      <c r="F258" s="17">
        <f>IF($B258="","",IF(COUNTIF(tblAnahtarA[Norm],$B258)&gt;1,"EVET","HAYIR"))</f>
        <v/>
      </c>
      <c r="G258" s="17">
        <f>IF($A258="","",ROW()-ROW($A$5))</f>
        <v/>
      </c>
      <c r="I258" s="7">
        <f>IF(HAKEDIS!A258="","",HAKEDIS!A258)</f>
        <v/>
      </c>
      <c r="J258" s="17">
        <f>UPPER(TRIM(SUBSTITUTE($I258," ","")))</f>
        <v/>
      </c>
      <c r="K258" s="17">
        <f>IF($J258="",0,LEN($J258))</f>
        <v/>
      </c>
      <c r="L258" s="17">
        <f>IF($J258="","",LEFT($J258,tyk_ikincilUzunluk))</f>
        <v/>
      </c>
      <c r="M258" s="17">
        <f>"B"</f>
        <v/>
      </c>
      <c r="N258" s="17">
        <f>IF($J258="","",IF(COUNTIF(tblAnahtarB[NormB],$J258)&gt;1,"EVET","HAYIR"))</f>
        <v/>
      </c>
      <c r="O258" s="17">
        <f>IF($I258="","",ROW()-ROW($I$5))</f>
        <v/>
      </c>
    </row>
    <row r="259">
      <c r="A259" s="7">
        <f>IF(GIRDI!A259="","",GIRDI!A259)</f>
        <v/>
      </c>
      <c r="B259" s="17">
        <f>UPPER(TRIM(SUBSTITUTE($A259," ","")))</f>
        <v/>
      </c>
      <c r="C259" s="17">
        <f>IF($B259="",0,LEN($B259))</f>
        <v/>
      </c>
      <c r="D259" s="17">
        <f>IF($B259="","",LEFT($B259,tyk_ikincilUzunluk))</f>
        <v/>
      </c>
      <c r="E259" s="17">
        <f>"A"</f>
        <v/>
      </c>
      <c r="F259" s="17">
        <f>IF($B259="","",IF(COUNTIF(tblAnahtarA[Norm],$B259)&gt;1,"EVET","HAYIR"))</f>
        <v/>
      </c>
      <c r="G259" s="17">
        <f>IF($A259="","",ROW()-ROW($A$5))</f>
        <v/>
      </c>
      <c r="I259" s="7">
        <f>IF(HAKEDIS!A259="","",HAKEDIS!A259)</f>
        <v/>
      </c>
      <c r="J259" s="17">
        <f>UPPER(TRIM(SUBSTITUTE($I259," ","")))</f>
        <v/>
      </c>
      <c r="K259" s="17">
        <f>IF($J259="",0,LEN($J259))</f>
        <v/>
      </c>
      <c r="L259" s="17">
        <f>IF($J259="","",LEFT($J259,tyk_ikincilUzunluk))</f>
        <v/>
      </c>
      <c r="M259" s="17">
        <f>"B"</f>
        <v/>
      </c>
      <c r="N259" s="17">
        <f>IF($J259="","",IF(COUNTIF(tblAnahtarB[NormB],$J259)&gt;1,"EVET","HAYIR"))</f>
        <v/>
      </c>
      <c r="O259" s="17">
        <f>IF($I259="","",ROW()-ROW($I$5))</f>
        <v/>
      </c>
    </row>
    <row r="260">
      <c r="A260" s="7">
        <f>IF(GIRDI!A260="","",GIRDI!A260)</f>
        <v/>
      </c>
      <c r="B260" s="17">
        <f>UPPER(TRIM(SUBSTITUTE($A260," ","")))</f>
        <v/>
      </c>
      <c r="C260" s="17">
        <f>IF($B260="",0,LEN($B260))</f>
        <v/>
      </c>
      <c r="D260" s="17">
        <f>IF($B260="","",LEFT($B260,tyk_ikincilUzunluk))</f>
        <v/>
      </c>
      <c r="E260" s="17">
        <f>"A"</f>
        <v/>
      </c>
      <c r="F260" s="17">
        <f>IF($B260="","",IF(COUNTIF(tblAnahtarA[Norm],$B260)&gt;1,"EVET","HAYIR"))</f>
        <v/>
      </c>
      <c r="G260" s="17">
        <f>IF($A260="","",ROW()-ROW($A$5))</f>
        <v/>
      </c>
      <c r="I260" s="7">
        <f>IF(HAKEDIS!A260="","",HAKEDIS!A260)</f>
        <v/>
      </c>
      <c r="J260" s="17">
        <f>UPPER(TRIM(SUBSTITUTE($I260," ","")))</f>
        <v/>
      </c>
      <c r="K260" s="17">
        <f>IF($J260="",0,LEN($J260))</f>
        <v/>
      </c>
      <c r="L260" s="17">
        <f>IF($J260="","",LEFT($J260,tyk_ikincilUzunluk))</f>
        <v/>
      </c>
      <c r="M260" s="17">
        <f>"B"</f>
        <v/>
      </c>
      <c r="N260" s="17">
        <f>IF($J260="","",IF(COUNTIF(tblAnahtarB[NormB],$J260)&gt;1,"EVET","HAYIR"))</f>
        <v/>
      </c>
      <c r="O260" s="17">
        <f>IF($I260="","",ROW()-ROW($I$5))</f>
        <v/>
      </c>
    </row>
    <row r="261">
      <c r="A261" s="7">
        <f>IF(GIRDI!A261="","",GIRDI!A261)</f>
        <v/>
      </c>
      <c r="B261" s="17">
        <f>UPPER(TRIM(SUBSTITUTE($A261," ","")))</f>
        <v/>
      </c>
      <c r="C261" s="17">
        <f>IF($B261="",0,LEN($B261))</f>
        <v/>
      </c>
      <c r="D261" s="17">
        <f>IF($B261="","",LEFT($B261,tyk_ikincilUzunluk))</f>
        <v/>
      </c>
      <c r="E261" s="17">
        <f>"A"</f>
        <v/>
      </c>
      <c r="F261" s="17">
        <f>IF($B261="","",IF(COUNTIF(tblAnahtarA[Norm],$B261)&gt;1,"EVET","HAYIR"))</f>
        <v/>
      </c>
      <c r="G261" s="17">
        <f>IF($A261="","",ROW()-ROW($A$5))</f>
        <v/>
      </c>
      <c r="I261" s="7">
        <f>IF(HAKEDIS!A261="","",HAKEDIS!A261)</f>
        <v/>
      </c>
      <c r="J261" s="17">
        <f>UPPER(TRIM(SUBSTITUTE($I261," ","")))</f>
        <v/>
      </c>
      <c r="K261" s="17">
        <f>IF($J261="",0,LEN($J261))</f>
        <v/>
      </c>
      <c r="L261" s="17">
        <f>IF($J261="","",LEFT($J261,tyk_ikincilUzunluk))</f>
        <v/>
      </c>
      <c r="M261" s="17">
        <f>"B"</f>
        <v/>
      </c>
      <c r="N261" s="17">
        <f>IF($J261="","",IF(COUNTIF(tblAnahtarB[NormB],$J261)&gt;1,"EVET","HAYIR"))</f>
        <v/>
      </c>
      <c r="O261" s="17">
        <f>IF($I261="","",ROW()-ROW($I$5))</f>
        <v/>
      </c>
    </row>
    <row r="262">
      <c r="A262" s="7">
        <f>IF(GIRDI!A262="","",GIRDI!A262)</f>
        <v/>
      </c>
      <c r="B262" s="17">
        <f>UPPER(TRIM(SUBSTITUTE($A262," ","")))</f>
        <v/>
      </c>
      <c r="C262" s="17">
        <f>IF($B262="",0,LEN($B262))</f>
        <v/>
      </c>
      <c r="D262" s="17">
        <f>IF($B262="","",LEFT($B262,tyk_ikincilUzunluk))</f>
        <v/>
      </c>
      <c r="E262" s="17">
        <f>"A"</f>
        <v/>
      </c>
      <c r="F262" s="17">
        <f>IF($B262="","",IF(COUNTIF(tblAnahtarA[Norm],$B262)&gt;1,"EVET","HAYIR"))</f>
        <v/>
      </c>
      <c r="G262" s="17">
        <f>IF($A262="","",ROW()-ROW($A$5))</f>
        <v/>
      </c>
      <c r="I262" s="7">
        <f>IF(HAKEDIS!A262="","",HAKEDIS!A262)</f>
        <v/>
      </c>
      <c r="J262" s="17">
        <f>UPPER(TRIM(SUBSTITUTE($I262," ","")))</f>
        <v/>
      </c>
      <c r="K262" s="17">
        <f>IF($J262="",0,LEN($J262))</f>
        <v/>
      </c>
      <c r="L262" s="17">
        <f>IF($J262="","",LEFT($J262,tyk_ikincilUzunluk))</f>
        <v/>
      </c>
      <c r="M262" s="17">
        <f>"B"</f>
        <v/>
      </c>
      <c r="N262" s="17">
        <f>IF($J262="","",IF(COUNTIF(tblAnahtarB[NormB],$J262)&gt;1,"EVET","HAYIR"))</f>
        <v/>
      </c>
      <c r="O262" s="17">
        <f>IF($I262="","",ROW()-ROW($I$5))</f>
        <v/>
      </c>
    </row>
    <row r="263">
      <c r="A263" s="7">
        <f>IF(GIRDI!A263="","",GIRDI!A263)</f>
        <v/>
      </c>
      <c r="B263" s="17">
        <f>UPPER(TRIM(SUBSTITUTE($A263," ","")))</f>
        <v/>
      </c>
      <c r="C263" s="17">
        <f>IF($B263="",0,LEN($B263))</f>
        <v/>
      </c>
      <c r="D263" s="17">
        <f>IF($B263="","",LEFT($B263,tyk_ikincilUzunluk))</f>
        <v/>
      </c>
      <c r="E263" s="17">
        <f>"A"</f>
        <v/>
      </c>
      <c r="F263" s="17">
        <f>IF($B263="","",IF(COUNTIF(tblAnahtarA[Norm],$B263)&gt;1,"EVET","HAYIR"))</f>
        <v/>
      </c>
      <c r="G263" s="17">
        <f>IF($A263="","",ROW()-ROW($A$5))</f>
        <v/>
      </c>
      <c r="I263" s="7">
        <f>IF(HAKEDIS!A263="","",HAKEDIS!A263)</f>
        <v/>
      </c>
      <c r="J263" s="17">
        <f>UPPER(TRIM(SUBSTITUTE($I263," ","")))</f>
        <v/>
      </c>
      <c r="K263" s="17">
        <f>IF($J263="",0,LEN($J263))</f>
        <v/>
      </c>
      <c r="L263" s="17">
        <f>IF($J263="","",LEFT($J263,tyk_ikincilUzunluk))</f>
        <v/>
      </c>
      <c r="M263" s="17">
        <f>"B"</f>
        <v/>
      </c>
      <c r="N263" s="17">
        <f>IF($J263="","",IF(COUNTIF(tblAnahtarB[NormB],$J263)&gt;1,"EVET","HAYIR"))</f>
        <v/>
      </c>
      <c r="O263" s="17">
        <f>IF($I263="","",ROW()-ROW($I$5))</f>
        <v/>
      </c>
    </row>
    <row r="264">
      <c r="A264" s="7">
        <f>IF(GIRDI!A264="","",GIRDI!A264)</f>
        <v/>
      </c>
      <c r="B264" s="17">
        <f>UPPER(TRIM(SUBSTITUTE($A264," ","")))</f>
        <v/>
      </c>
      <c r="C264" s="17">
        <f>IF($B264="",0,LEN($B264))</f>
        <v/>
      </c>
      <c r="D264" s="17">
        <f>IF($B264="","",LEFT($B264,tyk_ikincilUzunluk))</f>
        <v/>
      </c>
      <c r="E264" s="17">
        <f>"A"</f>
        <v/>
      </c>
      <c r="F264" s="17">
        <f>IF($B264="","",IF(COUNTIF(tblAnahtarA[Norm],$B264)&gt;1,"EVET","HAYIR"))</f>
        <v/>
      </c>
      <c r="G264" s="17">
        <f>IF($A264="","",ROW()-ROW($A$5))</f>
        <v/>
      </c>
      <c r="I264" s="7">
        <f>IF(HAKEDIS!A264="","",HAKEDIS!A264)</f>
        <v/>
      </c>
      <c r="J264" s="17">
        <f>UPPER(TRIM(SUBSTITUTE($I264," ","")))</f>
        <v/>
      </c>
      <c r="K264" s="17">
        <f>IF($J264="",0,LEN($J264))</f>
        <v/>
      </c>
      <c r="L264" s="17">
        <f>IF($J264="","",LEFT($J264,tyk_ikincilUzunluk))</f>
        <v/>
      </c>
      <c r="M264" s="17">
        <f>"B"</f>
        <v/>
      </c>
      <c r="N264" s="17">
        <f>IF($J264="","",IF(COUNTIF(tblAnahtarB[NormB],$J264)&gt;1,"EVET","HAYIR"))</f>
        <v/>
      </c>
      <c r="O264" s="17">
        <f>IF($I264="","",ROW()-ROW($I$5))</f>
        <v/>
      </c>
    </row>
    <row r="265">
      <c r="A265" s="7">
        <f>IF(GIRDI!A265="","",GIRDI!A265)</f>
        <v/>
      </c>
      <c r="B265" s="17">
        <f>UPPER(TRIM(SUBSTITUTE($A265," ","")))</f>
        <v/>
      </c>
      <c r="C265" s="17">
        <f>IF($B265="",0,LEN($B265))</f>
        <v/>
      </c>
      <c r="D265" s="17">
        <f>IF($B265="","",LEFT($B265,tyk_ikincilUzunluk))</f>
        <v/>
      </c>
      <c r="E265" s="17">
        <f>"A"</f>
        <v/>
      </c>
      <c r="F265" s="17">
        <f>IF($B265="","",IF(COUNTIF(tblAnahtarA[Norm],$B265)&gt;1,"EVET","HAYIR"))</f>
        <v/>
      </c>
      <c r="G265" s="17">
        <f>IF($A265="","",ROW()-ROW($A$5))</f>
        <v/>
      </c>
      <c r="I265" s="7">
        <f>IF(HAKEDIS!A265="","",HAKEDIS!A265)</f>
        <v/>
      </c>
      <c r="J265" s="17">
        <f>UPPER(TRIM(SUBSTITUTE($I265," ","")))</f>
        <v/>
      </c>
      <c r="K265" s="17">
        <f>IF($J265="",0,LEN($J265))</f>
        <v/>
      </c>
      <c r="L265" s="17">
        <f>IF($J265="","",LEFT($J265,tyk_ikincilUzunluk))</f>
        <v/>
      </c>
      <c r="M265" s="17">
        <f>"B"</f>
        <v/>
      </c>
      <c r="N265" s="17">
        <f>IF($J265="","",IF(COUNTIF(tblAnahtarB[NormB],$J265)&gt;1,"EVET","HAYIR"))</f>
        <v/>
      </c>
      <c r="O265" s="17">
        <f>IF($I265="","",ROW()-ROW($I$5))</f>
        <v/>
      </c>
    </row>
    <row r="266">
      <c r="A266" s="7">
        <f>IF(GIRDI!A266="","",GIRDI!A266)</f>
        <v/>
      </c>
      <c r="B266" s="17">
        <f>UPPER(TRIM(SUBSTITUTE($A266," ","")))</f>
        <v/>
      </c>
      <c r="C266" s="17">
        <f>IF($B266="",0,LEN($B266))</f>
        <v/>
      </c>
      <c r="D266" s="17">
        <f>IF($B266="","",LEFT($B266,tyk_ikincilUzunluk))</f>
        <v/>
      </c>
      <c r="E266" s="17">
        <f>"A"</f>
        <v/>
      </c>
      <c r="F266" s="17">
        <f>IF($B266="","",IF(COUNTIF(tblAnahtarA[Norm],$B266)&gt;1,"EVET","HAYIR"))</f>
        <v/>
      </c>
      <c r="G266" s="17">
        <f>IF($A266="","",ROW()-ROW($A$5))</f>
        <v/>
      </c>
      <c r="I266" s="7">
        <f>IF(HAKEDIS!A266="","",HAKEDIS!A266)</f>
        <v/>
      </c>
      <c r="J266" s="17">
        <f>UPPER(TRIM(SUBSTITUTE($I266," ","")))</f>
        <v/>
      </c>
      <c r="K266" s="17">
        <f>IF($J266="",0,LEN($J266))</f>
        <v/>
      </c>
      <c r="L266" s="17">
        <f>IF($J266="","",LEFT($J266,tyk_ikincilUzunluk))</f>
        <v/>
      </c>
      <c r="M266" s="17">
        <f>"B"</f>
        <v/>
      </c>
      <c r="N266" s="17">
        <f>IF($J266="","",IF(COUNTIF(tblAnahtarB[NormB],$J266)&gt;1,"EVET","HAYIR"))</f>
        <v/>
      </c>
      <c r="O266" s="17">
        <f>IF($I266="","",ROW()-ROW($I$5))</f>
        <v/>
      </c>
    </row>
    <row r="267">
      <c r="A267" s="7">
        <f>IF(GIRDI!A267="","",GIRDI!A267)</f>
        <v/>
      </c>
      <c r="B267" s="17">
        <f>UPPER(TRIM(SUBSTITUTE($A267," ","")))</f>
        <v/>
      </c>
      <c r="C267" s="17">
        <f>IF($B267="",0,LEN($B267))</f>
        <v/>
      </c>
      <c r="D267" s="17">
        <f>IF($B267="","",LEFT($B267,tyk_ikincilUzunluk))</f>
        <v/>
      </c>
      <c r="E267" s="17">
        <f>"A"</f>
        <v/>
      </c>
      <c r="F267" s="17">
        <f>IF($B267="","",IF(COUNTIF(tblAnahtarA[Norm],$B267)&gt;1,"EVET","HAYIR"))</f>
        <v/>
      </c>
      <c r="G267" s="17">
        <f>IF($A267="","",ROW()-ROW($A$5))</f>
        <v/>
      </c>
      <c r="I267" s="7">
        <f>IF(HAKEDIS!A267="","",HAKEDIS!A267)</f>
        <v/>
      </c>
      <c r="J267" s="17">
        <f>UPPER(TRIM(SUBSTITUTE($I267," ","")))</f>
        <v/>
      </c>
      <c r="K267" s="17">
        <f>IF($J267="",0,LEN($J267))</f>
        <v/>
      </c>
      <c r="L267" s="17">
        <f>IF($J267="","",LEFT($J267,tyk_ikincilUzunluk))</f>
        <v/>
      </c>
      <c r="M267" s="17">
        <f>"B"</f>
        <v/>
      </c>
      <c r="N267" s="17">
        <f>IF($J267="","",IF(COUNTIF(tblAnahtarB[NormB],$J267)&gt;1,"EVET","HAYIR"))</f>
        <v/>
      </c>
      <c r="O267" s="17">
        <f>IF($I267="","",ROW()-ROW($I$5))</f>
        <v/>
      </c>
    </row>
    <row r="268">
      <c r="A268" s="7">
        <f>IF(GIRDI!A268="","",GIRDI!A268)</f>
        <v/>
      </c>
      <c r="B268" s="17">
        <f>UPPER(TRIM(SUBSTITUTE($A268," ","")))</f>
        <v/>
      </c>
      <c r="C268" s="17">
        <f>IF($B268="",0,LEN($B268))</f>
        <v/>
      </c>
      <c r="D268" s="17">
        <f>IF($B268="","",LEFT($B268,tyk_ikincilUzunluk))</f>
        <v/>
      </c>
      <c r="E268" s="17">
        <f>"A"</f>
        <v/>
      </c>
      <c r="F268" s="17">
        <f>IF($B268="","",IF(COUNTIF(tblAnahtarA[Norm],$B268)&gt;1,"EVET","HAYIR"))</f>
        <v/>
      </c>
      <c r="G268" s="17">
        <f>IF($A268="","",ROW()-ROW($A$5))</f>
        <v/>
      </c>
      <c r="I268" s="7">
        <f>IF(HAKEDIS!A268="","",HAKEDIS!A268)</f>
        <v/>
      </c>
      <c r="J268" s="17">
        <f>UPPER(TRIM(SUBSTITUTE($I268," ","")))</f>
        <v/>
      </c>
      <c r="K268" s="17">
        <f>IF($J268="",0,LEN($J268))</f>
        <v/>
      </c>
      <c r="L268" s="17">
        <f>IF($J268="","",LEFT($J268,tyk_ikincilUzunluk))</f>
        <v/>
      </c>
      <c r="M268" s="17">
        <f>"B"</f>
        <v/>
      </c>
      <c r="N268" s="17">
        <f>IF($J268="","",IF(COUNTIF(tblAnahtarB[NormB],$J268)&gt;1,"EVET","HAYIR"))</f>
        <v/>
      </c>
      <c r="O268" s="17">
        <f>IF($I268="","",ROW()-ROW($I$5))</f>
        <v/>
      </c>
    </row>
    <row r="269">
      <c r="A269" s="7">
        <f>IF(GIRDI!A269="","",GIRDI!A269)</f>
        <v/>
      </c>
      <c r="B269" s="17">
        <f>UPPER(TRIM(SUBSTITUTE($A269," ","")))</f>
        <v/>
      </c>
      <c r="C269" s="17">
        <f>IF($B269="",0,LEN($B269))</f>
        <v/>
      </c>
      <c r="D269" s="17">
        <f>IF($B269="","",LEFT($B269,tyk_ikincilUzunluk))</f>
        <v/>
      </c>
      <c r="E269" s="17">
        <f>"A"</f>
        <v/>
      </c>
      <c r="F269" s="17">
        <f>IF($B269="","",IF(COUNTIF(tblAnahtarA[Norm],$B269)&gt;1,"EVET","HAYIR"))</f>
        <v/>
      </c>
      <c r="G269" s="17">
        <f>IF($A269="","",ROW()-ROW($A$5))</f>
        <v/>
      </c>
      <c r="I269" s="7">
        <f>IF(HAKEDIS!A269="","",HAKEDIS!A269)</f>
        <v/>
      </c>
      <c r="J269" s="17">
        <f>UPPER(TRIM(SUBSTITUTE($I269," ","")))</f>
        <v/>
      </c>
      <c r="K269" s="17">
        <f>IF($J269="",0,LEN($J269))</f>
        <v/>
      </c>
      <c r="L269" s="17">
        <f>IF($J269="","",LEFT($J269,tyk_ikincilUzunluk))</f>
        <v/>
      </c>
      <c r="M269" s="17">
        <f>"B"</f>
        <v/>
      </c>
      <c r="N269" s="17">
        <f>IF($J269="","",IF(COUNTIF(tblAnahtarB[NormB],$J269)&gt;1,"EVET","HAYIR"))</f>
        <v/>
      </c>
      <c r="O269" s="17">
        <f>IF($I269="","",ROW()-ROW($I$5))</f>
        <v/>
      </c>
    </row>
    <row r="270">
      <c r="A270" s="7">
        <f>IF(GIRDI!A270="","",GIRDI!A270)</f>
        <v/>
      </c>
      <c r="B270" s="17">
        <f>UPPER(TRIM(SUBSTITUTE($A270," ","")))</f>
        <v/>
      </c>
      <c r="C270" s="17">
        <f>IF($B270="",0,LEN($B270))</f>
        <v/>
      </c>
      <c r="D270" s="17">
        <f>IF($B270="","",LEFT($B270,tyk_ikincilUzunluk))</f>
        <v/>
      </c>
      <c r="E270" s="17">
        <f>"A"</f>
        <v/>
      </c>
      <c r="F270" s="17">
        <f>IF($B270="","",IF(COUNTIF(tblAnahtarA[Norm],$B270)&gt;1,"EVET","HAYIR"))</f>
        <v/>
      </c>
      <c r="G270" s="17">
        <f>IF($A270="","",ROW()-ROW($A$5))</f>
        <v/>
      </c>
      <c r="I270" s="7">
        <f>IF(HAKEDIS!A270="","",HAKEDIS!A270)</f>
        <v/>
      </c>
      <c r="J270" s="17">
        <f>UPPER(TRIM(SUBSTITUTE($I270," ","")))</f>
        <v/>
      </c>
      <c r="K270" s="17">
        <f>IF($J270="",0,LEN($J270))</f>
        <v/>
      </c>
      <c r="L270" s="17">
        <f>IF($J270="","",LEFT($J270,tyk_ikincilUzunluk))</f>
        <v/>
      </c>
      <c r="M270" s="17">
        <f>"B"</f>
        <v/>
      </c>
      <c r="N270" s="17">
        <f>IF($J270="","",IF(COUNTIF(tblAnahtarB[NormB],$J270)&gt;1,"EVET","HAYIR"))</f>
        <v/>
      </c>
      <c r="O270" s="17">
        <f>IF($I270="","",ROW()-ROW($I$5))</f>
        <v/>
      </c>
    </row>
    <row r="271">
      <c r="A271" s="7">
        <f>IF(GIRDI!A271="","",GIRDI!A271)</f>
        <v/>
      </c>
      <c r="B271" s="17">
        <f>UPPER(TRIM(SUBSTITUTE($A271," ","")))</f>
        <v/>
      </c>
      <c r="C271" s="17">
        <f>IF($B271="",0,LEN($B271))</f>
        <v/>
      </c>
      <c r="D271" s="17">
        <f>IF($B271="","",LEFT($B271,tyk_ikincilUzunluk))</f>
        <v/>
      </c>
      <c r="E271" s="17">
        <f>"A"</f>
        <v/>
      </c>
      <c r="F271" s="17">
        <f>IF($B271="","",IF(COUNTIF(tblAnahtarA[Norm],$B271)&gt;1,"EVET","HAYIR"))</f>
        <v/>
      </c>
      <c r="G271" s="17">
        <f>IF($A271="","",ROW()-ROW($A$5))</f>
        <v/>
      </c>
      <c r="I271" s="7">
        <f>IF(HAKEDIS!A271="","",HAKEDIS!A271)</f>
        <v/>
      </c>
      <c r="J271" s="17">
        <f>UPPER(TRIM(SUBSTITUTE($I271," ","")))</f>
        <v/>
      </c>
      <c r="K271" s="17">
        <f>IF($J271="",0,LEN($J271))</f>
        <v/>
      </c>
      <c r="L271" s="17">
        <f>IF($J271="","",LEFT($J271,tyk_ikincilUzunluk))</f>
        <v/>
      </c>
      <c r="M271" s="17">
        <f>"B"</f>
        <v/>
      </c>
      <c r="N271" s="17">
        <f>IF($J271="","",IF(COUNTIF(tblAnahtarB[NormB],$J271)&gt;1,"EVET","HAYIR"))</f>
        <v/>
      </c>
      <c r="O271" s="17">
        <f>IF($I271="","",ROW()-ROW($I$5))</f>
        <v/>
      </c>
    </row>
    <row r="272">
      <c r="A272" s="7">
        <f>IF(GIRDI!A272="","",GIRDI!A272)</f>
        <v/>
      </c>
      <c r="B272" s="17">
        <f>UPPER(TRIM(SUBSTITUTE($A272," ","")))</f>
        <v/>
      </c>
      <c r="C272" s="17">
        <f>IF($B272="",0,LEN($B272))</f>
        <v/>
      </c>
      <c r="D272" s="17">
        <f>IF($B272="","",LEFT($B272,tyk_ikincilUzunluk))</f>
        <v/>
      </c>
      <c r="E272" s="17">
        <f>"A"</f>
        <v/>
      </c>
      <c r="F272" s="17">
        <f>IF($B272="","",IF(COUNTIF(tblAnahtarA[Norm],$B272)&gt;1,"EVET","HAYIR"))</f>
        <v/>
      </c>
      <c r="G272" s="17">
        <f>IF($A272="","",ROW()-ROW($A$5))</f>
        <v/>
      </c>
      <c r="I272" s="7">
        <f>IF(HAKEDIS!A272="","",HAKEDIS!A272)</f>
        <v/>
      </c>
      <c r="J272" s="17">
        <f>UPPER(TRIM(SUBSTITUTE($I272," ","")))</f>
        <v/>
      </c>
      <c r="K272" s="17">
        <f>IF($J272="",0,LEN($J272))</f>
        <v/>
      </c>
      <c r="L272" s="17">
        <f>IF($J272="","",LEFT($J272,tyk_ikincilUzunluk))</f>
        <v/>
      </c>
      <c r="M272" s="17">
        <f>"B"</f>
        <v/>
      </c>
      <c r="N272" s="17">
        <f>IF($J272="","",IF(COUNTIF(tblAnahtarB[NormB],$J272)&gt;1,"EVET","HAYIR"))</f>
        <v/>
      </c>
      <c r="O272" s="17">
        <f>IF($I272="","",ROW()-ROW($I$5))</f>
        <v/>
      </c>
    </row>
    <row r="273">
      <c r="A273" s="7">
        <f>IF(GIRDI!A273="","",GIRDI!A273)</f>
        <v/>
      </c>
      <c r="B273" s="17">
        <f>UPPER(TRIM(SUBSTITUTE($A273," ","")))</f>
        <v/>
      </c>
      <c r="C273" s="17">
        <f>IF($B273="",0,LEN($B273))</f>
        <v/>
      </c>
      <c r="D273" s="17">
        <f>IF($B273="","",LEFT($B273,tyk_ikincilUzunluk))</f>
        <v/>
      </c>
      <c r="E273" s="17">
        <f>"A"</f>
        <v/>
      </c>
      <c r="F273" s="17">
        <f>IF($B273="","",IF(COUNTIF(tblAnahtarA[Norm],$B273)&gt;1,"EVET","HAYIR"))</f>
        <v/>
      </c>
      <c r="G273" s="17">
        <f>IF($A273="","",ROW()-ROW($A$5))</f>
        <v/>
      </c>
      <c r="I273" s="7">
        <f>IF(HAKEDIS!A273="","",HAKEDIS!A273)</f>
        <v/>
      </c>
      <c r="J273" s="17">
        <f>UPPER(TRIM(SUBSTITUTE($I273," ","")))</f>
        <v/>
      </c>
      <c r="K273" s="17">
        <f>IF($J273="",0,LEN($J273))</f>
        <v/>
      </c>
      <c r="L273" s="17">
        <f>IF($J273="","",LEFT($J273,tyk_ikincilUzunluk))</f>
        <v/>
      </c>
      <c r="M273" s="17">
        <f>"B"</f>
        <v/>
      </c>
      <c r="N273" s="17">
        <f>IF($J273="","",IF(COUNTIF(tblAnahtarB[NormB],$J273)&gt;1,"EVET","HAYIR"))</f>
        <v/>
      </c>
      <c r="O273" s="17">
        <f>IF($I273="","",ROW()-ROW($I$5))</f>
        <v/>
      </c>
    </row>
    <row r="274">
      <c r="A274" s="7">
        <f>IF(GIRDI!A274="","",GIRDI!A274)</f>
        <v/>
      </c>
      <c r="B274" s="17">
        <f>UPPER(TRIM(SUBSTITUTE($A274," ","")))</f>
        <v/>
      </c>
      <c r="C274" s="17">
        <f>IF($B274="",0,LEN($B274))</f>
        <v/>
      </c>
      <c r="D274" s="17">
        <f>IF($B274="","",LEFT($B274,tyk_ikincilUzunluk))</f>
        <v/>
      </c>
      <c r="E274" s="17">
        <f>"A"</f>
        <v/>
      </c>
      <c r="F274" s="17">
        <f>IF($B274="","",IF(COUNTIF(tblAnahtarA[Norm],$B274)&gt;1,"EVET","HAYIR"))</f>
        <v/>
      </c>
      <c r="G274" s="17">
        <f>IF($A274="","",ROW()-ROW($A$5))</f>
        <v/>
      </c>
      <c r="I274" s="7">
        <f>IF(HAKEDIS!A274="","",HAKEDIS!A274)</f>
        <v/>
      </c>
      <c r="J274" s="17">
        <f>UPPER(TRIM(SUBSTITUTE($I274," ","")))</f>
        <v/>
      </c>
      <c r="K274" s="17">
        <f>IF($J274="",0,LEN($J274))</f>
        <v/>
      </c>
      <c r="L274" s="17">
        <f>IF($J274="","",LEFT($J274,tyk_ikincilUzunluk))</f>
        <v/>
      </c>
      <c r="M274" s="17">
        <f>"B"</f>
        <v/>
      </c>
      <c r="N274" s="17">
        <f>IF($J274="","",IF(COUNTIF(tblAnahtarB[NormB],$J274)&gt;1,"EVET","HAYIR"))</f>
        <v/>
      </c>
      <c r="O274" s="17">
        <f>IF($I274="","",ROW()-ROW($I$5))</f>
        <v/>
      </c>
    </row>
    <row r="275">
      <c r="A275" s="7">
        <f>IF(GIRDI!A275="","",GIRDI!A275)</f>
        <v/>
      </c>
      <c r="B275" s="17">
        <f>UPPER(TRIM(SUBSTITUTE($A275," ","")))</f>
        <v/>
      </c>
      <c r="C275" s="17">
        <f>IF($B275="",0,LEN($B275))</f>
        <v/>
      </c>
      <c r="D275" s="17">
        <f>IF($B275="","",LEFT($B275,tyk_ikincilUzunluk))</f>
        <v/>
      </c>
      <c r="E275" s="17">
        <f>"A"</f>
        <v/>
      </c>
      <c r="F275" s="17">
        <f>IF($B275="","",IF(COUNTIF(tblAnahtarA[Norm],$B275)&gt;1,"EVET","HAYIR"))</f>
        <v/>
      </c>
      <c r="G275" s="17">
        <f>IF($A275="","",ROW()-ROW($A$5))</f>
        <v/>
      </c>
      <c r="I275" s="7">
        <f>IF(HAKEDIS!A275="","",HAKEDIS!A275)</f>
        <v/>
      </c>
      <c r="J275" s="17">
        <f>UPPER(TRIM(SUBSTITUTE($I275," ","")))</f>
        <v/>
      </c>
      <c r="K275" s="17">
        <f>IF($J275="",0,LEN($J275))</f>
        <v/>
      </c>
      <c r="L275" s="17">
        <f>IF($J275="","",LEFT($J275,tyk_ikincilUzunluk))</f>
        <v/>
      </c>
      <c r="M275" s="17">
        <f>"B"</f>
        <v/>
      </c>
      <c r="N275" s="17">
        <f>IF($J275="","",IF(COUNTIF(tblAnahtarB[NormB],$J275)&gt;1,"EVET","HAYIR"))</f>
        <v/>
      </c>
      <c r="O275" s="17">
        <f>IF($I275="","",ROW()-ROW($I$5))</f>
        <v/>
      </c>
    </row>
    <row r="276">
      <c r="A276" s="7">
        <f>IF(GIRDI!A276="","",GIRDI!A276)</f>
        <v/>
      </c>
      <c r="B276" s="17">
        <f>UPPER(TRIM(SUBSTITUTE($A276," ","")))</f>
        <v/>
      </c>
      <c r="C276" s="17">
        <f>IF($B276="",0,LEN($B276))</f>
        <v/>
      </c>
      <c r="D276" s="17">
        <f>IF($B276="","",LEFT($B276,tyk_ikincilUzunluk))</f>
        <v/>
      </c>
      <c r="E276" s="17">
        <f>"A"</f>
        <v/>
      </c>
      <c r="F276" s="17">
        <f>IF($B276="","",IF(COUNTIF(tblAnahtarA[Norm],$B276)&gt;1,"EVET","HAYIR"))</f>
        <v/>
      </c>
      <c r="G276" s="17">
        <f>IF($A276="","",ROW()-ROW($A$5))</f>
        <v/>
      </c>
      <c r="I276" s="7">
        <f>IF(HAKEDIS!A276="","",HAKEDIS!A276)</f>
        <v/>
      </c>
      <c r="J276" s="17">
        <f>UPPER(TRIM(SUBSTITUTE($I276," ","")))</f>
        <v/>
      </c>
      <c r="K276" s="17">
        <f>IF($J276="",0,LEN($J276))</f>
        <v/>
      </c>
      <c r="L276" s="17">
        <f>IF($J276="","",LEFT($J276,tyk_ikincilUzunluk))</f>
        <v/>
      </c>
      <c r="M276" s="17">
        <f>"B"</f>
        <v/>
      </c>
      <c r="N276" s="17">
        <f>IF($J276="","",IF(COUNTIF(tblAnahtarB[NormB],$J276)&gt;1,"EVET","HAYIR"))</f>
        <v/>
      </c>
      <c r="O276" s="17">
        <f>IF($I276="","",ROW()-ROW($I$5))</f>
        <v/>
      </c>
    </row>
    <row r="277">
      <c r="A277" s="7">
        <f>IF(GIRDI!A277="","",GIRDI!A277)</f>
        <v/>
      </c>
      <c r="B277" s="17">
        <f>UPPER(TRIM(SUBSTITUTE($A277," ","")))</f>
        <v/>
      </c>
      <c r="C277" s="17">
        <f>IF($B277="",0,LEN($B277))</f>
        <v/>
      </c>
      <c r="D277" s="17">
        <f>IF($B277="","",LEFT($B277,tyk_ikincilUzunluk))</f>
        <v/>
      </c>
      <c r="E277" s="17">
        <f>"A"</f>
        <v/>
      </c>
      <c r="F277" s="17">
        <f>IF($B277="","",IF(COUNTIF(tblAnahtarA[Norm],$B277)&gt;1,"EVET","HAYIR"))</f>
        <v/>
      </c>
      <c r="G277" s="17">
        <f>IF($A277="","",ROW()-ROW($A$5))</f>
        <v/>
      </c>
      <c r="I277" s="7">
        <f>IF(HAKEDIS!A277="","",HAKEDIS!A277)</f>
        <v/>
      </c>
      <c r="J277" s="17">
        <f>UPPER(TRIM(SUBSTITUTE($I277," ","")))</f>
        <v/>
      </c>
      <c r="K277" s="17">
        <f>IF($J277="",0,LEN($J277))</f>
        <v/>
      </c>
      <c r="L277" s="17">
        <f>IF($J277="","",LEFT($J277,tyk_ikincilUzunluk))</f>
        <v/>
      </c>
      <c r="M277" s="17">
        <f>"B"</f>
        <v/>
      </c>
      <c r="N277" s="17">
        <f>IF($J277="","",IF(COUNTIF(tblAnahtarB[NormB],$J277)&gt;1,"EVET","HAYIR"))</f>
        <v/>
      </c>
      <c r="O277" s="17">
        <f>IF($I277="","",ROW()-ROW($I$5))</f>
        <v/>
      </c>
    </row>
    <row r="278">
      <c r="A278" s="7">
        <f>IF(GIRDI!A278="","",GIRDI!A278)</f>
        <v/>
      </c>
      <c r="B278" s="17">
        <f>UPPER(TRIM(SUBSTITUTE($A278," ","")))</f>
        <v/>
      </c>
      <c r="C278" s="17">
        <f>IF($B278="",0,LEN($B278))</f>
        <v/>
      </c>
      <c r="D278" s="17">
        <f>IF($B278="","",LEFT($B278,tyk_ikincilUzunluk))</f>
        <v/>
      </c>
      <c r="E278" s="17">
        <f>"A"</f>
        <v/>
      </c>
      <c r="F278" s="17">
        <f>IF($B278="","",IF(COUNTIF(tblAnahtarA[Norm],$B278)&gt;1,"EVET","HAYIR"))</f>
        <v/>
      </c>
      <c r="G278" s="17">
        <f>IF($A278="","",ROW()-ROW($A$5))</f>
        <v/>
      </c>
      <c r="I278" s="7">
        <f>IF(HAKEDIS!A278="","",HAKEDIS!A278)</f>
        <v/>
      </c>
      <c r="J278" s="17">
        <f>UPPER(TRIM(SUBSTITUTE($I278," ","")))</f>
        <v/>
      </c>
      <c r="K278" s="17">
        <f>IF($J278="",0,LEN($J278))</f>
        <v/>
      </c>
      <c r="L278" s="17">
        <f>IF($J278="","",LEFT($J278,tyk_ikincilUzunluk))</f>
        <v/>
      </c>
      <c r="M278" s="17">
        <f>"B"</f>
        <v/>
      </c>
      <c r="N278" s="17">
        <f>IF($J278="","",IF(COUNTIF(tblAnahtarB[NormB],$J278)&gt;1,"EVET","HAYIR"))</f>
        <v/>
      </c>
      <c r="O278" s="17">
        <f>IF($I278="","",ROW()-ROW($I$5))</f>
        <v/>
      </c>
    </row>
    <row r="279">
      <c r="A279" s="7">
        <f>IF(GIRDI!A279="","",GIRDI!A279)</f>
        <v/>
      </c>
      <c r="B279" s="17">
        <f>UPPER(TRIM(SUBSTITUTE($A279," ","")))</f>
        <v/>
      </c>
      <c r="C279" s="17">
        <f>IF($B279="",0,LEN($B279))</f>
        <v/>
      </c>
      <c r="D279" s="17">
        <f>IF($B279="","",LEFT($B279,tyk_ikincilUzunluk))</f>
        <v/>
      </c>
      <c r="E279" s="17">
        <f>"A"</f>
        <v/>
      </c>
      <c r="F279" s="17">
        <f>IF($B279="","",IF(COUNTIF(tblAnahtarA[Norm],$B279)&gt;1,"EVET","HAYIR"))</f>
        <v/>
      </c>
      <c r="G279" s="17">
        <f>IF($A279="","",ROW()-ROW($A$5))</f>
        <v/>
      </c>
      <c r="I279" s="7">
        <f>IF(HAKEDIS!A279="","",HAKEDIS!A279)</f>
        <v/>
      </c>
      <c r="J279" s="17">
        <f>UPPER(TRIM(SUBSTITUTE($I279," ","")))</f>
        <v/>
      </c>
      <c r="K279" s="17">
        <f>IF($J279="",0,LEN($J279))</f>
        <v/>
      </c>
      <c r="L279" s="17">
        <f>IF($J279="","",LEFT($J279,tyk_ikincilUzunluk))</f>
        <v/>
      </c>
      <c r="M279" s="17">
        <f>"B"</f>
        <v/>
      </c>
      <c r="N279" s="17">
        <f>IF($J279="","",IF(COUNTIF(tblAnahtarB[NormB],$J279)&gt;1,"EVET","HAYIR"))</f>
        <v/>
      </c>
      <c r="O279" s="17">
        <f>IF($I279="","",ROW()-ROW($I$5))</f>
        <v/>
      </c>
    </row>
    <row r="280">
      <c r="A280" s="7">
        <f>IF(GIRDI!A280="","",GIRDI!A280)</f>
        <v/>
      </c>
      <c r="B280" s="17">
        <f>UPPER(TRIM(SUBSTITUTE($A280," ","")))</f>
        <v/>
      </c>
      <c r="C280" s="17">
        <f>IF($B280="",0,LEN($B280))</f>
        <v/>
      </c>
      <c r="D280" s="17">
        <f>IF($B280="","",LEFT($B280,tyk_ikincilUzunluk))</f>
        <v/>
      </c>
      <c r="E280" s="17">
        <f>"A"</f>
        <v/>
      </c>
      <c r="F280" s="17">
        <f>IF($B280="","",IF(COUNTIF(tblAnahtarA[Norm],$B280)&gt;1,"EVET","HAYIR"))</f>
        <v/>
      </c>
      <c r="G280" s="17">
        <f>IF($A280="","",ROW()-ROW($A$5))</f>
        <v/>
      </c>
      <c r="I280" s="7">
        <f>IF(HAKEDIS!A280="","",HAKEDIS!A280)</f>
        <v/>
      </c>
      <c r="J280" s="17">
        <f>UPPER(TRIM(SUBSTITUTE($I280," ","")))</f>
        <v/>
      </c>
      <c r="K280" s="17">
        <f>IF($J280="",0,LEN($J280))</f>
        <v/>
      </c>
      <c r="L280" s="17">
        <f>IF($J280="","",LEFT($J280,tyk_ikincilUzunluk))</f>
        <v/>
      </c>
      <c r="M280" s="17">
        <f>"B"</f>
        <v/>
      </c>
      <c r="N280" s="17">
        <f>IF($J280="","",IF(COUNTIF(tblAnahtarB[NormB],$J280)&gt;1,"EVET","HAYIR"))</f>
        <v/>
      </c>
      <c r="O280" s="17">
        <f>IF($I280="","",ROW()-ROW($I$5))</f>
        <v/>
      </c>
    </row>
    <row r="281">
      <c r="A281" s="7">
        <f>IF(GIRDI!A281="","",GIRDI!A281)</f>
        <v/>
      </c>
      <c r="B281" s="17">
        <f>UPPER(TRIM(SUBSTITUTE($A281," ","")))</f>
        <v/>
      </c>
      <c r="C281" s="17">
        <f>IF($B281="",0,LEN($B281))</f>
        <v/>
      </c>
      <c r="D281" s="17">
        <f>IF($B281="","",LEFT($B281,tyk_ikincilUzunluk))</f>
        <v/>
      </c>
      <c r="E281" s="17">
        <f>"A"</f>
        <v/>
      </c>
      <c r="F281" s="17">
        <f>IF($B281="","",IF(COUNTIF(tblAnahtarA[Norm],$B281)&gt;1,"EVET","HAYIR"))</f>
        <v/>
      </c>
      <c r="G281" s="17">
        <f>IF($A281="","",ROW()-ROW($A$5))</f>
        <v/>
      </c>
      <c r="I281" s="7">
        <f>IF(HAKEDIS!A281="","",HAKEDIS!A281)</f>
        <v/>
      </c>
      <c r="J281" s="17">
        <f>UPPER(TRIM(SUBSTITUTE($I281," ","")))</f>
        <v/>
      </c>
      <c r="K281" s="17">
        <f>IF($J281="",0,LEN($J281))</f>
        <v/>
      </c>
      <c r="L281" s="17">
        <f>IF($J281="","",LEFT($J281,tyk_ikincilUzunluk))</f>
        <v/>
      </c>
      <c r="M281" s="17">
        <f>"B"</f>
        <v/>
      </c>
      <c r="N281" s="17">
        <f>IF($J281="","",IF(COUNTIF(tblAnahtarB[NormB],$J281)&gt;1,"EVET","HAYIR"))</f>
        <v/>
      </c>
      <c r="O281" s="17">
        <f>IF($I281="","",ROW()-ROW($I$5))</f>
        <v/>
      </c>
    </row>
    <row r="282">
      <c r="A282" s="7">
        <f>IF(GIRDI!A282="","",GIRDI!A282)</f>
        <v/>
      </c>
      <c r="B282" s="17">
        <f>UPPER(TRIM(SUBSTITUTE($A282," ","")))</f>
        <v/>
      </c>
      <c r="C282" s="17">
        <f>IF($B282="",0,LEN($B282))</f>
        <v/>
      </c>
      <c r="D282" s="17">
        <f>IF($B282="","",LEFT($B282,tyk_ikincilUzunluk))</f>
        <v/>
      </c>
      <c r="E282" s="17">
        <f>"A"</f>
        <v/>
      </c>
      <c r="F282" s="17">
        <f>IF($B282="","",IF(COUNTIF(tblAnahtarA[Norm],$B282)&gt;1,"EVET","HAYIR"))</f>
        <v/>
      </c>
      <c r="G282" s="17">
        <f>IF($A282="","",ROW()-ROW($A$5))</f>
        <v/>
      </c>
      <c r="I282" s="7">
        <f>IF(HAKEDIS!A282="","",HAKEDIS!A282)</f>
        <v/>
      </c>
      <c r="J282" s="17">
        <f>UPPER(TRIM(SUBSTITUTE($I282," ","")))</f>
        <v/>
      </c>
      <c r="K282" s="17">
        <f>IF($J282="",0,LEN($J282))</f>
        <v/>
      </c>
      <c r="L282" s="17">
        <f>IF($J282="","",LEFT($J282,tyk_ikincilUzunluk))</f>
        <v/>
      </c>
      <c r="M282" s="17">
        <f>"B"</f>
        <v/>
      </c>
      <c r="N282" s="17">
        <f>IF($J282="","",IF(COUNTIF(tblAnahtarB[NormB],$J282)&gt;1,"EVET","HAYIR"))</f>
        <v/>
      </c>
      <c r="O282" s="17">
        <f>IF($I282="","",ROW()-ROW($I$5))</f>
        <v/>
      </c>
    </row>
    <row r="283">
      <c r="A283" s="7">
        <f>IF(GIRDI!A283="","",GIRDI!A283)</f>
        <v/>
      </c>
      <c r="B283" s="17">
        <f>UPPER(TRIM(SUBSTITUTE($A283," ","")))</f>
        <v/>
      </c>
      <c r="C283" s="17">
        <f>IF($B283="",0,LEN($B283))</f>
        <v/>
      </c>
      <c r="D283" s="17">
        <f>IF($B283="","",LEFT($B283,tyk_ikincilUzunluk))</f>
        <v/>
      </c>
      <c r="E283" s="17">
        <f>"A"</f>
        <v/>
      </c>
      <c r="F283" s="17">
        <f>IF($B283="","",IF(COUNTIF(tblAnahtarA[Norm],$B283)&gt;1,"EVET","HAYIR"))</f>
        <v/>
      </c>
      <c r="G283" s="17">
        <f>IF($A283="","",ROW()-ROW($A$5))</f>
        <v/>
      </c>
      <c r="I283" s="7">
        <f>IF(HAKEDIS!A283="","",HAKEDIS!A283)</f>
        <v/>
      </c>
      <c r="J283" s="17">
        <f>UPPER(TRIM(SUBSTITUTE($I283," ","")))</f>
        <v/>
      </c>
      <c r="K283" s="17">
        <f>IF($J283="",0,LEN($J283))</f>
        <v/>
      </c>
      <c r="L283" s="17">
        <f>IF($J283="","",LEFT($J283,tyk_ikincilUzunluk))</f>
        <v/>
      </c>
      <c r="M283" s="17">
        <f>"B"</f>
        <v/>
      </c>
      <c r="N283" s="17">
        <f>IF($J283="","",IF(COUNTIF(tblAnahtarB[NormB],$J283)&gt;1,"EVET","HAYIR"))</f>
        <v/>
      </c>
      <c r="O283" s="17">
        <f>IF($I283="","",ROW()-ROW($I$5))</f>
        <v/>
      </c>
    </row>
    <row r="284">
      <c r="A284" s="7">
        <f>IF(GIRDI!A284="","",GIRDI!A284)</f>
        <v/>
      </c>
      <c r="B284" s="17">
        <f>UPPER(TRIM(SUBSTITUTE($A284," ","")))</f>
        <v/>
      </c>
      <c r="C284" s="17">
        <f>IF($B284="",0,LEN($B284))</f>
        <v/>
      </c>
      <c r="D284" s="17">
        <f>IF($B284="","",LEFT($B284,tyk_ikincilUzunluk))</f>
        <v/>
      </c>
      <c r="E284" s="17">
        <f>"A"</f>
        <v/>
      </c>
      <c r="F284" s="17">
        <f>IF($B284="","",IF(COUNTIF(tblAnahtarA[Norm],$B284)&gt;1,"EVET","HAYIR"))</f>
        <v/>
      </c>
      <c r="G284" s="17">
        <f>IF($A284="","",ROW()-ROW($A$5))</f>
        <v/>
      </c>
      <c r="I284" s="7">
        <f>IF(HAKEDIS!A284="","",HAKEDIS!A284)</f>
        <v/>
      </c>
      <c r="J284" s="17">
        <f>UPPER(TRIM(SUBSTITUTE($I284," ","")))</f>
        <v/>
      </c>
      <c r="K284" s="17">
        <f>IF($J284="",0,LEN($J284))</f>
        <v/>
      </c>
      <c r="L284" s="17">
        <f>IF($J284="","",LEFT($J284,tyk_ikincilUzunluk))</f>
        <v/>
      </c>
      <c r="M284" s="17">
        <f>"B"</f>
        <v/>
      </c>
      <c r="N284" s="17">
        <f>IF($J284="","",IF(COUNTIF(tblAnahtarB[NormB],$J284)&gt;1,"EVET","HAYIR"))</f>
        <v/>
      </c>
      <c r="O284" s="17">
        <f>IF($I284="","",ROW()-ROW($I$5))</f>
        <v/>
      </c>
    </row>
    <row r="285">
      <c r="A285" s="7">
        <f>IF(GIRDI!A285="","",GIRDI!A285)</f>
        <v/>
      </c>
      <c r="B285" s="17">
        <f>UPPER(TRIM(SUBSTITUTE($A285," ","")))</f>
        <v/>
      </c>
      <c r="C285" s="17">
        <f>IF($B285="",0,LEN($B285))</f>
        <v/>
      </c>
      <c r="D285" s="17">
        <f>IF($B285="","",LEFT($B285,tyk_ikincilUzunluk))</f>
        <v/>
      </c>
      <c r="E285" s="17">
        <f>"A"</f>
        <v/>
      </c>
      <c r="F285" s="17">
        <f>IF($B285="","",IF(COUNTIF(tblAnahtarA[Norm],$B285)&gt;1,"EVET","HAYIR"))</f>
        <v/>
      </c>
      <c r="G285" s="17">
        <f>IF($A285="","",ROW()-ROW($A$5))</f>
        <v/>
      </c>
      <c r="I285" s="7">
        <f>IF(HAKEDIS!A285="","",HAKEDIS!A285)</f>
        <v/>
      </c>
      <c r="J285" s="17">
        <f>UPPER(TRIM(SUBSTITUTE($I285," ","")))</f>
        <v/>
      </c>
      <c r="K285" s="17">
        <f>IF($J285="",0,LEN($J285))</f>
        <v/>
      </c>
      <c r="L285" s="17">
        <f>IF($J285="","",LEFT($J285,tyk_ikincilUzunluk))</f>
        <v/>
      </c>
      <c r="M285" s="17">
        <f>"B"</f>
        <v/>
      </c>
      <c r="N285" s="17">
        <f>IF($J285="","",IF(COUNTIF(tblAnahtarB[NormB],$J285)&gt;1,"EVET","HAYIR"))</f>
        <v/>
      </c>
      <c r="O285" s="17">
        <f>IF($I285="","",ROW()-ROW($I$5))</f>
        <v/>
      </c>
    </row>
    <row r="286">
      <c r="A286" s="7">
        <f>IF(GIRDI!A286="","",GIRDI!A286)</f>
        <v/>
      </c>
      <c r="B286" s="17">
        <f>UPPER(TRIM(SUBSTITUTE($A286," ","")))</f>
        <v/>
      </c>
      <c r="C286" s="17">
        <f>IF($B286="",0,LEN($B286))</f>
        <v/>
      </c>
      <c r="D286" s="17">
        <f>IF($B286="","",LEFT($B286,tyk_ikincilUzunluk))</f>
        <v/>
      </c>
      <c r="E286" s="17">
        <f>"A"</f>
        <v/>
      </c>
      <c r="F286" s="17">
        <f>IF($B286="","",IF(COUNTIF(tblAnahtarA[Norm],$B286)&gt;1,"EVET","HAYIR"))</f>
        <v/>
      </c>
      <c r="G286" s="17">
        <f>IF($A286="","",ROW()-ROW($A$5))</f>
        <v/>
      </c>
      <c r="I286" s="7">
        <f>IF(HAKEDIS!A286="","",HAKEDIS!A286)</f>
        <v/>
      </c>
      <c r="J286" s="17">
        <f>UPPER(TRIM(SUBSTITUTE($I286," ","")))</f>
        <v/>
      </c>
      <c r="K286" s="17">
        <f>IF($J286="",0,LEN($J286))</f>
        <v/>
      </c>
      <c r="L286" s="17">
        <f>IF($J286="","",LEFT($J286,tyk_ikincilUzunluk))</f>
        <v/>
      </c>
      <c r="M286" s="17">
        <f>"B"</f>
        <v/>
      </c>
      <c r="N286" s="17">
        <f>IF($J286="","",IF(COUNTIF(tblAnahtarB[NormB],$J286)&gt;1,"EVET","HAYIR"))</f>
        <v/>
      </c>
      <c r="O286" s="17">
        <f>IF($I286="","",ROW()-ROW($I$5))</f>
        <v/>
      </c>
    </row>
    <row r="287">
      <c r="A287" s="7">
        <f>IF(GIRDI!A287="","",GIRDI!A287)</f>
        <v/>
      </c>
      <c r="B287" s="17">
        <f>UPPER(TRIM(SUBSTITUTE($A287," ","")))</f>
        <v/>
      </c>
      <c r="C287" s="17">
        <f>IF($B287="",0,LEN($B287))</f>
        <v/>
      </c>
      <c r="D287" s="17">
        <f>IF($B287="","",LEFT($B287,tyk_ikincilUzunluk))</f>
        <v/>
      </c>
      <c r="E287" s="17">
        <f>"A"</f>
        <v/>
      </c>
      <c r="F287" s="17">
        <f>IF($B287="","",IF(COUNTIF(tblAnahtarA[Norm],$B287)&gt;1,"EVET","HAYIR"))</f>
        <v/>
      </c>
      <c r="G287" s="17">
        <f>IF($A287="","",ROW()-ROW($A$5))</f>
        <v/>
      </c>
      <c r="I287" s="7">
        <f>IF(HAKEDIS!A287="","",HAKEDIS!A287)</f>
        <v/>
      </c>
      <c r="J287" s="17">
        <f>UPPER(TRIM(SUBSTITUTE($I287," ","")))</f>
        <v/>
      </c>
      <c r="K287" s="17">
        <f>IF($J287="",0,LEN($J287))</f>
        <v/>
      </c>
      <c r="L287" s="17">
        <f>IF($J287="","",LEFT($J287,tyk_ikincilUzunluk))</f>
        <v/>
      </c>
      <c r="M287" s="17">
        <f>"B"</f>
        <v/>
      </c>
      <c r="N287" s="17">
        <f>IF($J287="","",IF(COUNTIF(tblAnahtarB[NormB],$J287)&gt;1,"EVET","HAYIR"))</f>
        <v/>
      </c>
      <c r="O287" s="17">
        <f>IF($I287="","",ROW()-ROW($I$5))</f>
        <v/>
      </c>
    </row>
    <row r="288">
      <c r="A288" s="7">
        <f>IF(GIRDI!A288="","",GIRDI!A288)</f>
        <v/>
      </c>
      <c r="B288" s="17">
        <f>UPPER(TRIM(SUBSTITUTE($A288," ","")))</f>
        <v/>
      </c>
      <c r="C288" s="17">
        <f>IF($B288="",0,LEN($B288))</f>
        <v/>
      </c>
      <c r="D288" s="17">
        <f>IF($B288="","",LEFT($B288,tyk_ikincilUzunluk))</f>
        <v/>
      </c>
      <c r="E288" s="17">
        <f>"A"</f>
        <v/>
      </c>
      <c r="F288" s="17">
        <f>IF($B288="","",IF(COUNTIF(tblAnahtarA[Norm],$B288)&gt;1,"EVET","HAYIR"))</f>
        <v/>
      </c>
      <c r="G288" s="17">
        <f>IF($A288="","",ROW()-ROW($A$5))</f>
        <v/>
      </c>
      <c r="I288" s="7">
        <f>IF(HAKEDIS!A288="","",HAKEDIS!A288)</f>
        <v/>
      </c>
      <c r="J288" s="17">
        <f>UPPER(TRIM(SUBSTITUTE($I288," ","")))</f>
        <v/>
      </c>
      <c r="K288" s="17">
        <f>IF($J288="",0,LEN($J288))</f>
        <v/>
      </c>
      <c r="L288" s="17">
        <f>IF($J288="","",LEFT($J288,tyk_ikincilUzunluk))</f>
        <v/>
      </c>
      <c r="M288" s="17">
        <f>"B"</f>
        <v/>
      </c>
      <c r="N288" s="17">
        <f>IF($J288="","",IF(COUNTIF(tblAnahtarB[NormB],$J288)&gt;1,"EVET","HAYIR"))</f>
        <v/>
      </c>
      <c r="O288" s="17">
        <f>IF($I288="","",ROW()-ROW($I$5))</f>
        <v/>
      </c>
    </row>
    <row r="289">
      <c r="A289" s="7">
        <f>IF(GIRDI!A289="","",GIRDI!A289)</f>
        <v/>
      </c>
      <c r="B289" s="17">
        <f>UPPER(TRIM(SUBSTITUTE($A289," ","")))</f>
        <v/>
      </c>
      <c r="C289" s="17">
        <f>IF($B289="",0,LEN($B289))</f>
        <v/>
      </c>
      <c r="D289" s="17">
        <f>IF($B289="","",LEFT($B289,tyk_ikincilUzunluk))</f>
        <v/>
      </c>
      <c r="E289" s="17">
        <f>"A"</f>
        <v/>
      </c>
      <c r="F289" s="17">
        <f>IF($B289="","",IF(COUNTIF(tblAnahtarA[Norm],$B289)&gt;1,"EVET","HAYIR"))</f>
        <v/>
      </c>
      <c r="G289" s="17">
        <f>IF($A289="","",ROW()-ROW($A$5))</f>
        <v/>
      </c>
      <c r="I289" s="7">
        <f>IF(HAKEDIS!A289="","",HAKEDIS!A289)</f>
        <v/>
      </c>
      <c r="J289" s="17">
        <f>UPPER(TRIM(SUBSTITUTE($I289," ","")))</f>
        <v/>
      </c>
      <c r="K289" s="17">
        <f>IF($J289="",0,LEN($J289))</f>
        <v/>
      </c>
      <c r="L289" s="17">
        <f>IF($J289="","",LEFT($J289,tyk_ikincilUzunluk))</f>
        <v/>
      </c>
      <c r="M289" s="17">
        <f>"B"</f>
        <v/>
      </c>
      <c r="N289" s="17">
        <f>IF($J289="","",IF(COUNTIF(tblAnahtarB[NormB],$J289)&gt;1,"EVET","HAYIR"))</f>
        <v/>
      </c>
      <c r="O289" s="17">
        <f>IF($I289="","",ROW()-ROW($I$5))</f>
        <v/>
      </c>
    </row>
    <row r="290">
      <c r="A290" s="7">
        <f>IF(GIRDI!A290="","",GIRDI!A290)</f>
        <v/>
      </c>
      <c r="B290" s="17">
        <f>UPPER(TRIM(SUBSTITUTE($A290," ","")))</f>
        <v/>
      </c>
      <c r="C290" s="17">
        <f>IF($B290="",0,LEN($B290))</f>
        <v/>
      </c>
      <c r="D290" s="17">
        <f>IF($B290="","",LEFT($B290,tyk_ikincilUzunluk))</f>
        <v/>
      </c>
      <c r="E290" s="17">
        <f>"A"</f>
        <v/>
      </c>
      <c r="F290" s="17">
        <f>IF($B290="","",IF(COUNTIF(tblAnahtarA[Norm],$B290)&gt;1,"EVET","HAYIR"))</f>
        <v/>
      </c>
      <c r="G290" s="17">
        <f>IF($A290="","",ROW()-ROW($A$5))</f>
        <v/>
      </c>
      <c r="I290" s="7">
        <f>IF(HAKEDIS!A290="","",HAKEDIS!A290)</f>
        <v/>
      </c>
      <c r="J290" s="17">
        <f>UPPER(TRIM(SUBSTITUTE($I290," ","")))</f>
        <v/>
      </c>
      <c r="K290" s="17">
        <f>IF($J290="",0,LEN($J290))</f>
        <v/>
      </c>
      <c r="L290" s="17">
        <f>IF($J290="","",LEFT($J290,tyk_ikincilUzunluk))</f>
        <v/>
      </c>
      <c r="M290" s="17">
        <f>"B"</f>
        <v/>
      </c>
      <c r="N290" s="17">
        <f>IF($J290="","",IF(COUNTIF(tblAnahtarB[NormB],$J290)&gt;1,"EVET","HAYIR"))</f>
        <v/>
      </c>
      <c r="O290" s="17">
        <f>IF($I290="","",ROW()-ROW($I$5))</f>
        <v/>
      </c>
    </row>
    <row r="291">
      <c r="A291" s="7">
        <f>IF(GIRDI!A291="","",GIRDI!A291)</f>
        <v/>
      </c>
      <c r="B291" s="17">
        <f>UPPER(TRIM(SUBSTITUTE($A291," ","")))</f>
        <v/>
      </c>
      <c r="C291" s="17">
        <f>IF($B291="",0,LEN($B291))</f>
        <v/>
      </c>
      <c r="D291" s="17">
        <f>IF($B291="","",LEFT($B291,tyk_ikincilUzunluk))</f>
        <v/>
      </c>
      <c r="E291" s="17">
        <f>"A"</f>
        <v/>
      </c>
      <c r="F291" s="17">
        <f>IF($B291="","",IF(COUNTIF(tblAnahtarA[Norm],$B291)&gt;1,"EVET","HAYIR"))</f>
        <v/>
      </c>
      <c r="G291" s="17">
        <f>IF($A291="","",ROW()-ROW($A$5))</f>
        <v/>
      </c>
      <c r="I291" s="7">
        <f>IF(HAKEDIS!A291="","",HAKEDIS!A291)</f>
        <v/>
      </c>
      <c r="J291" s="17">
        <f>UPPER(TRIM(SUBSTITUTE($I291," ","")))</f>
        <v/>
      </c>
      <c r="K291" s="17">
        <f>IF($J291="",0,LEN($J291))</f>
        <v/>
      </c>
      <c r="L291" s="17">
        <f>IF($J291="","",LEFT($J291,tyk_ikincilUzunluk))</f>
        <v/>
      </c>
      <c r="M291" s="17">
        <f>"B"</f>
        <v/>
      </c>
      <c r="N291" s="17">
        <f>IF($J291="","",IF(COUNTIF(tblAnahtarB[NormB],$J291)&gt;1,"EVET","HAYIR"))</f>
        <v/>
      </c>
      <c r="O291" s="17">
        <f>IF($I291="","",ROW()-ROW($I$5))</f>
        <v/>
      </c>
    </row>
    <row r="292">
      <c r="A292" s="7">
        <f>IF(GIRDI!A292="","",GIRDI!A292)</f>
        <v/>
      </c>
      <c r="B292" s="17">
        <f>UPPER(TRIM(SUBSTITUTE($A292," ","")))</f>
        <v/>
      </c>
      <c r="C292" s="17">
        <f>IF($B292="",0,LEN($B292))</f>
        <v/>
      </c>
      <c r="D292" s="17">
        <f>IF($B292="","",LEFT($B292,tyk_ikincilUzunluk))</f>
        <v/>
      </c>
      <c r="E292" s="17">
        <f>"A"</f>
        <v/>
      </c>
      <c r="F292" s="17">
        <f>IF($B292="","",IF(COUNTIF(tblAnahtarA[Norm],$B292)&gt;1,"EVET","HAYIR"))</f>
        <v/>
      </c>
      <c r="G292" s="17">
        <f>IF($A292="","",ROW()-ROW($A$5))</f>
        <v/>
      </c>
      <c r="I292" s="7">
        <f>IF(HAKEDIS!A292="","",HAKEDIS!A292)</f>
        <v/>
      </c>
      <c r="J292" s="17">
        <f>UPPER(TRIM(SUBSTITUTE($I292," ","")))</f>
        <v/>
      </c>
      <c r="K292" s="17">
        <f>IF($J292="",0,LEN($J292))</f>
        <v/>
      </c>
      <c r="L292" s="17">
        <f>IF($J292="","",LEFT($J292,tyk_ikincilUzunluk))</f>
        <v/>
      </c>
      <c r="M292" s="17">
        <f>"B"</f>
        <v/>
      </c>
      <c r="N292" s="17">
        <f>IF($J292="","",IF(COUNTIF(tblAnahtarB[NormB],$J292)&gt;1,"EVET","HAYIR"))</f>
        <v/>
      </c>
      <c r="O292" s="17">
        <f>IF($I292="","",ROW()-ROW($I$5))</f>
        <v/>
      </c>
    </row>
    <row r="293">
      <c r="A293" s="7">
        <f>IF(GIRDI!A293="","",GIRDI!A293)</f>
        <v/>
      </c>
      <c r="B293" s="17">
        <f>UPPER(TRIM(SUBSTITUTE($A293," ","")))</f>
        <v/>
      </c>
      <c r="C293" s="17">
        <f>IF($B293="",0,LEN($B293))</f>
        <v/>
      </c>
      <c r="D293" s="17">
        <f>IF($B293="","",LEFT($B293,tyk_ikincilUzunluk))</f>
        <v/>
      </c>
      <c r="E293" s="17">
        <f>"A"</f>
        <v/>
      </c>
      <c r="F293" s="17">
        <f>IF($B293="","",IF(COUNTIF(tblAnahtarA[Norm],$B293)&gt;1,"EVET","HAYIR"))</f>
        <v/>
      </c>
      <c r="G293" s="17">
        <f>IF($A293="","",ROW()-ROW($A$5))</f>
        <v/>
      </c>
      <c r="I293" s="7">
        <f>IF(HAKEDIS!A293="","",HAKEDIS!A293)</f>
        <v/>
      </c>
      <c r="J293" s="17">
        <f>UPPER(TRIM(SUBSTITUTE($I293," ","")))</f>
        <v/>
      </c>
      <c r="K293" s="17">
        <f>IF($J293="",0,LEN($J293))</f>
        <v/>
      </c>
      <c r="L293" s="17">
        <f>IF($J293="","",LEFT($J293,tyk_ikincilUzunluk))</f>
        <v/>
      </c>
      <c r="M293" s="17">
        <f>"B"</f>
        <v/>
      </c>
      <c r="N293" s="17">
        <f>IF($J293="","",IF(COUNTIF(tblAnahtarB[NormB],$J293)&gt;1,"EVET","HAYIR"))</f>
        <v/>
      </c>
      <c r="O293" s="17">
        <f>IF($I293="","",ROW()-ROW($I$5))</f>
        <v/>
      </c>
    </row>
    <row r="294">
      <c r="A294" s="7">
        <f>IF(GIRDI!A294="","",GIRDI!A294)</f>
        <v/>
      </c>
      <c r="B294" s="17">
        <f>UPPER(TRIM(SUBSTITUTE($A294," ","")))</f>
        <v/>
      </c>
      <c r="C294" s="17">
        <f>IF($B294="",0,LEN($B294))</f>
        <v/>
      </c>
      <c r="D294" s="17">
        <f>IF($B294="","",LEFT($B294,tyk_ikincilUzunluk))</f>
        <v/>
      </c>
      <c r="E294" s="17">
        <f>"A"</f>
        <v/>
      </c>
      <c r="F294" s="17">
        <f>IF($B294="","",IF(COUNTIF(tblAnahtarA[Norm],$B294)&gt;1,"EVET","HAYIR"))</f>
        <v/>
      </c>
      <c r="G294" s="17">
        <f>IF($A294="","",ROW()-ROW($A$5))</f>
        <v/>
      </c>
      <c r="I294" s="7">
        <f>IF(HAKEDIS!A294="","",HAKEDIS!A294)</f>
        <v/>
      </c>
      <c r="J294" s="17">
        <f>UPPER(TRIM(SUBSTITUTE($I294," ","")))</f>
        <v/>
      </c>
      <c r="K294" s="17">
        <f>IF($J294="",0,LEN($J294))</f>
        <v/>
      </c>
      <c r="L294" s="17">
        <f>IF($J294="","",LEFT($J294,tyk_ikincilUzunluk))</f>
        <v/>
      </c>
      <c r="M294" s="17">
        <f>"B"</f>
        <v/>
      </c>
      <c r="N294" s="17">
        <f>IF($J294="","",IF(COUNTIF(tblAnahtarB[NormB],$J294)&gt;1,"EVET","HAYIR"))</f>
        <v/>
      </c>
      <c r="O294" s="17">
        <f>IF($I294="","",ROW()-ROW($I$5))</f>
        <v/>
      </c>
    </row>
    <row r="295">
      <c r="A295" s="7">
        <f>IF(GIRDI!A295="","",GIRDI!A295)</f>
        <v/>
      </c>
      <c r="B295" s="17">
        <f>UPPER(TRIM(SUBSTITUTE($A295," ","")))</f>
        <v/>
      </c>
      <c r="C295" s="17">
        <f>IF($B295="",0,LEN($B295))</f>
        <v/>
      </c>
      <c r="D295" s="17">
        <f>IF($B295="","",LEFT($B295,tyk_ikincilUzunluk))</f>
        <v/>
      </c>
      <c r="E295" s="17">
        <f>"A"</f>
        <v/>
      </c>
      <c r="F295" s="17">
        <f>IF($B295="","",IF(COUNTIF(tblAnahtarA[Norm],$B295)&gt;1,"EVET","HAYIR"))</f>
        <v/>
      </c>
      <c r="G295" s="17">
        <f>IF($A295="","",ROW()-ROW($A$5))</f>
        <v/>
      </c>
      <c r="I295" s="7">
        <f>IF(HAKEDIS!A295="","",HAKEDIS!A295)</f>
        <v/>
      </c>
      <c r="J295" s="17">
        <f>UPPER(TRIM(SUBSTITUTE($I295," ","")))</f>
        <v/>
      </c>
      <c r="K295" s="17">
        <f>IF($J295="",0,LEN($J295))</f>
        <v/>
      </c>
      <c r="L295" s="17">
        <f>IF($J295="","",LEFT($J295,tyk_ikincilUzunluk))</f>
        <v/>
      </c>
      <c r="M295" s="17">
        <f>"B"</f>
        <v/>
      </c>
      <c r="N295" s="17">
        <f>IF($J295="","",IF(COUNTIF(tblAnahtarB[NormB],$J295)&gt;1,"EVET","HAYIR"))</f>
        <v/>
      </c>
      <c r="O295" s="17">
        <f>IF($I295="","",ROW()-ROW($I$5))</f>
        <v/>
      </c>
    </row>
    <row r="296">
      <c r="A296" s="7">
        <f>IF(GIRDI!A296="","",GIRDI!A296)</f>
        <v/>
      </c>
      <c r="B296" s="17">
        <f>UPPER(TRIM(SUBSTITUTE($A296," ","")))</f>
        <v/>
      </c>
      <c r="C296" s="17">
        <f>IF($B296="",0,LEN($B296))</f>
        <v/>
      </c>
      <c r="D296" s="17">
        <f>IF($B296="","",LEFT($B296,tyk_ikincilUzunluk))</f>
        <v/>
      </c>
      <c r="E296" s="17">
        <f>"A"</f>
        <v/>
      </c>
      <c r="F296" s="17">
        <f>IF($B296="","",IF(COUNTIF(tblAnahtarA[Norm],$B296)&gt;1,"EVET","HAYIR"))</f>
        <v/>
      </c>
      <c r="G296" s="17">
        <f>IF($A296="","",ROW()-ROW($A$5))</f>
        <v/>
      </c>
      <c r="I296" s="7">
        <f>IF(HAKEDIS!A296="","",HAKEDIS!A296)</f>
        <v/>
      </c>
      <c r="J296" s="17">
        <f>UPPER(TRIM(SUBSTITUTE($I296," ","")))</f>
        <v/>
      </c>
      <c r="K296" s="17">
        <f>IF($J296="",0,LEN($J296))</f>
        <v/>
      </c>
      <c r="L296" s="17">
        <f>IF($J296="","",LEFT($J296,tyk_ikincilUzunluk))</f>
        <v/>
      </c>
      <c r="M296" s="17">
        <f>"B"</f>
        <v/>
      </c>
      <c r="N296" s="17">
        <f>IF($J296="","",IF(COUNTIF(tblAnahtarB[NormB],$J296)&gt;1,"EVET","HAYIR"))</f>
        <v/>
      </c>
      <c r="O296" s="17">
        <f>IF($I296="","",ROW()-ROW($I$5))</f>
        <v/>
      </c>
    </row>
    <row r="297">
      <c r="A297" s="7">
        <f>IF(GIRDI!A297="","",GIRDI!A297)</f>
        <v/>
      </c>
      <c r="B297" s="17">
        <f>UPPER(TRIM(SUBSTITUTE($A297," ","")))</f>
        <v/>
      </c>
      <c r="C297" s="17">
        <f>IF($B297="",0,LEN($B297))</f>
        <v/>
      </c>
      <c r="D297" s="17">
        <f>IF($B297="","",LEFT($B297,tyk_ikincilUzunluk))</f>
        <v/>
      </c>
      <c r="E297" s="17">
        <f>"A"</f>
        <v/>
      </c>
      <c r="F297" s="17">
        <f>IF($B297="","",IF(COUNTIF(tblAnahtarA[Norm],$B297)&gt;1,"EVET","HAYIR"))</f>
        <v/>
      </c>
      <c r="G297" s="17">
        <f>IF($A297="","",ROW()-ROW($A$5))</f>
        <v/>
      </c>
      <c r="I297" s="7">
        <f>IF(HAKEDIS!A297="","",HAKEDIS!A297)</f>
        <v/>
      </c>
      <c r="J297" s="17">
        <f>UPPER(TRIM(SUBSTITUTE($I297," ","")))</f>
        <v/>
      </c>
      <c r="K297" s="17">
        <f>IF($J297="",0,LEN($J297))</f>
        <v/>
      </c>
      <c r="L297" s="17">
        <f>IF($J297="","",LEFT($J297,tyk_ikincilUzunluk))</f>
        <v/>
      </c>
      <c r="M297" s="17">
        <f>"B"</f>
        <v/>
      </c>
      <c r="N297" s="17">
        <f>IF($J297="","",IF(COUNTIF(tblAnahtarB[NormB],$J297)&gt;1,"EVET","HAYIR"))</f>
        <v/>
      </c>
      <c r="O297" s="17">
        <f>IF($I297="","",ROW()-ROW($I$5))</f>
        <v/>
      </c>
    </row>
    <row r="298">
      <c r="A298" s="7">
        <f>IF(GIRDI!A298="","",GIRDI!A298)</f>
        <v/>
      </c>
      <c r="B298" s="17">
        <f>UPPER(TRIM(SUBSTITUTE($A298," ","")))</f>
        <v/>
      </c>
      <c r="C298" s="17">
        <f>IF($B298="",0,LEN($B298))</f>
        <v/>
      </c>
      <c r="D298" s="17">
        <f>IF($B298="","",LEFT($B298,tyk_ikincilUzunluk))</f>
        <v/>
      </c>
      <c r="E298" s="17">
        <f>"A"</f>
        <v/>
      </c>
      <c r="F298" s="17">
        <f>IF($B298="","",IF(COUNTIF(tblAnahtarA[Norm],$B298)&gt;1,"EVET","HAYIR"))</f>
        <v/>
      </c>
      <c r="G298" s="17">
        <f>IF($A298="","",ROW()-ROW($A$5))</f>
        <v/>
      </c>
      <c r="I298" s="7">
        <f>IF(HAKEDIS!A298="","",HAKEDIS!A298)</f>
        <v/>
      </c>
      <c r="J298" s="17">
        <f>UPPER(TRIM(SUBSTITUTE($I298," ","")))</f>
        <v/>
      </c>
      <c r="K298" s="17">
        <f>IF($J298="",0,LEN($J298))</f>
        <v/>
      </c>
      <c r="L298" s="17">
        <f>IF($J298="","",LEFT($J298,tyk_ikincilUzunluk))</f>
        <v/>
      </c>
      <c r="M298" s="17">
        <f>"B"</f>
        <v/>
      </c>
      <c r="N298" s="17">
        <f>IF($J298="","",IF(COUNTIF(tblAnahtarB[NormB],$J298)&gt;1,"EVET","HAYIR"))</f>
        <v/>
      </c>
      <c r="O298" s="17">
        <f>IF($I298="","",ROW()-ROW($I$5))</f>
        <v/>
      </c>
    </row>
    <row r="299">
      <c r="A299" s="7">
        <f>IF(GIRDI!A299="","",GIRDI!A299)</f>
        <v/>
      </c>
      <c r="B299" s="17">
        <f>UPPER(TRIM(SUBSTITUTE($A299," ","")))</f>
        <v/>
      </c>
      <c r="C299" s="17">
        <f>IF($B299="",0,LEN($B299))</f>
        <v/>
      </c>
      <c r="D299" s="17">
        <f>IF($B299="","",LEFT($B299,tyk_ikincilUzunluk))</f>
        <v/>
      </c>
      <c r="E299" s="17">
        <f>"A"</f>
        <v/>
      </c>
      <c r="F299" s="17">
        <f>IF($B299="","",IF(COUNTIF(tblAnahtarA[Norm],$B299)&gt;1,"EVET","HAYIR"))</f>
        <v/>
      </c>
      <c r="G299" s="17">
        <f>IF($A299="","",ROW()-ROW($A$5))</f>
        <v/>
      </c>
      <c r="I299" s="7">
        <f>IF(HAKEDIS!A299="","",HAKEDIS!A299)</f>
        <v/>
      </c>
      <c r="J299" s="17">
        <f>UPPER(TRIM(SUBSTITUTE($I299," ","")))</f>
        <v/>
      </c>
      <c r="K299" s="17">
        <f>IF($J299="",0,LEN($J299))</f>
        <v/>
      </c>
      <c r="L299" s="17">
        <f>IF($J299="","",LEFT($J299,tyk_ikincilUzunluk))</f>
        <v/>
      </c>
      <c r="M299" s="17">
        <f>"B"</f>
        <v/>
      </c>
      <c r="N299" s="17">
        <f>IF($J299="","",IF(COUNTIF(tblAnahtarB[NormB],$J299)&gt;1,"EVET","HAYIR"))</f>
        <v/>
      </c>
      <c r="O299" s="17">
        <f>IF($I299="","",ROW()-ROW($I$5))</f>
        <v/>
      </c>
    </row>
    <row r="300">
      <c r="A300" s="7">
        <f>IF(GIRDI!A300="","",GIRDI!A300)</f>
        <v/>
      </c>
      <c r="B300" s="17">
        <f>UPPER(TRIM(SUBSTITUTE($A300," ","")))</f>
        <v/>
      </c>
      <c r="C300" s="17">
        <f>IF($B300="",0,LEN($B300))</f>
        <v/>
      </c>
      <c r="D300" s="17">
        <f>IF($B300="","",LEFT($B300,tyk_ikincilUzunluk))</f>
        <v/>
      </c>
      <c r="E300" s="17">
        <f>"A"</f>
        <v/>
      </c>
      <c r="F300" s="17">
        <f>IF($B300="","",IF(COUNTIF(tblAnahtarA[Norm],$B300)&gt;1,"EVET","HAYIR"))</f>
        <v/>
      </c>
      <c r="G300" s="17">
        <f>IF($A300="","",ROW()-ROW($A$5))</f>
        <v/>
      </c>
      <c r="I300" s="7">
        <f>IF(HAKEDIS!A300="","",HAKEDIS!A300)</f>
        <v/>
      </c>
      <c r="J300" s="17">
        <f>UPPER(TRIM(SUBSTITUTE($I300," ","")))</f>
        <v/>
      </c>
      <c r="K300" s="17">
        <f>IF($J300="",0,LEN($J300))</f>
        <v/>
      </c>
      <c r="L300" s="17">
        <f>IF($J300="","",LEFT($J300,tyk_ikincilUzunluk))</f>
        <v/>
      </c>
      <c r="M300" s="17">
        <f>"B"</f>
        <v/>
      </c>
      <c r="N300" s="17">
        <f>IF($J300="","",IF(COUNTIF(tblAnahtarB[NormB],$J300)&gt;1,"EVET","HAYIR"))</f>
        <v/>
      </c>
      <c r="O300" s="17">
        <f>IF($I300="","",ROW()-ROW($I$5))</f>
        <v/>
      </c>
    </row>
    <row r="301">
      <c r="A301" s="7">
        <f>IF(GIRDI!A301="","",GIRDI!A301)</f>
        <v/>
      </c>
      <c r="B301" s="17">
        <f>UPPER(TRIM(SUBSTITUTE($A301," ","")))</f>
        <v/>
      </c>
      <c r="C301" s="17">
        <f>IF($B301="",0,LEN($B301))</f>
        <v/>
      </c>
      <c r="D301" s="17">
        <f>IF($B301="","",LEFT($B301,tyk_ikincilUzunluk))</f>
        <v/>
      </c>
      <c r="E301" s="17">
        <f>"A"</f>
        <v/>
      </c>
      <c r="F301" s="17">
        <f>IF($B301="","",IF(COUNTIF(tblAnahtarA[Norm],$B301)&gt;1,"EVET","HAYIR"))</f>
        <v/>
      </c>
      <c r="G301" s="17">
        <f>IF($A301="","",ROW()-ROW($A$5))</f>
        <v/>
      </c>
      <c r="I301" s="7">
        <f>IF(HAKEDIS!A301="","",HAKEDIS!A301)</f>
        <v/>
      </c>
      <c r="J301" s="17">
        <f>UPPER(TRIM(SUBSTITUTE($I301," ","")))</f>
        <v/>
      </c>
      <c r="K301" s="17">
        <f>IF($J301="",0,LEN($J301))</f>
        <v/>
      </c>
      <c r="L301" s="17">
        <f>IF($J301="","",LEFT($J301,tyk_ikincilUzunluk))</f>
        <v/>
      </c>
      <c r="M301" s="17">
        <f>"B"</f>
        <v/>
      </c>
      <c r="N301" s="17">
        <f>IF($J301="","",IF(COUNTIF(tblAnahtarB[NormB],$J301)&gt;1,"EVET","HAYIR"))</f>
        <v/>
      </c>
      <c r="O301" s="17">
        <f>IF($I301="","",ROW()-ROW($I$5))</f>
        <v/>
      </c>
    </row>
    <row r="302">
      <c r="A302" s="7">
        <f>IF(GIRDI!A302="","",GIRDI!A302)</f>
        <v/>
      </c>
      <c r="B302" s="17">
        <f>UPPER(TRIM(SUBSTITUTE($A302," ","")))</f>
        <v/>
      </c>
      <c r="C302" s="17">
        <f>IF($B302="",0,LEN($B302))</f>
        <v/>
      </c>
      <c r="D302" s="17">
        <f>IF($B302="","",LEFT($B302,tyk_ikincilUzunluk))</f>
        <v/>
      </c>
      <c r="E302" s="17">
        <f>"A"</f>
        <v/>
      </c>
      <c r="F302" s="17">
        <f>IF($B302="","",IF(COUNTIF(tblAnahtarA[Norm],$B302)&gt;1,"EVET","HAYIR"))</f>
        <v/>
      </c>
      <c r="G302" s="17">
        <f>IF($A302="","",ROW()-ROW($A$5))</f>
        <v/>
      </c>
      <c r="I302" s="7">
        <f>IF(HAKEDIS!A302="","",HAKEDIS!A302)</f>
        <v/>
      </c>
      <c r="J302" s="17">
        <f>UPPER(TRIM(SUBSTITUTE($I302," ","")))</f>
        <v/>
      </c>
      <c r="K302" s="17">
        <f>IF($J302="",0,LEN($J302))</f>
        <v/>
      </c>
      <c r="L302" s="17">
        <f>IF($J302="","",LEFT($J302,tyk_ikincilUzunluk))</f>
        <v/>
      </c>
      <c r="M302" s="17">
        <f>"B"</f>
        <v/>
      </c>
      <c r="N302" s="17">
        <f>IF($J302="","",IF(COUNTIF(tblAnahtarB[NormB],$J302)&gt;1,"EVET","HAYIR"))</f>
        <v/>
      </c>
      <c r="O302" s="17">
        <f>IF($I302="","",ROW()-ROW($I$5))</f>
        <v/>
      </c>
    </row>
    <row r="303">
      <c r="A303" s="7">
        <f>IF(GIRDI!A303="","",GIRDI!A303)</f>
        <v/>
      </c>
      <c r="B303" s="17">
        <f>UPPER(TRIM(SUBSTITUTE($A303," ","")))</f>
        <v/>
      </c>
      <c r="C303" s="17">
        <f>IF($B303="",0,LEN($B303))</f>
        <v/>
      </c>
      <c r="D303" s="17">
        <f>IF($B303="","",LEFT($B303,tyk_ikincilUzunluk))</f>
        <v/>
      </c>
      <c r="E303" s="17">
        <f>"A"</f>
        <v/>
      </c>
      <c r="F303" s="17">
        <f>IF($B303="","",IF(COUNTIF(tblAnahtarA[Norm],$B303)&gt;1,"EVET","HAYIR"))</f>
        <v/>
      </c>
      <c r="G303" s="17">
        <f>IF($A303="","",ROW()-ROW($A$5))</f>
        <v/>
      </c>
      <c r="I303" s="7">
        <f>IF(HAKEDIS!A303="","",HAKEDIS!A303)</f>
        <v/>
      </c>
      <c r="J303" s="17">
        <f>UPPER(TRIM(SUBSTITUTE($I303," ","")))</f>
        <v/>
      </c>
      <c r="K303" s="17">
        <f>IF($J303="",0,LEN($J303))</f>
        <v/>
      </c>
      <c r="L303" s="17">
        <f>IF($J303="","",LEFT($J303,tyk_ikincilUzunluk))</f>
        <v/>
      </c>
      <c r="M303" s="17">
        <f>"B"</f>
        <v/>
      </c>
      <c r="N303" s="17">
        <f>IF($J303="","",IF(COUNTIF(tblAnahtarB[NormB],$J303)&gt;1,"EVET","HAYIR"))</f>
        <v/>
      </c>
      <c r="O303" s="17">
        <f>IF($I303="","",ROW()-ROW($I$5))</f>
        <v/>
      </c>
    </row>
    <row r="304">
      <c r="A304" s="7">
        <f>IF(GIRDI!A304="","",GIRDI!A304)</f>
        <v/>
      </c>
      <c r="B304" s="17">
        <f>UPPER(TRIM(SUBSTITUTE($A304," ","")))</f>
        <v/>
      </c>
      <c r="C304" s="17">
        <f>IF($B304="",0,LEN($B304))</f>
        <v/>
      </c>
      <c r="D304" s="17">
        <f>IF($B304="","",LEFT($B304,tyk_ikincilUzunluk))</f>
        <v/>
      </c>
      <c r="E304" s="17">
        <f>"A"</f>
        <v/>
      </c>
      <c r="F304" s="17">
        <f>IF($B304="","",IF(COUNTIF(tblAnahtarA[Norm],$B304)&gt;1,"EVET","HAYIR"))</f>
        <v/>
      </c>
      <c r="G304" s="17">
        <f>IF($A304="","",ROW()-ROW($A$5))</f>
        <v/>
      </c>
      <c r="I304" s="7">
        <f>IF(HAKEDIS!A304="","",HAKEDIS!A304)</f>
        <v/>
      </c>
      <c r="J304" s="17">
        <f>UPPER(TRIM(SUBSTITUTE($I304," ","")))</f>
        <v/>
      </c>
      <c r="K304" s="17">
        <f>IF($J304="",0,LEN($J304))</f>
        <v/>
      </c>
      <c r="L304" s="17">
        <f>IF($J304="","",LEFT($J304,tyk_ikincilUzunluk))</f>
        <v/>
      </c>
      <c r="M304" s="17">
        <f>"B"</f>
        <v/>
      </c>
      <c r="N304" s="17">
        <f>IF($J304="","",IF(COUNTIF(tblAnahtarB[NormB],$J304)&gt;1,"EVET","HAYIR"))</f>
        <v/>
      </c>
      <c r="O304" s="17">
        <f>IF($I304="","",ROW()-ROW($I$5))</f>
        <v/>
      </c>
    </row>
    <row r="305">
      <c r="A305" s="7">
        <f>IF(GIRDI!A305="","",GIRDI!A305)</f>
        <v/>
      </c>
      <c r="B305" s="17">
        <f>UPPER(TRIM(SUBSTITUTE($A305," ","")))</f>
        <v/>
      </c>
      <c r="C305" s="17">
        <f>IF($B305="",0,LEN($B305))</f>
        <v/>
      </c>
      <c r="D305" s="17">
        <f>IF($B305="","",LEFT($B305,tyk_ikincilUzunluk))</f>
        <v/>
      </c>
      <c r="E305" s="17">
        <f>"A"</f>
        <v/>
      </c>
      <c r="F305" s="17">
        <f>IF($B305="","",IF(COUNTIF(tblAnahtarA[Norm],$B305)&gt;1,"EVET","HAYIR"))</f>
        <v/>
      </c>
      <c r="G305" s="17">
        <f>IF($A305="","",ROW()-ROW($A$5))</f>
        <v/>
      </c>
      <c r="I305" s="7">
        <f>IF(HAKEDIS!A305="","",HAKEDIS!A305)</f>
        <v/>
      </c>
      <c r="J305" s="17">
        <f>UPPER(TRIM(SUBSTITUTE($I305," ","")))</f>
        <v/>
      </c>
      <c r="K305" s="17">
        <f>IF($J305="",0,LEN($J305))</f>
        <v/>
      </c>
      <c r="L305" s="17">
        <f>IF($J305="","",LEFT($J305,tyk_ikincilUzunluk))</f>
        <v/>
      </c>
      <c r="M305" s="17">
        <f>"B"</f>
        <v/>
      </c>
      <c r="N305" s="17">
        <f>IF($J305="","",IF(COUNTIF(tblAnahtarB[NormB],$J305)&gt;1,"EVET","HAYIR"))</f>
        <v/>
      </c>
      <c r="O305" s="17">
        <f>IF($I305="","",ROW()-ROW($I$5))</f>
        <v/>
      </c>
    </row>
    <row r="306">
      <c r="A306" s="7">
        <f>IF(GIRDI!A306="","",GIRDI!A306)</f>
        <v/>
      </c>
      <c r="B306" s="17">
        <f>UPPER(TRIM(SUBSTITUTE($A306," ","")))</f>
        <v/>
      </c>
      <c r="C306" s="17">
        <f>IF($B306="",0,LEN($B306))</f>
        <v/>
      </c>
      <c r="D306" s="17">
        <f>IF($B306="","",LEFT($B306,tyk_ikincilUzunluk))</f>
        <v/>
      </c>
      <c r="E306" s="17">
        <f>"A"</f>
        <v/>
      </c>
      <c r="F306" s="17">
        <f>IF($B306="","",IF(COUNTIF(tblAnahtarA[Norm],$B306)&gt;1,"EVET","HAYIR"))</f>
        <v/>
      </c>
      <c r="G306" s="17">
        <f>IF($A306="","",ROW()-ROW($A$5))</f>
        <v/>
      </c>
      <c r="I306" s="7">
        <f>IF(HAKEDIS!A306="","",HAKEDIS!A306)</f>
        <v/>
      </c>
      <c r="J306" s="17">
        <f>UPPER(TRIM(SUBSTITUTE($I306," ","")))</f>
        <v/>
      </c>
      <c r="K306" s="17">
        <f>IF($J306="",0,LEN($J306))</f>
        <v/>
      </c>
      <c r="L306" s="17">
        <f>IF($J306="","",LEFT($J306,tyk_ikincilUzunluk))</f>
        <v/>
      </c>
      <c r="M306" s="17">
        <f>"B"</f>
        <v/>
      </c>
      <c r="N306" s="17">
        <f>IF($J306="","",IF(COUNTIF(tblAnahtarB[NormB],$J306)&gt;1,"EVET","HAYIR"))</f>
        <v/>
      </c>
      <c r="O306" s="17">
        <f>IF($I306="","",ROW()-ROW($I$5))</f>
        <v/>
      </c>
    </row>
    <row r="307">
      <c r="A307" s="7">
        <f>IF(GIRDI!A307="","",GIRDI!A307)</f>
        <v/>
      </c>
      <c r="B307" s="17">
        <f>UPPER(TRIM(SUBSTITUTE($A307," ","")))</f>
        <v/>
      </c>
      <c r="C307" s="17">
        <f>IF($B307="",0,LEN($B307))</f>
        <v/>
      </c>
      <c r="D307" s="17">
        <f>IF($B307="","",LEFT($B307,tyk_ikincilUzunluk))</f>
        <v/>
      </c>
      <c r="E307" s="17">
        <f>"A"</f>
        <v/>
      </c>
      <c r="F307" s="17">
        <f>IF($B307="","",IF(COUNTIF(tblAnahtarA[Norm],$B307)&gt;1,"EVET","HAYIR"))</f>
        <v/>
      </c>
      <c r="G307" s="17">
        <f>IF($A307="","",ROW()-ROW($A$5))</f>
        <v/>
      </c>
      <c r="I307" s="7">
        <f>IF(HAKEDIS!A307="","",HAKEDIS!A307)</f>
        <v/>
      </c>
      <c r="J307" s="17">
        <f>UPPER(TRIM(SUBSTITUTE($I307," ","")))</f>
        <v/>
      </c>
      <c r="K307" s="17">
        <f>IF($J307="",0,LEN($J307))</f>
        <v/>
      </c>
      <c r="L307" s="17">
        <f>IF($J307="","",LEFT($J307,tyk_ikincilUzunluk))</f>
        <v/>
      </c>
      <c r="M307" s="17">
        <f>"B"</f>
        <v/>
      </c>
      <c r="N307" s="17">
        <f>IF($J307="","",IF(COUNTIF(tblAnahtarB[NormB],$J307)&gt;1,"EVET","HAYIR"))</f>
        <v/>
      </c>
      <c r="O307" s="17">
        <f>IF($I307="","",ROW()-ROW($I$5))</f>
        <v/>
      </c>
    </row>
    <row r="308">
      <c r="A308" s="7">
        <f>IF(GIRDI!A308="","",GIRDI!A308)</f>
        <v/>
      </c>
      <c r="B308" s="17">
        <f>UPPER(TRIM(SUBSTITUTE($A308," ","")))</f>
        <v/>
      </c>
      <c r="C308" s="17">
        <f>IF($B308="",0,LEN($B308))</f>
        <v/>
      </c>
      <c r="D308" s="17">
        <f>IF($B308="","",LEFT($B308,tyk_ikincilUzunluk))</f>
        <v/>
      </c>
      <c r="E308" s="17">
        <f>"A"</f>
        <v/>
      </c>
      <c r="F308" s="17">
        <f>IF($B308="","",IF(COUNTIF(tblAnahtarA[Norm],$B308)&gt;1,"EVET","HAYIR"))</f>
        <v/>
      </c>
      <c r="G308" s="17">
        <f>IF($A308="","",ROW()-ROW($A$5))</f>
        <v/>
      </c>
      <c r="I308" s="7">
        <f>IF(HAKEDIS!A308="","",HAKEDIS!A308)</f>
        <v/>
      </c>
      <c r="J308" s="17">
        <f>UPPER(TRIM(SUBSTITUTE($I308," ","")))</f>
        <v/>
      </c>
      <c r="K308" s="17">
        <f>IF($J308="",0,LEN($J308))</f>
        <v/>
      </c>
      <c r="L308" s="17">
        <f>IF($J308="","",LEFT($J308,tyk_ikincilUzunluk))</f>
        <v/>
      </c>
      <c r="M308" s="17">
        <f>"B"</f>
        <v/>
      </c>
      <c r="N308" s="17">
        <f>IF($J308="","",IF(COUNTIF(tblAnahtarB[NormB],$J308)&gt;1,"EVET","HAYIR"))</f>
        <v/>
      </c>
      <c r="O308" s="17">
        <f>IF($I308="","",ROW()-ROW($I$5))</f>
        <v/>
      </c>
    </row>
    <row r="309">
      <c r="A309" s="7">
        <f>IF(GIRDI!A309="","",GIRDI!A309)</f>
        <v/>
      </c>
      <c r="B309" s="17">
        <f>UPPER(TRIM(SUBSTITUTE($A309," ","")))</f>
        <v/>
      </c>
      <c r="C309" s="17">
        <f>IF($B309="",0,LEN($B309))</f>
        <v/>
      </c>
      <c r="D309" s="17">
        <f>IF($B309="","",LEFT($B309,tyk_ikincilUzunluk))</f>
        <v/>
      </c>
      <c r="E309" s="17">
        <f>"A"</f>
        <v/>
      </c>
      <c r="F309" s="17">
        <f>IF($B309="","",IF(COUNTIF(tblAnahtarA[Norm],$B309)&gt;1,"EVET","HAYIR"))</f>
        <v/>
      </c>
      <c r="G309" s="17">
        <f>IF($A309="","",ROW()-ROW($A$5))</f>
        <v/>
      </c>
      <c r="I309" s="7">
        <f>IF(HAKEDIS!A309="","",HAKEDIS!A309)</f>
        <v/>
      </c>
      <c r="J309" s="17">
        <f>UPPER(TRIM(SUBSTITUTE($I309," ","")))</f>
        <v/>
      </c>
      <c r="K309" s="17">
        <f>IF($J309="",0,LEN($J309))</f>
        <v/>
      </c>
      <c r="L309" s="17">
        <f>IF($J309="","",LEFT($J309,tyk_ikincilUzunluk))</f>
        <v/>
      </c>
      <c r="M309" s="17">
        <f>"B"</f>
        <v/>
      </c>
      <c r="N309" s="17">
        <f>IF($J309="","",IF(COUNTIF(tblAnahtarB[NormB],$J309)&gt;1,"EVET","HAYIR"))</f>
        <v/>
      </c>
      <c r="O309" s="17">
        <f>IF($I309="","",ROW()-ROW($I$5))</f>
        <v/>
      </c>
    </row>
    <row r="310">
      <c r="A310" s="7">
        <f>IF(GIRDI!A310="","",GIRDI!A310)</f>
        <v/>
      </c>
      <c r="B310" s="17">
        <f>UPPER(TRIM(SUBSTITUTE($A310," ","")))</f>
        <v/>
      </c>
      <c r="C310" s="17">
        <f>IF($B310="",0,LEN($B310))</f>
        <v/>
      </c>
      <c r="D310" s="17">
        <f>IF($B310="","",LEFT($B310,tyk_ikincilUzunluk))</f>
        <v/>
      </c>
      <c r="E310" s="17">
        <f>"A"</f>
        <v/>
      </c>
      <c r="F310" s="17">
        <f>IF($B310="","",IF(COUNTIF(tblAnahtarA[Norm],$B310)&gt;1,"EVET","HAYIR"))</f>
        <v/>
      </c>
      <c r="G310" s="17">
        <f>IF($A310="","",ROW()-ROW($A$5))</f>
        <v/>
      </c>
      <c r="I310" s="7">
        <f>IF(HAKEDIS!A310="","",HAKEDIS!A310)</f>
        <v/>
      </c>
      <c r="J310" s="17">
        <f>UPPER(TRIM(SUBSTITUTE($I310," ","")))</f>
        <v/>
      </c>
      <c r="K310" s="17">
        <f>IF($J310="",0,LEN($J310))</f>
        <v/>
      </c>
      <c r="L310" s="17">
        <f>IF($J310="","",LEFT($J310,tyk_ikincilUzunluk))</f>
        <v/>
      </c>
      <c r="M310" s="17">
        <f>"B"</f>
        <v/>
      </c>
      <c r="N310" s="17">
        <f>IF($J310="","",IF(COUNTIF(tblAnahtarB[NormB],$J310)&gt;1,"EVET","HAYIR"))</f>
        <v/>
      </c>
      <c r="O310" s="17">
        <f>IF($I310="","",ROW()-ROW($I$5))</f>
        <v/>
      </c>
    </row>
    <row r="311">
      <c r="A311" s="7">
        <f>IF(GIRDI!A311="","",GIRDI!A311)</f>
        <v/>
      </c>
      <c r="B311" s="17">
        <f>UPPER(TRIM(SUBSTITUTE($A311," ","")))</f>
        <v/>
      </c>
      <c r="C311" s="17">
        <f>IF($B311="",0,LEN($B311))</f>
        <v/>
      </c>
      <c r="D311" s="17">
        <f>IF($B311="","",LEFT($B311,tyk_ikincilUzunluk))</f>
        <v/>
      </c>
      <c r="E311" s="17">
        <f>"A"</f>
        <v/>
      </c>
      <c r="F311" s="17">
        <f>IF($B311="","",IF(COUNTIF(tblAnahtarA[Norm],$B311)&gt;1,"EVET","HAYIR"))</f>
        <v/>
      </c>
      <c r="G311" s="17">
        <f>IF($A311="","",ROW()-ROW($A$5))</f>
        <v/>
      </c>
      <c r="I311" s="7">
        <f>IF(HAKEDIS!A311="","",HAKEDIS!A311)</f>
        <v/>
      </c>
      <c r="J311" s="17">
        <f>UPPER(TRIM(SUBSTITUTE($I311," ","")))</f>
        <v/>
      </c>
      <c r="K311" s="17">
        <f>IF($J311="",0,LEN($J311))</f>
        <v/>
      </c>
      <c r="L311" s="17">
        <f>IF($J311="","",LEFT($J311,tyk_ikincilUzunluk))</f>
        <v/>
      </c>
      <c r="M311" s="17">
        <f>"B"</f>
        <v/>
      </c>
      <c r="N311" s="17">
        <f>IF($J311="","",IF(COUNTIF(tblAnahtarB[NormB],$J311)&gt;1,"EVET","HAYIR"))</f>
        <v/>
      </c>
      <c r="O311" s="17">
        <f>IF($I311="","",ROW()-ROW($I$5))</f>
        <v/>
      </c>
    </row>
    <row r="312">
      <c r="A312" s="7">
        <f>IF(GIRDI!A312="","",GIRDI!A312)</f>
        <v/>
      </c>
      <c r="B312" s="17">
        <f>UPPER(TRIM(SUBSTITUTE($A312," ","")))</f>
        <v/>
      </c>
      <c r="C312" s="17">
        <f>IF($B312="",0,LEN($B312))</f>
        <v/>
      </c>
      <c r="D312" s="17">
        <f>IF($B312="","",LEFT($B312,tyk_ikincilUzunluk))</f>
        <v/>
      </c>
      <c r="E312" s="17">
        <f>"A"</f>
        <v/>
      </c>
      <c r="F312" s="17">
        <f>IF($B312="","",IF(COUNTIF(tblAnahtarA[Norm],$B312)&gt;1,"EVET","HAYIR"))</f>
        <v/>
      </c>
      <c r="G312" s="17">
        <f>IF($A312="","",ROW()-ROW($A$5))</f>
        <v/>
      </c>
      <c r="I312" s="7">
        <f>IF(HAKEDIS!A312="","",HAKEDIS!A312)</f>
        <v/>
      </c>
      <c r="J312" s="17">
        <f>UPPER(TRIM(SUBSTITUTE($I312," ","")))</f>
        <v/>
      </c>
      <c r="K312" s="17">
        <f>IF($J312="",0,LEN($J312))</f>
        <v/>
      </c>
      <c r="L312" s="17">
        <f>IF($J312="","",LEFT($J312,tyk_ikincilUzunluk))</f>
        <v/>
      </c>
      <c r="M312" s="17">
        <f>"B"</f>
        <v/>
      </c>
      <c r="N312" s="17">
        <f>IF($J312="","",IF(COUNTIF(tblAnahtarB[NormB],$J312)&gt;1,"EVET","HAYIR"))</f>
        <v/>
      </c>
      <c r="O312" s="17">
        <f>IF($I312="","",ROW()-ROW($I$5))</f>
        <v/>
      </c>
    </row>
    <row r="313">
      <c r="A313" s="7">
        <f>IF(GIRDI!A313="","",GIRDI!A313)</f>
        <v/>
      </c>
      <c r="B313" s="17">
        <f>UPPER(TRIM(SUBSTITUTE($A313," ","")))</f>
        <v/>
      </c>
      <c r="C313" s="17">
        <f>IF($B313="",0,LEN($B313))</f>
        <v/>
      </c>
      <c r="D313" s="17">
        <f>IF($B313="","",LEFT($B313,tyk_ikincilUzunluk))</f>
        <v/>
      </c>
      <c r="E313" s="17">
        <f>"A"</f>
        <v/>
      </c>
      <c r="F313" s="17">
        <f>IF($B313="","",IF(COUNTIF(tblAnahtarA[Norm],$B313)&gt;1,"EVET","HAYIR"))</f>
        <v/>
      </c>
      <c r="G313" s="17">
        <f>IF($A313="","",ROW()-ROW($A$5))</f>
        <v/>
      </c>
      <c r="I313" s="7">
        <f>IF(HAKEDIS!A313="","",HAKEDIS!A313)</f>
        <v/>
      </c>
      <c r="J313" s="17">
        <f>UPPER(TRIM(SUBSTITUTE($I313," ","")))</f>
        <v/>
      </c>
      <c r="K313" s="17">
        <f>IF($J313="",0,LEN($J313))</f>
        <v/>
      </c>
      <c r="L313" s="17">
        <f>IF($J313="","",LEFT($J313,tyk_ikincilUzunluk))</f>
        <v/>
      </c>
      <c r="M313" s="17">
        <f>"B"</f>
        <v/>
      </c>
      <c r="N313" s="17">
        <f>IF($J313="","",IF(COUNTIF(tblAnahtarB[NormB],$J313)&gt;1,"EVET","HAYIR"))</f>
        <v/>
      </c>
      <c r="O313" s="17">
        <f>IF($I313="","",ROW()-ROW($I$5))</f>
        <v/>
      </c>
    </row>
    <row r="314">
      <c r="A314" s="7">
        <f>IF(GIRDI!A314="","",GIRDI!A314)</f>
        <v/>
      </c>
      <c r="B314" s="17">
        <f>UPPER(TRIM(SUBSTITUTE($A314," ","")))</f>
        <v/>
      </c>
      <c r="C314" s="17">
        <f>IF($B314="",0,LEN($B314))</f>
        <v/>
      </c>
      <c r="D314" s="17">
        <f>IF($B314="","",LEFT($B314,tyk_ikincilUzunluk))</f>
        <v/>
      </c>
      <c r="E314" s="17">
        <f>"A"</f>
        <v/>
      </c>
      <c r="F314" s="17">
        <f>IF($B314="","",IF(COUNTIF(tblAnahtarA[Norm],$B314)&gt;1,"EVET","HAYIR"))</f>
        <v/>
      </c>
      <c r="G314" s="17">
        <f>IF($A314="","",ROW()-ROW($A$5))</f>
        <v/>
      </c>
      <c r="I314" s="7">
        <f>IF(HAKEDIS!A314="","",HAKEDIS!A314)</f>
        <v/>
      </c>
      <c r="J314" s="17">
        <f>UPPER(TRIM(SUBSTITUTE($I314," ","")))</f>
        <v/>
      </c>
      <c r="K314" s="17">
        <f>IF($J314="",0,LEN($J314))</f>
        <v/>
      </c>
      <c r="L314" s="17">
        <f>IF($J314="","",LEFT($J314,tyk_ikincilUzunluk))</f>
        <v/>
      </c>
      <c r="M314" s="17">
        <f>"B"</f>
        <v/>
      </c>
      <c r="N314" s="17">
        <f>IF($J314="","",IF(COUNTIF(tblAnahtarB[NormB],$J314)&gt;1,"EVET","HAYIR"))</f>
        <v/>
      </c>
      <c r="O314" s="17">
        <f>IF($I314="","",ROW()-ROW($I$5))</f>
        <v/>
      </c>
    </row>
    <row r="315">
      <c r="A315" s="7">
        <f>IF(GIRDI!A315="","",GIRDI!A315)</f>
        <v/>
      </c>
      <c r="B315" s="17">
        <f>UPPER(TRIM(SUBSTITUTE($A315," ","")))</f>
        <v/>
      </c>
      <c r="C315" s="17">
        <f>IF($B315="",0,LEN($B315))</f>
        <v/>
      </c>
      <c r="D315" s="17">
        <f>IF($B315="","",LEFT($B315,tyk_ikincilUzunluk))</f>
        <v/>
      </c>
      <c r="E315" s="17">
        <f>"A"</f>
        <v/>
      </c>
      <c r="F315" s="17">
        <f>IF($B315="","",IF(COUNTIF(tblAnahtarA[Norm],$B315)&gt;1,"EVET","HAYIR"))</f>
        <v/>
      </c>
      <c r="G315" s="17">
        <f>IF($A315="","",ROW()-ROW($A$5))</f>
        <v/>
      </c>
      <c r="I315" s="7">
        <f>IF(HAKEDIS!A315="","",HAKEDIS!A315)</f>
        <v/>
      </c>
      <c r="J315" s="17">
        <f>UPPER(TRIM(SUBSTITUTE($I315," ","")))</f>
        <v/>
      </c>
      <c r="K315" s="17">
        <f>IF($J315="",0,LEN($J315))</f>
        <v/>
      </c>
      <c r="L315" s="17">
        <f>IF($J315="","",LEFT($J315,tyk_ikincilUzunluk))</f>
        <v/>
      </c>
      <c r="M315" s="17">
        <f>"B"</f>
        <v/>
      </c>
      <c r="N315" s="17">
        <f>IF($J315="","",IF(COUNTIF(tblAnahtarB[NormB],$J315)&gt;1,"EVET","HAYIR"))</f>
        <v/>
      </c>
      <c r="O315" s="17">
        <f>IF($I315="","",ROW()-ROW($I$5))</f>
        <v/>
      </c>
    </row>
    <row r="316">
      <c r="A316" s="7">
        <f>IF(GIRDI!A316="","",GIRDI!A316)</f>
        <v/>
      </c>
      <c r="B316" s="17">
        <f>UPPER(TRIM(SUBSTITUTE($A316," ","")))</f>
        <v/>
      </c>
      <c r="C316" s="17">
        <f>IF($B316="",0,LEN($B316))</f>
        <v/>
      </c>
      <c r="D316" s="17">
        <f>IF($B316="","",LEFT($B316,tyk_ikincilUzunluk))</f>
        <v/>
      </c>
      <c r="E316" s="17">
        <f>"A"</f>
        <v/>
      </c>
      <c r="F316" s="17">
        <f>IF($B316="","",IF(COUNTIF(tblAnahtarA[Norm],$B316)&gt;1,"EVET","HAYIR"))</f>
        <v/>
      </c>
      <c r="G316" s="17">
        <f>IF($A316="","",ROW()-ROW($A$5))</f>
        <v/>
      </c>
      <c r="I316" s="7">
        <f>IF(HAKEDIS!A316="","",HAKEDIS!A316)</f>
        <v/>
      </c>
      <c r="J316" s="17">
        <f>UPPER(TRIM(SUBSTITUTE($I316," ","")))</f>
        <v/>
      </c>
      <c r="K316" s="17">
        <f>IF($J316="",0,LEN($J316))</f>
        <v/>
      </c>
      <c r="L316" s="17">
        <f>IF($J316="","",LEFT($J316,tyk_ikincilUzunluk))</f>
        <v/>
      </c>
      <c r="M316" s="17">
        <f>"B"</f>
        <v/>
      </c>
      <c r="N316" s="17">
        <f>IF($J316="","",IF(COUNTIF(tblAnahtarB[NormB],$J316)&gt;1,"EVET","HAYIR"))</f>
        <v/>
      </c>
      <c r="O316" s="17">
        <f>IF($I316="","",ROW()-ROW($I$5))</f>
        <v/>
      </c>
    </row>
    <row r="317">
      <c r="A317" s="7">
        <f>IF(GIRDI!A317="","",GIRDI!A317)</f>
        <v/>
      </c>
      <c r="B317" s="17">
        <f>UPPER(TRIM(SUBSTITUTE($A317," ","")))</f>
        <v/>
      </c>
      <c r="C317" s="17">
        <f>IF($B317="",0,LEN($B317))</f>
        <v/>
      </c>
      <c r="D317" s="17">
        <f>IF($B317="","",LEFT($B317,tyk_ikincilUzunluk))</f>
        <v/>
      </c>
      <c r="E317" s="17">
        <f>"A"</f>
        <v/>
      </c>
      <c r="F317" s="17">
        <f>IF($B317="","",IF(COUNTIF(tblAnahtarA[Norm],$B317)&gt;1,"EVET","HAYIR"))</f>
        <v/>
      </c>
      <c r="G317" s="17">
        <f>IF($A317="","",ROW()-ROW($A$5))</f>
        <v/>
      </c>
      <c r="I317" s="7">
        <f>IF(HAKEDIS!A317="","",HAKEDIS!A317)</f>
        <v/>
      </c>
      <c r="J317" s="17">
        <f>UPPER(TRIM(SUBSTITUTE($I317," ","")))</f>
        <v/>
      </c>
      <c r="K317" s="17">
        <f>IF($J317="",0,LEN($J317))</f>
        <v/>
      </c>
      <c r="L317" s="17">
        <f>IF($J317="","",LEFT($J317,tyk_ikincilUzunluk))</f>
        <v/>
      </c>
      <c r="M317" s="17">
        <f>"B"</f>
        <v/>
      </c>
      <c r="N317" s="17">
        <f>IF($J317="","",IF(COUNTIF(tblAnahtarB[NormB],$J317)&gt;1,"EVET","HAYIR"))</f>
        <v/>
      </c>
      <c r="O317" s="17">
        <f>IF($I317="","",ROW()-ROW($I$5))</f>
        <v/>
      </c>
    </row>
    <row r="318">
      <c r="A318" s="7">
        <f>IF(GIRDI!A318="","",GIRDI!A318)</f>
        <v/>
      </c>
      <c r="B318" s="17">
        <f>UPPER(TRIM(SUBSTITUTE($A318," ","")))</f>
        <v/>
      </c>
      <c r="C318" s="17">
        <f>IF($B318="",0,LEN($B318))</f>
        <v/>
      </c>
      <c r="D318" s="17">
        <f>IF($B318="","",LEFT($B318,tyk_ikincilUzunluk))</f>
        <v/>
      </c>
      <c r="E318" s="17">
        <f>"A"</f>
        <v/>
      </c>
      <c r="F318" s="17">
        <f>IF($B318="","",IF(COUNTIF(tblAnahtarA[Norm],$B318)&gt;1,"EVET","HAYIR"))</f>
        <v/>
      </c>
      <c r="G318" s="17">
        <f>IF($A318="","",ROW()-ROW($A$5))</f>
        <v/>
      </c>
      <c r="I318" s="7">
        <f>IF(HAKEDIS!A318="","",HAKEDIS!A318)</f>
        <v/>
      </c>
      <c r="J318" s="17">
        <f>UPPER(TRIM(SUBSTITUTE($I318," ","")))</f>
        <v/>
      </c>
      <c r="K318" s="17">
        <f>IF($J318="",0,LEN($J318))</f>
        <v/>
      </c>
      <c r="L318" s="17">
        <f>IF($J318="","",LEFT($J318,tyk_ikincilUzunluk))</f>
        <v/>
      </c>
      <c r="M318" s="17">
        <f>"B"</f>
        <v/>
      </c>
      <c r="N318" s="17">
        <f>IF($J318="","",IF(COUNTIF(tblAnahtarB[NormB],$J318)&gt;1,"EVET","HAYIR"))</f>
        <v/>
      </c>
      <c r="O318" s="17">
        <f>IF($I318="","",ROW()-ROW($I$5))</f>
        <v/>
      </c>
    </row>
    <row r="319">
      <c r="A319" s="7">
        <f>IF(GIRDI!A319="","",GIRDI!A319)</f>
        <v/>
      </c>
      <c r="B319" s="17">
        <f>UPPER(TRIM(SUBSTITUTE($A319," ","")))</f>
        <v/>
      </c>
      <c r="C319" s="17">
        <f>IF($B319="",0,LEN($B319))</f>
        <v/>
      </c>
      <c r="D319" s="17">
        <f>IF($B319="","",LEFT($B319,tyk_ikincilUzunluk))</f>
        <v/>
      </c>
      <c r="E319" s="17">
        <f>"A"</f>
        <v/>
      </c>
      <c r="F319" s="17">
        <f>IF($B319="","",IF(COUNTIF(tblAnahtarA[Norm],$B319)&gt;1,"EVET","HAYIR"))</f>
        <v/>
      </c>
      <c r="G319" s="17">
        <f>IF($A319="","",ROW()-ROW($A$5))</f>
        <v/>
      </c>
      <c r="I319" s="7">
        <f>IF(HAKEDIS!A319="","",HAKEDIS!A319)</f>
        <v/>
      </c>
      <c r="J319" s="17">
        <f>UPPER(TRIM(SUBSTITUTE($I319," ","")))</f>
        <v/>
      </c>
      <c r="K319" s="17">
        <f>IF($J319="",0,LEN($J319))</f>
        <v/>
      </c>
      <c r="L319" s="17">
        <f>IF($J319="","",LEFT($J319,tyk_ikincilUzunluk))</f>
        <v/>
      </c>
      <c r="M319" s="17">
        <f>"B"</f>
        <v/>
      </c>
      <c r="N319" s="17">
        <f>IF($J319="","",IF(COUNTIF(tblAnahtarB[NormB],$J319)&gt;1,"EVET","HAYIR"))</f>
        <v/>
      </c>
      <c r="O319" s="17">
        <f>IF($I319="","",ROW()-ROW($I$5))</f>
        <v/>
      </c>
    </row>
    <row r="320">
      <c r="A320" s="7">
        <f>IF(GIRDI!A320="","",GIRDI!A320)</f>
        <v/>
      </c>
      <c r="B320" s="17">
        <f>UPPER(TRIM(SUBSTITUTE($A320," ","")))</f>
        <v/>
      </c>
      <c r="C320" s="17">
        <f>IF($B320="",0,LEN($B320))</f>
        <v/>
      </c>
      <c r="D320" s="17">
        <f>IF($B320="","",LEFT($B320,tyk_ikincilUzunluk))</f>
        <v/>
      </c>
      <c r="E320" s="17">
        <f>"A"</f>
        <v/>
      </c>
      <c r="F320" s="17">
        <f>IF($B320="","",IF(COUNTIF(tblAnahtarA[Norm],$B320)&gt;1,"EVET","HAYIR"))</f>
        <v/>
      </c>
      <c r="G320" s="17">
        <f>IF($A320="","",ROW()-ROW($A$5))</f>
        <v/>
      </c>
      <c r="I320" s="7">
        <f>IF(HAKEDIS!A320="","",HAKEDIS!A320)</f>
        <v/>
      </c>
      <c r="J320" s="17">
        <f>UPPER(TRIM(SUBSTITUTE($I320," ","")))</f>
        <v/>
      </c>
      <c r="K320" s="17">
        <f>IF($J320="",0,LEN($J320))</f>
        <v/>
      </c>
      <c r="L320" s="17">
        <f>IF($J320="","",LEFT($J320,tyk_ikincilUzunluk))</f>
        <v/>
      </c>
      <c r="M320" s="17">
        <f>"B"</f>
        <v/>
      </c>
      <c r="N320" s="17">
        <f>IF($J320="","",IF(COUNTIF(tblAnahtarB[NormB],$J320)&gt;1,"EVET","HAYIR"))</f>
        <v/>
      </c>
      <c r="O320" s="17">
        <f>IF($I320="","",ROW()-ROW($I$5))</f>
        <v/>
      </c>
    </row>
    <row r="321">
      <c r="A321" s="7">
        <f>IF(GIRDI!A321="","",GIRDI!A321)</f>
        <v/>
      </c>
      <c r="B321" s="17">
        <f>UPPER(TRIM(SUBSTITUTE($A321," ","")))</f>
        <v/>
      </c>
      <c r="C321" s="17">
        <f>IF($B321="",0,LEN($B321))</f>
        <v/>
      </c>
      <c r="D321" s="17">
        <f>IF($B321="","",LEFT($B321,tyk_ikincilUzunluk))</f>
        <v/>
      </c>
      <c r="E321" s="17">
        <f>"A"</f>
        <v/>
      </c>
      <c r="F321" s="17">
        <f>IF($B321="","",IF(COUNTIF(tblAnahtarA[Norm],$B321)&gt;1,"EVET","HAYIR"))</f>
        <v/>
      </c>
      <c r="G321" s="17">
        <f>IF($A321="","",ROW()-ROW($A$5))</f>
        <v/>
      </c>
      <c r="I321" s="7">
        <f>IF(HAKEDIS!A321="","",HAKEDIS!A321)</f>
        <v/>
      </c>
      <c r="J321" s="17">
        <f>UPPER(TRIM(SUBSTITUTE($I321," ","")))</f>
        <v/>
      </c>
      <c r="K321" s="17">
        <f>IF($J321="",0,LEN($J321))</f>
        <v/>
      </c>
      <c r="L321" s="17">
        <f>IF($J321="","",LEFT($J321,tyk_ikincilUzunluk))</f>
        <v/>
      </c>
      <c r="M321" s="17">
        <f>"B"</f>
        <v/>
      </c>
      <c r="N321" s="17">
        <f>IF($J321="","",IF(COUNTIF(tblAnahtarB[NormB],$J321)&gt;1,"EVET","HAYIR"))</f>
        <v/>
      </c>
      <c r="O321" s="17">
        <f>IF($I321="","",ROW()-ROW($I$5))</f>
        <v/>
      </c>
    </row>
    <row r="322">
      <c r="A322" s="7">
        <f>IF(GIRDI!A322="","",GIRDI!A322)</f>
        <v/>
      </c>
      <c r="B322" s="17">
        <f>UPPER(TRIM(SUBSTITUTE($A322," ","")))</f>
        <v/>
      </c>
      <c r="C322" s="17">
        <f>IF($B322="",0,LEN($B322))</f>
        <v/>
      </c>
      <c r="D322" s="17">
        <f>IF($B322="","",LEFT($B322,tyk_ikincilUzunluk))</f>
        <v/>
      </c>
      <c r="E322" s="17">
        <f>"A"</f>
        <v/>
      </c>
      <c r="F322" s="17">
        <f>IF($B322="","",IF(COUNTIF(tblAnahtarA[Norm],$B322)&gt;1,"EVET","HAYIR"))</f>
        <v/>
      </c>
      <c r="G322" s="17">
        <f>IF($A322="","",ROW()-ROW($A$5))</f>
        <v/>
      </c>
      <c r="I322" s="7">
        <f>IF(HAKEDIS!A322="","",HAKEDIS!A322)</f>
        <v/>
      </c>
      <c r="J322" s="17">
        <f>UPPER(TRIM(SUBSTITUTE($I322," ","")))</f>
        <v/>
      </c>
      <c r="K322" s="17">
        <f>IF($J322="",0,LEN($J322))</f>
        <v/>
      </c>
      <c r="L322" s="17">
        <f>IF($J322="","",LEFT($J322,tyk_ikincilUzunluk))</f>
        <v/>
      </c>
      <c r="M322" s="17">
        <f>"B"</f>
        <v/>
      </c>
      <c r="N322" s="17">
        <f>IF($J322="","",IF(COUNTIF(tblAnahtarB[NormB],$J322)&gt;1,"EVET","HAYIR"))</f>
        <v/>
      </c>
      <c r="O322" s="17">
        <f>IF($I322="","",ROW()-ROW($I$5))</f>
        <v/>
      </c>
    </row>
    <row r="323">
      <c r="A323" s="7">
        <f>IF(GIRDI!A323="","",GIRDI!A323)</f>
        <v/>
      </c>
      <c r="B323" s="17">
        <f>UPPER(TRIM(SUBSTITUTE($A323," ","")))</f>
        <v/>
      </c>
      <c r="C323" s="17">
        <f>IF($B323="",0,LEN($B323))</f>
        <v/>
      </c>
      <c r="D323" s="17">
        <f>IF($B323="","",LEFT($B323,tyk_ikincilUzunluk))</f>
        <v/>
      </c>
      <c r="E323" s="17">
        <f>"A"</f>
        <v/>
      </c>
      <c r="F323" s="17">
        <f>IF($B323="","",IF(COUNTIF(tblAnahtarA[Norm],$B323)&gt;1,"EVET","HAYIR"))</f>
        <v/>
      </c>
      <c r="G323" s="17">
        <f>IF($A323="","",ROW()-ROW($A$5))</f>
        <v/>
      </c>
      <c r="I323" s="7">
        <f>IF(HAKEDIS!A323="","",HAKEDIS!A323)</f>
        <v/>
      </c>
      <c r="J323" s="17">
        <f>UPPER(TRIM(SUBSTITUTE($I323," ","")))</f>
        <v/>
      </c>
      <c r="K323" s="17">
        <f>IF($J323="",0,LEN($J323))</f>
        <v/>
      </c>
      <c r="L323" s="17">
        <f>IF($J323="","",LEFT($J323,tyk_ikincilUzunluk))</f>
        <v/>
      </c>
      <c r="M323" s="17">
        <f>"B"</f>
        <v/>
      </c>
      <c r="N323" s="17">
        <f>IF($J323="","",IF(COUNTIF(tblAnahtarB[NormB],$J323)&gt;1,"EVET","HAYIR"))</f>
        <v/>
      </c>
      <c r="O323" s="17">
        <f>IF($I323="","",ROW()-ROW($I$5))</f>
        <v/>
      </c>
    </row>
    <row r="324">
      <c r="A324" s="7">
        <f>IF(GIRDI!A324="","",GIRDI!A324)</f>
        <v/>
      </c>
      <c r="B324" s="17">
        <f>UPPER(TRIM(SUBSTITUTE($A324," ","")))</f>
        <v/>
      </c>
      <c r="C324" s="17">
        <f>IF($B324="",0,LEN($B324))</f>
        <v/>
      </c>
      <c r="D324" s="17">
        <f>IF($B324="","",LEFT($B324,tyk_ikincilUzunluk))</f>
        <v/>
      </c>
      <c r="E324" s="17">
        <f>"A"</f>
        <v/>
      </c>
      <c r="F324" s="17">
        <f>IF($B324="","",IF(COUNTIF(tblAnahtarA[Norm],$B324)&gt;1,"EVET","HAYIR"))</f>
        <v/>
      </c>
      <c r="G324" s="17">
        <f>IF($A324="","",ROW()-ROW($A$5))</f>
        <v/>
      </c>
      <c r="I324" s="7">
        <f>IF(HAKEDIS!A324="","",HAKEDIS!A324)</f>
        <v/>
      </c>
      <c r="J324" s="17">
        <f>UPPER(TRIM(SUBSTITUTE($I324," ","")))</f>
        <v/>
      </c>
      <c r="K324" s="17">
        <f>IF($J324="",0,LEN($J324))</f>
        <v/>
      </c>
      <c r="L324" s="17">
        <f>IF($J324="","",LEFT($J324,tyk_ikincilUzunluk))</f>
        <v/>
      </c>
      <c r="M324" s="17">
        <f>"B"</f>
        <v/>
      </c>
      <c r="N324" s="17">
        <f>IF($J324="","",IF(COUNTIF(tblAnahtarB[NormB],$J324)&gt;1,"EVET","HAYIR"))</f>
        <v/>
      </c>
      <c r="O324" s="17">
        <f>IF($I324="","",ROW()-ROW($I$5))</f>
        <v/>
      </c>
    </row>
    <row r="325">
      <c r="A325" s="7">
        <f>IF(GIRDI!A325="","",GIRDI!A325)</f>
        <v/>
      </c>
      <c r="B325" s="17">
        <f>UPPER(TRIM(SUBSTITUTE($A325," ","")))</f>
        <v/>
      </c>
      <c r="C325" s="17">
        <f>IF($B325="",0,LEN($B325))</f>
        <v/>
      </c>
      <c r="D325" s="17">
        <f>IF($B325="","",LEFT($B325,tyk_ikincilUzunluk))</f>
        <v/>
      </c>
      <c r="E325" s="17">
        <f>"A"</f>
        <v/>
      </c>
      <c r="F325" s="17">
        <f>IF($B325="","",IF(COUNTIF(tblAnahtarA[Norm],$B325)&gt;1,"EVET","HAYIR"))</f>
        <v/>
      </c>
      <c r="G325" s="17">
        <f>IF($A325="","",ROW()-ROW($A$5))</f>
        <v/>
      </c>
      <c r="I325" s="7">
        <f>IF(HAKEDIS!A325="","",HAKEDIS!A325)</f>
        <v/>
      </c>
      <c r="J325" s="17">
        <f>UPPER(TRIM(SUBSTITUTE($I325," ","")))</f>
        <v/>
      </c>
      <c r="K325" s="17">
        <f>IF($J325="",0,LEN($J325))</f>
        <v/>
      </c>
      <c r="L325" s="17">
        <f>IF($J325="","",LEFT($J325,tyk_ikincilUzunluk))</f>
        <v/>
      </c>
      <c r="M325" s="17">
        <f>"B"</f>
        <v/>
      </c>
      <c r="N325" s="17">
        <f>IF($J325="","",IF(COUNTIF(tblAnahtarB[NormB],$J325)&gt;1,"EVET","HAYIR"))</f>
        <v/>
      </c>
      <c r="O325" s="17">
        <f>IF($I325="","",ROW()-ROW($I$5))</f>
        <v/>
      </c>
    </row>
    <row r="326">
      <c r="A326" s="7">
        <f>IF(GIRDI!A326="","",GIRDI!A326)</f>
        <v/>
      </c>
      <c r="B326" s="17">
        <f>UPPER(TRIM(SUBSTITUTE($A326," ","")))</f>
        <v/>
      </c>
      <c r="C326" s="17">
        <f>IF($B326="",0,LEN($B326))</f>
        <v/>
      </c>
      <c r="D326" s="17">
        <f>IF($B326="","",LEFT($B326,tyk_ikincilUzunluk))</f>
        <v/>
      </c>
      <c r="E326" s="17">
        <f>"A"</f>
        <v/>
      </c>
      <c r="F326" s="17">
        <f>IF($B326="","",IF(COUNTIF(tblAnahtarA[Norm],$B326)&gt;1,"EVET","HAYIR"))</f>
        <v/>
      </c>
      <c r="G326" s="17">
        <f>IF($A326="","",ROW()-ROW($A$5))</f>
        <v/>
      </c>
      <c r="I326" s="7">
        <f>IF(HAKEDIS!A326="","",HAKEDIS!A326)</f>
        <v/>
      </c>
      <c r="J326" s="17">
        <f>UPPER(TRIM(SUBSTITUTE($I326," ","")))</f>
        <v/>
      </c>
      <c r="K326" s="17">
        <f>IF($J326="",0,LEN($J326))</f>
        <v/>
      </c>
      <c r="L326" s="17">
        <f>IF($J326="","",LEFT($J326,tyk_ikincilUzunluk))</f>
        <v/>
      </c>
      <c r="M326" s="17">
        <f>"B"</f>
        <v/>
      </c>
      <c r="N326" s="17">
        <f>IF($J326="","",IF(COUNTIF(tblAnahtarB[NormB],$J326)&gt;1,"EVET","HAYIR"))</f>
        <v/>
      </c>
      <c r="O326" s="17">
        <f>IF($I326="","",ROW()-ROW($I$5))</f>
        <v/>
      </c>
    </row>
    <row r="327">
      <c r="A327" s="7">
        <f>IF(GIRDI!A327="","",GIRDI!A327)</f>
        <v/>
      </c>
      <c r="B327" s="17">
        <f>UPPER(TRIM(SUBSTITUTE($A327," ","")))</f>
        <v/>
      </c>
      <c r="C327" s="17">
        <f>IF($B327="",0,LEN($B327))</f>
        <v/>
      </c>
      <c r="D327" s="17">
        <f>IF($B327="","",LEFT($B327,tyk_ikincilUzunluk))</f>
        <v/>
      </c>
      <c r="E327" s="17">
        <f>"A"</f>
        <v/>
      </c>
      <c r="F327" s="17">
        <f>IF($B327="","",IF(COUNTIF(tblAnahtarA[Norm],$B327)&gt;1,"EVET","HAYIR"))</f>
        <v/>
      </c>
      <c r="G327" s="17">
        <f>IF($A327="","",ROW()-ROW($A$5))</f>
        <v/>
      </c>
      <c r="I327" s="7">
        <f>IF(HAKEDIS!A327="","",HAKEDIS!A327)</f>
        <v/>
      </c>
      <c r="J327" s="17">
        <f>UPPER(TRIM(SUBSTITUTE($I327," ","")))</f>
        <v/>
      </c>
      <c r="K327" s="17">
        <f>IF($J327="",0,LEN($J327))</f>
        <v/>
      </c>
      <c r="L327" s="17">
        <f>IF($J327="","",LEFT($J327,tyk_ikincilUzunluk))</f>
        <v/>
      </c>
      <c r="M327" s="17">
        <f>"B"</f>
        <v/>
      </c>
      <c r="N327" s="17">
        <f>IF($J327="","",IF(COUNTIF(tblAnahtarB[NormB],$J327)&gt;1,"EVET","HAYIR"))</f>
        <v/>
      </c>
      <c r="O327" s="17">
        <f>IF($I327="","",ROW()-ROW($I$5))</f>
        <v/>
      </c>
    </row>
    <row r="328">
      <c r="A328" s="7">
        <f>IF(GIRDI!A328="","",GIRDI!A328)</f>
        <v/>
      </c>
      <c r="B328" s="17">
        <f>UPPER(TRIM(SUBSTITUTE($A328," ","")))</f>
        <v/>
      </c>
      <c r="C328" s="17">
        <f>IF($B328="",0,LEN($B328))</f>
        <v/>
      </c>
      <c r="D328" s="17">
        <f>IF($B328="","",LEFT($B328,tyk_ikincilUzunluk))</f>
        <v/>
      </c>
      <c r="E328" s="17">
        <f>"A"</f>
        <v/>
      </c>
      <c r="F328" s="17">
        <f>IF($B328="","",IF(COUNTIF(tblAnahtarA[Norm],$B328)&gt;1,"EVET","HAYIR"))</f>
        <v/>
      </c>
      <c r="G328" s="17">
        <f>IF($A328="","",ROW()-ROW($A$5))</f>
        <v/>
      </c>
      <c r="I328" s="7">
        <f>IF(HAKEDIS!A328="","",HAKEDIS!A328)</f>
        <v/>
      </c>
      <c r="J328" s="17">
        <f>UPPER(TRIM(SUBSTITUTE($I328," ","")))</f>
        <v/>
      </c>
      <c r="K328" s="17">
        <f>IF($J328="",0,LEN($J328))</f>
        <v/>
      </c>
      <c r="L328" s="17">
        <f>IF($J328="","",LEFT($J328,tyk_ikincilUzunluk))</f>
        <v/>
      </c>
      <c r="M328" s="17">
        <f>"B"</f>
        <v/>
      </c>
      <c r="N328" s="17">
        <f>IF($J328="","",IF(COUNTIF(tblAnahtarB[NormB],$J328)&gt;1,"EVET","HAYIR"))</f>
        <v/>
      </c>
      <c r="O328" s="17">
        <f>IF($I328="","",ROW()-ROW($I$5))</f>
        <v/>
      </c>
    </row>
    <row r="329">
      <c r="A329" s="7">
        <f>IF(GIRDI!A329="","",GIRDI!A329)</f>
        <v/>
      </c>
      <c r="B329" s="17">
        <f>UPPER(TRIM(SUBSTITUTE($A329," ","")))</f>
        <v/>
      </c>
      <c r="C329" s="17">
        <f>IF($B329="",0,LEN($B329))</f>
        <v/>
      </c>
      <c r="D329" s="17">
        <f>IF($B329="","",LEFT($B329,tyk_ikincilUzunluk))</f>
        <v/>
      </c>
      <c r="E329" s="17">
        <f>"A"</f>
        <v/>
      </c>
      <c r="F329" s="17">
        <f>IF($B329="","",IF(COUNTIF(tblAnahtarA[Norm],$B329)&gt;1,"EVET","HAYIR"))</f>
        <v/>
      </c>
      <c r="G329" s="17">
        <f>IF($A329="","",ROW()-ROW($A$5))</f>
        <v/>
      </c>
      <c r="I329" s="7">
        <f>IF(HAKEDIS!A329="","",HAKEDIS!A329)</f>
        <v/>
      </c>
      <c r="J329" s="17">
        <f>UPPER(TRIM(SUBSTITUTE($I329," ","")))</f>
        <v/>
      </c>
      <c r="K329" s="17">
        <f>IF($J329="",0,LEN($J329))</f>
        <v/>
      </c>
      <c r="L329" s="17">
        <f>IF($J329="","",LEFT($J329,tyk_ikincilUzunluk))</f>
        <v/>
      </c>
      <c r="M329" s="17">
        <f>"B"</f>
        <v/>
      </c>
      <c r="N329" s="17">
        <f>IF($J329="","",IF(COUNTIF(tblAnahtarB[NormB],$J329)&gt;1,"EVET","HAYIR"))</f>
        <v/>
      </c>
      <c r="O329" s="17">
        <f>IF($I329="","",ROW()-ROW($I$5))</f>
        <v/>
      </c>
    </row>
    <row r="330">
      <c r="A330" s="7">
        <f>IF(GIRDI!A330="","",GIRDI!A330)</f>
        <v/>
      </c>
      <c r="B330" s="17">
        <f>UPPER(TRIM(SUBSTITUTE($A330," ","")))</f>
        <v/>
      </c>
      <c r="C330" s="17">
        <f>IF($B330="",0,LEN($B330))</f>
        <v/>
      </c>
      <c r="D330" s="17">
        <f>IF($B330="","",LEFT($B330,tyk_ikincilUzunluk))</f>
        <v/>
      </c>
      <c r="E330" s="17">
        <f>"A"</f>
        <v/>
      </c>
      <c r="F330" s="17">
        <f>IF($B330="","",IF(COUNTIF(tblAnahtarA[Norm],$B330)&gt;1,"EVET","HAYIR"))</f>
        <v/>
      </c>
      <c r="G330" s="17">
        <f>IF($A330="","",ROW()-ROW($A$5))</f>
        <v/>
      </c>
      <c r="I330" s="7">
        <f>IF(HAKEDIS!A330="","",HAKEDIS!A330)</f>
        <v/>
      </c>
      <c r="J330" s="17">
        <f>UPPER(TRIM(SUBSTITUTE($I330," ","")))</f>
        <v/>
      </c>
      <c r="K330" s="17">
        <f>IF($J330="",0,LEN($J330))</f>
        <v/>
      </c>
      <c r="L330" s="17">
        <f>IF($J330="","",LEFT($J330,tyk_ikincilUzunluk))</f>
        <v/>
      </c>
      <c r="M330" s="17">
        <f>"B"</f>
        <v/>
      </c>
      <c r="N330" s="17">
        <f>IF($J330="","",IF(COUNTIF(tblAnahtarB[NormB],$J330)&gt;1,"EVET","HAYIR"))</f>
        <v/>
      </c>
      <c r="O330" s="17">
        <f>IF($I330="","",ROW()-ROW($I$5))</f>
        <v/>
      </c>
    </row>
    <row r="331">
      <c r="A331" s="7">
        <f>IF(GIRDI!A331="","",GIRDI!A331)</f>
        <v/>
      </c>
      <c r="B331" s="17">
        <f>UPPER(TRIM(SUBSTITUTE($A331," ","")))</f>
        <v/>
      </c>
      <c r="C331" s="17">
        <f>IF($B331="",0,LEN($B331))</f>
        <v/>
      </c>
      <c r="D331" s="17">
        <f>IF($B331="","",LEFT($B331,tyk_ikincilUzunluk))</f>
        <v/>
      </c>
      <c r="E331" s="17">
        <f>"A"</f>
        <v/>
      </c>
      <c r="F331" s="17">
        <f>IF($B331="","",IF(COUNTIF(tblAnahtarA[Norm],$B331)&gt;1,"EVET","HAYIR"))</f>
        <v/>
      </c>
      <c r="G331" s="17">
        <f>IF($A331="","",ROW()-ROW($A$5))</f>
        <v/>
      </c>
      <c r="I331" s="7">
        <f>IF(HAKEDIS!A331="","",HAKEDIS!A331)</f>
        <v/>
      </c>
      <c r="J331" s="17">
        <f>UPPER(TRIM(SUBSTITUTE($I331," ","")))</f>
        <v/>
      </c>
      <c r="K331" s="17">
        <f>IF($J331="",0,LEN($J331))</f>
        <v/>
      </c>
      <c r="L331" s="17">
        <f>IF($J331="","",LEFT($J331,tyk_ikincilUzunluk))</f>
        <v/>
      </c>
      <c r="M331" s="17">
        <f>"B"</f>
        <v/>
      </c>
      <c r="N331" s="17">
        <f>IF($J331="","",IF(COUNTIF(tblAnahtarB[NormB],$J331)&gt;1,"EVET","HAYIR"))</f>
        <v/>
      </c>
      <c r="O331" s="17">
        <f>IF($I331="","",ROW()-ROW($I$5))</f>
        <v/>
      </c>
    </row>
    <row r="332">
      <c r="A332" s="7">
        <f>IF(GIRDI!A332="","",GIRDI!A332)</f>
        <v/>
      </c>
      <c r="B332" s="17">
        <f>UPPER(TRIM(SUBSTITUTE($A332," ","")))</f>
        <v/>
      </c>
      <c r="C332" s="17">
        <f>IF($B332="",0,LEN($B332))</f>
        <v/>
      </c>
      <c r="D332" s="17">
        <f>IF($B332="","",LEFT($B332,tyk_ikincilUzunluk))</f>
        <v/>
      </c>
      <c r="E332" s="17">
        <f>"A"</f>
        <v/>
      </c>
      <c r="F332" s="17">
        <f>IF($B332="","",IF(COUNTIF(tblAnahtarA[Norm],$B332)&gt;1,"EVET","HAYIR"))</f>
        <v/>
      </c>
      <c r="G332" s="17">
        <f>IF($A332="","",ROW()-ROW($A$5))</f>
        <v/>
      </c>
      <c r="I332" s="7">
        <f>IF(HAKEDIS!A332="","",HAKEDIS!A332)</f>
        <v/>
      </c>
      <c r="J332" s="17">
        <f>UPPER(TRIM(SUBSTITUTE($I332," ","")))</f>
        <v/>
      </c>
      <c r="K332" s="17">
        <f>IF($J332="",0,LEN($J332))</f>
        <v/>
      </c>
      <c r="L332" s="17">
        <f>IF($J332="","",LEFT($J332,tyk_ikincilUzunluk))</f>
        <v/>
      </c>
      <c r="M332" s="17">
        <f>"B"</f>
        <v/>
      </c>
      <c r="N332" s="17">
        <f>IF($J332="","",IF(COUNTIF(tblAnahtarB[NormB],$J332)&gt;1,"EVET","HAYIR"))</f>
        <v/>
      </c>
      <c r="O332" s="17">
        <f>IF($I332="","",ROW()-ROW($I$5))</f>
        <v/>
      </c>
    </row>
    <row r="333">
      <c r="A333" s="7">
        <f>IF(GIRDI!A333="","",GIRDI!A333)</f>
        <v/>
      </c>
      <c r="B333" s="17">
        <f>UPPER(TRIM(SUBSTITUTE($A333," ","")))</f>
        <v/>
      </c>
      <c r="C333" s="17">
        <f>IF($B333="",0,LEN($B333))</f>
        <v/>
      </c>
      <c r="D333" s="17">
        <f>IF($B333="","",LEFT($B333,tyk_ikincilUzunluk))</f>
        <v/>
      </c>
      <c r="E333" s="17">
        <f>"A"</f>
        <v/>
      </c>
      <c r="F333" s="17">
        <f>IF($B333="","",IF(COUNTIF(tblAnahtarA[Norm],$B333)&gt;1,"EVET","HAYIR"))</f>
        <v/>
      </c>
      <c r="G333" s="17">
        <f>IF($A333="","",ROW()-ROW($A$5))</f>
        <v/>
      </c>
      <c r="I333" s="7">
        <f>IF(HAKEDIS!A333="","",HAKEDIS!A333)</f>
        <v/>
      </c>
      <c r="J333" s="17">
        <f>UPPER(TRIM(SUBSTITUTE($I333," ","")))</f>
        <v/>
      </c>
      <c r="K333" s="17">
        <f>IF($J333="",0,LEN($J333))</f>
        <v/>
      </c>
      <c r="L333" s="17">
        <f>IF($J333="","",LEFT($J333,tyk_ikincilUzunluk))</f>
        <v/>
      </c>
      <c r="M333" s="17">
        <f>"B"</f>
        <v/>
      </c>
      <c r="N333" s="17">
        <f>IF($J333="","",IF(COUNTIF(tblAnahtarB[NormB],$J333)&gt;1,"EVET","HAYIR"))</f>
        <v/>
      </c>
      <c r="O333" s="17">
        <f>IF($I333="","",ROW()-ROW($I$5))</f>
        <v/>
      </c>
    </row>
    <row r="334">
      <c r="A334" s="7">
        <f>IF(GIRDI!A334="","",GIRDI!A334)</f>
        <v/>
      </c>
      <c r="B334" s="17">
        <f>UPPER(TRIM(SUBSTITUTE($A334," ","")))</f>
        <v/>
      </c>
      <c r="C334" s="17">
        <f>IF($B334="",0,LEN($B334))</f>
        <v/>
      </c>
      <c r="D334" s="17">
        <f>IF($B334="","",LEFT($B334,tyk_ikincilUzunluk))</f>
        <v/>
      </c>
      <c r="E334" s="17">
        <f>"A"</f>
        <v/>
      </c>
      <c r="F334" s="17">
        <f>IF($B334="","",IF(COUNTIF(tblAnahtarA[Norm],$B334)&gt;1,"EVET","HAYIR"))</f>
        <v/>
      </c>
      <c r="G334" s="17">
        <f>IF($A334="","",ROW()-ROW($A$5))</f>
        <v/>
      </c>
      <c r="I334" s="7">
        <f>IF(HAKEDIS!A334="","",HAKEDIS!A334)</f>
        <v/>
      </c>
      <c r="J334" s="17">
        <f>UPPER(TRIM(SUBSTITUTE($I334," ","")))</f>
        <v/>
      </c>
      <c r="K334" s="17">
        <f>IF($J334="",0,LEN($J334))</f>
        <v/>
      </c>
      <c r="L334" s="17">
        <f>IF($J334="","",LEFT($J334,tyk_ikincilUzunluk))</f>
        <v/>
      </c>
      <c r="M334" s="17">
        <f>"B"</f>
        <v/>
      </c>
      <c r="N334" s="17">
        <f>IF($J334="","",IF(COUNTIF(tblAnahtarB[NormB],$J334)&gt;1,"EVET","HAYIR"))</f>
        <v/>
      </c>
      <c r="O334" s="17">
        <f>IF($I334="","",ROW()-ROW($I$5))</f>
        <v/>
      </c>
    </row>
    <row r="335">
      <c r="A335" s="7">
        <f>IF(GIRDI!A335="","",GIRDI!A335)</f>
        <v/>
      </c>
      <c r="B335" s="17">
        <f>UPPER(TRIM(SUBSTITUTE($A335," ","")))</f>
        <v/>
      </c>
      <c r="C335" s="17">
        <f>IF($B335="",0,LEN($B335))</f>
        <v/>
      </c>
      <c r="D335" s="17">
        <f>IF($B335="","",LEFT($B335,tyk_ikincilUzunluk))</f>
        <v/>
      </c>
      <c r="E335" s="17">
        <f>"A"</f>
        <v/>
      </c>
      <c r="F335" s="17">
        <f>IF($B335="","",IF(COUNTIF(tblAnahtarA[Norm],$B335)&gt;1,"EVET","HAYIR"))</f>
        <v/>
      </c>
      <c r="G335" s="17">
        <f>IF($A335="","",ROW()-ROW($A$5))</f>
        <v/>
      </c>
      <c r="I335" s="7">
        <f>IF(HAKEDIS!A335="","",HAKEDIS!A335)</f>
        <v/>
      </c>
      <c r="J335" s="17">
        <f>UPPER(TRIM(SUBSTITUTE($I335," ","")))</f>
        <v/>
      </c>
      <c r="K335" s="17">
        <f>IF($J335="",0,LEN($J335))</f>
        <v/>
      </c>
      <c r="L335" s="17">
        <f>IF($J335="","",LEFT($J335,tyk_ikincilUzunluk))</f>
        <v/>
      </c>
      <c r="M335" s="17">
        <f>"B"</f>
        <v/>
      </c>
      <c r="N335" s="17">
        <f>IF($J335="","",IF(COUNTIF(tblAnahtarB[NormB],$J335)&gt;1,"EVET","HAYIR"))</f>
        <v/>
      </c>
      <c r="O335" s="17">
        <f>IF($I335="","",ROW()-ROW($I$5))</f>
        <v/>
      </c>
    </row>
    <row r="336">
      <c r="A336" s="7">
        <f>IF(GIRDI!A336="","",GIRDI!A336)</f>
        <v/>
      </c>
      <c r="B336" s="17">
        <f>UPPER(TRIM(SUBSTITUTE($A336," ","")))</f>
        <v/>
      </c>
      <c r="C336" s="17">
        <f>IF($B336="",0,LEN($B336))</f>
        <v/>
      </c>
      <c r="D336" s="17">
        <f>IF($B336="","",LEFT($B336,tyk_ikincilUzunluk))</f>
        <v/>
      </c>
      <c r="E336" s="17">
        <f>"A"</f>
        <v/>
      </c>
      <c r="F336" s="17">
        <f>IF($B336="","",IF(COUNTIF(tblAnahtarA[Norm],$B336)&gt;1,"EVET","HAYIR"))</f>
        <v/>
      </c>
      <c r="G336" s="17">
        <f>IF($A336="","",ROW()-ROW($A$5))</f>
        <v/>
      </c>
      <c r="I336" s="7">
        <f>IF(HAKEDIS!A336="","",HAKEDIS!A336)</f>
        <v/>
      </c>
      <c r="J336" s="17">
        <f>UPPER(TRIM(SUBSTITUTE($I336," ","")))</f>
        <v/>
      </c>
      <c r="K336" s="17">
        <f>IF($J336="",0,LEN($J336))</f>
        <v/>
      </c>
      <c r="L336" s="17">
        <f>IF($J336="","",LEFT($J336,tyk_ikincilUzunluk))</f>
        <v/>
      </c>
      <c r="M336" s="17">
        <f>"B"</f>
        <v/>
      </c>
      <c r="N336" s="17">
        <f>IF($J336="","",IF(COUNTIF(tblAnahtarB[NormB],$J336)&gt;1,"EVET","HAYIR"))</f>
        <v/>
      </c>
      <c r="O336" s="17">
        <f>IF($I336="","",ROW()-ROW($I$5))</f>
        <v/>
      </c>
    </row>
    <row r="337">
      <c r="A337" s="7">
        <f>IF(GIRDI!A337="","",GIRDI!A337)</f>
        <v/>
      </c>
      <c r="B337" s="17">
        <f>UPPER(TRIM(SUBSTITUTE($A337," ","")))</f>
        <v/>
      </c>
      <c r="C337" s="17">
        <f>IF($B337="",0,LEN($B337))</f>
        <v/>
      </c>
      <c r="D337" s="17">
        <f>IF($B337="","",LEFT($B337,tyk_ikincilUzunluk))</f>
        <v/>
      </c>
      <c r="E337" s="17">
        <f>"A"</f>
        <v/>
      </c>
      <c r="F337" s="17">
        <f>IF($B337="","",IF(COUNTIF(tblAnahtarA[Norm],$B337)&gt;1,"EVET","HAYIR"))</f>
        <v/>
      </c>
      <c r="G337" s="17">
        <f>IF($A337="","",ROW()-ROW($A$5))</f>
        <v/>
      </c>
      <c r="I337" s="7">
        <f>IF(HAKEDIS!A337="","",HAKEDIS!A337)</f>
        <v/>
      </c>
      <c r="J337" s="17">
        <f>UPPER(TRIM(SUBSTITUTE($I337," ","")))</f>
        <v/>
      </c>
      <c r="K337" s="17">
        <f>IF($J337="",0,LEN($J337))</f>
        <v/>
      </c>
      <c r="L337" s="17">
        <f>IF($J337="","",LEFT($J337,tyk_ikincilUzunluk))</f>
        <v/>
      </c>
      <c r="M337" s="17">
        <f>"B"</f>
        <v/>
      </c>
      <c r="N337" s="17">
        <f>IF($J337="","",IF(COUNTIF(tblAnahtarB[NormB],$J337)&gt;1,"EVET","HAYIR"))</f>
        <v/>
      </c>
      <c r="O337" s="17">
        <f>IF($I337="","",ROW()-ROW($I$5))</f>
        <v/>
      </c>
    </row>
    <row r="338">
      <c r="A338" s="7">
        <f>IF(GIRDI!A338="","",GIRDI!A338)</f>
        <v/>
      </c>
      <c r="B338" s="17">
        <f>UPPER(TRIM(SUBSTITUTE($A338," ","")))</f>
        <v/>
      </c>
      <c r="C338" s="17">
        <f>IF($B338="",0,LEN($B338))</f>
        <v/>
      </c>
      <c r="D338" s="17">
        <f>IF($B338="","",LEFT($B338,tyk_ikincilUzunluk))</f>
        <v/>
      </c>
      <c r="E338" s="17">
        <f>"A"</f>
        <v/>
      </c>
      <c r="F338" s="17">
        <f>IF($B338="","",IF(COUNTIF(tblAnahtarA[Norm],$B338)&gt;1,"EVET","HAYIR"))</f>
        <v/>
      </c>
      <c r="G338" s="17">
        <f>IF($A338="","",ROW()-ROW($A$5))</f>
        <v/>
      </c>
      <c r="I338" s="7">
        <f>IF(HAKEDIS!A338="","",HAKEDIS!A338)</f>
        <v/>
      </c>
      <c r="J338" s="17">
        <f>UPPER(TRIM(SUBSTITUTE($I338," ","")))</f>
        <v/>
      </c>
      <c r="K338" s="17">
        <f>IF($J338="",0,LEN($J338))</f>
        <v/>
      </c>
      <c r="L338" s="17">
        <f>IF($J338="","",LEFT($J338,tyk_ikincilUzunluk))</f>
        <v/>
      </c>
      <c r="M338" s="17">
        <f>"B"</f>
        <v/>
      </c>
      <c r="N338" s="17">
        <f>IF($J338="","",IF(COUNTIF(tblAnahtarB[NormB],$J338)&gt;1,"EVET","HAYIR"))</f>
        <v/>
      </c>
      <c r="O338" s="17">
        <f>IF($I338="","",ROW()-ROW($I$5))</f>
        <v/>
      </c>
    </row>
    <row r="339">
      <c r="A339" s="7">
        <f>IF(GIRDI!A339="","",GIRDI!A339)</f>
        <v/>
      </c>
      <c r="B339" s="17">
        <f>UPPER(TRIM(SUBSTITUTE($A339," ","")))</f>
        <v/>
      </c>
      <c r="C339" s="17">
        <f>IF($B339="",0,LEN($B339))</f>
        <v/>
      </c>
      <c r="D339" s="17">
        <f>IF($B339="","",LEFT($B339,tyk_ikincilUzunluk))</f>
        <v/>
      </c>
      <c r="E339" s="17">
        <f>"A"</f>
        <v/>
      </c>
      <c r="F339" s="17">
        <f>IF($B339="","",IF(COUNTIF(tblAnahtarA[Norm],$B339)&gt;1,"EVET","HAYIR"))</f>
        <v/>
      </c>
      <c r="G339" s="17">
        <f>IF($A339="","",ROW()-ROW($A$5))</f>
        <v/>
      </c>
      <c r="I339" s="7">
        <f>IF(HAKEDIS!A339="","",HAKEDIS!A339)</f>
        <v/>
      </c>
      <c r="J339" s="17">
        <f>UPPER(TRIM(SUBSTITUTE($I339," ","")))</f>
        <v/>
      </c>
      <c r="K339" s="17">
        <f>IF($J339="",0,LEN($J339))</f>
        <v/>
      </c>
      <c r="L339" s="17">
        <f>IF($J339="","",LEFT($J339,tyk_ikincilUzunluk))</f>
        <v/>
      </c>
      <c r="M339" s="17">
        <f>"B"</f>
        <v/>
      </c>
      <c r="N339" s="17">
        <f>IF($J339="","",IF(COUNTIF(tblAnahtarB[NormB],$J339)&gt;1,"EVET","HAYIR"))</f>
        <v/>
      </c>
      <c r="O339" s="17">
        <f>IF($I339="","",ROW()-ROW($I$5))</f>
        <v/>
      </c>
    </row>
    <row r="340">
      <c r="A340" s="7">
        <f>IF(GIRDI!A340="","",GIRDI!A340)</f>
        <v/>
      </c>
      <c r="B340" s="17">
        <f>UPPER(TRIM(SUBSTITUTE($A340," ","")))</f>
        <v/>
      </c>
      <c r="C340" s="17">
        <f>IF($B340="",0,LEN($B340))</f>
        <v/>
      </c>
      <c r="D340" s="17">
        <f>IF($B340="","",LEFT($B340,tyk_ikincilUzunluk))</f>
        <v/>
      </c>
      <c r="E340" s="17">
        <f>"A"</f>
        <v/>
      </c>
      <c r="F340" s="17">
        <f>IF($B340="","",IF(COUNTIF(tblAnahtarA[Norm],$B340)&gt;1,"EVET","HAYIR"))</f>
        <v/>
      </c>
      <c r="G340" s="17">
        <f>IF($A340="","",ROW()-ROW($A$5))</f>
        <v/>
      </c>
      <c r="I340" s="7">
        <f>IF(HAKEDIS!A340="","",HAKEDIS!A340)</f>
        <v/>
      </c>
      <c r="J340" s="17">
        <f>UPPER(TRIM(SUBSTITUTE($I340," ","")))</f>
        <v/>
      </c>
      <c r="K340" s="17">
        <f>IF($J340="",0,LEN($J340))</f>
        <v/>
      </c>
      <c r="L340" s="17">
        <f>IF($J340="","",LEFT($J340,tyk_ikincilUzunluk))</f>
        <v/>
      </c>
      <c r="M340" s="17">
        <f>"B"</f>
        <v/>
      </c>
      <c r="N340" s="17">
        <f>IF($J340="","",IF(COUNTIF(tblAnahtarB[NormB],$J340)&gt;1,"EVET","HAYIR"))</f>
        <v/>
      </c>
      <c r="O340" s="17">
        <f>IF($I340="","",ROW()-ROW($I$5))</f>
        <v/>
      </c>
    </row>
    <row r="341">
      <c r="A341" s="7">
        <f>IF(GIRDI!A341="","",GIRDI!A341)</f>
        <v/>
      </c>
      <c r="B341" s="17">
        <f>UPPER(TRIM(SUBSTITUTE($A341," ","")))</f>
        <v/>
      </c>
      <c r="C341" s="17">
        <f>IF($B341="",0,LEN($B341))</f>
        <v/>
      </c>
      <c r="D341" s="17">
        <f>IF($B341="","",LEFT($B341,tyk_ikincilUzunluk))</f>
        <v/>
      </c>
      <c r="E341" s="17">
        <f>"A"</f>
        <v/>
      </c>
      <c r="F341" s="17">
        <f>IF($B341="","",IF(COUNTIF(tblAnahtarA[Norm],$B341)&gt;1,"EVET","HAYIR"))</f>
        <v/>
      </c>
      <c r="G341" s="17">
        <f>IF($A341="","",ROW()-ROW($A$5))</f>
        <v/>
      </c>
      <c r="I341" s="7">
        <f>IF(HAKEDIS!A341="","",HAKEDIS!A341)</f>
        <v/>
      </c>
      <c r="J341" s="17">
        <f>UPPER(TRIM(SUBSTITUTE($I341," ","")))</f>
        <v/>
      </c>
      <c r="K341" s="17">
        <f>IF($J341="",0,LEN($J341))</f>
        <v/>
      </c>
      <c r="L341" s="17">
        <f>IF($J341="","",LEFT($J341,tyk_ikincilUzunluk))</f>
        <v/>
      </c>
      <c r="M341" s="17">
        <f>"B"</f>
        <v/>
      </c>
      <c r="N341" s="17">
        <f>IF($J341="","",IF(COUNTIF(tblAnahtarB[NormB],$J341)&gt;1,"EVET","HAYIR"))</f>
        <v/>
      </c>
      <c r="O341" s="17">
        <f>IF($I341="","",ROW()-ROW($I$5))</f>
        <v/>
      </c>
    </row>
    <row r="342">
      <c r="A342" s="7">
        <f>IF(GIRDI!A342="","",GIRDI!A342)</f>
        <v/>
      </c>
      <c r="B342" s="17">
        <f>UPPER(TRIM(SUBSTITUTE($A342," ","")))</f>
        <v/>
      </c>
      <c r="C342" s="17">
        <f>IF($B342="",0,LEN($B342))</f>
        <v/>
      </c>
      <c r="D342" s="17">
        <f>IF($B342="","",LEFT($B342,tyk_ikincilUzunluk))</f>
        <v/>
      </c>
      <c r="E342" s="17">
        <f>"A"</f>
        <v/>
      </c>
      <c r="F342" s="17">
        <f>IF($B342="","",IF(COUNTIF(tblAnahtarA[Norm],$B342)&gt;1,"EVET","HAYIR"))</f>
        <v/>
      </c>
      <c r="G342" s="17">
        <f>IF($A342="","",ROW()-ROW($A$5))</f>
        <v/>
      </c>
      <c r="I342" s="7">
        <f>IF(HAKEDIS!A342="","",HAKEDIS!A342)</f>
        <v/>
      </c>
      <c r="J342" s="17">
        <f>UPPER(TRIM(SUBSTITUTE($I342," ","")))</f>
        <v/>
      </c>
      <c r="K342" s="17">
        <f>IF($J342="",0,LEN($J342))</f>
        <v/>
      </c>
      <c r="L342" s="17">
        <f>IF($J342="","",LEFT($J342,tyk_ikincilUzunluk))</f>
        <v/>
      </c>
      <c r="M342" s="17">
        <f>"B"</f>
        <v/>
      </c>
      <c r="N342" s="17">
        <f>IF($J342="","",IF(COUNTIF(tblAnahtarB[NormB],$J342)&gt;1,"EVET","HAYIR"))</f>
        <v/>
      </c>
      <c r="O342" s="17">
        <f>IF($I342="","",ROW()-ROW($I$5))</f>
        <v/>
      </c>
    </row>
    <row r="343">
      <c r="A343" s="7">
        <f>IF(GIRDI!A343="","",GIRDI!A343)</f>
        <v/>
      </c>
      <c r="B343" s="17">
        <f>UPPER(TRIM(SUBSTITUTE($A343," ","")))</f>
        <v/>
      </c>
      <c r="C343" s="17">
        <f>IF($B343="",0,LEN($B343))</f>
        <v/>
      </c>
      <c r="D343" s="17">
        <f>IF($B343="","",LEFT($B343,tyk_ikincilUzunluk))</f>
        <v/>
      </c>
      <c r="E343" s="17">
        <f>"A"</f>
        <v/>
      </c>
      <c r="F343" s="17">
        <f>IF($B343="","",IF(COUNTIF(tblAnahtarA[Norm],$B343)&gt;1,"EVET","HAYIR"))</f>
        <v/>
      </c>
      <c r="G343" s="17">
        <f>IF($A343="","",ROW()-ROW($A$5))</f>
        <v/>
      </c>
      <c r="I343" s="7">
        <f>IF(HAKEDIS!A343="","",HAKEDIS!A343)</f>
        <v/>
      </c>
      <c r="J343" s="17">
        <f>UPPER(TRIM(SUBSTITUTE($I343," ","")))</f>
        <v/>
      </c>
      <c r="K343" s="17">
        <f>IF($J343="",0,LEN($J343))</f>
        <v/>
      </c>
      <c r="L343" s="17">
        <f>IF($J343="","",LEFT($J343,tyk_ikincilUzunluk))</f>
        <v/>
      </c>
      <c r="M343" s="17">
        <f>"B"</f>
        <v/>
      </c>
      <c r="N343" s="17">
        <f>IF($J343="","",IF(COUNTIF(tblAnahtarB[NormB],$J343)&gt;1,"EVET","HAYIR"))</f>
        <v/>
      </c>
      <c r="O343" s="17">
        <f>IF($I343="","",ROW()-ROW($I$5))</f>
        <v/>
      </c>
    </row>
    <row r="344">
      <c r="A344" s="7">
        <f>IF(GIRDI!A344="","",GIRDI!A344)</f>
        <v/>
      </c>
      <c r="B344" s="17">
        <f>UPPER(TRIM(SUBSTITUTE($A344," ","")))</f>
        <v/>
      </c>
      <c r="C344" s="17">
        <f>IF($B344="",0,LEN($B344))</f>
        <v/>
      </c>
      <c r="D344" s="17">
        <f>IF($B344="","",LEFT($B344,tyk_ikincilUzunluk))</f>
        <v/>
      </c>
      <c r="E344" s="17">
        <f>"A"</f>
        <v/>
      </c>
      <c r="F344" s="17">
        <f>IF($B344="","",IF(COUNTIF(tblAnahtarA[Norm],$B344)&gt;1,"EVET","HAYIR"))</f>
        <v/>
      </c>
      <c r="G344" s="17">
        <f>IF($A344="","",ROW()-ROW($A$5))</f>
        <v/>
      </c>
      <c r="I344" s="7">
        <f>IF(HAKEDIS!A344="","",HAKEDIS!A344)</f>
        <v/>
      </c>
      <c r="J344" s="17">
        <f>UPPER(TRIM(SUBSTITUTE($I344," ","")))</f>
        <v/>
      </c>
      <c r="K344" s="17">
        <f>IF($J344="",0,LEN($J344))</f>
        <v/>
      </c>
      <c r="L344" s="17">
        <f>IF($J344="","",LEFT($J344,tyk_ikincilUzunluk))</f>
        <v/>
      </c>
      <c r="M344" s="17">
        <f>"B"</f>
        <v/>
      </c>
      <c r="N344" s="17">
        <f>IF($J344="","",IF(COUNTIF(tblAnahtarB[NormB],$J344)&gt;1,"EVET","HAYIR"))</f>
        <v/>
      </c>
      <c r="O344" s="17">
        <f>IF($I344="","",ROW()-ROW($I$5))</f>
        <v/>
      </c>
    </row>
    <row r="345">
      <c r="A345" s="7">
        <f>IF(GIRDI!A345="","",GIRDI!A345)</f>
        <v/>
      </c>
      <c r="B345" s="17">
        <f>UPPER(TRIM(SUBSTITUTE($A345," ","")))</f>
        <v/>
      </c>
      <c r="C345" s="17">
        <f>IF($B345="",0,LEN($B345))</f>
        <v/>
      </c>
      <c r="D345" s="17">
        <f>IF($B345="","",LEFT($B345,tyk_ikincilUzunluk))</f>
        <v/>
      </c>
      <c r="E345" s="17">
        <f>"A"</f>
        <v/>
      </c>
      <c r="F345" s="17">
        <f>IF($B345="","",IF(COUNTIF(tblAnahtarA[Norm],$B345)&gt;1,"EVET","HAYIR"))</f>
        <v/>
      </c>
      <c r="G345" s="17">
        <f>IF($A345="","",ROW()-ROW($A$5))</f>
        <v/>
      </c>
      <c r="I345" s="7">
        <f>IF(HAKEDIS!A345="","",HAKEDIS!A345)</f>
        <v/>
      </c>
      <c r="J345" s="17">
        <f>UPPER(TRIM(SUBSTITUTE($I345," ","")))</f>
        <v/>
      </c>
      <c r="K345" s="17">
        <f>IF($J345="",0,LEN($J345))</f>
        <v/>
      </c>
      <c r="L345" s="17">
        <f>IF($J345="","",LEFT($J345,tyk_ikincilUzunluk))</f>
        <v/>
      </c>
      <c r="M345" s="17">
        <f>"B"</f>
        <v/>
      </c>
      <c r="N345" s="17">
        <f>IF($J345="","",IF(COUNTIF(tblAnahtarB[NormB],$J345)&gt;1,"EVET","HAYIR"))</f>
        <v/>
      </c>
      <c r="O345" s="17">
        <f>IF($I345="","",ROW()-ROW($I$5))</f>
        <v/>
      </c>
    </row>
    <row r="346">
      <c r="A346" s="7">
        <f>IF(GIRDI!A346="","",GIRDI!A346)</f>
        <v/>
      </c>
      <c r="B346" s="17">
        <f>UPPER(TRIM(SUBSTITUTE($A346," ","")))</f>
        <v/>
      </c>
      <c r="C346" s="17">
        <f>IF($B346="",0,LEN($B346))</f>
        <v/>
      </c>
      <c r="D346" s="17">
        <f>IF($B346="","",LEFT($B346,tyk_ikincilUzunluk))</f>
        <v/>
      </c>
      <c r="E346" s="17">
        <f>"A"</f>
        <v/>
      </c>
      <c r="F346" s="17">
        <f>IF($B346="","",IF(COUNTIF(tblAnahtarA[Norm],$B346)&gt;1,"EVET","HAYIR"))</f>
        <v/>
      </c>
      <c r="G346" s="17">
        <f>IF($A346="","",ROW()-ROW($A$5))</f>
        <v/>
      </c>
      <c r="I346" s="7">
        <f>IF(HAKEDIS!A346="","",HAKEDIS!A346)</f>
        <v/>
      </c>
      <c r="J346" s="17">
        <f>UPPER(TRIM(SUBSTITUTE($I346," ","")))</f>
        <v/>
      </c>
      <c r="K346" s="17">
        <f>IF($J346="",0,LEN($J346))</f>
        <v/>
      </c>
      <c r="L346" s="17">
        <f>IF($J346="","",LEFT($J346,tyk_ikincilUzunluk))</f>
        <v/>
      </c>
      <c r="M346" s="17">
        <f>"B"</f>
        <v/>
      </c>
      <c r="N346" s="17">
        <f>IF($J346="","",IF(COUNTIF(tblAnahtarB[NormB],$J346)&gt;1,"EVET","HAYIR"))</f>
        <v/>
      </c>
      <c r="O346" s="17">
        <f>IF($I346="","",ROW()-ROW($I$5))</f>
        <v/>
      </c>
    </row>
    <row r="347">
      <c r="A347" s="7">
        <f>IF(GIRDI!A347="","",GIRDI!A347)</f>
        <v/>
      </c>
      <c r="B347" s="17">
        <f>UPPER(TRIM(SUBSTITUTE($A347," ","")))</f>
        <v/>
      </c>
      <c r="C347" s="17">
        <f>IF($B347="",0,LEN($B347))</f>
        <v/>
      </c>
      <c r="D347" s="17">
        <f>IF($B347="","",LEFT($B347,tyk_ikincilUzunluk))</f>
        <v/>
      </c>
      <c r="E347" s="17">
        <f>"A"</f>
        <v/>
      </c>
      <c r="F347" s="17">
        <f>IF($B347="","",IF(COUNTIF(tblAnahtarA[Norm],$B347)&gt;1,"EVET","HAYIR"))</f>
        <v/>
      </c>
      <c r="G347" s="17">
        <f>IF($A347="","",ROW()-ROW($A$5))</f>
        <v/>
      </c>
      <c r="I347" s="7">
        <f>IF(HAKEDIS!A347="","",HAKEDIS!A347)</f>
        <v/>
      </c>
      <c r="J347" s="17">
        <f>UPPER(TRIM(SUBSTITUTE($I347," ","")))</f>
        <v/>
      </c>
      <c r="K347" s="17">
        <f>IF($J347="",0,LEN($J347))</f>
        <v/>
      </c>
      <c r="L347" s="17">
        <f>IF($J347="","",LEFT($J347,tyk_ikincilUzunluk))</f>
        <v/>
      </c>
      <c r="M347" s="17">
        <f>"B"</f>
        <v/>
      </c>
      <c r="N347" s="17">
        <f>IF($J347="","",IF(COUNTIF(tblAnahtarB[NormB],$J347)&gt;1,"EVET","HAYIR"))</f>
        <v/>
      </c>
      <c r="O347" s="17">
        <f>IF($I347="","",ROW()-ROW($I$5))</f>
        <v/>
      </c>
    </row>
    <row r="348">
      <c r="A348" s="7">
        <f>IF(GIRDI!A348="","",GIRDI!A348)</f>
        <v/>
      </c>
      <c r="B348" s="17">
        <f>UPPER(TRIM(SUBSTITUTE($A348," ","")))</f>
        <v/>
      </c>
      <c r="C348" s="17">
        <f>IF($B348="",0,LEN($B348))</f>
        <v/>
      </c>
      <c r="D348" s="17">
        <f>IF($B348="","",LEFT($B348,tyk_ikincilUzunluk))</f>
        <v/>
      </c>
      <c r="E348" s="17">
        <f>"A"</f>
        <v/>
      </c>
      <c r="F348" s="17">
        <f>IF($B348="","",IF(COUNTIF(tblAnahtarA[Norm],$B348)&gt;1,"EVET","HAYIR"))</f>
        <v/>
      </c>
      <c r="G348" s="17">
        <f>IF($A348="","",ROW()-ROW($A$5))</f>
        <v/>
      </c>
      <c r="I348" s="7">
        <f>IF(HAKEDIS!A348="","",HAKEDIS!A348)</f>
        <v/>
      </c>
      <c r="J348" s="17">
        <f>UPPER(TRIM(SUBSTITUTE($I348," ","")))</f>
        <v/>
      </c>
      <c r="K348" s="17">
        <f>IF($J348="",0,LEN($J348))</f>
        <v/>
      </c>
      <c r="L348" s="17">
        <f>IF($J348="","",LEFT($J348,tyk_ikincilUzunluk))</f>
        <v/>
      </c>
      <c r="M348" s="17">
        <f>"B"</f>
        <v/>
      </c>
      <c r="N348" s="17">
        <f>IF($J348="","",IF(COUNTIF(tblAnahtarB[NormB],$J348)&gt;1,"EVET","HAYIR"))</f>
        <v/>
      </c>
      <c r="O348" s="17">
        <f>IF($I348="","",ROW()-ROW($I$5))</f>
        <v/>
      </c>
    </row>
    <row r="349">
      <c r="A349" s="7">
        <f>IF(GIRDI!A349="","",GIRDI!A349)</f>
        <v/>
      </c>
      <c r="B349" s="17">
        <f>UPPER(TRIM(SUBSTITUTE($A349," ","")))</f>
        <v/>
      </c>
      <c r="C349" s="17">
        <f>IF($B349="",0,LEN($B349))</f>
        <v/>
      </c>
      <c r="D349" s="17">
        <f>IF($B349="","",LEFT($B349,tyk_ikincilUzunluk))</f>
        <v/>
      </c>
      <c r="E349" s="17">
        <f>"A"</f>
        <v/>
      </c>
      <c r="F349" s="17">
        <f>IF($B349="","",IF(COUNTIF(tblAnahtarA[Norm],$B349)&gt;1,"EVET","HAYIR"))</f>
        <v/>
      </c>
      <c r="G349" s="17">
        <f>IF($A349="","",ROW()-ROW($A$5))</f>
        <v/>
      </c>
      <c r="I349" s="7">
        <f>IF(HAKEDIS!A349="","",HAKEDIS!A349)</f>
        <v/>
      </c>
      <c r="J349" s="17">
        <f>UPPER(TRIM(SUBSTITUTE($I349," ","")))</f>
        <v/>
      </c>
      <c r="K349" s="17">
        <f>IF($J349="",0,LEN($J349))</f>
        <v/>
      </c>
      <c r="L349" s="17">
        <f>IF($J349="","",LEFT($J349,tyk_ikincilUzunluk))</f>
        <v/>
      </c>
      <c r="M349" s="17">
        <f>"B"</f>
        <v/>
      </c>
      <c r="N349" s="17">
        <f>IF($J349="","",IF(COUNTIF(tblAnahtarB[NormB],$J349)&gt;1,"EVET","HAYIR"))</f>
        <v/>
      </c>
      <c r="O349" s="17">
        <f>IF($I349="","",ROW()-ROW($I$5))</f>
        <v/>
      </c>
    </row>
    <row r="350">
      <c r="A350" s="7">
        <f>IF(GIRDI!A350="","",GIRDI!A350)</f>
        <v/>
      </c>
      <c r="B350" s="17">
        <f>UPPER(TRIM(SUBSTITUTE($A350," ","")))</f>
        <v/>
      </c>
      <c r="C350" s="17">
        <f>IF($B350="",0,LEN($B350))</f>
        <v/>
      </c>
      <c r="D350" s="17">
        <f>IF($B350="","",LEFT($B350,tyk_ikincilUzunluk))</f>
        <v/>
      </c>
      <c r="E350" s="17">
        <f>"A"</f>
        <v/>
      </c>
      <c r="F350" s="17">
        <f>IF($B350="","",IF(COUNTIF(tblAnahtarA[Norm],$B350)&gt;1,"EVET","HAYIR"))</f>
        <v/>
      </c>
      <c r="G350" s="17">
        <f>IF($A350="","",ROW()-ROW($A$5))</f>
        <v/>
      </c>
      <c r="I350" s="7">
        <f>IF(HAKEDIS!A350="","",HAKEDIS!A350)</f>
        <v/>
      </c>
      <c r="J350" s="17">
        <f>UPPER(TRIM(SUBSTITUTE($I350," ","")))</f>
        <v/>
      </c>
      <c r="K350" s="17">
        <f>IF($J350="",0,LEN($J350))</f>
        <v/>
      </c>
      <c r="L350" s="17">
        <f>IF($J350="","",LEFT($J350,tyk_ikincilUzunluk))</f>
        <v/>
      </c>
      <c r="M350" s="17">
        <f>"B"</f>
        <v/>
      </c>
      <c r="N350" s="17">
        <f>IF($J350="","",IF(COUNTIF(tblAnahtarB[NormB],$J350)&gt;1,"EVET","HAYIR"))</f>
        <v/>
      </c>
      <c r="O350" s="17">
        <f>IF($I350="","",ROW()-ROW($I$5))</f>
        <v/>
      </c>
    </row>
    <row r="351">
      <c r="A351" s="7">
        <f>IF(GIRDI!A351="","",GIRDI!A351)</f>
        <v/>
      </c>
      <c r="B351" s="17">
        <f>UPPER(TRIM(SUBSTITUTE($A351," ","")))</f>
        <v/>
      </c>
      <c r="C351" s="17">
        <f>IF($B351="",0,LEN($B351))</f>
        <v/>
      </c>
      <c r="D351" s="17">
        <f>IF($B351="","",LEFT($B351,tyk_ikincilUzunluk))</f>
        <v/>
      </c>
      <c r="E351" s="17">
        <f>"A"</f>
        <v/>
      </c>
      <c r="F351" s="17">
        <f>IF($B351="","",IF(COUNTIF(tblAnahtarA[Norm],$B351)&gt;1,"EVET","HAYIR"))</f>
        <v/>
      </c>
      <c r="G351" s="17">
        <f>IF($A351="","",ROW()-ROW($A$5))</f>
        <v/>
      </c>
      <c r="I351" s="7">
        <f>IF(HAKEDIS!A351="","",HAKEDIS!A351)</f>
        <v/>
      </c>
      <c r="J351" s="17">
        <f>UPPER(TRIM(SUBSTITUTE($I351," ","")))</f>
        <v/>
      </c>
      <c r="K351" s="17">
        <f>IF($J351="",0,LEN($J351))</f>
        <v/>
      </c>
      <c r="L351" s="17">
        <f>IF($J351="","",LEFT($J351,tyk_ikincilUzunluk))</f>
        <v/>
      </c>
      <c r="M351" s="17">
        <f>"B"</f>
        <v/>
      </c>
      <c r="N351" s="17">
        <f>IF($J351="","",IF(COUNTIF(tblAnahtarB[NormB],$J351)&gt;1,"EVET","HAYIR"))</f>
        <v/>
      </c>
      <c r="O351" s="17">
        <f>IF($I351="","",ROW()-ROW($I$5))</f>
        <v/>
      </c>
    </row>
    <row r="352">
      <c r="A352" s="7">
        <f>IF(GIRDI!A352="","",GIRDI!A352)</f>
        <v/>
      </c>
      <c r="B352" s="17">
        <f>UPPER(TRIM(SUBSTITUTE($A352," ","")))</f>
        <v/>
      </c>
      <c r="C352" s="17">
        <f>IF($B352="",0,LEN($B352))</f>
        <v/>
      </c>
      <c r="D352" s="17">
        <f>IF($B352="","",LEFT($B352,tyk_ikincilUzunluk))</f>
        <v/>
      </c>
      <c r="E352" s="17">
        <f>"A"</f>
        <v/>
      </c>
      <c r="F352" s="17">
        <f>IF($B352="","",IF(COUNTIF(tblAnahtarA[Norm],$B352)&gt;1,"EVET","HAYIR"))</f>
        <v/>
      </c>
      <c r="G352" s="17">
        <f>IF($A352="","",ROW()-ROW($A$5))</f>
        <v/>
      </c>
      <c r="I352" s="7">
        <f>IF(HAKEDIS!A352="","",HAKEDIS!A352)</f>
        <v/>
      </c>
      <c r="J352" s="17">
        <f>UPPER(TRIM(SUBSTITUTE($I352," ","")))</f>
        <v/>
      </c>
      <c r="K352" s="17">
        <f>IF($J352="",0,LEN($J352))</f>
        <v/>
      </c>
      <c r="L352" s="17">
        <f>IF($J352="","",LEFT($J352,tyk_ikincilUzunluk))</f>
        <v/>
      </c>
      <c r="M352" s="17">
        <f>"B"</f>
        <v/>
      </c>
      <c r="N352" s="17">
        <f>IF($J352="","",IF(COUNTIF(tblAnahtarB[NormB],$J352)&gt;1,"EVET","HAYIR"))</f>
        <v/>
      </c>
      <c r="O352" s="17">
        <f>IF($I352="","",ROW()-ROW($I$5))</f>
        <v/>
      </c>
    </row>
    <row r="353">
      <c r="A353" s="7">
        <f>IF(GIRDI!A353="","",GIRDI!A353)</f>
        <v/>
      </c>
      <c r="B353" s="17">
        <f>UPPER(TRIM(SUBSTITUTE($A353," ","")))</f>
        <v/>
      </c>
      <c r="C353" s="17">
        <f>IF($B353="",0,LEN($B353))</f>
        <v/>
      </c>
      <c r="D353" s="17">
        <f>IF($B353="","",LEFT($B353,tyk_ikincilUzunluk))</f>
        <v/>
      </c>
      <c r="E353" s="17">
        <f>"A"</f>
        <v/>
      </c>
      <c r="F353" s="17">
        <f>IF($B353="","",IF(COUNTIF(tblAnahtarA[Norm],$B353)&gt;1,"EVET","HAYIR"))</f>
        <v/>
      </c>
      <c r="G353" s="17">
        <f>IF($A353="","",ROW()-ROW($A$5))</f>
        <v/>
      </c>
      <c r="I353" s="7">
        <f>IF(HAKEDIS!A353="","",HAKEDIS!A353)</f>
        <v/>
      </c>
      <c r="J353" s="17">
        <f>UPPER(TRIM(SUBSTITUTE($I353," ","")))</f>
        <v/>
      </c>
      <c r="K353" s="17">
        <f>IF($J353="",0,LEN($J353))</f>
        <v/>
      </c>
      <c r="L353" s="17">
        <f>IF($J353="","",LEFT($J353,tyk_ikincilUzunluk))</f>
        <v/>
      </c>
      <c r="M353" s="17">
        <f>"B"</f>
        <v/>
      </c>
      <c r="N353" s="17">
        <f>IF($J353="","",IF(COUNTIF(tblAnahtarB[NormB],$J353)&gt;1,"EVET","HAYIR"))</f>
        <v/>
      </c>
      <c r="O353" s="17">
        <f>IF($I353="","",ROW()-ROW($I$5))</f>
        <v/>
      </c>
    </row>
    <row r="354">
      <c r="A354" s="7">
        <f>IF(GIRDI!A354="","",GIRDI!A354)</f>
        <v/>
      </c>
      <c r="B354" s="17">
        <f>UPPER(TRIM(SUBSTITUTE($A354," ","")))</f>
        <v/>
      </c>
      <c r="C354" s="17">
        <f>IF($B354="",0,LEN($B354))</f>
        <v/>
      </c>
      <c r="D354" s="17">
        <f>IF($B354="","",LEFT($B354,tyk_ikincilUzunluk))</f>
        <v/>
      </c>
      <c r="E354" s="17">
        <f>"A"</f>
        <v/>
      </c>
      <c r="F354" s="17">
        <f>IF($B354="","",IF(COUNTIF(tblAnahtarA[Norm],$B354)&gt;1,"EVET","HAYIR"))</f>
        <v/>
      </c>
      <c r="G354" s="17">
        <f>IF($A354="","",ROW()-ROW($A$5))</f>
        <v/>
      </c>
      <c r="I354" s="7">
        <f>IF(HAKEDIS!A354="","",HAKEDIS!A354)</f>
        <v/>
      </c>
      <c r="J354" s="17">
        <f>UPPER(TRIM(SUBSTITUTE($I354," ","")))</f>
        <v/>
      </c>
      <c r="K354" s="17">
        <f>IF($J354="",0,LEN($J354))</f>
        <v/>
      </c>
      <c r="L354" s="17">
        <f>IF($J354="","",LEFT($J354,tyk_ikincilUzunluk))</f>
        <v/>
      </c>
      <c r="M354" s="17">
        <f>"B"</f>
        <v/>
      </c>
      <c r="N354" s="17">
        <f>IF($J354="","",IF(COUNTIF(tblAnahtarB[NormB],$J354)&gt;1,"EVET","HAYIR"))</f>
        <v/>
      </c>
      <c r="O354" s="17">
        <f>IF($I354="","",ROW()-ROW($I$5))</f>
        <v/>
      </c>
    </row>
    <row r="355">
      <c r="A355" s="7">
        <f>IF(GIRDI!A355="","",GIRDI!A355)</f>
        <v/>
      </c>
      <c r="B355" s="17">
        <f>UPPER(TRIM(SUBSTITUTE($A355," ","")))</f>
        <v/>
      </c>
      <c r="C355" s="17">
        <f>IF($B355="",0,LEN($B355))</f>
        <v/>
      </c>
      <c r="D355" s="17">
        <f>IF($B355="","",LEFT($B355,tyk_ikincilUzunluk))</f>
        <v/>
      </c>
      <c r="E355" s="17">
        <f>"A"</f>
        <v/>
      </c>
      <c r="F355" s="17">
        <f>IF($B355="","",IF(COUNTIF(tblAnahtarA[Norm],$B355)&gt;1,"EVET","HAYIR"))</f>
        <v/>
      </c>
      <c r="G355" s="17">
        <f>IF($A355="","",ROW()-ROW($A$5))</f>
        <v/>
      </c>
      <c r="I355" s="7">
        <f>IF(HAKEDIS!A355="","",HAKEDIS!A355)</f>
        <v/>
      </c>
      <c r="J355" s="17">
        <f>UPPER(TRIM(SUBSTITUTE($I355," ","")))</f>
        <v/>
      </c>
      <c r="K355" s="17">
        <f>IF($J355="",0,LEN($J355))</f>
        <v/>
      </c>
      <c r="L355" s="17">
        <f>IF($J355="","",LEFT($J355,tyk_ikincilUzunluk))</f>
        <v/>
      </c>
      <c r="M355" s="17">
        <f>"B"</f>
        <v/>
      </c>
      <c r="N355" s="17">
        <f>IF($J355="","",IF(COUNTIF(tblAnahtarB[NormB],$J355)&gt;1,"EVET","HAYIR"))</f>
        <v/>
      </c>
      <c r="O355" s="17">
        <f>IF($I355="","",ROW()-ROW($I$5))</f>
        <v/>
      </c>
    </row>
    <row r="356">
      <c r="A356" s="7">
        <f>IF(GIRDI!A356="","",GIRDI!A356)</f>
        <v/>
      </c>
      <c r="B356" s="17">
        <f>UPPER(TRIM(SUBSTITUTE($A356," ","")))</f>
        <v/>
      </c>
      <c r="C356" s="17">
        <f>IF($B356="",0,LEN($B356))</f>
        <v/>
      </c>
      <c r="D356" s="17">
        <f>IF($B356="","",LEFT($B356,tyk_ikincilUzunluk))</f>
        <v/>
      </c>
      <c r="E356" s="17">
        <f>"A"</f>
        <v/>
      </c>
      <c r="F356" s="17">
        <f>IF($B356="","",IF(COUNTIF(tblAnahtarA[Norm],$B356)&gt;1,"EVET","HAYIR"))</f>
        <v/>
      </c>
      <c r="G356" s="17">
        <f>IF($A356="","",ROW()-ROW($A$5))</f>
        <v/>
      </c>
      <c r="I356" s="7">
        <f>IF(HAKEDIS!A356="","",HAKEDIS!A356)</f>
        <v/>
      </c>
      <c r="J356" s="17">
        <f>UPPER(TRIM(SUBSTITUTE($I356," ","")))</f>
        <v/>
      </c>
      <c r="K356" s="17">
        <f>IF($J356="",0,LEN($J356))</f>
        <v/>
      </c>
      <c r="L356" s="17">
        <f>IF($J356="","",LEFT($J356,tyk_ikincilUzunluk))</f>
        <v/>
      </c>
      <c r="M356" s="17">
        <f>"B"</f>
        <v/>
      </c>
      <c r="N356" s="17">
        <f>IF($J356="","",IF(COUNTIF(tblAnahtarB[NormB],$J356)&gt;1,"EVET","HAYIR"))</f>
        <v/>
      </c>
      <c r="O356" s="17">
        <f>IF($I356="","",ROW()-ROW($I$5))</f>
        <v/>
      </c>
    </row>
    <row r="357">
      <c r="A357" s="7">
        <f>IF(GIRDI!A357="","",GIRDI!A357)</f>
        <v/>
      </c>
      <c r="B357" s="17">
        <f>UPPER(TRIM(SUBSTITUTE($A357," ","")))</f>
        <v/>
      </c>
      <c r="C357" s="17">
        <f>IF($B357="",0,LEN($B357))</f>
        <v/>
      </c>
      <c r="D357" s="17">
        <f>IF($B357="","",LEFT($B357,tyk_ikincilUzunluk))</f>
        <v/>
      </c>
      <c r="E357" s="17">
        <f>"A"</f>
        <v/>
      </c>
      <c r="F357" s="17">
        <f>IF($B357="","",IF(COUNTIF(tblAnahtarA[Norm],$B357)&gt;1,"EVET","HAYIR"))</f>
        <v/>
      </c>
      <c r="G357" s="17">
        <f>IF($A357="","",ROW()-ROW($A$5))</f>
        <v/>
      </c>
      <c r="I357" s="7">
        <f>IF(HAKEDIS!A357="","",HAKEDIS!A357)</f>
        <v/>
      </c>
      <c r="J357" s="17">
        <f>UPPER(TRIM(SUBSTITUTE($I357," ","")))</f>
        <v/>
      </c>
      <c r="K357" s="17">
        <f>IF($J357="",0,LEN($J357))</f>
        <v/>
      </c>
      <c r="L357" s="17">
        <f>IF($J357="","",LEFT($J357,tyk_ikincilUzunluk))</f>
        <v/>
      </c>
      <c r="M357" s="17">
        <f>"B"</f>
        <v/>
      </c>
      <c r="N357" s="17">
        <f>IF($J357="","",IF(COUNTIF(tblAnahtarB[NormB],$J357)&gt;1,"EVET","HAYIR"))</f>
        <v/>
      </c>
      <c r="O357" s="17">
        <f>IF($I357="","",ROW()-ROW($I$5))</f>
        <v/>
      </c>
    </row>
    <row r="358">
      <c r="A358" s="7">
        <f>IF(GIRDI!A358="","",GIRDI!A358)</f>
        <v/>
      </c>
      <c r="B358" s="17">
        <f>UPPER(TRIM(SUBSTITUTE($A358," ","")))</f>
        <v/>
      </c>
      <c r="C358" s="17">
        <f>IF($B358="",0,LEN($B358))</f>
        <v/>
      </c>
      <c r="D358" s="17">
        <f>IF($B358="","",LEFT($B358,tyk_ikincilUzunluk))</f>
        <v/>
      </c>
      <c r="E358" s="17">
        <f>"A"</f>
        <v/>
      </c>
      <c r="F358" s="17">
        <f>IF($B358="","",IF(COUNTIF(tblAnahtarA[Norm],$B358)&gt;1,"EVET","HAYIR"))</f>
        <v/>
      </c>
      <c r="G358" s="17">
        <f>IF($A358="","",ROW()-ROW($A$5))</f>
        <v/>
      </c>
      <c r="I358" s="7">
        <f>IF(HAKEDIS!A358="","",HAKEDIS!A358)</f>
        <v/>
      </c>
      <c r="J358" s="17">
        <f>UPPER(TRIM(SUBSTITUTE($I358," ","")))</f>
        <v/>
      </c>
      <c r="K358" s="17">
        <f>IF($J358="",0,LEN($J358))</f>
        <v/>
      </c>
      <c r="L358" s="17">
        <f>IF($J358="","",LEFT($J358,tyk_ikincilUzunluk))</f>
        <v/>
      </c>
      <c r="M358" s="17">
        <f>"B"</f>
        <v/>
      </c>
      <c r="N358" s="17">
        <f>IF($J358="","",IF(COUNTIF(tblAnahtarB[NormB],$J358)&gt;1,"EVET","HAYIR"))</f>
        <v/>
      </c>
      <c r="O358" s="17">
        <f>IF($I358="","",ROW()-ROW($I$5))</f>
        <v/>
      </c>
    </row>
    <row r="359">
      <c r="A359" s="7">
        <f>IF(GIRDI!A359="","",GIRDI!A359)</f>
        <v/>
      </c>
      <c r="B359" s="17">
        <f>UPPER(TRIM(SUBSTITUTE($A359," ","")))</f>
        <v/>
      </c>
      <c r="C359" s="17">
        <f>IF($B359="",0,LEN($B359))</f>
        <v/>
      </c>
      <c r="D359" s="17">
        <f>IF($B359="","",LEFT($B359,tyk_ikincilUzunluk))</f>
        <v/>
      </c>
      <c r="E359" s="17">
        <f>"A"</f>
        <v/>
      </c>
      <c r="F359" s="17">
        <f>IF($B359="","",IF(COUNTIF(tblAnahtarA[Norm],$B359)&gt;1,"EVET","HAYIR"))</f>
        <v/>
      </c>
      <c r="G359" s="17">
        <f>IF($A359="","",ROW()-ROW($A$5))</f>
        <v/>
      </c>
      <c r="I359" s="7">
        <f>IF(HAKEDIS!A359="","",HAKEDIS!A359)</f>
        <v/>
      </c>
      <c r="J359" s="17">
        <f>UPPER(TRIM(SUBSTITUTE($I359," ","")))</f>
        <v/>
      </c>
      <c r="K359" s="17">
        <f>IF($J359="",0,LEN($J359))</f>
        <v/>
      </c>
      <c r="L359" s="17">
        <f>IF($J359="","",LEFT($J359,tyk_ikincilUzunluk))</f>
        <v/>
      </c>
      <c r="M359" s="17">
        <f>"B"</f>
        <v/>
      </c>
      <c r="N359" s="17">
        <f>IF($J359="","",IF(COUNTIF(tblAnahtarB[NormB],$J359)&gt;1,"EVET","HAYIR"))</f>
        <v/>
      </c>
      <c r="O359" s="17">
        <f>IF($I359="","",ROW()-ROW($I$5))</f>
        <v/>
      </c>
    </row>
    <row r="360">
      <c r="A360" s="7">
        <f>IF(GIRDI!A360="","",GIRDI!A360)</f>
        <v/>
      </c>
      <c r="B360" s="17">
        <f>UPPER(TRIM(SUBSTITUTE($A360," ","")))</f>
        <v/>
      </c>
      <c r="C360" s="17">
        <f>IF($B360="",0,LEN($B360))</f>
        <v/>
      </c>
      <c r="D360" s="17">
        <f>IF($B360="","",LEFT($B360,tyk_ikincilUzunluk))</f>
        <v/>
      </c>
      <c r="E360" s="17">
        <f>"A"</f>
        <v/>
      </c>
      <c r="F360" s="17">
        <f>IF($B360="","",IF(COUNTIF(tblAnahtarA[Norm],$B360)&gt;1,"EVET","HAYIR"))</f>
        <v/>
      </c>
      <c r="G360" s="17">
        <f>IF($A360="","",ROW()-ROW($A$5))</f>
        <v/>
      </c>
      <c r="I360" s="7">
        <f>IF(HAKEDIS!A360="","",HAKEDIS!A360)</f>
        <v/>
      </c>
      <c r="J360" s="17">
        <f>UPPER(TRIM(SUBSTITUTE($I360," ","")))</f>
        <v/>
      </c>
      <c r="K360" s="17">
        <f>IF($J360="",0,LEN($J360))</f>
        <v/>
      </c>
      <c r="L360" s="17">
        <f>IF($J360="","",LEFT($J360,tyk_ikincilUzunluk))</f>
        <v/>
      </c>
      <c r="M360" s="17">
        <f>"B"</f>
        <v/>
      </c>
      <c r="N360" s="17">
        <f>IF($J360="","",IF(COUNTIF(tblAnahtarB[NormB],$J360)&gt;1,"EVET","HAYIR"))</f>
        <v/>
      </c>
      <c r="O360" s="17">
        <f>IF($I360="","",ROW()-ROW($I$5))</f>
        <v/>
      </c>
    </row>
    <row r="361">
      <c r="A361" s="7">
        <f>IF(GIRDI!A361="","",GIRDI!A361)</f>
        <v/>
      </c>
      <c r="B361" s="17">
        <f>UPPER(TRIM(SUBSTITUTE($A361," ","")))</f>
        <v/>
      </c>
      <c r="C361" s="17">
        <f>IF($B361="",0,LEN($B361))</f>
        <v/>
      </c>
      <c r="D361" s="17">
        <f>IF($B361="","",LEFT($B361,tyk_ikincilUzunluk))</f>
        <v/>
      </c>
      <c r="E361" s="17">
        <f>"A"</f>
        <v/>
      </c>
      <c r="F361" s="17">
        <f>IF($B361="","",IF(COUNTIF(tblAnahtarA[Norm],$B361)&gt;1,"EVET","HAYIR"))</f>
        <v/>
      </c>
      <c r="G361" s="17">
        <f>IF($A361="","",ROW()-ROW($A$5))</f>
        <v/>
      </c>
      <c r="I361" s="7">
        <f>IF(HAKEDIS!A361="","",HAKEDIS!A361)</f>
        <v/>
      </c>
      <c r="J361" s="17">
        <f>UPPER(TRIM(SUBSTITUTE($I361," ","")))</f>
        <v/>
      </c>
      <c r="K361" s="17">
        <f>IF($J361="",0,LEN($J361))</f>
        <v/>
      </c>
      <c r="L361" s="17">
        <f>IF($J361="","",LEFT($J361,tyk_ikincilUzunluk))</f>
        <v/>
      </c>
      <c r="M361" s="17">
        <f>"B"</f>
        <v/>
      </c>
      <c r="N361" s="17">
        <f>IF($J361="","",IF(COUNTIF(tblAnahtarB[NormB],$J361)&gt;1,"EVET","HAYIR"))</f>
        <v/>
      </c>
      <c r="O361" s="17">
        <f>IF($I361="","",ROW()-ROW($I$5))</f>
        <v/>
      </c>
    </row>
    <row r="362">
      <c r="A362" s="7">
        <f>IF(GIRDI!A362="","",GIRDI!A362)</f>
        <v/>
      </c>
      <c r="B362" s="17">
        <f>UPPER(TRIM(SUBSTITUTE($A362," ","")))</f>
        <v/>
      </c>
      <c r="C362" s="17">
        <f>IF($B362="",0,LEN($B362))</f>
        <v/>
      </c>
      <c r="D362" s="17">
        <f>IF($B362="","",LEFT($B362,tyk_ikincilUzunluk))</f>
        <v/>
      </c>
      <c r="E362" s="17">
        <f>"A"</f>
        <v/>
      </c>
      <c r="F362" s="17">
        <f>IF($B362="","",IF(COUNTIF(tblAnahtarA[Norm],$B362)&gt;1,"EVET","HAYIR"))</f>
        <v/>
      </c>
      <c r="G362" s="17">
        <f>IF($A362="","",ROW()-ROW($A$5))</f>
        <v/>
      </c>
      <c r="I362" s="7">
        <f>IF(HAKEDIS!A362="","",HAKEDIS!A362)</f>
        <v/>
      </c>
      <c r="J362" s="17">
        <f>UPPER(TRIM(SUBSTITUTE($I362," ","")))</f>
        <v/>
      </c>
      <c r="K362" s="17">
        <f>IF($J362="",0,LEN($J362))</f>
        <v/>
      </c>
      <c r="L362" s="17">
        <f>IF($J362="","",LEFT($J362,tyk_ikincilUzunluk))</f>
        <v/>
      </c>
      <c r="M362" s="17">
        <f>"B"</f>
        <v/>
      </c>
      <c r="N362" s="17">
        <f>IF($J362="","",IF(COUNTIF(tblAnahtarB[NormB],$J362)&gt;1,"EVET","HAYIR"))</f>
        <v/>
      </c>
      <c r="O362" s="17">
        <f>IF($I362="","",ROW()-ROW($I$5))</f>
        <v/>
      </c>
    </row>
    <row r="363">
      <c r="A363" s="7">
        <f>IF(GIRDI!A363="","",GIRDI!A363)</f>
        <v/>
      </c>
      <c r="B363" s="17">
        <f>UPPER(TRIM(SUBSTITUTE($A363," ","")))</f>
        <v/>
      </c>
      <c r="C363" s="17">
        <f>IF($B363="",0,LEN($B363))</f>
        <v/>
      </c>
      <c r="D363" s="17">
        <f>IF($B363="","",LEFT($B363,tyk_ikincilUzunluk))</f>
        <v/>
      </c>
      <c r="E363" s="17">
        <f>"A"</f>
        <v/>
      </c>
      <c r="F363" s="17">
        <f>IF($B363="","",IF(COUNTIF(tblAnahtarA[Norm],$B363)&gt;1,"EVET","HAYIR"))</f>
        <v/>
      </c>
      <c r="G363" s="17">
        <f>IF($A363="","",ROW()-ROW($A$5))</f>
        <v/>
      </c>
      <c r="I363" s="7">
        <f>IF(HAKEDIS!A363="","",HAKEDIS!A363)</f>
        <v/>
      </c>
      <c r="J363" s="17">
        <f>UPPER(TRIM(SUBSTITUTE($I363," ","")))</f>
        <v/>
      </c>
      <c r="K363" s="17">
        <f>IF($J363="",0,LEN($J363))</f>
        <v/>
      </c>
      <c r="L363" s="17">
        <f>IF($J363="","",LEFT($J363,tyk_ikincilUzunluk))</f>
        <v/>
      </c>
      <c r="M363" s="17">
        <f>"B"</f>
        <v/>
      </c>
      <c r="N363" s="17">
        <f>IF($J363="","",IF(COUNTIF(tblAnahtarB[NormB],$J363)&gt;1,"EVET","HAYIR"))</f>
        <v/>
      </c>
      <c r="O363" s="17">
        <f>IF($I363="","",ROW()-ROW($I$5))</f>
        <v/>
      </c>
    </row>
    <row r="364">
      <c r="A364" s="7">
        <f>IF(GIRDI!A364="","",GIRDI!A364)</f>
        <v/>
      </c>
      <c r="B364" s="17">
        <f>UPPER(TRIM(SUBSTITUTE($A364," ","")))</f>
        <v/>
      </c>
      <c r="C364" s="17">
        <f>IF($B364="",0,LEN($B364))</f>
        <v/>
      </c>
      <c r="D364" s="17">
        <f>IF($B364="","",LEFT($B364,tyk_ikincilUzunluk))</f>
        <v/>
      </c>
      <c r="E364" s="17">
        <f>"A"</f>
        <v/>
      </c>
      <c r="F364" s="17">
        <f>IF($B364="","",IF(COUNTIF(tblAnahtarA[Norm],$B364)&gt;1,"EVET","HAYIR"))</f>
        <v/>
      </c>
      <c r="G364" s="17">
        <f>IF($A364="","",ROW()-ROW($A$5))</f>
        <v/>
      </c>
      <c r="I364" s="7">
        <f>IF(HAKEDIS!A364="","",HAKEDIS!A364)</f>
        <v/>
      </c>
      <c r="J364" s="17">
        <f>UPPER(TRIM(SUBSTITUTE($I364," ","")))</f>
        <v/>
      </c>
      <c r="K364" s="17">
        <f>IF($J364="",0,LEN($J364))</f>
        <v/>
      </c>
      <c r="L364" s="17">
        <f>IF($J364="","",LEFT($J364,tyk_ikincilUzunluk))</f>
        <v/>
      </c>
      <c r="M364" s="17">
        <f>"B"</f>
        <v/>
      </c>
      <c r="N364" s="17">
        <f>IF($J364="","",IF(COUNTIF(tblAnahtarB[NormB],$J364)&gt;1,"EVET","HAYIR"))</f>
        <v/>
      </c>
      <c r="O364" s="17">
        <f>IF($I364="","",ROW()-ROW($I$5))</f>
        <v/>
      </c>
    </row>
    <row r="365">
      <c r="A365" s="7">
        <f>IF(GIRDI!A365="","",GIRDI!A365)</f>
        <v/>
      </c>
      <c r="B365" s="17">
        <f>UPPER(TRIM(SUBSTITUTE($A365," ","")))</f>
        <v/>
      </c>
      <c r="C365" s="17">
        <f>IF($B365="",0,LEN($B365))</f>
        <v/>
      </c>
      <c r="D365" s="17">
        <f>IF($B365="","",LEFT($B365,tyk_ikincilUzunluk))</f>
        <v/>
      </c>
      <c r="E365" s="17">
        <f>"A"</f>
        <v/>
      </c>
      <c r="F365" s="17">
        <f>IF($B365="","",IF(COUNTIF(tblAnahtarA[Norm],$B365)&gt;1,"EVET","HAYIR"))</f>
        <v/>
      </c>
      <c r="G365" s="17">
        <f>IF($A365="","",ROW()-ROW($A$5))</f>
        <v/>
      </c>
      <c r="I365" s="7">
        <f>IF(HAKEDIS!A365="","",HAKEDIS!A365)</f>
        <v/>
      </c>
      <c r="J365" s="17">
        <f>UPPER(TRIM(SUBSTITUTE($I365," ","")))</f>
        <v/>
      </c>
      <c r="K365" s="17">
        <f>IF($J365="",0,LEN($J365))</f>
        <v/>
      </c>
      <c r="L365" s="17">
        <f>IF($J365="","",LEFT($J365,tyk_ikincilUzunluk))</f>
        <v/>
      </c>
      <c r="M365" s="17">
        <f>"B"</f>
        <v/>
      </c>
      <c r="N365" s="17">
        <f>IF($J365="","",IF(COUNTIF(tblAnahtarB[NormB],$J365)&gt;1,"EVET","HAYIR"))</f>
        <v/>
      </c>
      <c r="O365" s="17">
        <f>IF($I365="","",ROW()-ROW($I$5))</f>
        <v/>
      </c>
    </row>
    <row r="366">
      <c r="A366" s="7">
        <f>IF(GIRDI!A366="","",GIRDI!A366)</f>
        <v/>
      </c>
      <c r="B366" s="17">
        <f>UPPER(TRIM(SUBSTITUTE($A366," ","")))</f>
        <v/>
      </c>
      <c r="C366" s="17">
        <f>IF($B366="",0,LEN($B366))</f>
        <v/>
      </c>
      <c r="D366" s="17">
        <f>IF($B366="","",LEFT($B366,tyk_ikincilUzunluk))</f>
        <v/>
      </c>
      <c r="E366" s="17">
        <f>"A"</f>
        <v/>
      </c>
      <c r="F366" s="17">
        <f>IF($B366="","",IF(COUNTIF(tblAnahtarA[Norm],$B366)&gt;1,"EVET","HAYIR"))</f>
        <v/>
      </c>
      <c r="G366" s="17">
        <f>IF($A366="","",ROW()-ROW($A$5))</f>
        <v/>
      </c>
      <c r="I366" s="7">
        <f>IF(HAKEDIS!A366="","",HAKEDIS!A366)</f>
        <v/>
      </c>
      <c r="J366" s="17">
        <f>UPPER(TRIM(SUBSTITUTE($I366," ","")))</f>
        <v/>
      </c>
      <c r="K366" s="17">
        <f>IF($J366="",0,LEN($J366))</f>
        <v/>
      </c>
      <c r="L366" s="17">
        <f>IF($J366="","",LEFT($J366,tyk_ikincilUzunluk))</f>
        <v/>
      </c>
      <c r="M366" s="17">
        <f>"B"</f>
        <v/>
      </c>
      <c r="N366" s="17">
        <f>IF($J366="","",IF(COUNTIF(tblAnahtarB[NormB],$J366)&gt;1,"EVET","HAYIR"))</f>
        <v/>
      </c>
      <c r="O366" s="17">
        <f>IF($I366="","",ROW()-ROW($I$5))</f>
        <v/>
      </c>
    </row>
    <row r="367">
      <c r="A367" s="7">
        <f>IF(GIRDI!A367="","",GIRDI!A367)</f>
        <v/>
      </c>
      <c r="B367" s="17">
        <f>UPPER(TRIM(SUBSTITUTE($A367," ","")))</f>
        <v/>
      </c>
      <c r="C367" s="17">
        <f>IF($B367="",0,LEN($B367))</f>
        <v/>
      </c>
      <c r="D367" s="17">
        <f>IF($B367="","",LEFT($B367,tyk_ikincilUzunluk))</f>
        <v/>
      </c>
      <c r="E367" s="17">
        <f>"A"</f>
        <v/>
      </c>
      <c r="F367" s="17">
        <f>IF($B367="","",IF(COUNTIF(tblAnahtarA[Norm],$B367)&gt;1,"EVET","HAYIR"))</f>
        <v/>
      </c>
      <c r="G367" s="17">
        <f>IF($A367="","",ROW()-ROW($A$5))</f>
        <v/>
      </c>
      <c r="I367" s="7">
        <f>IF(HAKEDIS!A367="","",HAKEDIS!A367)</f>
        <v/>
      </c>
      <c r="J367" s="17">
        <f>UPPER(TRIM(SUBSTITUTE($I367," ","")))</f>
        <v/>
      </c>
      <c r="K367" s="17">
        <f>IF($J367="",0,LEN($J367))</f>
        <v/>
      </c>
      <c r="L367" s="17">
        <f>IF($J367="","",LEFT($J367,tyk_ikincilUzunluk))</f>
        <v/>
      </c>
      <c r="M367" s="17">
        <f>"B"</f>
        <v/>
      </c>
      <c r="N367" s="17">
        <f>IF($J367="","",IF(COUNTIF(tblAnahtarB[NormB],$J367)&gt;1,"EVET","HAYIR"))</f>
        <v/>
      </c>
      <c r="O367" s="17">
        <f>IF($I367="","",ROW()-ROW($I$5))</f>
        <v/>
      </c>
    </row>
    <row r="368">
      <c r="A368" s="7">
        <f>IF(GIRDI!A368="","",GIRDI!A368)</f>
        <v/>
      </c>
      <c r="B368" s="17">
        <f>UPPER(TRIM(SUBSTITUTE($A368," ","")))</f>
        <v/>
      </c>
      <c r="C368" s="17">
        <f>IF($B368="",0,LEN($B368))</f>
        <v/>
      </c>
      <c r="D368" s="17">
        <f>IF($B368="","",LEFT($B368,tyk_ikincilUzunluk))</f>
        <v/>
      </c>
      <c r="E368" s="17">
        <f>"A"</f>
        <v/>
      </c>
      <c r="F368" s="17">
        <f>IF($B368="","",IF(COUNTIF(tblAnahtarA[Norm],$B368)&gt;1,"EVET","HAYIR"))</f>
        <v/>
      </c>
      <c r="G368" s="17">
        <f>IF($A368="","",ROW()-ROW($A$5))</f>
        <v/>
      </c>
      <c r="I368" s="7">
        <f>IF(HAKEDIS!A368="","",HAKEDIS!A368)</f>
        <v/>
      </c>
      <c r="J368" s="17">
        <f>UPPER(TRIM(SUBSTITUTE($I368," ","")))</f>
        <v/>
      </c>
      <c r="K368" s="17">
        <f>IF($J368="",0,LEN($J368))</f>
        <v/>
      </c>
      <c r="L368" s="17">
        <f>IF($J368="","",LEFT($J368,tyk_ikincilUzunluk))</f>
        <v/>
      </c>
      <c r="M368" s="17">
        <f>"B"</f>
        <v/>
      </c>
      <c r="N368" s="17">
        <f>IF($J368="","",IF(COUNTIF(tblAnahtarB[NormB],$J368)&gt;1,"EVET","HAYIR"))</f>
        <v/>
      </c>
      <c r="O368" s="17">
        <f>IF($I368="","",ROW()-ROW($I$5))</f>
        <v/>
      </c>
    </row>
    <row r="369">
      <c r="A369" s="7">
        <f>IF(GIRDI!A369="","",GIRDI!A369)</f>
        <v/>
      </c>
      <c r="B369" s="17">
        <f>UPPER(TRIM(SUBSTITUTE($A369," ","")))</f>
        <v/>
      </c>
      <c r="C369" s="17">
        <f>IF($B369="",0,LEN($B369))</f>
        <v/>
      </c>
      <c r="D369" s="17">
        <f>IF($B369="","",LEFT($B369,tyk_ikincilUzunluk))</f>
        <v/>
      </c>
      <c r="E369" s="17">
        <f>"A"</f>
        <v/>
      </c>
      <c r="F369" s="17">
        <f>IF($B369="","",IF(COUNTIF(tblAnahtarA[Norm],$B369)&gt;1,"EVET","HAYIR"))</f>
        <v/>
      </c>
      <c r="G369" s="17">
        <f>IF($A369="","",ROW()-ROW($A$5))</f>
        <v/>
      </c>
      <c r="I369" s="7">
        <f>IF(HAKEDIS!A369="","",HAKEDIS!A369)</f>
        <v/>
      </c>
      <c r="J369" s="17">
        <f>UPPER(TRIM(SUBSTITUTE($I369," ","")))</f>
        <v/>
      </c>
      <c r="K369" s="17">
        <f>IF($J369="",0,LEN($J369))</f>
        <v/>
      </c>
      <c r="L369" s="17">
        <f>IF($J369="","",LEFT($J369,tyk_ikincilUzunluk))</f>
        <v/>
      </c>
      <c r="M369" s="17">
        <f>"B"</f>
        <v/>
      </c>
      <c r="N369" s="17">
        <f>IF($J369="","",IF(COUNTIF(tblAnahtarB[NormB],$J369)&gt;1,"EVET","HAYIR"))</f>
        <v/>
      </c>
      <c r="O369" s="17">
        <f>IF($I369="","",ROW()-ROW($I$5))</f>
        <v/>
      </c>
    </row>
    <row r="370">
      <c r="A370" s="7">
        <f>IF(GIRDI!A370="","",GIRDI!A370)</f>
        <v/>
      </c>
      <c r="B370" s="17">
        <f>UPPER(TRIM(SUBSTITUTE($A370," ","")))</f>
        <v/>
      </c>
      <c r="C370" s="17">
        <f>IF($B370="",0,LEN($B370))</f>
        <v/>
      </c>
      <c r="D370" s="17">
        <f>IF($B370="","",LEFT($B370,tyk_ikincilUzunluk))</f>
        <v/>
      </c>
      <c r="E370" s="17">
        <f>"A"</f>
        <v/>
      </c>
      <c r="F370" s="17">
        <f>IF($B370="","",IF(COUNTIF(tblAnahtarA[Norm],$B370)&gt;1,"EVET","HAYIR"))</f>
        <v/>
      </c>
      <c r="G370" s="17">
        <f>IF($A370="","",ROW()-ROW($A$5))</f>
        <v/>
      </c>
      <c r="I370" s="7">
        <f>IF(HAKEDIS!A370="","",HAKEDIS!A370)</f>
        <v/>
      </c>
      <c r="J370" s="17">
        <f>UPPER(TRIM(SUBSTITUTE($I370," ","")))</f>
        <v/>
      </c>
      <c r="K370" s="17">
        <f>IF($J370="",0,LEN($J370))</f>
        <v/>
      </c>
      <c r="L370" s="17">
        <f>IF($J370="","",LEFT($J370,tyk_ikincilUzunluk))</f>
        <v/>
      </c>
      <c r="M370" s="17">
        <f>"B"</f>
        <v/>
      </c>
      <c r="N370" s="17">
        <f>IF($J370="","",IF(COUNTIF(tblAnahtarB[NormB],$J370)&gt;1,"EVET","HAYIR"))</f>
        <v/>
      </c>
      <c r="O370" s="17">
        <f>IF($I370="","",ROW()-ROW($I$5))</f>
        <v/>
      </c>
    </row>
    <row r="371">
      <c r="A371" s="7">
        <f>IF(GIRDI!A371="","",GIRDI!A371)</f>
        <v/>
      </c>
      <c r="B371" s="17">
        <f>UPPER(TRIM(SUBSTITUTE($A371," ","")))</f>
        <v/>
      </c>
      <c r="C371" s="17">
        <f>IF($B371="",0,LEN($B371))</f>
        <v/>
      </c>
      <c r="D371" s="17">
        <f>IF($B371="","",LEFT($B371,tyk_ikincilUzunluk))</f>
        <v/>
      </c>
      <c r="E371" s="17">
        <f>"A"</f>
        <v/>
      </c>
      <c r="F371" s="17">
        <f>IF($B371="","",IF(COUNTIF(tblAnahtarA[Norm],$B371)&gt;1,"EVET","HAYIR"))</f>
        <v/>
      </c>
      <c r="G371" s="17">
        <f>IF($A371="","",ROW()-ROW($A$5))</f>
        <v/>
      </c>
      <c r="I371" s="7">
        <f>IF(HAKEDIS!A371="","",HAKEDIS!A371)</f>
        <v/>
      </c>
      <c r="J371" s="17">
        <f>UPPER(TRIM(SUBSTITUTE($I371," ","")))</f>
        <v/>
      </c>
      <c r="K371" s="17">
        <f>IF($J371="",0,LEN($J371))</f>
        <v/>
      </c>
      <c r="L371" s="17">
        <f>IF($J371="","",LEFT($J371,tyk_ikincilUzunluk))</f>
        <v/>
      </c>
      <c r="M371" s="17">
        <f>"B"</f>
        <v/>
      </c>
      <c r="N371" s="17">
        <f>IF($J371="","",IF(COUNTIF(tblAnahtarB[NormB],$J371)&gt;1,"EVET","HAYIR"))</f>
        <v/>
      </c>
      <c r="O371" s="17">
        <f>IF($I371="","",ROW()-ROW($I$5))</f>
        <v/>
      </c>
    </row>
    <row r="372">
      <c r="A372" s="7">
        <f>IF(GIRDI!A372="","",GIRDI!A372)</f>
        <v/>
      </c>
      <c r="B372" s="17">
        <f>UPPER(TRIM(SUBSTITUTE($A372," ","")))</f>
        <v/>
      </c>
      <c r="C372" s="17">
        <f>IF($B372="",0,LEN($B372))</f>
        <v/>
      </c>
      <c r="D372" s="17">
        <f>IF($B372="","",LEFT($B372,tyk_ikincilUzunluk))</f>
        <v/>
      </c>
      <c r="E372" s="17">
        <f>"A"</f>
        <v/>
      </c>
      <c r="F372" s="17">
        <f>IF($B372="","",IF(COUNTIF(tblAnahtarA[Norm],$B372)&gt;1,"EVET","HAYIR"))</f>
        <v/>
      </c>
      <c r="G372" s="17">
        <f>IF($A372="","",ROW()-ROW($A$5))</f>
        <v/>
      </c>
      <c r="I372" s="7">
        <f>IF(HAKEDIS!A372="","",HAKEDIS!A372)</f>
        <v/>
      </c>
      <c r="J372" s="17">
        <f>UPPER(TRIM(SUBSTITUTE($I372," ","")))</f>
        <v/>
      </c>
      <c r="K372" s="17">
        <f>IF($J372="",0,LEN($J372))</f>
        <v/>
      </c>
      <c r="L372" s="17">
        <f>IF($J372="","",LEFT($J372,tyk_ikincilUzunluk))</f>
        <v/>
      </c>
      <c r="M372" s="17">
        <f>"B"</f>
        <v/>
      </c>
      <c r="N372" s="17">
        <f>IF($J372="","",IF(COUNTIF(tblAnahtarB[NormB],$J372)&gt;1,"EVET","HAYIR"))</f>
        <v/>
      </c>
      <c r="O372" s="17">
        <f>IF($I372="","",ROW()-ROW($I$5))</f>
        <v/>
      </c>
    </row>
    <row r="373">
      <c r="A373" s="7">
        <f>IF(GIRDI!A373="","",GIRDI!A373)</f>
        <v/>
      </c>
      <c r="B373" s="17">
        <f>UPPER(TRIM(SUBSTITUTE($A373," ","")))</f>
        <v/>
      </c>
      <c r="C373" s="17">
        <f>IF($B373="",0,LEN($B373))</f>
        <v/>
      </c>
      <c r="D373" s="17">
        <f>IF($B373="","",LEFT($B373,tyk_ikincilUzunluk))</f>
        <v/>
      </c>
      <c r="E373" s="17">
        <f>"A"</f>
        <v/>
      </c>
      <c r="F373" s="17">
        <f>IF($B373="","",IF(COUNTIF(tblAnahtarA[Norm],$B373)&gt;1,"EVET","HAYIR"))</f>
        <v/>
      </c>
      <c r="G373" s="17">
        <f>IF($A373="","",ROW()-ROW($A$5))</f>
        <v/>
      </c>
      <c r="I373" s="7">
        <f>IF(HAKEDIS!A373="","",HAKEDIS!A373)</f>
        <v/>
      </c>
      <c r="J373" s="17">
        <f>UPPER(TRIM(SUBSTITUTE($I373," ","")))</f>
        <v/>
      </c>
      <c r="K373" s="17">
        <f>IF($J373="",0,LEN($J373))</f>
        <v/>
      </c>
      <c r="L373" s="17">
        <f>IF($J373="","",LEFT($J373,tyk_ikincilUzunluk))</f>
        <v/>
      </c>
      <c r="M373" s="17">
        <f>"B"</f>
        <v/>
      </c>
      <c r="N373" s="17">
        <f>IF($J373="","",IF(COUNTIF(tblAnahtarB[NormB],$J373)&gt;1,"EVET","HAYIR"))</f>
        <v/>
      </c>
      <c r="O373" s="17">
        <f>IF($I373="","",ROW()-ROW($I$5))</f>
        <v/>
      </c>
    </row>
    <row r="374">
      <c r="A374" s="7">
        <f>IF(GIRDI!A374="","",GIRDI!A374)</f>
        <v/>
      </c>
      <c r="B374" s="17">
        <f>UPPER(TRIM(SUBSTITUTE($A374," ","")))</f>
        <v/>
      </c>
      <c r="C374" s="17">
        <f>IF($B374="",0,LEN($B374))</f>
        <v/>
      </c>
      <c r="D374" s="17">
        <f>IF($B374="","",LEFT($B374,tyk_ikincilUzunluk))</f>
        <v/>
      </c>
      <c r="E374" s="17">
        <f>"A"</f>
        <v/>
      </c>
      <c r="F374" s="17">
        <f>IF($B374="","",IF(COUNTIF(tblAnahtarA[Norm],$B374)&gt;1,"EVET","HAYIR"))</f>
        <v/>
      </c>
      <c r="G374" s="17">
        <f>IF($A374="","",ROW()-ROW($A$5))</f>
        <v/>
      </c>
      <c r="I374" s="7">
        <f>IF(HAKEDIS!A374="","",HAKEDIS!A374)</f>
        <v/>
      </c>
      <c r="J374" s="17">
        <f>UPPER(TRIM(SUBSTITUTE($I374," ","")))</f>
        <v/>
      </c>
      <c r="K374" s="17">
        <f>IF($J374="",0,LEN($J374))</f>
        <v/>
      </c>
      <c r="L374" s="17">
        <f>IF($J374="","",LEFT($J374,tyk_ikincilUzunluk))</f>
        <v/>
      </c>
      <c r="M374" s="17">
        <f>"B"</f>
        <v/>
      </c>
      <c r="N374" s="17">
        <f>IF($J374="","",IF(COUNTIF(tblAnahtarB[NormB],$J374)&gt;1,"EVET","HAYIR"))</f>
        <v/>
      </c>
      <c r="O374" s="17">
        <f>IF($I374="","",ROW()-ROW($I$5))</f>
        <v/>
      </c>
    </row>
    <row r="375">
      <c r="A375" s="7">
        <f>IF(GIRDI!A375="","",GIRDI!A375)</f>
        <v/>
      </c>
      <c r="B375" s="17">
        <f>UPPER(TRIM(SUBSTITUTE($A375," ","")))</f>
        <v/>
      </c>
      <c r="C375" s="17">
        <f>IF($B375="",0,LEN($B375))</f>
        <v/>
      </c>
      <c r="D375" s="17">
        <f>IF($B375="","",LEFT($B375,tyk_ikincilUzunluk))</f>
        <v/>
      </c>
      <c r="E375" s="17">
        <f>"A"</f>
        <v/>
      </c>
      <c r="F375" s="17">
        <f>IF($B375="","",IF(COUNTIF(tblAnahtarA[Norm],$B375)&gt;1,"EVET","HAYIR"))</f>
        <v/>
      </c>
      <c r="G375" s="17">
        <f>IF($A375="","",ROW()-ROW($A$5))</f>
        <v/>
      </c>
      <c r="I375" s="7">
        <f>IF(HAKEDIS!A375="","",HAKEDIS!A375)</f>
        <v/>
      </c>
      <c r="J375" s="17">
        <f>UPPER(TRIM(SUBSTITUTE($I375," ","")))</f>
        <v/>
      </c>
      <c r="K375" s="17">
        <f>IF($J375="",0,LEN($J375))</f>
        <v/>
      </c>
      <c r="L375" s="17">
        <f>IF($J375="","",LEFT($J375,tyk_ikincilUzunluk))</f>
        <v/>
      </c>
      <c r="M375" s="17">
        <f>"B"</f>
        <v/>
      </c>
      <c r="N375" s="17">
        <f>IF($J375="","",IF(COUNTIF(tblAnahtarB[NormB],$J375)&gt;1,"EVET","HAYIR"))</f>
        <v/>
      </c>
      <c r="O375" s="17">
        <f>IF($I375="","",ROW()-ROW($I$5))</f>
        <v/>
      </c>
    </row>
    <row r="376">
      <c r="A376" s="7">
        <f>IF(GIRDI!A376="","",GIRDI!A376)</f>
        <v/>
      </c>
      <c r="B376" s="17">
        <f>UPPER(TRIM(SUBSTITUTE($A376," ","")))</f>
        <v/>
      </c>
      <c r="C376" s="17">
        <f>IF($B376="",0,LEN($B376))</f>
        <v/>
      </c>
      <c r="D376" s="17">
        <f>IF($B376="","",LEFT($B376,tyk_ikincilUzunluk))</f>
        <v/>
      </c>
      <c r="E376" s="17">
        <f>"A"</f>
        <v/>
      </c>
      <c r="F376" s="17">
        <f>IF($B376="","",IF(COUNTIF(tblAnahtarA[Norm],$B376)&gt;1,"EVET","HAYIR"))</f>
        <v/>
      </c>
      <c r="G376" s="17">
        <f>IF($A376="","",ROW()-ROW($A$5))</f>
        <v/>
      </c>
      <c r="I376" s="7">
        <f>IF(HAKEDIS!A376="","",HAKEDIS!A376)</f>
        <v/>
      </c>
      <c r="J376" s="17">
        <f>UPPER(TRIM(SUBSTITUTE($I376," ","")))</f>
        <v/>
      </c>
      <c r="K376" s="17">
        <f>IF($J376="",0,LEN($J376))</f>
        <v/>
      </c>
      <c r="L376" s="17">
        <f>IF($J376="","",LEFT($J376,tyk_ikincilUzunluk))</f>
        <v/>
      </c>
      <c r="M376" s="17">
        <f>"B"</f>
        <v/>
      </c>
      <c r="N376" s="17">
        <f>IF($J376="","",IF(COUNTIF(tblAnahtarB[NormB],$J376)&gt;1,"EVET","HAYIR"))</f>
        <v/>
      </c>
      <c r="O376" s="17">
        <f>IF($I376="","",ROW()-ROW($I$5))</f>
        <v/>
      </c>
    </row>
    <row r="377">
      <c r="A377" s="7">
        <f>IF(GIRDI!A377="","",GIRDI!A377)</f>
        <v/>
      </c>
      <c r="B377" s="17">
        <f>UPPER(TRIM(SUBSTITUTE($A377," ","")))</f>
        <v/>
      </c>
      <c r="C377" s="17">
        <f>IF($B377="",0,LEN($B377))</f>
        <v/>
      </c>
      <c r="D377" s="17">
        <f>IF($B377="","",LEFT($B377,tyk_ikincilUzunluk))</f>
        <v/>
      </c>
      <c r="E377" s="17">
        <f>"A"</f>
        <v/>
      </c>
      <c r="F377" s="17">
        <f>IF($B377="","",IF(COUNTIF(tblAnahtarA[Norm],$B377)&gt;1,"EVET","HAYIR"))</f>
        <v/>
      </c>
      <c r="G377" s="17">
        <f>IF($A377="","",ROW()-ROW($A$5))</f>
        <v/>
      </c>
      <c r="I377" s="7">
        <f>IF(HAKEDIS!A377="","",HAKEDIS!A377)</f>
        <v/>
      </c>
      <c r="J377" s="17">
        <f>UPPER(TRIM(SUBSTITUTE($I377," ","")))</f>
        <v/>
      </c>
      <c r="K377" s="17">
        <f>IF($J377="",0,LEN($J377))</f>
        <v/>
      </c>
      <c r="L377" s="17">
        <f>IF($J377="","",LEFT($J377,tyk_ikincilUzunluk))</f>
        <v/>
      </c>
      <c r="M377" s="17">
        <f>"B"</f>
        <v/>
      </c>
      <c r="N377" s="17">
        <f>IF($J377="","",IF(COUNTIF(tblAnahtarB[NormB],$J377)&gt;1,"EVET","HAYIR"))</f>
        <v/>
      </c>
      <c r="O377" s="17">
        <f>IF($I377="","",ROW()-ROW($I$5))</f>
        <v/>
      </c>
    </row>
    <row r="378">
      <c r="A378" s="7">
        <f>IF(GIRDI!A378="","",GIRDI!A378)</f>
        <v/>
      </c>
      <c r="B378" s="17">
        <f>UPPER(TRIM(SUBSTITUTE($A378," ","")))</f>
        <v/>
      </c>
      <c r="C378" s="17">
        <f>IF($B378="",0,LEN($B378))</f>
        <v/>
      </c>
      <c r="D378" s="17">
        <f>IF($B378="","",LEFT($B378,tyk_ikincilUzunluk))</f>
        <v/>
      </c>
      <c r="E378" s="17">
        <f>"A"</f>
        <v/>
      </c>
      <c r="F378" s="17">
        <f>IF($B378="","",IF(COUNTIF(tblAnahtarA[Norm],$B378)&gt;1,"EVET","HAYIR"))</f>
        <v/>
      </c>
      <c r="G378" s="17">
        <f>IF($A378="","",ROW()-ROW($A$5))</f>
        <v/>
      </c>
      <c r="I378" s="7">
        <f>IF(HAKEDIS!A378="","",HAKEDIS!A378)</f>
        <v/>
      </c>
      <c r="J378" s="17">
        <f>UPPER(TRIM(SUBSTITUTE($I378," ","")))</f>
        <v/>
      </c>
      <c r="K378" s="17">
        <f>IF($J378="",0,LEN($J378))</f>
        <v/>
      </c>
      <c r="L378" s="17">
        <f>IF($J378="","",LEFT($J378,tyk_ikincilUzunluk))</f>
        <v/>
      </c>
      <c r="M378" s="17">
        <f>"B"</f>
        <v/>
      </c>
      <c r="N378" s="17">
        <f>IF($J378="","",IF(COUNTIF(tblAnahtarB[NormB],$J378)&gt;1,"EVET","HAYIR"))</f>
        <v/>
      </c>
      <c r="O378" s="17">
        <f>IF($I378="","",ROW()-ROW($I$5))</f>
        <v/>
      </c>
    </row>
    <row r="379">
      <c r="A379" s="7">
        <f>IF(GIRDI!A379="","",GIRDI!A379)</f>
        <v/>
      </c>
      <c r="B379" s="17">
        <f>UPPER(TRIM(SUBSTITUTE($A379," ","")))</f>
        <v/>
      </c>
      <c r="C379" s="17">
        <f>IF($B379="",0,LEN($B379))</f>
        <v/>
      </c>
      <c r="D379" s="17">
        <f>IF($B379="","",LEFT($B379,tyk_ikincilUzunluk))</f>
        <v/>
      </c>
      <c r="E379" s="17">
        <f>"A"</f>
        <v/>
      </c>
      <c r="F379" s="17">
        <f>IF($B379="","",IF(COUNTIF(tblAnahtarA[Norm],$B379)&gt;1,"EVET","HAYIR"))</f>
        <v/>
      </c>
      <c r="G379" s="17">
        <f>IF($A379="","",ROW()-ROW($A$5))</f>
        <v/>
      </c>
      <c r="I379" s="7">
        <f>IF(HAKEDIS!A379="","",HAKEDIS!A379)</f>
        <v/>
      </c>
      <c r="J379" s="17">
        <f>UPPER(TRIM(SUBSTITUTE($I379," ","")))</f>
        <v/>
      </c>
      <c r="K379" s="17">
        <f>IF($J379="",0,LEN($J379))</f>
        <v/>
      </c>
      <c r="L379" s="17">
        <f>IF($J379="","",LEFT($J379,tyk_ikincilUzunluk))</f>
        <v/>
      </c>
      <c r="M379" s="17">
        <f>"B"</f>
        <v/>
      </c>
      <c r="N379" s="17">
        <f>IF($J379="","",IF(COUNTIF(tblAnahtarB[NormB],$J379)&gt;1,"EVET","HAYIR"))</f>
        <v/>
      </c>
      <c r="O379" s="17">
        <f>IF($I379="","",ROW()-ROW($I$5))</f>
        <v/>
      </c>
    </row>
    <row r="380">
      <c r="A380" s="7">
        <f>IF(GIRDI!A380="","",GIRDI!A380)</f>
        <v/>
      </c>
      <c r="B380" s="17">
        <f>UPPER(TRIM(SUBSTITUTE($A380," ","")))</f>
        <v/>
      </c>
      <c r="C380" s="17">
        <f>IF($B380="",0,LEN($B380))</f>
        <v/>
      </c>
      <c r="D380" s="17">
        <f>IF($B380="","",LEFT($B380,tyk_ikincilUzunluk))</f>
        <v/>
      </c>
      <c r="E380" s="17">
        <f>"A"</f>
        <v/>
      </c>
      <c r="F380" s="17">
        <f>IF($B380="","",IF(COUNTIF(tblAnahtarA[Norm],$B380)&gt;1,"EVET","HAYIR"))</f>
        <v/>
      </c>
      <c r="G380" s="17">
        <f>IF($A380="","",ROW()-ROW($A$5))</f>
        <v/>
      </c>
      <c r="I380" s="7">
        <f>IF(HAKEDIS!A380="","",HAKEDIS!A380)</f>
        <v/>
      </c>
      <c r="J380" s="17">
        <f>UPPER(TRIM(SUBSTITUTE($I380," ","")))</f>
        <v/>
      </c>
      <c r="K380" s="17">
        <f>IF($J380="",0,LEN($J380))</f>
        <v/>
      </c>
      <c r="L380" s="17">
        <f>IF($J380="","",LEFT($J380,tyk_ikincilUzunluk))</f>
        <v/>
      </c>
      <c r="M380" s="17">
        <f>"B"</f>
        <v/>
      </c>
      <c r="N380" s="17">
        <f>IF($J380="","",IF(COUNTIF(tblAnahtarB[NormB],$J380)&gt;1,"EVET","HAYIR"))</f>
        <v/>
      </c>
      <c r="O380" s="17">
        <f>IF($I380="","",ROW()-ROW($I$5))</f>
        <v/>
      </c>
    </row>
    <row r="381">
      <c r="A381" s="7">
        <f>IF(GIRDI!A381="","",GIRDI!A381)</f>
        <v/>
      </c>
      <c r="B381" s="17">
        <f>UPPER(TRIM(SUBSTITUTE($A381," ","")))</f>
        <v/>
      </c>
      <c r="C381" s="17">
        <f>IF($B381="",0,LEN($B381))</f>
        <v/>
      </c>
      <c r="D381" s="17">
        <f>IF($B381="","",LEFT($B381,tyk_ikincilUzunluk))</f>
        <v/>
      </c>
      <c r="E381" s="17">
        <f>"A"</f>
        <v/>
      </c>
      <c r="F381" s="17">
        <f>IF($B381="","",IF(COUNTIF(tblAnahtarA[Norm],$B381)&gt;1,"EVET","HAYIR"))</f>
        <v/>
      </c>
      <c r="G381" s="17">
        <f>IF($A381="","",ROW()-ROW($A$5))</f>
        <v/>
      </c>
      <c r="I381" s="7">
        <f>IF(HAKEDIS!A381="","",HAKEDIS!A381)</f>
        <v/>
      </c>
      <c r="J381" s="17">
        <f>UPPER(TRIM(SUBSTITUTE($I381," ","")))</f>
        <v/>
      </c>
      <c r="K381" s="17">
        <f>IF($J381="",0,LEN($J381))</f>
        <v/>
      </c>
      <c r="L381" s="17">
        <f>IF($J381="","",LEFT($J381,tyk_ikincilUzunluk))</f>
        <v/>
      </c>
      <c r="M381" s="17">
        <f>"B"</f>
        <v/>
      </c>
      <c r="N381" s="17">
        <f>IF($J381="","",IF(COUNTIF(tblAnahtarB[NormB],$J381)&gt;1,"EVET","HAYIR"))</f>
        <v/>
      </c>
      <c r="O381" s="17">
        <f>IF($I381="","",ROW()-ROW($I$5))</f>
        <v/>
      </c>
    </row>
    <row r="382">
      <c r="A382" s="7">
        <f>IF(GIRDI!A382="","",GIRDI!A382)</f>
        <v/>
      </c>
      <c r="B382" s="17">
        <f>UPPER(TRIM(SUBSTITUTE($A382," ","")))</f>
        <v/>
      </c>
      <c r="C382" s="17">
        <f>IF($B382="",0,LEN($B382))</f>
        <v/>
      </c>
      <c r="D382" s="17">
        <f>IF($B382="","",LEFT($B382,tyk_ikincilUzunluk))</f>
        <v/>
      </c>
      <c r="E382" s="17">
        <f>"A"</f>
        <v/>
      </c>
      <c r="F382" s="17">
        <f>IF($B382="","",IF(COUNTIF(tblAnahtarA[Norm],$B382)&gt;1,"EVET","HAYIR"))</f>
        <v/>
      </c>
      <c r="G382" s="17">
        <f>IF($A382="","",ROW()-ROW($A$5))</f>
        <v/>
      </c>
      <c r="I382" s="7">
        <f>IF(HAKEDIS!A382="","",HAKEDIS!A382)</f>
        <v/>
      </c>
      <c r="J382" s="17">
        <f>UPPER(TRIM(SUBSTITUTE($I382," ","")))</f>
        <v/>
      </c>
      <c r="K382" s="17">
        <f>IF($J382="",0,LEN($J382))</f>
        <v/>
      </c>
      <c r="L382" s="17">
        <f>IF($J382="","",LEFT($J382,tyk_ikincilUzunluk))</f>
        <v/>
      </c>
      <c r="M382" s="17">
        <f>"B"</f>
        <v/>
      </c>
      <c r="N382" s="17">
        <f>IF($J382="","",IF(COUNTIF(tblAnahtarB[NormB],$J382)&gt;1,"EVET","HAYIR"))</f>
        <v/>
      </c>
      <c r="O382" s="17">
        <f>IF($I382="","",ROW()-ROW($I$5))</f>
        <v/>
      </c>
    </row>
    <row r="383">
      <c r="A383" s="7">
        <f>IF(GIRDI!A383="","",GIRDI!A383)</f>
        <v/>
      </c>
      <c r="B383" s="17">
        <f>UPPER(TRIM(SUBSTITUTE($A383," ","")))</f>
        <v/>
      </c>
      <c r="C383" s="17">
        <f>IF($B383="",0,LEN($B383))</f>
        <v/>
      </c>
      <c r="D383" s="17">
        <f>IF($B383="","",LEFT($B383,tyk_ikincilUzunluk))</f>
        <v/>
      </c>
      <c r="E383" s="17">
        <f>"A"</f>
        <v/>
      </c>
      <c r="F383" s="17">
        <f>IF($B383="","",IF(COUNTIF(tblAnahtarA[Norm],$B383)&gt;1,"EVET","HAYIR"))</f>
        <v/>
      </c>
      <c r="G383" s="17">
        <f>IF($A383="","",ROW()-ROW($A$5))</f>
        <v/>
      </c>
      <c r="I383" s="7">
        <f>IF(HAKEDIS!A383="","",HAKEDIS!A383)</f>
        <v/>
      </c>
      <c r="J383" s="17">
        <f>UPPER(TRIM(SUBSTITUTE($I383," ","")))</f>
        <v/>
      </c>
      <c r="K383" s="17">
        <f>IF($J383="",0,LEN($J383))</f>
        <v/>
      </c>
      <c r="L383" s="17">
        <f>IF($J383="","",LEFT($J383,tyk_ikincilUzunluk))</f>
        <v/>
      </c>
      <c r="M383" s="17">
        <f>"B"</f>
        <v/>
      </c>
      <c r="N383" s="17">
        <f>IF($J383="","",IF(COUNTIF(tblAnahtarB[NormB],$J383)&gt;1,"EVET","HAYIR"))</f>
        <v/>
      </c>
      <c r="O383" s="17">
        <f>IF($I383="","",ROW()-ROW($I$5))</f>
        <v/>
      </c>
    </row>
    <row r="384">
      <c r="A384" s="7">
        <f>IF(GIRDI!A384="","",GIRDI!A384)</f>
        <v/>
      </c>
      <c r="B384" s="17">
        <f>UPPER(TRIM(SUBSTITUTE($A384," ","")))</f>
        <v/>
      </c>
      <c r="C384" s="17">
        <f>IF($B384="",0,LEN($B384))</f>
        <v/>
      </c>
      <c r="D384" s="17">
        <f>IF($B384="","",LEFT($B384,tyk_ikincilUzunluk))</f>
        <v/>
      </c>
      <c r="E384" s="17">
        <f>"A"</f>
        <v/>
      </c>
      <c r="F384" s="17">
        <f>IF($B384="","",IF(COUNTIF(tblAnahtarA[Norm],$B384)&gt;1,"EVET","HAYIR"))</f>
        <v/>
      </c>
      <c r="G384" s="17">
        <f>IF($A384="","",ROW()-ROW($A$5))</f>
        <v/>
      </c>
      <c r="I384" s="7">
        <f>IF(HAKEDIS!A384="","",HAKEDIS!A384)</f>
        <v/>
      </c>
      <c r="J384" s="17">
        <f>UPPER(TRIM(SUBSTITUTE($I384," ","")))</f>
        <v/>
      </c>
      <c r="K384" s="17">
        <f>IF($J384="",0,LEN($J384))</f>
        <v/>
      </c>
      <c r="L384" s="17">
        <f>IF($J384="","",LEFT($J384,tyk_ikincilUzunluk))</f>
        <v/>
      </c>
      <c r="M384" s="17">
        <f>"B"</f>
        <v/>
      </c>
      <c r="N384" s="17">
        <f>IF($J384="","",IF(COUNTIF(tblAnahtarB[NormB],$J384)&gt;1,"EVET","HAYIR"))</f>
        <v/>
      </c>
      <c r="O384" s="17">
        <f>IF($I384="","",ROW()-ROW($I$5))</f>
        <v/>
      </c>
    </row>
    <row r="385">
      <c r="A385" s="7">
        <f>IF(GIRDI!A385="","",GIRDI!A385)</f>
        <v/>
      </c>
      <c r="B385" s="17">
        <f>UPPER(TRIM(SUBSTITUTE($A385," ","")))</f>
        <v/>
      </c>
      <c r="C385" s="17">
        <f>IF($B385="",0,LEN($B385))</f>
        <v/>
      </c>
      <c r="D385" s="17">
        <f>IF($B385="","",LEFT($B385,tyk_ikincilUzunluk))</f>
        <v/>
      </c>
      <c r="E385" s="17">
        <f>"A"</f>
        <v/>
      </c>
      <c r="F385" s="17">
        <f>IF($B385="","",IF(COUNTIF(tblAnahtarA[Norm],$B385)&gt;1,"EVET","HAYIR"))</f>
        <v/>
      </c>
      <c r="G385" s="17">
        <f>IF($A385="","",ROW()-ROW($A$5))</f>
        <v/>
      </c>
      <c r="I385" s="7">
        <f>IF(HAKEDIS!A385="","",HAKEDIS!A385)</f>
        <v/>
      </c>
      <c r="J385" s="17">
        <f>UPPER(TRIM(SUBSTITUTE($I385," ","")))</f>
        <v/>
      </c>
      <c r="K385" s="17">
        <f>IF($J385="",0,LEN($J385))</f>
        <v/>
      </c>
      <c r="L385" s="17">
        <f>IF($J385="","",LEFT($J385,tyk_ikincilUzunluk))</f>
        <v/>
      </c>
      <c r="M385" s="17">
        <f>"B"</f>
        <v/>
      </c>
      <c r="N385" s="17">
        <f>IF($J385="","",IF(COUNTIF(tblAnahtarB[NormB],$J385)&gt;1,"EVET","HAYIR"))</f>
        <v/>
      </c>
      <c r="O385" s="17">
        <f>IF($I385="","",ROW()-ROW($I$5))</f>
        <v/>
      </c>
    </row>
    <row r="386">
      <c r="A386" s="7">
        <f>IF(GIRDI!A386="","",GIRDI!A386)</f>
        <v/>
      </c>
      <c r="B386" s="17">
        <f>UPPER(TRIM(SUBSTITUTE($A386," ","")))</f>
        <v/>
      </c>
      <c r="C386" s="17">
        <f>IF($B386="",0,LEN($B386))</f>
        <v/>
      </c>
      <c r="D386" s="17">
        <f>IF($B386="","",LEFT($B386,tyk_ikincilUzunluk))</f>
        <v/>
      </c>
      <c r="E386" s="17">
        <f>"A"</f>
        <v/>
      </c>
      <c r="F386" s="17">
        <f>IF($B386="","",IF(COUNTIF(tblAnahtarA[Norm],$B386)&gt;1,"EVET","HAYIR"))</f>
        <v/>
      </c>
      <c r="G386" s="17">
        <f>IF($A386="","",ROW()-ROW($A$5))</f>
        <v/>
      </c>
      <c r="I386" s="7">
        <f>IF(HAKEDIS!A386="","",HAKEDIS!A386)</f>
        <v/>
      </c>
      <c r="J386" s="17">
        <f>UPPER(TRIM(SUBSTITUTE($I386," ","")))</f>
        <v/>
      </c>
      <c r="K386" s="17">
        <f>IF($J386="",0,LEN($J386))</f>
        <v/>
      </c>
      <c r="L386" s="17">
        <f>IF($J386="","",LEFT($J386,tyk_ikincilUzunluk))</f>
        <v/>
      </c>
      <c r="M386" s="17">
        <f>"B"</f>
        <v/>
      </c>
      <c r="N386" s="17">
        <f>IF($J386="","",IF(COUNTIF(tblAnahtarB[NormB],$J386)&gt;1,"EVET","HAYIR"))</f>
        <v/>
      </c>
      <c r="O386" s="17">
        <f>IF($I386="","",ROW()-ROW($I$5))</f>
        <v/>
      </c>
    </row>
    <row r="387">
      <c r="A387" s="7">
        <f>IF(GIRDI!A387="","",GIRDI!A387)</f>
        <v/>
      </c>
      <c r="B387" s="17">
        <f>UPPER(TRIM(SUBSTITUTE($A387," ","")))</f>
        <v/>
      </c>
      <c r="C387" s="17">
        <f>IF($B387="",0,LEN($B387))</f>
        <v/>
      </c>
      <c r="D387" s="17">
        <f>IF($B387="","",LEFT($B387,tyk_ikincilUzunluk))</f>
        <v/>
      </c>
      <c r="E387" s="17">
        <f>"A"</f>
        <v/>
      </c>
      <c r="F387" s="17">
        <f>IF($B387="","",IF(COUNTIF(tblAnahtarA[Norm],$B387)&gt;1,"EVET","HAYIR"))</f>
        <v/>
      </c>
      <c r="G387" s="17">
        <f>IF($A387="","",ROW()-ROW($A$5))</f>
        <v/>
      </c>
      <c r="I387" s="7">
        <f>IF(HAKEDIS!A387="","",HAKEDIS!A387)</f>
        <v/>
      </c>
      <c r="J387" s="17">
        <f>UPPER(TRIM(SUBSTITUTE($I387," ","")))</f>
        <v/>
      </c>
      <c r="K387" s="17">
        <f>IF($J387="",0,LEN($J387))</f>
        <v/>
      </c>
      <c r="L387" s="17">
        <f>IF($J387="","",LEFT($J387,tyk_ikincilUzunluk))</f>
        <v/>
      </c>
      <c r="M387" s="17">
        <f>"B"</f>
        <v/>
      </c>
      <c r="N387" s="17">
        <f>IF($J387="","",IF(COUNTIF(tblAnahtarB[NormB],$J387)&gt;1,"EVET","HAYIR"))</f>
        <v/>
      </c>
      <c r="O387" s="17">
        <f>IF($I387="","",ROW()-ROW($I$5))</f>
        <v/>
      </c>
    </row>
    <row r="388">
      <c r="A388" s="7">
        <f>IF(GIRDI!A388="","",GIRDI!A388)</f>
        <v/>
      </c>
      <c r="B388" s="17">
        <f>UPPER(TRIM(SUBSTITUTE($A388," ","")))</f>
        <v/>
      </c>
      <c r="C388" s="17">
        <f>IF($B388="",0,LEN($B388))</f>
        <v/>
      </c>
      <c r="D388" s="17">
        <f>IF($B388="","",LEFT($B388,tyk_ikincilUzunluk))</f>
        <v/>
      </c>
      <c r="E388" s="17">
        <f>"A"</f>
        <v/>
      </c>
      <c r="F388" s="17">
        <f>IF($B388="","",IF(COUNTIF(tblAnahtarA[Norm],$B388)&gt;1,"EVET","HAYIR"))</f>
        <v/>
      </c>
      <c r="G388" s="17">
        <f>IF($A388="","",ROW()-ROW($A$5))</f>
        <v/>
      </c>
      <c r="I388" s="7">
        <f>IF(HAKEDIS!A388="","",HAKEDIS!A388)</f>
        <v/>
      </c>
      <c r="J388" s="17">
        <f>UPPER(TRIM(SUBSTITUTE($I388," ","")))</f>
        <v/>
      </c>
      <c r="K388" s="17">
        <f>IF($J388="",0,LEN($J388))</f>
        <v/>
      </c>
      <c r="L388" s="17">
        <f>IF($J388="","",LEFT($J388,tyk_ikincilUzunluk))</f>
        <v/>
      </c>
      <c r="M388" s="17">
        <f>"B"</f>
        <v/>
      </c>
      <c r="N388" s="17">
        <f>IF($J388="","",IF(COUNTIF(tblAnahtarB[NormB],$J388)&gt;1,"EVET","HAYIR"))</f>
        <v/>
      </c>
      <c r="O388" s="17">
        <f>IF($I388="","",ROW()-ROW($I$5))</f>
        <v/>
      </c>
    </row>
    <row r="389">
      <c r="A389" s="7">
        <f>IF(GIRDI!A389="","",GIRDI!A389)</f>
        <v/>
      </c>
      <c r="B389" s="17">
        <f>UPPER(TRIM(SUBSTITUTE($A389," ","")))</f>
        <v/>
      </c>
      <c r="C389" s="17">
        <f>IF($B389="",0,LEN($B389))</f>
        <v/>
      </c>
      <c r="D389" s="17">
        <f>IF($B389="","",LEFT($B389,tyk_ikincilUzunluk))</f>
        <v/>
      </c>
      <c r="E389" s="17">
        <f>"A"</f>
        <v/>
      </c>
      <c r="F389" s="17">
        <f>IF($B389="","",IF(COUNTIF(tblAnahtarA[Norm],$B389)&gt;1,"EVET","HAYIR"))</f>
        <v/>
      </c>
      <c r="G389" s="17">
        <f>IF($A389="","",ROW()-ROW($A$5))</f>
        <v/>
      </c>
      <c r="I389" s="7">
        <f>IF(HAKEDIS!A389="","",HAKEDIS!A389)</f>
        <v/>
      </c>
      <c r="J389" s="17">
        <f>UPPER(TRIM(SUBSTITUTE($I389," ","")))</f>
        <v/>
      </c>
      <c r="K389" s="17">
        <f>IF($J389="",0,LEN($J389))</f>
        <v/>
      </c>
      <c r="L389" s="17">
        <f>IF($J389="","",LEFT($J389,tyk_ikincilUzunluk))</f>
        <v/>
      </c>
      <c r="M389" s="17">
        <f>"B"</f>
        <v/>
      </c>
      <c r="N389" s="17">
        <f>IF($J389="","",IF(COUNTIF(tblAnahtarB[NormB],$J389)&gt;1,"EVET","HAYIR"))</f>
        <v/>
      </c>
      <c r="O389" s="17">
        <f>IF($I389="","",ROW()-ROW($I$5))</f>
        <v/>
      </c>
    </row>
    <row r="390">
      <c r="A390" s="7">
        <f>IF(GIRDI!A390="","",GIRDI!A390)</f>
        <v/>
      </c>
      <c r="B390" s="17">
        <f>UPPER(TRIM(SUBSTITUTE($A390," ","")))</f>
        <v/>
      </c>
      <c r="C390" s="17">
        <f>IF($B390="",0,LEN($B390))</f>
        <v/>
      </c>
      <c r="D390" s="17">
        <f>IF($B390="","",LEFT($B390,tyk_ikincilUzunluk))</f>
        <v/>
      </c>
      <c r="E390" s="17">
        <f>"A"</f>
        <v/>
      </c>
      <c r="F390" s="17">
        <f>IF($B390="","",IF(COUNTIF(tblAnahtarA[Norm],$B390)&gt;1,"EVET","HAYIR"))</f>
        <v/>
      </c>
      <c r="G390" s="17">
        <f>IF($A390="","",ROW()-ROW($A$5))</f>
        <v/>
      </c>
      <c r="I390" s="7">
        <f>IF(HAKEDIS!A390="","",HAKEDIS!A390)</f>
        <v/>
      </c>
      <c r="J390" s="17">
        <f>UPPER(TRIM(SUBSTITUTE($I390," ","")))</f>
        <v/>
      </c>
      <c r="K390" s="17">
        <f>IF($J390="",0,LEN($J390))</f>
        <v/>
      </c>
      <c r="L390" s="17">
        <f>IF($J390="","",LEFT($J390,tyk_ikincilUzunluk))</f>
        <v/>
      </c>
      <c r="M390" s="17">
        <f>"B"</f>
        <v/>
      </c>
      <c r="N390" s="17">
        <f>IF($J390="","",IF(COUNTIF(tblAnahtarB[NormB],$J390)&gt;1,"EVET","HAYIR"))</f>
        <v/>
      </c>
      <c r="O390" s="17">
        <f>IF($I390="","",ROW()-ROW($I$5))</f>
        <v/>
      </c>
    </row>
    <row r="391">
      <c r="A391" s="7">
        <f>IF(GIRDI!A391="","",GIRDI!A391)</f>
        <v/>
      </c>
      <c r="B391" s="17">
        <f>UPPER(TRIM(SUBSTITUTE($A391," ","")))</f>
        <v/>
      </c>
      <c r="C391" s="17">
        <f>IF($B391="",0,LEN($B391))</f>
        <v/>
      </c>
      <c r="D391" s="17">
        <f>IF($B391="","",LEFT($B391,tyk_ikincilUzunluk))</f>
        <v/>
      </c>
      <c r="E391" s="17">
        <f>"A"</f>
        <v/>
      </c>
      <c r="F391" s="17">
        <f>IF($B391="","",IF(COUNTIF(tblAnahtarA[Norm],$B391)&gt;1,"EVET","HAYIR"))</f>
        <v/>
      </c>
      <c r="G391" s="17">
        <f>IF($A391="","",ROW()-ROW($A$5))</f>
        <v/>
      </c>
      <c r="I391" s="7">
        <f>IF(HAKEDIS!A391="","",HAKEDIS!A391)</f>
        <v/>
      </c>
      <c r="J391" s="17">
        <f>UPPER(TRIM(SUBSTITUTE($I391," ","")))</f>
        <v/>
      </c>
      <c r="K391" s="17">
        <f>IF($J391="",0,LEN($J391))</f>
        <v/>
      </c>
      <c r="L391" s="17">
        <f>IF($J391="","",LEFT($J391,tyk_ikincilUzunluk))</f>
        <v/>
      </c>
      <c r="M391" s="17">
        <f>"B"</f>
        <v/>
      </c>
      <c r="N391" s="17">
        <f>IF($J391="","",IF(COUNTIF(tblAnahtarB[NormB],$J391)&gt;1,"EVET","HAYIR"))</f>
        <v/>
      </c>
      <c r="O391" s="17">
        <f>IF($I391="","",ROW()-ROW($I$5))</f>
        <v/>
      </c>
    </row>
    <row r="392">
      <c r="A392" s="7">
        <f>IF(GIRDI!A392="","",GIRDI!A392)</f>
        <v/>
      </c>
      <c r="B392" s="17">
        <f>UPPER(TRIM(SUBSTITUTE($A392," ","")))</f>
        <v/>
      </c>
      <c r="C392" s="17">
        <f>IF($B392="",0,LEN($B392))</f>
        <v/>
      </c>
      <c r="D392" s="17">
        <f>IF($B392="","",LEFT($B392,tyk_ikincilUzunluk))</f>
        <v/>
      </c>
      <c r="E392" s="17">
        <f>"A"</f>
        <v/>
      </c>
      <c r="F392" s="17">
        <f>IF($B392="","",IF(COUNTIF(tblAnahtarA[Norm],$B392)&gt;1,"EVET","HAYIR"))</f>
        <v/>
      </c>
      <c r="G392" s="17">
        <f>IF($A392="","",ROW()-ROW($A$5))</f>
        <v/>
      </c>
      <c r="I392" s="7">
        <f>IF(HAKEDIS!A392="","",HAKEDIS!A392)</f>
        <v/>
      </c>
      <c r="J392" s="17">
        <f>UPPER(TRIM(SUBSTITUTE($I392," ","")))</f>
        <v/>
      </c>
      <c r="K392" s="17">
        <f>IF($J392="",0,LEN($J392))</f>
        <v/>
      </c>
      <c r="L392" s="17">
        <f>IF($J392="","",LEFT($J392,tyk_ikincilUzunluk))</f>
        <v/>
      </c>
      <c r="M392" s="17">
        <f>"B"</f>
        <v/>
      </c>
      <c r="N392" s="17">
        <f>IF($J392="","",IF(COUNTIF(tblAnahtarB[NormB],$J392)&gt;1,"EVET","HAYIR"))</f>
        <v/>
      </c>
      <c r="O392" s="17">
        <f>IF($I392="","",ROW()-ROW($I$5))</f>
        <v/>
      </c>
    </row>
    <row r="393">
      <c r="A393" s="7">
        <f>IF(GIRDI!A393="","",GIRDI!A393)</f>
        <v/>
      </c>
      <c r="B393" s="17">
        <f>UPPER(TRIM(SUBSTITUTE($A393," ","")))</f>
        <v/>
      </c>
      <c r="C393" s="17">
        <f>IF($B393="",0,LEN($B393))</f>
        <v/>
      </c>
      <c r="D393" s="17">
        <f>IF($B393="","",LEFT($B393,tyk_ikincilUzunluk))</f>
        <v/>
      </c>
      <c r="E393" s="17">
        <f>"A"</f>
        <v/>
      </c>
      <c r="F393" s="17">
        <f>IF($B393="","",IF(COUNTIF(tblAnahtarA[Norm],$B393)&gt;1,"EVET","HAYIR"))</f>
        <v/>
      </c>
      <c r="G393" s="17">
        <f>IF($A393="","",ROW()-ROW($A$5))</f>
        <v/>
      </c>
      <c r="I393" s="7">
        <f>IF(HAKEDIS!A393="","",HAKEDIS!A393)</f>
        <v/>
      </c>
      <c r="J393" s="17">
        <f>UPPER(TRIM(SUBSTITUTE($I393," ","")))</f>
        <v/>
      </c>
      <c r="K393" s="17">
        <f>IF($J393="",0,LEN($J393))</f>
        <v/>
      </c>
      <c r="L393" s="17">
        <f>IF($J393="","",LEFT($J393,tyk_ikincilUzunluk))</f>
        <v/>
      </c>
      <c r="M393" s="17">
        <f>"B"</f>
        <v/>
      </c>
      <c r="N393" s="17">
        <f>IF($J393="","",IF(COUNTIF(tblAnahtarB[NormB],$J393)&gt;1,"EVET","HAYIR"))</f>
        <v/>
      </c>
      <c r="O393" s="17">
        <f>IF($I393="","",ROW()-ROW($I$5))</f>
        <v/>
      </c>
    </row>
    <row r="394">
      <c r="A394" s="7">
        <f>IF(GIRDI!A394="","",GIRDI!A394)</f>
        <v/>
      </c>
      <c r="B394" s="17">
        <f>UPPER(TRIM(SUBSTITUTE($A394," ","")))</f>
        <v/>
      </c>
      <c r="C394" s="17">
        <f>IF($B394="",0,LEN($B394))</f>
        <v/>
      </c>
      <c r="D394" s="17">
        <f>IF($B394="","",LEFT($B394,tyk_ikincilUzunluk))</f>
        <v/>
      </c>
      <c r="E394" s="17">
        <f>"A"</f>
        <v/>
      </c>
      <c r="F394" s="17">
        <f>IF($B394="","",IF(COUNTIF(tblAnahtarA[Norm],$B394)&gt;1,"EVET","HAYIR"))</f>
        <v/>
      </c>
      <c r="G394" s="17">
        <f>IF($A394="","",ROW()-ROW($A$5))</f>
        <v/>
      </c>
      <c r="I394" s="7">
        <f>IF(HAKEDIS!A394="","",HAKEDIS!A394)</f>
        <v/>
      </c>
      <c r="J394" s="17">
        <f>UPPER(TRIM(SUBSTITUTE($I394," ","")))</f>
        <v/>
      </c>
      <c r="K394" s="17">
        <f>IF($J394="",0,LEN($J394))</f>
        <v/>
      </c>
      <c r="L394" s="17">
        <f>IF($J394="","",LEFT($J394,tyk_ikincilUzunluk))</f>
        <v/>
      </c>
      <c r="M394" s="17">
        <f>"B"</f>
        <v/>
      </c>
      <c r="N394" s="17">
        <f>IF($J394="","",IF(COUNTIF(tblAnahtarB[NormB],$J394)&gt;1,"EVET","HAYIR"))</f>
        <v/>
      </c>
      <c r="O394" s="17">
        <f>IF($I394="","",ROW()-ROW($I$5))</f>
        <v/>
      </c>
    </row>
    <row r="395">
      <c r="A395" s="7">
        <f>IF(GIRDI!A395="","",GIRDI!A395)</f>
        <v/>
      </c>
      <c r="B395" s="17">
        <f>UPPER(TRIM(SUBSTITUTE($A395," ","")))</f>
        <v/>
      </c>
      <c r="C395" s="17">
        <f>IF($B395="",0,LEN($B395))</f>
        <v/>
      </c>
      <c r="D395" s="17">
        <f>IF($B395="","",LEFT($B395,tyk_ikincilUzunluk))</f>
        <v/>
      </c>
      <c r="E395" s="17">
        <f>"A"</f>
        <v/>
      </c>
      <c r="F395" s="17">
        <f>IF($B395="","",IF(COUNTIF(tblAnahtarA[Norm],$B395)&gt;1,"EVET","HAYIR"))</f>
        <v/>
      </c>
      <c r="G395" s="17">
        <f>IF($A395="","",ROW()-ROW($A$5))</f>
        <v/>
      </c>
      <c r="I395" s="7">
        <f>IF(HAKEDIS!A395="","",HAKEDIS!A395)</f>
        <v/>
      </c>
      <c r="J395" s="17">
        <f>UPPER(TRIM(SUBSTITUTE($I395," ","")))</f>
        <v/>
      </c>
      <c r="K395" s="17">
        <f>IF($J395="",0,LEN($J395))</f>
        <v/>
      </c>
      <c r="L395" s="17">
        <f>IF($J395="","",LEFT($J395,tyk_ikincilUzunluk))</f>
        <v/>
      </c>
      <c r="M395" s="17">
        <f>"B"</f>
        <v/>
      </c>
      <c r="N395" s="17">
        <f>IF($J395="","",IF(COUNTIF(tblAnahtarB[NormB],$J395)&gt;1,"EVET","HAYIR"))</f>
        <v/>
      </c>
      <c r="O395" s="17">
        <f>IF($I395="","",ROW()-ROW($I$5))</f>
        <v/>
      </c>
    </row>
    <row r="396">
      <c r="A396" s="7">
        <f>IF(GIRDI!A396="","",GIRDI!A396)</f>
        <v/>
      </c>
      <c r="B396" s="17">
        <f>UPPER(TRIM(SUBSTITUTE($A396," ","")))</f>
        <v/>
      </c>
      <c r="C396" s="17">
        <f>IF($B396="",0,LEN($B396))</f>
        <v/>
      </c>
      <c r="D396" s="17">
        <f>IF($B396="","",LEFT($B396,tyk_ikincilUzunluk))</f>
        <v/>
      </c>
      <c r="E396" s="17">
        <f>"A"</f>
        <v/>
      </c>
      <c r="F396" s="17">
        <f>IF($B396="","",IF(COUNTIF(tblAnahtarA[Norm],$B396)&gt;1,"EVET","HAYIR"))</f>
        <v/>
      </c>
      <c r="G396" s="17">
        <f>IF($A396="","",ROW()-ROW($A$5))</f>
        <v/>
      </c>
      <c r="I396" s="7">
        <f>IF(HAKEDIS!A396="","",HAKEDIS!A396)</f>
        <v/>
      </c>
      <c r="J396" s="17">
        <f>UPPER(TRIM(SUBSTITUTE($I396," ","")))</f>
        <v/>
      </c>
      <c r="K396" s="17">
        <f>IF($J396="",0,LEN($J396))</f>
        <v/>
      </c>
      <c r="L396" s="17">
        <f>IF($J396="","",LEFT($J396,tyk_ikincilUzunluk))</f>
        <v/>
      </c>
      <c r="M396" s="17">
        <f>"B"</f>
        <v/>
      </c>
      <c r="N396" s="17">
        <f>IF($J396="","",IF(COUNTIF(tblAnahtarB[NormB],$J396)&gt;1,"EVET","HAYIR"))</f>
        <v/>
      </c>
      <c r="O396" s="17">
        <f>IF($I396="","",ROW()-ROW($I$5))</f>
        <v/>
      </c>
    </row>
    <row r="397">
      <c r="A397" s="7">
        <f>IF(GIRDI!A397="","",GIRDI!A397)</f>
        <v/>
      </c>
      <c r="B397" s="17">
        <f>UPPER(TRIM(SUBSTITUTE($A397," ","")))</f>
        <v/>
      </c>
      <c r="C397" s="17">
        <f>IF($B397="",0,LEN($B397))</f>
        <v/>
      </c>
      <c r="D397" s="17">
        <f>IF($B397="","",LEFT($B397,tyk_ikincilUzunluk))</f>
        <v/>
      </c>
      <c r="E397" s="17">
        <f>"A"</f>
        <v/>
      </c>
      <c r="F397" s="17">
        <f>IF($B397="","",IF(COUNTIF(tblAnahtarA[Norm],$B397)&gt;1,"EVET","HAYIR"))</f>
        <v/>
      </c>
      <c r="G397" s="17">
        <f>IF($A397="","",ROW()-ROW($A$5))</f>
        <v/>
      </c>
      <c r="I397" s="7">
        <f>IF(HAKEDIS!A397="","",HAKEDIS!A397)</f>
        <v/>
      </c>
      <c r="J397" s="17">
        <f>UPPER(TRIM(SUBSTITUTE($I397," ","")))</f>
        <v/>
      </c>
      <c r="K397" s="17">
        <f>IF($J397="",0,LEN($J397))</f>
        <v/>
      </c>
      <c r="L397" s="17">
        <f>IF($J397="","",LEFT($J397,tyk_ikincilUzunluk))</f>
        <v/>
      </c>
      <c r="M397" s="17">
        <f>"B"</f>
        <v/>
      </c>
      <c r="N397" s="17">
        <f>IF($J397="","",IF(COUNTIF(tblAnahtarB[NormB],$J397)&gt;1,"EVET","HAYIR"))</f>
        <v/>
      </c>
      <c r="O397" s="17">
        <f>IF($I397="","",ROW()-ROW($I$5))</f>
        <v/>
      </c>
    </row>
    <row r="398">
      <c r="A398" s="7">
        <f>IF(GIRDI!A398="","",GIRDI!A398)</f>
        <v/>
      </c>
      <c r="B398" s="17">
        <f>UPPER(TRIM(SUBSTITUTE($A398," ","")))</f>
        <v/>
      </c>
      <c r="C398" s="17">
        <f>IF($B398="",0,LEN($B398))</f>
        <v/>
      </c>
      <c r="D398" s="17">
        <f>IF($B398="","",LEFT($B398,tyk_ikincilUzunluk))</f>
        <v/>
      </c>
      <c r="E398" s="17">
        <f>"A"</f>
        <v/>
      </c>
      <c r="F398" s="17">
        <f>IF($B398="","",IF(COUNTIF(tblAnahtarA[Norm],$B398)&gt;1,"EVET","HAYIR"))</f>
        <v/>
      </c>
      <c r="G398" s="17">
        <f>IF($A398="","",ROW()-ROW($A$5))</f>
        <v/>
      </c>
      <c r="I398" s="7">
        <f>IF(HAKEDIS!A398="","",HAKEDIS!A398)</f>
        <v/>
      </c>
      <c r="J398" s="17">
        <f>UPPER(TRIM(SUBSTITUTE($I398," ","")))</f>
        <v/>
      </c>
      <c r="K398" s="17">
        <f>IF($J398="",0,LEN($J398))</f>
        <v/>
      </c>
      <c r="L398" s="17">
        <f>IF($J398="","",LEFT($J398,tyk_ikincilUzunluk))</f>
        <v/>
      </c>
      <c r="M398" s="17">
        <f>"B"</f>
        <v/>
      </c>
      <c r="N398" s="17">
        <f>IF($J398="","",IF(COUNTIF(tblAnahtarB[NormB],$J398)&gt;1,"EVET","HAYIR"))</f>
        <v/>
      </c>
      <c r="O398" s="17">
        <f>IF($I398="","",ROW()-ROW($I$5))</f>
        <v/>
      </c>
    </row>
    <row r="399">
      <c r="A399" s="7">
        <f>IF(GIRDI!A399="","",GIRDI!A399)</f>
        <v/>
      </c>
      <c r="B399" s="17">
        <f>UPPER(TRIM(SUBSTITUTE($A399," ","")))</f>
        <v/>
      </c>
      <c r="C399" s="17">
        <f>IF($B399="",0,LEN($B399))</f>
        <v/>
      </c>
      <c r="D399" s="17">
        <f>IF($B399="","",LEFT($B399,tyk_ikincilUzunluk))</f>
        <v/>
      </c>
      <c r="E399" s="17">
        <f>"A"</f>
        <v/>
      </c>
      <c r="F399" s="17">
        <f>IF($B399="","",IF(COUNTIF(tblAnahtarA[Norm],$B399)&gt;1,"EVET","HAYIR"))</f>
        <v/>
      </c>
      <c r="G399" s="17">
        <f>IF($A399="","",ROW()-ROW($A$5))</f>
        <v/>
      </c>
      <c r="I399" s="7">
        <f>IF(HAKEDIS!A399="","",HAKEDIS!A399)</f>
        <v/>
      </c>
      <c r="J399" s="17">
        <f>UPPER(TRIM(SUBSTITUTE($I399," ","")))</f>
        <v/>
      </c>
      <c r="K399" s="17">
        <f>IF($J399="",0,LEN($J399))</f>
        <v/>
      </c>
      <c r="L399" s="17">
        <f>IF($J399="","",LEFT($J399,tyk_ikincilUzunluk))</f>
        <v/>
      </c>
      <c r="M399" s="17">
        <f>"B"</f>
        <v/>
      </c>
      <c r="N399" s="17">
        <f>IF($J399="","",IF(COUNTIF(tblAnahtarB[NormB],$J399)&gt;1,"EVET","HAYIR"))</f>
        <v/>
      </c>
      <c r="O399" s="17">
        <f>IF($I399="","",ROW()-ROW($I$5))</f>
        <v/>
      </c>
    </row>
    <row r="400">
      <c r="A400" s="7">
        <f>IF(GIRDI!A400="","",GIRDI!A400)</f>
        <v/>
      </c>
      <c r="B400" s="17">
        <f>UPPER(TRIM(SUBSTITUTE($A400," ","")))</f>
        <v/>
      </c>
      <c r="C400" s="17">
        <f>IF($B400="",0,LEN($B400))</f>
        <v/>
      </c>
      <c r="D400" s="17">
        <f>IF($B400="","",LEFT($B400,tyk_ikincilUzunluk))</f>
        <v/>
      </c>
      <c r="E400" s="17">
        <f>"A"</f>
        <v/>
      </c>
      <c r="F400" s="17">
        <f>IF($B400="","",IF(COUNTIF(tblAnahtarA[Norm],$B400)&gt;1,"EVET","HAYIR"))</f>
        <v/>
      </c>
      <c r="G400" s="17">
        <f>IF($A400="","",ROW()-ROW($A$5))</f>
        <v/>
      </c>
      <c r="I400" s="7">
        <f>IF(HAKEDIS!A400="","",HAKEDIS!A400)</f>
        <v/>
      </c>
      <c r="J400" s="17">
        <f>UPPER(TRIM(SUBSTITUTE($I400," ","")))</f>
        <v/>
      </c>
      <c r="K400" s="17">
        <f>IF($J400="",0,LEN($J400))</f>
        <v/>
      </c>
      <c r="L400" s="17">
        <f>IF($J400="","",LEFT($J400,tyk_ikincilUzunluk))</f>
        <v/>
      </c>
      <c r="M400" s="17">
        <f>"B"</f>
        <v/>
      </c>
      <c r="N400" s="17">
        <f>IF($J400="","",IF(COUNTIF(tblAnahtarB[NormB],$J400)&gt;1,"EVET","HAYIR"))</f>
        <v/>
      </c>
      <c r="O400" s="17">
        <f>IF($I400="","",ROW()-ROW($I$5))</f>
        <v/>
      </c>
    </row>
    <row r="401">
      <c r="A401" s="7">
        <f>IF(GIRDI!A401="","",GIRDI!A401)</f>
        <v/>
      </c>
      <c r="B401" s="17">
        <f>UPPER(TRIM(SUBSTITUTE($A401," ","")))</f>
        <v/>
      </c>
      <c r="C401" s="17">
        <f>IF($B401="",0,LEN($B401))</f>
        <v/>
      </c>
      <c r="D401" s="17">
        <f>IF($B401="","",LEFT($B401,tyk_ikincilUzunluk))</f>
        <v/>
      </c>
      <c r="E401" s="17">
        <f>"A"</f>
        <v/>
      </c>
      <c r="F401" s="17">
        <f>IF($B401="","",IF(COUNTIF(tblAnahtarA[Norm],$B401)&gt;1,"EVET","HAYIR"))</f>
        <v/>
      </c>
      <c r="G401" s="17">
        <f>IF($A401="","",ROW()-ROW($A$5))</f>
        <v/>
      </c>
      <c r="I401" s="7">
        <f>IF(HAKEDIS!A401="","",HAKEDIS!A401)</f>
        <v/>
      </c>
      <c r="J401" s="17">
        <f>UPPER(TRIM(SUBSTITUTE($I401," ","")))</f>
        <v/>
      </c>
      <c r="K401" s="17">
        <f>IF($J401="",0,LEN($J401))</f>
        <v/>
      </c>
      <c r="L401" s="17">
        <f>IF($J401="","",LEFT($J401,tyk_ikincilUzunluk))</f>
        <v/>
      </c>
      <c r="M401" s="17">
        <f>"B"</f>
        <v/>
      </c>
      <c r="N401" s="17">
        <f>IF($J401="","",IF(COUNTIF(tblAnahtarB[NormB],$J401)&gt;1,"EVET","HAYIR"))</f>
        <v/>
      </c>
      <c r="O401" s="17">
        <f>IF($I401="","",ROW()-ROW($I$5))</f>
        <v/>
      </c>
    </row>
    <row r="402">
      <c r="A402" s="7">
        <f>IF(GIRDI!A402="","",GIRDI!A402)</f>
        <v/>
      </c>
      <c r="B402" s="17">
        <f>UPPER(TRIM(SUBSTITUTE($A402," ","")))</f>
        <v/>
      </c>
      <c r="C402" s="17">
        <f>IF($B402="",0,LEN($B402))</f>
        <v/>
      </c>
      <c r="D402" s="17">
        <f>IF($B402="","",LEFT($B402,tyk_ikincilUzunluk))</f>
        <v/>
      </c>
      <c r="E402" s="17">
        <f>"A"</f>
        <v/>
      </c>
      <c r="F402" s="17">
        <f>IF($B402="","",IF(COUNTIF(tblAnahtarA[Norm],$B402)&gt;1,"EVET","HAYIR"))</f>
        <v/>
      </c>
      <c r="G402" s="17">
        <f>IF($A402="","",ROW()-ROW($A$5))</f>
        <v/>
      </c>
      <c r="I402" s="7">
        <f>IF(HAKEDIS!A402="","",HAKEDIS!A402)</f>
        <v/>
      </c>
      <c r="J402" s="17">
        <f>UPPER(TRIM(SUBSTITUTE($I402," ","")))</f>
        <v/>
      </c>
      <c r="K402" s="17">
        <f>IF($J402="",0,LEN($J402))</f>
        <v/>
      </c>
      <c r="L402" s="17">
        <f>IF($J402="","",LEFT($J402,tyk_ikincilUzunluk))</f>
        <v/>
      </c>
      <c r="M402" s="17">
        <f>"B"</f>
        <v/>
      </c>
      <c r="N402" s="17">
        <f>IF($J402="","",IF(COUNTIF(tblAnahtarB[NormB],$J402)&gt;1,"EVET","HAYIR"))</f>
        <v/>
      </c>
      <c r="O402" s="17">
        <f>IF($I402="","",ROW()-ROW($I$5))</f>
        <v/>
      </c>
    </row>
    <row r="403">
      <c r="A403" s="7">
        <f>IF(GIRDI!A403="","",GIRDI!A403)</f>
        <v/>
      </c>
      <c r="B403" s="17">
        <f>UPPER(TRIM(SUBSTITUTE($A403," ","")))</f>
        <v/>
      </c>
      <c r="C403" s="17">
        <f>IF($B403="",0,LEN($B403))</f>
        <v/>
      </c>
      <c r="D403" s="17">
        <f>IF($B403="","",LEFT($B403,tyk_ikincilUzunluk))</f>
        <v/>
      </c>
      <c r="E403" s="17">
        <f>"A"</f>
        <v/>
      </c>
      <c r="F403" s="17">
        <f>IF($B403="","",IF(COUNTIF(tblAnahtarA[Norm],$B403)&gt;1,"EVET","HAYIR"))</f>
        <v/>
      </c>
      <c r="G403" s="17">
        <f>IF($A403="","",ROW()-ROW($A$5))</f>
        <v/>
      </c>
      <c r="I403" s="7">
        <f>IF(HAKEDIS!A403="","",HAKEDIS!A403)</f>
        <v/>
      </c>
      <c r="J403" s="17">
        <f>UPPER(TRIM(SUBSTITUTE($I403," ","")))</f>
        <v/>
      </c>
      <c r="K403" s="17">
        <f>IF($J403="",0,LEN($J403))</f>
        <v/>
      </c>
      <c r="L403" s="17">
        <f>IF($J403="","",LEFT($J403,tyk_ikincilUzunluk))</f>
        <v/>
      </c>
      <c r="M403" s="17">
        <f>"B"</f>
        <v/>
      </c>
      <c r="N403" s="17">
        <f>IF($J403="","",IF(COUNTIF(tblAnahtarB[NormB],$J403)&gt;1,"EVET","HAYIR"))</f>
        <v/>
      </c>
      <c r="O403" s="17">
        <f>IF($I403="","",ROW()-ROW($I$5))</f>
        <v/>
      </c>
    </row>
    <row r="404">
      <c r="A404" s="7">
        <f>IF(GIRDI!A404="","",GIRDI!A404)</f>
        <v/>
      </c>
      <c r="B404" s="17">
        <f>UPPER(TRIM(SUBSTITUTE($A404," ","")))</f>
        <v/>
      </c>
      <c r="C404" s="17">
        <f>IF($B404="",0,LEN($B404))</f>
        <v/>
      </c>
      <c r="D404" s="17">
        <f>IF($B404="","",LEFT($B404,tyk_ikincilUzunluk))</f>
        <v/>
      </c>
      <c r="E404" s="17">
        <f>"A"</f>
        <v/>
      </c>
      <c r="F404" s="17">
        <f>IF($B404="","",IF(COUNTIF(tblAnahtarA[Norm],$B404)&gt;1,"EVET","HAYIR"))</f>
        <v/>
      </c>
      <c r="G404" s="17">
        <f>IF($A404="","",ROW()-ROW($A$5))</f>
        <v/>
      </c>
      <c r="I404" s="7">
        <f>IF(HAKEDIS!A404="","",HAKEDIS!A404)</f>
        <v/>
      </c>
      <c r="J404" s="17">
        <f>UPPER(TRIM(SUBSTITUTE($I404," ","")))</f>
        <v/>
      </c>
      <c r="K404" s="17">
        <f>IF($J404="",0,LEN($J404))</f>
        <v/>
      </c>
      <c r="L404" s="17">
        <f>IF($J404="","",LEFT($J404,tyk_ikincilUzunluk))</f>
        <v/>
      </c>
      <c r="M404" s="17">
        <f>"B"</f>
        <v/>
      </c>
      <c r="N404" s="17">
        <f>IF($J404="","",IF(COUNTIF(tblAnahtarB[NormB],$J404)&gt;1,"EVET","HAYIR"))</f>
        <v/>
      </c>
      <c r="O404" s="17">
        <f>IF($I404="","",ROW()-ROW($I$5))</f>
        <v/>
      </c>
    </row>
    <row r="405">
      <c r="A405" s="7">
        <f>IF(GIRDI!A405="","",GIRDI!A405)</f>
        <v/>
      </c>
      <c r="B405" s="17">
        <f>UPPER(TRIM(SUBSTITUTE($A405," ","")))</f>
        <v/>
      </c>
      <c r="C405" s="17">
        <f>IF($B405="",0,LEN($B405))</f>
        <v/>
      </c>
      <c r="D405" s="17">
        <f>IF($B405="","",LEFT($B405,tyk_ikincilUzunluk))</f>
        <v/>
      </c>
      <c r="E405" s="17">
        <f>"A"</f>
        <v/>
      </c>
      <c r="F405" s="17">
        <f>IF($B405="","",IF(COUNTIF(tblAnahtarA[Norm],$B405)&gt;1,"EVET","HAYIR"))</f>
        <v/>
      </c>
      <c r="G405" s="17">
        <f>IF($A405="","",ROW()-ROW($A$5))</f>
        <v/>
      </c>
      <c r="I405" s="7">
        <f>IF(HAKEDIS!A405="","",HAKEDIS!A405)</f>
        <v/>
      </c>
      <c r="J405" s="17">
        <f>UPPER(TRIM(SUBSTITUTE($I405," ","")))</f>
        <v/>
      </c>
      <c r="K405" s="17">
        <f>IF($J405="",0,LEN($J405))</f>
        <v/>
      </c>
      <c r="L405" s="17">
        <f>IF($J405="","",LEFT($J405,tyk_ikincilUzunluk))</f>
        <v/>
      </c>
      <c r="M405" s="17">
        <f>"B"</f>
        <v/>
      </c>
      <c r="N405" s="17">
        <f>IF($J405="","",IF(COUNTIF(tblAnahtarB[NormB],$J405)&gt;1,"EVET","HAYIR"))</f>
        <v/>
      </c>
      <c r="O405" s="17">
        <f>IF($I405="","",ROW()-ROW($I$5))</f>
        <v/>
      </c>
    </row>
    <row r="406">
      <c r="A406" s="7">
        <f>IF(GIRDI!A406="","",GIRDI!A406)</f>
        <v/>
      </c>
      <c r="B406" s="17">
        <f>UPPER(TRIM(SUBSTITUTE($A406," ","")))</f>
        <v/>
      </c>
      <c r="C406" s="17">
        <f>IF($B406="",0,LEN($B406))</f>
        <v/>
      </c>
      <c r="D406" s="17">
        <f>IF($B406="","",LEFT($B406,tyk_ikincilUzunluk))</f>
        <v/>
      </c>
      <c r="E406" s="17">
        <f>"A"</f>
        <v/>
      </c>
      <c r="F406" s="17">
        <f>IF($B406="","",IF(COUNTIF(tblAnahtarA[Norm],$B406)&gt;1,"EVET","HAYIR"))</f>
        <v/>
      </c>
      <c r="G406" s="17">
        <f>IF($A406="","",ROW()-ROW($A$5))</f>
        <v/>
      </c>
      <c r="I406" s="7">
        <f>IF(HAKEDIS!A406="","",HAKEDIS!A406)</f>
        <v/>
      </c>
      <c r="J406" s="17">
        <f>UPPER(TRIM(SUBSTITUTE($I406," ","")))</f>
        <v/>
      </c>
      <c r="K406" s="17">
        <f>IF($J406="",0,LEN($J406))</f>
        <v/>
      </c>
      <c r="L406" s="17">
        <f>IF($J406="","",LEFT($J406,tyk_ikincilUzunluk))</f>
        <v/>
      </c>
      <c r="M406" s="17">
        <f>"B"</f>
        <v/>
      </c>
      <c r="N406" s="17">
        <f>IF($J406="","",IF(COUNTIF(tblAnahtarB[NormB],$J406)&gt;1,"EVET","HAYIR"))</f>
        <v/>
      </c>
      <c r="O406" s="17">
        <f>IF($I406="","",ROW()-ROW($I$5))</f>
        <v/>
      </c>
    </row>
    <row r="407">
      <c r="A407" s="7">
        <f>IF(GIRDI!A407="","",GIRDI!A407)</f>
        <v/>
      </c>
      <c r="B407" s="17">
        <f>UPPER(TRIM(SUBSTITUTE($A407," ","")))</f>
        <v/>
      </c>
      <c r="C407" s="17">
        <f>IF($B407="",0,LEN($B407))</f>
        <v/>
      </c>
      <c r="D407" s="17">
        <f>IF($B407="","",LEFT($B407,tyk_ikincilUzunluk))</f>
        <v/>
      </c>
      <c r="E407" s="17">
        <f>"A"</f>
        <v/>
      </c>
      <c r="F407" s="17">
        <f>IF($B407="","",IF(COUNTIF(tblAnahtarA[Norm],$B407)&gt;1,"EVET","HAYIR"))</f>
        <v/>
      </c>
      <c r="G407" s="17">
        <f>IF($A407="","",ROW()-ROW($A$5))</f>
        <v/>
      </c>
      <c r="I407" s="7">
        <f>IF(HAKEDIS!A407="","",HAKEDIS!A407)</f>
        <v/>
      </c>
      <c r="J407" s="17">
        <f>UPPER(TRIM(SUBSTITUTE($I407," ","")))</f>
        <v/>
      </c>
      <c r="K407" s="17">
        <f>IF($J407="",0,LEN($J407))</f>
        <v/>
      </c>
      <c r="L407" s="17">
        <f>IF($J407="","",LEFT($J407,tyk_ikincilUzunluk))</f>
        <v/>
      </c>
      <c r="M407" s="17">
        <f>"B"</f>
        <v/>
      </c>
      <c r="N407" s="17">
        <f>IF($J407="","",IF(COUNTIF(tblAnahtarB[NormB],$J407)&gt;1,"EVET","HAYIR"))</f>
        <v/>
      </c>
      <c r="O407" s="17">
        <f>IF($I407="","",ROW()-ROW($I$5))</f>
        <v/>
      </c>
    </row>
    <row r="408">
      <c r="A408" s="7">
        <f>IF(GIRDI!A408="","",GIRDI!A408)</f>
        <v/>
      </c>
      <c r="B408" s="17">
        <f>UPPER(TRIM(SUBSTITUTE($A408," ","")))</f>
        <v/>
      </c>
      <c r="C408" s="17">
        <f>IF($B408="",0,LEN($B408))</f>
        <v/>
      </c>
      <c r="D408" s="17">
        <f>IF($B408="","",LEFT($B408,tyk_ikincilUzunluk))</f>
        <v/>
      </c>
      <c r="E408" s="17">
        <f>"A"</f>
        <v/>
      </c>
      <c r="F408" s="17">
        <f>IF($B408="","",IF(COUNTIF(tblAnahtarA[Norm],$B408)&gt;1,"EVET","HAYIR"))</f>
        <v/>
      </c>
      <c r="G408" s="17">
        <f>IF($A408="","",ROW()-ROW($A$5))</f>
        <v/>
      </c>
      <c r="I408" s="7">
        <f>IF(HAKEDIS!A408="","",HAKEDIS!A408)</f>
        <v/>
      </c>
      <c r="J408" s="17">
        <f>UPPER(TRIM(SUBSTITUTE($I408," ","")))</f>
        <v/>
      </c>
      <c r="K408" s="17">
        <f>IF($J408="",0,LEN($J408))</f>
        <v/>
      </c>
      <c r="L408" s="17">
        <f>IF($J408="","",LEFT($J408,tyk_ikincilUzunluk))</f>
        <v/>
      </c>
      <c r="M408" s="17">
        <f>"B"</f>
        <v/>
      </c>
      <c r="N408" s="17">
        <f>IF($J408="","",IF(COUNTIF(tblAnahtarB[NormB],$J408)&gt;1,"EVET","HAYIR"))</f>
        <v/>
      </c>
      <c r="O408" s="17">
        <f>IF($I408="","",ROW()-ROW($I$5))</f>
        <v/>
      </c>
    </row>
    <row r="409">
      <c r="A409" s="7">
        <f>IF(GIRDI!A409="","",GIRDI!A409)</f>
        <v/>
      </c>
      <c r="B409" s="17">
        <f>UPPER(TRIM(SUBSTITUTE($A409," ","")))</f>
        <v/>
      </c>
      <c r="C409" s="17">
        <f>IF($B409="",0,LEN($B409))</f>
        <v/>
      </c>
      <c r="D409" s="17">
        <f>IF($B409="","",LEFT($B409,tyk_ikincilUzunluk))</f>
        <v/>
      </c>
      <c r="E409" s="17">
        <f>"A"</f>
        <v/>
      </c>
      <c r="F409" s="17">
        <f>IF($B409="","",IF(COUNTIF(tblAnahtarA[Norm],$B409)&gt;1,"EVET","HAYIR"))</f>
        <v/>
      </c>
      <c r="G409" s="17">
        <f>IF($A409="","",ROW()-ROW($A$5))</f>
        <v/>
      </c>
      <c r="I409" s="7">
        <f>IF(HAKEDIS!A409="","",HAKEDIS!A409)</f>
        <v/>
      </c>
      <c r="J409" s="17">
        <f>UPPER(TRIM(SUBSTITUTE($I409," ","")))</f>
        <v/>
      </c>
      <c r="K409" s="17">
        <f>IF($J409="",0,LEN($J409))</f>
        <v/>
      </c>
      <c r="L409" s="17">
        <f>IF($J409="","",LEFT($J409,tyk_ikincilUzunluk))</f>
        <v/>
      </c>
      <c r="M409" s="17">
        <f>"B"</f>
        <v/>
      </c>
      <c r="N409" s="17">
        <f>IF($J409="","",IF(COUNTIF(tblAnahtarB[NormB],$J409)&gt;1,"EVET","HAYIR"))</f>
        <v/>
      </c>
      <c r="O409" s="17">
        <f>IF($I409="","",ROW()-ROW($I$5))</f>
        <v/>
      </c>
    </row>
    <row r="410">
      <c r="A410" s="7">
        <f>IF(GIRDI!A410="","",GIRDI!A410)</f>
        <v/>
      </c>
      <c r="B410" s="17">
        <f>UPPER(TRIM(SUBSTITUTE($A410," ","")))</f>
        <v/>
      </c>
      <c r="C410" s="17">
        <f>IF($B410="",0,LEN($B410))</f>
        <v/>
      </c>
      <c r="D410" s="17">
        <f>IF($B410="","",LEFT($B410,tyk_ikincilUzunluk))</f>
        <v/>
      </c>
      <c r="E410" s="17">
        <f>"A"</f>
        <v/>
      </c>
      <c r="F410" s="17">
        <f>IF($B410="","",IF(COUNTIF(tblAnahtarA[Norm],$B410)&gt;1,"EVET","HAYIR"))</f>
        <v/>
      </c>
      <c r="G410" s="17">
        <f>IF($A410="","",ROW()-ROW($A$5))</f>
        <v/>
      </c>
      <c r="I410" s="7">
        <f>IF(HAKEDIS!A410="","",HAKEDIS!A410)</f>
        <v/>
      </c>
      <c r="J410" s="17">
        <f>UPPER(TRIM(SUBSTITUTE($I410," ","")))</f>
        <v/>
      </c>
      <c r="K410" s="17">
        <f>IF($J410="",0,LEN($J410))</f>
        <v/>
      </c>
      <c r="L410" s="17">
        <f>IF($J410="","",LEFT($J410,tyk_ikincilUzunluk))</f>
        <v/>
      </c>
      <c r="M410" s="17">
        <f>"B"</f>
        <v/>
      </c>
      <c r="N410" s="17">
        <f>IF($J410="","",IF(COUNTIF(tblAnahtarB[NormB],$J410)&gt;1,"EVET","HAYIR"))</f>
        <v/>
      </c>
      <c r="O410" s="17">
        <f>IF($I410="","",ROW()-ROW($I$5))</f>
        <v/>
      </c>
    </row>
    <row r="411">
      <c r="A411" s="7">
        <f>IF(GIRDI!A411="","",GIRDI!A411)</f>
        <v/>
      </c>
      <c r="B411" s="17">
        <f>UPPER(TRIM(SUBSTITUTE($A411," ","")))</f>
        <v/>
      </c>
      <c r="C411" s="17">
        <f>IF($B411="",0,LEN($B411))</f>
        <v/>
      </c>
      <c r="D411" s="17">
        <f>IF($B411="","",LEFT($B411,tyk_ikincilUzunluk))</f>
        <v/>
      </c>
      <c r="E411" s="17">
        <f>"A"</f>
        <v/>
      </c>
      <c r="F411" s="17">
        <f>IF($B411="","",IF(COUNTIF(tblAnahtarA[Norm],$B411)&gt;1,"EVET","HAYIR"))</f>
        <v/>
      </c>
      <c r="G411" s="17">
        <f>IF($A411="","",ROW()-ROW($A$5))</f>
        <v/>
      </c>
      <c r="I411" s="7">
        <f>IF(HAKEDIS!A411="","",HAKEDIS!A411)</f>
        <v/>
      </c>
      <c r="J411" s="17">
        <f>UPPER(TRIM(SUBSTITUTE($I411," ","")))</f>
        <v/>
      </c>
      <c r="K411" s="17">
        <f>IF($J411="",0,LEN($J411))</f>
        <v/>
      </c>
      <c r="L411" s="17">
        <f>IF($J411="","",LEFT($J411,tyk_ikincilUzunluk))</f>
        <v/>
      </c>
      <c r="M411" s="17">
        <f>"B"</f>
        <v/>
      </c>
      <c r="N411" s="17">
        <f>IF($J411="","",IF(COUNTIF(tblAnahtarB[NormB],$J411)&gt;1,"EVET","HAYIR"))</f>
        <v/>
      </c>
      <c r="O411" s="17">
        <f>IF($I411="","",ROW()-ROW($I$5))</f>
        <v/>
      </c>
    </row>
    <row r="412">
      <c r="A412" s="7">
        <f>IF(GIRDI!A412="","",GIRDI!A412)</f>
        <v/>
      </c>
      <c r="B412" s="17">
        <f>UPPER(TRIM(SUBSTITUTE($A412," ","")))</f>
        <v/>
      </c>
      <c r="C412" s="17">
        <f>IF($B412="",0,LEN($B412))</f>
        <v/>
      </c>
      <c r="D412" s="17">
        <f>IF($B412="","",LEFT($B412,tyk_ikincilUzunluk))</f>
        <v/>
      </c>
      <c r="E412" s="17">
        <f>"A"</f>
        <v/>
      </c>
      <c r="F412" s="17">
        <f>IF($B412="","",IF(COUNTIF(tblAnahtarA[Norm],$B412)&gt;1,"EVET","HAYIR"))</f>
        <v/>
      </c>
      <c r="G412" s="17">
        <f>IF($A412="","",ROW()-ROW($A$5))</f>
        <v/>
      </c>
      <c r="I412" s="7">
        <f>IF(HAKEDIS!A412="","",HAKEDIS!A412)</f>
        <v/>
      </c>
      <c r="J412" s="17">
        <f>UPPER(TRIM(SUBSTITUTE($I412," ","")))</f>
        <v/>
      </c>
      <c r="K412" s="17">
        <f>IF($J412="",0,LEN($J412))</f>
        <v/>
      </c>
      <c r="L412" s="17">
        <f>IF($J412="","",LEFT($J412,tyk_ikincilUzunluk))</f>
        <v/>
      </c>
      <c r="M412" s="17">
        <f>"B"</f>
        <v/>
      </c>
      <c r="N412" s="17">
        <f>IF($J412="","",IF(COUNTIF(tblAnahtarB[NormB],$J412)&gt;1,"EVET","HAYIR"))</f>
        <v/>
      </c>
      <c r="O412" s="17">
        <f>IF($I412="","",ROW()-ROW($I$5))</f>
        <v/>
      </c>
    </row>
    <row r="413">
      <c r="A413" s="7">
        <f>IF(GIRDI!A413="","",GIRDI!A413)</f>
        <v/>
      </c>
      <c r="B413" s="17">
        <f>UPPER(TRIM(SUBSTITUTE($A413," ","")))</f>
        <v/>
      </c>
      <c r="C413" s="17">
        <f>IF($B413="",0,LEN($B413))</f>
        <v/>
      </c>
      <c r="D413" s="17">
        <f>IF($B413="","",LEFT($B413,tyk_ikincilUzunluk))</f>
        <v/>
      </c>
      <c r="E413" s="17">
        <f>"A"</f>
        <v/>
      </c>
      <c r="F413" s="17">
        <f>IF($B413="","",IF(COUNTIF(tblAnahtarA[Norm],$B413)&gt;1,"EVET","HAYIR"))</f>
        <v/>
      </c>
      <c r="G413" s="17">
        <f>IF($A413="","",ROW()-ROW($A$5))</f>
        <v/>
      </c>
      <c r="I413" s="7">
        <f>IF(HAKEDIS!A413="","",HAKEDIS!A413)</f>
        <v/>
      </c>
      <c r="J413" s="17">
        <f>UPPER(TRIM(SUBSTITUTE($I413," ","")))</f>
        <v/>
      </c>
      <c r="K413" s="17">
        <f>IF($J413="",0,LEN($J413))</f>
        <v/>
      </c>
      <c r="L413" s="17">
        <f>IF($J413="","",LEFT($J413,tyk_ikincilUzunluk))</f>
        <v/>
      </c>
      <c r="M413" s="17">
        <f>"B"</f>
        <v/>
      </c>
      <c r="N413" s="17">
        <f>IF($J413="","",IF(COUNTIF(tblAnahtarB[NormB],$J413)&gt;1,"EVET","HAYIR"))</f>
        <v/>
      </c>
      <c r="O413" s="17">
        <f>IF($I413="","",ROW()-ROW($I$5))</f>
        <v/>
      </c>
    </row>
    <row r="414">
      <c r="A414" s="7">
        <f>IF(GIRDI!A414="","",GIRDI!A414)</f>
        <v/>
      </c>
      <c r="B414" s="17">
        <f>UPPER(TRIM(SUBSTITUTE($A414," ","")))</f>
        <v/>
      </c>
      <c r="C414" s="17">
        <f>IF($B414="",0,LEN($B414))</f>
        <v/>
      </c>
      <c r="D414" s="17">
        <f>IF($B414="","",LEFT($B414,tyk_ikincilUzunluk))</f>
        <v/>
      </c>
      <c r="E414" s="17">
        <f>"A"</f>
        <v/>
      </c>
      <c r="F414" s="17">
        <f>IF($B414="","",IF(COUNTIF(tblAnahtarA[Norm],$B414)&gt;1,"EVET","HAYIR"))</f>
        <v/>
      </c>
      <c r="G414" s="17">
        <f>IF($A414="","",ROW()-ROW($A$5))</f>
        <v/>
      </c>
      <c r="I414" s="7">
        <f>IF(HAKEDIS!A414="","",HAKEDIS!A414)</f>
        <v/>
      </c>
      <c r="J414" s="17">
        <f>UPPER(TRIM(SUBSTITUTE($I414," ","")))</f>
        <v/>
      </c>
      <c r="K414" s="17">
        <f>IF($J414="",0,LEN($J414))</f>
        <v/>
      </c>
      <c r="L414" s="17">
        <f>IF($J414="","",LEFT($J414,tyk_ikincilUzunluk))</f>
        <v/>
      </c>
      <c r="M414" s="17">
        <f>"B"</f>
        <v/>
      </c>
      <c r="N414" s="17">
        <f>IF($J414="","",IF(COUNTIF(tblAnahtarB[NormB],$J414)&gt;1,"EVET","HAYIR"))</f>
        <v/>
      </c>
      <c r="O414" s="17">
        <f>IF($I414="","",ROW()-ROW($I$5))</f>
        <v/>
      </c>
    </row>
    <row r="415">
      <c r="A415" s="7">
        <f>IF(GIRDI!A415="","",GIRDI!A415)</f>
        <v/>
      </c>
      <c r="B415" s="17">
        <f>UPPER(TRIM(SUBSTITUTE($A415," ","")))</f>
        <v/>
      </c>
      <c r="C415" s="17">
        <f>IF($B415="",0,LEN($B415))</f>
        <v/>
      </c>
      <c r="D415" s="17">
        <f>IF($B415="","",LEFT($B415,tyk_ikincilUzunluk))</f>
        <v/>
      </c>
      <c r="E415" s="17">
        <f>"A"</f>
        <v/>
      </c>
      <c r="F415" s="17">
        <f>IF($B415="","",IF(COUNTIF(tblAnahtarA[Norm],$B415)&gt;1,"EVET","HAYIR"))</f>
        <v/>
      </c>
      <c r="G415" s="17">
        <f>IF($A415="","",ROW()-ROW($A$5))</f>
        <v/>
      </c>
      <c r="I415" s="7">
        <f>IF(HAKEDIS!A415="","",HAKEDIS!A415)</f>
        <v/>
      </c>
      <c r="J415" s="17">
        <f>UPPER(TRIM(SUBSTITUTE($I415," ","")))</f>
        <v/>
      </c>
      <c r="K415" s="17">
        <f>IF($J415="",0,LEN($J415))</f>
        <v/>
      </c>
      <c r="L415" s="17">
        <f>IF($J415="","",LEFT($J415,tyk_ikincilUzunluk))</f>
        <v/>
      </c>
      <c r="M415" s="17">
        <f>"B"</f>
        <v/>
      </c>
      <c r="N415" s="17">
        <f>IF($J415="","",IF(COUNTIF(tblAnahtarB[NormB],$J415)&gt;1,"EVET","HAYIR"))</f>
        <v/>
      </c>
      <c r="O415" s="17">
        <f>IF($I415="","",ROW()-ROW($I$5))</f>
        <v/>
      </c>
    </row>
    <row r="416">
      <c r="A416" s="7">
        <f>IF(GIRDI!A416="","",GIRDI!A416)</f>
        <v/>
      </c>
      <c r="B416" s="17">
        <f>UPPER(TRIM(SUBSTITUTE($A416," ","")))</f>
        <v/>
      </c>
      <c r="C416" s="17">
        <f>IF($B416="",0,LEN($B416))</f>
        <v/>
      </c>
      <c r="D416" s="17">
        <f>IF($B416="","",LEFT($B416,tyk_ikincilUzunluk))</f>
        <v/>
      </c>
      <c r="E416" s="17">
        <f>"A"</f>
        <v/>
      </c>
      <c r="F416" s="17">
        <f>IF($B416="","",IF(COUNTIF(tblAnahtarA[Norm],$B416)&gt;1,"EVET","HAYIR"))</f>
        <v/>
      </c>
      <c r="G416" s="17">
        <f>IF($A416="","",ROW()-ROW($A$5))</f>
        <v/>
      </c>
      <c r="I416" s="7">
        <f>IF(HAKEDIS!A416="","",HAKEDIS!A416)</f>
        <v/>
      </c>
      <c r="J416" s="17">
        <f>UPPER(TRIM(SUBSTITUTE($I416," ","")))</f>
        <v/>
      </c>
      <c r="K416" s="17">
        <f>IF($J416="",0,LEN($J416))</f>
        <v/>
      </c>
      <c r="L416" s="17">
        <f>IF($J416="","",LEFT($J416,tyk_ikincilUzunluk))</f>
        <v/>
      </c>
      <c r="M416" s="17">
        <f>"B"</f>
        <v/>
      </c>
      <c r="N416" s="17">
        <f>IF($J416="","",IF(COUNTIF(tblAnahtarB[NormB],$J416)&gt;1,"EVET","HAYIR"))</f>
        <v/>
      </c>
      <c r="O416" s="17">
        <f>IF($I416="","",ROW()-ROW($I$5))</f>
        <v/>
      </c>
    </row>
    <row r="417">
      <c r="A417" s="7">
        <f>IF(GIRDI!A417="","",GIRDI!A417)</f>
        <v/>
      </c>
      <c r="B417" s="17">
        <f>UPPER(TRIM(SUBSTITUTE($A417," ","")))</f>
        <v/>
      </c>
      <c r="C417" s="17">
        <f>IF($B417="",0,LEN($B417))</f>
        <v/>
      </c>
      <c r="D417" s="17">
        <f>IF($B417="","",LEFT($B417,tyk_ikincilUzunluk))</f>
        <v/>
      </c>
      <c r="E417" s="17">
        <f>"A"</f>
        <v/>
      </c>
      <c r="F417" s="17">
        <f>IF($B417="","",IF(COUNTIF(tblAnahtarA[Norm],$B417)&gt;1,"EVET","HAYIR"))</f>
        <v/>
      </c>
      <c r="G417" s="17">
        <f>IF($A417="","",ROW()-ROW($A$5))</f>
        <v/>
      </c>
      <c r="I417" s="7">
        <f>IF(HAKEDIS!A417="","",HAKEDIS!A417)</f>
        <v/>
      </c>
      <c r="J417" s="17">
        <f>UPPER(TRIM(SUBSTITUTE($I417," ","")))</f>
        <v/>
      </c>
      <c r="K417" s="17">
        <f>IF($J417="",0,LEN($J417))</f>
        <v/>
      </c>
      <c r="L417" s="17">
        <f>IF($J417="","",LEFT($J417,tyk_ikincilUzunluk))</f>
        <v/>
      </c>
      <c r="M417" s="17">
        <f>"B"</f>
        <v/>
      </c>
      <c r="N417" s="17">
        <f>IF($J417="","",IF(COUNTIF(tblAnahtarB[NormB],$J417)&gt;1,"EVET","HAYIR"))</f>
        <v/>
      </c>
      <c r="O417" s="17">
        <f>IF($I417="","",ROW()-ROW($I$5))</f>
        <v/>
      </c>
    </row>
    <row r="418">
      <c r="A418" s="7">
        <f>IF(GIRDI!A418="","",GIRDI!A418)</f>
        <v/>
      </c>
      <c r="B418" s="17">
        <f>UPPER(TRIM(SUBSTITUTE($A418," ","")))</f>
        <v/>
      </c>
      <c r="C418" s="17">
        <f>IF($B418="",0,LEN($B418))</f>
        <v/>
      </c>
      <c r="D418" s="17">
        <f>IF($B418="","",LEFT($B418,tyk_ikincilUzunluk))</f>
        <v/>
      </c>
      <c r="E418" s="17">
        <f>"A"</f>
        <v/>
      </c>
      <c r="F418" s="17">
        <f>IF($B418="","",IF(COUNTIF(tblAnahtarA[Norm],$B418)&gt;1,"EVET","HAYIR"))</f>
        <v/>
      </c>
      <c r="G418" s="17">
        <f>IF($A418="","",ROW()-ROW($A$5))</f>
        <v/>
      </c>
      <c r="I418" s="7">
        <f>IF(HAKEDIS!A418="","",HAKEDIS!A418)</f>
        <v/>
      </c>
      <c r="J418" s="17">
        <f>UPPER(TRIM(SUBSTITUTE($I418," ","")))</f>
        <v/>
      </c>
      <c r="K418" s="17">
        <f>IF($J418="",0,LEN($J418))</f>
        <v/>
      </c>
      <c r="L418" s="17">
        <f>IF($J418="","",LEFT($J418,tyk_ikincilUzunluk))</f>
        <v/>
      </c>
      <c r="M418" s="17">
        <f>"B"</f>
        <v/>
      </c>
      <c r="N418" s="17">
        <f>IF($J418="","",IF(COUNTIF(tblAnahtarB[NormB],$J418)&gt;1,"EVET","HAYIR"))</f>
        <v/>
      </c>
      <c r="O418" s="17">
        <f>IF($I418="","",ROW()-ROW($I$5))</f>
        <v/>
      </c>
    </row>
    <row r="419">
      <c r="A419" s="7">
        <f>IF(GIRDI!A419="","",GIRDI!A419)</f>
        <v/>
      </c>
      <c r="B419" s="17">
        <f>UPPER(TRIM(SUBSTITUTE($A419," ","")))</f>
        <v/>
      </c>
      <c r="C419" s="17">
        <f>IF($B419="",0,LEN($B419))</f>
        <v/>
      </c>
      <c r="D419" s="17">
        <f>IF($B419="","",LEFT($B419,tyk_ikincilUzunluk))</f>
        <v/>
      </c>
      <c r="E419" s="17">
        <f>"A"</f>
        <v/>
      </c>
      <c r="F419" s="17">
        <f>IF($B419="","",IF(COUNTIF(tblAnahtarA[Norm],$B419)&gt;1,"EVET","HAYIR"))</f>
        <v/>
      </c>
      <c r="G419" s="17">
        <f>IF($A419="","",ROW()-ROW($A$5))</f>
        <v/>
      </c>
      <c r="I419" s="7">
        <f>IF(HAKEDIS!A419="","",HAKEDIS!A419)</f>
        <v/>
      </c>
      <c r="J419" s="17">
        <f>UPPER(TRIM(SUBSTITUTE($I419," ","")))</f>
        <v/>
      </c>
      <c r="K419" s="17">
        <f>IF($J419="",0,LEN($J419))</f>
        <v/>
      </c>
      <c r="L419" s="17">
        <f>IF($J419="","",LEFT($J419,tyk_ikincilUzunluk))</f>
        <v/>
      </c>
      <c r="M419" s="17">
        <f>"B"</f>
        <v/>
      </c>
      <c r="N419" s="17">
        <f>IF($J419="","",IF(COUNTIF(tblAnahtarB[NormB],$J419)&gt;1,"EVET","HAYIR"))</f>
        <v/>
      </c>
      <c r="O419" s="17">
        <f>IF($I419="","",ROW()-ROW($I$5))</f>
        <v/>
      </c>
    </row>
    <row r="420">
      <c r="A420" s="7">
        <f>IF(GIRDI!A420="","",GIRDI!A420)</f>
        <v/>
      </c>
      <c r="B420" s="17">
        <f>UPPER(TRIM(SUBSTITUTE($A420," ","")))</f>
        <v/>
      </c>
      <c r="C420" s="17">
        <f>IF($B420="",0,LEN($B420))</f>
        <v/>
      </c>
      <c r="D420" s="17">
        <f>IF($B420="","",LEFT($B420,tyk_ikincilUzunluk))</f>
        <v/>
      </c>
      <c r="E420" s="17">
        <f>"A"</f>
        <v/>
      </c>
      <c r="F420" s="17">
        <f>IF($B420="","",IF(COUNTIF(tblAnahtarA[Norm],$B420)&gt;1,"EVET","HAYIR"))</f>
        <v/>
      </c>
      <c r="G420" s="17">
        <f>IF($A420="","",ROW()-ROW($A$5))</f>
        <v/>
      </c>
      <c r="I420" s="7">
        <f>IF(HAKEDIS!A420="","",HAKEDIS!A420)</f>
        <v/>
      </c>
      <c r="J420" s="17">
        <f>UPPER(TRIM(SUBSTITUTE($I420," ","")))</f>
        <v/>
      </c>
      <c r="K420" s="17">
        <f>IF($J420="",0,LEN($J420))</f>
        <v/>
      </c>
      <c r="L420" s="17">
        <f>IF($J420="","",LEFT($J420,tyk_ikincilUzunluk))</f>
        <v/>
      </c>
      <c r="M420" s="17">
        <f>"B"</f>
        <v/>
      </c>
      <c r="N420" s="17">
        <f>IF($J420="","",IF(COUNTIF(tblAnahtarB[NormB],$J420)&gt;1,"EVET","HAYIR"))</f>
        <v/>
      </c>
      <c r="O420" s="17">
        <f>IF($I420="","",ROW()-ROW($I$5))</f>
        <v/>
      </c>
    </row>
    <row r="421">
      <c r="A421" s="7">
        <f>IF(GIRDI!A421="","",GIRDI!A421)</f>
        <v/>
      </c>
      <c r="B421" s="17">
        <f>UPPER(TRIM(SUBSTITUTE($A421," ","")))</f>
        <v/>
      </c>
      <c r="C421" s="17">
        <f>IF($B421="",0,LEN($B421))</f>
        <v/>
      </c>
      <c r="D421" s="17">
        <f>IF($B421="","",LEFT($B421,tyk_ikincilUzunluk))</f>
        <v/>
      </c>
      <c r="E421" s="17">
        <f>"A"</f>
        <v/>
      </c>
      <c r="F421" s="17">
        <f>IF($B421="","",IF(COUNTIF(tblAnahtarA[Norm],$B421)&gt;1,"EVET","HAYIR"))</f>
        <v/>
      </c>
      <c r="G421" s="17">
        <f>IF($A421="","",ROW()-ROW($A$5))</f>
        <v/>
      </c>
      <c r="I421" s="7">
        <f>IF(HAKEDIS!A421="","",HAKEDIS!A421)</f>
        <v/>
      </c>
      <c r="J421" s="17">
        <f>UPPER(TRIM(SUBSTITUTE($I421," ","")))</f>
        <v/>
      </c>
      <c r="K421" s="17">
        <f>IF($J421="",0,LEN($J421))</f>
        <v/>
      </c>
      <c r="L421" s="17">
        <f>IF($J421="","",LEFT($J421,tyk_ikincilUzunluk))</f>
        <v/>
      </c>
      <c r="M421" s="17">
        <f>"B"</f>
        <v/>
      </c>
      <c r="N421" s="17">
        <f>IF($J421="","",IF(COUNTIF(tblAnahtarB[NormB],$J421)&gt;1,"EVET","HAYIR"))</f>
        <v/>
      </c>
      <c r="O421" s="17">
        <f>IF($I421="","",ROW()-ROW($I$5))</f>
        <v/>
      </c>
    </row>
    <row r="422">
      <c r="A422" s="7">
        <f>IF(GIRDI!A422="","",GIRDI!A422)</f>
        <v/>
      </c>
      <c r="B422" s="17">
        <f>UPPER(TRIM(SUBSTITUTE($A422," ","")))</f>
        <v/>
      </c>
      <c r="C422" s="17">
        <f>IF($B422="",0,LEN($B422))</f>
        <v/>
      </c>
      <c r="D422" s="17">
        <f>IF($B422="","",LEFT($B422,tyk_ikincilUzunluk))</f>
        <v/>
      </c>
      <c r="E422" s="17">
        <f>"A"</f>
        <v/>
      </c>
      <c r="F422" s="17">
        <f>IF($B422="","",IF(COUNTIF(tblAnahtarA[Norm],$B422)&gt;1,"EVET","HAYIR"))</f>
        <v/>
      </c>
      <c r="G422" s="17">
        <f>IF($A422="","",ROW()-ROW($A$5))</f>
        <v/>
      </c>
      <c r="I422" s="7">
        <f>IF(HAKEDIS!A422="","",HAKEDIS!A422)</f>
        <v/>
      </c>
      <c r="J422" s="17">
        <f>UPPER(TRIM(SUBSTITUTE($I422," ","")))</f>
        <v/>
      </c>
      <c r="K422" s="17">
        <f>IF($J422="",0,LEN($J422))</f>
        <v/>
      </c>
      <c r="L422" s="17">
        <f>IF($J422="","",LEFT($J422,tyk_ikincilUzunluk))</f>
        <v/>
      </c>
      <c r="M422" s="17">
        <f>"B"</f>
        <v/>
      </c>
      <c r="N422" s="17">
        <f>IF($J422="","",IF(COUNTIF(tblAnahtarB[NormB],$J422)&gt;1,"EVET","HAYIR"))</f>
        <v/>
      </c>
      <c r="O422" s="17">
        <f>IF($I422="","",ROW()-ROW($I$5))</f>
        <v/>
      </c>
    </row>
    <row r="423">
      <c r="A423" s="7">
        <f>IF(GIRDI!A423="","",GIRDI!A423)</f>
        <v/>
      </c>
      <c r="B423" s="17">
        <f>UPPER(TRIM(SUBSTITUTE($A423," ","")))</f>
        <v/>
      </c>
      <c r="C423" s="17">
        <f>IF($B423="",0,LEN($B423))</f>
        <v/>
      </c>
      <c r="D423" s="17">
        <f>IF($B423="","",LEFT($B423,tyk_ikincilUzunluk))</f>
        <v/>
      </c>
      <c r="E423" s="17">
        <f>"A"</f>
        <v/>
      </c>
      <c r="F423" s="17">
        <f>IF($B423="","",IF(COUNTIF(tblAnahtarA[Norm],$B423)&gt;1,"EVET","HAYIR"))</f>
        <v/>
      </c>
      <c r="G423" s="17">
        <f>IF($A423="","",ROW()-ROW($A$5))</f>
        <v/>
      </c>
      <c r="I423" s="7">
        <f>IF(HAKEDIS!A423="","",HAKEDIS!A423)</f>
        <v/>
      </c>
      <c r="J423" s="17">
        <f>UPPER(TRIM(SUBSTITUTE($I423," ","")))</f>
        <v/>
      </c>
      <c r="K423" s="17">
        <f>IF($J423="",0,LEN($J423))</f>
        <v/>
      </c>
      <c r="L423" s="17">
        <f>IF($J423="","",LEFT($J423,tyk_ikincilUzunluk))</f>
        <v/>
      </c>
      <c r="M423" s="17">
        <f>"B"</f>
        <v/>
      </c>
      <c r="N423" s="17">
        <f>IF($J423="","",IF(COUNTIF(tblAnahtarB[NormB],$J423)&gt;1,"EVET","HAYIR"))</f>
        <v/>
      </c>
      <c r="O423" s="17">
        <f>IF($I423="","",ROW()-ROW($I$5))</f>
        <v/>
      </c>
    </row>
    <row r="424">
      <c r="A424" s="7">
        <f>IF(GIRDI!A424="","",GIRDI!A424)</f>
        <v/>
      </c>
      <c r="B424" s="17">
        <f>UPPER(TRIM(SUBSTITUTE($A424," ","")))</f>
        <v/>
      </c>
      <c r="C424" s="17">
        <f>IF($B424="",0,LEN($B424))</f>
        <v/>
      </c>
      <c r="D424" s="17">
        <f>IF($B424="","",LEFT($B424,tyk_ikincilUzunluk))</f>
        <v/>
      </c>
      <c r="E424" s="17">
        <f>"A"</f>
        <v/>
      </c>
      <c r="F424" s="17">
        <f>IF($B424="","",IF(COUNTIF(tblAnahtarA[Norm],$B424)&gt;1,"EVET","HAYIR"))</f>
        <v/>
      </c>
      <c r="G424" s="17">
        <f>IF($A424="","",ROW()-ROW($A$5))</f>
        <v/>
      </c>
      <c r="I424" s="7">
        <f>IF(HAKEDIS!A424="","",HAKEDIS!A424)</f>
        <v/>
      </c>
      <c r="J424" s="17">
        <f>UPPER(TRIM(SUBSTITUTE($I424," ","")))</f>
        <v/>
      </c>
      <c r="K424" s="17">
        <f>IF($J424="",0,LEN($J424))</f>
        <v/>
      </c>
      <c r="L424" s="17">
        <f>IF($J424="","",LEFT($J424,tyk_ikincilUzunluk))</f>
        <v/>
      </c>
      <c r="M424" s="17">
        <f>"B"</f>
        <v/>
      </c>
      <c r="N424" s="17">
        <f>IF($J424="","",IF(COUNTIF(tblAnahtarB[NormB],$J424)&gt;1,"EVET","HAYIR"))</f>
        <v/>
      </c>
      <c r="O424" s="17">
        <f>IF($I424="","",ROW()-ROW($I$5))</f>
        <v/>
      </c>
    </row>
    <row r="425">
      <c r="A425" s="7">
        <f>IF(GIRDI!A425="","",GIRDI!A425)</f>
        <v/>
      </c>
      <c r="B425" s="17">
        <f>UPPER(TRIM(SUBSTITUTE($A425," ","")))</f>
        <v/>
      </c>
      <c r="C425" s="17">
        <f>IF($B425="",0,LEN($B425))</f>
        <v/>
      </c>
      <c r="D425" s="17">
        <f>IF($B425="","",LEFT($B425,tyk_ikincilUzunluk))</f>
        <v/>
      </c>
      <c r="E425" s="17">
        <f>"A"</f>
        <v/>
      </c>
      <c r="F425" s="17">
        <f>IF($B425="","",IF(COUNTIF(tblAnahtarA[Norm],$B425)&gt;1,"EVET","HAYIR"))</f>
        <v/>
      </c>
      <c r="G425" s="17">
        <f>IF($A425="","",ROW()-ROW($A$5))</f>
        <v/>
      </c>
      <c r="I425" s="7">
        <f>IF(HAKEDIS!A425="","",HAKEDIS!A425)</f>
        <v/>
      </c>
      <c r="J425" s="17">
        <f>UPPER(TRIM(SUBSTITUTE($I425," ","")))</f>
        <v/>
      </c>
      <c r="K425" s="17">
        <f>IF($J425="",0,LEN($J425))</f>
        <v/>
      </c>
      <c r="L425" s="17">
        <f>IF($J425="","",LEFT($J425,tyk_ikincilUzunluk))</f>
        <v/>
      </c>
      <c r="M425" s="17">
        <f>"B"</f>
        <v/>
      </c>
      <c r="N425" s="17">
        <f>IF($J425="","",IF(COUNTIF(tblAnahtarB[NormB],$J425)&gt;1,"EVET","HAYIR"))</f>
        <v/>
      </c>
      <c r="O425" s="17">
        <f>IF($I425="","",ROW()-ROW($I$5))</f>
        <v/>
      </c>
    </row>
    <row r="426">
      <c r="A426" s="7">
        <f>IF(GIRDI!A426="","",GIRDI!A426)</f>
        <v/>
      </c>
      <c r="B426" s="17">
        <f>UPPER(TRIM(SUBSTITUTE($A426," ","")))</f>
        <v/>
      </c>
      <c r="C426" s="17">
        <f>IF($B426="",0,LEN($B426))</f>
        <v/>
      </c>
      <c r="D426" s="17">
        <f>IF($B426="","",LEFT($B426,tyk_ikincilUzunluk))</f>
        <v/>
      </c>
      <c r="E426" s="17">
        <f>"A"</f>
        <v/>
      </c>
      <c r="F426" s="17">
        <f>IF($B426="","",IF(COUNTIF(tblAnahtarA[Norm],$B426)&gt;1,"EVET","HAYIR"))</f>
        <v/>
      </c>
      <c r="G426" s="17">
        <f>IF($A426="","",ROW()-ROW($A$5))</f>
        <v/>
      </c>
      <c r="I426" s="7">
        <f>IF(HAKEDIS!A426="","",HAKEDIS!A426)</f>
        <v/>
      </c>
      <c r="J426" s="17">
        <f>UPPER(TRIM(SUBSTITUTE($I426," ","")))</f>
        <v/>
      </c>
      <c r="K426" s="17">
        <f>IF($J426="",0,LEN($J426))</f>
        <v/>
      </c>
      <c r="L426" s="17">
        <f>IF($J426="","",LEFT($J426,tyk_ikincilUzunluk))</f>
        <v/>
      </c>
      <c r="M426" s="17">
        <f>"B"</f>
        <v/>
      </c>
      <c r="N426" s="17">
        <f>IF($J426="","",IF(COUNTIF(tblAnahtarB[NormB],$J426)&gt;1,"EVET","HAYIR"))</f>
        <v/>
      </c>
      <c r="O426" s="17">
        <f>IF($I426="","",ROW()-ROW($I$5))</f>
        <v/>
      </c>
    </row>
    <row r="427">
      <c r="A427" s="7">
        <f>IF(GIRDI!A427="","",GIRDI!A427)</f>
        <v/>
      </c>
      <c r="B427" s="17">
        <f>UPPER(TRIM(SUBSTITUTE($A427," ","")))</f>
        <v/>
      </c>
      <c r="C427" s="17">
        <f>IF($B427="",0,LEN($B427))</f>
        <v/>
      </c>
      <c r="D427" s="17">
        <f>IF($B427="","",LEFT($B427,tyk_ikincilUzunluk))</f>
        <v/>
      </c>
      <c r="E427" s="17">
        <f>"A"</f>
        <v/>
      </c>
      <c r="F427" s="17">
        <f>IF($B427="","",IF(COUNTIF(tblAnahtarA[Norm],$B427)&gt;1,"EVET","HAYIR"))</f>
        <v/>
      </c>
      <c r="G427" s="17">
        <f>IF($A427="","",ROW()-ROW($A$5))</f>
        <v/>
      </c>
      <c r="I427" s="7">
        <f>IF(HAKEDIS!A427="","",HAKEDIS!A427)</f>
        <v/>
      </c>
      <c r="J427" s="17">
        <f>UPPER(TRIM(SUBSTITUTE($I427," ","")))</f>
        <v/>
      </c>
      <c r="K427" s="17">
        <f>IF($J427="",0,LEN($J427))</f>
        <v/>
      </c>
      <c r="L427" s="17">
        <f>IF($J427="","",LEFT($J427,tyk_ikincilUzunluk))</f>
        <v/>
      </c>
      <c r="M427" s="17">
        <f>"B"</f>
        <v/>
      </c>
      <c r="N427" s="17">
        <f>IF($J427="","",IF(COUNTIF(tblAnahtarB[NormB],$J427)&gt;1,"EVET","HAYIR"))</f>
        <v/>
      </c>
      <c r="O427" s="17">
        <f>IF($I427="","",ROW()-ROW($I$5))</f>
        <v/>
      </c>
    </row>
    <row r="428">
      <c r="A428" s="7">
        <f>IF(GIRDI!A428="","",GIRDI!A428)</f>
        <v/>
      </c>
      <c r="B428" s="17">
        <f>UPPER(TRIM(SUBSTITUTE($A428," ","")))</f>
        <v/>
      </c>
      <c r="C428" s="17">
        <f>IF($B428="",0,LEN($B428))</f>
        <v/>
      </c>
      <c r="D428" s="17">
        <f>IF($B428="","",LEFT($B428,tyk_ikincilUzunluk))</f>
        <v/>
      </c>
      <c r="E428" s="17">
        <f>"A"</f>
        <v/>
      </c>
      <c r="F428" s="17">
        <f>IF($B428="","",IF(COUNTIF(tblAnahtarA[Norm],$B428)&gt;1,"EVET","HAYIR"))</f>
        <v/>
      </c>
      <c r="G428" s="17">
        <f>IF($A428="","",ROW()-ROW($A$5))</f>
        <v/>
      </c>
      <c r="I428" s="7">
        <f>IF(HAKEDIS!A428="","",HAKEDIS!A428)</f>
        <v/>
      </c>
      <c r="J428" s="17">
        <f>UPPER(TRIM(SUBSTITUTE($I428," ","")))</f>
        <v/>
      </c>
      <c r="K428" s="17">
        <f>IF($J428="",0,LEN($J428))</f>
        <v/>
      </c>
      <c r="L428" s="17">
        <f>IF($J428="","",LEFT($J428,tyk_ikincilUzunluk))</f>
        <v/>
      </c>
      <c r="M428" s="17">
        <f>"B"</f>
        <v/>
      </c>
      <c r="N428" s="17">
        <f>IF($J428="","",IF(COUNTIF(tblAnahtarB[NormB],$J428)&gt;1,"EVET","HAYIR"))</f>
        <v/>
      </c>
      <c r="O428" s="17">
        <f>IF($I428="","",ROW()-ROW($I$5))</f>
        <v/>
      </c>
    </row>
    <row r="429">
      <c r="A429" s="7">
        <f>IF(GIRDI!A429="","",GIRDI!A429)</f>
        <v/>
      </c>
      <c r="B429" s="17">
        <f>UPPER(TRIM(SUBSTITUTE($A429," ","")))</f>
        <v/>
      </c>
      <c r="C429" s="17">
        <f>IF($B429="",0,LEN($B429))</f>
        <v/>
      </c>
      <c r="D429" s="17">
        <f>IF($B429="","",LEFT($B429,tyk_ikincilUzunluk))</f>
        <v/>
      </c>
      <c r="E429" s="17">
        <f>"A"</f>
        <v/>
      </c>
      <c r="F429" s="17">
        <f>IF($B429="","",IF(COUNTIF(tblAnahtarA[Norm],$B429)&gt;1,"EVET","HAYIR"))</f>
        <v/>
      </c>
      <c r="G429" s="17">
        <f>IF($A429="","",ROW()-ROW($A$5))</f>
        <v/>
      </c>
      <c r="I429" s="7">
        <f>IF(HAKEDIS!A429="","",HAKEDIS!A429)</f>
        <v/>
      </c>
      <c r="J429" s="17">
        <f>UPPER(TRIM(SUBSTITUTE($I429," ","")))</f>
        <v/>
      </c>
      <c r="K429" s="17">
        <f>IF($J429="",0,LEN($J429))</f>
        <v/>
      </c>
      <c r="L429" s="17">
        <f>IF($J429="","",LEFT($J429,tyk_ikincilUzunluk))</f>
        <v/>
      </c>
      <c r="M429" s="17">
        <f>"B"</f>
        <v/>
      </c>
      <c r="N429" s="17">
        <f>IF($J429="","",IF(COUNTIF(tblAnahtarB[NormB],$J429)&gt;1,"EVET","HAYIR"))</f>
        <v/>
      </c>
      <c r="O429" s="17">
        <f>IF($I429="","",ROW()-ROW($I$5))</f>
        <v/>
      </c>
    </row>
    <row r="430">
      <c r="A430" s="7">
        <f>IF(GIRDI!A430="","",GIRDI!A430)</f>
        <v/>
      </c>
      <c r="B430" s="17">
        <f>UPPER(TRIM(SUBSTITUTE($A430," ","")))</f>
        <v/>
      </c>
      <c r="C430" s="17">
        <f>IF($B430="",0,LEN($B430))</f>
        <v/>
      </c>
      <c r="D430" s="17">
        <f>IF($B430="","",LEFT($B430,tyk_ikincilUzunluk))</f>
        <v/>
      </c>
      <c r="E430" s="17">
        <f>"A"</f>
        <v/>
      </c>
      <c r="F430" s="17">
        <f>IF($B430="","",IF(COUNTIF(tblAnahtarA[Norm],$B430)&gt;1,"EVET","HAYIR"))</f>
        <v/>
      </c>
      <c r="G430" s="17">
        <f>IF($A430="","",ROW()-ROW($A$5))</f>
        <v/>
      </c>
      <c r="I430" s="7">
        <f>IF(HAKEDIS!A430="","",HAKEDIS!A430)</f>
        <v/>
      </c>
      <c r="J430" s="17">
        <f>UPPER(TRIM(SUBSTITUTE($I430," ","")))</f>
        <v/>
      </c>
      <c r="K430" s="17">
        <f>IF($J430="",0,LEN($J430))</f>
        <v/>
      </c>
      <c r="L430" s="17">
        <f>IF($J430="","",LEFT($J430,tyk_ikincilUzunluk))</f>
        <v/>
      </c>
      <c r="M430" s="17">
        <f>"B"</f>
        <v/>
      </c>
      <c r="N430" s="17">
        <f>IF($J430="","",IF(COUNTIF(tblAnahtarB[NormB],$J430)&gt;1,"EVET","HAYIR"))</f>
        <v/>
      </c>
      <c r="O430" s="17">
        <f>IF($I430="","",ROW()-ROW($I$5))</f>
        <v/>
      </c>
    </row>
    <row r="431">
      <c r="A431" s="7">
        <f>IF(GIRDI!A431="","",GIRDI!A431)</f>
        <v/>
      </c>
      <c r="B431" s="17">
        <f>UPPER(TRIM(SUBSTITUTE($A431," ","")))</f>
        <v/>
      </c>
      <c r="C431" s="17">
        <f>IF($B431="",0,LEN($B431))</f>
        <v/>
      </c>
      <c r="D431" s="17">
        <f>IF($B431="","",LEFT($B431,tyk_ikincilUzunluk))</f>
        <v/>
      </c>
      <c r="E431" s="17">
        <f>"A"</f>
        <v/>
      </c>
      <c r="F431" s="17">
        <f>IF($B431="","",IF(COUNTIF(tblAnahtarA[Norm],$B431)&gt;1,"EVET","HAYIR"))</f>
        <v/>
      </c>
      <c r="G431" s="17">
        <f>IF($A431="","",ROW()-ROW($A$5))</f>
        <v/>
      </c>
      <c r="I431" s="7">
        <f>IF(HAKEDIS!A431="","",HAKEDIS!A431)</f>
        <v/>
      </c>
      <c r="J431" s="17">
        <f>UPPER(TRIM(SUBSTITUTE($I431," ","")))</f>
        <v/>
      </c>
      <c r="K431" s="17">
        <f>IF($J431="",0,LEN($J431))</f>
        <v/>
      </c>
      <c r="L431" s="17">
        <f>IF($J431="","",LEFT($J431,tyk_ikincilUzunluk))</f>
        <v/>
      </c>
      <c r="M431" s="17">
        <f>"B"</f>
        <v/>
      </c>
      <c r="N431" s="17">
        <f>IF($J431="","",IF(COUNTIF(tblAnahtarB[NormB],$J431)&gt;1,"EVET","HAYIR"))</f>
        <v/>
      </c>
      <c r="O431" s="17">
        <f>IF($I431="","",ROW()-ROW($I$5))</f>
        <v/>
      </c>
    </row>
    <row r="432">
      <c r="A432" s="7">
        <f>IF(GIRDI!A432="","",GIRDI!A432)</f>
        <v/>
      </c>
      <c r="B432" s="17">
        <f>UPPER(TRIM(SUBSTITUTE($A432," ","")))</f>
        <v/>
      </c>
      <c r="C432" s="17">
        <f>IF($B432="",0,LEN($B432))</f>
        <v/>
      </c>
      <c r="D432" s="17">
        <f>IF($B432="","",LEFT($B432,tyk_ikincilUzunluk))</f>
        <v/>
      </c>
      <c r="E432" s="17">
        <f>"A"</f>
        <v/>
      </c>
      <c r="F432" s="17">
        <f>IF($B432="","",IF(COUNTIF(tblAnahtarA[Norm],$B432)&gt;1,"EVET","HAYIR"))</f>
        <v/>
      </c>
      <c r="G432" s="17">
        <f>IF($A432="","",ROW()-ROW($A$5))</f>
        <v/>
      </c>
      <c r="I432" s="7">
        <f>IF(HAKEDIS!A432="","",HAKEDIS!A432)</f>
        <v/>
      </c>
      <c r="J432" s="17">
        <f>UPPER(TRIM(SUBSTITUTE($I432," ","")))</f>
        <v/>
      </c>
      <c r="K432" s="17">
        <f>IF($J432="",0,LEN($J432))</f>
        <v/>
      </c>
      <c r="L432" s="17">
        <f>IF($J432="","",LEFT($J432,tyk_ikincilUzunluk))</f>
        <v/>
      </c>
      <c r="M432" s="17">
        <f>"B"</f>
        <v/>
      </c>
      <c r="N432" s="17">
        <f>IF($J432="","",IF(COUNTIF(tblAnahtarB[NormB],$J432)&gt;1,"EVET","HAYIR"))</f>
        <v/>
      </c>
      <c r="O432" s="17">
        <f>IF($I432="","",ROW()-ROW($I$5))</f>
        <v/>
      </c>
    </row>
    <row r="433">
      <c r="A433" s="7">
        <f>IF(GIRDI!A433="","",GIRDI!A433)</f>
        <v/>
      </c>
      <c r="B433" s="17">
        <f>UPPER(TRIM(SUBSTITUTE($A433," ","")))</f>
        <v/>
      </c>
      <c r="C433" s="17">
        <f>IF($B433="",0,LEN($B433))</f>
        <v/>
      </c>
      <c r="D433" s="17">
        <f>IF($B433="","",LEFT($B433,tyk_ikincilUzunluk))</f>
        <v/>
      </c>
      <c r="E433" s="17">
        <f>"A"</f>
        <v/>
      </c>
      <c r="F433" s="17">
        <f>IF($B433="","",IF(COUNTIF(tblAnahtarA[Norm],$B433)&gt;1,"EVET","HAYIR"))</f>
        <v/>
      </c>
      <c r="G433" s="17">
        <f>IF($A433="","",ROW()-ROW($A$5))</f>
        <v/>
      </c>
      <c r="I433" s="7">
        <f>IF(HAKEDIS!A433="","",HAKEDIS!A433)</f>
        <v/>
      </c>
      <c r="J433" s="17">
        <f>UPPER(TRIM(SUBSTITUTE($I433," ","")))</f>
        <v/>
      </c>
      <c r="K433" s="17">
        <f>IF($J433="",0,LEN($J433))</f>
        <v/>
      </c>
      <c r="L433" s="17">
        <f>IF($J433="","",LEFT($J433,tyk_ikincilUzunluk))</f>
        <v/>
      </c>
      <c r="M433" s="17">
        <f>"B"</f>
        <v/>
      </c>
      <c r="N433" s="17">
        <f>IF($J433="","",IF(COUNTIF(tblAnahtarB[NormB],$J433)&gt;1,"EVET","HAYIR"))</f>
        <v/>
      </c>
      <c r="O433" s="17">
        <f>IF($I433="","",ROW()-ROW($I$5))</f>
        <v/>
      </c>
    </row>
    <row r="434">
      <c r="A434" s="7">
        <f>IF(GIRDI!A434="","",GIRDI!A434)</f>
        <v/>
      </c>
      <c r="B434" s="17">
        <f>UPPER(TRIM(SUBSTITUTE($A434," ","")))</f>
        <v/>
      </c>
      <c r="C434" s="17">
        <f>IF($B434="",0,LEN($B434))</f>
        <v/>
      </c>
      <c r="D434" s="17">
        <f>IF($B434="","",LEFT($B434,tyk_ikincilUzunluk))</f>
        <v/>
      </c>
      <c r="E434" s="17">
        <f>"A"</f>
        <v/>
      </c>
      <c r="F434" s="17">
        <f>IF($B434="","",IF(COUNTIF(tblAnahtarA[Norm],$B434)&gt;1,"EVET","HAYIR"))</f>
        <v/>
      </c>
      <c r="G434" s="17">
        <f>IF($A434="","",ROW()-ROW($A$5))</f>
        <v/>
      </c>
      <c r="I434" s="7">
        <f>IF(HAKEDIS!A434="","",HAKEDIS!A434)</f>
        <v/>
      </c>
      <c r="J434" s="17">
        <f>UPPER(TRIM(SUBSTITUTE($I434," ","")))</f>
        <v/>
      </c>
      <c r="K434" s="17">
        <f>IF($J434="",0,LEN($J434))</f>
        <v/>
      </c>
      <c r="L434" s="17">
        <f>IF($J434="","",LEFT($J434,tyk_ikincilUzunluk))</f>
        <v/>
      </c>
      <c r="M434" s="17">
        <f>"B"</f>
        <v/>
      </c>
      <c r="N434" s="17">
        <f>IF($J434="","",IF(COUNTIF(tblAnahtarB[NormB],$J434)&gt;1,"EVET","HAYIR"))</f>
        <v/>
      </c>
      <c r="O434" s="17">
        <f>IF($I434="","",ROW()-ROW($I$5))</f>
        <v/>
      </c>
    </row>
    <row r="435">
      <c r="A435" s="7">
        <f>IF(GIRDI!A435="","",GIRDI!A435)</f>
        <v/>
      </c>
      <c r="B435" s="17">
        <f>UPPER(TRIM(SUBSTITUTE($A435," ","")))</f>
        <v/>
      </c>
      <c r="C435" s="17">
        <f>IF($B435="",0,LEN($B435))</f>
        <v/>
      </c>
      <c r="D435" s="17">
        <f>IF($B435="","",LEFT($B435,tyk_ikincilUzunluk))</f>
        <v/>
      </c>
      <c r="E435" s="17">
        <f>"A"</f>
        <v/>
      </c>
      <c r="F435" s="17">
        <f>IF($B435="","",IF(COUNTIF(tblAnahtarA[Norm],$B435)&gt;1,"EVET","HAYIR"))</f>
        <v/>
      </c>
      <c r="G435" s="17">
        <f>IF($A435="","",ROW()-ROW($A$5))</f>
        <v/>
      </c>
      <c r="I435" s="7">
        <f>IF(HAKEDIS!A435="","",HAKEDIS!A435)</f>
        <v/>
      </c>
      <c r="J435" s="17">
        <f>UPPER(TRIM(SUBSTITUTE($I435," ","")))</f>
        <v/>
      </c>
      <c r="K435" s="17">
        <f>IF($J435="",0,LEN($J435))</f>
        <v/>
      </c>
      <c r="L435" s="17">
        <f>IF($J435="","",LEFT($J435,tyk_ikincilUzunluk))</f>
        <v/>
      </c>
      <c r="M435" s="17">
        <f>"B"</f>
        <v/>
      </c>
      <c r="N435" s="17">
        <f>IF($J435="","",IF(COUNTIF(tblAnahtarB[NormB],$J435)&gt;1,"EVET","HAYIR"))</f>
        <v/>
      </c>
      <c r="O435" s="17">
        <f>IF($I435="","",ROW()-ROW($I$5))</f>
        <v/>
      </c>
    </row>
    <row r="436">
      <c r="A436" s="7">
        <f>IF(GIRDI!A436="","",GIRDI!A436)</f>
        <v/>
      </c>
      <c r="B436" s="17">
        <f>UPPER(TRIM(SUBSTITUTE($A436," ","")))</f>
        <v/>
      </c>
      <c r="C436" s="17">
        <f>IF($B436="",0,LEN($B436))</f>
        <v/>
      </c>
      <c r="D436" s="17">
        <f>IF($B436="","",LEFT($B436,tyk_ikincilUzunluk))</f>
        <v/>
      </c>
      <c r="E436" s="17">
        <f>"A"</f>
        <v/>
      </c>
      <c r="F436" s="17">
        <f>IF($B436="","",IF(COUNTIF(tblAnahtarA[Norm],$B436)&gt;1,"EVET","HAYIR"))</f>
        <v/>
      </c>
      <c r="G436" s="17">
        <f>IF($A436="","",ROW()-ROW($A$5))</f>
        <v/>
      </c>
      <c r="I436" s="7">
        <f>IF(HAKEDIS!A436="","",HAKEDIS!A436)</f>
        <v/>
      </c>
      <c r="J436" s="17">
        <f>UPPER(TRIM(SUBSTITUTE($I436," ","")))</f>
        <v/>
      </c>
      <c r="K436" s="17">
        <f>IF($J436="",0,LEN($J436))</f>
        <v/>
      </c>
      <c r="L436" s="17">
        <f>IF($J436="","",LEFT($J436,tyk_ikincilUzunluk))</f>
        <v/>
      </c>
      <c r="M436" s="17">
        <f>"B"</f>
        <v/>
      </c>
      <c r="N436" s="17">
        <f>IF($J436="","",IF(COUNTIF(tblAnahtarB[NormB],$J436)&gt;1,"EVET","HAYIR"))</f>
        <v/>
      </c>
      <c r="O436" s="17">
        <f>IF($I436="","",ROW()-ROW($I$5))</f>
        <v/>
      </c>
    </row>
    <row r="437">
      <c r="A437" s="7">
        <f>IF(GIRDI!A437="","",GIRDI!A437)</f>
        <v/>
      </c>
      <c r="B437" s="17">
        <f>UPPER(TRIM(SUBSTITUTE($A437," ","")))</f>
        <v/>
      </c>
      <c r="C437" s="17">
        <f>IF($B437="",0,LEN($B437))</f>
        <v/>
      </c>
      <c r="D437" s="17">
        <f>IF($B437="","",LEFT($B437,tyk_ikincilUzunluk))</f>
        <v/>
      </c>
      <c r="E437" s="17">
        <f>"A"</f>
        <v/>
      </c>
      <c r="F437" s="17">
        <f>IF($B437="","",IF(COUNTIF(tblAnahtarA[Norm],$B437)&gt;1,"EVET","HAYIR"))</f>
        <v/>
      </c>
      <c r="G437" s="17">
        <f>IF($A437="","",ROW()-ROW($A$5))</f>
        <v/>
      </c>
      <c r="I437" s="7">
        <f>IF(HAKEDIS!A437="","",HAKEDIS!A437)</f>
        <v/>
      </c>
      <c r="J437" s="17">
        <f>UPPER(TRIM(SUBSTITUTE($I437," ","")))</f>
        <v/>
      </c>
      <c r="K437" s="17">
        <f>IF($J437="",0,LEN($J437))</f>
        <v/>
      </c>
      <c r="L437" s="17">
        <f>IF($J437="","",LEFT($J437,tyk_ikincilUzunluk))</f>
        <v/>
      </c>
      <c r="M437" s="17">
        <f>"B"</f>
        <v/>
      </c>
      <c r="N437" s="17">
        <f>IF($J437="","",IF(COUNTIF(tblAnahtarB[NormB],$J437)&gt;1,"EVET","HAYIR"))</f>
        <v/>
      </c>
      <c r="O437" s="17">
        <f>IF($I437="","",ROW()-ROW($I$5))</f>
        <v/>
      </c>
    </row>
    <row r="438">
      <c r="A438" s="7">
        <f>IF(GIRDI!A438="","",GIRDI!A438)</f>
        <v/>
      </c>
      <c r="B438" s="17">
        <f>UPPER(TRIM(SUBSTITUTE($A438," ","")))</f>
        <v/>
      </c>
      <c r="C438" s="17">
        <f>IF($B438="",0,LEN($B438))</f>
        <v/>
      </c>
      <c r="D438" s="17">
        <f>IF($B438="","",LEFT($B438,tyk_ikincilUzunluk))</f>
        <v/>
      </c>
      <c r="E438" s="17">
        <f>"A"</f>
        <v/>
      </c>
      <c r="F438" s="17">
        <f>IF($B438="","",IF(COUNTIF(tblAnahtarA[Norm],$B438)&gt;1,"EVET","HAYIR"))</f>
        <v/>
      </c>
      <c r="G438" s="17">
        <f>IF($A438="","",ROW()-ROW($A$5))</f>
        <v/>
      </c>
      <c r="I438" s="7">
        <f>IF(HAKEDIS!A438="","",HAKEDIS!A438)</f>
        <v/>
      </c>
      <c r="J438" s="17">
        <f>UPPER(TRIM(SUBSTITUTE($I438," ","")))</f>
        <v/>
      </c>
      <c r="K438" s="17">
        <f>IF($J438="",0,LEN($J438))</f>
        <v/>
      </c>
      <c r="L438" s="17">
        <f>IF($J438="","",LEFT($J438,tyk_ikincilUzunluk))</f>
        <v/>
      </c>
      <c r="M438" s="17">
        <f>"B"</f>
        <v/>
      </c>
      <c r="N438" s="17">
        <f>IF($J438="","",IF(COUNTIF(tblAnahtarB[NormB],$J438)&gt;1,"EVET","HAYIR"))</f>
        <v/>
      </c>
      <c r="O438" s="17">
        <f>IF($I438="","",ROW()-ROW($I$5))</f>
        <v/>
      </c>
    </row>
    <row r="439">
      <c r="A439" s="7">
        <f>IF(GIRDI!A439="","",GIRDI!A439)</f>
        <v/>
      </c>
      <c r="B439" s="17">
        <f>UPPER(TRIM(SUBSTITUTE($A439," ","")))</f>
        <v/>
      </c>
      <c r="C439" s="17">
        <f>IF($B439="",0,LEN($B439))</f>
        <v/>
      </c>
      <c r="D439" s="17">
        <f>IF($B439="","",LEFT($B439,tyk_ikincilUzunluk))</f>
        <v/>
      </c>
      <c r="E439" s="17">
        <f>"A"</f>
        <v/>
      </c>
      <c r="F439" s="17">
        <f>IF($B439="","",IF(COUNTIF(tblAnahtarA[Norm],$B439)&gt;1,"EVET","HAYIR"))</f>
        <v/>
      </c>
      <c r="G439" s="17">
        <f>IF($A439="","",ROW()-ROW($A$5))</f>
        <v/>
      </c>
      <c r="I439" s="7">
        <f>IF(HAKEDIS!A439="","",HAKEDIS!A439)</f>
        <v/>
      </c>
      <c r="J439" s="17">
        <f>UPPER(TRIM(SUBSTITUTE($I439," ","")))</f>
        <v/>
      </c>
      <c r="K439" s="17">
        <f>IF($J439="",0,LEN($J439))</f>
        <v/>
      </c>
      <c r="L439" s="17">
        <f>IF($J439="","",LEFT($J439,tyk_ikincilUzunluk))</f>
        <v/>
      </c>
      <c r="M439" s="17">
        <f>"B"</f>
        <v/>
      </c>
      <c r="N439" s="17">
        <f>IF($J439="","",IF(COUNTIF(tblAnahtarB[NormB],$J439)&gt;1,"EVET","HAYIR"))</f>
        <v/>
      </c>
      <c r="O439" s="17">
        <f>IF($I439="","",ROW()-ROW($I$5))</f>
        <v/>
      </c>
    </row>
    <row r="440">
      <c r="A440" s="7">
        <f>IF(GIRDI!A440="","",GIRDI!A440)</f>
        <v/>
      </c>
      <c r="B440" s="17">
        <f>UPPER(TRIM(SUBSTITUTE($A440," ","")))</f>
        <v/>
      </c>
      <c r="C440" s="17">
        <f>IF($B440="",0,LEN($B440))</f>
        <v/>
      </c>
      <c r="D440" s="17">
        <f>IF($B440="","",LEFT($B440,tyk_ikincilUzunluk))</f>
        <v/>
      </c>
      <c r="E440" s="17">
        <f>"A"</f>
        <v/>
      </c>
      <c r="F440" s="17">
        <f>IF($B440="","",IF(COUNTIF(tblAnahtarA[Norm],$B440)&gt;1,"EVET","HAYIR"))</f>
        <v/>
      </c>
      <c r="G440" s="17">
        <f>IF($A440="","",ROW()-ROW($A$5))</f>
        <v/>
      </c>
      <c r="I440" s="7">
        <f>IF(HAKEDIS!A440="","",HAKEDIS!A440)</f>
        <v/>
      </c>
      <c r="J440" s="17">
        <f>UPPER(TRIM(SUBSTITUTE($I440," ","")))</f>
        <v/>
      </c>
      <c r="K440" s="17">
        <f>IF($J440="",0,LEN($J440))</f>
        <v/>
      </c>
      <c r="L440" s="17">
        <f>IF($J440="","",LEFT($J440,tyk_ikincilUzunluk))</f>
        <v/>
      </c>
      <c r="M440" s="17">
        <f>"B"</f>
        <v/>
      </c>
      <c r="N440" s="17">
        <f>IF($J440="","",IF(COUNTIF(tblAnahtarB[NormB],$J440)&gt;1,"EVET","HAYIR"))</f>
        <v/>
      </c>
      <c r="O440" s="17">
        <f>IF($I440="","",ROW()-ROW($I$5))</f>
        <v/>
      </c>
    </row>
    <row r="441">
      <c r="A441" s="7">
        <f>IF(GIRDI!A441="","",GIRDI!A441)</f>
        <v/>
      </c>
      <c r="B441" s="17">
        <f>UPPER(TRIM(SUBSTITUTE($A441," ","")))</f>
        <v/>
      </c>
      <c r="C441" s="17">
        <f>IF($B441="",0,LEN($B441))</f>
        <v/>
      </c>
      <c r="D441" s="17">
        <f>IF($B441="","",LEFT($B441,tyk_ikincilUzunluk))</f>
        <v/>
      </c>
      <c r="E441" s="17">
        <f>"A"</f>
        <v/>
      </c>
      <c r="F441" s="17">
        <f>IF($B441="","",IF(COUNTIF(tblAnahtarA[Norm],$B441)&gt;1,"EVET","HAYIR"))</f>
        <v/>
      </c>
      <c r="G441" s="17">
        <f>IF($A441="","",ROW()-ROW($A$5))</f>
        <v/>
      </c>
      <c r="I441" s="7">
        <f>IF(HAKEDIS!A441="","",HAKEDIS!A441)</f>
        <v/>
      </c>
      <c r="J441" s="17">
        <f>UPPER(TRIM(SUBSTITUTE($I441," ","")))</f>
        <v/>
      </c>
      <c r="K441" s="17">
        <f>IF($J441="",0,LEN($J441))</f>
        <v/>
      </c>
      <c r="L441" s="17">
        <f>IF($J441="","",LEFT($J441,tyk_ikincilUzunluk))</f>
        <v/>
      </c>
      <c r="M441" s="17">
        <f>"B"</f>
        <v/>
      </c>
      <c r="N441" s="17">
        <f>IF($J441="","",IF(COUNTIF(tblAnahtarB[NormB],$J441)&gt;1,"EVET","HAYIR"))</f>
        <v/>
      </c>
      <c r="O441" s="17">
        <f>IF($I441="","",ROW()-ROW($I$5))</f>
        <v/>
      </c>
    </row>
    <row r="442">
      <c r="A442" s="7">
        <f>IF(GIRDI!A442="","",GIRDI!A442)</f>
        <v/>
      </c>
      <c r="B442" s="17">
        <f>UPPER(TRIM(SUBSTITUTE($A442," ","")))</f>
        <v/>
      </c>
      <c r="C442" s="17">
        <f>IF($B442="",0,LEN($B442))</f>
        <v/>
      </c>
      <c r="D442" s="17">
        <f>IF($B442="","",LEFT($B442,tyk_ikincilUzunluk))</f>
        <v/>
      </c>
      <c r="E442" s="17">
        <f>"A"</f>
        <v/>
      </c>
      <c r="F442" s="17">
        <f>IF($B442="","",IF(COUNTIF(tblAnahtarA[Norm],$B442)&gt;1,"EVET","HAYIR"))</f>
        <v/>
      </c>
      <c r="G442" s="17">
        <f>IF($A442="","",ROW()-ROW($A$5))</f>
        <v/>
      </c>
      <c r="I442" s="7">
        <f>IF(HAKEDIS!A442="","",HAKEDIS!A442)</f>
        <v/>
      </c>
      <c r="J442" s="17">
        <f>UPPER(TRIM(SUBSTITUTE($I442," ","")))</f>
        <v/>
      </c>
      <c r="K442" s="17">
        <f>IF($J442="",0,LEN($J442))</f>
        <v/>
      </c>
      <c r="L442" s="17">
        <f>IF($J442="","",LEFT($J442,tyk_ikincilUzunluk))</f>
        <v/>
      </c>
      <c r="M442" s="17">
        <f>"B"</f>
        <v/>
      </c>
      <c r="N442" s="17">
        <f>IF($J442="","",IF(COUNTIF(tblAnahtarB[NormB],$J442)&gt;1,"EVET","HAYIR"))</f>
        <v/>
      </c>
      <c r="O442" s="17">
        <f>IF($I442="","",ROW()-ROW($I$5))</f>
        <v/>
      </c>
    </row>
    <row r="443">
      <c r="A443" s="7">
        <f>IF(GIRDI!A443="","",GIRDI!A443)</f>
        <v/>
      </c>
      <c r="B443" s="17">
        <f>UPPER(TRIM(SUBSTITUTE($A443," ","")))</f>
        <v/>
      </c>
      <c r="C443" s="17">
        <f>IF($B443="",0,LEN($B443))</f>
        <v/>
      </c>
      <c r="D443" s="17">
        <f>IF($B443="","",LEFT($B443,tyk_ikincilUzunluk))</f>
        <v/>
      </c>
      <c r="E443" s="17">
        <f>"A"</f>
        <v/>
      </c>
      <c r="F443" s="17">
        <f>IF($B443="","",IF(COUNTIF(tblAnahtarA[Norm],$B443)&gt;1,"EVET","HAYIR"))</f>
        <v/>
      </c>
      <c r="G443" s="17">
        <f>IF($A443="","",ROW()-ROW($A$5))</f>
        <v/>
      </c>
      <c r="I443" s="7">
        <f>IF(HAKEDIS!A443="","",HAKEDIS!A443)</f>
        <v/>
      </c>
      <c r="J443" s="17">
        <f>UPPER(TRIM(SUBSTITUTE($I443," ","")))</f>
        <v/>
      </c>
      <c r="K443" s="17">
        <f>IF($J443="",0,LEN($J443))</f>
        <v/>
      </c>
      <c r="L443" s="17">
        <f>IF($J443="","",LEFT($J443,tyk_ikincilUzunluk))</f>
        <v/>
      </c>
      <c r="M443" s="17">
        <f>"B"</f>
        <v/>
      </c>
      <c r="N443" s="17">
        <f>IF($J443="","",IF(COUNTIF(tblAnahtarB[NormB],$J443)&gt;1,"EVET","HAYIR"))</f>
        <v/>
      </c>
      <c r="O443" s="17">
        <f>IF($I443="","",ROW()-ROW($I$5))</f>
        <v/>
      </c>
    </row>
    <row r="444">
      <c r="A444" s="7">
        <f>IF(GIRDI!A444="","",GIRDI!A444)</f>
        <v/>
      </c>
      <c r="B444" s="17">
        <f>UPPER(TRIM(SUBSTITUTE($A444," ","")))</f>
        <v/>
      </c>
      <c r="C444" s="17">
        <f>IF($B444="",0,LEN($B444))</f>
        <v/>
      </c>
      <c r="D444" s="17">
        <f>IF($B444="","",LEFT($B444,tyk_ikincilUzunluk))</f>
        <v/>
      </c>
      <c r="E444" s="17">
        <f>"A"</f>
        <v/>
      </c>
      <c r="F444" s="17">
        <f>IF($B444="","",IF(COUNTIF(tblAnahtarA[Norm],$B444)&gt;1,"EVET","HAYIR"))</f>
        <v/>
      </c>
      <c r="G444" s="17">
        <f>IF($A444="","",ROW()-ROW($A$5))</f>
        <v/>
      </c>
      <c r="I444" s="7">
        <f>IF(HAKEDIS!A444="","",HAKEDIS!A444)</f>
        <v/>
      </c>
      <c r="J444" s="17">
        <f>UPPER(TRIM(SUBSTITUTE($I444," ","")))</f>
        <v/>
      </c>
      <c r="K444" s="17">
        <f>IF($J444="",0,LEN($J444))</f>
        <v/>
      </c>
      <c r="L444" s="17">
        <f>IF($J444="","",LEFT($J444,tyk_ikincilUzunluk))</f>
        <v/>
      </c>
      <c r="M444" s="17">
        <f>"B"</f>
        <v/>
      </c>
      <c r="N444" s="17">
        <f>IF($J444="","",IF(COUNTIF(tblAnahtarB[NormB],$J444)&gt;1,"EVET","HAYIR"))</f>
        <v/>
      </c>
      <c r="O444" s="17">
        <f>IF($I444="","",ROW()-ROW($I$5))</f>
        <v/>
      </c>
    </row>
    <row r="445">
      <c r="A445" s="7">
        <f>IF(GIRDI!A445="","",GIRDI!A445)</f>
        <v/>
      </c>
      <c r="B445" s="17">
        <f>UPPER(TRIM(SUBSTITUTE($A445," ","")))</f>
        <v/>
      </c>
      <c r="C445" s="17">
        <f>IF($B445="",0,LEN($B445))</f>
        <v/>
      </c>
      <c r="D445" s="17">
        <f>IF($B445="","",LEFT($B445,tyk_ikincilUzunluk))</f>
        <v/>
      </c>
      <c r="E445" s="17">
        <f>"A"</f>
        <v/>
      </c>
      <c r="F445" s="17">
        <f>IF($B445="","",IF(COUNTIF(tblAnahtarA[Norm],$B445)&gt;1,"EVET","HAYIR"))</f>
        <v/>
      </c>
      <c r="G445" s="17">
        <f>IF($A445="","",ROW()-ROW($A$5))</f>
        <v/>
      </c>
      <c r="I445" s="7">
        <f>IF(HAKEDIS!A445="","",HAKEDIS!A445)</f>
        <v/>
      </c>
      <c r="J445" s="17">
        <f>UPPER(TRIM(SUBSTITUTE($I445," ","")))</f>
        <v/>
      </c>
      <c r="K445" s="17">
        <f>IF($J445="",0,LEN($J445))</f>
        <v/>
      </c>
      <c r="L445" s="17">
        <f>IF($J445="","",LEFT($J445,tyk_ikincilUzunluk))</f>
        <v/>
      </c>
      <c r="M445" s="17">
        <f>"B"</f>
        <v/>
      </c>
      <c r="N445" s="17">
        <f>IF($J445="","",IF(COUNTIF(tblAnahtarB[NormB],$J445)&gt;1,"EVET","HAYIR"))</f>
        <v/>
      </c>
      <c r="O445" s="17">
        <f>IF($I445="","",ROW()-ROW($I$5))</f>
        <v/>
      </c>
    </row>
    <row r="446">
      <c r="A446" s="7">
        <f>IF(GIRDI!A446="","",GIRDI!A446)</f>
        <v/>
      </c>
      <c r="B446" s="17">
        <f>UPPER(TRIM(SUBSTITUTE($A446," ","")))</f>
        <v/>
      </c>
      <c r="C446" s="17">
        <f>IF($B446="",0,LEN($B446))</f>
        <v/>
      </c>
      <c r="D446" s="17">
        <f>IF($B446="","",LEFT($B446,tyk_ikincilUzunluk))</f>
        <v/>
      </c>
      <c r="E446" s="17">
        <f>"A"</f>
        <v/>
      </c>
      <c r="F446" s="17">
        <f>IF($B446="","",IF(COUNTIF(tblAnahtarA[Norm],$B446)&gt;1,"EVET","HAYIR"))</f>
        <v/>
      </c>
      <c r="G446" s="17">
        <f>IF($A446="","",ROW()-ROW($A$5))</f>
        <v/>
      </c>
      <c r="I446" s="7">
        <f>IF(HAKEDIS!A446="","",HAKEDIS!A446)</f>
        <v/>
      </c>
      <c r="J446" s="17">
        <f>UPPER(TRIM(SUBSTITUTE($I446," ","")))</f>
        <v/>
      </c>
      <c r="K446" s="17">
        <f>IF($J446="",0,LEN($J446))</f>
        <v/>
      </c>
      <c r="L446" s="17">
        <f>IF($J446="","",LEFT($J446,tyk_ikincilUzunluk))</f>
        <v/>
      </c>
      <c r="M446" s="17">
        <f>"B"</f>
        <v/>
      </c>
      <c r="N446" s="17">
        <f>IF($J446="","",IF(COUNTIF(tblAnahtarB[NormB],$J446)&gt;1,"EVET","HAYIR"))</f>
        <v/>
      </c>
      <c r="O446" s="17">
        <f>IF($I446="","",ROW()-ROW($I$5))</f>
        <v/>
      </c>
    </row>
    <row r="447">
      <c r="A447" s="7">
        <f>IF(GIRDI!A447="","",GIRDI!A447)</f>
        <v/>
      </c>
      <c r="B447" s="17">
        <f>UPPER(TRIM(SUBSTITUTE($A447," ","")))</f>
        <v/>
      </c>
      <c r="C447" s="17">
        <f>IF($B447="",0,LEN($B447))</f>
        <v/>
      </c>
      <c r="D447" s="17">
        <f>IF($B447="","",LEFT($B447,tyk_ikincilUzunluk))</f>
        <v/>
      </c>
      <c r="E447" s="17">
        <f>"A"</f>
        <v/>
      </c>
      <c r="F447" s="17">
        <f>IF($B447="","",IF(COUNTIF(tblAnahtarA[Norm],$B447)&gt;1,"EVET","HAYIR"))</f>
        <v/>
      </c>
      <c r="G447" s="17">
        <f>IF($A447="","",ROW()-ROW($A$5))</f>
        <v/>
      </c>
      <c r="I447" s="7">
        <f>IF(HAKEDIS!A447="","",HAKEDIS!A447)</f>
        <v/>
      </c>
      <c r="J447" s="17">
        <f>UPPER(TRIM(SUBSTITUTE($I447," ","")))</f>
        <v/>
      </c>
      <c r="K447" s="17">
        <f>IF($J447="",0,LEN($J447))</f>
        <v/>
      </c>
      <c r="L447" s="17">
        <f>IF($J447="","",LEFT($J447,tyk_ikincilUzunluk))</f>
        <v/>
      </c>
      <c r="M447" s="17">
        <f>"B"</f>
        <v/>
      </c>
      <c r="N447" s="17">
        <f>IF($J447="","",IF(COUNTIF(tblAnahtarB[NormB],$J447)&gt;1,"EVET","HAYIR"))</f>
        <v/>
      </c>
      <c r="O447" s="17">
        <f>IF($I447="","",ROW()-ROW($I$5))</f>
        <v/>
      </c>
    </row>
    <row r="448">
      <c r="A448" s="7">
        <f>IF(GIRDI!A448="","",GIRDI!A448)</f>
        <v/>
      </c>
      <c r="B448" s="17">
        <f>UPPER(TRIM(SUBSTITUTE($A448," ","")))</f>
        <v/>
      </c>
      <c r="C448" s="17">
        <f>IF($B448="",0,LEN($B448))</f>
        <v/>
      </c>
      <c r="D448" s="17">
        <f>IF($B448="","",LEFT($B448,tyk_ikincilUzunluk))</f>
        <v/>
      </c>
      <c r="E448" s="17">
        <f>"A"</f>
        <v/>
      </c>
      <c r="F448" s="17">
        <f>IF($B448="","",IF(COUNTIF(tblAnahtarA[Norm],$B448)&gt;1,"EVET","HAYIR"))</f>
        <v/>
      </c>
      <c r="G448" s="17">
        <f>IF($A448="","",ROW()-ROW($A$5))</f>
        <v/>
      </c>
      <c r="I448" s="7">
        <f>IF(HAKEDIS!A448="","",HAKEDIS!A448)</f>
        <v/>
      </c>
      <c r="J448" s="17">
        <f>UPPER(TRIM(SUBSTITUTE($I448," ","")))</f>
        <v/>
      </c>
      <c r="K448" s="17">
        <f>IF($J448="",0,LEN($J448))</f>
        <v/>
      </c>
      <c r="L448" s="17">
        <f>IF($J448="","",LEFT($J448,tyk_ikincilUzunluk))</f>
        <v/>
      </c>
      <c r="M448" s="17">
        <f>"B"</f>
        <v/>
      </c>
      <c r="N448" s="17">
        <f>IF($J448="","",IF(COUNTIF(tblAnahtarB[NormB],$J448)&gt;1,"EVET","HAYIR"))</f>
        <v/>
      </c>
      <c r="O448" s="17">
        <f>IF($I448="","",ROW()-ROW($I$5))</f>
        <v/>
      </c>
    </row>
    <row r="449">
      <c r="A449" s="7">
        <f>IF(GIRDI!A449="","",GIRDI!A449)</f>
        <v/>
      </c>
      <c r="B449" s="17">
        <f>UPPER(TRIM(SUBSTITUTE($A449," ","")))</f>
        <v/>
      </c>
      <c r="C449" s="17">
        <f>IF($B449="",0,LEN($B449))</f>
        <v/>
      </c>
      <c r="D449" s="17">
        <f>IF($B449="","",LEFT($B449,tyk_ikincilUzunluk))</f>
        <v/>
      </c>
      <c r="E449" s="17">
        <f>"A"</f>
        <v/>
      </c>
      <c r="F449" s="17">
        <f>IF($B449="","",IF(COUNTIF(tblAnahtarA[Norm],$B449)&gt;1,"EVET","HAYIR"))</f>
        <v/>
      </c>
      <c r="G449" s="17">
        <f>IF($A449="","",ROW()-ROW($A$5))</f>
        <v/>
      </c>
      <c r="I449" s="7">
        <f>IF(HAKEDIS!A449="","",HAKEDIS!A449)</f>
        <v/>
      </c>
      <c r="J449" s="17">
        <f>UPPER(TRIM(SUBSTITUTE($I449," ","")))</f>
        <v/>
      </c>
      <c r="K449" s="17">
        <f>IF($J449="",0,LEN($J449))</f>
        <v/>
      </c>
      <c r="L449" s="17">
        <f>IF($J449="","",LEFT($J449,tyk_ikincilUzunluk))</f>
        <v/>
      </c>
      <c r="M449" s="17">
        <f>"B"</f>
        <v/>
      </c>
      <c r="N449" s="17">
        <f>IF($J449="","",IF(COUNTIF(tblAnahtarB[NormB],$J449)&gt;1,"EVET","HAYIR"))</f>
        <v/>
      </c>
      <c r="O449" s="17">
        <f>IF($I449="","",ROW()-ROW($I$5))</f>
        <v/>
      </c>
    </row>
    <row r="450">
      <c r="A450" s="7">
        <f>IF(GIRDI!A450="","",GIRDI!A450)</f>
        <v/>
      </c>
      <c r="B450" s="17">
        <f>UPPER(TRIM(SUBSTITUTE($A450," ","")))</f>
        <v/>
      </c>
      <c r="C450" s="17">
        <f>IF($B450="",0,LEN($B450))</f>
        <v/>
      </c>
      <c r="D450" s="17">
        <f>IF($B450="","",LEFT($B450,tyk_ikincilUzunluk))</f>
        <v/>
      </c>
      <c r="E450" s="17">
        <f>"A"</f>
        <v/>
      </c>
      <c r="F450" s="17">
        <f>IF($B450="","",IF(COUNTIF(tblAnahtarA[Norm],$B450)&gt;1,"EVET","HAYIR"))</f>
        <v/>
      </c>
      <c r="G450" s="17">
        <f>IF($A450="","",ROW()-ROW($A$5))</f>
        <v/>
      </c>
      <c r="I450" s="7">
        <f>IF(HAKEDIS!A450="","",HAKEDIS!A450)</f>
        <v/>
      </c>
      <c r="J450" s="17">
        <f>UPPER(TRIM(SUBSTITUTE($I450," ","")))</f>
        <v/>
      </c>
      <c r="K450" s="17">
        <f>IF($J450="",0,LEN($J450))</f>
        <v/>
      </c>
      <c r="L450" s="17">
        <f>IF($J450="","",LEFT($J450,tyk_ikincilUzunluk))</f>
        <v/>
      </c>
      <c r="M450" s="17">
        <f>"B"</f>
        <v/>
      </c>
      <c r="N450" s="17">
        <f>IF($J450="","",IF(COUNTIF(tblAnahtarB[NormB],$J450)&gt;1,"EVET","HAYIR"))</f>
        <v/>
      </c>
      <c r="O450" s="17">
        <f>IF($I450="","",ROW()-ROW($I$5))</f>
        <v/>
      </c>
    </row>
    <row r="451">
      <c r="A451" s="7">
        <f>IF(GIRDI!A451="","",GIRDI!A451)</f>
        <v/>
      </c>
      <c r="B451" s="17">
        <f>UPPER(TRIM(SUBSTITUTE($A451," ","")))</f>
        <v/>
      </c>
      <c r="C451" s="17">
        <f>IF($B451="",0,LEN($B451))</f>
        <v/>
      </c>
      <c r="D451" s="17">
        <f>IF($B451="","",LEFT($B451,tyk_ikincilUzunluk))</f>
        <v/>
      </c>
      <c r="E451" s="17">
        <f>"A"</f>
        <v/>
      </c>
      <c r="F451" s="17">
        <f>IF($B451="","",IF(COUNTIF(tblAnahtarA[Norm],$B451)&gt;1,"EVET","HAYIR"))</f>
        <v/>
      </c>
      <c r="G451" s="17">
        <f>IF($A451="","",ROW()-ROW($A$5))</f>
        <v/>
      </c>
      <c r="I451" s="7">
        <f>IF(HAKEDIS!A451="","",HAKEDIS!A451)</f>
        <v/>
      </c>
      <c r="J451" s="17">
        <f>UPPER(TRIM(SUBSTITUTE($I451," ","")))</f>
        <v/>
      </c>
      <c r="K451" s="17">
        <f>IF($J451="",0,LEN($J451))</f>
        <v/>
      </c>
      <c r="L451" s="17">
        <f>IF($J451="","",LEFT($J451,tyk_ikincilUzunluk))</f>
        <v/>
      </c>
      <c r="M451" s="17">
        <f>"B"</f>
        <v/>
      </c>
      <c r="N451" s="17">
        <f>IF($J451="","",IF(COUNTIF(tblAnahtarB[NormB],$J451)&gt;1,"EVET","HAYIR"))</f>
        <v/>
      </c>
      <c r="O451" s="17">
        <f>IF($I451="","",ROW()-ROW($I$5))</f>
        <v/>
      </c>
    </row>
    <row r="452">
      <c r="A452" s="7">
        <f>IF(GIRDI!A452="","",GIRDI!A452)</f>
        <v/>
      </c>
      <c r="B452" s="17">
        <f>UPPER(TRIM(SUBSTITUTE($A452," ","")))</f>
        <v/>
      </c>
      <c r="C452" s="17">
        <f>IF($B452="",0,LEN($B452))</f>
        <v/>
      </c>
      <c r="D452" s="17">
        <f>IF($B452="","",LEFT($B452,tyk_ikincilUzunluk))</f>
        <v/>
      </c>
      <c r="E452" s="17">
        <f>"A"</f>
        <v/>
      </c>
      <c r="F452" s="17">
        <f>IF($B452="","",IF(COUNTIF(tblAnahtarA[Norm],$B452)&gt;1,"EVET","HAYIR"))</f>
        <v/>
      </c>
      <c r="G452" s="17">
        <f>IF($A452="","",ROW()-ROW($A$5))</f>
        <v/>
      </c>
      <c r="I452" s="7">
        <f>IF(HAKEDIS!A452="","",HAKEDIS!A452)</f>
        <v/>
      </c>
      <c r="J452" s="17">
        <f>UPPER(TRIM(SUBSTITUTE($I452," ","")))</f>
        <v/>
      </c>
      <c r="K452" s="17">
        <f>IF($J452="",0,LEN($J452))</f>
        <v/>
      </c>
      <c r="L452" s="17">
        <f>IF($J452="","",LEFT($J452,tyk_ikincilUzunluk))</f>
        <v/>
      </c>
      <c r="M452" s="17">
        <f>"B"</f>
        <v/>
      </c>
      <c r="N452" s="17">
        <f>IF($J452="","",IF(COUNTIF(tblAnahtarB[NormB],$J452)&gt;1,"EVET","HAYIR"))</f>
        <v/>
      </c>
      <c r="O452" s="17">
        <f>IF($I452="","",ROW()-ROW($I$5))</f>
        <v/>
      </c>
    </row>
    <row r="453">
      <c r="A453" s="7">
        <f>IF(GIRDI!A453="","",GIRDI!A453)</f>
        <v/>
      </c>
      <c r="B453" s="17">
        <f>UPPER(TRIM(SUBSTITUTE($A453," ","")))</f>
        <v/>
      </c>
      <c r="C453" s="17">
        <f>IF($B453="",0,LEN($B453))</f>
        <v/>
      </c>
      <c r="D453" s="17">
        <f>IF($B453="","",LEFT($B453,tyk_ikincilUzunluk))</f>
        <v/>
      </c>
      <c r="E453" s="17">
        <f>"A"</f>
        <v/>
      </c>
      <c r="F453" s="17">
        <f>IF($B453="","",IF(COUNTIF(tblAnahtarA[Norm],$B453)&gt;1,"EVET","HAYIR"))</f>
        <v/>
      </c>
      <c r="G453" s="17">
        <f>IF($A453="","",ROW()-ROW($A$5))</f>
        <v/>
      </c>
      <c r="I453" s="7">
        <f>IF(HAKEDIS!A453="","",HAKEDIS!A453)</f>
        <v/>
      </c>
      <c r="J453" s="17">
        <f>UPPER(TRIM(SUBSTITUTE($I453," ","")))</f>
        <v/>
      </c>
      <c r="K453" s="17">
        <f>IF($J453="",0,LEN($J453))</f>
        <v/>
      </c>
      <c r="L453" s="17">
        <f>IF($J453="","",LEFT($J453,tyk_ikincilUzunluk))</f>
        <v/>
      </c>
      <c r="M453" s="17">
        <f>"B"</f>
        <v/>
      </c>
      <c r="N453" s="17">
        <f>IF($J453="","",IF(COUNTIF(tblAnahtarB[NormB],$J453)&gt;1,"EVET","HAYIR"))</f>
        <v/>
      </c>
      <c r="O453" s="17">
        <f>IF($I453="","",ROW()-ROW($I$5))</f>
        <v/>
      </c>
    </row>
    <row r="454">
      <c r="A454" s="7">
        <f>IF(GIRDI!A454="","",GIRDI!A454)</f>
        <v/>
      </c>
      <c r="B454" s="17">
        <f>UPPER(TRIM(SUBSTITUTE($A454," ","")))</f>
        <v/>
      </c>
      <c r="C454" s="17">
        <f>IF($B454="",0,LEN($B454))</f>
        <v/>
      </c>
      <c r="D454" s="17">
        <f>IF($B454="","",LEFT($B454,tyk_ikincilUzunluk))</f>
        <v/>
      </c>
      <c r="E454" s="17">
        <f>"A"</f>
        <v/>
      </c>
      <c r="F454" s="17">
        <f>IF($B454="","",IF(COUNTIF(tblAnahtarA[Norm],$B454)&gt;1,"EVET","HAYIR"))</f>
        <v/>
      </c>
      <c r="G454" s="17">
        <f>IF($A454="","",ROW()-ROW($A$5))</f>
        <v/>
      </c>
      <c r="I454" s="7">
        <f>IF(HAKEDIS!A454="","",HAKEDIS!A454)</f>
        <v/>
      </c>
      <c r="J454" s="17">
        <f>UPPER(TRIM(SUBSTITUTE($I454," ","")))</f>
        <v/>
      </c>
      <c r="K454" s="17">
        <f>IF($J454="",0,LEN($J454))</f>
        <v/>
      </c>
      <c r="L454" s="17">
        <f>IF($J454="","",LEFT($J454,tyk_ikincilUzunluk))</f>
        <v/>
      </c>
      <c r="M454" s="17">
        <f>"B"</f>
        <v/>
      </c>
      <c r="N454" s="17">
        <f>IF($J454="","",IF(COUNTIF(tblAnahtarB[NormB],$J454)&gt;1,"EVET","HAYIR"))</f>
        <v/>
      </c>
      <c r="O454" s="17">
        <f>IF($I454="","",ROW()-ROW($I$5))</f>
        <v/>
      </c>
    </row>
    <row r="455">
      <c r="A455" s="7">
        <f>IF(GIRDI!A455="","",GIRDI!A455)</f>
        <v/>
      </c>
      <c r="B455" s="17">
        <f>UPPER(TRIM(SUBSTITUTE($A455," ","")))</f>
        <v/>
      </c>
      <c r="C455" s="17">
        <f>IF($B455="",0,LEN($B455))</f>
        <v/>
      </c>
      <c r="D455" s="17">
        <f>IF($B455="","",LEFT($B455,tyk_ikincilUzunluk))</f>
        <v/>
      </c>
      <c r="E455" s="17">
        <f>"A"</f>
        <v/>
      </c>
      <c r="F455" s="17">
        <f>IF($B455="","",IF(COUNTIF(tblAnahtarA[Norm],$B455)&gt;1,"EVET","HAYIR"))</f>
        <v/>
      </c>
      <c r="G455" s="17">
        <f>IF($A455="","",ROW()-ROW($A$5))</f>
        <v/>
      </c>
      <c r="I455" s="7">
        <f>IF(HAKEDIS!A455="","",HAKEDIS!A455)</f>
        <v/>
      </c>
      <c r="J455" s="17">
        <f>UPPER(TRIM(SUBSTITUTE($I455," ","")))</f>
        <v/>
      </c>
      <c r="K455" s="17">
        <f>IF($J455="",0,LEN($J455))</f>
        <v/>
      </c>
      <c r="L455" s="17">
        <f>IF($J455="","",LEFT($J455,tyk_ikincilUzunluk))</f>
        <v/>
      </c>
      <c r="M455" s="17">
        <f>"B"</f>
        <v/>
      </c>
      <c r="N455" s="17">
        <f>IF($J455="","",IF(COUNTIF(tblAnahtarB[NormB],$J455)&gt;1,"EVET","HAYIR"))</f>
        <v/>
      </c>
      <c r="O455" s="17">
        <f>IF($I455="","",ROW()-ROW($I$5))</f>
        <v/>
      </c>
    </row>
    <row r="456">
      <c r="A456" s="7">
        <f>IF(GIRDI!A456="","",GIRDI!A456)</f>
        <v/>
      </c>
      <c r="B456" s="17">
        <f>UPPER(TRIM(SUBSTITUTE($A456," ","")))</f>
        <v/>
      </c>
      <c r="C456" s="17">
        <f>IF($B456="",0,LEN($B456))</f>
        <v/>
      </c>
      <c r="D456" s="17">
        <f>IF($B456="","",LEFT($B456,tyk_ikincilUzunluk))</f>
        <v/>
      </c>
      <c r="E456" s="17">
        <f>"A"</f>
        <v/>
      </c>
      <c r="F456" s="17">
        <f>IF($B456="","",IF(COUNTIF(tblAnahtarA[Norm],$B456)&gt;1,"EVET","HAYIR"))</f>
        <v/>
      </c>
      <c r="G456" s="17">
        <f>IF($A456="","",ROW()-ROW($A$5))</f>
        <v/>
      </c>
      <c r="I456" s="7">
        <f>IF(HAKEDIS!A456="","",HAKEDIS!A456)</f>
        <v/>
      </c>
      <c r="J456" s="17">
        <f>UPPER(TRIM(SUBSTITUTE($I456," ","")))</f>
        <v/>
      </c>
      <c r="K456" s="17">
        <f>IF($J456="",0,LEN($J456))</f>
        <v/>
      </c>
      <c r="L456" s="17">
        <f>IF($J456="","",LEFT($J456,tyk_ikincilUzunluk))</f>
        <v/>
      </c>
      <c r="M456" s="17">
        <f>"B"</f>
        <v/>
      </c>
      <c r="N456" s="17">
        <f>IF($J456="","",IF(COUNTIF(tblAnahtarB[NormB],$J456)&gt;1,"EVET","HAYIR"))</f>
        <v/>
      </c>
      <c r="O456" s="17">
        <f>IF($I456="","",ROW()-ROW($I$5))</f>
        <v/>
      </c>
    </row>
    <row r="457">
      <c r="A457" s="7">
        <f>IF(GIRDI!A457="","",GIRDI!A457)</f>
        <v/>
      </c>
      <c r="B457" s="17">
        <f>UPPER(TRIM(SUBSTITUTE($A457," ","")))</f>
        <v/>
      </c>
      <c r="C457" s="17">
        <f>IF($B457="",0,LEN($B457))</f>
        <v/>
      </c>
      <c r="D457" s="17">
        <f>IF($B457="","",LEFT($B457,tyk_ikincilUzunluk))</f>
        <v/>
      </c>
      <c r="E457" s="17">
        <f>"A"</f>
        <v/>
      </c>
      <c r="F457" s="17">
        <f>IF($B457="","",IF(COUNTIF(tblAnahtarA[Norm],$B457)&gt;1,"EVET","HAYIR"))</f>
        <v/>
      </c>
      <c r="G457" s="17">
        <f>IF($A457="","",ROW()-ROW($A$5))</f>
        <v/>
      </c>
      <c r="I457" s="7">
        <f>IF(HAKEDIS!A457="","",HAKEDIS!A457)</f>
        <v/>
      </c>
      <c r="J457" s="17">
        <f>UPPER(TRIM(SUBSTITUTE($I457," ","")))</f>
        <v/>
      </c>
      <c r="K457" s="17">
        <f>IF($J457="",0,LEN($J457))</f>
        <v/>
      </c>
      <c r="L457" s="17">
        <f>IF($J457="","",LEFT($J457,tyk_ikincilUzunluk))</f>
        <v/>
      </c>
      <c r="M457" s="17">
        <f>"B"</f>
        <v/>
      </c>
      <c r="N457" s="17">
        <f>IF($J457="","",IF(COUNTIF(tblAnahtarB[NormB],$J457)&gt;1,"EVET","HAYIR"))</f>
        <v/>
      </c>
      <c r="O457" s="17">
        <f>IF($I457="","",ROW()-ROW($I$5))</f>
        <v/>
      </c>
    </row>
    <row r="458">
      <c r="A458" s="7">
        <f>IF(GIRDI!A458="","",GIRDI!A458)</f>
        <v/>
      </c>
      <c r="B458" s="17">
        <f>UPPER(TRIM(SUBSTITUTE($A458," ","")))</f>
        <v/>
      </c>
      <c r="C458" s="17">
        <f>IF($B458="",0,LEN($B458))</f>
        <v/>
      </c>
      <c r="D458" s="17">
        <f>IF($B458="","",LEFT($B458,tyk_ikincilUzunluk))</f>
        <v/>
      </c>
      <c r="E458" s="17">
        <f>"A"</f>
        <v/>
      </c>
      <c r="F458" s="17">
        <f>IF($B458="","",IF(COUNTIF(tblAnahtarA[Norm],$B458)&gt;1,"EVET","HAYIR"))</f>
        <v/>
      </c>
      <c r="G458" s="17">
        <f>IF($A458="","",ROW()-ROW($A$5))</f>
        <v/>
      </c>
      <c r="I458" s="7">
        <f>IF(HAKEDIS!A458="","",HAKEDIS!A458)</f>
        <v/>
      </c>
      <c r="J458" s="17">
        <f>UPPER(TRIM(SUBSTITUTE($I458," ","")))</f>
        <v/>
      </c>
      <c r="K458" s="17">
        <f>IF($J458="",0,LEN($J458))</f>
        <v/>
      </c>
      <c r="L458" s="17">
        <f>IF($J458="","",LEFT($J458,tyk_ikincilUzunluk))</f>
        <v/>
      </c>
      <c r="M458" s="17">
        <f>"B"</f>
        <v/>
      </c>
      <c r="N458" s="17">
        <f>IF($J458="","",IF(COUNTIF(tblAnahtarB[NormB],$J458)&gt;1,"EVET","HAYIR"))</f>
        <v/>
      </c>
      <c r="O458" s="17">
        <f>IF($I458="","",ROW()-ROW($I$5))</f>
        <v/>
      </c>
    </row>
    <row r="459">
      <c r="A459" s="7">
        <f>IF(GIRDI!A459="","",GIRDI!A459)</f>
        <v/>
      </c>
      <c r="B459" s="17">
        <f>UPPER(TRIM(SUBSTITUTE($A459," ","")))</f>
        <v/>
      </c>
      <c r="C459" s="17">
        <f>IF($B459="",0,LEN($B459))</f>
        <v/>
      </c>
      <c r="D459" s="17">
        <f>IF($B459="","",LEFT($B459,tyk_ikincilUzunluk))</f>
        <v/>
      </c>
      <c r="E459" s="17">
        <f>"A"</f>
        <v/>
      </c>
      <c r="F459" s="17">
        <f>IF($B459="","",IF(COUNTIF(tblAnahtarA[Norm],$B459)&gt;1,"EVET","HAYIR"))</f>
        <v/>
      </c>
      <c r="G459" s="17">
        <f>IF($A459="","",ROW()-ROW($A$5))</f>
        <v/>
      </c>
      <c r="I459" s="7">
        <f>IF(HAKEDIS!A459="","",HAKEDIS!A459)</f>
        <v/>
      </c>
      <c r="J459" s="17">
        <f>UPPER(TRIM(SUBSTITUTE($I459," ","")))</f>
        <v/>
      </c>
      <c r="K459" s="17">
        <f>IF($J459="",0,LEN($J459))</f>
        <v/>
      </c>
      <c r="L459" s="17">
        <f>IF($J459="","",LEFT($J459,tyk_ikincilUzunluk))</f>
        <v/>
      </c>
      <c r="M459" s="17">
        <f>"B"</f>
        <v/>
      </c>
      <c r="N459" s="17">
        <f>IF($J459="","",IF(COUNTIF(tblAnahtarB[NormB],$J459)&gt;1,"EVET","HAYIR"))</f>
        <v/>
      </c>
      <c r="O459" s="17">
        <f>IF($I459="","",ROW()-ROW($I$5))</f>
        <v/>
      </c>
    </row>
    <row r="460">
      <c r="A460" s="7">
        <f>IF(GIRDI!A460="","",GIRDI!A460)</f>
        <v/>
      </c>
      <c r="B460" s="17">
        <f>UPPER(TRIM(SUBSTITUTE($A460," ","")))</f>
        <v/>
      </c>
      <c r="C460" s="17">
        <f>IF($B460="",0,LEN($B460))</f>
        <v/>
      </c>
      <c r="D460" s="17">
        <f>IF($B460="","",LEFT($B460,tyk_ikincilUzunluk))</f>
        <v/>
      </c>
      <c r="E460" s="17">
        <f>"A"</f>
        <v/>
      </c>
      <c r="F460" s="17">
        <f>IF($B460="","",IF(COUNTIF(tblAnahtarA[Norm],$B460)&gt;1,"EVET","HAYIR"))</f>
        <v/>
      </c>
      <c r="G460" s="17">
        <f>IF($A460="","",ROW()-ROW($A$5))</f>
        <v/>
      </c>
      <c r="I460" s="7">
        <f>IF(HAKEDIS!A460="","",HAKEDIS!A460)</f>
        <v/>
      </c>
      <c r="J460" s="17">
        <f>UPPER(TRIM(SUBSTITUTE($I460," ","")))</f>
        <v/>
      </c>
      <c r="K460" s="17">
        <f>IF($J460="",0,LEN($J460))</f>
        <v/>
      </c>
      <c r="L460" s="17">
        <f>IF($J460="","",LEFT($J460,tyk_ikincilUzunluk))</f>
        <v/>
      </c>
      <c r="M460" s="17">
        <f>"B"</f>
        <v/>
      </c>
      <c r="N460" s="17">
        <f>IF($J460="","",IF(COUNTIF(tblAnahtarB[NormB],$J460)&gt;1,"EVET","HAYIR"))</f>
        <v/>
      </c>
      <c r="O460" s="17">
        <f>IF($I460="","",ROW()-ROW($I$5))</f>
        <v/>
      </c>
    </row>
    <row r="461">
      <c r="A461" s="7">
        <f>IF(GIRDI!A461="","",GIRDI!A461)</f>
        <v/>
      </c>
      <c r="B461" s="17">
        <f>UPPER(TRIM(SUBSTITUTE($A461," ","")))</f>
        <v/>
      </c>
      <c r="C461" s="17">
        <f>IF($B461="",0,LEN($B461))</f>
        <v/>
      </c>
      <c r="D461" s="17">
        <f>IF($B461="","",LEFT($B461,tyk_ikincilUzunluk))</f>
        <v/>
      </c>
      <c r="E461" s="17">
        <f>"A"</f>
        <v/>
      </c>
      <c r="F461" s="17">
        <f>IF($B461="","",IF(COUNTIF(tblAnahtarA[Norm],$B461)&gt;1,"EVET","HAYIR"))</f>
        <v/>
      </c>
      <c r="G461" s="17">
        <f>IF($A461="","",ROW()-ROW($A$5))</f>
        <v/>
      </c>
      <c r="I461" s="7">
        <f>IF(HAKEDIS!A461="","",HAKEDIS!A461)</f>
        <v/>
      </c>
      <c r="J461" s="17">
        <f>UPPER(TRIM(SUBSTITUTE($I461," ","")))</f>
        <v/>
      </c>
      <c r="K461" s="17">
        <f>IF($J461="",0,LEN($J461))</f>
        <v/>
      </c>
      <c r="L461" s="17">
        <f>IF($J461="","",LEFT($J461,tyk_ikincilUzunluk))</f>
        <v/>
      </c>
      <c r="M461" s="17">
        <f>"B"</f>
        <v/>
      </c>
      <c r="N461" s="17">
        <f>IF($J461="","",IF(COUNTIF(tblAnahtarB[NormB],$J461)&gt;1,"EVET","HAYIR"))</f>
        <v/>
      </c>
      <c r="O461" s="17">
        <f>IF($I461="","",ROW()-ROW($I$5))</f>
        <v/>
      </c>
    </row>
    <row r="462">
      <c r="A462" s="7">
        <f>IF(GIRDI!A462="","",GIRDI!A462)</f>
        <v/>
      </c>
      <c r="B462" s="17">
        <f>UPPER(TRIM(SUBSTITUTE($A462," ","")))</f>
        <v/>
      </c>
      <c r="C462" s="17">
        <f>IF($B462="",0,LEN($B462))</f>
        <v/>
      </c>
      <c r="D462" s="17">
        <f>IF($B462="","",LEFT($B462,tyk_ikincilUzunluk))</f>
        <v/>
      </c>
      <c r="E462" s="17">
        <f>"A"</f>
        <v/>
      </c>
      <c r="F462" s="17">
        <f>IF($B462="","",IF(COUNTIF(tblAnahtarA[Norm],$B462)&gt;1,"EVET","HAYIR"))</f>
        <v/>
      </c>
      <c r="G462" s="17">
        <f>IF($A462="","",ROW()-ROW($A$5))</f>
        <v/>
      </c>
      <c r="I462" s="7">
        <f>IF(HAKEDIS!A462="","",HAKEDIS!A462)</f>
        <v/>
      </c>
      <c r="J462" s="17">
        <f>UPPER(TRIM(SUBSTITUTE($I462," ","")))</f>
        <v/>
      </c>
      <c r="K462" s="17">
        <f>IF($J462="",0,LEN($J462))</f>
        <v/>
      </c>
      <c r="L462" s="17">
        <f>IF($J462="","",LEFT($J462,tyk_ikincilUzunluk))</f>
        <v/>
      </c>
      <c r="M462" s="17">
        <f>"B"</f>
        <v/>
      </c>
      <c r="N462" s="17">
        <f>IF($J462="","",IF(COUNTIF(tblAnahtarB[NormB],$J462)&gt;1,"EVET","HAYIR"))</f>
        <v/>
      </c>
      <c r="O462" s="17">
        <f>IF($I462="","",ROW()-ROW($I$5))</f>
        <v/>
      </c>
    </row>
    <row r="463">
      <c r="A463" s="7">
        <f>IF(GIRDI!A463="","",GIRDI!A463)</f>
        <v/>
      </c>
      <c r="B463" s="17">
        <f>UPPER(TRIM(SUBSTITUTE($A463," ","")))</f>
        <v/>
      </c>
      <c r="C463" s="17">
        <f>IF($B463="",0,LEN($B463))</f>
        <v/>
      </c>
      <c r="D463" s="17">
        <f>IF($B463="","",LEFT($B463,tyk_ikincilUzunluk))</f>
        <v/>
      </c>
      <c r="E463" s="17">
        <f>"A"</f>
        <v/>
      </c>
      <c r="F463" s="17">
        <f>IF($B463="","",IF(COUNTIF(tblAnahtarA[Norm],$B463)&gt;1,"EVET","HAYIR"))</f>
        <v/>
      </c>
      <c r="G463" s="17">
        <f>IF($A463="","",ROW()-ROW($A$5))</f>
        <v/>
      </c>
      <c r="I463" s="7">
        <f>IF(HAKEDIS!A463="","",HAKEDIS!A463)</f>
        <v/>
      </c>
      <c r="J463" s="17">
        <f>UPPER(TRIM(SUBSTITUTE($I463," ","")))</f>
        <v/>
      </c>
      <c r="K463" s="17">
        <f>IF($J463="",0,LEN($J463))</f>
        <v/>
      </c>
      <c r="L463" s="17">
        <f>IF($J463="","",LEFT($J463,tyk_ikincilUzunluk))</f>
        <v/>
      </c>
      <c r="M463" s="17">
        <f>"B"</f>
        <v/>
      </c>
      <c r="N463" s="17">
        <f>IF($J463="","",IF(COUNTIF(tblAnahtarB[NormB],$J463)&gt;1,"EVET","HAYIR"))</f>
        <v/>
      </c>
      <c r="O463" s="17">
        <f>IF($I463="","",ROW()-ROW($I$5))</f>
        <v/>
      </c>
    </row>
    <row r="464">
      <c r="A464" s="7">
        <f>IF(GIRDI!A464="","",GIRDI!A464)</f>
        <v/>
      </c>
      <c r="B464" s="17">
        <f>UPPER(TRIM(SUBSTITUTE($A464," ","")))</f>
        <v/>
      </c>
      <c r="C464" s="17">
        <f>IF($B464="",0,LEN($B464))</f>
        <v/>
      </c>
      <c r="D464" s="17">
        <f>IF($B464="","",LEFT($B464,tyk_ikincilUzunluk))</f>
        <v/>
      </c>
      <c r="E464" s="17">
        <f>"A"</f>
        <v/>
      </c>
      <c r="F464" s="17">
        <f>IF($B464="","",IF(COUNTIF(tblAnahtarA[Norm],$B464)&gt;1,"EVET","HAYIR"))</f>
        <v/>
      </c>
      <c r="G464" s="17">
        <f>IF($A464="","",ROW()-ROW($A$5))</f>
        <v/>
      </c>
      <c r="I464" s="7">
        <f>IF(HAKEDIS!A464="","",HAKEDIS!A464)</f>
        <v/>
      </c>
      <c r="J464" s="17">
        <f>UPPER(TRIM(SUBSTITUTE($I464," ","")))</f>
        <v/>
      </c>
      <c r="K464" s="17">
        <f>IF($J464="",0,LEN($J464))</f>
        <v/>
      </c>
      <c r="L464" s="17">
        <f>IF($J464="","",LEFT($J464,tyk_ikincilUzunluk))</f>
        <v/>
      </c>
      <c r="M464" s="17">
        <f>"B"</f>
        <v/>
      </c>
      <c r="N464" s="17">
        <f>IF($J464="","",IF(COUNTIF(tblAnahtarB[NormB],$J464)&gt;1,"EVET","HAYIR"))</f>
        <v/>
      </c>
      <c r="O464" s="17">
        <f>IF($I464="","",ROW()-ROW($I$5))</f>
        <v/>
      </c>
    </row>
    <row r="465">
      <c r="A465" s="7">
        <f>IF(GIRDI!A465="","",GIRDI!A465)</f>
        <v/>
      </c>
      <c r="B465" s="17">
        <f>UPPER(TRIM(SUBSTITUTE($A465," ","")))</f>
        <v/>
      </c>
      <c r="C465" s="17">
        <f>IF($B465="",0,LEN($B465))</f>
        <v/>
      </c>
      <c r="D465" s="17">
        <f>IF($B465="","",LEFT($B465,tyk_ikincilUzunluk))</f>
        <v/>
      </c>
      <c r="E465" s="17">
        <f>"A"</f>
        <v/>
      </c>
      <c r="F465" s="17">
        <f>IF($B465="","",IF(COUNTIF(tblAnahtarA[Norm],$B465)&gt;1,"EVET","HAYIR"))</f>
        <v/>
      </c>
      <c r="G465" s="17">
        <f>IF($A465="","",ROW()-ROW($A$5))</f>
        <v/>
      </c>
      <c r="I465" s="7">
        <f>IF(HAKEDIS!A465="","",HAKEDIS!A465)</f>
        <v/>
      </c>
      <c r="J465" s="17">
        <f>UPPER(TRIM(SUBSTITUTE($I465," ","")))</f>
        <v/>
      </c>
      <c r="K465" s="17">
        <f>IF($J465="",0,LEN($J465))</f>
        <v/>
      </c>
      <c r="L465" s="17">
        <f>IF($J465="","",LEFT($J465,tyk_ikincilUzunluk))</f>
        <v/>
      </c>
      <c r="M465" s="17">
        <f>"B"</f>
        <v/>
      </c>
      <c r="N465" s="17">
        <f>IF($J465="","",IF(COUNTIF(tblAnahtarB[NormB],$J465)&gt;1,"EVET","HAYIR"))</f>
        <v/>
      </c>
      <c r="O465" s="17">
        <f>IF($I465="","",ROW()-ROW($I$5))</f>
        <v/>
      </c>
    </row>
    <row r="466">
      <c r="A466" s="7">
        <f>IF(GIRDI!A466="","",GIRDI!A466)</f>
        <v/>
      </c>
      <c r="B466" s="17">
        <f>UPPER(TRIM(SUBSTITUTE($A466," ","")))</f>
        <v/>
      </c>
      <c r="C466" s="17">
        <f>IF($B466="",0,LEN($B466))</f>
        <v/>
      </c>
      <c r="D466" s="17">
        <f>IF($B466="","",LEFT($B466,tyk_ikincilUzunluk))</f>
        <v/>
      </c>
      <c r="E466" s="17">
        <f>"A"</f>
        <v/>
      </c>
      <c r="F466" s="17">
        <f>IF($B466="","",IF(COUNTIF(tblAnahtarA[Norm],$B466)&gt;1,"EVET","HAYIR"))</f>
        <v/>
      </c>
      <c r="G466" s="17">
        <f>IF($A466="","",ROW()-ROW($A$5))</f>
        <v/>
      </c>
      <c r="I466" s="7">
        <f>IF(HAKEDIS!A466="","",HAKEDIS!A466)</f>
        <v/>
      </c>
      <c r="J466" s="17">
        <f>UPPER(TRIM(SUBSTITUTE($I466," ","")))</f>
        <v/>
      </c>
      <c r="K466" s="17">
        <f>IF($J466="",0,LEN($J466))</f>
        <v/>
      </c>
      <c r="L466" s="17">
        <f>IF($J466="","",LEFT($J466,tyk_ikincilUzunluk))</f>
        <v/>
      </c>
      <c r="M466" s="17">
        <f>"B"</f>
        <v/>
      </c>
      <c r="N466" s="17">
        <f>IF($J466="","",IF(COUNTIF(tblAnahtarB[NormB],$J466)&gt;1,"EVET","HAYIR"))</f>
        <v/>
      </c>
      <c r="O466" s="17">
        <f>IF($I466="","",ROW()-ROW($I$5))</f>
        <v/>
      </c>
    </row>
    <row r="467">
      <c r="A467" s="7">
        <f>IF(GIRDI!A467="","",GIRDI!A467)</f>
        <v/>
      </c>
      <c r="B467" s="17">
        <f>UPPER(TRIM(SUBSTITUTE($A467," ","")))</f>
        <v/>
      </c>
      <c r="C467" s="17">
        <f>IF($B467="",0,LEN($B467))</f>
        <v/>
      </c>
      <c r="D467" s="17">
        <f>IF($B467="","",LEFT($B467,tyk_ikincilUzunluk))</f>
        <v/>
      </c>
      <c r="E467" s="17">
        <f>"A"</f>
        <v/>
      </c>
      <c r="F467" s="17">
        <f>IF($B467="","",IF(COUNTIF(tblAnahtarA[Norm],$B467)&gt;1,"EVET","HAYIR"))</f>
        <v/>
      </c>
      <c r="G467" s="17">
        <f>IF($A467="","",ROW()-ROW($A$5))</f>
        <v/>
      </c>
      <c r="I467" s="7">
        <f>IF(HAKEDIS!A467="","",HAKEDIS!A467)</f>
        <v/>
      </c>
      <c r="J467" s="17">
        <f>UPPER(TRIM(SUBSTITUTE($I467," ","")))</f>
        <v/>
      </c>
      <c r="K467" s="17">
        <f>IF($J467="",0,LEN($J467))</f>
        <v/>
      </c>
      <c r="L467" s="17">
        <f>IF($J467="","",LEFT($J467,tyk_ikincilUzunluk))</f>
        <v/>
      </c>
      <c r="M467" s="17">
        <f>"B"</f>
        <v/>
      </c>
      <c r="N467" s="17">
        <f>IF($J467="","",IF(COUNTIF(tblAnahtarB[NormB],$J467)&gt;1,"EVET","HAYIR"))</f>
        <v/>
      </c>
      <c r="O467" s="17">
        <f>IF($I467="","",ROW()-ROW($I$5))</f>
        <v/>
      </c>
    </row>
    <row r="468">
      <c r="A468" s="7">
        <f>IF(GIRDI!A468="","",GIRDI!A468)</f>
        <v/>
      </c>
      <c r="B468" s="17">
        <f>UPPER(TRIM(SUBSTITUTE($A468," ","")))</f>
        <v/>
      </c>
      <c r="C468" s="17">
        <f>IF($B468="",0,LEN($B468))</f>
        <v/>
      </c>
      <c r="D468" s="17">
        <f>IF($B468="","",LEFT($B468,tyk_ikincilUzunluk))</f>
        <v/>
      </c>
      <c r="E468" s="17">
        <f>"A"</f>
        <v/>
      </c>
      <c r="F468" s="17">
        <f>IF($B468="","",IF(COUNTIF(tblAnahtarA[Norm],$B468)&gt;1,"EVET","HAYIR"))</f>
        <v/>
      </c>
      <c r="G468" s="17">
        <f>IF($A468="","",ROW()-ROW($A$5))</f>
        <v/>
      </c>
      <c r="I468" s="7">
        <f>IF(HAKEDIS!A468="","",HAKEDIS!A468)</f>
        <v/>
      </c>
      <c r="J468" s="17">
        <f>UPPER(TRIM(SUBSTITUTE($I468," ","")))</f>
        <v/>
      </c>
      <c r="K468" s="17">
        <f>IF($J468="",0,LEN($J468))</f>
        <v/>
      </c>
      <c r="L468" s="17">
        <f>IF($J468="","",LEFT($J468,tyk_ikincilUzunluk))</f>
        <v/>
      </c>
      <c r="M468" s="17">
        <f>"B"</f>
        <v/>
      </c>
      <c r="N468" s="17">
        <f>IF($J468="","",IF(COUNTIF(tblAnahtarB[NormB],$J468)&gt;1,"EVET","HAYIR"))</f>
        <v/>
      </c>
      <c r="O468" s="17">
        <f>IF($I468="","",ROW()-ROW($I$5))</f>
        <v/>
      </c>
    </row>
    <row r="469">
      <c r="A469" s="7">
        <f>IF(GIRDI!A469="","",GIRDI!A469)</f>
        <v/>
      </c>
      <c r="B469" s="17">
        <f>UPPER(TRIM(SUBSTITUTE($A469," ","")))</f>
        <v/>
      </c>
      <c r="C469" s="17">
        <f>IF($B469="",0,LEN($B469))</f>
        <v/>
      </c>
      <c r="D469" s="17">
        <f>IF($B469="","",LEFT($B469,tyk_ikincilUzunluk))</f>
        <v/>
      </c>
      <c r="E469" s="17">
        <f>"A"</f>
        <v/>
      </c>
      <c r="F469" s="17">
        <f>IF($B469="","",IF(COUNTIF(tblAnahtarA[Norm],$B469)&gt;1,"EVET","HAYIR"))</f>
        <v/>
      </c>
      <c r="G469" s="17">
        <f>IF($A469="","",ROW()-ROW($A$5))</f>
        <v/>
      </c>
      <c r="I469" s="7">
        <f>IF(HAKEDIS!A469="","",HAKEDIS!A469)</f>
        <v/>
      </c>
      <c r="J469" s="17">
        <f>UPPER(TRIM(SUBSTITUTE($I469," ","")))</f>
        <v/>
      </c>
      <c r="K469" s="17">
        <f>IF($J469="",0,LEN($J469))</f>
        <v/>
      </c>
      <c r="L469" s="17">
        <f>IF($J469="","",LEFT($J469,tyk_ikincilUzunluk))</f>
        <v/>
      </c>
      <c r="M469" s="17">
        <f>"B"</f>
        <v/>
      </c>
      <c r="N469" s="17">
        <f>IF($J469="","",IF(COUNTIF(tblAnahtarB[NormB],$J469)&gt;1,"EVET","HAYIR"))</f>
        <v/>
      </c>
      <c r="O469" s="17">
        <f>IF($I469="","",ROW()-ROW($I$5))</f>
        <v/>
      </c>
    </row>
    <row r="470">
      <c r="A470" s="7">
        <f>IF(GIRDI!A470="","",GIRDI!A470)</f>
        <v/>
      </c>
      <c r="B470" s="17">
        <f>UPPER(TRIM(SUBSTITUTE($A470," ","")))</f>
        <v/>
      </c>
      <c r="C470" s="17">
        <f>IF($B470="",0,LEN($B470))</f>
        <v/>
      </c>
      <c r="D470" s="17">
        <f>IF($B470="","",LEFT($B470,tyk_ikincilUzunluk))</f>
        <v/>
      </c>
      <c r="E470" s="17">
        <f>"A"</f>
        <v/>
      </c>
      <c r="F470" s="17">
        <f>IF($B470="","",IF(COUNTIF(tblAnahtarA[Norm],$B470)&gt;1,"EVET","HAYIR"))</f>
        <v/>
      </c>
      <c r="G470" s="17">
        <f>IF($A470="","",ROW()-ROW($A$5))</f>
        <v/>
      </c>
      <c r="I470" s="7">
        <f>IF(HAKEDIS!A470="","",HAKEDIS!A470)</f>
        <v/>
      </c>
      <c r="J470" s="17">
        <f>UPPER(TRIM(SUBSTITUTE($I470," ","")))</f>
        <v/>
      </c>
      <c r="K470" s="17">
        <f>IF($J470="",0,LEN($J470))</f>
        <v/>
      </c>
      <c r="L470" s="17">
        <f>IF($J470="","",LEFT($J470,tyk_ikincilUzunluk))</f>
        <v/>
      </c>
      <c r="M470" s="17">
        <f>"B"</f>
        <v/>
      </c>
      <c r="N470" s="17">
        <f>IF($J470="","",IF(COUNTIF(tblAnahtarB[NormB],$J470)&gt;1,"EVET","HAYIR"))</f>
        <v/>
      </c>
      <c r="O470" s="17">
        <f>IF($I470="","",ROW()-ROW($I$5))</f>
        <v/>
      </c>
    </row>
    <row r="471">
      <c r="A471" s="7">
        <f>IF(GIRDI!A471="","",GIRDI!A471)</f>
        <v/>
      </c>
      <c r="B471" s="17">
        <f>UPPER(TRIM(SUBSTITUTE($A471," ","")))</f>
        <v/>
      </c>
      <c r="C471" s="17">
        <f>IF($B471="",0,LEN($B471))</f>
        <v/>
      </c>
      <c r="D471" s="17">
        <f>IF($B471="","",LEFT($B471,tyk_ikincilUzunluk))</f>
        <v/>
      </c>
      <c r="E471" s="17">
        <f>"A"</f>
        <v/>
      </c>
      <c r="F471" s="17">
        <f>IF($B471="","",IF(COUNTIF(tblAnahtarA[Norm],$B471)&gt;1,"EVET","HAYIR"))</f>
        <v/>
      </c>
      <c r="G471" s="17">
        <f>IF($A471="","",ROW()-ROW($A$5))</f>
        <v/>
      </c>
      <c r="I471" s="7">
        <f>IF(HAKEDIS!A471="","",HAKEDIS!A471)</f>
        <v/>
      </c>
      <c r="J471" s="17">
        <f>UPPER(TRIM(SUBSTITUTE($I471," ","")))</f>
        <v/>
      </c>
      <c r="K471" s="17">
        <f>IF($J471="",0,LEN($J471))</f>
        <v/>
      </c>
      <c r="L471" s="17">
        <f>IF($J471="","",LEFT($J471,tyk_ikincilUzunluk))</f>
        <v/>
      </c>
      <c r="M471" s="17">
        <f>"B"</f>
        <v/>
      </c>
      <c r="N471" s="17">
        <f>IF($J471="","",IF(COUNTIF(tblAnahtarB[NormB],$J471)&gt;1,"EVET","HAYIR"))</f>
        <v/>
      </c>
      <c r="O471" s="17">
        <f>IF($I471="","",ROW()-ROW($I$5))</f>
        <v/>
      </c>
    </row>
    <row r="472">
      <c r="A472" s="7">
        <f>IF(GIRDI!A472="","",GIRDI!A472)</f>
        <v/>
      </c>
      <c r="B472" s="17">
        <f>UPPER(TRIM(SUBSTITUTE($A472," ","")))</f>
        <v/>
      </c>
      <c r="C472" s="17">
        <f>IF($B472="",0,LEN($B472))</f>
        <v/>
      </c>
      <c r="D472" s="17">
        <f>IF($B472="","",LEFT($B472,tyk_ikincilUzunluk))</f>
        <v/>
      </c>
      <c r="E472" s="17">
        <f>"A"</f>
        <v/>
      </c>
      <c r="F472" s="17">
        <f>IF($B472="","",IF(COUNTIF(tblAnahtarA[Norm],$B472)&gt;1,"EVET","HAYIR"))</f>
        <v/>
      </c>
      <c r="G472" s="17">
        <f>IF($A472="","",ROW()-ROW($A$5))</f>
        <v/>
      </c>
      <c r="I472" s="7">
        <f>IF(HAKEDIS!A472="","",HAKEDIS!A472)</f>
        <v/>
      </c>
      <c r="J472" s="17">
        <f>UPPER(TRIM(SUBSTITUTE($I472," ","")))</f>
        <v/>
      </c>
      <c r="K472" s="17">
        <f>IF($J472="",0,LEN($J472))</f>
        <v/>
      </c>
      <c r="L472" s="17">
        <f>IF($J472="","",LEFT($J472,tyk_ikincilUzunluk))</f>
        <v/>
      </c>
      <c r="M472" s="17">
        <f>"B"</f>
        <v/>
      </c>
      <c r="N472" s="17">
        <f>IF($J472="","",IF(COUNTIF(tblAnahtarB[NormB],$J472)&gt;1,"EVET","HAYIR"))</f>
        <v/>
      </c>
      <c r="O472" s="17">
        <f>IF($I472="","",ROW()-ROW($I$5))</f>
        <v/>
      </c>
    </row>
    <row r="473">
      <c r="A473" s="7">
        <f>IF(GIRDI!A473="","",GIRDI!A473)</f>
        <v/>
      </c>
      <c r="B473" s="17">
        <f>UPPER(TRIM(SUBSTITUTE($A473," ","")))</f>
        <v/>
      </c>
      <c r="C473" s="17">
        <f>IF($B473="",0,LEN($B473))</f>
        <v/>
      </c>
      <c r="D473" s="17">
        <f>IF($B473="","",LEFT($B473,tyk_ikincilUzunluk))</f>
        <v/>
      </c>
      <c r="E473" s="17">
        <f>"A"</f>
        <v/>
      </c>
      <c r="F473" s="17">
        <f>IF($B473="","",IF(COUNTIF(tblAnahtarA[Norm],$B473)&gt;1,"EVET","HAYIR"))</f>
        <v/>
      </c>
      <c r="G473" s="17">
        <f>IF($A473="","",ROW()-ROW($A$5))</f>
        <v/>
      </c>
      <c r="I473" s="7">
        <f>IF(HAKEDIS!A473="","",HAKEDIS!A473)</f>
        <v/>
      </c>
      <c r="J473" s="17">
        <f>UPPER(TRIM(SUBSTITUTE($I473," ","")))</f>
        <v/>
      </c>
      <c r="K473" s="17">
        <f>IF($J473="",0,LEN($J473))</f>
        <v/>
      </c>
      <c r="L473" s="17">
        <f>IF($J473="","",LEFT($J473,tyk_ikincilUzunluk))</f>
        <v/>
      </c>
      <c r="M473" s="17">
        <f>"B"</f>
        <v/>
      </c>
      <c r="N473" s="17">
        <f>IF($J473="","",IF(COUNTIF(tblAnahtarB[NormB],$J473)&gt;1,"EVET","HAYIR"))</f>
        <v/>
      </c>
      <c r="O473" s="17">
        <f>IF($I473="","",ROW()-ROW($I$5))</f>
        <v/>
      </c>
    </row>
    <row r="474">
      <c r="A474" s="7">
        <f>IF(GIRDI!A474="","",GIRDI!A474)</f>
        <v/>
      </c>
      <c r="B474" s="17">
        <f>UPPER(TRIM(SUBSTITUTE($A474," ","")))</f>
        <v/>
      </c>
      <c r="C474" s="17">
        <f>IF($B474="",0,LEN($B474))</f>
        <v/>
      </c>
      <c r="D474" s="17">
        <f>IF($B474="","",LEFT($B474,tyk_ikincilUzunluk))</f>
        <v/>
      </c>
      <c r="E474" s="17">
        <f>"A"</f>
        <v/>
      </c>
      <c r="F474" s="17">
        <f>IF($B474="","",IF(COUNTIF(tblAnahtarA[Norm],$B474)&gt;1,"EVET","HAYIR"))</f>
        <v/>
      </c>
      <c r="G474" s="17">
        <f>IF($A474="","",ROW()-ROW($A$5))</f>
        <v/>
      </c>
      <c r="I474" s="7">
        <f>IF(HAKEDIS!A474="","",HAKEDIS!A474)</f>
        <v/>
      </c>
      <c r="J474" s="17">
        <f>UPPER(TRIM(SUBSTITUTE($I474," ","")))</f>
        <v/>
      </c>
      <c r="K474" s="17">
        <f>IF($J474="",0,LEN($J474))</f>
        <v/>
      </c>
      <c r="L474" s="17">
        <f>IF($J474="","",LEFT($J474,tyk_ikincilUzunluk))</f>
        <v/>
      </c>
      <c r="M474" s="17">
        <f>"B"</f>
        <v/>
      </c>
      <c r="N474" s="17">
        <f>IF($J474="","",IF(COUNTIF(tblAnahtarB[NormB],$J474)&gt;1,"EVET","HAYIR"))</f>
        <v/>
      </c>
      <c r="O474" s="17">
        <f>IF($I474="","",ROW()-ROW($I$5))</f>
        <v/>
      </c>
    </row>
    <row r="475">
      <c r="A475" s="7">
        <f>IF(GIRDI!A475="","",GIRDI!A475)</f>
        <v/>
      </c>
      <c r="B475" s="17">
        <f>UPPER(TRIM(SUBSTITUTE($A475," ","")))</f>
        <v/>
      </c>
      <c r="C475" s="17">
        <f>IF($B475="",0,LEN($B475))</f>
        <v/>
      </c>
      <c r="D475" s="17">
        <f>IF($B475="","",LEFT($B475,tyk_ikincilUzunluk))</f>
        <v/>
      </c>
      <c r="E475" s="17">
        <f>"A"</f>
        <v/>
      </c>
      <c r="F475" s="17">
        <f>IF($B475="","",IF(COUNTIF(tblAnahtarA[Norm],$B475)&gt;1,"EVET","HAYIR"))</f>
        <v/>
      </c>
      <c r="G475" s="17">
        <f>IF($A475="","",ROW()-ROW($A$5))</f>
        <v/>
      </c>
      <c r="I475" s="7">
        <f>IF(HAKEDIS!A475="","",HAKEDIS!A475)</f>
        <v/>
      </c>
      <c r="J475" s="17">
        <f>UPPER(TRIM(SUBSTITUTE($I475," ","")))</f>
        <v/>
      </c>
      <c r="K475" s="17">
        <f>IF($J475="",0,LEN($J475))</f>
        <v/>
      </c>
      <c r="L475" s="17">
        <f>IF($J475="","",LEFT($J475,tyk_ikincilUzunluk))</f>
        <v/>
      </c>
      <c r="M475" s="17">
        <f>"B"</f>
        <v/>
      </c>
      <c r="N475" s="17">
        <f>IF($J475="","",IF(COUNTIF(tblAnahtarB[NormB],$J475)&gt;1,"EVET","HAYIR"))</f>
        <v/>
      </c>
      <c r="O475" s="17">
        <f>IF($I475="","",ROW()-ROW($I$5))</f>
        <v/>
      </c>
    </row>
    <row r="476">
      <c r="A476" s="7">
        <f>IF(GIRDI!A476="","",GIRDI!A476)</f>
        <v/>
      </c>
      <c r="B476" s="17">
        <f>UPPER(TRIM(SUBSTITUTE($A476," ","")))</f>
        <v/>
      </c>
      <c r="C476" s="17">
        <f>IF($B476="",0,LEN($B476))</f>
        <v/>
      </c>
      <c r="D476" s="17">
        <f>IF($B476="","",LEFT($B476,tyk_ikincilUzunluk))</f>
        <v/>
      </c>
      <c r="E476" s="17">
        <f>"A"</f>
        <v/>
      </c>
      <c r="F476" s="17">
        <f>IF($B476="","",IF(COUNTIF(tblAnahtarA[Norm],$B476)&gt;1,"EVET","HAYIR"))</f>
        <v/>
      </c>
      <c r="G476" s="17">
        <f>IF($A476="","",ROW()-ROW($A$5))</f>
        <v/>
      </c>
      <c r="I476" s="7">
        <f>IF(HAKEDIS!A476="","",HAKEDIS!A476)</f>
        <v/>
      </c>
      <c r="J476" s="17">
        <f>UPPER(TRIM(SUBSTITUTE($I476," ","")))</f>
        <v/>
      </c>
      <c r="K476" s="17">
        <f>IF($J476="",0,LEN($J476))</f>
        <v/>
      </c>
      <c r="L476" s="17">
        <f>IF($J476="","",LEFT($J476,tyk_ikincilUzunluk))</f>
        <v/>
      </c>
      <c r="M476" s="17">
        <f>"B"</f>
        <v/>
      </c>
      <c r="N476" s="17">
        <f>IF($J476="","",IF(COUNTIF(tblAnahtarB[NormB],$J476)&gt;1,"EVET","HAYIR"))</f>
        <v/>
      </c>
      <c r="O476" s="17">
        <f>IF($I476="","",ROW()-ROW($I$5))</f>
        <v/>
      </c>
    </row>
    <row r="477">
      <c r="A477" s="7">
        <f>IF(GIRDI!A477="","",GIRDI!A477)</f>
        <v/>
      </c>
      <c r="B477" s="17">
        <f>UPPER(TRIM(SUBSTITUTE($A477," ","")))</f>
        <v/>
      </c>
      <c r="C477" s="17">
        <f>IF($B477="",0,LEN($B477))</f>
        <v/>
      </c>
      <c r="D477" s="17">
        <f>IF($B477="","",LEFT($B477,tyk_ikincilUzunluk))</f>
        <v/>
      </c>
      <c r="E477" s="17">
        <f>"A"</f>
        <v/>
      </c>
      <c r="F477" s="17">
        <f>IF($B477="","",IF(COUNTIF(tblAnahtarA[Norm],$B477)&gt;1,"EVET","HAYIR"))</f>
        <v/>
      </c>
      <c r="G477" s="17">
        <f>IF($A477="","",ROW()-ROW($A$5))</f>
        <v/>
      </c>
      <c r="I477" s="7">
        <f>IF(HAKEDIS!A477="","",HAKEDIS!A477)</f>
        <v/>
      </c>
      <c r="J477" s="17">
        <f>UPPER(TRIM(SUBSTITUTE($I477," ","")))</f>
        <v/>
      </c>
      <c r="K477" s="17">
        <f>IF($J477="",0,LEN($J477))</f>
        <v/>
      </c>
      <c r="L477" s="17">
        <f>IF($J477="","",LEFT($J477,tyk_ikincilUzunluk))</f>
        <v/>
      </c>
      <c r="M477" s="17">
        <f>"B"</f>
        <v/>
      </c>
      <c r="N477" s="17">
        <f>IF($J477="","",IF(COUNTIF(tblAnahtarB[NormB],$J477)&gt;1,"EVET","HAYIR"))</f>
        <v/>
      </c>
      <c r="O477" s="17">
        <f>IF($I477="","",ROW()-ROW($I$5))</f>
        <v/>
      </c>
    </row>
    <row r="478">
      <c r="A478" s="7">
        <f>IF(GIRDI!A478="","",GIRDI!A478)</f>
        <v/>
      </c>
      <c r="B478" s="17">
        <f>UPPER(TRIM(SUBSTITUTE($A478," ","")))</f>
        <v/>
      </c>
      <c r="C478" s="17">
        <f>IF($B478="",0,LEN($B478))</f>
        <v/>
      </c>
      <c r="D478" s="17">
        <f>IF($B478="","",LEFT($B478,tyk_ikincilUzunluk))</f>
        <v/>
      </c>
      <c r="E478" s="17">
        <f>"A"</f>
        <v/>
      </c>
      <c r="F478" s="17">
        <f>IF($B478="","",IF(COUNTIF(tblAnahtarA[Norm],$B478)&gt;1,"EVET","HAYIR"))</f>
        <v/>
      </c>
      <c r="G478" s="17">
        <f>IF($A478="","",ROW()-ROW($A$5))</f>
        <v/>
      </c>
      <c r="I478" s="7">
        <f>IF(HAKEDIS!A478="","",HAKEDIS!A478)</f>
        <v/>
      </c>
      <c r="J478" s="17">
        <f>UPPER(TRIM(SUBSTITUTE($I478," ","")))</f>
        <v/>
      </c>
      <c r="K478" s="17">
        <f>IF($J478="",0,LEN($J478))</f>
        <v/>
      </c>
      <c r="L478" s="17">
        <f>IF($J478="","",LEFT($J478,tyk_ikincilUzunluk))</f>
        <v/>
      </c>
      <c r="M478" s="17">
        <f>"B"</f>
        <v/>
      </c>
      <c r="N478" s="17">
        <f>IF($J478="","",IF(COUNTIF(tblAnahtarB[NormB],$J478)&gt;1,"EVET","HAYIR"))</f>
        <v/>
      </c>
      <c r="O478" s="17">
        <f>IF($I478="","",ROW()-ROW($I$5))</f>
        <v/>
      </c>
    </row>
    <row r="479">
      <c r="A479" s="7">
        <f>IF(GIRDI!A479="","",GIRDI!A479)</f>
        <v/>
      </c>
      <c r="B479" s="17">
        <f>UPPER(TRIM(SUBSTITUTE($A479," ","")))</f>
        <v/>
      </c>
      <c r="C479" s="17">
        <f>IF($B479="",0,LEN($B479))</f>
        <v/>
      </c>
      <c r="D479" s="17">
        <f>IF($B479="","",LEFT($B479,tyk_ikincilUzunluk))</f>
        <v/>
      </c>
      <c r="E479" s="17">
        <f>"A"</f>
        <v/>
      </c>
      <c r="F479" s="17">
        <f>IF($B479="","",IF(COUNTIF(tblAnahtarA[Norm],$B479)&gt;1,"EVET","HAYIR"))</f>
        <v/>
      </c>
      <c r="G479" s="17">
        <f>IF($A479="","",ROW()-ROW($A$5))</f>
        <v/>
      </c>
      <c r="I479" s="7">
        <f>IF(HAKEDIS!A479="","",HAKEDIS!A479)</f>
        <v/>
      </c>
      <c r="J479" s="17">
        <f>UPPER(TRIM(SUBSTITUTE($I479," ","")))</f>
        <v/>
      </c>
      <c r="K479" s="17">
        <f>IF($J479="",0,LEN($J479))</f>
        <v/>
      </c>
      <c r="L479" s="17">
        <f>IF($J479="","",LEFT($J479,tyk_ikincilUzunluk))</f>
        <v/>
      </c>
      <c r="M479" s="17">
        <f>"B"</f>
        <v/>
      </c>
      <c r="N479" s="17">
        <f>IF($J479="","",IF(COUNTIF(tblAnahtarB[NormB],$J479)&gt;1,"EVET","HAYIR"))</f>
        <v/>
      </c>
      <c r="O479" s="17">
        <f>IF($I479="","",ROW()-ROW($I$5))</f>
        <v/>
      </c>
    </row>
    <row r="480">
      <c r="A480" s="7">
        <f>IF(GIRDI!A480="","",GIRDI!A480)</f>
        <v/>
      </c>
      <c r="B480" s="17">
        <f>UPPER(TRIM(SUBSTITUTE($A480," ","")))</f>
        <v/>
      </c>
      <c r="C480" s="17">
        <f>IF($B480="",0,LEN($B480))</f>
        <v/>
      </c>
      <c r="D480" s="17">
        <f>IF($B480="","",LEFT($B480,tyk_ikincilUzunluk))</f>
        <v/>
      </c>
      <c r="E480" s="17">
        <f>"A"</f>
        <v/>
      </c>
      <c r="F480" s="17">
        <f>IF($B480="","",IF(COUNTIF(tblAnahtarA[Norm],$B480)&gt;1,"EVET","HAYIR"))</f>
        <v/>
      </c>
      <c r="G480" s="17">
        <f>IF($A480="","",ROW()-ROW($A$5))</f>
        <v/>
      </c>
      <c r="I480" s="7">
        <f>IF(HAKEDIS!A480="","",HAKEDIS!A480)</f>
        <v/>
      </c>
      <c r="J480" s="17">
        <f>UPPER(TRIM(SUBSTITUTE($I480," ","")))</f>
        <v/>
      </c>
      <c r="K480" s="17">
        <f>IF($J480="",0,LEN($J480))</f>
        <v/>
      </c>
      <c r="L480" s="17">
        <f>IF($J480="","",LEFT($J480,tyk_ikincilUzunluk))</f>
        <v/>
      </c>
      <c r="M480" s="17">
        <f>"B"</f>
        <v/>
      </c>
      <c r="N480" s="17">
        <f>IF($J480="","",IF(COUNTIF(tblAnahtarB[NormB],$J480)&gt;1,"EVET","HAYIR"))</f>
        <v/>
      </c>
      <c r="O480" s="17">
        <f>IF($I480="","",ROW()-ROW($I$5))</f>
        <v/>
      </c>
    </row>
    <row r="481">
      <c r="A481" s="7">
        <f>IF(GIRDI!A481="","",GIRDI!A481)</f>
        <v/>
      </c>
      <c r="B481" s="17">
        <f>UPPER(TRIM(SUBSTITUTE($A481," ","")))</f>
        <v/>
      </c>
      <c r="C481" s="17">
        <f>IF($B481="",0,LEN($B481))</f>
        <v/>
      </c>
      <c r="D481" s="17">
        <f>IF($B481="","",LEFT($B481,tyk_ikincilUzunluk))</f>
        <v/>
      </c>
      <c r="E481" s="17">
        <f>"A"</f>
        <v/>
      </c>
      <c r="F481" s="17">
        <f>IF($B481="","",IF(COUNTIF(tblAnahtarA[Norm],$B481)&gt;1,"EVET","HAYIR"))</f>
        <v/>
      </c>
      <c r="G481" s="17">
        <f>IF($A481="","",ROW()-ROW($A$5))</f>
        <v/>
      </c>
      <c r="I481" s="7">
        <f>IF(HAKEDIS!A481="","",HAKEDIS!A481)</f>
        <v/>
      </c>
      <c r="J481" s="17">
        <f>UPPER(TRIM(SUBSTITUTE($I481," ","")))</f>
        <v/>
      </c>
      <c r="K481" s="17">
        <f>IF($J481="",0,LEN($J481))</f>
        <v/>
      </c>
      <c r="L481" s="17">
        <f>IF($J481="","",LEFT($J481,tyk_ikincilUzunluk))</f>
        <v/>
      </c>
      <c r="M481" s="17">
        <f>"B"</f>
        <v/>
      </c>
      <c r="N481" s="17">
        <f>IF($J481="","",IF(COUNTIF(tblAnahtarB[NormB],$J481)&gt;1,"EVET","HAYIR"))</f>
        <v/>
      </c>
      <c r="O481" s="17">
        <f>IF($I481="","",ROW()-ROW($I$5))</f>
        <v/>
      </c>
    </row>
    <row r="482">
      <c r="A482" s="7">
        <f>IF(GIRDI!A482="","",GIRDI!A482)</f>
        <v/>
      </c>
      <c r="B482" s="17">
        <f>UPPER(TRIM(SUBSTITUTE($A482," ","")))</f>
        <v/>
      </c>
      <c r="C482" s="17">
        <f>IF($B482="",0,LEN($B482))</f>
        <v/>
      </c>
      <c r="D482" s="17">
        <f>IF($B482="","",LEFT($B482,tyk_ikincilUzunluk))</f>
        <v/>
      </c>
      <c r="E482" s="17">
        <f>"A"</f>
        <v/>
      </c>
      <c r="F482" s="17">
        <f>IF($B482="","",IF(COUNTIF(tblAnahtarA[Norm],$B482)&gt;1,"EVET","HAYIR"))</f>
        <v/>
      </c>
      <c r="G482" s="17">
        <f>IF($A482="","",ROW()-ROW($A$5))</f>
        <v/>
      </c>
      <c r="I482" s="7">
        <f>IF(HAKEDIS!A482="","",HAKEDIS!A482)</f>
        <v/>
      </c>
      <c r="J482" s="17">
        <f>UPPER(TRIM(SUBSTITUTE($I482," ","")))</f>
        <v/>
      </c>
      <c r="K482" s="17">
        <f>IF($J482="",0,LEN($J482))</f>
        <v/>
      </c>
      <c r="L482" s="17">
        <f>IF($J482="","",LEFT($J482,tyk_ikincilUzunluk))</f>
        <v/>
      </c>
      <c r="M482" s="17">
        <f>"B"</f>
        <v/>
      </c>
      <c r="N482" s="17">
        <f>IF($J482="","",IF(COUNTIF(tblAnahtarB[NormB],$J482)&gt;1,"EVET","HAYIR"))</f>
        <v/>
      </c>
      <c r="O482" s="17">
        <f>IF($I482="","",ROW()-ROW($I$5))</f>
        <v/>
      </c>
    </row>
    <row r="483">
      <c r="A483" s="7">
        <f>IF(GIRDI!A483="","",GIRDI!A483)</f>
        <v/>
      </c>
      <c r="B483" s="17">
        <f>UPPER(TRIM(SUBSTITUTE($A483," ","")))</f>
        <v/>
      </c>
      <c r="C483" s="17">
        <f>IF($B483="",0,LEN($B483))</f>
        <v/>
      </c>
      <c r="D483" s="17">
        <f>IF($B483="","",LEFT($B483,tyk_ikincilUzunluk))</f>
        <v/>
      </c>
      <c r="E483" s="17">
        <f>"A"</f>
        <v/>
      </c>
      <c r="F483" s="17">
        <f>IF($B483="","",IF(COUNTIF(tblAnahtarA[Norm],$B483)&gt;1,"EVET","HAYIR"))</f>
        <v/>
      </c>
      <c r="G483" s="17">
        <f>IF($A483="","",ROW()-ROW($A$5))</f>
        <v/>
      </c>
      <c r="I483" s="7">
        <f>IF(HAKEDIS!A483="","",HAKEDIS!A483)</f>
        <v/>
      </c>
      <c r="J483" s="17">
        <f>UPPER(TRIM(SUBSTITUTE($I483," ","")))</f>
        <v/>
      </c>
      <c r="K483" s="17">
        <f>IF($J483="",0,LEN($J483))</f>
        <v/>
      </c>
      <c r="L483" s="17">
        <f>IF($J483="","",LEFT($J483,tyk_ikincilUzunluk))</f>
        <v/>
      </c>
      <c r="M483" s="17">
        <f>"B"</f>
        <v/>
      </c>
      <c r="N483" s="17">
        <f>IF($J483="","",IF(COUNTIF(tblAnahtarB[NormB],$J483)&gt;1,"EVET","HAYIR"))</f>
        <v/>
      </c>
      <c r="O483" s="17">
        <f>IF($I483="","",ROW()-ROW($I$5))</f>
        <v/>
      </c>
    </row>
    <row r="484">
      <c r="A484" s="7">
        <f>IF(GIRDI!A484="","",GIRDI!A484)</f>
        <v/>
      </c>
      <c r="B484" s="17">
        <f>UPPER(TRIM(SUBSTITUTE($A484," ","")))</f>
        <v/>
      </c>
      <c r="C484" s="17">
        <f>IF($B484="",0,LEN($B484))</f>
        <v/>
      </c>
      <c r="D484" s="17">
        <f>IF($B484="","",LEFT($B484,tyk_ikincilUzunluk))</f>
        <v/>
      </c>
      <c r="E484" s="17">
        <f>"A"</f>
        <v/>
      </c>
      <c r="F484" s="17">
        <f>IF($B484="","",IF(COUNTIF(tblAnahtarA[Norm],$B484)&gt;1,"EVET","HAYIR"))</f>
        <v/>
      </c>
      <c r="G484" s="17">
        <f>IF($A484="","",ROW()-ROW($A$5))</f>
        <v/>
      </c>
      <c r="I484" s="7">
        <f>IF(HAKEDIS!A484="","",HAKEDIS!A484)</f>
        <v/>
      </c>
      <c r="J484" s="17">
        <f>UPPER(TRIM(SUBSTITUTE($I484," ","")))</f>
        <v/>
      </c>
      <c r="K484" s="17">
        <f>IF($J484="",0,LEN($J484))</f>
        <v/>
      </c>
      <c r="L484" s="17">
        <f>IF($J484="","",LEFT($J484,tyk_ikincilUzunluk))</f>
        <v/>
      </c>
      <c r="M484" s="17">
        <f>"B"</f>
        <v/>
      </c>
      <c r="N484" s="17">
        <f>IF($J484="","",IF(COUNTIF(tblAnahtarB[NormB],$J484)&gt;1,"EVET","HAYIR"))</f>
        <v/>
      </c>
      <c r="O484" s="17">
        <f>IF($I484="","",ROW()-ROW($I$5))</f>
        <v/>
      </c>
    </row>
    <row r="485">
      <c r="A485" s="7">
        <f>IF(GIRDI!A485="","",GIRDI!A485)</f>
        <v/>
      </c>
      <c r="B485" s="17">
        <f>UPPER(TRIM(SUBSTITUTE($A485," ","")))</f>
        <v/>
      </c>
      <c r="C485" s="17">
        <f>IF($B485="",0,LEN($B485))</f>
        <v/>
      </c>
      <c r="D485" s="17">
        <f>IF($B485="","",LEFT($B485,tyk_ikincilUzunluk))</f>
        <v/>
      </c>
      <c r="E485" s="17">
        <f>"A"</f>
        <v/>
      </c>
      <c r="F485" s="17">
        <f>IF($B485="","",IF(COUNTIF(tblAnahtarA[Norm],$B485)&gt;1,"EVET","HAYIR"))</f>
        <v/>
      </c>
      <c r="G485" s="17">
        <f>IF($A485="","",ROW()-ROW($A$5))</f>
        <v/>
      </c>
      <c r="I485" s="7">
        <f>IF(HAKEDIS!A485="","",HAKEDIS!A485)</f>
        <v/>
      </c>
      <c r="J485" s="17">
        <f>UPPER(TRIM(SUBSTITUTE($I485," ","")))</f>
        <v/>
      </c>
      <c r="K485" s="17">
        <f>IF($J485="",0,LEN($J485))</f>
        <v/>
      </c>
      <c r="L485" s="17">
        <f>IF($J485="","",LEFT($J485,tyk_ikincilUzunluk))</f>
        <v/>
      </c>
      <c r="M485" s="17">
        <f>"B"</f>
        <v/>
      </c>
      <c r="N485" s="17">
        <f>IF($J485="","",IF(COUNTIF(tblAnahtarB[NormB],$J485)&gt;1,"EVET","HAYIR"))</f>
        <v/>
      </c>
      <c r="O485" s="17">
        <f>IF($I485="","",ROW()-ROW($I$5))</f>
        <v/>
      </c>
    </row>
    <row r="486">
      <c r="A486" s="7">
        <f>IF(GIRDI!A486="","",GIRDI!A486)</f>
        <v/>
      </c>
      <c r="B486" s="17">
        <f>UPPER(TRIM(SUBSTITUTE($A486," ","")))</f>
        <v/>
      </c>
      <c r="C486" s="17">
        <f>IF($B486="",0,LEN($B486))</f>
        <v/>
      </c>
      <c r="D486" s="17">
        <f>IF($B486="","",LEFT($B486,tyk_ikincilUzunluk))</f>
        <v/>
      </c>
      <c r="E486" s="17">
        <f>"A"</f>
        <v/>
      </c>
      <c r="F486" s="17">
        <f>IF($B486="","",IF(COUNTIF(tblAnahtarA[Norm],$B486)&gt;1,"EVET","HAYIR"))</f>
        <v/>
      </c>
      <c r="G486" s="17">
        <f>IF($A486="","",ROW()-ROW($A$5))</f>
        <v/>
      </c>
      <c r="I486" s="7">
        <f>IF(HAKEDIS!A486="","",HAKEDIS!A486)</f>
        <v/>
      </c>
      <c r="J486" s="17">
        <f>UPPER(TRIM(SUBSTITUTE($I486," ","")))</f>
        <v/>
      </c>
      <c r="K486" s="17">
        <f>IF($J486="",0,LEN($J486))</f>
        <v/>
      </c>
      <c r="L486" s="17">
        <f>IF($J486="","",LEFT($J486,tyk_ikincilUzunluk))</f>
        <v/>
      </c>
      <c r="M486" s="17">
        <f>"B"</f>
        <v/>
      </c>
      <c r="N486" s="17">
        <f>IF($J486="","",IF(COUNTIF(tblAnahtarB[NormB],$J486)&gt;1,"EVET","HAYIR"))</f>
        <v/>
      </c>
      <c r="O486" s="17">
        <f>IF($I486="","",ROW()-ROW($I$5))</f>
        <v/>
      </c>
    </row>
    <row r="487">
      <c r="A487" s="7">
        <f>IF(GIRDI!A487="","",GIRDI!A487)</f>
        <v/>
      </c>
      <c r="B487" s="17">
        <f>UPPER(TRIM(SUBSTITUTE($A487," ","")))</f>
        <v/>
      </c>
      <c r="C487" s="17">
        <f>IF($B487="",0,LEN($B487))</f>
        <v/>
      </c>
      <c r="D487" s="17">
        <f>IF($B487="","",LEFT($B487,tyk_ikincilUzunluk))</f>
        <v/>
      </c>
      <c r="E487" s="17">
        <f>"A"</f>
        <v/>
      </c>
      <c r="F487" s="17">
        <f>IF($B487="","",IF(COUNTIF(tblAnahtarA[Norm],$B487)&gt;1,"EVET","HAYIR"))</f>
        <v/>
      </c>
      <c r="G487" s="17">
        <f>IF($A487="","",ROW()-ROW($A$5))</f>
        <v/>
      </c>
      <c r="I487" s="7">
        <f>IF(HAKEDIS!A487="","",HAKEDIS!A487)</f>
        <v/>
      </c>
      <c r="J487" s="17">
        <f>UPPER(TRIM(SUBSTITUTE($I487," ","")))</f>
        <v/>
      </c>
      <c r="K487" s="17">
        <f>IF($J487="",0,LEN($J487))</f>
        <v/>
      </c>
      <c r="L487" s="17">
        <f>IF($J487="","",LEFT($J487,tyk_ikincilUzunluk))</f>
        <v/>
      </c>
      <c r="M487" s="17">
        <f>"B"</f>
        <v/>
      </c>
      <c r="N487" s="17">
        <f>IF($J487="","",IF(COUNTIF(tblAnahtarB[NormB],$J487)&gt;1,"EVET","HAYIR"))</f>
        <v/>
      </c>
      <c r="O487" s="17">
        <f>IF($I487="","",ROW()-ROW($I$5))</f>
        <v/>
      </c>
    </row>
    <row r="488">
      <c r="A488" s="7">
        <f>IF(GIRDI!A488="","",GIRDI!A488)</f>
        <v/>
      </c>
      <c r="B488" s="17">
        <f>UPPER(TRIM(SUBSTITUTE($A488," ","")))</f>
        <v/>
      </c>
      <c r="C488" s="17">
        <f>IF($B488="",0,LEN($B488))</f>
        <v/>
      </c>
      <c r="D488" s="17">
        <f>IF($B488="","",LEFT($B488,tyk_ikincilUzunluk))</f>
        <v/>
      </c>
      <c r="E488" s="17">
        <f>"A"</f>
        <v/>
      </c>
      <c r="F488" s="17">
        <f>IF($B488="","",IF(COUNTIF(tblAnahtarA[Norm],$B488)&gt;1,"EVET","HAYIR"))</f>
        <v/>
      </c>
      <c r="G488" s="17">
        <f>IF($A488="","",ROW()-ROW($A$5))</f>
        <v/>
      </c>
      <c r="I488" s="7">
        <f>IF(HAKEDIS!A488="","",HAKEDIS!A488)</f>
        <v/>
      </c>
      <c r="J488" s="17">
        <f>UPPER(TRIM(SUBSTITUTE($I488," ","")))</f>
        <v/>
      </c>
      <c r="K488" s="17">
        <f>IF($J488="",0,LEN($J488))</f>
        <v/>
      </c>
      <c r="L488" s="17">
        <f>IF($J488="","",LEFT($J488,tyk_ikincilUzunluk))</f>
        <v/>
      </c>
      <c r="M488" s="17">
        <f>"B"</f>
        <v/>
      </c>
      <c r="N488" s="17">
        <f>IF($J488="","",IF(COUNTIF(tblAnahtarB[NormB],$J488)&gt;1,"EVET","HAYIR"))</f>
        <v/>
      </c>
      <c r="O488" s="17">
        <f>IF($I488="","",ROW()-ROW($I$5))</f>
        <v/>
      </c>
    </row>
    <row r="489">
      <c r="A489" s="7">
        <f>IF(GIRDI!A489="","",GIRDI!A489)</f>
        <v/>
      </c>
      <c r="B489" s="17">
        <f>UPPER(TRIM(SUBSTITUTE($A489," ","")))</f>
        <v/>
      </c>
      <c r="C489" s="17">
        <f>IF($B489="",0,LEN($B489))</f>
        <v/>
      </c>
      <c r="D489" s="17">
        <f>IF($B489="","",LEFT($B489,tyk_ikincilUzunluk))</f>
        <v/>
      </c>
      <c r="E489" s="17">
        <f>"A"</f>
        <v/>
      </c>
      <c r="F489" s="17">
        <f>IF($B489="","",IF(COUNTIF(tblAnahtarA[Norm],$B489)&gt;1,"EVET","HAYIR"))</f>
        <v/>
      </c>
      <c r="G489" s="17">
        <f>IF($A489="","",ROW()-ROW($A$5))</f>
        <v/>
      </c>
      <c r="I489" s="7">
        <f>IF(HAKEDIS!A489="","",HAKEDIS!A489)</f>
        <v/>
      </c>
      <c r="J489" s="17">
        <f>UPPER(TRIM(SUBSTITUTE($I489," ","")))</f>
        <v/>
      </c>
      <c r="K489" s="17">
        <f>IF($J489="",0,LEN($J489))</f>
        <v/>
      </c>
      <c r="L489" s="17">
        <f>IF($J489="","",LEFT($J489,tyk_ikincilUzunluk))</f>
        <v/>
      </c>
      <c r="M489" s="17">
        <f>"B"</f>
        <v/>
      </c>
      <c r="N489" s="17">
        <f>IF($J489="","",IF(COUNTIF(tblAnahtarB[NormB],$J489)&gt;1,"EVET","HAYIR"))</f>
        <v/>
      </c>
      <c r="O489" s="17">
        <f>IF($I489="","",ROW()-ROW($I$5))</f>
        <v/>
      </c>
    </row>
    <row r="490">
      <c r="A490" s="7">
        <f>IF(GIRDI!A490="","",GIRDI!A490)</f>
        <v/>
      </c>
      <c r="B490" s="17">
        <f>UPPER(TRIM(SUBSTITUTE($A490," ","")))</f>
        <v/>
      </c>
      <c r="C490" s="17">
        <f>IF($B490="",0,LEN($B490))</f>
        <v/>
      </c>
      <c r="D490" s="17">
        <f>IF($B490="","",LEFT($B490,tyk_ikincilUzunluk))</f>
        <v/>
      </c>
      <c r="E490" s="17">
        <f>"A"</f>
        <v/>
      </c>
      <c r="F490" s="17">
        <f>IF($B490="","",IF(COUNTIF(tblAnahtarA[Norm],$B490)&gt;1,"EVET","HAYIR"))</f>
        <v/>
      </c>
      <c r="G490" s="17">
        <f>IF($A490="","",ROW()-ROW($A$5))</f>
        <v/>
      </c>
      <c r="I490" s="7">
        <f>IF(HAKEDIS!A490="","",HAKEDIS!A490)</f>
        <v/>
      </c>
      <c r="J490" s="17">
        <f>UPPER(TRIM(SUBSTITUTE($I490," ","")))</f>
        <v/>
      </c>
      <c r="K490" s="17">
        <f>IF($J490="",0,LEN($J490))</f>
        <v/>
      </c>
      <c r="L490" s="17">
        <f>IF($J490="","",LEFT($J490,tyk_ikincilUzunluk))</f>
        <v/>
      </c>
      <c r="M490" s="17">
        <f>"B"</f>
        <v/>
      </c>
      <c r="N490" s="17">
        <f>IF($J490="","",IF(COUNTIF(tblAnahtarB[NormB],$J490)&gt;1,"EVET","HAYIR"))</f>
        <v/>
      </c>
      <c r="O490" s="17">
        <f>IF($I490="","",ROW()-ROW($I$5))</f>
        <v/>
      </c>
    </row>
    <row r="491">
      <c r="A491" s="7">
        <f>IF(GIRDI!A491="","",GIRDI!A491)</f>
        <v/>
      </c>
      <c r="B491" s="17">
        <f>UPPER(TRIM(SUBSTITUTE($A491," ","")))</f>
        <v/>
      </c>
      <c r="C491" s="17">
        <f>IF($B491="",0,LEN($B491))</f>
        <v/>
      </c>
      <c r="D491" s="17">
        <f>IF($B491="","",LEFT($B491,tyk_ikincilUzunluk))</f>
        <v/>
      </c>
      <c r="E491" s="17">
        <f>"A"</f>
        <v/>
      </c>
      <c r="F491" s="17">
        <f>IF($B491="","",IF(COUNTIF(tblAnahtarA[Norm],$B491)&gt;1,"EVET","HAYIR"))</f>
        <v/>
      </c>
      <c r="G491" s="17">
        <f>IF($A491="","",ROW()-ROW($A$5))</f>
        <v/>
      </c>
      <c r="I491" s="7">
        <f>IF(HAKEDIS!A491="","",HAKEDIS!A491)</f>
        <v/>
      </c>
      <c r="J491" s="17">
        <f>UPPER(TRIM(SUBSTITUTE($I491," ","")))</f>
        <v/>
      </c>
      <c r="K491" s="17">
        <f>IF($J491="",0,LEN($J491))</f>
        <v/>
      </c>
      <c r="L491" s="17">
        <f>IF($J491="","",LEFT($J491,tyk_ikincilUzunluk))</f>
        <v/>
      </c>
      <c r="M491" s="17">
        <f>"B"</f>
        <v/>
      </c>
      <c r="N491" s="17">
        <f>IF($J491="","",IF(COUNTIF(tblAnahtarB[NormB],$J491)&gt;1,"EVET","HAYIR"))</f>
        <v/>
      </c>
      <c r="O491" s="17">
        <f>IF($I491="","",ROW()-ROW($I$5))</f>
        <v/>
      </c>
    </row>
    <row r="492">
      <c r="A492" s="7">
        <f>IF(GIRDI!A492="","",GIRDI!A492)</f>
        <v/>
      </c>
      <c r="B492" s="17">
        <f>UPPER(TRIM(SUBSTITUTE($A492," ","")))</f>
        <v/>
      </c>
      <c r="C492" s="17">
        <f>IF($B492="",0,LEN($B492))</f>
        <v/>
      </c>
      <c r="D492" s="17">
        <f>IF($B492="","",LEFT($B492,tyk_ikincilUzunluk))</f>
        <v/>
      </c>
      <c r="E492" s="17">
        <f>"A"</f>
        <v/>
      </c>
      <c r="F492" s="17">
        <f>IF($B492="","",IF(COUNTIF(tblAnahtarA[Norm],$B492)&gt;1,"EVET","HAYIR"))</f>
        <v/>
      </c>
      <c r="G492" s="17">
        <f>IF($A492="","",ROW()-ROW($A$5))</f>
        <v/>
      </c>
      <c r="I492" s="7">
        <f>IF(HAKEDIS!A492="","",HAKEDIS!A492)</f>
        <v/>
      </c>
      <c r="J492" s="17">
        <f>UPPER(TRIM(SUBSTITUTE($I492," ","")))</f>
        <v/>
      </c>
      <c r="K492" s="17">
        <f>IF($J492="",0,LEN($J492))</f>
        <v/>
      </c>
      <c r="L492" s="17">
        <f>IF($J492="","",LEFT($J492,tyk_ikincilUzunluk))</f>
        <v/>
      </c>
      <c r="M492" s="17">
        <f>"B"</f>
        <v/>
      </c>
      <c r="N492" s="17">
        <f>IF($J492="","",IF(COUNTIF(tblAnahtarB[NormB],$J492)&gt;1,"EVET","HAYIR"))</f>
        <v/>
      </c>
      <c r="O492" s="17">
        <f>IF($I492="","",ROW()-ROW($I$5))</f>
        <v/>
      </c>
    </row>
    <row r="493">
      <c r="A493" s="7">
        <f>IF(GIRDI!A493="","",GIRDI!A493)</f>
        <v/>
      </c>
      <c r="B493" s="17">
        <f>UPPER(TRIM(SUBSTITUTE($A493," ","")))</f>
        <v/>
      </c>
      <c r="C493" s="17">
        <f>IF($B493="",0,LEN($B493))</f>
        <v/>
      </c>
      <c r="D493" s="17">
        <f>IF($B493="","",LEFT($B493,tyk_ikincilUzunluk))</f>
        <v/>
      </c>
      <c r="E493" s="17">
        <f>"A"</f>
        <v/>
      </c>
      <c r="F493" s="17">
        <f>IF($B493="","",IF(COUNTIF(tblAnahtarA[Norm],$B493)&gt;1,"EVET","HAYIR"))</f>
        <v/>
      </c>
      <c r="G493" s="17">
        <f>IF($A493="","",ROW()-ROW($A$5))</f>
        <v/>
      </c>
      <c r="I493" s="7">
        <f>IF(HAKEDIS!A493="","",HAKEDIS!A493)</f>
        <v/>
      </c>
      <c r="J493" s="17">
        <f>UPPER(TRIM(SUBSTITUTE($I493," ","")))</f>
        <v/>
      </c>
      <c r="K493" s="17">
        <f>IF($J493="",0,LEN($J493))</f>
        <v/>
      </c>
      <c r="L493" s="17">
        <f>IF($J493="","",LEFT($J493,tyk_ikincilUzunluk))</f>
        <v/>
      </c>
      <c r="M493" s="17">
        <f>"B"</f>
        <v/>
      </c>
      <c r="N493" s="17">
        <f>IF($J493="","",IF(COUNTIF(tblAnahtarB[NormB],$J493)&gt;1,"EVET","HAYIR"))</f>
        <v/>
      </c>
      <c r="O493" s="17">
        <f>IF($I493="","",ROW()-ROW($I$5))</f>
        <v/>
      </c>
    </row>
    <row r="494">
      <c r="A494" s="7">
        <f>IF(GIRDI!A494="","",GIRDI!A494)</f>
        <v/>
      </c>
      <c r="B494" s="17">
        <f>UPPER(TRIM(SUBSTITUTE($A494," ","")))</f>
        <v/>
      </c>
      <c r="C494" s="17">
        <f>IF($B494="",0,LEN($B494))</f>
        <v/>
      </c>
      <c r="D494" s="17">
        <f>IF($B494="","",LEFT($B494,tyk_ikincilUzunluk))</f>
        <v/>
      </c>
      <c r="E494" s="17">
        <f>"A"</f>
        <v/>
      </c>
      <c r="F494" s="17">
        <f>IF($B494="","",IF(COUNTIF(tblAnahtarA[Norm],$B494)&gt;1,"EVET","HAYIR"))</f>
        <v/>
      </c>
      <c r="G494" s="17">
        <f>IF($A494="","",ROW()-ROW($A$5))</f>
        <v/>
      </c>
      <c r="I494" s="7">
        <f>IF(HAKEDIS!A494="","",HAKEDIS!A494)</f>
        <v/>
      </c>
      <c r="J494" s="17">
        <f>UPPER(TRIM(SUBSTITUTE($I494," ","")))</f>
        <v/>
      </c>
      <c r="K494" s="17">
        <f>IF($J494="",0,LEN($J494))</f>
        <v/>
      </c>
      <c r="L494" s="17">
        <f>IF($J494="","",LEFT($J494,tyk_ikincilUzunluk))</f>
        <v/>
      </c>
      <c r="M494" s="17">
        <f>"B"</f>
        <v/>
      </c>
      <c r="N494" s="17">
        <f>IF($J494="","",IF(COUNTIF(tblAnahtarB[NormB],$J494)&gt;1,"EVET","HAYIR"))</f>
        <v/>
      </c>
      <c r="O494" s="17">
        <f>IF($I494="","",ROW()-ROW($I$5))</f>
        <v/>
      </c>
    </row>
    <row r="495">
      <c r="A495" s="7">
        <f>IF(GIRDI!A495="","",GIRDI!A495)</f>
        <v/>
      </c>
      <c r="B495" s="17">
        <f>UPPER(TRIM(SUBSTITUTE($A495," ","")))</f>
        <v/>
      </c>
      <c r="C495" s="17">
        <f>IF($B495="",0,LEN($B495))</f>
        <v/>
      </c>
      <c r="D495" s="17">
        <f>IF($B495="","",LEFT($B495,tyk_ikincilUzunluk))</f>
        <v/>
      </c>
      <c r="E495" s="17">
        <f>"A"</f>
        <v/>
      </c>
      <c r="F495" s="17">
        <f>IF($B495="","",IF(COUNTIF(tblAnahtarA[Norm],$B495)&gt;1,"EVET","HAYIR"))</f>
        <v/>
      </c>
      <c r="G495" s="17">
        <f>IF($A495="","",ROW()-ROW($A$5))</f>
        <v/>
      </c>
      <c r="I495" s="7">
        <f>IF(HAKEDIS!A495="","",HAKEDIS!A495)</f>
        <v/>
      </c>
      <c r="J495" s="17">
        <f>UPPER(TRIM(SUBSTITUTE($I495," ","")))</f>
        <v/>
      </c>
      <c r="K495" s="17">
        <f>IF($J495="",0,LEN($J495))</f>
        <v/>
      </c>
      <c r="L495" s="17">
        <f>IF($J495="","",LEFT($J495,tyk_ikincilUzunluk))</f>
        <v/>
      </c>
      <c r="M495" s="17">
        <f>"B"</f>
        <v/>
      </c>
      <c r="N495" s="17">
        <f>IF($J495="","",IF(COUNTIF(tblAnahtarB[NormB],$J495)&gt;1,"EVET","HAYIR"))</f>
        <v/>
      </c>
      <c r="O495" s="17">
        <f>IF($I495="","",ROW()-ROW($I$5))</f>
        <v/>
      </c>
    </row>
    <row r="496">
      <c r="A496" s="7">
        <f>IF(GIRDI!A496="","",GIRDI!A496)</f>
        <v/>
      </c>
      <c r="B496" s="17">
        <f>UPPER(TRIM(SUBSTITUTE($A496," ","")))</f>
        <v/>
      </c>
      <c r="C496" s="17">
        <f>IF($B496="",0,LEN($B496))</f>
        <v/>
      </c>
      <c r="D496" s="17">
        <f>IF($B496="","",LEFT($B496,tyk_ikincilUzunluk))</f>
        <v/>
      </c>
      <c r="E496" s="17">
        <f>"A"</f>
        <v/>
      </c>
      <c r="F496" s="17">
        <f>IF($B496="","",IF(COUNTIF(tblAnahtarA[Norm],$B496)&gt;1,"EVET","HAYIR"))</f>
        <v/>
      </c>
      <c r="G496" s="17">
        <f>IF($A496="","",ROW()-ROW($A$5))</f>
        <v/>
      </c>
      <c r="I496" s="7">
        <f>IF(HAKEDIS!A496="","",HAKEDIS!A496)</f>
        <v/>
      </c>
      <c r="J496" s="17">
        <f>UPPER(TRIM(SUBSTITUTE($I496," ","")))</f>
        <v/>
      </c>
      <c r="K496" s="17">
        <f>IF($J496="",0,LEN($J496))</f>
        <v/>
      </c>
      <c r="L496" s="17">
        <f>IF($J496="","",LEFT($J496,tyk_ikincilUzunluk))</f>
        <v/>
      </c>
      <c r="M496" s="17">
        <f>"B"</f>
        <v/>
      </c>
      <c r="N496" s="17">
        <f>IF($J496="","",IF(COUNTIF(tblAnahtarB[NormB],$J496)&gt;1,"EVET","HAYIR"))</f>
        <v/>
      </c>
      <c r="O496" s="17">
        <f>IF($I496="","",ROW()-ROW($I$5))</f>
        <v/>
      </c>
    </row>
    <row r="497">
      <c r="A497" s="7">
        <f>IF(GIRDI!A497="","",GIRDI!A497)</f>
        <v/>
      </c>
      <c r="B497" s="17">
        <f>UPPER(TRIM(SUBSTITUTE($A497," ","")))</f>
        <v/>
      </c>
      <c r="C497" s="17">
        <f>IF($B497="",0,LEN($B497))</f>
        <v/>
      </c>
      <c r="D497" s="17">
        <f>IF($B497="","",LEFT($B497,tyk_ikincilUzunluk))</f>
        <v/>
      </c>
      <c r="E497" s="17">
        <f>"A"</f>
        <v/>
      </c>
      <c r="F497" s="17">
        <f>IF($B497="","",IF(COUNTIF(tblAnahtarA[Norm],$B497)&gt;1,"EVET","HAYIR"))</f>
        <v/>
      </c>
      <c r="G497" s="17">
        <f>IF($A497="","",ROW()-ROW($A$5))</f>
        <v/>
      </c>
      <c r="I497" s="7">
        <f>IF(HAKEDIS!A497="","",HAKEDIS!A497)</f>
        <v/>
      </c>
      <c r="J497" s="17">
        <f>UPPER(TRIM(SUBSTITUTE($I497," ","")))</f>
        <v/>
      </c>
      <c r="K497" s="17">
        <f>IF($J497="",0,LEN($J497))</f>
        <v/>
      </c>
      <c r="L497" s="17">
        <f>IF($J497="","",LEFT($J497,tyk_ikincilUzunluk))</f>
        <v/>
      </c>
      <c r="M497" s="17">
        <f>"B"</f>
        <v/>
      </c>
      <c r="N497" s="17">
        <f>IF($J497="","",IF(COUNTIF(tblAnahtarB[NormB],$J497)&gt;1,"EVET","HAYIR"))</f>
        <v/>
      </c>
      <c r="O497" s="17">
        <f>IF($I497="","",ROW()-ROW($I$5))</f>
        <v/>
      </c>
    </row>
    <row r="498">
      <c r="A498" s="7">
        <f>IF(GIRDI!A498="","",GIRDI!A498)</f>
        <v/>
      </c>
      <c r="B498" s="17">
        <f>UPPER(TRIM(SUBSTITUTE($A498," ","")))</f>
        <v/>
      </c>
      <c r="C498" s="17">
        <f>IF($B498="",0,LEN($B498))</f>
        <v/>
      </c>
      <c r="D498" s="17">
        <f>IF($B498="","",LEFT($B498,tyk_ikincilUzunluk))</f>
        <v/>
      </c>
      <c r="E498" s="17">
        <f>"A"</f>
        <v/>
      </c>
      <c r="F498" s="17">
        <f>IF($B498="","",IF(COUNTIF(tblAnahtarA[Norm],$B498)&gt;1,"EVET","HAYIR"))</f>
        <v/>
      </c>
      <c r="G498" s="17">
        <f>IF($A498="","",ROW()-ROW($A$5))</f>
        <v/>
      </c>
      <c r="I498" s="7">
        <f>IF(HAKEDIS!A498="","",HAKEDIS!A498)</f>
        <v/>
      </c>
      <c r="J498" s="17">
        <f>UPPER(TRIM(SUBSTITUTE($I498," ","")))</f>
        <v/>
      </c>
      <c r="K498" s="17">
        <f>IF($J498="",0,LEN($J498))</f>
        <v/>
      </c>
      <c r="L498" s="17">
        <f>IF($J498="","",LEFT($J498,tyk_ikincilUzunluk))</f>
        <v/>
      </c>
      <c r="M498" s="17">
        <f>"B"</f>
        <v/>
      </c>
      <c r="N498" s="17">
        <f>IF($J498="","",IF(COUNTIF(tblAnahtarB[NormB],$J498)&gt;1,"EVET","HAYIR"))</f>
        <v/>
      </c>
      <c r="O498" s="17">
        <f>IF($I498="","",ROW()-ROW($I$5))</f>
        <v/>
      </c>
    </row>
    <row r="499">
      <c r="A499" s="7">
        <f>IF(GIRDI!A499="","",GIRDI!A499)</f>
        <v/>
      </c>
      <c r="B499" s="17">
        <f>UPPER(TRIM(SUBSTITUTE($A499," ","")))</f>
        <v/>
      </c>
      <c r="C499" s="17">
        <f>IF($B499="",0,LEN($B499))</f>
        <v/>
      </c>
      <c r="D499" s="17">
        <f>IF($B499="","",LEFT($B499,tyk_ikincilUzunluk))</f>
        <v/>
      </c>
      <c r="E499" s="17">
        <f>"A"</f>
        <v/>
      </c>
      <c r="F499" s="17">
        <f>IF($B499="","",IF(COUNTIF(tblAnahtarA[Norm],$B499)&gt;1,"EVET","HAYIR"))</f>
        <v/>
      </c>
      <c r="G499" s="17">
        <f>IF($A499="","",ROW()-ROW($A$5))</f>
        <v/>
      </c>
      <c r="I499" s="7">
        <f>IF(HAKEDIS!A499="","",HAKEDIS!A499)</f>
        <v/>
      </c>
      <c r="J499" s="17">
        <f>UPPER(TRIM(SUBSTITUTE($I499," ","")))</f>
        <v/>
      </c>
      <c r="K499" s="17">
        <f>IF($J499="",0,LEN($J499))</f>
        <v/>
      </c>
      <c r="L499" s="17">
        <f>IF($J499="","",LEFT($J499,tyk_ikincilUzunluk))</f>
        <v/>
      </c>
      <c r="M499" s="17">
        <f>"B"</f>
        <v/>
      </c>
      <c r="N499" s="17">
        <f>IF($J499="","",IF(COUNTIF(tblAnahtarB[NormB],$J499)&gt;1,"EVET","HAYIR"))</f>
        <v/>
      </c>
      <c r="O499" s="17">
        <f>IF($I499="","",ROW()-ROW($I$5))</f>
        <v/>
      </c>
    </row>
    <row r="500">
      <c r="A500" s="7">
        <f>IF(GIRDI!A500="","",GIRDI!A500)</f>
        <v/>
      </c>
      <c r="B500" s="17">
        <f>UPPER(TRIM(SUBSTITUTE($A500," ","")))</f>
        <v/>
      </c>
      <c r="C500" s="17">
        <f>IF($B500="",0,LEN($B500))</f>
        <v/>
      </c>
      <c r="D500" s="17">
        <f>IF($B500="","",LEFT($B500,tyk_ikincilUzunluk))</f>
        <v/>
      </c>
      <c r="E500" s="17">
        <f>"A"</f>
        <v/>
      </c>
      <c r="F500" s="17">
        <f>IF($B500="","",IF(COUNTIF(tblAnahtarA[Norm],$B500)&gt;1,"EVET","HAYIR"))</f>
        <v/>
      </c>
      <c r="G500" s="17">
        <f>IF($A500="","",ROW()-ROW($A$5))</f>
        <v/>
      </c>
      <c r="I500" s="7">
        <f>IF(HAKEDIS!A500="","",HAKEDIS!A500)</f>
        <v/>
      </c>
      <c r="J500" s="17">
        <f>UPPER(TRIM(SUBSTITUTE($I500," ","")))</f>
        <v/>
      </c>
      <c r="K500" s="17">
        <f>IF($J500="",0,LEN($J500))</f>
        <v/>
      </c>
      <c r="L500" s="17">
        <f>IF($J500="","",LEFT($J500,tyk_ikincilUzunluk))</f>
        <v/>
      </c>
      <c r="M500" s="17">
        <f>"B"</f>
        <v/>
      </c>
      <c r="N500" s="17">
        <f>IF($J500="","",IF(COUNTIF(tblAnahtarB[NormB],$J500)&gt;1,"EVET","HAYIR"))</f>
        <v/>
      </c>
      <c r="O500" s="17">
        <f>IF($I500="","",ROW()-ROW($I$5))</f>
        <v/>
      </c>
    </row>
    <row r="501">
      <c r="A501" s="7">
        <f>IF(GIRDI!A501="","",GIRDI!A501)</f>
        <v/>
      </c>
      <c r="B501" s="17">
        <f>UPPER(TRIM(SUBSTITUTE($A501," ","")))</f>
        <v/>
      </c>
      <c r="C501" s="17">
        <f>IF($B501="",0,LEN($B501))</f>
        <v/>
      </c>
      <c r="D501" s="17">
        <f>IF($B501="","",LEFT($B501,tyk_ikincilUzunluk))</f>
        <v/>
      </c>
      <c r="E501" s="17">
        <f>"A"</f>
        <v/>
      </c>
      <c r="F501" s="17">
        <f>IF($B501="","",IF(COUNTIF(tblAnahtarA[Norm],$B501)&gt;1,"EVET","HAYIR"))</f>
        <v/>
      </c>
      <c r="G501" s="17">
        <f>IF($A501="","",ROW()-ROW($A$5))</f>
        <v/>
      </c>
      <c r="I501" s="7">
        <f>IF(HAKEDIS!A501="","",HAKEDIS!A501)</f>
        <v/>
      </c>
      <c r="J501" s="17">
        <f>UPPER(TRIM(SUBSTITUTE($I501," ","")))</f>
        <v/>
      </c>
      <c r="K501" s="17">
        <f>IF($J501="",0,LEN($J501))</f>
        <v/>
      </c>
      <c r="L501" s="17">
        <f>IF($J501="","",LEFT($J501,tyk_ikincilUzunluk))</f>
        <v/>
      </c>
      <c r="M501" s="17">
        <f>"B"</f>
        <v/>
      </c>
      <c r="N501" s="17">
        <f>IF($J501="","",IF(COUNTIF(tblAnahtarB[NormB],$J501)&gt;1,"EVET","HAYIR"))</f>
        <v/>
      </c>
      <c r="O501" s="17">
        <f>IF($I501="","",ROW()-ROW($I$5))</f>
        <v/>
      </c>
    </row>
    <row r="502">
      <c r="A502" s="7">
        <f>IF(GIRDI!A502="","",GIRDI!A502)</f>
        <v/>
      </c>
      <c r="B502" s="17">
        <f>UPPER(TRIM(SUBSTITUTE($A502," ","")))</f>
        <v/>
      </c>
      <c r="C502" s="17">
        <f>IF($B502="",0,LEN($B502))</f>
        <v/>
      </c>
      <c r="D502" s="17">
        <f>IF($B502="","",LEFT($B502,tyk_ikincilUzunluk))</f>
        <v/>
      </c>
      <c r="E502" s="17">
        <f>"A"</f>
        <v/>
      </c>
      <c r="F502" s="17">
        <f>IF($B502="","",IF(COUNTIF(tblAnahtarA[Norm],$B502)&gt;1,"EVET","HAYIR"))</f>
        <v/>
      </c>
      <c r="G502" s="17">
        <f>IF($A502="","",ROW()-ROW($A$5))</f>
        <v/>
      </c>
      <c r="I502" s="7">
        <f>IF(HAKEDIS!A502="","",HAKEDIS!A502)</f>
        <v/>
      </c>
      <c r="J502" s="17">
        <f>UPPER(TRIM(SUBSTITUTE($I502," ","")))</f>
        <v/>
      </c>
      <c r="K502" s="17">
        <f>IF($J502="",0,LEN($J502))</f>
        <v/>
      </c>
      <c r="L502" s="17">
        <f>IF($J502="","",LEFT($J502,tyk_ikincilUzunluk))</f>
        <v/>
      </c>
      <c r="M502" s="17">
        <f>"B"</f>
        <v/>
      </c>
      <c r="N502" s="17">
        <f>IF($J502="","",IF(COUNTIF(tblAnahtarB[NormB],$J502)&gt;1,"EVET","HAYIR"))</f>
        <v/>
      </c>
      <c r="O502" s="17">
        <f>IF($I502="","",ROW()-ROW($I$5))</f>
        <v/>
      </c>
    </row>
    <row r="503">
      <c r="A503" s="7">
        <f>IF(GIRDI!A503="","",GIRDI!A503)</f>
        <v/>
      </c>
      <c r="B503" s="17">
        <f>UPPER(TRIM(SUBSTITUTE($A503," ","")))</f>
        <v/>
      </c>
      <c r="C503" s="17">
        <f>IF($B503="",0,LEN($B503))</f>
        <v/>
      </c>
      <c r="D503" s="17">
        <f>IF($B503="","",LEFT($B503,tyk_ikincilUzunluk))</f>
        <v/>
      </c>
      <c r="E503" s="17">
        <f>"A"</f>
        <v/>
      </c>
      <c r="F503" s="17">
        <f>IF($B503="","",IF(COUNTIF(tblAnahtarA[Norm],$B503)&gt;1,"EVET","HAYIR"))</f>
        <v/>
      </c>
      <c r="G503" s="17">
        <f>IF($A503="","",ROW()-ROW($A$5))</f>
        <v/>
      </c>
      <c r="I503" s="7">
        <f>IF(HAKEDIS!A503="","",HAKEDIS!A503)</f>
        <v/>
      </c>
      <c r="J503" s="17">
        <f>UPPER(TRIM(SUBSTITUTE($I503," ","")))</f>
        <v/>
      </c>
      <c r="K503" s="17">
        <f>IF($J503="",0,LEN($J503))</f>
        <v/>
      </c>
      <c r="L503" s="17">
        <f>IF($J503="","",LEFT($J503,tyk_ikincilUzunluk))</f>
        <v/>
      </c>
      <c r="M503" s="17">
        <f>"B"</f>
        <v/>
      </c>
      <c r="N503" s="17">
        <f>IF($J503="","",IF(COUNTIF(tblAnahtarB[NormB],$J503)&gt;1,"EVET","HAYIR"))</f>
        <v/>
      </c>
      <c r="O503" s="17">
        <f>IF($I503="","",ROW()-ROW($I$5))</f>
        <v/>
      </c>
    </row>
    <row r="504">
      <c r="A504" s="7">
        <f>IF(GIRDI!A504="","",GIRDI!A504)</f>
        <v/>
      </c>
      <c r="B504" s="17">
        <f>UPPER(TRIM(SUBSTITUTE($A504," ","")))</f>
        <v/>
      </c>
      <c r="C504" s="17">
        <f>IF($B504="",0,LEN($B504))</f>
        <v/>
      </c>
      <c r="D504" s="17">
        <f>IF($B504="","",LEFT($B504,tyk_ikincilUzunluk))</f>
        <v/>
      </c>
      <c r="E504" s="17">
        <f>"A"</f>
        <v/>
      </c>
      <c r="F504" s="17">
        <f>IF($B504="","",IF(COUNTIF(tblAnahtarA[Norm],$B504)&gt;1,"EVET","HAYIR"))</f>
        <v/>
      </c>
      <c r="G504" s="17">
        <f>IF($A504="","",ROW()-ROW($A$5))</f>
        <v/>
      </c>
      <c r="I504" s="7">
        <f>IF(HAKEDIS!A504="","",HAKEDIS!A504)</f>
        <v/>
      </c>
      <c r="J504" s="17">
        <f>UPPER(TRIM(SUBSTITUTE($I504," ","")))</f>
        <v/>
      </c>
      <c r="K504" s="17">
        <f>IF($J504="",0,LEN($J504))</f>
        <v/>
      </c>
      <c r="L504" s="17">
        <f>IF($J504="","",LEFT($J504,tyk_ikincilUzunluk))</f>
        <v/>
      </c>
      <c r="M504" s="17">
        <f>"B"</f>
        <v/>
      </c>
      <c r="N504" s="17">
        <f>IF($J504="","",IF(COUNTIF(tblAnahtarB[NormB],$J504)&gt;1,"EVET","HAYIR"))</f>
        <v/>
      </c>
      <c r="O504" s="17">
        <f>IF($I504="","",ROW()-ROW($I$5))</f>
        <v/>
      </c>
    </row>
    <row r="505">
      <c r="A505" s="7">
        <f>IF(GIRDI!A505="","",GIRDI!A505)</f>
        <v/>
      </c>
      <c r="B505" s="17">
        <f>UPPER(TRIM(SUBSTITUTE($A505," ","")))</f>
        <v/>
      </c>
      <c r="C505" s="17">
        <f>IF($B505="",0,LEN($B505))</f>
        <v/>
      </c>
      <c r="D505" s="17">
        <f>IF($B505="","",LEFT($B505,tyk_ikincilUzunluk))</f>
        <v/>
      </c>
      <c r="E505" s="17">
        <f>"A"</f>
        <v/>
      </c>
      <c r="F505" s="17">
        <f>IF($B505="","",IF(COUNTIF(tblAnahtarA[Norm],$B505)&gt;1,"EVET","HAYIR"))</f>
        <v/>
      </c>
      <c r="G505" s="17">
        <f>IF($A505="","",ROW()-ROW($A$5))</f>
        <v/>
      </c>
      <c r="I505" s="7">
        <f>IF(HAKEDIS!A505="","",HAKEDIS!A505)</f>
        <v/>
      </c>
      <c r="J505" s="17">
        <f>UPPER(TRIM(SUBSTITUTE($I505," ","")))</f>
        <v/>
      </c>
      <c r="K505" s="17">
        <f>IF($J505="",0,LEN($J505))</f>
        <v/>
      </c>
      <c r="L505" s="17">
        <f>IF($J505="","",LEFT($J505,tyk_ikincilUzunluk))</f>
        <v/>
      </c>
      <c r="M505" s="17">
        <f>"B"</f>
        <v/>
      </c>
      <c r="N505" s="17">
        <f>IF($J505="","",IF(COUNTIF(tblAnahtarB[NormB],$J505)&gt;1,"EVET","HAYIR"))</f>
        <v/>
      </c>
      <c r="O505" s="17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equal" dxfId="1">
      <formula>"EVET"</formula>
    </cfRule>
  </conditionalFormatting>
  <conditionalFormatting sqref="N6:N505">
    <cfRule type="cellIs" priority="2" operator="equal" dxfId="1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/>
  </sheetPr>
  <dimension ref="A1:X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6" customHeight="1">
      <c r="A1" s="1" t="inlineStr">
        <is>
          <t>MOTOR — Trendyol Komisyon Sonrası Net Kâr Hesaplama</t>
        </is>
      </c>
    </row>
    <row r="3" ht="20" customHeight="1">
      <c r="A3" s="10" t="inlineStr">
        <is>
          <t>Net kâr motoru — kesinti kırılımı, başabaş, satır kararı</t>
        </is>
      </c>
    </row>
    <row r="5" ht="30" customHeight="1">
      <c r="A5" s="12" t="inlineStr">
        <is>
          <t>A_Norm</t>
        </is>
      </c>
      <c r="B5" s="12" t="inlineStr">
        <is>
          <t>Satis</t>
        </is>
      </c>
      <c r="C5" s="12" t="inlineStr">
        <is>
          <t>Maliyet</t>
        </is>
      </c>
      <c r="D5" s="12" t="inlineStr">
        <is>
          <t>Miktar</t>
        </is>
      </c>
      <c r="E5" s="12" t="inlineStr">
        <is>
          <t>KomisyonOran</t>
        </is>
      </c>
      <c r="F5" s="12" t="inlineStr">
        <is>
          <t>KomisyonTutar</t>
        </is>
      </c>
      <c r="G5" s="12" t="inlineStr">
        <is>
          <t>TyPlus</t>
        </is>
      </c>
      <c r="H5" s="12" t="inlineStr">
        <is>
          <t>FlasKesinti</t>
        </is>
      </c>
      <c r="I5" s="12" t="inlineStr">
        <is>
          <t>UrunReklam</t>
        </is>
      </c>
      <c r="J5" s="12" t="inlineStr">
        <is>
          <t>DesiKargo</t>
        </is>
      </c>
      <c r="K5" s="12" t="inlineStr">
        <is>
          <t>ToplamKesinti</t>
        </is>
      </c>
      <c r="L5" s="12" t="inlineStr">
        <is>
          <t>BrutKar</t>
        </is>
      </c>
      <c r="M5" s="12" t="inlineStr">
        <is>
          <t>NetKar</t>
        </is>
      </c>
      <c r="N5" s="12" t="inlineStr">
        <is>
          <t>Marj</t>
        </is>
      </c>
      <c r="O5" s="12" t="inlineStr">
        <is>
          <t>BasabasFiyat</t>
        </is>
      </c>
      <c r="P5" s="12" t="inlineStr">
        <is>
          <t>HedefNet</t>
        </is>
      </c>
      <c r="Q5" s="12" t="inlineStr">
        <is>
          <t>FarkHedef</t>
        </is>
      </c>
      <c r="R5" s="12" t="inlineStr">
        <is>
          <t>BeklenenHakedis</t>
        </is>
      </c>
      <c r="S5" s="12" t="inlineStr">
        <is>
          <t>KararSatir</t>
        </is>
      </c>
      <c r="T5" s="12" t="inlineStr">
        <is>
          <t>MotorAdim1</t>
        </is>
      </c>
      <c r="U5" s="12" t="inlineStr">
        <is>
          <t>MotorAdim2</t>
        </is>
      </c>
      <c r="V5" s="12" t="inlineStr">
        <is>
          <t>MotorAdim3</t>
        </is>
      </c>
    </row>
    <row r="6">
      <c r="A6" s="17">
        <f>IF('ANAHTAR'!$B6="","",'ANAHTAR'!$B6)</f>
        <v/>
      </c>
      <c r="B6" s="17">
        <f>IF($A6="","",IFERROR(SUMIF(tblAnahtarA[Norm],$A6,tblGirdi[ToplamSatis]),0))</f>
        <v/>
      </c>
      <c r="C6" s="17">
        <f>IF($A6="","",IFERROR(SUMIF(tblAnahtarA[Norm],$A6,tblGirdi[Maliyet])*IFERROR(SUMIF(tblAnahtarA[Norm],$A6,tblGirdi[Miktar]),1),0))</f>
        <v/>
      </c>
      <c r="D6" s="17">
        <f>IF($A6="","",IFERROR(SUMIF(tblAnahtarA[Norm],$A6,tblGirdi[Miktar]),0))</f>
        <v/>
      </c>
      <c r="E6" s="17">
        <f>IF($A6="","",IFERROR(SUMIF(tblAnahtarA[Norm],$A6,tblGirdi[KomisyonOran]),0))</f>
        <v/>
      </c>
      <c r="F6" s="17">
        <f>IF($A6="","",ROUND($B6*$E6,2))</f>
        <v/>
      </c>
      <c r="G6" s="17">
        <f>IF($A6="","",IFERROR(SUMIF(tblAnahtarB[NormB],$A6,tblHakedis[TyPlus]),0))</f>
        <v/>
      </c>
      <c r="H6" s="17">
        <f>IF($A6="","",IFERROR(SUMIF(tblAnahtarB[NormB],$A6,tblHakedis[FlasKesinti]),0))</f>
        <v/>
      </c>
      <c r="I6" s="17">
        <f>IF($A6="","",IFERROR(SUMIF(tblAnahtarB[NormB],$A6,tblHakedis[UrunReklam]),0))</f>
        <v/>
      </c>
      <c r="J6" s="17">
        <f>IF($A6="","",IFERROR(SUMIF(tblAnahtarB[NormB],$A6,tblHakedis[DesiKargo]),0))</f>
        <v/>
      </c>
      <c r="K6" s="17">
        <f>IF($A6="","",ROUND($F6+$G6+$H6+$I6+$J6,2))</f>
        <v/>
      </c>
      <c r="L6" s="17">
        <f>IF($A6="","",ROUND($B6-$C6,2))</f>
        <v/>
      </c>
      <c r="M6" s="17">
        <f>IF($A6="","",ROUND($B6-$C6-$K6,2))</f>
        <v/>
      </c>
      <c r="N6" s="17">
        <f>IF(OR($A6="",$B6=0),0,$M6/$B6)</f>
        <v/>
      </c>
      <c r="O6" s="17">
        <f>IF($A6="","",IF((1-$E6)&lt;=0,0,IF($D6=0,0,ROUND(($C6+$G6+$H6+$I6+$J6)/$D6/(1-$E6),2))))</f>
        <v/>
      </c>
      <c r="P6" s="17">
        <f>IF($A6="","",IFERROR(SUMIF(tblAnahtarA[Norm],$A6,tblGirdi[HedefNet]),0))</f>
        <v/>
      </c>
      <c r="Q6" s="17">
        <f>IF($A6="","",ROUND($M6-$P6,2))</f>
        <v/>
      </c>
      <c r="R6" s="17">
        <f>IF($A6="","",ROUND($B6-$K6,2))</f>
        <v/>
      </c>
      <c r="S6" s="17">
        <f>IF($A6="","",IF($N6&lt;0,"ÇEKİL",IF($N6&lt;tyk_esikMarjDusuk,"ZAM","SAT")))</f>
        <v/>
      </c>
      <c r="T6" s="17">
        <f>IF($A6="","",$L6-$F6)</f>
        <v/>
      </c>
      <c r="U6" s="17">
        <f>IF($A6="","",$M6-$Q6)</f>
        <v/>
      </c>
      <c r="V6" s="17">
        <f>IF($A6="","",$R6-$M6)</f>
        <v/>
      </c>
    </row>
    <row r="7">
      <c r="A7" s="17">
        <f>IF('ANAHTAR'!$B7="","",'ANAHTAR'!$B7)</f>
        <v/>
      </c>
      <c r="B7" s="17">
        <f>IF($A7="","",IFERROR(SUMIF(tblAnahtarA[Norm],$A7,tblGirdi[ToplamSatis]),0))</f>
        <v/>
      </c>
      <c r="C7" s="17">
        <f>IF($A7="","",IFERROR(SUMIF(tblAnahtarA[Norm],$A7,tblGirdi[Maliyet])*IFERROR(SUMIF(tblAnahtarA[Norm],$A7,tblGirdi[Miktar]),1),0))</f>
        <v/>
      </c>
      <c r="D7" s="17">
        <f>IF($A7="","",IFERROR(SUMIF(tblAnahtarA[Norm],$A7,tblGirdi[Miktar]),0))</f>
        <v/>
      </c>
      <c r="E7" s="17">
        <f>IF($A7="","",IFERROR(SUMIF(tblAnahtarA[Norm],$A7,tblGirdi[KomisyonOran]),0))</f>
        <v/>
      </c>
      <c r="F7" s="17">
        <f>IF($A7="","",ROUND($B7*$E7,2))</f>
        <v/>
      </c>
      <c r="G7" s="17">
        <f>IF($A7="","",IFERROR(SUMIF(tblAnahtarB[NormB],$A7,tblHakedis[TyPlus]),0))</f>
        <v/>
      </c>
      <c r="H7" s="17">
        <f>IF($A7="","",IFERROR(SUMIF(tblAnahtarB[NormB],$A7,tblHakedis[FlasKesinti]),0))</f>
        <v/>
      </c>
      <c r="I7" s="17">
        <f>IF($A7="","",IFERROR(SUMIF(tblAnahtarB[NormB],$A7,tblHakedis[UrunReklam]),0))</f>
        <v/>
      </c>
      <c r="J7" s="17">
        <f>IF($A7="","",IFERROR(SUMIF(tblAnahtarB[NormB],$A7,tblHakedis[DesiKargo]),0))</f>
        <v/>
      </c>
      <c r="K7" s="17">
        <f>IF($A7="","",ROUND($F7+$G7+$H7+$I7+$J7,2))</f>
        <v/>
      </c>
      <c r="L7" s="17">
        <f>IF($A7="","",ROUND($B7-$C7,2))</f>
        <v/>
      </c>
      <c r="M7" s="17">
        <f>IF($A7="","",ROUND($B7-$C7-$K7,2))</f>
        <v/>
      </c>
      <c r="N7" s="17">
        <f>IF(OR($A7="",$B7=0),0,$M7/$B7)</f>
        <v/>
      </c>
      <c r="O7" s="17">
        <f>IF($A7="","",IF((1-$E7)&lt;=0,0,IF($D7=0,0,ROUND(($C7+$G7+$H7+$I7+$J7)/$D7/(1-$E7),2))))</f>
        <v/>
      </c>
      <c r="P7" s="17">
        <f>IF($A7="","",IFERROR(SUMIF(tblAnahtarA[Norm],$A7,tblGirdi[HedefNet]),0))</f>
        <v/>
      </c>
      <c r="Q7" s="17">
        <f>IF($A7="","",ROUND($M7-$P7,2))</f>
        <v/>
      </c>
      <c r="R7" s="17">
        <f>IF($A7="","",ROUND($B7-$K7,2))</f>
        <v/>
      </c>
      <c r="S7" s="17">
        <f>IF($A7="","",IF($N7&lt;0,"ÇEKİL",IF($N7&lt;tyk_esikMarjDusuk,"ZAM","SAT")))</f>
        <v/>
      </c>
      <c r="T7" s="17">
        <f>IF($A7="","",$L7-$F7)</f>
        <v/>
      </c>
      <c r="U7" s="17">
        <f>IF($A7="","",$M7-$Q7)</f>
        <v/>
      </c>
      <c r="V7" s="17">
        <f>IF($A7="","",$R7-$M7)</f>
        <v/>
      </c>
    </row>
    <row r="8">
      <c r="A8" s="17">
        <f>IF('ANAHTAR'!$B8="","",'ANAHTAR'!$B8)</f>
        <v/>
      </c>
      <c r="B8" s="17">
        <f>IF($A8="","",IFERROR(SUMIF(tblAnahtarA[Norm],$A8,tblGirdi[ToplamSatis]),0))</f>
        <v/>
      </c>
      <c r="C8" s="17">
        <f>IF($A8="","",IFERROR(SUMIF(tblAnahtarA[Norm],$A8,tblGirdi[Maliyet])*IFERROR(SUMIF(tblAnahtarA[Norm],$A8,tblGirdi[Miktar]),1),0))</f>
        <v/>
      </c>
      <c r="D8" s="17">
        <f>IF($A8="","",IFERROR(SUMIF(tblAnahtarA[Norm],$A8,tblGirdi[Miktar]),0))</f>
        <v/>
      </c>
      <c r="E8" s="17">
        <f>IF($A8="","",IFERROR(SUMIF(tblAnahtarA[Norm],$A8,tblGirdi[KomisyonOran]),0))</f>
        <v/>
      </c>
      <c r="F8" s="17">
        <f>IF($A8="","",ROUND($B8*$E8,2))</f>
        <v/>
      </c>
      <c r="G8" s="17">
        <f>IF($A8="","",IFERROR(SUMIF(tblAnahtarB[NormB],$A8,tblHakedis[TyPlus]),0))</f>
        <v/>
      </c>
      <c r="H8" s="17">
        <f>IF($A8="","",IFERROR(SUMIF(tblAnahtarB[NormB],$A8,tblHakedis[FlasKesinti]),0))</f>
        <v/>
      </c>
      <c r="I8" s="17">
        <f>IF($A8="","",IFERROR(SUMIF(tblAnahtarB[NormB],$A8,tblHakedis[UrunReklam]),0))</f>
        <v/>
      </c>
      <c r="J8" s="17">
        <f>IF($A8="","",IFERROR(SUMIF(tblAnahtarB[NormB],$A8,tblHakedis[DesiKargo]),0))</f>
        <v/>
      </c>
      <c r="K8" s="17">
        <f>IF($A8="","",ROUND($F8+$G8+$H8+$I8+$J8,2))</f>
        <v/>
      </c>
      <c r="L8" s="17">
        <f>IF($A8="","",ROUND($B8-$C8,2))</f>
        <v/>
      </c>
      <c r="M8" s="17">
        <f>IF($A8="","",ROUND($B8-$C8-$K8,2))</f>
        <v/>
      </c>
      <c r="N8" s="17">
        <f>IF(OR($A8="",$B8=0),0,$M8/$B8)</f>
        <v/>
      </c>
      <c r="O8" s="17">
        <f>IF($A8="","",IF((1-$E8)&lt;=0,0,IF($D8=0,0,ROUND(($C8+$G8+$H8+$I8+$J8)/$D8/(1-$E8),2))))</f>
        <v/>
      </c>
      <c r="P8" s="17">
        <f>IF($A8="","",IFERROR(SUMIF(tblAnahtarA[Norm],$A8,tblGirdi[HedefNet]),0))</f>
        <v/>
      </c>
      <c r="Q8" s="17">
        <f>IF($A8="","",ROUND($M8-$P8,2))</f>
        <v/>
      </c>
      <c r="R8" s="17">
        <f>IF($A8="","",ROUND($B8-$K8,2))</f>
        <v/>
      </c>
      <c r="S8" s="17">
        <f>IF($A8="","",IF($N8&lt;0,"ÇEKİL",IF($N8&lt;tyk_esikMarjDusuk,"ZAM","SAT")))</f>
        <v/>
      </c>
      <c r="T8" s="17">
        <f>IF($A8="","",$L8-$F8)</f>
        <v/>
      </c>
      <c r="U8" s="17">
        <f>IF($A8="","",$M8-$Q8)</f>
        <v/>
      </c>
      <c r="V8" s="17">
        <f>IF($A8="","",$R8-$M8)</f>
        <v/>
      </c>
    </row>
    <row r="9">
      <c r="A9" s="17">
        <f>IF('ANAHTAR'!$B9="","",'ANAHTAR'!$B9)</f>
        <v/>
      </c>
      <c r="B9" s="17">
        <f>IF($A9="","",IFERROR(SUMIF(tblAnahtarA[Norm],$A9,tblGirdi[ToplamSatis]),0))</f>
        <v/>
      </c>
      <c r="C9" s="17">
        <f>IF($A9="","",IFERROR(SUMIF(tblAnahtarA[Norm],$A9,tblGirdi[Maliyet])*IFERROR(SUMIF(tblAnahtarA[Norm],$A9,tblGirdi[Miktar]),1),0))</f>
        <v/>
      </c>
      <c r="D9" s="17">
        <f>IF($A9="","",IFERROR(SUMIF(tblAnahtarA[Norm],$A9,tblGirdi[Miktar]),0))</f>
        <v/>
      </c>
      <c r="E9" s="17">
        <f>IF($A9="","",IFERROR(SUMIF(tblAnahtarA[Norm],$A9,tblGirdi[KomisyonOran]),0))</f>
        <v/>
      </c>
      <c r="F9" s="17">
        <f>IF($A9="","",ROUND($B9*$E9,2))</f>
        <v/>
      </c>
      <c r="G9" s="17">
        <f>IF($A9="","",IFERROR(SUMIF(tblAnahtarB[NormB],$A9,tblHakedis[TyPlus]),0))</f>
        <v/>
      </c>
      <c r="H9" s="17">
        <f>IF($A9="","",IFERROR(SUMIF(tblAnahtarB[NormB],$A9,tblHakedis[FlasKesinti]),0))</f>
        <v/>
      </c>
      <c r="I9" s="17">
        <f>IF($A9="","",IFERROR(SUMIF(tblAnahtarB[NormB],$A9,tblHakedis[UrunReklam]),0))</f>
        <v/>
      </c>
      <c r="J9" s="17">
        <f>IF($A9="","",IFERROR(SUMIF(tblAnahtarB[NormB],$A9,tblHakedis[DesiKargo]),0))</f>
        <v/>
      </c>
      <c r="K9" s="17">
        <f>IF($A9="","",ROUND($F9+$G9+$H9+$I9+$J9,2))</f>
        <v/>
      </c>
      <c r="L9" s="17">
        <f>IF($A9="","",ROUND($B9-$C9,2))</f>
        <v/>
      </c>
      <c r="M9" s="17">
        <f>IF($A9="","",ROUND($B9-$C9-$K9,2))</f>
        <v/>
      </c>
      <c r="N9" s="17">
        <f>IF(OR($A9="",$B9=0),0,$M9/$B9)</f>
        <v/>
      </c>
      <c r="O9" s="17">
        <f>IF($A9="","",IF((1-$E9)&lt;=0,0,IF($D9=0,0,ROUND(($C9+$G9+$H9+$I9+$J9)/$D9/(1-$E9),2))))</f>
        <v/>
      </c>
      <c r="P9" s="17">
        <f>IF($A9="","",IFERROR(SUMIF(tblAnahtarA[Norm],$A9,tblGirdi[HedefNet]),0))</f>
        <v/>
      </c>
      <c r="Q9" s="17">
        <f>IF($A9="","",ROUND($M9-$P9,2))</f>
        <v/>
      </c>
      <c r="R9" s="17">
        <f>IF($A9="","",ROUND($B9-$K9,2))</f>
        <v/>
      </c>
      <c r="S9" s="17">
        <f>IF($A9="","",IF($N9&lt;0,"ÇEKİL",IF($N9&lt;tyk_esikMarjDusuk,"ZAM","SAT")))</f>
        <v/>
      </c>
      <c r="T9" s="17">
        <f>IF($A9="","",$L9-$F9)</f>
        <v/>
      </c>
      <c r="U9" s="17">
        <f>IF($A9="","",$M9-$Q9)</f>
        <v/>
      </c>
      <c r="V9" s="17">
        <f>IF($A9="","",$R9-$M9)</f>
        <v/>
      </c>
    </row>
    <row r="10">
      <c r="A10" s="17">
        <f>IF('ANAHTAR'!$B10="","",'ANAHTAR'!$B10)</f>
        <v/>
      </c>
      <c r="B10" s="17">
        <f>IF($A10="","",IFERROR(SUMIF(tblAnahtarA[Norm],$A10,tblGirdi[ToplamSatis]),0))</f>
        <v/>
      </c>
      <c r="C10" s="17">
        <f>IF($A10="","",IFERROR(SUMIF(tblAnahtarA[Norm],$A10,tblGirdi[Maliyet])*IFERROR(SUMIF(tblAnahtarA[Norm],$A10,tblGirdi[Miktar]),1),0))</f>
        <v/>
      </c>
      <c r="D10" s="17">
        <f>IF($A10="","",IFERROR(SUMIF(tblAnahtarA[Norm],$A10,tblGirdi[Miktar]),0))</f>
        <v/>
      </c>
      <c r="E10" s="17">
        <f>IF($A10="","",IFERROR(SUMIF(tblAnahtarA[Norm],$A10,tblGirdi[KomisyonOran]),0))</f>
        <v/>
      </c>
      <c r="F10" s="17">
        <f>IF($A10="","",ROUND($B10*$E10,2))</f>
        <v/>
      </c>
      <c r="G10" s="17">
        <f>IF($A10="","",IFERROR(SUMIF(tblAnahtarB[NormB],$A10,tblHakedis[TyPlus]),0))</f>
        <v/>
      </c>
      <c r="H10" s="17">
        <f>IF($A10="","",IFERROR(SUMIF(tblAnahtarB[NormB],$A10,tblHakedis[FlasKesinti]),0))</f>
        <v/>
      </c>
      <c r="I10" s="17">
        <f>IF($A10="","",IFERROR(SUMIF(tblAnahtarB[NormB],$A10,tblHakedis[UrunReklam]),0))</f>
        <v/>
      </c>
      <c r="J10" s="17">
        <f>IF($A10="","",IFERROR(SUMIF(tblAnahtarB[NormB],$A10,tblHakedis[DesiKargo]),0))</f>
        <v/>
      </c>
      <c r="K10" s="17">
        <f>IF($A10="","",ROUND($F10+$G10+$H10+$I10+$J10,2))</f>
        <v/>
      </c>
      <c r="L10" s="17">
        <f>IF($A10="","",ROUND($B10-$C10,2))</f>
        <v/>
      </c>
      <c r="M10" s="17">
        <f>IF($A10="","",ROUND($B10-$C10-$K10,2))</f>
        <v/>
      </c>
      <c r="N10" s="17">
        <f>IF(OR($A10="",$B10=0),0,$M10/$B10)</f>
        <v/>
      </c>
      <c r="O10" s="17">
        <f>IF($A10="","",IF((1-$E10)&lt;=0,0,IF($D10=0,0,ROUND(($C10+$G10+$H10+$I10+$J10)/$D10/(1-$E10),2))))</f>
        <v/>
      </c>
      <c r="P10" s="17">
        <f>IF($A10="","",IFERROR(SUMIF(tblAnahtarA[Norm],$A10,tblGirdi[HedefNet]),0))</f>
        <v/>
      </c>
      <c r="Q10" s="17">
        <f>IF($A10="","",ROUND($M10-$P10,2))</f>
        <v/>
      </c>
      <c r="R10" s="17">
        <f>IF($A10="","",ROUND($B10-$K10,2))</f>
        <v/>
      </c>
      <c r="S10" s="17">
        <f>IF($A10="","",IF($N10&lt;0,"ÇEKİL",IF($N10&lt;tyk_esikMarjDusuk,"ZAM","SAT")))</f>
        <v/>
      </c>
      <c r="T10" s="17">
        <f>IF($A10="","",$L10-$F10)</f>
        <v/>
      </c>
      <c r="U10" s="17">
        <f>IF($A10="","",$M10-$Q10)</f>
        <v/>
      </c>
      <c r="V10" s="17">
        <f>IF($A10="","",$R10-$M10)</f>
        <v/>
      </c>
    </row>
    <row r="11">
      <c r="A11" s="17">
        <f>IF('ANAHTAR'!$B11="","",'ANAHTAR'!$B11)</f>
        <v/>
      </c>
      <c r="B11" s="17">
        <f>IF($A11="","",IFERROR(SUMIF(tblAnahtarA[Norm],$A11,tblGirdi[ToplamSatis]),0))</f>
        <v/>
      </c>
      <c r="C11" s="17">
        <f>IF($A11="","",IFERROR(SUMIF(tblAnahtarA[Norm],$A11,tblGirdi[Maliyet])*IFERROR(SUMIF(tblAnahtarA[Norm],$A11,tblGirdi[Miktar]),1),0))</f>
        <v/>
      </c>
      <c r="D11" s="17">
        <f>IF($A11="","",IFERROR(SUMIF(tblAnahtarA[Norm],$A11,tblGirdi[Miktar]),0))</f>
        <v/>
      </c>
      <c r="E11" s="17">
        <f>IF($A11="","",IFERROR(SUMIF(tblAnahtarA[Norm],$A11,tblGirdi[KomisyonOran]),0))</f>
        <v/>
      </c>
      <c r="F11" s="17">
        <f>IF($A11="","",ROUND($B11*$E11,2))</f>
        <v/>
      </c>
      <c r="G11" s="17">
        <f>IF($A11="","",IFERROR(SUMIF(tblAnahtarB[NormB],$A11,tblHakedis[TyPlus]),0))</f>
        <v/>
      </c>
      <c r="H11" s="17">
        <f>IF($A11="","",IFERROR(SUMIF(tblAnahtarB[NormB],$A11,tblHakedis[FlasKesinti]),0))</f>
        <v/>
      </c>
      <c r="I11" s="17">
        <f>IF($A11="","",IFERROR(SUMIF(tblAnahtarB[NormB],$A11,tblHakedis[UrunReklam]),0))</f>
        <v/>
      </c>
      <c r="J11" s="17">
        <f>IF($A11="","",IFERROR(SUMIF(tblAnahtarB[NormB],$A11,tblHakedis[DesiKargo]),0))</f>
        <v/>
      </c>
      <c r="K11" s="17">
        <f>IF($A11="","",ROUND($F11+$G11+$H11+$I11+$J11,2))</f>
        <v/>
      </c>
      <c r="L11" s="17">
        <f>IF($A11="","",ROUND($B11-$C11,2))</f>
        <v/>
      </c>
      <c r="M11" s="17">
        <f>IF($A11="","",ROUND($B11-$C11-$K11,2))</f>
        <v/>
      </c>
      <c r="N11" s="17">
        <f>IF(OR($A11="",$B11=0),0,$M11/$B11)</f>
        <v/>
      </c>
      <c r="O11" s="17">
        <f>IF($A11="","",IF((1-$E11)&lt;=0,0,IF($D11=0,0,ROUND(($C11+$G11+$H11+$I11+$J11)/$D11/(1-$E11),2))))</f>
        <v/>
      </c>
      <c r="P11" s="17">
        <f>IF($A11="","",IFERROR(SUMIF(tblAnahtarA[Norm],$A11,tblGirdi[HedefNet]),0))</f>
        <v/>
      </c>
      <c r="Q11" s="17">
        <f>IF($A11="","",ROUND($M11-$P11,2))</f>
        <v/>
      </c>
      <c r="R11" s="17">
        <f>IF($A11="","",ROUND($B11-$K11,2))</f>
        <v/>
      </c>
      <c r="S11" s="17">
        <f>IF($A11="","",IF($N11&lt;0,"ÇEKİL",IF($N11&lt;tyk_esikMarjDusuk,"ZAM","SAT")))</f>
        <v/>
      </c>
      <c r="T11" s="17">
        <f>IF($A11="","",$L11-$F11)</f>
        <v/>
      </c>
      <c r="U11" s="17">
        <f>IF($A11="","",$M11-$Q11)</f>
        <v/>
      </c>
      <c r="V11" s="17">
        <f>IF($A11="","",$R11-$M11)</f>
        <v/>
      </c>
    </row>
    <row r="12">
      <c r="A12" s="17">
        <f>IF('ANAHTAR'!$B12="","",'ANAHTAR'!$B12)</f>
        <v/>
      </c>
      <c r="B12" s="17">
        <f>IF($A12="","",IFERROR(SUMIF(tblAnahtarA[Norm],$A12,tblGirdi[ToplamSatis]),0))</f>
        <v/>
      </c>
      <c r="C12" s="17">
        <f>IF($A12="","",IFERROR(SUMIF(tblAnahtarA[Norm],$A12,tblGirdi[Maliyet])*IFERROR(SUMIF(tblAnahtarA[Norm],$A12,tblGirdi[Miktar]),1),0))</f>
        <v/>
      </c>
      <c r="D12" s="17">
        <f>IF($A12="","",IFERROR(SUMIF(tblAnahtarA[Norm],$A12,tblGirdi[Miktar]),0))</f>
        <v/>
      </c>
      <c r="E12" s="17">
        <f>IF($A12="","",IFERROR(SUMIF(tblAnahtarA[Norm],$A12,tblGirdi[KomisyonOran]),0))</f>
        <v/>
      </c>
      <c r="F12" s="17">
        <f>IF($A12="","",ROUND($B12*$E12,2))</f>
        <v/>
      </c>
      <c r="G12" s="17">
        <f>IF($A12="","",IFERROR(SUMIF(tblAnahtarB[NormB],$A12,tblHakedis[TyPlus]),0))</f>
        <v/>
      </c>
      <c r="H12" s="17">
        <f>IF($A12="","",IFERROR(SUMIF(tblAnahtarB[NormB],$A12,tblHakedis[FlasKesinti]),0))</f>
        <v/>
      </c>
      <c r="I12" s="17">
        <f>IF($A12="","",IFERROR(SUMIF(tblAnahtarB[NormB],$A12,tblHakedis[UrunReklam]),0))</f>
        <v/>
      </c>
      <c r="J12" s="17">
        <f>IF($A12="","",IFERROR(SUMIF(tblAnahtarB[NormB],$A12,tblHakedis[DesiKargo]),0))</f>
        <v/>
      </c>
      <c r="K12" s="17">
        <f>IF($A12="","",ROUND($F12+$G12+$H12+$I12+$J12,2))</f>
        <v/>
      </c>
      <c r="L12" s="17">
        <f>IF($A12="","",ROUND($B12-$C12,2))</f>
        <v/>
      </c>
      <c r="M12" s="17">
        <f>IF($A12="","",ROUND($B12-$C12-$K12,2))</f>
        <v/>
      </c>
      <c r="N12" s="17">
        <f>IF(OR($A12="",$B12=0),0,$M12/$B12)</f>
        <v/>
      </c>
      <c r="O12" s="17">
        <f>IF($A12="","",IF((1-$E12)&lt;=0,0,IF($D12=0,0,ROUND(($C12+$G12+$H12+$I12+$J12)/$D12/(1-$E12),2))))</f>
        <v/>
      </c>
      <c r="P12" s="17">
        <f>IF($A12="","",IFERROR(SUMIF(tblAnahtarA[Norm],$A12,tblGirdi[HedefNet]),0))</f>
        <v/>
      </c>
      <c r="Q12" s="17">
        <f>IF($A12="","",ROUND($M12-$P12,2))</f>
        <v/>
      </c>
      <c r="R12" s="17">
        <f>IF($A12="","",ROUND($B12-$K12,2))</f>
        <v/>
      </c>
      <c r="S12" s="17">
        <f>IF($A12="","",IF($N12&lt;0,"ÇEKİL",IF($N12&lt;tyk_esikMarjDusuk,"ZAM","SAT")))</f>
        <v/>
      </c>
      <c r="T12" s="17">
        <f>IF($A12="","",$L12-$F12)</f>
        <v/>
      </c>
      <c r="U12" s="17">
        <f>IF($A12="","",$M12-$Q12)</f>
        <v/>
      </c>
      <c r="V12" s="17">
        <f>IF($A12="","",$R12-$M12)</f>
        <v/>
      </c>
    </row>
    <row r="13">
      <c r="A13" s="17">
        <f>IF('ANAHTAR'!$B13="","",'ANAHTAR'!$B13)</f>
        <v/>
      </c>
      <c r="B13" s="17">
        <f>IF($A13="","",IFERROR(SUMIF(tblAnahtarA[Norm],$A13,tblGirdi[ToplamSatis]),0))</f>
        <v/>
      </c>
      <c r="C13" s="17">
        <f>IF($A13="","",IFERROR(SUMIF(tblAnahtarA[Norm],$A13,tblGirdi[Maliyet])*IFERROR(SUMIF(tblAnahtarA[Norm],$A13,tblGirdi[Miktar]),1),0))</f>
        <v/>
      </c>
      <c r="D13" s="17">
        <f>IF($A13="","",IFERROR(SUMIF(tblAnahtarA[Norm],$A13,tblGirdi[Miktar]),0))</f>
        <v/>
      </c>
      <c r="E13" s="17">
        <f>IF($A13="","",IFERROR(SUMIF(tblAnahtarA[Norm],$A13,tblGirdi[KomisyonOran]),0))</f>
        <v/>
      </c>
      <c r="F13" s="17">
        <f>IF($A13="","",ROUND($B13*$E13,2))</f>
        <v/>
      </c>
      <c r="G13" s="17">
        <f>IF($A13="","",IFERROR(SUMIF(tblAnahtarB[NormB],$A13,tblHakedis[TyPlus]),0))</f>
        <v/>
      </c>
      <c r="H13" s="17">
        <f>IF($A13="","",IFERROR(SUMIF(tblAnahtarB[NormB],$A13,tblHakedis[FlasKesinti]),0))</f>
        <v/>
      </c>
      <c r="I13" s="17">
        <f>IF($A13="","",IFERROR(SUMIF(tblAnahtarB[NormB],$A13,tblHakedis[UrunReklam]),0))</f>
        <v/>
      </c>
      <c r="J13" s="17">
        <f>IF($A13="","",IFERROR(SUMIF(tblAnahtarB[NormB],$A13,tblHakedis[DesiKargo]),0))</f>
        <v/>
      </c>
      <c r="K13" s="17">
        <f>IF($A13="","",ROUND($F13+$G13+$H13+$I13+$J13,2))</f>
        <v/>
      </c>
      <c r="L13" s="17">
        <f>IF($A13="","",ROUND($B13-$C13,2))</f>
        <v/>
      </c>
      <c r="M13" s="17">
        <f>IF($A13="","",ROUND($B13-$C13-$K13,2))</f>
        <v/>
      </c>
      <c r="N13" s="17">
        <f>IF(OR($A13="",$B13=0),0,$M13/$B13)</f>
        <v/>
      </c>
      <c r="O13" s="17">
        <f>IF($A13="","",IF((1-$E13)&lt;=0,0,IF($D13=0,0,ROUND(($C13+$G13+$H13+$I13+$J13)/$D13/(1-$E13),2))))</f>
        <v/>
      </c>
      <c r="P13" s="17">
        <f>IF($A13="","",IFERROR(SUMIF(tblAnahtarA[Norm],$A13,tblGirdi[HedefNet]),0))</f>
        <v/>
      </c>
      <c r="Q13" s="17">
        <f>IF($A13="","",ROUND($M13-$P13,2))</f>
        <v/>
      </c>
      <c r="R13" s="17">
        <f>IF($A13="","",ROUND($B13-$K13,2))</f>
        <v/>
      </c>
      <c r="S13" s="17">
        <f>IF($A13="","",IF($N13&lt;0,"ÇEKİL",IF($N13&lt;tyk_esikMarjDusuk,"ZAM","SAT")))</f>
        <v/>
      </c>
      <c r="T13" s="17">
        <f>IF($A13="","",$L13-$F13)</f>
        <v/>
      </c>
      <c r="U13" s="17">
        <f>IF($A13="","",$M13-$Q13)</f>
        <v/>
      </c>
      <c r="V13" s="17">
        <f>IF($A13="","",$R13-$M13)</f>
        <v/>
      </c>
    </row>
    <row r="14">
      <c r="A14" s="17">
        <f>IF('ANAHTAR'!$B14="","",'ANAHTAR'!$B14)</f>
        <v/>
      </c>
      <c r="B14" s="17">
        <f>IF($A14="","",IFERROR(SUMIF(tblAnahtarA[Norm],$A14,tblGirdi[ToplamSatis]),0))</f>
        <v/>
      </c>
      <c r="C14" s="17">
        <f>IF($A14="","",IFERROR(SUMIF(tblAnahtarA[Norm],$A14,tblGirdi[Maliyet])*IFERROR(SUMIF(tblAnahtarA[Norm],$A14,tblGirdi[Miktar]),1),0))</f>
        <v/>
      </c>
      <c r="D14" s="17">
        <f>IF($A14="","",IFERROR(SUMIF(tblAnahtarA[Norm],$A14,tblGirdi[Miktar]),0))</f>
        <v/>
      </c>
      <c r="E14" s="17">
        <f>IF($A14="","",IFERROR(SUMIF(tblAnahtarA[Norm],$A14,tblGirdi[KomisyonOran]),0))</f>
        <v/>
      </c>
      <c r="F14" s="17">
        <f>IF($A14="","",ROUND($B14*$E14,2))</f>
        <v/>
      </c>
      <c r="G14" s="17">
        <f>IF($A14="","",IFERROR(SUMIF(tblAnahtarB[NormB],$A14,tblHakedis[TyPlus]),0))</f>
        <v/>
      </c>
      <c r="H14" s="17">
        <f>IF($A14="","",IFERROR(SUMIF(tblAnahtarB[NormB],$A14,tblHakedis[FlasKesinti]),0))</f>
        <v/>
      </c>
      <c r="I14" s="17">
        <f>IF($A14="","",IFERROR(SUMIF(tblAnahtarB[NormB],$A14,tblHakedis[UrunReklam]),0))</f>
        <v/>
      </c>
      <c r="J14" s="17">
        <f>IF($A14="","",IFERROR(SUMIF(tblAnahtarB[NormB],$A14,tblHakedis[DesiKargo]),0))</f>
        <v/>
      </c>
      <c r="K14" s="17">
        <f>IF($A14="","",ROUND($F14+$G14+$H14+$I14+$J14,2))</f>
        <v/>
      </c>
      <c r="L14" s="17">
        <f>IF($A14="","",ROUND($B14-$C14,2))</f>
        <v/>
      </c>
      <c r="M14" s="17">
        <f>IF($A14="","",ROUND($B14-$C14-$K14,2))</f>
        <v/>
      </c>
      <c r="N14" s="17">
        <f>IF(OR($A14="",$B14=0),0,$M14/$B14)</f>
        <v/>
      </c>
      <c r="O14" s="17">
        <f>IF($A14="","",IF((1-$E14)&lt;=0,0,IF($D14=0,0,ROUND(($C14+$G14+$H14+$I14+$J14)/$D14/(1-$E14),2))))</f>
        <v/>
      </c>
      <c r="P14" s="17">
        <f>IF($A14="","",IFERROR(SUMIF(tblAnahtarA[Norm],$A14,tblGirdi[HedefNet]),0))</f>
        <v/>
      </c>
      <c r="Q14" s="17">
        <f>IF($A14="","",ROUND($M14-$P14,2))</f>
        <v/>
      </c>
      <c r="R14" s="17">
        <f>IF($A14="","",ROUND($B14-$K14,2))</f>
        <v/>
      </c>
      <c r="S14" s="17">
        <f>IF($A14="","",IF($N14&lt;0,"ÇEKİL",IF($N14&lt;tyk_esikMarjDusuk,"ZAM","SAT")))</f>
        <v/>
      </c>
      <c r="T14" s="17">
        <f>IF($A14="","",$L14-$F14)</f>
        <v/>
      </c>
      <c r="U14" s="17">
        <f>IF($A14="","",$M14-$Q14)</f>
        <v/>
      </c>
      <c r="V14" s="17">
        <f>IF($A14="","",$R14-$M14)</f>
        <v/>
      </c>
    </row>
    <row r="15">
      <c r="A15" s="17">
        <f>IF('ANAHTAR'!$B15="","",'ANAHTAR'!$B15)</f>
        <v/>
      </c>
      <c r="B15" s="17">
        <f>IF($A15="","",IFERROR(SUMIF(tblAnahtarA[Norm],$A15,tblGirdi[ToplamSatis]),0))</f>
        <v/>
      </c>
      <c r="C15" s="17">
        <f>IF($A15="","",IFERROR(SUMIF(tblAnahtarA[Norm],$A15,tblGirdi[Maliyet])*IFERROR(SUMIF(tblAnahtarA[Norm],$A15,tblGirdi[Miktar]),1),0))</f>
        <v/>
      </c>
      <c r="D15" s="17">
        <f>IF($A15="","",IFERROR(SUMIF(tblAnahtarA[Norm],$A15,tblGirdi[Miktar]),0))</f>
        <v/>
      </c>
      <c r="E15" s="17">
        <f>IF($A15="","",IFERROR(SUMIF(tblAnahtarA[Norm],$A15,tblGirdi[KomisyonOran]),0))</f>
        <v/>
      </c>
      <c r="F15" s="17">
        <f>IF($A15="","",ROUND($B15*$E15,2))</f>
        <v/>
      </c>
      <c r="G15" s="17">
        <f>IF($A15="","",IFERROR(SUMIF(tblAnahtarB[NormB],$A15,tblHakedis[TyPlus]),0))</f>
        <v/>
      </c>
      <c r="H15" s="17">
        <f>IF($A15="","",IFERROR(SUMIF(tblAnahtarB[NormB],$A15,tblHakedis[FlasKesinti]),0))</f>
        <v/>
      </c>
      <c r="I15" s="17">
        <f>IF($A15="","",IFERROR(SUMIF(tblAnahtarB[NormB],$A15,tblHakedis[UrunReklam]),0))</f>
        <v/>
      </c>
      <c r="J15" s="17">
        <f>IF($A15="","",IFERROR(SUMIF(tblAnahtarB[NormB],$A15,tblHakedis[DesiKargo]),0))</f>
        <v/>
      </c>
      <c r="K15" s="17">
        <f>IF($A15="","",ROUND($F15+$G15+$H15+$I15+$J15,2))</f>
        <v/>
      </c>
      <c r="L15" s="17">
        <f>IF($A15="","",ROUND($B15-$C15,2))</f>
        <v/>
      </c>
      <c r="M15" s="17">
        <f>IF($A15="","",ROUND($B15-$C15-$K15,2))</f>
        <v/>
      </c>
      <c r="N15" s="17">
        <f>IF(OR($A15="",$B15=0),0,$M15/$B15)</f>
        <v/>
      </c>
      <c r="O15" s="17">
        <f>IF($A15="","",IF((1-$E15)&lt;=0,0,IF($D15=0,0,ROUND(($C15+$G15+$H15+$I15+$J15)/$D15/(1-$E15),2))))</f>
        <v/>
      </c>
      <c r="P15" s="17">
        <f>IF($A15="","",IFERROR(SUMIF(tblAnahtarA[Norm],$A15,tblGirdi[HedefNet]),0))</f>
        <v/>
      </c>
      <c r="Q15" s="17">
        <f>IF($A15="","",ROUND($M15-$P15,2))</f>
        <v/>
      </c>
      <c r="R15" s="17">
        <f>IF($A15="","",ROUND($B15-$K15,2))</f>
        <v/>
      </c>
      <c r="S15" s="17">
        <f>IF($A15="","",IF($N15&lt;0,"ÇEKİL",IF($N15&lt;tyk_esikMarjDusuk,"ZAM","SAT")))</f>
        <v/>
      </c>
      <c r="T15" s="17">
        <f>IF($A15="","",$L15-$F15)</f>
        <v/>
      </c>
      <c r="U15" s="17">
        <f>IF($A15="","",$M15-$Q15)</f>
        <v/>
      </c>
      <c r="V15" s="17">
        <f>IF($A15="","",$R15-$M15)</f>
        <v/>
      </c>
    </row>
    <row r="16">
      <c r="A16" s="17">
        <f>IF('ANAHTAR'!$B16="","",'ANAHTAR'!$B16)</f>
        <v/>
      </c>
      <c r="B16" s="17">
        <f>IF($A16="","",IFERROR(SUMIF(tblAnahtarA[Norm],$A16,tblGirdi[ToplamSatis]),0))</f>
        <v/>
      </c>
      <c r="C16" s="17">
        <f>IF($A16="","",IFERROR(SUMIF(tblAnahtarA[Norm],$A16,tblGirdi[Maliyet])*IFERROR(SUMIF(tblAnahtarA[Norm],$A16,tblGirdi[Miktar]),1),0))</f>
        <v/>
      </c>
      <c r="D16" s="17">
        <f>IF($A16="","",IFERROR(SUMIF(tblAnahtarA[Norm],$A16,tblGirdi[Miktar]),0))</f>
        <v/>
      </c>
      <c r="E16" s="17">
        <f>IF($A16="","",IFERROR(SUMIF(tblAnahtarA[Norm],$A16,tblGirdi[KomisyonOran]),0))</f>
        <v/>
      </c>
      <c r="F16" s="17">
        <f>IF($A16="","",ROUND($B16*$E16,2))</f>
        <v/>
      </c>
      <c r="G16" s="17">
        <f>IF($A16="","",IFERROR(SUMIF(tblAnahtarB[NormB],$A16,tblHakedis[TyPlus]),0))</f>
        <v/>
      </c>
      <c r="H16" s="17">
        <f>IF($A16="","",IFERROR(SUMIF(tblAnahtarB[NormB],$A16,tblHakedis[FlasKesinti]),0))</f>
        <v/>
      </c>
      <c r="I16" s="17">
        <f>IF($A16="","",IFERROR(SUMIF(tblAnahtarB[NormB],$A16,tblHakedis[UrunReklam]),0))</f>
        <v/>
      </c>
      <c r="J16" s="17">
        <f>IF($A16="","",IFERROR(SUMIF(tblAnahtarB[NormB],$A16,tblHakedis[DesiKargo]),0))</f>
        <v/>
      </c>
      <c r="K16" s="17">
        <f>IF($A16="","",ROUND($F16+$G16+$H16+$I16+$J16,2))</f>
        <v/>
      </c>
      <c r="L16" s="17">
        <f>IF($A16="","",ROUND($B16-$C16,2))</f>
        <v/>
      </c>
      <c r="M16" s="17">
        <f>IF($A16="","",ROUND($B16-$C16-$K16,2))</f>
        <v/>
      </c>
      <c r="N16" s="17">
        <f>IF(OR($A16="",$B16=0),0,$M16/$B16)</f>
        <v/>
      </c>
      <c r="O16" s="17">
        <f>IF($A16="","",IF((1-$E16)&lt;=0,0,IF($D16=0,0,ROUND(($C16+$G16+$H16+$I16+$J16)/$D16/(1-$E16),2))))</f>
        <v/>
      </c>
      <c r="P16" s="17">
        <f>IF($A16="","",IFERROR(SUMIF(tblAnahtarA[Norm],$A16,tblGirdi[HedefNet]),0))</f>
        <v/>
      </c>
      <c r="Q16" s="17">
        <f>IF($A16="","",ROUND($M16-$P16,2))</f>
        <v/>
      </c>
      <c r="R16" s="17">
        <f>IF($A16="","",ROUND($B16-$K16,2))</f>
        <v/>
      </c>
      <c r="S16" s="17">
        <f>IF($A16="","",IF($N16&lt;0,"ÇEKİL",IF($N16&lt;tyk_esikMarjDusuk,"ZAM","SAT")))</f>
        <v/>
      </c>
      <c r="T16" s="17">
        <f>IF($A16="","",$L16-$F16)</f>
        <v/>
      </c>
      <c r="U16" s="17">
        <f>IF($A16="","",$M16-$Q16)</f>
        <v/>
      </c>
      <c r="V16" s="17">
        <f>IF($A16="","",$R16-$M16)</f>
        <v/>
      </c>
    </row>
    <row r="17">
      <c r="A17" s="17">
        <f>IF('ANAHTAR'!$B17="","",'ANAHTAR'!$B17)</f>
        <v/>
      </c>
      <c r="B17" s="17">
        <f>IF($A17="","",IFERROR(SUMIF(tblAnahtarA[Norm],$A17,tblGirdi[ToplamSatis]),0))</f>
        <v/>
      </c>
      <c r="C17" s="17">
        <f>IF($A17="","",IFERROR(SUMIF(tblAnahtarA[Norm],$A17,tblGirdi[Maliyet])*IFERROR(SUMIF(tblAnahtarA[Norm],$A17,tblGirdi[Miktar]),1),0))</f>
        <v/>
      </c>
      <c r="D17" s="17">
        <f>IF($A17="","",IFERROR(SUMIF(tblAnahtarA[Norm],$A17,tblGirdi[Miktar]),0))</f>
        <v/>
      </c>
      <c r="E17" s="17">
        <f>IF($A17="","",IFERROR(SUMIF(tblAnahtarA[Norm],$A17,tblGirdi[KomisyonOran]),0))</f>
        <v/>
      </c>
      <c r="F17" s="17">
        <f>IF($A17="","",ROUND($B17*$E17,2))</f>
        <v/>
      </c>
      <c r="G17" s="17">
        <f>IF($A17="","",IFERROR(SUMIF(tblAnahtarB[NormB],$A17,tblHakedis[TyPlus]),0))</f>
        <v/>
      </c>
      <c r="H17" s="17">
        <f>IF($A17="","",IFERROR(SUMIF(tblAnahtarB[NormB],$A17,tblHakedis[FlasKesinti]),0))</f>
        <v/>
      </c>
      <c r="I17" s="17">
        <f>IF($A17="","",IFERROR(SUMIF(tblAnahtarB[NormB],$A17,tblHakedis[UrunReklam]),0))</f>
        <v/>
      </c>
      <c r="J17" s="17">
        <f>IF($A17="","",IFERROR(SUMIF(tblAnahtarB[NormB],$A17,tblHakedis[DesiKargo]),0))</f>
        <v/>
      </c>
      <c r="K17" s="17">
        <f>IF($A17="","",ROUND($F17+$G17+$H17+$I17+$J17,2))</f>
        <v/>
      </c>
      <c r="L17" s="17">
        <f>IF($A17="","",ROUND($B17-$C17,2))</f>
        <v/>
      </c>
      <c r="M17" s="17">
        <f>IF($A17="","",ROUND($B17-$C17-$K17,2))</f>
        <v/>
      </c>
      <c r="N17" s="17">
        <f>IF(OR($A17="",$B17=0),0,$M17/$B17)</f>
        <v/>
      </c>
      <c r="O17" s="17">
        <f>IF($A17="","",IF((1-$E17)&lt;=0,0,IF($D17=0,0,ROUND(($C17+$G17+$H17+$I17+$J17)/$D17/(1-$E17),2))))</f>
        <v/>
      </c>
      <c r="P17" s="17">
        <f>IF($A17="","",IFERROR(SUMIF(tblAnahtarA[Norm],$A17,tblGirdi[HedefNet]),0))</f>
        <v/>
      </c>
      <c r="Q17" s="17">
        <f>IF($A17="","",ROUND($M17-$P17,2))</f>
        <v/>
      </c>
      <c r="R17" s="17">
        <f>IF($A17="","",ROUND($B17-$K17,2))</f>
        <v/>
      </c>
      <c r="S17" s="17">
        <f>IF($A17="","",IF($N17&lt;0,"ÇEKİL",IF($N17&lt;tyk_esikMarjDusuk,"ZAM","SAT")))</f>
        <v/>
      </c>
      <c r="T17" s="17">
        <f>IF($A17="","",$L17-$F17)</f>
        <v/>
      </c>
      <c r="U17" s="17">
        <f>IF($A17="","",$M17-$Q17)</f>
        <v/>
      </c>
      <c r="V17" s="17">
        <f>IF($A17="","",$R17-$M17)</f>
        <v/>
      </c>
    </row>
    <row r="18">
      <c r="A18" s="17">
        <f>IF('ANAHTAR'!$B18="","",'ANAHTAR'!$B18)</f>
        <v/>
      </c>
      <c r="B18" s="17">
        <f>IF($A18="","",IFERROR(SUMIF(tblAnahtarA[Norm],$A18,tblGirdi[ToplamSatis]),0))</f>
        <v/>
      </c>
      <c r="C18" s="17">
        <f>IF($A18="","",IFERROR(SUMIF(tblAnahtarA[Norm],$A18,tblGirdi[Maliyet])*IFERROR(SUMIF(tblAnahtarA[Norm],$A18,tblGirdi[Miktar]),1),0))</f>
        <v/>
      </c>
      <c r="D18" s="17">
        <f>IF($A18="","",IFERROR(SUMIF(tblAnahtarA[Norm],$A18,tblGirdi[Miktar]),0))</f>
        <v/>
      </c>
      <c r="E18" s="17">
        <f>IF($A18="","",IFERROR(SUMIF(tblAnahtarA[Norm],$A18,tblGirdi[KomisyonOran]),0))</f>
        <v/>
      </c>
      <c r="F18" s="17">
        <f>IF($A18="","",ROUND($B18*$E18,2))</f>
        <v/>
      </c>
      <c r="G18" s="17">
        <f>IF($A18="","",IFERROR(SUMIF(tblAnahtarB[NormB],$A18,tblHakedis[TyPlus]),0))</f>
        <v/>
      </c>
      <c r="H18" s="17">
        <f>IF($A18="","",IFERROR(SUMIF(tblAnahtarB[NormB],$A18,tblHakedis[FlasKesinti]),0))</f>
        <v/>
      </c>
      <c r="I18" s="17">
        <f>IF($A18="","",IFERROR(SUMIF(tblAnahtarB[NormB],$A18,tblHakedis[UrunReklam]),0))</f>
        <v/>
      </c>
      <c r="J18" s="17">
        <f>IF($A18="","",IFERROR(SUMIF(tblAnahtarB[NormB],$A18,tblHakedis[DesiKargo]),0))</f>
        <v/>
      </c>
      <c r="K18" s="17">
        <f>IF($A18="","",ROUND($F18+$G18+$H18+$I18+$J18,2))</f>
        <v/>
      </c>
      <c r="L18" s="17">
        <f>IF($A18="","",ROUND($B18-$C18,2))</f>
        <v/>
      </c>
      <c r="M18" s="17">
        <f>IF($A18="","",ROUND($B18-$C18-$K18,2))</f>
        <v/>
      </c>
      <c r="N18" s="17">
        <f>IF(OR($A18="",$B18=0),0,$M18/$B18)</f>
        <v/>
      </c>
      <c r="O18" s="17">
        <f>IF($A18="","",IF((1-$E18)&lt;=0,0,IF($D18=0,0,ROUND(($C18+$G18+$H18+$I18+$J18)/$D18/(1-$E18),2))))</f>
        <v/>
      </c>
      <c r="P18" s="17">
        <f>IF($A18="","",IFERROR(SUMIF(tblAnahtarA[Norm],$A18,tblGirdi[HedefNet]),0))</f>
        <v/>
      </c>
      <c r="Q18" s="17">
        <f>IF($A18="","",ROUND($M18-$P18,2))</f>
        <v/>
      </c>
      <c r="R18" s="17">
        <f>IF($A18="","",ROUND($B18-$K18,2))</f>
        <v/>
      </c>
      <c r="S18" s="17">
        <f>IF($A18="","",IF($N18&lt;0,"ÇEKİL",IF($N18&lt;tyk_esikMarjDusuk,"ZAM","SAT")))</f>
        <v/>
      </c>
      <c r="T18" s="17">
        <f>IF($A18="","",$L18-$F18)</f>
        <v/>
      </c>
      <c r="U18" s="17">
        <f>IF($A18="","",$M18-$Q18)</f>
        <v/>
      </c>
      <c r="V18" s="17">
        <f>IF($A18="","",$R18-$M18)</f>
        <v/>
      </c>
    </row>
    <row r="19">
      <c r="A19" s="17">
        <f>IF('ANAHTAR'!$B19="","",'ANAHTAR'!$B19)</f>
        <v/>
      </c>
      <c r="B19" s="17">
        <f>IF($A19="","",IFERROR(SUMIF(tblAnahtarA[Norm],$A19,tblGirdi[ToplamSatis]),0))</f>
        <v/>
      </c>
      <c r="C19" s="17">
        <f>IF($A19="","",IFERROR(SUMIF(tblAnahtarA[Norm],$A19,tblGirdi[Maliyet])*IFERROR(SUMIF(tblAnahtarA[Norm],$A19,tblGirdi[Miktar]),1),0))</f>
        <v/>
      </c>
      <c r="D19" s="17">
        <f>IF($A19="","",IFERROR(SUMIF(tblAnahtarA[Norm],$A19,tblGirdi[Miktar]),0))</f>
        <v/>
      </c>
      <c r="E19" s="17">
        <f>IF($A19="","",IFERROR(SUMIF(tblAnahtarA[Norm],$A19,tblGirdi[KomisyonOran]),0))</f>
        <v/>
      </c>
      <c r="F19" s="17">
        <f>IF($A19="","",ROUND($B19*$E19,2))</f>
        <v/>
      </c>
      <c r="G19" s="17">
        <f>IF($A19="","",IFERROR(SUMIF(tblAnahtarB[NormB],$A19,tblHakedis[TyPlus]),0))</f>
        <v/>
      </c>
      <c r="H19" s="17">
        <f>IF($A19="","",IFERROR(SUMIF(tblAnahtarB[NormB],$A19,tblHakedis[FlasKesinti]),0))</f>
        <v/>
      </c>
      <c r="I19" s="17">
        <f>IF($A19="","",IFERROR(SUMIF(tblAnahtarB[NormB],$A19,tblHakedis[UrunReklam]),0))</f>
        <v/>
      </c>
      <c r="J19" s="17">
        <f>IF($A19="","",IFERROR(SUMIF(tblAnahtarB[NormB],$A19,tblHakedis[DesiKargo]),0))</f>
        <v/>
      </c>
      <c r="K19" s="17">
        <f>IF($A19="","",ROUND($F19+$G19+$H19+$I19+$J19,2))</f>
        <v/>
      </c>
      <c r="L19" s="17">
        <f>IF($A19="","",ROUND($B19-$C19,2))</f>
        <v/>
      </c>
      <c r="M19" s="17">
        <f>IF($A19="","",ROUND($B19-$C19-$K19,2))</f>
        <v/>
      </c>
      <c r="N19" s="17">
        <f>IF(OR($A19="",$B19=0),0,$M19/$B19)</f>
        <v/>
      </c>
      <c r="O19" s="17">
        <f>IF($A19="","",IF((1-$E19)&lt;=0,0,IF($D19=0,0,ROUND(($C19+$G19+$H19+$I19+$J19)/$D19/(1-$E19),2))))</f>
        <v/>
      </c>
      <c r="P19" s="17">
        <f>IF($A19="","",IFERROR(SUMIF(tblAnahtarA[Norm],$A19,tblGirdi[HedefNet]),0))</f>
        <v/>
      </c>
      <c r="Q19" s="17">
        <f>IF($A19="","",ROUND($M19-$P19,2))</f>
        <v/>
      </c>
      <c r="R19" s="17">
        <f>IF($A19="","",ROUND($B19-$K19,2))</f>
        <v/>
      </c>
      <c r="S19" s="17">
        <f>IF($A19="","",IF($N19&lt;0,"ÇEKİL",IF($N19&lt;tyk_esikMarjDusuk,"ZAM","SAT")))</f>
        <v/>
      </c>
      <c r="T19" s="17">
        <f>IF($A19="","",$L19-$F19)</f>
        <v/>
      </c>
      <c r="U19" s="17">
        <f>IF($A19="","",$M19-$Q19)</f>
        <v/>
      </c>
      <c r="V19" s="17">
        <f>IF($A19="","",$R19-$M19)</f>
        <v/>
      </c>
    </row>
    <row r="20">
      <c r="A20" s="17">
        <f>IF('ANAHTAR'!$B20="","",'ANAHTAR'!$B20)</f>
        <v/>
      </c>
      <c r="B20" s="17">
        <f>IF($A20="","",IFERROR(SUMIF(tblAnahtarA[Norm],$A20,tblGirdi[ToplamSatis]),0))</f>
        <v/>
      </c>
      <c r="C20" s="17">
        <f>IF($A20="","",IFERROR(SUMIF(tblAnahtarA[Norm],$A20,tblGirdi[Maliyet])*IFERROR(SUMIF(tblAnahtarA[Norm],$A20,tblGirdi[Miktar]),1),0))</f>
        <v/>
      </c>
      <c r="D20" s="17">
        <f>IF($A20="","",IFERROR(SUMIF(tblAnahtarA[Norm],$A20,tblGirdi[Miktar]),0))</f>
        <v/>
      </c>
      <c r="E20" s="17">
        <f>IF($A20="","",IFERROR(SUMIF(tblAnahtarA[Norm],$A20,tblGirdi[KomisyonOran]),0))</f>
        <v/>
      </c>
      <c r="F20" s="17">
        <f>IF($A20="","",ROUND($B20*$E20,2))</f>
        <v/>
      </c>
      <c r="G20" s="17">
        <f>IF($A20="","",IFERROR(SUMIF(tblAnahtarB[NormB],$A20,tblHakedis[TyPlus]),0))</f>
        <v/>
      </c>
      <c r="H20" s="17">
        <f>IF($A20="","",IFERROR(SUMIF(tblAnahtarB[NormB],$A20,tblHakedis[FlasKesinti]),0))</f>
        <v/>
      </c>
      <c r="I20" s="17">
        <f>IF($A20="","",IFERROR(SUMIF(tblAnahtarB[NormB],$A20,tblHakedis[UrunReklam]),0))</f>
        <v/>
      </c>
      <c r="J20" s="17">
        <f>IF($A20="","",IFERROR(SUMIF(tblAnahtarB[NormB],$A20,tblHakedis[DesiKargo]),0))</f>
        <v/>
      </c>
      <c r="K20" s="17">
        <f>IF($A20="","",ROUND($F20+$G20+$H20+$I20+$J20,2))</f>
        <v/>
      </c>
      <c r="L20" s="17">
        <f>IF($A20="","",ROUND($B20-$C20,2))</f>
        <v/>
      </c>
      <c r="M20" s="17">
        <f>IF($A20="","",ROUND($B20-$C20-$K20,2))</f>
        <v/>
      </c>
      <c r="N20" s="17">
        <f>IF(OR($A20="",$B20=0),0,$M20/$B20)</f>
        <v/>
      </c>
      <c r="O20" s="17">
        <f>IF($A20="","",IF((1-$E20)&lt;=0,0,IF($D20=0,0,ROUND(($C20+$G20+$H20+$I20+$J20)/$D20/(1-$E20),2))))</f>
        <v/>
      </c>
      <c r="P20" s="17">
        <f>IF($A20="","",IFERROR(SUMIF(tblAnahtarA[Norm],$A20,tblGirdi[HedefNet]),0))</f>
        <v/>
      </c>
      <c r="Q20" s="17">
        <f>IF($A20="","",ROUND($M20-$P20,2))</f>
        <v/>
      </c>
      <c r="R20" s="17">
        <f>IF($A20="","",ROUND($B20-$K20,2))</f>
        <v/>
      </c>
      <c r="S20" s="17">
        <f>IF($A20="","",IF($N20&lt;0,"ÇEKİL",IF($N20&lt;tyk_esikMarjDusuk,"ZAM","SAT")))</f>
        <v/>
      </c>
      <c r="T20" s="17">
        <f>IF($A20="","",$L20-$F20)</f>
        <v/>
      </c>
      <c r="U20" s="17">
        <f>IF($A20="","",$M20-$Q20)</f>
        <v/>
      </c>
      <c r="V20" s="17">
        <f>IF($A20="","",$R20-$M20)</f>
        <v/>
      </c>
    </row>
    <row r="21">
      <c r="A21" s="17">
        <f>IF('ANAHTAR'!$B21="","",'ANAHTAR'!$B21)</f>
        <v/>
      </c>
      <c r="B21" s="17">
        <f>IF($A21="","",IFERROR(SUMIF(tblAnahtarA[Norm],$A21,tblGirdi[ToplamSatis]),0))</f>
        <v/>
      </c>
      <c r="C21" s="17">
        <f>IF($A21="","",IFERROR(SUMIF(tblAnahtarA[Norm],$A21,tblGirdi[Maliyet])*IFERROR(SUMIF(tblAnahtarA[Norm],$A21,tblGirdi[Miktar]),1),0))</f>
        <v/>
      </c>
      <c r="D21" s="17">
        <f>IF($A21="","",IFERROR(SUMIF(tblAnahtarA[Norm],$A21,tblGirdi[Miktar]),0))</f>
        <v/>
      </c>
      <c r="E21" s="17">
        <f>IF($A21="","",IFERROR(SUMIF(tblAnahtarA[Norm],$A21,tblGirdi[KomisyonOran]),0))</f>
        <v/>
      </c>
      <c r="F21" s="17">
        <f>IF($A21="","",ROUND($B21*$E21,2))</f>
        <v/>
      </c>
      <c r="G21" s="17">
        <f>IF($A21="","",IFERROR(SUMIF(tblAnahtarB[NormB],$A21,tblHakedis[TyPlus]),0))</f>
        <v/>
      </c>
      <c r="H21" s="17">
        <f>IF($A21="","",IFERROR(SUMIF(tblAnahtarB[NormB],$A21,tblHakedis[FlasKesinti]),0))</f>
        <v/>
      </c>
      <c r="I21" s="17">
        <f>IF($A21="","",IFERROR(SUMIF(tblAnahtarB[NormB],$A21,tblHakedis[UrunReklam]),0))</f>
        <v/>
      </c>
      <c r="J21" s="17">
        <f>IF($A21="","",IFERROR(SUMIF(tblAnahtarB[NormB],$A21,tblHakedis[DesiKargo]),0))</f>
        <v/>
      </c>
      <c r="K21" s="17">
        <f>IF($A21="","",ROUND($F21+$G21+$H21+$I21+$J21,2))</f>
        <v/>
      </c>
      <c r="L21" s="17">
        <f>IF($A21="","",ROUND($B21-$C21,2))</f>
        <v/>
      </c>
      <c r="M21" s="17">
        <f>IF($A21="","",ROUND($B21-$C21-$K21,2))</f>
        <v/>
      </c>
      <c r="N21" s="17">
        <f>IF(OR($A21="",$B21=0),0,$M21/$B21)</f>
        <v/>
      </c>
      <c r="O21" s="17">
        <f>IF($A21="","",IF((1-$E21)&lt;=0,0,IF($D21=0,0,ROUND(($C21+$G21+$H21+$I21+$J21)/$D21/(1-$E21),2))))</f>
        <v/>
      </c>
      <c r="P21" s="17">
        <f>IF($A21="","",IFERROR(SUMIF(tblAnahtarA[Norm],$A21,tblGirdi[HedefNet]),0))</f>
        <v/>
      </c>
      <c r="Q21" s="17">
        <f>IF($A21="","",ROUND($M21-$P21,2))</f>
        <v/>
      </c>
      <c r="R21" s="17">
        <f>IF($A21="","",ROUND($B21-$K21,2))</f>
        <v/>
      </c>
      <c r="S21" s="17">
        <f>IF($A21="","",IF($N21&lt;0,"ÇEKİL",IF($N21&lt;tyk_esikMarjDusuk,"ZAM","SAT")))</f>
        <v/>
      </c>
      <c r="T21" s="17">
        <f>IF($A21="","",$L21-$F21)</f>
        <v/>
      </c>
      <c r="U21" s="17">
        <f>IF($A21="","",$M21-$Q21)</f>
        <v/>
      </c>
      <c r="V21" s="17">
        <f>IF($A21="","",$R21-$M21)</f>
        <v/>
      </c>
    </row>
    <row r="22">
      <c r="A22" s="17">
        <f>IF('ANAHTAR'!$B22="","",'ANAHTAR'!$B22)</f>
        <v/>
      </c>
      <c r="B22" s="17">
        <f>IF($A22="","",IFERROR(SUMIF(tblAnahtarA[Norm],$A22,tblGirdi[ToplamSatis]),0))</f>
        <v/>
      </c>
      <c r="C22" s="17">
        <f>IF($A22="","",IFERROR(SUMIF(tblAnahtarA[Norm],$A22,tblGirdi[Maliyet])*IFERROR(SUMIF(tblAnahtarA[Norm],$A22,tblGirdi[Miktar]),1),0))</f>
        <v/>
      </c>
      <c r="D22" s="17">
        <f>IF($A22="","",IFERROR(SUMIF(tblAnahtarA[Norm],$A22,tblGirdi[Miktar]),0))</f>
        <v/>
      </c>
      <c r="E22" s="17">
        <f>IF($A22="","",IFERROR(SUMIF(tblAnahtarA[Norm],$A22,tblGirdi[KomisyonOran]),0))</f>
        <v/>
      </c>
      <c r="F22" s="17">
        <f>IF($A22="","",ROUND($B22*$E22,2))</f>
        <v/>
      </c>
      <c r="G22" s="17">
        <f>IF($A22="","",IFERROR(SUMIF(tblAnahtarB[NormB],$A22,tblHakedis[TyPlus]),0))</f>
        <v/>
      </c>
      <c r="H22" s="17">
        <f>IF($A22="","",IFERROR(SUMIF(tblAnahtarB[NormB],$A22,tblHakedis[FlasKesinti]),0))</f>
        <v/>
      </c>
      <c r="I22" s="17">
        <f>IF($A22="","",IFERROR(SUMIF(tblAnahtarB[NormB],$A22,tblHakedis[UrunReklam]),0))</f>
        <v/>
      </c>
      <c r="J22" s="17">
        <f>IF($A22="","",IFERROR(SUMIF(tblAnahtarB[NormB],$A22,tblHakedis[DesiKargo]),0))</f>
        <v/>
      </c>
      <c r="K22" s="17">
        <f>IF($A22="","",ROUND($F22+$G22+$H22+$I22+$J22,2))</f>
        <v/>
      </c>
      <c r="L22" s="17">
        <f>IF($A22="","",ROUND($B22-$C22,2))</f>
        <v/>
      </c>
      <c r="M22" s="17">
        <f>IF($A22="","",ROUND($B22-$C22-$K22,2))</f>
        <v/>
      </c>
      <c r="N22" s="17">
        <f>IF(OR($A22="",$B22=0),0,$M22/$B22)</f>
        <v/>
      </c>
      <c r="O22" s="17">
        <f>IF($A22="","",IF((1-$E22)&lt;=0,0,IF($D22=0,0,ROUND(($C22+$G22+$H22+$I22+$J22)/$D22/(1-$E22),2))))</f>
        <v/>
      </c>
      <c r="P22" s="17">
        <f>IF($A22="","",IFERROR(SUMIF(tblAnahtarA[Norm],$A22,tblGirdi[HedefNet]),0))</f>
        <v/>
      </c>
      <c r="Q22" s="17">
        <f>IF($A22="","",ROUND($M22-$P22,2))</f>
        <v/>
      </c>
      <c r="R22" s="17">
        <f>IF($A22="","",ROUND($B22-$K22,2))</f>
        <v/>
      </c>
      <c r="S22" s="17">
        <f>IF($A22="","",IF($N22&lt;0,"ÇEKİL",IF($N22&lt;tyk_esikMarjDusuk,"ZAM","SAT")))</f>
        <v/>
      </c>
      <c r="T22" s="17">
        <f>IF($A22="","",$L22-$F22)</f>
        <v/>
      </c>
      <c r="U22" s="17">
        <f>IF($A22="","",$M22-$Q22)</f>
        <v/>
      </c>
      <c r="V22" s="17">
        <f>IF($A22="","",$R22-$M22)</f>
        <v/>
      </c>
    </row>
    <row r="23">
      <c r="A23" s="17">
        <f>IF('ANAHTAR'!$B23="","",'ANAHTAR'!$B23)</f>
        <v/>
      </c>
      <c r="B23" s="17">
        <f>IF($A23="","",IFERROR(SUMIF(tblAnahtarA[Norm],$A23,tblGirdi[ToplamSatis]),0))</f>
        <v/>
      </c>
      <c r="C23" s="17">
        <f>IF($A23="","",IFERROR(SUMIF(tblAnahtarA[Norm],$A23,tblGirdi[Maliyet])*IFERROR(SUMIF(tblAnahtarA[Norm],$A23,tblGirdi[Miktar]),1),0))</f>
        <v/>
      </c>
      <c r="D23" s="17">
        <f>IF($A23="","",IFERROR(SUMIF(tblAnahtarA[Norm],$A23,tblGirdi[Miktar]),0))</f>
        <v/>
      </c>
      <c r="E23" s="17">
        <f>IF($A23="","",IFERROR(SUMIF(tblAnahtarA[Norm],$A23,tblGirdi[KomisyonOran]),0))</f>
        <v/>
      </c>
      <c r="F23" s="17">
        <f>IF($A23="","",ROUND($B23*$E23,2))</f>
        <v/>
      </c>
      <c r="G23" s="17">
        <f>IF($A23="","",IFERROR(SUMIF(tblAnahtarB[NormB],$A23,tblHakedis[TyPlus]),0))</f>
        <v/>
      </c>
      <c r="H23" s="17">
        <f>IF($A23="","",IFERROR(SUMIF(tblAnahtarB[NormB],$A23,tblHakedis[FlasKesinti]),0))</f>
        <v/>
      </c>
      <c r="I23" s="17">
        <f>IF($A23="","",IFERROR(SUMIF(tblAnahtarB[NormB],$A23,tblHakedis[UrunReklam]),0))</f>
        <v/>
      </c>
      <c r="J23" s="17">
        <f>IF($A23="","",IFERROR(SUMIF(tblAnahtarB[NormB],$A23,tblHakedis[DesiKargo]),0))</f>
        <v/>
      </c>
      <c r="K23" s="17">
        <f>IF($A23="","",ROUND($F23+$G23+$H23+$I23+$J23,2))</f>
        <v/>
      </c>
      <c r="L23" s="17">
        <f>IF($A23="","",ROUND($B23-$C23,2))</f>
        <v/>
      </c>
      <c r="M23" s="17">
        <f>IF($A23="","",ROUND($B23-$C23-$K23,2))</f>
        <v/>
      </c>
      <c r="N23" s="17">
        <f>IF(OR($A23="",$B23=0),0,$M23/$B23)</f>
        <v/>
      </c>
      <c r="O23" s="17">
        <f>IF($A23="","",IF((1-$E23)&lt;=0,0,IF($D23=0,0,ROUND(($C23+$G23+$H23+$I23+$J23)/$D23/(1-$E23),2))))</f>
        <v/>
      </c>
      <c r="P23" s="17">
        <f>IF($A23="","",IFERROR(SUMIF(tblAnahtarA[Norm],$A23,tblGirdi[HedefNet]),0))</f>
        <v/>
      </c>
      <c r="Q23" s="17">
        <f>IF($A23="","",ROUND($M23-$P23,2))</f>
        <v/>
      </c>
      <c r="R23" s="17">
        <f>IF($A23="","",ROUND($B23-$K23,2))</f>
        <v/>
      </c>
      <c r="S23" s="17">
        <f>IF($A23="","",IF($N23&lt;0,"ÇEKİL",IF($N23&lt;tyk_esikMarjDusuk,"ZAM","SAT")))</f>
        <v/>
      </c>
      <c r="T23" s="17">
        <f>IF($A23="","",$L23-$F23)</f>
        <v/>
      </c>
      <c r="U23" s="17">
        <f>IF($A23="","",$M23-$Q23)</f>
        <v/>
      </c>
      <c r="V23" s="17">
        <f>IF($A23="","",$R23-$M23)</f>
        <v/>
      </c>
    </row>
    <row r="24">
      <c r="A24" s="17">
        <f>IF('ANAHTAR'!$B24="","",'ANAHTAR'!$B24)</f>
        <v/>
      </c>
      <c r="B24" s="17">
        <f>IF($A24="","",IFERROR(SUMIF(tblAnahtarA[Norm],$A24,tblGirdi[ToplamSatis]),0))</f>
        <v/>
      </c>
      <c r="C24" s="17">
        <f>IF($A24="","",IFERROR(SUMIF(tblAnahtarA[Norm],$A24,tblGirdi[Maliyet])*IFERROR(SUMIF(tblAnahtarA[Norm],$A24,tblGirdi[Miktar]),1),0))</f>
        <v/>
      </c>
      <c r="D24" s="17">
        <f>IF($A24="","",IFERROR(SUMIF(tblAnahtarA[Norm],$A24,tblGirdi[Miktar]),0))</f>
        <v/>
      </c>
      <c r="E24" s="17">
        <f>IF($A24="","",IFERROR(SUMIF(tblAnahtarA[Norm],$A24,tblGirdi[KomisyonOran]),0))</f>
        <v/>
      </c>
      <c r="F24" s="17">
        <f>IF($A24="","",ROUND($B24*$E24,2))</f>
        <v/>
      </c>
      <c r="G24" s="17">
        <f>IF($A24="","",IFERROR(SUMIF(tblAnahtarB[NormB],$A24,tblHakedis[TyPlus]),0))</f>
        <v/>
      </c>
      <c r="H24" s="17">
        <f>IF($A24="","",IFERROR(SUMIF(tblAnahtarB[NormB],$A24,tblHakedis[FlasKesinti]),0))</f>
        <v/>
      </c>
      <c r="I24" s="17">
        <f>IF($A24="","",IFERROR(SUMIF(tblAnahtarB[NormB],$A24,tblHakedis[UrunReklam]),0))</f>
        <v/>
      </c>
      <c r="J24" s="17">
        <f>IF($A24="","",IFERROR(SUMIF(tblAnahtarB[NormB],$A24,tblHakedis[DesiKargo]),0))</f>
        <v/>
      </c>
      <c r="K24" s="17">
        <f>IF($A24="","",ROUND($F24+$G24+$H24+$I24+$J24,2))</f>
        <v/>
      </c>
      <c r="L24" s="17">
        <f>IF($A24="","",ROUND($B24-$C24,2))</f>
        <v/>
      </c>
      <c r="M24" s="17">
        <f>IF($A24="","",ROUND($B24-$C24-$K24,2))</f>
        <v/>
      </c>
      <c r="N24" s="17">
        <f>IF(OR($A24="",$B24=0),0,$M24/$B24)</f>
        <v/>
      </c>
      <c r="O24" s="17">
        <f>IF($A24="","",IF((1-$E24)&lt;=0,0,IF($D24=0,0,ROUND(($C24+$G24+$H24+$I24+$J24)/$D24/(1-$E24),2))))</f>
        <v/>
      </c>
      <c r="P24" s="17">
        <f>IF($A24="","",IFERROR(SUMIF(tblAnahtarA[Norm],$A24,tblGirdi[HedefNet]),0))</f>
        <v/>
      </c>
      <c r="Q24" s="17">
        <f>IF($A24="","",ROUND($M24-$P24,2))</f>
        <v/>
      </c>
      <c r="R24" s="17">
        <f>IF($A24="","",ROUND($B24-$K24,2))</f>
        <v/>
      </c>
      <c r="S24" s="17">
        <f>IF($A24="","",IF($N24&lt;0,"ÇEKİL",IF($N24&lt;tyk_esikMarjDusuk,"ZAM","SAT")))</f>
        <v/>
      </c>
      <c r="T24" s="17">
        <f>IF($A24="","",$L24-$F24)</f>
        <v/>
      </c>
      <c r="U24" s="17">
        <f>IF($A24="","",$M24-$Q24)</f>
        <v/>
      </c>
      <c r="V24" s="17">
        <f>IF($A24="","",$R24-$M24)</f>
        <v/>
      </c>
    </row>
    <row r="25">
      <c r="A25" s="17">
        <f>IF('ANAHTAR'!$B25="","",'ANAHTAR'!$B25)</f>
        <v/>
      </c>
      <c r="B25" s="17">
        <f>IF($A25="","",IFERROR(SUMIF(tblAnahtarA[Norm],$A25,tblGirdi[ToplamSatis]),0))</f>
        <v/>
      </c>
      <c r="C25" s="17">
        <f>IF($A25="","",IFERROR(SUMIF(tblAnahtarA[Norm],$A25,tblGirdi[Maliyet])*IFERROR(SUMIF(tblAnahtarA[Norm],$A25,tblGirdi[Miktar]),1),0))</f>
        <v/>
      </c>
      <c r="D25" s="17">
        <f>IF($A25="","",IFERROR(SUMIF(tblAnahtarA[Norm],$A25,tblGirdi[Miktar]),0))</f>
        <v/>
      </c>
      <c r="E25" s="17">
        <f>IF($A25="","",IFERROR(SUMIF(tblAnahtarA[Norm],$A25,tblGirdi[KomisyonOran]),0))</f>
        <v/>
      </c>
      <c r="F25" s="17">
        <f>IF($A25="","",ROUND($B25*$E25,2))</f>
        <v/>
      </c>
      <c r="G25" s="17">
        <f>IF($A25="","",IFERROR(SUMIF(tblAnahtarB[NormB],$A25,tblHakedis[TyPlus]),0))</f>
        <v/>
      </c>
      <c r="H25" s="17">
        <f>IF($A25="","",IFERROR(SUMIF(tblAnahtarB[NormB],$A25,tblHakedis[FlasKesinti]),0))</f>
        <v/>
      </c>
      <c r="I25" s="17">
        <f>IF($A25="","",IFERROR(SUMIF(tblAnahtarB[NormB],$A25,tblHakedis[UrunReklam]),0))</f>
        <v/>
      </c>
      <c r="J25" s="17">
        <f>IF($A25="","",IFERROR(SUMIF(tblAnahtarB[NormB],$A25,tblHakedis[DesiKargo]),0))</f>
        <v/>
      </c>
      <c r="K25" s="17">
        <f>IF($A25="","",ROUND($F25+$G25+$H25+$I25+$J25,2))</f>
        <v/>
      </c>
      <c r="L25" s="17">
        <f>IF($A25="","",ROUND($B25-$C25,2))</f>
        <v/>
      </c>
      <c r="M25" s="17">
        <f>IF($A25="","",ROUND($B25-$C25-$K25,2))</f>
        <v/>
      </c>
      <c r="N25" s="17">
        <f>IF(OR($A25="",$B25=0),0,$M25/$B25)</f>
        <v/>
      </c>
      <c r="O25" s="17">
        <f>IF($A25="","",IF((1-$E25)&lt;=0,0,IF($D25=0,0,ROUND(($C25+$G25+$H25+$I25+$J25)/$D25/(1-$E25),2))))</f>
        <v/>
      </c>
      <c r="P25" s="17">
        <f>IF($A25="","",IFERROR(SUMIF(tblAnahtarA[Norm],$A25,tblGirdi[HedefNet]),0))</f>
        <v/>
      </c>
      <c r="Q25" s="17">
        <f>IF($A25="","",ROUND($M25-$P25,2))</f>
        <v/>
      </c>
      <c r="R25" s="17">
        <f>IF($A25="","",ROUND($B25-$K25,2))</f>
        <v/>
      </c>
      <c r="S25" s="17">
        <f>IF($A25="","",IF($N25&lt;0,"ÇEKİL",IF($N25&lt;tyk_esikMarjDusuk,"ZAM","SAT")))</f>
        <v/>
      </c>
      <c r="T25" s="17">
        <f>IF($A25="","",$L25-$F25)</f>
        <v/>
      </c>
      <c r="U25" s="17">
        <f>IF($A25="","",$M25-$Q25)</f>
        <v/>
      </c>
      <c r="V25" s="17">
        <f>IF($A25="","",$R25-$M25)</f>
        <v/>
      </c>
    </row>
    <row r="26">
      <c r="A26" s="17">
        <f>IF('ANAHTAR'!$B26="","",'ANAHTAR'!$B26)</f>
        <v/>
      </c>
      <c r="B26" s="17">
        <f>IF($A26="","",IFERROR(SUMIF(tblAnahtarA[Norm],$A26,tblGirdi[ToplamSatis]),0))</f>
        <v/>
      </c>
      <c r="C26" s="17">
        <f>IF($A26="","",IFERROR(SUMIF(tblAnahtarA[Norm],$A26,tblGirdi[Maliyet])*IFERROR(SUMIF(tblAnahtarA[Norm],$A26,tblGirdi[Miktar]),1),0))</f>
        <v/>
      </c>
      <c r="D26" s="17">
        <f>IF($A26="","",IFERROR(SUMIF(tblAnahtarA[Norm],$A26,tblGirdi[Miktar]),0))</f>
        <v/>
      </c>
      <c r="E26" s="17">
        <f>IF($A26="","",IFERROR(SUMIF(tblAnahtarA[Norm],$A26,tblGirdi[KomisyonOran]),0))</f>
        <v/>
      </c>
      <c r="F26" s="17">
        <f>IF($A26="","",ROUND($B26*$E26,2))</f>
        <v/>
      </c>
      <c r="G26" s="17">
        <f>IF($A26="","",IFERROR(SUMIF(tblAnahtarB[NormB],$A26,tblHakedis[TyPlus]),0))</f>
        <v/>
      </c>
      <c r="H26" s="17">
        <f>IF($A26="","",IFERROR(SUMIF(tblAnahtarB[NormB],$A26,tblHakedis[FlasKesinti]),0))</f>
        <v/>
      </c>
      <c r="I26" s="17">
        <f>IF($A26="","",IFERROR(SUMIF(tblAnahtarB[NormB],$A26,tblHakedis[UrunReklam]),0))</f>
        <v/>
      </c>
      <c r="J26" s="17">
        <f>IF($A26="","",IFERROR(SUMIF(tblAnahtarB[NormB],$A26,tblHakedis[DesiKargo]),0))</f>
        <v/>
      </c>
      <c r="K26" s="17">
        <f>IF($A26="","",ROUND($F26+$G26+$H26+$I26+$J26,2))</f>
        <v/>
      </c>
      <c r="L26" s="17">
        <f>IF($A26="","",ROUND($B26-$C26,2))</f>
        <v/>
      </c>
      <c r="M26" s="17">
        <f>IF($A26="","",ROUND($B26-$C26-$K26,2))</f>
        <v/>
      </c>
      <c r="N26" s="17">
        <f>IF(OR($A26="",$B26=0),0,$M26/$B26)</f>
        <v/>
      </c>
      <c r="O26" s="17">
        <f>IF($A26="","",IF((1-$E26)&lt;=0,0,IF($D26=0,0,ROUND(($C26+$G26+$H26+$I26+$J26)/$D26/(1-$E26),2))))</f>
        <v/>
      </c>
      <c r="P26" s="17">
        <f>IF($A26="","",IFERROR(SUMIF(tblAnahtarA[Norm],$A26,tblGirdi[HedefNet]),0))</f>
        <v/>
      </c>
      <c r="Q26" s="17">
        <f>IF($A26="","",ROUND($M26-$P26,2))</f>
        <v/>
      </c>
      <c r="R26" s="17">
        <f>IF($A26="","",ROUND($B26-$K26,2))</f>
        <v/>
      </c>
      <c r="S26" s="17">
        <f>IF($A26="","",IF($N26&lt;0,"ÇEKİL",IF($N26&lt;tyk_esikMarjDusuk,"ZAM","SAT")))</f>
        <v/>
      </c>
      <c r="T26" s="17">
        <f>IF($A26="","",$L26-$F26)</f>
        <v/>
      </c>
      <c r="U26" s="17">
        <f>IF($A26="","",$M26-$Q26)</f>
        <v/>
      </c>
      <c r="V26" s="17">
        <f>IF($A26="","",$R26-$M26)</f>
        <v/>
      </c>
    </row>
    <row r="27">
      <c r="A27" s="17">
        <f>IF('ANAHTAR'!$B27="","",'ANAHTAR'!$B27)</f>
        <v/>
      </c>
      <c r="B27" s="17">
        <f>IF($A27="","",IFERROR(SUMIF(tblAnahtarA[Norm],$A27,tblGirdi[ToplamSatis]),0))</f>
        <v/>
      </c>
      <c r="C27" s="17">
        <f>IF($A27="","",IFERROR(SUMIF(tblAnahtarA[Norm],$A27,tblGirdi[Maliyet])*IFERROR(SUMIF(tblAnahtarA[Norm],$A27,tblGirdi[Miktar]),1),0))</f>
        <v/>
      </c>
      <c r="D27" s="17">
        <f>IF($A27="","",IFERROR(SUMIF(tblAnahtarA[Norm],$A27,tblGirdi[Miktar]),0))</f>
        <v/>
      </c>
      <c r="E27" s="17">
        <f>IF($A27="","",IFERROR(SUMIF(tblAnahtarA[Norm],$A27,tblGirdi[KomisyonOran]),0))</f>
        <v/>
      </c>
      <c r="F27" s="17">
        <f>IF($A27="","",ROUND($B27*$E27,2))</f>
        <v/>
      </c>
      <c r="G27" s="17">
        <f>IF($A27="","",IFERROR(SUMIF(tblAnahtarB[NormB],$A27,tblHakedis[TyPlus]),0))</f>
        <v/>
      </c>
      <c r="H27" s="17">
        <f>IF($A27="","",IFERROR(SUMIF(tblAnahtarB[NormB],$A27,tblHakedis[FlasKesinti]),0))</f>
        <v/>
      </c>
      <c r="I27" s="17">
        <f>IF($A27="","",IFERROR(SUMIF(tblAnahtarB[NormB],$A27,tblHakedis[UrunReklam]),0))</f>
        <v/>
      </c>
      <c r="J27" s="17">
        <f>IF($A27="","",IFERROR(SUMIF(tblAnahtarB[NormB],$A27,tblHakedis[DesiKargo]),0))</f>
        <v/>
      </c>
      <c r="K27" s="17">
        <f>IF($A27="","",ROUND($F27+$G27+$H27+$I27+$J27,2))</f>
        <v/>
      </c>
      <c r="L27" s="17">
        <f>IF($A27="","",ROUND($B27-$C27,2))</f>
        <v/>
      </c>
      <c r="M27" s="17">
        <f>IF($A27="","",ROUND($B27-$C27-$K27,2))</f>
        <v/>
      </c>
      <c r="N27" s="17">
        <f>IF(OR($A27="",$B27=0),0,$M27/$B27)</f>
        <v/>
      </c>
      <c r="O27" s="17">
        <f>IF($A27="","",IF((1-$E27)&lt;=0,0,IF($D27=0,0,ROUND(($C27+$G27+$H27+$I27+$J27)/$D27/(1-$E27),2))))</f>
        <v/>
      </c>
      <c r="P27" s="17">
        <f>IF($A27="","",IFERROR(SUMIF(tblAnahtarA[Norm],$A27,tblGirdi[HedefNet]),0))</f>
        <v/>
      </c>
      <c r="Q27" s="17">
        <f>IF($A27="","",ROUND($M27-$P27,2))</f>
        <v/>
      </c>
      <c r="R27" s="17">
        <f>IF($A27="","",ROUND($B27-$K27,2))</f>
        <v/>
      </c>
      <c r="S27" s="17">
        <f>IF($A27="","",IF($N27&lt;0,"ÇEKİL",IF($N27&lt;tyk_esikMarjDusuk,"ZAM","SAT")))</f>
        <v/>
      </c>
      <c r="T27" s="17">
        <f>IF($A27="","",$L27-$F27)</f>
        <v/>
      </c>
      <c r="U27" s="17">
        <f>IF($A27="","",$M27-$Q27)</f>
        <v/>
      </c>
      <c r="V27" s="17">
        <f>IF($A27="","",$R27-$M27)</f>
        <v/>
      </c>
    </row>
    <row r="28">
      <c r="A28" s="17">
        <f>IF('ANAHTAR'!$B28="","",'ANAHTAR'!$B28)</f>
        <v/>
      </c>
      <c r="B28" s="17">
        <f>IF($A28="","",IFERROR(SUMIF(tblAnahtarA[Norm],$A28,tblGirdi[ToplamSatis]),0))</f>
        <v/>
      </c>
      <c r="C28" s="17">
        <f>IF($A28="","",IFERROR(SUMIF(tblAnahtarA[Norm],$A28,tblGirdi[Maliyet])*IFERROR(SUMIF(tblAnahtarA[Norm],$A28,tblGirdi[Miktar]),1),0))</f>
        <v/>
      </c>
      <c r="D28" s="17">
        <f>IF($A28="","",IFERROR(SUMIF(tblAnahtarA[Norm],$A28,tblGirdi[Miktar]),0))</f>
        <v/>
      </c>
      <c r="E28" s="17">
        <f>IF($A28="","",IFERROR(SUMIF(tblAnahtarA[Norm],$A28,tblGirdi[KomisyonOran]),0))</f>
        <v/>
      </c>
      <c r="F28" s="17">
        <f>IF($A28="","",ROUND($B28*$E28,2))</f>
        <v/>
      </c>
      <c r="G28" s="17">
        <f>IF($A28="","",IFERROR(SUMIF(tblAnahtarB[NormB],$A28,tblHakedis[TyPlus]),0))</f>
        <v/>
      </c>
      <c r="H28" s="17">
        <f>IF($A28="","",IFERROR(SUMIF(tblAnahtarB[NormB],$A28,tblHakedis[FlasKesinti]),0))</f>
        <v/>
      </c>
      <c r="I28" s="17">
        <f>IF($A28="","",IFERROR(SUMIF(tblAnahtarB[NormB],$A28,tblHakedis[UrunReklam]),0))</f>
        <v/>
      </c>
      <c r="J28" s="17">
        <f>IF($A28="","",IFERROR(SUMIF(tblAnahtarB[NormB],$A28,tblHakedis[DesiKargo]),0))</f>
        <v/>
      </c>
      <c r="K28" s="17">
        <f>IF($A28="","",ROUND($F28+$G28+$H28+$I28+$J28,2))</f>
        <v/>
      </c>
      <c r="L28" s="17">
        <f>IF($A28="","",ROUND($B28-$C28,2))</f>
        <v/>
      </c>
      <c r="M28" s="17">
        <f>IF($A28="","",ROUND($B28-$C28-$K28,2))</f>
        <v/>
      </c>
      <c r="N28" s="17">
        <f>IF(OR($A28="",$B28=0),0,$M28/$B28)</f>
        <v/>
      </c>
      <c r="O28" s="17">
        <f>IF($A28="","",IF((1-$E28)&lt;=0,0,IF($D28=0,0,ROUND(($C28+$G28+$H28+$I28+$J28)/$D28/(1-$E28),2))))</f>
        <v/>
      </c>
      <c r="P28" s="17">
        <f>IF($A28="","",IFERROR(SUMIF(tblAnahtarA[Norm],$A28,tblGirdi[HedefNet]),0))</f>
        <v/>
      </c>
      <c r="Q28" s="17">
        <f>IF($A28="","",ROUND($M28-$P28,2))</f>
        <v/>
      </c>
      <c r="R28" s="17">
        <f>IF($A28="","",ROUND($B28-$K28,2))</f>
        <v/>
      </c>
      <c r="S28" s="17">
        <f>IF($A28="","",IF($N28&lt;0,"ÇEKİL",IF($N28&lt;tyk_esikMarjDusuk,"ZAM","SAT")))</f>
        <v/>
      </c>
      <c r="T28" s="17">
        <f>IF($A28="","",$L28-$F28)</f>
        <v/>
      </c>
      <c r="U28" s="17">
        <f>IF($A28="","",$M28-$Q28)</f>
        <v/>
      </c>
      <c r="V28" s="17">
        <f>IF($A28="","",$R28-$M28)</f>
        <v/>
      </c>
    </row>
    <row r="29">
      <c r="A29" s="17">
        <f>IF('ANAHTAR'!$B29="","",'ANAHTAR'!$B29)</f>
        <v/>
      </c>
      <c r="B29" s="17">
        <f>IF($A29="","",IFERROR(SUMIF(tblAnahtarA[Norm],$A29,tblGirdi[ToplamSatis]),0))</f>
        <v/>
      </c>
      <c r="C29" s="17">
        <f>IF($A29="","",IFERROR(SUMIF(tblAnahtarA[Norm],$A29,tblGirdi[Maliyet])*IFERROR(SUMIF(tblAnahtarA[Norm],$A29,tblGirdi[Miktar]),1),0))</f>
        <v/>
      </c>
      <c r="D29" s="17">
        <f>IF($A29="","",IFERROR(SUMIF(tblAnahtarA[Norm],$A29,tblGirdi[Miktar]),0))</f>
        <v/>
      </c>
      <c r="E29" s="17">
        <f>IF($A29="","",IFERROR(SUMIF(tblAnahtarA[Norm],$A29,tblGirdi[KomisyonOran]),0))</f>
        <v/>
      </c>
      <c r="F29" s="17">
        <f>IF($A29="","",ROUND($B29*$E29,2))</f>
        <v/>
      </c>
      <c r="G29" s="17">
        <f>IF($A29="","",IFERROR(SUMIF(tblAnahtarB[NormB],$A29,tblHakedis[TyPlus]),0))</f>
        <v/>
      </c>
      <c r="H29" s="17">
        <f>IF($A29="","",IFERROR(SUMIF(tblAnahtarB[NormB],$A29,tblHakedis[FlasKesinti]),0))</f>
        <v/>
      </c>
      <c r="I29" s="17">
        <f>IF($A29="","",IFERROR(SUMIF(tblAnahtarB[NormB],$A29,tblHakedis[UrunReklam]),0))</f>
        <v/>
      </c>
      <c r="J29" s="17">
        <f>IF($A29="","",IFERROR(SUMIF(tblAnahtarB[NormB],$A29,tblHakedis[DesiKargo]),0))</f>
        <v/>
      </c>
      <c r="K29" s="17">
        <f>IF($A29="","",ROUND($F29+$G29+$H29+$I29+$J29,2))</f>
        <v/>
      </c>
      <c r="L29" s="17">
        <f>IF($A29="","",ROUND($B29-$C29,2))</f>
        <v/>
      </c>
      <c r="M29" s="17">
        <f>IF($A29="","",ROUND($B29-$C29-$K29,2))</f>
        <v/>
      </c>
      <c r="N29" s="17">
        <f>IF(OR($A29="",$B29=0),0,$M29/$B29)</f>
        <v/>
      </c>
      <c r="O29" s="17">
        <f>IF($A29="","",IF((1-$E29)&lt;=0,0,IF($D29=0,0,ROUND(($C29+$G29+$H29+$I29+$J29)/$D29/(1-$E29),2))))</f>
        <v/>
      </c>
      <c r="P29" s="17">
        <f>IF($A29="","",IFERROR(SUMIF(tblAnahtarA[Norm],$A29,tblGirdi[HedefNet]),0))</f>
        <v/>
      </c>
      <c r="Q29" s="17">
        <f>IF($A29="","",ROUND($M29-$P29,2))</f>
        <v/>
      </c>
      <c r="R29" s="17">
        <f>IF($A29="","",ROUND($B29-$K29,2))</f>
        <v/>
      </c>
      <c r="S29" s="17">
        <f>IF($A29="","",IF($N29&lt;0,"ÇEKİL",IF($N29&lt;tyk_esikMarjDusuk,"ZAM","SAT")))</f>
        <v/>
      </c>
      <c r="T29" s="17">
        <f>IF($A29="","",$L29-$F29)</f>
        <v/>
      </c>
      <c r="U29" s="17">
        <f>IF($A29="","",$M29-$Q29)</f>
        <v/>
      </c>
      <c r="V29" s="17">
        <f>IF($A29="","",$R29-$M29)</f>
        <v/>
      </c>
    </row>
    <row r="30">
      <c r="A30" s="17">
        <f>IF('ANAHTAR'!$B30="","",'ANAHTAR'!$B30)</f>
        <v/>
      </c>
      <c r="B30" s="17">
        <f>IF($A30="","",IFERROR(SUMIF(tblAnahtarA[Norm],$A30,tblGirdi[ToplamSatis]),0))</f>
        <v/>
      </c>
      <c r="C30" s="17">
        <f>IF($A30="","",IFERROR(SUMIF(tblAnahtarA[Norm],$A30,tblGirdi[Maliyet])*IFERROR(SUMIF(tblAnahtarA[Norm],$A30,tblGirdi[Miktar]),1),0))</f>
        <v/>
      </c>
      <c r="D30" s="17">
        <f>IF($A30="","",IFERROR(SUMIF(tblAnahtarA[Norm],$A30,tblGirdi[Miktar]),0))</f>
        <v/>
      </c>
      <c r="E30" s="17">
        <f>IF($A30="","",IFERROR(SUMIF(tblAnahtarA[Norm],$A30,tblGirdi[KomisyonOran]),0))</f>
        <v/>
      </c>
      <c r="F30" s="17">
        <f>IF($A30="","",ROUND($B30*$E30,2))</f>
        <v/>
      </c>
      <c r="G30" s="17">
        <f>IF($A30="","",IFERROR(SUMIF(tblAnahtarB[NormB],$A30,tblHakedis[TyPlus]),0))</f>
        <v/>
      </c>
      <c r="H30" s="17">
        <f>IF($A30="","",IFERROR(SUMIF(tblAnahtarB[NormB],$A30,tblHakedis[FlasKesinti]),0))</f>
        <v/>
      </c>
      <c r="I30" s="17">
        <f>IF($A30="","",IFERROR(SUMIF(tblAnahtarB[NormB],$A30,tblHakedis[UrunReklam]),0))</f>
        <v/>
      </c>
      <c r="J30" s="17">
        <f>IF($A30="","",IFERROR(SUMIF(tblAnahtarB[NormB],$A30,tblHakedis[DesiKargo]),0))</f>
        <v/>
      </c>
      <c r="K30" s="17">
        <f>IF($A30="","",ROUND($F30+$G30+$H30+$I30+$J30,2))</f>
        <v/>
      </c>
      <c r="L30" s="17">
        <f>IF($A30="","",ROUND($B30-$C30,2))</f>
        <v/>
      </c>
      <c r="M30" s="17">
        <f>IF($A30="","",ROUND($B30-$C30-$K30,2))</f>
        <v/>
      </c>
      <c r="N30" s="17">
        <f>IF(OR($A30="",$B30=0),0,$M30/$B30)</f>
        <v/>
      </c>
      <c r="O30" s="17">
        <f>IF($A30="","",IF((1-$E30)&lt;=0,0,IF($D30=0,0,ROUND(($C30+$G30+$H30+$I30+$J30)/$D30/(1-$E30),2))))</f>
        <v/>
      </c>
      <c r="P30" s="17">
        <f>IF($A30="","",IFERROR(SUMIF(tblAnahtarA[Norm],$A30,tblGirdi[HedefNet]),0))</f>
        <v/>
      </c>
      <c r="Q30" s="17">
        <f>IF($A30="","",ROUND($M30-$P30,2))</f>
        <v/>
      </c>
      <c r="R30" s="17">
        <f>IF($A30="","",ROUND($B30-$K30,2))</f>
        <v/>
      </c>
      <c r="S30" s="17">
        <f>IF($A30="","",IF($N30&lt;0,"ÇEKİL",IF($N30&lt;tyk_esikMarjDusuk,"ZAM","SAT")))</f>
        <v/>
      </c>
      <c r="T30" s="17">
        <f>IF($A30="","",$L30-$F30)</f>
        <v/>
      </c>
      <c r="U30" s="17">
        <f>IF($A30="","",$M30-$Q30)</f>
        <v/>
      </c>
      <c r="V30" s="17">
        <f>IF($A30="","",$R30-$M30)</f>
        <v/>
      </c>
    </row>
    <row r="31">
      <c r="A31" s="17">
        <f>IF('ANAHTAR'!$B31="","",'ANAHTAR'!$B31)</f>
        <v/>
      </c>
      <c r="B31" s="17">
        <f>IF($A31="","",IFERROR(SUMIF(tblAnahtarA[Norm],$A31,tblGirdi[ToplamSatis]),0))</f>
        <v/>
      </c>
      <c r="C31" s="17">
        <f>IF($A31="","",IFERROR(SUMIF(tblAnahtarA[Norm],$A31,tblGirdi[Maliyet])*IFERROR(SUMIF(tblAnahtarA[Norm],$A31,tblGirdi[Miktar]),1),0))</f>
        <v/>
      </c>
      <c r="D31" s="17">
        <f>IF($A31="","",IFERROR(SUMIF(tblAnahtarA[Norm],$A31,tblGirdi[Miktar]),0))</f>
        <v/>
      </c>
      <c r="E31" s="17">
        <f>IF($A31="","",IFERROR(SUMIF(tblAnahtarA[Norm],$A31,tblGirdi[KomisyonOran]),0))</f>
        <v/>
      </c>
      <c r="F31" s="17">
        <f>IF($A31="","",ROUND($B31*$E31,2))</f>
        <v/>
      </c>
      <c r="G31" s="17">
        <f>IF($A31="","",IFERROR(SUMIF(tblAnahtarB[NormB],$A31,tblHakedis[TyPlus]),0))</f>
        <v/>
      </c>
      <c r="H31" s="17">
        <f>IF($A31="","",IFERROR(SUMIF(tblAnahtarB[NormB],$A31,tblHakedis[FlasKesinti]),0))</f>
        <v/>
      </c>
      <c r="I31" s="17">
        <f>IF($A31="","",IFERROR(SUMIF(tblAnahtarB[NormB],$A31,tblHakedis[UrunReklam]),0))</f>
        <v/>
      </c>
      <c r="J31" s="17">
        <f>IF($A31="","",IFERROR(SUMIF(tblAnahtarB[NormB],$A31,tblHakedis[DesiKargo]),0))</f>
        <v/>
      </c>
      <c r="K31" s="17">
        <f>IF($A31="","",ROUND($F31+$G31+$H31+$I31+$J31,2))</f>
        <v/>
      </c>
      <c r="L31" s="17">
        <f>IF($A31="","",ROUND($B31-$C31,2))</f>
        <v/>
      </c>
      <c r="M31" s="17">
        <f>IF($A31="","",ROUND($B31-$C31-$K31,2))</f>
        <v/>
      </c>
      <c r="N31" s="17">
        <f>IF(OR($A31="",$B31=0),0,$M31/$B31)</f>
        <v/>
      </c>
      <c r="O31" s="17">
        <f>IF($A31="","",IF((1-$E31)&lt;=0,0,IF($D31=0,0,ROUND(($C31+$G31+$H31+$I31+$J31)/$D31/(1-$E31),2))))</f>
        <v/>
      </c>
      <c r="P31" s="17">
        <f>IF($A31="","",IFERROR(SUMIF(tblAnahtarA[Norm],$A31,tblGirdi[HedefNet]),0))</f>
        <v/>
      </c>
      <c r="Q31" s="17">
        <f>IF($A31="","",ROUND($M31-$P31,2))</f>
        <v/>
      </c>
      <c r="R31" s="17">
        <f>IF($A31="","",ROUND($B31-$K31,2))</f>
        <v/>
      </c>
      <c r="S31" s="17">
        <f>IF($A31="","",IF($N31&lt;0,"ÇEKİL",IF($N31&lt;tyk_esikMarjDusuk,"ZAM","SAT")))</f>
        <v/>
      </c>
      <c r="T31" s="17">
        <f>IF($A31="","",$L31-$F31)</f>
        <v/>
      </c>
      <c r="U31" s="17">
        <f>IF($A31="","",$M31-$Q31)</f>
        <v/>
      </c>
      <c r="V31" s="17">
        <f>IF($A31="","",$R31-$M31)</f>
        <v/>
      </c>
    </row>
    <row r="32">
      <c r="A32" s="17">
        <f>IF('ANAHTAR'!$B32="","",'ANAHTAR'!$B32)</f>
        <v/>
      </c>
      <c r="B32" s="17">
        <f>IF($A32="","",IFERROR(SUMIF(tblAnahtarA[Norm],$A32,tblGirdi[ToplamSatis]),0))</f>
        <v/>
      </c>
      <c r="C32" s="17">
        <f>IF($A32="","",IFERROR(SUMIF(tblAnahtarA[Norm],$A32,tblGirdi[Maliyet])*IFERROR(SUMIF(tblAnahtarA[Norm],$A32,tblGirdi[Miktar]),1),0))</f>
        <v/>
      </c>
      <c r="D32" s="17">
        <f>IF($A32="","",IFERROR(SUMIF(tblAnahtarA[Norm],$A32,tblGirdi[Miktar]),0))</f>
        <v/>
      </c>
      <c r="E32" s="17">
        <f>IF($A32="","",IFERROR(SUMIF(tblAnahtarA[Norm],$A32,tblGirdi[KomisyonOran]),0))</f>
        <v/>
      </c>
      <c r="F32" s="17">
        <f>IF($A32="","",ROUND($B32*$E32,2))</f>
        <v/>
      </c>
      <c r="G32" s="17">
        <f>IF($A32="","",IFERROR(SUMIF(tblAnahtarB[NormB],$A32,tblHakedis[TyPlus]),0))</f>
        <v/>
      </c>
      <c r="H32" s="17">
        <f>IF($A32="","",IFERROR(SUMIF(tblAnahtarB[NormB],$A32,tblHakedis[FlasKesinti]),0))</f>
        <v/>
      </c>
      <c r="I32" s="17">
        <f>IF($A32="","",IFERROR(SUMIF(tblAnahtarB[NormB],$A32,tblHakedis[UrunReklam]),0))</f>
        <v/>
      </c>
      <c r="J32" s="17">
        <f>IF($A32="","",IFERROR(SUMIF(tblAnahtarB[NormB],$A32,tblHakedis[DesiKargo]),0))</f>
        <v/>
      </c>
      <c r="K32" s="17">
        <f>IF($A32="","",ROUND($F32+$G32+$H32+$I32+$J32,2))</f>
        <v/>
      </c>
      <c r="L32" s="17">
        <f>IF($A32="","",ROUND($B32-$C32,2))</f>
        <v/>
      </c>
      <c r="M32" s="17">
        <f>IF($A32="","",ROUND($B32-$C32-$K32,2))</f>
        <v/>
      </c>
      <c r="N32" s="17">
        <f>IF(OR($A32="",$B32=0),0,$M32/$B32)</f>
        <v/>
      </c>
      <c r="O32" s="17">
        <f>IF($A32="","",IF((1-$E32)&lt;=0,0,IF($D32=0,0,ROUND(($C32+$G32+$H32+$I32+$J32)/$D32/(1-$E32),2))))</f>
        <v/>
      </c>
      <c r="P32" s="17">
        <f>IF($A32="","",IFERROR(SUMIF(tblAnahtarA[Norm],$A32,tblGirdi[HedefNet]),0))</f>
        <v/>
      </c>
      <c r="Q32" s="17">
        <f>IF($A32="","",ROUND($M32-$P32,2))</f>
        <v/>
      </c>
      <c r="R32" s="17">
        <f>IF($A32="","",ROUND($B32-$K32,2))</f>
        <v/>
      </c>
      <c r="S32" s="17">
        <f>IF($A32="","",IF($N32&lt;0,"ÇEKİL",IF($N32&lt;tyk_esikMarjDusuk,"ZAM","SAT")))</f>
        <v/>
      </c>
      <c r="T32" s="17">
        <f>IF($A32="","",$L32-$F32)</f>
        <v/>
      </c>
      <c r="U32" s="17">
        <f>IF($A32="","",$M32-$Q32)</f>
        <v/>
      </c>
      <c r="V32" s="17">
        <f>IF($A32="","",$R32-$M32)</f>
        <v/>
      </c>
    </row>
    <row r="33">
      <c r="A33" s="17">
        <f>IF('ANAHTAR'!$B33="","",'ANAHTAR'!$B33)</f>
        <v/>
      </c>
      <c r="B33" s="17">
        <f>IF($A33="","",IFERROR(SUMIF(tblAnahtarA[Norm],$A33,tblGirdi[ToplamSatis]),0))</f>
        <v/>
      </c>
      <c r="C33" s="17">
        <f>IF($A33="","",IFERROR(SUMIF(tblAnahtarA[Norm],$A33,tblGirdi[Maliyet])*IFERROR(SUMIF(tblAnahtarA[Norm],$A33,tblGirdi[Miktar]),1),0))</f>
        <v/>
      </c>
      <c r="D33" s="17">
        <f>IF($A33="","",IFERROR(SUMIF(tblAnahtarA[Norm],$A33,tblGirdi[Miktar]),0))</f>
        <v/>
      </c>
      <c r="E33" s="17">
        <f>IF($A33="","",IFERROR(SUMIF(tblAnahtarA[Norm],$A33,tblGirdi[KomisyonOran]),0))</f>
        <v/>
      </c>
      <c r="F33" s="17">
        <f>IF($A33="","",ROUND($B33*$E33,2))</f>
        <v/>
      </c>
      <c r="G33" s="17">
        <f>IF($A33="","",IFERROR(SUMIF(tblAnahtarB[NormB],$A33,tblHakedis[TyPlus]),0))</f>
        <v/>
      </c>
      <c r="H33" s="17">
        <f>IF($A33="","",IFERROR(SUMIF(tblAnahtarB[NormB],$A33,tblHakedis[FlasKesinti]),0))</f>
        <v/>
      </c>
      <c r="I33" s="17">
        <f>IF($A33="","",IFERROR(SUMIF(tblAnahtarB[NormB],$A33,tblHakedis[UrunReklam]),0))</f>
        <v/>
      </c>
      <c r="J33" s="17">
        <f>IF($A33="","",IFERROR(SUMIF(tblAnahtarB[NormB],$A33,tblHakedis[DesiKargo]),0))</f>
        <v/>
      </c>
      <c r="K33" s="17">
        <f>IF($A33="","",ROUND($F33+$G33+$H33+$I33+$J33,2))</f>
        <v/>
      </c>
      <c r="L33" s="17">
        <f>IF($A33="","",ROUND($B33-$C33,2))</f>
        <v/>
      </c>
      <c r="M33" s="17">
        <f>IF($A33="","",ROUND($B33-$C33-$K33,2))</f>
        <v/>
      </c>
      <c r="N33" s="17">
        <f>IF(OR($A33="",$B33=0),0,$M33/$B33)</f>
        <v/>
      </c>
      <c r="O33" s="17">
        <f>IF($A33="","",IF((1-$E33)&lt;=0,0,IF($D33=0,0,ROUND(($C33+$G33+$H33+$I33+$J33)/$D33/(1-$E33),2))))</f>
        <v/>
      </c>
      <c r="P33" s="17">
        <f>IF($A33="","",IFERROR(SUMIF(tblAnahtarA[Norm],$A33,tblGirdi[HedefNet]),0))</f>
        <v/>
      </c>
      <c r="Q33" s="17">
        <f>IF($A33="","",ROUND($M33-$P33,2))</f>
        <v/>
      </c>
      <c r="R33" s="17">
        <f>IF($A33="","",ROUND($B33-$K33,2))</f>
        <v/>
      </c>
      <c r="S33" s="17">
        <f>IF($A33="","",IF($N33&lt;0,"ÇEKİL",IF($N33&lt;tyk_esikMarjDusuk,"ZAM","SAT")))</f>
        <v/>
      </c>
      <c r="T33" s="17">
        <f>IF($A33="","",$L33-$F33)</f>
        <v/>
      </c>
      <c r="U33" s="17">
        <f>IF($A33="","",$M33-$Q33)</f>
        <v/>
      </c>
      <c r="V33" s="17">
        <f>IF($A33="","",$R33-$M33)</f>
        <v/>
      </c>
    </row>
    <row r="34">
      <c r="A34" s="17">
        <f>IF('ANAHTAR'!$B34="","",'ANAHTAR'!$B34)</f>
        <v/>
      </c>
      <c r="B34" s="17">
        <f>IF($A34="","",IFERROR(SUMIF(tblAnahtarA[Norm],$A34,tblGirdi[ToplamSatis]),0))</f>
        <v/>
      </c>
      <c r="C34" s="17">
        <f>IF($A34="","",IFERROR(SUMIF(tblAnahtarA[Norm],$A34,tblGirdi[Maliyet])*IFERROR(SUMIF(tblAnahtarA[Norm],$A34,tblGirdi[Miktar]),1),0))</f>
        <v/>
      </c>
      <c r="D34" s="17">
        <f>IF($A34="","",IFERROR(SUMIF(tblAnahtarA[Norm],$A34,tblGirdi[Miktar]),0))</f>
        <v/>
      </c>
      <c r="E34" s="17">
        <f>IF($A34="","",IFERROR(SUMIF(tblAnahtarA[Norm],$A34,tblGirdi[KomisyonOran]),0))</f>
        <v/>
      </c>
      <c r="F34" s="17">
        <f>IF($A34="","",ROUND($B34*$E34,2))</f>
        <v/>
      </c>
      <c r="G34" s="17">
        <f>IF($A34="","",IFERROR(SUMIF(tblAnahtarB[NormB],$A34,tblHakedis[TyPlus]),0))</f>
        <v/>
      </c>
      <c r="H34" s="17">
        <f>IF($A34="","",IFERROR(SUMIF(tblAnahtarB[NormB],$A34,tblHakedis[FlasKesinti]),0))</f>
        <v/>
      </c>
      <c r="I34" s="17">
        <f>IF($A34="","",IFERROR(SUMIF(tblAnahtarB[NormB],$A34,tblHakedis[UrunReklam]),0))</f>
        <v/>
      </c>
      <c r="J34" s="17">
        <f>IF($A34="","",IFERROR(SUMIF(tblAnahtarB[NormB],$A34,tblHakedis[DesiKargo]),0))</f>
        <v/>
      </c>
      <c r="K34" s="17">
        <f>IF($A34="","",ROUND($F34+$G34+$H34+$I34+$J34,2))</f>
        <v/>
      </c>
      <c r="L34" s="17">
        <f>IF($A34="","",ROUND($B34-$C34,2))</f>
        <v/>
      </c>
      <c r="M34" s="17">
        <f>IF($A34="","",ROUND($B34-$C34-$K34,2))</f>
        <v/>
      </c>
      <c r="N34" s="17">
        <f>IF(OR($A34="",$B34=0),0,$M34/$B34)</f>
        <v/>
      </c>
      <c r="O34" s="17">
        <f>IF($A34="","",IF((1-$E34)&lt;=0,0,IF($D34=0,0,ROUND(($C34+$G34+$H34+$I34+$J34)/$D34/(1-$E34),2))))</f>
        <v/>
      </c>
      <c r="P34" s="17">
        <f>IF($A34="","",IFERROR(SUMIF(tblAnahtarA[Norm],$A34,tblGirdi[HedefNet]),0))</f>
        <v/>
      </c>
      <c r="Q34" s="17">
        <f>IF($A34="","",ROUND($M34-$P34,2))</f>
        <v/>
      </c>
      <c r="R34" s="17">
        <f>IF($A34="","",ROUND($B34-$K34,2))</f>
        <v/>
      </c>
      <c r="S34" s="17">
        <f>IF($A34="","",IF($N34&lt;0,"ÇEKİL",IF($N34&lt;tyk_esikMarjDusuk,"ZAM","SAT")))</f>
        <v/>
      </c>
      <c r="T34" s="17">
        <f>IF($A34="","",$L34-$F34)</f>
        <v/>
      </c>
      <c r="U34" s="17">
        <f>IF($A34="","",$M34-$Q34)</f>
        <v/>
      </c>
      <c r="V34" s="17">
        <f>IF($A34="","",$R34-$M34)</f>
        <v/>
      </c>
    </row>
    <row r="35">
      <c r="A35" s="17">
        <f>IF('ANAHTAR'!$B35="","",'ANAHTAR'!$B35)</f>
        <v/>
      </c>
      <c r="B35" s="17">
        <f>IF($A35="","",IFERROR(SUMIF(tblAnahtarA[Norm],$A35,tblGirdi[ToplamSatis]),0))</f>
        <v/>
      </c>
      <c r="C35" s="17">
        <f>IF($A35="","",IFERROR(SUMIF(tblAnahtarA[Norm],$A35,tblGirdi[Maliyet])*IFERROR(SUMIF(tblAnahtarA[Norm],$A35,tblGirdi[Miktar]),1),0))</f>
        <v/>
      </c>
      <c r="D35" s="17">
        <f>IF($A35="","",IFERROR(SUMIF(tblAnahtarA[Norm],$A35,tblGirdi[Miktar]),0))</f>
        <v/>
      </c>
      <c r="E35" s="17">
        <f>IF($A35="","",IFERROR(SUMIF(tblAnahtarA[Norm],$A35,tblGirdi[KomisyonOran]),0))</f>
        <v/>
      </c>
      <c r="F35" s="17">
        <f>IF($A35="","",ROUND($B35*$E35,2))</f>
        <v/>
      </c>
      <c r="G35" s="17">
        <f>IF($A35="","",IFERROR(SUMIF(tblAnahtarB[NormB],$A35,tblHakedis[TyPlus]),0))</f>
        <v/>
      </c>
      <c r="H35" s="17">
        <f>IF($A35="","",IFERROR(SUMIF(tblAnahtarB[NormB],$A35,tblHakedis[FlasKesinti]),0))</f>
        <v/>
      </c>
      <c r="I35" s="17">
        <f>IF($A35="","",IFERROR(SUMIF(tblAnahtarB[NormB],$A35,tblHakedis[UrunReklam]),0))</f>
        <v/>
      </c>
      <c r="J35" s="17">
        <f>IF($A35="","",IFERROR(SUMIF(tblAnahtarB[NormB],$A35,tblHakedis[DesiKargo]),0))</f>
        <v/>
      </c>
      <c r="K35" s="17">
        <f>IF($A35="","",ROUND($F35+$G35+$H35+$I35+$J35,2))</f>
        <v/>
      </c>
      <c r="L35" s="17">
        <f>IF($A35="","",ROUND($B35-$C35,2))</f>
        <v/>
      </c>
      <c r="M35" s="17">
        <f>IF($A35="","",ROUND($B35-$C35-$K35,2))</f>
        <v/>
      </c>
      <c r="N35" s="17">
        <f>IF(OR($A35="",$B35=0),0,$M35/$B35)</f>
        <v/>
      </c>
      <c r="O35" s="17">
        <f>IF($A35="","",IF((1-$E35)&lt;=0,0,IF($D35=0,0,ROUND(($C35+$G35+$H35+$I35+$J35)/$D35/(1-$E35),2))))</f>
        <v/>
      </c>
      <c r="P35" s="17">
        <f>IF($A35="","",IFERROR(SUMIF(tblAnahtarA[Norm],$A35,tblGirdi[HedefNet]),0))</f>
        <v/>
      </c>
      <c r="Q35" s="17">
        <f>IF($A35="","",ROUND($M35-$P35,2))</f>
        <v/>
      </c>
      <c r="R35" s="17">
        <f>IF($A35="","",ROUND($B35-$K35,2))</f>
        <v/>
      </c>
      <c r="S35" s="17">
        <f>IF($A35="","",IF($N35&lt;0,"ÇEKİL",IF($N35&lt;tyk_esikMarjDusuk,"ZAM","SAT")))</f>
        <v/>
      </c>
      <c r="T35" s="17">
        <f>IF($A35="","",$L35-$F35)</f>
        <v/>
      </c>
      <c r="U35" s="17">
        <f>IF($A35="","",$M35-$Q35)</f>
        <v/>
      </c>
      <c r="V35" s="17">
        <f>IF($A35="","",$R35-$M35)</f>
        <v/>
      </c>
    </row>
    <row r="36">
      <c r="A36" s="17">
        <f>IF('ANAHTAR'!$B36="","",'ANAHTAR'!$B36)</f>
        <v/>
      </c>
      <c r="B36" s="17">
        <f>IF($A36="","",IFERROR(SUMIF(tblAnahtarA[Norm],$A36,tblGirdi[ToplamSatis]),0))</f>
        <v/>
      </c>
      <c r="C36" s="17">
        <f>IF($A36="","",IFERROR(SUMIF(tblAnahtarA[Norm],$A36,tblGirdi[Maliyet])*IFERROR(SUMIF(tblAnahtarA[Norm],$A36,tblGirdi[Miktar]),1),0))</f>
        <v/>
      </c>
      <c r="D36" s="17">
        <f>IF($A36="","",IFERROR(SUMIF(tblAnahtarA[Norm],$A36,tblGirdi[Miktar]),0))</f>
        <v/>
      </c>
      <c r="E36" s="17">
        <f>IF($A36="","",IFERROR(SUMIF(tblAnahtarA[Norm],$A36,tblGirdi[KomisyonOran]),0))</f>
        <v/>
      </c>
      <c r="F36" s="17">
        <f>IF($A36="","",ROUND($B36*$E36,2))</f>
        <v/>
      </c>
      <c r="G36" s="17">
        <f>IF($A36="","",IFERROR(SUMIF(tblAnahtarB[NormB],$A36,tblHakedis[TyPlus]),0))</f>
        <v/>
      </c>
      <c r="H36" s="17">
        <f>IF($A36="","",IFERROR(SUMIF(tblAnahtarB[NormB],$A36,tblHakedis[FlasKesinti]),0))</f>
        <v/>
      </c>
      <c r="I36" s="17">
        <f>IF($A36="","",IFERROR(SUMIF(tblAnahtarB[NormB],$A36,tblHakedis[UrunReklam]),0))</f>
        <v/>
      </c>
      <c r="J36" s="17">
        <f>IF($A36="","",IFERROR(SUMIF(tblAnahtarB[NormB],$A36,tblHakedis[DesiKargo]),0))</f>
        <v/>
      </c>
      <c r="K36" s="17">
        <f>IF($A36="","",ROUND($F36+$G36+$H36+$I36+$J36,2))</f>
        <v/>
      </c>
      <c r="L36" s="17">
        <f>IF($A36="","",ROUND($B36-$C36,2))</f>
        <v/>
      </c>
      <c r="M36" s="17">
        <f>IF($A36="","",ROUND($B36-$C36-$K36,2))</f>
        <v/>
      </c>
      <c r="N36" s="17">
        <f>IF(OR($A36="",$B36=0),0,$M36/$B36)</f>
        <v/>
      </c>
      <c r="O36" s="17">
        <f>IF($A36="","",IF((1-$E36)&lt;=0,0,IF($D36=0,0,ROUND(($C36+$G36+$H36+$I36+$J36)/$D36/(1-$E36),2))))</f>
        <v/>
      </c>
      <c r="P36" s="17">
        <f>IF($A36="","",IFERROR(SUMIF(tblAnahtarA[Norm],$A36,tblGirdi[HedefNet]),0))</f>
        <v/>
      </c>
      <c r="Q36" s="17">
        <f>IF($A36="","",ROUND($M36-$P36,2))</f>
        <v/>
      </c>
      <c r="R36" s="17">
        <f>IF($A36="","",ROUND($B36-$K36,2))</f>
        <v/>
      </c>
      <c r="S36" s="17">
        <f>IF($A36="","",IF($N36&lt;0,"ÇEKİL",IF($N36&lt;tyk_esikMarjDusuk,"ZAM","SAT")))</f>
        <v/>
      </c>
      <c r="T36" s="17">
        <f>IF($A36="","",$L36-$F36)</f>
        <v/>
      </c>
      <c r="U36" s="17">
        <f>IF($A36="","",$M36-$Q36)</f>
        <v/>
      </c>
      <c r="V36" s="17">
        <f>IF($A36="","",$R36-$M36)</f>
        <v/>
      </c>
    </row>
    <row r="37">
      <c r="A37" s="17">
        <f>IF('ANAHTAR'!$B37="","",'ANAHTAR'!$B37)</f>
        <v/>
      </c>
      <c r="B37" s="17">
        <f>IF($A37="","",IFERROR(SUMIF(tblAnahtarA[Norm],$A37,tblGirdi[ToplamSatis]),0))</f>
        <v/>
      </c>
      <c r="C37" s="17">
        <f>IF($A37="","",IFERROR(SUMIF(tblAnahtarA[Norm],$A37,tblGirdi[Maliyet])*IFERROR(SUMIF(tblAnahtarA[Norm],$A37,tblGirdi[Miktar]),1),0))</f>
        <v/>
      </c>
      <c r="D37" s="17">
        <f>IF($A37="","",IFERROR(SUMIF(tblAnahtarA[Norm],$A37,tblGirdi[Miktar]),0))</f>
        <v/>
      </c>
      <c r="E37" s="17">
        <f>IF($A37="","",IFERROR(SUMIF(tblAnahtarA[Norm],$A37,tblGirdi[KomisyonOran]),0))</f>
        <v/>
      </c>
      <c r="F37" s="17">
        <f>IF($A37="","",ROUND($B37*$E37,2))</f>
        <v/>
      </c>
      <c r="G37" s="17">
        <f>IF($A37="","",IFERROR(SUMIF(tblAnahtarB[NormB],$A37,tblHakedis[TyPlus]),0))</f>
        <v/>
      </c>
      <c r="H37" s="17">
        <f>IF($A37="","",IFERROR(SUMIF(tblAnahtarB[NormB],$A37,tblHakedis[FlasKesinti]),0))</f>
        <v/>
      </c>
      <c r="I37" s="17">
        <f>IF($A37="","",IFERROR(SUMIF(tblAnahtarB[NormB],$A37,tblHakedis[UrunReklam]),0))</f>
        <v/>
      </c>
      <c r="J37" s="17">
        <f>IF($A37="","",IFERROR(SUMIF(tblAnahtarB[NormB],$A37,tblHakedis[DesiKargo]),0))</f>
        <v/>
      </c>
      <c r="K37" s="17">
        <f>IF($A37="","",ROUND($F37+$G37+$H37+$I37+$J37,2))</f>
        <v/>
      </c>
      <c r="L37" s="17">
        <f>IF($A37="","",ROUND($B37-$C37,2))</f>
        <v/>
      </c>
      <c r="M37" s="17">
        <f>IF($A37="","",ROUND($B37-$C37-$K37,2))</f>
        <v/>
      </c>
      <c r="N37" s="17">
        <f>IF(OR($A37="",$B37=0),0,$M37/$B37)</f>
        <v/>
      </c>
      <c r="O37" s="17">
        <f>IF($A37="","",IF((1-$E37)&lt;=0,0,IF($D37=0,0,ROUND(($C37+$G37+$H37+$I37+$J37)/$D37/(1-$E37),2))))</f>
        <v/>
      </c>
      <c r="P37" s="17">
        <f>IF($A37="","",IFERROR(SUMIF(tblAnahtarA[Norm],$A37,tblGirdi[HedefNet]),0))</f>
        <v/>
      </c>
      <c r="Q37" s="17">
        <f>IF($A37="","",ROUND($M37-$P37,2))</f>
        <v/>
      </c>
      <c r="R37" s="17">
        <f>IF($A37="","",ROUND($B37-$K37,2))</f>
        <v/>
      </c>
      <c r="S37" s="17">
        <f>IF($A37="","",IF($N37&lt;0,"ÇEKİL",IF($N37&lt;tyk_esikMarjDusuk,"ZAM","SAT")))</f>
        <v/>
      </c>
      <c r="T37" s="17">
        <f>IF($A37="","",$L37-$F37)</f>
        <v/>
      </c>
      <c r="U37" s="17">
        <f>IF($A37="","",$M37-$Q37)</f>
        <v/>
      </c>
      <c r="V37" s="17">
        <f>IF($A37="","",$R37-$M37)</f>
        <v/>
      </c>
    </row>
    <row r="38">
      <c r="A38" s="17">
        <f>IF('ANAHTAR'!$B38="","",'ANAHTAR'!$B38)</f>
        <v/>
      </c>
      <c r="B38" s="17">
        <f>IF($A38="","",IFERROR(SUMIF(tblAnahtarA[Norm],$A38,tblGirdi[ToplamSatis]),0))</f>
        <v/>
      </c>
      <c r="C38" s="17">
        <f>IF($A38="","",IFERROR(SUMIF(tblAnahtarA[Norm],$A38,tblGirdi[Maliyet])*IFERROR(SUMIF(tblAnahtarA[Norm],$A38,tblGirdi[Miktar]),1),0))</f>
        <v/>
      </c>
      <c r="D38" s="17">
        <f>IF($A38="","",IFERROR(SUMIF(tblAnahtarA[Norm],$A38,tblGirdi[Miktar]),0))</f>
        <v/>
      </c>
      <c r="E38" s="17">
        <f>IF($A38="","",IFERROR(SUMIF(tblAnahtarA[Norm],$A38,tblGirdi[KomisyonOran]),0))</f>
        <v/>
      </c>
      <c r="F38" s="17">
        <f>IF($A38="","",ROUND($B38*$E38,2))</f>
        <v/>
      </c>
      <c r="G38" s="17">
        <f>IF($A38="","",IFERROR(SUMIF(tblAnahtarB[NormB],$A38,tblHakedis[TyPlus]),0))</f>
        <v/>
      </c>
      <c r="H38" s="17">
        <f>IF($A38="","",IFERROR(SUMIF(tblAnahtarB[NormB],$A38,tblHakedis[FlasKesinti]),0))</f>
        <v/>
      </c>
      <c r="I38" s="17">
        <f>IF($A38="","",IFERROR(SUMIF(tblAnahtarB[NormB],$A38,tblHakedis[UrunReklam]),0))</f>
        <v/>
      </c>
      <c r="J38" s="17">
        <f>IF($A38="","",IFERROR(SUMIF(tblAnahtarB[NormB],$A38,tblHakedis[DesiKargo]),0))</f>
        <v/>
      </c>
      <c r="K38" s="17">
        <f>IF($A38="","",ROUND($F38+$G38+$H38+$I38+$J38,2))</f>
        <v/>
      </c>
      <c r="L38" s="17">
        <f>IF($A38="","",ROUND($B38-$C38,2))</f>
        <v/>
      </c>
      <c r="M38" s="17">
        <f>IF($A38="","",ROUND($B38-$C38-$K38,2))</f>
        <v/>
      </c>
      <c r="N38" s="17">
        <f>IF(OR($A38="",$B38=0),0,$M38/$B38)</f>
        <v/>
      </c>
      <c r="O38" s="17">
        <f>IF($A38="","",IF((1-$E38)&lt;=0,0,IF($D38=0,0,ROUND(($C38+$G38+$H38+$I38+$J38)/$D38/(1-$E38),2))))</f>
        <v/>
      </c>
      <c r="P38" s="17">
        <f>IF($A38="","",IFERROR(SUMIF(tblAnahtarA[Norm],$A38,tblGirdi[HedefNet]),0))</f>
        <v/>
      </c>
      <c r="Q38" s="17">
        <f>IF($A38="","",ROUND($M38-$P38,2))</f>
        <v/>
      </c>
      <c r="R38" s="17">
        <f>IF($A38="","",ROUND($B38-$K38,2))</f>
        <v/>
      </c>
      <c r="S38" s="17">
        <f>IF($A38="","",IF($N38&lt;0,"ÇEKİL",IF($N38&lt;tyk_esikMarjDusuk,"ZAM","SAT")))</f>
        <v/>
      </c>
      <c r="T38" s="17">
        <f>IF($A38="","",$L38-$F38)</f>
        <v/>
      </c>
      <c r="U38" s="17">
        <f>IF($A38="","",$M38-$Q38)</f>
        <v/>
      </c>
      <c r="V38" s="17">
        <f>IF($A38="","",$R38-$M38)</f>
        <v/>
      </c>
    </row>
    <row r="39">
      <c r="A39" s="17">
        <f>IF('ANAHTAR'!$B39="","",'ANAHTAR'!$B39)</f>
        <v/>
      </c>
      <c r="B39" s="17">
        <f>IF($A39="","",IFERROR(SUMIF(tblAnahtarA[Norm],$A39,tblGirdi[ToplamSatis]),0))</f>
        <v/>
      </c>
      <c r="C39" s="17">
        <f>IF($A39="","",IFERROR(SUMIF(tblAnahtarA[Norm],$A39,tblGirdi[Maliyet])*IFERROR(SUMIF(tblAnahtarA[Norm],$A39,tblGirdi[Miktar]),1),0))</f>
        <v/>
      </c>
      <c r="D39" s="17">
        <f>IF($A39="","",IFERROR(SUMIF(tblAnahtarA[Norm],$A39,tblGirdi[Miktar]),0))</f>
        <v/>
      </c>
      <c r="E39" s="17">
        <f>IF($A39="","",IFERROR(SUMIF(tblAnahtarA[Norm],$A39,tblGirdi[KomisyonOran]),0))</f>
        <v/>
      </c>
      <c r="F39" s="17">
        <f>IF($A39="","",ROUND($B39*$E39,2))</f>
        <v/>
      </c>
      <c r="G39" s="17">
        <f>IF($A39="","",IFERROR(SUMIF(tblAnahtarB[NormB],$A39,tblHakedis[TyPlus]),0))</f>
        <v/>
      </c>
      <c r="H39" s="17">
        <f>IF($A39="","",IFERROR(SUMIF(tblAnahtarB[NormB],$A39,tblHakedis[FlasKesinti]),0))</f>
        <v/>
      </c>
      <c r="I39" s="17">
        <f>IF($A39="","",IFERROR(SUMIF(tblAnahtarB[NormB],$A39,tblHakedis[UrunReklam]),0))</f>
        <v/>
      </c>
      <c r="J39" s="17">
        <f>IF($A39="","",IFERROR(SUMIF(tblAnahtarB[NormB],$A39,tblHakedis[DesiKargo]),0))</f>
        <v/>
      </c>
      <c r="K39" s="17">
        <f>IF($A39="","",ROUND($F39+$G39+$H39+$I39+$J39,2))</f>
        <v/>
      </c>
      <c r="L39" s="17">
        <f>IF($A39="","",ROUND($B39-$C39,2))</f>
        <v/>
      </c>
      <c r="M39" s="17">
        <f>IF($A39="","",ROUND($B39-$C39-$K39,2))</f>
        <v/>
      </c>
      <c r="N39" s="17">
        <f>IF(OR($A39="",$B39=0),0,$M39/$B39)</f>
        <v/>
      </c>
      <c r="O39" s="17">
        <f>IF($A39="","",IF((1-$E39)&lt;=0,0,IF($D39=0,0,ROUND(($C39+$G39+$H39+$I39+$J39)/$D39/(1-$E39),2))))</f>
        <v/>
      </c>
      <c r="P39" s="17">
        <f>IF($A39="","",IFERROR(SUMIF(tblAnahtarA[Norm],$A39,tblGirdi[HedefNet]),0))</f>
        <v/>
      </c>
      <c r="Q39" s="17">
        <f>IF($A39="","",ROUND($M39-$P39,2))</f>
        <v/>
      </c>
      <c r="R39" s="17">
        <f>IF($A39="","",ROUND($B39-$K39,2))</f>
        <v/>
      </c>
      <c r="S39" s="17">
        <f>IF($A39="","",IF($N39&lt;0,"ÇEKİL",IF($N39&lt;tyk_esikMarjDusuk,"ZAM","SAT")))</f>
        <v/>
      </c>
      <c r="T39" s="17">
        <f>IF($A39="","",$L39-$F39)</f>
        <v/>
      </c>
      <c r="U39" s="17">
        <f>IF($A39="","",$M39-$Q39)</f>
        <v/>
      </c>
      <c r="V39" s="17">
        <f>IF($A39="","",$R39-$M39)</f>
        <v/>
      </c>
    </row>
    <row r="40">
      <c r="A40" s="17">
        <f>IF('ANAHTAR'!$B40="","",'ANAHTAR'!$B40)</f>
        <v/>
      </c>
      <c r="B40" s="17">
        <f>IF($A40="","",IFERROR(SUMIF(tblAnahtarA[Norm],$A40,tblGirdi[ToplamSatis]),0))</f>
        <v/>
      </c>
      <c r="C40" s="17">
        <f>IF($A40="","",IFERROR(SUMIF(tblAnahtarA[Norm],$A40,tblGirdi[Maliyet])*IFERROR(SUMIF(tblAnahtarA[Norm],$A40,tblGirdi[Miktar]),1),0))</f>
        <v/>
      </c>
      <c r="D40" s="17">
        <f>IF($A40="","",IFERROR(SUMIF(tblAnahtarA[Norm],$A40,tblGirdi[Miktar]),0))</f>
        <v/>
      </c>
      <c r="E40" s="17">
        <f>IF($A40="","",IFERROR(SUMIF(tblAnahtarA[Norm],$A40,tblGirdi[KomisyonOran]),0))</f>
        <v/>
      </c>
      <c r="F40" s="17">
        <f>IF($A40="","",ROUND($B40*$E40,2))</f>
        <v/>
      </c>
      <c r="G40" s="17">
        <f>IF($A40="","",IFERROR(SUMIF(tblAnahtarB[NormB],$A40,tblHakedis[TyPlus]),0))</f>
        <v/>
      </c>
      <c r="H40" s="17">
        <f>IF($A40="","",IFERROR(SUMIF(tblAnahtarB[NormB],$A40,tblHakedis[FlasKesinti]),0))</f>
        <v/>
      </c>
      <c r="I40" s="17">
        <f>IF($A40="","",IFERROR(SUMIF(tblAnahtarB[NormB],$A40,tblHakedis[UrunReklam]),0))</f>
        <v/>
      </c>
      <c r="J40" s="17">
        <f>IF($A40="","",IFERROR(SUMIF(tblAnahtarB[NormB],$A40,tblHakedis[DesiKargo]),0))</f>
        <v/>
      </c>
      <c r="K40" s="17">
        <f>IF($A40="","",ROUND($F40+$G40+$H40+$I40+$J40,2))</f>
        <v/>
      </c>
      <c r="L40" s="17">
        <f>IF($A40="","",ROUND($B40-$C40,2))</f>
        <v/>
      </c>
      <c r="M40" s="17">
        <f>IF($A40="","",ROUND($B40-$C40-$K40,2))</f>
        <v/>
      </c>
      <c r="N40" s="17">
        <f>IF(OR($A40="",$B40=0),0,$M40/$B40)</f>
        <v/>
      </c>
      <c r="O40" s="17">
        <f>IF($A40="","",IF((1-$E40)&lt;=0,0,IF($D40=0,0,ROUND(($C40+$G40+$H40+$I40+$J40)/$D40/(1-$E40),2))))</f>
        <v/>
      </c>
      <c r="P40" s="17">
        <f>IF($A40="","",IFERROR(SUMIF(tblAnahtarA[Norm],$A40,tblGirdi[HedefNet]),0))</f>
        <v/>
      </c>
      <c r="Q40" s="17">
        <f>IF($A40="","",ROUND($M40-$P40,2))</f>
        <v/>
      </c>
      <c r="R40" s="17">
        <f>IF($A40="","",ROUND($B40-$K40,2))</f>
        <v/>
      </c>
      <c r="S40" s="17">
        <f>IF($A40="","",IF($N40&lt;0,"ÇEKİL",IF($N40&lt;tyk_esikMarjDusuk,"ZAM","SAT")))</f>
        <v/>
      </c>
      <c r="T40" s="17">
        <f>IF($A40="","",$L40-$F40)</f>
        <v/>
      </c>
      <c r="U40" s="17">
        <f>IF($A40="","",$M40-$Q40)</f>
        <v/>
      </c>
      <c r="V40" s="17">
        <f>IF($A40="","",$R40-$M40)</f>
        <v/>
      </c>
    </row>
    <row r="41">
      <c r="A41" s="17">
        <f>IF('ANAHTAR'!$B41="","",'ANAHTAR'!$B41)</f>
        <v/>
      </c>
      <c r="B41" s="17">
        <f>IF($A41="","",IFERROR(SUMIF(tblAnahtarA[Norm],$A41,tblGirdi[ToplamSatis]),0))</f>
        <v/>
      </c>
      <c r="C41" s="17">
        <f>IF($A41="","",IFERROR(SUMIF(tblAnahtarA[Norm],$A41,tblGirdi[Maliyet])*IFERROR(SUMIF(tblAnahtarA[Norm],$A41,tblGirdi[Miktar]),1),0))</f>
        <v/>
      </c>
      <c r="D41" s="17">
        <f>IF($A41="","",IFERROR(SUMIF(tblAnahtarA[Norm],$A41,tblGirdi[Miktar]),0))</f>
        <v/>
      </c>
      <c r="E41" s="17">
        <f>IF($A41="","",IFERROR(SUMIF(tblAnahtarA[Norm],$A41,tblGirdi[KomisyonOran]),0))</f>
        <v/>
      </c>
      <c r="F41" s="17">
        <f>IF($A41="","",ROUND($B41*$E41,2))</f>
        <v/>
      </c>
      <c r="G41" s="17">
        <f>IF($A41="","",IFERROR(SUMIF(tblAnahtarB[NormB],$A41,tblHakedis[TyPlus]),0))</f>
        <v/>
      </c>
      <c r="H41" s="17">
        <f>IF($A41="","",IFERROR(SUMIF(tblAnahtarB[NormB],$A41,tblHakedis[FlasKesinti]),0))</f>
        <v/>
      </c>
      <c r="I41" s="17">
        <f>IF($A41="","",IFERROR(SUMIF(tblAnahtarB[NormB],$A41,tblHakedis[UrunReklam]),0))</f>
        <v/>
      </c>
      <c r="J41" s="17">
        <f>IF($A41="","",IFERROR(SUMIF(tblAnahtarB[NormB],$A41,tblHakedis[DesiKargo]),0))</f>
        <v/>
      </c>
      <c r="K41" s="17">
        <f>IF($A41="","",ROUND($F41+$G41+$H41+$I41+$J41,2))</f>
        <v/>
      </c>
      <c r="L41" s="17">
        <f>IF($A41="","",ROUND($B41-$C41,2))</f>
        <v/>
      </c>
      <c r="M41" s="17">
        <f>IF($A41="","",ROUND($B41-$C41-$K41,2))</f>
        <v/>
      </c>
      <c r="N41" s="17">
        <f>IF(OR($A41="",$B41=0),0,$M41/$B41)</f>
        <v/>
      </c>
      <c r="O41" s="17">
        <f>IF($A41="","",IF((1-$E41)&lt;=0,0,IF($D41=0,0,ROUND(($C41+$G41+$H41+$I41+$J41)/$D41/(1-$E41),2))))</f>
        <v/>
      </c>
      <c r="P41" s="17">
        <f>IF($A41="","",IFERROR(SUMIF(tblAnahtarA[Norm],$A41,tblGirdi[HedefNet]),0))</f>
        <v/>
      </c>
      <c r="Q41" s="17">
        <f>IF($A41="","",ROUND($M41-$P41,2))</f>
        <v/>
      </c>
      <c r="R41" s="17">
        <f>IF($A41="","",ROUND($B41-$K41,2))</f>
        <v/>
      </c>
      <c r="S41" s="17">
        <f>IF($A41="","",IF($N41&lt;0,"ÇEKİL",IF($N41&lt;tyk_esikMarjDusuk,"ZAM","SAT")))</f>
        <v/>
      </c>
      <c r="T41" s="17">
        <f>IF($A41="","",$L41-$F41)</f>
        <v/>
      </c>
      <c r="U41" s="17">
        <f>IF($A41="","",$M41-$Q41)</f>
        <v/>
      </c>
      <c r="V41" s="17">
        <f>IF($A41="","",$R41-$M41)</f>
        <v/>
      </c>
    </row>
    <row r="42">
      <c r="A42" s="17">
        <f>IF('ANAHTAR'!$B42="","",'ANAHTAR'!$B42)</f>
        <v/>
      </c>
      <c r="B42" s="17">
        <f>IF($A42="","",IFERROR(SUMIF(tblAnahtarA[Norm],$A42,tblGirdi[ToplamSatis]),0))</f>
        <v/>
      </c>
      <c r="C42" s="17">
        <f>IF($A42="","",IFERROR(SUMIF(tblAnahtarA[Norm],$A42,tblGirdi[Maliyet])*IFERROR(SUMIF(tblAnahtarA[Norm],$A42,tblGirdi[Miktar]),1),0))</f>
        <v/>
      </c>
      <c r="D42" s="17">
        <f>IF($A42="","",IFERROR(SUMIF(tblAnahtarA[Norm],$A42,tblGirdi[Miktar]),0))</f>
        <v/>
      </c>
      <c r="E42" s="17">
        <f>IF($A42="","",IFERROR(SUMIF(tblAnahtarA[Norm],$A42,tblGirdi[KomisyonOran]),0))</f>
        <v/>
      </c>
      <c r="F42" s="17">
        <f>IF($A42="","",ROUND($B42*$E42,2))</f>
        <v/>
      </c>
      <c r="G42" s="17">
        <f>IF($A42="","",IFERROR(SUMIF(tblAnahtarB[NormB],$A42,tblHakedis[TyPlus]),0))</f>
        <v/>
      </c>
      <c r="H42" s="17">
        <f>IF($A42="","",IFERROR(SUMIF(tblAnahtarB[NormB],$A42,tblHakedis[FlasKesinti]),0))</f>
        <v/>
      </c>
      <c r="I42" s="17">
        <f>IF($A42="","",IFERROR(SUMIF(tblAnahtarB[NormB],$A42,tblHakedis[UrunReklam]),0))</f>
        <v/>
      </c>
      <c r="J42" s="17">
        <f>IF($A42="","",IFERROR(SUMIF(tblAnahtarB[NormB],$A42,tblHakedis[DesiKargo]),0))</f>
        <v/>
      </c>
      <c r="K42" s="17">
        <f>IF($A42="","",ROUND($F42+$G42+$H42+$I42+$J42,2))</f>
        <v/>
      </c>
      <c r="L42" s="17">
        <f>IF($A42="","",ROUND($B42-$C42,2))</f>
        <v/>
      </c>
      <c r="M42" s="17">
        <f>IF($A42="","",ROUND($B42-$C42-$K42,2))</f>
        <v/>
      </c>
      <c r="N42" s="17">
        <f>IF(OR($A42="",$B42=0),0,$M42/$B42)</f>
        <v/>
      </c>
      <c r="O42" s="17">
        <f>IF($A42="","",IF((1-$E42)&lt;=0,0,IF($D42=0,0,ROUND(($C42+$G42+$H42+$I42+$J42)/$D42/(1-$E42),2))))</f>
        <v/>
      </c>
      <c r="P42" s="17">
        <f>IF($A42="","",IFERROR(SUMIF(tblAnahtarA[Norm],$A42,tblGirdi[HedefNet]),0))</f>
        <v/>
      </c>
      <c r="Q42" s="17">
        <f>IF($A42="","",ROUND($M42-$P42,2))</f>
        <v/>
      </c>
      <c r="R42" s="17">
        <f>IF($A42="","",ROUND($B42-$K42,2))</f>
        <v/>
      </c>
      <c r="S42" s="17">
        <f>IF($A42="","",IF($N42&lt;0,"ÇEKİL",IF($N42&lt;tyk_esikMarjDusuk,"ZAM","SAT")))</f>
        <v/>
      </c>
      <c r="T42" s="17">
        <f>IF($A42="","",$L42-$F42)</f>
        <v/>
      </c>
      <c r="U42" s="17">
        <f>IF($A42="","",$M42-$Q42)</f>
        <v/>
      </c>
      <c r="V42" s="17">
        <f>IF($A42="","",$R42-$M42)</f>
        <v/>
      </c>
    </row>
    <row r="43">
      <c r="A43" s="17">
        <f>IF('ANAHTAR'!$B43="","",'ANAHTAR'!$B43)</f>
        <v/>
      </c>
      <c r="B43" s="17">
        <f>IF($A43="","",IFERROR(SUMIF(tblAnahtarA[Norm],$A43,tblGirdi[ToplamSatis]),0))</f>
        <v/>
      </c>
      <c r="C43" s="17">
        <f>IF($A43="","",IFERROR(SUMIF(tblAnahtarA[Norm],$A43,tblGirdi[Maliyet])*IFERROR(SUMIF(tblAnahtarA[Norm],$A43,tblGirdi[Miktar]),1),0))</f>
        <v/>
      </c>
      <c r="D43" s="17">
        <f>IF($A43="","",IFERROR(SUMIF(tblAnahtarA[Norm],$A43,tblGirdi[Miktar]),0))</f>
        <v/>
      </c>
      <c r="E43" s="17">
        <f>IF($A43="","",IFERROR(SUMIF(tblAnahtarA[Norm],$A43,tblGirdi[KomisyonOran]),0))</f>
        <v/>
      </c>
      <c r="F43" s="17">
        <f>IF($A43="","",ROUND($B43*$E43,2))</f>
        <v/>
      </c>
      <c r="G43" s="17">
        <f>IF($A43="","",IFERROR(SUMIF(tblAnahtarB[NormB],$A43,tblHakedis[TyPlus]),0))</f>
        <v/>
      </c>
      <c r="H43" s="17">
        <f>IF($A43="","",IFERROR(SUMIF(tblAnahtarB[NormB],$A43,tblHakedis[FlasKesinti]),0))</f>
        <v/>
      </c>
      <c r="I43" s="17">
        <f>IF($A43="","",IFERROR(SUMIF(tblAnahtarB[NormB],$A43,tblHakedis[UrunReklam]),0))</f>
        <v/>
      </c>
      <c r="J43" s="17">
        <f>IF($A43="","",IFERROR(SUMIF(tblAnahtarB[NormB],$A43,tblHakedis[DesiKargo]),0))</f>
        <v/>
      </c>
      <c r="K43" s="17">
        <f>IF($A43="","",ROUND($F43+$G43+$H43+$I43+$J43,2))</f>
        <v/>
      </c>
      <c r="L43" s="17">
        <f>IF($A43="","",ROUND($B43-$C43,2))</f>
        <v/>
      </c>
      <c r="M43" s="17">
        <f>IF($A43="","",ROUND($B43-$C43-$K43,2))</f>
        <v/>
      </c>
      <c r="N43" s="17">
        <f>IF(OR($A43="",$B43=0),0,$M43/$B43)</f>
        <v/>
      </c>
      <c r="O43" s="17">
        <f>IF($A43="","",IF((1-$E43)&lt;=0,0,IF($D43=0,0,ROUND(($C43+$G43+$H43+$I43+$J43)/$D43/(1-$E43),2))))</f>
        <v/>
      </c>
      <c r="P43" s="17">
        <f>IF($A43="","",IFERROR(SUMIF(tblAnahtarA[Norm],$A43,tblGirdi[HedefNet]),0))</f>
        <v/>
      </c>
      <c r="Q43" s="17">
        <f>IF($A43="","",ROUND($M43-$P43,2))</f>
        <v/>
      </c>
      <c r="R43" s="17">
        <f>IF($A43="","",ROUND($B43-$K43,2))</f>
        <v/>
      </c>
      <c r="S43" s="17">
        <f>IF($A43="","",IF($N43&lt;0,"ÇEKİL",IF($N43&lt;tyk_esikMarjDusuk,"ZAM","SAT")))</f>
        <v/>
      </c>
      <c r="T43" s="17">
        <f>IF($A43="","",$L43-$F43)</f>
        <v/>
      </c>
      <c r="U43" s="17">
        <f>IF($A43="","",$M43-$Q43)</f>
        <v/>
      </c>
      <c r="V43" s="17">
        <f>IF($A43="","",$R43-$M43)</f>
        <v/>
      </c>
    </row>
    <row r="44">
      <c r="A44" s="17">
        <f>IF('ANAHTAR'!$B44="","",'ANAHTAR'!$B44)</f>
        <v/>
      </c>
      <c r="B44" s="17">
        <f>IF($A44="","",IFERROR(SUMIF(tblAnahtarA[Norm],$A44,tblGirdi[ToplamSatis]),0))</f>
        <v/>
      </c>
      <c r="C44" s="17">
        <f>IF($A44="","",IFERROR(SUMIF(tblAnahtarA[Norm],$A44,tblGirdi[Maliyet])*IFERROR(SUMIF(tblAnahtarA[Norm],$A44,tblGirdi[Miktar]),1),0))</f>
        <v/>
      </c>
      <c r="D44" s="17">
        <f>IF($A44="","",IFERROR(SUMIF(tblAnahtarA[Norm],$A44,tblGirdi[Miktar]),0))</f>
        <v/>
      </c>
      <c r="E44" s="17">
        <f>IF($A44="","",IFERROR(SUMIF(tblAnahtarA[Norm],$A44,tblGirdi[KomisyonOran]),0))</f>
        <v/>
      </c>
      <c r="F44" s="17">
        <f>IF($A44="","",ROUND($B44*$E44,2))</f>
        <v/>
      </c>
      <c r="G44" s="17">
        <f>IF($A44="","",IFERROR(SUMIF(tblAnahtarB[NormB],$A44,tblHakedis[TyPlus]),0))</f>
        <v/>
      </c>
      <c r="H44" s="17">
        <f>IF($A44="","",IFERROR(SUMIF(tblAnahtarB[NormB],$A44,tblHakedis[FlasKesinti]),0))</f>
        <v/>
      </c>
      <c r="I44" s="17">
        <f>IF($A44="","",IFERROR(SUMIF(tblAnahtarB[NormB],$A44,tblHakedis[UrunReklam]),0))</f>
        <v/>
      </c>
      <c r="J44" s="17">
        <f>IF($A44="","",IFERROR(SUMIF(tblAnahtarB[NormB],$A44,tblHakedis[DesiKargo]),0))</f>
        <v/>
      </c>
      <c r="K44" s="17">
        <f>IF($A44="","",ROUND($F44+$G44+$H44+$I44+$J44,2))</f>
        <v/>
      </c>
      <c r="L44" s="17">
        <f>IF($A44="","",ROUND($B44-$C44,2))</f>
        <v/>
      </c>
      <c r="M44" s="17">
        <f>IF($A44="","",ROUND($B44-$C44-$K44,2))</f>
        <v/>
      </c>
      <c r="N44" s="17">
        <f>IF(OR($A44="",$B44=0),0,$M44/$B44)</f>
        <v/>
      </c>
      <c r="O44" s="17">
        <f>IF($A44="","",IF((1-$E44)&lt;=0,0,IF($D44=0,0,ROUND(($C44+$G44+$H44+$I44+$J44)/$D44/(1-$E44),2))))</f>
        <v/>
      </c>
      <c r="P44" s="17">
        <f>IF($A44="","",IFERROR(SUMIF(tblAnahtarA[Norm],$A44,tblGirdi[HedefNet]),0))</f>
        <v/>
      </c>
      <c r="Q44" s="17">
        <f>IF($A44="","",ROUND($M44-$P44,2))</f>
        <v/>
      </c>
      <c r="R44" s="17">
        <f>IF($A44="","",ROUND($B44-$K44,2))</f>
        <v/>
      </c>
      <c r="S44" s="17">
        <f>IF($A44="","",IF($N44&lt;0,"ÇEKİL",IF($N44&lt;tyk_esikMarjDusuk,"ZAM","SAT")))</f>
        <v/>
      </c>
      <c r="T44" s="17">
        <f>IF($A44="","",$L44-$F44)</f>
        <v/>
      </c>
      <c r="U44" s="17">
        <f>IF($A44="","",$M44-$Q44)</f>
        <v/>
      </c>
      <c r="V44" s="17">
        <f>IF($A44="","",$R44-$M44)</f>
        <v/>
      </c>
    </row>
    <row r="45">
      <c r="A45" s="17">
        <f>IF('ANAHTAR'!$B45="","",'ANAHTAR'!$B45)</f>
        <v/>
      </c>
      <c r="B45" s="17">
        <f>IF($A45="","",IFERROR(SUMIF(tblAnahtarA[Norm],$A45,tblGirdi[ToplamSatis]),0))</f>
        <v/>
      </c>
      <c r="C45" s="17">
        <f>IF($A45="","",IFERROR(SUMIF(tblAnahtarA[Norm],$A45,tblGirdi[Maliyet])*IFERROR(SUMIF(tblAnahtarA[Norm],$A45,tblGirdi[Miktar]),1),0))</f>
        <v/>
      </c>
      <c r="D45" s="17">
        <f>IF($A45="","",IFERROR(SUMIF(tblAnahtarA[Norm],$A45,tblGirdi[Miktar]),0))</f>
        <v/>
      </c>
      <c r="E45" s="17">
        <f>IF($A45="","",IFERROR(SUMIF(tblAnahtarA[Norm],$A45,tblGirdi[KomisyonOran]),0))</f>
        <v/>
      </c>
      <c r="F45" s="17">
        <f>IF($A45="","",ROUND($B45*$E45,2))</f>
        <v/>
      </c>
      <c r="G45" s="17">
        <f>IF($A45="","",IFERROR(SUMIF(tblAnahtarB[NormB],$A45,tblHakedis[TyPlus]),0))</f>
        <v/>
      </c>
      <c r="H45" s="17">
        <f>IF($A45="","",IFERROR(SUMIF(tblAnahtarB[NormB],$A45,tblHakedis[FlasKesinti]),0))</f>
        <v/>
      </c>
      <c r="I45" s="17">
        <f>IF($A45="","",IFERROR(SUMIF(tblAnahtarB[NormB],$A45,tblHakedis[UrunReklam]),0))</f>
        <v/>
      </c>
      <c r="J45" s="17">
        <f>IF($A45="","",IFERROR(SUMIF(tblAnahtarB[NormB],$A45,tblHakedis[DesiKargo]),0))</f>
        <v/>
      </c>
      <c r="K45" s="17">
        <f>IF($A45="","",ROUND($F45+$G45+$H45+$I45+$J45,2))</f>
        <v/>
      </c>
      <c r="L45" s="17">
        <f>IF($A45="","",ROUND($B45-$C45,2))</f>
        <v/>
      </c>
      <c r="M45" s="17">
        <f>IF($A45="","",ROUND($B45-$C45-$K45,2))</f>
        <v/>
      </c>
      <c r="N45" s="17">
        <f>IF(OR($A45="",$B45=0),0,$M45/$B45)</f>
        <v/>
      </c>
      <c r="O45" s="17">
        <f>IF($A45="","",IF((1-$E45)&lt;=0,0,IF($D45=0,0,ROUND(($C45+$G45+$H45+$I45+$J45)/$D45/(1-$E45),2))))</f>
        <v/>
      </c>
      <c r="P45" s="17">
        <f>IF($A45="","",IFERROR(SUMIF(tblAnahtarA[Norm],$A45,tblGirdi[HedefNet]),0))</f>
        <v/>
      </c>
      <c r="Q45" s="17">
        <f>IF($A45="","",ROUND($M45-$P45,2))</f>
        <v/>
      </c>
      <c r="R45" s="17">
        <f>IF($A45="","",ROUND($B45-$K45,2))</f>
        <v/>
      </c>
      <c r="S45" s="17">
        <f>IF($A45="","",IF($N45&lt;0,"ÇEKİL",IF($N45&lt;tyk_esikMarjDusuk,"ZAM","SAT")))</f>
        <v/>
      </c>
      <c r="T45" s="17">
        <f>IF($A45="","",$L45-$F45)</f>
        <v/>
      </c>
      <c r="U45" s="17">
        <f>IF($A45="","",$M45-$Q45)</f>
        <v/>
      </c>
      <c r="V45" s="17">
        <f>IF($A45="","",$R45-$M45)</f>
        <v/>
      </c>
    </row>
    <row r="46">
      <c r="A46" s="17">
        <f>IF('ANAHTAR'!$B46="","",'ANAHTAR'!$B46)</f>
        <v/>
      </c>
      <c r="B46" s="17">
        <f>IF($A46="","",IFERROR(SUMIF(tblAnahtarA[Norm],$A46,tblGirdi[ToplamSatis]),0))</f>
        <v/>
      </c>
      <c r="C46" s="17">
        <f>IF($A46="","",IFERROR(SUMIF(tblAnahtarA[Norm],$A46,tblGirdi[Maliyet])*IFERROR(SUMIF(tblAnahtarA[Norm],$A46,tblGirdi[Miktar]),1),0))</f>
        <v/>
      </c>
      <c r="D46" s="17">
        <f>IF($A46="","",IFERROR(SUMIF(tblAnahtarA[Norm],$A46,tblGirdi[Miktar]),0))</f>
        <v/>
      </c>
      <c r="E46" s="17">
        <f>IF($A46="","",IFERROR(SUMIF(tblAnahtarA[Norm],$A46,tblGirdi[KomisyonOran]),0))</f>
        <v/>
      </c>
      <c r="F46" s="17">
        <f>IF($A46="","",ROUND($B46*$E46,2))</f>
        <v/>
      </c>
      <c r="G46" s="17">
        <f>IF($A46="","",IFERROR(SUMIF(tblAnahtarB[NormB],$A46,tblHakedis[TyPlus]),0))</f>
        <v/>
      </c>
      <c r="H46" s="17">
        <f>IF($A46="","",IFERROR(SUMIF(tblAnahtarB[NormB],$A46,tblHakedis[FlasKesinti]),0))</f>
        <v/>
      </c>
      <c r="I46" s="17">
        <f>IF($A46="","",IFERROR(SUMIF(tblAnahtarB[NormB],$A46,tblHakedis[UrunReklam]),0))</f>
        <v/>
      </c>
      <c r="J46" s="17">
        <f>IF($A46="","",IFERROR(SUMIF(tblAnahtarB[NormB],$A46,tblHakedis[DesiKargo]),0))</f>
        <v/>
      </c>
      <c r="K46" s="17">
        <f>IF($A46="","",ROUND($F46+$G46+$H46+$I46+$J46,2))</f>
        <v/>
      </c>
      <c r="L46" s="17">
        <f>IF($A46="","",ROUND($B46-$C46,2))</f>
        <v/>
      </c>
      <c r="M46" s="17">
        <f>IF($A46="","",ROUND($B46-$C46-$K46,2))</f>
        <v/>
      </c>
      <c r="N46" s="17">
        <f>IF(OR($A46="",$B46=0),0,$M46/$B46)</f>
        <v/>
      </c>
      <c r="O46" s="17">
        <f>IF($A46="","",IF((1-$E46)&lt;=0,0,IF($D46=0,0,ROUND(($C46+$G46+$H46+$I46+$J46)/$D46/(1-$E46),2))))</f>
        <v/>
      </c>
      <c r="P46" s="17">
        <f>IF($A46="","",IFERROR(SUMIF(tblAnahtarA[Norm],$A46,tblGirdi[HedefNet]),0))</f>
        <v/>
      </c>
      <c r="Q46" s="17">
        <f>IF($A46="","",ROUND($M46-$P46,2))</f>
        <v/>
      </c>
      <c r="R46" s="17">
        <f>IF($A46="","",ROUND($B46-$K46,2))</f>
        <v/>
      </c>
      <c r="S46" s="17">
        <f>IF($A46="","",IF($N46&lt;0,"ÇEKİL",IF($N46&lt;tyk_esikMarjDusuk,"ZAM","SAT")))</f>
        <v/>
      </c>
      <c r="T46" s="17">
        <f>IF($A46="","",$L46-$F46)</f>
        <v/>
      </c>
      <c r="U46" s="17">
        <f>IF($A46="","",$M46-$Q46)</f>
        <v/>
      </c>
      <c r="V46" s="17">
        <f>IF($A46="","",$R46-$M46)</f>
        <v/>
      </c>
    </row>
    <row r="47">
      <c r="A47" s="17">
        <f>IF('ANAHTAR'!$B47="","",'ANAHTAR'!$B47)</f>
        <v/>
      </c>
      <c r="B47" s="17">
        <f>IF($A47="","",IFERROR(SUMIF(tblAnahtarA[Norm],$A47,tblGirdi[ToplamSatis]),0))</f>
        <v/>
      </c>
      <c r="C47" s="17">
        <f>IF($A47="","",IFERROR(SUMIF(tblAnahtarA[Norm],$A47,tblGirdi[Maliyet])*IFERROR(SUMIF(tblAnahtarA[Norm],$A47,tblGirdi[Miktar]),1),0))</f>
        <v/>
      </c>
      <c r="D47" s="17">
        <f>IF($A47="","",IFERROR(SUMIF(tblAnahtarA[Norm],$A47,tblGirdi[Miktar]),0))</f>
        <v/>
      </c>
      <c r="E47" s="17">
        <f>IF($A47="","",IFERROR(SUMIF(tblAnahtarA[Norm],$A47,tblGirdi[KomisyonOran]),0))</f>
        <v/>
      </c>
      <c r="F47" s="17">
        <f>IF($A47="","",ROUND($B47*$E47,2))</f>
        <v/>
      </c>
      <c r="G47" s="17">
        <f>IF($A47="","",IFERROR(SUMIF(tblAnahtarB[NormB],$A47,tblHakedis[TyPlus]),0))</f>
        <v/>
      </c>
      <c r="H47" s="17">
        <f>IF($A47="","",IFERROR(SUMIF(tblAnahtarB[NormB],$A47,tblHakedis[FlasKesinti]),0))</f>
        <v/>
      </c>
      <c r="I47" s="17">
        <f>IF($A47="","",IFERROR(SUMIF(tblAnahtarB[NormB],$A47,tblHakedis[UrunReklam]),0))</f>
        <v/>
      </c>
      <c r="J47" s="17">
        <f>IF($A47="","",IFERROR(SUMIF(tblAnahtarB[NormB],$A47,tblHakedis[DesiKargo]),0))</f>
        <v/>
      </c>
      <c r="K47" s="17">
        <f>IF($A47="","",ROUND($F47+$G47+$H47+$I47+$J47,2))</f>
        <v/>
      </c>
      <c r="L47" s="17">
        <f>IF($A47="","",ROUND($B47-$C47,2))</f>
        <v/>
      </c>
      <c r="M47" s="17">
        <f>IF($A47="","",ROUND($B47-$C47-$K47,2))</f>
        <v/>
      </c>
      <c r="N47" s="17">
        <f>IF(OR($A47="",$B47=0),0,$M47/$B47)</f>
        <v/>
      </c>
      <c r="O47" s="17">
        <f>IF($A47="","",IF((1-$E47)&lt;=0,0,IF($D47=0,0,ROUND(($C47+$G47+$H47+$I47+$J47)/$D47/(1-$E47),2))))</f>
        <v/>
      </c>
      <c r="P47" s="17">
        <f>IF($A47="","",IFERROR(SUMIF(tblAnahtarA[Norm],$A47,tblGirdi[HedefNet]),0))</f>
        <v/>
      </c>
      <c r="Q47" s="17">
        <f>IF($A47="","",ROUND($M47-$P47,2))</f>
        <v/>
      </c>
      <c r="R47" s="17">
        <f>IF($A47="","",ROUND($B47-$K47,2))</f>
        <v/>
      </c>
      <c r="S47" s="17">
        <f>IF($A47="","",IF($N47&lt;0,"ÇEKİL",IF($N47&lt;tyk_esikMarjDusuk,"ZAM","SAT")))</f>
        <v/>
      </c>
      <c r="T47" s="17">
        <f>IF($A47="","",$L47-$F47)</f>
        <v/>
      </c>
      <c r="U47" s="17">
        <f>IF($A47="","",$M47-$Q47)</f>
        <v/>
      </c>
      <c r="V47" s="17">
        <f>IF($A47="","",$R47-$M47)</f>
        <v/>
      </c>
    </row>
    <row r="48">
      <c r="A48" s="17">
        <f>IF('ANAHTAR'!$B48="","",'ANAHTAR'!$B48)</f>
        <v/>
      </c>
      <c r="B48" s="17">
        <f>IF($A48="","",IFERROR(SUMIF(tblAnahtarA[Norm],$A48,tblGirdi[ToplamSatis]),0))</f>
        <v/>
      </c>
      <c r="C48" s="17">
        <f>IF($A48="","",IFERROR(SUMIF(tblAnahtarA[Norm],$A48,tblGirdi[Maliyet])*IFERROR(SUMIF(tblAnahtarA[Norm],$A48,tblGirdi[Miktar]),1),0))</f>
        <v/>
      </c>
      <c r="D48" s="17">
        <f>IF($A48="","",IFERROR(SUMIF(tblAnahtarA[Norm],$A48,tblGirdi[Miktar]),0))</f>
        <v/>
      </c>
      <c r="E48" s="17">
        <f>IF($A48="","",IFERROR(SUMIF(tblAnahtarA[Norm],$A48,tblGirdi[KomisyonOran]),0))</f>
        <v/>
      </c>
      <c r="F48" s="17">
        <f>IF($A48="","",ROUND($B48*$E48,2))</f>
        <v/>
      </c>
      <c r="G48" s="17">
        <f>IF($A48="","",IFERROR(SUMIF(tblAnahtarB[NormB],$A48,tblHakedis[TyPlus]),0))</f>
        <v/>
      </c>
      <c r="H48" s="17">
        <f>IF($A48="","",IFERROR(SUMIF(tblAnahtarB[NormB],$A48,tblHakedis[FlasKesinti]),0))</f>
        <v/>
      </c>
      <c r="I48" s="17">
        <f>IF($A48="","",IFERROR(SUMIF(tblAnahtarB[NormB],$A48,tblHakedis[UrunReklam]),0))</f>
        <v/>
      </c>
      <c r="J48" s="17">
        <f>IF($A48="","",IFERROR(SUMIF(tblAnahtarB[NormB],$A48,tblHakedis[DesiKargo]),0))</f>
        <v/>
      </c>
      <c r="K48" s="17">
        <f>IF($A48="","",ROUND($F48+$G48+$H48+$I48+$J48,2))</f>
        <v/>
      </c>
      <c r="L48" s="17">
        <f>IF($A48="","",ROUND($B48-$C48,2))</f>
        <v/>
      </c>
      <c r="M48" s="17">
        <f>IF($A48="","",ROUND($B48-$C48-$K48,2))</f>
        <v/>
      </c>
      <c r="N48" s="17">
        <f>IF(OR($A48="",$B48=0),0,$M48/$B48)</f>
        <v/>
      </c>
      <c r="O48" s="17">
        <f>IF($A48="","",IF((1-$E48)&lt;=0,0,IF($D48=0,0,ROUND(($C48+$G48+$H48+$I48+$J48)/$D48/(1-$E48),2))))</f>
        <v/>
      </c>
      <c r="P48" s="17">
        <f>IF($A48="","",IFERROR(SUMIF(tblAnahtarA[Norm],$A48,tblGirdi[HedefNet]),0))</f>
        <v/>
      </c>
      <c r="Q48" s="17">
        <f>IF($A48="","",ROUND($M48-$P48,2))</f>
        <v/>
      </c>
      <c r="R48" s="17">
        <f>IF($A48="","",ROUND($B48-$K48,2))</f>
        <v/>
      </c>
      <c r="S48" s="17">
        <f>IF($A48="","",IF($N48&lt;0,"ÇEKİL",IF($N48&lt;tyk_esikMarjDusuk,"ZAM","SAT")))</f>
        <v/>
      </c>
      <c r="T48" s="17">
        <f>IF($A48="","",$L48-$F48)</f>
        <v/>
      </c>
      <c r="U48" s="17">
        <f>IF($A48="","",$M48-$Q48)</f>
        <v/>
      </c>
      <c r="V48" s="17">
        <f>IF($A48="","",$R48-$M48)</f>
        <v/>
      </c>
    </row>
    <row r="49">
      <c r="A49" s="17">
        <f>IF('ANAHTAR'!$B49="","",'ANAHTAR'!$B49)</f>
        <v/>
      </c>
      <c r="B49" s="17">
        <f>IF($A49="","",IFERROR(SUMIF(tblAnahtarA[Norm],$A49,tblGirdi[ToplamSatis]),0))</f>
        <v/>
      </c>
      <c r="C49" s="17">
        <f>IF($A49="","",IFERROR(SUMIF(tblAnahtarA[Norm],$A49,tblGirdi[Maliyet])*IFERROR(SUMIF(tblAnahtarA[Norm],$A49,tblGirdi[Miktar]),1),0))</f>
        <v/>
      </c>
      <c r="D49" s="17">
        <f>IF($A49="","",IFERROR(SUMIF(tblAnahtarA[Norm],$A49,tblGirdi[Miktar]),0))</f>
        <v/>
      </c>
      <c r="E49" s="17">
        <f>IF($A49="","",IFERROR(SUMIF(tblAnahtarA[Norm],$A49,tblGirdi[KomisyonOran]),0))</f>
        <v/>
      </c>
      <c r="F49" s="17">
        <f>IF($A49="","",ROUND($B49*$E49,2))</f>
        <v/>
      </c>
      <c r="G49" s="17">
        <f>IF($A49="","",IFERROR(SUMIF(tblAnahtarB[NormB],$A49,tblHakedis[TyPlus]),0))</f>
        <v/>
      </c>
      <c r="H49" s="17">
        <f>IF($A49="","",IFERROR(SUMIF(tblAnahtarB[NormB],$A49,tblHakedis[FlasKesinti]),0))</f>
        <v/>
      </c>
      <c r="I49" s="17">
        <f>IF($A49="","",IFERROR(SUMIF(tblAnahtarB[NormB],$A49,tblHakedis[UrunReklam]),0))</f>
        <v/>
      </c>
      <c r="J49" s="17">
        <f>IF($A49="","",IFERROR(SUMIF(tblAnahtarB[NormB],$A49,tblHakedis[DesiKargo]),0))</f>
        <v/>
      </c>
      <c r="K49" s="17">
        <f>IF($A49="","",ROUND($F49+$G49+$H49+$I49+$J49,2))</f>
        <v/>
      </c>
      <c r="L49" s="17">
        <f>IF($A49="","",ROUND($B49-$C49,2))</f>
        <v/>
      </c>
      <c r="M49" s="17">
        <f>IF($A49="","",ROUND($B49-$C49-$K49,2))</f>
        <v/>
      </c>
      <c r="N49" s="17">
        <f>IF(OR($A49="",$B49=0),0,$M49/$B49)</f>
        <v/>
      </c>
      <c r="O49" s="17">
        <f>IF($A49="","",IF((1-$E49)&lt;=0,0,IF($D49=0,0,ROUND(($C49+$G49+$H49+$I49+$J49)/$D49/(1-$E49),2))))</f>
        <v/>
      </c>
      <c r="P49" s="17">
        <f>IF($A49="","",IFERROR(SUMIF(tblAnahtarA[Norm],$A49,tblGirdi[HedefNet]),0))</f>
        <v/>
      </c>
      <c r="Q49" s="17">
        <f>IF($A49="","",ROUND($M49-$P49,2))</f>
        <v/>
      </c>
      <c r="R49" s="17">
        <f>IF($A49="","",ROUND($B49-$K49,2))</f>
        <v/>
      </c>
      <c r="S49" s="17">
        <f>IF($A49="","",IF($N49&lt;0,"ÇEKİL",IF($N49&lt;tyk_esikMarjDusuk,"ZAM","SAT")))</f>
        <v/>
      </c>
      <c r="T49" s="17">
        <f>IF($A49="","",$L49-$F49)</f>
        <v/>
      </c>
      <c r="U49" s="17">
        <f>IF($A49="","",$M49-$Q49)</f>
        <v/>
      </c>
      <c r="V49" s="17">
        <f>IF($A49="","",$R49-$M49)</f>
        <v/>
      </c>
    </row>
    <row r="50">
      <c r="A50" s="17">
        <f>IF('ANAHTAR'!$B50="","",'ANAHTAR'!$B50)</f>
        <v/>
      </c>
      <c r="B50" s="17">
        <f>IF($A50="","",IFERROR(SUMIF(tblAnahtarA[Norm],$A50,tblGirdi[ToplamSatis]),0))</f>
        <v/>
      </c>
      <c r="C50" s="17">
        <f>IF($A50="","",IFERROR(SUMIF(tblAnahtarA[Norm],$A50,tblGirdi[Maliyet])*IFERROR(SUMIF(tblAnahtarA[Norm],$A50,tblGirdi[Miktar]),1),0))</f>
        <v/>
      </c>
      <c r="D50" s="17">
        <f>IF($A50="","",IFERROR(SUMIF(tblAnahtarA[Norm],$A50,tblGirdi[Miktar]),0))</f>
        <v/>
      </c>
      <c r="E50" s="17">
        <f>IF($A50="","",IFERROR(SUMIF(tblAnahtarA[Norm],$A50,tblGirdi[KomisyonOran]),0))</f>
        <v/>
      </c>
      <c r="F50" s="17">
        <f>IF($A50="","",ROUND($B50*$E50,2))</f>
        <v/>
      </c>
      <c r="G50" s="17">
        <f>IF($A50="","",IFERROR(SUMIF(tblAnahtarB[NormB],$A50,tblHakedis[TyPlus]),0))</f>
        <v/>
      </c>
      <c r="H50" s="17">
        <f>IF($A50="","",IFERROR(SUMIF(tblAnahtarB[NormB],$A50,tblHakedis[FlasKesinti]),0))</f>
        <v/>
      </c>
      <c r="I50" s="17">
        <f>IF($A50="","",IFERROR(SUMIF(tblAnahtarB[NormB],$A50,tblHakedis[UrunReklam]),0))</f>
        <v/>
      </c>
      <c r="J50" s="17">
        <f>IF($A50="","",IFERROR(SUMIF(tblAnahtarB[NormB],$A50,tblHakedis[DesiKargo]),0))</f>
        <v/>
      </c>
      <c r="K50" s="17">
        <f>IF($A50="","",ROUND($F50+$G50+$H50+$I50+$J50,2))</f>
        <v/>
      </c>
      <c r="L50" s="17">
        <f>IF($A50="","",ROUND($B50-$C50,2))</f>
        <v/>
      </c>
      <c r="M50" s="17">
        <f>IF($A50="","",ROUND($B50-$C50-$K50,2))</f>
        <v/>
      </c>
      <c r="N50" s="17">
        <f>IF(OR($A50="",$B50=0),0,$M50/$B50)</f>
        <v/>
      </c>
      <c r="O50" s="17">
        <f>IF($A50="","",IF((1-$E50)&lt;=0,0,IF($D50=0,0,ROUND(($C50+$G50+$H50+$I50+$J50)/$D50/(1-$E50),2))))</f>
        <v/>
      </c>
      <c r="P50" s="17">
        <f>IF($A50="","",IFERROR(SUMIF(tblAnahtarA[Norm],$A50,tblGirdi[HedefNet]),0))</f>
        <v/>
      </c>
      <c r="Q50" s="17">
        <f>IF($A50="","",ROUND($M50-$P50,2))</f>
        <v/>
      </c>
      <c r="R50" s="17">
        <f>IF($A50="","",ROUND($B50-$K50,2))</f>
        <v/>
      </c>
      <c r="S50" s="17">
        <f>IF($A50="","",IF($N50&lt;0,"ÇEKİL",IF($N50&lt;tyk_esikMarjDusuk,"ZAM","SAT")))</f>
        <v/>
      </c>
      <c r="T50" s="17">
        <f>IF($A50="","",$L50-$F50)</f>
        <v/>
      </c>
      <c r="U50" s="17">
        <f>IF($A50="","",$M50-$Q50)</f>
        <v/>
      </c>
      <c r="V50" s="17">
        <f>IF($A50="","",$R50-$M50)</f>
        <v/>
      </c>
    </row>
    <row r="51">
      <c r="A51" s="17">
        <f>IF('ANAHTAR'!$B51="","",'ANAHTAR'!$B51)</f>
        <v/>
      </c>
      <c r="B51" s="17">
        <f>IF($A51="","",IFERROR(SUMIF(tblAnahtarA[Norm],$A51,tblGirdi[ToplamSatis]),0))</f>
        <v/>
      </c>
      <c r="C51" s="17">
        <f>IF($A51="","",IFERROR(SUMIF(tblAnahtarA[Norm],$A51,tblGirdi[Maliyet])*IFERROR(SUMIF(tblAnahtarA[Norm],$A51,tblGirdi[Miktar]),1),0))</f>
        <v/>
      </c>
      <c r="D51" s="17">
        <f>IF($A51="","",IFERROR(SUMIF(tblAnahtarA[Norm],$A51,tblGirdi[Miktar]),0))</f>
        <v/>
      </c>
      <c r="E51" s="17">
        <f>IF($A51="","",IFERROR(SUMIF(tblAnahtarA[Norm],$A51,tblGirdi[KomisyonOran]),0))</f>
        <v/>
      </c>
      <c r="F51" s="17">
        <f>IF($A51="","",ROUND($B51*$E51,2))</f>
        <v/>
      </c>
      <c r="G51" s="17">
        <f>IF($A51="","",IFERROR(SUMIF(tblAnahtarB[NormB],$A51,tblHakedis[TyPlus]),0))</f>
        <v/>
      </c>
      <c r="H51" s="17">
        <f>IF($A51="","",IFERROR(SUMIF(tblAnahtarB[NormB],$A51,tblHakedis[FlasKesinti]),0))</f>
        <v/>
      </c>
      <c r="I51" s="17">
        <f>IF($A51="","",IFERROR(SUMIF(tblAnahtarB[NormB],$A51,tblHakedis[UrunReklam]),0))</f>
        <v/>
      </c>
      <c r="J51" s="17">
        <f>IF($A51="","",IFERROR(SUMIF(tblAnahtarB[NormB],$A51,tblHakedis[DesiKargo]),0))</f>
        <v/>
      </c>
      <c r="K51" s="17">
        <f>IF($A51="","",ROUND($F51+$G51+$H51+$I51+$J51,2))</f>
        <v/>
      </c>
      <c r="L51" s="17">
        <f>IF($A51="","",ROUND($B51-$C51,2))</f>
        <v/>
      </c>
      <c r="M51" s="17">
        <f>IF($A51="","",ROUND($B51-$C51-$K51,2))</f>
        <v/>
      </c>
      <c r="N51" s="17">
        <f>IF(OR($A51="",$B51=0),0,$M51/$B51)</f>
        <v/>
      </c>
      <c r="O51" s="17">
        <f>IF($A51="","",IF((1-$E51)&lt;=0,0,IF($D51=0,0,ROUND(($C51+$G51+$H51+$I51+$J51)/$D51/(1-$E51),2))))</f>
        <v/>
      </c>
      <c r="P51" s="17">
        <f>IF($A51="","",IFERROR(SUMIF(tblAnahtarA[Norm],$A51,tblGirdi[HedefNet]),0))</f>
        <v/>
      </c>
      <c r="Q51" s="17">
        <f>IF($A51="","",ROUND($M51-$P51,2))</f>
        <v/>
      </c>
      <c r="R51" s="17">
        <f>IF($A51="","",ROUND($B51-$K51,2))</f>
        <v/>
      </c>
      <c r="S51" s="17">
        <f>IF($A51="","",IF($N51&lt;0,"ÇEKİL",IF($N51&lt;tyk_esikMarjDusuk,"ZAM","SAT")))</f>
        <v/>
      </c>
      <c r="T51" s="17">
        <f>IF($A51="","",$L51-$F51)</f>
        <v/>
      </c>
      <c r="U51" s="17">
        <f>IF($A51="","",$M51-$Q51)</f>
        <v/>
      </c>
      <c r="V51" s="17">
        <f>IF($A51="","",$R51-$M51)</f>
        <v/>
      </c>
    </row>
    <row r="52">
      <c r="A52" s="17">
        <f>IF('ANAHTAR'!$B52="","",'ANAHTAR'!$B52)</f>
        <v/>
      </c>
      <c r="B52" s="17">
        <f>IF($A52="","",IFERROR(SUMIF(tblAnahtarA[Norm],$A52,tblGirdi[ToplamSatis]),0))</f>
        <v/>
      </c>
      <c r="C52" s="17">
        <f>IF($A52="","",IFERROR(SUMIF(tblAnahtarA[Norm],$A52,tblGirdi[Maliyet])*IFERROR(SUMIF(tblAnahtarA[Norm],$A52,tblGirdi[Miktar]),1),0))</f>
        <v/>
      </c>
      <c r="D52" s="17">
        <f>IF($A52="","",IFERROR(SUMIF(tblAnahtarA[Norm],$A52,tblGirdi[Miktar]),0))</f>
        <v/>
      </c>
      <c r="E52" s="17">
        <f>IF($A52="","",IFERROR(SUMIF(tblAnahtarA[Norm],$A52,tblGirdi[KomisyonOran]),0))</f>
        <v/>
      </c>
      <c r="F52" s="17">
        <f>IF($A52="","",ROUND($B52*$E52,2))</f>
        <v/>
      </c>
      <c r="G52" s="17">
        <f>IF($A52="","",IFERROR(SUMIF(tblAnahtarB[NormB],$A52,tblHakedis[TyPlus]),0))</f>
        <v/>
      </c>
      <c r="H52" s="17">
        <f>IF($A52="","",IFERROR(SUMIF(tblAnahtarB[NormB],$A52,tblHakedis[FlasKesinti]),0))</f>
        <v/>
      </c>
      <c r="I52" s="17">
        <f>IF($A52="","",IFERROR(SUMIF(tblAnahtarB[NormB],$A52,tblHakedis[UrunReklam]),0))</f>
        <v/>
      </c>
      <c r="J52" s="17">
        <f>IF($A52="","",IFERROR(SUMIF(tblAnahtarB[NormB],$A52,tblHakedis[DesiKargo]),0))</f>
        <v/>
      </c>
      <c r="K52" s="17">
        <f>IF($A52="","",ROUND($F52+$G52+$H52+$I52+$J52,2))</f>
        <v/>
      </c>
      <c r="L52" s="17">
        <f>IF($A52="","",ROUND($B52-$C52,2))</f>
        <v/>
      </c>
      <c r="M52" s="17">
        <f>IF($A52="","",ROUND($B52-$C52-$K52,2))</f>
        <v/>
      </c>
      <c r="N52" s="17">
        <f>IF(OR($A52="",$B52=0),0,$M52/$B52)</f>
        <v/>
      </c>
      <c r="O52" s="17">
        <f>IF($A52="","",IF((1-$E52)&lt;=0,0,IF($D52=0,0,ROUND(($C52+$G52+$H52+$I52+$J52)/$D52/(1-$E52),2))))</f>
        <v/>
      </c>
      <c r="P52" s="17">
        <f>IF($A52="","",IFERROR(SUMIF(tblAnahtarA[Norm],$A52,tblGirdi[HedefNet]),0))</f>
        <v/>
      </c>
      <c r="Q52" s="17">
        <f>IF($A52="","",ROUND($M52-$P52,2))</f>
        <v/>
      </c>
      <c r="R52" s="17">
        <f>IF($A52="","",ROUND($B52-$K52,2))</f>
        <v/>
      </c>
      <c r="S52" s="17">
        <f>IF($A52="","",IF($N52&lt;0,"ÇEKİL",IF($N52&lt;tyk_esikMarjDusuk,"ZAM","SAT")))</f>
        <v/>
      </c>
      <c r="T52" s="17">
        <f>IF($A52="","",$L52-$F52)</f>
        <v/>
      </c>
      <c r="U52" s="17">
        <f>IF($A52="","",$M52-$Q52)</f>
        <v/>
      </c>
      <c r="V52" s="17">
        <f>IF($A52="","",$R52-$M52)</f>
        <v/>
      </c>
    </row>
    <row r="53">
      <c r="A53" s="17">
        <f>IF('ANAHTAR'!$B53="","",'ANAHTAR'!$B53)</f>
        <v/>
      </c>
      <c r="B53" s="17">
        <f>IF($A53="","",IFERROR(SUMIF(tblAnahtarA[Norm],$A53,tblGirdi[ToplamSatis]),0))</f>
        <v/>
      </c>
      <c r="C53" s="17">
        <f>IF($A53="","",IFERROR(SUMIF(tblAnahtarA[Norm],$A53,tblGirdi[Maliyet])*IFERROR(SUMIF(tblAnahtarA[Norm],$A53,tblGirdi[Miktar]),1),0))</f>
        <v/>
      </c>
      <c r="D53" s="17">
        <f>IF($A53="","",IFERROR(SUMIF(tblAnahtarA[Norm],$A53,tblGirdi[Miktar]),0))</f>
        <v/>
      </c>
      <c r="E53" s="17">
        <f>IF($A53="","",IFERROR(SUMIF(tblAnahtarA[Norm],$A53,tblGirdi[KomisyonOran]),0))</f>
        <v/>
      </c>
      <c r="F53" s="17">
        <f>IF($A53="","",ROUND($B53*$E53,2))</f>
        <v/>
      </c>
      <c r="G53" s="17">
        <f>IF($A53="","",IFERROR(SUMIF(tblAnahtarB[NormB],$A53,tblHakedis[TyPlus]),0))</f>
        <v/>
      </c>
      <c r="H53" s="17">
        <f>IF($A53="","",IFERROR(SUMIF(tblAnahtarB[NormB],$A53,tblHakedis[FlasKesinti]),0))</f>
        <v/>
      </c>
      <c r="I53" s="17">
        <f>IF($A53="","",IFERROR(SUMIF(tblAnahtarB[NormB],$A53,tblHakedis[UrunReklam]),0))</f>
        <v/>
      </c>
      <c r="J53" s="17">
        <f>IF($A53="","",IFERROR(SUMIF(tblAnahtarB[NormB],$A53,tblHakedis[DesiKargo]),0))</f>
        <v/>
      </c>
      <c r="K53" s="17">
        <f>IF($A53="","",ROUND($F53+$G53+$H53+$I53+$J53,2))</f>
        <v/>
      </c>
      <c r="L53" s="17">
        <f>IF($A53="","",ROUND($B53-$C53,2))</f>
        <v/>
      </c>
      <c r="M53" s="17">
        <f>IF($A53="","",ROUND($B53-$C53-$K53,2))</f>
        <v/>
      </c>
      <c r="N53" s="17">
        <f>IF(OR($A53="",$B53=0),0,$M53/$B53)</f>
        <v/>
      </c>
      <c r="O53" s="17">
        <f>IF($A53="","",IF((1-$E53)&lt;=0,0,IF($D53=0,0,ROUND(($C53+$G53+$H53+$I53+$J53)/$D53/(1-$E53),2))))</f>
        <v/>
      </c>
      <c r="P53" s="17">
        <f>IF($A53="","",IFERROR(SUMIF(tblAnahtarA[Norm],$A53,tblGirdi[HedefNet]),0))</f>
        <v/>
      </c>
      <c r="Q53" s="17">
        <f>IF($A53="","",ROUND($M53-$P53,2))</f>
        <v/>
      </c>
      <c r="R53" s="17">
        <f>IF($A53="","",ROUND($B53-$K53,2))</f>
        <v/>
      </c>
      <c r="S53" s="17">
        <f>IF($A53="","",IF($N53&lt;0,"ÇEKİL",IF($N53&lt;tyk_esikMarjDusuk,"ZAM","SAT")))</f>
        <v/>
      </c>
      <c r="T53" s="17">
        <f>IF($A53="","",$L53-$F53)</f>
        <v/>
      </c>
      <c r="U53" s="17">
        <f>IF($A53="","",$M53-$Q53)</f>
        <v/>
      </c>
      <c r="V53" s="17">
        <f>IF($A53="","",$R53-$M53)</f>
        <v/>
      </c>
    </row>
    <row r="54">
      <c r="A54" s="17">
        <f>IF('ANAHTAR'!$B54="","",'ANAHTAR'!$B54)</f>
        <v/>
      </c>
      <c r="B54" s="17">
        <f>IF($A54="","",IFERROR(SUMIF(tblAnahtarA[Norm],$A54,tblGirdi[ToplamSatis]),0))</f>
        <v/>
      </c>
      <c r="C54" s="17">
        <f>IF($A54="","",IFERROR(SUMIF(tblAnahtarA[Norm],$A54,tblGirdi[Maliyet])*IFERROR(SUMIF(tblAnahtarA[Norm],$A54,tblGirdi[Miktar]),1),0))</f>
        <v/>
      </c>
      <c r="D54" s="17">
        <f>IF($A54="","",IFERROR(SUMIF(tblAnahtarA[Norm],$A54,tblGirdi[Miktar]),0))</f>
        <v/>
      </c>
      <c r="E54" s="17">
        <f>IF($A54="","",IFERROR(SUMIF(tblAnahtarA[Norm],$A54,tblGirdi[KomisyonOran]),0))</f>
        <v/>
      </c>
      <c r="F54" s="17">
        <f>IF($A54="","",ROUND($B54*$E54,2))</f>
        <v/>
      </c>
      <c r="G54" s="17">
        <f>IF($A54="","",IFERROR(SUMIF(tblAnahtarB[NormB],$A54,tblHakedis[TyPlus]),0))</f>
        <v/>
      </c>
      <c r="H54" s="17">
        <f>IF($A54="","",IFERROR(SUMIF(tblAnahtarB[NormB],$A54,tblHakedis[FlasKesinti]),0))</f>
        <v/>
      </c>
      <c r="I54" s="17">
        <f>IF($A54="","",IFERROR(SUMIF(tblAnahtarB[NormB],$A54,tblHakedis[UrunReklam]),0))</f>
        <v/>
      </c>
      <c r="J54" s="17">
        <f>IF($A54="","",IFERROR(SUMIF(tblAnahtarB[NormB],$A54,tblHakedis[DesiKargo]),0))</f>
        <v/>
      </c>
      <c r="K54" s="17">
        <f>IF($A54="","",ROUND($F54+$G54+$H54+$I54+$J54,2))</f>
        <v/>
      </c>
      <c r="L54" s="17">
        <f>IF($A54="","",ROUND($B54-$C54,2))</f>
        <v/>
      </c>
      <c r="M54" s="17">
        <f>IF($A54="","",ROUND($B54-$C54-$K54,2))</f>
        <v/>
      </c>
      <c r="N54" s="17">
        <f>IF(OR($A54="",$B54=0),0,$M54/$B54)</f>
        <v/>
      </c>
      <c r="O54" s="17">
        <f>IF($A54="","",IF((1-$E54)&lt;=0,0,IF($D54=0,0,ROUND(($C54+$G54+$H54+$I54+$J54)/$D54/(1-$E54),2))))</f>
        <v/>
      </c>
      <c r="P54" s="17">
        <f>IF($A54="","",IFERROR(SUMIF(tblAnahtarA[Norm],$A54,tblGirdi[HedefNet]),0))</f>
        <v/>
      </c>
      <c r="Q54" s="17">
        <f>IF($A54="","",ROUND($M54-$P54,2))</f>
        <v/>
      </c>
      <c r="R54" s="17">
        <f>IF($A54="","",ROUND($B54-$K54,2))</f>
        <v/>
      </c>
      <c r="S54" s="17">
        <f>IF($A54="","",IF($N54&lt;0,"ÇEKİL",IF($N54&lt;tyk_esikMarjDusuk,"ZAM","SAT")))</f>
        <v/>
      </c>
      <c r="T54" s="17">
        <f>IF($A54="","",$L54-$F54)</f>
        <v/>
      </c>
      <c r="U54" s="17">
        <f>IF($A54="","",$M54-$Q54)</f>
        <v/>
      </c>
      <c r="V54" s="17">
        <f>IF($A54="","",$R54-$M54)</f>
        <v/>
      </c>
    </row>
    <row r="55">
      <c r="A55" s="17">
        <f>IF('ANAHTAR'!$B55="","",'ANAHTAR'!$B55)</f>
        <v/>
      </c>
      <c r="B55" s="17">
        <f>IF($A55="","",IFERROR(SUMIF(tblAnahtarA[Norm],$A55,tblGirdi[ToplamSatis]),0))</f>
        <v/>
      </c>
      <c r="C55" s="17">
        <f>IF($A55="","",IFERROR(SUMIF(tblAnahtarA[Norm],$A55,tblGirdi[Maliyet])*IFERROR(SUMIF(tblAnahtarA[Norm],$A55,tblGirdi[Miktar]),1),0))</f>
        <v/>
      </c>
      <c r="D55" s="17">
        <f>IF($A55="","",IFERROR(SUMIF(tblAnahtarA[Norm],$A55,tblGirdi[Miktar]),0))</f>
        <v/>
      </c>
      <c r="E55" s="17">
        <f>IF($A55="","",IFERROR(SUMIF(tblAnahtarA[Norm],$A55,tblGirdi[KomisyonOran]),0))</f>
        <v/>
      </c>
      <c r="F55" s="17">
        <f>IF($A55="","",ROUND($B55*$E55,2))</f>
        <v/>
      </c>
      <c r="G55" s="17">
        <f>IF($A55="","",IFERROR(SUMIF(tblAnahtarB[NormB],$A55,tblHakedis[TyPlus]),0))</f>
        <v/>
      </c>
      <c r="H55" s="17">
        <f>IF($A55="","",IFERROR(SUMIF(tblAnahtarB[NormB],$A55,tblHakedis[FlasKesinti]),0))</f>
        <v/>
      </c>
      <c r="I55" s="17">
        <f>IF($A55="","",IFERROR(SUMIF(tblAnahtarB[NormB],$A55,tblHakedis[UrunReklam]),0))</f>
        <v/>
      </c>
      <c r="J55" s="17">
        <f>IF($A55="","",IFERROR(SUMIF(tblAnahtarB[NormB],$A55,tblHakedis[DesiKargo]),0))</f>
        <v/>
      </c>
      <c r="K55" s="17">
        <f>IF($A55="","",ROUND($F55+$G55+$H55+$I55+$J55,2))</f>
        <v/>
      </c>
      <c r="L55" s="17">
        <f>IF($A55="","",ROUND($B55-$C55,2))</f>
        <v/>
      </c>
      <c r="M55" s="17">
        <f>IF($A55="","",ROUND($B55-$C55-$K55,2))</f>
        <v/>
      </c>
      <c r="N55" s="17">
        <f>IF(OR($A55="",$B55=0),0,$M55/$B55)</f>
        <v/>
      </c>
      <c r="O55" s="17">
        <f>IF($A55="","",IF((1-$E55)&lt;=0,0,IF($D55=0,0,ROUND(($C55+$G55+$H55+$I55+$J55)/$D55/(1-$E55),2))))</f>
        <v/>
      </c>
      <c r="P55" s="17">
        <f>IF($A55="","",IFERROR(SUMIF(tblAnahtarA[Norm],$A55,tblGirdi[HedefNet]),0))</f>
        <v/>
      </c>
      <c r="Q55" s="17">
        <f>IF($A55="","",ROUND($M55-$P55,2))</f>
        <v/>
      </c>
      <c r="R55" s="17">
        <f>IF($A55="","",ROUND($B55-$K55,2))</f>
        <v/>
      </c>
      <c r="S55" s="17">
        <f>IF($A55="","",IF($N55&lt;0,"ÇEKİL",IF($N55&lt;tyk_esikMarjDusuk,"ZAM","SAT")))</f>
        <v/>
      </c>
      <c r="T55" s="17">
        <f>IF($A55="","",$L55-$F55)</f>
        <v/>
      </c>
      <c r="U55" s="17">
        <f>IF($A55="","",$M55-$Q55)</f>
        <v/>
      </c>
      <c r="V55" s="17">
        <f>IF($A55="","",$R55-$M55)</f>
        <v/>
      </c>
    </row>
    <row r="56">
      <c r="A56" s="17">
        <f>IF('ANAHTAR'!$B56="","",'ANAHTAR'!$B56)</f>
        <v/>
      </c>
      <c r="B56" s="17">
        <f>IF($A56="","",IFERROR(SUMIF(tblAnahtarA[Norm],$A56,tblGirdi[ToplamSatis]),0))</f>
        <v/>
      </c>
      <c r="C56" s="17">
        <f>IF($A56="","",IFERROR(SUMIF(tblAnahtarA[Norm],$A56,tblGirdi[Maliyet])*IFERROR(SUMIF(tblAnahtarA[Norm],$A56,tblGirdi[Miktar]),1),0))</f>
        <v/>
      </c>
      <c r="D56" s="17">
        <f>IF($A56="","",IFERROR(SUMIF(tblAnahtarA[Norm],$A56,tblGirdi[Miktar]),0))</f>
        <v/>
      </c>
      <c r="E56" s="17">
        <f>IF($A56="","",IFERROR(SUMIF(tblAnahtarA[Norm],$A56,tblGirdi[KomisyonOran]),0))</f>
        <v/>
      </c>
      <c r="F56" s="17">
        <f>IF($A56="","",ROUND($B56*$E56,2))</f>
        <v/>
      </c>
      <c r="G56" s="17">
        <f>IF($A56="","",IFERROR(SUMIF(tblAnahtarB[NormB],$A56,tblHakedis[TyPlus]),0))</f>
        <v/>
      </c>
      <c r="H56" s="17">
        <f>IF($A56="","",IFERROR(SUMIF(tblAnahtarB[NormB],$A56,tblHakedis[FlasKesinti]),0))</f>
        <v/>
      </c>
      <c r="I56" s="17">
        <f>IF($A56="","",IFERROR(SUMIF(tblAnahtarB[NormB],$A56,tblHakedis[UrunReklam]),0))</f>
        <v/>
      </c>
      <c r="J56" s="17">
        <f>IF($A56="","",IFERROR(SUMIF(tblAnahtarB[NormB],$A56,tblHakedis[DesiKargo]),0))</f>
        <v/>
      </c>
      <c r="K56" s="17">
        <f>IF($A56="","",ROUND($F56+$G56+$H56+$I56+$J56,2))</f>
        <v/>
      </c>
      <c r="L56" s="17">
        <f>IF($A56="","",ROUND($B56-$C56,2))</f>
        <v/>
      </c>
      <c r="M56" s="17">
        <f>IF($A56="","",ROUND($B56-$C56-$K56,2))</f>
        <v/>
      </c>
      <c r="N56" s="17">
        <f>IF(OR($A56="",$B56=0),0,$M56/$B56)</f>
        <v/>
      </c>
      <c r="O56" s="17">
        <f>IF($A56="","",IF((1-$E56)&lt;=0,0,IF($D56=0,0,ROUND(($C56+$G56+$H56+$I56+$J56)/$D56/(1-$E56),2))))</f>
        <v/>
      </c>
      <c r="P56" s="17">
        <f>IF($A56="","",IFERROR(SUMIF(tblAnahtarA[Norm],$A56,tblGirdi[HedefNet]),0))</f>
        <v/>
      </c>
      <c r="Q56" s="17">
        <f>IF($A56="","",ROUND($M56-$P56,2))</f>
        <v/>
      </c>
      <c r="R56" s="17">
        <f>IF($A56="","",ROUND($B56-$K56,2))</f>
        <v/>
      </c>
      <c r="S56" s="17">
        <f>IF($A56="","",IF($N56&lt;0,"ÇEKİL",IF($N56&lt;tyk_esikMarjDusuk,"ZAM","SAT")))</f>
        <v/>
      </c>
      <c r="T56" s="17">
        <f>IF($A56="","",$L56-$F56)</f>
        <v/>
      </c>
      <c r="U56" s="17">
        <f>IF($A56="","",$M56-$Q56)</f>
        <v/>
      </c>
      <c r="V56" s="17">
        <f>IF($A56="","",$R56-$M56)</f>
        <v/>
      </c>
    </row>
    <row r="57">
      <c r="A57" s="17">
        <f>IF('ANAHTAR'!$B57="","",'ANAHTAR'!$B57)</f>
        <v/>
      </c>
      <c r="B57" s="17">
        <f>IF($A57="","",IFERROR(SUMIF(tblAnahtarA[Norm],$A57,tblGirdi[ToplamSatis]),0))</f>
        <v/>
      </c>
      <c r="C57" s="17">
        <f>IF($A57="","",IFERROR(SUMIF(tblAnahtarA[Norm],$A57,tblGirdi[Maliyet])*IFERROR(SUMIF(tblAnahtarA[Norm],$A57,tblGirdi[Miktar]),1),0))</f>
        <v/>
      </c>
      <c r="D57" s="17">
        <f>IF($A57="","",IFERROR(SUMIF(tblAnahtarA[Norm],$A57,tblGirdi[Miktar]),0))</f>
        <v/>
      </c>
      <c r="E57" s="17">
        <f>IF($A57="","",IFERROR(SUMIF(tblAnahtarA[Norm],$A57,tblGirdi[KomisyonOran]),0))</f>
        <v/>
      </c>
      <c r="F57" s="17">
        <f>IF($A57="","",ROUND($B57*$E57,2))</f>
        <v/>
      </c>
      <c r="G57" s="17">
        <f>IF($A57="","",IFERROR(SUMIF(tblAnahtarB[NormB],$A57,tblHakedis[TyPlus]),0))</f>
        <v/>
      </c>
      <c r="H57" s="17">
        <f>IF($A57="","",IFERROR(SUMIF(tblAnahtarB[NormB],$A57,tblHakedis[FlasKesinti]),0))</f>
        <v/>
      </c>
      <c r="I57" s="17">
        <f>IF($A57="","",IFERROR(SUMIF(tblAnahtarB[NormB],$A57,tblHakedis[UrunReklam]),0))</f>
        <v/>
      </c>
      <c r="J57" s="17">
        <f>IF($A57="","",IFERROR(SUMIF(tblAnahtarB[NormB],$A57,tblHakedis[DesiKargo]),0))</f>
        <v/>
      </c>
      <c r="K57" s="17">
        <f>IF($A57="","",ROUND($F57+$G57+$H57+$I57+$J57,2))</f>
        <v/>
      </c>
      <c r="L57" s="17">
        <f>IF($A57="","",ROUND($B57-$C57,2))</f>
        <v/>
      </c>
      <c r="M57" s="17">
        <f>IF($A57="","",ROUND($B57-$C57-$K57,2))</f>
        <v/>
      </c>
      <c r="N57" s="17">
        <f>IF(OR($A57="",$B57=0),0,$M57/$B57)</f>
        <v/>
      </c>
      <c r="O57" s="17">
        <f>IF($A57="","",IF((1-$E57)&lt;=0,0,IF($D57=0,0,ROUND(($C57+$G57+$H57+$I57+$J57)/$D57/(1-$E57),2))))</f>
        <v/>
      </c>
      <c r="P57" s="17">
        <f>IF($A57="","",IFERROR(SUMIF(tblAnahtarA[Norm],$A57,tblGirdi[HedefNet]),0))</f>
        <v/>
      </c>
      <c r="Q57" s="17">
        <f>IF($A57="","",ROUND($M57-$P57,2))</f>
        <v/>
      </c>
      <c r="R57" s="17">
        <f>IF($A57="","",ROUND($B57-$K57,2))</f>
        <v/>
      </c>
      <c r="S57" s="17">
        <f>IF($A57="","",IF($N57&lt;0,"ÇEKİL",IF($N57&lt;tyk_esikMarjDusuk,"ZAM","SAT")))</f>
        <v/>
      </c>
      <c r="T57" s="17">
        <f>IF($A57="","",$L57-$F57)</f>
        <v/>
      </c>
      <c r="U57" s="17">
        <f>IF($A57="","",$M57-$Q57)</f>
        <v/>
      </c>
      <c r="V57" s="17">
        <f>IF($A57="","",$R57-$M57)</f>
        <v/>
      </c>
    </row>
    <row r="58">
      <c r="A58" s="17">
        <f>IF('ANAHTAR'!$B58="","",'ANAHTAR'!$B58)</f>
        <v/>
      </c>
      <c r="B58" s="17">
        <f>IF($A58="","",IFERROR(SUMIF(tblAnahtarA[Norm],$A58,tblGirdi[ToplamSatis]),0))</f>
        <v/>
      </c>
      <c r="C58" s="17">
        <f>IF($A58="","",IFERROR(SUMIF(tblAnahtarA[Norm],$A58,tblGirdi[Maliyet])*IFERROR(SUMIF(tblAnahtarA[Norm],$A58,tblGirdi[Miktar]),1),0))</f>
        <v/>
      </c>
      <c r="D58" s="17">
        <f>IF($A58="","",IFERROR(SUMIF(tblAnahtarA[Norm],$A58,tblGirdi[Miktar]),0))</f>
        <v/>
      </c>
      <c r="E58" s="17">
        <f>IF($A58="","",IFERROR(SUMIF(tblAnahtarA[Norm],$A58,tblGirdi[KomisyonOran]),0))</f>
        <v/>
      </c>
      <c r="F58" s="17">
        <f>IF($A58="","",ROUND($B58*$E58,2))</f>
        <v/>
      </c>
      <c r="G58" s="17">
        <f>IF($A58="","",IFERROR(SUMIF(tblAnahtarB[NormB],$A58,tblHakedis[TyPlus]),0))</f>
        <v/>
      </c>
      <c r="H58" s="17">
        <f>IF($A58="","",IFERROR(SUMIF(tblAnahtarB[NormB],$A58,tblHakedis[FlasKesinti]),0))</f>
        <v/>
      </c>
      <c r="I58" s="17">
        <f>IF($A58="","",IFERROR(SUMIF(tblAnahtarB[NormB],$A58,tblHakedis[UrunReklam]),0))</f>
        <v/>
      </c>
      <c r="J58" s="17">
        <f>IF($A58="","",IFERROR(SUMIF(tblAnahtarB[NormB],$A58,tblHakedis[DesiKargo]),0))</f>
        <v/>
      </c>
      <c r="K58" s="17">
        <f>IF($A58="","",ROUND($F58+$G58+$H58+$I58+$J58,2))</f>
        <v/>
      </c>
      <c r="L58" s="17">
        <f>IF($A58="","",ROUND($B58-$C58,2))</f>
        <v/>
      </c>
      <c r="M58" s="17">
        <f>IF($A58="","",ROUND($B58-$C58-$K58,2))</f>
        <v/>
      </c>
      <c r="N58" s="17">
        <f>IF(OR($A58="",$B58=0),0,$M58/$B58)</f>
        <v/>
      </c>
      <c r="O58" s="17">
        <f>IF($A58="","",IF((1-$E58)&lt;=0,0,IF($D58=0,0,ROUND(($C58+$G58+$H58+$I58+$J58)/$D58/(1-$E58),2))))</f>
        <v/>
      </c>
      <c r="P58" s="17">
        <f>IF($A58="","",IFERROR(SUMIF(tblAnahtarA[Norm],$A58,tblGirdi[HedefNet]),0))</f>
        <v/>
      </c>
      <c r="Q58" s="17">
        <f>IF($A58="","",ROUND($M58-$P58,2))</f>
        <v/>
      </c>
      <c r="R58" s="17">
        <f>IF($A58="","",ROUND($B58-$K58,2))</f>
        <v/>
      </c>
      <c r="S58" s="17">
        <f>IF($A58="","",IF($N58&lt;0,"ÇEKİL",IF($N58&lt;tyk_esikMarjDusuk,"ZAM","SAT")))</f>
        <v/>
      </c>
      <c r="T58" s="17">
        <f>IF($A58="","",$L58-$F58)</f>
        <v/>
      </c>
      <c r="U58" s="17">
        <f>IF($A58="","",$M58-$Q58)</f>
        <v/>
      </c>
      <c r="V58" s="17">
        <f>IF($A58="","",$R58-$M58)</f>
        <v/>
      </c>
    </row>
    <row r="59">
      <c r="A59" s="17">
        <f>IF('ANAHTAR'!$B59="","",'ANAHTAR'!$B59)</f>
        <v/>
      </c>
      <c r="B59" s="17">
        <f>IF($A59="","",IFERROR(SUMIF(tblAnahtarA[Norm],$A59,tblGirdi[ToplamSatis]),0))</f>
        <v/>
      </c>
      <c r="C59" s="17">
        <f>IF($A59="","",IFERROR(SUMIF(tblAnahtarA[Norm],$A59,tblGirdi[Maliyet])*IFERROR(SUMIF(tblAnahtarA[Norm],$A59,tblGirdi[Miktar]),1),0))</f>
        <v/>
      </c>
      <c r="D59" s="17">
        <f>IF($A59="","",IFERROR(SUMIF(tblAnahtarA[Norm],$A59,tblGirdi[Miktar]),0))</f>
        <v/>
      </c>
      <c r="E59" s="17">
        <f>IF($A59="","",IFERROR(SUMIF(tblAnahtarA[Norm],$A59,tblGirdi[KomisyonOran]),0))</f>
        <v/>
      </c>
      <c r="F59" s="17">
        <f>IF($A59="","",ROUND($B59*$E59,2))</f>
        <v/>
      </c>
      <c r="G59" s="17">
        <f>IF($A59="","",IFERROR(SUMIF(tblAnahtarB[NormB],$A59,tblHakedis[TyPlus]),0))</f>
        <v/>
      </c>
      <c r="H59" s="17">
        <f>IF($A59="","",IFERROR(SUMIF(tblAnahtarB[NormB],$A59,tblHakedis[FlasKesinti]),0))</f>
        <v/>
      </c>
      <c r="I59" s="17">
        <f>IF($A59="","",IFERROR(SUMIF(tblAnahtarB[NormB],$A59,tblHakedis[UrunReklam]),0))</f>
        <v/>
      </c>
      <c r="J59" s="17">
        <f>IF($A59="","",IFERROR(SUMIF(tblAnahtarB[NormB],$A59,tblHakedis[DesiKargo]),0))</f>
        <v/>
      </c>
      <c r="K59" s="17">
        <f>IF($A59="","",ROUND($F59+$G59+$H59+$I59+$J59,2))</f>
        <v/>
      </c>
      <c r="L59" s="17">
        <f>IF($A59="","",ROUND($B59-$C59,2))</f>
        <v/>
      </c>
      <c r="M59" s="17">
        <f>IF($A59="","",ROUND($B59-$C59-$K59,2))</f>
        <v/>
      </c>
      <c r="N59" s="17">
        <f>IF(OR($A59="",$B59=0),0,$M59/$B59)</f>
        <v/>
      </c>
      <c r="O59" s="17">
        <f>IF($A59="","",IF((1-$E59)&lt;=0,0,IF($D59=0,0,ROUND(($C59+$G59+$H59+$I59+$J59)/$D59/(1-$E59),2))))</f>
        <v/>
      </c>
      <c r="P59" s="17">
        <f>IF($A59="","",IFERROR(SUMIF(tblAnahtarA[Norm],$A59,tblGirdi[HedefNet]),0))</f>
        <v/>
      </c>
      <c r="Q59" s="17">
        <f>IF($A59="","",ROUND($M59-$P59,2))</f>
        <v/>
      </c>
      <c r="R59" s="17">
        <f>IF($A59="","",ROUND($B59-$K59,2))</f>
        <v/>
      </c>
      <c r="S59" s="17">
        <f>IF($A59="","",IF($N59&lt;0,"ÇEKİL",IF($N59&lt;tyk_esikMarjDusuk,"ZAM","SAT")))</f>
        <v/>
      </c>
      <c r="T59" s="17">
        <f>IF($A59="","",$L59-$F59)</f>
        <v/>
      </c>
      <c r="U59" s="17">
        <f>IF($A59="","",$M59-$Q59)</f>
        <v/>
      </c>
      <c r="V59" s="17">
        <f>IF($A59="","",$R59-$M59)</f>
        <v/>
      </c>
    </row>
    <row r="60">
      <c r="A60" s="17">
        <f>IF('ANAHTAR'!$B60="","",'ANAHTAR'!$B60)</f>
        <v/>
      </c>
      <c r="B60" s="17">
        <f>IF($A60="","",IFERROR(SUMIF(tblAnahtarA[Norm],$A60,tblGirdi[ToplamSatis]),0))</f>
        <v/>
      </c>
      <c r="C60" s="17">
        <f>IF($A60="","",IFERROR(SUMIF(tblAnahtarA[Norm],$A60,tblGirdi[Maliyet])*IFERROR(SUMIF(tblAnahtarA[Norm],$A60,tblGirdi[Miktar]),1),0))</f>
        <v/>
      </c>
      <c r="D60" s="17">
        <f>IF($A60="","",IFERROR(SUMIF(tblAnahtarA[Norm],$A60,tblGirdi[Miktar]),0))</f>
        <v/>
      </c>
      <c r="E60" s="17">
        <f>IF($A60="","",IFERROR(SUMIF(tblAnahtarA[Norm],$A60,tblGirdi[KomisyonOran]),0))</f>
        <v/>
      </c>
      <c r="F60" s="17">
        <f>IF($A60="","",ROUND($B60*$E60,2))</f>
        <v/>
      </c>
      <c r="G60" s="17">
        <f>IF($A60="","",IFERROR(SUMIF(tblAnahtarB[NormB],$A60,tblHakedis[TyPlus]),0))</f>
        <v/>
      </c>
      <c r="H60" s="17">
        <f>IF($A60="","",IFERROR(SUMIF(tblAnahtarB[NormB],$A60,tblHakedis[FlasKesinti]),0))</f>
        <v/>
      </c>
      <c r="I60" s="17">
        <f>IF($A60="","",IFERROR(SUMIF(tblAnahtarB[NormB],$A60,tblHakedis[UrunReklam]),0))</f>
        <v/>
      </c>
      <c r="J60" s="17">
        <f>IF($A60="","",IFERROR(SUMIF(tblAnahtarB[NormB],$A60,tblHakedis[DesiKargo]),0))</f>
        <v/>
      </c>
      <c r="K60" s="17">
        <f>IF($A60="","",ROUND($F60+$G60+$H60+$I60+$J60,2))</f>
        <v/>
      </c>
      <c r="L60" s="17">
        <f>IF($A60="","",ROUND($B60-$C60,2))</f>
        <v/>
      </c>
      <c r="M60" s="17">
        <f>IF($A60="","",ROUND($B60-$C60-$K60,2))</f>
        <v/>
      </c>
      <c r="N60" s="17">
        <f>IF(OR($A60="",$B60=0),0,$M60/$B60)</f>
        <v/>
      </c>
      <c r="O60" s="17">
        <f>IF($A60="","",IF((1-$E60)&lt;=0,0,IF($D60=0,0,ROUND(($C60+$G60+$H60+$I60+$J60)/$D60/(1-$E60),2))))</f>
        <v/>
      </c>
      <c r="P60" s="17">
        <f>IF($A60="","",IFERROR(SUMIF(tblAnahtarA[Norm],$A60,tblGirdi[HedefNet]),0))</f>
        <v/>
      </c>
      <c r="Q60" s="17">
        <f>IF($A60="","",ROUND($M60-$P60,2))</f>
        <v/>
      </c>
      <c r="R60" s="17">
        <f>IF($A60="","",ROUND($B60-$K60,2))</f>
        <v/>
      </c>
      <c r="S60" s="17">
        <f>IF($A60="","",IF($N60&lt;0,"ÇEKİL",IF($N60&lt;tyk_esikMarjDusuk,"ZAM","SAT")))</f>
        <v/>
      </c>
      <c r="T60" s="17">
        <f>IF($A60="","",$L60-$F60)</f>
        <v/>
      </c>
      <c r="U60" s="17">
        <f>IF($A60="","",$M60-$Q60)</f>
        <v/>
      </c>
      <c r="V60" s="17">
        <f>IF($A60="","",$R60-$M60)</f>
        <v/>
      </c>
    </row>
    <row r="61">
      <c r="A61" s="17">
        <f>IF('ANAHTAR'!$B61="","",'ANAHTAR'!$B61)</f>
        <v/>
      </c>
      <c r="B61" s="17">
        <f>IF($A61="","",IFERROR(SUMIF(tblAnahtarA[Norm],$A61,tblGirdi[ToplamSatis]),0))</f>
        <v/>
      </c>
      <c r="C61" s="17">
        <f>IF($A61="","",IFERROR(SUMIF(tblAnahtarA[Norm],$A61,tblGirdi[Maliyet])*IFERROR(SUMIF(tblAnahtarA[Norm],$A61,tblGirdi[Miktar]),1),0))</f>
        <v/>
      </c>
      <c r="D61" s="17">
        <f>IF($A61="","",IFERROR(SUMIF(tblAnahtarA[Norm],$A61,tblGirdi[Miktar]),0))</f>
        <v/>
      </c>
      <c r="E61" s="17">
        <f>IF($A61="","",IFERROR(SUMIF(tblAnahtarA[Norm],$A61,tblGirdi[KomisyonOran]),0))</f>
        <v/>
      </c>
      <c r="F61" s="17">
        <f>IF($A61="","",ROUND($B61*$E61,2))</f>
        <v/>
      </c>
      <c r="G61" s="17">
        <f>IF($A61="","",IFERROR(SUMIF(tblAnahtarB[NormB],$A61,tblHakedis[TyPlus]),0))</f>
        <v/>
      </c>
      <c r="H61" s="17">
        <f>IF($A61="","",IFERROR(SUMIF(tblAnahtarB[NormB],$A61,tblHakedis[FlasKesinti]),0))</f>
        <v/>
      </c>
      <c r="I61" s="17">
        <f>IF($A61="","",IFERROR(SUMIF(tblAnahtarB[NormB],$A61,tblHakedis[UrunReklam]),0))</f>
        <v/>
      </c>
      <c r="J61" s="17">
        <f>IF($A61="","",IFERROR(SUMIF(tblAnahtarB[NormB],$A61,tblHakedis[DesiKargo]),0))</f>
        <v/>
      </c>
      <c r="K61" s="17">
        <f>IF($A61="","",ROUND($F61+$G61+$H61+$I61+$J61,2))</f>
        <v/>
      </c>
      <c r="L61" s="17">
        <f>IF($A61="","",ROUND($B61-$C61,2))</f>
        <v/>
      </c>
      <c r="M61" s="17">
        <f>IF($A61="","",ROUND($B61-$C61-$K61,2))</f>
        <v/>
      </c>
      <c r="N61" s="17">
        <f>IF(OR($A61="",$B61=0),0,$M61/$B61)</f>
        <v/>
      </c>
      <c r="O61" s="17">
        <f>IF($A61="","",IF((1-$E61)&lt;=0,0,IF($D61=0,0,ROUND(($C61+$G61+$H61+$I61+$J61)/$D61/(1-$E61),2))))</f>
        <v/>
      </c>
      <c r="P61" s="17">
        <f>IF($A61="","",IFERROR(SUMIF(tblAnahtarA[Norm],$A61,tblGirdi[HedefNet]),0))</f>
        <v/>
      </c>
      <c r="Q61" s="17">
        <f>IF($A61="","",ROUND($M61-$P61,2))</f>
        <v/>
      </c>
      <c r="R61" s="17">
        <f>IF($A61="","",ROUND($B61-$K61,2))</f>
        <v/>
      </c>
      <c r="S61" s="17">
        <f>IF($A61="","",IF($N61&lt;0,"ÇEKİL",IF($N61&lt;tyk_esikMarjDusuk,"ZAM","SAT")))</f>
        <v/>
      </c>
      <c r="T61" s="17">
        <f>IF($A61="","",$L61-$F61)</f>
        <v/>
      </c>
      <c r="U61" s="17">
        <f>IF($A61="","",$M61-$Q61)</f>
        <v/>
      </c>
      <c r="V61" s="17">
        <f>IF($A61="","",$R61-$M61)</f>
        <v/>
      </c>
    </row>
    <row r="62">
      <c r="A62" s="17">
        <f>IF('ANAHTAR'!$B62="","",'ANAHTAR'!$B62)</f>
        <v/>
      </c>
      <c r="B62" s="17">
        <f>IF($A62="","",IFERROR(SUMIF(tblAnahtarA[Norm],$A62,tblGirdi[ToplamSatis]),0))</f>
        <v/>
      </c>
      <c r="C62" s="17">
        <f>IF($A62="","",IFERROR(SUMIF(tblAnahtarA[Norm],$A62,tblGirdi[Maliyet])*IFERROR(SUMIF(tblAnahtarA[Norm],$A62,tblGirdi[Miktar]),1),0))</f>
        <v/>
      </c>
      <c r="D62" s="17">
        <f>IF($A62="","",IFERROR(SUMIF(tblAnahtarA[Norm],$A62,tblGirdi[Miktar]),0))</f>
        <v/>
      </c>
      <c r="E62" s="17">
        <f>IF($A62="","",IFERROR(SUMIF(tblAnahtarA[Norm],$A62,tblGirdi[KomisyonOran]),0))</f>
        <v/>
      </c>
      <c r="F62" s="17">
        <f>IF($A62="","",ROUND($B62*$E62,2))</f>
        <v/>
      </c>
      <c r="G62" s="17">
        <f>IF($A62="","",IFERROR(SUMIF(tblAnahtarB[NormB],$A62,tblHakedis[TyPlus]),0))</f>
        <v/>
      </c>
      <c r="H62" s="17">
        <f>IF($A62="","",IFERROR(SUMIF(tblAnahtarB[NormB],$A62,tblHakedis[FlasKesinti]),0))</f>
        <v/>
      </c>
      <c r="I62" s="17">
        <f>IF($A62="","",IFERROR(SUMIF(tblAnahtarB[NormB],$A62,tblHakedis[UrunReklam]),0))</f>
        <v/>
      </c>
      <c r="J62" s="17">
        <f>IF($A62="","",IFERROR(SUMIF(tblAnahtarB[NormB],$A62,tblHakedis[DesiKargo]),0))</f>
        <v/>
      </c>
      <c r="K62" s="17">
        <f>IF($A62="","",ROUND($F62+$G62+$H62+$I62+$J62,2))</f>
        <v/>
      </c>
      <c r="L62" s="17">
        <f>IF($A62="","",ROUND($B62-$C62,2))</f>
        <v/>
      </c>
      <c r="M62" s="17">
        <f>IF($A62="","",ROUND($B62-$C62-$K62,2))</f>
        <v/>
      </c>
      <c r="N62" s="17">
        <f>IF(OR($A62="",$B62=0),0,$M62/$B62)</f>
        <v/>
      </c>
      <c r="O62" s="17">
        <f>IF($A62="","",IF((1-$E62)&lt;=0,0,IF($D62=0,0,ROUND(($C62+$G62+$H62+$I62+$J62)/$D62/(1-$E62),2))))</f>
        <v/>
      </c>
      <c r="P62" s="17">
        <f>IF($A62="","",IFERROR(SUMIF(tblAnahtarA[Norm],$A62,tblGirdi[HedefNet]),0))</f>
        <v/>
      </c>
      <c r="Q62" s="17">
        <f>IF($A62="","",ROUND($M62-$P62,2))</f>
        <v/>
      </c>
      <c r="R62" s="17">
        <f>IF($A62="","",ROUND($B62-$K62,2))</f>
        <v/>
      </c>
      <c r="S62" s="17">
        <f>IF($A62="","",IF($N62&lt;0,"ÇEKİL",IF($N62&lt;tyk_esikMarjDusuk,"ZAM","SAT")))</f>
        <v/>
      </c>
      <c r="T62" s="17">
        <f>IF($A62="","",$L62-$F62)</f>
        <v/>
      </c>
      <c r="U62" s="17">
        <f>IF($A62="","",$M62-$Q62)</f>
        <v/>
      </c>
      <c r="V62" s="17">
        <f>IF($A62="","",$R62-$M62)</f>
        <v/>
      </c>
    </row>
    <row r="63">
      <c r="A63" s="17">
        <f>IF('ANAHTAR'!$B63="","",'ANAHTAR'!$B63)</f>
        <v/>
      </c>
      <c r="B63" s="17">
        <f>IF($A63="","",IFERROR(SUMIF(tblAnahtarA[Norm],$A63,tblGirdi[ToplamSatis]),0))</f>
        <v/>
      </c>
      <c r="C63" s="17">
        <f>IF($A63="","",IFERROR(SUMIF(tblAnahtarA[Norm],$A63,tblGirdi[Maliyet])*IFERROR(SUMIF(tblAnahtarA[Norm],$A63,tblGirdi[Miktar]),1),0))</f>
        <v/>
      </c>
      <c r="D63" s="17">
        <f>IF($A63="","",IFERROR(SUMIF(tblAnahtarA[Norm],$A63,tblGirdi[Miktar]),0))</f>
        <v/>
      </c>
      <c r="E63" s="17">
        <f>IF($A63="","",IFERROR(SUMIF(tblAnahtarA[Norm],$A63,tblGirdi[KomisyonOran]),0))</f>
        <v/>
      </c>
      <c r="F63" s="17">
        <f>IF($A63="","",ROUND($B63*$E63,2))</f>
        <v/>
      </c>
      <c r="G63" s="17">
        <f>IF($A63="","",IFERROR(SUMIF(tblAnahtarB[NormB],$A63,tblHakedis[TyPlus]),0))</f>
        <v/>
      </c>
      <c r="H63" s="17">
        <f>IF($A63="","",IFERROR(SUMIF(tblAnahtarB[NormB],$A63,tblHakedis[FlasKesinti]),0))</f>
        <v/>
      </c>
      <c r="I63" s="17">
        <f>IF($A63="","",IFERROR(SUMIF(tblAnahtarB[NormB],$A63,tblHakedis[UrunReklam]),0))</f>
        <v/>
      </c>
      <c r="J63" s="17">
        <f>IF($A63="","",IFERROR(SUMIF(tblAnahtarB[NormB],$A63,tblHakedis[DesiKargo]),0))</f>
        <v/>
      </c>
      <c r="K63" s="17">
        <f>IF($A63="","",ROUND($F63+$G63+$H63+$I63+$J63,2))</f>
        <v/>
      </c>
      <c r="L63" s="17">
        <f>IF($A63="","",ROUND($B63-$C63,2))</f>
        <v/>
      </c>
      <c r="M63" s="17">
        <f>IF($A63="","",ROUND($B63-$C63-$K63,2))</f>
        <v/>
      </c>
      <c r="N63" s="17">
        <f>IF(OR($A63="",$B63=0),0,$M63/$B63)</f>
        <v/>
      </c>
      <c r="O63" s="17">
        <f>IF($A63="","",IF((1-$E63)&lt;=0,0,IF($D63=0,0,ROUND(($C63+$G63+$H63+$I63+$J63)/$D63/(1-$E63),2))))</f>
        <v/>
      </c>
      <c r="P63" s="17">
        <f>IF($A63="","",IFERROR(SUMIF(tblAnahtarA[Norm],$A63,tblGirdi[HedefNet]),0))</f>
        <v/>
      </c>
      <c r="Q63" s="17">
        <f>IF($A63="","",ROUND($M63-$P63,2))</f>
        <v/>
      </c>
      <c r="R63" s="17">
        <f>IF($A63="","",ROUND($B63-$K63,2))</f>
        <v/>
      </c>
      <c r="S63" s="17">
        <f>IF($A63="","",IF($N63&lt;0,"ÇEKİL",IF($N63&lt;tyk_esikMarjDusuk,"ZAM","SAT")))</f>
        <v/>
      </c>
      <c r="T63" s="17">
        <f>IF($A63="","",$L63-$F63)</f>
        <v/>
      </c>
      <c r="U63" s="17">
        <f>IF($A63="","",$M63-$Q63)</f>
        <v/>
      </c>
      <c r="V63" s="17">
        <f>IF($A63="","",$R63-$M63)</f>
        <v/>
      </c>
    </row>
    <row r="64">
      <c r="A64" s="17">
        <f>IF('ANAHTAR'!$B64="","",'ANAHTAR'!$B64)</f>
        <v/>
      </c>
      <c r="B64" s="17">
        <f>IF($A64="","",IFERROR(SUMIF(tblAnahtarA[Norm],$A64,tblGirdi[ToplamSatis]),0))</f>
        <v/>
      </c>
      <c r="C64" s="17">
        <f>IF($A64="","",IFERROR(SUMIF(tblAnahtarA[Norm],$A64,tblGirdi[Maliyet])*IFERROR(SUMIF(tblAnahtarA[Norm],$A64,tblGirdi[Miktar]),1),0))</f>
        <v/>
      </c>
      <c r="D64" s="17">
        <f>IF($A64="","",IFERROR(SUMIF(tblAnahtarA[Norm],$A64,tblGirdi[Miktar]),0))</f>
        <v/>
      </c>
      <c r="E64" s="17">
        <f>IF($A64="","",IFERROR(SUMIF(tblAnahtarA[Norm],$A64,tblGirdi[KomisyonOran]),0))</f>
        <v/>
      </c>
      <c r="F64" s="17">
        <f>IF($A64="","",ROUND($B64*$E64,2))</f>
        <v/>
      </c>
      <c r="G64" s="17">
        <f>IF($A64="","",IFERROR(SUMIF(tblAnahtarB[NormB],$A64,tblHakedis[TyPlus]),0))</f>
        <v/>
      </c>
      <c r="H64" s="17">
        <f>IF($A64="","",IFERROR(SUMIF(tblAnahtarB[NormB],$A64,tblHakedis[FlasKesinti]),0))</f>
        <v/>
      </c>
      <c r="I64" s="17">
        <f>IF($A64="","",IFERROR(SUMIF(tblAnahtarB[NormB],$A64,tblHakedis[UrunReklam]),0))</f>
        <v/>
      </c>
      <c r="J64" s="17">
        <f>IF($A64="","",IFERROR(SUMIF(tblAnahtarB[NormB],$A64,tblHakedis[DesiKargo]),0))</f>
        <v/>
      </c>
      <c r="K64" s="17">
        <f>IF($A64="","",ROUND($F64+$G64+$H64+$I64+$J64,2))</f>
        <v/>
      </c>
      <c r="L64" s="17">
        <f>IF($A64="","",ROUND($B64-$C64,2))</f>
        <v/>
      </c>
      <c r="M64" s="17">
        <f>IF($A64="","",ROUND($B64-$C64-$K64,2))</f>
        <v/>
      </c>
      <c r="N64" s="17">
        <f>IF(OR($A64="",$B64=0),0,$M64/$B64)</f>
        <v/>
      </c>
      <c r="O64" s="17">
        <f>IF($A64="","",IF((1-$E64)&lt;=0,0,IF($D64=0,0,ROUND(($C64+$G64+$H64+$I64+$J64)/$D64/(1-$E64),2))))</f>
        <v/>
      </c>
      <c r="P64" s="17">
        <f>IF($A64="","",IFERROR(SUMIF(tblAnahtarA[Norm],$A64,tblGirdi[HedefNet]),0))</f>
        <v/>
      </c>
      <c r="Q64" s="17">
        <f>IF($A64="","",ROUND($M64-$P64,2))</f>
        <v/>
      </c>
      <c r="R64" s="17">
        <f>IF($A64="","",ROUND($B64-$K64,2))</f>
        <v/>
      </c>
      <c r="S64" s="17">
        <f>IF($A64="","",IF($N64&lt;0,"ÇEKİL",IF($N64&lt;tyk_esikMarjDusuk,"ZAM","SAT")))</f>
        <v/>
      </c>
      <c r="T64" s="17">
        <f>IF($A64="","",$L64-$F64)</f>
        <v/>
      </c>
      <c r="U64" s="17">
        <f>IF($A64="","",$M64-$Q64)</f>
        <v/>
      </c>
      <c r="V64" s="17">
        <f>IF($A64="","",$R64-$M64)</f>
        <v/>
      </c>
    </row>
    <row r="65">
      <c r="A65" s="17">
        <f>IF('ANAHTAR'!$B65="","",'ANAHTAR'!$B65)</f>
        <v/>
      </c>
      <c r="B65" s="17">
        <f>IF($A65="","",IFERROR(SUMIF(tblAnahtarA[Norm],$A65,tblGirdi[ToplamSatis]),0))</f>
        <v/>
      </c>
      <c r="C65" s="17">
        <f>IF($A65="","",IFERROR(SUMIF(tblAnahtarA[Norm],$A65,tblGirdi[Maliyet])*IFERROR(SUMIF(tblAnahtarA[Norm],$A65,tblGirdi[Miktar]),1),0))</f>
        <v/>
      </c>
      <c r="D65" s="17">
        <f>IF($A65="","",IFERROR(SUMIF(tblAnahtarA[Norm],$A65,tblGirdi[Miktar]),0))</f>
        <v/>
      </c>
      <c r="E65" s="17">
        <f>IF($A65="","",IFERROR(SUMIF(tblAnahtarA[Norm],$A65,tblGirdi[KomisyonOran]),0))</f>
        <v/>
      </c>
      <c r="F65" s="17">
        <f>IF($A65="","",ROUND($B65*$E65,2))</f>
        <v/>
      </c>
      <c r="G65" s="17">
        <f>IF($A65="","",IFERROR(SUMIF(tblAnahtarB[NormB],$A65,tblHakedis[TyPlus]),0))</f>
        <v/>
      </c>
      <c r="H65" s="17">
        <f>IF($A65="","",IFERROR(SUMIF(tblAnahtarB[NormB],$A65,tblHakedis[FlasKesinti]),0))</f>
        <v/>
      </c>
      <c r="I65" s="17">
        <f>IF($A65="","",IFERROR(SUMIF(tblAnahtarB[NormB],$A65,tblHakedis[UrunReklam]),0))</f>
        <v/>
      </c>
      <c r="J65" s="17">
        <f>IF($A65="","",IFERROR(SUMIF(tblAnahtarB[NormB],$A65,tblHakedis[DesiKargo]),0))</f>
        <v/>
      </c>
      <c r="K65" s="17">
        <f>IF($A65="","",ROUND($F65+$G65+$H65+$I65+$J65,2))</f>
        <v/>
      </c>
      <c r="L65" s="17">
        <f>IF($A65="","",ROUND($B65-$C65,2))</f>
        <v/>
      </c>
      <c r="M65" s="17">
        <f>IF($A65="","",ROUND($B65-$C65-$K65,2))</f>
        <v/>
      </c>
      <c r="N65" s="17">
        <f>IF(OR($A65="",$B65=0),0,$M65/$B65)</f>
        <v/>
      </c>
      <c r="O65" s="17">
        <f>IF($A65="","",IF((1-$E65)&lt;=0,0,IF($D65=0,0,ROUND(($C65+$G65+$H65+$I65+$J65)/$D65/(1-$E65),2))))</f>
        <v/>
      </c>
      <c r="P65" s="17">
        <f>IF($A65="","",IFERROR(SUMIF(tblAnahtarA[Norm],$A65,tblGirdi[HedefNet]),0))</f>
        <v/>
      </c>
      <c r="Q65" s="17">
        <f>IF($A65="","",ROUND($M65-$P65,2))</f>
        <v/>
      </c>
      <c r="R65" s="17">
        <f>IF($A65="","",ROUND($B65-$K65,2))</f>
        <v/>
      </c>
      <c r="S65" s="17">
        <f>IF($A65="","",IF($N65&lt;0,"ÇEKİL",IF($N65&lt;tyk_esikMarjDusuk,"ZAM","SAT")))</f>
        <v/>
      </c>
      <c r="T65" s="17">
        <f>IF($A65="","",$L65-$F65)</f>
        <v/>
      </c>
      <c r="U65" s="17">
        <f>IF($A65="","",$M65-$Q65)</f>
        <v/>
      </c>
      <c r="V65" s="17">
        <f>IF($A65="","",$R65-$M65)</f>
        <v/>
      </c>
    </row>
    <row r="66">
      <c r="A66" s="17">
        <f>IF('ANAHTAR'!$B66="","",'ANAHTAR'!$B66)</f>
        <v/>
      </c>
      <c r="B66" s="17">
        <f>IF($A66="","",IFERROR(SUMIF(tblAnahtarA[Norm],$A66,tblGirdi[ToplamSatis]),0))</f>
        <v/>
      </c>
      <c r="C66" s="17">
        <f>IF($A66="","",IFERROR(SUMIF(tblAnahtarA[Norm],$A66,tblGirdi[Maliyet])*IFERROR(SUMIF(tblAnahtarA[Norm],$A66,tblGirdi[Miktar]),1),0))</f>
        <v/>
      </c>
      <c r="D66" s="17">
        <f>IF($A66="","",IFERROR(SUMIF(tblAnahtarA[Norm],$A66,tblGirdi[Miktar]),0))</f>
        <v/>
      </c>
      <c r="E66" s="17">
        <f>IF($A66="","",IFERROR(SUMIF(tblAnahtarA[Norm],$A66,tblGirdi[KomisyonOran]),0))</f>
        <v/>
      </c>
      <c r="F66" s="17">
        <f>IF($A66="","",ROUND($B66*$E66,2))</f>
        <v/>
      </c>
      <c r="G66" s="17">
        <f>IF($A66="","",IFERROR(SUMIF(tblAnahtarB[NormB],$A66,tblHakedis[TyPlus]),0))</f>
        <v/>
      </c>
      <c r="H66" s="17">
        <f>IF($A66="","",IFERROR(SUMIF(tblAnahtarB[NormB],$A66,tblHakedis[FlasKesinti]),0))</f>
        <v/>
      </c>
      <c r="I66" s="17">
        <f>IF($A66="","",IFERROR(SUMIF(tblAnahtarB[NormB],$A66,tblHakedis[UrunReklam]),0))</f>
        <v/>
      </c>
      <c r="J66" s="17">
        <f>IF($A66="","",IFERROR(SUMIF(tblAnahtarB[NormB],$A66,tblHakedis[DesiKargo]),0))</f>
        <v/>
      </c>
      <c r="K66" s="17">
        <f>IF($A66="","",ROUND($F66+$G66+$H66+$I66+$J66,2))</f>
        <v/>
      </c>
      <c r="L66" s="17">
        <f>IF($A66="","",ROUND($B66-$C66,2))</f>
        <v/>
      </c>
      <c r="M66" s="17">
        <f>IF($A66="","",ROUND($B66-$C66-$K66,2))</f>
        <v/>
      </c>
      <c r="N66" s="17">
        <f>IF(OR($A66="",$B66=0),0,$M66/$B66)</f>
        <v/>
      </c>
      <c r="O66" s="17">
        <f>IF($A66="","",IF((1-$E66)&lt;=0,0,IF($D66=0,0,ROUND(($C66+$G66+$H66+$I66+$J66)/$D66/(1-$E66),2))))</f>
        <v/>
      </c>
      <c r="P66" s="17">
        <f>IF($A66="","",IFERROR(SUMIF(tblAnahtarA[Norm],$A66,tblGirdi[HedefNet]),0))</f>
        <v/>
      </c>
      <c r="Q66" s="17">
        <f>IF($A66="","",ROUND($M66-$P66,2))</f>
        <v/>
      </c>
      <c r="R66" s="17">
        <f>IF($A66="","",ROUND($B66-$K66,2))</f>
        <v/>
      </c>
      <c r="S66" s="17">
        <f>IF($A66="","",IF($N66&lt;0,"ÇEKİL",IF($N66&lt;tyk_esikMarjDusuk,"ZAM","SAT")))</f>
        <v/>
      </c>
      <c r="T66" s="17">
        <f>IF($A66="","",$L66-$F66)</f>
        <v/>
      </c>
      <c r="U66" s="17">
        <f>IF($A66="","",$M66-$Q66)</f>
        <v/>
      </c>
      <c r="V66" s="17">
        <f>IF($A66="","",$R66-$M66)</f>
        <v/>
      </c>
    </row>
    <row r="67">
      <c r="A67" s="17">
        <f>IF('ANAHTAR'!$B67="","",'ANAHTAR'!$B67)</f>
        <v/>
      </c>
      <c r="B67" s="17">
        <f>IF($A67="","",IFERROR(SUMIF(tblAnahtarA[Norm],$A67,tblGirdi[ToplamSatis]),0))</f>
        <v/>
      </c>
      <c r="C67" s="17">
        <f>IF($A67="","",IFERROR(SUMIF(tblAnahtarA[Norm],$A67,tblGirdi[Maliyet])*IFERROR(SUMIF(tblAnahtarA[Norm],$A67,tblGirdi[Miktar]),1),0))</f>
        <v/>
      </c>
      <c r="D67" s="17">
        <f>IF($A67="","",IFERROR(SUMIF(tblAnahtarA[Norm],$A67,tblGirdi[Miktar]),0))</f>
        <v/>
      </c>
      <c r="E67" s="17">
        <f>IF($A67="","",IFERROR(SUMIF(tblAnahtarA[Norm],$A67,tblGirdi[KomisyonOran]),0))</f>
        <v/>
      </c>
      <c r="F67" s="17">
        <f>IF($A67="","",ROUND($B67*$E67,2))</f>
        <v/>
      </c>
      <c r="G67" s="17">
        <f>IF($A67="","",IFERROR(SUMIF(tblAnahtarB[NormB],$A67,tblHakedis[TyPlus]),0))</f>
        <v/>
      </c>
      <c r="H67" s="17">
        <f>IF($A67="","",IFERROR(SUMIF(tblAnahtarB[NormB],$A67,tblHakedis[FlasKesinti]),0))</f>
        <v/>
      </c>
      <c r="I67" s="17">
        <f>IF($A67="","",IFERROR(SUMIF(tblAnahtarB[NormB],$A67,tblHakedis[UrunReklam]),0))</f>
        <v/>
      </c>
      <c r="J67" s="17">
        <f>IF($A67="","",IFERROR(SUMIF(tblAnahtarB[NormB],$A67,tblHakedis[DesiKargo]),0))</f>
        <v/>
      </c>
      <c r="K67" s="17">
        <f>IF($A67="","",ROUND($F67+$G67+$H67+$I67+$J67,2))</f>
        <v/>
      </c>
      <c r="L67" s="17">
        <f>IF($A67="","",ROUND($B67-$C67,2))</f>
        <v/>
      </c>
      <c r="M67" s="17">
        <f>IF($A67="","",ROUND($B67-$C67-$K67,2))</f>
        <v/>
      </c>
      <c r="N67" s="17">
        <f>IF(OR($A67="",$B67=0),0,$M67/$B67)</f>
        <v/>
      </c>
      <c r="O67" s="17">
        <f>IF($A67="","",IF((1-$E67)&lt;=0,0,IF($D67=0,0,ROUND(($C67+$G67+$H67+$I67+$J67)/$D67/(1-$E67),2))))</f>
        <v/>
      </c>
      <c r="P67" s="17">
        <f>IF($A67="","",IFERROR(SUMIF(tblAnahtarA[Norm],$A67,tblGirdi[HedefNet]),0))</f>
        <v/>
      </c>
      <c r="Q67" s="17">
        <f>IF($A67="","",ROUND($M67-$P67,2))</f>
        <v/>
      </c>
      <c r="R67" s="17">
        <f>IF($A67="","",ROUND($B67-$K67,2))</f>
        <v/>
      </c>
      <c r="S67" s="17">
        <f>IF($A67="","",IF($N67&lt;0,"ÇEKİL",IF($N67&lt;tyk_esikMarjDusuk,"ZAM","SAT")))</f>
        <v/>
      </c>
      <c r="T67" s="17">
        <f>IF($A67="","",$L67-$F67)</f>
        <v/>
      </c>
      <c r="U67" s="17">
        <f>IF($A67="","",$M67-$Q67)</f>
        <v/>
      </c>
      <c r="V67" s="17">
        <f>IF($A67="","",$R67-$M67)</f>
        <v/>
      </c>
    </row>
    <row r="68">
      <c r="A68" s="17">
        <f>IF('ANAHTAR'!$B68="","",'ANAHTAR'!$B68)</f>
        <v/>
      </c>
      <c r="B68" s="17">
        <f>IF($A68="","",IFERROR(SUMIF(tblAnahtarA[Norm],$A68,tblGirdi[ToplamSatis]),0))</f>
        <v/>
      </c>
      <c r="C68" s="17">
        <f>IF($A68="","",IFERROR(SUMIF(tblAnahtarA[Norm],$A68,tblGirdi[Maliyet])*IFERROR(SUMIF(tblAnahtarA[Norm],$A68,tblGirdi[Miktar]),1),0))</f>
        <v/>
      </c>
      <c r="D68" s="17">
        <f>IF($A68="","",IFERROR(SUMIF(tblAnahtarA[Norm],$A68,tblGirdi[Miktar]),0))</f>
        <v/>
      </c>
      <c r="E68" s="17">
        <f>IF($A68="","",IFERROR(SUMIF(tblAnahtarA[Norm],$A68,tblGirdi[KomisyonOran]),0))</f>
        <v/>
      </c>
      <c r="F68" s="17">
        <f>IF($A68="","",ROUND($B68*$E68,2))</f>
        <v/>
      </c>
      <c r="G68" s="17">
        <f>IF($A68="","",IFERROR(SUMIF(tblAnahtarB[NormB],$A68,tblHakedis[TyPlus]),0))</f>
        <v/>
      </c>
      <c r="H68" s="17">
        <f>IF($A68="","",IFERROR(SUMIF(tblAnahtarB[NormB],$A68,tblHakedis[FlasKesinti]),0))</f>
        <v/>
      </c>
      <c r="I68" s="17">
        <f>IF($A68="","",IFERROR(SUMIF(tblAnahtarB[NormB],$A68,tblHakedis[UrunReklam]),0))</f>
        <v/>
      </c>
      <c r="J68" s="17">
        <f>IF($A68="","",IFERROR(SUMIF(tblAnahtarB[NormB],$A68,tblHakedis[DesiKargo]),0))</f>
        <v/>
      </c>
      <c r="K68" s="17">
        <f>IF($A68="","",ROUND($F68+$G68+$H68+$I68+$J68,2))</f>
        <v/>
      </c>
      <c r="L68" s="17">
        <f>IF($A68="","",ROUND($B68-$C68,2))</f>
        <v/>
      </c>
      <c r="M68" s="17">
        <f>IF($A68="","",ROUND($B68-$C68-$K68,2))</f>
        <v/>
      </c>
      <c r="N68" s="17">
        <f>IF(OR($A68="",$B68=0),0,$M68/$B68)</f>
        <v/>
      </c>
      <c r="O68" s="17">
        <f>IF($A68="","",IF((1-$E68)&lt;=0,0,IF($D68=0,0,ROUND(($C68+$G68+$H68+$I68+$J68)/$D68/(1-$E68),2))))</f>
        <v/>
      </c>
      <c r="P68" s="17">
        <f>IF($A68="","",IFERROR(SUMIF(tblAnahtarA[Norm],$A68,tblGirdi[HedefNet]),0))</f>
        <v/>
      </c>
      <c r="Q68" s="17">
        <f>IF($A68="","",ROUND($M68-$P68,2))</f>
        <v/>
      </c>
      <c r="R68" s="17">
        <f>IF($A68="","",ROUND($B68-$K68,2))</f>
        <v/>
      </c>
      <c r="S68" s="17">
        <f>IF($A68="","",IF($N68&lt;0,"ÇEKİL",IF($N68&lt;tyk_esikMarjDusuk,"ZAM","SAT")))</f>
        <v/>
      </c>
      <c r="T68" s="17">
        <f>IF($A68="","",$L68-$F68)</f>
        <v/>
      </c>
      <c r="U68" s="17">
        <f>IF($A68="","",$M68-$Q68)</f>
        <v/>
      </c>
      <c r="V68" s="17">
        <f>IF($A68="","",$R68-$M68)</f>
        <v/>
      </c>
    </row>
    <row r="69">
      <c r="A69" s="17">
        <f>IF('ANAHTAR'!$B69="","",'ANAHTAR'!$B69)</f>
        <v/>
      </c>
      <c r="B69" s="17">
        <f>IF($A69="","",IFERROR(SUMIF(tblAnahtarA[Norm],$A69,tblGirdi[ToplamSatis]),0))</f>
        <v/>
      </c>
      <c r="C69" s="17">
        <f>IF($A69="","",IFERROR(SUMIF(tblAnahtarA[Norm],$A69,tblGirdi[Maliyet])*IFERROR(SUMIF(tblAnahtarA[Norm],$A69,tblGirdi[Miktar]),1),0))</f>
        <v/>
      </c>
      <c r="D69" s="17">
        <f>IF($A69="","",IFERROR(SUMIF(tblAnahtarA[Norm],$A69,tblGirdi[Miktar]),0))</f>
        <v/>
      </c>
      <c r="E69" s="17">
        <f>IF($A69="","",IFERROR(SUMIF(tblAnahtarA[Norm],$A69,tblGirdi[KomisyonOran]),0))</f>
        <v/>
      </c>
      <c r="F69" s="17">
        <f>IF($A69="","",ROUND($B69*$E69,2))</f>
        <v/>
      </c>
      <c r="G69" s="17">
        <f>IF($A69="","",IFERROR(SUMIF(tblAnahtarB[NormB],$A69,tblHakedis[TyPlus]),0))</f>
        <v/>
      </c>
      <c r="H69" s="17">
        <f>IF($A69="","",IFERROR(SUMIF(tblAnahtarB[NormB],$A69,tblHakedis[FlasKesinti]),0))</f>
        <v/>
      </c>
      <c r="I69" s="17">
        <f>IF($A69="","",IFERROR(SUMIF(tblAnahtarB[NormB],$A69,tblHakedis[UrunReklam]),0))</f>
        <v/>
      </c>
      <c r="J69" s="17">
        <f>IF($A69="","",IFERROR(SUMIF(tblAnahtarB[NormB],$A69,tblHakedis[DesiKargo]),0))</f>
        <v/>
      </c>
      <c r="K69" s="17">
        <f>IF($A69="","",ROUND($F69+$G69+$H69+$I69+$J69,2))</f>
        <v/>
      </c>
      <c r="L69" s="17">
        <f>IF($A69="","",ROUND($B69-$C69,2))</f>
        <v/>
      </c>
      <c r="M69" s="17">
        <f>IF($A69="","",ROUND($B69-$C69-$K69,2))</f>
        <v/>
      </c>
      <c r="N69" s="17">
        <f>IF(OR($A69="",$B69=0),0,$M69/$B69)</f>
        <v/>
      </c>
      <c r="O69" s="17">
        <f>IF($A69="","",IF((1-$E69)&lt;=0,0,IF($D69=0,0,ROUND(($C69+$G69+$H69+$I69+$J69)/$D69/(1-$E69),2))))</f>
        <v/>
      </c>
      <c r="P69" s="17">
        <f>IF($A69="","",IFERROR(SUMIF(tblAnahtarA[Norm],$A69,tblGirdi[HedefNet]),0))</f>
        <v/>
      </c>
      <c r="Q69" s="17">
        <f>IF($A69="","",ROUND($M69-$P69,2))</f>
        <v/>
      </c>
      <c r="R69" s="17">
        <f>IF($A69="","",ROUND($B69-$K69,2))</f>
        <v/>
      </c>
      <c r="S69" s="17">
        <f>IF($A69="","",IF($N69&lt;0,"ÇEKİL",IF($N69&lt;tyk_esikMarjDusuk,"ZAM","SAT")))</f>
        <v/>
      </c>
      <c r="T69" s="17">
        <f>IF($A69="","",$L69-$F69)</f>
        <v/>
      </c>
      <c r="U69" s="17">
        <f>IF($A69="","",$M69-$Q69)</f>
        <v/>
      </c>
      <c r="V69" s="17">
        <f>IF($A69="","",$R69-$M69)</f>
        <v/>
      </c>
    </row>
    <row r="70">
      <c r="A70" s="17">
        <f>IF('ANAHTAR'!$B70="","",'ANAHTAR'!$B70)</f>
        <v/>
      </c>
      <c r="B70" s="17">
        <f>IF($A70="","",IFERROR(SUMIF(tblAnahtarA[Norm],$A70,tblGirdi[ToplamSatis]),0))</f>
        <v/>
      </c>
      <c r="C70" s="17">
        <f>IF($A70="","",IFERROR(SUMIF(tblAnahtarA[Norm],$A70,tblGirdi[Maliyet])*IFERROR(SUMIF(tblAnahtarA[Norm],$A70,tblGirdi[Miktar]),1),0))</f>
        <v/>
      </c>
      <c r="D70" s="17">
        <f>IF($A70="","",IFERROR(SUMIF(tblAnahtarA[Norm],$A70,tblGirdi[Miktar]),0))</f>
        <v/>
      </c>
      <c r="E70" s="17">
        <f>IF($A70="","",IFERROR(SUMIF(tblAnahtarA[Norm],$A70,tblGirdi[KomisyonOran]),0))</f>
        <v/>
      </c>
      <c r="F70" s="17">
        <f>IF($A70="","",ROUND($B70*$E70,2))</f>
        <v/>
      </c>
      <c r="G70" s="17">
        <f>IF($A70="","",IFERROR(SUMIF(tblAnahtarB[NormB],$A70,tblHakedis[TyPlus]),0))</f>
        <v/>
      </c>
      <c r="H70" s="17">
        <f>IF($A70="","",IFERROR(SUMIF(tblAnahtarB[NormB],$A70,tblHakedis[FlasKesinti]),0))</f>
        <v/>
      </c>
      <c r="I70" s="17">
        <f>IF($A70="","",IFERROR(SUMIF(tblAnahtarB[NormB],$A70,tblHakedis[UrunReklam]),0))</f>
        <v/>
      </c>
      <c r="J70" s="17">
        <f>IF($A70="","",IFERROR(SUMIF(tblAnahtarB[NormB],$A70,tblHakedis[DesiKargo]),0))</f>
        <v/>
      </c>
      <c r="K70" s="17">
        <f>IF($A70="","",ROUND($F70+$G70+$H70+$I70+$J70,2))</f>
        <v/>
      </c>
      <c r="L70" s="17">
        <f>IF($A70="","",ROUND($B70-$C70,2))</f>
        <v/>
      </c>
      <c r="M70" s="17">
        <f>IF($A70="","",ROUND($B70-$C70-$K70,2))</f>
        <v/>
      </c>
      <c r="N70" s="17">
        <f>IF(OR($A70="",$B70=0),0,$M70/$B70)</f>
        <v/>
      </c>
      <c r="O70" s="17">
        <f>IF($A70="","",IF((1-$E70)&lt;=0,0,IF($D70=0,0,ROUND(($C70+$G70+$H70+$I70+$J70)/$D70/(1-$E70),2))))</f>
        <v/>
      </c>
      <c r="P70" s="17">
        <f>IF($A70="","",IFERROR(SUMIF(tblAnahtarA[Norm],$A70,tblGirdi[HedefNet]),0))</f>
        <v/>
      </c>
      <c r="Q70" s="17">
        <f>IF($A70="","",ROUND($M70-$P70,2))</f>
        <v/>
      </c>
      <c r="R70" s="17">
        <f>IF($A70="","",ROUND($B70-$K70,2))</f>
        <v/>
      </c>
      <c r="S70" s="17">
        <f>IF($A70="","",IF($N70&lt;0,"ÇEKİL",IF($N70&lt;tyk_esikMarjDusuk,"ZAM","SAT")))</f>
        <v/>
      </c>
      <c r="T70" s="17">
        <f>IF($A70="","",$L70-$F70)</f>
        <v/>
      </c>
      <c r="U70" s="17">
        <f>IF($A70="","",$M70-$Q70)</f>
        <v/>
      </c>
      <c r="V70" s="17">
        <f>IF($A70="","",$R70-$M70)</f>
        <v/>
      </c>
    </row>
    <row r="71">
      <c r="A71" s="17">
        <f>IF('ANAHTAR'!$B71="","",'ANAHTAR'!$B71)</f>
        <v/>
      </c>
      <c r="B71" s="17">
        <f>IF($A71="","",IFERROR(SUMIF(tblAnahtarA[Norm],$A71,tblGirdi[ToplamSatis]),0))</f>
        <v/>
      </c>
      <c r="C71" s="17">
        <f>IF($A71="","",IFERROR(SUMIF(tblAnahtarA[Norm],$A71,tblGirdi[Maliyet])*IFERROR(SUMIF(tblAnahtarA[Norm],$A71,tblGirdi[Miktar]),1),0))</f>
        <v/>
      </c>
      <c r="D71" s="17">
        <f>IF($A71="","",IFERROR(SUMIF(tblAnahtarA[Norm],$A71,tblGirdi[Miktar]),0))</f>
        <v/>
      </c>
      <c r="E71" s="17">
        <f>IF($A71="","",IFERROR(SUMIF(tblAnahtarA[Norm],$A71,tblGirdi[KomisyonOran]),0))</f>
        <v/>
      </c>
      <c r="F71" s="17">
        <f>IF($A71="","",ROUND($B71*$E71,2))</f>
        <v/>
      </c>
      <c r="G71" s="17">
        <f>IF($A71="","",IFERROR(SUMIF(tblAnahtarB[NormB],$A71,tblHakedis[TyPlus]),0))</f>
        <v/>
      </c>
      <c r="H71" s="17">
        <f>IF($A71="","",IFERROR(SUMIF(tblAnahtarB[NormB],$A71,tblHakedis[FlasKesinti]),0))</f>
        <v/>
      </c>
      <c r="I71" s="17">
        <f>IF($A71="","",IFERROR(SUMIF(tblAnahtarB[NormB],$A71,tblHakedis[UrunReklam]),0))</f>
        <v/>
      </c>
      <c r="J71" s="17">
        <f>IF($A71="","",IFERROR(SUMIF(tblAnahtarB[NormB],$A71,tblHakedis[DesiKargo]),0))</f>
        <v/>
      </c>
      <c r="K71" s="17">
        <f>IF($A71="","",ROUND($F71+$G71+$H71+$I71+$J71,2))</f>
        <v/>
      </c>
      <c r="L71" s="17">
        <f>IF($A71="","",ROUND($B71-$C71,2))</f>
        <v/>
      </c>
      <c r="M71" s="17">
        <f>IF($A71="","",ROUND($B71-$C71-$K71,2))</f>
        <v/>
      </c>
      <c r="N71" s="17">
        <f>IF(OR($A71="",$B71=0),0,$M71/$B71)</f>
        <v/>
      </c>
      <c r="O71" s="17">
        <f>IF($A71="","",IF((1-$E71)&lt;=0,0,IF($D71=0,0,ROUND(($C71+$G71+$H71+$I71+$J71)/$D71/(1-$E71),2))))</f>
        <v/>
      </c>
      <c r="P71" s="17">
        <f>IF($A71="","",IFERROR(SUMIF(tblAnahtarA[Norm],$A71,tblGirdi[HedefNet]),0))</f>
        <v/>
      </c>
      <c r="Q71" s="17">
        <f>IF($A71="","",ROUND($M71-$P71,2))</f>
        <v/>
      </c>
      <c r="R71" s="17">
        <f>IF($A71="","",ROUND($B71-$K71,2))</f>
        <v/>
      </c>
      <c r="S71" s="17">
        <f>IF($A71="","",IF($N71&lt;0,"ÇEKİL",IF($N71&lt;tyk_esikMarjDusuk,"ZAM","SAT")))</f>
        <v/>
      </c>
      <c r="T71" s="17">
        <f>IF($A71="","",$L71-$F71)</f>
        <v/>
      </c>
      <c r="U71" s="17">
        <f>IF($A71="","",$M71-$Q71)</f>
        <v/>
      </c>
      <c r="V71" s="17">
        <f>IF($A71="","",$R71-$M71)</f>
        <v/>
      </c>
    </row>
    <row r="72">
      <c r="A72" s="17">
        <f>IF('ANAHTAR'!$B72="","",'ANAHTAR'!$B72)</f>
        <v/>
      </c>
      <c r="B72" s="17">
        <f>IF($A72="","",IFERROR(SUMIF(tblAnahtarA[Norm],$A72,tblGirdi[ToplamSatis]),0))</f>
        <v/>
      </c>
      <c r="C72" s="17">
        <f>IF($A72="","",IFERROR(SUMIF(tblAnahtarA[Norm],$A72,tblGirdi[Maliyet])*IFERROR(SUMIF(tblAnahtarA[Norm],$A72,tblGirdi[Miktar]),1),0))</f>
        <v/>
      </c>
      <c r="D72" s="17">
        <f>IF($A72="","",IFERROR(SUMIF(tblAnahtarA[Norm],$A72,tblGirdi[Miktar]),0))</f>
        <v/>
      </c>
      <c r="E72" s="17">
        <f>IF($A72="","",IFERROR(SUMIF(tblAnahtarA[Norm],$A72,tblGirdi[KomisyonOran]),0))</f>
        <v/>
      </c>
      <c r="F72" s="17">
        <f>IF($A72="","",ROUND($B72*$E72,2))</f>
        <v/>
      </c>
      <c r="G72" s="17">
        <f>IF($A72="","",IFERROR(SUMIF(tblAnahtarB[NormB],$A72,tblHakedis[TyPlus]),0))</f>
        <v/>
      </c>
      <c r="H72" s="17">
        <f>IF($A72="","",IFERROR(SUMIF(tblAnahtarB[NormB],$A72,tblHakedis[FlasKesinti]),0))</f>
        <v/>
      </c>
      <c r="I72" s="17">
        <f>IF($A72="","",IFERROR(SUMIF(tblAnahtarB[NormB],$A72,tblHakedis[UrunReklam]),0))</f>
        <v/>
      </c>
      <c r="J72" s="17">
        <f>IF($A72="","",IFERROR(SUMIF(tblAnahtarB[NormB],$A72,tblHakedis[DesiKargo]),0))</f>
        <v/>
      </c>
      <c r="K72" s="17">
        <f>IF($A72="","",ROUND($F72+$G72+$H72+$I72+$J72,2))</f>
        <v/>
      </c>
      <c r="L72" s="17">
        <f>IF($A72="","",ROUND($B72-$C72,2))</f>
        <v/>
      </c>
      <c r="M72" s="17">
        <f>IF($A72="","",ROUND($B72-$C72-$K72,2))</f>
        <v/>
      </c>
      <c r="N72" s="17">
        <f>IF(OR($A72="",$B72=0),0,$M72/$B72)</f>
        <v/>
      </c>
      <c r="O72" s="17">
        <f>IF($A72="","",IF((1-$E72)&lt;=0,0,IF($D72=0,0,ROUND(($C72+$G72+$H72+$I72+$J72)/$D72/(1-$E72),2))))</f>
        <v/>
      </c>
      <c r="P72" s="17">
        <f>IF($A72="","",IFERROR(SUMIF(tblAnahtarA[Norm],$A72,tblGirdi[HedefNet]),0))</f>
        <v/>
      </c>
      <c r="Q72" s="17">
        <f>IF($A72="","",ROUND($M72-$P72,2))</f>
        <v/>
      </c>
      <c r="R72" s="17">
        <f>IF($A72="","",ROUND($B72-$K72,2))</f>
        <v/>
      </c>
      <c r="S72" s="17">
        <f>IF($A72="","",IF($N72&lt;0,"ÇEKİL",IF($N72&lt;tyk_esikMarjDusuk,"ZAM","SAT")))</f>
        <v/>
      </c>
      <c r="T72" s="17">
        <f>IF($A72="","",$L72-$F72)</f>
        <v/>
      </c>
      <c r="U72" s="17">
        <f>IF($A72="","",$M72-$Q72)</f>
        <v/>
      </c>
      <c r="V72" s="17">
        <f>IF($A72="","",$R72-$M72)</f>
        <v/>
      </c>
    </row>
    <row r="73">
      <c r="A73" s="17">
        <f>IF('ANAHTAR'!$B73="","",'ANAHTAR'!$B73)</f>
        <v/>
      </c>
      <c r="B73" s="17">
        <f>IF($A73="","",IFERROR(SUMIF(tblAnahtarA[Norm],$A73,tblGirdi[ToplamSatis]),0))</f>
        <v/>
      </c>
      <c r="C73" s="17">
        <f>IF($A73="","",IFERROR(SUMIF(tblAnahtarA[Norm],$A73,tblGirdi[Maliyet])*IFERROR(SUMIF(tblAnahtarA[Norm],$A73,tblGirdi[Miktar]),1),0))</f>
        <v/>
      </c>
      <c r="D73" s="17">
        <f>IF($A73="","",IFERROR(SUMIF(tblAnahtarA[Norm],$A73,tblGirdi[Miktar]),0))</f>
        <v/>
      </c>
      <c r="E73" s="17">
        <f>IF($A73="","",IFERROR(SUMIF(tblAnahtarA[Norm],$A73,tblGirdi[KomisyonOran]),0))</f>
        <v/>
      </c>
      <c r="F73" s="17">
        <f>IF($A73="","",ROUND($B73*$E73,2))</f>
        <v/>
      </c>
      <c r="G73" s="17">
        <f>IF($A73="","",IFERROR(SUMIF(tblAnahtarB[NormB],$A73,tblHakedis[TyPlus]),0))</f>
        <v/>
      </c>
      <c r="H73" s="17">
        <f>IF($A73="","",IFERROR(SUMIF(tblAnahtarB[NormB],$A73,tblHakedis[FlasKesinti]),0))</f>
        <v/>
      </c>
      <c r="I73" s="17">
        <f>IF($A73="","",IFERROR(SUMIF(tblAnahtarB[NormB],$A73,tblHakedis[UrunReklam]),0))</f>
        <v/>
      </c>
      <c r="J73" s="17">
        <f>IF($A73="","",IFERROR(SUMIF(tblAnahtarB[NormB],$A73,tblHakedis[DesiKargo]),0))</f>
        <v/>
      </c>
      <c r="K73" s="17">
        <f>IF($A73="","",ROUND($F73+$G73+$H73+$I73+$J73,2))</f>
        <v/>
      </c>
      <c r="L73" s="17">
        <f>IF($A73="","",ROUND($B73-$C73,2))</f>
        <v/>
      </c>
      <c r="M73" s="17">
        <f>IF($A73="","",ROUND($B73-$C73-$K73,2))</f>
        <v/>
      </c>
      <c r="N73" s="17">
        <f>IF(OR($A73="",$B73=0),0,$M73/$B73)</f>
        <v/>
      </c>
      <c r="O73" s="17">
        <f>IF($A73="","",IF((1-$E73)&lt;=0,0,IF($D73=0,0,ROUND(($C73+$G73+$H73+$I73+$J73)/$D73/(1-$E73),2))))</f>
        <v/>
      </c>
      <c r="P73" s="17">
        <f>IF($A73="","",IFERROR(SUMIF(tblAnahtarA[Norm],$A73,tblGirdi[HedefNet]),0))</f>
        <v/>
      </c>
      <c r="Q73" s="17">
        <f>IF($A73="","",ROUND($M73-$P73,2))</f>
        <v/>
      </c>
      <c r="R73" s="17">
        <f>IF($A73="","",ROUND($B73-$K73,2))</f>
        <v/>
      </c>
      <c r="S73" s="17">
        <f>IF($A73="","",IF($N73&lt;0,"ÇEKİL",IF($N73&lt;tyk_esikMarjDusuk,"ZAM","SAT")))</f>
        <v/>
      </c>
      <c r="T73" s="17">
        <f>IF($A73="","",$L73-$F73)</f>
        <v/>
      </c>
      <c r="U73" s="17">
        <f>IF($A73="","",$M73-$Q73)</f>
        <v/>
      </c>
      <c r="V73" s="17">
        <f>IF($A73="","",$R73-$M73)</f>
        <v/>
      </c>
    </row>
    <row r="74">
      <c r="A74" s="17">
        <f>IF('ANAHTAR'!$B74="","",'ANAHTAR'!$B74)</f>
        <v/>
      </c>
      <c r="B74" s="17">
        <f>IF($A74="","",IFERROR(SUMIF(tblAnahtarA[Norm],$A74,tblGirdi[ToplamSatis]),0))</f>
        <v/>
      </c>
      <c r="C74" s="17">
        <f>IF($A74="","",IFERROR(SUMIF(tblAnahtarA[Norm],$A74,tblGirdi[Maliyet])*IFERROR(SUMIF(tblAnahtarA[Norm],$A74,tblGirdi[Miktar]),1),0))</f>
        <v/>
      </c>
      <c r="D74" s="17">
        <f>IF($A74="","",IFERROR(SUMIF(tblAnahtarA[Norm],$A74,tblGirdi[Miktar]),0))</f>
        <v/>
      </c>
      <c r="E74" s="17">
        <f>IF($A74="","",IFERROR(SUMIF(tblAnahtarA[Norm],$A74,tblGirdi[KomisyonOran]),0))</f>
        <v/>
      </c>
      <c r="F74" s="17">
        <f>IF($A74="","",ROUND($B74*$E74,2))</f>
        <v/>
      </c>
      <c r="G74" s="17">
        <f>IF($A74="","",IFERROR(SUMIF(tblAnahtarB[NormB],$A74,tblHakedis[TyPlus]),0))</f>
        <v/>
      </c>
      <c r="H74" s="17">
        <f>IF($A74="","",IFERROR(SUMIF(tblAnahtarB[NormB],$A74,tblHakedis[FlasKesinti]),0))</f>
        <v/>
      </c>
      <c r="I74" s="17">
        <f>IF($A74="","",IFERROR(SUMIF(tblAnahtarB[NormB],$A74,tblHakedis[UrunReklam]),0))</f>
        <v/>
      </c>
      <c r="J74" s="17">
        <f>IF($A74="","",IFERROR(SUMIF(tblAnahtarB[NormB],$A74,tblHakedis[DesiKargo]),0))</f>
        <v/>
      </c>
      <c r="K74" s="17">
        <f>IF($A74="","",ROUND($F74+$G74+$H74+$I74+$J74,2))</f>
        <v/>
      </c>
      <c r="L74" s="17">
        <f>IF($A74="","",ROUND($B74-$C74,2))</f>
        <v/>
      </c>
      <c r="M74" s="17">
        <f>IF($A74="","",ROUND($B74-$C74-$K74,2))</f>
        <v/>
      </c>
      <c r="N74" s="17">
        <f>IF(OR($A74="",$B74=0),0,$M74/$B74)</f>
        <v/>
      </c>
      <c r="O74" s="17">
        <f>IF($A74="","",IF((1-$E74)&lt;=0,0,IF($D74=0,0,ROUND(($C74+$G74+$H74+$I74+$J74)/$D74/(1-$E74),2))))</f>
        <v/>
      </c>
      <c r="P74" s="17">
        <f>IF($A74="","",IFERROR(SUMIF(tblAnahtarA[Norm],$A74,tblGirdi[HedefNet]),0))</f>
        <v/>
      </c>
      <c r="Q74" s="17">
        <f>IF($A74="","",ROUND($M74-$P74,2))</f>
        <v/>
      </c>
      <c r="R74" s="17">
        <f>IF($A74="","",ROUND($B74-$K74,2))</f>
        <v/>
      </c>
      <c r="S74" s="17">
        <f>IF($A74="","",IF($N74&lt;0,"ÇEKİL",IF($N74&lt;tyk_esikMarjDusuk,"ZAM","SAT")))</f>
        <v/>
      </c>
      <c r="T74" s="17">
        <f>IF($A74="","",$L74-$F74)</f>
        <v/>
      </c>
      <c r="U74" s="17">
        <f>IF($A74="","",$M74-$Q74)</f>
        <v/>
      </c>
      <c r="V74" s="17">
        <f>IF($A74="","",$R74-$M74)</f>
        <v/>
      </c>
    </row>
    <row r="75">
      <c r="A75" s="17">
        <f>IF('ANAHTAR'!$B75="","",'ANAHTAR'!$B75)</f>
        <v/>
      </c>
      <c r="B75" s="17">
        <f>IF($A75="","",IFERROR(SUMIF(tblAnahtarA[Norm],$A75,tblGirdi[ToplamSatis]),0))</f>
        <v/>
      </c>
      <c r="C75" s="17">
        <f>IF($A75="","",IFERROR(SUMIF(tblAnahtarA[Norm],$A75,tblGirdi[Maliyet])*IFERROR(SUMIF(tblAnahtarA[Norm],$A75,tblGirdi[Miktar]),1),0))</f>
        <v/>
      </c>
      <c r="D75" s="17">
        <f>IF($A75="","",IFERROR(SUMIF(tblAnahtarA[Norm],$A75,tblGirdi[Miktar]),0))</f>
        <v/>
      </c>
      <c r="E75" s="17">
        <f>IF($A75="","",IFERROR(SUMIF(tblAnahtarA[Norm],$A75,tblGirdi[KomisyonOran]),0))</f>
        <v/>
      </c>
      <c r="F75" s="17">
        <f>IF($A75="","",ROUND($B75*$E75,2))</f>
        <v/>
      </c>
      <c r="G75" s="17">
        <f>IF($A75="","",IFERROR(SUMIF(tblAnahtarB[NormB],$A75,tblHakedis[TyPlus]),0))</f>
        <v/>
      </c>
      <c r="H75" s="17">
        <f>IF($A75="","",IFERROR(SUMIF(tblAnahtarB[NormB],$A75,tblHakedis[FlasKesinti]),0))</f>
        <v/>
      </c>
      <c r="I75" s="17">
        <f>IF($A75="","",IFERROR(SUMIF(tblAnahtarB[NormB],$A75,tblHakedis[UrunReklam]),0))</f>
        <v/>
      </c>
      <c r="J75" s="17">
        <f>IF($A75="","",IFERROR(SUMIF(tblAnahtarB[NormB],$A75,tblHakedis[DesiKargo]),0))</f>
        <v/>
      </c>
      <c r="K75" s="17">
        <f>IF($A75="","",ROUND($F75+$G75+$H75+$I75+$J75,2))</f>
        <v/>
      </c>
      <c r="L75" s="17">
        <f>IF($A75="","",ROUND($B75-$C75,2))</f>
        <v/>
      </c>
      <c r="M75" s="17">
        <f>IF($A75="","",ROUND($B75-$C75-$K75,2))</f>
        <v/>
      </c>
      <c r="N75" s="17">
        <f>IF(OR($A75="",$B75=0),0,$M75/$B75)</f>
        <v/>
      </c>
      <c r="O75" s="17">
        <f>IF($A75="","",IF((1-$E75)&lt;=0,0,IF($D75=0,0,ROUND(($C75+$G75+$H75+$I75+$J75)/$D75/(1-$E75),2))))</f>
        <v/>
      </c>
      <c r="P75" s="17">
        <f>IF($A75="","",IFERROR(SUMIF(tblAnahtarA[Norm],$A75,tblGirdi[HedefNet]),0))</f>
        <v/>
      </c>
      <c r="Q75" s="17">
        <f>IF($A75="","",ROUND($M75-$P75,2))</f>
        <v/>
      </c>
      <c r="R75" s="17">
        <f>IF($A75="","",ROUND($B75-$K75,2))</f>
        <v/>
      </c>
      <c r="S75" s="17">
        <f>IF($A75="","",IF($N75&lt;0,"ÇEKİL",IF($N75&lt;tyk_esikMarjDusuk,"ZAM","SAT")))</f>
        <v/>
      </c>
      <c r="T75" s="17">
        <f>IF($A75="","",$L75-$F75)</f>
        <v/>
      </c>
      <c r="U75" s="17">
        <f>IF($A75="","",$M75-$Q75)</f>
        <v/>
      </c>
      <c r="V75" s="17">
        <f>IF($A75="","",$R75-$M75)</f>
        <v/>
      </c>
    </row>
    <row r="76">
      <c r="A76" s="17">
        <f>IF('ANAHTAR'!$B76="","",'ANAHTAR'!$B76)</f>
        <v/>
      </c>
      <c r="B76" s="17">
        <f>IF($A76="","",IFERROR(SUMIF(tblAnahtarA[Norm],$A76,tblGirdi[ToplamSatis]),0))</f>
        <v/>
      </c>
      <c r="C76" s="17">
        <f>IF($A76="","",IFERROR(SUMIF(tblAnahtarA[Norm],$A76,tblGirdi[Maliyet])*IFERROR(SUMIF(tblAnahtarA[Norm],$A76,tblGirdi[Miktar]),1),0))</f>
        <v/>
      </c>
      <c r="D76" s="17">
        <f>IF($A76="","",IFERROR(SUMIF(tblAnahtarA[Norm],$A76,tblGirdi[Miktar]),0))</f>
        <v/>
      </c>
      <c r="E76" s="17">
        <f>IF($A76="","",IFERROR(SUMIF(tblAnahtarA[Norm],$A76,tblGirdi[KomisyonOran]),0))</f>
        <v/>
      </c>
      <c r="F76" s="17">
        <f>IF($A76="","",ROUND($B76*$E76,2))</f>
        <v/>
      </c>
      <c r="G76" s="17">
        <f>IF($A76="","",IFERROR(SUMIF(tblAnahtarB[NormB],$A76,tblHakedis[TyPlus]),0))</f>
        <v/>
      </c>
      <c r="H76" s="17">
        <f>IF($A76="","",IFERROR(SUMIF(tblAnahtarB[NormB],$A76,tblHakedis[FlasKesinti]),0))</f>
        <v/>
      </c>
      <c r="I76" s="17">
        <f>IF($A76="","",IFERROR(SUMIF(tblAnahtarB[NormB],$A76,tblHakedis[UrunReklam]),0))</f>
        <v/>
      </c>
      <c r="J76" s="17">
        <f>IF($A76="","",IFERROR(SUMIF(tblAnahtarB[NormB],$A76,tblHakedis[DesiKargo]),0))</f>
        <v/>
      </c>
      <c r="K76" s="17">
        <f>IF($A76="","",ROUND($F76+$G76+$H76+$I76+$J76,2))</f>
        <v/>
      </c>
      <c r="L76" s="17">
        <f>IF($A76="","",ROUND($B76-$C76,2))</f>
        <v/>
      </c>
      <c r="M76" s="17">
        <f>IF($A76="","",ROUND($B76-$C76-$K76,2))</f>
        <v/>
      </c>
      <c r="N76" s="17">
        <f>IF(OR($A76="",$B76=0),0,$M76/$B76)</f>
        <v/>
      </c>
      <c r="O76" s="17">
        <f>IF($A76="","",IF((1-$E76)&lt;=0,0,IF($D76=0,0,ROUND(($C76+$G76+$H76+$I76+$J76)/$D76/(1-$E76),2))))</f>
        <v/>
      </c>
      <c r="P76" s="17">
        <f>IF($A76="","",IFERROR(SUMIF(tblAnahtarA[Norm],$A76,tblGirdi[HedefNet]),0))</f>
        <v/>
      </c>
      <c r="Q76" s="17">
        <f>IF($A76="","",ROUND($M76-$P76,2))</f>
        <v/>
      </c>
      <c r="R76" s="17">
        <f>IF($A76="","",ROUND($B76-$K76,2))</f>
        <v/>
      </c>
      <c r="S76" s="17">
        <f>IF($A76="","",IF($N76&lt;0,"ÇEKİL",IF($N76&lt;tyk_esikMarjDusuk,"ZAM","SAT")))</f>
        <v/>
      </c>
      <c r="T76" s="17">
        <f>IF($A76="","",$L76-$F76)</f>
        <v/>
      </c>
      <c r="U76" s="17">
        <f>IF($A76="","",$M76-$Q76)</f>
        <v/>
      </c>
      <c r="V76" s="17">
        <f>IF($A76="","",$R76-$M76)</f>
        <v/>
      </c>
    </row>
    <row r="77">
      <c r="A77" s="17">
        <f>IF('ANAHTAR'!$B77="","",'ANAHTAR'!$B77)</f>
        <v/>
      </c>
      <c r="B77" s="17">
        <f>IF($A77="","",IFERROR(SUMIF(tblAnahtarA[Norm],$A77,tblGirdi[ToplamSatis]),0))</f>
        <v/>
      </c>
      <c r="C77" s="17">
        <f>IF($A77="","",IFERROR(SUMIF(tblAnahtarA[Norm],$A77,tblGirdi[Maliyet])*IFERROR(SUMIF(tblAnahtarA[Norm],$A77,tblGirdi[Miktar]),1),0))</f>
        <v/>
      </c>
      <c r="D77" s="17">
        <f>IF($A77="","",IFERROR(SUMIF(tblAnahtarA[Norm],$A77,tblGirdi[Miktar]),0))</f>
        <v/>
      </c>
      <c r="E77" s="17">
        <f>IF($A77="","",IFERROR(SUMIF(tblAnahtarA[Norm],$A77,tblGirdi[KomisyonOran]),0))</f>
        <v/>
      </c>
      <c r="F77" s="17">
        <f>IF($A77="","",ROUND($B77*$E77,2))</f>
        <v/>
      </c>
      <c r="G77" s="17">
        <f>IF($A77="","",IFERROR(SUMIF(tblAnahtarB[NormB],$A77,tblHakedis[TyPlus]),0))</f>
        <v/>
      </c>
      <c r="H77" s="17">
        <f>IF($A77="","",IFERROR(SUMIF(tblAnahtarB[NormB],$A77,tblHakedis[FlasKesinti]),0))</f>
        <v/>
      </c>
      <c r="I77" s="17">
        <f>IF($A77="","",IFERROR(SUMIF(tblAnahtarB[NormB],$A77,tblHakedis[UrunReklam]),0))</f>
        <v/>
      </c>
      <c r="J77" s="17">
        <f>IF($A77="","",IFERROR(SUMIF(tblAnahtarB[NormB],$A77,tblHakedis[DesiKargo]),0))</f>
        <v/>
      </c>
      <c r="K77" s="17">
        <f>IF($A77="","",ROUND($F77+$G77+$H77+$I77+$J77,2))</f>
        <v/>
      </c>
      <c r="L77" s="17">
        <f>IF($A77="","",ROUND($B77-$C77,2))</f>
        <v/>
      </c>
      <c r="M77" s="17">
        <f>IF($A77="","",ROUND($B77-$C77-$K77,2))</f>
        <v/>
      </c>
      <c r="N77" s="17">
        <f>IF(OR($A77="",$B77=0),0,$M77/$B77)</f>
        <v/>
      </c>
      <c r="O77" s="17">
        <f>IF($A77="","",IF((1-$E77)&lt;=0,0,IF($D77=0,0,ROUND(($C77+$G77+$H77+$I77+$J77)/$D77/(1-$E77),2))))</f>
        <v/>
      </c>
      <c r="P77" s="17">
        <f>IF($A77="","",IFERROR(SUMIF(tblAnahtarA[Norm],$A77,tblGirdi[HedefNet]),0))</f>
        <v/>
      </c>
      <c r="Q77" s="17">
        <f>IF($A77="","",ROUND($M77-$P77,2))</f>
        <v/>
      </c>
      <c r="R77" s="17">
        <f>IF($A77="","",ROUND($B77-$K77,2))</f>
        <v/>
      </c>
      <c r="S77" s="17">
        <f>IF($A77="","",IF($N77&lt;0,"ÇEKİL",IF($N77&lt;tyk_esikMarjDusuk,"ZAM","SAT")))</f>
        <v/>
      </c>
      <c r="T77" s="17">
        <f>IF($A77="","",$L77-$F77)</f>
        <v/>
      </c>
      <c r="U77" s="17">
        <f>IF($A77="","",$M77-$Q77)</f>
        <v/>
      </c>
      <c r="V77" s="17">
        <f>IF($A77="","",$R77-$M77)</f>
        <v/>
      </c>
    </row>
    <row r="78">
      <c r="A78" s="17">
        <f>IF('ANAHTAR'!$B78="","",'ANAHTAR'!$B78)</f>
        <v/>
      </c>
      <c r="B78" s="17">
        <f>IF($A78="","",IFERROR(SUMIF(tblAnahtarA[Norm],$A78,tblGirdi[ToplamSatis]),0))</f>
        <v/>
      </c>
      <c r="C78" s="17">
        <f>IF($A78="","",IFERROR(SUMIF(tblAnahtarA[Norm],$A78,tblGirdi[Maliyet])*IFERROR(SUMIF(tblAnahtarA[Norm],$A78,tblGirdi[Miktar]),1),0))</f>
        <v/>
      </c>
      <c r="D78" s="17">
        <f>IF($A78="","",IFERROR(SUMIF(tblAnahtarA[Norm],$A78,tblGirdi[Miktar]),0))</f>
        <v/>
      </c>
      <c r="E78" s="17">
        <f>IF($A78="","",IFERROR(SUMIF(tblAnahtarA[Norm],$A78,tblGirdi[KomisyonOran]),0))</f>
        <v/>
      </c>
      <c r="F78" s="17">
        <f>IF($A78="","",ROUND($B78*$E78,2))</f>
        <v/>
      </c>
      <c r="G78" s="17">
        <f>IF($A78="","",IFERROR(SUMIF(tblAnahtarB[NormB],$A78,tblHakedis[TyPlus]),0))</f>
        <v/>
      </c>
      <c r="H78" s="17">
        <f>IF($A78="","",IFERROR(SUMIF(tblAnahtarB[NormB],$A78,tblHakedis[FlasKesinti]),0))</f>
        <v/>
      </c>
      <c r="I78" s="17">
        <f>IF($A78="","",IFERROR(SUMIF(tblAnahtarB[NormB],$A78,tblHakedis[UrunReklam]),0))</f>
        <v/>
      </c>
      <c r="J78" s="17">
        <f>IF($A78="","",IFERROR(SUMIF(tblAnahtarB[NormB],$A78,tblHakedis[DesiKargo]),0))</f>
        <v/>
      </c>
      <c r="K78" s="17">
        <f>IF($A78="","",ROUND($F78+$G78+$H78+$I78+$J78,2))</f>
        <v/>
      </c>
      <c r="L78" s="17">
        <f>IF($A78="","",ROUND($B78-$C78,2))</f>
        <v/>
      </c>
      <c r="M78" s="17">
        <f>IF($A78="","",ROUND($B78-$C78-$K78,2))</f>
        <v/>
      </c>
      <c r="N78" s="17">
        <f>IF(OR($A78="",$B78=0),0,$M78/$B78)</f>
        <v/>
      </c>
      <c r="O78" s="17">
        <f>IF($A78="","",IF((1-$E78)&lt;=0,0,IF($D78=0,0,ROUND(($C78+$G78+$H78+$I78+$J78)/$D78/(1-$E78),2))))</f>
        <v/>
      </c>
      <c r="P78" s="17">
        <f>IF($A78="","",IFERROR(SUMIF(tblAnahtarA[Norm],$A78,tblGirdi[HedefNet]),0))</f>
        <v/>
      </c>
      <c r="Q78" s="17">
        <f>IF($A78="","",ROUND($M78-$P78,2))</f>
        <v/>
      </c>
      <c r="R78" s="17">
        <f>IF($A78="","",ROUND($B78-$K78,2))</f>
        <v/>
      </c>
      <c r="S78" s="17">
        <f>IF($A78="","",IF($N78&lt;0,"ÇEKİL",IF($N78&lt;tyk_esikMarjDusuk,"ZAM","SAT")))</f>
        <v/>
      </c>
      <c r="T78" s="17">
        <f>IF($A78="","",$L78-$F78)</f>
        <v/>
      </c>
      <c r="U78" s="17">
        <f>IF($A78="","",$M78-$Q78)</f>
        <v/>
      </c>
      <c r="V78" s="17">
        <f>IF($A78="","",$R78-$M78)</f>
        <v/>
      </c>
    </row>
    <row r="79">
      <c r="A79" s="17">
        <f>IF('ANAHTAR'!$B79="","",'ANAHTAR'!$B79)</f>
        <v/>
      </c>
      <c r="B79" s="17">
        <f>IF($A79="","",IFERROR(SUMIF(tblAnahtarA[Norm],$A79,tblGirdi[ToplamSatis]),0))</f>
        <v/>
      </c>
      <c r="C79" s="17">
        <f>IF($A79="","",IFERROR(SUMIF(tblAnahtarA[Norm],$A79,tblGirdi[Maliyet])*IFERROR(SUMIF(tblAnahtarA[Norm],$A79,tblGirdi[Miktar]),1),0))</f>
        <v/>
      </c>
      <c r="D79" s="17">
        <f>IF($A79="","",IFERROR(SUMIF(tblAnahtarA[Norm],$A79,tblGirdi[Miktar]),0))</f>
        <v/>
      </c>
      <c r="E79" s="17">
        <f>IF($A79="","",IFERROR(SUMIF(tblAnahtarA[Norm],$A79,tblGirdi[KomisyonOran]),0))</f>
        <v/>
      </c>
      <c r="F79" s="17">
        <f>IF($A79="","",ROUND($B79*$E79,2))</f>
        <v/>
      </c>
      <c r="G79" s="17">
        <f>IF($A79="","",IFERROR(SUMIF(tblAnahtarB[NormB],$A79,tblHakedis[TyPlus]),0))</f>
        <v/>
      </c>
      <c r="H79" s="17">
        <f>IF($A79="","",IFERROR(SUMIF(tblAnahtarB[NormB],$A79,tblHakedis[FlasKesinti]),0))</f>
        <v/>
      </c>
      <c r="I79" s="17">
        <f>IF($A79="","",IFERROR(SUMIF(tblAnahtarB[NormB],$A79,tblHakedis[UrunReklam]),0))</f>
        <v/>
      </c>
      <c r="J79" s="17">
        <f>IF($A79="","",IFERROR(SUMIF(tblAnahtarB[NormB],$A79,tblHakedis[DesiKargo]),0))</f>
        <v/>
      </c>
      <c r="K79" s="17">
        <f>IF($A79="","",ROUND($F79+$G79+$H79+$I79+$J79,2))</f>
        <v/>
      </c>
      <c r="L79" s="17">
        <f>IF($A79="","",ROUND($B79-$C79,2))</f>
        <v/>
      </c>
      <c r="M79" s="17">
        <f>IF($A79="","",ROUND($B79-$C79-$K79,2))</f>
        <v/>
      </c>
      <c r="N79" s="17">
        <f>IF(OR($A79="",$B79=0),0,$M79/$B79)</f>
        <v/>
      </c>
      <c r="O79" s="17">
        <f>IF($A79="","",IF((1-$E79)&lt;=0,0,IF($D79=0,0,ROUND(($C79+$G79+$H79+$I79+$J79)/$D79/(1-$E79),2))))</f>
        <v/>
      </c>
      <c r="P79" s="17">
        <f>IF($A79="","",IFERROR(SUMIF(tblAnahtarA[Norm],$A79,tblGirdi[HedefNet]),0))</f>
        <v/>
      </c>
      <c r="Q79" s="17">
        <f>IF($A79="","",ROUND($M79-$P79,2))</f>
        <v/>
      </c>
      <c r="R79" s="17">
        <f>IF($A79="","",ROUND($B79-$K79,2))</f>
        <v/>
      </c>
      <c r="S79" s="17">
        <f>IF($A79="","",IF($N79&lt;0,"ÇEKİL",IF($N79&lt;tyk_esikMarjDusuk,"ZAM","SAT")))</f>
        <v/>
      </c>
      <c r="T79" s="17">
        <f>IF($A79="","",$L79-$F79)</f>
        <v/>
      </c>
      <c r="U79" s="17">
        <f>IF($A79="","",$M79-$Q79)</f>
        <v/>
      </c>
      <c r="V79" s="17">
        <f>IF($A79="","",$R79-$M79)</f>
        <v/>
      </c>
    </row>
    <row r="80">
      <c r="A80" s="17">
        <f>IF('ANAHTAR'!$B80="","",'ANAHTAR'!$B80)</f>
        <v/>
      </c>
      <c r="B80" s="17">
        <f>IF($A80="","",IFERROR(SUMIF(tblAnahtarA[Norm],$A80,tblGirdi[ToplamSatis]),0))</f>
        <v/>
      </c>
      <c r="C80" s="17">
        <f>IF($A80="","",IFERROR(SUMIF(tblAnahtarA[Norm],$A80,tblGirdi[Maliyet])*IFERROR(SUMIF(tblAnahtarA[Norm],$A80,tblGirdi[Miktar]),1),0))</f>
        <v/>
      </c>
      <c r="D80" s="17">
        <f>IF($A80="","",IFERROR(SUMIF(tblAnahtarA[Norm],$A80,tblGirdi[Miktar]),0))</f>
        <v/>
      </c>
      <c r="E80" s="17">
        <f>IF($A80="","",IFERROR(SUMIF(tblAnahtarA[Norm],$A80,tblGirdi[KomisyonOran]),0))</f>
        <v/>
      </c>
      <c r="F80" s="17">
        <f>IF($A80="","",ROUND($B80*$E80,2))</f>
        <v/>
      </c>
      <c r="G80" s="17">
        <f>IF($A80="","",IFERROR(SUMIF(tblAnahtarB[NormB],$A80,tblHakedis[TyPlus]),0))</f>
        <v/>
      </c>
      <c r="H80" s="17">
        <f>IF($A80="","",IFERROR(SUMIF(tblAnahtarB[NormB],$A80,tblHakedis[FlasKesinti]),0))</f>
        <v/>
      </c>
      <c r="I80" s="17">
        <f>IF($A80="","",IFERROR(SUMIF(tblAnahtarB[NormB],$A80,tblHakedis[UrunReklam]),0))</f>
        <v/>
      </c>
      <c r="J80" s="17">
        <f>IF($A80="","",IFERROR(SUMIF(tblAnahtarB[NormB],$A80,tblHakedis[DesiKargo]),0))</f>
        <v/>
      </c>
      <c r="K80" s="17">
        <f>IF($A80="","",ROUND($F80+$G80+$H80+$I80+$J80,2))</f>
        <v/>
      </c>
      <c r="L80" s="17">
        <f>IF($A80="","",ROUND($B80-$C80,2))</f>
        <v/>
      </c>
      <c r="M80" s="17">
        <f>IF($A80="","",ROUND($B80-$C80-$K80,2))</f>
        <v/>
      </c>
      <c r="N80" s="17">
        <f>IF(OR($A80="",$B80=0),0,$M80/$B80)</f>
        <v/>
      </c>
      <c r="O80" s="17">
        <f>IF($A80="","",IF((1-$E80)&lt;=0,0,IF($D80=0,0,ROUND(($C80+$G80+$H80+$I80+$J80)/$D80/(1-$E80),2))))</f>
        <v/>
      </c>
      <c r="P80" s="17">
        <f>IF($A80="","",IFERROR(SUMIF(tblAnahtarA[Norm],$A80,tblGirdi[HedefNet]),0))</f>
        <v/>
      </c>
      <c r="Q80" s="17">
        <f>IF($A80="","",ROUND($M80-$P80,2))</f>
        <v/>
      </c>
      <c r="R80" s="17">
        <f>IF($A80="","",ROUND($B80-$K80,2))</f>
        <v/>
      </c>
      <c r="S80" s="17">
        <f>IF($A80="","",IF($N80&lt;0,"ÇEKİL",IF($N80&lt;tyk_esikMarjDusuk,"ZAM","SAT")))</f>
        <v/>
      </c>
      <c r="T80" s="17">
        <f>IF($A80="","",$L80-$F80)</f>
        <v/>
      </c>
      <c r="U80" s="17">
        <f>IF($A80="","",$M80-$Q80)</f>
        <v/>
      </c>
      <c r="V80" s="17">
        <f>IF($A80="","",$R80-$M80)</f>
        <v/>
      </c>
    </row>
    <row r="81">
      <c r="A81" s="17">
        <f>IF('ANAHTAR'!$B81="","",'ANAHTAR'!$B81)</f>
        <v/>
      </c>
      <c r="B81" s="17">
        <f>IF($A81="","",IFERROR(SUMIF(tblAnahtarA[Norm],$A81,tblGirdi[ToplamSatis]),0))</f>
        <v/>
      </c>
      <c r="C81" s="17">
        <f>IF($A81="","",IFERROR(SUMIF(tblAnahtarA[Norm],$A81,tblGirdi[Maliyet])*IFERROR(SUMIF(tblAnahtarA[Norm],$A81,tblGirdi[Miktar]),1),0))</f>
        <v/>
      </c>
      <c r="D81" s="17">
        <f>IF($A81="","",IFERROR(SUMIF(tblAnahtarA[Norm],$A81,tblGirdi[Miktar]),0))</f>
        <v/>
      </c>
      <c r="E81" s="17">
        <f>IF($A81="","",IFERROR(SUMIF(tblAnahtarA[Norm],$A81,tblGirdi[KomisyonOran]),0))</f>
        <v/>
      </c>
      <c r="F81" s="17">
        <f>IF($A81="","",ROUND($B81*$E81,2))</f>
        <v/>
      </c>
      <c r="G81" s="17">
        <f>IF($A81="","",IFERROR(SUMIF(tblAnahtarB[NormB],$A81,tblHakedis[TyPlus]),0))</f>
        <v/>
      </c>
      <c r="H81" s="17">
        <f>IF($A81="","",IFERROR(SUMIF(tblAnahtarB[NormB],$A81,tblHakedis[FlasKesinti]),0))</f>
        <v/>
      </c>
      <c r="I81" s="17">
        <f>IF($A81="","",IFERROR(SUMIF(tblAnahtarB[NormB],$A81,tblHakedis[UrunReklam]),0))</f>
        <v/>
      </c>
      <c r="J81" s="17">
        <f>IF($A81="","",IFERROR(SUMIF(tblAnahtarB[NormB],$A81,tblHakedis[DesiKargo]),0))</f>
        <v/>
      </c>
      <c r="K81" s="17">
        <f>IF($A81="","",ROUND($F81+$G81+$H81+$I81+$J81,2))</f>
        <v/>
      </c>
      <c r="L81" s="17">
        <f>IF($A81="","",ROUND($B81-$C81,2))</f>
        <v/>
      </c>
      <c r="M81" s="17">
        <f>IF($A81="","",ROUND($B81-$C81-$K81,2))</f>
        <v/>
      </c>
      <c r="N81" s="17">
        <f>IF(OR($A81="",$B81=0),0,$M81/$B81)</f>
        <v/>
      </c>
      <c r="O81" s="17">
        <f>IF($A81="","",IF((1-$E81)&lt;=0,0,IF($D81=0,0,ROUND(($C81+$G81+$H81+$I81+$J81)/$D81/(1-$E81),2))))</f>
        <v/>
      </c>
      <c r="P81" s="17">
        <f>IF($A81="","",IFERROR(SUMIF(tblAnahtarA[Norm],$A81,tblGirdi[HedefNet]),0))</f>
        <v/>
      </c>
      <c r="Q81" s="17">
        <f>IF($A81="","",ROUND($M81-$P81,2))</f>
        <v/>
      </c>
      <c r="R81" s="17">
        <f>IF($A81="","",ROUND($B81-$K81,2))</f>
        <v/>
      </c>
      <c r="S81" s="17">
        <f>IF($A81="","",IF($N81&lt;0,"ÇEKİL",IF($N81&lt;tyk_esikMarjDusuk,"ZAM","SAT")))</f>
        <v/>
      </c>
      <c r="T81" s="17">
        <f>IF($A81="","",$L81-$F81)</f>
        <v/>
      </c>
      <c r="U81" s="17">
        <f>IF($A81="","",$M81-$Q81)</f>
        <v/>
      </c>
      <c r="V81" s="17">
        <f>IF($A81="","",$R81-$M81)</f>
        <v/>
      </c>
    </row>
    <row r="82">
      <c r="A82" s="17">
        <f>IF('ANAHTAR'!$B82="","",'ANAHTAR'!$B82)</f>
        <v/>
      </c>
      <c r="B82" s="17">
        <f>IF($A82="","",IFERROR(SUMIF(tblAnahtarA[Norm],$A82,tblGirdi[ToplamSatis]),0))</f>
        <v/>
      </c>
      <c r="C82" s="17">
        <f>IF($A82="","",IFERROR(SUMIF(tblAnahtarA[Norm],$A82,tblGirdi[Maliyet])*IFERROR(SUMIF(tblAnahtarA[Norm],$A82,tblGirdi[Miktar]),1),0))</f>
        <v/>
      </c>
      <c r="D82" s="17">
        <f>IF($A82="","",IFERROR(SUMIF(tblAnahtarA[Norm],$A82,tblGirdi[Miktar]),0))</f>
        <v/>
      </c>
      <c r="E82" s="17">
        <f>IF($A82="","",IFERROR(SUMIF(tblAnahtarA[Norm],$A82,tblGirdi[KomisyonOran]),0))</f>
        <v/>
      </c>
      <c r="F82" s="17">
        <f>IF($A82="","",ROUND($B82*$E82,2))</f>
        <v/>
      </c>
      <c r="G82" s="17">
        <f>IF($A82="","",IFERROR(SUMIF(tblAnahtarB[NormB],$A82,tblHakedis[TyPlus]),0))</f>
        <v/>
      </c>
      <c r="H82" s="17">
        <f>IF($A82="","",IFERROR(SUMIF(tblAnahtarB[NormB],$A82,tblHakedis[FlasKesinti]),0))</f>
        <v/>
      </c>
      <c r="I82" s="17">
        <f>IF($A82="","",IFERROR(SUMIF(tblAnahtarB[NormB],$A82,tblHakedis[UrunReklam]),0))</f>
        <v/>
      </c>
      <c r="J82" s="17">
        <f>IF($A82="","",IFERROR(SUMIF(tblAnahtarB[NormB],$A82,tblHakedis[DesiKargo]),0))</f>
        <v/>
      </c>
      <c r="K82" s="17">
        <f>IF($A82="","",ROUND($F82+$G82+$H82+$I82+$J82,2))</f>
        <v/>
      </c>
      <c r="L82" s="17">
        <f>IF($A82="","",ROUND($B82-$C82,2))</f>
        <v/>
      </c>
      <c r="M82" s="17">
        <f>IF($A82="","",ROUND($B82-$C82-$K82,2))</f>
        <v/>
      </c>
      <c r="N82" s="17">
        <f>IF(OR($A82="",$B82=0),0,$M82/$B82)</f>
        <v/>
      </c>
      <c r="O82" s="17">
        <f>IF($A82="","",IF((1-$E82)&lt;=0,0,IF($D82=0,0,ROUND(($C82+$G82+$H82+$I82+$J82)/$D82/(1-$E82),2))))</f>
        <v/>
      </c>
      <c r="P82" s="17">
        <f>IF($A82="","",IFERROR(SUMIF(tblAnahtarA[Norm],$A82,tblGirdi[HedefNet]),0))</f>
        <v/>
      </c>
      <c r="Q82" s="17">
        <f>IF($A82="","",ROUND($M82-$P82,2))</f>
        <v/>
      </c>
      <c r="R82" s="17">
        <f>IF($A82="","",ROUND($B82-$K82,2))</f>
        <v/>
      </c>
      <c r="S82" s="17">
        <f>IF($A82="","",IF($N82&lt;0,"ÇEKİL",IF($N82&lt;tyk_esikMarjDusuk,"ZAM","SAT")))</f>
        <v/>
      </c>
      <c r="T82" s="17">
        <f>IF($A82="","",$L82-$F82)</f>
        <v/>
      </c>
      <c r="U82" s="17">
        <f>IF($A82="","",$M82-$Q82)</f>
        <v/>
      </c>
      <c r="V82" s="17">
        <f>IF($A82="","",$R82-$M82)</f>
        <v/>
      </c>
    </row>
    <row r="83">
      <c r="A83" s="17">
        <f>IF('ANAHTAR'!$B83="","",'ANAHTAR'!$B83)</f>
        <v/>
      </c>
      <c r="B83" s="17">
        <f>IF($A83="","",IFERROR(SUMIF(tblAnahtarA[Norm],$A83,tblGirdi[ToplamSatis]),0))</f>
        <v/>
      </c>
      <c r="C83" s="17">
        <f>IF($A83="","",IFERROR(SUMIF(tblAnahtarA[Norm],$A83,tblGirdi[Maliyet])*IFERROR(SUMIF(tblAnahtarA[Norm],$A83,tblGirdi[Miktar]),1),0))</f>
        <v/>
      </c>
      <c r="D83" s="17">
        <f>IF($A83="","",IFERROR(SUMIF(tblAnahtarA[Norm],$A83,tblGirdi[Miktar]),0))</f>
        <v/>
      </c>
      <c r="E83" s="17">
        <f>IF($A83="","",IFERROR(SUMIF(tblAnahtarA[Norm],$A83,tblGirdi[KomisyonOran]),0))</f>
        <v/>
      </c>
      <c r="F83" s="17">
        <f>IF($A83="","",ROUND($B83*$E83,2))</f>
        <v/>
      </c>
      <c r="G83" s="17">
        <f>IF($A83="","",IFERROR(SUMIF(tblAnahtarB[NormB],$A83,tblHakedis[TyPlus]),0))</f>
        <v/>
      </c>
      <c r="H83" s="17">
        <f>IF($A83="","",IFERROR(SUMIF(tblAnahtarB[NormB],$A83,tblHakedis[FlasKesinti]),0))</f>
        <v/>
      </c>
      <c r="I83" s="17">
        <f>IF($A83="","",IFERROR(SUMIF(tblAnahtarB[NormB],$A83,tblHakedis[UrunReklam]),0))</f>
        <v/>
      </c>
      <c r="J83" s="17">
        <f>IF($A83="","",IFERROR(SUMIF(tblAnahtarB[NormB],$A83,tblHakedis[DesiKargo]),0))</f>
        <v/>
      </c>
      <c r="K83" s="17">
        <f>IF($A83="","",ROUND($F83+$G83+$H83+$I83+$J83,2))</f>
        <v/>
      </c>
      <c r="L83" s="17">
        <f>IF($A83="","",ROUND($B83-$C83,2))</f>
        <v/>
      </c>
      <c r="M83" s="17">
        <f>IF($A83="","",ROUND($B83-$C83-$K83,2))</f>
        <v/>
      </c>
      <c r="N83" s="17">
        <f>IF(OR($A83="",$B83=0),0,$M83/$B83)</f>
        <v/>
      </c>
      <c r="O83" s="17">
        <f>IF($A83="","",IF((1-$E83)&lt;=0,0,IF($D83=0,0,ROUND(($C83+$G83+$H83+$I83+$J83)/$D83/(1-$E83),2))))</f>
        <v/>
      </c>
      <c r="P83" s="17">
        <f>IF($A83="","",IFERROR(SUMIF(tblAnahtarA[Norm],$A83,tblGirdi[HedefNet]),0))</f>
        <v/>
      </c>
      <c r="Q83" s="17">
        <f>IF($A83="","",ROUND($M83-$P83,2))</f>
        <v/>
      </c>
      <c r="R83" s="17">
        <f>IF($A83="","",ROUND($B83-$K83,2))</f>
        <v/>
      </c>
      <c r="S83" s="17">
        <f>IF($A83="","",IF($N83&lt;0,"ÇEKİL",IF($N83&lt;tyk_esikMarjDusuk,"ZAM","SAT")))</f>
        <v/>
      </c>
      <c r="T83" s="17">
        <f>IF($A83="","",$L83-$F83)</f>
        <v/>
      </c>
      <c r="U83" s="17">
        <f>IF($A83="","",$M83-$Q83)</f>
        <v/>
      </c>
      <c r="V83" s="17">
        <f>IF($A83="","",$R83-$M83)</f>
        <v/>
      </c>
    </row>
    <row r="84">
      <c r="A84" s="17">
        <f>IF('ANAHTAR'!$B84="","",'ANAHTAR'!$B84)</f>
        <v/>
      </c>
      <c r="B84" s="17">
        <f>IF($A84="","",IFERROR(SUMIF(tblAnahtarA[Norm],$A84,tblGirdi[ToplamSatis]),0))</f>
        <v/>
      </c>
      <c r="C84" s="17">
        <f>IF($A84="","",IFERROR(SUMIF(tblAnahtarA[Norm],$A84,tblGirdi[Maliyet])*IFERROR(SUMIF(tblAnahtarA[Norm],$A84,tblGirdi[Miktar]),1),0))</f>
        <v/>
      </c>
      <c r="D84" s="17">
        <f>IF($A84="","",IFERROR(SUMIF(tblAnahtarA[Norm],$A84,tblGirdi[Miktar]),0))</f>
        <v/>
      </c>
      <c r="E84" s="17">
        <f>IF($A84="","",IFERROR(SUMIF(tblAnahtarA[Norm],$A84,tblGirdi[KomisyonOran]),0))</f>
        <v/>
      </c>
      <c r="F84" s="17">
        <f>IF($A84="","",ROUND($B84*$E84,2))</f>
        <v/>
      </c>
      <c r="G84" s="17">
        <f>IF($A84="","",IFERROR(SUMIF(tblAnahtarB[NormB],$A84,tblHakedis[TyPlus]),0))</f>
        <v/>
      </c>
      <c r="H84" s="17">
        <f>IF($A84="","",IFERROR(SUMIF(tblAnahtarB[NormB],$A84,tblHakedis[FlasKesinti]),0))</f>
        <v/>
      </c>
      <c r="I84" s="17">
        <f>IF($A84="","",IFERROR(SUMIF(tblAnahtarB[NormB],$A84,tblHakedis[UrunReklam]),0))</f>
        <v/>
      </c>
      <c r="J84" s="17">
        <f>IF($A84="","",IFERROR(SUMIF(tblAnahtarB[NormB],$A84,tblHakedis[DesiKargo]),0))</f>
        <v/>
      </c>
      <c r="K84" s="17">
        <f>IF($A84="","",ROUND($F84+$G84+$H84+$I84+$J84,2))</f>
        <v/>
      </c>
      <c r="L84" s="17">
        <f>IF($A84="","",ROUND($B84-$C84,2))</f>
        <v/>
      </c>
      <c r="M84" s="17">
        <f>IF($A84="","",ROUND($B84-$C84-$K84,2))</f>
        <v/>
      </c>
      <c r="N84" s="17">
        <f>IF(OR($A84="",$B84=0),0,$M84/$B84)</f>
        <v/>
      </c>
      <c r="O84" s="17">
        <f>IF($A84="","",IF((1-$E84)&lt;=0,0,IF($D84=0,0,ROUND(($C84+$G84+$H84+$I84+$J84)/$D84/(1-$E84),2))))</f>
        <v/>
      </c>
      <c r="P84" s="17">
        <f>IF($A84="","",IFERROR(SUMIF(tblAnahtarA[Norm],$A84,tblGirdi[HedefNet]),0))</f>
        <v/>
      </c>
      <c r="Q84" s="17">
        <f>IF($A84="","",ROUND($M84-$P84,2))</f>
        <v/>
      </c>
      <c r="R84" s="17">
        <f>IF($A84="","",ROUND($B84-$K84,2))</f>
        <v/>
      </c>
      <c r="S84" s="17">
        <f>IF($A84="","",IF($N84&lt;0,"ÇEKİL",IF($N84&lt;tyk_esikMarjDusuk,"ZAM","SAT")))</f>
        <v/>
      </c>
      <c r="T84" s="17">
        <f>IF($A84="","",$L84-$F84)</f>
        <v/>
      </c>
      <c r="U84" s="17">
        <f>IF($A84="","",$M84-$Q84)</f>
        <v/>
      </c>
      <c r="V84" s="17">
        <f>IF($A84="","",$R84-$M84)</f>
        <v/>
      </c>
    </row>
    <row r="85">
      <c r="A85" s="17">
        <f>IF('ANAHTAR'!$B85="","",'ANAHTAR'!$B85)</f>
        <v/>
      </c>
      <c r="B85" s="17">
        <f>IF($A85="","",IFERROR(SUMIF(tblAnahtarA[Norm],$A85,tblGirdi[ToplamSatis]),0))</f>
        <v/>
      </c>
      <c r="C85" s="17">
        <f>IF($A85="","",IFERROR(SUMIF(tblAnahtarA[Norm],$A85,tblGirdi[Maliyet])*IFERROR(SUMIF(tblAnahtarA[Norm],$A85,tblGirdi[Miktar]),1),0))</f>
        <v/>
      </c>
      <c r="D85" s="17">
        <f>IF($A85="","",IFERROR(SUMIF(tblAnahtarA[Norm],$A85,tblGirdi[Miktar]),0))</f>
        <v/>
      </c>
      <c r="E85" s="17">
        <f>IF($A85="","",IFERROR(SUMIF(tblAnahtarA[Norm],$A85,tblGirdi[KomisyonOran]),0))</f>
        <v/>
      </c>
      <c r="F85" s="17">
        <f>IF($A85="","",ROUND($B85*$E85,2))</f>
        <v/>
      </c>
      <c r="G85" s="17">
        <f>IF($A85="","",IFERROR(SUMIF(tblAnahtarB[NormB],$A85,tblHakedis[TyPlus]),0))</f>
        <v/>
      </c>
      <c r="H85" s="17">
        <f>IF($A85="","",IFERROR(SUMIF(tblAnahtarB[NormB],$A85,tblHakedis[FlasKesinti]),0))</f>
        <v/>
      </c>
      <c r="I85" s="17">
        <f>IF($A85="","",IFERROR(SUMIF(tblAnahtarB[NormB],$A85,tblHakedis[UrunReklam]),0))</f>
        <v/>
      </c>
      <c r="J85" s="17">
        <f>IF($A85="","",IFERROR(SUMIF(tblAnahtarB[NormB],$A85,tblHakedis[DesiKargo]),0))</f>
        <v/>
      </c>
      <c r="K85" s="17">
        <f>IF($A85="","",ROUND($F85+$G85+$H85+$I85+$J85,2))</f>
        <v/>
      </c>
      <c r="L85" s="17">
        <f>IF($A85="","",ROUND($B85-$C85,2))</f>
        <v/>
      </c>
      <c r="M85" s="17">
        <f>IF($A85="","",ROUND($B85-$C85-$K85,2))</f>
        <v/>
      </c>
      <c r="N85" s="17">
        <f>IF(OR($A85="",$B85=0),0,$M85/$B85)</f>
        <v/>
      </c>
      <c r="O85" s="17">
        <f>IF($A85="","",IF((1-$E85)&lt;=0,0,IF($D85=0,0,ROUND(($C85+$G85+$H85+$I85+$J85)/$D85/(1-$E85),2))))</f>
        <v/>
      </c>
      <c r="P85" s="17">
        <f>IF($A85="","",IFERROR(SUMIF(tblAnahtarA[Norm],$A85,tblGirdi[HedefNet]),0))</f>
        <v/>
      </c>
      <c r="Q85" s="17">
        <f>IF($A85="","",ROUND($M85-$P85,2))</f>
        <v/>
      </c>
      <c r="R85" s="17">
        <f>IF($A85="","",ROUND($B85-$K85,2))</f>
        <v/>
      </c>
      <c r="S85" s="17">
        <f>IF($A85="","",IF($N85&lt;0,"ÇEKİL",IF($N85&lt;tyk_esikMarjDusuk,"ZAM","SAT")))</f>
        <v/>
      </c>
      <c r="T85" s="17">
        <f>IF($A85="","",$L85-$F85)</f>
        <v/>
      </c>
      <c r="U85" s="17">
        <f>IF($A85="","",$M85-$Q85)</f>
        <v/>
      </c>
      <c r="V85" s="17">
        <f>IF($A85="","",$R85-$M85)</f>
        <v/>
      </c>
    </row>
    <row r="86">
      <c r="A86" s="17">
        <f>IF('ANAHTAR'!$B86="","",'ANAHTAR'!$B86)</f>
        <v/>
      </c>
      <c r="B86" s="17">
        <f>IF($A86="","",IFERROR(SUMIF(tblAnahtarA[Norm],$A86,tblGirdi[ToplamSatis]),0))</f>
        <v/>
      </c>
      <c r="C86" s="17">
        <f>IF($A86="","",IFERROR(SUMIF(tblAnahtarA[Norm],$A86,tblGirdi[Maliyet])*IFERROR(SUMIF(tblAnahtarA[Norm],$A86,tblGirdi[Miktar]),1),0))</f>
        <v/>
      </c>
      <c r="D86" s="17">
        <f>IF($A86="","",IFERROR(SUMIF(tblAnahtarA[Norm],$A86,tblGirdi[Miktar]),0))</f>
        <v/>
      </c>
      <c r="E86" s="17">
        <f>IF($A86="","",IFERROR(SUMIF(tblAnahtarA[Norm],$A86,tblGirdi[KomisyonOran]),0))</f>
        <v/>
      </c>
      <c r="F86" s="17">
        <f>IF($A86="","",ROUND($B86*$E86,2))</f>
        <v/>
      </c>
      <c r="G86" s="17">
        <f>IF($A86="","",IFERROR(SUMIF(tblAnahtarB[NormB],$A86,tblHakedis[TyPlus]),0))</f>
        <v/>
      </c>
      <c r="H86" s="17">
        <f>IF($A86="","",IFERROR(SUMIF(tblAnahtarB[NormB],$A86,tblHakedis[FlasKesinti]),0))</f>
        <v/>
      </c>
      <c r="I86" s="17">
        <f>IF($A86="","",IFERROR(SUMIF(tblAnahtarB[NormB],$A86,tblHakedis[UrunReklam]),0))</f>
        <v/>
      </c>
      <c r="J86" s="17">
        <f>IF($A86="","",IFERROR(SUMIF(tblAnahtarB[NormB],$A86,tblHakedis[DesiKargo]),0))</f>
        <v/>
      </c>
      <c r="K86" s="17">
        <f>IF($A86="","",ROUND($F86+$G86+$H86+$I86+$J86,2))</f>
        <v/>
      </c>
      <c r="L86" s="17">
        <f>IF($A86="","",ROUND($B86-$C86,2))</f>
        <v/>
      </c>
      <c r="M86" s="17">
        <f>IF($A86="","",ROUND($B86-$C86-$K86,2))</f>
        <v/>
      </c>
      <c r="N86" s="17">
        <f>IF(OR($A86="",$B86=0),0,$M86/$B86)</f>
        <v/>
      </c>
      <c r="O86" s="17">
        <f>IF($A86="","",IF((1-$E86)&lt;=0,0,IF($D86=0,0,ROUND(($C86+$G86+$H86+$I86+$J86)/$D86/(1-$E86),2))))</f>
        <v/>
      </c>
      <c r="P86" s="17">
        <f>IF($A86="","",IFERROR(SUMIF(tblAnahtarA[Norm],$A86,tblGirdi[HedefNet]),0))</f>
        <v/>
      </c>
      <c r="Q86" s="17">
        <f>IF($A86="","",ROUND($M86-$P86,2))</f>
        <v/>
      </c>
      <c r="R86" s="17">
        <f>IF($A86="","",ROUND($B86-$K86,2))</f>
        <v/>
      </c>
      <c r="S86" s="17">
        <f>IF($A86="","",IF($N86&lt;0,"ÇEKİL",IF($N86&lt;tyk_esikMarjDusuk,"ZAM","SAT")))</f>
        <v/>
      </c>
      <c r="T86" s="17">
        <f>IF($A86="","",$L86-$F86)</f>
        <v/>
      </c>
      <c r="U86" s="17">
        <f>IF($A86="","",$M86-$Q86)</f>
        <v/>
      </c>
      <c r="V86" s="17">
        <f>IF($A86="","",$R86-$M86)</f>
        <v/>
      </c>
    </row>
    <row r="87">
      <c r="A87" s="17">
        <f>IF('ANAHTAR'!$B87="","",'ANAHTAR'!$B87)</f>
        <v/>
      </c>
      <c r="B87" s="17">
        <f>IF($A87="","",IFERROR(SUMIF(tblAnahtarA[Norm],$A87,tblGirdi[ToplamSatis]),0))</f>
        <v/>
      </c>
      <c r="C87" s="17">
        <f>IF($A87="","",IFERROR(SUMIF(tblAnahtarA[Norm],$A87,tblGirdi[Maliyet])*IFERROR(SUMIF(tblAnahtarA[Norm],$A87,tblGirdi[Miktar]),1),0))</f>
        <v/>
      </c>
      <c r="D87" s="17">
        <f>IF($A87="","",IFERROR(SUMIF(tblAnahtarA[Norm],$A87,tblGirdi[Miktar]),0))</f>
        <v/>
      </c>
      <c r="E87" s="17">
        <f>IF($A87="","",IFERROR(SUMIF(tblAnahtarA[Norm],$A87,tblGirdi[KomisyonOran]),0))</f>
        <v/>
      </c>
      <c r="F87" s="17">
        <f>IF($A87="","",ROUND($B87*$E87,2))</f>
        <v/>
      </c>
      <c r="G87" s="17">
        <f>IF($A87="","",IFERROR(SUMIF(tblAnahtarB[NormB],$A87,tblHakedis[TyPlus]),0))</f>
        <v/>
      </c>
      <c r="H87" s="17">
        <f>IF($A87="","",IFERROR(SUMIF(tblAnahtarB[NormB],$A87,tblHakedis[FlasKesinti]),0))</f>
        <v/>
      </c>
      <c r="I87" s="17">
        <f>IF($A87="","",IFERROR(SUMIF(tblAnahtarB[NormB],$A87,tblHakedis[UrunReklam]),0))</f>
        <v/>
      </c>
      <c r="J87" s="17">
        <f>IF($A87="","",IFERROR(SUMIF(tblAnahtarB[NormB],$A87,tblHakedis[DesiKargo]),0))</f>
        <v/>
      </c>
      <c r="K87" s="17">
        <f>IF($A87="","",ROUND($F87+$G87+$H87+$I87+$J87,2))</f>
        <v/>
      </c>
      <c r="L87" s="17">
        <f>IF($A87="","",ROUND($B87-$C87,2))</f>
        <v/>
      </c>
      <c r="M87" s="17">
        <f>IF($A87="","",ROUND($B87-$C87-$K87,2))</f>
        <v/>
      </c>
      <c r="N87" s="17">
        <f>IF(OR($A87="",$B87=0),0,$M87/$B87)</f>
        <v/>
      </c>
      <c r="O87" s="17">
        <f>IF($A87="","",IF((1-$E87)&lt;=0,0,IF($D87=0,0,ROUND(($C87+$G87+$H87+$I87+$J87)/$D87/(1-$E87),2))))</f>
        <v/>
      </c>
      <c r="P87" s="17">
        <f>IF($A87="","",IFERROR(SUMIF(tblAnahtarA[Norm],$A87,tblGirdi[HedefNet]),0))</f>
        <v/>
      </c>
      <c r="Q87" s="17">
        <f>IF($A87="","",ROUND($M87-$P87,2))</f>
        <v/>
      </c>
      <c r="R87" s="17">
        <f>IF($A87="","",ROUND($B87-$K87,2))</f>
        <v/>
      </c>
      <c r="S87" s="17">
        <f>IF($A87="","",IF($N87&lt;0,"ÇEKİL",IF($N87&lt;tyk_esikMarjDusuk,"ZAM","SAT")))</f>
        <v/>
      </c>
      <c r="T87" s="17">
        <f>IF($A87="","",$L87-$F87)</f>
        <v/>
      </c>
      <c r="U87" s="17">
        <f>IF($A87="","",$M87-$Q87)</f>
        <v/>
      </c>
      <c r="V87" s="17">
        <f>IF($A87="","",$R87-$M87)</f>
        <v/>
      </c>
    </row>
    <row r="88">
      <c r="A88" s="17">
        <f>IF('ANAHTAR'!$B88="","",'ANAHTAR'!$B88)</f>
        <v/>
      </c>
      <c r="B88" s="17">
        <f>IF($A88="","",IFERROR(SUMIF(tblAnahtarA[Norm],$A88,tblGirdi[ToplamSatis]),0))</f>
        <v/>
      </c>
      <c r="C88" s="17">
        <f>IF($A88="","",IFERROR(SUMIF(tblAnahtarA[Norm],$A88,tblGirdi[Maliyet])*IFERROR(SUMIF(tblAnahtarA[Norm],$A88,tblGirdi[Miktar]),1),0))</f>
        <v/>
      </c>
      <c r="D88" s="17">
        <f>IF($A88="","",IFERROR(SUMIF(tblAnahtarA[Norm],$A88,tblGirdi[Miktar]),0))</f>
        <v/>
      </c>
      <c r="E88" s="17">
        <f>IF($A88="","",IFERROR(SUMIF(tblAnahtarA[Norm],$A88,tblGirdi[KomisyonOran]),0))</f>
        <v/>
      </c>
      <c r="F88" s="17">
        <f>IF($A88="","",ROUND($B88*$E88,2))</f>
        <v/>
      </c>
      <c r="G88" s="17">
        <f>IF($A88="","",IFERROR(SUMIF(tblAnahtarB[NormB],$A88,tblHakedis[TyPlus]),0))</f>
        <v/>
      </c>
      <c r="H88" s="17">
        <f>IF($A88="","",IFERROR(SUMIF(tblAnahtarB[NormB],$A88,tblHakedis[FlasKesinti]),0))</f>
        <v/>
      </c>
      <c r="I88" s="17">
        <f>IF($A88="","",IFERROR(SUMIF(tblAnahtarB[NormB],$A88,tblHakedis[UrunReklam]),0))</f>
        <v/>
      </c>
      <c r="J88" s="17">
        <f>IF($A88="","",IFERROR(SUMIF(tblAnahtarB[NormB],$A88,tblHakedis[DesiKargo]),0))</f>
        <v/>
      </c>
      <c r="K88" s="17">
        <f>IF($A88="","",ROUND($F88+$G88+$H88+$I88+$J88,2))</f>
        <v/>
      </c>
      <c r="L88" s="17">
        <f>IF($A88="","",ROUND($B88-$C88,2))</f>
        <v/>
      </c>
      <c r="M88" s="17">
        <f>IF($A88="","",ROUND($B88-$C88-$K88,2))</f>
        <v/>
      </c>
      <c r="N88" s="17">
        <f>IF(OR($A88="",$B88=0),0,$M88/$B88)</f>
        <v/>
      </c>
      <c r="O88" s="17">
        <f>IF($A88="","",IF((1-$E88)&lt;=0,0,IF($D88=0,0,ROUND(($C88+$G88+$H88+$I88+$J88)/$D88/(1-$E88),2))))</f>
        <v/>
      </c>
      <c r="P88" s="17">
        <f>IF($A88="","",IFERROR(SUMIF(tblAnahtarA[Norm],$A88,tblGirdi[HedefNet]),0))</f>
        <v/>
      </c>
      <c r="Q88" s="17">
        <f>IF($A88="","",ROUND($M88-$P88,2))</f>
        <v/>
      </c>
      <c r="R88" s="17">
        <f>IF($A88="","",ROUND($B88-$K88,2))</f>
        <v/>
      </c>
      <c r="S88" s="17">
        <f>IF($A88="","",IF($N88&lt;0,"ÇEKİL",IF($N88&lt;tyk_esikMarjDusuk,"ZAM","SAT")))</f>
        <v/>
      </c>
      <c r="T88" s="17">
        <f>IF($A88="","",$L88-$F88)</f>
        <v/>
      </c>
      <c r="U88" s="17">
        <f>IF($A88="","",$M88-$Q88)</f>
        <v/>
      </c>
      <c r="V88" s="17">
        <f>IF($A88="","",$R88-$M88)</f>
        <v/>
      </c>
    </row>
    <row r="89">
      <c r="A89" s="17">
        <f>IF('ANAHTAR'!$B89="","",'ANAHTAR'!$B89)</f>
        <v/>
      </c>
      <c r="B89" s="17">
        <f>IF($A89="","",IFERROR(SUMIF(tblAnahtarA[Norm],$A89,tblGirdi[ToplamSatis]),0))</f>
        <v/>
      </c>
      <c r="C89" s="17">
        <f>IF($A89="","",IFERROR(SUMIF(tblAnahtarA[Norm],$A89,tblGirdi[Maliyet])*IFERROR(SUMIF(tblAnahtarA[Norm],$A89,tblGirdi[Miktar]),1),0))</f>
        <v/>
      </c>
      <c r="D89" s="17">
        <f>IF($A89="","",IFERROR(SUMIF(tblAnahtarA[Norm],$A89,tblGirdi[Miktar]),0))</f>
        <v/>
      </c>
      <c r="E89" s="17">
        <f>IF($A89="","",IFERROR(SUMIF(tblAnahtarA[Norm],$A89,tblGirdi[KomisyonOran]),0))</f>
        <v/>
      </c>
      <c r="F89" s="17">
        <f>IF($A89="","",ROUND($B89*$E89,2))</f>
        <v/>
      </c>
      <c r="G89" s="17">
        <f>IF($A89="","",IFERROR(SUMIF(tblAnahtarB[NormB],$A89,tblHakedis[TyPlus]),0))</f>
        <v/>
      </c>
      <c r="H89" s="17">
        <f>IF($A89="","",IFERROR(SUMIF(tblAnahtarB[NormB],$A89,tblHakedis[FlasKesinti]),0))</f>
        <v/>
      </c>
      <c r="I89" s="17">
        <f>IF($A89="","",IFERROR(SUMIF(tblAnahtarB[NormB],$A89,tblHakedis[UrunReklam]),0))</f>
        <v/>
      </c>
      <c r="J89" s="17">
        <f>IF($A89="","",IFERROR(SUMIF(tblAnahtarB[NormB],$A89,tblHakedis[DesiKargo]),0))</f>
        <v/>
      </c>
      <c r="K89" s="17">
        <f>IF($A89="","",ROUND($F89+$G89+$H89+$I89+$J89,2))</f>
        <v/>
      </c>
      <c r="L89" s="17">
        <f>IF($A89="","",ROUND($B89-$C89,2))</f>
        <v/>
      </c>
      <c r="M89" s="17">
        <f>IF($A89="","",ROUND($B89-$C89-$K89,2))</f>
        <v/>
      </c>
      <c r="N89" s="17">
        <f>IF(OR($A89="",$B89=0),0,$M89/$B89)</f>
        <v/>
      </c>
      <c r="O89" s="17">
        <f>IF($A89="","",IF((1-$E89)&lt;=0,0,IF($D89=0,0,ROUND(($C89+$G89+$H89+$I89+$J89)/$D89/(1-$E89),2))))</f>
        <v/>
      </c>
      <c r="P89" s="17">
        <f>IF($A89="","",IFERROR(SUMIF(tblAnahtarA[Norm],$A89,tblGirdi[HedefNet]),0))</f>
        <v/>
      </c>
      <c r="Q89" s="17">
        <f>IF($A89="","",ROUND($M89-$P89,2))</f>
        <v/>
      </c>
      <c r="R89" s="17">
        <f>IF($A89="","",ROUND($B89-$K89,2))</f>
        <v/>
      </c>
      <c r="S89" s="17">
        <f>IF($A89="","",IF($N89&lt;0,"ÇEKİL",IF($N89&lt;tyk_esikMarjDusuk,"ZAM","SAT")))</f>
        <v/>
      </c>
      <c r="T89" s="17">
        <f>IF($A89="","",$L89-$F89)</f>
        <v/>
      </c>
      <c r="U89" s="17">
        <f>IF($A89="","",$M89-$Q89)</f>
        <v/>
      </c>
      <c r="V89" s="17">
        <f>IF($A89="","",$R89-$M89)</f>
        <v/>
      </c>
    </row>
    <row r="90">
      <c r="A90" s="17">
        <f>IF('ANAHTAR'!$B90="","",'ANAHTAR'!$B90)</f>
        <v/>
      </c>
      <c r="B90" s="17">
        <f>IF($A90="","",IFERROR(SUMIF(tblAnahtarA[Norm],$A90,tblGirdi[ToplamSatis]),0))</f>
        <v/>
      </c>
      <c r="C90" s="17">
        <f>IF($A90="","",IFERROR(SUMIF(tblAnahtarA[Norm],$A90,tblGirdi[Maliyet])*IFERROR(SUMIF(tblAnahtarA[Norm],$A90,tblGirdi[Miktar]),1),0))</f>
        <v/>
      </c>
      <c r="D90" s="17">
        <f>IF($A90="","",IFERROR(SUMIF(tblAnahtarA[Norm],$A90,tblGirdi[Miktar]),0))</f>
        <v/>
      </c>
      <c r="E90" s="17">
        <f>IF($A90="","",IFERROR(SUMIF(tblAnahtarA[Norm],$A90,tblGirdi[KomisyonOran]),0))</f>
        <v/>
      </c>
      <c r="F90" s="17">
        <f>IF($A90="","",ROUND($B90*$E90,2))</f>
        <v/>
      </c>
      <c r="G90" s="17">
        <f>IF($A90="","",IFERROR(SUMIF(tblAnahtarB[NormB],$A90,tblHakedis[TyPlus]),0))</f>
        <v/>
      </c>
      <c r="H90" s="17">
        <f>IF($A90="","",IFERROR(SUMIF(tblAnahtarB[NormB],$A90,tblHakedis[FlasKesinti]),0))</f>
        <v/>
      </c>
      <c r="I90" s="17">
        <f>IF($A90="","",IFERROR(SUMIF(tblAnahtarB[NormB],$A90,tblHakedis[UrunReklam]),0))</f>
        <v/>
      </c>
      <c r="J90" s="17">
        <f>IF($A90="","",IFERROR(SUMIF(tblAnahtarB[NormB],$A90,tblHakedis[DesiKargo]),0))</f>
        <v/>
      </c>
      <c r="K90" s="17">
        <f>IF($A90="","",ROUND($F90+$G90+$H90+$I90+$J90,2))</f>
        <v/>
      </c>
      <c r="L90" s="17">
        <f>IF($A90="","",ROUND($B90-$C90,2))</f>
        <v/>
      </c>
      <c r="M90" s="17">
        <f>IF($A90="","",ROUND($B90-$C90-$K90,2))</f>
        <v/>
      </c>
      <c r="N90" s="17">
        <f>IF(OR($A90="",$B90=0),0,$M90/$B90)</f>
        <v/>
      </c>
      <c r="O90" s="17">
        <f>IF($A90="","",IF((1-$E90)&lt;=0,0,IF($D90=0,0,ROUND(($C90+$G90+$H90+$I90+$J90)/$D90/(1-$E90),2))))</f>
        <v/>
      </c>
      <c r="P90" s="17">
        <f>IF($A90="","",IFERROR(SUMIF(tblAnahtarA[Norm],$A90,tblGirdi[HedefNet]),0))</f>
        <v/>
      </c>
      <c r="Q90" s="17">
        <f>IF($A90="","",ROUND($M90-$P90,2))</f>
        <v/>
      </c>
      <c r="R90" s="17">
        <f>IF($A90="","",ROUND($B90-$K90,2))</f>
        <v/>
      </c>
      <c r="S90" s="17">
        <f>IF($A90="","",IF($N90&lt;0,"ÇEKİL",IF($N90&lt;tyk_esikMarjDusuk,"ZAM","SAT")))</f>
        <v/>
      </c>
      <c r="T90" s="17">
        <f>IF($A90="","",$L90-$F90)</f>
        <v/>
      </c>
      <c r="U90" s="17">
        <f>IF($A90="","",$M90-$Q90)</f>
        <v/>
      </c>
      <c r="V90" s="17">
        <f>IF($A90="","",$R90-$M90)</f>
        <v/>
      </c>
    </row>
    <row r="91">
      <c r="A91" s="17">
        <f>IF('ANAHTAR'!$B91="","",'ANAHTAR'!$B91)</f>
        <v/>
      </c>
      <c r="B91" s="17">
        <f>IF($A91="","",IFERROR(SUMIF(tblAnahtarA[Norm],$A91,tblGirdi[ToplamSatis]),0))</f>
        <v/>
      </c>
      <c r="C91" s="17">
        <f>IF($A91="","",IFERROR(SUMIF(tblAnahtarA[Norm],$A91,tblGirdi[Maliyet])*IFERROR(SUMIF(tblAnahtarA[Norm],$A91,tblGirdi[Miktar]),1),0))</f>
        <v/>
      </c>
      <c r="D91" s="17">
        <f>IF($A91="","",IFERROR(SUMIF(tblAnahtarA[Norm],$A91,tblGirdi[Miktar]),0))</f>
        <v/>
      </c>
      <c r="E91" s="17">
        <f>IF($A91="","",IFERROR(SUMIF(tblAnahtarA[Norm],$A91,tblGirdi[KomisyonOran]),0))</f>
        <v/>
      </c>
      <c r="F91" s="17">
        <f>IF($A91="","",ROUND($B91*$E91,2))</f>
        <v/>
      </c>
      <c r="G91" s="17">
        <f>IF($A91="","",IFERROR(SUMIF(tblAnahtarB[NormB],$A91,tblHakedis[TyPlus]),0))</f>
        <v/>
      </c>
      <c r="H91" s="17">
        <f>IF($A91="","",IFERROR(SUMIF(tblAnahtarB[NormB],$A91,tblHakedis[FlasKesinti]),0))</f>
        <v/>
      </c>
      <c r="I91" s="17">
        <f>IF($A91="","",IFERROR(SUMIF(tblAnahtarB[NormB],$A91,tblHakedis[UrunReklam]),0))</f>
        <v/>
      </c>
      <c r="J91" s="17">
        <f>IF($A91="","",IFERROR(SUMIF(tblAnahtarB[NormB],$A91,tblHakedis[DesiKargo]),0))</f>
        <v/>
      </c>
      <c r="K91" s="17">
        <f>IF($A91="","",ROUND($F91+$G91+$H91+$I91+$J91,2))</f>
        <v/>
      </c>
      <c r="L91" s="17">
        <f>IF($A91="","",ROUND($B91-$C91,2))</f>
        <v/>
      </c>
      <c r="M91" s="17">
        <f>IF($A91="","",ROUND($B91-$C91-$K91,2))</f>
        <v/>
      </c>
      <c r="N91" s="17">
        <f>IF(OR($A91="",$B91=0),0,$M91/$B91)</f>
        <v/>
      </c>
      <c r="O91" s="17">
        <f>IF($A91="","",IF((1-$E91)&lt;=0,0,IF($D91=0,0,ROUND(($C91+$G91+$H91+$I91+$J91)/$D91/(1-$E91),2))))</f>
        <v/>
      </c>
      <c r="P91" s="17">
        <f>IF($A91="","",IFERROR(SUMIF(tblAnahtarA[Norm],$A91,tblGirdi[HedefNet]),0))</f>
        <v/>
      </c>
      <c r="Q91" s="17">
        <f>IF($A91="","",ROUND($M91-$P91,2))</f>
        <v/>
      </c>
      <c r="R91" s="17">
        <f>IF($A91="","",ROUND($B91-$K91,2))</f>
        <v/>
      </c>
      <c r="S91" s="17">
        <f>IF($A91="","",IF($N91&lt;0,"ÇEKİL",IF($N91&lt;tyk_esikMarjDusuk,"ZAM","SAT")))</f>
        <v/>
      </c>
      <c r="T91" s="17">
        <f>IF($A91="","",$L91-$F91)</f>
        <v/>
      </c>
      <c r="U91" s="17">
        <f>IF($A91="","",$M91-$Q91)</f>
        <v/>
      </c>
      <c r="V91" s="17">
        <f>IF($A91="","",$R91-$M91)</f>
        <v/>
      </c>
    </row>
    <row r="92">
      <c r="A92" s="17">
        <f>IF('ANAHTAR'!$B92="","",'ANAHTAR'!$B92)</f>
        <v/>
      </c>
      <c r="B92" s="17">
        <f>IF($A92="","",IFERROR(SUMIF(tblAnahtarA[Norm],$A92,tblGirdi[ToplamSatis]),0))</f>
        <v/>
      </c>
      <c r="C92" s="17">
        <f>IF($A92="","",IFERROR(SUMIF(tblAnahtarA[Norm],$A92,tblGirdi[Maliyet])*IFERROR(SUMIF(tblAnahtarA[Norm],$A92,tblGirdi[Miktar]),1),0))</f>
        <v/>
      </c>
      <c r="D92" s="17">
        <f>IF($A92="","",IFERROR(SUMIF(tblAnahtarA[Norm],$A92,tblGirdi[Miktar]),0))</f>
        <v/>
      </c>
      <c r="E92" s="17">
        <f>IF($A92="","",IFERROR(SUMIF(tblAnahtarA[Norm],$A92,tblGirdi[KomisyonOran]),0))</f>
        <v/>
      </c>
      <c r="F92" s="17">
        <f>IF($A92="","",ROUND($B92*$E92,2))</f>
        <v/>
      </c>
      <c r="G92" s="17">
        <f>IF($A92="","",IFERROR(SUMIF(tblAnahtarB[NormB],$A92,tblHakedis[TyPlus]),0))</f>
        <v/>
      </c>
      <c r="H92" s="17">
        <f>IF($A92="","",IFERROR(SUMIF(tblAnahtarB[NormB],$A92,tblHakedis[FlasKesinti]),0))</f>
        <v/>
      </c>
      <c r="I92" s="17">
        <f>IF($A92="","",IFERROR(SUMIF(tblAnahtarB[NormB],$A92,tblHakedis[UrunReklam]),0))</f>
        <v/>
      </c>
      <c r="J92" s="17">
        <f>IF($A92="","",IFERROR(SUMIF(tblAnahtarB[NormB],$A92,tblHakedis[DesiKargo]),0))</f>
        <v/>
      </c>
      <c r="K92" s="17">
        <f>IF($A92="","",ROUND($F92+$G92+$H92+$I92+$J92,2))</f>
        <v/>
      </c>
      <c r="L92" s="17">
        <f>IF($A92="","",ROUND($B92-$C92,2))</f>
        <v/>
      </c>
      <c r="M92" s="17">
        <f>IF($A92="","",ROUND($B92-$C92-$K92,2))</f>
        <v/>
      </c>
      <c r="N92" s="17">
        <f>IF(OR($A92="",$B92=0),0,$M92/$B92)</f>
        <v/>
      </c>
      <c r="O92" s="17">
        <f>IF($A92="","",IF((1-$E92)&lt;=0,0,IF($D92=0,0,ROUND(($C92+$G92+$H92+$I92+$J92)/$D92/(1-$E92),2))))</f>
        <v/>
      </c>
      <c r="P92" s="17">
        <f>IF($A92="","",IFERROR(SUMIF(tblAnahtarA[Norm],$A92,tblGirdi[HedefNet]),0))</f>
        <v/>
      </c>
      <c r="Q92" s="17">
        <f>IF($A92="","",ROUND($M92-$P92,2))</f>
        <v/>
      </c>
      <c r="R92" s="17">
        <f>IF($A92="","",ROUND($B92-$K92,2))</f>
        <v/>
      </c>
      <c r="S92" s="17">
        <f>IF($A92="","",IF($N92&lt;0,"ÇEKİL",IF($N92&lt;tyk_esikMarjDusuk,"ZAM","SAT")))</f>
        <v/>
      </c>
      <c r="T92" s="17">
        <f>IF($A92="","",$L92-$F92)</f>
        <v/>
      </c>
      <c r="U92" s="17">
        <f>IF($A92="","",$M92-$Q92)</f>
        <v/>
      </c>
      <c r="V92" s="17">
        <f>IF($A92="","",$R92-$M92)</f>
        <v/>
      </c>
    </row>
    <row r="93">
      <c r="A93" s="17">
        <f>IF('ANAHTAR'!$B93="","",'ANAHTAR'!$B93)</f>
        <v/>
      </c>
      <c r="B93" s="17">
        <f>IF($A93="","",IFERROR(SUMIF(tblAnahtarA[Norm],$A93,tblGirdi[ToplamSatis]),0))</f>
        <v/>
      </c>
      <c r="C93" s="17">
        <f>IF($A93="","",IFERROR(SUMIF(tblAnahtarA[Norm],$A93,tblGirdi[Maliyet])*IFERROR(SUMIF(tblAnahtarA[Norm],$A93,tblGirdi[Miktar]),1),0))</f>
        <v/>
      </c>
      <c r="D93" s="17">
        <f>IF($A93="","",IFERROR(SUMIF(tblAnahtarA[Norm],$A93,tblGirdi[Miktar]),0))</f>
        <v/>
      </c>
      <c r="E93" s="17">
        <f>IF($A93="","",IFERROR(SUMIF(tblAnahtarA[Norm],$A93,tblGirdi[KomisyonOran]),0))</f>
        <v/>
      </c>
      <c r="F93" s="17">
        <f>IF($A93="","",ROUND($B93*$E93,2))</f>
        <v/>
      </c>
      <c r="G93" s="17">
        <f>IF($A93="","",IFERROR(SUMIF(tblAnahtarB[NormB],$A93,tblHakedis[TyPlus]),0))</f>
        <v/>
      </c>
      <c r="H93" s="17">
        <f>IF($A93="","",IFERROR(SUMIF(tblAnahtarB[NormB],$A93,tblHakedis[FlasKesinti]),0))</f>
        <v/>
      </c>
      <c r="I93" s="17">
        <f>IF($A93="","",IFERROR(SUMIF(tblAnahtarB[NormB],$A93,tblHakedis[UrunReklam]),0))</f>
        <v/>
      </c>
      <c r="J93" s="17">
        <f>IF($A93="","",IFERROR(SUMIF(tblAnahtarB[NormB],$A93,tblHakedis[DesiKargo]),0))</f>
        <v/>
      </c>
      <c r="K93" s="17">
        <f>IF($A93="","",ROUND($F93+$G93+$H93+$I93+$J93,2))</f>
        <v/>
      </c>
      <c r="L93" s="17">
        <f>IF($A93="","",ROUND($B93-$C93,2))</f>
        <v/>
      </c>
      <c r="M93" s="17">
        <f>IF($A93="","",ROUND($B93-$C93-$K93,2))</f>
        <v/>
      </c>
      <c r="N93" s="17">
        <f>IF(OR($A93="",$B93=0),0,$M93/$B93)</f>
        <v/>
      </c>
      <c r="O93" s="17">
        <f>IF($A93="","",IF((1-$E93)&lt;=0,0,IF($D93=0,0,ROUND(($C93+$G93+$H93+$I93+$J93)/$D93/(1-$E93),2))))</f>
        <v/>
      </c>
      <c r="P93" s="17">
        <f>IF($A93="","",IFERROR(SUMIF(tblAnahtarA[Norm],$A93,tblGirdi[HedefNet]),0))</f>
        <v/>
      </c>
      <c r="Q93" s="17">
        <f>IF($A93="","",ROUND($M93-$P93,2))</f>
        <v/>
      </c>
      <c r="R93" s="17">
        <f>IF($A93="","",ROUND($B93-$K93,2))</f>
        <v/>
      </c>
      <c r="S93" s="17">
        <f>IF($A93="","",IF($N93&lt;0,"ÇEKİL",IF($N93&lt;tyk_esikMarjDusuk,"ZAM","SAT")))</f>
        <v/>
      </c>
      <c r="T93" s="17">
        <f>IF($A93="","",$L93-$F93)</f>
        <v/>
      </c>
      <c r="U93" s="17">
        <f>IF($A93="","",$M93-$Q93)</f>
        <v/>
      </c>
      <c r="V93" s="17">
        <f>IF($A93="","",$R93-$M93)</f>
        <v/>
      </c>
    </row>
    <row r="94">
      <c r="A94" s="17">
        <f>IF('ANAHTAR'!$B94="","",'ANAHTAR'!$B94)</f>
        <v/>
      </c>
      <c r="B94" s="17">
        <f>IF($A94="","",IFERROR(SUMIF(tblAnahtarA[Norm],$A94,tblGirdi[ToplamSatis]),0))</f>
        <v/>
      </c>
      <c r="C94" s="17">
        <f>IF($A94="","",IFERROR(SUMIF(tblAnahtarA[Norm],$A94,tblGirdi[Maliyet])*IFERROR(SUMIF(tblAnahtarA[Norm],$A94,tblGirdi[Miktar]),1),0))</f>
        <v/>
      </c>
      <c r="D94" s="17">
        <f>IF($A94="","",IFERROR(SUMIF(tblAnahtarA[Norm],$A94,tblGirdi[Miktar]),0))</f>
        <v/>
      </c>
      <c r="E94" s="17">
        <f>IF($A94="","",IFERROR(SUMIF(tblAnahtarA[Norm],$A94,tblGirdi[KomisyonOran]),0))</f>
        <v/>
      </c>
      <c r="F94" s="17">
        <f>IF($A94="","",ROUND($B94*$E94,2))</f>
        <v/>
      </c>
      <c r="G94" s="17">
        <f>IF($A94="","",IFERROR(SUMIF(tblAnahtarB[NormB],$A94,tblHakedis[TyPlus]),0))</f>
        <v/>
      </c>
      <c r="H94" s="17">
        <f>IF($A94="","",IFERROR(SUMIF(tblAnahtarB[NormB],$A94,tblHakedis[FlasKesinti]),0))</f>
        <v/>
      </c>
      <c r="I94" s="17">
        <f>IF($A94="","",IFERROR(SUMIF(tblAnahtarB[NormB],$A94,tblHakedis[UrunReklam]),0))</f>
        <v/>
      </c>
      <c r="J94" s="17">
        <f>IF($A94="","",IFERROR(SUMIF(tblAnahtarB[NormB],$A94,tblHakedis[DesiKargo]),0))</f>
        <v/>
      </c>
      <c r="K94" s="17">
        <f>IF($A94="","",ROUND($F94+$G94+$H94+$I94+$J94,2))</f>
        <v/>
      </c>
      <c r="L94" s="17">
        <f>IF($A94="","",ROUND($B94-$C94,2))</f>
        <v/>
      </c>
      <c r="M94" s="17">
        <f>IF($A94="","",ROUND($B94-$C94-$K94,2))</f>
        <v/>
      </c>
      <c r="N94" s="17">
        <f>IF(OR($A94="",$B94=0),0,$M94/$B94)</f>
        <v/>
      </c>
      <c r="O94" s="17">
        <f>IF($A94="","",IF((1-$E94)&lt;=0,0,IF($D94=0,0,ROUND(($C94+$G94+$H94+$I94+$J94)/$D94/(1-$E94),2))))</f>
        <v/>
      </c>
      <c r="P94" s="17">
        <f>IF($A94="","",IFERROR(SUMIF(tblAnahtarA[Norm],$A94,tblGirdi[HedefNet]),0))</f>
        <v/>
      </c>
      <c r="Q94" s="17">
        <f>IF($A94="","",ROUND($M94-$P94,2))</f>
        <v/>
      </c>
      <c r="R94" s="17">
        <f>IF($A94="","",ROUND($B94-$K94,2))</f>
        <v/>
      </c>
      <c r="S94" s="17">
        <f>IF($A94="","",IF($N94&lt;0,"ÇEKİL",IF($N94&lt;tyk_esikMarjDusuk,"ZAM","SAT")))</f>
        <v/>
      </c>
      <c r="T94" s="17">
        <f>IF($A94="","",$L94-$F94)</f>
        <v/>
      </c>
      <c r="U94" s="17">
        <f>IF($A94="","",$M94-$Q94)</f>
        <v/>
      </c>
      <c r="V94" s="17">
        <f>IF($A94="","",$R94-$M94)</f>
        <v/>
      </c>
    </row>
    <row r="95">
      <c r="A95" s="17">
        <f>IF('ANAHTAR'!$B95="","",'ANAHTAR'!$B95)</f>
        <v/>
      </c>
      <c r="B95" s="17">
        <f>IF($A95="","",IFERROR(SUMIF(tblAnahtarA[Norm],$A95,tblGirdi[ToplamSatis]),0))</f>
        <v/>
      </c>
      <c r="C95" s="17">
        <f>IF($A95="","",IFERROR(SUMIF(tblAnahtarA[Norm],$A95,tblGirdi[Maliyet])*IFERROR(SUMIF(tblAnahtarA[Norm],$A95,tblGirdi[Miktar]),1),0))</f>
        <v/>
      </c>
      <c r="D95" s="17">
        <f>IF($A95="","",IFERROR(SUMIF(tblAnahtarA[Norm],$A95,tblGirdi[Miktar]),0))</f>
        <v/>
      </c>
      <c r="E95" s="17">
        <f>IF($A95="","",IFERROR(SUMIF(tblAnahtarA[Norm],$A95,tblGirdi[KomisyonOran]),0))</f>
        <v/>
      </c>
      <c r="F95" s="17">
        <f>IF($A95="","",ROUND($B95*$E95,2))</f>
        <v/>
      </c>
      <c r="G95" s="17">
        <f>IF($A95="","",IFERROR(SUMIF(tblAnahtarB[NormB],$A95,tblHakedis[TyPlus]),0))</f>
        <v/>
      </c>
      <c r="H95" s="17">
        <f>IF($A95="","",IFERROR(SUMIF(tblAnahtarB[NormB],$A95,tblHakedis[FlasKesinti]),0))</f>
        <v/>
      </c>
      <c r="I95" s="17">
        <f>IF($A95="","",IFERROR(SUMIF(tblAnahtarB[NormB],$A95,tblHakedis[UrunReklam]),0))</f>
        <v/>
      </c>
      <c r="J95" s="17">
        <f>IF($A95="","",IFERROR(SUMIF(tblAnahtarB[NormB],$A95,tblHakedis[DesiKargo]),0))</f>
        <v/>
      </c>
      <c r="K95" s="17">
        <f>IF($A95="","",ROUND($F95+$G95+$H95+$I95+$J95,2))</f>
        <v/>
      </c>
      <c r="L95" s="17">
        <f>IF($A95="","",ROUND($B95-$C95,2))</f>
        <v/>
      </c>
      <c r="M95" s="17">
        <f>IF($A95="","",ROUND($B95-$C95-$K95,2))</f>
        <v/>
      </c>
      <c r="N95" s="17">
        <f>IF(OR($A95="",$B95=0),0,$M95/$B95)</f>
        <v/>
      </c>
      <c r="O95" s="17">
        <f>IF($A95="","",IF((1-$E95)&lt;=0,0,IF($D95=0,0,ROUND(($C95+$G95+$H95+$I95+$J95)/$D95/(1-$E95),2))))</f>
        <v/>
      </c>
      <c r="P95" s="17">
        <f>IF($A95="","",IFERROR(SUMIF(tblAnahtarA[Norm],$A95,tblGirdi[HedefNet]),0))</f>
        <v/>
      </c>
      <c r="Q95" s="17">
        <f>IF($A95="","",ROUND($M95-$P95,2))</f>
        <v/>
      </c>
      <c r="R95" s="17">
        <f>IF($A95="","",ROUND($B95-$K95,2))</f>
        <v/>
      </c>
      <c r="S95" s="17">
        <f>IF($A95="","",IF($N95&lt;0,"ÇEKİL",IF($N95&lt;tyk_esikMarjDusuk,"ZAM","SAT")))</f>
        <v/>
      </c>
      <c r="T95" s="17">
        <f>IF($A95="","",$L95-$F95)</f>
        <v/>
      </c>
      <c r="U95" s="17">
        <f>IF($A95="","",$M95-$Q95)</f>
        <v/>
      </c>
      <c r="V95" s="17">
        <f>IF($A95="","",$R95-$M95)</f>
        <v/>
      </c>
    </row>
    <row r="96">
      <c r="A96" s="17">
        <f>IF('ANAHTAR'!$B96="","",'ANAHTAR'!$B96)</f>
        <v/>
      </c>
      <c r="B96" s="17">
        <f>IF($A96="","",IFERROR(SUMIF(tblAnahtarA[Norm],$A96,tblGirdi[ToplamSatis]),0))</f>
        <v/>
      </c>
      <c r="C96" s="17">
        <f>IF($A96="","",IFERROR(SUMIF(tblAnahtarA[Norm],$A96,tblGirdi[Maliyet])*IFERROR(SUMIF(tblAnahtarA[Norm],$A96,tblGirdi[Miktar]),1),0))</f>
        <v/>
      </c>
      <c r="D96" s="17">
        <f>IF($A96="","",IFERROR(SUMIF(tblAnahtarA[Norm],$A96,tblGirdi[Miktar]),0))</f>
        <v/>
      </c>
      <c r="E96" s="17">
        <f>IF($A96="","",IFERROR(SUMIF(tblAnahtarA[Norm],$A96,tblGirdi[KomisyonOran]),0))</f>
        <v/>
      </c>
      <c r="F96" s="17">
        <f>IF($A96="","",ROUND($B96*$E96,2))</f>
        <v/>
      </c>
      <c r="G96" s="17">
        <f>IF($A96="","",IFERROR(SUMIF(tblAnahtarB[NormB],$A96,tblHakedis[TyPlus]),0))</f>
        <v/>
      </c>
      <c r="H96" s="17">
        <f>IF($A96="","",IFERROR(SUMIF(tblAnahtarB[NormB],$A96,tblHakedis[FlasKesinti]),0))</f>
        <v/>
      </c>
      <c r="I96" s="17">
        <f>IF($A96="","",IFERROR(SUMIF(tblAnahtarB[NormB],$A96,tblHakedis[UrunReklam]),0))</f>
        <v/>
      </c>
      <c r="J96" s="17">
        <f>IF($A96="","",IFERROR(SUMIF(tblAnahtarB[NormB],$A96,tblHakedis[DesiKargo]),0))</f>
        <v/>
      </c>
      <c r="K96" s="17">
        <f>IF($A96="","",ROUND($F96+$G96+$H96+$I96+$J96,2))</f>
        <v/>
      </c>
      <c r="L96" s="17">
        <f>IF($A96="","",ROUND($B96-$C96,2))</f>
        <v/>
      </c>
      <c r="M96" s="17">
        <f>IF($A96="","",ROUND($B96-$C96-$K96,2))</f>
        <v/>
      </c>
      <c r="N96" s="17">
        <f>IF(OR($A96="",$B96=0),0,$M96/$B96)</f>
        <v/>
      </c>
      <c r="O96" s="17">
        <f>IF($A96="","",IF((1-$E96)&lt;=0,0,IF($D96=0,0,ROUND(($C96+$G96+$H96+$I96+$J96)/$D96/(1-$E96),2))))</f>
        <v/>
      </c>
      <c r="P96" s="17">
        <f>IF($A96="","",IFERROR(SUMIF(tblAnahtarA[Norm],$A96,tblGirdi[HedefNet]),0))</f>
        <v/>
      </c>
      <c r="Q96" s="17">
        <f>IF($A96="","",ROUND($M96-$P96,2))</f>
        <v/>
      </c>
      <c r="R96" s="17">
        <f>IF($A96="","",ROUND($B96-$K96,2))</f>
        <v/>
      </c>
      <c r="S96" s="17">
        <f>IF($A96="","",IF($N96&lt;0,"ÇEKİL",IF($N96&lt;tyk_esikMarjDusuk,"ZAM","SAT")))</f>
        <v/>
      </c>
      <c r="T96" s="17">
        <f>IF($A96="","",$L96-$F96)</f>
        <v/>
      </c>
      <c r="U96" s="17">
        <f>IF($A96="","",$M96-$Q96)</f>
        <v/>
      </c>
      <c r="V96" s="17">
        <f>IF($A96="","",$R96-$M96)</f>
        <v/>
      </c>
    </row>
    <row r="97">
      <c r="A97" s="17">
        <f>IF('ANAHTAR'!$B97="","",'ANAHTAR'!$B97)</f>
        <v/>
      </c>
      <c r="B97" s="17">
        <f>IF($A97="","",IFERROR(SUMIF(tblAnahtarA[Norm],$A97,tblGirdi[ToplamSatis]),0))</f>
        <v/>
      </c>
      <c r="C97" s="17">
        <f>IF($A97="","",IFERROR(SUMIF(tblAnahtarA[Norm],$A97,tblGirdi[Maliyet])*IFERROR(SUMIF(tblAnahtarA[Norm],$A97,tblGirdi[Miktar]),1),0))</f>
        <v/>
      </c>
      <c r="D97" s="17">
        <f>IF($A97="","",IFERROR(SUMIF(tblAnahtarA[Norm],$A97,tblGirdi[Miktar]),0))</f>
        <v/>
      </c>
      <c r="E97" s="17">
        <f>IF($A97="","",IFERROR(SUMIF(tblAnahtarA[Norm],$A97,tblGirdi[KomisyonOran]),0))</f>
        <v/>
      </c>
      <c r="F97" s="17">
        <f>IF($A97="","",ROUND($B97*$E97,2))</f>
        <v/>
      </c>
      <c r="G97" s="17">
        <f>IF($A97="","",IFERROR(SUMIF(tblAnahtarB[NormB],$A97,tblHakedis[TyPlus]),0))</f>
        <v/>
      </c>
      <c r="H97" s="17">
        <f>IF($A97="","",IFERROR(SUMIF(tblAnahtarB[NormB],$A97,tblHakedis[FlasKesinti]),0))</f>
        <v/>
      </c>
      <c r="I97" s="17">
        <f>IF($A97="","",IFERROR(SUMIF(tblAnahtarB[NormB],$A97,tblHakedis[UrunReklam]),0))</f>
        <v/>
      </c>
      <c r="J97" s="17">
        <f>IF($A97="","",IFERROR(SUMIF(tblAnahtarB[NormB],$A97,tblHakedis[DesiKargo]),0))</f>
        <v/>
      </c>
      <c r="K97" s="17">
        <f>IF($A97="","",ROUND($F97+$G97+$H97+$I97+$J97,2))</f>
        <v/>
      </c>
      <c r="L97" s="17">
        <f>IF($A97="","",ROUND($B97-$C97,2))</f>
        <v/>
      </c>
      <c r="M97" s="17">
        <f>IF($A97="","",ROUND($B97-$C97-$K97,2))</f>
        <v/>
      </c>
      <c r="N97" s="17">
        <f>IF(OR($A97="",$B97=0),0,$M97/$B97)</f>
        <v/>
      </c>
      <c r="O97" s="17">
        <f>IF($A97="","",IF((1-$E97)&lt;=0,0,IF($D97=0,0,ROUND(($C97+$G97+$H97+$I97+$J97)/$D97/(1-$E97),2))))</f>
        <v/>
      </c>
      <c r="P97" s="17">
        <f>IF($A97="","",IFERROR(SUMIF(tblAnahtarA[Norm],$A97,tblGirdi[HedefNet]),0))</f>
        <v/>
      </c>
      <c r="Q97" s="17">
        <f>IF($A97="","",ROUND($M97-$P97,2))</f>
        <v/>
      </c>
      <c r="R97" s="17">
        <f>IF($A97="","",ROUND($B97-$K97,2))</f>
        <v/>
      </c>
      <c r="S97" s="17">
        <f>IF($A97="","",IF($N97&lt;0,"ÇEKİL",IF($N97&lt;tyk_esikMarjDusuk,"ZAM","SAT")))</f>
        <v/>
      </c>
      <c r="T97" s="17">
        <f>IF($A97="","",$L97-$F97)</f>
        <v/>
      </c>
      <c r="U97" s="17">
        <f>IF($A97="","",$M97-$Q97)</f>
        <v/>
      </c>
      <c r="V97" s="17">
        <f>IF($A97="","",$R97-$M97)</f>
        <v/>
      </c>
    </row>
    <row r="98">
      <c r="A98" s="17">
        <f>IF('ANAHTAR'!$B98="","",'ANAHTAR'!$B98)</f>
        <v/>
      </c>
      <c r="B98" s="17">
        <f>IF($A98="","",IFERROR(SUMIF(tblAnahtarA[Norm],$A98,tblGirdi[ToplamSatis]),0))</f>
        <v/>
      </c>
      <c r="C98" s="17">
        <f>IF($A98="","",IFERROR(SUMIF(tblAnahtarA[Norm],$A98,tblGirdi[Maliyet])*IFERROR(SUMIF(tblAnahtarA[Norm],$A98,tblGirdi[Miktar]),1),0))</f>
        <v/>
      </c>
      <c r="D98" s="17">
        <f>IF($A98="","",IFERROR(SUMIF(tblAnahtarA[Norm],$A98,tblGirdi[Miktar]),0))</f>
        <v/>
      </c>
      <c r="E98" s="17">
        <f>IF($A98="","",IFERROR(SUMIF(tblAnahtarA[Norm],$A98,tblGirdi[KomisyonOran]),0))</f>
        <v/>
      </c>
      <c r="F98" s="17">
        <f>IF($A98="","",ROUND($B98*$E98,2))</f>
        <v/>
      </c>
      <c r="G98" s="17">
        <f>IF($A98="","",IFERROR(SUMIF(tblAnahtarB[NormB],$A98,tblHakedis[TyPlus]),0))</f>
        <v/>
      </c>
      <c r="H98" s="17">
        <f>IF($A98="","",IFERROR(SUMIF(tblAnahtarB[NormB],$A98,tblHakedis[FlasKesinti]),0))</f>
        <v/>
      </c>
      <c r="I98" s="17">
        <f>IF($A98="","",IFERROR(SUMIF(tblAnahtarB[NormB],$A98,tblHakedis[UrunReklam]),0))</f>
        <v/>
      </c>
      <c r="J98" s="17">
        <f>IF($A98="","",IFERROR(SUMIF(tblAnahtarB[NormB],$A98,tblHakedis[DesiKargo]),0))</f>
        <v/>
      </c>
      <c r="K98" s="17">
        <f>IF($A98="","",ROUND($F98+$G98+$H98+$I98+$J98,2))</f>
        <v/>
      </c>
      <c r="L98" s="17">
        <f>IF($A98="","",ROUND($B98-$C98,2))</f>
        <v/>
      </c>
      <c r="M98" s="17">
        <f>IF($A98="","",ROUND($B98-$C98-$K98,2))</f>
        <v/>
      </c>
      <c r="N98" s="17">
        <f>IF(OR($A98="",$B98=0),0,$M98/$B98)</f>
        <v/>
      </c>
      <c r="O98" s="17">
        <f>IF($A98="","",IF((1-$E98)&lt;=0,0,IF($D98=0,0,ROUND(($C98+$G98+$H98+$I98+$J98)/$D98/(1-$E98),2))))</f>
        <v/>
      </c>
      <c r="P98" s="17">
        <f>IF($A98="","",IFERROR(SUMIF(tblAnahtarA[Norm],$A98,tblGirdi[HedefNet]),0))</f>
        <v/>
      </c>
      <c r="Q98" s="17">
        <f>IF($A98="","",ROUND($M98-$P98,2))</f>
        <v/>
      </c>
      <c r="R98" s="17">
        <f>IF($A98="","",ROUND($B98-$K98,2))</f>
        <v/>
      </c>
      <c r="S98" s="17">
        <f>IF($A98="","",IF($N98&lt;0,"ÇEKİL",IF($N98&lt;tyk_esikMarjDusuk,"ZAM","SAT")))</f>
        <v/>
      </c>
      <c r="T98" s="17">
        <f>IF($A98="","",$L98-$F98)</f>
        <v/>
      </c>
      <c r="U98" s="17">
        <f>IF($A98="","",$M98-$Q98)</f>
        <v/>
      </c>
      <c r="V98" s="17">
        <f>IF($A98="","",$R98-$M98)</f>
        <v/>
      </c>
    </row>
    <row r="99">
      <c r="A99" s="17">
        <f>IF('ANAHTAR'!$B99="","",'ANAHTAR'!$B99)</f>
        <v/>
      </c>
      <c r="B99" s="17">
        <f>IF($A99="","",IFERROR(SUMIF(tblAnahtarA[Norm],$A99,tblGirdi[ToplamSatis]),0))</f>
        <v/>
      </c>
      <c r="C99" s="17">
        <f>IF($A99="","",IFERROR(SUMIF(tblAnahtarA[Norm],$A99,tblGirdi[Maliyet])*IFERROR(SUMIF(tblAnahtarA[Norm],$A99,tblGirdi[Miktar]),1),0))</f>
        <v/>
      </c>
      <c r="D99" s="17">
        <f>IF($A99="","",IFERROR(SUMIF(tblAnahtarA[Norm],$A99,tblGirdi[Miktar]),0))</f>
        <v/>
      </c>
      <c r="E99" s="17">
        <f>IF($A99="","",IFERROR(SUMIF(tblAnahtarA[Norm],$A99,tblGirdi[KomisyonOran]),0))</f>
        <v/>
      </c>
      <c r="F99" s="17">
        <f>IF($A99="","",ROUND($B99*$E99,2))</f>
        <v/>
      </c>
      <c r="G99" s="17">
        <f>IF($A99="","",IFERROR(SUMIF(tblAnahtarB[NormB],$A99,tblHakedis[TyPlus]),0))</f>
        <v/>
      </c>
      <c r="H99" s="17">
        <f>IF($A99="","",IFERROR(SUMIF(tblAnahtarB[NormB],$A99,tblHakedis[FlasKesinti]),0))</f>
        <v/>
      </c>
      <c r="I99" s="17">
        <f>IF($A99="","",IFERROR(SUMIF(tblAnahtarB[NormB],$A99,tblHakedis[UrunReklam]),0))</f>
        <v/>
      </c>
      <c r="J99" s="17">
        <f>IF($A99="","",IFERROR(SUMIF(tblAnahtarB[NormB],$A99,tblHakedis[DesiKargo]),0))</f>
        <v/>
      </c>
      <c r="K99" s="17">
        <f>IF($A99="","",ROUND($F99+$G99+$H99+$I99+$J99,2))</f>
        <v/>
      </c>
      <c r="L99" s="17">
        <f>IF($A99="","",ROUND($B99-$C99,2))</f>
        <v/>
      </c>
      <c r="M99" s="17">
        <f>IF($A99="","",ROUND($B99-$C99-$K99,2))</f>
        <v/>
      </c>
      <c r="N99" s="17">
        <f>IF(OR($A99="",$B99=0),0,$M99/$B99)</f>
        <v/>
      </c>
      <c r="O99" s="17">
        <f>IF($A99="","",IF((1-$E99)&lt;=0,0,IF($D99=0,0,ROUND(($C99+$G99+$H99+$I99+$J99)/$D99/(1-$E99),2))))</f>
        <v/>
      </c>
      <c r="P99" s="17">
        <f>IF($A99="","",IFERROR(SUMIF(tblAnahtarA[Norm],$A99,tblGirdi[HedefNet]),0))</f>
        <v/>
      </c>
      <c r="Q99" s="17">
        <f>IF($A99="","",ROUND($M99-$P99,2))</f>
        <v/>
      </c>
      <c r="R99" s="17">
        <f>IF($A99="","",ROUND($B99-$K99,2))</f>
        <v/>
      </c>
      <c r="S99" s="17">
        <f>IF($A99="","",IF($N99&lt;0,"ÇEKİL",IF($N99&lt;tyk_esikMarjDusuk,"ZAM","SAT")))</f>
        <v/>
      </c>
      <c r="T99" s="17">
        <f>IF($A99="","",$L99-$F99)</f>
        <v/>
      </c>
      <c r="U99" s="17">
        <f>IF($A99="","",$M99-$Q99)</f>
        <v/>
      </c>
      <c r="V99" s="17">
        <f>IF($A99="","",$R99-$M99)</f>
        <v/>
      </c>
    </row>
    <row r="100">
      <c r="A100" s="17">
        <f>IF('ANAHTAR'!$B100="","",'ANAHTAR'!$B100)</f>
        <v/>
      </c>
      <c r="B100" s="17">
        <f>IF($A100="","",IFERROR(SUMIF(tblAnahtarA[Norm],$A100,tblGirdi[ToplamSatis]),0))</f>
        <v/>
      </c>
      <c r="C100" s="17">
        <f>IF($A100="","",IFERROR(SUMIF(tblAnahtarA[Norm],$A100,tblGirdi[Maliyet])*IFERROR(SUMIF(tblAnahtarA[Norm],$A100,tblGirdi[Miktar]),1),0))</f>
        <v/>
      </c>
      <c r="D100" s="17">
        <f>IF($A100="","",IFERROR(SUMIF(tblAnahtarA[Norm],$A100,tblGirdi[Miktar]),0))</f>
        <v/>
      </c>
      <c r="E100" s="17">
        <f>IF($A100="","",IFERROR(SUMIF(tblAnahtarA[Norm],$A100,tblGirdi[KomisyonOran]),0))</f>
        <v/>
      </c>
      <c r="F100" s="17">
        <f>IF($A100="","",ROUND($B100*$E100,2))</f>
        <v/>
      </c>
      <c r="G100" s="17">
        <f>IF($A100="","",IFERROR(SUMIF(tblAnahtarB[NormB],$A100,tblHakedis[TyPlus]),0))</f>
        <v/>
      </c>
      <c r="H100" s="17">
        <f>IF($A100="","",IFERROR(SUMIF(tblAnahtarB[NormB],$A100,tblHakedis[FlasKesinti]),0))</f>
        <v/>
      </c>
      <c r="I100" s="17">
        <f>IF($A100="","",IFERROR(SUMIF(tblAnahtarB[NormB],$A100,tblHakedis[UrunReklam]),0))</f>
        <v/>
      </c>
      <c r="J100" s="17">
        <f>IF($A100="","",IFERROR(SUMIF(tblAnahtarB[NormB],$A100,tblHakedis[DesiKargo]),0))</f>
        <v/>
      </c>
      <c r="K100" s="17">
        <f>IF($A100="","",ROUND($F100+$G100+$H100+$I100+$J100,2))</f>
        <v/>
      </c>
      <c r="L100" s="17">
        <f>IF($A100="","",ROUND($B100-$C100,2))</f>
        <v/>
      </c>
      <c r="M100" s="17">
        <f>IF($A100="","",ROUND($B100-$C100-$K100,2))</f>
        <v/>
      </c>
      <c r="N100" s="17">
        <f>IF(OR($A100="",$B100=0),0,$M100/$B100)</f>
        <v/>
      </c>
      <c r="O100" s="17">
        <f>IF($A100="","",IF((1-$E100)&lt;=0,0,IF($D100=0,0,ROUND(($C100+$G100+$H100+$I100+$J100)/$D100/(1-$E100),2))))</f>
        <v/>
      </c>
      <c r="P100" s="17">
        <f>IF($A100="","",IFERROR(SUMIF(tblAnahtarA[Norm],$A100,tblGirdi[HedefNet]),0))</f>
        <v/>
      </c>
      <c r="Q100" s="17">
        <f>IF($A100="","",ROUND($M100-$P100,2))</f>
        <v/>
      </c>
      <c r="R100" s="17">
        <f>IF($A100="","",ROUND($B100-$K100,2))</f>
        <v/>
      </c>
      <c r="S100" s="17">
        <f>IF($A100="","",IF($N100&lt;0,"ÇEKİL",IF($N100&lt;tyk_esikMarjDusuk,"ZAM","SAT")))</f>
        <v/>
      </c>
      <c r="T100" s="17">
        <f>IF($A100="","",$L100-$F100)</f>
        <v/>
      </c>
      <c r="U100" s="17">
        <f>IF($A100="","",$M100-$Q100)</f>
        <v/>
      </c>
      <c r="V100" s="17">
        <f>IF($A100="","",$R100-$M100)</f>
        <v/>
      </c>
    </row>
    <row r="101">
      <c r="A101" s="17">
        <f>IF('ANAHTAR'!$B101="","",'ANAHTAR'!$B101)</f>
        <v/>
      </c>
      <c r="B101" s="17">
        <f>IF($A101="","",IFERROR(SUMIF(tblAnahtarA[Norm],$A101,tblGirdi[ToplamSatis]),0))</f>
        <v/>
      </c>
      <c r="C101" s="17">
        <f>IF($A101="","",IFERROR(SUMIF(tblAnahtarA[Norm],$A101,tblGirdi[Maliyet])*IFERROR(SUMIF(tblAnahtarA[Norm],$A101,tblGirdi[Miktar]),1),0))</f>
        <v/>
      </c>
      <c r="D101" s="17">
        <f>IF($A101="","",IFERROR(SUMIF(tblAnahtarA[Norm],$A101,tblGirdi[Miktar]),0))</f>
        <v/>
      </c>
      <c r="E101" s="17">
        <f>IF($A101="","",IFERROR(SUMIF(tblAnahtarA[Norm],$A101,tblGirdi[KomisyonOran]),0))</f>
        <v/>
      </c>
      <c r="F101" s="17">
        <f>IF($A101="","",ROUND($B101*$E101,2))</f>
        <v/>
      </c>
      <c r="G101" s="17">
        <f>IF($A101="","",IFERROR(SUMIF(tblAnahtarB[NormB],$A101,tblHakedis[TyPlus]),0))</f>
        <v/>
      </c>
      <c r="H101" s="17">
        <f>IF($A101="","",IFERROR(SUMIF(tblAnahtarB[NormB],$A101,tblHakedis[FlasKesinti]),0))</f>
        <v/>
      </c>
      <c r="I101" s="17">
        <f>IF($A101="","",IFERROR(SUMIF(tblAnahtarB[NormB],$A101,tblHakedis[UrunReklam]),0))</f>
        <v/>
      </c>
      <c r="J101" s="17">
        <f>IF($A101="","",IFERROR(SUMIF(tblAnahtarB[NormB],$A101,tblHakedis[DesiKargo]),0))</f>
        <v/>
      </c>
      <c r="K101" s="17">
        <f>IF($A101="","",ROUND($F101+$G101+$H101+$I101+$J101,2))</f>
        <v/>
      </c>
      <c r="L101" s="17">
        <f>IF($A101="","",ROUND($B101-$C101,2))</f>
        <v/>
      </c>
      <c r="M101" s="17">
        <f>IF($A101="","",ROUND($B101-$C101-$K101,2))</f>
        <v/>
      </c>
      <c r="N101" s="17">
        <f>IF(OR($A101="",$B101=0),0,$M101/$B101)</f>
        <v/>
      </c>
      <c r="O101" s="17">
        <f>IF($A101="","",IF((1-$E101)&lt;=0,0,IF($D101=0,0,ROUND(($C101+$G101+$H101+$I101+$J101)/$D101/(1-$E101),2))))</f>
        <v/>
      </c>
      <c r="P101" s="17">
        <f>IF($A101="","",IFERROR(SUMIF(tblAnahtarA[Norm],$A101,tblGirdi[HedefNet]),0))</f>
        <v/>
      </c>
      <c r="Q101" s="17">
        <f>IF($A101="","",ROUND($M101-$P101,2))</f>
        <v/>
      </c>
      <c r="R101" s="17">
        <f>IF($A101="","",ROUND($B101-$K101,2))</f>
        <v/>
      </c>
      <c r="S101" s="17">
        <f>IF($A101="","",IF($N101&lt;0,"ÇEKİL",IF($N101&lt;tyk_esikMarjDusuk,"ZAM","SAT")))</f>
        <v/>
      </c>
      <c r="T101" s="17">
        <f>IF($A101="","",$L101-$F101)</f>
        <v/>
      </c>
      <c r="U101" s="17">
        <f>IF($A101="","",$M101-$Q101)</f>
        <v/>
      </c>
      <c r="V101" s="17">
        <f>IF($A101="","",$R101-$M101)</f>
        <v/>
      </c>
    </row>
    <row r="102">
      <c r="A102" s="17">
        <f>IF('ANAHTAR'!$B102="","",'ANAHTAR'!$B102)</f>
        <v/>
      </c>
      <c r="B102" s="17">
        <f>IF($A102="","",IFERROR(SUMIF(tblAnahtarA[Norm],$A102,tblGirdi[ToplamSatis]),0))</f>
        <v/>
      </c>
      <c r="C102" s="17">
        <f>IF($A102="","",IFERROR(SUMIF(tblAnahtarA[Norm],$A102,tblGirdi[Maliyet])*IFERROR(SUMIF(tblAnahtarA[Norm],$A102,tblGirdi[Miktar]),1),0))</f>
        <v/>
      </c>
      <c r="D102" s="17">
        <f>IF($A102="","",IFERROR(SUMIF(tblAnahtarA[Norm],$A102,tblGirdi[Miktar]),0))</f>
        <v/>
      </c>
      <c r="E102" s="17">
        <f>IF($A102="","",IFERROR(SUMIF(tblAnahtarA[Norm],$A102,tblGirdi[KomisyonOran]),0))</f>
        <v/>
      </c>
      <c r="F102" s="17">
        <f>IF($A102="","",ROUND($B102*$E102,2))</f>
        <v/>
      </c>
      <c r="G102" s="17">
        <f>IF($A102="","",IFERROR(SUMIF(tblAnahtarB[NormB],$A102,tblHakedis[TyPlus]),0))</f>
        <v/>
      </c>
      <c r="H102" s="17">
        <f>IF($A102="","",IFERROR(SUMIF(tblAnahtarB[NormB],$A102,tblHakedis[FlasKesinti]),0))</f>
        <v/>
      </c>
      <c r="I102" s="17">
        <f>IF($A102="","",IFERROR(SUMIF(tblAnahtarB[NormB],$A102,tblHakedis[UrunReklam]),0))</f>
        <v/>
      </c>
      <c r="J102" s="17">
        <f>IF($A102="","",IFERROR(SUMIF(tblAnahtarB[NormB],$A102,tblHakedis[DesiKargo]),0))</f>
        <v/>
      </c>
      <c r="K102" s="17">
        <f>IF($A102="","",ROUND($F102+$G102+$H102+$I102+$J102,2))</f>
        <v/>
      </c>
      <c r="L102" s="17">
        <f>IF($A102="","",ROUND($B102-$C102,2))</f>
        <v/>
      </c>
      <c r="M102" s="17">
        <f>IF($A102="","",ROUND($B102-$C102-$K102,2))</f>
        <v/>
      </c>
      <c r="N102" s="17">
        <f>IF(OR($A102="",$B102=0),0,$M102/$B102)</f>
        <v/>
      </c>
      <c r="O102" s="17">
        <f>IF($A102="","",IF((1-$E102)&lt;=0,0,IF($D102=0,0,ROUND(($C102+$G102+$H102+$I102+$J102)/$D102/(1-$E102),2))))</f>
        <v/>
      </c>
      <c r="P102" s="17">
        <f>IF($A102="","",IFERROR(SUMIF(tblAnahtarA[Norm],$A102,tblGirdi[HedefNet]),0))</f>
        <v/>
      </c>
      <c r="Q102" s="17">
        <f>IF($A102="","",ROUND($M102-$P102,2))</f>
        <v/>
      </c>
      <c r="R102" s="17">
        <f>IF($A102="","",ROUND($B102-$K102,2))</f>
        <v/>
      </c>
      <c r="S102" s="17">
        <f>IF($A102="","",IF($N102&lt;0,"ÇEKİL",IF($N102&lt;tyk_esikMarjDusuk,"ZAM","SAT")))</f>
        <v/>
      </c>
      <c r="T102" s="17">
        <f>IF($A102="","",$L102-$F102)</f>
        <v/>
      </c>
      <c r="U102" s="17">
        <f>IF($A102="","",$M102-$Q102)</f>
        <v/>
      </c>
      <c r="V102" s="17">
        <f>IF($A102="","",$R102-$M102)</f>
        <v/>
      </c>
    </row>
    <row r="103">
      <c r="A103" s="17">
        <f>IF('ANAHTAR'!$B103="","",'ANAHTAR'!$B103)</f>
        <v/>
      </c>
      <c r="B103" s="17">
        <f>IF($A103="","",IFERROR(SUMIF(tblAnahtarA[Norm],$A103,tblGirdi[ToplamSatis]),0))</f>
        <v/>
      </c>
      <c r="C103" s="17">
        <f>IF($A103="","",IFERROR(SUMIF(tblAnahtarA[Norm],$A103,tblGirdi[Maliyet])*IFERROR(SUMIF(tblAnahtarA[Norm],$A103,tblGirdi[Miktar]),1),0))</f>
        <v/>
      </c>
      <c r="D103" s="17">
        <f>IF($A103="","",IFERROR(SUMIF(tblAnahtarA[Norm],$A103,tblGirdi[Miktar]),0))</f>
        <v/>
      </c>
      <c r="E103" s="17">
        <f>IF($A103="","",IFERROR(SUMIF(tblAnahtarA[Norm],$A103,tblGirdi[KomisyonOran]),0))</f>
        <v/>
      </c>
      <c r="F103" s="17">
        <f>IF($A103="","",ROUND($B103*$E103,2))</f>
        <v/>
      </c>
      <c r="G103" s="17">
        <f>IF($A103="","",IFERROR(SUMIF(tblAnahtarB[NormB],$A103,tblHakedis[TyPlus]),0))</f>
        <v/>
      </c>
      <c r="H103" s="17">
        <f>IF($A103="","",IFERROR(SUMIF(tblAnahtarB[NormB],$A103,tblHakedis[FlasKesinti]),0))</f>
        <v/>
      </c>
      <c r="I103" s="17">
        <f>IF($A103="","",IFERROR(SUMIF(tblAnahtarB[NormB],$A103,tblHakedis[UrunReklam]),0))</f>
        <v/>
      </c>
      <c r="J103" s="17">
        <f>IF($A103="","",IFERROR(SUMIF(tblAnahtarB[NormB],$A103,tblHakedis[DesiKargo]),0))</f>
        <v/>
      </c>
      <c r="K103" s="17">
        <f>IF($A103="","",ROUND($F103+$G103+$H103+$I103+$J103,2))</f>
        <v/>
      </c>
      <c r="L103" s="17">
        <f>IF($A103="","",ROUND($B103-$C103,2))</f>
        <v/>
      </c>
      <c r="M103" s="17">
        <f>IF($A103="","",ROUND($B103-$C103-$K103,2))</f>
        <v/>
      </c>
      <c r="N103" s="17">
        <f>IF(OR($A103="",$B103=0),0,$M103/$B103)</f>
        <v/>
      </c>
      <c r="O103" s="17">
        <f>IF($A103="","",IF((1-$E103)&lt;=0,0,IF($D103=0,0,ROUND(($C103+$G103+$H103+$I103+$J103)/$D103/(1-$E103),2))))</f>
        <v/>
      </c>
      <c r="P103" s="17">
        <f>IF($A103="","",IFERROR(SUMIF(tblAnahtarA[Norm],$A103,tblGirdi[HedefNet]),0))</f>
        <v/>
      </c>
      <c r="Q103" s="17">
        <f>IF($A103="","",ROUND($M103-$P103,2))</f>
        <v/>
      </c>
      <c r="R103" s="17">
        <f>IF($A103="","",ROUND($B103-$K103,2))</f>
        <v/>
      </c>
      <c r="S103" s="17">
        <f>IF($A103="","",IF($N103&lt;0,"ÇEKİL",IF($N103&lt;tyk_esikMarjDusuk,"ZAM","SAT")))</f>
        <v/>
      </c>
      <c r="T103" s="17">
        <f>IF($A103="","",$L103-$F103)</f>
        <v/>
      </c>
      <c r="U103" s="17">
        <f>IF($A103="","",$M103-$Q103)</f>
        <v/>
      </c>
      <c r="V103" s="17">
        <f>IF($A103="","",$R103-$M103)</f>
        <v/>
      </c>
    </row>
    <row r="104">
      <c r="A104" s="17">
        <f>IF('ANAHTAR'!$B104="","",'ANAHTAR'!$B104)</f>
        <v/>
      </c>
      <c r="B104" s="17">
        <f>IF($A104="","",IFERROR(SUMIF(tblAnahtarA[Norm],$A104,tblGirdi[ToplamSatis]),0))</f>
        <v/>
      </c>
      <c r="C104" s="17">
        <f>IF($A104="","",IFERROR(SUMIF(tblAnahtarA[Norm],$A104,tblGirdi[Maliyet])*IFERROR(SUMIF(tblAnahtarA[Norm],$A104,tblGirdi[Miktar]),1),0))</f>
        <v/>
      </c>
      <c r="D104" s="17">
        <f>IF($A104="","",IFERROR(SUMIF(tblAnahtarA[Norm],$A104,tblGirdi[Miktar]),0))</f>
        <v/>
      </c>
      <c r="E104" s="17">
        <f>IF($A104="","",IFERROR(SUMIF(tblAnahtarA[Norm],$A104,tblGirdi[KomisyonOran]),0))</f>
        <v/>
      </c>
      <c r="F104" s="17">
        <f>IF($A104="","",ROUND($B104*$E104,2))</f>
        <v/>
      </c>
      <c r="G104" s="17">
        <f>IF($A104="","",IFERROR(SUMIF(tblAnahtarB[NormB],$A104,tblHakedis[TyPlus]),0))</f>
        <v/>
      </c>
      <c r="H104" s="17">
        <f>IF($A104="","",IFERROR(SUMIF(tblAnahtarB[NormB],$A104,tblHakedis[FlasKesinti]),0))</f>
        <v/>
      </c>
      <c r="I104" s="17">
        <f>IF($A104="","",IFERROR(SUMIF(tblAnahtarB[NormB],$A104,tblHakedis[UrunReklam]),0))</f>
        <v/>
      </c>
      <c r="J104" s="17">
        <f>IF($A104="","",IFERROR(SUMIF(tblAnahtarB[NormB],$A104,tblHakedis[DesiKargo]),0))</f>
        <v/>
      </c>
      <c r="K104" s="17">
        <f>IF($A104="","",ROUND($F104+$G104+$H104+$I104+$J104,2))</f>
        <v/>
      </c>
      <c r="L104" s="17">
        <f>IF($A104="","",ROUND($B104-$C104,2))</f>
        <v/>
      </c>
      <c r="M104" s="17">
        <f>IF($A104="","",ROUND($B104-$C104-$K104,2))</f>
        <v/>
      </c>
      <c r="N104" s="17">
        <f>IF(OR($A104="",$B104=0),0,$M104/$B104)</f>
        <v/>
      </c>
      <c r="O104" s="17">
        <f>IF($A104="","",IF((1-$E104)&lt;=0,0,IF($D104=0,0,ROUND(($C104+$G104+$H104+$I104+$J104)/$D104/(1-$E104),2))))</f>
        <v/>
      </c>
      <c r="P104" s="17">
        <f>IF($A104="","",IFERROR(SUMIF(tblAnahtarA[Norm],$A104,tblGirdi[HedefNet]),0))</f>
        <v/>
      </c>
      <c r="Q104" s="17">
        <f>IF($A104="","",ROUND($M104-$P104,2))</f>
        <v/>
      </c>
      <c r="R104" s="17">
        <f>IF($A104="","",ROUND($B104-$K104,2))</f>
        <v/>
      </c>
      <c r="S104" s="17">
        <f>IF($A104="","",IF($N104&lt;0,"ÇEKİL",IF($N104&lt;tyk_esikMarjDusuk,"ZAM","SAT")))</f>
        <v/>
      </c>
      <c r="T104" s="17">
        <f>IF($A104="","",$L104-$F104)</f>
        <v/>
      </c>
      <c r="U104" s="17">
        <f>IF($A104="","",$M104-$Q104)</f>
        <v/>
      </c>
      <c r="V104" s="17">
        <f>IF($A104="","",$R104-$M104)</f>
        <v/>
      </c>
    </row>
    <row r="105">
      <c r="A105" s="17">
        <f>IF('ANAHTAR'!$B105="","",'ANAHTAR'!$B105)</f>
        <v/>
      </c>
      <c r="B105" s="17">
        <f>IF($A105="","",IFERROR(SUMIF(tblAnahtarA[Norm],$A105,tblGirdi[ToplamSatis]),0))</f>
        <v/>
      </c>
      <c r="C105" s="17">
        <f>IF($A105="","",IFERROR(SUMIF(tblAnahtarA[Norm],$A105,tblGirdi[Maliyet])*IFERROR(SUMIF(tblAnahtarA[Norm],$A105,tblGirdi[Miktar]),1),0))</f>
        <v/>
      </c>
      <c r="D105" s="17">
        <f>IF($A105="","",IFERROR(SUMIF(tblAnahtarA[Norm],$A105,tblGirdi[Miktar]),0))</f>
        <v/>
      </c>
      <c r="E105" s="17">
        <f>IF($A105="","",IFERROR(SUMIF(tblAnahtarA[Norm],$A105,tblGirdi[KomisyonOran]),0))</f>
        <v/>
      </c>
      <c r="F105" s="17">
        <f>IF($A105="","",ROUND($B105*$E105,2))</f>
        <v/>
      </c>
      <c r="G105" s="17">
        <f>IF($A105="","",IFERROR(SUMIF(tblAnahtarB[NormB],$A105,tblHakedis[TyPlus]),0))</f>
        <v/>
      </c>
      <c r="H105" s="17">
        <f>IF($A105="","",IFERROR(SUMIF(tblAnahtarB[NormB],$A105,tblHakedis[FlasKesinti]),0))</f>
        <v/>
      </c>
      <c r="I105" s="17">
        <f>IF($A105="","",IFERROR(SUMIF(tblAnahtarB[NormB],$A105,tblHakedis[UrunReklam]),0))</f>
        <v/>
      </c>
      <c r="J105" s="17">
        <f>IF($A105="","",IFERROR(SUMIF(tblAnahtarB[NormB],$A105,tblHakedis[DesiKargo]),0))</f>
        <v/>
      </c>
      <c r="K105" s="17">
        <f>IF($A105="","",ROUND($F105+$G105+$H105+$I105+$J105,2))</f>
        <v/>
      </c>
      <c r="L105" s="17">
        <f>IF($A105="","",ROUND($B105-$C105,2))</f>
        <v/>
      </c>
      <c r="M105" s="17">
        <f>IF($A105="","",ROUND($B105-$C105-$K105,2))</f>
        <v/>
      </c>
      <c r="N105" s="17">
        <f>IF(OR($A105="",$B105=0),0,$M105/$B105)</f>
        <v/>
      </c>
      <c r="O105" s="17">
        <f>IF($A105="","",IF((1-$E105)&lt;=0,0,IF($D105=0,0,ROUND(($C105+$G105+$H105+$I105+$J105)/$D105/(1-$E105),2))))</f>
        <v/>
      </c>
      <c r="P105" s="17">
        <f>IF($A105="","",IFERROR(SUMIF(tblAnahtarA[Norm],$A105,tblGirdi[HedefNet]),0))</f>
        <v/>
      </c>
      <c r="Q105" s="17">
        <f>IF($A105="","",ROUND($M105-$P105,2))</f>
        <v/>
      </c>
      <c r="R105" s="17">
        <f>IF($A105="","",ROUND($B105-$K105,2))</f>
        <v/>
      </c>
      <c r="S105" s="17">
        <f>IF($A105="","",IF($N105&lt;0,"ÇEKİL",IF($N105&lt;tyk_esikMarjDusuk,"ZAM","SAT")))</f>
        <v/>
      </c>
      <c r="T105" s="17">
        <f>IF($A105="","",$L105-$F105)</f>
        <v/>
      </c>
      <c r="U105" s="17">
        <f>IF($A105="","",$M105-$Q105)</f>
        <v/>
      </c>
      <c r="V105" s="17">
        <f>IF($A105="","",$R105-$M105)</f>
        <v/>
      </c>
    </row>
    <row r="106">
      <c r="A106" s="17">
        <f>IF('ANAHTAR'!$B106="","",'ANAHTAR'!$B106)</f>
        <v/>
      </c>
      <c r="B106" s="17">
        <f>IF($A106="","",IFERROR(SUMIF(tblAnahtarA[Norm],$A106,tblGirdi[ToplamSatis]),0))</f>
        <v/>
      </c>
      <c r="C106" s="17">
        <f>IF($A106="","",IFERROR(SUMIF(tblAnahtarA[Norm],$A106,tblGirdi[Maliyet])*IFERROR(SUMIF(tblAnahtarA[Norm],$A106,tblGirdi[Miktar]),1),0))</f>
        <v/>
      </c>
      <c r="D106" s="17">
        <f>IF($A106="","",IFERROR(SUMIF(tblAnahtarA[Norm],$A106,tblGirdi[Miktar]),0))</f>
        <v/>
      </c>
      <c r="E106" s="17">
        <f>IF($A106="","",IFERROR(SUMIF(tblAnahtarA[Norm],$A106,tblGirdi[KomisyonOran]),0))</f>
        <v/>
      </c>
      <c r="F106" s="17">
        <f>IF($A106="","",ROUND($B106*$E106,2))</f>
        <v/>
      </c>
      <c r="G106" s="17">
        <f>IF($A106="","",IFERROR(SUMIF(tblAnahtarB[NormB],$A106,tblHakedis[TyPlus]),0))</f>
        <v/>
      </c>
      <c r="H106" s="17">
        <f>IF($A106="","",IFERROR(SUMIF(tblAnahtarB[NormB],$A106,tblHakedis[FlasKesinti]),0))</f>
        <v/>
      </c>
      <c r="I106" s="17">
        <f>IF($A106="","",IFERROR(SUMIF(tblAnahtarB[NormB],$A106,tblHakedis[UrunReklam]),0))</f>
        <v/>
      </c>
      <c r="J106" s="17">
        <f>IF($A106="","",IFERROR(SUMIF(tblAnahtarB[NormB],$A106,tblHakedis[DesiKargo]),0))</f>
        <v/>
      </c>
      <c r="K106" s="17">
        <f>IF($A106="","",ROUND($F106+$G106+$H106+$I106+$J106,2))</f>
        <v/>
      </c>
      <c r="L106" s="17">
        <f>IF($A106="","",ROUND($B106-$C106,2))</f>
        <v/>
      </c>
      <c r="M106" s="17">
        <f>IF($A106="","",ROUND($B106-$C106-$K106,2))</f>
        <v/>
      </c>
      <c r="N106" s="17">
        <f>IF(OR($A106="",$B106=0),0,$M106/$B106)</f>
        <v/>
      </c>
      <c r="O106" s="17">
        <f>IF($A106="","",IF((1-$E106)&lt;=0,0,IF($D106=0,0,ROUND(($C106+$G106+$H106+$I106+$J106)/$D106/(1-$E106),2))))</f>
        <v/>
      </c>
      <c r="P106" s="17">
        <f>IF($A106="","",IFERROR(SUMIF(tblAnahtarA[Norm],$A106,tblGirdi[HedefNet]),0))</f>
        <v/>
      </c>
      <c r="Q106" s="17">
        <f>IF($A106="","",ROUND($M106-$P106,2))</f>
        <v/>
      </c>
      <c r="R106" s="17">
        <f>IF($A106="","",ROUND($B106-$K106,2))</f>
        <v/>
      </c>
      <c r="S106" s="17">
        <f>IF($A106="","",IF($N106&lt;0,"ÇEKİL",IF($N106&lt;tyk_esikMarjDusuk,"ZAM","SAT")))</f>
        <v/>
      </c>
      <c r="T106" s="17">
        <f>IF($A106="","",$L106-$F106)</f>
        <v/>
      </c>
      <c r="U106" s="17">
        <f>IF($A106="","",$M106-$Q106)</f>
        <v/>
      </c>
      <c r="V106" s="17">
        <f>IF($A106="","",$R106-$M106)</f>
        <v/>
      </c>
    </row>
    <row r="107">
      <c r="A107" s="17">
        <f>IF('ANAHTAR'!$B107="","",'ANAHTAR'!$B107)</f>
        <v/>
      </c>
      <c r="B107" s="17">
        <f>IF($A107="","",IFERROR(SUMIF(tblAnahtarA[Norm],$A107,tblGirdi[ToplamSatis]),0))</f>
        <v/>
      </c>
      <c r="C107" s="17">
        <f>IF($A107="","",IFERROR(SUMIF(tblAnahtarA[Norm],$A107,tblGirdi[Maliyet])*IFERROR(SUMIF(tblAnahtarA[Norm],$A107,tblGirdi[Miktar]),1),0))</f>
        <v/>
      </c>
      <c r="D107" s="17">
        <f>IF($A107="","",IFERROR(SUMIF(tblAnahtarA[Norm],$A107,tblGirdi[Miktar]),0))</f>
        <v/>
      </c>
      <c r="E107" s="17">
        <f>IF($A107="","",IFERROR(SUMIF(tblAnahtarA[Norm],$A107,tblGirdi[KomisyonOran]),0))</f>
        <v/>
      </c>
      <c r="F107" s="17">
        <f>IF($A107="","",ROUND($B107*$E107,2))</f>
        <v/>
      </c>
      <c r="G107" s="17">
        <f>IF($A107="","",IFERROR(SUMIF(tblAnahtarB[NormB],$A107,tblHakedis[TyPlus]),0))</f>
        <v/>
      </c>
      <c r="H107" s="17">
        <f>IF($A107="","",IFERROR(SUMIF(tblAnahtarB[NormB],$A107,tblHakedis[FlasKesinti]),0))</f>
        <v/>
      </c>
      <c r="I107" s="17">
        <f>IF($A107="","",IFERROR(SUMIF(tblAnahtarB[NormB],$A107,tblHakedis[UrunReklam]),0))</f>
        <v/>
      </c>
      <c r="J107" s="17">
        <f>IF($A107="","",IFERROR(SUMIF(tblAnahtarB[NormB],$A107,tblHakedis[DesiKargo]),0))</f>
        <v/>
      </c>
      <c r="K107" s="17">
        <f>IF($A107="","",ROUND($F107+$G107+$H107+$I107+$J107,2))</f>
        <v/>
      </c>
      <c r="L107" s="17">
        <f>IF($A107="","",ROUND($B107-$C107,2))</f>
        <v/>
      </c>
      <c r="M107" s="17">
        <f>IF($A107="","",ROUND($B107-$C107-$K107,2))</f>
        <v/>
      </c>
      <c r="N107" s="17">
        <f>IF(OR($A107="",$B107=0),0,$M107/$B107)</f>
        <v/>
      </c>
      <c r="O107" s="17">
        <f>IF($A107="","",IF((1-$E107)&lt;=0,0,IF($D107=0,0,ROUND(($C107+$G107+$H107+$I107+$J107)/$D107/(1-$E107),2))))</f>
        <v/>
      </c>
      <c r="P107" s="17">
        <f>IF($A107="","",IFERROR(SUMIF(tblAnahtarA[Norm],$A107,tblGirdi[HedefNet]),0))</f>
        <v/>
      </c>
      <c r="Q107" s="17">
        <f>IF($A107="","",ROUND($M107-$P107,2))</f>
        <v/>
      </c>
      <c r="R107" s="17">
        <f>IF($A107="","",ROUND($B107-$K107,2))</f>
        <v/>
      </c>
      <c r="S107" s="17">
        <f>IF($A107="","",IF($N107&lt;0,"ÇEKİL",IF($N107&lt;tyk_esikMarjDusuk,"ZAM","SAT")))</f>
        <v/>
      </c>
      <c r="T107" s="17">
        <f>IF($A107="","",$L107-$F107)</f>
        <v/>
      </c>
      <c r="U107" s="17">
        <f>IF($A107="","",$M107-$Q107)</f>
        <v/>
      </c>
      <c r="V107" s="17">
        <f>IF($A107="","",$R107-$M107)</f>
        <v/>
      </c>
    </row>
    <row r="108">
      <c r="A108" s="17">
        <f>IF('ANAHTAR'!$B108="","",'ANAHTAR'!$B108)</f>
        <v/>
      </c>
      <c r="B108" s="17">
        <f>IF($A108="","",IFERROR(SUMIF(tblAnahtarA[Norm],$A108,tblGirdi[ToplamSatis]),0))</f>
        <v/>
      </c>
      <c r="C108" s="17">
        <f>IF($A108="","",IFERROR(SUMIF(tblAnahtarA[Norm],$A108,tblGirdi[Maliyet])*IFERROR(SUMIF(tblAnahtarA[Norm],$A108,tblGirdi[Miktar]),1),0))</f>
        <v/>
      </c>
      <c r="D108" s="17">
        <f>IF($A108="","",IFERROR(SUMIF(tblAnahtarA[Norm],$A108,tblGirdi[Miktar]),0))</f>
        <v/>
      </c>
      <c r="E108" s="17">
        <f>IF($A108="","",IFERROR(SUMIF(tblAnahtarA[Norm],$A108,tblGirdi[KomisyonOran]),0))</f>
        <v/>
      </c>
      <c r="F108" s="17">
        <f>IF($A108="","",ROUND($B108*$E108,2))</f>
        <v/>
      </c>
      <c r="G108" s="17">
        <f>IF($A108="","",IFERROR(SUMIF(tblAnahtarB[NormB],$A108,tblHakedis[TyPlus]),0))</f>
        <v/>
      </c>
      <c r="H108" s="17">
        <f>IF($A108="","",IFERROR(SUMIF(tblAnahtarB[NormB],$A108,tblHakedis[FlasKesinti]),0))</f>
        <v/>
      </c>
      <c r="I108" s="17">
        <f>IF($A108="","",IFERROR(SUMIF(tblAnahtarB[NormB],$A108,tblHakedis[UrunReklam]),0))</f>
        <v/>
      </c>
      <c r="J108" s="17">
        <f>IF($A108="","",IFERROR(SUMIF(tblAnahtarB[NormB],$A108,tblHakedis[DesiKargo]),0))</f>
        <v/>
      </c>
      <c r="K108" s="17">
        <f>IF($A108="","",ROUND($F108+$G108+$H108+$I108+$J108,2))</f>
        <v/>
      </c>
      <c r="L108" s="17">
        <f>IF($A108="","",ROUND($B108-$C108,2))</f>
        <v/>
      </c>
      <c r="M108" s="17">
        <f>IF($A108="","",ROUND($B108-$C108-$K108,2))</f>
        <v/>
      </c>
      <c r="N108" s="17">
        <f>IF(OR($A108="",$B108=0),0,$M108/$B108)</f>
        <v/>
      </c>
      <c r="O108" s="17">
        <f>IF($A108="","",IF((1-$E108)&lt;=0,0,IF($D108=0,0,ROUND(($C108+$G108+$H108+$I108+$J108)/$D108/(1-$E108),2))))</f>
        <v/>
      </c>
      <c r="P108" s="17">
        <f>IF($A108="","",IFERROR(SUMIF(tblAnahtarA[Norm],$A108,tblGirdi[HedefNet]),0))</f>
        <v/>
      </c>
      <c r="Q108" s="17">
        <f>IF($A108="","",ROUND($M108-$P108,2))</f>
        <v/>
      </c>
      <c r="R108" s="17">
        <f>IF($A108="","",ROUND($B108-$K108,2))</f>
        <v/>
      </c>
      <c r="S108" s="17">
        <f>IF($A108="","",IF($N108&lt;0,"ÇEKİL",IF($N108&lt;tyk_esikMarjDusuk,"ZAM","SAT")))</f>
        <v/>
      </c>
      <c r="T108" s="17">
        <f>IF($A108="","",$L108-$F108)</f>
        <v/>
      </c>
      <c r="U108" s="17">
        <f>IF($A108="","",$M108-$Q108)</f>
        <v/>
      </c>
      <c r="V108" s="17">
        <f>IF($A108="","",$R108-$M108)</f>
        <v/>
      </c>
    </row>
    <row r="109">
      <c r="A109" s="17">
        <f>IF('ANAHTAR'!$B109="","",'ANAHTAR'!$B109)</f>
        <v/>
      </c>
      <c r="B109" s="17">
        <f>IF($A109="","",IFERROR(SUMIF(tblAnahtarA[Norm],$A109,tblGirdi[ToplamSatis]),0))</f>
        <v/>
      </c>
      <c r="C109" s="17">
        <f>IF($A109="","",IFERROR(SUMIF(tblAnahtarA[Norm],$A109,tblGirdi[Maliyet])*IFERROR(SUMIF(tblAnahtarA[Norm],$A109,tblGirdi[Miktar]),1),0))</f>
        <v/>
      </c>
      <c r="D109" s="17">
        <f>IF($A109="","",IFERROR(SUMIF(tblAnahtarA[Norm],$A109,tblGirdi[Miktar]),0))</f>
        <v/>
      </c>
      <c r="E109" s="17">
        <f>IF($A109="","",IFERROR(SUMIF(tblAnahtarA[Norm],$A109,tblGirdi[KomisyonOran]),0))</f>
        <v/>
      </c>
      <c r="F109" s="17">
        <f>IF($A109="","",ROUND($B109*$E109,2))</f>
        <v/>
      </c>
      <c r="G109" s="17">
        <f>IF($A109="","",IFERROR(SUMIF(tblAnahtarB[NormB],$A109,tblHakedis[TyPlus]),0))</f>
        <v/>
      </c>
      <c r="H109" s="17">
        <f>IF($A109="","",IFERROR(SUMIF(tblAnahtarB[NormB],$A109,tblHakedis[FlasKesinti]),0))</f>
        <v/>
      </c>
      <c r="I109" s="17">
        <f>IF($A109="","",IFERROR(SUMIF(tblAnahtarB[NormB],$A109,tblHakedis[UrunReklam]),0))</f>
        <v/>
      </c>
      <c r="J109" s="17">
        <f>IF($A109="","",IFERROR(SUMIF(tblAnahtarB[NormB],$A109,tblHakedis[DesiKargo]),0))</f>
        <v/>
      </c>
      <c r="K109" s="17">
        <f>IF($A109="","",ROUND($F109+$G109+$H109+$I109+$J109,2))</f>
        <v/>
      </c>
      <c r="L109" s="17">
        <f>IF($A109="","",ROUND($B109-$C109,2))</f>
        <v/>
      </c>
      <c r="M109" s="17">
        <f>IF($A109="","",ROUND($B109-$C109-$K109,2))</f>
        <v/>
      </c>
      <c r="N109" s="17">
        <f>IF(OR($A109="",$B109=0),0,$M109/$B109)</f>
        <v/>
      </c>
      <c r="O109" s="17">
        <f>IF($A109="","",IF((1-$E109)&lt;=0,0,IF($D109=0,0,ROUND(($C109+$G109+$H109+$I109+$J109)/$D109/(1-$E109),2))))</f>
        <v/>
      </c>
      <c r="P109" s="17">
        <f>IF($A109="","",IFERROR(SUMIF(tblAnahtarA[Norm],$A109,tblGirdi[HedefNet]),0))</f>
        <v/>
      </c>
      <c r="Q109" s="17">
        <f>IF($A109="","",ROUND($M109-$P109,2))</f>
        <v/>
      </c>
      <c r="R109" s="17">
        <f>IF($A109="","",ROUND($B109-$K109,2))</f>
        <v/>
      </c>
      <c r="S109" s="17">
        <f>IF($A109="","",IF($N109&lt;0,"ÇEKİL",IF($N109&lt;tyk_esikMarjDusuk,"ZAM","SAT")))</f>
        <v/>
      </c>
      <c r="T109" s="17">
        <f>IF($A109="","",$L109-$F109)</f>
        <v/>
      </c>
      <c r="U109" s="17">
        <f>IF($A109="","",$M109-$Q109)</f>
        <v/>
      </c>
      <c r="V109" s="17">
        <f>IF($A109="","",$R109-$M109)</f>
        <v/>
      </c>
    </row>
    <row r="110">
      <c r="A110" s="17">
        <f>IF('ANAHTAR'!$B110="","",'ANAHTAR'!$B110)</f>
        <v/>
      </c>
      <c r="B110" s="17">
        <f>IF($A110="","",IFERROR(SUMIF(tblAnahtarA[Norm],$A110,tblGirdi[ToplamSatis]),0))</f>
        <v/>
      </c>
      <c r="C110" s="17">
        <f>IF($A110="","",IFERROR(SUMIF(tblAnahtarA[Norm],$A110,tblGirdi[Maliyet])*IFERROR(SUMIF(tblAnahtarA[Norm],$A110,tblGirdi[Miktar]),1),0))</f>
        <v/>
      </c>
      <c r="D110" s="17">
        <f>IF($A110="","",IFERROR(SUMIF(tblAnahtarA[Norm],$A110,tblGirdi[Miktar]),0))</f>
        <v/>
      </c>
      <c r="E110" s="17">
        <f>IF($A110="","",IFERROR(SUMIF(tblAnahtarA[Norm],$A110,tblGirdi[KomisyonOran]),0))</f>
        <v/>
      </c>
      <c r="F110" s="17">
        <f>IF($A110="","",ROUND($B110*$E110,2))</f>
        <v/>
      </c>
      <c r="G110" s="17">
        <f>IF($A110="","",IFERROR(SUMIF(tblAnahtarB[NormB],$A110,tblHakedis[TyPlus]),0))</f>
        <v/>
      </c>
      <c r="H110" s="17">
        <f>IF($A110="","",IFERROR(SUMIF(tblAnahtarB[NormB],$A110,tblHakedis[FlasKesinti]),0))</f>
        <v/>
      </c>
      <c r="I110" s="17">
        <f>IF($A110="","",IFERROR(SUMIF(tblAnahtarB[NormB],$A110,tblHakedis[UrunReklam]),0))</f>
        <v/>
      </c>
      <c r="J110" s="17">
        <f>IF($A110="","",IFERROR(SUMIF(tblAnahtarB[NormB],$A110,tblHakedis[DesiKargo]),0))</f>
        <v/>
      </c>
      <c r="K110" s="17">
        <f>IF($A110="","",ROUND($F110+$G110+$H110+$I110+$J110,2))</f>
        <v/>
      </c>
      <c r="L110" s="17">
        <f>IF($A110="","",ROUND($B110-$C110,2))</f>
        <v/>
      </c>
      <c r="M110" s="17">
        <f>IF($A110="","",ROUND($B110-$C110-$K110,2))</f>
        <v/>
      </c>
      <c r="N110" s="17">
        <f>IF(OR($A110="",$B110=0),0,$M110/$B110)</f>
        <v/>
      </c>
      <c r="O110" s="17">
        <f>IF($A110="","",IF((1-$E110)&lt;=0,0,IF($D110=0,0,ROUND(($C110+$G110+$H110+$I110+$J110)/$D110/(1-$E110),2))))</f>
        <v/>
      </c>
      <c r="P110" s="17">
        <f>IF($A110="","",IFERROR(SUMIF(tblAnahtarA[Norm],$A110,tblGirdi[HedefNet]),0))</f>
        <v/>
      </c>
      <c r="Q110" s="17">
        <f>IF($A110="","",ROUND($M110-$P110,2))</f>
        <v/>
      </c>
      <c r="R110" s="17">
        <f>IF($A110="","",ROUND($B110-$K110,2))</f>
        <v/>
      </c>
      <c r="S110" s="17">
        <f>IF($A110="","",IF($N110&lt;0,"ÇEKİL",IF($N110&lt;tyk_esikMarjDusuk,"ZAM","SAT")))</f>
        <v/>
      </c>
      <c r="T110" s="17">
        <f>IF($A110="","",$L110-$F110)</f>
        <v/>
      </c>
      <c r="U110" s="17">
        <f>IF($A110="","",$M110-$Q110)</f>
        <v/>
      </c>
      <c r="V110" s="17">
        <f>IF($A110="","",$R110-$M110)</f>
        <v/>
      </c>
    </row>
    <row r="111">
      <c r="A111" s="17">
        <f>IF('ANAHTAR'!$B111="","",'ANAHTAR'!$B111)</f>
        <v/>
      </c>
      <c r="B111" s="17">
        <f>IF($A111="","",IFERROR(SUMIF(tblAnahtarA[Norm],$A111,tblGirdi[ToplamSatis]),0))</f>
        <v/>
      </c>
      <c r="C111" s="17">
        <f>IF($A111="","",IFERROR(SUMIF(tblAnahtarA[Norm],$A111,tblGirdi[Maliyet])*IFERROR(SUMIF(tblAnahtarA[Norm],$A111,tblGirdi[Miktar]),1),0))</f>
        <v/>
      </c>
      <c r="D111" s="17">
        <f>IF($A111="","",IFERROR(SUMIF(tblAnahtarA[Norm],$A111,tblGirdi[Miktar]),0))</f>
        <v/>
      </c>
      <c r="E111" s="17">
        <f>IF($A111="","",IFERROR(SUMIF(tblAnahtarA[Norm],$A111,tblGirdi[KomisyonOran]),0))</f>
        <v/>
      </c>
      <c r="F111" s="17">
        <f>IF($A111="","",ROUND($B111*$E111,2))</f>
        <v/>
      </c>
      <c r="G111" s="17">
        <f>IF($A111="","",IFERROR(SUMIF(tblAnahtarB[NormB],$A111,tblHakedis[TyPlus]),0))</f>
        <v/>
      </c>
      <c r="H111" s="17">
        <f>IF($A111="","",IFERROR(SUMIF(tblAnahtarB[NormB],$A111,tblHakedis[FlasKesinti]),0))</f>
        <v/>
      </c>
      <c r="I111" s="17">
        <f>IF($A111="","",IFERROR(SUMIF(tblAnahtarB[NormB],$A111,tblHakedis[UrunReklam]),0))</f>
        <v/>
      </c>
      <c r="J111" s="17">
        <f>IF($A111="","",IFERROR(SUMIF(tblAnahtarB[NormB],$A111,tblHakedis[DesiKargo]),0))</f>
        <v/>
      </c>
      <c r="K111" s="17">
        <f>IF($A111="","",ROUND($F111+$G111+$H111+$I111+$J111,2))</f>
        <v/>
      </c>
      <c r="L111" s="17">
        <f>IF($A111="","",ROUND($B111-$C111,2))</f>
        <v/>
      </c>
      <c r="M111" s="17">
        <f>IF($A111="","",ROUND($B111-$C111-$K111,2))</f>
        <v/>
      </c>
      <c r="N111" s="17">
        <f>IF(OR($A111="",$B111=0),0,$M111/$B111)</f>
        <v/>
      </c>
      <c r="O111" s="17">
        <f>IF($A111="","",IF((1-$E111)&lt;=0,0,IF($D111=0,0,ROUND(($C111+$G111+$H111+$I111+$J111)/$D111/(1-$E111),2))))</f>
        <v/>
      </c>
      <c r="P111" s="17">
        <f>IF($A111="","",IFERROR(SUMIF(tblAnahtarA[Norm],$A111,tblGirdi[HedefNet]),0))</f>
        <v/>
      </c>
      <c r="Q111" s="17">
        <f>IF($A111="","",ROUND($M111-$P111,2))</f>
        <v/>
      </c>
      <c r="R111" s="17">
        <f>IF($A111="","",ROUND($B111-$K111,2))</f>
        <v/>
      </c>
      <c r="S111" s="17">
        <f>IF($A111="","",IF($N111&lt;0,"ÇEKİL",IF($N111&lt;tyk_esikMarjDusuk,"ZAM","SAT")))</f>
        <v/>
      </c>
      <c r="T111" s="17">
        <f>IF($A111="","",$L111-$F111)</f>
        <v/>
      </c>
      <c r="U111" s="17">
        <f>IF($A111="","",$M111-$Q111)</f>
        <v/>
      </c>
      <c r="V111" s="17">
        <f>IF($A111="","",$R111-$M111)</f>
        <v/>
      </c>
    </row>
    <row r="112">
      <c r="A112" s="17">
        <f>IF('ANAHTAR'!$B112="","",'ANAHTAR'!$B112)</f>
        <v/>
      </c>
      <c r="B112" s="17">
        <f>IF($A112="","",IFERROR(SUMIF(tblAnahtarA[Norm],$A112,tblGirdi[ToplamSatis]),0))</f>
        <v/>
      </c>
      <c r="C112" s="17">
        <f>IF($A112="","",IFERROR(SUMIF(tblAnahtarA[Norm],$A112,tblGirdi[Maliyet])*IFERROR(SUMIF(tblAnahtarA[Norm],$A112,tblGirdi[Miktar]),1),0))</f>
        <v/>
      </c>
      <c r="D112" s="17">
        <f>IF($A112="","",IFERROR(SUMIF(tblAnahtarA[Norm],$A112,tblGirdi[Miktar]),0))</f>
        <v/>
      </c>
      <c r="E112" s="17">
        <f>IF($A112="","",IFERROR(SUMIF(tblAnahtarA[Norm],$A112,tblGirdi[KomisyonOran]),0))</f>
        <v/>
      </c>
      <c r="F112" s="17">
        <f>IF($A112="","",ROUND($B112*$E112,2))</f>
        <v/>
      </c>
      <c r="G112" s="17">
        <f>IF($A112="","",IFERROR(SUMIF(tblAnahtarB[NormB],$A112,tblHakedis[TyPlus]),0))</f>
        <v/>
      </c>
      <c r="H112" s="17">
        <f>IF($A112="","",IFERROR(SUMIF(tblAnahtarB[NormB],$A112,tblHakedis[FlasKesinti]),0))</f>
        <v/>
      </c>
      <c r="I112" s="17">
        <f>IF($A112="","",IFERROR(SUMIF(tblAnahtarB[NormB],$A112,tblHakedis[UrunReklam]),0))</f>
        <v/>
      </c>
      <c r="J112" s="17">
        <f>IF($A112="","",IFERROR(SUMIF(tblAnahtarB[NormB],$A112,tblHakedis[DesiKargo]),0))</f>
        <v/>
      </c>
      <c r="K112" s="17">
        <f>IF($A112="","",ROUND($F112+$G112+$H112+$I112+$J112,2))</f>
        <v/>
      </c>
      <c r="L112" s="17">
        <f>IF($A112="","",ROUND($B112-$C112,2))</f>
        <v/>
      </c>
      <c r="M112" s="17">
        <f>IF($A112="","",ROUND($B112-$C112-$K112,2))</f>
        <v/>
      </c>
      <c r="N112" s="17">
        <f>IF(OR($A112="",$B112=0),0,$M112/$B112)</f>
        <v/>
      </c>
      <c r="O112" s="17">
        <f>IF($A112="","",IF((1-$E112)&lt;=0,0,IF($D112=0,0,ROUND(($C112+$G112+$H112+$I112+$J112)/$D112/(1-$E112),2))))</f>
        <v/>
      </c>
      <c r="P112" s="17">
        <f>IF($A112="","",IFERROR(SUMIF(tblAnahtarA[Norm],$A112,tblGirdi[HedefNet]),0))</f>
        <v/>
      </c>
      <c r="Q112" s="17">
        <f>IF($A112="","",ROUND($M112-$P112,2))</f>
        <v/>
      </c>
      <c r="R112" s="17">
        <f>IF($A112="","",ROUND($B112-$K112,2))</f>
        <v/>
      </c>
      <c r="S112" s="17">
        <f>IF($A112="","",IF($N112&lt;0,"ÇEKİL",IF($N112&lt;tyk_esikMarjDusuk,"ZAM","SAT")))</f>
        <v/>
      </c>
      <c r="T112" s="17">
        <f>IF($A112="","",$L112-$F112)</f>
        <v/>
      </c>
      <c r="U112" s="17">
        <f>IF($A112="","",$M112-$Q112)</f>
        <v/>
      </c>
      <c r="V112" s="17">
        <f>IF($A112="","",$R112-$M112)</f>
        <v/>
      </c>
    </row>
    <row r="113">
      <c r="A113" s="17">
        <f>IF('ANAHTAR'!$B113="","",'ANAHTAR'!$B113)</f>
        <v/>
      </c>
      <c r="B113" s="17">
        <f>IF($A113="","",IFERROR(SUMIF(tblAnahtarA[Norm],$A113,tblGirdi[ToplamSatis]),0))</f>
        <v/>
      </c>
      <c r="C113" s="17">
        <f>IF($A113="","",IFERROR(SUMIF(tblAnahtarA[Norm],$A113,tblGirdi[Maliyet])*IFERROR(SUMIF(tblAnahtarA[Norm],$A113,tblGirdi[Miktar]),1),0))</f>
        <v/>
      </c>
      <c r="D113" s="17">
        <f>IF($A113="","",IFERROR(SUMIF(tblAnahtarA[Norm],$A113,tblGirdi[Miktar]),0))</f>
        <v/>
      </c>
      <c r="E113" s="17">
        <f>IF($A113="","",IFERROR(SUMIF(tblAnahtarA[Norm],$A113,tblGirdi[KomisyonOran]),0))</f>
        <v/>
      </c>
      <c r="F113" s="17">
        <f>IF($A113="","",ROUND($B113*$E113,2))</f>
        <v/>
      </c>
      <c r="G113" s="17">
        <f>IF($A113="","",IFERROR(SUMIF(tblAnahtarB[NormB],$A113,tblHakedis[TyPlus]),0))</f>
        <v/>
      </c>
      <c r="H113" s="17">
        <f>IF($A113="","",IFERROR(SUMIF(tblAnahtarB[NormB],$A113,tblHakedis[FlasKesinti]),0))</f>
        <v/>
      </c>
      <c r="I113" s="17">
        <f>IF($A113="","",IFERROR(SUMIF(tblAnahtarB[NormB],$A113,tblHakedis[UrunReklam]),0))</f>
        <v/>
      </c>
      <c r="J113" s="17">
        <f>IF($A113="","",IFERROR(SUMIF(tblAnahtarB[NormB],$A113,tblHakedis[DesiKargo]),0))</f>
        <v/>
      </c>
      <c r="K113" s="17">
        <f>IF($A113="","",ROUND($F113+$G113+$H113+$I113+$J113,2))</f>
        <v/>
      </c>
      <c r="L113" s="17">
        <f>IF($A113="","",ROUND($B113-$C113,2))</f>
        <v/>
      </c>
      <c r="M113" s="17">
        <f>IF($A113="","",ROUND($B113-$C113-$K113,2))</f>
        <v/>
      </c>
      <c r="N113" s="17">
        <f>IF(OR($A113="",$B113=0),0,$M113/$B113)</f>
        <v/>
      </c>
      <c r="O113" s="17">
        <f>IF($A113="","",IF((1-$E113)&lt;=0,0,IF($D113=0,0,ROUND(($C113+$G113+$H113+$I113+$J113)/$D113/(1-$E113),2))))</f>
        <v/>
      </c>
      <c r="P113" s="17">
        <f>IF($A113="","",IFERROR(SUMIF(tblAnahtarA[Norm],$A113,tblGirdi[HedefNet]),0))</f>
        <v/>
      </c>
      <c r="Q113" s="17">
        <f>IF($A113="","",ROUND($M113-$P113,2))</f>
        <v/>
      </c>
      <c r="R113" s="17">
        <f>IF($A113="","",ROUND($B113-$K113,2))</f>
        <v/>
      </c>
      <c r="S113" s="17">
        <f>IF($A113="","",IF($N113&lt;0,"ÇEKİL",IF($N113&lt;tyk_esikMarjDusuk,"ZAM","SAT")))</f>
        <v/>
      </c>
      <c r="T113" s="17">
        <f>IF($A113="","",$L113-$F113)</f>
        <v/>
      </c>
      <c r="U113" s="17">
        <f>IF($A113="","",$M113-$Q113)</f>
        <v/>
      </c>
      <c r="V113" s="17">
        <f>IF($A113="","",$R113-$M113)</f>
        <v/>
      </c>
    </row>
    <row r="114">
      <c r="A114" s="17">
        <f>IF('ANAHTAR'!$B114="","",'ANAHTAR'!$B114)</f>
        <v/>
      </c>
      <c r="B114" s="17">
        <f>IF($A114="","",IFERROR(SUMIF(tblAnahtarA[Norm],$A114,tblGirdi[ToplamSatis]),0))</f>
        <v/>
      </c>
      <c r="C114" s="17">
        <f>IF($A114="","",IFERROR(SUMIF(tblAnahtarA[Norm],$A114,tblGirdi[Maliyet])*IFERROR(SUMIF(tblAnahtarA[Norm],$A114,tblGirdi[Miktar]),1),0))</f>
        <v/>
      </c>
      <c r="D114" s="17">
        <f>IF($A114="","",IFERROR(SUMIF(tblAnahtarA[Norm],$A114,tblGirdi[Miktar]),0))</f>
        <v/>
      </c>
      <c r="E114" s="17">
        <f>IF($A114="","",IFERROR(SUMIF(tblAnahtarA[Norm],$A114,tblGirdi[KomisyonOran]),0))</f>
        <v/>
      </c>
      <c r="F114" s="17">
        <f>IF($A114="","",ROUND($B114*$E114,2))</f>
        <v/>
      </c>
      <c r="G114" s="17">
        <f>IF($A114="","",IFERROR(SUMIF(tblAnahtarB[NormB],$A114,tblHakedis[TyPlus]),0))</f>
        <v/>
      </c>
      <c r="H114" s="17">
        <f>IF($A114="","",IFERROR(SUMIF(tblAnahtarB[NormB],$A114,tblHakedis[FlasKesinti]),0))</f>
        <v/>
      </c>
      <c r="I114" s="17">
        <f>IF($A114="","",IFERROR(SUMIF(tblAnahtarB[NormB],$A114,tblHakedis[UrunReklam]),0))</f>
        <v/>
      </c>
      <c r="J114" s="17">
        <f>IF($A114="","",IFERROR(SUMIF(tblAnahtarB[NormB],$A114,tblHakedis[DesiKargo]),0))</f>
        <v/>
      </c>
      <c r="K114" s="17">
        <f>IF($A114="","",ROUND($F114+$G114+$H114+$I114+$J114,2))</f>
        <v/>
      </c>
      <c r="L114" s="17">
        <f>IF($A114="","",ROUND($B114-$C114,2))</f>
        <v/>
      </c>
      <c r="M114" s="17">
        <f>IF($A114="","",ROUND($B114-$C114-$K114,2))</f>
        <v/>
      </c>
      <c r="N114" s="17">
        <f>IF(OR($A114="",$B114=0),0,$M114/$B114)</f>
        <v/>
      </c>
      <c r="O114" s="17">
        <f>IF($A114="","",IF((1-$E114)&lt;=0,0,IF($D114=0,0,ROUND(($C114+$G114+$H114+$I114+$J114)/$D114/(1-$E114),2))))</f>
        <v/>
      </c>
      <c r="P114" s="17">
        <f>IF($A114="","",IFERROR(SUMIF(tblAnahtarA[Norm],$A114,tblGirdi[HedefNet]),0))</f>
        <v/>
      </c>
      <c r="Q114" s="17">
        <f>IF($A114="","",ROUND($M114-$P114,2))</f>
        <v/>
      </c>
      <c r="R114" s="17">
        <f>IF($A114="","",ROUND($B114-$K114,2))</f>
        <v/>
      </c>
      <c r="S114" s="17">
        <f>IF($A114="","",IF($N114&lt;0,"ÇEKİL",IF($N114&lt;tyk_esikMarjDusuk,"ZAM","SAT")))</f>
        <v/>
      </c>
      <c r="T114" s="17">
        <f>IF($A114="","",$L114-$F114)</f>
        <v/>
      </c>
      <c r="U114" s="17">
        <f>IF($A114="","",$M114-$Q114)</f>
        <v/>
      </c>
      <c r="V114" s="17">
        <f>IF($A114="","",$R114-$M114)</f>
        <v/>
      </c>
    </row>
    <row r="115">
      <c r="A115" s="17">
        <f>IF('ANAHTAR'!$B115="","",'ANAHTAR'!$B115)</f>
        <v/>
      </c>
      <c r="B115" s="17">
        <f>IF($A115="","",IFERROR(SUMIF(tblAnahtarA[Norm],$A115,tblGirdi[ToplamSatis]),0))</f>
        <v/>
      </c>
      <c r="C115" s="17">
        <f>IF($A115="","",IFERROR(SUMIF(tblAnahtarA[Norm],$A115,tblGirdi[Maliyet])*IFERROR(SUMIF(tblAnahtarA[Norm],$A115,tblGirdi[Miktar]),1),0))</f>
        <v/>
      </c>
      <c r="D115" s="17">
        <f>IF($A115="","",IFERROR(SUMIF(tblAnahtarA[Norm],$A115,tblGirdi[Miktar]),0))</f>
        <v/>
      </c>
      <c r="E115" s="17">
        <f>IF($A115="","",IFERROR(SUMIF(tblAnahtarA[Norm],$A115,tblGirdi[KomisyonOran]),0))</f>
        <v/>
      </c>
      <c r="F115" s="17">
        <f>IF($A115="","",ROUND($B115*$E115,2))</f>
        <v/>
      </c>
      <c r="G115" s="17">
        <f>IF($A115="","",IFERROR(SUMIF(tblAnahtarB[NormB],$A115,tblHakedis[TyPlus]),0))</f>
        <v/>
      </c>
      <c r="H115" s="17">
        <f>IF($A115="","",IFERROR(SUMIF(tblAnahtarB[NormB],$A115,tblHakedis[FlasKesinti]),0))</f>
        <v/>
      </c>
      <c r="I115" s="17">
        <f>IF($A115="","",IFERROR(SUMIF(tblAnahtarB[NormB],$A115,tblHakedis[UrunReklam]),0))</f>
        <v/>
      </c>
      <c r="J115" s="17">
        <f>IF($A115="","",IFERROR(SUMIF(tblAnahtarB[NormB],$A115,tblHakedis[DesiKargo]),0))</f>
        <v/>
      </c>
      <c r="K115" s="17">
        <f>IF($A115="","",ROUND($F115+$G115+$H115+$I115+$J115,2))</f>
        <v/>
      </c>
      <c r="L115" s="17">
        <f>IF($A115="","",ROUND($B115-$C115,2))</f>
        <v/>
      </c>
      <c r="M115" s="17">
        <f>IF($A115="","",ROUND($B115-$C115-$K115,2))</f>
        <v/>
      </c>
      <c r="N115" s="17">
        <f>IF(OR($A115="",$B115=0),0,$M115/$B115)</f>
        <v/>
      </c>
      <c r="O115" s="17">
        <f>IF($A115="","",IF((1-$E115)&lt;=0,0,IF($D115=0,0,ROUND(($C115+$G115+$H115+$I115+$J115)/$D115/(1-$E115),2))))</f>
        <v/>
      </c>
      <c r="P115" s="17">
        <f>IF($A115="","",IFERROR(SUMIF(tblAnahtarA[Norm],$A115,tblGirdi[HedefNet]),0))</f>
        <v/>
      </c>
      <c r="Q115" s="17">
        <f>IF($A115="","",ROUND($M115-$P115,2))</f>
        <v/>
      </c>
      <c r="R115" s="17">
        <f>IF($A115="","",ROUND($B115-$K115,2))</f>
        <v/>
      </c>
      <c r="S115" s="17">
        <f>IF($A115="","",IF($N115&lt;0,"ÇEKİL",IF($N115&lt;tyk_esikMarjDusuk,"ZAM","SAT")))</f>
        <v/>
      </c>
      <c r="T115" s="17">
        <f>IF($A115="","",$L115-$F115)</f>
        <v/>
      </c>
      <c r="U115" s="17">
        <f>IF($A115="","",$M115-$Q115)</f>
        <v/>
      </c>
      <c r="V115" s="17">
        <f>IF($A115="","",$R115-$M115)</f>
        <v/>
      </c>
    </row>
    <row r="116">
      <c r="A116" s="17">
        <f>IF('ANAHTAR'!$B116="","",'ANAHTAR'!$B116)</f>
        <v/>
      </c>
      <c r="B116" s="17">
        <f>IF($A116="","",IFERROR(SUMIF(tblAnahtarA[Norm],$A116,tblGirdi[ToplamSatis]),0))</f>
        <v/>
      </c>
      <c r="C116" s="17">
        <f>IF($A116="","",IFERROR(SUMIF(tblAnahtarA[Norm],$A116,tblGirdi[Maliyet])*IFERROR(SUMIF(tblAnahtarA[Norm],$A116,tblGirdi[Miktar]),1),0))</f>
        <v/>
      </c>
      <c r="D116" s="17">
        <f>IF($A116="","",IFERROR(SUMIF(tblAnahtarA[Norm],$A116,tblGirdi[Miktar]),0))</f>
        <v/>
      </c>
      <c r="E116" s="17">
        <f>IF($A116="","",IFERROR(SUMIF(tblAnahtarA[Norm],$A116,tblGirdi[KomisyonOran]),0))</f>
        <v/>
      </c>
      <c r="F116" s="17">
        <f>IF($A116="","",ROUND($B116*$E116,2))</f>
        <v/>
      </c>
      <c r="G116" s="17">
        <f>IF($A116="","",IFERROR(SUMIF(tblAnahtarB[NormB],$A116,tblHakedis[TyPlus]),0))</f>
        <v/>
      </c>
      <c r="H116" s="17">
        <f>IF($A116="","",IFERROR(SUMIF(tblAnahtarB[NormB],$A116,tblHakedis[FlasKesinti]),0))</f>
        <v/>
      </c>
      <c r="I116" s="17">
        <f>IF($A116="","",IFERROR(SUMIF(tblAnahtarB[NormB],$A116,tblHakedis[UrunReklam]),0))</f>
        <v/>
      </c>
      <c r="J116" s="17">
        <f>IF($A116="","",IFERROR(SUMIF(tblAnahtarB[NormB],$A116,tblHakedis[DesiKargo]),0))</f>
        <v/>
      </c>
      <c r="K116" s="17">
        <f>IF($A116="","",ROUND($F116+$G116+$H116+$I116+$J116,2))</f>
        <v/>
      </c>
      <c r="L116" s="17">
        <f>IF($A116="","",ROUND($B116-$C116,2))</f>
        <v/>
      </c>
      <c r="M116" s="17">
        <f>IF($A116="","",ROUND($B116-$C116-$K116,2))</f>
        <v/>
      </c>
      <c r="N116" s="17">
        <f>IF(OR($A116="",$B116=0),0,$M116/$B116)</f>
        <v/>
      </c>
      <c r="O116" s="17">
        <f>IF($A116="","",IF((1-$E116)&lt;=0,0,IF($D116=0,0,ROUND(($C116+$G116+$H116+$I116+$J116)/$D116/(1-$E116),2))))</f>
        <v/>
      </c>
      <c r="P116" s="17">
        <f>IF($A116="","",IFERROR(SUMIF(tblAnahtarA[Norm],$A116,tblGirdi[HedefNet]),0))</f>
        <v/>
      </c>
      <c r="Q116" s="17">
        <f>IF($A116="","",ROUND($M116-$P116,2))</f>
        <v/>
      </c>
      <c r="R116" s="17">
        <f>IF($A116="","",ROUND($B116-$K116,2))</f>
        <v/>
      </c>
      <c r="S116" s="17">
        <f>IF($A116="","",IF($N116&lt;0,"ÇEKİL",IF($N116&lt;tyk_esikMarjDusuk,"ZAM","SAT")))</f>
        <v/>
      </c>
      <c r="T116" s="17">
        <f>IF($A116="","",$L116-$F116)</f>
        <v/>
      </c>
      <c r="U116" s="17">
        <f>IF($A116="","",$M116-$Q116)</f>
        <v/>
      </c>
      <c r="V116" s="17">
        <f>IF($A116="","",$R116-$M116)</f>
        <v/>
      </c>
    </row>
    <row r="117">
      <c r="A117" s="17">
        <f>IF('ANAHTAR'!$B117="","",'ANAHTAR'!$B117)</f>
        <v/>
      </c>
      <c r="B117" s="17">
        <f>IF($A117="","",IFERROR(SUMIF(tblAnahtarA[Norm],$A117,tblGirdi[ToplamSatis]),0))</f>
        <v/>
      </c>
      <c r="C117" s="17">
        <f>IF($A117="","",IFERROR(SUMIF(tblAnahtarA[Norm],$A117,tblGirdi[Maliyet])*IFERROR(SUMIF(tblAnahtarA[Norm],$A117,tblGirdi[Miktar]),1),0))</f>
        <v/>
      </c>
      <c r="D117" s="17">
        <f>IF($A117="","",IFERROR(SUMIF(tblAnahtarA[Norm],$A117,tblGirdi[Miktar]),0))</f>
        <v/>
      </c>
      <c r="E117" s="17">
        <f>IF($A117="","",IFERROR(SUMIF(tblAnahtarA[Norm],$A117,tblGirdi[KomisyonOran]),0))</f>
        <v/>
      </c>
      <c r="F117" s="17">
        <f>IF($A117="","",ROUND($B117*$E117,2))</f>
        <v/>
      </c>
      <c r="G117" s="17">
        <f>IF($A117="","",IFERROR(SUMIF(tblAnahtarB[NormB],$A117,tblHakedis[TyPlus]),0))</f>
        <v/>
      </c>
      <c r="H117" s="17">
        <f>IF($A117="","",IFERROR(SUMIF(tblAnahtarB[NormB],$A117,tblHakedis[FlasKesinti]),0))</f>
        <v/>
      </c>
      <c r="I117" s="17">
        <f>IF($A117="","",IFERROR(SUMIF(tblAnahtarB[NormB],$A117,tblHakedis[UrunReklam]),0))</f>
        <v/>
      </c>
      <c r="J117" s="17">
        <f>IF($A117="","",IFERROR(SUMIF(tblAnahtarB[NormB],$A117,tblHakedis[DesiKargo]),0))</f>
        <v/>
      </c>
      <c r="K117" s="17">
        <f>IF($A117="","",ROUND($F117+$G117+$H117+$I117+$J117,2))</f>
        <v/>
      </c>
      <c r="L117" s="17">
        <f>IF($A117="","",ROUND($B117-$C117,2))</f>
        <v/>
      </c>
      <c r="M117" s="17">
        <f>IF($A117="","",ROUND($B117-$C117-$K117,2))</f>
        <v/>
      </c>
      <c r="N117" s="17">
        <f>IF(OR($A117="",$B117=0),0,$M117/$B117)</f>
        <v/>
      </c>
      <c r="O117" s="17">
        <f>IF($A117="","",IF((1-$E117)&lt;=0,0,IF($D117=0,0,ROUND(($C117+$G117+$H117+$I117+$J117)/$D117/(1-$E117),2))))</f>
        <v/>
      </c>
      <c r="P117" s="17">
        <f>IF($A117="","",IFERROR(SUMIF(tblAnahtarA[Norm],$A117,tblGirdi[HedefNet]),0))</f>
        <v/>
      </c>
      <c r="Q117" s="17">
        <f>IF($A117="","",ROUND($M117-$P117,2))</f>
        <v/>
      </c>
      <c r="R117" s="17">
        <f>IF($A117="","",ROUND($B117-$K117,2))</f>
        <v/>
      </c>
      <c r="S117" s="17">
        <f>IF($A117="","",IF($N117&lt;0,"ÇEKİL",IF($N117&lt;tyk_esikMarjDusuk,"ZAM","SAT")))</f>
        <v/>
      </c>
      <c r="T117" s="17">
        <f>IF($A117="","",$L117-$F117)</f>
        <v/>
      </c>
      <c r="U117" s="17">
        <f>IF($A117="","",$M117-$Q117)</f>
        <v/>
      </c>
      <c r="V117" s="17">
        <f>IF($A117="","",$R117-$M117)</f>
        <v/>
      </c>
    </row>
    <row r="118">
      <c r="A118" s="17">
        <f>IF('ANAHTAR'!$B118="","",'ANAHTAR'!$B118)</f>
        <v/>
      </c>
      <c r="B118" s="17">
        <f>IF($A118="","",IFERROR(SUMIF(tblAnahtarA[Norm],$A118,tblGirdi[ToplamSatis]),0))</f>
        <v/>
      </c>
      <c r="C118" s="17">
        <f>IF($A118="","",IFERROR(SUMIF(tblAnahtarA[Norm],$A118,tblGirdi[Maliyet])*IFERROR(SUMIF(tblAnahtarA[Norm],$A118,tblGirdi[Miktar]),1),0))</f>
        <v/>
      </c>
      <c r="D118" s="17">
        <f>IF($A118="","",IFERROR(SUMIF(tblAnahtarA[Norm],$A118,tblGirdi[Miktar]),0))</f>
        <v/>
      </c>
      <c r="E118" s="17">
        <f>IF($A118="","",IFERROR(SUMIF(tblAnahtarA[Norm],$A118,tblGirdi[KomisyonOran]),0))</f>
        <v/>
      </c>
      <c r="F118" s="17">
        <f>IF($A118="","",ROUND($B118*$E118,2))</f>
        <v/>
      </c>
      <c r="G118" s="17">
        <f>IF($A118="","",IFERROR(SUMIF(tblAnahtarB[NormB],$A118,tblHakedis[TyPlus]),0))</f>
        <v/>
      </c>
      <c r="H118" s="17">
        <f>IF($A118="","",IFERROR(SUMIF(tblAnahtarB[NormB],$A118,tblHakedis[FlasKesinti]),0))</f>
        <v/>
      </c>
      <c r="I118" s="17">
        <f>IF($A118="","",IFERROR(SUMIF(tblAnahtarB[NormB],$A118,tblHakedis[UrunReklam]),0))</f>
        <v/>
      </c>
      <c r="J118" s="17">
        <f>IF($A118="","",IFERROR(SUMIF(tblAnahtarB[NormB],$A118,tblHakedis[DesiKargo]),0))</f>
        <v/>
      </c>
      <c r="K118" s="17">
        <f>IF($A118="","",ROUND($F118+$G118+$H118+$I118+$J118,2))</f>
        <v/>
      </c>
      <c r="L118" s="17">
        <f>IF($A118="","",ROUND($B118-$C118,2))</f>
        <v/>
      </c>
      <c r="M118" s="17">
        <f>IF($A118="","",ROUND($B118-$C118-$K118,2))</f>
        <v/>
      </c>
      <c r="N118" s="17">
        <f>IF(OR($A118="",$B118=0),0,$M118/$B118)</f>
        <v/>
      </c>
      <c r="O118" s="17">
        <f>IF($A118="","",IF((1-$E118)&lt;=0,0,IF($D118=0,0,ROUND(($C118+$G118+$H118+$I118+$J118)/$D118/(1-$E118),2))))</f>
        <v/>
      </c>
      <c r="P118" s="17">
        <f>IF($A118="","",IFERROR(SUMIF(tblAnahtarA[Norm],$A118,tblGirdi[HedefNet]),0))</f>
        <v/>
      </c>
      <c r="Q118" s="17">
        <f>IF($A118="","",ROUND($M118-$P118,2))</f>
        <v/>
      </c>
      <c r="R118" s="17">
        <f>IF($A118="","",ROUND($B118-$K118,2))</f>
        <v/>
      </c>
      <c r="S118" s="17">
        <f>IF($A118="","",IF($N118&lt;0,"ÇEKİL",IF($N118&lt;tyk_esikMarjDusuk,"ZAM","SAT")))</f>
        <v/>
      </c>
      <c r="T118" s="17">
        <f>IF($A118="","",$L118-$F118)</f>
        <v/>
      </c>
      <c r="U118" s="17">
        <f>IF($A118="","",$M118-$Q118)</f>
        <v/>
      </c>
      <c r="V118" s="17">
        <f>IF($A118="","",$R118-$M118)</f>
        <v/>
      </c>
    </row>
    <row r="119">
      <c r="A119" s="17">
        <f>IF('ANAHTAR'!$B119="","",'ANAHTAR'!$B119)</f>
        <v/>
      </c>
      <c r="B119" s="17">
        <f>IF($A119="","",IFERROR(SUMIF(tblAnahtarA[Norm],$A119,tblGirdi[ToplamSatis]),0))</f>
        <v/>
      </c>
      <c r="C119" s="17">
        <f>IF($A119="","",IFERROR(SUMIF(tblAnahtarA[Norm],$A119,tblGirdi[Maliyet])*IFERROR(SUMIF(tblAnahtarA[Norm],$A119,tblGirdi[Miktar]),1),0))</f>
        <v/>
      </c>
      <c r="D119" s="17">
        <f>IF($A119="","",IFERROR(SUMIF(tblAnahtarA[Norm],$A119,tblGirdi[Miktar]),0))</f>
        <v/>
      </c>
      <c r="E119" s="17">
        <f>IF($A119="","",IFERROR(SUMIF(tblAnahtarA[Norm],$A119,tblGirdi[KomisyonOran]),0))</f>
        <v/>
      </c>
      <c r="F119" s="17">
        <f>IF($A119="","",ROUND($B119*$E119,2))</f>
        <v/>
      </c>
      <c r="G119" s="17">
        <f>IF($A119="","",IFERROR(SUMIF(tblAnahtarB[NormB],$A119,tblHakedis[TyPlus]),0))</f>
        <v/>
      </c>
      <c r="H119" s="17">
        <f>IF($A119="","",IFERROR(SUMIF(tblAnahtarB[NormB],$A119,tblHakedis[FlasKesinti]),0))</f>
        <v/>
      </c>
      <c r="I119" s="17">
        <f>IF($A119="","",IFERROR(SUMIF(tblAnahtarB[NormB],$A119,tblHakedis[UrunReklam]),0))</f>
        <v/>
      </c>
      <c r="J119" s="17">
        <f>IF($A119="","",IFERROR(SUMIF(tblAnahtarB[NormB],$A119,tblHakedis[DesiKargo]),0))</f>
        <v/>
      </c>
      <c r="K119" s="17">
        <f>IF($A119="","",ROUND($F119+$G119+$H119+$I119+$J119,2))</f>
        <v/>
      </c>
      <c r="L119" s="17">
        <f>IF($A119="","",ROUND($B119-$C119,2))</f>
        <v/>
      </c>
      <c r="M119" s="17">
        <f>IF($A119="","",ROUND($B119-$C119-$K119,2))</f>
        <v/>
      </c>
      <c r="N119" s="17">
        <f>IF(OR($A119="",$B119=0),0,$M119/$B119)</f>
        <v/>
      </c>
      <c r="O119" s="17">
        <f>IF($A119="","",IF((1-$E119)&lt;=0,0,IF($D119=0,0,ROUND(($C119+$G119+$H119+$I119+$J119)/$D119/(1-$E119),2))))</f>
        <v/>
      </c>
      <c r="P119" s="17">
        <f>IF($A119="","",IFERROR(SUMIF(tblAnahtarA[Norm],$A119,tblGirdi[HedefNet]),0))</f>
        <v/>
      </c>
      <c r="Q119" s="17">
        <f>IF($A119="","",ROUND($M119-$P119,2))</f>
        <v/>
      </c>
      <c r="R119" s="17">
        <f>IF($A119="","",ROUND($B119-$K119,2))</f>
        <v/>
      </c>
      <c r="S119" s="17">
        <f>IF($A119="","",IF($N119&lt;0,"ÇEKİL",IF($N119&lt;tyk_esikMarjDusuk,"ZAM","SAT")))</f>
        <v/>
      </c>
      <c r="T119" s="17">
        <f>IF($A119="","",$L119-$F119)</f>
        <v/>
      </c>
      <c r="U119" s="17">
        <f>IF($A119="","",$M119-$Q119)</f>
        <v/>
      </c>
      <c r="V119" s="17">
        <f>IF($A119="","",$R119-$M119)</f>
        <v/>
      </c>
    </row>
    <row r="120">
      <c r="A120" s="17">
        <f>IF('ANAHTAR'!$B120="","",'ANAHTAR'!$B120)</f>
        <v/>
      </c>
      <c r="B120" s="17">
        <f>IF($A120="","",IFERROR(SUMIF(tblAnahtarA[Norm],$A120,tblGirdi[ToplamSatis]),0))</f>
        <v/>
      </c>
      <c r="C120" s="17">
        <f>IF($A120="","",IFERROR(SUMIF(tblAnahtarA[Norm],$A120,tblGirdi[Maliyet])*IFERROR(SUMIF(tblAnahtarA[Norm],$A120,tblGirdi[Miktar]),1),0))</f>
        <v/>
      </c>
      <c r="D120" s="17">
        <f>IF($A120="","",IFERROR(SUMIF(tblAnahtarA[Norm],$A120,tblGirdi[Miktar]),0))</f>
        <v/>
      </c>
      <c r="E120" s="17">
        <f>IF($A120="","",IFERROR(SUMIF(tblAnahtarA[Norm],$A120,tblGirdi[KomisyonOran]),0))</f>
        <v/>
      </c>
      <c r="F120" s="17">
        <f>IF($A120="","",ROUND($B120*$E120,2))</f>
        <v/>
      </c>
      <c r="G120" s="17">
        <f>IF($A120="","",IFERROR(SUMIF(tblAnahtarB[NormB],$A120,tblHakedis[TyPlus]),0))</f>
        <v/>
      </c>
      <c r="H120" s="17">
        <f>IF($A120="","",IFERROR(SUMIF(tblAnahtarB[NormB],$A120,tblHakedis[FlasKesinti]),0))</f>
        <v/>
      </c>
      <c r="I120" s="17">
        <f>IF($A120="","",IFERROR(SUMIF(tblAnahtarB[NormB],$A120,tblHakedis[UrunReklam]),0))</f>
        <v/>
      </c>
      <c r="J120" s="17">
        <f>IF($A120="","",IFERROR(SUMIF(tblAnahtarB[NormB],$A120,tblHakedis[DesiKargo]),0))</f>
        <v/>
      </c>
      <c r="K120" s="17">
        <f>IF($A120="","",ROUND($F120+$G120+$H120+$I120+$J120,2))</f>
        <v/>
      </c>
      <c r="L120" s="17">
        <f>IF($A120="","",ROUND($B120-$C120,2))</f>
        <v/>
      </c>
      <c r="M120" s="17">
        <f>IF($A120="","",ROUND($B120-$C120-$K120,2))</f>
        <v/>
      </c>
      <c r="N120" s="17">
        <f>IF(OR($A120="",$B120=0),0,$M120/$B120)</f>
        <v/>
      </c>
      <c r="O120" s="17">
        <f>IF($A120="","",IF((1-$E120)&lt;=0,0,IF($D120=0,0,ROUND(($C120+$G120+$H120+$I120+$J120)/$D120/(1-$E120),2))))</f>
        <v/>
      </c>
      <c r="P120" s="17">
        <f>IF($A120="","",IFERROR(SUMIF(tblAnahtarA[Norm],$A120,tblGirdi[HedefNet]),0))</f>
        <v/>
      </c>
      <c r="Q120" s="17">
        <f>IF($A120="","",ROUND($M120-$P120,2))</f>
        <v/>
      </c>
      <c r="R120" s="17">
        <f>IF($A120="","",ROUND($B120-$K120,2))</f>
        <v/>
      </c>
      <c r="S120" s="17">
        <f>IF($A120="","",IF($N120&lt;0,"ÇEKİL",IF($N120&lt;tyk_esikMarjDusuk,"ZAM","SAT")))</f>
        <v/>
      </c>
      <c r="T120" s="17">
        <f>IF($A120="","",$L120-$F120)</f>
        <v/>
      </c>
      <c r="U120" s="17">
        <f>IF($A120="","",$M120-$Q120)</f>
        <v/>
      </c>
      <c r="V120" s="17">
        <f>IF($A120="","",$R120-$M120)</f>
        <v/>
      </c>
    </row>
    <row r="121">
      <c r="A121" s="17">
        <f>IF('ANAHTAR'!$B121="","",'ANAHTAR'!$B121)</f>
        <v/>
      </c>
      <c r="B121" s="17">
        <f>IF($A121="","",IFERROR(SUMIF(tblAnahtarA[Norm],$A121,tblGirdi[ToplamSatis]),0))</f>
        <v/>
      </c>
      <c r="C121" s="17">
        <f>IF($A121="","",IFERROR(SUMIF(tblAnahtarA[Norm],$A121,tblGirdi[Maliyet])*IFERROR(SUMIF(tblAnahtarA[Norm],$A121,tblGirdi[Miktar]),1),0))</f>
        <v/>
      </c>
      <c r="D121" s="17">
        <f>IF($A121="","",IFERROR(SUMIF(tblAnahtarA[Norm],$A121,tblGirdi[Miktar]),0))</f>
        <v/>
      </c>
      <c r="E121" s="17">
        <f>IF($A121="","",IFERROR(SUMIF(tblAnahtarA[Norm],$A121,tblGirdi[KomisyonOran]),0))</f>
        <v/>
      </c>
      <c r="F121" s="17">
        <f>IF($A121="","",ROUND($B121*$E121,2))</f>
        <v/>
      </c>
      <c r="G121" s="17">
        <f>IF($A121="","",IFERROR(SUMIF(tblAnahtarB[NormB],$A121,tblHakedis[TyPlus]),0))</f>
        <v/>
      </c>
      <c r="H121" s="17">
        <f>IF($A121="","",IFERROR(SUMIF(tblAnahtarB[NormB],$A121,tblHakedis[FlasKesinti]),0))</f>
        <v/>
      </c>
      <c r="I121" s="17">
        <f>IF($A121="","",IFERROR(SUMIF(tblAnahtarB[NormB],$A121,tblHakedis[UrunReklam]),0))</f>
        <v/>
      </c>
      <c r="J121" s="17">
        <f>IF($A121="","",IFERROR(SUMIF(tblAnahtarB[NormB],$A121,tblHakedis[DesiKargo]),0))</f>
        <v/>
      </c>
      <c r="K121" s="17">
        <f>IF($A121="","",ROUND($F121+$G121+$H121+$I121+$J121,2))</f>
        <v/>
      </c>
      <c r="L121" s="17">
        <f>IF($A121="","",ROUND($B121-$C121,2))</f>
        <v/>
      </c>
      <c r="M121" s="17">
        <f>IF($A121="","",ROUND($B121-$C121-$K121,2))</f>
        <v/>
      </c>
      <c r="N121" s="17">
        <f>IF(OR($A121="",$B121=0),0,$M121/$B121)</f>
        <v/>
      </c>
      <c r="O121" s="17">
        <f>IF($A121="","",IF((1-$E121)&lt;=0,0,IF($D121=0,0,ROUND(($C121+$G121+$H121+$I121+$J121)/$D121/(1-$E121),2))))</f>
        <v/>
      </c>
      <c r="P121" s="17">
        <f>IF($A121="","",IFERROR(SUMIF(tblAnahtarA[Norm],$A121,tblGirdi[HedefNet]),0))</f>
        <v/>
      </c>
      <c r="Q121" s="17">
        <f>IF($A121="","",ROUND($M121-$P121,2))</f>
        <v/>
      </c>
      <c r="R121" s="17">
        <f>IF($A121="","",ROUND($B121-$K121,2))</f>
        <v/>
      </c>
      <c r="S121" s="17">
        <f>IF($A121="","",IF($N121&lt;0,"ÇEKİL",IF($N121&lt;tyk_esikMarjDusuk,"ZAM","SAT")))</f>
        <v/>
      </c>
      <c r="T121" s="17">
        <f>IF($A121="","",$L121-$F121)</f>
        <v/>
      </c>
      <c r="U121" s="17">
        <f>IF($A121="","",$M121-$Q121)</f>
        <v/>
      </c>
      <c r="V121" s="17">
        <f>IF($A121="","",$R121-$M121)</f>
        <v/>
      </c>
    </row>
    <row r="122">
      <c r="A122" s="17">
        <f>IF('ANAHTAR'!$B122="","",'ANAHTAR'!$B122)</f>
        <v/>
      </c>
      <c r="B122" s="17">
        <f>IF($A122="","",IFERROR(SUMIF(tblAnahtarA[Norm],$A122,tblGirdi[ToplamSatis]),0))</f>
        <v/>
      </c>
      <c r="C122" s="17">
        <f>IF($A122="","",IFERROR(SUMIF(tblAnahtarA[Norm],$A122,tblGirdi[Maliyet])*IFERROR(SUMIF(tblAnahtarA[Norm],$A122,tblGirdi[Miktar]),1),0))</f>
        <v/>
      </c>
      <c r="D122" s="17">
        <f>IF($A122="","",IFERROR(SUMIF(tblAnahtarA[Norm],$A122,tblGirdi[Miktar]),0))</f>
        <v/>
      </c>
      <c r="E122" s="17">
        <f>IF($A122="","",IFERROR(SUMIF(tblAnahtarA[Norm],$A122,tblGirdi[KomisyonOran]),0))</f>
        <v/>
      </c>
      <c r="F122" s="17">
        <f>IF($A122="","",ROUND($B122*$E122,2))</f>
        <v/>
      </c>
      <c r="G122" s="17">
        <f>IF($A122="","",IFERROR(SUMIF(tblAnahtarB[NormB],$A122,tblHakedis[TyPlus]),0))</f>
        <v/>
      </c>
      <c r="H122" s="17">
        <f>IF($A122="","",IFERROR(SUMIF(tblAnahtarB[NormB],$A122,tblHakedis[FlasKesinti]),0))</f>
        <v/>
      </c>
      <c r="I122" s="17">
        <f>IF($A122="","",IFERROR(SUMIF(tblAnahtarB[NormB],$A122,tblHakedis[UrunReklam]),0))</f>
        <v/>
      </c>
      <c r="J122" s="17">
        <f>IF($A122="","",IFERROR(SUMIF(tblAnahtarB[NormB],$A122,tblHakedis[DesiKargo]),0))</f>
        <v/>
      </c>
      <c r="K122" s="17">
        <f>IF($A122="","",ROUND($F122+$G122+$H122+$I122+$J122,2))</f>
        <v/>
      </c>
      <c r="L122" s="17">
        <f>IF($A122="","",ROUND($B122-$C122,2))</f>
        <v/>
      </c>
      <c r="M122" s="17">
        <f>IF($A122="","",ROUND($B122-$C122-$K122,2))</f>
        <v/>
      </c>
      <c r="N122" s="17">
        <f>IF(OR($A122="",$B122=0),0,$M122/$B122)</f>
        <v/>
      </c>
      <c r="O122" s="17">
        <f>IF($A122="","",IF((1-$E122)&lt;=0,0,IF($D122=0,0,ROUND(($C122+$G122+$H122+$I122+$J122)/$D122/(1-$E122),2))))</f>
        <v/>
      </c>
      <c r="P122" s="17">
        <f>IF($A122="","",IFERROR(SUMIF(tblAnahtarA[Norm],$A122,tblGirdi[HedefNet]),0))</f>
        <v/>
      </c>
      <c r="Q122" s="17">
        <f>IF($A122="","",ROUND($M122-$P122,2))</f>
        <v/>
      </c>
      <c r="R122" s="17">
        <f>IF($A122="","",ROUND($B122-$K122,2))</f>
        <v/>
      </c>
      <c r="S122" s="17">
        <f>IF($A122="","",IF($N122&lt;0,"ÇEKİL",IF($N122&lt;tyk_esikMarjDusuk,"ZAM","SAT")))</f>
        <v/>
      </c>
      <c r="T122" s="17">
        <f>IF($A122="","",$L122-$F122)</f>
        <v/>
      </c>
      <c r="U122" s="17">
        <f>IF($A122="","",$M122-$Q122)</f>
        <v/>
      </c>
      <c r="V122" s="17">
        <f>IF($A122="","",$R122-$M122)</f>
        <v/>
      </c>
    </row>
    <row r="123">
      <c r="A123" s="17">
        <f>IF('ANAHTAR'!$B123="","",'ANAHTAR'!$B123)</f>
        <v/>
      </c>
      <c r="B123" s="17">
        <f>IF($A123="","",IFERROR(SUMIF(tblAnahtarA[Norm],$A123,tblGirdi[ToplamSatis]),0))</f>
        <v/>
      </c>
      <c r="C123" s="17">
        <f>IF($A123="","",IFERROR(SUMIF(tblAnahtarA[Norm],$A123,tblGirdi[Maliyet])*IFERROR(SUMIF(tblAnahtarA[Norm],$A123,tblGirdi[Miktar]),1),0))</f>
        <v/>
      </c>
      <c r="D123" s="17">
        <f>IF($A123="","",IFERROR(SUMIF(tblAnahtarA[Norm],$A123,tblGirdi[Miktar]),0))</f>
        <v/>
      </c>
      <c r="E123" s="17">
        <f>IF($A123="","",IFERROR(SUMIF(tblAnahtarA[Norm],$A123,tblGirdi[KomisyonOran]),0))</f>
        <v/>
      </c>
      <c r="F123" s="17">
        <f>IF($A123="","",ROUND($B123*$E123,2))</f>
        <v/>
      </c>
      <c r="G123" s="17">
        <f>IF($A123="","",IFERROR(SUMIF(tblAnahtarB[NormB],$A123,tblHakedis[TyPlus]),0))</f>
        <v/>
      </c>
      <c r="H123" s="17">
        <f>IF($A123="","",IFERROR(SUMIF(tblAnahtarB[NormB],$A123,tblHakedis[FlasKesinti]),0))</f>
        <v/>
      </c>
      <c r="I123" s="17">
        <f>IF($A123="","",IFERROR(SUMIF(tblAnahtarB[NormB],$A123,tblHakedis[UrunReklam]),0))</f>
        <v/>
      </c>
      <c r="J123" s="17">
        <f>IF($A123="","",IFERROR(SUMIF(tblAnahtarB[NormB],$A123,tblHakedis[DesiKargo]),0))</f>
        <v/>
      </c>
      <c r="K123" s="17">
        <f>IF($A123="","",ROUND($F123+$G123+$H123+$I123+$J123,2))</f>
        <v/>
      </c>
      <c r="L123" s="17">
        <f>IF($A123="","",ROUND($B123-$C123,2))</f>
        <v/>
      </c>
      <c r="M123" s="17">
        <f>IF($A123="","",ROUND($B123-$C123-$K123,2))</f>
        <v/>
      </c>
      <c r="N123" s="17">
        <f>IF(OR($A123="",$B123=0),0,$M123/$B123)</f>
        <v/>
      </c>
      <c r="O123" s="17">
        <f>IF($A123="","",IF((1-$E123)&lt;=0,0,IF($D123=0,0,ROUND(($C123+$G123+$H123+$I123+$J123)/$D123/(1-$E123),2))))</f>
        <v/>
      </c>
      <c r="P123" s="17">
        <f>IF($A123="","",IFERROR(SUMIF(tblAnahtarA[Norm],$A123,tblGirdi[HedefNet]),0))</f>
        <v/>
      </c>
      <c r="Q123" s="17">
        <f>IF($A123="","",ROUND($M123-$P123,2))</f>
        <v/>
      </c>
      <c r="R123" s="17">
        <f>IF($A123="","",ROUND($B123-$K123,2))</f>
        <v/>
      </c>
      <c r="S123" s="17">
        <f>IF($A123="","",IF($N123&lt;0,"ÇEKİL",IF($N123&lt;tyk_esikMarjDusuk,"ZAM","SAT")))</f>
        <v/>
      </c>
      <c r="T123" s="17">
        <f>IF($A123="","",$L123-$F123)</f>
        <v/>
      </c>
      <c r="U123" s="17">
        <f>IF($A123="","",$M123-$Q123)</f>
        <v/>
      </c>
      <c r="V123" s="17">
        <f>IF($A123="","",$R123-$M123)</f>
        <v/>
      </c>
    </row>
    <row r="124">
      <c r="A124" s="17">
        <f>IF('ANAHTAR'!$B124="","",'ANAHTAR'!$B124)</f>
        <v/>
      </c>
      <c r="B124" s="17">
        <f>IF($A124="","",IFERROR(SUMIF(tblAnahtarA[Norm],$A124,tblGirdi[ToplamSatis]),0))</f>
        <v/>
      </c>
      <c r="C124" s="17">
        <f>IF($A124="","",IFERROR(SUMIF(tblAnahtarA[Norm],$A124,tblGirdi[Maliyet])*IFERROR(SUMIF(tblAnahtarA[Norm],$A124,tblGirdi[Miktar]),1),0))</f>
        <v/>
      </c>
      <c r="D124" s="17">
        <f>IF($A124="","",IFERROR(SUMIF(tblAnahtarA[Norm],$A124,tblGirdi[Miktar]),0))</f>
        <v/>
      </c>
      <c r="E124" s="17">
        <f>IF($A124="","",IFERROR(SUMIF(tblAnahtarA[Norm],$A124,tblGirdi[KomisyonOran]),0))</f>
        <v/>
      </c>
      <c r="F124" s="17">
        <f>IF($A124="","",ROUND($B124*$E124,2))</f>
        <v/>
      </c>
      <c r="G124" s="17">
        <f>IF($A124="","",IFERROR(SUMIF(tblAnahtarB[NormB],$A124,tblHakedis[TyPlus]),0))</f>
        <v/>
      </c>
      <c r="H124" s="17">
        <f>IF($A124="","",IFERROR(SUMIF(tblAnahtarB[NormB],$A124,tblHakedis[FlasKesinti]),0))</f>
        <v/>
      </c>
      <c r="I124" s="17">
        <f>IF($A124="","",IFERROR(SUMIF(tblAnahtarB[NormB],$A124,tblHakedis[UrunReklam]),0))</f>
        <v/>
      </c>
      <c r="J124" s="17">
        <f>IF($A124="","",IFERROR(SUMIF(tblAnahtarB[NormB],$A124,tblHakedis[DesiKargo]),0))</f>
        <v/>
      </c>
      <c r="K124" s="17">
        <f>IF($A124="","",ROUND($F124+$G124+$H124+$I124+$J124,2))</f>
        <v/>
      </c>
      <c r="L124" s="17">
        <f>IF($A124="","",ROUND($B124-$C124,2))</f>
        <v/>
      </c>
      <c r="M124" s="17">
        <f>IF($A124="","",ROUND($B124-$C124-$K124,2))</f>
        <v/>
      </c>
      <c r="N124" s="17">
        <f>IF(OR($A124="",$B124=0),0,$M124/$B124)</f>
        <v/>
      </c>
      <c r="O124" s="17">
        <f>IF($A124="","",IF((1-$E124)&lt;=0,0,IF($D124=0,0,ROUND(($C124+$G124+$H124+$I124+$J124)/$D124/(1-$E124),2))))</f>
        <v/>
      </c>
      <c r="P124" s="17">
        <f>IF($A124="","",IFERROR(SUMIF(tblAnahtarA[Norm],$A124,tblGirdi[HedefNet]),0))</f>
        <v/>
      </c>
      <c r="Q124" s="17">
        <f>IF($A124="","",ROUND($M124-$P124,2))</f>
        <v/>
      </c>
      <c r="R124" s="17">
        <f>IF($A124="","",ROUND($B124-$K124,2))</f>
        <v/>
      </c>
      <c r="S124" s="17">
        <f>IF($A124="","",IF($N124&lt;0,"ÇEKİL",IF($N124&lt;tyk_esikMarjDusuk,"ZAM","SAT")))</f>
        <v/>
      </c>
      <c r="T124" s="17">
        <f>IF($A124="","",$L124-$F124)</f>
        <v/>
      </c>
      <c r="U124" s="17">
        <f>IF($A124="","",$M124-$Q124)</f>
        <v/>
      </c>
      <c r="V124" s="17">
        <f>IF($A124="","",$R124-$M124)</f>
        <v/>
      </c>
    </row>
    <row r="125">
      <c r="A125" s="17">
        <f>IF('ANAHTAR'!$B125="","",'ANAHTAR'!$B125)</f>
        <v/>
      </c>
      <c r="B125" s="17">
        <f>IF($A125="","",IFERROR(SUMIF(tblAnahtarA[Norm],$A125,tblGirdi[ToplamSatis]),0))</f>
        <v/>
      </c>
      <c r="C125" s="17">
        <f>IF($A125="","",IFERROR(SUMIF(tblAnahtarA[Norm],$A125,tblGirdi[Maliyet])*IFERROR(SUMIF(tblAnahtarA[Norm],$A125,tblGirdi[Miktar]),1),0))</f>
        <v/>
      </c>
      <c r="D125" s="17">
        <f>IF($A125="","",IFERROR(SUMIF(tblAnahtarA[Norm],$A125,tblGirdi[Miktar]),0))</f>
        <v/>
      </c>
      <c r="E125" s="17">
        <f>IF($A125="","",IFERROR(SUMIF(tblAnahtarA[Norm],$A125,tblGirdi[KomisyonOran]),0))</f>
        <v/>
      </c>
      <c r="F125" s="17">
        <f>IF($A125="","",ROUND($B125*$E125,2))</f>
        <v/>
      </c>
      <c r="G125" s="17">
        <f>IF($A125="","",IFERROR(SUMIF(tblAnahtarB[NormB],$A125,tblHakedis[TyPlus]),0))</f>
        <v/>
      </c>
      <c r="H125" s="17">
        <f>IF($A125="","",IFERROR(SUMIF(tblAnahtarB[NormB],$A125,tblHakedis[FlasKesinti]),0))</f>
        <v/>
      </c>
      <c r="I125" s="17">
        <f>IF($A125="","",IFERROR(SUMIF(tblAnahtarB[NormB],$A125,tblHakedis[UrunReklam]),0))</f>
        <v/>
      </c>
      <c r="J125" s="17">
        <f>IF($A125="","",IFERROR(SUMIF(tblAnahtarB[NormB],$A125,tblHakedis[DesiKargo]),0))</f>
        <v/>
      </c>
      <c r="K125" s="17">
        <f>IF($A125="","",ROUND($F125+$G125+$H125+$I125+$J125,2))</f>
        <v/>
      </c>
      <c r="L125" s="17">
        <f>IF($A125="","",ROUND($B125-$C125,2))</f>
        <v/>
      </c>
      <c r="M125" s="17">
        <f>IF($A125="","",ROUND($B125-$C125-$K125,2))</f>
        <v/>
      </c>
      <c r="N125" s="17">
        <f>IF(OR($A125="",$B125=0),0,$M125/$B125)</f>
        <v/>
      </c>
      <c r="O125" s="17">
        <f>IF($A125="","",IF((1-$E125)&lt;=0,0,IF($D125=0,0,ROUND(($C125+$G125+$H125+$I125+$J125)/$D125/(1-$E125),2))))</f>
        <v/>
      </c>
      <c r="P125" s="17">
        <f>IF($A125="","",IFERROR(SUMIF(tblAnahtarA[Norm],$A125,tblGirdi[HedefNet]),0))</f>
        <v/>
      </c>
      <c r="Q125" s="17">
        <f>IF($A125="","",ROUND($M125-$P125,2))</f>
        <v/>
      </c>
      <c r="R125" s="17">
        <f>IF($A125="","",ROUND($B125-$K125,2))</f>
        <v/>
      </c>
      <c r="S125" s="17">
        <f>IF($A125="","",IF($N125&lt;0,"ÇEKİL",IF($N125&lt;tyk_esikMarjDusuk,"ZAM","SAT")))</f>
        <v/>
      </c>
      <c r="T125" s="17">
        <f>IF($A125="","",$L125-$F125)</f>
        <v/>
      </c>
      <c r="U125" s="17">
        <f>IF($A125="","",$M125-$Q125)</f>
        <v/>
      </c>
      <c r="V125" s="17">
        <f>IF($A125="","",$R125-$M125)</f>
        <v/>
      </c>
    </row>
    <row r="126">
      <c r="A126" s="17">
        <f>IF('ANAHTAR'!$B126="","",'ANAHTAR'!$B126)</f>
        <v/>
      </c>
      <c r="B126" s="17">
        <f>IF($A126="","",IFERROR(SUMIF(tblAnahtarA[Norm],$A126,tblGirdi[ToplamSatis]),0))</f>
        <v/>
      </c>
      <c r="C126" s="17">
        <f>IF($A126="","",IFERROR(SUMIF(tblAnahtarA[Norm],$A126,tblGirdi[Maliyet])*IFERROR(SUMIF(tblAnahtarA[Norm],$A126,tblGirdi[Miktar]),1),0))</f>
        <v/>
      </c>
      <c r="D126" s="17">
        <f>IF($A126="","",IFERROR(SUMIF(tblAnahtarA[Norm],$A126,tblGirdi[Miktar]),0))</f>
        <v/>
      </c>
      <c r="E126" s="17">
        <f>IF($A126="","",IFERROR(SUMIF(tblAnahtarA[Norm],$A126,tblGirdi[KomisyonOran]),0))</f>
        <v/>
      </c>
      <c r="F126" s="17">
        <f>IF($A126="","",ROUND($B126*$E126,2))</f>
        <v/>
      </c>
      <c r="G126" s="17">
        <f>IF($A126="","",IFERROR(SUMIF(tblAnahtarB[NormB],$A126,tblHakedis[TyPlus]),0))</f>
        <v/>
      </c>
      <c r="H126" s="17">
        <f>IF($A126="","",IFERROR(SUMIF(tblAnahtarB[NormB],$A126,tblHakedis[FlasKesinti]),0))</f>
        <v/>
      </c>
      <c r="I126" s="17">
        <f>IF($A126="","",IFERROR(SUMIF(tblAnahtarB[NormB],$A126,tblHakedis[UrunReklam]),0))</f>
        <v/>
      </c>
      <c r="J126" s="17">
        <f>IF($A126="","",IFERROR(SUMIF(tblAnahtarB[NormB],$A126,tblHakedis[DesiKargo]),0))</f>
        <v/>
      </c>
      <c r="K126" s="17">
        <f>IF($A126="","",ROUND($F126+$G126+$H126+$I126+$J126,2))</f>
        <v/>
      </c>
      <c r="L126" s="17">
        <f>IF($A126="","",ROUND($B126-$C126,2))</f>
        <v/>
      </c>
      <c r="M126" s="17">
        <f>IF($A126="","",ROUND($B126-$C126-$K126,2))</f>
        <v/>
      </c>
      <c r="N126" s="17">
        <f>IF(OR($A126="",$B126=0),0,$M126/$B126)</f>
        <v/>
      </c>
      <c r="O126" s="17">
        <f>IF($A126="","",IF((1-$E126)&lt;=0,0,IF($D126=0,0,ROUND(($C126+$G126+$H126+$I126+$J126)/$D126/(1-$E126),2))))</f>
        <v/>
      </c>
      <c r="P126" s="17">
        <f>IF($A126="","",IFERROR(SUMIF(tblAnahtarA[Norm],$A126,tblGirdi[HedefNet]),0))</f>
        <v/>
      </c>
      <c r="Q126" s="17">
        <f>IF($A126="","",ROUND($M126-$P126,2))</f>
        <v/>
      </c>
      <c r="R126" s="17">
        <f>IF($A126="","",ROUND($B126-$K126,2))</f>
        <v/>
      </c>
      <c r="S126" s="17">
        <f>IF($A126="","",IF($N126&lt;0,"ÇEKİL",IF($N126&lt;tyk_esikMarjDusuk,"ZAM","SAT")))</f>
        <v/>
      </c>
      <c r="T126" s="17">
        <f>IF($A126="","",$L126-$F126)</f>
        <v/>
      </c>
      <c r="U126" s="17">
        <f>IF($A126="","",$M126-$Q126)</f>
        <v/>
      </c>
      <c r="V126" s="17">
        <f>IF($A126="","",$R126-$M126)</f>
        <v/>
      </c>
    </row>
    <row r="127">
      <c r="A127" s="17">
        <f>IF('ANAHTAR'!$B127="","",'ANAHTAR'!$B127)</f>
        <v/>
      </c>
      <c r="B127" s="17">
        <f>IF($A127="","",IFERROR(SUMIF(tblAnahtarA[Norm],$A127,tblGirdi[ToplamSatis]),0))</f>
        <v/>
      </c>
      <c r="C127" s="17">
        <f>IF($A127="","",IFERROR(SUMIF(tblAnahtarA[Norm],$A127,tblGirdi[Maliyet])*IFERROR(SUMIF(tblAnahtarA[Norm],$A127,tblGirdi[Miktar]),1),0))</f>
        <v/>
      </c>
      <c r="D127" s="17">
        <f>IF($A127="","",IFERROR(SUMIF(tblAnahtarA[Norm],$A127,tblGirdi[Miktar]),0))</f>
        <v/>
      </c>
      <c r="E127" s="17">
        <f>IF($A127="","",IFERROR(SUMIF(tblAnahtarA[Norm],$A127,tblGirdi[KomisyonOran]),0))</f>
        <v/>
      </c>
      <c r="F127" s="17">
        <f>IF($A127="","",ROUND($B127*$E127,2))</f>
        <v/>
      </c>
      <c r="G127" s="17">
        <f>IF($A127="","",IFERROR(SUMIF(tblAnahtarB[NormB],$A127,tblHakedis[TyPlus]),0))</f>
        <v/>
      </c>
      <c r="H127" s="17">
        <f>IF($A127="","",IFERROR(SUMIF(tblAnahtarB[NormB],$A127,tblHakedis[FlasKesinti]),0))</f>
        <v/>
      </c>
      <c r="I127" s="17">
        <f>IF($A127="","",IFERROR(SUMIF(tblAnahtarB[NormB],$A127,tblHakedis[UrunReklam]),0))</f>
        <v/>
      </c>
      <c r="J127" s="17">
        <f>IF($A127="","",IFERROR(SUMIF(tblAnahtarB[NormB],$A127,tblHakedis[DesiKargo]),0))</f>
        <v/>
      </c>
      <c r="K127" s="17">
        <f>IF($A127="","",ROUND($F127+$G127+$H127+$I127+$J127,2))</f>
        <v/>
      </c>
      <c r="L127" s="17">
        <f>IF($A127="","",ROUND($B127-$C127,2))</f>
        <v/>
      </c>
      <c r="M127" s="17">
        <f>IF($A127="","",ROUND($B127-$C127-$K127,2))</f>
        <v/>
      </c>
      <c r="N127" s="17">
        <f>IF(OR($A127="",$B127=0),0,$M127/$B127)</f>
        <v/>
      </c>
      <c r="O127" s="17">
        <f>IF($A127="","",IF((1-$E127)&lt;=0,0,IF($D127=0,0,ROUND(($C127+$G127+$H127+$I127+$J127)/$D127/(1-$E127),2))))</f>
        <v/>
      </c>
      <c r="P127" s="17">
        <f>IF($A127="","",IFERROR(SUMIF(tblAnahtarA[Norm],$A127,tblGirdi[HedefNet]),0))</f>
        <v/>
      </c>
      <c r="Q127" s="17">
        <f>IF($A127="","",ROUND($M127-$P127,2))</f>
        <v/>
      </c>
      <c r="R127" s="17">
        <f>IF($A127="","",ROUND($B127-$K127,2))</f>
        <v/>
      </c>
      <c r="S127" s="17">
        <f>IF($A127="","",IF($N127&lt;0,"ÇEKİL",IF($N127&lt;tyk_esikMarjDusuk,"ZAM","SAT")))</f>
        <v/>
      </c>
      <c r="T127" s="17">
        <f>IF($A127="","",$L127-$F127)</f>
        <v/>
      </c>
      <c r="U127" s="17">
        <f>IF($A127="","",$M127-$Q127)</f>
        <v/>
      </c>
      <c r="V127" s="17">
        <f>IF($A127="","",$R127-$M127)</f>
        <v/>
      </c>
    </row>
    <row r="128">
      <c r="A128" s="17">
        <f>IF('ANAHTAR'!$B128="","",'ANAHTAR'!$B128)</f>
        <v/>
      </c>
      <c r="B128" s="17">
        <f>IF($A128="","",IFERROR(SUMIF(tblAnahtarA[Norm],$A128,tblGirdi[ToplamSatis]),0))</f>
        <v/>
      </c>
      <c r="C128" s="17">
        <f>IF($A128="","",IFERROR(SUMIF(tblAnahtarA[Norm],$A128,tblGirdi[Maliyet])*IFERROR(SUMIF(tblAnahtarA[Norm],$A128,tblGirdi[Miktar]),1),0))</f>
        <v/>
      </c>
      <c r="D128" s="17">
        <f>IF($A128="","",IFERROR(SUMIF(tblAnahtarA[Norm],$A128,tblGirdi[Miktar]),0))</f>
        <v/>
      </c>
      <c r="E128" s="17">
        <f>IF($A128="","",IFERROR(SUMIF(tblAnahtarA[Norm],$A128,tblGirdi[KomisyonOran]),0))</f>
        <v/>
      </c>
      <c r="F128" s="17">
        <f>IF($A128="","",ROUND($B128*$E128,2))</f>
        <v/>
      </c>
      <c r="G128" s="17">
        <f>IF($A128="","",IFERROR(SUMIF(tblAnahtarB[NormB],$A128,tblHakedis[TyPlus]),0))</f>
        <v/>
      </c>
      <c r="H128" s="17">
        <f>IF($A128="","",IFERROR(SUMIF(tblAnahtarB[NormB],$A128,tblHakedis[FlasKesinti]),0))</f>
        <v/>
      </c>
      <c r="I128" s="17">
        <f>IF($A128="","",IFERROR(SUMIF(tblAnahtarB[NormB],$A128,tblHakedis[UrunReklam]),0))</f>
        <v/>
      </c>
      <c r="J128" s="17">
        <f>IF($A128="","",IFERROR(SUMIF(tblAnahtarB[NormB],$A128,tblHakedis[DesiKargo]),0))</f>
        <v/>
      </c>
      <c r="K128" s="17">
        <f>IF($A128="","",ROUND($F128+$G128+$H128+$I128+$J128,2))</f>
        <v/>
      </c>
      <c r="L128" s="17">
        <f>IF($A128="","",ROUND($B128-$C128,2))</f>
        <v/>
      </c>
      <c r="M128" s="17">
        <f>IF($A128="","",ROUND($B128-$C128-$K128,2))</f>
        <v/>
      </c>
      <c r="N128" s="17">
        <f>IF(OR($A128="",$B128=0),0,$M128/$B128)</f>
        <v/>
      </c>
      <c r="O128" s="17">
        <f>IF($A128="","",IF((1-$E128)&lt;=0,0,IF($D128=0,0,ROUND(($C128+$G128+$H128+$I128+$J128)/$D128/(1-$E128),2))))</f>
        <v/>
      </c>
      <c r="P128" s="17">
        <f>IF($A128="","",IFERROR(SUMIF(tblAnahtarA[Norm],$A128,tblGirdi[HedefNet]),0))</f>
        <v/>
      </c>
      <c r="Q128" s="17">
        <f>IF($A128="","",ROUND($M128-$P128,2))</f>
        <v/>
      </c>
      <c r="R128" s="17">
        <f>IF($A128="","",ROUND($B128-$K128,2))</f>
        <v/>
      </c>
      <c r="S128" s="17">
        <f>IF($A128="","",IF($N128&lt;0,"ÇEKİL",IF($N128&lt;tyk_esikMarjDusuk,"ZAM","SAT")))</f>
        <v/>
      </c>
      <c r="T128" s="17">
        <f>IF($A128="","",$L128-$F128)</f>
        <v/>
      </c>
      <c r="U128" s="17">
        <f>IF($A128="","",$M128-$Q128)</f>
        <v/>
      </c>
      <c r="V128" s="17">
        <f>IF($A128="","",$R128-$M128)</f>
        <v/>
      </c>
    </row>
    <row r="129">
      <c r="A129" s="17">
        <f>IF('ANAHTAR'!$B129="","",'ANAHTAR'!$B129)</f>
        <v/>
      </c>
      <c r="B129" s="17">
        <f>IF($A129="","",IFERROR(SUMIF(tblAnahtarA[Norm],$A129,tblGirdi[ToplamSatis]),0))</f>
        <v/>
      </c>
      <c r="C129" s="17">
        <f>IF($A129="","",IFERROR(SUMIF(tblAnahtarA[Norm],$A129,tblGirdi[Maliyet])*IFERROR(SUMIF(tblAnahtarA[Norm],$A129,tblGirdi[Miktar]),1),0))</f>
        <v/>
      </c>
      <c r="D129" s="17">
        <f>IF($A129="","",IFERROR(SUMIF(tblAnahtarA[Norm],$A129,tblGirdi[Miktar]),0))</f>
        <v/>
      </c>
      <c r="E129" s="17">
        <f>IF($A129="","",IFERROR(SUMIF(tblAnahtarA[Norm],$A129,tblGirdi[KomisyonOran]),0))</f>
        <v/>
      </c>
      <c r="F129" s="17">
        <f>IF($A129="","",ROUND($B129*$E129,2))</f>
        <v/>
      </c>
      <c r="G129" s="17">
        <f>IF($A129="","",IFERROR(SUMIF(tblAnahtarB[NormB],$A129,tblHakedis[TyPlus]),0))</f>
        <v/>
      </c>
      <c r="H129" s="17">
        <f>IF($A129="","",IFERROR(SUMIF(tblAnahtarB[NormB],$A129,tblHakedis[FlasKesinti]),0))</f>
        <v/>
      </c>
      <c r="I129" s="17">
        <f>IF($A129="","",IFERROR(SUMIF(tblAnahtarB[NormB],$A129,tblHakedis[UrunReklam]),0))</f>
        <v/>
      </c>
      <c r="J129" s="17">
        <f>IF($A129="","",IFERROR(SUMIF(tblAnahtarB[NormB],$A129,tblHakedis[DesiKargo]),0))</f>
        <v/>
      </c>
      <c r="K129" s="17">
        <f>IF($A129="","",ROUND($F129+$G129+$H129+$I129+$J129,2))</f>
        <v/>
      </c>
      <c r="L129" s="17">
        <f>IF($A129="","",ROUND($B129-$C129,2))</f>
        <v/>
      </c>
      <c r="M129" s="17">
        <f>IF($A129="","",ROUND($B129-$C129-$K129,2))</f>
        <v/>
      </c>
      <c r="N129" s="17">
        <f>IF(OR($A129="",$B129=0),0,$M129/$B129)</f>
        <v/>
      </c>
      <c r="O129" s="17">
        <f>IF($A129="","",IF((1-$E129)&lt;=0,0,IF($D129=0,0,ROUND(($C129+$G129+$H129+$I129+$J129)/$D129/(1-$E129),2))))</f>
        <v/>
      </c>
      <c r="P129" s="17">
        <f>IF($A129="","",IFERROR(SUMIF(tblAnahtarA[Norm],$A129,tblGirdi[HedefNet]),0))</f>
        <v/>
      </c>
      <c r="Q129" s="17">
        <f>IF($A129="","",ROUND($M129-$P129,2))</f>
        <v/>
      </c>
      <c r="R129" s="17">
        <f>IF($A129="","",ROUND($B129-$K129,2))</f>
        <v/>
      </c>
      <c r="S129" s="17">
        <f>IF($A129="","",IF($N129&lt;0,"ÇEKİL",IF($N129&lt;tyk_esikMarjDusuk,"ZAM","SAT")))</f>
        <v/>
      </c>
      <c r="T129" s="17">
        <f>IF($A129="","",$L129-$F129)</f>
        <v/>
      </c>
      <c r="U129" s="17">
        <f>IF($A129="","",$M129-$Q129)</f>
        <v/>
      </c>
      <c r="V129" s="17">
        <f>IF($A129="","",$R129-$M129)</f>
        <v/>
      </c>
    </row>
    <row r="130">
      <c r="A130" s="17">
        <f>IF('ANAHTAR'!$B130="","",'ANAHTAR'!$B130)</f>
        <v/>
      </c>
      <c r="B130" s="17">
        <f>IF($A130="","",IFERROR(SUMIF(tblAnahtarA[Norm],$A130,tblGirdi[ToplamSatis]),0))</f>
        <v/>
      </c>
      <c r="C130" s="17">
        <f>IF($A130="","",IFERROR(SUMIF(tblAnahtarA[Norm],$A130,tblGirdi[Maliyet])*IFERROR(SUMIF(tblAnahtarA[Norm],$A130,tblGirdi[Miktar]),1),0))</f>
        <v/>
      </c>
      <c r="D130" s="17">
        <f>IF($A130="","",IFERROR(SUMIF(tblAnahtarA[Norm],$A130,tblGirdi[Miktar]),0))</f>
        <v/>
      </c>
      <c r="E130" s="17">
        <f>IF($A130="","",IFERROR(SUMIF(tblAnahtarA[Norm],$A130,tblGirdi[KomisyonOran]),0))</f>
        <v/>
      </c>
      <c r="F130" s="17">
        <f>IF($A130="","",ROUND($B130*$E130,2))</f>
        <v/>
      </c>
      <c r="G130" s="17">
        <f>IF($A130="","",IFERROR(SUMIF(tblAnahtarB[NormB],$A130,tblHakedis[TyPlus]),0))</f>
        <v/>
      </c>
      <c r="H130" s="17">
        <f>IF($A130="","",IFERROR(SUMIF(tblAnahtarB[NormB],$A130,tblHakedis[FlasKesinti]),0))</f>
        <v/>
      </c>
      <c r="I130" s="17">
        <f>IF($A130="","",IFERROR(SUMIF(tblAnahtarB[NormB],$A130,tblHakedis[UrunReklam]),0))</f>
        <v/>
      </c>
      <c r="J130" s="17">
        <f>IF($A130="","",IFERROR(SUMIF(tblAnahtarB[NormB],$A130,tblHakedis[DesiKargo]),0))</f>
        <v/>
      </c>
      <c r="K130" s="17">
        <f>IF($A130="","",ROUND($F130+$G130+$H130+$I130+$J130,2))</f>
        <v/>
      </c>
      <c r="L130" s="17">
        <f>IF($A130="","",ROUND($B130-$C130,2))</f>
        <v/>
      </c>
      <c r="M130" s="17">
        <f>IF($A130="","",ROUND($B130-$C130-$K130,2))</f>
        <v/>
      </c>
      <c r="N130" s="17">
        <f>IF(OR($A130="",$B130=0),0,$M130/$B130)</f>
        <v/>
      </c>
      <c r="O130" s="17">
        <f>IF($A130="","",IF((1-$E130)&lt;=0,0,IF($D130=0,0,ROUND(($C130+$G130+$H130+$I130+$J130)/$D130/(1-$E130),2))))</f>
        <v/>
      </c>
      <c r="P130" s="17">
        <f>IF($A130="","",IFERROR(SUMIF(tblAnahtarA[Norm],$A130,tblGirdi[HedefNet]),0))</f>
        <v/>
      </c>
      <c r="Q130" s="17">
        <f>IF($A130="","",ROUND($M130-$P130,2))</f>
        <v/>
      </c>
      <c r="R130" s="17">
        <f>IF($A130="","",ROUND($B130-$K130,2))</f>
        <v/>
      </c>
      <c r="S130" s="17">
        <f>IF($A130="","",IF($N130&lt;0,"ÇEKİL",IF($N130&lt;tyk_esikMarjDusuk,"ZAM","SAT")))</f>
        <v/>
      </c>
      <c r="T130" s="17">
        <f>IF($A130="","",$L130-$F130)</f>
        <v/>
      </c>
      <c r="U130" s="17">
        <f>IF($A130="","",$M130-$Q130)</f>
        <v/>
      </c>
      <c r="V130" s="17">
        <f>IF($A130="","",$R130-$M130)</f>
        <v/>
      </c>
    </row>
    <row r="131">
      <c r="A131" s="17">
        <f>IF('ANAHTAR'!$B131="","",'ANAHTAR'!$B131)</f>
        <v/>
      </c>
      <c r="B131" s="17">
        <f>IF($A131="","",IFERROR(SUMIF(tblAnahtarA[Norm],$A131,tblGirdi[ToplamSatis]),0))</f>
        <v/>
      </c>
      <c r="C131" s="17">
        <f>IF($A131="","",IFERROR(SUMIF(tblAnahtarA[Norm],$A131,tblGirdi[Maliyet])*IFERROR(SUMIF(tblAnahtarA[Norm],$A131,tblGirdi[Miktar]),1),0))</f>
        <v/>
      </c>
      <c r="D131" s="17">
        <f>IF($A131="","",IFERROR(SUMIF(tblAnahtarA[Norm],$A131,tblGirdi[Miktar]),0))</f>
        <v/>
      </c>
      <c r="E131" s="17">
        <f>IF($A131="","",IFERROR(SUMIF(tblAnahtarA[Norm],$A131,tblGirdi[KomisyonOran]),0))</f>
        <v/>
      </c>
      <c r="F131" s="17">
        <f>IF($A131="","",ROUND($B131*$E131,2))</f>
        <v/>
      </c>
      <c r="G131" s="17">
        <f>IF($A131="","",IFERROR(SUMIF(tblAnahtarB[NormB],$A131,tblHakedis[TyPlus]),0))</f>
        <v/>
      </c>
      <c r="H131" s="17">
        <f>IF($A131="","",IFERROR(SUMIF(tblAnahtarB[NormB],$A131,tblHakedis[FlasKesinti]),0))</f>
        <v/>
      </c>
      <c r="I131" s="17">
        <f>IF($A131="","",IFERROR(SUMIF(tblAnahtarB[NormB],$A131,tblHakedis[UrunReklam]),0))</f>
        <v/>
      </c>
      <c r="J131" s="17">
        <f>IF($A131="","",IFERROR(SUMIF(tblAnahtarB[NormB],$A131,tblHakedis[DesiKargo]),0))</f>
        <v/>
      </c>
      <c r="K131" s="17">
        <f>IF($A131="","",ROUND($F131+$G131+$H131+$I131+$J131,2))</f>
        <v/>
      </c>
      <c r="L131" s="17">
        <f>IF($A131="","",ROUND($B131-$C131,2))</f>
        <v/>
      </c>
      <c r="M131" s="17">
        <f>IF($A131="","",ROUND($B131-$C131-$K131,2))</f>
        <v/>
      </c>
      <c r="N131" s="17">
        <f>IF(OR($A131="",$B131=0),0,$M131/$B131)</f>
        <v/>
      </c>
      <c r="O131" s="17">
        <f>IF($A131="","",IF((1-$E131)&lt;=0,0,IF($D131=0,0,ROUND(($C131+$G131+$H131+$I131+$J131)/$D131/(1-$E131),2))))</f>
        <v/>
      </c>
      <c r="P131" s="17">
        <f>IF($A131="","",IFERROR(SUMIF(tblAnahtarA[Norm],$A131,tblGirdi[HedefNet]),0))</f>
        <v/>
      </c>
      <c r="Q131" s="17">
        <f>IF($A131="","",ROUND($M131-$P131,2))</f>
        <v/>
      </c>
      <c r="R131" s="17">
        <f>IF($A131="","",ROUND($B131-$K131,2))</f>
        <v/>
      </c>
      <c r="S131" s="17">
        <f>IF($A131="","",IF($N131&lt;0,"ÇEKİL",IF($N131&lt;tyk_esikMarjDusuk,"ZAM","SAT")))</f>
        <v/>
      </c>
      <c r="T131" s="17">
        <f>IF($A131="","",$L131-$F131)</f>
        <v/>
      </c>
      <c r="U131" s="17">
        <f>IF($A131="","",$M131-$Q131)</f>
        <v/>
      </c>
      <c r="V131" s="17">
        <f>IF($A131="","",$R131-$M131)</f>
        <v/>
      </c>
    </row>
    <row r="132">
      <c r="A132" s="17">
        <f>IF('ANAHTAR'!$B132="","",'ANAHTAR'!$B132)</f>
        <v/>
      </c>
      <c r="B132" s="17">
        <f>IF($A132="","",IFERROR(SUMIF(tblAnahtarA[Norm],$A132,tblGirdi[ToplamSatis]),0))</f>
        <v/>
      </c>
      <c r="C132" s="17">
        <f>IF($A132="","",IFERROR(SUMIF(tblAnahtarA[Norm],$A132,tblGirdi[Maliyet])*IFERROR(SUMIF(tblAnahtarA[Norm],$A132,tblGirdi[Miktar]),1),0))</f>
        <v/>
      </c>
      <c r="D132" s="17">
        <f>IF($A132="","",IFERROR(SUMIF(tblAnahtarA[Norm],$A132,tblGirdi[Miktar]),0))</f>
        <v/>
      </c>
      <c r="E132" s="17">
        <f>IF($A132="","",IFERROR(SUMIF(tblAnahtarA[Norm],$A132,tblGirdi[KomisyonOran]),0))</f>
        <v/>
      </c>
      <c r="F132" s="17">
        <f>IF($A132="","",ROUND($B132*$E132,2))</f>
        <v/>
      </c>
      <c r="G132" s="17">
        <f>IF($A132="","",IFERROR(SUMIF(tblAnahtarB[NormB],$A132,tblHakedis[TyPlus]),0))</f>
        <v/>
      </c>
      <c r="H132" s="17">
        <f>IF($A132="","",IFERROR(SUMIF(tblAnahtarB[NormB],$A132,tblHakedis[FlasKesinti]),0))</f>
        <v/>
      </c>
      <c r="I132" s="17">
        <f>IF($A132="","",IFERROR(SUMIF(tblAnahtarB[NormB],$A132,tblHakedis[UrunReklam]),0))</f>
        <v/>
      </c>
      <c r="J132" s="17">
        <f>IF($A132="","",IFERROR(SUMIF(tblAnahtarB[NormB],$A132,tblHakedis[DesiKargo]),0))</f>
        <v/>
      </c>
      <c r="K132" s="17">
        <f>IF($A132="","",ROUND($F132+$G132+$H132+$I132+$J132,2))</f>
        <v/>
      </c>
      <c r="L132" s="17">
        <f>IF($A132="","",ROUND($B132-$C132,2))</f>
        <v/>
      </c>
      <c r="M132" s="17">
        <f>IF($A132="","",ROUND($B132-$C132-$K132,2))</f>
        <v/>
      </c>
      <c r="N132" s="17">
        <f>IF(OR($A132="",$B132=0),0,$M132/$B132)</f>
        <v/>
      </c>
      <c r="O132" s="17">
        <f>IF($A132="","",IF((1-$E132)&lt;=0,0,IF($D132=0,0,ROUND(($C132+$G132+$H132+$I132+$J132)/$D132/(1-$E132),2))))</f>
        <v/>
      </c>
      <c r="P132" s="17">
        <f>IF($A132="","",IFERROR(SUMIF(tblAnahtarA[Norm],$A132,tblGirdi[HedefNet]),0))</f>
        <v/>
      </c>
      <c r="Q132" s="17">
        <f>IF($A132="","",ROUND($M132-$P132,2))</f>
        <v/>
      </c>
      <c r="R132" s="17">
        <f>IF($A132="","",ROUND($B132-$K132,2))</f>
        <v/>
      </c>
      <c r="S132" s="17">
        <f>IF($A132="","",IF($N132&lt;0,"ÇEKİL",IF($N132&lt;tyk_esikMarjDusuk,"ZAM","SAT")))</f>
        <v/>
      </c>
      <c r="T132" s="17">
        <f>IF($A132="","",$L132-$F132)</f>
        <v/>
      </c>
      <c r="U132" s="17">
        <f>IF($A132="","",$M132-$Q132)</f>
        <v/>
      </c>
      <c r="V132" s="17">
        <f>IF($A132="","",$R132-$M132)</f>
        <v/>
      </c>
    </row>
    <row r="133">
      <c r="A133" s="17">
        <f>IF('ANAHTAR'!$B133="","",'ANAHTAR'!$B133)</f>
        <v/>
      </c>
      <c r="B133" s="17">
        <f>IF($A133="","",IFERROR(SUMIF(tblAnahtarA[Norm],$A133,tblGirdi[ToplamSatis]),0))</f>
        <v/>
      </c>
      <c r="C133" s="17">
        <f>IF($A133="","",IFERROR(SUMIF(tblAnahtarA[Norm],$A133,tblGirdi[Maliyet])*IFERROR(SUMIF(tblAnahtarA[Norm],$A133,tblGirdi[Miktar]),1),0))</f>
        <v/>
      </c>
      <c r="D133" s="17">
        <f>IF($A133="","",IFERROR(SUMIF(tblAnahtarA[Norm],$A133,tblGirdi[Miktar]),0))</f>
        <v/>
      </c>
      <c r="E133" s="17">
        <f>IF($A133="","",IFERROR(SUMIF(tblAnahtarA[Norm],$A133,tblGirdi[KomisyonOran]),0))</f>
        <v/>
      </c>
      <c r="F133" s="17">
        <f>IF($A133="","",ROUND($B133*$E133,2))</f>
        <v/>
      </c>
      <c r="G133" s="17">
        <f>IF($A133="","",IFERROR(SUMIF(tblAnahtarB[NormB],$A133,tblHakedis[TyPlus]),0))</f>
        <v/>
      </c>
      <c r="H133" s="17">
        <f>IF($A133="","",IFERROR(SUMIF(tblAnahtarB[NormB],$A133,tblHakedis[FlasKesinti]),0))</f>
        <v/>
      </c>
      <c r="I133" s="17">
        <f>IF($A133="","",IFERROR(SUMIF(tblAnahtarB[NormB],$A133,tblHakedis[UrunReklam]),0))</f>
        <v/>
      </c>
      <c r="J133" s="17">
        <f>IF($A133="","",IFERROR(SUMIF(tblAnahtarB[NormB],$A133,tblHakedis[DesiKargo]),0))</f>
        <v/>
      </c>
      <c r="K133" s="17">
        <f>IF($A133="","",ROUND($F133+$G133+$H133+$I133+$J133,2))</f>
        <v/>
      </c>
      <c r="L133" s="17">
        <f>IF($A133="","",ROUND($B133-$C133,2))</f>
        <v/>
      </c>
      <c r="M133" s="17">
        <f>IF($A133="","",ROUND($B133-$C133-$K133,2))</f>
        <v/>
      </c>
      <c r="N133" s="17">
        <f>IF(OR($A133="",$B133=0),0,$M133/$B133)</f>
        <v/>
      </c>
      <c r="O133" s="17">
        <f>IF($A133="","",IF((1-$E133)&lt;=0,0,IF($D133=0,0,ROUND(($C133+$G133+$H133+$I133+$J133)/$D133/(1-$E133),2))))</f>
        <v/>
      </c>
      <c r="P133" s="17">
        <f>IF($A133="","",IFERROR(SUMIF(tblAnahtarA[Norm],$A133,tblGirdi[HedefNet]),0))</f>
        <v/>
      </c>
      <c r="Q133" s="17">
        <f>IF($A133="","",ROUND($M133-$P133,2))</f>
        <v/>
      </c>
      <c r="R133" s="17">
        <f>IF($A133="","",ROUND($B133-$K133,2))</f>
        <v/>
      </c>
      <c r="S133" s="17">
        <f>IF($A133="","",IF($N133&lt;0,"ÇEKİL",IF($N133&lt;tyk_esikMarjDusuk,"ZAM","SAT")))</f>
        <v/>
      </c>
      <c r="T133" s="17">
        <f>IF($A133="","",$L133-$F133)</f>
        <v/>
      </c>
      <c r="U133" s="17">
        <f>IF($A133="","",$M133-$Q133)</f>
        <v/>
      </c>
      <c r="V133" s="17">
        <f>IF($A133="","",$R133-$M133)</f>
        <v/>
      </c>
    </row>
    <row r="134">
      <c r="A134" s="17">
        <f>IF('ANAHTAR'!$B134="","",'ANAHTAR'!$B134)</f>
        <v/>
      </c>
      <c r="B134" s="17">
        <f>IF($A134="","",IFERROR(SUMIF(tblAnahtarA[Norm],$A134,tblGirdi[ToplamSatis]),0))</f>
        <v/>
      </c>
      <c r="C134" s="17">
        <f>IF($A134="","",IFERROR(SUMIF(tblAnahtarA[Norm],$A134,tblGirdi[Maliyet])*IFERROR(SUMIF(tblAnahtarA[Norm],$A134,tblGirdi[Miktar]),1),0))</f>
        <v/>
      </c>
      <c r="D134" s="17">
        <f>IF($A134="","",IFERROR(SUMIF(tblAnahtarA[Norm],$A134,tblGirdi[Miktar]),0))</f>
        <v/>
      </c>
      <c r="E134" s="17">
        <f>IF($A134="","",IFERROR(SUMIF(tblAnahtarA[Norm],$A134,tblGirdi[KomisyonOran]),0))</f>
        <v/>
      </c>
      <c r="F134" s="17">
        <f>IF($A134="","",ROUND($B134*$E134,2))</f>
        <v/>
      </c>
      <c r="G134" s="17">
        <f>IF($A134="","",IFERROR(SUMIF(tblAnahtarB[NormB],$A134,tblHakedis[TyPlus]),0))</f>
        <v/>
      </c>
      <c r="H134" s="17">
        <f>IF($A134="","",IFERROR(SUMIF(tblAnahtarB[NormB],$A134,tblHakedis[FlasKesinti]),0))</f>
        <v/>
      </c>
      <c r="I134" s="17">
        <f>IF($A134="","",IFERROR(SUMIF(tblAnahtarB[NormB],$A134,tblHakedis[UrunReklam]),0))</f>
        <v/>
      </c>
      <c r="J134" s="17">
        <f>IF($A134="","",IFERROR(SUMIF(tblAnahtarB[NormB],$A134,tblHakedis[DesiKargo]),0))</f>
        <v/>
      </c>
      <c r="K134" s="17">
        <f>IF($A134="","",ROUND($F134+$G134+$H134+$I134+$J134,2))</f>
        <v/>
      </c>
      <c r="L134" s="17">
        <f>IF($A134="","",ROUND($B134-$C134,2))</f>
        <v/>
      </c>
      <c r="M134" s="17">
        <f>IF($A134="","",ROUND($B134-$C134-$K134,2))</f>
        <v/>
      </c>
      <c r="N134" s="17">
        <f>IF(OR($A134="",$B134=0),0,$M134/$B134)</f>
        <v/>
      </c>
      <c r="O134" s="17">
        <f>IF($A134="","",IF((1-$E134)&lt;=0,0,IF($D134=0,0,ROUND(($C134+$G134+$H134+$I134+$J134)/$D134/(1-$E134),2))))</f>
        <v/>
      </c>
      <c r="P134" s="17">
        <f>IF($A134="","",IFERROR(SUMIF(tblAnahtarA[Norm],$A134,tblGirdi[HedefNet]),0))</f>
        <v/>
      </c>
      <c r="Q134" s="17">
        <f>IF($A134="","",ROUND($M134-$P134,2))</f>
        <v/>
      </c>
      <c r="R134" s="17">
        <f>IF($A134="","",ROUND($B134-$K134,2))</f>
        <v/>
      </c>
      <c r="S134" s="17">
        <f>IF($A134="","",IF($N134&lt;0,"ÇEKİL",IF($N134&lt;tyk_esikMarjDusuk,"ZAM","SAT")))</f>
        <v/>
      </c>
      <c r="T134" s="17">
        <f>IF($A134="","",$L134-$F134)</f>
        <v/>
      </c>
      <c r="U134" s="17">
        <f>IF($A134="","",$M134-$Q134)</f>
        <v/>
      </c>
      <c r="V134" s="17">
        <f>IF($A134="","",$R134-$M134)</f>
        <v/>
      </c>
    </row>
    <row r="135">
      <c r="A135" s="17">
        <f>IF('ANAHTAR'!$B135="","",'ANAHTAR'!$B135)</f>
        <v/>
      </c>
      <c r="B135" s="17">
        <f>IF($A135="","",IFERROR(SUMIF(tblAnahtarA[Norm],$A135,tblGirdi[ToplamSatis]),0))</f>
        <v/>
      </c>
      <c r="C135" s="17">
        <f>IF($A135="","",IFERROR(SUMIF(tblAnahtarA[Norm],$A135,tblGirdi[Maliyet])*IFERROR(SUMIF(tblAnahtarA[Norm],$A135,tblGirdi[Miktar]),1),0))</f>
        <v/>
      </c>
      <c r="D135" s="17">
        <f>IF($A135="","",IFERROR(SUMIF(tblAnahtarA[Norm],$A135,tblGirdi[Miktar]),0))</f>
        <v/>
      </c>
      <c r="E135" s="17">
        <f>IF($A135="","",IFERROR(SUMIF(tblAnahtarA[Norm],$A135,tblGirdi[KomisyonOran]),0))</f>
        <v/>
      </c>
      <c r="F135" s="17">
        <f>IF($A135="","",ROUND($B135*$E135,2))</f>
        <v/>
      </c>
      <c r="G135" s="17">
        <f>IF($A135="","",IFERROR(SUMIF(tblAnahtarB[NormB],$A135,tblHakedis[TyPlus]),0))</f>
        <v/>
      </c>
      <c r="H135" s="17">
        <f>IF($A135="","",IFERROR(SUMIF(tblAnahtarB[NormB],$A135,tblHakedis[FlasKesinti]),0))</f>
        <v/>
      </c>
      <c r="I135" s="17">
        <f>IF($A135="","",IFERROR(SUMIF(tblAnahtarB[NormB],$A135,tblHakedis[UrunReklam]),0))</f>
        <v/>
      </c>
      <c r="J135" s="17">
        <f>IF($A135="","",IFERROR(SUMIF(tblAnahtarB[NormB],$A135,tblHakedis[DesiKargo]),0))</f>
        <v/>
      </c>
      <c r="K135" s="17">
        <f>IF($A135="","",ROUND($F135+$G135+$H135+$I135+$J135,2))</f>
        <v/>
      </c>
      <c r="L135" s="17">
        <f>IF($A135="","",ROUND($B135-$C135,2))</f>
        <v/>
      </c>
      <c r="M135" s="17">
        <f>IF($A135="","",ROUND($B135-$C135-$K135,2))</f>
        <v/>
      </c>
      <c r="N135" s="17">
        <f>IF(OR($A135="",$B135=0),0,$M135/$B135)</f>
        <v/>
      </c>
      <c r="O135" s="17">
        <f>IF($A135="","",IF((1-$E135)&lt;=0,0,IF($D135=0,0,ROUND(($C135+$G135+$H135+$I135+$J135)/$D135/(1-$E135),2))))</f>
        <v/>
      </c>
      <c r="P135" s="17">
        <f>IF($A135="","",IFERROR(SUMIF(tblAnahtarA[Norm],$A135,tblGirdi[HedefNet]),0))</f>
        <v/>
      </c>
      <c r="Q135" s="17">
        <f>IF($A135="","",ROUND($M135-$P135,2))</f>
        <v/>
      </c>
      <c r="R135" s="17">
        <f>IF($A135="","",ROUND($B135-$K135,2))</f>
        <v/>
      </c>
      <c r="S135" s="17">
        <f>IF($A135="","",IF($N135&lt;0,"ÇEKİL",IF($N135&lt;tyk_esikMarjDusuk,"ZAM","SAT")))</f>
        <v/>
      </c>
      <c r="T135" s="17">
        <f>IF($A135="","",$L135-$F135)</f>
        <v/>
      </c>
      <c r="U135" s="17">
        <f>IF($A135="","",$M135-$Q135)</f>
        <v/>
      </c>
      <c r="V135" s="17">
        <f>IF($A135="","",$R135-$M135)</f>
        <v/>
      </c>
    </row>
    <row r="136">
      <c r="A136" s="17">
        <f>IF('ANAHTAR'!$B136="","",'ANAHTAR'!$B136)</f>
        <v/>
      </c>
      <c r="B136" s="17">
        <f>IF($A136="","",IFERROR(SUMIF(tblAnahtarA[Norm],$A136,tblGirdi[ToplamSatis]),0))</f>
        <v/>
      </c>
      <c r="C136" s="17">
        <f>IF($A136="","",IFERROR(SUMIF(tblAnahtarA[Norm],$A136,tblGirdi[Maliyet])*IFERROR(SUMIF(tblAnahtarA[Norm],$A136,tblGirdi[Miktar]),1),0))</f>
        <v/>
      </c>
      <c r="D136" s="17">
        <f>IF($A136="","",IFERROR(SUMIF(tblAnahtarA[Norm],$A136,tblGirdi[Miktar]),0))</f>
        <v/>
      </c>
      <c r="E136" s="17">
        <f>IF($A136="","",IFERROR(SUMIF(tblAnahtarA[Norm],$A136,tblGirdi[KomisyonOran]),0))</f>
        <v/>
      </c>
      <c r="F136" s="17">
        <f>IF($A136="","",ROUND($B136*$E136,2))</f>
        <v/>
      </c>
      <c r="G136" s="17">
        <f>IF($A136="","",IFERROR(SUMIF(tblAnahtarB[NormB],$A136,tblHakedis[TyPlus]),0))</f>
        <v/>
      </c>
      <c r="H136" s="17">
        <f>IF($A136="","",IFERROR(SUMIF(tblAnahtarB[NormB],$A136,tblHakedis[FlasKesinti]),0))</f>
        <v/>
      </c>
      <c r="I136" s="17">
        <f>IF($A136="","",IFERROR(SUMIF(tblAnahtarB[NormB],$A136,tblHakedis[UrunReklam]),0))</f>
        <v/>
      </c>
      <c r="J136" s="17">
        <f>IF($A136="","",IFERROR(SUMIF(tblAnahtarB[NormB],$A136,tblHakedis[DesiKargo]),0))</f>
        <v/>
      </c>
      <c r="K136" s="17">
        <f>IF($A136="","",ROUND($F136+$G136+$H136+$I136+$J136,2))</f>
        <v/>
      </c>
      <c r="L136" s="17">
        <f>IF($A136="","",ROUND($B136-$C136,2))</f>
        <v/>
      </c>
      <c r="M136" s="17">
        <f>IF($A136="","",ROUND($B136-$C136-$K136,2))</f>
        <v/>
      </c>
      <c r="N136" s="17">
        <f>IF(OR($A136="",$B136=0),0,$M136/$B136)</f>
        <v/>
      </c>
      <c r="O136" s="17">
        <f>IF($A136="","",IF((1-$E136)&lt;=0,0,IF($D136=0,0,ROUND(($C136+$G136+$H136+$I136+$J136)/$D136/(1-$E136),2))))</f>
        <v/>
      </c>
      <c r="P136" s="17">
        <f>IF($A136="","",IFERROR(SUMIF(tblAnahtarA[Norm],$A136,tblGirdi[HedefNet]),0))</f>
        <v/>
      </c>
      <c r="Q136" s="17">
        <f>IF($A136="","",ROUND($M136-$P136,2))</f>
        <v/>
      </c>
      <c r="R136" s="17">
        <f>IF($A136="","",ROUND($B136-$K136,2))</f>
        <v/>
      </c>
      <c r="S136" s="17">
        <f>IF($A136="","",IF($N136&lt;0,"ÇEKİL",IF($N136&lt;tyk_esikMarjDusuk,"ZAM","SAT")))</f>
        <v/>
      </c>
      <c r="T136" s="17">
        <f>IF($A136="","",$L136-$F136)</f>
        <v/>
      </c>
      <c r="U136" s="17">
        <f>IF($A136="","",$M136-$Q136)</f>
        <v/>
      </c>
      <c r="V136" s="17">
        <f>IF($A136="","",$R136-$M136)</f>
        <v/>
      </c>
    </row>
    <row r="137">
      <c r="A137" s="17">
        <f>IF('ANAHTAR'!$B137="","",'ANAHTAR'!$B137)</f>
        <v/>
      </c>
      <c r="B137" s="17">
        <f>IF($A137="","",IFERROR(SUMIF(tblAnahtarA[Norm],$A137,tblGirdi[ToplamSatis]),0))</f>
        <v/>
      </c>
      <c r="C137" s="17">
        <f>IF($A137="","",IFERROR(SUMIF(tblAnahtarA[Norm],$A137,tblGirdi[Maliyet])*IFERROR(SUMIF(tblAnahtarA[Norm],$A137,tblGirdi[Miktar]),1),0))</f>
        <v/>
      </c>
      <c r="D137" s="17">
        <f>IF($A137="","",IFERROR(SUMIF(tblAnahtarA[Norm],$A137,tblGirdi[Miktar]),0))</f>
        <v/>
      </c>
      <c r="E137" s="17">
        <f>IF($A137="","",IFERROR(SUMIF(tblAnahtarA[Norm],$A137,tblGirdi[KomisyonOran]),0))</f>
        <v/>
      </c>
      <c r="F137" s="17">
        <f>IF($A137="","",ROUND($B137*$E137,2))</f>
        <v/>
      </c>
      <c r="G137" s="17">
        <f>IF($A137="","",IFERROR(SUMIF(tblAnahtarB[NormB],$A137,tblHakedis[TyPlus]),0))</f>
        <v/>
      </c>
      <c r="H137" s="17">
        <f>IF($A137="","",IFERROR(SUMIF(tblAnahtarB[NormB],$A137,tblHakedis[FlasKesinti]),0))</f>
        <v/>
      </c>
      <c r="I137" s="17">
        <f>IF($A137="","",IFERROR(SUMIF(tblAnahtarB[NormB],$A137,tblHakedis[UrunReklam]),0))</f>
        <v/>
      </c>
      <c r="J137" s="17">
        <f>IF($A137="","",IFERROR(SUMIF(tblAnahtarB[NormB],$A137,tblHakedis[DesiKargo]),0))</f>
        <v/>
      </c>
      <c r="K137" s="17">
        <f>IF($A137="","",ROUND($F137+$G137+$H137+$I137+$J137,2))</f>
        <v/>
      </c>
      <c r="L137" s="17">
        <f>IF($A137="","",ROUND($B137-$C137,2))</f>
        <v/>
      </c>
      <c r="M137" s="17">
        <f>IF($A137="","",ROUND($B137-$C137-$K137,2))</f>
        <v/>
      </c>
      <c r="N137" s="17">
        <f>IF(OR($A137="",$B137=0),0,$M137/$B137)</f>
        <v/>
      </c>
      <c r="O137" s="17">
        <f>IF($A137="","",IF((1-$E137)&lt;=0,0,IF($D137=0,0,ROUND(($C137+$G137+$H137+$I137+$J137)/$D137/(1-$E137),2))))</f>
        <v/>
      </c>
      <c r="P137" s="17">
        <f>IF($A137="","",IFERROR(SUMIF(tblAnahtarA[Norm],$A137,tblGirdi[HedefNet]),0))</f>
        <v/>
      </c>
      <c r="Q137" s="17">
        <f>IF($A137="","",ROUND($M137-$P137,2))</f>
        <v/>
      </c>
      <c r="R137" s="17">
        <f>IF($A137="","",ROUND($B137-$K137,2))</f>
        <v/>
      </c>
      <c r="S137" s="17">
        <f>IF($A137="","",IF($N137&lt;0,"ÇEKİL",IF($N137&lt;tyk_esikMarjDusuk,"ZAM","SAT")))</f>
        <v/>
      </c>
      <c r="T137" s="17">
        <f>IF($A137="","",$L137-$F137)</f>
        <v/>
      </c>
      <c r="U137" s="17">
        <f>IF($A137="","",$M137-$Q137)</f>
        <v/>
      </c>
      <c r="V137" s="17">
        <f>IF($A137="","",$R137-$M137)</f>
        <v/>
      </c>
    </row>
    <row r="138">
      <c r="A138" s="17">
        <f>IF('ANAHTAR'!$B138="","",'ANAHTAR'!$B138)</f>
        <v/>
      </c>
      <c r="B138" s="17">
        <f>IF($A138="","",IFERROR(SUMIF(tblAnahtarA[Norm],$A138,tblGirdi[ToplamSatis]),0))</f>
        <v/>
      </c>
      <c r="C138" s="17">
        <f>IF($A138="","",IFERROR(SUMIF(tblAnahtarA[Norm],$A138,tblGirdi[Maliyet])*IFERROR(SUMIF(tblAnahtarA[Norm],$A138,tblGirdi[Miktar]),1),0))</f>
        <v/>
      </c>
      <c r="D138" s="17">
        <f>IF($A138="","",IFERROR(SUMIF(tblAnahtarA[Norm],$A138,tblGirdi[Miktar]),0))</f>
        <v/>
      </c>
      <c r="E138" s="17">
        <f>IF($A138="","",IFERROR(SUMIF(tblAnahtarA[Norm],$A138,tblGirdi[KomisyonOran]),0))</f>
        <v/>
      </c>
      <c r="F138" s="17">
        <f>IF($A138="","",ROUND($B138*$E138,2))</f>
        <v/>
      </c>
      <c r="G138" s="17">
        <f>IF($A138="","",IFERROR(SUMIF(tblAnahtarB[NormB],$A138,tblHakedis[TyPlus]),0))</f>
        <v/>
      </c>
      <c r="H138" s="17">
        <f>IF($A138="","",IFERROR(SUMIF(tblAnahtarB[NormB],$A138,tblHakedis[FlasKesinti]),0))</f>
        <v/>
      </c>
      <c r="I138" s="17">
        <f>IF($A138="","",IFERROR(SUMIF(tblAnahtarB[NormB],$A138,tblHakedis[UrunReklam]),0))</f>
        <v/>
      </c>
      <c r="J138" s="17">
        <f>IF($A138="","",IFERROR(SUMIF(tblAnahtarB[NormB],$A138,tblHakedis[DesiKargo]),0))</f>
        <v/>
      </c>
      <c r="K138" s="17">
        <f>IF($A138="","",ROUND($F138+$G138+$H138+$I138+$J138,2))</f>
        <v/>
      </c>
      <c r="L138" s="17">
        <f>IF($A138="","",ROUND($B138-$C138,2))</f>
        <v/>
      </c>
      <c r="M138" s="17">
        <f>IF($A138="","",ROUND($B138-$C138-$K138,2))</f>
        <v/>
      </c>
      <c r="N138" s="17">
        <f>IF(OR($A138="",$B138=0),0,$M138/$B138)</f>
        <v/>
      </c>
      <c r="O138" s="17">
        <f>IF($A138="","",IF((1-$E138)&lt;=0,0,IF($D138=0,0,ROUND(($C138+$G138+$H138+$I138+$J138)/$D138/(1-$E138),2))))</f>
        <v/>
      </c>
      <c r="P138" s="17">
        <f>IF($A138="","",IFERROR(SUMIF(tblAnahtarA[Norm],$A138,tblGirdi[HedefNet]),0))</f>
        <v/>
      </c>
      <c r="Q138" s="17">
        <f>IF($A138="","",ROUND($M138-$P138,2))</f>
        <v/>
      </c>
      <c r="R138" s="17">
        <f>IF($A138="","",ROUND($B138-$K138,2))</f>
        <v/>
      </c>
      <c r="S138" s="17">
        <f>IF($A138="","",IF($N138&lt;0,"ÇEKİL",IF($N138&lt;tyk_esikMarjDusuk,"ZAM","SAT")))</f>
        <v/>
      </c>
      <c r="T138" s="17">
        <f>IF($A138="","",$L138-$F138)</f>
        <v/>
      </c>
      <c r="U138" s="17">
        <f>IF($A138="","",$M138-$Q138)</f>
        <v/>
      </c>
      <c r="V138" s="17">
        <f>IF($A138="","",$R138-$M138)</f>
        <v/>
      </c>
    </row>
    <row r="139">
      <c r="A139" s="17">
        <f>IF('ANAHTAR'!$B139="","",'ANAHTAR'!$B139)</f>
        <v/>
      </c>
      <c r="B139" s="17">
        <f>IF($A139="","",IFERROR(SUMIF(tblAnahtarA[Norm],$A139,tblGirdi[ToplamSatis]),0))</f>
        <v/>
      </c>
      <c r="C139" s="17">
        <f>IF($A139="","",IFERROR(SUMIF(tblAnahtarA[Norm],$A139,tblGirdi[Maliyet])*IFERROR(SUMIF(tblAnahtarA[Norm],$A139,tblGirdi[Miktar]),1),0))</f>
        <v/>
      </c>
      <c r="D139" s="17">
        <f>IF($A139="","",IFERROR(SUMIF(tblAnahtarA[Norm],$A139,tblGirdi[Miktar]),0))</f>
        <v/>
      </c>
      <c r="E139" s="17">
        <f>IF($A139="","",IFERROR(SUMIF(tblAnahtarA[Norm],$A139,tblGirdi[KomisyonOran]),0))</f>
        <v/>
      </c>
      <c r="F139" s="17">
        <f>IF($A139="","",ROUND($B139*$E139,2))</f>
        <v/>
      </c>
      <c r="G139" s="17">
        <f>IF($A139="","",IFERROR(SUMIF(tblAnahtarB[NormB],$A139,tblHakedis[TyPlus]),0))</f>
        <v/>
      </c>
      <c r="H139" s="17">
        <f>IF($A139="","",IFERROR(SUMIF(tblAnahtarB[NormB],$A139,tblHakedis[FlasKesinti]),0))</f>
        <v/>
      </c>
      <c r="I139" s="17">
        <f>IF($A139="","",IFERROR(SUMIF(tblAnahtarB[NormB],$A139,tblHakedis[UrunReklam]),0))</f>
        <v/>
      </c>
      <c r="J139" s="17">
        <f>IF($A139="","",IFERROR(SUMIF(tblAnahtarB[NormB],$A139,tblHakedis[DesiKargo]),0))</f>
        <v/>
      </c>
      <c r="K139" s="17">
        <f>IF($A139="","",ROUND($F139+$G139+$H139+$I139+$J139,2))</f>
        <v/>
      </c>
      <c r="L139" s="17">
        <f>IF($A139="","",ROUND($B139-$C139,2))</f>
        <v/>
      </c>
      <c r="M139" s="17">
        <f>IF($A139="","",ROUND($B139-$C139-$K139,2))</f>
        <v/>
      </c>
      <c r="N139" s="17">
        <f>IF(OR($A139="",$B139=0),0,$M139/$B139)</f>
        <v/>
      </c>
      <c r="O139" s="17">
        <f>IF($A139="","",IF((1-$E139)&lt;=0,0,IF($D139=0,0,ROUND(($C139+$G139+$H139+$I139+$J139)/$D139/(1-$E139),2))))</f>
        <v/>
      </c>
      <c r="P139" s="17">
        <f>IF($A139="","",IFERROR(SUMIF(tblAnahtarA[Norm],$A139,tblGirdi[HedefNet]),0))</f>
        <v/>
      </c>
      <c r="Q139" s="17">
        <f>IF($A139="","",ROUND($M139-$P139,2))</f>
        <v/>
      </c>
      <c r="R139" s="17">
        <f>IF($A139="","",ROUND($B139-$K139,2))</f>
        <v/>
      </c>
      <c r="S139" s="17">
        <f>IF($A139="","",IF($N139&lt;0,"ÇEKİL",IF($N139&lt;tyk_esikMarjDusuk,"ZAM","SAT")))</f>
        <v/>
      </c>
      <c r="T139" s="17">
        <f>IF($A139="","",$L139-$F139)</f>
        <v/>
      </c>
      <c r="U139" s="17">
        <f>IF($A139="","",$M139-$Q139)</f>
        <v/>
      </c>
      <c r="V139" s="17">
        <f>IF($A139="","",$R139-$M139)</f>
        <v/>
      </c>
    </row>
    <row r="140">
      <c r="A140" s="17">
        <f>IF('ANAHTAR'!$B140="","",'ANAHTAR'!$B140)</f>
        <v/>
      </c>
      <c r="B140" s="17">
        <f>IF($A140="","",IFERROR(SUMIF(tblAnahtarA[Norm],$A140,tblGirdi[ToplamSatis]),0))</f>
        <v/>
      </c>
      <c r="C140" s="17">
        <f>IF($A140="","",IFERROR(SUMIF(tblAnahtarA[Norm],$A140,tblGirdi[Maliyet])*IFERROR(SUMIF(tblAnahtarA[Norm],$A140,tblGirdi[Miktar]),1),0))</f>
        <v/>
      </c>
      <c r="D140" s="17">
        <f>IF($A140="","",IFERROR(SUMIF(tblAnahtarA[Norm],$A140,tblGirdi[Miktar]),0))</f>
        <v/>
      </c>
      <c r="E140" s="17">
        <f>IF($A140="","",IFERROR(SUMIF(tblAnahtarA[Norm],$A140,tblGirdi[KomisyonOran]),0))</f>
        <v/>
      </c>
      <c r="F140" s="17">
        <f>IF($A140="","",ROUND($B140*$E140,2))</f>
        <v/>
      </c>
      <c r="G140" s="17">
        <f>IF($A140="","",IFERROR(SUMIF(tblAnahtarB[NormB],$A140,tblHakedis[TyPlus]),0))</f>
        <v/>
      </c>
      <c r="H140" s="17">
        <f>IF($A140="","",IFERROR(SUMIF(tblAnahtarB[NormB],$A140,tblHakedis[FlasKesinti]),0))</f>
        <v/>
      </c>
      <c r="I140" s="17">
        <f>IF($A140="","",IFERROR(SUMIF(tblAnahtarB[NormB],$A140,tblHakedis[UrunReklam]),0))</f>
        <v/>
      </c>
      <c r="J140" s="17">
        <f>IF($A140="","",IFERROR(SUMIF(tblAnahtarB[NormB],$A140,tblHakedis[DesiKargo]),0))</f>
        <v/>
      </c>
      <c r="K140" s="17">
        <f>IF($A140="","",ROUND($F140+$G140+$H140+$I140+$J140,2))</f>
        <v/>
      </c>
      <c r="L140" s="17">
        <f>IF($A140="","",ROUND($B140-$C140,2))</f>
        <v/>
      </c>
      <c r="M140" s="17">
        <f>IF($A140="","",ROUND($B140-$C140-$K140,2))</f>
        <v/>
      </c>
      <c r="N140" s="17">
        <f>IF(OR($A140="",$B140=0),0,$M140/$B140)</f>
        <v/>
      </c>
      <c r="O140" s="17">
        <f>IF($A140="","",IF((1-$E140)&lt;=0,0,IF($D140=0,0,ROUND(($C140+$G140+$H140+$I140+$J140)/$D140/(1-$E140),2))))</f>
        <v/>
      </c>
      <c r="P140" s="17">
        <f>IF($A140="","",IFERROR(SUMIF(tblAnahtarA[Norm],$A140,tblGirdi[HedefNet]),0))</f>
        <v/>
      </c>
      <c r="Q140" s="17">
        <f>IF($A140="","",ROUND($M140-$P140,2))</f>
        <v/>
      </c>
      <c r="R140" s="17">
        <f>IF($A140="","",ROUND($B140-$K140,2))</f>
        <v/>
      </c>
      <c r="S140" s="17">
        <f>IF($A140="","",IF($N140&lt;0,"ÇEKİL",IF($N140&lt;tyk_esikMarjDusuk,"ZAM","SAT")))</f>
        <v/>
      </c>
      <c r="T140" s="17">
        <f>IF($A140="","",$L140-$F140)</f>
        <v/>
      </c>
      <c r="U140" s="17">
        <f>IF($A140="","",$M140-$Q140)</f>
        <v/>
      </c>
      <c r="V140" s="17">
        <f>IF($A140="","",$R140-$M140)</f>
        <v/>
      </c>
    </row>
    <row r="141">
      <c r="A141" s="17">
        <f>IF('ANAHTAR'!$B141="","",'ANAHTAR'!$B141)</f>
        <v/>
      </c>
      <c r="B141" s="17">
        <f>IF($A141="","",IFERROR(SUMIF(tblAnahtarA[Norm],$A141,tblGirdi[ToplamSatis]),0))</f>
        <v/>
      </c>
      <c r="C141" s="17">
        <f>IF($A141="","",IFERROR(SUMIF(tblAnahtarA[Norm],$A141,tblGirdi[Maliyet])*IFERROR(SUMIF(tblAnahtarA[Norm],$A141,tblGirdi[Miktar]),1),0))</f>
        <v/>
      </c>
      <c r="D141" s="17">
        <f>IF($A141="","",IFERROR(SUMIF(tblAnahtarA[Norm],$A141,tblGirdi[Miktar]),0))</f>
        <v/>
      </c>
      <c r="E141" s="17">
        <f>IF($A141="","",IFERROR(SUMIF(tblAnahtarA[Norm],$A141,tblGirdi[KomisyonOran]),0))</f>
        <v/>
      </c>
      <c r="F141" s="17">
        <f>IF($A141="","",ROUND($B141*$E141,2))</f>
        <v/>
      </c>
      <c r="G141" s="17">
        <f>IF($A141="","",IFERROR(SUMIF(tblAnahtarB[NormB],$A141,tblHakedis[TyPlus]),0))</f>
        <v/>
      </c>
      <c r="H141" s="17">
        <f>IF($A141="","",IFERROR(SUMIF(tblAnahtarB[NormB],$A141,tblHakedis[FlasKesinti]),0))</f>
        <v/>
      </c>
      <c r="I141" s="17">
        <f>IF($A141="","",IFERROR(SUMIF(tblAnahtarB[NormB],$A141,tblHakedis[UrunReklam]),0))</f>
        <v/>
      </c>
      <c r="J141" s="17">
        <f>IF($A141="","",IFERROR(SUMIF(tblAnahtarB[NormB],$A141,tblHakedis[DesiKargo]),0))</f>
        <v/>
      </c>
      <c r="K141" s="17">
        <f>IF($A141="","",ROUND($F141+$G141+$H141+$I141+$J141,2))</f>
        <v/>
      </c>
      <c r="L141" s="17">
        <f>IF($A141="","",ROUND($B141-$C141,2))</f>
        <v/>
      </c>
      <c r="M141" s="17">
        <f>IF($A141="","",ROUND($B141-$C141-$K141,2))</f>
        <v/>
      </c>
      <c r="N141" s="17">
        <f>IF(OR($A141="",$B141=0),0,$M141/$B141)</f>
        <v/>
      </c>
      <c r="O141" s="17">
        <f>IF($A141="","",IF((1-$E141)&lt;=0,0,IF($D141=0,0,ROUND(($C141+$G141+$H141+$I141+$J141)/$D141/(1-$E141),2))))</f>
        <v/>
      </c>
      <c r="P141" s="17">
        <f>IF($A141="","",IFERROR(SUMIF(tblAnahtarA[Norm],$A141,tblGirdi[HedefNet]),0))</f>
        <v/>
      </c>
      <c r="Q141" s="17">
        <f>IF($A141="","",ROUND($M141-$P141,2))</f>
        <v/>
      </c>
      <c r="R141" s="17">
        <f>IF($A141="","",ROUND($B141-$K141,2))</f>
        <v/>
      </c>
      <c r="S141" s="17">
        <f>IF($A141="","",IF($N141&lt;0,"ÇEKİL",IF($N141&lt;tyk_esikMarjDusuk,"ZAM","SAT")))</f>
        <v/>
      </c>
      <c r="T141" s="17">
        <f>IF($A141="","",$L141-$F141)</f>
        <v/>
      </c>
      <c r="U141" s="17">
        <f>IF($A141="","",$M141-$Q141)</f>
        <v/>
      </c>
      <c r="V141" s="17">
        <f>IF($A141="","",$R141-$M141)</f>
        <v/>
      </c>
    </row>
    <row r="142">
      <c r="A142" s="17">
        <f>IF('ANAHTAR'!$B142="","",'ANAHTAR'!$B142)</f>
        <v/>
      </c>
      <c r="B142" s="17">
        <f>IF($A142="","",IFERROR(SUMIF(tblAnahtarA[Norm],$A142,tblGirdi[ToplamSatis]),0))</f>
        <v/>
      </c>
      <c r="C142" s="17">
        <f>IF($A142="","",IFERROR(SUMIF(tblAnahtarA[Norm],$A142,tblGirdi[Maliyet])*IFERROR(SUMIF(tblAnahtarA[Norm],$A142,tblGirdi[Miktar]),1),0))</f>
        <v/>
      </c>
      <c r="D142" s="17">
        <f>IF($A142="","",IFERROR(SUMIF(tblAnahtarA[Norm],$A142,tblGirdi[Miktar]),0))</f>
        <v/>
      </c>
      <c r="E142" s="17">
        <f>IF($A142="","",IFERROR(SUMIF(tblAnahtarA[Norm],$A142,tblGirdi[KomisyonOran]),0))</f>
        <v/>
      </c>
      <c r="F142" s="17">
        <f>IF($A142="","",ROUND($B142*$E142,2))</f>
        <v/>
      </c>
      <c r="G142" s="17">
        <f>IF($A142="","",IFERROR(SUMIF(tblAnahtarB[NormB],$A142,tblHakedis[TyPlus]),0))</f>
        <v/>
      </c>
      <c r="H142" s="17">
        <f>IF($A142="","",IFERROR(SUMIF(tblAnahtarB[NormB],$A142,tblHakedis[FlasKesinti]),0))</f>
        <v/>
      </c>
      <c r="I142" s="17">
        <f>IF($A142="","",IFERROR(SUMIF(tblAnahtarB[NormB],$A142,tblHakedis[UrunReklam]),0))</f>
        <v/>
      </c>
      <c r="J142" s="17">
        <f>IF($A142="","",IFERROR(SUMIF(tblAnahtarB[NormB],$A142,tblHakedis[DesiKargo]),0))</f>
        <v/>
      </c>
      <c r="K142" s="17">
        <f>IF($A142="","",ROUND($F142+$G142+$H142+$I142+$J142,2))</f>
        <v/>
      </c>
      <c r="L142" s="17">
        <f>IF($A142="","",ROUND($B142-$C142,2))</f>
        <v/>
      </c>
      <c r="M142" s="17">
        <f>IF($A142="","",ROUND($B142-$C142-$K142,2))</f>
        <v/>
      </c>
      <c r="N142" s="17">
        <f>IF(OR($A142="",$B142=0),0,$M142/$B142)</f>
        <v/>
      </c>
      <c r="O142" s="17">
        <f>IF($A142="","",IF((1-$E142)&lt;=0,0,IF($D142=0,0,ROUND(($C142+$G142+$H142+$I142+$J142)/$D142/(1-$E142),2))))</f>
        <v/>
      </c>
      <c r="P142" s="17">
        <f>IF($A142="","",IFERROR(SUMIF(tblAnahtarA[Norm],$A142,tblGirdi[HedefNet]),0))</f>
        <v/>
      </c>
      <c r="Q142" s="17">
        <f>IF($A142="","",ROUND($M142-$P142,2))</f>
        <v/>
      </c>
      <c r="R142" s="17">
        <f>IF($A142="","",ROUND($B142-$K142,2))</f>
        <v/>
      </c>
      <c r="S142" s="17">
        <f>IF($A142="","",IF($N142&lt;0,"ÇEKİL",IF($N142&lt;tyk_esikMarjDusuk,"ZAM","SAT")))</f>
        <v/>
      </c>
      <c r="T142" s="17">
        <f>IF($A142="","",$L142-$F142)</f>
        <v/>
      </c>
      <c r="U142" s="17">
        <f>IF($A142="","",$M142-$Q142)</f>
        <v/>
      </c>
      <c r="V142" s="17">
        <f>IF($A142="","",$R142-$M142)</f>
        <v/>
      </c>
    </row>
    <row r="143">
      <c r="A143" s="17">
        <f>IF('ANAHTAR'!$B143="","",'ANAHTAR'!$B143)</f>
        <v/>
      </c>
      <c r="B143" s="17">
        <f>IF($A143="","",IFERROR(SUMIF(tblAnahtarA[Norm],$A143,tblGirdi[ToplamSatis]),0))</f>
        <v/>
      </c>
      <c r="C143" s="17">
        <f>IF($A143="","",IFERROR(SUMIF(tblAnahtarA[Norm],$A143,tblGirdi[Maliyet])*IFERROR(SUMIF(tblAnahtarA[Norm],$A143,tblGirdi[Miktar]),1),0))</f>
        <v/>
      </c>
      <c r="D143" s="17">
        <f>IF($A143="","",IFERROR(SUMIF(tblAnahtarA[Norm],$A143,tblGirdi[Miktar]),0))</f>
        <v/>
      </c>
      <c r="E143" s="17">
        <f>IF($A143="","",IFERROR(SUMIF(tblAnahtarA[Norm],$A143,tblGirdi[KomisyonOran]),0))</f>
        <v/>
      </c>
      <c r="F143" s="17">
        <f>IF($A143="","",ROUND($B143*$E143,2))</f>
        <v/>
      </c>
      <c r="G143" s="17">
        <f>IF($A143="","",IFERROR(SUMIF(tblAnahtarB[NormB],$A143,tblHakedis[TyPlus]),0))</f>
        <v/>
      </c>
      <c r="H143" s="17">
        <f>IF($A143="","",IFERROR(SUMIF(tblAnahtarB[NormB],$A143,tblHakedis[FlasKesinti]),0))</f>
        <v/>
      </c>
      <c r="I143" s="17">
        <f>IF($A143="","",IFERROR(SUMIF(tblAnahtarB[NormB],$A143,tblHakedis[UrunReklam]),0))</f>
        <v/>
      </c>
      <c r="J143" s="17">
        <f>IF($A143="","",IFERROR(SUMIF(tblAnahtarB[NormB],$A143,tblHakedis[DesiKargo]),0))</f>
        <v/>
      </c>
      <c r="K143" s="17">
        <f>IF($A143="","",ROUND($F143+$G143+$H143+$I143+$J143,2))</f>
        <v/>
      </c>
      <c r="L143" s="17">
        <f>IF($A143="","",ROUND($B143-$C143,2))</f>
        <v/>
      </c>
      <c r="M143" s="17">
        <f>IF($A143="","",ROUND($B143-$C143-$K143,2))</f>
        <v/>
      </c>
      <c r="N143" s="17">
        <f>IF(OR($A143="",$B143=0),0,$M143/$B143)</f>
        <v/>
      </c>
      <c r="O143" s="17">
        <f>IF($A143="","",IF((1-$E143)&lt;=0,0,IF($D143=0,0,ROUND(($C143+$G143+$H143+$I143+$J143)/$D143/(1-$E143),2))))</f>
        <v/>
      </c>
      <c r="P143" s="17">
        <f>IF($A143="","",IFERROR(SUMIF(tblAnahtarA[Norm],$A143,tblGirdi[HedefNet]),0))</f>
        <v/>
      </c>
      <c r="Q143" s="17">
        <f>IF($A143="","",ROUND($M143-$P143,2))</f>
        <v/>
      </c>
      <c r="R143" s="17">
        <f>IF($A143="","",ROUND($B143-$K143,2))</f>
        <v/>
      </c>
      <c r="S143" s="17">
        <f>IF($A143="","",IF($N143&lt;0,"ÇEKİL",IF($N143&lt;tyk_esikMarjDusuk,"ZAM","SAT")))</f>
        <v/>
      </c>
      <c r="T143" s="17">
        <f>IF($A143="","",$L143-$F143)</f>
        <v/>
      </c>
      <c r="U143" s="17">
        <f>IF($A143="","",$M143-$Q143)</f>
        <v/>
      </c>
      <c r="V143" s="17">
        <f>IF($A143="","",$R143-$M143)</f>
        <v/>
      </c>
    </row>
    <row r="144">
      <c r="A144" s="17">
        <f>IF('ANAHTAR'!$B144="","",'ANAHTAR'!$B144)</f>
        <v/>
      </c>
      <c r="B144" s="17">
        <f>IF($A144="","",IFERROR(SUMIF(tblAnahtarA[Norm],$A144,tblGirdi[ToplamSatis]),0))</f>
        <v/>
      </c>
      <c r="C144" s="17">
        <f>IF($A144="","",IFERROR(SUMIF(tblAnahtarA[Norm],$A144,tblGirdi[Maliyet])*IFERROR(SUMIF(tblAnahtarA[Norm],$A144,tblGirdi[Miktar]),1),0))</f>
        <v/>
      </c>
      <c r="D144" s="17">
        <f>IF($A144="","",IFERROR(SUMIF(tblAnahtarA[Norm],$A144,tblGirdi[Miktar]),0))</f>
        <v/>
      </c>
      <c r="E144" s="17">
        <f>IF($A144="","",IFERROR(SUMIF(tblAnahtarA[Norm],$A144,tblGirdi[KomisyonOran]),0))</f>
        <v/>
      </c>
      <c r="F144" s="17">
        <f>IF($A144="","",ROUND($B144*$E144,2))</f>
        <v/>
      </c>
      <c r="G144" s="17">
        <f>IF($A144="","",IFERROR(SUMIF(tblAnahtarB[NormB],$A144,tblHakedis[TyPlus]),0))</f>
        <v/>
      </c>
      <c r="H144" s="17">
        <f>IF($A144="","",IFERROR(SUMIF(tblAnahtarB[NormB],$A144,tblHakedis[FlasKesinti]),0))</f>
        <v/>
      </c>
      <c r="I144" s="17">
        <f>IF($A144="","",IFERROR(SUMIF(tblAnahtarB[NormB],$A144,tblHakedis[UrunReklam]),0))</f>
        <v/>
      </c>
      <c r="J144" s="17">
        <f>IF($A144="","",IFERROR(SUMIF(tblAnahtarB[NormB],$A144,tblHakedis[DesiKargo]),0))</f>
        <v/>
      </c>
      <c r="K144" s="17">
        <f>IF($A144="","",ROUND($F144+$G144+$H144+$I144+$J144,2))</f>
        <v/>
      </c>
      <c r="L144" s="17">
        <f>IF($A144="","",ROUND($B144-$C144,2))</f>
        <v/>
      </c>
      <c r="M144" s="17">
        <f>IF($A144="","",ROUND($B144-$C144-$K144,2))</f>
        <v/>
      </c>
      <c r="N144" s="17">
        <f>IF(OR($A144="",$B144=0),0,$M144/$B144)</f>
        <v/>
      </c>
      <c r="O144" s="17">
        <f>IF($A144="","",IF((1-$E144)&lt;=0,0,IF($D144=0,0,ROUND(($C144+$G144+$H144+$I144+$J144)/$D144/(1-$E144),2))))</f>
        <v/>
      </c>
      <c r="P144" s="17">
        <f>IF($A144="","",IFERROR(SUMIF(tblAnahtarA[Norm],$A144,tblGirdi[HedefNet]),0))</f>
        <v/>
      </c>
      <c r="Q144" s="17">
        <f>IF($A144="","",ROUND($M144-$P144,2))</f>
        <v/>
      </c>
      <c r="R144" s="17">
        <f>IF($A144="","",ROUND($B144-$K144,2))</f>
        <v/>
      </c>
      <c r="S144" s="17">
        <f>IF($A144="","",IF($N144&lt;0,"ÇEKİL",IF($N144&lt;tyk_esikMarjDusuk,"ZAM","SAT")))</f>
        <v/>
      </c>
      <c r="T144" s="17">
        <f>IF($A144="","",$L144-$F144)</f>
        <v/>
      </c>
      <c r="U144" s="17">
        <f>IF($A144="","",$M144-$Q144)</f>
        <v/>
      </c>
      <c r="V144" s="17">
        <f>IF($A144="","",$R144-$M144)</f>
        <v/>
      </c>
    </row>
    <row r="145">
      <c r="A145" s="17">
        <f>IF('ANAHTAR'!$B145="","",'ANAHTAR'!$B145)</f>
        <v/>
      </c>
      <c r="B145" s="17">
        <f>IF($A145="","",IFERROR(SUMIF(tblAnahtarA[Norm],$A145,tblGirdi[ToplamSatis]),0))</f>
        <v/>
      </c>
      <c r="C145" s="17">
        <f>IF($A145="","",IFERROR(SUMIF(tblAnahtarA[Norm],$A145,tblGirdi[Maliyet])*IFERROR(SUMIF(tblAnahtarA[Norm],$A145,tblGirdi[Miktar]),1),0))</f>
        <v/>
      </c>
      <c r="D145" s="17">
        <f>IF($A145="","",IFERROR(SUMIF(tblAnahtarA[Norm],$A145,tblGirdi[Miktar]),0))</f>
        <v/>
      </c>
      <c r="E145" s="17">
        <f>IF($A145="","",IFERROR(SUMIF(tblAnahtarA[Norm],$A145,tblGirdi[KomisyonOran]),0))</f>
        <v/>
      </c>
      <c r="F145" s="17">
        <f>IF($A145="","",ROUND($B145*$E145,2))</f>
        <v/>
      </c>
      <c r="G145" s="17">
        <f>IF($A145="","",IFERROR(SUMIF(tblAnahtarB[NormB],$A145,tblHakedis[TyPlus]),0))</f>
        <v/>
      </c>
      <c r="H145" s="17">
        <f>IF($A145="","",IFERROR(SUMIF(tblAnahtarB[NormB],$A145,tblHakedis[FlasKesinti]),0))</f>
        <v/>
      </c>
      <c r="I145" s="17">
        <f>IF($A145="","",IFERROR(SUMIF(tblAnahtarB[NormB],$A145,tblHakedis[UrunReklam]),0))</f>
        <v/>
      </c>
      <c r="J145" s="17">
        <f>IF($A145="","",IFERROR(SUMIF(tblAnahtarB[NormB],$A145,tblHakedis[DesiKargo]),0))</f>
        <v/>
      </c>
      <c r="K145" s="17">
        <f>IF($A145="","",ROUND($F145+$G145+$H145+$I145+$J145,2))</f>
        <v/>
      </c>
      <c r="L145" s="17">
        <f>IF($A145="","",ROUND($B145-$C145,2))</f>
        <v/>
      </c>
      <c r="M145" s="17">
        <f>IF($A145="","",ROUND($B145-$C145-$K145,2))</f>
        <v/>
      </c>
      <c r="N145" s="17">
        <f>IF(OR($A145="",$B145=0),0,$M145/$B145)</f>
        <v/>
      </c>
      <c r="O145" s="17">
        <f>IF($A145="","",IF((1-$E145)&lt;=0,0,IF($D145=0,0,ROUND(($C145+$G145+$H145+$I145+$J145)/$D145/(1-$E145),2))))</f>
        <v/>
      </c>
      <c r="P145" s="17">
        <f>IF($A145="","",IFERROR(SUMIF(tblAnahtarA[Norm],$A145,tblGirdi[HedefNet]),0))</f>
        <v/>
      </c>
      <c r="Q145" s="17">
        <f>IF($A145="","",ROUND($M145-$P145,2))</f>
        <v/>
      </c>
      <c r="R145" s="17">
        <f>IF($A145="","",ROUND($B145-$K145,2))</f>
        <v/>
      </c>
      <c r="S145" s="17">
        <f>IF($A145="","",IF($N145&lt;0,"ÇEKİL",IF($N145&lt;tyk_esikMarjDusuk,"ZAM","SAT")))</f>
        <v/>
      </c>
      <c r="T145" s="17">
        <f>IF($A145="","",$L145-$F145)</f>
        <v/>
      </c>
      <c r="U145" s="17">
        <f>IF($A145="","",$M145-$Q145)</f>
        <v/>
      </c>
      <c r="V145" s="17">
        <f>IF($A145="","",$R145-$M145)</f>
        <v/>
      </c>
    </row>
    <row r="146">
      <c r="A146" s="17">
        <f>IF('ANAHTAR'!$B146="","",'ANAHTAR'!$B146)</f>
        <v/>
      </c>
      <c r="B146" s="17">
        <f>IF($A146="","",IFERROR(SUMIF(tblAnahtarA[Norm],$A146,tblGirdi[ToplamSatis]),0))</f>
        <v/>
      </c>
      <c r="C146" s="17">
        <f>IF($A146="","",IFERROR(SUMIF(tblAnahtarA[Norm],$A146,tblGirdi[Maliyet])*IFERROR(SUMIF(tblAnahtarA[Norm],$A146,tblGirdi[Miktar]),1),0))</f>
        <v/>
      </c>
      <c r="D146" s="17">
        <f>IF($A146="","",IFERROR(SUMIF(tblAnahtarA[Norm],$A146,tblGirdi[Miktar]),0))</f>
        <v/>
      </c>
      <c r="E146" s="17">
        <f>IF($A146="","",IFERROR(SUMIF(tblAnahtarA[Norm],$A146,tblGirdi[KomisyonOran]),0))</f>
        <v/>
      </c>
      <c r="F146" s="17">
        <f>IF($A146="","",ROUND($B146*$E146,2))</f>
        <v/>
      </c>
      <c r="G146" s="17">
        <f>IF($A146="","",IFERROR(SUMIF(tblAnahtarB[NormB],$A146,tblHakedis[TyPlus]),0))</f>
        <v/>
      </c>
      <c r="H146" s="17">
        <f>IF($A146="","",IFERROR(SUMIF(tblAnahtarB[NormB],$A146,tblHakedis[FlasKesinti]),0))</f>
        <v/>
      </c>
      <c r="I146" s="17">
        <f>IF($A146="","",IFERROR(SUMIF(tblAnahtarB[NormB],$A146,tblHakedis[UrunReklam]),0))</f>
        <v/>
      </c>
      <c r="J146" s="17">
        <f>IF($A146="","",IFERROR(SUMIF(tblAnahtarB[NormB],$A146,tblHakedis[DesiKargo]),0))</f>
        <v/>
      </c>
      <c r="K146" s="17">
        <f>IF($A146="","",ROUND($F146+$G146+$H146+$I146+$J146,2))</f>
        <v/>
      </c>
      <c r="L146" s="17">
        <f>IF($A146="","",ROUND($B146-$C146,2))</f>
        <v/>
      </c>
      <c r="M146" s="17">
        <f>IF($A146="","",ROUND($B146-$C146-$K146,2))</f>
        <v/>
      </c>
      <c r="N146" s="17">
        <f>IF(OR($A146="",$B146=0),0,$M146/$B146)</f>
        <v/>
      </c>
      <c r="O146" s="17">
        <f>IF($A146="","",IF((1-$E146)&lt;=0,0,IF($D146=0,0,ROUND(($C146+$G146+$H146+$I146+$J146)/$D146/(1-$E146),2))))</f>
        <v/>
      </c>
      <c r="P146" s="17">
        <f>IF($A146="","",IFERROR(SUMIF(tblAnahtarA[Norm],$A146,tblGirdi[HedefNet]),0))</f>
        <v/>
      </c>
      <c r="Q146" s="17">
        <f>IF($A146="","",ROUND($M146-$P146,2))</f>
        <v/>
      </c>
      <c r="R146" s="17">
        <f>IF($A146="","",ROUND($B146-$K146,2))</f>
        <v/>
      </c>
      <c r="S146" s="17">
        <f>IF($A146="","",IF($N146&lt;0,"ÇEKİL",IF($N146&lt;tyk_esikMarjDusuk,"ZAM","SAT")))</f>
        <v/>
      </c>
      <c r="T146" s="17">
        <f>IF($A146="","",$L146-$F146)</f>
        <v/>
      </c>
      <c r="U146" s="17">
        <f>IF($A146="","",$M146-$Q146)</f>
        <v/>
      </c>
      <c r="V146" s="17">
        <f>IF($A146="","",$R146-$M146)</f>
        <v/>
      </c>
    </row>
    <row r="147">
      <c r="A147" s="17">
        <f>IF('ANAHTAR'!$B147="","",'ANAHTAR'!$B147)</f>
        <v/>
      </c>
      <c r="B147" s="17">
        <f>IF($A147="","",IFERROR(SUMIF(tblAnahtarA[Norm],$A147,tblGirdi[ToplamSatis]),0))</f>
        <v/>
      </c>
      <c r="C147" s="17">
        <f>IF($A147="","",IFERROR(SUMIF(tblAnahtarA[Norm],$A147,tblGirdi[Maliyet])*IFERROR(SUMIF(tblAnahtarA[Norm],$A147,tblGirdi[Miktar]),1),0))</f>
        <v/>
      </c>
      <c r="D147" s="17">
        <f>IF($A147="","",IFERROR(SUMIF(tblAnahtarA[Norm],$A147,tblGirdi[Miktar]),0))</f>
        <v/>
      </c>
      <c r="E147" s="17">
        <f>IF($A147="","",IFERROR(SUMIF(tblAnahtarA[Norm],$A147,tblGirdi[KomisyonOran]),0))</f>
        <v/>
      </c>
      <c r="F147" s="17">
        <f>IF($A147="","",ROUND($B147*$E147,2))</f>
        <v/>
      </c>
      <c r="G147" s="17">
        <f>IF($A147="","",IFERROR(SUMIF(tblAnahtarB[NormB],$A147,tblHakedis[TyPlus]),0))</f>
        <v/>
      </c>
      <c r="H147" s="17">
        <f>IF($A147="","",IFERROR(SUMIF(tblAnahtarB[NormB],$A147,tblHakedis[FlasKesinti]),0))</f>
        <v/>
      </c>
      <c r="I147" s="17">
        <f>IF($A147="","",IFERROR(SUMIF(tblAnahtarB[NormB],$A147,tblHakedis[UrunReklam]),0))</f>
        <v/>
      </c>
      <c r="J147" s="17">
        <f>IF($A147="","",IFERROR(SUMIF(tblAnahtarB[NormB],$A147,tblHakedis[DesiKargo]),0))</f>
        <v/>
      </c>
      <c r="K147" s="17">
        <f>IF($A147="","",ROUND($F147+$G147+$H147+$I147+$J147,2))</f>
        <v/>
      </c>
      <c r="L147" s="17">
        <f>IF($A147="","",ROUND($B147-$C147,2))</f>
        <v/>
      </c>
      <c r="M147" s="17">
        <f>IF($A147="","",ROUND($B147-$C147-$K147,2))</f>
        <v/>
      </c>
      <c r="N147" s="17">
        <f>IF(OR($A147="",$B147=0),0,$M147/$B147)</f>
        <v/>
      </c>
      <c r="O147" s="17">
        <f>IF($A147="","",IF((1-$E147)&lt;=0,0,IF($D147=0,0,ROUND(($C147+$G147+$H147+$I147+$J147)/$D147/(1-$E147),2))))</f>
        <v/>
      </c>
      <c r="P147" s="17">
        <f>IF($A147="","",IFERROR(SUMIF(tblAnahtarA[Norm],$A147,tblGirdi[HedefNet]),0))</f>
        <v/>
      </c>
      <c r="Q147" s="17">
        <f>IF($A147="","",ROUND($M147-$P147,2))</f>
        <v/>
      </c>
      <c r="R147" s="17">
        <f>IF($A147="","",ROUND($B147-$K147,2))</f>
        <v/>
      </c>
      <c r="S147" s="17">
        <f>IF($A147="","",IF($N147&lt;0,"ÇEKİL",IF($N147&lt;tyk_esikMarjDusuk,"ZAM","SAT")))</f>
        <v/>
      </c>
      <c r="T147" s="17">
        <f>IF($A147="","",$L147-$F147)</f>
        <v/>
      </c>
      <c r="U147" s="17">
        <f>IF($A147="","",$M147-$Q147)</f>
        <v/>
      </c>
      <c r="V147" s="17">
        <f>IF($A147="","",$R147-$M147)</f>
        <v/>
      </c>
    </row>
    <row r="148">
      <c r="A148" s="17">
        <f>IF('ANAHTAR'!$B148="","",'ANAHTAR'!$B148)</f>
        <v/>
      </c>
      <c r="B148" s="17">
        <f>IF($A148="","",IFERROR(SUMIF(tblAnahtarA[Norm],$A148,tblGirdi[ToplamSatis]),0))</f>
        <v/>
      </c>
      <c r="C148" s="17">
        <f>IF($A148="","",IFERROR(SUMIF(tblAnahtarA[Norm],$A148,tblGirdi[Maliyet])*IFERROR(SUMIF(tblAnahtarA[Norm],$A148,tblGirdi[Miktar]),1),0))</f>
        <v/>
      </c>
      <c r="D148" s="17">
        <f>IF($A148="","",IFERROR(SUMIF(tblAnahtarA[Norm],$A148,tblGirdi[Miktar]),0))</f>
        <v/>
      </c>
      <c r="E148" s="17">
        <f>IF($A148="","",IFERROR(SUMIF(tblAnahtarA[Norm],$A148,tblGirdi[KomisyonOran]),0))</f>
        <v/>
      </c>
      <c r="F148" s="17">
        <f>IF($A148="","",ROUND($B148*$E148,2))</f>
        <v/>
      </c>
      <c r="G148" s="17">
        <f>IF($A148="","",IFERROR(SUMIF(tblAnahtarB[NormB],$A148,tblHakedis[TyPlus]),0))</f>
        <v/>
      </c>
      <c r="H148" s="17">
        <f>IF($A148="","",IFERROR(SUMIF(tblAnahtarB[NormB],$A148,tblHakedis[FlasKesinti]),0))</f>
        <v/>
      </c>
      <c r="I148" s="17">
        <f>IF($A148="","",IFERROR(SUMIF(tblAnahtarB[NormB],$A148,tblHakedis[UrunReklam]),0))</f>
        <v/>
      </c>
      <c r="J148" s="17">
        <f>IF($A148="","",IFERROR(SUMIF(tblAnahtarB[NormB],$A148,tblHakedis[DesiKargo]),0))</f>
        <v/>
      </c>
      <c r="K148" s="17">
        <f>IF($A148="","",ROUND($F148+$G148+$H148+$I148+$J148,2))</f>
        <v/>
      </c>
      <c r="L148" s="17">
        <f>IF($A148="","",ROUND($B148-$C148,2))</f>
        <v/>
      </c>
      <c r="M148" s="17">
        <f>IF($A148="","",ROUND($B148-$C148-$K148,2))</f>
        <v/>
      </c>
      <c r="N148" s="17">
        <f>IF(OR($A148="",$B148=0),0,$M148/$B148)</f>
        <v/>
      </c>
      <c r="O148" s="17">
        <f>IF($A148="","",IF((1-$E148)&lt;=0,0,IF($D148=0,0,ROUND(($C148+$G148+$H148+$I148+$J148)/$D148/(1-$E148),2))))</f>
        <v/>
      </c>
      <c r="P148" s="17">
        <f>IF($A148="","",IFERROR(SUMIF(tblAnahtarA[Norm],$A148,tblGirdi[HedefNet]),0))</f>
        <v/>
      </c>
      <c r="Q148" s="17">
        <f>IF($A148="","",ROUND($M148-$P148,2))</f>
        <v/>
      </c>
      <c r="R148" s="17">
        <f>IF($A148="","",ROUND($B148-$K148,2))</f>
        <v/>
      </c>
      <c r="S148" s="17">
        <f>IF($A148="","",IF($N148&lt;0,"ÇEKİL",IF($N148&lt;tyk_esikMarjDusuk,"ZAM","SAT")))</f>
        <v/>
      </c>
      <c r="T148" s="17">
        <f>IF($A148="","",$L148-$F148)</f>
        <v/>
      </c>
      <c r="U148" s="17">
        <f>IF($A148="","",$M148-$Q148)</f>
        <v/>
      </c>
      <c r="V148" s="17">
        <f>IF($A148="","",$R148-$M148)</f>
        <v/>
      </c>
    </row>
    <row r="149">
      <c r="A149" s="17">
        <f>IF('ANAHTAR'!$B149="","",'ANAHTAR'!$B149)</f>
        <v/>
      </c>
      <c r="B149" s="17">
        <f>IF($A149="","",IFERROR(SUMIF(tblAnahtarA[Norm],$A149,tblGirdi[ToplamSatis]),0))</f>
        <v/>
      </c>
      <c r="C149" s="17">
        <f>IF($A149="","",IFERROR(SUMIF(tblAnahtarA[Norm],$A149,tblGirdi[Maliyet])*IFERROR(SUMIF(tblAnahtarA[Norm],$A149,tblGirdi[Miktar]),1),0))</f>
        <v/>
      </c>
      <c r="D149" s="17">
        <f>IF($A149="","",IFERROR(SUMIF(tblAnahtarA[Norm],$A149,tblGirdi[Miktar]),0))</f>
        <v/>
      </c>
      <c r="E149" s="17">
        <f>IF($A149="","",IFERROR(SUMIF(tblAnahtarA[Norm],$A149,tblGirdi[KomisyonOran]),0))</f>
        <v/>
      </c>
      <c r="F149" s="17">
        <f>IF($A149="","",ROUND($B149*$E149,2))</f>
        <v/>
      </c>
      <c r="G149" s="17">
        <f>IF($A149="","",IFERROR(SUMIF(tblAnahtarB[NormB],$A149,tblHakedis[TyPlus]),0))</f>
        <v/>
      </c>
      <c r="H149" s="17">
        <f>IF($A149="","",IFERROR(SUMIF(tblAnahtarB[NormB],$A149,tblHakedis[FlasKesinti]),0))</f>
        <v/>
      </c>
      <c r="I149" s="17">
        <f>IF($A149="","",IFERROR(SUMIF(tblAnahtarB[NormB],$A149,tblHakedis[UrunReklam]),0))</f>
        <v/>
      </c>
      <c r="J149" s="17">
        <f>IF($A149="","",IFERROR(SUMIF(tblAnahtarB[NormB],$A149,tblHakedis[DesiKargo]),0))</f>
        <v/>
      </c>
      <c r="K149" s="17">
        <f>IF($A149="","",ROUND($F149+$G149+$H149+$I149+$J149,2))</f>
        <v/>
      </c>
      <c r="L149" s="17">
        <f>IF($A149="","",ROUND($B149-$C149,2))</f>
        <v/>
      </c>
      <c r="M149" s="17">
        <f>IF($A149="","",ROUND($B149-$C149-$K149,2))</f>
        <v/>
      </c>
      <c r="N149" s="17">
        <f>IF(OR($A149="",$B149=0),0,$M149/$B149)</f>
        <v/>
      </c>
      <c r="O149" s="17">
        <f>IF($A149="","",IF((1-$E149)&lt;=0,0,IF($D149=0,0,ROUND(($C149+$G149+$H149+$I149+$J149)/$D149/(1-$E149),2))))</f>
        <v/>
      </c>
      <c r="P149" s="17">
        <f>IF($A149="","",IFERROR(SUMIF(tblAnahtarA[Norm],$A149,tblGirdi[HedefNet]),0))</f>
        <v/>
      </c>
      <c r="Q149" s="17">
        <f>IF($A149="","",ROUND($M149-$P149,2))</f>
        <v/>
      </c>
      <c r="R149" s="17">
        <f>IF($A149="","",ROUND($B149-$K149,2))</f>
        <v/>
      </c>
      <c r="S149" s="17">
        <f>IF($A149="","",IF($N149&lt;0,"ÇEKİL",IF($N149&lt;tyk_esikMarjDusuk,"ZAM","SAT")))</f>
        <v/>
      </c>
      <c r="T149" s="17">
        <f>IF($A149="","",$L149-$F149)</f>
        <v/>
      </c>
      <c r="U149" s="17">
        <f>IF($A149="","",$M149-$Q149)</f>
        <v/>
      </c>
      <c r="V149" s="17">
        <f>IF($A149="","",$R149-$M149)</f>
        <v/>
      </c>
    </row>
    <row r="150">
      <c r="A150" s="17">
        <f>IF('ANAHTAR'!$B150="","",'ANAHTAR'!$B150)</f>
        <v/>
      </c>
      <c r="B150" s="17">
        <f>IF($A150="","",IFERROR(SUMIF(tblAnahtarA[Norm],$A150,tblGirdi[ToplamSatis]),0))</f>
        <v/>
      </c>
      <c r="C150" s="17">
        <f>IF($A150="","",IFERROR(SUMIF(tblAnahtarA[Norm],$A150,tblGirdi[Maliyet])*IFERROR(SUMIF(tblAnahtarA[Norm],$A150,tblGirdi[Miktar]),1),0))</f>
        <v/>
      </c>
      <c r="D150" s="17">
        <f>IF($A150="","",IFERROR(SUMIF(tblAnahtarA[Norm],$A150,tblGirdi[Miktar]),0))</f>
        <v/>
      </c>
      <c r="E150" s="17">
        <f>IF($A150="","",IFERROR(SUMIF(tblAnahtarA[Norm],$A150,tblGirdi[KomisyonOran]),0))</f>
        <v/>
      </c>
      <c r="F150" s="17">
        <f>IF($A150="","",ROUND($B150*$E150,2))</f>
        <v/>
      </c>
      <c r="G150" s="17">
        <f>IF($A150="","",IFERROR(SUMIF(tblAnahtarB[NormB],$A150,tblHakedis[TyPlus]),0))</f>
        <v/>
      </c>
      <c r="H150" s="17">
        <f>IF($A150="","",IFERROR(SUMIF(tblAnahtarB[NormB],$A150,tblHakedis[FlasKesinti]),0))</f>
        <v/>
      </c>
      <c r="I150" s="17">
        <f>IF($A150="","",IFERROR(SUMIF(tblAnahtarB[NormB],$A150,tblHakedis[UrunReklam]),0))</f>
        <v/>
      </c>
      <c r="J150" s="17">
        <f>IF($A150="","",IFERROR(SUMIF(tblAnahtarB[NormB],$A150,tblHakedis[DesiKargo]),0))</f>
        <v/>
      </c>
      <c r="K150" s="17">
        <f>IF($A150="","",ROUND($F150+$G150+$H150+$I150+$J150,2))</f>
        <v/>
      </c>
      <c r="L150" s="17">
        <f>IF($A150="","",ROUND($B150-$C150,2))</f>
        <v/>
      </c>
      <c r="M150" s="17">
        <f>IF($A150="","",ROUND($B150-$C150-$K150,2))</f>
        <v/>
      </c>
      <c r="N150" s="17">
        <f>IF(OR($A150="",$B150=0),0,$M150/$B150)</f>
        <v/>
      </c>
      <c r="O150" s="17">
        <f>IF($A150="","",IF((1-$E150)&lt;=0,0,IF($D150=0,0,ROUND(($C150+$G150+$H150+$I150+$J150)/$D150/(1-$E150),2))))</f>
        <v/>
      </c>
      <c r="P150" s="17">
        <f>IF($A150="","",IFERROR(SUMIF(tblAnahtarA[Norm],$A150,tblGirdi[HedefNet]),0))</f>
        <v/>
      </c>
      <c r="Q150" s="17">
        <f>IF($A150="","",ROUND($M150-$P150,2))</f>
        <v/>
      </c>
      <c r="R150" s="17">
        <f>IF($A150="","",ROUND($B150-$K150,2))</f>
        <v/>
      </c>
      <c r="S150" s="17">
        <f>IF($A150="","",IF($N150&lt;0,"ÇEKİL",IF($N150&lt;tyk_esikMarjDusuk,"ZAM","SAT")))</f>
        <v/>
      </c>
      <c r="T150" s="17">
        <f>IF($A150="","",$L150-$F150)</f>
        <v/>
      </c>
      <c r="U150" s="17">
        <f>IF($A150="","",$M150-$Q150)</f>
        <v/>
      </c>
      <c r="V150" s="17">
        <f>IF($A150="","",$R150-$M150)</f>
        <v/>
      </c>
    </row>
    <row r="151">
      <c r="A151" s="17">
        <f>IF('ANAHTAR'!$B151="","",'ANAHTAR'!$B151)</f>
        <v/>
      </c>
      <c r="B151" s="17">
        <f>IF($A151="","",IFERROR(SUMIF(tblAnahtarA[Norm],$A151,tblGirdi[ToplamSatis]),0))</f>
        <v/>
      </c>
      <c r="C151" s="17">
        <f>IF($A151="","",IFERROR(SUMIF(tblAnahtarA[Norm],$A151,tblGirdi[Maliyet])*IFERROR(SUMIF(tblAnahtarA[Norm],$A151,tblGirdi[Miktar]),1),0))</f>
        <v/>
      </c>
      <c r="D151" s="17">
        <f>IF($A151="","",IFERROR(SUMIF(tblAnahtarA[Norm],$A151,tblGirdi[Miktar]),0))</f>
        <v/>
      </c>
      <c r="E151" s="17">
        <f>IF($A151="","",IFERROR(SUMIF(tblAnahtarA[Norm],$A151,tblGirdi[KomisyonOran]),0))</f>
        <v/>
      </c>
      <c r="F151" s="17">
        <f>IF($A151="","",ROUND($B151*$E151,2))</f>
        <v/>
      </c>
      <c r="G151" s="17">
        <f>IF($A151="","",IFERROR(SUMIF(tblAnahtarB[NormB],$A151,tblHakedis[TyPlus]),0))</f>
        <v/>
      </c>
      <c r="H151" s="17">
        <f>IF($A151="","",IFERROR(SUMIF(tblAnahtarB[NormB],$A151,tblHakedis[FlasKesinti]),0))</f>
        <v/>
      </c>
      <c r="I151" s="17">
        <f>IF($A151="","",IFERROR(SUMIF(tblAnahtarB[NormB],$A151,tblHakedis[UrunReklam]),0))</f>
        <v/>
      </c>
      <c r="J151" s="17">
        <f>IF($A151="","",IFERROR(SUMIF(tblAnahtarB[NormB],$A151,tblHakedis[DesiKargo]),0))</f>
        <v/>
      </c>
      <c r="K151" s="17">
        <f>IF($A151="","",ROUND($F151+$G151+$H151+$I151+$J151,2))</f>
        <v/>
      </c>
      <c r="L151" s="17">
        <f>IF($A151="","",ROUND($B151-$C151,2))</f>
        <v/>
      </c>
      <c r="M151" s="17">
        <f>IF($A151="","",ROUND($B151-$C151-$K151,2))</f>
        <v/>
      </c>
      <c r="N151" s="17">
        <f>IF(OR($A151="",$B151=0),0,$M151/$B151)</f>
        <v/>
      </c>
      <c r="O151" s="17">
        <f>IF($A151="","",IF((1-$E151)&lt;=0,0,IF($D151=0,0,ROUND(($C151+$G151+$H151+$I151+$J151)/$D151/(1-$E151),2))))</f>
        <v/>
      </c>
      <c r="P151" s="17">
        <f>IF($A151="","",IFERROR(SUMIF(tblAnahtarA[Norm],$A151,tblGirdi[HedefNet]),0))</f>
        <v/>
      </c>
      <c r="Q151" s="17">
        <f>IF($A151="","",ROUND($M151-$P151,2))</f>
        <v/>
      </c>
      <c r="R151" s="17">
        <f>IF($A151="","",ROUND($B151-$K151,2))</f>
        <v/>
      </c>
      <c r="S151" s="17">
        <f>IF($A151="","",IF($N151&lt;0,"ÇEKİL",IF($N151&lt;tyk_esikMarjDusuk,"ZAM","SAT")))</f>
        <v/>
      </c>
      <c r="T151" s="17">
        <f>IF($A151="","",$L151-$F151)</f>
        <v/>
      </c>
      <c r="U151" s="17">
        <f>IF($A151="","",$M151-$Q151)</f>
        <v/>
      </c>
      <c r="V151" s="17">
        <f>IF($A151="","",$R151-$M151)</f>
        <v/>
      </c>
    </row>
    <row r="152">
      <c r="A152" s="17">
        <f>IF('ANAHTAR'!$B152="","",'ANAHTAR'!$B152)</f>
        <v/>
      </c>
      <c r="B152" s="17">
        <f>IF($A152="","",IFERROR(SUMIF(tblAnahtarA[Norm],$A152,tblGirdi[ToplamSatis]),0))</f>
        <v/>
      </c>
      <c r="C152" s="17">
        <f>IF($A152="","",IFERROR(SUMIF(tblAnahtarA[Norm],$A152,tblGirdi[Maliyet])*IFERROR(SUMIF(tblAnahtarA[Norm],$A152,tblGirdi[Miktar]),1),0))</f>
        <v/>
      </c>
      <c r="D152" s="17">
        <f>IF($A152="","",IFERROR(SUMIF(tblAnahtarA[Norm],$A152,tblGirdi[Miktar]),0))</f>
        <v/>
      </c>
      <c r="E152" s="17">
        <f>IF($A152="","",IFERROR(SUMIF(tblAnahtarA[Norm],$A152,tblGirdi[KomisyonOran]),0))</f>
        <v/>
      </c>
      <c r="F152" s="17">
        <f>IF($A152="","",ROUND($B152*$E152,2))</f>
        <v/>
      </c>
      <c r="G152" s="17">
        <f>IF($A152="","",IFERROR(SUMIF(tblAnahtarB[NormB],$A152,tblHakedis[TyPlus]),0))</f>
        <v/>
      </c>
      <c r="H152" s="17">
        <f>IF($A152="","",IFERROR(SUMIF(tblAnahtarB[NormB],$A152,tblHakedis[FlasKesinti]),0))</f>
        <v/>
      </c>
      <c r="I152" s="17">
        <f>IF($A152="","",IFERROR(SUMIF(tblAnahtarB[NormB],$A152,tblHakedis[UrunReklam]),0))</f>
        <v/>
      </c>
      <c r="J152" s="17">
        <f>IF($A152="","",IFERROR(SUMIF(tblAnahtarB[NormB],$A152,tblHakedis[DesiKargo]),0))</f>
        <v/>
      </c>
      <c r="K152" s="17">
        <f>IF($A152="","",ROUND($F152+$G152+$H152+$I152+$J152,2))</f>
        <v/>
      </c>
      <c r="L152" s="17">
        <f>IF($A152="","",ROUND($B152-$C152,2))</f>
        <v/>
      </c>
      <c r="M152" s="17">
        <f>IF($A152="","",ROUND($B152-$C152-$K152,2))</f>
        <v/>
      </c>
      <c r="N152" s="17">
        <f>IF(OR($A152="",$B152=0),0,$M152/$B152)</f>
        <v/>
      </c>
      <c r="O152" s="17">
        <f>IF($A152="","",IF((1-$E152)&lt;=0,0,IF($D152=0,0,ROUND(($C152+$G152+$H152+$I152+$J152)/$D152/(1-$E152),2))))</f>
        <v/>
      </c>
      <c r="P152" s="17">
        <f>IF($A152="","",IFERROR(SUMIF(tblAnahtarA[Norm],$A152,tblGirdi[HedefNet]),0))</f>
        <v/>
      </c>
      <c r="Q152" s="17">
        <f>IF($A152="","",ROUND($M152-$P152,2))</f>
        <v/>
      </c>
      <c r="R152" s="17">
        <f>IF($A152="","",ROUND($B152-$K152,2))</f>
        <v/>
      </c>
      <c r="S152" s="17">
        <f>IF($A152="","",IF($N152&lt;0,"ÇEKİL",IF($N152&lt;tyk_esikMarjDusuk,"ZAM","SAT")))</f>
        <v/>
      </c>
      <c r="T152" s="17">
        <f>IF($A152="","",$L152-$F152)</f>
        <v/>
      </c>
      <c r="U152" s="17">
        <f>IF($A152="","",$M152-$Q152)</f>
        <v/>
      </c>
      <c r="V152" s="17">
        <f>IF($A152="","",$R152-$M152)</f>
        <v/>
      </c>
    </row>
    <row r="153">
      <c r="A153" s="17">
        <f>IF('ANAHTAR'!$B153="","",'ANAHTAR'!$B153)</f>
        <v/>
      </c>
      <c r="B153" s="17">
        <f>IF($A153="","",IFERROR(SUMIF(tblAnahtarA[Norm],$A153,tblGirdi[ToplamSatis]),0))</f>
        <v/>
      </c>
      <c r="C153" s="17">
        <f>IF($A153="","",IFERROR(SUMIF(tblAnahtarA[Norm],$A153,tblGirdi[Maliyet])*IFERROR(SUMIF(tblAnahtarA[Norm],$A153,tblGirdi[Miktar]),1),0))</f>
        <v/>
      </c>
      <c r="D153" s="17">
        <f>IF($A153="","",IFERROR(SUMIF(tblAnahtarA[Norm],$A153,tblGirdi[Miktar]),0))</f>
        <v/>
      </c>
      <c r="E153" s="17">
        <f>IF($A153="","",IFERROR(SUMIF(tblAnahtarA[Norm],$A153,tblGirdi[KomisyonOran]),0))</f>
        <v/>
      </c>
      <c r="F153" s="17">
        <f>IF($A153="","",ROUND($B153*$E153,2))</f>
        <v/>
      </c>
      <c r="G153" s="17">
        <f>IF($A153="","",IFERROR(SUMIF(tblAnahtarB[NormB],$A153,tblHakedis[TyPlus]),0))</f>
        <v/>
      </c>
      <c r="H153" s="17">
        <f>IF($A153="","",IFERROR(SUMIF(tblAnahtarB[NormB],$A153,tblHakedis[FlasKesinti]),0))</f>
        <v/>
      </c>
      <c r="I153" s="17">
        <f>IF($A153="","",IFERROR(SUMIF(tblAnahtarB[NormB],$A153,tblHakedis[UrunReklam]),0))</f>
        <v/>
      </c>
      <c r="J153" s="17">
        <f>IF($A153="","",IFERROR(SUMIF(tblAnahtarB[NormB],$A153,tblHakedis[DesiKargo]),0))</f>
        <v/>
      </c>
      <c r="K153" s="17">
        <f>IF($A153="","",ROUND($F153+$G153+$H153+$I153+$J153,2))</f>
        <v/>
      </c>
      <c r="L153" s="17">
        <f>IF($A153="","",ROUND($B153-$C153,2))</f>
        <v/>
      </c>
      <c r="M153" s="17">
        <f>IF($A153="","",ROUND($B153-$C153-$K153,2))</f>
        <v/>
      </c>
      <c r="N153" s="17">
        <f>IF(OR($A153="",$B153=0),0,$M153/$B153)</f>
        <v/>
      </c>
      <c r="O153" s="17">
        <f>IF($A153="","",IF((1-$E153)&lt;=0,0,IF($D153=0,0,ROUND(($C153+$G153+$H153+$I153+$J153)/$D153/(1-$E153),2))))</f>
        <v/>
      </c>
      <c r="P153" s="17">
        <f>IF($A153="","",IFERROR(SUMIF(tblAnahtarA[Norm],$A153,tblGirdi[HedefNet]),0))</f>
        <v/>
      </c>
      <c r="Q153" s="17">
        <f>IF($A153="","",ROUND($M153-$P153,2))</f>
        <v/>
      </c>
      <c r="R153" s="17">
        <f>IF($A153="","",ROUND($B153-$K153,2))</f>
        <v/>
      </c>
      <c r="S153" s="17">
        <f>IF($A153="","",IF($N153&lt;0,"ÇEKİL",IF($N153&lt;tyk_esikMarjDusuk,"ZAM","SAT")))</f>
        <v/>
      </c>
      <c r="T153" s="17">
        <f>IF($A153="","",$L153-$F153)</f>
        <v/>
      </c>
      <c r="U153" s="17">
        <f>IF($A153="","",$M153-$Q153)</f>
        <v/>
      </c>
      <c r="V153" s="17">
        <f>IF($A153="","",$R153-$M153)</f>
        <v/>
      </c>
    </row>
    <row r="154">
      <c r="A154" s="17">
        <f>IF('ANAHTAR'!$B154="","",'ANAHTAR'!$B154)</f>
        <v/>
      </c>
      <c r="B154" s="17">
        <f>IF($A154="","",IFERROR(SUMIF(tblAnahtarA[Norm],$A154,tblGirdi[ToplamSatis]),0))</f>
        <v/>
      </c>
      <c r="C154" s="17">
        <f>IF($A154="","",IFERROR(SUMIF(tblAnahtarA[Norm],$A154,tblGirdi[Maliyet])*IFERROR(SUMIF(tblAnahtarA[Norm],$A154,tblGirdi[Miktar]),1),0))</f>
        <v/>
      </c>
      <c r="D154" s="17">
        <f>IF($A154="","",IFERROR(SUMIF(tblAnahtarA[Norm],$A154,tblGirdi[Miktar]),0))</f>
        <v/>
      </c>
      <c r="E154" s="17">
        <f>IF($A154="","",IFERROR(SUMIF(tblAnahtarA[Norm],$A154,tblGirdi[KomisyonOran]),0))</f>
        <v/>
      </c>
      <c r="F154" s="17">
        <f>IF($A154="","",ROUND($B154*$E154,2))</f>
        <v/>
      </c>
      <c r="G154" s="17">
        <f>IF($A154="","",IFERROR(SUMIF(tblAnahtarB[NormB],$A154,tblHakedis[TyPlus]),0))</f>
        <v/>
      </c>
      <c r="H154" s="17">
        <f>IF($A154="","",IFERROR(SUMIF(tblAnahtarB[NormB],$A154,tblHakedis[FlasKesinti]),0))</f>
        <v/>
      </c>
      <c r="I154" s="17">
        <f>IF($A154="","",IFERROR(SUMIF(tblAnahtarB[NormB],$A154,tblHakedis[UrunReklam]),0))</f>
        <v/>
      </c>
      <c r="J154" s="17">
        <f>IF($A154="","",IFERROR(SUMIF(tblAnahtarB[NormB],$A154,tblHakedis[DesiKargo]),0))</f>
        <v/>
      </c>
      <c r="K154" s="17">
        <f>IF($A154="","",ROUND($F154+$G154+$H154+$I154+$J154,2))</f>
        <v/>
      </c>
      <c r="L154" s="17">
        <f>IF($A154="","",ROUND($B154-$C154,2))</f>
        <v/>
      </c>
      <c r="M154" s="17">
        <f>IF($A154="","",ROUND($B154-$C154-$K154,2))</f>
        <v/>
      </c>
      <c r="N154" s="17">
        <f>IF(OR($A154="",$B154=0),0,$M154/$B154)</f>
        <v/>
      </c>
      <c r="O154" s="17">
        <f>IF($A154="","",IF((1-$E154)&lt;=0,0,IF($D154=0,0,ROUND(($C154+$G154+$H154+$I154+$J154)/$D154/(1-$E154),2))))</f>
        <v/>
      </c>
      <c r="P154" s="17">
        <f>IF($A154="","",IFERROR(SUMIF(tblAnahtarA[Norm],$A154,tblGirdi[HedefNet]),0))</f>
        <v/>
      </c>
      <c r="Q154" s="17">
        <f>IF($A154="","",ROUND($M154-$P154,2))</f>
        <v/>
      </c>
      <c r="R154" s="17">
        <f>IF($A154="","",ROUND($B154-$K154,2))</f>
        <v/>
      </c>
      <c r="S154" s="17">
        <f>IF($A154="","",IF($N154&lt;0,"ÇEKİL",IF($N154&lt;tyk_esikMarjDusuk,"ZAM","SAT")))</f>
        <v/>
      </c>
      <c r="T154" s="17">
        <f>IF($A154="","",$L154-$F154)</f>
        <v/>
      </c>
      <c r="U154" s="17">
        <f>IF($A154="","",$M154-$Q154)</f>
        <v/>
      </c>
      <c r="V154" s="17">
        <f>IF($A154="","",$R154-$M154)</f>
        <v/>
      </c>
    </row>
    <row r="155">
      <c r="A155" s="17">
        <f>IF('ANAHTAR'!$B155="","",'ANAHTAR'!$B155)</f>
        <v/>
      </c>
      <c r="B155" s="17">
        <f>IF($A155="","",IFERROR(SUMIF(tblAnahtarA[Norm],$A155,tblGirdi[ToplamSatis]),0))</f>
        <v/>
      </c>
      <c r="C155" s="17">
        <f>IF($A155="","",IFERROR(SUMIF(tblAnahtarA[Norm],$A155,tblGirdi[Maliyet])*IFERROR(SUMIF(tblAnahtarA[Norm],$A155,tblGirdi[Miktar]),1),0))</f>
        <v/>
      </c>
      <c r="D155" s="17">
        <f>IF($A155="","",IFERROR(SUMIF(tblAnahtarA[Norm],$A155,tblGirdi[Miktar]),0))</f>
        <v/>
      </c>
      <c r="E155" s="17">
        <f>IF($A155="","",IFERROR(SUMIF(tblAnahtarA[Norm],$A155,tblGirdi[KomisyonOran]),0))</f>
        <v/>
      </c>
      <c r="F155" s="17">
        <f>IF($A155="","",ROUND($B155*$E155,2))</f>
        <v/>
      </c>
      <c r="G155" s="17">
        <f>IF($A155="","",IFERROR(SUMIF(tblAnahtarB[NormB],$A155,tblHakedis[TyPlus]),0))</f>
        <v/>
      </c>
      <c r="H155" s="17">
        <f>IF($A155="","",IFERROR(SUMIF(tblAnahtarB[NormB],$A155,tblHakedis[FlasKesinti]),0))</f>
        <v/>
      </c>
      <c r="I155" s="17">
        <f>IF($A155="","",IFERROR(SUMIF(tblAnahtarB[NormB],$A155,tblHakedis[UrunReklam]),0))</f>
        <v/>
      </c>
      <c r="J155" s="17">
        <f>IF($A155="","",IFERROR(SUMIF(tblAnahtarB[NormB],$A155,tblHakedis[DesiKargo]),0))</f>
        <v/>
      </c>
      <c r="K155" s="17">
        <f>IF($A155="","",ROUND($F155+$G155+$H155+$I155+$J155,2))</f>
        <v/>
      </c>
      <c r="L155" s="17">
        <f>IF($A155="","",ROUND($B155-$C155,2))</f>
        <v/>
      </c>
      <c r="M155" s="17">
        <f>IF($A155="","",ROUND($B155-$C155-$K155,2))</f>
        <v/>
      </c>
      <c r="N155" s="17">
        <f>IF(OR($A155="",$B155=0),0,$M155/$B155)</f>
        <v/>
      </c>
      <c r="O155" s="17">
        <f>IF($A155="","",IF((1-$E155)&lt;=0,0,IF($D155=0,0,ROUND(($C155+$G155+$H155+$I155+$J155)/$D155/(1-$E155),2))))</f>
        <v/>
      </c>
      <c r="P155" s="17">
        <f>IF($A155="","",IFERROR(SUMIF(tblAnahtarA[Norm],$A155,tblGirdi[HedefNet]),0))</f>
        <v/>
      </c>
      <c r="Q155" s="17">
        <f>IF($A155="","",ROUND($M155-$P155,2))</f>
        <v/>
      </c>
      <c r="R155" s="17">
        <f>IF($A155="","",ROUND($B155-$K155,2))</f>
        <v/>
      </c>
      <c r="S155" s="17">
        <f>IF($A155="","",IF($N155&lt;0,"ÇEKİL",IF($N155&lt;tyk_esikMarjDusuk,"ZAM","SAT")))</f>
        <v/>
      </c>
      <c r="T155" s="17">
        <f>IF($A155="","",$L155-$F155)</f>
        <v/>
      </c>
      <c r="U155" s="17">
        <f>IF($A155="","",$M155-$Q155)</f>
        <v/>
      </c>
      <c r="V155" s="17">
        <f>IF($A155="","",$R155-$M155)</f>
        <v/>
      </c>
    </row>
    <row r="156">
      <c r="A156" s="17">
        <f>IF('ANAHTAR'!$B156="","",'ANAHTAR'!$B156)</f>
        <v/>
      </c>
      <c r="B156" s="17">
        <f>IF($A156="","",IFERROR(SUMIF(tblAnahtarA[Norm],$A156,tblGirdi[ToplamSatis]),0))</f>
        <v/>
      </c>
      <c r="C156" s="17">
        <f>IF($A156="","",IFERROR(SUMIF(tblAnahtarA[Norm],$A156,tblGirdi[Maliyet])*IFERROR(SUMIF(tblAnahtarA[Norm],$A156,tblGirdi[Miktar]),1),0))</f>
        <v/>
      </c>
      <c r="D156" s="17">
        <f>IF($A156="","",IFERROR(SUMIF(tblAnahtarA[Norm],$A156,tblGirdi[Miktar]),0))</f>
        <v/>
      </c>
      <c r="E156" s="17">
        <f>IF($A156="","",IFERROR(SUMIF(tblAnahtarA[Norm],$A156,tblGirdi[KomisyonOran]),0))</f>
        <v/>
      </c>
      <c r="F156" s="17">
        <f>IF($A156="","",ROUND($B156*$E156,2))</f>
        <v/>
      </c>
      <c r="G156" s="17">
        <f>IF($A156="","",IFERROR(SUMIF(tblAnahtarB[NormB],$A156,tblHakedis[TyPlus]),0))</f>
        <v/>
      </c>
      <c r="H156" s="17">
        <f>IF($A156="","",IFERROR(SUMIF(tblAnahtarB[NormB],$A156,tblHakedis[FlasKesinti]),0))</f>
        <v/>
      </c>
      <c r="I156" s="17">
        <f>IF($A156="","",IFERROR(SUMIF(tblAnahtarB[NormB],$A156,tblHakedis[UrunReklam]),0))</f>
        <v/>
      </c>
      <c r="J156" s="17">
        <f>IF($A156="","",IFERROR(SUMIF(tblAnahtarB[NormB],$A156,tblHakedis[DesiKargo]),0))</f>
        <v/>
      </c>
      <c r="K156" s="17">
        <f>IF($A156="","",ROUND($F156+$G156+$H156+$I156+$J156,2))</f>
        <v/>
      </c>
      <c r="L156" s="17">
        <f>IF($A156="","",ROUND($B156-$C156,2))</f>
        <v/>
      </c>
      <c r="M156" s="17">
        <f>IF($A156="","",ROUND($B156-$C156-$K156,2))</f>
        <v/>
      </c>
      <c r="N156" s="17">
        <f>IF(OR($A156="",$B156=0),0,$M156/$B156)</f>
        <v/>
      </c>
      <c r="O156" s="17">
        <f>IF($A156="","",IF((1-$E156)&lt;=0,0,IF($D156=0,0,ROUND(($C156+$G156+$H156+$I156+$J156)/$D156/(1-$E156),2))))</f>
        <v/>
      </c>
      <c r="P156" s="17">
        <f>IF($A156="","",IFERROR(SUMIF(tblAnahtarA[Norm],$A156,tblGirdi[HedefNet]),0))</f>
        <v/>
      </c>
      <c r="Q156" s="17">
        <f>IF($A156="","",ROUND($M156-$P156,2))</f>
        <v/>
      </c>
      <c r="R156" s="17">
        <f>IF($A156="","",ROUND($B156-$K156,2))</f>
        <v/>
      </c>
      <c r="S156" s="17">
        <f>IF($A156="","",IF($N156&lt;0,"ÇEKİL",IF($N156&lt;tyk_esikMarjDusuk,"ZAM","SAT")))</f>
        <v/>
      </c>
      <c r="T156" s="17">
        <f>IF($A156="","",$L156-$F156)</f>
        <v/>
      </c>
      <c r="U156" s="17">
        <f>IF($A156="","",$M156-$Q156)</f>
        <v/>
      </c>
      <c r="V156" s="17">
        <f>IF($A156="","",$R156-$M156)</f>
        <v/>
      </c>
    </row>
    <row r="157">
      <c r="A157" s="17">
        <f>IF('ANAHTAR'!$B157="","",'ANAHTAR'!$B157)</f>
        <v/>
      </c>
      <c r="B157" s="17">
        <f>IF($A157="","",IFERROR(SUMIF(tblAnahtarA[Norm],$A157,tblGirdi[ToplamSatis]),0))</f>
        <v/>
      </c>
      <c r="C157" s="17">
        <f>IF($A157="","",IFERROR(SUMIF(tblAnahtarA[Norm],$A157,tblGirdi[Maliyet])*IFERROR(SUMIF(tblAnahtarA[Norm],$A157,tblGirdi[Miktar]),1),0))</f>
        <v/>
      </c>
      <c r="D157" s="17">
        <f>IF($A157="","",IFERROR(SUMIF(tblAnahtarA[Norm],$A157,tblGirdi[Miktar]),0))</f>
        <v/>
      </c>
      <c r="E157" s="17">
        <f>IF($A157="","",IFERROR(SUMIF(tblAnahtarA[Norm],$A157,tblGirdi[KomisyonOran]),0))</f>
        <v/>
      </c>
      <c r="F157" s="17">
        <f>IF($A157="","",ROUND($B157*$E157,2))</f>
        <v/>
      </c>
      <c r="G157" s="17">
        <f>IF($A157="","",IFERROR(SUMIF(tblAnahtarB[NormB],$A157,tblHakedis[TyPlus]),0))</f>
        <v/>
      </c>
      <c r="H157" s="17">
        <f>IF($A157="","",IFERROR(SUMIF(tblAnahtarB[NormB],$A157,tblHakedis[FlasKesinti]),0))</f>
        <v/>
      </c>
      <c r="I157" s="17">
        <f>IF($A157="","",IFERROR(SUMIF(tblAnahtarB[NormB],$A157,tblHakedis[UrunReklam]),0))</f>
        <v/>
      </c>
      <c r="J157" s="17">
        <f>IF($A157="","",IFERROR(SUMIF(tblAnahtarB[NormB],$A157,tblHakedis[DesiKargo]),0))</f>
        <v/>
      </c>
      <c r="K157" s="17">
        <f>IF($A157="","",ROUND($F157+$G157+$H157+$I157+$J157,2))</f>
        <v/>
      </c>
      <c r="L157" s="17">
        <f>IF($A157="","",ROUND($B157-$C157,2))</f>
        <v/>
      </c>
      <c r="M157" s="17">
        <f>IF($A157="","",ROUND($B157-$C157-$K157,2))</f>
        <v/>
      </c>
      <c r="N157" s="17">
        <f>IF(OR($A157="",$B157=0),0,$M157/$B157)</f>
        <v/>
      </c>
      <c r="O157" s="17">
        <f>IF($A157="","",IF((1-$E157)&lt;=0,0,IF($D157=0,0,ROUND(($C157+$G157+$H157+$I157+$J157)/$D157/(1-$E157),2))))</f>
        <v/>
      </c>
      <c r="P157" s="17">
        <f>IF($A157="","",IFERROR(SUMIF(tblAnahtarA[Norm],$A157,tblGirdi[HedefNet]),0))</f>
        <v/>
      </c>
      <c r="Q157" s="17">
        <f>IF($A157="","",ROUND($M157-$P157,2))</f>
        <v/>
      </c>
      <c r="R157" s="17">
        <f>IF($A157="","",ROUND($B157-$K157,2))</f>
        <v/>
      </c>
      <c r="S157" s="17">
        <f>IF($A157="","",IF($N157&lt;0,"ÇEKİL",IF($N157&lt;tyk_esikMarjDusuk,"ZAM","SAT")))</f>
        <v/>
      </c>
      <c r="T157" s="17">
        <f>IF($A157="","",$L157-$F157)</f>
        <v/>
      </c>
      <c r="U157" s="17">
        <f>IF($A157="","",$M157-$Q157)</f>
        <v/>
      </c>
      <c r="V157" s="17">
        <f>IF($A157="","",$R157-$M157)</f>
        <v/>
      </c>
    </row>
    <row r="158">
      <c r="A158" s="17">
        <f>IF('ANAHTAR'!$B158="","",'ANAHTAR'!$B158)</f>
        <v/>
      </c>
      <c r="B158" s="17">
        <f>IF($A158="","",IFERROR(SUMIF(tblAnahtarA[Norm],$A158,tblGirdi[ToplamSatis]),0))</f>
        <v/>
      </c>
      <c r="C158" s="17">
        <f>IF($A158="","",IFERROR(SUMIF(tblAnahtarA[Norm],$A158,tblGirdi[Maliyet])*IFERROR(SUMIF(tblAnahtarA[Norm],$A158,tblGirdi[Miktar]),1),0))</f>
        <v/>
      </c>
      <c r="D158" s="17">
        <f>IF($A158="","",IFERROR(SUMIF(tblAnahtarA[Norm],$A158,tblGirdi[Miktar]),0))</f>
        <v/>
      </c>
      <c r="E158" s="17">
        <f>IF($A158="","",IFERROR(SUMIF(tblAnahtarA[Norm],$A158,tblGirdi[KomisyonOran]),0))</f>
        <v/>
      </c>
      <c r="F158" s="17">
        <f>IF($A158="","",ROUND($B158*$E158,2))</f>
        <v/>
      </c>
      <c r="G158" s="17">
        <f>IF($A158="","",IFERROR(SUMIF(tblAnahtarB[NormB],$A158,tblHakedis[TyPlus]),0))</f>
        <v/>
      </c>
      <c r="H158" s="17">
        <f>IF($A158="","",IFERROR(SUMIF(tblAnahtarB[NormB],$A158,tblHakedis[FlasKesinti]),0))</f>
        <v/>
      </c>
      <c r="I158" s="17">
        <f>IF($A158="","",IFERROR(SUMIF(tblAnahtarB[NormB],$A158,tblHakedis[UrunReklam]),0))</f>
        <v/>
      </c>
      <c r="J158" s="17">
        <f>IF($A158="","",IFERROR(SUMIF(tblAnahtarB[NormB],$A158,tblHakedis[DesiKargo]),0))</f>
        <v/>
      </c>
      <c r="K158" s="17">
        <f>IF($A158="","",ROUND($F158+$G158+$H158+$I158+$J158,2))</f>
        <v/>
      </c>
      <c r="L158" s="17">
        <f>IF($A158="","",ROUND($B158-$C158,2))</f>
        <v/>
      </c>
      <c r="M158" s="17">
        <f>IF($A158="","",ROUND($B158-$C158-$K158,2))</f>
        <v/>
      </c>
      <c r="N158" s="17">
        <f>IF(OR($A158="",$B158=0),0,$M158/$B158)</f>
        <v/>
      </c>
      <c r="O158" s="17">
        <f>IF($A158="","",IF((1-$E158)&lt;=0,0,IF($D158=0,0,ROUND(($C158+$G158+$H158+$I158+$J158)/$D158/(1-$E158),2))))</f>
        <v/>
      </c>
      <c r="P158" s="17">
        <f>IF($A158="","",IFERROR(SUMIF(tblAnahtarA[Norm],$A158,tblGirdi[HedefNet]),0))</f>
        <v/>
      </c>
      <c r="Q158" s="17">
        <f>IF($A158="","",ROUND($M158-$P158,2))</f>
        <v/>
      </c>
      <c r="R158" s="17">
        <f>IF($A158="","",ROUND($B158-$K158,2))</f>
        <v/>
      </c>
      <c r="S158" s="17">
        <f>IF($A158="","",IF($N158&lt;0,"ÇEKİL",IF($N158&lt;tyk_esikMarjDusuk,"ZAM","SAT")))</f>
        <v/>
      </c>
      <c r="T158" s="17">
        <f>IF($A158="","",$L158-$F158)</f>
        <v/>
      </c>
      <c r="U158" s="17">
        <f>IF($A158="","",$M158-$Q158)</f>
        <v/>
      </c>
      <c r="V158" s="17">
        <f>IF($A158="","",$R158-$M158)</f>
        <v/>
      </c>
    </row>
    <row r="159">
      <c r="A159" s="17">
        <f>IF('ANAHTAR'!$B159="","",'ANAHTAR'!$B159)</f>
        <v/>
      </c>
      <c r="B159" s="17">
        <f>IF($A159="","",IFERROR(SUMIF(tblAnahtarA[Norm],$A159,tblGirdi[ToplamSatis]),0))</f>
        <v/>
      </c>
      <c r="C159" s="17">
        <f>IF($A159="","",IFERROR(SUMIF(tblAnahtarA[Norm],$A159,tblGirdi[Maliyet])*IFERROR(SUMIF(tblAnahtarA[Norm],$A159,tblGirdi[Miktar]),1),0))</f>
        <v/>
      </c>
      <c r="D159" s="17">
        <f>IF($A159="","",IFERROR(SUMIF(tblAnahtarA[Norm],$A159,tblGirdi[Miktar]),0))</f>
        <v/>
      </c>
      <c r="E159" s="17">
        <f>IF($A159="","",IFERROR(SUMIF(tblAnahtarA[Norm],$A159,tblGirdi[KomisyonOran]),0))</f>
        <v/>
      </c>
      <c r="F159" s="17">
        <f>IF($A159="","",ROUND($B159*$E159,2))</f>
        <v/>
      </c>
      <c r="G159" s="17">
        <f>IF($A159="","",IFERROR(SUMIF(tblAnahtarB[NormB],$A159,tblHakedis[TyPlus]),0))</f>
        <v/>
      </c>
      <c r="H159" s="17">
        <f>IF($A159="","",IFERROR(SUMIF(tblAnahtarB[NormB],$A159,tblHakedis[FlasKesinti]),0))</f>
        <v/>
      </c>
      <c r="I159" s="17">
        <f>IF($A159="","",IFERROR(SUMIF(tblAnahtarB[NormB],$A159,tblHakedis[UrunReklam]),0))</f>
        <v/>
      </c>
      <c r="J159" s="17">
        <f>IF($A159="","",IFERROR(SUMIF(tblAnahtarB[NormB],$A159,tblHakedis[DesiKargo]),0))</f>
        <v/>
      </c>
      <c r="K159" s="17">
        <f>IF($A159="","",ROUND($F159+$G159+$H159+$I159+$J159,2))</f>
        <v/>
      </c>
      <c r="L159" s="17">
        <f>IF($A159="","",ROUND($B159-$C159,2))</f>
        <v/>
      </c>
      <c r="M159" s="17">
        <f>IF($A159="","",ROUND($B159-$C159-$K159,2))</f>
        <v/>
      </c>
      <c r="N159" s="17">
        <f>IF(OR($A159="",$B159=0),0,$M159/$B159)</f>
        <v/>
      </c>
      <c r="O159" s="17">
        <f>IF($A159="","",IF((1-$E159)&lt;=0,0,IF($D159=0,0,ROUND(($C159+$G159+$H159+$I159+$J159)/$D159/(1-$E159),2))))</f>
        <v/>
      </c>
      <c r="P159" s="17">
        <f>IF($A159="","",IFERROR(SUMIF(tblAnahtarA[Norm],$A159,tblGirdi[HedefNet]),0))</f>
        <v/>
      </c>
      <c r="Q159" s="17">
        <f>IF($A159="","",ROUND($M159-$P159,2))</f>
        <v/>
      </c>
      <c r="R159" s="17">
        <f>IF($A159="","",ROUND($B159-$K159,2))</f>
        <v/>
      </c>
      <c r="S159" s="17">
        <f>IF($A159="","",IF($N159&lt;0,"ÇEKİL",IF($N159&lt;tyk_esikMarjDusuk,"ZAM","SAT")))</f>
        <v/>
      </c>
      <c r="T159" s="17">
        <f>IF($A159="","",$L159-$F159)</f>
        <v/>
      </c>
      <c r="U159" s="17">
        <f>IF($A159="","",$M159-$Q159)</f>
        <v/>
      </c>
      <c r="V159" s="17">
        <f>IF($A159="","",$R159-$M159)</f>
        <v/>
      </c>
    </row>
    <row r="160">
      <c r="A160" s="17">
        <f>IF('ANAHTAR'!$B160="","",'ANAHTAR'!$B160)</f>
        <v/>
      </c>
      <c r="B160" s="17">
        <f>IF($A160="","",IFERROR(SUMIF(tblAnahtarA[Norm],$A160,tblGirdi[ToplamSatis]),0))</f>
        <v/>
      </c>
      <c r="C160" s="17">
        <f>IF($A160="","",IFERROR(SUMIF(tblAnahtarA[Norm],$A160,tblGirdi[Maliyet])*IFERROR(SUMIF(tblAnahtarA[Norm],$A160,tblGirdi[Miktar]),1),0))</f>
        <v/>
      </c>
      <c r="D160" s="17">
        <f>IF($A160="","",IFERROR(SUMIF(tblAnahtarA[Norm],$A160,tblGirdi[Miktar]),0))</f>
        <v/>
      </c>
      <c r="E160" s="17">
        <f>IF($A160="","",IFERROR(SUMIF(tblAnahtarA[Norm],$A160,tblGirdi[KomisyonOran]),0))</f>
        <v/>
      </c>
      <c r="F160" s="17">
        <f>IF($A160="","",ROUND($B160*$E160,2))</f>
        <v/>
      </c>
      <c r="G160" s="17">
        <f>IF($A160="","",IFERROR(SUMIF(tblAnahtarB[NormB],$A160,tblHakedis[TyPlus]),0))</f>
        <v/>
      </c>
      <c r="H160" s="17">
        <f>IF($A160="","",IFERROR(SUMIF(tblAnahtarB[NormB],$A160,tblHakedis[FlasKesinti]),0))</f>
        <v/>
      </c>
      <c r="I160" s="17">
        <f>IF($A160="","",IFERROR(SUMIF(tblAnahtarB[NormB],$A160,tblHakedis[UrunReklam]),0))</f>
        <v/>
      </c>
      <c r="J160" s="17">
        <f>IF($A160="","",IFERROR(SUMIF(tblAnahtarB[NormB],$A160,tblHakedis[DesiKargo]),0))</f>
        <v/>
      </c>
      <c r="K160" s="17">
        <f>IF($A160="","",ROUND($F160+$G160+$H160+$I160+$J160,2))</f>
        <v/>
      </c>
      <c r="L160" s="17">
        <f>IF($A160="","",ROUND($B160-$C160,2))</f>
        <v/>
      </c>
      <c r="M160" s="17">
        <f>IF($A160="","",ROUND($B160-$C160-$K160,2))</f>
        <v/>
      </c>
      <c r="N160" s="17">
        <f>IF(OR($A160="",$B160=0),0,$M160/$B160)</f>
        <v/>
      </c>
      <c r="O160" s="17">
        <f>IF($A160="","",IF((1-$E160)&lt;=0,0,IF($D160=0,0,ROUND(($C160+$G160+$H160+$I160+$J160)/$D160/(1-$E160),2))))</f>
        <v/>
      </c>
      <c r="P160" s="17">
        <f>IF($A160="","",IFERROR(SUMIF(tblAnahtarA[Norm],$A160,tblGirdi[HedefNet]),0))</f>
        <v/>
      </c>
      <c r="Q160" s="17">
        <f>IF($A160="","",ROUND($M160-$P160,2))</f>
        <v/>
      </c>
      <c r="R160" s="17">
        <f>IF($A160="","",ROUND($B160-$K160,2))</f>
        <v/>
      </c>
      <c r="S160" s="17">
        <f>IF($A160="","",IF($N160&lt;0,"ÇEKİL",IF($N160&lt;tyk_esikMarjDusuk,"ZAM","SAT")))</f>
        <v/>
      </c>
      <c r="T160" s="17">
        <f>IF($A160="","",$L160-$F160)</f>
        <v/>
      </c>
      <c r="U160" s="17">
        <f>IF($A160="","",$M160-$Q160)</f>
        <v/>
      </c>
      <c r="V160" s="17">
        <f>IF($A160="","",$R160-$M160)</f>
        <v/>
      </c>
    </row>
    <row r="161">
      <c r="A161" s="17">
        <f>IF('ANAHTAR'!$B161="","",'ANAHTAR'!$B161)</f>
        <v/>
      </c>
      <c r="B161" s="17">
        <f>IF($A161="","",IFERROR(SUMIF(tblAnahtarA[Norm],$A161,tblGirdi[ToplamSatis]),0))</f>
        <v/>
      </c>
      <c r="C161" s="17">
        <f>IF($A161="","",IFERROR(SUMIF(tblAnahtarA[Norm],$A161,tblGirdi[Maliyet])*IFERROR(SUMIF(tblAnahtarA[Norm],$A161,tblGirdi[Miktar]),1),0))</f>
        <v/>
      </c>
      <c r="D161" s="17">
        <f>IF($A161="","",IFERROR(SUMIF(tblAnahtarA[Norm],$A161,tblGirdi[Miktar]),0))</f>
        <v/>
      </c>
      <c r="E161" s="17">
        <f>IF($A161="","",IFERROR(SUMIF(tblAnahtarA[Norm],$A161,tblGirdi[KomisyonOran]),0))</f>
        <v/>
      </c>
      <c r="F161" s="17">
        <f>IF($A161="","",ROUND($B161*$E161,2))</f>
        <v/>
      </c>
      <c r="G161" s="17">
        <f>IF($A161="","",IFERROR(SUMIF(tblAnahtarB[NormB],$A161,tblHakedis[TyPlus]),0))</f>
        <v/>
      </c>
      <c r="H161" s="17">
        <f>IF($A161="","",IFERROR(SUMIF(tblAnahtarB[NormB],$A161,tblHakedis[FlasKesinti]),0))</f>
        <v/>
      </c>
      <c r="I161" s="17">
        <f>IF($A161="","",IFERROR(SUMIF(tblAnahtarB[NormB],$A161,tblHakedis[UrunReklam]),0))</f>
        <v/>
      </c>
      <c r="J161" s="17">
        <f>IF($A161="","",IFERROR(SUMIF(tblAnahtarB[NormB],$A161,tblHakedis[DesiKargo]),0))</f>
        <v/>
      </c>
      <c r="K161" s="17">
        <f>IF($A161="","",ROUND($F161+$G161+$H161+$I161+$J161,2))</f>
        <v/>
      </c>
      <c r="L161" s="17">
        <f>IF($A161="","",ROUND($B161-$C161,2))</f>
        <v/>
      </c>
      <c r="M161" s="17">
        <f>IF($A161="","",ROUND($B161-$C161-$K161,2))</f>
        <v/>
      </c>
      <c r="N161" s="17">
        <f>IF(OR($A161="",$B161=0),0,$M161/$B161)</f>
        <v/>
      </c>
      <c r="O161" s="17">
        <f>IF($A161="","",IF((1-$E161)&lt;=0,0,IF($D161=0,0,ROUND(($C161+$G161+$H161+$I161+$J161)/$D161/(1-$E161),2))))</f>
        <v/>
      </c>
      <c r="P161" s="17">
        <f>IF($A161="","",IFERROR(SUMIF(tblAnahtarA[Norm],$A161,tblGirdi[HedefNet]),0))</f>
        <v/>
      </c>
      <c r="Q161" s="17">
        <f>IF($A161="","",ROUND($M161-$P161,2))</f>
        <v/>
      </c>
      <c r="R161" s="17">
        <f>IF($A161="","",ROUND($B161-$K161,2))</f>
        <v/>
      </c>
      <c r="S161" s="17">
        <f>IF($A161="","",IF($N161&lt;0,"ÇEKİL",IF($N161&lt;tyk_esikMarjDusuk,"ZAM","SAT")))</f>
        <v/>
      </c>
      <c r="T161" s="17">
        <f>IF($A161="","",$L161-$F161)</f>
        <v/>
      </c>
      <c r="U161" s="17">
        <f>IF($A161="","",$M161-$Q161)</f>
        <v/>
      </c>
      <c r="V161" s="17">
        <f>IF($A161="","",$R161-$M161)</f>
        <v/>
      </c>
    </row>
    <row r="162">
      <c r="A162" s="17">
        <f>IF('ANAHTAR'!$B162="","",'ANAHTAR'!$B162)</f>
        <v/>
      </c>
      <c r="B162" s="17">
        <f>IF($A162="","",IFERROR(SUMIF(tblAnahtarA[Norm],$A162,tblGirdi[ToplamSatis]),0))</f>
        <v/>
      </c>
      <c r="C162" s="17">
        <f>IF($A162="","",IFERROR(SUMIF(tblAnahtarA[Norm],$A162,tblGirdi[Maliyet])*IFERROR(SUMIF(tblAnahtarA[Norm],$A162,tblGirdi[Miktar]),1),0))</f>
        <v/>
      </c>
      <c r="D162" s="17">
        <f>IF($A162="","",IFERROR(SUMIF(tblAnahtarA[Norm],$A162,tblGirdi[Miktar]),0))</f>
        <v/>
      </c>
      <c r="E162" s="17">
        <f>IF($A162="","",IFERROR(SUMIF(tblAnahtarA[Norm],$A162,tblGirdi[KomisyonOran]),0))</f>
        <v/>
      </c>
      <c r="F162" s="17">
        <f>IF($A162="","",ROUND($B162*$E162,2))</f>
        <v/>
      </c>
      <c r="G162" s="17">
        <f>IF($A162="","",IFERROR(SUMIF(tblAnahtarB[NormB],$A162,tblHakedis[TyPlus]),0))</f>
        <v/>
      </c>
      <c r="H162" s="17">
        <f>IF($A162="","",IFERROR(SUMIF(tblAnahtarB[NormB],$A162,tblHakedis[FlasKesinti]),0))</f>
        <v/>
      </c>
      <c r="I162" s="17">
        <f>IF($A162="","",IFERROR(SUMIF(tblAnahtarB[NormB],$A162,tblHakedis[UrunReklam]),0))</f>
        <v/>
      </c>
      <c r="J162" s="17">
        <f>IF($A162="","",IFERROR(SUMIF(tblAnahtarB[NormB],$A162,tblHakedis[DesiKargo]),0))</f>
        <v/>
      </c>
      <c r="K162" s="17">
        <f>IF($A162="","",ROUND($F162+$G162+$H162+$I162+$J162,2))</f>
        <v/>
      </c>
      <c r="L162" s="17">
        <f>IF($A162="","",ROUND($B162-$C162,2))</f>
        <v/>
      </c>
      <c r="M162" s="17">
        <f>IF($A162="","",ROUND($B162-$C162-$K162,2))</f>
        <v/>
      </c>
      <c r="N162" s="17">
        <f>IF(OR($A162="",$B162=0),0,$M162/$B162)</f>
        <v/>
      </c>
      <c r="O162" s="17">
        <f>IF($A162="","",IF((1-$E162)&lt;=0,0,IF($D162=0,0,ROUND(($C162+$G162+$H162+$I162+$J162)/$D162/(1-$E162),2))))</f>
        <v/>
      </c>
      <c r="P162" s="17">
        <f>IF($A162="","",IFERROR(SUMIF(tblAnahtarA[Norm],$A162,tblGirdi[HedefNet]),0))</f>
        <v/>
      </c>
      <c r="Q162" s="17">
        <f>IF($A162="","",ROUND($M162-$P162,2))</f>
        <v/>
      </c>
      <c r="R162" s="17">
        <f>IF($A162="","",ROUND($B162-$K162,2))</f>
        <v/>
      </c>
      <c r="S162" s="17">
        <f>IF($A162="","",IF($N162&lt;0,"ÇEKİL",IF($N162&lt;tyk_esikMarjDusuk,"ZAM","SAT")))</f>
        <v/>
      </c>
      <c r="T162" s="17">
        <f>IF($A162="","",$L162-$F162)</f>
        <v/>
      </c>
      <c r="U162" s="17">
        <f>IF($A162="","",$M162-$Q162)</f>
        <v/>
      </c>
      <c r="V162" s="17">
        <f>IF($A162="","",$R162-$M162)</f>
        <v/>
      </c>
    </row>
    <row r="163">
      <c r="A163" s="17">
        <f>IF('ANAHTAR'!$B163="","",'ANAHTAR'!$B163)</f>
        <v/>
      </c>
      <c r="B163" s="17">
        <f>IF($A163="","",IFERROR(SUMIF(tblAnahtarA[Norm],$A163,tblGirdi[ToplamSatis]),0))</f>
        <v/>
      </c>
      <c r="C163" s="17">
        <f>IF($A163="","",IFERROR(SUMIF(tblAnahtarA[Norm],$A163,tblGirdi[Maliyet])*IFERROR(SUMIF(tblAnahtarA[Norm],$A163,tblGirdi[Miktar]),1),0))</f>
        <v/>
      </c>
      <c r="D163" s="17">
        <f>IF($A163="","",IFERROR(SUMIF(tblAnahtarA[Norm],$A163,tblGirdi[Miktar]),0))</f>
        <v/>
      </c>
      <c r="E163" s="17">
        <f>IF($A163="","",IFERROR(SUMIF(tblAnahtarA[Norm],$A163,tblGirdi[KomisyonOran]),0))</f>
        <v/>
      </c>
      <c r="F163" s="17">
        <f>IF($A163="","",ROUND($B163*$E163,2))</f>
        <v/>
      </c>
      <c r="G163" s="17">
        <f>IF($A163="","",IFERROR(SUMIF(tblAnahtarB[NormB],$A163,tblHakedis[TyPlus]),0))</f>
        <v/>
      </c>
      <c r="H163" s="17">
        <f>IF($A163="","",IFERROR(SUMIF(tblAnahtarB[NormB],$A163,tblHakedis[FlasKesinti]),0))</f>
        <v/>
      </c>
      <c r="I163" s="17">
        <f>IF($A163="","",IFERROR(SUMIF(tblAnahtarB[NormB],$A163,tblHakedis[UrunReklam]),0))</f>
        <v/>
      </c>
      <c r="J163" s="17">
        <f>IF($A163="","",IFERROR(SUMIF(tblAnahtarB[NormB],$A163,tblHakedis[DesiKargo]),0))</f>
        <v/>
      </c>
      <c r="K163" s="17">
        <f>IF($A163="","",ROUND($F163+$G163+$H163+$I163+$J163,2))</f>
        <v/>
      </c>
      <c r="L163" s="17">
        <f>IF($A163="","",ROUND($B163-$C163,2))</f>
        <v/>
      </c>
      <c r="M163" s="17">
        <f>IF($A163="","",ROUND($B163-$C163-$K163,2))</f>
        <v/>
      </c>
      <c r="N163" s="17">
        <f>IF(OR($A163="",$B163=0),0,$M163/$B163)</f>
        <v/>
      </c>
      <c r="O163" s="17">
        <f>IF($A163="","",IF((1-$E163)&lt;=0,0,IF($D163=0,0,ROUND(($C163+$G163+$H163+$I163+$J163)/$D163/(1-$E163),2))))</f>
        <v/>
      </c>
      <c r="P163" s="17">
        <f>IF($A163="","",IFERROR(SUMIF(tblAnahtarA[Norm],$A163,tblGirdi[HedefNet]),0))</f>
        <v/>
      </c>
      <c r="Q163" s="17">
        <f>IF($A163="","",ROUND($M163-$P163,2))</f>
        <v/>
      </c>
      <c r="R163" s="17">
        <f>IF($A163="","",ROUND($B163-$K163,2))</f>
        <v/>
      </c>
      <c r="S163" s="17">
        <f>IF($A163="","",IF($N163&lt;0,"ÇEKİL",IF($N163&lt;tyk_esikMarjDusuk,"ZAM","SAT")))</f>
        <v/>
      </c>
      <c r="T163" s="17">
        <f>IF($A163="","",$L163-$F163)</f>
        <v/>
      </c>
      <c r="U163" s="17">
        <f>IF($A163="","",$M163-$Q163)</f>
        <v/>
      </c>
      <c r="V163" s="17">
        <f>IF($A163="","",$R163-$M163)</f>
        <v/>
      </c>
    </row>
    <row r="164">
      <c r="A164" s="17">
        <f>IF('ANAHTAR'!$B164="","",'ANAHTAR'!$B164)</f>
        <v/>
      </c>
      <c r="B164" s="17">
        <f>IF($A164="","",IFERROR(SUMIF(tblAnahtarA[Norm],$A164,tblGirdi[ToplamSatis]),0))</f>
        <v/>
      </c>
      <c r="C164" s="17">
        <f>IF($A164="","",IFERROR(SUMIF(tblAnahtarA[Norm],$A164,tblGirdi[Maliyet])*IFERROR(SUMIF(tblAnahtarA[Norm],$A164,tblGirdi[Miktar]),1),0))</f>
        <v/>
      </c>
      <c r="D164" s="17">
        <f>IF($A164="","",IFERROR(SUMIF(tblAnahtarA[Norm],$A164,tblGirdi[Miktar]),0))</f>
        <v/>
      </c>
      <c r="E164" s="17">
        <f>IF($A164="","",IFERROR(SUMIF(tblAnahtarA[Norm],$A164,tblGirdi[KomisyonOran]),0))</f>
        <v/>
      </c>
      <c r="F164" s="17">
        <f>IF($A164="","",ROUND($B164*$E164,2))</f>
        <v/>
      </c>
      <c r="G164" s="17">
        <f>IF($A164="","",IFERROR(SUMIF(tblAnahtarB[NormB],$A164,tblHakedis[TyPlus]),0))</f>
        <v/>
      </c>
      <c r="H164" s="17">
        <f>IF($A164="","",IFERROR(SUMIF(tblAnahtarB[NormB],$A164,tblHakedis[FlasKesinti]),0))</f>
        <v/>
      </c>
      <c r="I164" s="17">
        <f>IF($A164="","",IFERROR(SUMIF(tblAnahtarB[NormB],$A164,tblHakedis[UrunReklam]),0))</f>
        <v/>
      </c>
      <c r="J164" s="17">
        <f>IF($A164="","",IFERROR(SUMIF(tblAnahtarB[NormB],$A164,tblHakedis[DesiKargo]),0))</f>
        <v/>
      </c>
      <c r="K164" s="17">
        <f>IF($A164="","",ROUND($F164+$G164+$H164+$I164+$J164,2))</f>
        <v/>
      </c>
      <c r="L164" s="17">
        <f>IF($A164="","",ROUND($B164-$C164,2))</f>
        <v/>
      </c>
      <c r="M164" s="17">
        <f>IF($A164="","",ROUND($B164-$C164-$K164,2))</f>
        <v/>
      </c>
      <c r="N164" s="17">
        <f>IF(OR($A164="",$B164=0),0,$M164/$B164)</f>
        <v/>
      </c>
      <c r="O164" s="17">
        <f>IF($A164="","",IF((1-$E164)&lt;=0,0,IF($D164=0,0,ROUND(($C164+$G164+$H164+$I164+$J164)/$D164/(1-$E164),2))))</f>
        <v/>
      </c>
      <c r="P164" s="17">
        <f>IF($A164="","",IFERROR(SUMIF(tblAnahtarA[Norm],$A164,tblGirdi[HedefNet]),0))</f>
        <v/>
      </c>
      <c r="Q164" s="17">
        <f>IF($A164="","",ROUND($M164-$P164,2))</f>
        <v/>
      </c>
      <c r="R164" s="17">
        <f>IF($A164="","",ROUND($B164-$K164,2))</f>
        <v/>
      </c>
      <c r="S164" s="17">
        <f>IF($A164="","",IF($N164&lt;0,"ÇEKİL",IF($N164&lt;tyk_esikMarjDusuk,"ZAM","SAT")))</f>
        <v/>
      </c>
      <c r="T164" s="17">
        <f>IF($A164="","",$L164-$F164)</f>
        <v/>
      </c>
      <c r="U164" s="17">
        <f>IF($A164="","",$M164-$Q164)</f>
        <v/>
      </c>
      <c r="V164" s="17">
        <f>IF($A164="","",$R164-$M164)</f>
        <v/>
      </c>
    </row>
    <row r="165">
      <c r="A165" s="17">
        <f>IF('ANAHTAR'!$B165="","",'ANAHTAR'!$B165)</f>
        <v/>
      </c>
      <c r="B165" s="17">
        <f>IF($A165="","",IFERROR(SUMIF(tblAnahtarA[Norm],$A165,tblGirdi[ToplamSatis]),0))</f>
        <v/>
      </c>
      <c r="C165" s="17">
        <f>IF($A165="","",IFERROR(SUMIF(tblAnahtarA[Norm],$A165,tblGirdi[Maliyet])*IFERROR(SUMIF(tblAnahtarA[Norm],$A165,tblGirdi[Miktar]),1),0))</f>
        <v/>
      </c>
      <c r="D165" s="17">
        <f>IF($A165="","",IFERROR(SUMIF(tblAnahtarA[Norm],$A165,tblGirdi[Miktar]),0))</f>
        <v/>
      </c>
      <c r="E165" s="17">
        <f>IF($A165="","",IFERROR(SUMIF(tblAnahtarA[Norm],$A165,tblGirdi[KomisyonOran]),0))</f>
        <v/>
      </c>
      <c r="F165" s="17">
        <f>IF($A165="","",ROUND($B165*$E165,2))</f>
        <v/>
      </c>
      <c r="G165" s="17">
        <f>IF($A165="","",IFERROR(SUMIF(tblAnahtarB[NormB],$A165,tblHakedis[TyPlus]),0))</f>
        <v/>
      </c>
      <c r="H165" s="17">
        <f>IF($A165="","",IFERROR(SUMIF(tblAnahtarB[NormB],$A165,tblHakedis[FlasKesinti]),0))</f>
        <v/>
      </c>
      <c r="I165" s="17">
        <f>IF($A165="","",IFERROR(SUMIF(tblAnahtarB[NormB],$A165,tblHakedis[UrunReklam]),0))</f>
        <v/>
      </c>
      <c r="J165" s="17">
        <f>IF($A165="","",IFERROR(SUMIF(tblAnahtarB[NormB],$A165,tblHakedis[DesiKargo]),0))</f>
        <v/>
      </c>
      <c r="K165" s="17">
        <f>IF($A165="","",ROUND($F165+$G165+$H165+$I165+$J165,2))</f>
        <v/>
      </c>
      <c r="L165" s="17">
        <f>IF($A165="","",ROUND($B165-$C165,2))</f>
        <v/>
      </c>
      <c r="M165" s="17">
        <f>IF($A165="","",ROUND($B165-$C165-$K165,2))</f>
        <v/>
      </c>
      <c r="N165" s="17">
        <f>IF(OR($A165="",$B165=0),0,$M165/$B165)</f>
        <v/>
      </c>
      <c r="O165" s="17">
        <f>IF($A165="","",IF((1-$E165)&lt;=0,0,IF($D165=0,0,ROUND(($C165+$G165+$H165+$I165+$J165)/$D165/(1-$E165),2))))</f>
        <v/>
      </c>
      <c r="P165" s="17">
        <f>IF($A165="","",IFERROR(SUMIF(tblAnahtarA[Norm],$A165,tblGirdi[HedefNet]),0))</f>
        <v/>
      </c>
      <c r="Q165" s="17">
        <f>IF($A165="","",ROUND($M165-$P165,2))</f>
        <v/>
      </c>
      <c r="R165" s="17">
        <f>IF($A165="","",ROUND($B165-$K165,2))</f>
        <v/>
      </c>
      <c r="S165" s="17">
        <f>IF($A165="","",IF($N165&lt;0,"ÇEKİL",IF($N165&lt;tyk_esikMarjDusuk,"ZAM","SAT")))</f>
        <v/>
      </c>
      <c r="T165" s="17">
        <f>IF($A165="","",$L165-$F165)</f>
        <v/>
      </c>
      <c r="U165" s="17">
        <f>IF($A165="","",$M165-$Q165)</f>
        <v/>
      </c>
      <c r="V165" s="17">
        <f>IF($A165="","",$R165-$M165)</f>
        <v/>
      </c>
    </row>
    <row r="166">
      <c r="A166" s="17">
        <f>IF('ANAHTAR'!$B166="","",'ANAHTAR'!$B166)</f>
        <v/>
      </c>
      <c r="B166" s="17">
        <f>IF($A166="","",IFERROR(SUMIF(tblAnahtarA[Norm],$A166,tblGirdi[ToplamSatis]),0))</f>
        <v/>
      </c>
      <c r="C166" s="17">
        <f>IF($A166="","",IFERROR(SUMIF(tblAnahtarA[Norm],$A166,tblGirdi[Maliyet])*IFERROR(SUMIF(tblAnahtarA[Norm],$A166,tblGirdi[Miktar]),1),0))</f>
        <v/>
      </c>
      <c r="D166" s="17">
        <f>IF($A166="","",IFERROR(SUMIF(tblAnahtarA[Norm],$A166,tblGirdi[Miktar]),0))</f>
        <v/>
      </c>
      <c r="E166" s="17">
        <f>IF($A166="","",IFERROR(SUMIF(tblAnahtarA[Norm],$A166,tblGirdi[KomisyonOran]),0))</f>
        <v/>
      </c>
      <c r="F166" s="17">
        <f>IF($A166="","",ROUND($B166*$E166,2))</f>
        <v/>
      </c>
      <c r="G166" s="17">
        <f>IF($A166="","",IFERROR(SUMIF(tblAnahtarB[NormB],$A166,tblHakedis[TyPlus]),0))</f>
        <v/>
      </c>
      <c r="H166" s="17">
        <f>IF($A166="","",IFERROR(SUMIF(tblAnahtarB[NormB],$A166,tblHakedis[FlasKesinti]),0))</f>
        <v/>
      </c>
      <c r="I166" s="17">
        <f>IF($A166="","",IFERROR(SUMIF(tblAnahtarB[NormB],$A166,tblHakedis[UrunReklam]),0))</f>
        <v/>
      </c>
      <c r="J166" s="17">
        <f>IF($A166="","",IFERROR(SUMIF(tblAnahtarB[NormB],$A166,tblHakedis[DesiKargo]),0))</f>
        <v/>
      </c>
      <c r="K166" s="17">
        <f>IF($A166="","",ROUND($F166+$G166+$H166+$I166+$J166,2))</f>
        <v/>
      </c>
      <c r="L166" s="17">
        <f>IF($A166="","",ROUND($B166-$C166,2))</f>
        <v/>
      </c>
      <c r="M166" s="17">
        <f>IF($A166="","",ROUND($B166-$C166-$K166,2))</f>
        <v/>
      </c>
      <c r="N166" s="17">
        <f>IF(OR($A166="",$B166=0),0,$M166/$B166)</f>
        <v/>
      </c>
      <c r="O166" s="17">
        <f>IF($A166="","",IF((1-$E166)&lt;=0,0,IF($D166=0,0,ROUND(($C166+$G166+$H166+$I166+$J166)/$D166/(1-$E166),2))))</f>
        <v/>
      </c>
      <c r="P166" s="17">
        <f>IF($A166="","",IFERROR(SUMIF(tblAnahtarA[Norm],$A166,tblGirdi[HedefNet]),0))</f>
        <v/>
      </c>
      <c r="Q166" s="17">
        <f>IF($A166="","",ROUND($M166-$P166,2))</f>
        <v/>
      </c>
      <c r="R166" s="17">
        <f>IF($A166="","",ROUND($B166-$K166,2))</f>
        <v/>
      </c>
      <c r="S166" s="17">
        <f>IF($A166="","",IF($N166&lt;0,"ÇEKİL",IF($N166&lt;tyk_esikMarjDusuk,"ZAM","SAT")))</f>
        <v/>
      </c>
      <c r="T166" s="17">
        <f>IF($A166="","",$L166-$F166)</f>
        <v/>
      </c>
      <c r="U166" s="17">
        <f>IF($A166="","",$M166-$Q166)</f>
        <v/>
      </c>
      <c r="V166" s="17">
        <f>IF($A166="","",$R166-$M166)</f>
        <v/>
      </c>
    </row>
    <row r="167">
      <c r="A167" s="17">
        <f>IF('ANAHTAR'!$B167="","",'ANAHTAR'!$B167)</f>
        <v/>
      </c>
      <c r="B167" s="17">
        <f>IF($A167="","",IFERROR(SUMIF(tblAnahtarA[Norm],$A167,tblGirdi[ToplamSatis]),0))</f>
        <v/>
      </c>
      <c r="C167" s="17">
        <f>IF($A167="","",IFERROR(SUMIF(tblAnahtarA[Norm],$A167,tblGirdi[Maliyet])*IFERROR(SUMIF(tblAnahtarA[Norm],$A167,tblGirdi[Miktar]),1),0))</f>
        <v/>
      </c>
      <c r="D167" s="17">
        <f>IF($A167="","",IFERROR(SUMIF(tblAnahtarA[Norm],$A167,tblGirdi[Miktar]),0))</f>
        <v/>
      </c>
      <c r="E167" s="17">
        <f>IF($A167="","",IFERROR(SUMIF(tblAnahtarA[Norm],$A167,tblGirdi[KomisyonOran]),0))</f>
        <v/>
      </c>
      <c r="F167" s="17">
        <f>IF($A167="","",ROUND($B167*$E167,2))</f>
        <v/>
      </c>
      <c r="G167" s="17">
        <f>IF($A167="","",IFERROR(SUMIF(tblAnahtarB[NormB],$A167,tblHakedis[TyPlus]),0))</f>
        <v/>
      </c>
      <c r="H167" s="17">
        <f>IF($A167="","",IFERROR(SUMIF(tblAnahtarB[NormB],$A167,tblHakedis[FlasKesinti]),0))</f>
        <v/>
      </c>
      <c r="I167" s="17">
        <f>IF($A167="","",IFERROR(SUMIF(tblAnahtarB[NormB],$A167,tblHakedis[UrunReklam]),0))</f>
        <v/>
      </c>
      <c r="J167" s="17">
        <f>IF($A167="","",IFERROR(SUMIF(tblAnahtarB[NormB],$A167,tblHakedis[DesiKargo]),0))</f>
        <v/>
      </c>
      <c r="K167" s="17">
        <f>IF($A167="","",ROUND($F167+$G167+$H167+$I167+$J167,2))</f>
        <v/>
      </c>
      <c r="L167" s="17">
        <f>IF($A167="","",ROUND($B167-$C167,2))</f>
        <v/>
      </c>
      <c r="M167" s="17">
        <f>IF($A167="","",ROUND($B167-$C167-$K167,2))</f>
        <v/>
      </c>
      <c r="N167" s="17">
        <f>IF(OR($A167="",$B167=0),0,$M167/$B167)</f>
        <v/>
      </c>
      <c r="O167" s="17">
        <f>IF($A167="","",IF((1-$E167)&lt;=0,0,IF($D167=0,0,ROUND(($C167+$G167+$H167+$I167+$J167)/$D167/(1-$E167),2))))</f>
        <v/>
      </c>
      <c r="P167" s="17">
        <f>IF($A167="","",IFERROR(SUMIF(tblAnahtarA[Norm],$A167,tblGirdi[HedefNet]),0))</f>
        <v/>
      </c>
      <c r="Q167" s="17">
        <f>IF($A167="","",ROUND($M167-$P167,2))</f>
        <v/>
      </c>
      <c r="R167" s="17">
        <f>IF($A167="","",ROUND($B167-$K167,2))</f>
        <v/>
      </c>
      <c r="S167" s="17">
        <f>IF($A167="","",IF($N167&lt;0,"ÇEKİL",IF($N167&lt;tyk_esikMarjDusuk,"ZAM","SAT")))</f>
        <v/>
      </c>
      <c r="T167" s="17">
        <f>IF($A167="","",$L167-$F167)</f>
        <v/>
      </c>
      <c r="U167" s="17">
        <f>IF($A167="","",$M167-$Q167)</f>
        <v/>
      </c>
      <c r="V167" s="17">
        <f>IF($A167="","",$R167-$M167)</f>
        <v/>
      </c>
    </row>
    <row r="168">
      <c r="A168" s="17">
        <f>IF('ANAHTAR'!$B168="","",'ANAHTAR'!$B168)</f>
        <v/>
      </c>
      <c r="B168" s="17">
        <f>IF($A168="","",IFERROR(SUMIF(tblAnahtarA[Norm],$A168,tblGirdi[ToplamSatis]),0))</f>
        <v/>
      </c>
      <c r="C168" s="17">
        <f>IF($A168="","",IFERROR(SUMIF(tblAnahtarA[Norm],$A168,tblGirdi[Maliyet])*IFERROR(SUMIF(tblAnahtarA[Norm],$A168,tblGirdi[Miktar]),1),0))</f>
        <v/>
      </c>
      <c r="D168" s="17">
        <f>IF($A168="","",IFERROR(SUMIF(tblAnahtarA[Norm],$A168,tblGirdi[Miktar]),0))</f>
        <v/>
      </c>
      <c r="E168" s="17">
        <f>IF($A168="","",IFERROR(SUMIF(tblAnahtarA[Norm],$A168,tblGirdi[KomisyonOran]),0))</f>
        <v/>
      </c>
      <c r="F168" s="17">
        <f>IF($A168="","",ROUND($B168*$E168,2))</f>
        <v/>
      </c>
      <c r="G168" s="17">
        <f>IF($A168="","",IFERROR(SUMIF(tblAnahtarB[NormB],$A168,tblHakedis[TyPlus]),0))</f>
        <v/>
      </c>
      <c r="H168" s="17">
        <f>IF($A168="","",IFERROR(SUMIF(tblAnahtarB[NormB],$A168,tblHakedis[FlasKesinti]),0))</f>
        <v/>
      </c>
      <c r="I168" s="17">
        <f>IF($A168="","",IFERROR(SUMIF(tblAnahtarB[NormB],$A168,tblHakedis[UrunReklam]),0))</f>
        <v/>
      </c>
      <c r="J168" s="17">
        <f>IF($A168="","",IFERROR(SUMIF(tblAnahtarB[NormB],$A168,tblHakedis[DesiKargo]),0))</f>
        <v/>
      </c>
      <c r="K168" s="17">
        <f>IF($A168="","",ROUND($F168+$G168+$H168+$I168+$J168,2))</f>
        <v/>
      </c>
      <c r="L168" s="17">
        <f>IF($A168="","",ROUND($B168-$C168,2))</f>
        <v/>
      </c>
      <c r="M168" s="17">
        <f>IF($A168="","",ROUND($B168-$C168-$K168,2))</f>
        <v/>
      </c>
      <c r="N168" s="17">
        <f>IF(OR($A168="",$B168=0),0,$M168/$B168)</f>
        <v/>
      </c>
      <c r="O168" s="17">
        <f>IF($A168="","",IF((1-$E168)&lt;=0,0,IF($D168=0,0,ROUND(($C168+$G168+$H168+$I168+$J168)/$D168/(1-$E168),2))))</f>
        <v/>
      </c>
      <c r="P168" s="17">
        <f>IF($A168="","",IFERROR(SUMIF(tblAnahtarA[Norm],$A168,tblGirdi[HedefNet]),0))</f>
        <v/>
      </c>
      <c r="Q168" s="17">
        <f>IF($A168="","",ROUND($M168-$P168,2))</f>
        <v/>
      </c>
      <c r="R168" s="17">
        <f>IF($A168="","",ROUND($B168-$K168,2))</f>
        <v/>
      </c>
      <c r="S168" s="17">
        <f>IF($A168="","",IF($N168&lt;0,"ÇEKİL",IF($N168&lt;tyk_esikMarjDusuk,"ZAM","SAT")))</f>
        <v/>
      </c>
      <c r="T168" s="17">
        <f>IF($A168="","",$L168-$F168)</f>
        <v/>
      </c>
      <c r="U168" s="17">
        <f>IF($A168="","",$M168-$Q168)</f>
        <v/>
      </c>
      <c r="V168" s="17">
        <f>IF($A168="","",$R168-$M168)</f>
        <v/>
      </c>
    </row>
    <row r="169">
      <c r="A169" s="17">
        <f>IF('ANAHTAR'!$B169="","",'ANAHTAR'!$B169)</f>
        <v/>
      </c>
      <c r="B169" s="17">
        <f>IF($A169="","",IFERROR(SUMIF(tblAnahtarA[Norm],$A169,tblGirdi[ToplamSatis]),0))</f>
        <v/>
      </c>
      <c r="C169" s="17">
        <f>IF($A169="","",IFERROR(SUMIF(tblAnahtarA[Norm],$A169,tblGirdi[Maliyet])*IFERROR(SUMIF(tblAnahtarA[Norm],$A169,tblGirdi[Miktar]),1),0))</f>
        <v/>
      </c>
      <c r="D169" s="17">
        <f>IF($A169="","",IFERROR(SUMIF(tblAnahtarA[Norm],$A169,tblGirdi[Miktar]),0))</f>
        <v/>
      </c>
      <c r="E169" s="17">
        <f>IF($A169="","",IFERROR(SUMIF(tblAnahtarA[Norm],$A169,tblGirdi[KomisyonOran]),0))</f>
        <v/>
      </c>
      <c r="F169" s="17">
        <f>IF($A169="","",ROUND($B169*$E169,2))</f>
        <v/>
      </c>
      <c r="G169" s="17">
        <f>IF($A169="","",IFERROR(SUMIF(tblAnahtarB[NormB],$A169,tblHakedis[TyPlus]),0))</f>
        <v/>
      </c>
      <c r="H169" s="17">
        <f>IF($A169="","",IFERROR(SUMIF(tblAnahtarB[NormB],$A169,tblHakedis[FlasKesinti]),0))</f>
        <v/>
      </c>
      <c r="I169" s="17">
        <f>IF($A169="","",IFERROR(SUMIF(tblAnahtarB[NormB],$A169,tblHakedis[UrunReklam]),0))</f>
        <v/>
      </c>
      <c r="J169" s="17">
        <f>IF($A169="","",IFERROR(SUMIF(tblAnahtarB[NormB],$A169,tblHakedis[DesiKargo]),0))</f>
        <v/>
      </c>
      <c r="K169" s="17">
        <f>IF($A169="","",ROUND($F169+$G169+$H169+$I169+$J169,2))</f>
        <v/>
      </c>
      <c r="L169" s="17">
        <f>IF($A169="","",ROUND($B169-$C169,2))</f>
        <v/>
      </c>
      <c r="M169" s="17">
        <f>IF($A169="","",ROUND($B169-$C169-$K169,2))</f>
        <v/>
      </c>
      <c r="N169" s="17">
        <f>IF(OR($A169="",$B169=0),0,$M169/$B169)</f>
        <v/>
      </c>
      <c r="O169" s="17">
        <f>IF($A169="","",IF((1-$E169)&lt;=0,0,IF($D169=0,0,ROUND(($C169+$G169+$H169+$I169+$J169)/$D169/(1-$E169),2))))</f>
        <v/>
      </c>
      <c r="P169" s="17">
        <f>IF($A169="","",IFERROR(SUMIF(tblAnahtarA[Norm],$A169,tblGirdi[HedefNet]),0))</f>
        <v/>
      </c>
      <c r="Q169" s="17">
        <f>IF($A169="","",ROUND($M169-$P169,2))</f>
        <v/>
      </c>
      <c r="R169" s="17">
        <f>IF($A169="","",ROUND($B169-$K169,2))</f>
        <v/>
      </c>
      <c r="S169" s="17">
        <f>IF($A169="","",IF($N169&lt;0,"ÇEKİL",IF($N169&lt;tyk_esikMarjDusuk,"ZAM","SAT")))</f>
        <v/>
      </c>
      <c r="T169" s="17">
        <f>IF($A169="","",$L169-$F169)</f>
        <v/>
      </c>
      <c r="U169" s="17">
        <f>IF($A169="","",$M169-$Q169)</f>
        <v/>
      </c>
      <c r="V169" s="17">
        <f>IF($A169="","",$R169-$M169)</f>
        <v/>
      </c>
    </row>
    <row r="170">
      <c r="A170" s="17">
        <f>IF('ANAHTAR'!$B170="","",'ANAHTAR'!$B170)</f>
        <v/>
      </c>
      <c r="B170" s="17">
        <f>IF($A170="","",IFERROR(SUMIF(tblAnahtarA[Norm],$A170,tblGirdi[ToplamSatis]),0))</f>
        <v/>
      </c>
      <c r="C170" s="17">
        <f>IF($A170="","",IFERROR(SUMIF(tblAnahtarA[Norm],$A170,tblGirdi[Maliyet])*IFERROR(SUMIF(tblAnahtarA[Norm],$A170,tblGirdi[Miktar]),1),0))</f>
        <v/>
      </c>
      <c r="D170" s="17">
        <f>IF($A170="","",IFERROR(SUMIF(tblAnahtarA[Norm],$A170,tblGirdi[Miktar]),0))</f>
        <v/>
      </c>
      <c r="E170" s="17">
        <f>IF($A170="","",IFERROR(SUMIF(tblAnahtarA[Norm],$A170,tblGirdi[KomisyonOran]),0))</f>
        <v/>
      </c>
      <c r="F170" s="17">
        <f>IF($A170="","",ROUND($B170*$E170,2))</f>
        <v/>
      </c>
      <c r="G170" s="17">
        <f>IF($A170="","",IFERROR(SUMIF(tblAnahtarB[NormB],$A170,tblHakedis[TyPlus]),0))</f>
        <v/>
      </c>
      <c r="H170" s="17">
        <f>IF($A170="","",IFERROR(SUMIF(tblAnahtarB[NormB],$A170,tblHakedis[FlasKesinti]),0))</f>
        <v/>
      </c>
      <c r="I170" s="17">
        <f>IF($A170="","",IFERROR(SUMIF(tblAnahtarB[NormB],$A170,tblHakedis[UrunReklam]),0))</f>
        <v/>
      </c>
      <c r="J170" s="17">
        <f>IF($A170="","",IFERROR(SUMIF(tblAnahtarB[NormB],$A170,tblHakedis[DesiKargo]),0))</f>
        <v/>
      </c>
      <c r="K170" s="17">
        <f>IF($A170="","",ROUND($F170+$G170+$H170+$I170+$J170,2))</f>
        <v/>
      </c>
      <c r="L170" s="17">
        <f>IF($A170="","",ROUND($B170-$C170,2))</f>
        <v/>
      </c>
      <c r="M170" s="17">
        <f>IF($A170="","",ROUND($B170-$C170-$K170,2))</f>
        <v/>
      </c>
      <c r="N170" s="17">
        <f>IF(OR($A170="",$B170=0),0,$M170/$B170)</f>
        <v/>
      </c>
      <c r="O170" s="17">
        <f>IF($A170="","",IF((1-$E170)&lt;=0,0,IF($D170=0,0,ROUND(($C170+$G170+$H170+$I170+$J170)/$D170/(1-$E170),2))))</f>
        <v/>
      </c>
      <c r="P170" s="17">
        <f>IF($A170="","",IFERROR(SUMIF(tblAnahtarA[Norm],$A170,tblGirdi[HedefNet]),0))</f>
        <v/>
      </c>
      <c r="Q170" s="17">
        <f>IF($A170="","",ROUND($M170-$P170,2))</f>
        <v/>
      </c>
      <c r="R170" s="17">
        <f>IF($A170="","",ROUND($B170-$K170,2))</f>
        <v/>
      </c>
      <c r="S170" s="17">
        <f>IF($A170="","",IF($N170&lt;0,"ÇEKİL",IF($N170&lt;tyk_esikMarjDusuk,"ZAM","SAT")))</f>
        <v/>
      </c>
      <c r="T170" s="17">
        <f>IF($A170="","",$L170-$F170)</f>
        <v/>
      </c>
      <c r="U170" s="17">
        <f>IF($A170="","",$M170-$Q170)</f>
        <v/>
      </c>
      <c r="V170" s="17">
        <f>IF($A170="","",$R170-$M170)</f>
        <v/>
      </c>
    </row>
    <row r="171">
      <c r="A171" s="17">
        <f>IF('ANAHTAR'!$B171="","",'ANAHTAR'!$B171)</f>
        <v/>
      </c>
      <c r="B171" s="17">
        <f>IF($A171="","",IFERROR(SUMIF(tblAnahtarA[Norm],$A171,tblGirdi[ToplamSatis]),0))</f>
        <v/>
      </c>
      <c r="C171" s="17">
        <f>IF($A171="","",IFERROR(SUMIF(tblAnahtarA[Norm],$A171,tblGirdi[Maliyet])*IFERROR(SUMIF(tblAnahtarA[Norm],$A171,tblGirdi[Miktar]),1),0))</f>
        <v/>
      </c>
      <c r="D171" s="17">
        <f>IF($A171="","",IFERROR(SUMIF(tblAnahtarA[Norm],$A171,tblGirdi[Miktar]),0))</f>
        <v/>
      </c>
      <c r="E171" s="17">
        <f>IF($A171="","",IFERROR(SUMIF(tblAnahtarA[Norm],$A171,tblGirdi[KomisyonOran]),0))</f>
        <v/>
      </c>
      <c r="F171" s="17">
        <f>IF($A171="","",ROUND($B171*$E171,2))</f>
        <v/>
      </c>
      <c r="G171" s="17">
        <f>IF($A171="","",IFERROR(SUMIF(tblAnahtarB[NormB],$A171,tblHakedis[TyPlus]),0))</f>
        <v/>
      </c>
      <c r="H171" s="17">
        <f>IF($A171="","",IFERROR(SUMIF(tblAnahtarB[NormB],$A171,tblHakedis[FlasKesinti]),0))</f>
        <v/>
      </c>
      <c r="I171" s="17">
        <f>IF($A171="","",IFERROR(SUMIF(tblAnahtarB[NormB],$A171,tblHakedis[UrunReklam]),0))</f>
        <v/>
      </c>
      <c r="J171" s="17">
        <f>IF($A171="","",IFERROR(SUMIF(tblAnahtarB[NormB],$A171,tblHakedis[DesiKargo]),0))</f>
        <v/>
      </c>
      <c r="K171" s="17">
        <f>IF($A171="","",ROUND($F171+$G171+$H171+$I171+$J171,2))</f>
        <v/>
      </c>
      <c r="L171" s="17">
        <f>IF($A171="","",ROUND($B171-$C171,2))</f>
        <v/>
      </c>
      <c r="M171" s="17">
        <f>IF($A171="","",ROUND($B171-$C171-$K171,2))</f>
        <v/>
      </c>
      <c r="N171" s="17">
        <f>IF(OR($A171="",$B171=0),0,$M171/$B171)</f>
        <v/>
      </c>
      <c r="O171" s="17">
        <f>IF($A171="","",IF((1-$E171)&lt;=0,0,IF($D171=0,0,ROUND(($C171+$G171+$H171+$I171+$J171)/$D171/(1-$E171),2))))</f>
        <v/>
      </c>
      <c r="P171" s="17">
        <f>IF($A171="","",IFERROR(SUMIF(tblAnahtarA[Norm],$A171,tblGirdi[HedefNet]),0))</f>
        <v/>
      </c>
      <c r="Q171" s="17">
        <f>IF($A171="","",ROUND($M171-$P171,2))</f>
        <v/>
      </c>
      <c r="R171" s="17">
        <f>IF($A171="","",ROUND($B171-$K171,2))</f>
        <v/>
      </c>
      <c r="S171" s="17">
        <f>IF($A171="","",IF($N171&lt;0,"ÇEKİL",IF($N171&lt;tyk_esikMarjDusuk,"ZAM","SAT")))</f>
        <v/>
      </c>
      <c r="T171" s="17">
        <f>IF($A171="","",$L171-$F171)</f>
        <v/>
      </c>
      <c r="U171" s="17">
        <f>IF($A171="","",$M171-$Q171)</f>
        <v/>
      </c>
      <c r="V171" s="17">
        <f>IF($A171="","",$R171-$M171)</f>
        <v/>
      </c>
    </row>
    <row r="172">
      <c r="A172" s="17">
        <f>IF('ANAHTAR'!$B172="","",'ANAHTAR'!$B172)</f>
        <v/>
      </c>
      <c r="B172" s="17">
        <f>IF($A172="","",IFERROR(SUMIF(tblAnahtarA[Norm],$A172,tblGirdi[ToplamSatis]),0))</f>
        <v/>
      </c>
      <c r="C172" s="17">
        <f>IF($A172="","",IFERROR(SUMIF(tblAnahtarA[Norm],$A172,tblGirdi[Maliyet])*IFERROR(SUMIF(tblAnahtarA[Norm],$A172,tblGirdi[Miktar]),1),0))</f>
        <v/>
      </c>
      <c r="D172" s="17">
        <f>IF($A172="","",IFERROR(SUMIF(tblAnahtarA[Norm],$A172,tblGirdi[Miktar]),0))</f>
        <v/>
      </c>
      <c r="E172" s="17">
        <f>IF($A172="","",IFERROR(SUMIF(tblAnahtarA[Norm],$A172,tblGirdi[KomisyonOran]),0))</f>
        <v/>
      </c>
      <c r="F172" s="17">
        <f>IF($A172="","",ROUND($B172*$E172,2))</f>
        <v/>
      </c>
      <c r="G172" s="17">
        <f>IF($A172="","",IFERROR(SUMIF(tblAnahtarB[NormB],$A172,tblHakedis[TyPlus]),0))</f>
        <v/>
      </c>
      <c r="H172" s="17">
        <f>IF($A172="","",IFERROR(SUMIF(tblAnahtarB[NormB],$A172,tblHakedis[FlasKesinti]),0))</f>
        <v/>
      </c>
      <c r="I172" s="17">
        <f>IF($A172="","",IFERROR(SUMIF(tblAnahtarB[NormB],$A172,tblHakedis[UrunReklam]),0))</f>
        <v/>
      </c>
      <c r="J172" s="17">
        <f>IF($A172="","",IFERROR(SUMIF(tblAnahtarB[NormB],$A172,tblHakedis[DesiKargo]),0))</f>
        <v/>
      </c>
      <c r="K172" s="17">
        <f>IF($A172="","",ROUND($F172+$G172+$H172+$I172+$J172,2))</f>
        <v/>
      </c>
      <c r="L172" s="17">
        <f>IF($A172="","",ROUND($B172-$C172,2))</f>
        <v/>
      </c>
      <c r="M172" s="17">
        <f>IF($A172="","",ROUND($B172-$C172-$K172,2))</f>
        <v/>
      </c>
      <c r="N172" s="17">
        <f>IF(OR($A172="",$B172=0),0,$M172/$B172)</f>
        <v/>
      </c>
      <c r="O172" s="17">
        <f>IF($A172="","",IF((1-$E172)&lt;=0,0,IF($D172=0,0,ROUND(($C172+$G172+$H172+$I172+$J172)/$D172/(1-$E172),2))))</f>
        <v/>
      </c>
      <c r="P172" s="17">
        <f>IF($A172="","",IFERROR(SUMIF(tblAnahtarA[Norm],$A172,tblGirdi[HedefNet]),0))</f>
        <v/>
      </c>
      <c r="Q172" s="17">
        <f>IF($A172="","",ROUND($M172-$P172,2))</f>
        <v/>
      </c>
      <c r="R172" s="17">
        <f>IF($A172="","",ROUND($B172-$K172,2))</f>
        <v/>
      </c>
      <c r="S172" s="17">
        <f>IF($A172="","",IF($N172&lt;0,"ÇEKİL",IF($N172&lt;tyk_esikMarjDusuk,"ZAM","SAT")))</f>
        <v/>
      </c>
      <c r="T172" s="17">
        <f>IF($A172="","",$L172-$F172)</f>
        <v/>
      </c>
      <c r="U172" s="17">
        <f>IF($A172="","",$M172-$Q172)</f>
        <v/>
      </c>
      <c r="V172" s="17">
        <f>IF($A172="","",$R172-$M172)</f>
        <v/>
      </c>
    </row>
    <row r="173">
      <c r="A173" s="17">
        <f>IF('ANAHTAR'!$B173="","",'ANAHTAR'!$B173)</f>
        <v/>
      </c>
      <c r="B173" s="17">
        <f>IF($A173="","",IFERROR(SUMIF(tblAnahtarA[Norm],$A173,tblGirdi[ToplamSatis]),0))</f>
        <v/>
      </c>
      <c r="C173" s="17">
        <f>IF($A173="","",IFERROR(SUMIF(tblAnahtarA[Norm],$A173,tblGirdi[Maliyet])*IFERROR(SUMIF(tblAnahtarA[Norm],$A173,tblGirdi[Miktar]),1),0))</f>
        <v/>
      </c>
      <c r="D173" s="17">
        <f>IF($A173="","",IFERROR(SUMIF(tblAnahtarA[Norm],$A173,tblGirdi[Miktar]),0))</f>
        <v/>
      </c>
      <c r="E173" s="17">
        <f>IF($A173="","",IFERROR(SUMIF(tblAnahtarA[Norm],$A173,tblGirdi[KomisyonOran]),0))</f>
        <v/>
      </c>
      <c r="F173" s="17">
        <f>IF($A173="","",ROUND($B173*$E173,2))</f>
        <v/>
      </c>
      <c r="G173" s="17">
        <f>IF($A173="","",IFERROR(SUMIF(tblAnahtarB[NormB],$A173,tblHakedis[TyPlus]),0))</f>
        <v/>
      </c>
      <c r="H173" s="17">
        <f>IF($A173="","",IFERROR(SUMIF(tblAnahtarB[NormB],$A173,tblHakedis[FlasKesinti]),0))</f>
        <v/>
      </c>
      <c r="I173" s="17">
        <f>IF($A173="","",IFERROR(SUMIF(tblAnahtarB[NormB],$A173,tblHakedis[UrunReklam]),0))</f>
        <v/>
      </c>
      <c r="J173" s="17">
        <f>IF($A173="","",IFERROR(SUMIF(tblAnahtarB[NormB],$A173,tblHakedis[DesiKargo]),0))</f>
        <v/>
      </c>
      <c r="K173" s="17">
        <f>IF($A173="","",ROUND($F173+$G173+$H173+$I173+$J173,2))</f>
        <v/>
      </c>
      <c r="L173" s="17">
        <f>IF($A173="","",ROUND($B173-$C173,2))</f>
        <v/>
      </c>
      <c r="M173" s="17">
        <f>IF($A173="","",ROUND($B173-$C173-$K173,2))</f>
        <v/>
      </c>
      <c r="N173" s="17">
        <f>IF(OR($A173="",$B173=0),0,$M173/$B173)</f>
        <v/>
      </c>
      <c r="O173" s="17">
        <f>IF($A173="","",IF((1-$E173)&lt;=0,0,IF($D173=0,0,ROUND(($C173+$G173+$H173+$I173+$J173)/$D173/(1-$E173),2))))</f>
        <v/>
      </c>
      <c r="P173" s="17">
        <f>IF($A173="","",IFERROR(SUMIF(tblAnahtarA[Norm],$A173,tblGirdi[HedefNet]),0))</f>
        <v/>
      </c>
      <c r="Q173" s="17">
        <f>IF($A173="","",ROUND($M173-$P173,2))</f>
        <v/>
      </c>
      <c r="R173" s="17">
        <f>IF($A173="","",ROUND($B173-$K173,2))</f>
        <v/>
      </c>
      <c r="S173" s="17">
        <f>IF($A173="","",IF($N173&lt;0,"ÇEKİL",IF($N173&lt;tyk_esikMarjDusuk,"ZAM","SAT")))</f>
        <v/>
      </c>
      <c r="T173" s="17">
        <f>IF($A173="","",$L173-$F173)</f>
        <v/>
      </c>
      <c r="U173" s="17">
        <f>IF($A173="","",$M173-$Q173)</f>
        <v/>
      </c>
      <c r="V173" s="17">
        <f>IF($A173="","",$R173-$M173)</f>
        <v/>
      </c>
    </row>
    <row r="174">
      <c r="A174" s="17">
        <f>IF('ANAHTAR'!$B174="","",'ANAHTAR'!$B174)</f>
        <v/>
      </c>
      <c r="B174" s="17">
        <f>IF($A174="","",IFERROR(SUMIF(tblAnahtarA[Norm],$A174,tblGirdi[ToplamSatis]),0))</f>
        <v/>
      </c>
      <c r="C174" s="17">
        <f>IF($A174="","",IFERROR(SUMIF(tblAnahtarA[Norm],$A174,tblGirdi[Maliyet])*IFERROR(SUMIF(tblAnahtarA[Norm],$A174,tblGirdi[Miktar]),1),0))</f>
        <v/>
      </c>
      <c r="D174" s="17">
        <f>IF($A174="","",IFERROR(SUMIF(tblAnahtarA[Norm],$A174,tblGirdi[Miktar]),0))</f>
        <v/>
      </c>
      <c r="E174" s="17">
        <f>IF($A174="","",IFERROR(SUMIF(tblAnahtarA[Norm],$A174,tblGirdi[KomisyonOran]),0))</f>
        <v/>
      </c>
      <c r="F174" s="17">
        <f>IF($A174="","",ROUND($B174*$E174,2))</f>
        <v/>
      </c>
      <c r="G174" s="17">
        <f>IF($A174="","",IFERROR(SUMIF(tblAnahtarB[NormB],$A174,tblHakedis[TyPlus]),0))</f>
        <v/>
      </c>
      <c r="H174" s="17">
        <f>IF($A174="","",IFERROR(SUMIF(tblAnahtarB[NormB],$A174,tblHakedis[FlasKesinti]),0))</f>
        <v/>
      </c>
      <c r="I174" s="17">
        <f>IF($A174="","",IFERROR(SUMIF(tblAnahtarB[NormB],$A174,tblHakedis[UrunReklam]),0))</f>
        <v/>
      </c>
      <c r="J174" s="17">
        <f>IF($A174="","",IFERROR(SUMIF(tblAnahtarB[NormB],$A174,tblHakedis[DesiKargo]),0))</f>
        <v/>
      </c>
      <c r="K174" s="17">
        <f>IF($A174="","",ROUND($F174+$G174+$H174+$I174+$J174,2))</f>
        <v/>
      </c>
      <c r="L174" s="17">
        <f>IF($A174="","",ROUND($B174-$C174,2))</f>
        <v/>
      </c>
      <c r="M174" s="17">
        <f>IF($A174="","",ROUND($B174-$C174-$K174,2))</f>
        <v/>
      </c>
      <c r="N174" s="17">
        <f>IF(OR($A174="",$B174=0),0,$M174/$B174)</f>
        <v/>
      </c>
      <c r="O174" s="17">
        <f>IF($A174="","",IF((1-$E174)&lt;=0,0,IF($D174=0,0,ROUND(($C174+$G174+$H174+$I174+$J174)/$D174/(1-$E174),2))))</f>
        <v/>
      </c>
      <c r="P174" s="17">
        <f>IF($A174="","",IFERROR(SUMIF(tblAnahtarA[Norm],$A174,tblGirdi[HedefNet]),0))</f>
        <v/>
      </c>
      <c r="Q174" s="17">
        <f>IF($A174="","",ROUND($M174-$P174,2))</f>
        <v/>
      </c>
      <c r="R174" s="17">
        <f>IF($A174="","",ROUND($B174-$K174,2))</f>
        <v/>
      </c>
      <c r="S174" s="17">
        <f>IF($A174="","",IF($N174&lt;0,"ÇEKİL",IF($N174&lt;tyk_esikMarjDusuk,"ZAM","SAT")))</f>
        <v/>
      </c>
      <c r="T174" s="17">
        <f>IF($A174="","",$L174-$F174)</f>
        <v/>
      </c>
      <c r="U174" s="17">
        <f>IF($A174="","",$M174-$Q174)</f>
        <v/>
      </c>
      <c r="V174" s="17">
        <f>IF($A174="","",$R174-$M174)</f>
        <v/>
      </c>
    </row>
    <row r="175">
      <c r="A175" s="17">
        <f>IF('ANAHTAR'!$B175="","",'ANAHTAR'!$B175)</f>
        <v/>
      </c>
      <c r="B175" s="17">
        <f>IF($A175="","",IFERROR(SUMIF(tblAnahtarA[Norm],$A175,tblGirdi[ToplamSatis]),0))</f>
        <v/>
      </c>
      <c r="C175" s="17">
        <f>IF($A175="","",IFERROR(SUMIF(tblAnahtarA[Norm],$A175,tblGirdi[Maliyet])*IFERROR(SUMIF(tblAnahtarA[Norm],$A175,tblGirdi[Miktar]),1),0))</f>
        <v/>
      </c>
      <c r="D175" s="17">
        <f>IF($A175="","",IFERROR(SUMIF(tblAnahtarA[Norm],$A175,tblGirdi[Miktar]),0))</f>
        <v/>
      </c>
      <c r="E175" s="17">
        <f>IF($A175="","",IFERROR(SUMIF(tblAnahtarA[Norm],$A175,tblGirdi[KomisyonOran]),0))</f>
        <v/>
      </c>
      <c r="F175" s="17">
        <f>IF($A175="","",ROUND($B175*$E175,2))</f>
        <v/>
      </c>
      <c r="G175" s="17">
        <f>IF($A175="","",IFERROR(SUMIF(tblAnahtarB[NormB],$A175,tblHakedis[TyPlus]),0))</f>
        <v/>
      </c>
      <c r="H175" s="17">
        <f>IF($A175="","",IFERROR(SUMIF(tblAnahtarB[NormB],$A175,tblHakedis[FlasKesinti]),0))</f>
        <v/>
      </c>
      <c r="I175" s="17">
        <f>IF($A175="","",IFERROR(SUMIF(tblAnahtarB[NormB],$A175,tblHakedis[UrunReklam]),0))</f>
        <v/>
      </c>
      <c r="J175" s="17">
        <f>IF($A175="","",IFERROR(SUMIF(tblAnahtarB[NormB],$A175,tblHakedis[DesiKargo]),0))</f>
        <v/>
      </c>
      <c r="K175" s="17">
        <f>IF($A175="","",ROUND($F175+$G175+$H175+$I175+$J175,2))</f>
        <v/>
      </c>
      <c r="L175" s="17">
        <f>IF($A175="","",ROUND($B175-$C175,2))</f>
        <v/>
      </c>
      <c r="M175" s="17">
        <f>IF($A175="","",ROUND($B175-$C175-$K175,2))</f>
        <v/>
      </c>
      <c r="N175" s="17">
        <f>IF(OR($A175="",$B175=0),0,$M175/$B175)</f>
        <v/>
      </c>
      <c r="O175" s="17">
        <f>IF($A175="","",IF((1-$E175)&lt;=0,0,IF($D175=0,0,ROUND(($C175+$G175+$H175+$I175+$J175)/$D175/(1-$E175),2))))</f>
        <v/>
      </c>
      <c r="P175" s="17">
        <f>IF($A175="","",IFERROR(SUMIF(tblAnahtarA[Norm],$A175,tblGirdi[HedefNet]),0))</f>
        <v/>
      </c>
      <c r="Q175" s="17">
        <f>IF($A175="","",ROUND($M175-$P175,2))</f>
        <v/>
      </c>
      <c r="R175" s="17">
        <f>IF($A175="","",ROUND($B175-$K175,2))</f>
        <v/>
      </c>
      <c r="S175" s="17">
        <f>IF($A175="","",IF($N175&lt;0,"ÇEKİL",IF($N175&lt;tyk_esikMarjDusuk,"ZAM","SAT")))</f>
        <v/>
      </c>
      <c r="T175" s="17">
        <f>IF($A175="","",$L175-$F175)</f>
        <v/>
      </c>
      <c r="U175" s="17">
        <f>IF($A175="","",$M175-$Q175)</f>
        <v/>
      </c>
      <c r="V175" s="17">
        <f>IF($A175="","",$R175-$M175)</f>
        <v/>
      </c>
    </row>
    <row r="176">
      <c r="A176" s="17">
        <f>IF('ANAHTAR'!$B176="","",'ANAHTAR'!$B176)</f>
        <v/>
      </c>
      <c r="B176" s="17">
        <f>IF($A176="","",IFERROR(SUMIF(tblAnahtarA[Norm],$A176,tblGirdi[ToplamSatis]),0))</f>
        <v/>
      </c>
      <c r="C176" s="17">
        <f>IF($A176="","",IFERROR(SUMIF(tblAnahtarA[Norm],$A176,tblGirdi[Maliyet])*IFERROR(SUMIF(tblAnahtarA[Norm],$A176,tblGirdi[Miktar]),1),0))</f>
        <v/>
      </c>
      <c r="D176" s="17">
        <f>IF($A176="","",IFERROR(SUMIF(tblAnahtarA[Norm],$A176,tblGirdi[Miktar]),0))</f>
        <v/>
      </c>
      <c r="E176" s="17">
        <f>IF($A176="","",IFERROR(SUMIF(tblAnahtarA[Norm],$A176,tblGirdi[KomisyonOran]),0))</f>
        <v/>
      </c>
      <c r="F176" s="17">
        <f>IF($A176="","",ROUND($B176*$E176,2))</f>
        <v/>
      </c>
      <c r="G176" s="17">
        <f>IF($A176="","",IFERROR(SUMIF(tblAnahtarB[NormB],$A176,tblHakedis[TyPlus]),0))</f>
        <v/>
      </c>
      <c r="H176" s="17">
        <f>IF($A176="","",IFERROR(SUMIF(tblAnahtarB[NormB],$A176,tblHakedis[FlasKesinti]),0))</f>
        <v/>
      </c>
      <c r="I176" s="17">
        <f>IF($A176="","",IFERROR(SUMIF(tblAnahtarB[NormB],$A176,tblHakedis[UrunReklam]),0))</f>
        <v/>
      </c>
      <c r="J176" s="17">
        <f>IF($A176="","",IFERROR(SUMIF(tblAnahtarB[NormB],$A176,tblHakedis[DesiKargo]),0))</f>
        <v/>
      </c>
      <c r="K176" s="17">
        <f>IF($A176="","",ROUND($F176+$G176+$H176+$I176+$J176,2))</f>
        <v/>
      </c>
      <c r="L176" s="17">
        <f>IF($A176="","",ROUND($B176-$C176,2))</f>
        <v/>
      </c>
      <c r="M176" s="17">
        <f>IF($A176="","",ROUND($B176-$C176-$K176,2))</f>
        <v/>
      </c>
      <c r="N176" s="17">
        <f>IF(OR($A176="",$B176=0),0,$M176/$B176)</f>
        <v/>
      </c>
      <c r="O176" s="17">
        <f>IF($A176="","",IF((1-$E176)&lt;=0,0,IF($D176=0,0,ROUND(($C176+$G176+$H176+$I176+$J176)/$D176/(1-$E176),2))))</f>
        <v/>
      </c>
      <c r="P176" s="17">
        <f>IF($A176="","",IFERROR(SUMIF(tblAnahtarA[Norm],$A176,tblGirdi[HedefNet]),0))</f>
        <v/>
      </c>
      <c r="Q176" s="17">
        <f>IF($A176="","",ROUND($M176-$P176,2))</f>
        <v/>
      </c>
      <c r="R176" s="17">
        <f>IF($A176="","",ROUND($B176-$K176,2))</f>
        <v/>
      </c>
      <c r="S176" s="17">
        <f>IF($A176="","",IF($N176&lt;0,"ÇEKİL",IF($N176&lt;tyk_esikMarjDusuk,"ZAM","SAT")))</f>
        <v/>
      </c>
      <c r="T176" s="17">
        <f>IF($A176="","",$L176-$F176)</f>
        <v/>
      </c>
      <c r="U176" s="17">
        <f>IF($A176="","",$M176-$Q176)</f>
        <v/>
      </c>
      <c r="V176" s="17">
        <f>IF($A176="","",$R176-$M176)</f>
        <v/>
      </c>
    </row>
    <row r="177">
      <c r="A177" s="17">
        <f>IF('ANAHTAR'!$B177="","",'ANAHTAR'!$B177)</f>
        <v/>
      </c>
      <c r="B177" s="17">
        <f>IF($A177="","",IFERROR(SUMIF(tblAnahtarA[Norm],$A177,tblGirdi[ToplamSatis]),0))</f>
        <v/>
      </c>
      <c r="C177" s="17">
        <f>IF($A177="","",IFERROR(SUMIF(tblAnahtarA[Norm],$A177,tblGirdi[Maliyet])*IFERROR(SUMIF(tblAnahtarA[Norm],$A177,tblGirdi[Miktar]),1),0))</f>
        <v/>
      </c>
      <c r="D177" s="17">
        <f>IF($A177="","",IFERROR(SUMIF(tblAnahtarA[Norm],$A177,tblGirdi[Miktar]),0))</f>
        <v/>
      </c>
      <c r="E177" s="17">
        <f>IF($A177="","",IFERROR(SUMIF(tblAnahtarA[Norm],$A177,tblGirdi[KomisyonOran]),0))</f>
        <v/>
      </c>
      <c r="F177" s="17">
        <f>IF($A177="","",ROUND($B177*$E177,2))</f>
        <v/>
      </c>
      <c r="G177" s="17">
        <f>IF($A177="","",IFERROR(SUMIF(tblAnahtarB[NormB],$A177,tblHakedis[TyPlus]),0))</f>
        <v/>
      </c>
      <c r="H177" s="17">
        <f>IF($A177="","",IFERROR(SUMIF(tblAnahtarB[NormB],$A177,tblHakedis[FlasKesinti]),0))</f>
        <v/>
      </c>
      <c r="I177" s="17">
        <f>IF($A177="","",IFERROR(SUMIF(tblAnahtarB[NormB],$A177,tblHakedis[UrunReklam]),0))</f>
        <v/>
      </c>
      <c r="J177" s="17">
        <f>IF($A177="","",IFERROR(SUMIF(tblAnahtarB[NormB],$A177,tblHakedis[DesiKargo]),0))</f>
        <v/>
      </c>
      <c r="K177" s="17">
        <f>IF($A177="","",ROUND($F177+$G177+$H177+$I177+$J177,2))</f>
        <v/>
      </c>
      <c r="L177" s="17">
        <f>IF($A177="","",ROUND($B177-$C177,2))</f>
        <v/>
      </c>
      <c r="M177" s="17">
        <f>IF($A177="","",ROUND($B177-$C177-$K177,2))</f>
        <v/>
      </c>
      <c r="N177" s="17">
        <f>IF(OR($A177="",$B177=0),0,$M177/$B177)</f>
        <v/>
      </c>
      <c r="O177" s="17">
        <f>IF($A177="","",IF((1-$E177)&lt;=0,0,IF($D177=0,0,ROUND(($C177+$G177+$H177+$I177+$J177)/$D177/(1-$E177),2))))</f>
        <v/>
      </c>
      <c r="P177" s="17">
        <f>IF($A177="","",IFERROR(SUMIF(tblAnahtarA[Norm],$A177,tblGirdi[HedefNet]),0))</f>
        <v/>
      </c>
      <c r="Q177" s="17">
        <f>IF($A177="","",ROUND($M177-$P177,2))</f>
        <v/>
      </c>
      <c r="R177" s="17">
        <f>IF($A177="","",ROUND($B177-$K177,2))</f>
        <v/>
      </c>
      <c r="S177" s="17">
        <f>IF($A177="","",IF($N177&lt;0,"ÇEKİL",IF($N177&lt;tyk_esikMarjDusuk,"ZAM","SAT")))</f>
        <v/>
      </c>
      <c r="T177" s="17">
        <f>IF($A177="","",$L177-$F177)</f>
        <v/>
      </c>
      <c r="U177" s="17">
        <f>IF($A177="","",$M177-$Q177)</f>
        <v/>
      </c>
      <c r="V177" s="17">
        <f>IF($A177="","",$R177-$M177)</f>
        <v/>
      </c>
    </row>
    <row r="178">
      <c r="A178" s="17">
        <f>IF('ANAHTAR'!$B178="","",'ANAHTAR'!$B178)</f>
        <v/>
      </c>
      <c r="B178" s="17">
        <f>IF($A178="","",IFERROR(SUMIF(tblAnahtarA[Norm],$A178,tblGirdi[ToplamSatis]),0))</f>
        <v/>
      </c>
      <c r="C178" s="17">
        <f>IF($A178="","",IFERROR(SUMIF(tblAnahtarA[Norm],$A178,tblGirdi[Maliyet])*IFERROR(SUMIF(tblAnahtarA[Norm],$A178,tblGirdi[Miktar]),1),0))</f>
        <v/>
      </c>
      <c r="D178" s="17">
        <f>IF($A178="","",IFERROR(SUMIF(tblAnahtarA[Norm],$A178,tblGirdi[Miktar]),0))</f>
        <v/>
      </c>
      <c r="E178" s="17">
        <f>IF($A178="","",IFERROR(SUMIF(tblAnahtarA[Norm],$A178,tblGirdi[KomisyonOran]),0))</f>
        <v/>
      </c>
      <c r="F178" s="17">
        <f>IF($A178="","",ROUND($B178*$E178,2))</f>
        <v/>
      </c>
      <c r="G178" s="17">
        <f>IF($A178="","",IFERROR(SUMIF(tblAnahtarB[NormB],$A178,tblHakedis[TyPlus]),0))</f>
        <v/>
      </c>
      <c r="H178" s="17">
        <f>IF($A178="","",IFERROR(SUMIF(tblAnahtarB[NormB],$A178,tblHakedis[FlasKesinti]),0))</f>
        <v/>
      </c>
      <c r="I178" s="17">
        <f>IF($A178="","",IFERROR(SUMIF(tblAnahtarB[NormB],$A178,tblHakedis[UrunReklam]),0))</f>
        <v/>
      </c>
      <c r="J178" s="17">
        <f>IF($A178="","",IFERROR(SUMIF(tblAnahtarB[NormB],$A178,tblHakedis[DesiKargo]),0))</f>
        <v/>
      </c>
      <c r="K178" s="17">
        <f>IF($A178="","",ROUND($F178+$G178+$H178+$I178+$J178,2))</f>
        <v/>
      </c>
      <c r="L178" s="17">
        <f>IF($A178="","",ROUND($B178-$C178,2))</f>
        <v/>
      </c>
      <c r="M178" s="17">
        <f>IF($A178="","",ROUND($B178-$C178-$K178,2))</f>
        <v/>
      </c>
      <c r="N178" s="17">
        <f>IF(OR($A178="",$B178=0),0,$M178/$B178)</f>
        <v/>
      </c>
      <c r="O178" s="17">
        <f>IF($A178="","",IF((1-$E178)&lt;=0,0,IF($D178=0,0,ROUND(($C178+$G178+$H178+$I178+$J178)/$D178/(1-$E178),2))))</f>
        <v/>
      </c>
      <c r="P178" s="17">
        <f>IF($A178="","",IFERROR(SUMIF(tblAnahtarA[Norm],$A178,tblGirdi[HedefNet]),0))</f>
        <v/>
      </c>
      <c r="Q178" s="17">
        <f>IF($A178="","",ROUND($M178-$P178,2))</f>
        <v/>
      </c>
      <c r="R178" s="17">
        <f>IF($A178="","",ROUND($B178-$K178,2))</f>
        <v/>
      </c>
      <c r="S178" s="17">
        <f>IF($A178="","",IF($N178&lt;0,"ÇEKİL",IF($N178&lt;tyk_esikMarjDusuk,"ZAM","SAT")))</f>
        <v/>
      </c>
      <c r="T178" s="17">
        <f>IF($A178="","",$L178-$F178)</f>
        <v/>
      </c>
      <c r="U178" s="17">
        <f>IF($A178="","",$M178-$Q178)</f>
        <v/>
      </c>
      <c r="V178" s="17">
        <f>IF($A178="","",$R178-$M178)</f>
        <v/>
      </c>
    </row>
    <row r="179">
      <c r="A179" s="17">
        <f>IF('ANAHTAR'!$B179="","",'ANAHTAR'!$B179)</f>
        <v/>
      </c>
      <c r="B179" s="17">
        <f>IF($A179="","",IFERROR(SUMIF(tblAnahtarA[Norm],$A179,tblGirdi[ToplamSatis]),0))</f>
        <v/>
      </c>
      <c r="C179" s="17">
        <f>IF($A179="","",IFERROR(SUMIF(tblAnahtarA[Norm],$A179,tblGirdi[Maliyet])*IFERROR(SUMIF(tblAnahtarA[Norm],$A179,tblGirdi[Miktar]),1),0))</f>
        <v/>
      </c>
      <c r="D179" s="17">
        <f>IF($A179="","",IFERROR(SUMIF(tblAnahtarA[Norm],$A179,tblGirdi[Miktar]),0))</f>
        <v/>
      </c>
      <c r="E179" s="17">
        <f>IF($A179="","",IFERROR(SUMIF(tblAnahtarA[Norm],$A179,tblGirdi[KomisyonOran]),0))</f>
        <v/>
      </c>
      <c r="F179" s="17">
        <f>IF($A179="","",ROUND($B179*$E179,2))</f>
        <v/>
      </c>
      <c r="G179" s="17">
        <f>IF($A179="","",IFERROR(SUMIF(tblAnahtarB[NormB],$A179,tblHakedis[TyPlus]),0))</f>
        <v/>
      </c>
      <c r="H179" s="17">
        <f>IF($A179="","",IFERROR(SUMIF(tblAnahtarB[NormB],$A179,tblHakedis[FlasKesinti]),0))</f>
        <v/>
      </c>
      <c r="I179" s="17">
        <f>IF($A179="","",IFERROR(SUMIF(tblAnahtarB[NormB],$A179,tblHakedis[UrunReklam]),0))</f>
        <v/>
      </c>
      <c r="J179" s="17">
        <f>IF($A179="","",IFERROR(SUMIF(tblAnahtarB[NormB],$A179,tblHakedis[DesiKargo]),0))</f>
        <v/>
      </c>
      <c r="K179" s="17">
        <f>IF($A179="","",ROUND($F179+$G179+$H179+$I179+$J179,2))</f>
        <v/>
      </c>
      <c r="L179" s="17">
        <f>IF($A179="","",ROUND($B179-$C179,2))</f>
        <v/>
      </c>
      <c r="M179" s="17">
        <f>IF($A179="","",ROUND($B179-$C179-$K179,2))</f>
        <v/>
      </c>
      <c r="N179" s="17">
        <f>IF(OR($A179="",$B179=0),0,$M179/$B179)</f>
        <v/>
      </c>
      <c r="O179" s="17">
        <f>IF($A179="","",IF((1-$E179)&lt;=0,0,IF($D179=0,0,ROUND(($C179+$G179+$H179+$I179+$J179)/$D179/(1-$E179),2))))</f>
        <v/>
      </c>
      <c r="P179" s="17">
        <f>IF($A179="","",IFERROR(SUMIF(tblAnahtarA[Norm],$A179,tblGirdi[HedefNet]),0))</f>
        <v/>
      </c>
      <c r="Q179" s="17">
        <f>IF($A179="","",ROUND($M179-$P179,2))</f>
        <v/>
      </c>
      <c r="R179" s="17">
        <f>IF($A179="","",ROUND($B179-$K179,2))</f>
        <v/>
      </c>
      <c r="S179" s="17">
        <f>IF($A179="","",IF($N179&lt;0,"ÇEKİL",IF($N179&lt;tyk_esikMarjDusuk,"ZAM","SAT")))</f>
        <v/>
      </c>
      <c r="T179" s="17">
        <f>IF($A179="","",$L179-$F179)</f>
        <v/>
      </c>
      <c r="U179" s="17">
        <f>IF($A179="","",$M179-$Q179)</f>
        <v/>
      </c>
      <c r="V179" s="17">
        <f>IF($A179="","",$R179-$M179)</f>
        <v/>
      </c>
    </row>
    <row r="180">
      <c r="A180" s="17">
        <f>IF('ANAHTAR'!$B180="","",'ANAHTAR'!$B180)</f>
        <v/>
      </c>
      <c r="B180" s="17">
        <f>IF($A180="","",IFERROR(SUMIF(tblAnahtarA[Norm],$A180,tblGirdi[ToplamSatis]),0))</f>
        <v/>
      </c>
      <c r="C180" s="17">
        <f>IF($A180="","",IFERROR(SUMIF(tblAnahtarA[Norm],$A180,tblGirdi[Maliyet])*IFERROR(SUMIF(tblAnahtarA[Norm],$A180,tblGirdi[Miktar]),1),0))</f>
        <v/>
      </c>
      <c r="D180" s="17">
        <f>IF($A180="","",IFERROR(SUMIF(tblAnahtarA[Norm],$A180,tblGirdi[Miktar]),0))</f>
        <v/>
      </c>
      <c r="E180" s="17">
        <f>IF($A180="","",IFERROR(SUMIF(tblAnahtarA[Norm],$A180,tblGirdi[KomisyonOran]),0))</f>
        <v/>
      </c>
      <c r="F180" s="17">
        <f>IF($A180="","",ROUND($B180*$E180,2))</f>
        <v/>
      </c>
      <c r="G180" s="17">
        <f>IF($A180="","",IFERROR(SUMIF(tblAnahtarB[NormB],$A180,tblHakedis[TyPlus]),0))</f>
        <v/>
      </c>
      <c r="H180" s="17">
        <f>IF($A180="","",IFERROR(SUMIF(tblAnahtarB[NormB],$A180,tblHakedis[FlasKesinti]),0))</f>
        <v/>
      </c>
      <c r="I180" s="17">
        <f>IF($A180="","",IFERROR(SUMIF(tblAnahtarB[NormB],$A180,tblHakedis[UrunReklam]),0))</f>
        <v/>
      </c>
      <c r="J180" s="17">
        <f>IF($A180="","",IFERROR(SUMIF(tblAnahtarB[NormB],$A180,tblHakedis[DesiKargo]),0))</f>
        <v/>
      </c>
      <c r="K180" s="17">
        <f>IF($A180="","",ROUND($F180+$G180+$H180+$I180+$J180,2))</f>
        <v/>
      </c>
      <c r="L180" s="17">
        <f>IF($A180="","",ROUND($B180-$C180,2))</f>
        <v/>
      </c>
      <c r="M180" s="17">
        <f>IF($A180="","",ROUND($B180-$C180-$K180,2))</f>
        <v/>
      </c>
      <c r="N180" s="17">
        <f>IF(OR($A180="",$B180=0),0,$M180/$B180)</f>
        <v/>
      </c>
      <c r="O180" s="17">
        <f>IF($A180="","",IF((1-$E180)&lt;=0,0,IF($D180=0,0,ROUND(($C180+$G180+$H180+$I180+$J180)/$D180/(1-$E180),2))))</f>
        <v/>
      </c>
      <c r="P180" s="17">
        <f>IF($A180="","",IFERROR(SUMIF(tblAnahtarA[Norm],$A180,tblGirdi[HedefNet]),0))</f>
        <v/>
      </c>
      <c r="Q180" s="17">
        <f>IF($A180="","",ROUND($M180-$P180,2))</f>
        <v/>
      </c>
      <c r="R180" s="17">
        <f>IF($A180="","",ROUND($B180-$K180,2))</f>
        <v/>
      </c>
      <c r="S180" s="17">
        <f>IF($A180="","",IF($N180&lt;0,"ÇEKİL",IF($N180&lt;tyk_esikMarjDusuk,"ZAM","SAT")))</f>
        <v/>
      </c>
      <c r="T180" s="17">
        <f>IF($A180="","",$L180-$F180)</f>
        <v/>
      </c>
      <c r="U180" s="17">
        <f>IF($A180="","",$M180-$Q180)</f>
        <v/>
      </c>
      <c r="V180" s="17">
        <f>IF($A180="","",$R180-$M180)</f>
        <v/>
      </c>
    </row>
    <row r="181">
      <c r="A181" s="17">
        <f>IF('ANAHTAR'!$B181="","",'ANAHTAR'!$B181)</f>
        <v/>
      </c>
      <c r="B181" s="17">
        <f>IF($A181="","",IFERROR(SUMIF(tblAnahtarA[Norm],$A181,tblGirdi[ToplamSatis]),0))</f>
        <v/>
      </c>
      <c r="C181" s="17">
        <f>IF($A181="","",IFERROR(SUMIF(tblAnahtarA[Norm],$A181,tblGirdi[Maliyet])*IFERROR(SUMIF(tblAnahtarA[Norm],$A181,tblGirdi[Miktar]),1),0))</f>
        <v/>
      </c>
      <c r="D181" s="17">
        <f>IF($A181="","",IFERROR(SUMIF(tblAnahtarA[Norm],$A181,tblGirdi[Miktar]),0))</f>
        <v/>
      </c>
      <c r="E181" s="17">
        <f>IF($A181="","",IFERROR(SUMIF(tblAnahtarA[Norm],$A181,tblGirdi[KomisyonOran]),0))</f>
        <v/>
      </c>
      <c r="F181" s="17">
        <f>IF($A181="","",ROUND($B181*$E181,2))</f>
        <v/>
      </c>
      <c r="G181" s="17">
        <f>IF($A181="","",IFERROR(SUMIF(tblAnahtarB[NormB],$A181,tblHakedis[TyPlus]),0))</f>
        <v/>
      </c>
      <c r="H181" s="17">
        <f>IF($A181="","",IFERROR(SUMIF(tblAnahtarB[NormB],$A181,tblHakedis[FlasKesinti]),0))</f>
        <v/>
      </c>
      <c r="I181" s="17">
        <f>IF($A181="","",IFERROR(SUMIF(tblAnahtarB[NormB],$A181,tblHakedis[UrunReklam]),0))</f>
        <v/>
      </c>
      <c r="J181" s="17">
        <f>IF($A181="","",IFERROR(SUMIF(tblAnahtarB[NormB],$A181,tblHakedis[DesiKargo]),0))</f>
        <v/>
      </c>
      <c r="K181" s="17">
        <f>IF($A181="","",ROUND($F181+$G181+$H181+$I181+$J181,2))</f>
        <v/>
      </c>
      <c r="L181" s="17">
        <f>IF($A181="","",ROUND($B181-$C181,2))</f>
        <v/>
      </c>
      <c r="M181" s="17">
        <f>IF($A181="","",ROUND($B181-$C181-$K181,2))</f>
        <v/>
      </c>
      <c r="N181" s="17">
        <f>IF(OR($A181="",$B181=0),0,$M181/$B181)</f>
        <v/>
      </c>
      <c r="O181" s="17">
        <f>IF($A181="","",IF((1-$E181)&lt;=0,0,IF($D181=0,0,ROUND(($C181+$G181+$H181+$I181+$J181)/$D181/(1-$E181),2))))</f>
        <v/>
      </c>
      <c r="P181" s="17">
        <f>IF($A181="","",IFERROR(SUMIF(tblAnahtarA[Norm],$A181,tblGirdi[HedefNet]),0))</f>
        <v/>
      </c>
      <c r="Q181" s="17">
        <f>IF($A181="","",ROUND($M181-$P181,2))</f>
        <v/>
      </c>
      <c r="R181" s="17">
        <f>IF($A181="","",ROUND($B181-$K181,2))</f>
        <v/>
      </c>
      <c r="S181" s="17">
        <f>IF($A181="","",IF($N181&lt;0,"ÇEKİL",IF($N181&lt;tyk_esikMarjDusuk,"ZAM","SAT")))</f>
        <v/>
      </c>
      <c r="T181" s="17">
        <f>IF($A181="","",$L181-$F181)</f>
        <v/>
      </c>
      <c r="U181" s="17">
        <f>IF($A181="","",$M181-$Q181)</f>
        <v/>
      </c>
      <c r="V181" s="17">
        <f>IF($A181="","",$R181-$M181)</f>
        <v/>
      </c>
    </row>
    <row r="182">
      <c r="A182" s="17">
        <f>IF('ANAHTAR'!$B182="","",'ANAHTAR'!$B182)</f>
        <v/>
      </c>
      <c r="B182" s="17">
        <f>IF($A182="","",IFERROR(SUMIF(tblAnahtarA[Norm],$A182,tblGirdi[ToplamSatis]),0))</f>
        <v/>
      </c>
      <c r="C182" s="17">
        <f>IF($A182="","",IFERROR(SUMIF(tblAnahtarA[Norm],$A182,tblGirdi[Maliyet])*IFERROR(SUMIF(tblAnahtarA[Norm],$A182,tblGirdi[Miktar]),1),0))</f>
        <v/>
      </c>
      <c r="D182" s="17">
        <f>IF($A182="","",IFERROR(SUMIF(tblAnahtarA[Norm],$A182,tblGirdi[Miktar]),0))</f>
        <v/>
      </c>
      <c r="E182" s="17">
        <f>IF($A182="","",IFERROR(SUMIF(tblAnahtarA[Norm],$A182,tblGirdi[KomisyonOran]),0))</f>
        <v/>
      </c>
      <c r="F182" s="17">
        <f>IF($A182="","",ROUND($B182*$E182,2))</f>
        <v/>
      </c>
      <c r="G182" s="17">
        <f>IF($A182="","",IFERROR(SUMIF(tblAnahtarB[NormB],$A182,tblHakedis[TyPlus]),0))</f>
        <v/>
      </c>
      <c r="H182" s="17">
        <f>IF($A182="","",IFERROR(SUMIF(tblAnahtarB[NormB],$A182,tblHakedis[FlasKesinti]),0))</f>
        <v/>
      </c>
      <c r="I182" s="17">
        <f>IF($A182="","",IFERROR(SUMIF(tblAnahtarB[NormB],$A182,tblHakedis[UrunReklam]),0))</f>
        <v/>
      </c>
      <c r="J182" s="17">
        <f>IF($A182="","",IFERROR(SUMIF(tblAnahtarB[NormB],$A182,tblHakedis[DesiKargo]),0))</f>
        <v/>
      </c>
      <c r="K182" s="17">
        <f>IF($A182="","",ROUND($F182+$G182+$H182+$I182+$J182,2))</f>
        <v/>
      </c>
      <c r="L182" s="17">
        <f>IF($A182="","",ROUND($B182-$C182,2))</f>
        <v/>
      </c>
      <c r="M182" s="17">
        <f>IF($A182="","",ROUND($B182-$C182-$K182,2))</f>
        <v/>
      </c>
      <c r="N182" s="17">
        <f>IF(OR($A182="",$B182=0),0,$M182/$B182)</f>
        <v/>
      </c>
      <c r="O182" s="17">
        <f>IF($A182="","",IF((1-$E182)&lt;=0,0,IF($D182=0,0,ROUND(($C182+$G182+$H182+$I182+$J182)/$D182/(1-$E182),2))))</f>
        <v/>
      </c>
      <c r="P182" s="17">
        <f>IF($A182="","",IFERROR(SUMIF(tblAnahtarA[Norm],$A182,tblGirdi[HedefNet]),0))</f>
        <v/>
      </c>
      <c r="Q182" s="17">
        <f>IF($A182="","",ROUND($M182-$P182,2))</f>
        <v/>
      </c>
      <c r="R182" s="17">
        <f>IF($A182="","",ROUND($B182-$K182,2))</f>
        <v/>
      </c>
      <c r="S182" s="17">
        <f>IF($A182="","",IF($N182&lt;0,"ÇEKİL",IF($N182&lt;tyk_esikMarjDusuk,"ZAM","SAT")))</f>
        <v/>
      </c>
      <c r="T182" s="17">
        <f>IF($A182="","",$L182-$F182)</f>
        <v/>
      </c>
      <c r="U182" s="17">
        <f>IF($A182="","",$M182-$Q182)</f>
        <v/>
      </c>
      <c r="V182" s="17">
        <f>IF($A182="","",$R182-$M182)</f>
        <v/>
      </c>
    </row>
    <row r="183">
      <c r="A183" s="17">
        <f>IF('ANAHTAR'!$B183="","",'ANAHTAR'!$B183)</f>
        <v/>
      </c>
      <c r="B183" s="17">
        <f>IF($A183="","",IFERROR(SUMIF(tblAnahtarA[Norm],$A183,tblGirdi[ToplamSatis]),0))</f>
        <v/>
      </c>
      <c r="C183" s="17">
        <f>IF($A183="","",IFERROR(SUMIF(tblAnahtarA[Norm],$A183,tblGirdi[Maliyet])*IFERROR(SUMIF(tblAnahtarA[Norm],$A183,tblGirdi[Miktar]),1),0))</f>
        <v/>
      </c>
      <c r="D183" s="17">
        <f>IF($A183="","",IFERROR(SUMIF(tblAnahtarA[Norm],$A183,tblGirdi[Miktar]),0))</f>
        <v/>
      </c>
      <c r="E183" s="17">
        <f>IF($A183="","",IFERROR(SUMIF(tblAnahtarA[Norm],$A183,tblGirdi[KomisyonOran]),0))</f>
        <v/>
      </c>
      <c r="F183" s="17">
        <f>IF($A183="","",ROUND($B183*$E183,2))</f>
        <v/>
      </c>
      <c r="G183" s="17">
        <f>IF($A183="","",IFERROR(SUMIF(tblAnahtarB[NormB],$A183,tblHakedis[TyPlus]),0))</f>
        <v/>
      </c>
      <c r="H183" s="17">
        <f>IF($A183="","",IFERROR(SUMIF(tblAnahtarB[NormB],$A183,tblHakedis[FlasKesinti]),0))</f>
        <v/>
      </c>
      <c r="I183" s="17">
        <f>IF($A183="","",IFERROR(SUMIF(tblAnahtarB[NormB],$A183,tblHakedis[UrunReklam]),0))</f>
        <v/>
      </c>
      <c r="J183" s="17">
        <f>IF($A183="","",IFERROR(SUMIF(tblAnahtarB[NormB],$A183,tblHakedis[DesiKargo]),0))</f>
        <v/>
      </c>
      <c r="K183" s="17">
        <f>IF($A183="","",ROUND($F183+$G183+$H183+$I183+$J183,2))</f>
        <v/>
      </c>
      <c r="L183" s="17">
        <f>IF($A183="","",ROUND($B183-$C183,2))</f>
        <v/>
      </c>
      <c r="M183" s="17">
        <f>IF($A183="","",ROUND($B183-$C183-$K183,2))</f>
        <v/>
      </c>
      <c r="N183" s="17">
        <f>IF(OR($A183="",$B183=0),0,$M183/$B183)</f>
        <v/>
      </c>
      <c r="O183" s="17">
        <f>IF($A183="","",IF((1-$E183)&lt;=0,0,IF($D183=0,0,ROUND(($C183+$G183+$H183+$I183+$J183)/$D183/(1-$E183),2))))</f>
        <v/>
      </c>
      <c r="P183" s="17">
        <f>IF($A183="","",IFERROR(SUMIF(tblAnahtarA[Norm],$A183,tblGirdi[HedefNet]),0))</f>
        <v/>
      </c>
      <c r="Q183" s="17">
        <f>IF($A183="","",ROUND($M183-$P183,2))</f>
        <v/>
      </c>
      <c r="R183" s="17">
        <f>IF($A183="","",ROUND($B183-$K183,2))</f>
        <v/>
      </c>
      <c r="S183" s="17">
        <f>IF($A183="","",IF($N183&lt;0,"ÇEKİL",IF($N183&lt;tyk_esikMarjDusuk,"ZAM","SAT")))</f>
        <v/>
      </c>
      <c r="T183" s="17">
        <f>IF($A183="","",$L183-$F183)</f>
        <v/>
      </c>
      <c r="U183" s="17">
        <f>IF($A183="","",$M183-$Q183)</f>
        <v/>
      </c>
      <c r="V183" s="17">
        <f>IF($A183="","",$R183-$M183)</f>
        <v/>
      </c>
    </row>
    <row r="184">
      <c r="A184" s="17">
        <f>IF('ANAHTAR'!$B184="","",'ANAHTAR'!$B184)</f>
        <v/>
      </c>
      <c r="B184" s="17">
        <f>IF($A184="","",IFERROR(SUMIF(tblAnahtarA[Norm],$A184,tblGirdi[ToplamSatis]),0))</f>
        <v/>
      </c>
      <c r="C184" s="17">
        <f>IF($A184="","",IFERROR(SUMIF(tblAnahtarA[Norm],$A184,tblGirdi[Maliyet])*IFERROR(SUMIF(tblAnahtarA[Norm],$A184,tblGirdi[Miktar]),1),0))</f>
        <v/>
      </c>
      <c r="D184" s="17">
        <f>IF($A184="","",IFERROR(SUMIF(tblAnahtarA[Norm],$A184,tblGirdi[Miktar]),0))</f>
        <v/>
      </c>
      <c r="E184" s="17">
        <f>IF($A184="","",IFERROR(SUMIF(tblAnahtarA[Norm],$A184,tblGirdi[KomisyonOran]),0))</f>
        <v/>
      </c>
      <c r="F184" s="17">
        <f>IF($A184="","",ROUND($B184*$E184,2))</f>
        <v/>
      </c>
      <c r="G184" s="17">
        <f>IF($A184="","",IFERROR(SUMIF(tblAnahtarB[NormB],$A184,tblHakedis[TyPlus]),0))</f>
        <v/>
      </c>
      <c r="H184" s="17">
        <f>IF($A184="","",IFERROR(SUMIF(tblAnahtarB[NormB],$A184,tblHakedis[FlasKesinti]),0))</f>
        <v/>
      </c>
      <c r="I184" s="17">
        <f>IF($A184="","",IFERROR(SUMIF(tblAnahtarB[NormB],$A184,tblHakedis[UrunReklam]),0))</f>
        <v/>
      </c>
      <c r="J184" s="17">
        <f>IF($A184="","",IFERROR(SUMIF(tblAnahtarB[NormB],$A184,tblHakedis[DesiKargo]),0))</f>
        <v/>
      </c>
      <c r="K184" s="17">
        <f>IF($A184="","",ROUND($F184+$G184+$H184+$I184+$J184,2))</f>
        <v/>
      </c>
      <c r="L184" s="17">
        <f>IF($A184="","",ROUND($B184-$C184,2))</f>
        <v/>
      </c>
      <c r="M184" s="17">
        <f>IF($A184="","",ROUND($B184-$C184-$K184,2))</f>
        <v/>
      </c>
      <c r="N184" s="17">
        <f>IF(OR($A184="",$B184=0),0,$M184/$B184)</f>
        <v/>
      </c>
      <c r="O184" s="17">
        <f>IF($A184="","",IF((1-$E184)&lt;=0,0,IF($D184=0,0,ROUND(($C184+$G184+$H184+$I184+$J184)/$D184/(1-$E184),2))))</f>
        <v/>
      </c>
      <c r="P184" s="17">
        <f>IF($A184="","",IFERROR(SUMIF(tblAnahtarA[Norm],$A184,tblGirdi[HedefNet]),0))</f>
        <v/>
      </c>
      <c r="Q184" s="17">
        <f>IF($A184="","",ROUND($M184-$P184,2))</f>
        <v/>
      </c>
      <c r="R184" s="17">
        <f>IF($A184="","",ROUND($B184-$K184,2))</f>
        <v/>
      </c>
      <c r="S184" s="17">
        <f>IF($A184="","",IF($N184&lt;0,"ÇEKİL",IF($N184&lt;tyk_esikMarjDusuk,"ZAM","SAT")))</f>
        <v/>
      </c>
      <c r="T184" s="17">
        <f>IF($A184="","",$L184-$F184)</f>
        <v/>
      </c>
      <c r="U184" s="17">
        <f>IF($A184="","",$M184-$Q184)</f>
        <v/>
      </c>
      <c r="V184" s="17">
        <f>IF($A184="","",$R184-$M184)</f>
        <v/>
      </c>
    </row>
    <row r="185">
      <c r="A185" s="17">
        <f>IF('ANAHTAR'!$B185="","",'ANAHTAR'!$B185)</f>
        <v/>
      </c>
      <c r="B185" s="17">
        <f>IF($A185="","",IFERROR(SUMIF(tblAnahtarA[Norm],$A185,tblGirdi[ToplamSatis]),0))</f>
        <v/>
      </c>
      <c r="C185" s="17">
        <f>IF($A185="","",IFERROR(SUMIF(tblAnahtarA[Norm],$A185,tblGirdi[Maliyet])*IFERROR(SUMIF(tblAnahtarA[Norm],$A185,tblGirdi[Miktar]),1),0))</f>
        <v/>
      </c>
      <c r="D185" s="17">
        <f>IF($A185="","",IFERROR(SUMIF(tblAnahtarA[Norm],$A185,tblGirdi[Miktar]),0))</f>
        <v/>
      </c>
      <c r="E185" s="17">
        <f>IF($A185="","",IFERROR(SUMIF(tblAnahtarA[Norm],$A185,tblGirdi[KomisyonOran]),0))</f>
        <v/>
      </c>
      <c r="F185" s="17">
        <f>IF($A185="","",ROUND($B185*$E185,2))</f>
        <v/>
      </c>
      <c r="G185" s="17">
        <f>IF($A185="","",IFERROR(SUMIF(tblAnahtarB[NormB],$A185,tblHakedis[TyPlus]),0))</f>
        <v/>
      </c>
      <c r="H185" s="17">
        <f>IF($A185="","",IFERROR(SUMIF(tblAnahtarB[NormB],$A185,tblHakedis[FlasKesinti]),0))</f>
        <v/>
      </c>
      <c r="I185" s="17">
        <f>IF($A185="","",IFERROR(SUMIF(tblAnahtarB[NormB],$A185,tblHakedis[UrunReklam]),0))</f>
        <v/>
      </c>
      <c r="J185" s="17">
        <f>IF($A185="","",IFERROR(SUMIF(tblAnahtarB[NormB],$A185,tblHakedis[DesiKargo]),0))</f>
        <v/>
      </c>
      <c r="K185" s="17">
        <f>IF($A185="","",ROUND($F185+$G185+$H185+$I185+$J185,2))</f>
        <v/>
      </c>
      <c r="L185" s="17">
        <f>IF($A185="","",ROUND($B185-$C185,2))</f>
        <v/>
      </c>
      <c r="M185" s="17">
        <f>IF($A185="","",ROUND($B185-$C185-$K185,2))</f>
        <v/>
      </c>
      <c r="N185" s="17">
        <f>IF(OR($A185="",$B185=0),0,$M185/$B185)</f>
        <v/>
      </c>
      <c r="O185" s="17">
        <f>IF($A185="","",IF((1-$E185)&lt;=0,0,IF($D185=0,0,ROUND(($C185+$G185+$H185+$I185+$J185)/$D185/(1-$E185),2))))</f>
        <v/>
      </c>
      <c r="P185" s="17">
        <f>IF($A185="","",IFERROR(SUMIF(tblAnahtarA[Norm],$A185,tblGirdi[HedefNet]),0))</f>
        <v/>
      </c>
      <c r="Q185" s="17">
        <f>IF($A185="","",ROUND($M185-$P185,2))</f>
        <v/>
      </c>
      <c r="R185" s="17">
        <f>IF($A185="","",ROUND($B185-$K185,2))</f>
        <v/>
      </c>
      <c r="S185" s="17">
        <f>IF($A185="","",IF($N185&lt;0,"ÇEKİL",IF($N185&lt;tyk_esikMarjDusuk,"ZAM","SAT")))</f>
        <v/>
      </c>
      <c r="T185" s="17">
        <f>IF($A185="","",$L185-$F185)</f>
        <v/>
      </c>
      <c r="U185" s="17">
        <f>IF($A185="","",$M185-$Q185)</f>
        <v/>
      </c>
      <c r="V185" s="17">
        <f>IF($A185="","",$R185-$M185)</f>
        <v/>
      </c>
    </row>
    <row r="186">
      <c r="A186" s="17">
        <f>IF('ANAHTAR'!$B186="","",'ANAHTAR'!$B186)</f>
        <v/>
      </c>
      <c r="B186" s="17">
        <f>IF($A186="","",IFERROR(SUMIF(tblAnahtarA[Norm],$A186,tblGirdi[ToplamSatis]),0))</f>
        <v/>
      </c>
      <c r="C186" s="17">
        <f>IF($A186="","",IFERROR(SUMIF(tblAnahtarA[Norm],$A186,tblGirdi[Maliyet])*IFERROR(SUMIF(tblAnahtarA[Norm],$A186,tblGirdi[Miktar]),1),0))</f>
        <v/>
      </c>
      <c r="D186" s="17">
        <f>IF($A186="","",IFERROR(SUMIF(tblAnahtarA[Norm],$A186,tblGirdi[Miktar]),0))</f>
        <v/>
      </c>
      <c r="E186" s="17">
        <f>IF($A186="","",IFERROR(SUMIF(tblAnahtarA[Norm],$A186,tblGirdi[KomisyonOran]),0))</f>
        <v/>
      </c>
      <c r="F186" s="17">
        <f>IF($A186="","",ROUND($B186*$E186,2))</f>
        <v/>
      </c>
      <c r="G186" s="17">
        <f>IF($A186="","",IFERROR(SUMIF(tblAnahtarB[NormB],$A186,tblHakedis[TyPlus]),0))</f>
        <v/>
      </c>
      <c r="H186" s="17">
        <f>IF($A186="","",IFERROR(SUMIF(tblAnahtarB[NormB],$A186,tblHakedis[FlasKesinti]),0))</f>
        <v/>
      </c>
      <c r="I186" s="17">
        <f>IF($A186="","",IFERROR(SUMIF(tblAnahtarB[NormB],$A186,tblHakedis[UrunReklam]),0))</f>
        <v/>
      </c>
      <c r="J186" s="17">
        <f>IF($A186="","",IFERROR(SUMIF(tblAnahtarB[NormB],$A186,tblHakedis[DesiKargo]),0))</f>
        <v/>
      </c>
      <c r="K186" s="17">
        <f>IF($A186="","",ROUND($F186+$G186+$H186+$I186+$J186,2))</f>
        <v/>
      </c>
      <c r="L186" s="17">
        <f>IF($A186="","",ROUND($B186-$C186,2))</f>
        <v/>
      </c>
      <c r="M186" s="17">
        <f>IF($A186="","",ROUND($B186-$C186-$K186,2))</f>
        <v/>
      </c>
      <c r="N186" s="17">
        <f>IF(OR($A186="",$B186=0),0,$M186/$B186)</f>
        <v/>
      </c>
      <c r="O186" s="17">
        <f>IF($A186="","",IF((1-$E186)&lt;=0,0,IF($D186=0,0,ROUND(($C186+$G186+$H186+$I186+$J186)/$D186/(1-$E186),2))))</f>
        <v/>
      </c>
      <c r="P186" s="17">
        <f>IF($A186="","",IFERROR(SUMIF(tblAnahtarA[Norm],$A186,tblGirdi[HedefNet]),0))</f>
        <v/>
      </c>
      <c r="Q186" s="17">
        <f>IF($A186="","",ROUND($M186-$P186,2))</f>
        <v/>
      </c>
      <c r="R186" s="17">
        <f>IF($A186="","",ROUND($B186-$K186,2))</f>
        <v/>
      </c>
      <c r="S186" s="17">
        <f>IF($A186="","",IF($N186&lt;0,"ÇEKİL",IF($N186&lt;tyk_esikMarjDusuk,"ZAM","SAT")))</f>
        <v/>
      </c>
      <c r="T186" s="17">
        <f>IF($A186="","",$L186-$F186)</f>
        <v/>
      </c>
      <c r="U186" s="17">
        <f>IF($A186="","",$M186-$Q186)</f>
        <v/>
      </c>
      <c r="V186" s="17">
        <f>IF($A186="","",$R186-$M186)</f>
        <v/>
      </c>
    </row>
    <row r="187">
      <c r="A187" s="17">
        <f>IF('ANAHTAR'!$B187="","",'ANAHTAR'!$B187)</f>
        <v/>
      </c>
      <c r="B187" s="17">
        <f>IF($A187="","",IFERROR(SUMIF(tblAnahtarA[Norm],$A187,tblGirdi[ToplamSatis]),0))</f>
        <v/>
      </c>
      <c r="C187" s="17">
        <f>IF($A187="","",IFERROR(SUMIF(tblAnahtarA[Norm],$A187,tblGirdi[Maliyet])*IFERROR(SUMIF(tblAnahtarA[Norm],$A187,tblGirdi[Miktar]),1),0))</f>
        <v/>
      </c>
      <c r="D187" s="17">
        <f>IF($A187="","",IFERROR(SUMIF(tblAnahtarA[Norm],$A187,tblGirdi[Miktar]),0))</f>
        <v/>
      </c>
      <c r="E187" s="17">
        <f>IF($A187="","",IFERROR(SUMIF(tblAnahtarA[Norm],$A187,tblGirdi[KomisyonOran]),0))</f>
        <v/>
      </c>
      <c r="F187" s="17">
        <f>IF($A187="","",ROUND($B187*$E187,2))</f>
        <v/>
      </c>
      <c r="G187" s="17">
        <f>IF($A187="","",IFERROR(SUMIF(tblAnahtarB[NormB],$A187,tblHakedis[TyPlus]),0))</f>
        <v/>
      </c>
      <c r="H187" s="17">
        <f>IF($A187="","",IFERROR(SUMIF(tblAnahtarB[NormB],$A187,tblHakedis[FlasKesinti]),0))</f>
        <v/>
      </c>
      <c r="I187" s="17">
        <f>IF($A187="","",IFERROR(SUMIF(tblAnahtarB[NormB],$A187,tblHakedis[UrunReklam]),0))</f>
        <v/>
      </c>
      <c r="J187" s="17">
        <f>IF($A187="","",IFERROR(SUMIF(tblAnahtarB[NormB],$A187,tblHakedis[DesiKargo]),0))</f>
        <v/>
      </c>
      <c r="K187" s="17">
        <f>IF($A187="","",ROUND($F187+$G187+$H187+$I187+$J187,2))</f>
        <v/>
      </c>
      <c r="L187" s="17">
        <f>IF($A187="","",ROUND($B187-$C187,2))</f>
        <v/>
      </c>
      <c r="M187" s="17">
        <f>IF($A187="","",ROUND($B187-$C187-$K187,2))</f>
        <v/>
      </c>
      <c r="N187" s="17">
        <f>IF(OR($A187="",$B187=0),0,$M187/$B187)</f>
        <v/>
      </c>
      <c r="O187" s="17">
        <f>IF($A187="","",IF((1-$E187)&lt;=0,0,IF($D187=0,0,ROUND(($C187+$G187+$H187+$I187+$J187)/$D187/(1-$E187),2))))</f>
        <v/>
      </c>
      <c r="P187" s="17">
        <f>IF($A187="","",IFERROR(SUMIF(tblAnahtarA[Norm],$A187,tblGirdi[HedefNet]),0))</f>
        <v/>
      </c>
      <c r="Q187" s="17">
        <f>IF($A187="","",ROUND($M187-$P187,2))</f>
        <v/>
      </c>
      <c r="R187" s="17">
        <f>IF($A187="","",ROUND($B187-$K187,2))</f>
        <v/>
      </c>
      <c r="S187" s="17">
        <f>IF($A187="","",IF($N187&lt;0,"ÇEKİL",IF($N187&lt;tyk_esikMarjDusuk,"ZAM","SAT")))</f>
        <v/>
      </c>
      <c r="T187" s="17">
        <f>IF($A187="","",$L187-$F187)</f>
        <v/>
      </c>
      <c r="U187" s="17">
        <f>IF($A187="","",$M187-$Q187)</f>
        <v/>
      </c>
      <c r="V187" s="17">
        <f>IF($A187="","",$R187-$M187)</f>
        <v/>
      </c>
    </row>
    <row r="188">
      <c r="A188" s="17">
        <f>IF('ANAHTAR'!$B188="","",'ANAHTAR'!$B188)</f>
        <v/>
      </c>
      <c r="B188" s="17">
        <f>IF($A188="","",IFERROR(SUMIF(tblAnahtarA[Norm],$A188,tblGirdi[ToplamSatis]),0))</f>
        <v/>
      </c>
      <c r="C188" s="17">
        <f>IF($A188="","",IFERROR(SUMIF(tblAnahtarA[Norm],$A188,tblGirdi[Maliyet])*IFERROR(SUMIF(tblAnahtarA[Norm],$A188,tblGirdi[Miktar]),1),0))</f>
        <v/>
      </c>
      <c r="D188" s="17">
        <f>IF($A188="","",IFERROR(SUMIF(tblAnahtarA[Norm],$A188,tblGirdi[Miktar]),0))</f>
        <v/>
      </c>
      <c r="E188" s="17">
        <f>IF($A188="","",IFERROR(SUMIF(tblAnahtarA[Norm],$A188,tblGirdi[KomisyonOran]),0))</f>
        <v/>
      </c>
      <c r="F188" s="17">
        <f>IF($A188="","",ROUND($B188*$E188,2))</f>
        <v/>
      </c>
      <c r="G188" s="17">
        <f>IF($A188="","",IFERROR(SUMIF(tblAnahtarB[NormB],$A188,tblHakedis[TyPlus]),0))</f>
        <v/>
      </c>
      <c r="H188" s="17">
        <f>IF($A188="","",IFERROR(SUMIF(tblAnahtarB[NormB],$A188,tblHakedis[FlasKesinti]),0))</f>
        <v/>
      </c>
      <c r="I188" s="17">
        <f>IF($A188="","",IFERROR(SUMIF(tblAnahtarB[NormB],$A188,tblHakedis[UrunReklam]),0))</f>
        <v/>
      </c>
      <c r="J188" s="17">
        <f>IF($A188="","",IFERROR(SUMIF(tblAnahtarB[NormB],$A188,tblHakedis[DesiKargo]),0))</f>
        <v/>
      </c>
      <c r="K188" s="17">
        <f>IF($A188="","",ROUND($F188+$G188+$H188+$I188+$J188,2))</f>
        <v/>
      </c>
      <c r="L188" s="17">
        <f>IF($A188="","",ROUND($B188-$C188,2))</f>
        <v/>
      </c>
      <c r="M188" s="17">
        <f>IF($A188="","",ROUND($B188-$C188-$K188,2))</f>
        <v/>
      </c>
      <c r="N188" s="17">
        <f>IF(OR($A188="",$B188=0),0,$M188/$B188)</f>
        <v/>
      </c>
      <c r="O188" s="17">
        <f>IF($A188="","",IF((1-$E188)&lt;=0,0,IF($D188=0,0,ROUND(($C188+$G188+$H188+$I188+$J188)/$D188/(1-$E188),2))))</f>
        <v/>
      </c>
      <c r="P188" s="17">
        <f>IF($A188="","",IFERROR(SUMIF(tblAnahtarA[Norm],$A188,tblGirdi[HedefNet]),0))</f>
        <v/>
      </c>
      <c r="Q188" s="17">
        <f>IF($A188="","",ROUND($M188-$P188,2))</f>
        <v/>
      </c>
      <c r="R188" s="17">
        <f>IF($A188="","",ROUND($B188-$K188,2))</f>
        <v/>
      </c>
      <c r="S188" s="17">
        <f>IF($A188="","",IF($N188&lt;0,"ÇEKİL",IF($N188&lt;tyk_esikMarjDusuk,"ZAM","SAT")))</f>
        <v/>
      </c>
      <c r="T188" s="17">
        <f>IF($A188="","",$L188-$F188)</f>
        <v/>
      </c>
      <c r="U188" s="17">
        <f>IF($A188="","",$M188-$Q188)</f>
        <v/>
      </c>
      <c r="V188" s="17">
        <f>IF($A188="","",$R188-$M188)</f>
        <v/>
      </c>
    </row>
    <row r="189">
      <c r="A189" s="17">
        <f>IF('ANAHTAR'!$B189="","",'ANAHTAR'!$B189)</f>
        <v/>
      </c>
      <c r="B189" s="17">
        <f>IF($A189="","",IFERROR(SUMIF(tblAnahtarA[Norm],$A189,tblGirdi[ToplamSatis]),0))</f>
        <v/>
      </c>
      <c r="C189" s="17">
        <f>IF($A189="","",IFERROR(SUMIF(tblAnahtarA[Norm],$A189,tblGirdi[Maliyet])*IFERROR(SUMIF(tblAnahtarA[Norm],$A189,tblGirdi[Miktar]),1),0))</f>
        <v/>
      </c>
      <c r="D189" s="17">
        <f>IF($A189="","",IFERROR(SUMIF(tblAnahtarA[Norm],$A189,tblGirdi[Miktar]),0))</f>
        <v/>
      </c>
      <c r="E189" s="17">
        <f>IF($A189="","",IFERROR(SUMIF(tblAnahtarA[Norm],$A189,tblGirdi[KomisyonOran]),0))</f>
        <v/>
      </c>
      <c r="F189" s="17">
        <f>IF($A189="","",ROUND($B189*$E189,2))</f>
        <v/>
      </c>
      <c r="G189" s="17">
        <f>IF($A189="","",IFERROR(SUMIF(tblAnahtarB[NormB],$A189,tblHakedis[TyPlus]),0))</f>
        <v/>
      </c>
      <c r="H189" s="17">
        <f>IF($A189="","",IFERROR(SUMIF(tblAnahtarB[NormB],$A189,tblHakedis[FlasKesinti]),0))</f>
        <v/>
      </c>
      <c r="I189" s="17">
        <f>IF($A189="","",IFERROR(SUMIF(tblAnahtarB[NormB],$A189,tblHakedis[UrunReklam]),0))</f>
        <v/>
      </c>
      <c r="J189" s="17">
        <f>IF($A189="","",IFERROR(SUMIF(tblAnahtarB[NormB],$A189,tblHakedis[DesiKargo]),0))</f>
        <v/>
      </c>
      <c r="K189" s="17">
        <f>IF($A189="","",ROUND($F189+$G189+$H189+$I189+$J189,2))</f>
        <v/>
      </c>
      <c r="L189" s="17">
        <f>IF($A189="","",ROUND($B189-$C189,2))</f>
        <v/>
      </c>
      <c r="M189" s="17">
        <f>IF($A189="","",ROUND($B189-$C189-$K189,2))</f>
        <v/>
      </c>
      <c r="N189" s="17">
        <f>IF(OR($A189="",$B189=0),0,$M189/$B189)</f>
        <v/>
      </c>
      <c r="O189" s="17">
        <f>IF($A189="","",IF((1-$E189)&lt;=0,0,IF($D189=0,0,ROUND(($C189+$G189+$H189+$I189+$J189)/$D189/(1-$E189),2))))</f>
        <v/>
      </c>
      <c r="P189" s="17">
        <f>IF($A189="","",IFERROR(SUMIF(tblAnahtarA[Norm],$A189,tblGirdi[HedefNet]),0))</f>
        <v/>
      </c>
      <c r="Q189" s="17">
        <f>IF($A189="","",ROUND($M189-$P189,2))</f>
        <v/>
      </c>
      <c r="R189" s="17">
        <f>IF($A189="","",ROUND($B189-$K189,2))</f>
        <v/>
      </c>
      <c r="S189" s="17">
        <f>IF($A189="","",IF($N189&lt;0,"ÇEKİL",IF($N189&lt;tyk_esikMarjDusuk,"ZAM","SAT")))</f>
        <v/>
      </c>
      <c r="T189" s="17">
        <f>IF($A189="","",$L189-$F189)</f>
        <v/>
      </c>
      <c r="U189" s="17">
        <f>IF($A189="","",$M189-$Q189)</f>
        <v/>
      </c>
      <c r="V189" s="17">
        <f>IF($A189="","",$R189-$M189)</f>
        <v/>
      </c>
    </row>
    <row r="190">
      <c r="A190" s="17">
        <f>IF('ANAHTAR'!$B190="","",'ANAHTAR'!$B190)</f>
        <v/>
      </c>
      <c r="B190" s="17">
        <f>IF($A190="","",IFERROR(SUMIF(tblAnahtarA[Norm],$A190,tblGirdi[ToplamSatis]),0))</f>
        <v/>
      </c>
      <c r="C190" s="17">
        <f>IF($A190="","",IFERROR(SUMIF(tblAnahtarA[Norm],$A190,tblGirdi[Maliyet])*IFERROR(SUMIF(tblAnahtarA[Norm],$A190,tblGirdi[Miktar]),1),0))</f>
        <v/>
      </c>
      <c r="D190" s="17">
        <f>IF($A190="","",IFERROR(SUMIF(tblAnahtarA[Norm],$A190,tblGirdi[Miktar]),0))</f>
        <v/>
      </c>
      <c r="E190" s="17">
        <f>IF($A190="","",IFERROR(SUMIF(tblAnahtarA[Norm],$A190,tblGirdi[KomisyonOran]),0))</f>
        <v/>
      </c>
      <c r="F190" s="17">
        <f>IF($A190="","",ROUND($B190*$E190,2))</f>
        <v/>
      </c>
      <c r="G190" s="17">
        <f>IF($A190="","",IFERROR(SUMIF(tblAnahtarB[NormB],$A190,tblHakedis[TyPlus]),0))</f>
        <v/>
      </c>
      <c r="H190" s="17">
        <f>IF($A190="","",IFERROR(SUMIF(tblAnahtarB[NormB],$A190,tblHakedis[FlasKesinti]),0))</f>
        <v/>
      </c>
      <c r="I190" s="17">
        <f>IF($A190="","",IFERROR(SUMIF(tblAnahtarB[NormB],$A190,tblHakedis[UrunReklam]),0))</f>
        <v/>
      </c>
      <c r="J190" s="17">
        <f>IF($A190="","",IFERROR(SUMIF(tblAnahtarB[NormB],$A190,tblHakedis[DesiKargo]),0))</f>
        <v/>
      </c>
      <c r="K190" s="17">
        <f>IF($A190="","",ROUND($F190+$G190+$H190+$I190+$J190,2))</f>
        <v/>
      </c>
      <c r="L190" s="17">
        <f>IF($A190="","",ROUND($B190-$C190,2))</f>
        <v/>
      </c>
      <c r="M190" s="17">
        <f>IF($A190="","",ROUND($B190-$C190-$K190,2))</f>
        <v/>
      </c>
      <c r="N190" s="17">
        <f>IF(OR($A190="",$B190=0),0,$M190/$B190)</f>
        <v/>
      </c>
      <c r="O190" s="17">
        <f>IF($A190="","",IF((1-$E190)&lt;=0,0,IF($D190=0,0,ROUND(($C190+$G190+$H190+$I190+$J190)/$D190/(1-$E190),2))))</f>
        <v/>
      </c>
      <c r="P190" s="17">
        <f>IF($A190="","",IFERROR(SUMIF(tblAnahtarA[Norm],$A190,tblGirdi[HedefNet]),0))</f>
        <v/>
      </c>
      <c r="Q190" s="17">
        <f>IF($A190="","",ROUND($M190-$P190,2))</f>
        <v/>
      </c>
      <c r="R190" s="17">
        <f>IF($A190="","",ROUND($B190-$K190,2))</f>
        <v/>
      </c>
      <c r="S190" s="17">
        <f>IF($A190="","",IF($N190&lt;0,"ÇEKİL",IF($N190&lt;tyk_esikMarjDusuk,"ZAM","SAT")))</f>
        <v/>
      </c>
      <c r="T190" s="17">
        <f>IF($A190="","",$L190-$F190)</f>
        <v/>
      </c>
      <c r="U190" s="17">
        <f>IF($A190="","",$M190-$Q190)</f>
        <v/>
      </c>
      <c r="V190" s="17">
        <f>IF($A190="","",$R190-$M190)</f>
        <v/>
      </c>
    </row>
    <row r="191">
      <c r="A191" s="17">
        <f>IF('ANAHTAR'!$B191="","",'ANAHTAR'!$B191)</f>
        <v/>
      </c>
      <c r="B191" s="17">
        <f>IF($A191="","",IFERROR(SUMIF(tblAnahtarA[Norm],$A191,tblGirdi[ToplamSatis]),0))</f>
        <v/>
      </c>
      <c r="C191" s="17">
        <f>IF($A191="","",IFERROR(SUMIF(tblAnahtarA[Norm],$A191,tblGirdi[Maliyet])*IFERROR(SUMIF(tblAnahtarA[Norm],$A191,tblGirdi[Miktar]),1),0))</f>
        <v/>
      </c>
      <c r="D191" s="17">
        <f>IF($A191="","",IFERROR(SUMIF(tblAnahtarA[Norm],$A191,tblGirdi[Miktar]),0))</f>
        <v/>
      </c>
      <c r="E191" s="17">
        <f>IF($A191="","",IFERROR(SUMIF(tblAnahtarA[Norm],$A191,tblGirdi[KomisyonOran]),0))</f>
        <v/>
      </c>
      <c r="F191" s="17">
        <f>IF($A191="","",ROUND($B191*$E191,2))</f>
        <v/>
      </c>
      <c r="G191" s="17">
        <f>IF($A191="","",IFERROR(SUMIF(tblAnahtarB[NormB],$A191,tblHakedis[TyPlus]),0))</f>
        <v/>
      </c>
      <c r="H191" s="17">
        <f>IF($A191="","",IFERROR(SUMIF(tblAnahtarB[NormB],$A191,tblHakedis[FlasKesinti]),0))</f>
        <v/>
      </c>
      <c r="I191" s="17">
        <f>IF($A191="","",IFERROR(SUMIF(tblAnahtarB[NormB],$A191,tblHakedis[UrunReklam]),0))</f>
        <v/>
      </c>
      <c r="J191" s="17">
        <f>IF($A191="","",IFERROR(SUMIF(tblAnahtarB[NormB],$A191,tblHakedis[DesiKargo]),0))</f>
        <v/>
      </c>
      <c r="K191" s="17">
        <f>IF($A191="","",ROUND($F191+$G191+$H191+$I191+$J191,2))</f>
        <v/>
      </c>
      <c r="L191" s="17">
        <f>IF($A191="","",ROUND($B191-$C191,2))</f>
        <v/>
      </c>
      <c r="M191" s="17">
        <f>IF($A191="","",ROUND($B191-$C191-$K191,2))</f>
        <v/>
      </c>
      <c r="N191" s="17">
        <f>IF(OR($A191="",$B191=0),0,$M191/$B191)</f>
        <v/>
      </c>
      <c r="O191" s="17">
        <f>IF($A191="","",IF((1-$E191)&lt;=0,0,IF($D191=0,0,ROUND(($C191+$G191+$H191+$I191+$J191)/$D191/(1-$E191),2))))</f>
        <v/>
      </c>
      <c r="P191" s="17">
        <f>IF($A191="","",IFERROR(SUMIF(tblAnahtarA[Norm],$A191,tblGirdi[HedefNet]),0))</f>
        <v/>
      </c>
      <c r="Q191" s="17">
        <f>IF($A191="","",ROUND($M191-$P191,2))</f>
        <v/>
      </c>
      <c r="R191" s="17">
        <f>IF($A191="","",ROUND($B191-$K191,2))</f>
        <v/>
      </c>
      <c r="S191" s="17">
        <f>IF($A191="","",IF($N191&lt;0,"ÇEKİL",IF($N191&lt;tyk_esikMarjDusuk,"ZAM","SAT")))</f>
        <v/>
      </c>
      <c r="T191" s="17">
        <f>IF($A191="","",$L191-$F191)</f>
        <v/>
      </c>
      <c r="U191" s="17">
        <f>IF($A191="","",$M191-$Q191)</f>
        <v/>
      </c>
      <c r="V191" s="17">
        <f>IF($A191="","",$R191-$M191)</f>
        <v/>
      </c>
    </row>
    <row r="192">
      <c r="A192" s="17">
        <f>IF('ANAHTAR'!$B192="","",'ANAHTAR'!$B192)</f>
        <v/>
      </c>
      <c r="B192" s="17">
        <f>IF($A192="","",IFERROR(SUMIF(tblAnahtarA[Norm],$A192,tblGirdi[ToplamSatis]),0))</f>
        <v/>
      </c>
      <c r="C192" s="17">
        <f>IF($A192="","",IFERROR(SUMIF(tblAnahtarA[Norm],$A192,tblGirdi[Maliyet])*IFERROR(SUMIF(tblAnahtarA[Norm],$A192,tblGirdi[Miktar]),1),0))</f>
        <v/>
      </c>
      <c r="D192" s="17">
        <f>IF($A192="","",IFERROR(SUMIF(tblAnahtarA[Norm],$A192,tblGirdi[Miktar]),0))</f>
        <v/>
      </c>
      <c r="E192" s="17">
        <f>IF($A192="","",IFERROR(SUMIF(tblAnahtarA[Norm],$A192,tblGirdi[KomisyonOran]),0))</f>
        <v/>
      </c>
      <c r="F192" s="17">
        <f>IF($A192="","",ROUND($B192*$E192,2))</f>
        <v/>
      </c>
      <c r="G192" s="17">
        <f>IF($A192="","",IFERROR(SUMIF(tblAnahtarB[NormB],$A192,tblHakedis[TyPlus]),0))</f>
        <v/>
      </c>
      <c r="H192" s="17">
        <f>IF($A192="","",IFERROR(SUMIF(tblAnahtarB[NormB],$A192,tblHakedis[FlasKesinti]),0))</f>
        <v/>
      </c>
      <c r="I192" s="17">
        <f>IF($A192="","",IFERROR(SUMIF(tblAnahtarB[NormB],$A192,tblHakedis[UrunReklam]),0))</f>
        <v/>
      </c>
      <c r="J192" s="17">
        <f>IF($A192="","",IFERROR(SUMIF(tblAnahtarB[NormB],$A192,tblHakedis[DesiKargo]),0))</f>
        <v/>
      </c>
      <c r="K192" s="17">
        <f>IF($A192="","",ROUND($F192+$G192+$H192+$I192+$J192,2))</f>
        <v/>
      </c>
      <c r="L192" s="17">
        <f>IF($A192="","",ROUND($B192-$C192,2))</f>
        <v/>
      </c>
      <c r="M192" s="17">
        <f>IF($A192="","",ROUND($B192-$C192-$K192,2))</f>
        <v/>
      </c>
      <c r="N192" s="17">
        <f>IF(OR($A192="",$B192=0),0,$M192/$B192)</f>
        <v/>
      </c>
      <c r="O192" s="17">
        <f>IF($A192="","",IF((1-$E192)&lt;=0,0,IF($D192=0,0,ROUND(($C192+$G192+$H192+$I192+$J192)/$D192/(1-$E192),2))))</f>
        <v/>
      </c>
      <c r="P192" s="17">
        <f>IF($A192="","",IFERROR(SUMIF(tblAnahtarA[Norm],$A192,tblGirdi[HedefNet]),0))</f>
        <v/>
      </c>
      <c r="Q192" s="17">
        <f>IF($A192="","",ROUND($M192-$P192,2))</f>
        <v/>
      </c>
      <c r="R192" s="17">
        <f>IF($A192="","",ROUND($B192-$K192,2))</f>
        <v/>
      </c>
      <c r="S192" s="17">
        <f>IF($A192="","",IF($N192&lt;0,"ÇEKİL",IF($N192&lt;tyk_esikMarjDusuk,"ZAM","SAT")))</f>
        <v/>
      </c>
      <c r="T192" s="17">
        <f>IF($A192="","",$L192-$F192)</f>
        <v/>
      </c>
      <c r="U192" s="17">
        <f>IF($A192="","",$M192-$Q192)</f>
        <v/>
      </c>
      <c r="V192" s="17">
        <f>IF($A192="","",$R192-$M192)</f>
        <v/>
      </c>
    </row>
    <row r="193">
      <c r="A193" s="17">
        <f>IF('ANAHTAR'!$B193="","",'ANAHTAR'!$B193)</f>
        <v/>
      </c>
      <c r="B193" s="17">
        <f>IF($A193="","",IFERROR(SUMIF(tblAnahtarA[Norm],$A193,tblGirdi[ToplamSatis]),0))</f>
        <v/>
      </c>
      <c r="C193" s="17">
        <f>IF($A193="","",IFERROR(SUMIF(tblAnahtarA[Norm],$A193,tblGirdi[Maliyet])*IFERROR(SUMIF(tblAnahtarA[Norm],$A193,tblGirdi[Miktar]),1),0))</f>
        <v/>
      </c>
      <c r="D193" s="17">
        <f>IF($A193="","",IFERROR(SUMIF(tblAnahtarA[Norm],$A193,tblGirdi[Miktar]),0))</f>
        <v/>
      </c>
      <c r="E193" s="17">
        <f>IF($A193="","",IFERROR(SUMIF(tblAnahtarA[Norm],$A193,tblGirdi[KomisyonOran]),0))</f>
        <v/>
      </c>
      <c r="F193" s="17">
        <f>IF($A193="","",ROUND($B193*$E193,2))</f>
        <v/>
      </c>
      <c r="G193" s="17">
        <f>IF($A193="","",IFERROR(SUMIF(tblAnahtarB[NormB],$A193,tblHakedis[TyPlus]),0))</f>
        <v/>
      </c>
      <c r="H193" s="17">
        <f>IF($A193="","",IFERROR(SUMIF(tblAnahtarB[NormB],$A193,tblHakedis[FlasKesinti]),0))</f>
        <v/>
      </c>
      <c r="I193" s="17">
        <f>IF($A193="","",IFERROR(SUMIF(tblAnahtarB[NormB],$A193,tblHakedis[UrunReklam]),0))</f>
        <v/>
      </c>
      <c r="J193" s="17">
        <f>IF($A193="","",IFERROR(SUMIF(tblAnahtarB[NormB],$A193,tblHakedis[DesiKargo]),0))</f>
        <v/>
      </c>
      <c r="K193" s="17">
        <f>IF($A193="","",ROUND($F193+$G193+$H193+$I193+$J193,2))</f>
        <v/>
      </c>
      <c r="L193" s="17">
        <f>IF($A193="","",ROUND($B193-$C193,2))</f>
        <v/>
      </c>
      <c r="M193" s="17">
        <f>IF($A193="","",ROUND($B193-$C193-$K193,2))</f>
        <v/>
      </c>
      <c r="N193" s="17">
        <f>IF(OR($A193="",$B193=0),0,$M193/$B193)</f>
        <v/>
      </c>
      <c r="O193" s="17">
        <f>IF($A193="","",IF((1-$E193)&lt;=0,0,IF($D193=0,0,ROUND(($C193+$G193+$H193+$I193+$J193)/$D193/(1-$E193),2))))</f>
        <v/>
      </c>
      <c r="P193" s="17">
        <f>IF($A193="","",IFERROR(SUMIF(tblAnahtarA[Norm],$A193,tblGirdi[HedefNet]),0))</f>
        <v/>
      </c>
      <c r="Q193" s="17">
        <f>IF($A193="","",ROUND($M193-$P193,2))</f>
        <v/>
      </c>
      <c r="R193" s="17">
        <f>IF($A193="","",ROUND($B193-$K193,2))</f>
        <v/>
      </c>
      <c r="S193" s="17">
        <f>IF($A193="","",IF($N193&lt;0,"ÇEKİL",IF($N193&lt;tyk_esikMarjDusuk,"ZAM","SAT")))</f>
        <v/>
      </c>
      <c r="T193" s="17">
        <f>IF($A193="","",$L193-$F193)</f>
        <v/>
      </c>
      <c r="U193" s="17">
        <f>IF($A193="","",$M193-$Q193)</f>
        <v/>
      </c>
      <c r="V193" s="17">
        <f>IF($A193="","",$R193-$M193)</f>
        <v/>
      </c>
    </row>
    <row r="194">
      <c r="A194" s="17">
        <f>IF('ANAHTAR'!$B194="","",'ANAHTAR'!$B194)</f>
        <v/>
      </c>
      <c r="B194" s="17">
        <f>IF($A194="","",IFERROR(SUMIF(tblAnahtarA[Norm],$A194,tblGirdi[ToplamSatis]),0))</f>
        <v/>
      </c>
      <c r="C194" s="17">
        <f>IF($A194="","",IFERROR(SUMIF(tblAnahtarA[Norm],$A194,tblGirdi[Maliyet])*IFERROR(SUMIF(tblAnahtarA[Norm],$A194,tblGirdi[Miktar]),1),0))</f>
        <v/>
      </c>
      <c r="D194" s="17">
        <f>IF($A194="","",IFERROR(SUMIF(tblAnahtarA[Norm],$A194,tblGirdi[Miktar]),0))</f>
        <v/>
      </c>
      <c r="E194" s="17">
        <f>IF($A194="","",IFERROR(SUMIF(tblAnahtarA[Norm],$A194,tblGirdi[KomisyonOran]),0))</f>
        <v/>
      </c>
      <c r="F194" s="17">
        <f>IF($A194="","",ROUND($B194*$E194,2))</f>
        <v/>
      </c>
      <c r="G194" s="17">
        <f>IF($A194="","",IFERROR(SUMIF(tblAnahtarB[NormB],$A194,tblHakedis[TyPlus]),0))</f>
        <v/>
      </c>
      <c r="H194" s="17">
        <f>IF($A194="","",IFERROR(SUMIF(tblAnahtarB[NormB],$A194,tblHakedis[FlasKesinti]),0))</f>
        <v/>
      </c>
      <c r="I194" s="17">
        <f>IF($A194="","",IFERROR(SUMIF(tblAnahtarB[NormB],$A194,tblHakedis[UrunReklam]),0))</f>
        <v/>
      </c>
      <c r="J194" s="17">
        <f>IF($A194="","",IFERROR(SUMIF(tblAnahtarB[NormB],$A194,tblHakedis[DesiKargo]),0))</f>
        <v/>
      </c>
      <c r="K194" s="17">
        <f>IF($A194="","",ROUND($F194+$G194+$H194+$I194+$J194,2))</f>
        <v/>
      </c>
      <c r="L194" s="17">
        <f>IF($A194="","",ROUND($B194-$C194,2))</f>
        <v/>
      </c>
      <c r="M194" s="17">
        <f>IF($A194="","",ROUND($B194-$C194-$K194,2))</f>
        <v/>
      </c>
      <c r="N194" s="17">
        <f>IF(OR($A194="",$B194=0),0,$M194/$B194)</f>
        <v/>
      </c>
      <c r="O194" s="17">
        <f>IF($A194="","",IF((1-$E194)&lt;=0,0,IF($D194=0,0,ROUND(($C194+$G194+$H194+$I194+$J194)/$D194/(1-$E194),2))))</f>
        <v/>
      </c>
      <c r="P194" s="17">
        <f>IF($A194="","",IFERROR(SUMIF(tblAnahtarA[Norm],$A194,tblGirdi[HedefNet]),0))</f>
        <v/>
      </c>
      <c r="Q194" s="17">
        <f>IF($A194="","",ROUND($M194-$P194,2))</f>
        <v/>
      </c>
      <c r="R194" s="17">
        <f>IF($A194="","",ROUND($B194-$K194,2))</f>
        <v/>
      </c>
      <c r="S194" s="17">
        <f>IF($A194="","",IF($N194&lt;0,"ÇEKİL",IF($N194&lt;tyk_esikMarjDusuk,"ZAM","SAT")))</f>
        <v/>
      </c>
      <c r="T194" s="17">
        <f>IF($A194="","",$L194-$F194)</f>
        <v/>
      </c>
      <c r="U194" s="17">
        <f>IF($A194="","",$M194-$Q194)</f>
        <v/>
      </c>
      <c r="V194" s="17">
        <f>IF($A194="","",$R194-$M194)</f>
        <v/>
      </c>
    </row>
    <row r="195">
      <c r="A195" s="17">
        <f>IF('ANAHTAR'!$B195="","",'ANAHTAR'!$B195)</f>
        <v/>
      </c>
      <c r="B195" s="17">
        <f>IF($A195="","",IFERROR(SUMIF(tblAnahtarA[Norm],$A195,tblGirdi[ToplamSatis]),0))</f>
        <v/>
      </c>
      <c r="C195" s="17">
        <f>IF($A195="","",IFERROR(SUMIF(tblAnahtarA[Norm],$A195,tblGirdi[Maliyet])*IFERROR(SUMIF(tblAnahtarA[Norm],$A195,tblGirdi[Miktar]),1),0))</f>
        <v/>
      </c>
      <c r="D195" s="17">
        <f>IF($A195="","",IFERROR(SUMIF(tblAnahtarA[Norm],$A195,tblGirdi[Miktar]),0))</f>
        <v/>
      </c>
      <c r="E195" s="17">
        <f>IF($A195="","",IFERROR(SUMIF(tblAnahtarA[Norm],$A195,tblGirdi[KomisyonOran]),0))</f>
        <v/>
      </c>
      <c r="F195" s="17">
        <f>IF($A195="","",ROUND($B195*$E195,2))</f>
        <v/>
      </c>
      <c r="G195" s="17">
        <f>IF($A195="","",IFERROR(SUMIF(tblAnahtarB[NormB],$A195,tblHakedis[TyPlus]),0))</f>
        <v/>
      </c>
      <c r="H195" s="17">
        <f>IF($A195="","",IFERROR(SUMIF(tblAnahtarB[NormB],$A195,tblHakedis[FlasKesinti]),0))</f>
        <v/>
      </c>
      <c r="I195" s="17">
        <f>IF($A195="","",IFERROR(SUMIF(tblAnahtarB[NormB],$A195,tblHakedis[UrunReklam]),0))</f>
        <v/>
      </c>
      <c r="J195" s="17">
        <f>IF($A195="","",IFERROR(SUMIF(tblAnahtarB[NormB],$A195,tblHakedis[DesiKargo]),0))</f>
        <v/>
      </c>
      <c r="K195" s="17">
        <f>IF($A195="","",ROUND($F195+$G195+$H195+$I195+$J195,2))</f>
        <v/>
      </c>
      <c r="L195" s="17">
        <f>IF($A195="","",ROUND($B195-$C195,2))</f>
        <v/>
      </c>
      <c r="M195" s="17">
        <f>IF($A195="","",ROUND($B195-$C195-$K195,2))</f>
        <v/>
      </c>
      <c r="N195" s="17">
        <f>IF(OR($A195="",$B195=0),0,$M195/$B195)</f>
        <v/>
      </c>
      <c r="O195" s="17">
        <f>IF($A195="","",IF((1-$E195)&lt;=0,0,IF($D195=0,0,ROUND(($C195+$G195+$H195+$I195+$J195)/$D195/(1-$E195),2))))</f>
        <v/>
      </c>
      <c r="P195" s="17">
        <f>IF($A195="","",IFERROR(SUMIF(tblAnahtarA[Norm],$A195,tblGirdi[HedefNet]),0))</f>
        <v/>
      </c>
      <c r="Q195" s="17">
        <f>IF($A195="","",ROUND($M195-$P195,2))</f>
        <v/>
      </c>
      <c r="R195" s="17">
        <f>IF($A195="","",ROUND($B195-$K195,2))</f>
        <v/>
      </c>
      <c r="S195" s="17">
        <f>IF($A195="","",IF($N195&lt;0,"ÇEKİL",IF($N195&lt;tyk_esikMarjDusuk,"ZAM","SAT")))</f>
        <v/>
      </c>
      <c r="T195" s="17">
        <f>IF($A195="","",$L195-$F195)</f>
        <v/>
      </c>
      <c r="U195" s="17">
        <f>IF($A195="","",$M195-$Q195)</f>
        <v/>
      </c>
      <c r="V195" s="17">
        <f>IF($A195="","",$R195-$M195)</f>
        <v/>
      </c>
    </row>
    <row r="196">
      <c r="A196" s="17">
        <f>IF('ANAHTAR'!$B196="","",'ANAHTAR'!$B196)</f>
        <v/>
      </c>
      <c r="B196" s="17">
        <f>IF($A196="","",IFERROR(SUMIF(tblAnahtarA[Norm],$A196,tblGirdi[ToplamSatis]),0))</f>
        <v/>
      </c>
      <c r="C196" s="17">
        <f>IF($A196="","",IFERROR(SUMIF(tblAnahtarA[Norm],$A196,tblGirdi[Maliyet])*IFERROR(SUMIF(tblAnahtarA[Norm],$A196,tblGirdi[Miktar]),1),0))</f>
        <v/>
      </c>
      <c r="D196" s="17">
        <f>IF($A196="","",IFERROR(SUMIF(tblAnahtarA[Norm],$A196,tblGirdi[Miktar]),0))</f>
        <v/>
      </c>
      <c r="E196" s="17">
        <f>IF($A196="","",IFERROR(SUMIF(tblAnahtarA[Norm],$A196,tblGirdi[KomisyonOran]),0))</f>
        <v/>
      </c>
      <c r="F196" s="17">
        <f>IF($A196="","",ROUND($B196*$E196,2))</f>
        <v/>
      </c>
      <c r="G196" s="17">
        <f>IF($A196="","",IFERROR(SUMIF(tblAnahtarB[NormB],$A196,tblHakedis[TyPlus]),0))</f>
        <v/>
      </c>
      <c r="H196" s="17">
        <f>IF($A196="","",IFERROR(SUMIF(tblAnahtarB[NormB],$A196,tblHakedis[FlasKesinti]),0))</f>
        <v/>
      </c>
      <c r="I196" s="17">
        <f>IF($A196="","",IFERROR(SUMIF(tblAnahtarB[NormB],$A196,tblHakedis[UrunReklam]),0))</f>
        <v/>
      </c>
      <c r="J196" s="17">
        <f>IF($A196="","",IFERROR(SUMIF(tblAnahtarB[NormB],$A196,tblHakedis[DesiKargo]),0))</f>
        <v/>
      </c>
      <c r="K196" s="17">
        <f>IF($A196="","",ROUND($F196+$G196+$H196+$I196+$J196,2))</f>
        <v/>
      </c>
      <c r="L196" s="17">
        <f>IF($A196="","",ROUND($B196-$C196,2))</f>
        <v/>
      </c>
      <c r="M196" s="17">
        <f>IF($A196="","",ROUND($B196-$C196-$K196,2))</f>
        <v/>
      </c>
      <c r="N196" s="17">
        <f>IF(OR($A196="",$B196=0),0,$M196/$B196)</f>
        <v/>
      </c>
      <c r="O196" s="17">
        <f>IF($A196="","",IF((1-$E196)&lt;=0,0,IF($D196=0,0,ROUND(($C196+$G196+$H196+$I196+$J196)/$D196/(1-$E196),2))))</f>
        <v/>
      </c>
      <c r="P196" s="17">
        <f>IF($A196="","",IFERROR(SUMIF(tblAnahtarA[Norm],$A196,tblGirdi[HedefNet]),0))</f>
        <v/>
      </c>
      <c r="Q196" s="17">
        <f>IF($A196="","",ROUND($M196-$P196,2))</f>
        <v/>
      </c>
      <c r="R196" s="17">
        <f>IF($A196="","",ROUND($B196-$K196,2))</f>
        <v/>
      </c>
      <c r="S196" s="17">
        <f>IF($A196="","",IF($N196&lt;0,"ÇEKİL",IF($N196&lt;tyk_esikMarjDusuk,"ZAM","SAT")))</f>
        <v/>
      </c>
      <c r="T196" s="17">
        <f>IF($A196="","",$L196-$F196)</f>
        <v/>
      </c>
      <c r="U196" s="17">
        <f>IF($A196="","",$M196-$Q196)</f>
        <v/>
      </c>
      <c r="V196" s="17">
        <f>IF($A196="","",$R196-$M196)</f>
        <v/>
      </c>
    </row>
    <row r="197">
      <c r="A197" s="17">
        <f>IF('ANAHTAR'!$B197="","",'ANAHTAR'!$B197)</f>
        <v/>
      </c>
      <c r="B197" s="17">
        <f>IF($A197="","",IFERROR(SUMIF(tblAnahtarA[Norm],$A197,tblGirdi[ToplamSatis]),0))</f>
        <v/>
      </c>
      <c r="C197" s="17">
        <f>IF($A197="","",IFERROR(SUMIF(tblAnahtarA[Norm],$A197,tblGirdi[Maliyet])*IFERROR(SUMIF(tblAnahtarA[Norm],$A197,tblGirdi[Miktar]),1),0))</f>
        <v/>
      </c>
      <c r="D197" s="17">
        <f>IF($A197="","",IFERROR(SUMIF(tblAnahtarA[Norm],$A197,tblGirdi[Miktar]),0))</f>
        <v/>
      </c>
      <c r="E197" s="17">
        <f>IF($A197="","",IFERROR(SUMIF(tblAnahtarA[Norm],$A197,tblGirdi[KomisyonOran]),0))</f>
        <v/>
      </c>
      <c r="F197" s="17">
        <f>IF($A197="","",ROUND($B197*$E197,2))</f>
        <v/>
      </c>
      <c r="G197" s="17">
        <f>IF($A197="","",IFERROR(SUMIF(tblAnahtarB[NormB],$A197,tblHakedis[TyPlus]),0))</f>
        <v/>
      </c>
      <c r="H197" s="17">
        <f>IF($A197="","",IFERROR(SUMIF(tblAnahtarB[NormB],$A197,tblHakedis[FlasKesinti]),0))</f>
        <v/>
      </c>
      <c r="I197" s="17">
        <f>IF($A197="","",IFERROR(SUMIF(tblAnahtarB[NormB],$A197,tblHakedis[UrunReklam]),0))</f>
        <v/>
      </c>
      <c r="J197" s="17">
        <f>IF($A197="","",IFERROR(SUMIF(tblAnahtarB[NormB],$A197,tblHakedis[DesiKargo]),0))</f>
        <v/>
      </c>
      <c r="K197" s="17">
        <f>IF($A197="","",ROUND($F197+$G197+$H197+$I197+$J197,2))</f>
        <v/>
      </c>
      <c r="L197" s="17">
        <f>IF($A197="","",ROUND($B197-$C197,2))</f>
        <v/>
      </c>
      <c r="M197" s="17">
        <f>IF($A197="","",ROUND($B197-$C197-$K197,2))</f>
        <v/>
      </c>
      <c r="N197" s="17">
        <f>IF(OR($A197="",$B197=0),0,$M197/$B197)</f>
        <v/>
      </c>
      <c r="O197" s="17">
        <f>IF($A197="","",IF((1-$E197)&lt;=0,0,IF($D197=0,0,ROUND(($C197+$G197+$H197+$I197+$J197)/$D197/(1-$E197),2))))</f>
        <v/>
      </c>
      <c r="P197" s="17">
        <f>IF($A197="","",IFERROR(SUMIF(tblAnahtarA[Norm],$A197,tblGirdi[HedefNet]),0))</f>
        <v/>
      </c>
      <c r="Q197" s="17">
        <f>IF($A197="","",ROUND($M197-$P197,2))</f>
        <v/>
      </c>
      <c r="R197" s="17">
        <f>IF($A197="","",ROUND($B197-$K197,2))</f>
        <v/>
      </c>
      <c r="S197" s="17">
        <f>IF($A197="","",IF($N197&lt;0,"ÇEKİL",IF($N197&lt;tyk_esikMarjDusuk,"ZAM","SAT")))</f>
        <v/>
      </c>
      <c r="T197" s="17">
        <f>IF($A197="","",$L197-$F197)</f>
        <v/>
      </c>
      <c r="U197" s="17">
        <f>IF($A197="","",$M197-$Q197)</f>
        <v/>
      </c>
      <c r="V197" s="17">
        <f>IF($A197="","",$R197-$M197)</f>
        <v/>
      </c>
    </row>
    <row r="198">
      <c r="A198" s="17">
        <f>IF('ANAHTAR'!$B198="","",'ANAHTAR'!$B198)</f>
        <v/>
      </c>
      <c r="B198" s="17">
        <f>IF($A198="","",IFERROR(SUMIF(tblAnahtarA[Norm],$A198,tblGirdi[ToplamSatis]),0))</f>
        <v/>
      </c>
      <c r="C198" s="17">
        <f>IF($A198="","",IFERROR(SUMIF(tblAnahtarA[Norm],$A198,tblGirdi[Maliyet])*IFERROR(SUMIF(tblAnahtarA[Norm],$A198,tblGirdi[Miktar]),1),0))</f>
        <v/>
      </c>
      <c r="D198" s="17">
        <f>IF($A198="","",IFERROR(SUMIF(tblAnahtarA[Norm],$A198,tblGirdi[Miktar]),0))</f>
        <v/>
      </c>
      <c r="E198" s="17">
        <f>IF($A198="","",IFERROR(SUMIF(tblAnahtarA[Norm],$A198,tblGirdi[KomisyonOran]),0))</f>
        <v/>
      </c>
      <c r="F198" s="17">
        <f>IF($A198="","",ROUND($B198*$E198,2))</f>
        <v/>
      </c>
      <c r="G198" s="17">
        <f>IF($A198="","",IFERROR(SUMIF(tblAnahtarB[NormB],$A198,tblHakedis[TyPlus]),0))</f>
        <v/>
      </c>
      <c r="H198" s="17">
        <f>IF($A198="","",IFERROR(SUMIF(tblAnahtarB[NormB],$A198,tblHakedis[FlasKesinti]),0))</f>
        <v/>
      </c>
      <c r="I198" s="17">
        <f>IF($A198="","",IFERROR(SUMIF(tblAnahtarB[NormB],$A198,tblHakedis[UrunReklam]),0))</f>
        <v/>
      </c>
      <c r="J198" s="17">
        <f>IF($A198="","",IFERROR(SUMIF(tblAnahtarB[NormB],$A198,tblHakedis[DesiKargo]),0))</f>
        <v/>
      </c>
      <c r="K198" s="17">
        <f>IF($A198="","",ROUND($F198+$G198+$H198+$I198+$J198,2))</f>
        <v/>
      </c>
      <c r="L198" s="17">
        <f>IF($A198="","",ROUND($B198-$C198,2))</f>
        <v/>
      </c>
      <c r="M198" s="17">
        <f>IF($A198="","",ROUND($B198-$C198-$K198,2))</f>
        <v/>
      </c>
      <c r="N198" s="17">
        <f>IF(OR($A198="",$B198=0),0,$M198/$B198)</f>
        <v/>
      </c>
      <c r="O198" s="17">
        <f>IF($A198="","",IF((1-$E198)&lt;=0,0,IF($D198=0,0,ROUND(($C198+$G198+$H198+$I198+$J198)/$D198/(1-$E198),2))))</f>
        <v/>
      </c>
      <c r="P198" s="17">
        <f>IF($A198="","",IFERROR(SUMIF(tblAnahtarA[Norm],$A198,tblGirdi[HedefNet]),0))</f>
        <v/>
      </c>
      <c r="Q198" s="17">
        <f>IF($A198="","",ROUND($M198-$P198,2))</f>
        <v/>
      </c>
      <c r="R198" s="17">
        <f>IF($A198="","",ROUND($B198-$K198,2))</f>
        <v/>
      </c>
      <c r="S198" s="17">
        <f>IF($A198="","",IF($N198&lt;0,"ÇEKİL",IF($N198&lt;tyk_esikMarjDusuk,"ZAM","SAT")))</f>
        <v/>
      </c>
      <c r="T198" s="17">
        <f>IF($A198="","",$L198-$F198)</f>
        <v/>
      </c>
      <c r="U198" s="17">
        <f>IF($A198="","",$M198-$Q198)</f>
        <v/>
      </c>
      <c r="V198" s="17">
        <f>IF($A198="","",$R198-$M198)</f>
        <v/>
      </c>
    </row>
    <row r="199">
      <c r="A199" s="17">
        <f>IF('ANAHTAR'!$B199="","",'ANAHTAR'!$B199)</f>
        <v/>
      </c>
      <c r="B199" s="17">
        <f>IF($A199="","",IFERROR(SUMIF(tblAnahtarA[Norm],$A199,tblGirdi[ToplamSatis]),0))</f>
        <v/>
      </c>
      <c r="C199" s="17">
        <f>IF($A199="","",IFERROR(SUMIF(tblAnahtarA[Norm],$A199,tblGirdi[Maliyet])*IFERROR(SUMIF(tblAnahtarA[Norm],$A199,tblGirdi[Miktar]),1),0))</f>
        <v/>
      </c>
      <c r="D199" s="17">
        <f>IF($A199="","",IFERROR(SUMIF(tblAnahtarA[Norm],$A199,tblGirdi[Miktar]),0))</f>
        <v/>
      </c>
      <c r="E199" s="17">
        <f>IF($A199="","",IFERROR(SUMIF(tblAnahtarA[Norm],$A199,tblGirdi[KomisyonOran]),0))</f>
        <v/>
      </c>
      <c r="F199" s="17">
        <f>IF($A199="","",ROUND($B199*$E199,2))</f>
        <v/>
      </c>
      <c r="G199" s="17">
        <f>IF($A199="","",IFERROR(SUMIF(tblAnahtarB[NormB],$A199,tblHakedis[TyPlus]),0))</f>
        <v/>
      </c>
      <c r="H199" s="17">
        <f>IF($A199="","",IFERROR(SUMIF(tblAnahtarB[NormB],$A199,tblHakedis[FlasKesinti]),0))</f>
        <v/>
      </c>
      <c r="I199" s="17">
        <f>IF($A199="","",IFERROR(SUMIF(tblAnahtarB[NormB],$A199,tblHakedis[UrunReklam]),0))</f>
        <v/>
      </c>
      <c r="J199" s="17">
        <f>IF($A199="","",IFERROR(SUMIF(tblAnahtarB[NormB],$A199,tblHakedis[DesiKargo]),0))</f>
        <v/>
      </c>
      <c r="K199" s="17">
        <f>IF($A199="","",ROUND($F199+$G199+$H199+$I199+$J199,2))</f>
        <v/>
      </c>
      <c r="L199" s="17">
        <f>IF($A199="","",ROUND($B199-$C199,2))</f>
        <v/>
      </c>
      <c r="M199" s="17">
        <f>IF($A199="","",ROUND($B199-$C199-$K199,2))</f>
        <v/>
      </c>
      <c r="N199" s="17">
        <f>IF(OR($A199="",$B199=0),0,$M199/$B199)</f>
        <v/>
      </c>
      <c r="O199" s="17">
        <f>IF($A199="","",IF((1-$E199)&lt;=0,0,IF($D199=0,0,ROUND(($C199+$G199+$H199+$I199+$J199)/$D199/(1-$E199),2))))</f>
        <v/>
      </c>
      <c r="P199" s="17">
        <f>IF($A199="","",IFERROR(SUMIF(tblAnahtarA[Norm],$A199,tblGirdi[HedefNet]),0))</f>
        <v/>
      </c>
      <c r="Q199" s="17">
        <f>IF($A199="","",ROUND($M199-$P199,2))</f>
        <v/>
      </c>
      <c r="R199" s="17">
        <f>IF($A199="","",ROUND($B199-$K199,2))</f>
        <v/>
      </c>
      <c r="S199" s="17">
        <f>IF($A199="","",IF($N199&lt;0,"ÇEKİL",IF($N199&lt;tyk_esikMarjDusuk,"ZAM","SAT")))</f>
        <v/>
      </c>
      <c r="T199" s="17">
        <f>IF($A199="","",$L199-$F199)</f>
        <v/>
      </c>
      <c r="U199" s="17">
        <f>IF($A199="","",$M199-$Q199)</f>
        <v/>
      </c>
      <c r="V199" s="17">
        <f>IF($A199="","",$R199-$M199)</f>
        <v/>
      </c>
    </row>
    <row r="200">
      <c r="A200" s="17">
        <f>IF('ANAHTAR'!$B200="","",'ANAHTAR'!$B200)</f>
        <v/>
      </c>
      <c r="B200" s="17">
        <f>IF($A200="","",IFERROR(SUMIF(tblAnahtarA[Norm],$A200,tblGirdi[ToplamSatis]),0))</f>
        <v/>
      </c>
      <c r="C200" s="17">
        <f>IF($A200="","",IFERROR(SUMIF(tblAnahtarA[Norm],$A200,tblGirdi[Maliyet])*IFERROR(SUMIF(tblAnahtarA[Norm],$A200,tblGirdi[Miktar]),1),0))</f>
        <v/>
      </c>
      <c r="D200" s="17">
        <f>IF($A200="","",IFERROR(SUMIF(tblAnahtarA[Norm],$A200,tblGirdi[Miktar]),0))</f>
        <v/>
      </c>
      <c r="E200" s="17">
        <f>IF($A200="","",IFERROR(SUMIF(tblAnahtarA[Norm],$A200,tblGirdi[KomisyonOran]),0))</f>
        <v/>
      </c>
      <c r="F200" s="17">
        <f>IF($A200="","",ROUND($B200*$E200,2))</f>
        <v/>
      </c>
      <c r="G200" s="17">
        <f>IF($A200="","",IFERROR(SUMIF(tblAnahtarB[NormB],$A200,tblHakedis[TyPlus]),0))</f>
        <v/>
      </c>
      <c r="H200" s="17">
        <f>IF($A200="","",IFERROR(SUMIF(tblAnahtarB[NormB],$A200,tblHakedis[FlasKesinti]),0))</f>
        <v/>
      </c>
      <c r="I200" s="17">
        <f>IF($A200="","",IFERROR(SUMIF(tblAnahtarB[NormB],$A200,tblHakedis[UrunReklam]),0))</f>
        <v/>
      </c>
      <c r="J200" s="17">
        <f>IF($A200="","",IFERROR(SUMIF(tblAnahtarB[NormB],$A200,tblHakedis[DesiKargo]),0))</f>
        <v/>
      </c>
      <c r="K200" s="17">
        <f>IF($A200="","",ROUND($F200+$G200+$H200+$I200+$J200,2))</f>
        <v/>
      </c>
      <c r="L200" s="17">
        <f>IF($A200="","",ROUND($B200-$C200,2))</f>
        <v/>
      </c>
      <c r="M200" s="17">
        <f>IF($A200="","",ROUND($B200-$C200-$K200,2))</f>
        <v/>
      </c>
      <c r="N200" s="17">
        <f>IF(OR($A200="",$B200=0),0,$M200/$B200)</f>
        <v/>
      </c>
      <c r="O200" s="17">
        <f>IF($A200="","",IF((1-$E200)&lt;=0,0,IF($D200=0,0,ROUND(($C200+$G200+$H200+$I200+$J200)/$D200/(1-$E200),2))))</f>
        <v/>
      </c>
      <c r="P200" s="17">
        <f>IF($A200="","",IFERROR(SUMIF(tblAnahtarA[Norm],$A200,tblGirdi[HedefNet]),0))</f>
        <v/>
      </c>
      <c r="Q200" s="17">
        <f>IF($A200="","",ROUND($M200-$P200,2))</f>
        <v/>
      </c>
      <c r="R200" s="17">
        <f>IF($A200="","",ROUND($B200-$K200,2))</f>
        <v/>
      </c>
      <c r="S200" s="17">
        <f>IF($A200="","",IF($N200&lt;0,"ÇEKİL",IF($N200&lt;tyk_esikMarjDusuk,"ZAM","SAT")))</f>
        <v/>
      </c>
      <c r="T200" s="17">
        <f>IF($A200="","",$L200-$F200)</f>
        <v/>
      </c>
      <c r="U200" s="17">
        <f>IF($A200="","",$M200-$Q200)</f>
        <v/>
      </c>
      <c r="V200" s="17">
        <f>IF($A200="","",$R200-$M200)</f>
        <v/>
      </c>
    </row>
    <row r="201">
      <c r="A201" s="17">
        <f>IF('ANAHTAR'!$B201="","",'ANAHTAR'!$B201)</f>
        <v/>
      </c>
      <c r="B201" s="17">
        <f>IF($A201="","",IFERROR(SUMIF(tblAnahtarA[Norm],$A201,tblGirdi[ToplamSatis]),0))</f>
        <v/>
      </c>
      <c r="C201" s="17">
        <f>IF($A201="","",IFERROR(SUMIF(tblAnahtarA[Norm],$A201,tblGirdi[Maliyet])*IFERROR(SUMIF(tblAnahtarA[Norm],$A201,tblGirdi[Miktar]),1),0))</f>
        <v/>
      </c>
      <c r="D201" s="17">
        <f>IF($A201="","",IFERROR(SUMIF(tblAnahtarA[Norm],$A201,tblGirdi[Miktar]),0))</f>
        <v/>
      </c>
      <c r="E201" s="17">
        <f>IF($A201="","",IFERROR(SUMIF(tblAnahtarA[Norm],$A201,tblGirdi[KomisyonOran]),0))</f>
        <v/>
      </c>
      <c r="F201" s="17">
        <f>IF($A201="","",ROUND($B201*$E201,2))</f>
        <v/>
      </c>
      <c r="G201" s="17">
        <f>IF($A201="","",IFERROR(SUMIF(tblAnahtarB[NormB],$A201,tblHakedis[TyPlus]),0))</f>
        <v/>
      </c>
      <c r="H201" s="17">
        <f>IF($A201="","",IFERROR(SUMIF(tblAnahtarB[NormB],$A201,tblHakedis[FlasKesinti]),0))</f>
        <v/>
      </c>
      <c r="I201" s="17">
        <f>IF($A201="","",IFERROR(SUMIF(tblAnahtarB[NormB],$A201,tblHakedis[UrunReklam]),0))</f>
        <v/>
      </c>
      <c r="J201" s="17">
        <f>IF($A201="","",IFERROR(SUMIF(tblAnahtarB[NormB],$A201,tblHakedis[DesiKargo]),0))</f>
        <v/>
      </c>
      <c r="K201" s="17">
        <f>IF($A201="","",ROUND($F201+$G201+$H201+$I201+$J201,2))</f>
        <v/>
      </c>
      <c r="L201" s="17">
        <f>IF($A201="","",ROUND($B201-$C201,2))</f>
        <v/>
      </c>
      <c r="M201" s="17">
        <f>IF($A201="","",ROUND($B201-$C201-$K201,2))</f>
        <v/>
      </c>
      <c r="N201" s="17">
        <f>IF(OR($A201="",$B201=0),0,$M201/$B201)</f>
        <v/>
      </c>
      <c r="O201" s="17">
        <f>IF($A201="","",IF((1-$E201)&lt;=0,0,IF($D201=0,0,ROUND(($C201+$G201+$H201+$I201+$J201)/$D201/(1-$E201),2))))</f>
        <v/>
      </c>
      <c r="P201" s="17">
        <f>IF($A201="","",IFERROR(SUMIF(tblAnahtarA[Norm],$A201,tblGirdi[HedefNet]),0))</f>
        <v/>
      </c>
      <c r="Q201" s="17">
        <f>IF($A201="","",ROUND($M201-$P201,2))</f>
        <v/>
      </c>
      <c r="R201" s="17">
        <f>IF($A201="","",ROUND($B201-$K201,2))</f>
        <v/>
      </c>
      <c r="S201" s="17">
        <f>IF($A201="","",IF($N201&lt;0,"ÇEKİL",IF($N201&lt;tyk_esikMarjDusuk,"ZAM","SAT")))</f>
        <v/>
      </c>
      <c r="T201" s="17">
        <f>IF($A201="","",$L201-$F201)</f>
        <v/>
      </c>
      <c r="U201" s="17">
        <f>IF($A201="","",$M201-$Q201)</f>
        <v/>
      </c>
      <c r="V201" s="17">
        <f>IF($A201="","",$R201-$M201)</f>
        <v/>
      </c>
    </row>
    <row r="202">
      <c r="A202" s="17">
        <f>IF('ANAHTAR'!$B202="","",'ANAHTAR'!$B202)</f>
        <v/>
      </c>
      <c r="B202" s="17">
        <f>IF($A202="","",IFERROR(SUMIF(tblAnahtarA[Norm],$A202,tblGirdi[ToplamSatis]),0))</f>
        <v/>
      </c>
      <c r="C202" s="17">
        <f>IF($A202="","",IFERROR(SUMIF(tblAnahtarA[Norm],$A202,tblGirdi[Maliyet])*IFERROR(SUMIF(tblAnahtarA[Norm],$A202,tblGirdi[Miktar]),1),0))</f>
        <v/>
      </c>
      <c r="D202" s="17">
        <f>IF($A202="","",IFERROR(SUMIF(tblAnahtarA[Norm],$A202,tblGirdi[Miktar]),0))</f>
        <v/>
      </c>
      <c r="E202" s="17">
        <f>IF($A202="","",IFERROR(SUMIF(tblAnahtarA[Norm],$A202,tblGirdi[KomisyonOran]),0))</f>
        <v/>
      </c>
      <c r="F202" s="17">
        <f>IF($A202="","",ROUND($B202*$E202,2))</f>
        <v/>
      </c>
      <c r="G202" s="17">
        <f>IF($A202="","",IFERROR(SUMIF(tblAnahtarB[NormB],$A202,tblHakedis[TyPlus]),0))</f>
        <v/>
      </c>
      <c r="H202" s="17">
        <f>IF($A202="","",IFERROR(SUMIF(tblAnahtarB[NormB],$A202,tblHakedis[FlasKesinti]),0))</f>
        <v/>
      </c>
      <c r="I202" s="17">
        <f>IF($A202="","",IFERROR(SUMIF(tblAnahtarB[NormB],$A202,tblHakedis[UrunReklam]),0))</f>
        <v/>
      </c>
      <c r="J202" s="17">
        <f>IF($A202="","",IFERROR(SUMIF(tblAnahtarB[NormB],$A202,tblHakedis[DesiKargo]),0))</f>
        <v/>
      </c>
      <c r="K202" s="17">
        <f>IF($A202="","",ROUND($F202+$G202+$H202+$I202+$J202,2))</f>
        <v/>
      </c>
      <c r="L202" s="17">
        <f>IF($A202="","",ROUND($B202-$C202,2))</f>
        <v/>
      </c>
      <c r="M202" s="17">
        <f>IF($A202="","",ROUND($B202-$C202-$K202,2))</f>
        <v/>
      </c>
      <c r="N202" s="17">
        <f>IF(OR($A202="",$B202=0),0,$M202/$B202)</f>
        <v/>
      </c>
      <c r="O202" s="17">
        <f>IF($A202="","",IF((1-$E202)&lt;=0,0,IF($D202=0,0,ROUND(($C202+$G202+$H202+$I202+$J202)/$D202/(1-$E202),2))))</f>
        <v/>
      </c>
      <c r="P202" s="17">
        <f>IF($A202="","",IFERROR(SUMIF(tblAnahtarA[Norm],$A202,tblGirdi[HedefNet]),0))</f>
        <v/>
      </c>
      <c r="Q202" s="17">
        <f>IF($A202="","",ROUND($M202-$P202,2))</f>
        <v/>
      </c>
      <c r="R202" s="17">
        <f>IF($A202="","",ROUND($B202-$K202,2))</f>
        <v/>
      </c>
      <c r="S202" s="17">
        <f>IF($A202="","",IF($N202&lt;0,"ÇEKİL",IF($N202&lt;tyk_esikMarjDusuk,"ZAM","SAT")))</f>
        <v/>
      </c>
      <c r="T202" s="17">
        <f>IF($A202="","",$L202-$F202)</f>
        <v/>
      </c>
      <c r="U202" s="17">
        <f>IF($A202="","",$M202-$Q202)</f>
        <v/>
      </c>
      <c r="V202" s="17">
        <f>IF($A202="","",$R202-$M202)</f>
        <v/>
      </c>
    </row>
    <row r="203">
      <c r="A203" s="17">
        <f>IF('ANAHTAR'!$B203="","",'ANAHTAR'!$B203)</f>
        <v/>
      </c>
      <c r="B203" s="17">
        <f>IF($A203="","",IFERROR(SUMIF(tblAnahtarA[Norm],$A203,tblGirdi[ToplamSatis]),0))</f>
        <v/>
      </c>
      <c r="C203" s="17">
        <f>IF($A203="","",IFERROR(SUMIF(tblAnahtarA[Norm],$A203,tblGirdi[Maliyet])*IFERROR(SUMIF(tblAnahtarA[Norm],$A203,tblGirdi[Miktar]),1),0))</f>
        <v/>
      </c>
      <c r="D203" s="17">
        <f>IF($A203="","",IFERROR(SUMIF(tblAnahtarA[Norm],$A203,tblGirdi[Miktar]),0))</f>
        <v/>
      </c>
      <c r="E203" s="17">
        <f>IF($A203="","",IFERROR(SUMIF(tblAnahtarA[Norm],$A203,tblGirdi[KomisyonOran]),0))</f>
        <v/>
      </c>
      <c r="F203" s="17">
        <f>IF($A203="","",ROUND($B203*$E203,2))</f>
        <v/>
      </c>
      <c r="G203" s="17">
        <f>IF($A203="","",IFERROR(SUMIF(tblAnahtarB[NormB],$A203,tblHakedis[TyPlus]),0))</f>
        <v/>
      </c>
      <c r="H203" s="17">
        <f>IF($A203="","",IFERROR(SUMIF(tblAnahtarB[NormB],$A203,tblHakedis[FlasKesinti]),0))</f>
        <v/>
      </c>
      <c r="I203" s="17">
        <f>IF($A203="","",IFERROR(SUMIF(tblAnahtarB[NormB],$A203,tblHakedis[UrunReklam]),0))</f>
        <v/>
      </c>
      <c r="J203" s="17">
        <f>IF($A203="","",IFERROR(SUMIF(tblAnahtarB[NormB],$A203,tblHakedis[DesiKargo]),0))</f>
        <v/>
      </c>
      <c r="K203" s="17">
        <f>IF($A203="","",ROUND($F203+$G203+$H203+$I203+$J203,2))</f>
        <v/>
      </c>
      <c r="L203" s="17">
        <f>IF($A203="","",ROUND($B203-$C203,2))</f>
        <v/>
      </c>
      <c r="M203" s="17">
        <f>IF($A203="","",ROUND($B203-$C203-$K203,2))</f>
        <v/>
      </c>
      <c r="N203" s="17">
        <f>IF(OR($A203="",$B203=0),0,$M203/$B203)</f>
        <v/>
      </c>
      <c r="O203" s="17">
        <f>IF($A203="","",IF((1-$E203)&lt;=0,0,IF($D203=0,0,ROUND(($C203+$G203+$H203+$I203+$J203)/$D203/(1-$E203),2))))</f>
        <v/>
      </c>
      <c r="P203" s="17">
        <f>IF($A203="","",IFERROR(SUMIF(tblAnahtarA[Norm],$A203,tblGirdi[HedefNet]),0))</f>
        <v/>
      </c>
      <c r="Q203" s="17">
        <f>IF($A203="","",ROUND($M203-$P203,2))</f>
        <v/>
      </c>
      <c r="R203" s="17">
        <f>IF($A203="","",ROUND($B203-$K203,2))</f>
        <v/>
      </c>
      <c r="S203" s="17">
        <f>IF($A203="","",IF($N203&lt;0,"ÇEKİL",IF($N203&lt;tyk_esikMarjDusuk,"ZAM","SAT")))</f>
        <v/>
      </c>
      <c r="T203" s="17">
        <f>IF($A203="","",$L203-$F203)</f>
        <v/>
      </c>
      <c r="U203" s="17">
        <f>IF($A203="","",$M203-$Q203)</f>
        <v/>
      </c>
      <c r="V203" s="17">
        <f>IF($A203="","",$R203-$M203)</f>
        <v/>
      </c>
    </row>
    <row r="204">
      <c r="A204" s="17">
        <f>IF('ANAHTAR'!$B204="","",'ANAHTAR'!$B204)</f>
        <v/>
      </c>
      <c r="B204" s="17">
        <f>IF($A204="","",IFERROR(SUMIF(tblAnahtarA[Norm],$A204,tblGirdi[ToplamSatis]),0))</f>
        <v/>
      </c>
      <c r="C204" s="17">
        <f>IF($A204="","",IFERROR(SUMIF(tblAnahtarA[Norm],$A204,tblGirdi[Maliyet])*IFERROR(SUMIF(tblAnahtarA[Norm],$A204,tblGirdi[Miktar]),1),0))</f>
        <v/>
      </c>
      <c r="D204" s="17">
        <f>IF($A204="","",IFERROR(SUMIF(tblAnahtarA[Norm],$A204,tblGirdi[Miktar]),0))</f>
        <v/>
      </c>
      <c r="E204" s="17">
        <f>IF($A204="","",IFERROR(SUMIF(tblAnahtarA[Norm],$A204,tblGirdi[KomisyonOran]),0))</f>
        <v/>
      </c>
      <c r="F204" s="17">
        <f>IF($A204="","",ROUND($B204*$E204,2))</f>
        <v/>
      </c>
      <c r="G204" s="17">
        <f>IF($A204="","",IFERROR(SUMIF(tblAnahtarB[NormB],$A204,tblHakedis[TyPlus]),0))</f>
        <v/>
      </c>
      <c r="H204" s="17">
        <f>IF($A204="","",IFERROR(SUMIF(tblAnahtarB[NormB],$A204,tblHakedis[FlasKesinti]),0))</f>
        <v/>
      </c>
      <c r="I204" s="17">
        <f>IF($A204="","",IFERROR(SUMIF(tblAnahtarB[NormB],$A204,tblHakedis[UrunReklam]),0))</f>
        <v/>
      </c>
      <c r="J204" s="17">
        <f>IF($A204="","",IFERROR(SUMIF(tblAnahtarB[NormB],$A204,tblHakedis[DesiKargo]),0))</f>
        <v/>
      </c>
      <c r="K204" s="17">
        <f>IF($A204="","",ROUND($F204+$G204+$H204+$I204+$J204,2))</f>
        <v/>
      </c>
      <c r="L204" s="17">
        <f>IF($A204="","",ROUND($B204-$C204,2))</f>
        <v/>
      </c>
      <c r="M204" s="17">
        <f>IF($A204="","",ROUND($B204-$C204-$K204,2))</f>
        <v/>
      </c>
      <c r="N204" s="17">
        <f>IF(OR($A204="",$B204=0),0,$M204/$B204)</f>
        <v/>
      </c>
      <c r="O204" s="17">
        <f>IF($A204="","",IF((1-$E204)&lt;=0,0,IF($D204=0,0,ROUND(($C204+$G204+$H204+$I204+$J204)/$D204/(1-$E204),2))))</f>
        <v/>
      </c>
      <c r="P204" s="17">
        <f>IF($A204="","",IFERROR(SUMIF(tblAnahtarA[Norm],$A204,tblGirdi[HedefNet]),0))</f>
        <v/>
      </c>
      <c r="Q204" s="17">
        <f>IF($A204="","",ROUND($M204-$P204,2))</f>
        <v/>
      </c>
      <c r="R204" s="17">
        <f>IF($A204="","",ROUND($B204-$K204,2))</f>
        <v/>
      </c>
      <c r="S204" s="17">
        <f>IF($A204="","",IF($N204&lt;0,"ÇEKİL",IF($N204&lt;tyk_esikMarjDusuk,"ZAM","SAT")))</f>
        <v/>
      </c>
      <c r="T204" s="17">
        <f>IF($A204="","",$L204-$F204)</f>
        <v/>
      </c>
      <c r="U204" s="17">
        <f>IF($A204="","",$M204-$Q204)</f>
        <v/>
      </c>
      <c r="V204" s="17">
        <f>IF($A204="","",$R204-$M204)</f>
        <v/>
      </c>
    </row>
    <row r="205">
      <c r="A205" s="17">
        <f>IF('ANAHTAR'!$B205="","",'ANAHTAR'!$B205)</f>
        <v/>
      </c>
      <c r="B205" s="17">
        <f>IF($A205="","",IFERROR(SUMIF(tblAnahtarA[Norm],$A205,tblGirdi[ToplamSatis]),0))</f>
        <v/>
      </c>
      <c r="C205" s="17">
        <f>IF($A205="","",IFERROR(SUMIF(tblAnahtarA[Norm],$A205,tblGirdi[Maliyet])*IFERROR(SUMIF(tblAnahtarA[Norm],$A205,tblGirdi[Miktar]),1),0))</f>
        <v/>
      </c>
      <c r="D205" s="17">
        <f>IF($A205="","",IFERROR(SUMIF(tblAnahtarA[Norm],$A205,tblGirdi[Miktar]),0))</f>
        <v/>
      </c>
      <c r="E205" s="17">
        <f>IF($A205="","",IFERROR(SUMIF(tblAnahtarA[Norm],$A205,tblGirdi[KomisyonOran]),0))</f>
        <v/>
      </c>
      <c r="F205" s="17">
        <f>IF($A205="","",ROUND($B205*$E205,2))</f>
        <v/>
      </c>
      <c r="G205" s="17">
        <f>IF($A205="","",IFERROR(SUMIF(tblAnahtarB[NormB],$A205,tblHakedis[TyPlus]),0))</f>
        <v/>
      </c>
      <c r="H205" s="17">
        <f>IF($A205="","",IFERROR(SUMIF(tblAnahtarB[NormB],$A205,tblHakedis[FlasKesinti]),0))</f>
        <v/>
      </c>
      <c r="I205" s="17">
        <f>IF($A205="","",IFERROR(SUMIF(tblAnahtarB[NormB],$A205,tblHakedis[UrunReklam]),0))</f>
        <v/>
      </c>
      <c r="J205" s="17">
        <f>IF($A205="","",IFERROR(SUMIF(tblAnahtarB[NormB],$A205,tblHakedis[DesiKargo]),0))</f>
        <v/>
      </c>
      <c r="K205" s="17">
        <f>IF($A205="","",ROUND($F205+$G205+$H205+$I205+$J205,2))</f>
        <v/>
      </c>
      <c r="L205" s="17">
        <f>IF($A205="","",ROUND($B205-$C205,2))</f>
        <v/>
      </c>
      <c r="M205" s="17">
        <f>IF($A205="","",ROUND($B205-$C205-$K205,2))</f>
        <v/>
      </c>
      <c r="N205" s="17">
        <f>IF(OR($A205="",$B205=0),0,$M205/$B205)</f>
        <v/>
      </c>
      <c r="O205" s="17">
        <f>IF($A205="","",IF((1-$E205)&lt;=0,0,IF($D205=0,0,ROUND(($C205+$G205+$H205+$I205+$J205)/$D205/(1-$E205),2))))</f>
        <v/>
      </c>
      <c r="P205" s="17">
        <f>IF($A205="","",IFERROR(SUMIF(tblAnahtarA[Norm],$A205,tblGirdi[HedefNet]),0))</f>
        <v/>
      </c>
      <c r="Q205" s="17">
        <f>IF($A205="","",ROUND($M205-$P205,2))</f>
        <v/>
      </c>
      <c r="R205" s="17">
        <f>IF($A205="","",ROUND($B205-$K205,2))</f>
        <v/>
      </c>
      <c r="S205" s="17">
        <f>IF($A205="","",IF($N205&lt;0,"ÇEKİL",IF($N205&lt;tyk_esikMarjDusuk,"ZAM","SAT")))</f>
        <v/>
      </c>
      <c r="T205" s="17">
        <f>IF($A205="","",$L205-$F205)</f>
        <v/>
      </c>
      <c r="U205" s="17">
        <f>IF($A205="","",$M205-$Q205)</f>
        <v/>
      </c>
      <c r="V205" s="17">
        <f>IF($A205="","",$R205-$M205)</f>
        <v/>
      </c>
    </row>
    <row r="206">
      <c r="A206" s="17">
        <f>IF('ANAHTAR'!$B206="","",'ANAHTAR'!$B206)</f>
        <v/>
      </c>
      <c r="B206" s="17">
        <f>IF($A206="","",IFERROR(SUMIF(tblAnahtarA[Norm],$A206,tblGirdi[ToplamSatis]),0))</f>
        <v/>
      </c>
      <c r="C206" s="17">
        <f>IF($A206="","",IFERROR(SUMIF(tblAnahtarA[Norm],$A206,tblGirdi[Maliyet])*IFERROR(SUMIF(tblAnahtarA[Norm],$A206,tblGirdi[Miktar]),1),0))</f>
        <v/>
      </c>
      <c r="D206" s="17">
        <f>IF($A206="","",IFERROR(SUMIF(tblAnahtarA[Norm],$A206,tblGirdi[Miktar]),0))</f>
        <v/>
      </c>
      <c r="E206" s="17">
        <f>IF($A206="","",IFERROR(SUMIF(tblAnahtarA[Norm],$A206,tblGirdi[KomisyonOran]),0))</f>
        <v/>
      </c>
      <c r="F206" s="17">
        <f>IF($A206="","",ROUND($B206*$E206,2))</f>
        <v/>
      </c>
      <c r="G206" s="17">
        <f>IF($A206="","",IFERROR(SUMIF(tblAnahtarB[NormB],$A206,tblHakedis[TyPlus]),0))</f>
        <v/>
      </c>
      <c r="H206" s="17">
        <f>IF($A206="","",IFERROR(SUMIF(tblAnahtarB[NormB],$A206,tblHakedis[FlasKesinti]),0))</f>
        <v/>
      </c>
      <c r="I206" s="17">
        <f>IF($A206="","",IFERROR(SUMIF(tblAnahtarB[NormB],$A206,tblHakedis[UrunReklam]),0))</f>
        <v/>
      </c>
      <c r="J206" s="17">
        <f>IF($A206="","",IFERROR(SUMIF(tblAnahtarB[NormB],$A206,tblHakedis[DesiKargo]),0))</f>
        <v/>
      </c>
      <c r="K206" s="17">
        <f>IF($A206="","",ROUND($F206+$G206+$H206+$I206+$J206,2))</f>
        <v/>
      </c>
      <c r="L206" s="17">
        <f>IF($A206="","",ROUND($B206-$C206,2))</f>
        <v/>
      </c>
      <c r="M206" s="17">
        <f>IF($A206="","",ROUND($B206-$C206-$K206,2))</f>
        <v/>
      </c>
      <c r="N206" s="17">
        <f>IF(OR($A206="",$B206=0),0,$M206/$B206)</f>
        <v/>
      </c>
      <c r="O206" s="17">
        <f>IF($A206="","",IF((1-$E206)&lt;=0,0,IF($D206=0,0,ROUND(($C206+$G206+$H206+$I206+$J206)/$D206/(1-$E206),2))))</f>
        <v/>
      </c>
      <c r="P206" s="17">
        <f>IF($A206="","",IFERROR(SUMIF(tblAnahtarA[Norm],$A206,tblGirdi[HedefNet]),0))</f>
        <v/>
      </c>
      <c r="Q206" s="17">
        <f>IF($A206="","",ROUND($M206-$P206,2))</f>
        <v/>
      </c>
      <c r="R206" s="17">
        <f>IF($A206="","",ROUND($B206-$K206,2))</f>
        <v/>
      </c>
      <c r="S206" s="17">
        <f>IF($A206="","",IF($N206&lt;0,"ÇEKİL",IF($N206&lt;tyk_esikMarjDusuk,"ZAM","SAT")))</f>
        <v/>
      </c>
      <c r="T206" s="17">
        <f>IF($A206="","",$L206-$F206)</f>
        <v/>
      </c>
      <c r="U206" s="17">
        <f>IF($A206="","",$M206-$Q206)</f>
        <v/>
      </c>
      <c r="V206" s="17">
        <f>IF($A206="","",$R206-$M206)</f>
        <v/>
      </c>
    </row>
    <row r="207">
      <c r="A207" s="17">
        <f>IF('ANAHTAR'!$B207="","",'ANAHTAR'!$B207)</f>
        <v/>
      </c>
      <c r="B207" s="17">
        <f>IF($A207="","",IFERROR(SUMIF(tblAnahtarA[Norm],$A207,tblGirdi[ToplamSatis]),0))</f>
        <v/>
      </c>
      <c r="C207" s="17">
        <f>IF($A207="","",IFERROR(SUMIF(tblAnahtarA[Norm],$A207,tblGirdi[Maliyet])*IFERROR(SUMIF(tblAnahtarA[Norm],$A207,tblGirdi[Miktar]),1),0))</f>
        <v/>
      </c>
      <c r="D207" s="17">
        <f>IF($A207="","",IFERROR(SUMIF(tblAnahtarA[Norm],$A207,tblGirdi[Miktar]),0))</f>
        <v/>
      </c>
      <c r="E207" s="17">
        <f>IF($A207="","",IFERROR(SUMIF(tblAnahtarA[Norm],$A207,tblGirdi[KomisyonOran]),0))</f>
        <v/>
      </c>
      <c r="F207" s="17">
        <f>IF($A207="","",ROUND($B207*$E207,2))</f>
        <v/>
      </c>
      <c r="G207" s="17">
        <f>IF($A207="","",IFERROR(SUMIF(tblAnahtarB[NormB],$A207,tblHakedis[TyPlus]),0))</f>
        <v/>
      </c>
      <c r="H207" s="17">
        <f>IF($A207="","",IFERROR(SUMIF(tblAnahtarB[NormB],$A207,tblHakedis[FlasKesinti]),0))</f>
        <v/>
      </c>
      <c r="I207" s="17">
        <f>IF($A207="","",IFERROR(SUMIF(tblAnahtarB[NormB],$A207,tblHakedis[UrunReklam]),0))</f>
        <v/>
      </c>
      <c r="J207" s="17">
        <f>IF($A207="","",IFERROR(SUMIF(tblAnahtarB[NormB],$A207,tblHakedis[DesiKargo]),0))</f>
        <v/>
      </c>
      <c r="K207" s="17">
        <f>IF($A207="","",ROUND($F207+$G207+$H207+$I207+$J207,2))</f>
        <v/>
      </c>
      <c r="L207" s="17">
        <f>IF($A207="","",ROUND($B207-$C207,2))</f>
        <v/>
      </c>
      <c r="M207" s="17">
        <f>IF($A207="","",ROUND($B207-$C207-$K207,2))</f>
        <v/>
      </c>
      <c r="N207" s="17">
        <f>IF(OR($A207="",$B207=0),0,$M207/$B207)</f>
        <v/>
      </c>
      <c r="O207" s="17">
        <f>IF($A207="","",IF((1-$E207)&lt;=0,0,IF($D207=0,0,ROUND(($C207+$G207+$H207+$I207+$J207)/$D207/(1-$E207),2))))</f>
        <v/>
      </c>
      <c r="P207" s="17">
        <f>IF($A207="","",IFERROR(SUMIF(tblAnahtarA[Norm],$A207,tblGirdi[HedefNet]),0))</f>
        <v/>
      </c>
      <c r="Q207" s="17">
        <f>IF($A207="","",ROUND($M207-$P207,2))</f>
        <v/>
      </c>
      <c r="R207" s="17">
        <f>IF($A207="","",ROUND($B207-$K207,2))</f>
        <v/>
      </c>
      <c r="S207" s="17">
        <f>IF($A207="","",IF($N207&lt;0,"ÇEKİL",IF($N207&lt;tyk_esikMarjDusuk,"ZAM","SAT")))</f>
        <v/>
      </c>
      <c r="T207" s="17">
        <f>IF($A207="","",$L207-$F207)</f>
        <v/>
      </c>
      <c r="U207" s="17">
        <f>IF($A207="","",$M207-$Q207)</f>
        <v/>
      </c>
      <c r="V207" s="17">
        <f>IF($A207="","",$R207-$M207)</f>
        <v/>
      </c>
    </row>
    <row r="208">
      <c r="A208" s="17">
        <f>IF('ANAHTAR'!$B208="","",'ANAHTAR'!$B208)</f>
        <v/>
      </c>
      <c r="B208" s="17">
        <f>IF($A208="","",IFERROR(SUMIF(tblAnahtarA[Norm],$A208,tblGirdi[ToplamSatis]),0))</f>
        <v/>
      </c>
      <c r="C208" s="17">
        <f>IF($A208="","",IFERROR(SUMIF(tblAnahtarA[Norm],$A208,tblGirdi[Maliyet])*IFERROR(SUMIF(tblAnahtarA[Norm],$A208,tblGirdi[Miktar]),1),0))</f>
        <v/>
      </c>
      <c r="D208" s="17">
        <f>IF($A208="","",IFERROR(SUMIF(tblAnahtarA[Norm],$A208,tblGirdi[Miktar]),0))</f>
        <v/>
      </c>
      <c r="E208" s="17">
        <f>IF($A208="","",IFERROR(SUMIF(tblAnahtarA[Norm],$A208,tblGirdi[KomisyonOran]),0))</f>
        <v/>
      </c>
      <c r="F208" s="17">
        <f>IF($A208="","",ROUND($B208*$E208,2))</f>
        <v/>
      </c>
      <c r="G208" s="17">
        <f>IF($A208="","",IFERROR(SUMIF(tblAnahtarB[NormB],$A208,tblHakedis[TyPlus]),0))</f>
        <v/>
      </c>
      <c r="H208" s="17">
        <f>IF($A208="","",IFERROR(SUMIF(tblAnahtarB[NormB],$A208,tblHakedis[FlasKesinti]),0))</f>
        <v/>
      </c>
      <c r="I208" s="17">
        <f>IF($A208="","",IFERROR(SUMIF(tblAnahtarB[NormB],$A208,tblHakedis[UrunReklam]),0))</f>
        <v/>
      </c>
      <c r="J208" s="17">
        <f>IF($A208="","",IFERROR(SUMIF(tblAnahtarB[NormB],$A208,tblHakedis[DesiKargo]),0))</f>
        <v/>
      </c>
      <c r="K208" s="17">
        <f>IF($A208="","",ROUND($F208+$G208+$H208+$I208+$J208,2))</f>
        <v/>
      </c>
      <c r="L208" s="17">
        <f>IF($A208="","",ROUND($B208-$C208,2))</f>
        <v/>
      </c>
      <c r="M208" s="17">
        <f>IF($A208="","",ROUND($B208-$C208-$K208,2))</f>
        <v/>
      </c>
      <c r="N208" s="17">
        <f>IF(OR($A208="",$B208=0),0,$M208/$B208)</f>
        <v/>
      </c>
      <c r="O208" s="17">
        <f>IF($A208="","",IF((1-$E208)&lt;=0,0,IF($D208=0,0,ROUND(($C208+$G208+$H208+$I208+$J208)/$D208/(1-$E208),2))))</f>
        <v/>
      </c>
      <c r="P208" s="17">
        <f>IF($A208="","",IFERROR(SUMIF(tblAnahtarA[Norm],$A208,tblGirdi[HedefNet]),0))</f>
        <v/>
      </c>
      <c r="Q208" s="17">
        <f>IF($A208="","",ROUND($M208-$P208,2))</f>
        <v/>
      </c>
      <c r="R208" s="17">
        <f>IF($A208="","",ROUND($B208-$K208,2))</f>
        <v/>
      </c>
      <c r="S208" s="17">
        <f>IF($A208="","",IF($N208&lt;0,"ÇEKİL",IF($N208&lt;tyk_esikMarjDusuk,"ZAM","SAT")))</f>
        <v/>
      </c>
      <c r="T208" s="17">
        <f>IF($A208="","",$L208-$F208)</f>
        <v/>
      </c>
      <c r="U208" s="17">
        <f>IF($A208="","",$M208-$Q208)</f>
        <v/>
      </c>
      <c r="V208" s="17">
        <f>IF($A208="","",$R208-$M208)</f>
        <v/>
      </c>
    </row>
    <row r="209">
      <c r="A209" s="17">
        <f>IF('ANAHTAR'!$B209="","",'ANAHTAR'!$B209)</f>
        <v/>
      </c>
      <c r="B209" s="17">
        <f>IF($A209="","",IFERROR(SUMIF(tblAnahtarA[Norm],$A209,tblGirdi[ToplamSatis]),0))</f>
        <v/>
      </c>
      <c r="C209" s="17">
        <f>IF($A209="","",IFERROR(SUMIF(tblAnahtarA[Norm],$A209,tblGirdi[Maliyet])*IFERROR(SUMIF(tblAnahtarA[Norm],$A209,tblGirdi[Miktar]),1),0))</f>
        <v/>
      </c>
      <c r="D209" s="17">
        <f>IF($A209="","",IFERROR(SUMIF(tblAnahtarA[Norm],$A209,tblGirdi[Miktar]),0))</f>
        <v/>
      </c>
      <c r="E209" s="17">
        <f>IF($A209="","",IFERROR(SUMIF(tblAnahtarA[Norm],$A209,tblGirdi[KomisyonOran]),0))</f>
        <v/>
      </c>
      <c r="F209" s="17">
        <f>IF($A209="","",ROUND($B209*$E209,2))</f>
        <v/>
      </c>
      <c r="G209" s="17">
        <f>IF($A209="","",IFERROR(SUMIF(tblAnahtarB[NormB],$A209,tblHakedis[TyPlus]),0))</f>
        <v/>
      </c>
      <c r="H209" s="17">
        <f>IF($A209="","",IFERROR(SUMIF(tblAnahtarB[NormB],$A209,tblHakedis[FlasKesinti]),0))</f>
        <v/>
      </c>
      <c r="I209" s="17">
        <f>IF($A209="","",IFERROR(SUMIF(tblAnahtarB[NormB],$A209,tblHakedis[UrunReklam]),0))</f>
        <v/>
      </c>
      <c r="J209" s="17">
        <f>IF($A209="","",IFERROR(SUMIF(tblAnahtarB[NormB],$A209,tblHakedis[DesiKargo]),0))</f>
        <v/>
      </c>
      <c r="K209" s="17">
        <f>IF($A209="","",ROUND($F209+$G209+$H209+$I209+$J209,2))</f>
        <v/>
      </c>
      <c r="L209" s="17">
        <f>IF($A209="","",ROUND($B209-$C209,2))</f>
        <v/>
      </c>
      <c r="M209" s="17">
        <f>IF($A209="","",ROUND($B209-$C209-$K209,2))</f>
        <v/>
      </c>
      <c r="N209" s="17">
        <f>IF(OR($A209="",$B209=0),0,$M209/$B209)</f>
        <v/>
      </c>
      <c r="O209" s="17">
        <f>IF($A209="","",IF((1-$E209)&lt;=0,0,IF($D209=0,0,ROUND(($C209+$G209+$H209+$I209+$J209)/$D209/(1-$E209),2))))</f>
        <v/>
      </c>
      <c r="P209" s="17">
        <f>IF($A209="","",IFERROR(SUMIF(tblAnahtarA[Norm],$A209,tblGirdi[HedefNet]),0))</f>
        <v/>
      </c>
      <c r="Q209" s="17">
        <f>IF($A209="","",ROUND($M209-$P209,2))</f>
        <v/>
      </c>
      <c r="R209" s="17">
        <f>IF($A209="","",ROUND($B209-$K209,2))</f>
        <v/>
      </c>
      <c r="S209" s="17">
        <f>IF($A209="","",IF($N209&lt;0,"ÇEKİL",IF($N209&lt;tyk_esikMarjDusuk,"ZAM","SAT")))</f>
        <v/>
      </c>
      <c r="T209" s="17">
        <f>IF($A209="","",$L209-$F209)</f>
        <v/>
      </c>
      <c r="U209" s="17">
        <f>IF($A209="","",$M209-$Q209)</f>
        <v/>
      </c>
      <c r="V209" s="17">
        <f>IF($A209="","",$R209-$M209)</f>
        <v/>
      </c>
    </row>
    <row r="210">
      <c r="A210" s="17">
        <f>IF('ANAHTAR'!$B210="","",'ANAHTAR'!$B210)</f>
        <v/>
      </c>
      <c r="B210" s="17">
        <f>IF($A210="","",IFERROR(SUMIF(tblAnahtarA[Norm],$A210,tblGirdi[ToplamSatis]),0))</f>
        <v/>
      </c>
      <c r="C210" s="17">
        <f>IF($A210="","",IFERROR(SUMIF(tblAnahtarA[Norm],$A210,tblGirdi[Maliyet])*IFERROR(SUMIF(tblAnahtarA[Norm],$A210,tblGirdi[Miktar]),1),0))</f>
        <v/>
      </c>
      <c r="D210" s="17">
        <f>IF($A210="","",IFERROR(SUMIF(tblAnahtarA[Norm],$A210,tblGirdi[Miktar]),0))</f>
        <v/>
      </c>
      <c r="E210" s="17">
        <f>IF($A210="","",IFERROR(SUMIF(tblAnahtarA[Norm],$A210,tblGirdi[KomisyonOran]),0))</f>
        <v/>
      </c>
      <c r="F210" s="17">
        <f>IF($A210="","",ROUND($B210*$E210,2))</f>
        <v/>
      </c>
      <c r="G210" s="17">
        <f>IF($A210="","",IFERROR(SUMIF(tblAnahtarB[NormB],$A210,tblHakedis[TyPlus]),0))</f>
        <v/>
      </c>
      <c r="H210" s="17">
        <f>IF($A210="","",IFERROR(SUMIF(tblAnahtarB[NormB],$A210,tblHakedis[FlasKesinti]),0))</f>
        <v/>
      </c>
      <c r="I210" s="17">
        <f>IF($A210="","",IFERROR(SUMIF(tblAnahtarB[NormB],$A210,tblHakedis[UrunReklam]),0))</f>
        <v/>
      </c>
      <c r="J210" s="17">
        <f>IF($A210="","",IFERROR(SUMIF(tblAnahtarB[NormB],$A210,tblHakedis[DesiKargo]),0))</f>
        <v/>
      </c>
      <c r="K210" s="17">
        <f>IF($A210="","",ROUND($F210+$G210+$H210+$I210+$J210,2))</f>
        <v/>
      </c>
      <c r="L210" s="17">
        <f>IF($A210="","",ROUND($B210-$C210,2))</f>
        <v/>
      </c>
      <c r="M210" s="17">
        <f>IF($A210="","",ROUND($B210-$C210-$K210,2))</f>
        <v/>
      </c>
      <c r="N210" s="17">
        <f>IF(OR($A210="",$B210=0),0,$M210/$B210)</f>
        <v/>
      </c>
      <c r="O210" s="17">
        <f>IF($A210="","",IF((1-$E210)&lt;=0,0,IF($D210=0,0,ROUND(($C210+$G210+$H210+$I210+$J210)/$D210/(1-$E210),2))))</f>
        <v/>
      </c>
      <c r="P210" s="17">
        <f>IF($A210="","",IFERROR(SUMIF(tblAnahtarA[Norm],$A210,tblGirdi[HedefNet]),0))</f>
        <v/>
      </c>
      <c r="Q210" s="17">
        <f>IF($A210="","",ROUND($M210-$P210,2))</f>
        <v/>
      </c>
      <c r="R210" s="17">
        <f>IF($A210="","",ROUND($B210-$K210,2))</f>
        <v/>
      </c>
      <c r="S210" s="17">
        <f>IF($A210="","",IF($N210&lt;0,"ÇEKİL",IF($N210&lt;tyk_esikMarjDusuk,"ZAM","SAT")))</f>
        <v/>
      </c>
      <c r="T210" s="17">
        <f>IF($A210="","",$L210-$F210)</f>
        <v/>
      </c>
      <c r="U210" s="17">
        <f>IF($A210="","",$M210-$Q210)</f>
        <v/>
      </c>
      <c r="V210" s="17">
        <f>IF($A210="","",$R210-$M210)</f>
        <v/>
      </c>
    </row>
    <row r="211">
      <c r="A211" s="17">
        <f>IF('ANAHTAR'!$B211="","",'ANAHTAR'!$B211)</f>
        <v/>
      </c>
      <c r="B211" s="17">
        <f>IF($A211="","",IFERROR(SUMIF(tblAnahtarA[Norm],$A211,tblGirdi[ToplamSatis]),0))</f>
        <v/>
      </c>
      <c r="C211" s="17">
        <f>IF($A211="","",IFERROR(SUMIF(tblAnahtarA[Norm],$A211,tblGirdi[Maliyet])*IFERROR(SUMIF(tblAnahtarA[Norm],$A211,tblGirdi[Miktar]),1),0))</f>
        <v/>
      </c>
      <c r="D211" s="17">
        <f>IF($A211="","",IFERROR(SUMIF(tblAnahtarA[Norm],$A211,tblGirdi[Miktar]),0))</f>
        <v/>
      </c>
      <c r="E211" s="17">
        <f>IF($A211="","",IFERROR(SUMIF(tblAnahtarA[Norm],$A211,tblGirdi[KomisyonOran]),0))</f>
        <v/>
      </c>
      <c r="F211" s="17">
        <f>IF($A211="","",ROUND($B211*$E211,2))</f>
        <v/>
      </c>
      <c r="G211" s="17">
        <f>IF($A211="","",IFERROR(SUMIF(tblAnahtarB[NormB],$A211,tblHakedis[TyPlus]),0))</f>
        <v/>
      </c>
      <c r="H211" s="17">
        <f>IF($A211="","",IFERROR(SUMIF(tblAnahtarB[NormB],$A211,tblHakedis[FlasKesinti]),0))</f>
        <v/>
      </c>
      <c r="I211" s="17">
        <f>IF($A211="","",IFERROR(SUMIF(tblAnahtarB[NormB],$A211,tblHakedis[UrunReklam]),0))</f>
        <v/>
      </c>
      <c r="J211" s="17">
        <f>IF($A211="","",IFERROR(SUMIF(tblAnahtarB[NormB],$A211,tblHakedis[DesiKargo]),0))</f>
        <v/>
      </c>
      <c r="K211" s="17">
        <f>IF($A211="","",ROUND($F211+$G211+$H211+$I211+$J211,2))</f>
        <v/>
      </c>
      <c r="L211" s="17">
        <f>IF($A211="","",ROUND($B211-$C211,2))</f>
        <v/>
      </c>
      <c r="M211" s="17">
        <f>IF($A211="","",ROUND($B211-$C211-$K211,2))</f>
        <v/>
      </c>
      <c r="N211" s="17">
        <f>IF(OR($A211="",$B211=0),0,$M211/$B211)</f>
        <v/>
      </c>
      <c r="O211" s="17">
        <f>IF($A211="","",IF((1-$E211)&lt;=0,0,IF($D211=0,0,ROUND(($C211+$G211+$H211+$I211+$J211)/$D211/(1-$E211),2))))</f>
        <v/>
      </c>
      <c r="P211" s="17">
        <f>IF($A211="","",IFERROR(SUMIF(tblAnahtarA[Norm],$A211,tblGirdi[HedefNet]),0))</f>
        <v/>
      </c>
      <c r="Q211" s="17">
        <f>IF($A211="","",ROUND($M211-$P211,2))</f>
        <v/>
      </c>
      <c r="R211" s="17">
        <f>IF($A211="","",ROUND($B211-$K211,2))</f>
        <v/>
      </c>
      <c r="S211" s="17">
        <f>IF($A211="","",IF($N211&lt;0,"ÇEKİL",IF($N211&lt;tyk_esikMarjDusuk,"ZAM","SAT")))</f>
        <v/>
      </c>
      <c r="T211" s="17">
        <f>IF($A211="","",$L211-$F211)</f>
        <v/>
      </c>
      <c r="U211" s="17">
        <f>IF($A211="","",$M211-$Q211)</f>
        <v/>
      </c>
      <c r="V211" s="17">
        <f>IF($A211="","",$R211-$M211)</f>
        <v/>
      </c>
    </row>
    <row r="212">
      <c r="A212" s="17">
        <f>IF('ANAHTAR'!$B212="","",'ANAHTAR'!$B212)</f>
        <v/>
      </c>
      <c r="B212" s="17">
        <f>IF($A212="","",IFERROR(SUMIF(tblAnahtarA[Norm],$A212,tblGirdi[ToplamSatis]),0))</f>
        <v/>
      </c>
      <c r="C212" s="17">
        <f>IF($A212="","",IFERROR(SUMIF(tblAnahtarA[Norm],$A212,tblGirdi[Maliyet])*IFERROR(SUMIF(tblAnahtarA[Norm],$A212,tblGirdi[Miktar]),1),0))</f>
        <v/>
      </c>
      <c r="D212" s="17">
        <f>IF($A212="","",IFERROR(SUMIF(tblAnahtarA[Norm],$A212,tblGirdi[Miktar]),0))</f>
        <v/>
      </c>
      <c r="E212" s="17">
        <f>IF($A212="","",IFERROR(SUMIF(tblAnahtarA[Norm],$A212,tblGirdi[KomisyonOran]),0))</f>
        <v/>
      </c>
      <c r="F212" s="17">
        <f>IF($A212="","",ROUND($B212*$E212,2))</f>
        <v/>
      </c>
      <c r="G212" s="17">
        <f>IF($A212="","",IFERROR(SUMIF(tblAnahtarB[NormB],$A212,tblHakedis[TyPlus]),0))</f>
        <v/>
      </c>
      <c r="H212" s="17">
        <f>IF($A212="","",IFERROR(SUMIF(tblAnahtarB[NormB],$A212,tblHakedis[FlasKesinti]),0))</f>
        <v/>
      </c>
      <c r="I212" s="17">
        <f>IF($A212="","",IFERROR(SUMIF(tblAnahtarB[NormB],$A212,tblHakedis[UrunReklam]),0))</f>
        <v/>
      </c>
      <c r="J212" s="17">
        <f>IF($A212="","",IFERROR(SUMIF(tblAnahtarB[NormB],$A212,tblHakedis[DesiKargo]),0))</f>
        <v/>
      </c>
      <c r="K212" s="17">
        <f>IF($A212="","",ROUND($F212+$G212+$H212+$I212+$J212,2))</f>
        <v/>
      </c>
      <c r="L212" s="17">
        <f>IF($A212="","",ROUND($B212-$C212,2))</f>
        <v/>
      </c>
      <c r="M212" s="17">
        <f>IF($A212="","",ROUND($B212-$C212-$K212,2))</f>
        <v/>
      </c>
      <c r="N212" s="17">
        <f>IF(OR($A212="",$B212=0),0,$M212/$B212)</f>
        <v/>
      </c>
      <c r="O212" s="17">
        <f>IF($A212="","",IF((1-$E212)&lt;=0,0,IF($D212=0,0,ROUND(($C212+$G212+$H212+$I212+$J212)/$D212/(1-$E212),2))))</f>
        <v/>
      </c>
      <c r="P212" s="17">
        <f>IF($A212="","",IFERROR(SUMIF(tblAnahtarA[Norm],$A212,tblGirdi[HedefNet]),0))</f>
        <v/>
      </c>
      <c r="Q212" s="17">
        <f>IF($A212="","",ROUND($M212-$P212,2))</f>
        <v/>
      </c>
      <c r="R212" s="17">
        <f>IF($A212="","",ROUND($B212-$K212,2))</f>
        <v/>
      </c>
      <c r="S212" s="17">
        <f>IF($A212="","",IF($N212&lt;0,"ÇEKİL",IF($N212&lt;tyk_esikMarjDusuk,"ZAM","SAT")))</f>
        <v/>
      </c>
      <c r="T212" s="17">
        <f>IF($A212="","",$L212-$F212)</f>
        <v/>
      </c>
      <c r="U212" s="17">
        <f>IF($A212="","",$M212-$Q212)</f>
        <v/>
      </c>
      <c r="V212" s="17">
        <f>IF($A212="","",$R212-$M212)</f>
        <v/>
      </c>
    </row>
    <row r="213">
      <c r="A213" s="17">
        <f>IF('ANAHTAR'!$B213="","",'ANAHTAR'!$B213)</f>
        <v/>
      </c>
      <c r="B213" s="17">
        <f>IF($A213="","",IFERROR(SUMIF(tblAnahtarA[Norm],$A213,tblGirdi[ToplamSatis]),0))</f>
        <v/>
      </c>
      <c r="C213" s="17">
        <f>IF($A213="","",IFERROR(SUMIF(tblAnahtarA[Norm],$A213,tblGirdi[Maliyet])*IFERROR(SUMIF(tblAnahtarA[Norm],$A213,tblGirdi[Miktar]),1),0))</f>
        <v/>
      </c>
      <c r="D213" s="17">
        <f>IF($A213="","",IFERROR(SUMIF(tblAnahtarA[Norm],$A213,tblGirdi[Miktar]),0))</f>
        <v/>
      </c>
      <c r="E213" s="17">
        <f>IF($A213="","",IFERROR(SUMIF(tblAnahtarA[Norm],$A213,tblGirdi[KomisyonOran]),0))</f>
        <v/>
      </c>
      <c r="F213" s="17">
        <f>IF($A213="","",ROUND($B213*$E213,2))</f>
        <v/>
      </c>
      <c r="G213" s="17">
        <f>IF($A213="","",IFERROR(SUMIF(tblAnahtarB[NormB],$A213,tblHakedis[TyPlus]),0))</f>
        <v/>
      </c>
      <c r="H213" s="17">
        <f>IF($A213="","",IFERROR(SUMIF(tblAnahtarB[NormB],$A213,tblHakedis[FlasKesinti]),0))</f>
        <v/>
      </c>
      <c r="I213" s="17">
        <f>IF($A213="","",IFERROR(SUMIF(tblAnahtarB[NormB],$A213,tblHakedis[UrunReklam]),0))</f>
        <v/>
      </c>
      <c r="J213" s="17">
        <f>IF($A213="","",IFERROR(SUMIF(tblAnahtarB[NormB],$A213,tblHakedis[DesiKargo]),0))</f>
        <v/>
      </c>
      <c r="K213" s="17">
        <f>IF($A213="","",ROUND($F213+$G213+$H213+$I213+$J213,2))</f>
        <v/>
      </c>
      <c r="L213" s="17">
        <f>IF($A213="","",ROUND($B213-$C213,2))</f>
        <v/>
      </c>
      <c r="M213" s="17">
        <f>IF($A213="","",ROUND($B213-$C213-$K213,2))</f>
        <v/>
      </c>
      <c r="N213" s="17">
        <f>IF(OR($A213="",$B213=0),0,$M213/$B213)</f>
        <v/>
      </c>
      <c r="O213" s="17">
        <f>IF($A213="","",IF((1-$E213)&lt;=0,0,IF($D213=0,0,ROUND(($C213+$G213+$H213+$I213+$J213)/$D213/(1-$E213),2))))</f>
        <v/>
      </c>
      <c r="P213" s="17">
        <f>IF($A213="","",IFERROR(SUMIF(tblAnahtarA[Norm],$A213,tblGirdi[HedefNet]),0))</f>
        <v/>
      </c>
      <c r="Q213" s="17">
        <f>IF($A213="","",ROUND($M213-$P213,2))</f>
        <v/>
      </c>
      <c r="R213" s="17">
        <f>IF($A213="","",ROUND($B213-$K213,2))</f>
        <v/>
      </c>
      <c r="S213" s="17">
        <f>IF($A213="","",IF($N213&lt;0,"ÇEKİL",IF($N213&lt;tyk_esikMarjDusuk,"ZAM","SAT")))</f>
        <v/>
      </c>
      <c r="T213" s="17">
        <f>IF($A213="","",$L213-$F213)</f>
        <v/>
      </c>
      <c r="U213" s="17">
        <f>IF($A213="","",$M213-$Q213)</f>
        <v/>
      </c>
      <c r="V213" s="17">
        <f>IF($A213="","",$R213-$M213)</f>
        <v/>
      </c>
    </row>
    <row r="214">
      <c r="A214" s="17">
        <f>IF('ANAHTAR'!$B214="","",'ANAHTAR'!$B214)</f>
        <v/>
      </c>
      <c r="B214" s="17">
        <f>IF($A214="","",IFERROR(SUMIF(tblAnahtarA[Norm],$A214,tblGirdi[ToplamSatis]),0))</f>
        <v/>
      </c>
      <c r="C214" s="17">
        <f>IF($A214="","",IFERROR(SUMIF(tblAnahtarA[Norm],$A214,tblGirdi[Maliyet])*IFERROR(SUMIF(tblAnahtarA[Norm],$A214,tblGirdi[Miktar]),1),0))</f>
        <v/>
      </c>
      <c r="D214" s="17">
        <f>IF($A214="","",IFERROR(SUMIF(tblAnahtarA[Norm],$A214,tblGirdi[Miktar]),0))</f>
        <v/>
      </c>
      <c r="E214" s="17">
        <f>IF($A214="","",IFERROR(SUMIF(tblAnahtarA[Norm],$A214,tblGirdi[KomisyonOran]),0))</f>
        <v/>
      </c>
      <c r="F214" s="17">
        <f>IF($A214="","",ROUND($B214*$E214,2))</f>
        <v/>
      </c>
      <c r="G214" s="17">
        <f>IF($A214="","",IFERROR(SUMIF(tblAnahtarB[NormB],$A214,tblHakedis[TyPlus]),0))</f>
        <v/>
      </c>
      <c r="H214" s="17">
        <f>IF($A214="","",IFERROR(SUMIF(tblAnahtarB[NormB],$A214,tblHakedis[FlasKesinti]),0))</f>
        <v/>
      </c>
      <c r="I214" s="17">
        <f>IF($A214="","",IFERROR(SUMIF(tblAnahtarB[NormB],$A214,tblHakedis[UrunReklam]),0))</f>
        <v/>
      </c>
      <c r="J214" s="17">
        <f>IF($A214="","",IFERROR(SUMIF(tblAnahtarB[NormB],$A214,tblHakedis[DesiKargo]),0))</f>
        <v/>
      </c>
      <c r="K214" s="17">
        <f>IF($A214="","",ROUND($F214+$G214+$H214+$I214+$J214,2))</f>
        <v/>
      </c>
      <c r="L214" s="17">
        <f>IF($A214="","",ROUND($B214-$C214,2))</f>
        <v/>
      </c>
      <c r="M214" s="17">
        <f>IF($A214="","",ROUND($B214-$C214-$K214,2))</f>
        <v/>
      </c>
      <c r="N214" s="17">
        <f>IF(OR($A214="",$B214=0),0,$M214/$B214)</f>
        <v/>
      </c>
      <c r="O214" s="17">
        <f>IF($A214="","",IF((1-$E214)&lt;=0,0,IF($D214=0,0,ROUND(($C214+$G214+$H214+$I214+$J214)/$D214/(1-$E214),2))))</f>
        <v/>
      </c>
      <c r="P214" s="17">
        <f>IF($A214="","",IFERROR(SUMIF(tblAnahtarA[Norm],$A214,tblGirdi[HedefNet]),0))</f>
        <v/>
      </c>
      <c r="Q214" s="17">
        <f>IF($A214="","",ROUND($M214-$P214,2))</f>
        <v/>
      </c>
      <c r="R214" s="17">
        <f>IF($A214="","",ROUND($B214-$K214,2))</f>
        <v/>
      </c>
      <c r="S214" s="17">
        <f>IF($A214="","",IF($N214&lt;0,"ÇEKİL",IF($N214&lt;tyk_esikMarjDusuk,"ZAM","SAT")))</f>
        <v/>
      </c>
      <c r="T214" s="17">
        <f>IF($A214="","",$L214-$F214)</f>
        <v/>
      </c>
      <c r="U214" s="17">
        <f>IF($A214="","",$M214-$Q214)</f>
        <v/>
      </c>
      <c r="V214" s="17">
        <f>IF($A214="","",$R214-$M214)</f>
        <v/>
      </c>
    </row>
    <row r="215">
      <c r="A215" s="17">
        <f>IF('ANAHTAR'!$B215="","",'ANAHTAR'!$B215)</f>
        <v/>
      </c>
      <c r="B215" s="17">
        <f>IF($A215="","",IFERROR(SUMIF(tblAnahtarA[Norm],$A215,tblGirdi[ToplamSatis]),0))</f>
        <v/>
      </c>
      <c r="C215" s="17">
        <f>IF($A215="","",IFERROR(SUMIF(tblAnahtarA[Norm],$A215,tblGirdi[Maliyet])*IFERROR(SUMIF(tblAnahtarA[Norm],$A215,tblGirdi[Miktar]),1),0))</f>
        <v/>
      </c>
      <c r="D215" s="17">
        <f>IF($A215="","",IFERROR(SUMIF(tblAnahtarA[Norm],$A215,tblGirdi[Miktar]),0))</f>
        <v/>
      </c>
      <c r="E215" s="17">
        <f>IF($A215="","",IFERROR(SUMIF(tblAnahtarA[Norm],$A215,tblGirdi[KomisyonOran]),0))</f>
        <v/>
      </c>
      <c r="F215" s="17">
        <f>IF($A215="","",ROUND($B215*$E215,2))</f>
        <v/>
      </c>
      <c r="G215" s="17">
        <f>IF($A215="","",IFERROR(SUMIF(tblAnahtarB[NormB],$A215,tblHakedis[TyPlus]),0))</f>
        <v/>
      </c>
      <c r="H215" s="17">
        <f>IF($A215="","",IFERROR(SUMIF(tblAnahtarB[NormB],$A215,tblHakedis[FlasKesinti]),0))</f>
        <v/>
      </c>
      <c r="I215" s="17">
        <f>IF($A215="","",IFERROR(SUMIF(tblAnahtarB[NormB],$A215,tblHakedis[UrunReklam]),0))</f>
        <v/>
      </c>
      <c r="J215" s="17">
        <f>IF($A215="","",IFERROR(SUMIF(tblAnahtarB[NormB],$A215,tblHakedis[DesiKargo]),0))</f>
        <v/>
      </c>
      <c r="K215" s="17">
        <f>IF($A215="","",ROUND($F215+$G215+$H215+$I215+$J215,2))</f>
        <v/>
      </c>
      <c r="L215" s="17">
        <f>IF($A215="","",ROUND($B215-$C215,2))</f>
        <v/>
      </c>
      <c r="M215" s="17">
        <f>IF($A215="","",ROUND($B215-$C215-$K215,2))</f>
        <v/>
      </c>
      <c r="N215" s="17">
        <f>IF(OR($A215="",$B215=0),0,$M215/$B215)</f>
        <v/>
      </c>
      <c r="O215" s="17">
        <f>IF($A215="","",IF((1-$E215)&lt;=0,0,IF($D215=0,0,ROUND(($C215+$G215+$H215+$I215+$J215)/$D215/(1-$E215),2))))</f>
        <v/>
      </c>
      <c r="P215" s="17">
        <f>IF($A215="","",IFERROR(SUMIF(tblAnahtarA[Norm],$A215,tblGirdi[HedefNet]),0))</f>
        <v/>
      </c>
      <c r="Q215" s="17">
        <f>IF($A215="","",ROUND($M215-$P215,2))</f>
        <v/>
      </c>
      <c r="R215" s="17">
        <f>IF($A215="","",ROUND($B215-$K215,2))</f>
        <v/>
      </c>
      <c r="S215" s="17">
        <f>IF($A215="","",IF($N215&lt;0,"ÇEKİL",IF($N215&lt;tyk_esikMarjDusuk,"ZAM","SAT")))</f>
        <v/>
      </c>
      <c r="T215" s="17">
        <f>IF($A215="","",$L215-$F215)</f>
        <v/>
      </c>
      <c r="U215" s="17">
        <f>IF($A215="","",$M215-$Q215)</f>
        <v/>
      </c>
      <c r="V215" s="17">
        <f>IF($A215="","",$R215-$M215)</f>
        <v/>
      </c>
    </row>
    <row r="216">
      <c r="A216" s="17">
        <f>IF('ANAHTAR'!$B216="","",'ANAHTAR'!$B216)</f>
        <v/>
      </c>
      <c r="B216" s="17">
        <f>IF($A216="","",IFERROR(SUMIF(tblAnahtarA[Norm],$A216,tblGirdi[ToplamSatis]),0))</f>
        <v/>
      </c>
      <c r="C216" s="17">
        <f>IF($A216="","",IFERROR(SUMIF(tblAnahtarA[Norm],$A216,tblGirdi[Maliyet])*IFERROR(SUMIF(tblAnahtarA[Norm],$A216,tblGirdi[Miktar]),1),0))</f>
        <v/>
      </c>
      <c r="D216" s="17">
        <f>IF($A216="","",IFERROR(SUMIF(tblAnahtarA[Norm],$A216,tblGirdi[Miktar]),0))</f>
        <v/>
      </c>
      <c r="E216" s="17">
        <f>IF($A216="","",IFERROR(SUMIF(tblAnahtarA[Norm],$A216,tblGirdi[KomisyonOran]),0))</f>
        <v/>
      </c>
      <c r="F216" s="17">
        <f>IF($A216="","",ROUND($B216*$E216,2))</f>
        <v/>
      </c>
      <c r="G216" s="17">
        <f>IF($A216="","",IFERROR(SUMIF(tblAnahtarB[NormB],$A216,tblHakedis[TyPlus]),0))</f>
        <v/>
      </c>
      <c r="H216" s="17">
        <f>IF($A216="","",IFERROR(SUMIF(tblAnahtarB[NormB],$A216,tblHakedis[FlasKesinti]),0))</f>
        <v/>
      </c>
      <c r="I216" s="17">
        <f>IF($A216="","",IFERROR(SUMIF(tblAnahtarB[NormB],$A216,tblHakedis[UrunReklam]),0))</f>
        <v/>
      </c>
      <c r="J216" s="17">
        <f>IF($A216="","",IFERROR(SUMIF(tblAnahtarB[NormB],$A216,tblHakedis[DesiKargo]),0))</f>
        <v/>
      </c>
      <c r="K216" s="17">
        <f>IF($A216="","",ROUND($F216+$G216+$H216+$I216+$J216,2))</f>
        <v/>
      </c>
      <c r="L216" s="17">
        <f>IF($A216="","",ROUND($B216-$C216,2))</f>
        <v/>
      </c>
      <c r="M216" s="17">
        <f>IF($A216="","",ROUND($B216-$C216-$K216,2))</f>
        <v/>
      </c>
      <c r="N216" s="17">
        <f>IF(OR($A216="",$B216=0),0,$M216/$B216)</f>
        <v/>
      </c>
      <c r="O216" s="17">
        <f>IF($A216="","",IF((1-$E216)&lt;=0,0,IF($D216=0,0,ROUND(($C216+$G216+$H216+$I216+$J216)/$D216/(1-$E216),2))))</f>
        <v/>
      </c>
      <c r="P216" s="17">
        <f>IF($A216="","",IFERROR(SUMIF(tblAnahtarA[Norm],$A216,tblGirdi[HedefNet]),0))</f>
        <v/>
      </c>
      <c r="Q216" s="17">
        <f>IF($A216="","",ROUND($M216-$P216,2))</f>
        <v/>
      </c>
      <c r="R216" s="17">
        <f>IF($A216="","",ROUND($B216-$K216,2))</f>
        <v/>
      </c>
      <c r="S216" s="17">
        <f>IF($A216="","",IF($N216&lt;0,"ÇEKİL",IF($N216&lt;tyk_esikMarjDusuk,"ZAM","SAT")))</f>
        <v/>
      </c>
      <c r="T216" s="17">
        <f>IF($A216="","",$L216-$F216)</f>
        <v/>
      </c>
      <c r="U216" s="17">
        <f>IF($A216="","",$M216-$Q216)</f>
        <v/>
      </c>
      <c r="V216" s="17">
        <f>IF($A216="","",$R216-$M216)</f>
        <v/>
      </c>
    </row>
    <row r="217">
      <c r="A217" s="17">
        <f>IF('ANAHTAR'!$B217="","",'ANAHTAR'!$B217)</f>
        <v/>
      </c>
      <c r="B217" s="17">
        <f>IF($A217="","",IFERROR(SUMIF(tblAnahtarA[Norm],$A217,tblGirdi[ToplamSatis]),0))</f>
        <v/>
      </c>
      <c r="C217" s="17">
        <f>IF($A217="","",IFERROR(SUMIF(tblAnahtarA[Norm],$A217,tblGirdi[Maliyet])*IFERROR(SUMIF(tblAnahtarA[Norm],$A217,tblGirdi[Miktar]),1),0))</f>
        <v/>
      </c>
      <c r="D217" s="17">
        <f>IF($A217="","",IFERROR(SUMIF(tblAnahtarA[Norm],$A217,tblGirdi[Miktar]),0))</f>
        <v/>
      </c>
      <c r="E217" s="17">
        <f>IF($A217="","",IFERROR(SUMIF(tblAnahtarA[Norm],$A217,tblGirdi[KomisyonOran]),0))</f>
        <v/>
      </c>
      <c r="F217" s="17">
        <f>IF($A217="","",ROUND($B217*$E217,2))</f>
        <v/>
      </c>
      <c r="G217" s="17">
        <f>IF($A217="","",IFERROR(SUMIF(tblAnahtarB[NormB],$A217,tblHakedis[TyPlus]),0))</f>
        <v/>
      </c>
      <c r="H217" s="17">
        <f>IF($A217="","",IFERROR(SUMIF(tblAnahtarB[NormB],$A217,tblHakedis[FlasKesinti]),0))</f>
        <v/>
      </c>
      <c r="I217" s="17">
        <f>IF($A217="","",IFERROR(SUMIF(tblAnahtarB[NormB],$A217,tblHakedis[UrunReklam]),0))</f>
        <v/>
      </c>
      <c r="J217" s="17">
        <f>IF($A217="","",IFERROR(SUMIF(tblAnahtarB[NormB],$A217,tblHakedis[DesiKargo]),0))</f>
        <v/>
      </c>
      <c r="K217" s="17">
        <f>IF($A217="","",ROUND($F217+$G217+$H217+$I217+$J217,2))</f>
        <v/>
      </c>
      <c r="L217" s="17">
        <f>IF($A217="","",ROUND($B217-$C217,2))</f>
        <v/>
      </c>
      <c r="M217" s="17">
        <f>IF($A217="","",ROUND($B217-$C217-$K217,2))</f>
        <v/>
      </c>
      <c r="N217" s="17">
        <f>IF(OR($A217="",$B217=0),0,$M217/$B217)</f>
        <v/>
      </c>
      <c r="O217" s="17">
        <f>IF($A217="","",IF((1-$E217)&lt;=0,0,IF($D217=0,0,ROUND(($C217+$G217+$H217+$I217+$J217)/$D217/(1-$E217),2))))</f>
        <v/>
      </c>
      <c r="P217" s="17">
        <f>IF($A217="","",IFERROR(SUMIF(tblAnahtarA[Norm],$A217,tblGirdi[HedefNet]),0))</f>
        <v/>
      </c>
      <c r="Q217" s="17">
        <f>IF($A217="","",ROUND($M217-$P217,2))</f>
        <v/>
      </c>
      <c r="R217" s="17">
        <f>IF($A217="","",ROUND($B217-$K217,2))</f>
        <v/>
      </c>
      <c r="S217" s="17">
        <f>IF($A217="","",IF($N217&lt;0,"ÇEKİL",IF($N217&lt;tyk_esikMarjDusuk,"ZAM","SAT")))</f>
        <v/>
      </c>
      <c r="T217" s="17">
        <f>IF($A217="","",$L217-$F217)</f>
        <v/>
      </c>
      <c r="U217" s="17">
        <f>IF($A217="","",$M217-$Q217)</f>
        <v/>
      </c>
      <c r="V217" s="17">
        <f>IF($A217="","",$R217-$M217)</f>
        <v/>
      </c>
    </row>
    <row r="218">
      <c r="A218" s="17">
        <f>IF('ANAHTAR'!$B218="","",'ANAHTAR'!$B218)</f>
        <v/>
      </c>
      <c r="B218" s="17">
        <f>IF($A218="","",IFERROR(SUMIF(tblAnahtarA[Norm],$A218,tblGirdi[ToplamSatis]),0))</f>
        <v/>
      </c>
      <c r="C218" s="17">
        <f>IF($A218="","",IFERROR(SUMIF(tblAnahtarA[Norm],$A218,tblGirdi[Maliyet])*IFERROR(SUMIF(tblAnahtarA[Norm],$A218,tblGirdi[Miktar]),1),0))</f>
        <v/>
      </c>
      <c r="D218" s="17">
        <f>IF($A218="","",IFERROR(SUMIF(tblAnahtarA[Norm],$A218,tblGirdi[Miktar]),0))</f>
        <v/>
      </c>
      <c r="E218" s="17">
        <f>IF($A218="","",IFERROR(SUMIF(tblAnahtarA[Norm],$A218,tblGirdi[KomisyonOran]),0))</f>
        <v/>
      </c>
      <c r="F218" s="17">
        <f>IF($A218="","",ROUND($B218*$E218,2))</f>
        <v/>
      </c>
      <c r="G218" s="17">
        <f>IF($A218="","",IFERROR(SUMIF(tblAnahtarB[NormB],$A218,tblHakedis[TyPlus]),0))</f>
        <v/>
      </c>
      <c r="H218" s="17">
        <f>IF($A218="","",IFERROR(SUMIF(tblAnahtarB[NormB],$A218,tblHakedis[FlasKesinti]),0))</f>
        <v/>
      </c>
      <c r="I218" s="17">
        <f>IF($A218="","",IFERROR(SUMIF(tblAnahtarB[NormB],$A218,tblHakedis[UrunReklam]),0))</f>
        <v/>
      </c>
      <c r="J218" s="17">
        <f>IF($A218="","",IFERROR(SUMIF(tblAnahtarB[NormB],$A218,tblHakedis[DesiKargo]),0))</f>
        <v/>
      </c>
      <c r="K218" s="17">
        <f>IF($A218="","",ROUND($F218+$G218+$H218+$I218+$J218,2))</f>
        <v/>
      </c>
      <c r="L218" s="17">
        <f>IF($A218="","",ROUND($B218-$C218,2))</f>
        <v/>
      </c>
      <c r="M218" s="17">
        <f>IF($A218="","",ROUND($B218-$C218-$K218,2))</f>
        <v/>
      </c>
      <c r="N218" s="17">
        <f>IF(OR($A218="",$B218=0),0,$M218/$B218)</f>
        <v/>
      </c>
      <c r="O218" s="17">
        <f>IF($A218="","",IF((1-$E218)&lt;=0,0,IF($D218=0,0,ROUND(($C218+$G218+$H218+$I218+$J218)/$D218/(1-$E218),2))))</f>
        <v/>
      </c>
      <c r="P218" s="17">
        <f>IF($A218="","",IFERROR(SUMIF(tblAnahtarA[Norm],$A218,tblGirdi[HedefNet]),0))</f>
        <v/>
      </c>
      <c r="Q218" s="17">
        <f>IF($A218="","",ROUND($M218-$P218,2))</f>
        <v/>
      </c>
      <c r="R218" s="17">
        <f>IF($A218="","",ROUND($B218-$K218,2))</f>
        <v/>
      </c>
      <c r="S218" s="17">
        <f>IF($A218="","",IF($N218&lt;0,"ÇEKİL",IF($N218&lt;tyk_esikMarjDusuk,"ZAM","SAT")))</f>
        <v/>
      </c>
      <c r="T218" s="17">
        <f>IF($A218="","",$L218-$F218)</f>
        <v/>
      </c>
      <c r="U218" s="17">
        <f>IF($A218="","",$M218-$Q218)</f>
        <v/>
      </c>
      <c r="V218" s="17">
        <f>IF($A218="","",$R218-$M218)</f>
        <v/>
      </c>
    </row>
    <row r="219">
      <c r="A219" s="17">
        <f>IF('ANAHTAR'!$B219="","",'ANAHTAR'!$B219)</f>
        <v/>
      </c>
      <c r="B219" s="17">
        <f>IF($A219="","",IFERROR(SUMIF(tblAnahtarA[Norm],$A219,tblGirdi[ToplamSatis]),0))</f>
        <v/>
      </c>
      <c r="C219" s="17">
        <f>IF($A219="","",IFERROR(SUMIF(tblAnahtarA[Norm],$A219,tblGirdi[Maliyet])*IFERROR(SUMIF(tblAnahtarA[Norm],$A219,tblGirdi[Miktar]),1),0))</f>
        <v/>
      </c>
      <c r="D219" s="17">
        <f>IF($A219="","",IFERROR(SUMIF(tblAnahtarA[Norm],$A219,tblGirdi[Miktar]),0))</f>
        <v/>
      </c>
      <c r="E219" s="17">
        <f>IF($A219="","",IFERROR(SUMIF(tblAnahtarA[Norm],$A219,tblGirdi[KomisyonOran]),0))</f>
        <v/>
      </c>
      <c r="F219" s="17">
        <f>IF($A219="","",ROUND($B219*$E219,2))</f>
        <v/>
      </c>
      <c r="G219" s="17">
        <f>IF($A219="","",IFERROR(SUMIF(tblAnahtarB[NormB],$A219,tblHakedis[TyPlus]),0))</f>
        <v/>
      </c>
      <c r="H219" s="17">
        <f>IF($A219="","",IFERROR(SUMIF(tblAnahtarB[NormB],$A219,tblHakedis[FlasKesinti]),0))</f>
        <v/>
      </c>
      <c r="I219" s="17">
        <f>IF($A219="","",IFERROR(SUMIF(tblAnahtarB[NormB],$A219,tblHakedis[UrunReklam]),0))</f>
        <v/>
      </c>
      <c r="J219" s="17">
        <f>IF($A219="","",IFERROR(SUMIF(tblAnahtarB[NormB],$A219,tblHakedis[DesiKargo]),0))</f>
        <v/>
      </c>
      <c r="K219" s="17">
        <f>IF($A219="","",ROUND($F219+$G219+$H219+$I219+$J219,2))</f>
        <v/>
      </c>
      <c r="L219" s="17">
        <f>IF($A219="","",ROUND($B219-$C219,2))</f>
        <v/>
      </c>
      <c r="M219" s="17">
        <f>IF($A219="","",ROUND($B219-$C219-$K219,2))</f>
        <v/>
      </c>
      <c r="N219" s="17">
        <f>IF(OR($A219="",$B219=0),0,$M219/$B219)</f>
        <v/>
      </c>
      <c r="O219" s="17">
        <f>IF($A219="","",IF((1-$E219)&lt;=0,0,IF($D219=0,0,ROUND(($C219+$G219+$H219+$I219+$J219)/$D219/(1-$E219),2))))</f>
        <v/>
      </c>
      <c r="P219" s="17">
        <f>IF($A219="","",IFERROR(SUMIF(tblAnahtarA[Norm],$A219,tblGirdi[HedefNet]),0))</f>
        <v/>
      </c>
      <c r="Q219" s="17">
        <f>IF($A219="","",ROUND($M219-$P219,2))</f>
        <v/>
      </c>
      <c r="R219" s="17">
        <f>IF($A219="","",ROUND($B219-$K219,2))</f>
        <v/>
      </c>
      <c r="S219" s="17">
        <f>IF($A219="","",IF($N219&lt;0,"ÇEKİL",IF($N219&lt;tyk_esikMarjDusuk,"ZAM","SAT")))</f>
        <v/>
      </c>
      <c r="T219" s="17">
        <f>IF($A219="","",$L219-$F219)</f>
        <v/>
      </c>
      <c r="U219" s="17">
        <f>IF($A219="","",$M219-$Q219)</f>
        <v/>
      </c>
      <c r="V219" s="17">
        <f>IF($A219="","",$R219-$M219)</f>
        <v/>
      </c>
    </row>
    <row r="220">
      <c r="A220" s="17">
        <f>IF('ANAHTAR'!$B220="","",'ANAHTAR'!$B220)</f>
        <v/>
      </c>
      <c r="B220" s="17">
        <f>IF($A220="","",IFERROR(SUMIF(tblAnahtarA[Norm],$A220,tblGirdi[ToplamSatis]),0))</f>
        <v/>
      </c>
      <c r="C220" s="17">
        <f>IF($A220="","",IFERROR(SUMIF(tblAnahtarA[Norm],$A220,tblGirdi[Maliyet])*IFERROR(SUMIF(tblAnahtarA[Norm],$A220,tblGirdi[Miktar]),1),0))</f>
        <v/>
      </c>
      <c r="D220" s="17">
        <f>IF($A220="","",IFERROR(SUMIF(tblAnahtarA[Norm],$A220,tblGirdi[Miktar]),0))</f>
        <v/>
      </c>
      <c r="E220" s="17">
        <f>IF($A220="","",IFERROR(SUMIF(tblAnahtarA[Norm],$A220,tblGirdi[KomisyonOran]),0))</f>
        <v/>
      </c>
      <c r="F220" s="17">
        <f>IF($A220="","",ROUND($B220*$E220,2))</f>
        <v/>
      </c>
      <c r="G220" s="17">
        <f>IF($A220="","",IFERROR(SUMIF(tblAnahtarB[NormB],$A220,tblHakedis[TyPlus]),0))</f>
        <v/>
      </c>
      <c r="H220" s="17">
        <f>IF($A220="","",IFERROR(SUMIF(tblAnahtarB[NormB],$A220,tblHakedis[FlasKesinti]),0))</f>
        <v/>
      </c>
      <c r="I220" s="17">
        <f>IF($A220="","",IFERROR(SUMIF(tblAnahtarB[NormB],$A220,tblHakedis[UrunReklam]),0))</f>
        <v/>
      </c>
      <c r="J220" s="17">
        <f>IF($A220="","",IFERROR(SUMIF(tblAnahtarB[NormB],$A220,tblHakedis[DesiKargo]),0))</f>
        <v/>
      </c>
      <c r="K220" s="17">
        <f>IF($A220="","",ROUND($F220+$G220+$H220+$I220+$J220,2))</f>
        <v/>
      </c>
      <c r="L220" s="17">
        <f>IF($A220="","",ROUND($B220-$C220,2))</f>
        <v/>
      </c>
      <c r="M220" s="17">
        <f>IF($A220="","",ROUND($B220-$C220-$K220,2))</f>
        <v/>
      </c>
      <c r="N220" s="17">
        <f>IF(OR($A220="",$B220=0),0,$M220/$B220)</f>
        <v/>
      </c>
      <c r="O220" s="17">
        <f>IF($A220="","",IF((1-$E220)&lt;=0,0,IF($D220=0,0,ROUND(($C220+$G220+$H220+$I220+$J220)/$D220/(1-$E220),2))))</f>
        <v/>
      </c>
      <c r="P220" s="17">
        <f>IF($A220="","",IFERROR(SUMIF(tblAnahtarA[Norm],$A220,tblGirdi[HedefNet]),0))</f>
        <v/>
      </c>
      <c r="Q220" s="17">
        <f>IF($A220="","",ROUND($M220-$P220,2))</f>
        <v/>
      </c>
      <c r="R220" s="17">
        <f>IF($A220="","",ROUND($B220-$K220,2))</f>
        <v/>
      </c>
      <c r="S220" s="17">
        <f>IF($A220="","",IF($N220&lt;0,"ÇEKİL",IF($N220&lt;tyk_esikMarjDusuk,"ZAM","SAT")))</f>
        <v/>
      </c>
      <c r="T220" s="17">
        <f>IF($A220="","",$L220-$F220)</f>
        <v/>
      </c>
      <c r="U220" s="17">
        <f>IF($A220="","",$M220-$Q220)</f>
        <v/>
      </c>
      <c r="V220" s="17">
        <f>IF($A220="","",$R220-$M220)</f>
        <v/>
      </c>
    </row>
    <row r="221">
      <c r="A221" s="17">
        <f>IF('ANAHTAR'!$B221="","",'ANAHTAR'!$B221)</f>
        <v/>
      </c>
      <c r="B221" s="17">
        <f>IF($A221="","",IFERROR(SUMIF(tblAnahtarA[Norm],$A221,tblGirdi[ToplamSatis]),0))</f>
        <v/>
      </c>
      <c r="C221" s="17">
        <f>IF($A221="","",IFERROR(SUMIF(tblAnahtarA[Norm],$A221,tblGirdi[Maliyet])*IFERROR(SUMIF(tblAnahtarA[Norm],$A221,tblGirdi[Miktar]),1),0))</f>
        <v/>
      </c>
      <c r="D221" s="17">
        <f>IF($A221="","",IFERROR(SUMIF(tblAnahtarA[Norm],$A221,tblGirdi[Miktar]),0))</f>
        <v/>
      </c>
      <c r="E221" s="17">
        <f>IF($A221="","",IFERROR(SUMIF(tblAnahtarA[Norm],$A221,tblGirdi[KomisyonOran]),0))</f>
        <v/>
      </c>
      <c r="F221" s="17">
        <f>IF($A221="","",ROUND($B221*$E221,2))</f>
        <v/>
      </c>
      <c r="G221" s="17">
        <f>IF($A221="","",IFERROR(SUMIF(tblAnahtarB[NormB],$A221,tblHakedis[TyPlus]),0))</f>
        <v/>
      </c>
      <c r="H221" s="17">
        <f>IF($A221="","",IFERROR(SUMIF(tblAnahtarB[NormB],$A221,tblHakedis[FlasKesinti]),0))</f>
        <v/>
      </c>
      <c r="I221" s="17">
        <f>IF($A221="","",IFERROR(SUMIF(tblAnahtarB[NormB],$A221,tblHakedis[UrunReklam]),0))</f>
        <v/>
      </c>
      <c r="J221" s="17">
        <f>IF($A221="","",IFERROR(SUMIF(tblAnahtarB[NormB],$A221,tblHakedis[DesiKargo]),0))</f>
        <v/>
      </c>
      <c r="K221" s="17">
        <f>IF($A221="","",ROUND($F221+$G221+$H221+$I221+$J221,2))</f>
        <v/>
      </c>
      <c r="L221" s="17">
        <f>IF($A221="","",ROUND($B221-$C221,2))</f>
        <v/>
      </c>
      <c r="M221" s="17">
        <f>IF($A221="","",ROUND($B221-$C221-$K221,2))</f>
        <v/>
      </c>
      <c r="N221" s="17">
        <f>IF(OR($A221="",$B221=0),0,$M221/$B221)</f>
        <v/>
      </c>
      <c r="O221" s="17">
        <f>IF($A221="","",IF((1-$E221)&lt;=0,0,IF($D221=0,0,ROUND(($C221+$G221+$H221+$I221+$J221)/$D221/(1-$E221),2))))</f>
        <v/>
      </c>
      <c r="P221" s="17">
        <f>IF($A221="","",IFERROR(SUMIF(tblAnahtarA[Norm],$A221,tblGirdi[HedefNet]),0))</f>
        <v/>
      </c>
      <c r="Q221" s="17">
        <f>IF($A221="","",ROUND($M221-$P221,2))</f>
        <v/>
      </c>
      <c r="R221" s="17">
        <f>IF($A221="","",ROUND($B221-$K221,2))</f>
        <v/>
      </c>
      <c r="S221" s="17">
        <f>IF($A221="","",IF($N221&lt;0,"ÇEKİL",IF($N221&lt;tyk_esikMarjDusuk,"ZAM","SAT")))</f>
        <v/>
      </c>
      <c r="T221" s="17">
        <f>IF($A221="","",$L221-$F221)</f>
        <v/>
      </c>
      <c r="U221" s="17">
        <f>IF($A221="","",$M221-$Q221)</f>
        <v/>
      </c>
      <c r="V221" s="17">
        <f>IF($A221="","",$R221-$M221)</f>
        <v/>
      </c>
    </row>
    <row r="222">
      <c r="A222" s="17">
        <f>IF('ANAHTAR'!$B222="","",'ANAHTAR'!$B222)</f>
        <v/>
      </c>
      <c r="B222" s="17">
        <f>IF($A222="","",IFERROR(SUMIF(tblAnahtarA[Norm],$A222,tblGirdi[ToplamSatis]),0))</f>
        <v/>
      </c>
      <c r="C222" s="17">
        <f>IF($A222="","",IFERROR(SUMIF(tblAnahtarA[Norm],$A222,tblGirdi[Maliyet])*IFERROR(SUMIF(tblAnahtarA[Norm],$A222,tblGirdi[Miktar]),1),0))</f>
        <v/>
      </c>
      <c r="D222" s="17">
        <f>IF($A222="","",IFERROR(SUMIF(tblAnahtarA[Norm],$A222,tblGirdi[Miktar]),0))</f>
        <v/>
      </c>
      <c r="E222" s="17">
        <f>IF($A222="","",IFERROR(SUMIF(tblAnahtarA[Norm],$A222,tblGirdi[KomisyonOran]),0))</f>
        <v/>
      </c>
      <c r="F222" s="17">
        <f>IF($A222="","",ROUND($B222*$E222,2))</f>
        <v/>
      </c>
      <c r="G222" s="17">
        <f>IF($A222="","",IFERROR(SUMIF(tblAnahtarB[NormB],$A222,tblHakedis[TyPlus]),0))</f>
        <v/>
      </c>
      <c r="H222" s="17">
        <f>IF($A222="","",IFERROR(SUMIF(tblAnahtarB[NormB],$A222,tblHakedis[FlasKesinti]),0))</f>
        <v/>
      </c>
      <c r="I222" s="17">
        <f>IF($A222="","",IFERROR(SUMIF(tblAnahtarB[NormB],$A222,tblHakedis[UrunReklam]),0))</f>
        <v/>
      </c>
      <c r="J222" s="17">
        <f>IF($A222="","",IFERROR(SUMIF(tblAnahtarB[NormB],$A222,tblHakedis[DesiKargo]),0))</f>
        <v/>
      </c>
      <c r="K222" s="17">
        <f>IF($A222="","",ROUND($F222+$G222+$H222+$I222+$J222,2))</f>
        <v/>
      </c>
      <c r="L222" s="17">
        <f>IF($A222="","",ROUND($B222-$C222,2))</f>
        <v/>
      </c>
      <c r="M222" s="17">
        <f>IF($A222="","",ROUND($B222-$C222-$K222,2))</f>
        <v/>
      </c>
      <c r="N222" s="17">
        <f>IF(OR($A222="",$B222=0),0,$M222/$B222)</f>
        <v/>
      </c>
      <c r="O222" s="17">
        <f>IF($A222="","",IF((1-$E222)&lt;=0,0,IF($D222=0,0,ROUND(($C222+$G222+$H222+$I222+$J222)/$D222/(1-$E222),2))))</f>
        <v/>
      </c>
      <c r="P222" s="17">
        <f>IF($A222="","",IFERROR(SUMIF(tblAnahtarA[Norm],$A222,tblGirdi[HedefNet]),0))</f>
        <v/>
      </c>
      <c r="Q222" s="17">
        <f>IF($A222="","",ROUND($M222-$P222,2))</f>
        <v/>
      </c>
      <c r="R222" s="17">
        <f>IF($A222="","",ROUND($B222-$K222,2))</f>
        <v/>
      </c>
      <c r="S222" s="17">
        <f>IF($A222="","",IF($N222&lt;0,"ÇEKİL",IF($N222&lt;tyk_esikMarjDusuk,"ZAM","SAT")))</f>
        <v/>
      </c>
      <c r="T222" s="17">
        <f>IF($A222="","",$L222-$F222)</f>
        <v/>
      </c>
      <c r="U222" s="17">
        <f>IF($A222="","",$M222-$Q222)</f>
        <v/>
      </c>
      <c r="V222" s="17">
        <f>IF($A222="","",$R222-$M222)</f>
        <v/>
      </c>
    </row>
    <row r="223">
      <c r="A223" s="17">
        <f>IF('ANAHTAR'!$B223="","",'ANAHTAR'!$B223)</f>
        <v/>
      </c>
      <c r="B223" s="17">
        <f>IF($A223="","",IFERROR(SUMIF(tblAnahtarA[Norm],$A223,tblGirdi[ToplamSatis]),0))</f>
        <v/>
      </c>
      <c r="C223" s="17">
        <f>IF($A223="","",IFERROR(SUMIF(tblAnahtarA[Norm],$A223,tblGirdi[Maliyet])*IFERROR(SUMIF(tblAnahtarA[Norm],$A223,tblGirdi[Miktar]),1),0))</f>
        <v/>
      </c>
      <c r="D223" s="17">
        <f>IF($A223="","",IFERROR(SUMIF(tblAnahtarA[Norm],$A223,tblGirdi[Miktar]),0))</f>
        <v/>
      </c>
      <c r="E223" s="17">
        <f>IF($A223="","",IFERROR(SUMIF(tblAnahtarA[Norm],$A223,tblGirdi[KomisyonOran]),0))</f>
        <v/>
      </c>
      <c r="F223" s="17">
        <f>IF($A223="","",ROUND($B223*$E223,2))</f>
        <v/>
      </c>
      <c r="G223" s="17">
        <f>IF($A223="","",IFERROR(SUMIF(tblAnahtarB[NormB],$A223,tblHakedis[TyPlus]),0))</f>
        <v/>
      </c>
      <c r="H223" s="17">
        <f>IF($A223="","",IFERROR(SUMIF(tblAnahtarB[NormB],$A223,tblHakedis[FlasKesinti]),0))</f>
        <v/>
      </c>
      <c r="I223" s="17">
        <f>IF($A223="","",IFERROR(SUMIF(tblAnahtarB[NormB],$A223,tblHakedis[UrunReklam]),0))</f>
        <v/>
      </c>
      <c r="J223" s="17">
        <f>IF($A223="","",IFERROR(SUMIF(tblAnahtarB[NormB],$A223,tblHakedis[DesiKargo]),0))</f>
        <v/>
      </c>
      <c r="K223" s="17">
        <f>IF($A223="","",ROUND($F223+$G223+$H223+$I223+$J223,2))</f>
        <v/>
      </c>
      <c r="L223" s="17">
        <f>IF($A223="","",ROUND($B223-$C223,2))</f>
        <v/>
      </c>
      <c r="M223" s="17">
        <f>IF($A223="","",ROUND($B223-$C223-$K223,2))</f>
        <v/>
      </c>
      <c r="N223" s="17">
        <f>IF(OR($A223="",$B223=0),0,$M223/$B223)</f>
        <v/>
      </c>
      <c r="O223" s="17">
        <f>IF($A223="","",IF((1-$E223)&lt;=0,0,IF($D223=0,0,ROUND(($C223+$G223+$H223+$I223+$J223)/$D223/(1-$E223),2))))</f>
        <v/>
      </c>
      <c r="P223" s="17">
        <f>IF($A223="","",IFERROR(SUMIF(tblAnahtarA[Norm],$A223,tblGirdi[HedefNet]),0))</f>
        <v/>
      </c>
      <c r="Q223" s="17">
        <f>IF($A223="","",ROUND($M223-$P223,2))</f>
        <v/>
      </c>
      <c r="R223" s="17">
        <f>IF($A223="","",ROUND($B223-$K223,2))</f>
        <v/>
      </c>
      <c r="S223" s="17">
        <f>IF($A223="","",IF($N223&lt;0,"ÇEKİL",IF($N223&lt;tyk_esikMarjDusuk,"ZAM","SAT")))</f>
        <v/>
      </c>
      <c r="T223" s="17">
        <f>IF($A223="","",$L223-$F223)</f>
        <v/>
      </c>
      <c r="U223" s="17">
        <f>IF($A223="","",$M223-$Q223)</f>
        <v/>
      </c>
      <c r="V223" s="17">
        <f>IF($A223="","",$R223-$M223)</f>
        <v/>
      </c>
    </row>
    <row r="224">
      <c r="A224" s="17">
        <f>IF('ANAHTAR'!$B224="","",'ANAHTAR'!$B224)</f>
        <v/>
      </c>
      <c r="B224" s="17">
        <f>IF($A224="","",IFERROR(SUMIF(tblAnahtarA[Norm],$A224,tblGirdi[ToplamSatis]),0))</f>
        <v/>
      </c>
      <c r="C224" s="17">
        <f>IF($A224="","",IFERROR(SUMIF(tblAnahtarA[Norm],$A224,tblGirdi[Maliyet])*IFERROR(SUMIF(tblAnahtarA[Norm],$A224,tblGirdi[Miktar]),1),0))</f>
        <v/>
      </c>
      <c r="D224" s="17">
        <f>IF($A224="","",IFERROR(SUMIF(tblAnahtarA[Norm],$A224,tblGirdi[Miktar]),0))</f>
        <v/>
      </c>
      <c r="E224" s="17">
        <f>IF($A224="","",IFERROR(SUMIF(tblAnahtarA[Norm],$A224,tblGirdi[KomisyonOran]),0))</f>
        <v/>
      </c>
      <c r="F224" s="17">
        <f>IF($A224="","",ROUND($B224*$E224,2))</f>
        <v/>
      </c>
      <c r="G224" s="17">
        <f>IF($A224="","",IFERROR(SUMIF(tblAnahtarB[NormB],$A224,tblHakedis[TyPlus]),0))</f>
        <v/>
      </c>
      <c r="H224" s="17">
        <f>IF($A224="","",IFERROR(SUMIF(tblAnahtarB[NormB],$A224,tblHakedis[FlasKesinti]),0))</f>
        <v/>
      </c>
      <c r="I224" s="17">
        <f>IF($A224="","",IFERROR(SUMIF(tblAnahtarB[NormB],$A224,tblHakedis[UrunReklam]),0))</f>
        <v/>
      </c>
      <c r="J224" s="17">
        <f>IF($A224="","",IFERROR(SUMIF(tblAnahtarB[NormB],$A224,tblHakedis[DesiKargo]),0))</f>
        <v/>
      </c>
      <c r="K224" s="17">
        <f>IF($A224="","",ROUND($F224+$G224+$H224+$I224+$J224,2))</f>
        <v/>
      </c>
      <c r="L224" s="17">
        <f>IF($A224="","",ROUND($B224-$C224,2))</f>
        <v/>
      </c>
      <c r="M224" s="17">
        <f>IF($A224="","",ROUND($B224-$C224-$K224,2))</f>
        <v/>
      </c>
      <c r="N224" s="17">
        <f>IF(OR($A224="",$B224=0),0,$M224/$B224)</f>
        <v/>
      </c>
      <c r="O224" s="17">
        <f>IF($A224="","",IF((1-$E224)&lt;=0,0,IF($D224=0,0,ROUND(($C224+$G224+$H224+$I224+$J224)/$D224/(1-$E224),2))))</f>
        <v/>
      </c>
      <c r="P224" s="17">
        <f>IF($A224="","",IFERROR(SUMIF(tblAnahtarA[Norm],$A224,tblGirdi[HedefNet]),0))</f>
        <v/>
      </c>
      <c r="Q224" s="17">
        <f>IF($A224="","",ROUND($M224-$P224,2))</f>
        <v/>
      </c>
      <c r="R224" s="17">
        <f>IF($A224="","",ROUND($B224-$K224,2))</f>
        <v/>
      </c>
      <c r="S224" s="17">
        <f>IF($A224="","",IF($N224&lt;0,"ÇEKİL",IF($N224&lt;tyk_esikMarjDusuk,"ZAM","SAT")))</f>
        <v/>
      </c>
      <c r="T224" s="17">
        <f>IF($A224="","",$L224-$F224)</f>
        <v/>
      </c>
      <c r="U224" s="17">
        <f>IF($A224="","",$M224-$Q224)</f>
        <v/>
      </c>
      <c r="V224" s="17">
        <f>IF($A224="","",$R224-$M224)</f>
        <v/>
      </c>
    </row>
    <row r="225">
      <c r="A225" s="17">
        <f>IF('ANAHTAR'!$B225="","",'ANAHTAR'!$B225)</f>
        <v/>
      </c>
      <c r="B225" s="17">
        <f>IF($A225="","",IFERROR(SUMIF(tblAnahtarA[Norm],$A225,tblGirdi[ToplamSatis]),0))</f>
        <v/>
      </c>
      <c r="C225" s="17">
        <f>IF($A225="","",IFERROR(SUMIF(tblAnahtarA[Norm],$A225,tblGirdi[Maliyet])*IFERROR(SUMIF(tblAnahtarA[Norm],$A225,tblGirdi[Miktar]),1),0))</f>
        <v/>
      </c>
      <c r="D225" s="17">
        <f>IF($A225="","",IFERROR(SUMIF(tblAnahtarA[Norm],$A225,tblGirdi[Miktar]),0))</f>
        <v/>
      </c>
      <c r="E225" s="17">
        <f>IF($A225="","",IFERROR(SUMIF(tblAnahtarA[Norm],$A225,tblGirdi[KomisyonOran]),0))</f>
        <v/>
      </c>
      <c r="F225" s="17">
        <f>IF($A225="","",ROUND($B225*$E225,2))</f>
        <v/>
      </c>
      <c r="G225" s="17">
        <f>IF($A225="","",IFERROR(SUMIF(tblAnahtarB[NormB],$A225,tblHakedis[TyPlus]),0))</f>
        <v/>
      </c>
      <c r="H225" s="17">
        <f>IF($A225="","",IFERROR(SUMIF(tblAnahtarB[NormB],$A225,tblHakedis[FlasKesinti]),0))</f>
        <v/>
      </c>
      <c r="I225" s="17">
        <f>IF($A225="","",IFERROR(SUMIF(tblAnahtarB[NormB],$A225,tblHakedis[UrunReklam]),0))</f>
        <v/>
      </c>
      <c r="J225" s="17">
        <f>IF($A225="","",IFERROR(SUMIF(tblAnahtarB[NormB],$A225,tblHakedis[DesiKargo]),0))</f>
        <v/>
      </c>
      <c r="K225" s="17">
        <f>IF($A225="","",ROUND($F225+$G225+$H225+$I225+$J225,2))</f>
        <v/>
      </c>
      <c r="L225" s="17">
        <f>IF($A225="","",ROUND($B225-$C225,2))</f>
        <v/>
      </c>
      <c r="M225" s="17">
        <f>IF($A225="","",ROUND($B225-$C225-$K225,2))</f>
        <v/>
      </c>
      <c r="N225" s="17">
        <f>IF(OR($A225="",$B225=0),0,$M225/$B225)</f>
        <v/>
      </c>
      <c r="O225" s="17">
        <f>IF($A225="","",IF((1-$E225)&lt;=0,0,IF($D225=0,0,ROUND(($C225+$G225+$H225+$I225+$J225)/$D225/(1-$E225),2))))</f>
        <v/>
      </c>
      <c r="P225" s="17">
        <f>IF($A225="","",IFERROR(SUMIF(tblAnahtarA[Norm],$A225,tblGirdi[HedefNet]),0))</f>
        <v/>
      </c>
      <c r="Q225" s="17">
        <f>IF($A225="","",ROUND($M225-$P225,2))</f>
        <v/>
      </c>
      <c r="R225" s="17">
        <f>IF($A225="","",ROUND($B225-$K225,2))</f>
        <v/>
      </c>
      <c r="S225" s="17">
        <f>IF($A225="","",IF($N225&lt;0,"ÇEKİL",IF($N225&lt;tyk_esikMarjDusuk,"ZAM","SAT")))</f>
        <v/>
      </c>
      <c r="T225" s="17">
        <f>IF($A225="","",$L225-$F225)</f>
        <v/>
      </c>
      <c r="U225" s="17">
        <f>IF($A225="","",$M225-$Q225)</f>
        <v/>
      </c>
      <c r="V225" s="17">
        <f>IF($A225="","",$R225-$M225)</f>
        <v/>
      </c>
    </row>
    <row r="226">
      <c r="A226" s="17">
        <f>IF('ANAHTAR'!$B226="","",'ANAHTAR'!$B226)</f>
        <v/>
      </c>
      <c r="B226" s="17">
        <f>IF($A226="","",IFERROR(SUMIF(tblAnahtarA[Norm],$A226,tblGirdi[ToplamSatis]),0))</f>
        <v/>
      </c>
      <c r="C226" s="17">
        <f>IF($A226="","",IFERROR(SUMIF(tblAnahtarA[Norm],$A226,tblGirdi[Maliyet])*IFERROR(SUMIF(tblAnahtarA[Norm],$A226,tblGirdi[Miktar]),1),0))</f>
        <v/>
      </c>
      <c r="D226" s="17">
        <f>IF($A226="","",IFERROR(SUMIF(tblAnahtarA[Norm],$A226,tblGirdi[Miktar]),0))</f>
        <v/>
      </c>
      <c r="E226" s="17">
        <f>IF($A226="","",IFERROR(SUMIF(tblAnahtarA[Norm],$A226,tblGirdi[KomisyonOran]),0))</f>
        <v/>
      </c>
      <c r="F226" s="17">
        <f>IF($A226="","",ROUND($B226*$E226,2))</f>
        <v/>
      </c>
      <c r="G226" s="17">
        <f>IF($A226="","",IFERROR(SUMIF(tblAnahtarB[NormB],$A226,tblHakedis[TyPlus]),0))</f>
        <v/>
      </c>
      <c r="H226" s="17">
        <f>IF($A226="","",IFERROR(SUMIF(tblAnahtarB[NormB],$A226,tblHakedis[FlasKesinti]),0))</f>
        <v/>
      </c>
      <c r="I226" s="17">
        <f>IF($A226="","",IFERROR(SUMIF(tblAnahtarB[NormB],$A226,tblHakedis[UrunReklam]),0))</f>
        <v/>
      </c>
      <c r="J226" s="17">
        <f>IF($A226="","",IFERROR(SUMIF(tblAnahtarB[NormB],$A226,tblHakedis[DesiKargo]),0))</f>
        <v/>
      </c>
      <c r="K226" s="17">
        <f>IF($A226="","",ROUND($F226+$G226+$H226+$I226+$J226,2))</f>
        <v/>
      </c>
      <c r="L226" s="17">
        <f>IF($A226="","",ROUND($B226-$C226,2))</f>
        <v/>
      </c>
      <c r="M226" s="17">
        <f>IF($A226="","",ROUND($B226-$C226-$K226,2))</f>
        <v/>
      </c>
      <c r="N226" s="17">
        <f>IF(OR($A226="",$B226=0),0,$M226/$B226)</f>
        <v/>
      </c>
      <c r="O226" s="17">
        <f>IF($A226="","",IF((1-$E226)&lt;=0,0,IF($D226=0,0,ROUND(($C226+$G226+$H226+$I226+$J226)/$D226/(1-$E226),2))))</f>
        <v/>
      </c>
      <c r="P226" s="17">
        <f>IF($A226="","",IFERROR(SUMIF(tblAnahtarA[Norm],$A226,tblGirdi[HedefNet]),0))</f>
        <v/>
      </c>
      <c r="Q226" s="17">
        <f>IF($A226="","",ROUND($M226-$P226,2))</f>
        <v/>
      </c>
      <c r="R226" s="17">
        <f>IF($A226="","",ROUND($B226-$K226,2))</f>
        <v/>
      </c>
      <c r="S226" s="17">
        <f>IF($A226="","",IF($N226&lt;0,"ÇEKİL",IF($N226&lt;tyk_esikMarjDusuk,"ZAM","SAT")))</f>
        <v/>
      </c>
      <c r="T226" s="17">
        <f>IF($A226="","",$L226-$F226)</f>
        <v/>
      </c>
      <c r="U226" s="17">
        <f>IF($A226="","",$M226-$Q226)</f>
        <v/>
      </c>
      <c r="V226" s="17">
        <f>IF($A226="","",$R226-$M226)</f>
        <v/>
      </c>
    </row>
    <row r="227">
      <c r="A227" s="17">
        <f>IF('ANAHTAR'!$B227="","",'ANAHTAR'!$B227)</f>
        <v/>
      </c>
      <c r="B227" s="17">
        <f>IF($A227="","",IFERROR(SUMIF(tblAnahtarA[Norm],$A227,tblGirdi[ToplamSatis]),0))</f>
        <v/>
      </c>
      <c r="C227" s="17">
        <f>IF($A227="","",IFERROR(SUMIF(tblAnahtarA[Norm],$A227,tblGirdi[Maliyet])*IFERROR(SUMIF(tblAnahtarA[Norm],$A227,tblGirdi[Miktar]),1),0))</f>
        <v/>
      </c>
      <c r="D227" s="17">
        <f>IF($A227="","",IFERROR(SUMIF(tblAnahtarA[Norm],$A227,tblGirdi[Miktar]),0))</f>
        <v/>
      </c>
      <c r="E227" s="17">
        <f>IF($A227="","",IFERROR(SUMIF(tblAnahtarA[Norm],$A227,tblGirdi[KomisyonOran]),0))</f>
        <v/>
      </c>
      <c r="F227" s="17">
        <f>IF($A227="","",ROUND($B227*$E227,2))</f>
        <v/>
      </c>
      <c r="G227" s="17">
        <f>IF($A227="","",IFERROR(SUMIF(tblAnahtarB[NormB],$A227,tblHakedis[TyPlus]),0))</f>
        <v/>
      </c>
      <c r="H227" s="17">
        <f>IF($A227="","",IFERROR(SUMIF(tblAnahtarB[NormB],$A227,tblHakedis[FlasKesinti]),0))</f>
        <v/>
      </c>
      <c r="I227" s="17">
        <f>IF($A227="","",IFERROR(SUMIF(tblAnahtarB[NormB],$A227,tblHakedis[UrunReklam]),0))</f>
        <v/>
      </c>
      <c r="J227" s="17">
        <f>IF($A227="","",IFERROR(SUMIF(tblAnahtarB[NormB],$A227,tblHakedis[DesiKargo]),0))</f>
        <v/>
      </c>
      <c r="K227" s="17">
        <f>IF($A227="","",ROUND($F227+$G227+$H227+$I227+$J227,2))</f>
        <v/>
      </c>
      <c r="L227" s="17">
        <f>IF($A227="","",ROUND($B227-$C227,2))</f>
        <v/>
      </c>
      <c r="M227" s="17">
        <f>IF($A227="","",ROUND($B227-$C227-$K227,2))</f>
        <v/>
      </c>
      <c r="N227" s="17">
        <f>IF(OR($A227="",$B227=0),0,$M227/$B227)</f>
        <v/>
      </c>
      <c r="O227" s="17">
        <f>IF($A227="","",IF((1-$E227)&lt;=0,0,IF($D227=0,0,ROUND(($C227+$G227+$H227+$I227+$J227)/$D227/(1-$E227),2))))</f>
        <v/>
      </c>
      <c r="P227" s="17">
        <f>IF($A227="","",IFERROR(SUMIF(tblAnahtarA[Norm],$A227,tblGirdi[HedefNet]),0))</f>
        <v/>
      </c>
      <c r="Q227" s="17">
        <f>IF($A227="","",ROUND($M227-$P227,2))</f>
        <v/>
      </c>
      <c r="R227" s="17">
        <f>IF($A227="","",ROUND($B227-$K227,2))</f>
        <v/>
      </c>
      <c r="S227" s="17">
        <f>IF($A227="","",IF($N227&lt;0,"ÇEKİL",IF($N227&lt;tyk_esikMarjDusuk,"ZAM","SAT")))</f>
        <v/>
      </c>
      <c r="T227" s="17">
        <f>IF($A227="","",$L227-$F227)</f>
        <v/>
      </c>
      <c r="U227" s="17">
        <f>IF($A227="","",$M227-$Q227)</f>
        <v/>
      </c>
      <c r="V227" s="17">
        <f>IF($A227="","",$R227-$M227)</f>
        <v/>
      </c>
    </row>
    <row r="228">
      <c r="A228" s="17">
        <f>IF('ANAHTAR'!$B228="","",'ANAHTAR'!$B228)</f>
        <v/>
      </c>
      <c r="B228" s="17">
        <f>IF($A228="","",IFERROR(SUMIF(tblAnahtarA[Norm],$A228,tblGirdi[ToplamSatis]),0))</f>
        <v/>
      </c>
      <c r="C228" s="17">
        <f>IF($A228="","",IFERROR(SUMIF(tblAnahtarA[Norm],$A228,tblGirdi[Maliyet])*IFERROR(SUMIF(tblAnahtarA[Norm],$A228,tblGirdi[Miktar]),1),0))</f>
        <v/>
      </c>
      <c r="D228" s="17">
        <f>IF($A228="","",IFERROR(SUMIF(tblAnahtarA[Norm],$A228,tblGirdi[Miktar]),0))</f>
        <v/>
      </c>
      <c r="E228" s="17">
        <f>IF($A228="","",IFERROR(SUMIF(tblAnahtarA[Norm],$A228,tblGirdi[KomisyonOran]),0))</f>
        <v/>
      </c>
      <c r="F228" s="17">
        <f>IF($A228="","",ROUND($B228*$E228,2))</f>
        <v/>
      </c>
      <c r="G228" s="17">
        <f>IF($A228="","",IFERROR(SUMIF(tblAnahtarB[NormB],$A228,tblHakedis[TyPlus]),0))</f>
        <v/>
      </c>
      <c r="H228" s="17">
        <f>IF($A228="","",IFERROR(SUMIF(tblAnahtarB[NormB],$A228,tblHakedis[FlasKesinti]),0))</f>
        <v/>
      </c>
      <c r="I228" s="17">
        <f>IF($A228="","",IFERROR(SUMIF(tblAnahtarB[NormB],$A228,tblHakedis[UrunReklam]),0))</f>
        <v/>
      </c>
      <c r="J228" s="17">
        <f>IF($A228="","",IFERROR(SUMIF(tblAnahtarB[NormB],$A228,tblHakedis[DesiKargo]),0))</f>
        <v/>
      </c>
      <c r="K228" s="17">
        <f>IF($A228="","",ROUND($F228+$G228+$H228+$I228+$J228,2))</f>
        <v/>
      </c>
      <c r="L228" s="17">
        <f>IF($A228="","",ROUND($B228-$C228,2))</f>
        <v/>
      </c>
      <c r="M228" s="17">
        <f>IF($A228="","",ROUND($B228-$C228-$K228,2))</f>
        <v/>
      </c>
      <c r="N228" s="17">
        <f>IF(OR($A228="",$B228=0),0,$M228/$B228)</f>
        <v/>
      </c>
      <c r="O228" s="17">
        <f>IF($A228="","",IF((1-$E228)&lt;=0,0,IF($D228=0,0,ROUND(($C228+$G228+$H228+$I228+$J228)/$D228/(1-$E228),2))))</f>
        <v/>
      </c>
      <c r="P228" s="17">
        <f>IF($A228="","",IFERROR(SUMIF(tblAnahtarA[Norm],$A228,tblGirdi[HedefNet]),0))</f>
        <v/>
      </c>
      <c r="Q228" s="17">
        <f>IF($A228="","",ROUND($M228-$P228,2))</f>
        <v/>
      </c>
      <c r="R228" s="17">
        <f>IF($A228="","",ROUND($B228-$K228,2))</f>
        <v/>
      </c>
      <c r="S228" s="17">
        <f>IF($A228="","",IF($N228&lt;0,"ÇEKİL",IF($N228&lt;tyk_esikMarjDusuk,"ZAM","SAT")))</f>
        <v/>
      </c>
      <c r="T228" s="17">
        <f>IF($A228="","",$L228-$F228)</f>
        <v/>
      </c>
      <c r="U228" s="17">
        <f>IF($A228="","",$M228-$Q228)</f>
        <v/>
      </c>
      <c r="V228" s="17">
        <f>IF($A228="","",$R228-$M228)</f>
        <v/>
      </c>
    </row>
    <row r="229">
      <c r="A229" s="17">
        <f>IF('ANAHTAR'!$B229="","",'ANAHTAR'!$B229)</f>
        <v/>
      </c>
      <c r="B229" s="17">
        <f>IF($A229="","",IFERROR(SUMIF(tblAnahtarA[Norm],$A229,tblGirdi[ToplamSatis]),0))</f>
        <v/>
      </c>
      <c r="C229" s="17">
        <f>IF($A229="","",IFERROR(SUMIF(tblAnahtarA[Norm],$A229,tblGirdi[Maliyet])*IFERROR(SUMIF(tblAnahtarA[Norm],$A229,tblGirdi[Miktar]),1),0))</f>
        <v/>
      </c>
      <c r="D229" s="17">
        <f>IF($A229="","",IFERROR(SUMIF(tblAnahtarA[Norm],$A229,tblGirdi[Miktar]),0))</f>
        <v/>
      </c>
      <c r="E229" s="17">
        <f>IF($A229="","",IFERROR(SUMIF(tblAnahtarA[Norm],$A229,tblGirdi[KomisyonOran]),0))</f>
        <v/>
      </c>
      <c r="F229" s="17">
        <f>IF($A229="","",ROUND($B229*$E229,2))</f>
        <v/>
      </c>
      <c r="G229" s="17">
        <f>IF($A229="","",IFERROR(SUMIF(tblAnahtarB[NormB],$A229,tblHakedis[TyPlus]),0))</f>
        <v/>
      </c>
      <c r="H229" s="17">
        <f>IF($A229="","",IFERROR(SUMIF(tblAnahtarB[NormB],$A229,tblHakedis[FlasKesinti]),0))</f>
        <v/>
      </c>
      <c r="I229" s="17">
        <f>IF($A229="","",IFERROR(SUMIF(tblAnahtarB[NormB],$A229,tblHakedis[UrunReklam]),0))</f>
        <v/>
      </c>
      <c r="J229" s="17">
        <f>IF($A229="","",IFERROR(SUMIF(tblAnahtarB[NormB],$A229,tblHakedis[DesiKargo]),0))</f>
        <v/>
      </c>
      <c r="K229" s="17">
        <f>IF($A229="","",ROUND($F229+$G229+$H229+$I229+$J229,2))</f>
        <v/>
      </c>
      <c r="L229" s="17">
        <f>IF($A229="","",ROUND($B229-$C229,2))</f>
        <v/>
      </c>
      <c r="M229" s="17">
        <f>IF($A229="","",ROUND($B229-$C229-$K229,2))</f>
        <v/>
      </c>
      <c r="N229" s="17">
        <f>IF(OR($A229="",$B229=0),0,$M229/$B229)</f>
        <v/>
      </c>
      <c r="O229" s="17">
        <f>IF($A229="","",IF((1-$E229)&lt;=0,0,IF($D229=0,0,ROUND(($C229+$G229+$H229+$I229+$J229)/$D229/(1-$E229),2))))</f>
        <v/>
      </c>
      <c r="P229" s="17">
        <f>IF($A229="","",IFERROR(SUMIF(tblAnahtarA[Norm],$A229,tblGirdi[HedefNet]),0))</f>
        <v/>
      </c>
      <c r="Q229" s="17">
        <f>IF($A229="","",ROUND($M229-$P229,2))</f>
        <v/>
      </c>
      <c r="R229" s="17">
        <f>IF($A229="","",ROUND($B229-$K229,2))</f>
        <v/>
      </c>
      <c r="S229" s="17">
        <f>IF($A229="","",IF($N229&lt;0,"ÇEKİL",IF($N229&lt;tyk_esikMarjDusuk,"ZAM","SAT")))</f>
        <v/>
      </c>
      <c r="T229" s="17">
        <f>IF($A229="","",$L229-$F229)</f>
        <v/>
      </c>
      <c r="U229" s="17">
        <f>IF($A229="","",$M229-$Q229)</f>
        <v/>
      </c>
      <c r="V229" s="17">
        <f>IF($A229="","",$R229-$M229)</f>
        <v/>
      </c>
    </row>
    <row r="230">
      <c r="A230" s="17">
        <f>IF('ANAHTAR'!$B230="","",'ANAHTAR'!$B230)</f>
        <v/>
      </c>
      <c r="B230" s="17">
        <f>IF($A230="","",IFERROR(SUMIF(tblAnahtarA[Norm],$A230,tblGirdi[ToplamSatis]),0))</f>
        <v/>
      </c>
      <c r="C230" s="17">
        <f>IF($A230="","",IFERROR(SUMIF(tblAnahtarA[Norm],$A230,tblGirdi[Maliyet])*IFERROR(SUMIF(tblAnahtarA[Norm],$A230,tblGirdi[Miktar]),1),0))</f>
        <v/>
      </c>
      <c r="D230" s="17">
        <f>IF($A230="","",IFERROR(SUMIF(tblAnahtarA[Norm],$A230,tblGirdi[Miktar]),0))</f>
        <v/>
      </c>
      <c r="E230" s="17">
        <f>IF($A230="","",IFERROR(SUMIF(tblAnahtarA[Norm],$A230,tblGirdi[KomisyonOran]),0))</f>
        <v/>
      </c>
      <c r="F230" s="17">
        <f>IF($A230="","",ROUND($B230*$E230,2))</f>
        <v/>
      </c>
      <c r="G230" s="17">
        <f>IF($A230="","",IFERROR(SUMIF(tblAnahtarB[NormB],$A230,tblHakedis[TyPlus]),0))</f>
        <v/>
      </c>
      <c r="H230" s="17">
        <f>IF($A230="","",IFERROR(SUMIF(tblAnahtarB[NormB],$A230,tblHakedis[FlasKesinti]),0))</f>
        <v/>
      </c>
      <c r="I230" s="17">
        <f>IF($A230="","",IFERROR(SUMIF(tblAnahtarB[NormB],$A230,tblHakedis[UrunReklam]),0))</f>
        <v/>
      </c>
      <c r="J230" s="17">
        <f>IF($A230="","",IFERROR(SUMIF(tblAnahtarB[NormB],$A230,tblHakedis[DesiKargo]),0))</f>
        <v/>
      </c>
      <c r="K230" s="17">
        <f>IF($A230="","",ROUND($F230+$G230+$H230+$I230+$J230,2))</f>
        <v/>
      </c>
      <c r="L230" s="17">
        <f>IF($A230="","",ROUND($B230-$C230,2))</f>
        <v/>
      </c>
      <c r="M230" s="17">
        <f>IF($A230="","",ROUND($B230-$C230-$K230,2))</f>
        <v/>
      </c>
      <c r="N230" s="17">
        <f>IF(OR($A230="",$B230=0),0,$M230/$B230)</f>
        <v/>
      </c>
      <c r="O230" s="17">
        <f>IF($A230="","",IF((1-$E230)&lt;=0,0,IF($D230=0,0,ROUND(($C230+$G230+$H230+$I230+$J230)/$D230/(1-$E230),2))))</f>
        <v/>
      </c>
      <c r="P230" s="17">
        <f>IF($A230="","",IFERROR(SUMIF(tblAnahtarA[Norm],$A230,tblGirdi[HedefNet]),0))</f>
        <v/>
      </c>
      <c r="Q230" s="17">
        <f>IF($A230="","",ROUND($M230-$P230,2))</f>
        <v/>
      </c>
      <c r="R230" s="17">
        <f>IF($A230="","",ROUND($B230-$K230,2))</f>
        <v/>
      </c>
      <c r="S230" s="17">
        <f>IF($A230="","",IF($N230&lt;0,"ÇEKİL",IF($N230&lt;tyk_esikMarjDusuk,"ZAM","SAT")))</f>
        <v/>
      </c>
      <c r="T230" s="17">
        <f>IF($A230="","",$L230-$F230)</f>
        <v/>
      </c>
      <c r="U230" s="17">
        <f>IF($A230="","",$M230-$Q230)</f>
        <v/>
      </c>
      <c r="V230" s="17">
        <f>IF($A230="","",$R230-$M230)</f>
        <v/>
      </c>
    </row>
    <row r="231">
      <c r="A231" s="17">
        <f>IF('ANAHTAR'!$B231="","",'ANAHTAR'!$B231)</f>
        <v/>
      </c>
      <c r="B231" s="17">
        <f>IF($A231="","",IFERROR(SUMIF(tblAnahtarA[Norm],$A231,tblGirdi[ToplamSatis]),0))</f>
        <v/>
      </c>
      <c r="C231" s="17">
        <f>IF($A231="","",IFERROR(SUMIF(tblAnahtarA[Norm],$A231,tblGirdi[Maliyet])*IFERROR(SUMIF(tblAnahtarA[Norm],$A231,tblGirdi[Miktar]),1),0))</f>
        <v/>
      </c>
      <c r="D231" s="17">
        <f>IF($A231="","",IFERROR(SUMIF(tblAnahtarA[Norm],$A231,tblGirdi[Miktar]),0))</f>
        <v/>
      </c>
      <c r="E231" s="17">
        <f>IF($A231="","",IFERROR(SUMIF(tblAnahtarA[Norm],$A231,tblGirdi[KomisyonOran]),0))</f>
        <v/>
      </c>
      <c r="F231" s="17">
        <f>IF($A231="","",ROUND($B231*$E231,2))</f>
        <v/>
      </c>
      <c r="G231" s="17">
        <f>IF($A231="","",IFERROR(SUMIF(tblAnahtarB[NormB],$A231,tblHakedis[TyPlus]),0))</f>
        <v/>
      </c>
      <c r="H231" s="17">
        <f>IF($A231="","",IFERROR(SUMIF(tblAnahtarB[NormB],$A231,tblHakedis[FlasKesinti]),0))</f>
        <v/>
      </c>
      <c r="I231" s="17">
        <f>IF($A231="","",IFERROR(SUMIF(tblAnahtarB[NormB],$A231,tblHakedis[UrunReklam]),0))</f>
        <v/>
      </c>
      <c r="J231" s="17">
        <f>IF($A231="","",IFERROR(SUMIF(tblAnahtarB[NormB],$A231,tblHakedis[DesiKargo]),0))</f>
        <v/>
      </c>
      <c r="K231" s="17">
        <f>IF($A231="","",ROUND($F231+$G231+$H231+$I231+$J231,2))</f>
        <v/>
      </c>
      <c r="L231" s="17">
        <f>IF($A231="","",ROUND($B231-$C231,2))</f>
        <v/>
      </c>
      <c r="M231" s="17">
        <f>IF($A231="","",ROUND($B231-$C231-$K231,2))</f>
        <v/>
      </c>
      <c r="N231" s="17">
        <f>IF(OR($A231="",$B231=0),0,$M231/$B231)</f>
        <v/>
      </c>
      <c r="O231" s="17">
        <f>IF($A231="","",IF((1-$E231)&lt;=0,0,IF($D231=0,0,ROUND(($C231+$G231+$H231+$I231+$J231)/$D231/(1-$E231),2))))</f>
        <v/>
      </c>
      <c r="P231" s="17">
        <f>IF($A231="","",IFERROR(SUMIF(tblAnahtarA[Norm],$A231,tblGirdi[HedefNet]),0))</f>
        <v/>
      </c>
      <c r="Q231" s="17">
        <f>IF($A231="","",ROUND($M231-$P231,2))</f>
        <v/>
      </c>
      <c r="R231" s="17">
        <f>IF($A231="","",ROUND($B231-$K231,2))</f>
        <v/>
      </c>
      <c r="S231" s="17">
        <f>IF($A231="","",IF($N231&lt;0,"ÇEKİL",IF($N231&lt;tyk_esikMarjDusuk,"ZAM","SAT")))</f>
        <v/>
      </c>
      <c r="T231" s="17">
        <f>IF($A231="","",$L231-$F231)</f>
        <v/>
      </c>
      <c r="U231" s="17">
        <f>IF($A231="","",$M231-$Q231)</f>
        <v/>
      </c>
      <c r="V231" s="17">
        <f>IF($A231="","",$R231-$M231)</f>
        <v/>
      </c>
    </row>
    <row r="232">
      <c r="A232" s="17">
        <f>IF('ANAHTAR'!$B232="","",'ANAHTAR'!$B232)</f>
        <v/>
      </c>
      <c r="B232" s="17">
        <f>IF($A232="","",IFERROR(SUMIF(tblAnahtarA[Norm],$A232,tblGirdi[ToplamSatis]),0))</f>
        <v/>
      </c>
      <c r="C232" s="17">
        <f>IF($A232="","",IFERROR(SUMIF(tblAnahtarA[Norm],$A232,tblGirdi[Maliyet])*IFERROR(SUMIF(tblAnahtarA[Norm],$A232,tblGirdi[Miktar]),1),0))</f>
        <v/>
      </c>
      <c r="D232" s="17">
        <f>IF($A232="","",IFERROR(SUMIF(tblAnahtarA[Norm],$A232,tblGirdi[Miktar]),0))</f>
        <v/>
      </c>
      <c r="E232" s="17">
        <f>IF($A232="","",IFERROR(SUMIF(tblAnahtarA[Norm],$A232,tblGirdi[KomisyonOran]),0))</f>
        <v/>
      </c>
      <c r="F232" s="17">
        <f>IF($A232="","",ROUND($B232*$E232,2))</f>
        <v/>
      </c>
      <c r="G232" s="17">
        <f>IF($A232="","",IFERROR(SUMIF(tblAnahtarB[NormB],$A232,tblHakedis[TyPlus]),0))</f>
        <v/>
      </c>
      <c r="H232" s="17">
        <f>IF($A232="","",IFERROR(SUMIF(tblAnahtarB[NormB],$A232,tblHakedis[FlasKesinti]),0))</f>
        <v/>
      </c>
      <c r="I232" s="17">
        <f>IF($A232="","",IFERROR(SUMIF(tblAnahtarB[NormB],$A232,tblHakedis[UrunReklam]),0))</f>
        <v/>
      </c>
      <c r="J232" s="17">
        <f>IF($A232="","",IFERROR(SUMIF(tblAnahtarB[NormB],$A232,tblHakedis[DesiKargo]),0))</f>
        <v/>
      </c>
      <c r="K232" s="17">
        <f>IF($A232="","",ROUND($F232+$G232+$H232+$I232+$J232,2))</f>
        <v/>
      </c>
      <c r="L232" s="17">
        <f>IF($A232="","",ROUND($B232-$C232,2))</f>
        <v/>
      </c>
      <c r="M232" s="17">
        <f>IF($A232="","",ROUND($B232-$C232-$K232,2))</f>
        <v/>
      </c>
      <c r="N232" s="17">
        <f>IF(OR($A232="",$B232=0),0,$M232/$B232)</f>
        <v/>
      </c>
      <c r="O232" s="17">
        <f>IF($A232="","",IF((1-$E232)&lt;=0,0,IF($D232=0,0,ROUND(($C232+$G232+$H232+$I232+$J232)/$D232/(1-$E232),2))))</f>
        <v/>
      </c>
      <c r="P232" s="17">
        <f>IF($A232="","",IFERROR(SUMIF(tblAnahtarA[Norm],$A232,tblGirdi[HedefNet]),0))</f>
        <v/>
      </c>
      <c r="Q232" s="17">
        <f>IF($A232="","",ROUND($M232-$P232,2))</f>
        <v/>
      </c>
      <c r="R232" s="17">
        <f>IF($A232="","",ROUND($B232-$K232,2))</f>
        <v/>
      </c>
      <c r="S232" s="17">
        <f>IF($A232="","",IF($N232&lt;0,"ÇEKİL",IF($N232&lt;tyk_esikMarjDusuk,"ZAM","SAT")))</f>
        <v/>
      </c>
      <c r="T232" s="17">
        <f>IF($A232="","",$L232-$F232)</f>
        <v/>
      </c>
      <c r="U232" s="17">
        <f>IF($A232="","",$M232-$Q232)</f>
        <v/>
      </c>
      <c r="V232" s="17">
        <f>IF($A232="","",$R232-$M232)</f>
        <v/>
      </c>
    </row>
    <row r="233">
      <c r="A233" s="17">
        <f>IF('ANAHTAR'!$B233="","",'ANAHTAR'!$B233)</f>
        <v/>
      </c>
      <c r="B233" s="17">
        <f>IF($A233="","",IFERROR(SUMIF(tblAnahtarA[Norm],$A233,tblGirdi[ToplamSatis]),0))</f>
        <v/>
      </c>
      <c r="C233" s="17">
        <f>IF($A233="","",IFERROR(SUMIF(tblAnahtarA[Norm],$A233,tblGirdi[Maliyet])*IFERROR(SUMIF(tblAnahtarA[Norm],$A233,tblGirdi[Miktar]),1),0))</f>
        <v/>
      </c>
      <c r="D233" s="17">
        <f>IF($A233="","",IFERROR(SUMIF(tblAnahtarA[Norm],$A233,tblGirdi[Miktar]),0))</f>
        <v/>
      </c>
      <c r="E233" s="17">
        <f>IF($A233="","",IFERROR(SUMIF(tblAnahtarA[Norm],$A233,tblGirdi[KomisyonOran]),0))</f>
        <v/>
      </c>
      <c r="F233" s="17">
        <f>IF($A233="","",ROUND($B233*$E233,2))</f>
        <v/>
      </c>
      <c r="G233" s="17">
        <f>IF($A233="","",IFERROR(SUMIF(tblAnahtarB[NormB],$A233,tblHakedis[TyPlus]),0))</f>
        <v/>
      </c>
      <c r="H233" s="17">
        <f>IF($A233="","",IFERROR(SUMIF(tblAnahtarB[NormB],$A233,tblHakedis[FlasKesinti]),0))</f>
        <v/>
      </c>
      <c r="I233" s="17">
        <f>IF($A233="","",IFERROR(SUMIF(tblAnahtarB[NormB],$A233,tblHakedis[UrunReklam]),0))</f>
        <v/>
      </c>
      <c r="J233" s="17">
        <f>IF($A233="","",IFERROR(SUMIF(tblAnahtarB[NormB],$A233,tblHakedis[DesiKargo]),0))</f>
        <v/>
      </c>
      <c r="K233" s="17">
        <f>IF($A233="","",ROUND($F233+$G233+$H233+$I233+$J233,2))</f>
        <v/>
      </c>
      <c r="L233" s="17">
        <f>IF($A233="","",ROUND($B233-$C233,2))</f>
        <v/>
      </c>
      <c r="M233" s="17">
        <f>IF($A233="","",ROUND($B233-$C233-$K233,2))</f>
        <v/>
      </c>
      <c r="N233" s="17">
        <f>IF(OR($A233="",$B233=0),0,$M233/$B233)</f>
        <v/>
      </c>
      <c r="O233" s="17">
        <f>IF($A233="","",IF((1-$E233)&lt;=0,0,IF($D233=0,0,ROUND(($C233+$G233+$H233+$I233+$J233)/$D233/(1-$E233),2))))</f>
        <v/>
      </c>
      <c r="P233" s="17">
        <f>IF($A233="","",IFERROR(SUMIF(tblAnahtarA[Norm],$A233,tblGirdi[HedefNet]),0))</f>
        <v/>
      </c>
      <c r="Q233" s="17">
        <f>IF($A233="","",ROUND($M233-$P233,2))</f>
        <v/>
      </c>
      <c r="R233" s="17">
        <f>IF($A233="","",ROUND($B233-$K233,2))</f>
        <v/>
      </c>
      <c r="S233" s="17">
        <f>IF($A233="","",IF($N233&lt;0,"ÇEKİL",IF($N233&lt;tyk_esikMarjDusuk,"ZAM","SAT")))</f>
        <v/>
      </c>
      <c r="T233" s="17">
        <f>IF($A233="","",$L233-$F233)</f>
        <v/>
      </c>
      <c r="U233" s="17">
        <f>IF($A233="","",$M233-$Q233)</f>
        <v/>
      </c>
      <c r="V233" s="17">
        <f>IF($A233="","",$R233-$M233)</f>
        <v/>
      </c>
    </row>
    <row r="234">
      <c r="A234" s="17">
        <f>IF('ANAHTAR'!$B234="","",'ANAHTAR'!$B234)</f>
        <v/>
      </c>
      <c r="B234" s="17">
        <f>IF($A234="","",IFERROR(SUMIF(tblAnahtarA[Norm],$A234,tblGirdi[ToplamSatis]),0))</f>
        <v/>
      </c>
      <c r="C234" s="17">
        <f>IF($A234="","",IFERROR(SUMIF(tblAnahtarA[Norm],$A234,tblGirdi[Maliyet])*IFERROR(SUMIF(tblAnahtarA[Norm],$A234,tblGirdi[Miktar]),1),0))</f>
        <v/>
      </c>
      <c r="D234" s="17">
        <f>IF($A234="","",IFERROR(SUMIF(tblAnahtarA[Norm],$A234,tblGirdi[Miktar]),0))</f>
        <v/>
      </c>
      <c r="E234" s="17">
        <f>IF($A234="","",IFERROR(SUMIF(tblAnahtarA[Norm],$A234,tblGirdi[KomisyonOran]),0))</f>
        <v/>
      </c>
      <c r="F234" s="17">
        <f>IF($A234="","",ROUND($B234*$E234,2))</f>
        <v/>
      </c>
      <c r="G234" s="17">
        <f>IF($A234="","",IFERROR(SUMIF(tblAnahtarB[NormB],$A234,tblHakedis[TyPlus]),0))</f>
        <v/>
      </c>
      <c r="H234" s="17">
        <f>IF($A234="","",IFERROR(SUMIF(tblAnahtarB[NormB],$A234,tblHakedis[FlasKesinti]),0))</f>
        <v/>
      </c>
      <c r="I234" s="17">
        <f>IF($A234="","",IFERROR(SUMIF(tblAnahtarB[NormB],$A234,tblHakedis[UrunReklam]),0))</f>
        <v/>
      </c>
      <c r="J234" s="17">
        <f>IF($A234="","",IFERROR(SUMIF(tblAnahtarB[NormB],$A234,tblHakedis[DesiKargo]),0))</f>
        <v/>
      </c>
      <c r="K234" s="17">
        <f>IF($A234="","",ROUND($F234+$G234+$H234+$I234+$J234,2))</f>
        <v/>
      </c>
      <c r="L234" s="17">
        <f>IF($A234="","",ROUND($B234-$C234,2))</f>
        <v/>
      </c>
      <c r="M234" s="17">
        <f>IF($A234="","",ROUND($B234-$C234-$K234,2))</f>
        <v/>
      </c>
      <c r="N234" s="17">
        <f>IF(OR($A234="",$B234=0),0,$M234/$B234)</f>
        <v/>
      </c>
      <c r="O234" s="17">
        <f>IF($A234="","",IF((1-$E234)&lt;=0,0,IF($D234=0,0,ROUND(($C234+$G234+$H234+$I234+$J234)/$D234/(1-$E234),2))))</f>
        <v/>
      </c>
      <c r="P234" s="17">
        <f>IF($A234="","",IFERROR(SUMIF(tblAnahtarA[Norm],$A234,tblGirdi[HedefNet]),0))</f>
        <v/>
      </c>
      <c r="Q234" s="17">
        <f>IF($A234="","",ROUND($M234-$P234,2))</f>
        <v/>
      </c>
      <c r="R234" s="17">
        <f>IF($A234="","",ROUND($B234-$K234,2))</f>
        <v/>
      </c>
      <c r="S234" s="17">
        <f>IF($A234="","",IF($N234&lt;0,"ÇEKİL",IF($N234&lt;tyk_esikMarjDusuk,"ZAM","SAT")))</f>
        <v/>
      </c>
      <c r="T234" s="17">
        <f>IF($A234="","",$L234-$F234)</f>
        <v/>
      </c>
      <c r="U234" s="17">
        <f>IF($A234="","",$M234-$Q234)</f>
        <v/>
      </c>
      <c r="V234" s="17">
        <f>IF($A234="","",$R234-$M234)</f>
        <v/>
      </c>
    </row>
    <row r="235">
      <c r="A235" s="17">
        <f>IF('ANAHTAR'!$B235="","",'ANAHTAR'!$B235)</f>
        <v/>
      </c>
      <c r="B235" s="17">
        <f>IF($A235="","",IFERROR(SUMIF(tblAnahtarA[Norm],$A235,tblGirdi[ToplamSatis]),0))</f>
        <v/>
      </c>
      <c r="C235" s="17">
        <f>IF($A235="","",IFERROR(SUMIF(tblAnahtarA[Norm],$A235,tblGirdi[Maliyet])*IFERROR(SUMIF(tblAnahtarA[Norm],$A235,tblGirdi[Miktar]),1),0))</f>
        <v/>
      </c>
      <c r="D235" s="17">
        <f>IF($A235="","",IFERROR(SUMIF(tblAnahtarA[Norm],$A235,tblGirdi[Miktar]),0))</f>
        <v/>
      </c>
      <c r="E235" s="17">
        <f>IF($A235="","",IFERROR(SUMIF(tblAnahtarA[Norm],$A235,tblGirdi[KomisyonOran]),0))</f>
        <v/>
      </c>
      <c r="F235" s="17">
        <f>IF($A235="","",ROUND($B235*$E235,2))</f>
        <v/>
      </c>
      <c r="G235" s="17">
        <f>IF($A235="","",IFERROR(SUMIF(tblAnahtarB[NormB],$A235,tblHakedis[TyPlus]),0))</f>
        <v/>
      </c>
      <c r="H235" s="17">
        <f>IF($A235="","",IFERROR(SUMIF(tblAnahtarB[NormB],$A235,tblHakedis[FlasKesinti]),0))</f>
        <v/>
      </c>
      <c r="I235" s="17">
        <f>IF($A235="","",IFERROR(SUMIF(tblAnahtarB[NormB],$A235,tblHakedis[UrunReklam]),0))</f>
        <v/>
      </c>
      <c r="J235" s="17">
        <f>IF($A235="","",IFERROR(SUMIF(tblAnahtarB[NormB],$A235,tblHakedis[DesiKargo]),0))</f>
        <v/>
      </c>
      <c r="K235" s="17">
        <f>IF($A235="","",ROUND($F235+$G235+$H235+$I235+$J235,2))</f>
        <v/>
      </c>
      <c r="L235" s="17">
        <f>IF($A235="","",ROUND($B235-$C235,2))</f>
        <v/>
      </c>
      <c r="M235" s="17">
        <f>IF($A235="","",ROUND($B235-$C235-$K235,2))</f>
        <v/>
      </c>
      <c r="N235" s="17">
        <f>IF(OR($A235="",$B235=0),0,$M235/$B235)</f>
        <v/>
      </c>
      <c r="O235" s="17">
        <f>IF($A235="","",IF((1-$E235)&lt;=0,0,IF($D235=0,0,ROUND(($C235+$G235+$H235+$I235+$J235)/$D235/(1-$E235),2))))</f>
        <v/>
      </c>
      <c r="P235" s="17">
        <f>IF($A235="","",IFERROR(SUMIF(tblAnahtarA[Norm],$A235,tblGirdi[HedefNet]),0))</f>
        <v/>
      </c>
      <c r="Q235" s="17">
        <f>IF($A235="","",ROUND($M235-$P235,2))</f>
        <v/>
      </c>
      <c r="R235" s="17">
        <f>IF($A235="","",ROUND($B235-$K235,2))</f>
        <v/>
      </c>
      <c r="S235" s="17">
        <f>IF($A235="","",IF($N235&lt;0,"ÇEKİL",IF($N235&lt;tyk_esikMarjDusuk,"ZAM","SAT")))</f>
        <v/>
      </c>
      <c r="T235" s="17">
        <f>IF($A235="","",$L235-$F235)</f>
        <v/>
      </c>
      <c r="U235" s="17">
        <f>IF($A235="","",$M235-$Q235)</f>
        <v/>
      </c>
      <c r="V235" s="17">
        <f>IF($A235="","",$R235-$M235)</f>
        <v/>
      </c>
    </row>
    <row r="236">
      <c r="A236" s="17">
        <f>IF('ANAHTAR'!$B236="","",'ANAHTAR'!$B236)</f>
        <v/>
      </c>
      <c r="B236" s="17">
        <f>IF($A236="","",IFERROR(SUMIF(tblAnahtarA[Norm],$A236,tblGirdi[ToplamSatis]),0))</f>
        <v/>
      </c>
      <c r="C236" s="17">
        <f>IF($A236="","",IFERROR(SUMIF(tblAnahtarA[Norm],$A236,tblGirdi[Maliyet])*IFERROR(SUMIF(tblAnahtarA[Norm],$A236,tblGirdi[Miktar]),1),0))</f>
        <v/>
      </c>
      <c r="D236" s="17">
        <f>IF($A236="","",IFERROR(SUMIF(tblAnahtarA[Norm],$A236,tblGirdi[Miktar]),0))</f>
        <v/>
      </c>
      <c r="E236" s="17">
        <f>IF($A236="","",IFERROR(SUMIF(tblAnahtarA[Norm],$A236,tblGirdi[KomisyonOran]),0))</f>
        <v/>
      </c>
      <c r="F236" s="17">
        <f>IF($A236="","",ROUND($B236*$E236,2))</f>
        <v/>
      </c>
      <c r="G236" s="17">
        <f>IF($A236="","",IFERROR(SUMIF(tblAnahtarB[NormB],$A236,tblHakedis[TyPlus]),0))</f>
        <v/>
      </c>
      <c r="H236" s="17">
        <f>IF($A236="","",IFERROR(SUMIF(tblAnahtarB[NormB],$A236,tblHakedis[FlasKesinti]),0))</f>
        <v/>
      </c>
      <c r="I236" s="17">
        <f>IF($A236="","",IFERROR(SUMIF(tblAnahtarB[NormB],$A236,tblHakedis[UrunReklam]),0))</f>
        <v/>
      </c>
      <c r="J236" s="17">
        <f>IF($A236="","",IFERROR(SUMIF(tblAnahtarB[NormB],$A236,tblHakedis[DesiKargo]),0))</f>
        <v/>
      </c>
      <c r="K236" s="17">
        <f>IF($A236="","",ROUND($F236+$G236+$H236+$I236+$J236,2))</f>
        <v/>
      </c>
      <c r="L236" s="17">
        <f>IF($A236="","",ROUND($B236-$C236,2))</f>
        <v/>
      </c>
      <c r="M236" s="17">
        <f>IF($A236="","",ROUND($B236-$C236-$K236,2))</f>
        <v/>
      </c>
      <c r="N236" s="17">
        <f>IF(OR($A236="",$B236=0),0,$M236/$B236)</f>
        <v/>
      </c>
      <c r="O236" s="17">
        <f>IF($A236="","",IF((1-$E236)&lt;=0,0,IF($D236=0,0,ROUND(($C236+$G236+$H236+$I236+$J236)/$D236/(1-$E236),2))))</f>
        <v/>
      </c>
      <c r="P236" s="17">
        <f>IF($A236="","",IFERROR(SUMIF(tblAnahtarA[Norm],$A236,tblGirdi[HedefNet]),0))</f>
        <v/>
      </c>
      <c r="Q236" s="17">
        <f>IF($A236="","",ROUND($M236-$P236,2))</f>
        <v/>
      </c>
      <c r="R236" s="17">
        <f>IF($A236="","",ROUND($B236-$K236,2))</f>
        <v/>
      </c>
      <c r="S236" s="17">
        <f>IF($A236="","",IF($N236&lt;0,"ÇEKİL",IF($N236&lt;tyk_esikMarjDusuk,"ZAM","SAT")))</f>
        <v/>
      </c>
      <c r="T236" s="17">
        <f>IF($A236="","",$L236-$F236)</f>
        <v/>
      </c>
      <c r="U236" s="17">
        <f>IF($A236="","",$M236-$Q236)</f>
        <v/>
      </c>
      <c r="V236" s="17">
        <f>IF($A236="","",$R236-$M236)</f>
        <v/>
      </c>
    </row>
    <row r="237">
      <c r="A237" s="17">
        <f>IF('ANAHTAR'!$B237="","",'ANAHTAR'!$B237)</f>
        <v/>
      </c>
      <c r="B237" s="17">
        <f>IF($A237="","",IFERROR(SUMIF(tblAnahtarA[Norm],$A237,tblGirdi[ToplamSatis]),0))</f>
        <v/>
      </c>
      <c r="C237" s="17">
        <f>IF($A237="","",IFERROR(SUMIF(tblAnahtarA[Norm],$A237,tblGirdi[Maliyet])*IFERROR(SUMIF(tblAnahtarA[Norm],$A237,tblGirdi[Miktar]),1),0))</f>
        <v/>
      </c>
      <c r="D237" s="17">
        <f>IF($A237="","",IFERROR(SUMIF(tblAnahtarA[Norm],$A237,tblGirdi[Miktar]),0))</f>
        <v/>
      </c>
      <c r="E237" s="17">
        <f>IF($A237="","",IFERROR(SUMIF(tblAnahtarA[Norm],$A237,tblGirdi[KomisyonOran]),0))</f>
        <v/>
      </c>
      <c r="F237" s="17">
        <f>IF($A237="","",ROUND($B237*$E237,2))</f>
        <v/>
      </c>
      <c r="G237" s="17">
        <f>IF($A237="","",IFERROR(SUMIF(tblAnahtarB[NormB],$A237,tblHakedis[TyPlus]),0))</f>
        <v/>
      </c>
      <c r="H237" s="17">
        <f>IF($A237="","",IFERROR(SUMIF(tblAnahtarB[NormB],$A237,tblHakedis[FlasKesinti]),0))</f>
        <v/>
      </c>
      <c r="I237" s="17">
        <f>IF($A237="","",IFERROR(SUMIF(tblAnahtarB[NormB],$A237,tblHakedis[UrunReklam]),0))</f>
        <v/>
      </c>
      <c r="J237" s="17">
        <f>IF($A237="","",IFERROR(SUMIF(tblAnahtarB[NormB],$A237,tblHakedis[DesiKargo]),0))</f>
        <v/>
      </c>
      <c r="K237" s="17">
        <f>IF($A237="","",ROUND($F237+$G237+$H237+$I237+$J237,2))</f>
        <v/>
      </c>
      <c r="L237" s="17">
        <f>IF($A237="","",ROUND($B237-$C237,2))</f>
        <v/>
      </c>
      <c r="M237" s="17">
        <f>IF($A237="","",ROUND($B237-$C237-$K237,2))</f>
        <v/>
      </c>
      <c r="N237" s="17">
        <f>IF(OR($A237="",$B237=0),0,$M237/$B237)</f>
        <v/>
      </c>
      <c r="O237" s="17">
        <f>IF($A237="","",IF((1-$E237)&lt;=0,0,IF($D237=0,0,ROUND(($C237+$G237+$H237+$I237+$J237)/$D237/(1-$E237),2))))</f>
        <v/>
      </c>
      <c r="P237" s="17">
        <f>IF($A237="","",IFERROR(SUMIF(tblAnahtarA[Norm],$A237,tblGirdi[HedefNet]),0))</f>
        <v/>
      </c>
      <c r="Q237" s="17">
        <f>IF($A237="","",ROUND($M237-$P237,2))</f>
        <v/>
      </c>
      <c r="R237" s="17">
        <f>IF($A237="","",ROUND($B237-$K237,2))</f>
        <v/>
      </c>
      <c r="S237" s="17">
        <f>IF($A237="","",IF($N237&lt;0,"ÇEKİL",IF($N237&lt;tyk_esikMarjDusuk,"ZAM","SAT")))</f>
        <v/>
      </c>
      <c r="T237" s="17">
        <f>IF($A237="","",$L237-$F237)</f>
        <v/>
      </c>
      <c r="U237" s="17">
        <f>IF($A237="","",$M237-$Q237)</f>
        <v/>
      </c>
      <c r="V237" s="17">
        <f>IF($A237="","",$R237-$M237)</f>
        <v/>
      </c>
    </row>
    <row r="238">
      <c r="A238" s="17">
        <f>IF('ANAHTAR'!$B238="","",'ANAHTAR'!$B238)</f>
        <v/>
      </c>
      <c r="B238" s="17">
        <f>IF($A238="","",IFERROR(SUMIF(tblAnahtarA[Norm],$A238,tblGirdi[ToplamSatis]),0))</f>
        <v/>
      </c>
      <c r="C238" s="17">
        <f>IF($A238="","",IFERROR(SUMIF(tblAnahtarA[Norm],$A238,tblGirdi[Maliyet])*IFERROR(SUMIF(tblAnahtarA[Norm],$A238,tblGirdi[Miktar]),1),0))</f>
        <v/>
      </c>
      <c r="D238" s="17">
        <f>IF($A238="","",IFERROR(SUMIF(tblAnahtarA[Norm],$A238,tblGirdi[Miktar]),0))</f>
        <v/>
      </c>
      <c r="E238" s="17">
        <f>IF($A238="","",IFERROR(SUMIF(tblAnahtarA[Norm],$A238,tblGirdi[KomisyonOran]),0))</f>
        <v/>
      </c>
      <c r="F238" s="17">
        <f>IF($A238="","",ROUND($B238*$E238,2))</f>
        <v/>
      </c>
      <c r="G238" s="17">
        <f>IF($A238="","",IFERROR(SUMIF(tblAnahtarB[NormB],$A238,tblHakedis[TyPlus]),0))</f>
        <v/>
      </c>
      <c r="H238" s="17">
        <f>IF($A238="","",IFERROR(SUMIF(tblAnahtarB[NormB],$A238,tblHakedis[FlasKesinti]),0))</f>
        <v/>
      </c>
      <c r="I238" s="17">
        <f>IF($A238="","",IFERROR(SUMIF(tblAnahtarB[NormB],$A238,tblHakedis[UrunReklam]),0))</f>
        <v/>
      </c>
      <c r="J238" s="17">
        <f>IF($A238="","",IFERROR(SUMIF(tblAnahtarB[NormB],$A238,tblHakedis[DesiKargo]),0))</f>
        <v/>
      </c>
      <c r="K238" s="17">
        <f>IF($A238="","",ROUND($F238+$G238+$H238+$I238+$J238,2))</f>
        <v/>
      </c>
      <c r="L238" s="17">
        <f>IF($A238="","",ROUND($B238-$C238,2))</f>
        <v/>
      </c>
      <c r="M238" s="17">
        <f>IF($A238="","",ROUND($B238-$C238-$K238,2))</f>
        <v/>
      </c>
      <c r="N238" s="17">
        <f>IF(OR($A238="",$B238=0),0,$M238/$B238)</f>
        <v/>
      </c>
      <c r="O238" s="17">
        <f>IF($A238="","",IF((1-$E238)&lt;=0,0,IF($D238=0,0,ROUND(($C238+$G238+$H238+$I238+$J238)/$D238/(1-$E238),2))))</f>
        <v/>
      </c>
      <c r="P238" s="17">
        <f>IF($A238="","",IFERROR(SUMIF(tblAnahtarA[Norm],$A238,tblGirdi[HedefNet]),0))</f>
        <v/>
      </c>
      <c r="Q238" s="17">
        <f>IF($A238="","",ROUND($M238-$P238,2))</f>
        <v/>
      </c>
      <c r="R238" s="17">
        <f>IF($A238="","",ROUND($B238-$K238,2))</f>
        <v/>
      </c>
      <c r="S238" s="17">
        <f>IF($A238="","",IF($N238&lt;0,"ÇEKİL",IF($N238&lt;tyk_esikMarjDusuk,"ZAM","SAT")))</f>
        <v/>
      </c>
      <c r="T238" s="17">
        <f>IF($A238="","",$L238-$F238)</f>
        <v/>
      </c>
      <c r="U238" s="17">
        <f>IF($A238="","",$M238-$Q238)</f>
        <v/>
      </c>
      <c r="V238" s="17">
        <f>IF($A238="","",$R238-$M238)</f>
        <v/>
      </c>
    </row>
    <row r="239">
      <c r="A239" s="17">
        <f>IF('ANAHTAR'!$B239="","",'ANAHTAR'!$B239)</f>
        <v/>
      </c>
      <c r="B239" s="17">
        <f>IF($A239="","",IFERROR(SUMIF(tblAnahtarA[Norm],$A239,tblGirdi[ToplamSatis]),0))</f>
        <v/>
      </c>
      <c r="C239" s="17">
        <f>IF($A239="","",IFERROR(SUMIF(tblAnahtarA[Norm],$A239,tblGirdi[Maliyet])*IFERROR(SUMIF(tblAnahtarA[Norm],$A239,tblGirdi[Miktar]),1),0))</f>
        <v/>
      </c>
      <c r="D239" s="17">
        <f>IF($A239="","",IFERROR(SUMIF(tblAnahtarA[Norm],$A239,tblGirdi[Miktar]),0))</f>
        <v/>
      </c>
      <c r="E239" s="17">
        <f>IF($A239="","",IFERROR(SUMIF(tblAnahtarA[Norm],$A239,tblGirdi[KomisyonOran]),0))</f>
        <v/>
      </c>
      <c r="F239" s="17">
        <f>IF($A239="","",ROUND($B239*$E239,2))</f>
        <v/>
      </c>
      <c r="G239" s="17">
        <f>IF($A239="","",IFERROR(SUMIF(tblAnahtarB[NormB],$A239,tblHakedis[TyPlus]),0))</f>
        <v/>
      </c>
      <c r="H239" s="17">
        <f>IF($A239="","",IFERROR(SUMIF(tblAnahtarB[NormB],$A239,tblHakedis[FlasKesinti]),0))</f>
        <v/>
      </c>
      <c r="I239" s="17">
        <f>IF($A239="","",IFERROR(SUMIF(tblAnahtarB[NormB],$A239,tblHakedis[UrunReklam]),0))</f>
        <v/>
      </c>
      <c r="J239" s="17">
        <f>IF($A239="","",IFERROR(SUMIF(tblAnahtarB[NormB],$A239,tblHakedis[DesiKargo]),0))</f>
        <v/>
      </c>
      <c r="K239" s="17">
        <f>IF($A239="","",ROUND($F239+$G239+$H239+$I239+$J239,2))</f>
        <v/>
      </c>
      <c r="L239" s="17">
        <f>IF($A239="","",ROUND($B239-$C239,2))</f>
        <v/>
      </c>
      <c r="M239" s="17">
        <f>IF($A239="","",ROUND($B239-$C239-$K239,2))</f>
        <v/>
      </c>
      <c r="N239" s="17">
        <f>IF(OR($A239="",$B239=0),0,$M239/$B239)</f>
        <v/>
      </c>
      <c r="O239" s="17">
        <f>IF($A239="","",IF((1-$E239)&lt;=0,0,IF($D239=0,0,ROUND(($C239+$G239+$H239+$I239+$J239)/$D239/(1-$E239),2))))</f>
        <v/>
      </c>
      <c r="P239" s="17">
        <f>IF($A239="","",IFERROR(SUMIF(tblAnahtarA[Norm],$A239,tblGirdi[HedefNet]),0))</f>
        <v/>
      </c>
      <c r="Q239" s="17">
        <f>IF($A239="","",ROUND($M239-$P239,2))</f>
        <v/>
      </c>
      <c r="R239" s="17">
        <f>IF($A239="","",ROUND($B239-$K239,2))</f>
        <v/>
      </c>
      <c r="S239" s="17">
        <f>IF($A239="","",IF($N239&lt;0,"ÇEKİL",IF($N239&lt;tyk_esikMarjDusuk,"ZAM","SAT")))</f>
        <v/>
      </c>
      <c r="T239" s="17">
        <f>IF($A239="","",$L239-$F239)</f>
        <v/>
      </c>
      <c r="U239" s="17">
        <f>IF($A239="","",$M239-$Q239)</f>
        <v/>
      </c>
      <c r="V239" s="17">
        <f>IF($A239="","",$R239-$M239)</f>
        <v/>
      </c>
    </row>
    <row r="240">
      <c r="A240" s="17">
        <f>IF('ANAHTAR'!$B240="","",'ANAHTAR'!$B240)</f>
        <v/>
      </c>
      <c r="B240" s="17">
        <f>IF($A240="","",IFERROR(SUMIF(tblAnahtarA[Norm],$A240,tblGirdi[ToplamSatis]),0))</f>
        <v/>
      </c>
      <c r="C240" s="17">
        <f>IF($A240="","",IFERROR(SUMIF(tblAnahtarA[Norm],$A240,tblGirdi[Maliyet])*IFERROR(SUMIF(tblAnahtarA[Norm],$A240,tblGirdi[Miktar]),1),0))</f>
        <v/>
      </c>
      <c r="D240" s="17">
        <f>IF($A240="","",IFERROR(SUMIF(tblAnahtarA[Norm],$A240,tblGirdi[Miktar]),0))</f>
        <v/>
      </c>
      <c r="E240" s="17">
        <f>IF($A240="","",IFERROR(SUMIF(tblAnahtarA[Norm],$A240,tblGirdi[KomisyonOran]),0))</f>
        <v/>
      </c>
      <c r="F240" s="17">
        <f>IF($A240="","",ROUND($B240*$E240,2))</f>
        <v/>
      </c>
      <c r="G240" s="17">
        <f>IF($A240="","",IFERROR(SUMIF(tblAnahtarB[NormB],$A240,tblHakedis[TyPlus]),0))</f>
        <v/>
      </c>
      <c r="H240" s="17">
        <f>IF($A240="","",IFERROR(SUMIF(tblAnahtarB[NormB],$A240,tblHakedis[FlasKesinti]),0))</f>
        <v/>
      </c>
      <c r="I240" s="17">
        <f>IF($A240="","",IFERROR(SUMIF(tblAnahtarB[NormB],$A240,tblHakedis[UrunReklam]),0))</f>
        <v/>
      </c>
      <c r="J240" s="17">
        <f>IF($A240="","",IFERROR(SUMIF(tblAnahtarB[NormB],$A240,tblHakedis[DesiKargo]),0))</f>
        <v/>
      </c>
      <c r="K240" s="17">
        <f>IF($A240="","",ROUND($F240+$G240+$H240+$I240+$J240,2))</f>
        <v/>
      </c>
      <c r="L240" s="17">
        <f>IF($A240="","",ROUND($B240-$C240,2))</f>
        <v/>
      </c>
      <c r="M240" s="17">
        <f>IF($A240="","",ROUND($B240-$C240-$K240,2))</f>
        <v/>
      </c>
      <c r="N240" s="17">
        <f>IF(OR($A240="",$B240=0),0,$M240/$B240)</f>
        <v/>
      </c>
      <c r="O240" s="17">
        <f>IF($A240="","",IF((1-$E240)&lt;=0,0,IF($D240=0,0,ROUND(($C240+$G240+$H240+$I240+$J240)/$D240/(1-$E240),2))))</f>
        <v/>
      </c>
      <c r="P240" s="17">
        <f>IF($A240="","",IFERROR(SUMIF(tblAnahtarA[Norm],$A240,tblGirdi[HedefNet]),0))</f>
        <v/>
      </c>
      <c r="Q240" s="17">
        <f>IF($A240="","",ROUND($M240-$P240,2))</f>
        <v/>
      </c>
      <c r="R240" s="17">
        <f>IF($A240="","",ROUND($B240-$K240,2))</f>
        <v/>
      </c>
      <c r="S240" s="17">
        <f>IF($A240="","",IF($N240&lt;0,"ÇEKİL",IF($N240&lt;tyk_esikMarjDusuk,"ZAM","SAT")))</f>
        <v/>
      </c>
      <c r="T240" s="17">
        <f>IF($A240="","",$L240-$F240)</f>
        <v/>
      </c>
      <c r="U240" s="17">
        <f>IF($A240="","",$M240-$Q240)</f>
        <v/>
      </c>
      <c r="V240" s="17">
        <f>IF($A240="","",$R240-$M240)</f>
        <v/>
      </c>
    </row>
    <row r="241">
      <c r="A241" s="17">
        <f>IF('ANAHTAR'!$B241="","",'ANAHTAR'!$B241)</f>
        <v/>
      </c>
      <c r="B241" s="17">
        <f>IF($A241="","",IFERROR(SUMIF(tblAnahtarA[Norm],$A241,tblGirdi[ToplamSatis]),0))</f>
        <v/>
      </c>
      <c r="C241" s="17">
        <f>IF($A241="","",IFERROR(SUMIF(tblAnahtarA[Norm],$A241,tblGirdi[Maliyet])*IFERROR(SUMIF(tblAnahtarA[Norm],$A241,tblGirdi[Miktar]),1),0))</f>
        <v/>
      </c>
      <c r="D241" s="17">
        <f>IF($A241="","",IFERROR(SUMIF(tblAnahtarA[Norm],$A241,tblGirdi[Miktar]),0))</f>
        <v/>
      </c>
      <c r="E241" s="17">
        <f>IF($A241="","",IFERROR(SUMIF(tblAnahtarA[Norm],$A241,tblGirdi[KomisyonOran]),0))</f>
        <v/>
      </c>
      <c r="F241" s="17">
        <f>IF($A241="","",ROUND($B241*$E241,2))</f>
        <v/>
      </c>
      <c r="G241" s="17">
        <f>IF($A241="","",IFERROR(SUMIF(tblAnahtarB[NormB],$A241,tblHakedis[TyPlus]),0))</f>
        <v/>
      </c>
      <c r="H241" s="17">
        <f>IF($A241="","",IFERROR(SUMIF(tblAnahtarB[NormB],$A241,tblHakedis[FlasKesinti]),0))</f>
        <v/>
      </c>
      <c r="I241" s="17">
        <f>IF($A241="","",IFERROR(SUMIF(tblAnahtarB[NormB],$A241,tblHakedis[UrunReklam]),0))</f>
        <v/>
      </c>
      <c r="J241" s="17">
        <f>IF($A241="","",IFERROR(SUMIF(tblAnahtarB[NormB],$A241,tblHakedis[DesiKargo]),0))</f>
        <v/>
      </c>
      <c r="K241" s="17">
        <f>IF($A241="","",ROUND($F241+$G241+$H241+$I241+$J241,2))</f>
        <v/>
      </c>
      <c r="L241" s="17">
        <f>IF($A241="","",ROUND($B241-$C241,2))</f>
        <v/>
      </c>
      <c r="M241" s="17">
        <f>IF($A241="","",ROUND($B241-$C241-$K241,2))</f>
        <v/>
      </c>
      <c r="N241" s="17">
        <f>IF(OR($A241="",$B241=0),0,$M241/$B241)</f>
        <v/>
      </c>
      <c r="O241" s="17">
        <f>IF($A241="","",IF((1-$E241)&lt;=0,0,IF($D241=0,0,ROUND(($C241+$G241+$H241+$I241+$J241)/$D241/(1-$E241),2))))</f>
        <v/>
      </c>
      <c r="P241" s="17">
        <f>IF($A241="","",IFERROR(SUMIF(tblAnahtarA[Norm],$A241,tblGirdi[HedefNet]),0))</f>
        <v/>
      </c>
      <c r="Q241" s="17">
        <f>IF($A241="","",ROUND($M241-$P241,2))</f>
        <v/>
      </c>
      <c r="R241" s="17">
        <f>IF($A241="","",ROUND($B241-$K241,2))</f>
        <v/>
      </c>
      <c r="S241" s="17">
        <f>IF($A241="","",IF($N241&lt;0,"ÇEKİL",IF($N241&lt;tyk_esikMarjDusuk,"ZAM","SAT")))</f>
        <v/>
      </c>
      <c r="T241" s="17">
        <f>IF($A241="","",$L241-$F241)</f>
        <v/>
      </c>
      <c r="U241" s="17">
        <f>IF($A241="","",$M241-$Q241)</f>
        <v/>
      </c>
      <c r="V241" s="17">
        <f>IF($A241="","",$R241-$M241)</f>
        <v/>
      </c>
    </row>
    <row r="242">
      <c r="A242" s="17">
        <f>IF('ANAHTAR'!$B242="","",'ANAHTAR'!$B242)</f>
        <v/>
      </c>
      <c r="B242" s="17">
        <f>IF($A242="","",IFERROR(SUMIF(tblAnahtarA[Norm],$A242,tblGirdi[ToplamSatis]),0))</f>
        <v/>
      </c>
      <c r="C242" s="17">
        <f>IF($A242="","",IFERROR(SUMIF(tblAnahtarA[Norm],$A242,tblGirdi[Maliyet])*IFERROR(SUMIF(tblAnahtarA[Norm],$A242,tblGirdi[Miktar]),1),0))</f>
        <v/>
      </c>
      <c r="D242" s="17">
        <f>IF($A242="","",IFERROR(SUMIF(tblAnahtarA[Norm],$A242,tblGirdi[Miktar]),0))</f>
        <v/>
      </c>
      <c r="E242" s="17">
        <f>IF($A242="","",IFERROR(SUMIF(tblAnahtarA[Norm],$A242,tblGirdi[KomisyonOran]),0))</f>
        <v/>
      </c>
      <c r="F242" s="17">
        <f>IF($A242="","",ROUND($B242*$E242,2))</f>
        <v/>
      </c>
      <c r="G242" s="17">
        <f>IF($A242="","",IFERROR(SUMIF(tblAnahtarB[NormB],$A242,tblHakedis[TyPlus]),0))</f>
        <v/>
      </c>
      <c r="H242" s="17">
        <f>IF($A242="","",IFERROR(SUMIF(tblAnahtarB[NormB],$A242,tblHakedis[FlasKesinti]),0))</f>
        <v/>
      </c>
      <c r="I242" s="17">
        <f>IF($A242="","",IFERROR(SUMIF(tblAnahtarB[NormB],$A242,tblHakedis[UrunReklam]),0))</f>
        <v/>
      </c>
      <c r="J242" s="17">
        <f>IF($A242="","",IFERROR(SUMIF(tblAnahtarB[NormB],$A242,tblHakedis[DesiKargo]),0))</f>
        <v/>
      </c>
      <c r="K242" s="17">
        <f>IF($A242="","",ROUND($F242+$G242+$H242+$I242+$J242,2))</f>
        <v/>
      </c>
      <c r="L242" s="17">
        <f>IF($A242="","",ROUND($B242-$C242,2))</f>
        <v/>
      </c>
      <c r="M242" s="17">
        <f>IF($A242="","",ROUND($B242-$C242-$K242,2))</f>
        <v/>
      </c>
      <c r="N242" s="17">
        <f>IF(OR($A242="",$B242=0),0,$M242/$B242)</f>
        <v/>
      </c>
      <c r="O242" s="17">
        <f>IF($A242="","",IF((1-$E242)&lt;=0,0,IF($D242=0,0,ROUND(($C242+$G242+$H242+$I242+$J242)/$D242/(1-$E242),2))))</f>
        <v/>
      </c>
      <c r="P242" s="17">
        <f>IF($A242="","",IFERROR(SUMIF(tblAnahtarA[Norm],$A242,tblGirdi[HedefNet]),0))</f>
        <v/>
      </c>
      <c r="Q242" s="17">
        <f>IF($A242="","",ROUND($M242-$P242,2))</f>
        <v/>
      </c>
      <c r="R242" s="17">
        <f>IF($A242="","",ROUND($B242-$K242,2))</f>
        <v/>
      </c>
      <c r="S242" s="17">
        <f>IF($A242="","",IF($N242&lt;0,"ÇEKİL",IF($N242&lt;tyk_esikMarjDusuk,"ZAM","SAT")))</f>
        <v/>
      </c>
      <c r="T242" s="17">
        <f>IF($A242="","",$L242-$F242)</f>
        <v/>
      </c>
      <c r="U242" s="17">
        <f>IF($A242="","",$M242-$Q242)</f>
        <v/>
      </c>
      <c r="V242" s="17">
        <f>IF($A242="","",$R242-$M242)</f>
        <v/>
      </c>
    </row>
    <row r="243">
      <c r="A243" s="17">
        <f>IF('ANAHTAR'!$B243="","",'ANAHTAR'!$B243)</f>
        <v/>
      </c>
      <c r="B243" s="17">
        <f>IF($A243="","",IFERROR(SUMIF(tblAnahtarA[Norm],$A243,tblGirdi[ToplamSatis]),0))</f>
        <v/>
      </c>
      <c r="C243" s="17">
        <f>IF($A243="","",IFERROR(SUMIF(tblAnahtarA[Norm],$A243,tblGirdi[Maliyet])*IFERROR(SUMIF(tblAnahtarA[Norm],$A243,tblGirdi[Miktar]),1),0))</f>
        <v/>
      </c>
      <c r="D243" s="17">
        <f>IF($A243="","",IFERROR(SUMIF(tblAnahtarA[Norm],$A243,tblGirdi[Miktar]),0))</f>
        <v/>
      </c>
      <c r="E243" s="17">
        <f>IF($A243="","",IFERROR(SUMIF(tblAnahtarA[Norm],$A243,tblGirdi[KomisyonOran]),0))</f>
        <v/>
      </c>
      <c r="F243" s="17">
        <f>IF($A243="","",ROUND($B243*$E243,2))</f>
        <v/>
      </c>
      <c r="G243" s="17">
        <f>IF($A243="","",IFERROR(SUMIF(tblAnahtarB[NormB],$A243,tblHakedis[TyPlus]),0))</f>
        <v/>
      </c>
      <c r="H243" s="17">
        <f>IF($A243="","",IFERROR(SUMIF(tblAnahtarB[NormB],$A243,tblHakedis[FlasKesinti]),0))</f>
        <v/>
      </c>
      <c r="I243" s="17">
        <f>IF($A243="","",IFERROR(SUMIF(tblAnahtarB[NormB],$A243,tblHakedis[UrunReklam]),0))</f>
        <v/>
      </c>
      <c r="J243" s="17">
        <f>IF($A243="","",IFERROR(SUMIF(tblAnahtarB[NormB],$A243,tblHakedis[DesiKargo]),0))</f>
        <v/>
      </c>
      <c r="K243" s="17">
        <f>IF($A243="","",ROUND($F243+$G243+$H243+$I243+$J243,2))</f>
        <v/>
      </c>
      <c r="L243" s="17">
        <f>IF($A243="","",ROUND($B243-$C243,2))</f>
        <v/>
      </c>
      <c r="M243" s="17">
        <f>IF($A243="","",ROUND($B243-$C243-$K243,2))</f>
        <v/>
      </c>
      <c r="N243" s="17">
        <f>IF(OR($A243="",$B243=0),0,$M243/$B243)</f>
        <v/>
      </c>
      <c r="O243" s="17">
        <f>IF($A243="","",IF((1-$E243)&lt;=0,0,IF($D243=0,0,ROUND(($C243+$G243+$H243+$I243+$J243)/$D243/(1-$E243),2))))</f>
        <v/>
      </c>
      <c r="P243" s="17">
        <f>IF($A243="","",IFERROR(SUMIF(tblAnahtarA[Norm],$A243,tblGirdi[HedefNet]),0))</f>
        <v/>
      </c>
      <c r="Q243" s="17">
        <f>IF($A243="","",ROUND($M243-$P243,2))</f>
        <v/>
      </c>
      <c r="R243" s="17">
        <f>IF($A243="","",ROUND($B243-$K243,2))</f>
        <v/>
      </c>
      <c r="S243" s="17">
        <f>IF($A243="","",IF($N243&lt;0,"ÇEKİL",IF($N243&lt;tyk_esikMarjDusuk,"ZAM","SAT")))</f>
        <v/>
      </c>
      <c r="T243" s="17">
        <f>IF($A243="","",$L243-$F243)</f>
        <v/>
      </c>
      <c r="U243" s="17">
        <f>IF($A243="","",$M243-$Q243)</f>
        <v/>
      </c>
      <c r="V243" s="17">
        <f>IF($A243="","",$R243-$M243)</f>
        <v/>
      </c>
    </row>
    <row r="244">
      <c r="A244" s="17">
        <f>IF('ANAHTAR'!$B244="","",'ANAHTAR'!$B244)</f>
        <v/>
      </c>
      <c r="B244" s="17">
        <f>IF($A244="","",IFERROR(SUMIF(tblAnahtarA[Norm],$A244,tblGirdi[ToplamSatis]),0))</f>
        <v/>
      </c>
      <c r="C244" s="17">
        <f>IF($A244="","",IFERROR(SUMIF(tblAnahtarA[Norm],$A244,tblGirdi[Maliyet])*IFERROR(SUMIF(tblAnahtarA[Norm],$A244,tblGirdi[Miktar]),1),0))</f>
        <v/>
      </c>
      <c r="D244" s="17">
        <f>IF($A244="","",IFERROR(SUMIF(tblAnahtarA[Norm],$A244,tblGirdi[Miktar]),0))</f>
        <v/>
      </c>
      <c r="E244" s="17">
        <f>IF($A244="","",IFERROR(SUMIF(tblAnahtarA[Norm],$A244,tblGirdi[KomisyonOran]),0))</f>
        <v/>
      </c>
      <c r="F244" s="17">
        <f>IF($A244="","",ROUND($B244*$E244,2))</f>
        <v/>
      </c>
      <c r="G244" s="17">
        <f>IF($A244="","",IFERROR(SUMIF(tblAnahtarB[NormB],$A244,tblHakedis[TyPlus]),0))</f>
        <v/>
      </c>
      <c r="H244" s="17">
        <f>IF($A244="","",IFERROR(SUMIF(tblAnahtarB[NormB],$A244,tblHakedis[FlasKesinti]),0))</f>
        <v/>
      </c>
      <c r="I244" s="17">
        <f>IF($A244="","",IFERROR(SUMIF(tblAnahtarB[NormB],$A244,tblHakedis[UrunReklam]),0))</f>
        <v/>
      </c>
      <c r="J244" s="17">
        <f>IF($A244="","",IFERROR(SUMIF(tblAnahtarB[NormB],$A244,tblHakedis[DesiKargo]),0))</f>
        <v/>
      </c>
      <c r="K244" s="17">
        <f>IF($A244="","",ROUND($F244+$G244+$H244+$I244+$J244,2))</f>
        <v/>
      </c>
      <c r="L244" s="17">
        <f>IF($A244="","",ROUND($B244-$C244,2))</f>
        <v/>
      </c>
      <c r="M244" s="17">
        <f>IF($A244="","",ROUND($B244-$C244-$K244,2))</f>
        <v/>
      </c>
      <c r="N244" s="17">
        <f>IF(OR($A244="",$B244=0),0,$M244/$B244)</f>
        <v/>
      </c>
      <c r="O244" s="17">
        <f>IF($A244="","",IF((1-$E244)&lt;=0,0,IF($D244=0,0,ROUND(($C244+$G244+$H244+$I244+$J244)/$D244/(1-$E244),2))))</f>
        <v/>
      </c>
      <c r="P244" s="17">
        <f>IF($A244="","",IFERROR(SUMIF(tblAnahtarA[Norm],$A244,tblGirdi[HedefNet]),0))</f>
        <v/>
      </c>
      <c r="Q244" s="17">
        <f>IF($A244="","",ROUND($M244-$P244,2))</f>
        <v/>
      </c>
      <c r="R244" s="17">
        <f>IF($A244="","",ROUND($B244-$K244,2))</f>
        <v/>
      </c>
      <c r="S244" s="17">
        <f>IF($A244="","",IF($N244&lt;0,"ÇEKİL",IF($N244&lt;tyk_esikMarjDusuk,"ZAM","SAT")))</f>
        <v/>
      </c>
      <c r="T244" s="17">
        <f>IF($A244="","",$L244-$F244)</f>
        <v/>
      </c>
      <c r="U244" s="17">
        <f>IF($A244="","",$M244-$Q244)</f>
        <v/>
      </c>
      <c r="V244" s="17">
        <f>IF($A244="","",$R244-$M244)</f>
        <v/>
      </c>
    </row>
    <row r="245">
      <c r="A245" s="17">
        <f>IF('ANAHTAR'!$B245="","",'ANAHTAR'!$B245)</f>
        <v/>
      </c>
      <c r="B245" s="17">
        <f>IF($A245="","",IFERROR(SUMIF(tblAnahtarA[Norm],$A245,tblGirdi[ToplamSatis]),0))</f>
        <v/>
      </c>
      <c r="C245" s="17">
        <f>IF($A245="","",IFERROR(SUMIF(tblAnahtarA[Norm],$A245,tblGirdi[Maliyet])*IFERROR(SUMIF(tblAnahtarA[Norm],$A245,tblGirdi[Miktar]),1),0))</f>
        <v/>
      </c>
      <c r="D245" s="17">
        <f>IF($A245="","",IFERROR(SUMIF(tblAnahtarA[Norm],$A245,tblGirdi[Miktar]),0))</f>
        <v/>
      </c>
      <c r="E245" s="17">
        <f>IF($A245="","",IFERROR(SUMIF(tblAnahtarA[Norm],$A245,tblGirdi[KomisyonOran]),0))</f>
        <v/>
      </c>
      <c r="F245" s="17">
        <f>IF($A245="","",ROUND($B245*$E245,2))</f>
        <v/>
      </c>
      <c r="G245" s="17">
        <f>IF($A245="","",IFERROR(SUMIF(tblAnahtarB[NormB],$A245,tblHakedis[TyPlus]),0))</f>
        <v/>
      </c>
      <c r="H245" s="17">
        <f>IF($A245="","",IFERROR(SUMIF(tblAnahtarB[NormB],$A245,tblHakedis[FlasKesinti]),0))</f>
        <v/>
      </c>
      <c r="I245" s="17">
        <f>IF($A245="","",IFERROR(SUMIF(tblAnahtarB[NormB],$A245,tblHakedis[UrunReklam]),0))</f>
        <v/>
      </c>
      <c r="J245" s="17">
        <f>IF($A245="","",IFERROR(SUMIF(tblAnahtarB[NormB],$A245,tblHakedis[DesiKargo]),0))</f>
        <v/>
      </c>
      <c r="K245" s="17">
        <f>IF($A245="","",ROUND($F245+$G245+$H245+$I245+$J245,2))</f>
        <v/>
      </c>
      <c r="L245" s="17">
        <f>IF($A245="","",ROUND($B245-$C245,2))</f>
        <v/>
      </c>
      <c r="M245" s="17">
        <f>IF($A245="","",ROUND($B245-$C245-$K245,2))</f>
        <v/>
      </c>
      <c r="N245" s="17">
        <f>IF(OR($A245="",$B245=0),0,$M245/$B245)</f>
        <v/>
      </c>
      <c r="O245" s="17">
        <f>IF($A245="","",IF((1-$E245)&lt;=0,0,IF($D245=0,0,ROUND(($C245+$G245+$H245+$I245+$J245)/$D245/(1-$E245),2))))</f>
        <v/>
      </c>
      <c r="P245" s="17">
        <f>IF($A245="","",IFERROR(SUMIF(tblAnahtarA[Norm],$A245,tblGirdi[HedefNet]),0))</f>
        <v/>
      </c>
      <c r="Q245" s="17">
        <f>IF($A245="","",ROUND($M245-$P245,2))</f>
        <v/>
      </c>
      <c r="R245" s="17">
        <f>IF($A245="","",ROUND($B245-$K245,2))</f>
        <v/>
      </c>
      <c r="S245" s="17">
        <f>IF($A245="","",IF($N245&lt;0,"ÇEKİL",IF($N245&lt;tyk_esikMarjDusuk,"ZAM","SAT")))</f>
        <v/>
      </c>
      <c r="T245" s="17">
        <f>IF($A245="","",$L245-$F245)</f>
        <v/>
      </c>
      <c r="U245" s="17">
        <f>IF($A245="","",$M245-$Q245)</f>
        <v/>
      </c>
      <c r="V245" s="17">
        <f>IF($A245="","",$R245-$M245)</f>
        <v/>
      </c>
    </row>
    <row r="246">
      <c r="A246" s="17">
        <f>IF('ANAHTAR'!$B246="","",'ANAHTAR'!$B246)</f>
        <v/>
      </c>
      <c r="B246" s="17">
        <f>IF($A246="","",IFERROR(SUMIF(tblAnahtarA[Norm],$A246,tblGirdi[ToplamSatis]),0))</f>
        <v/>
      </c>
      <c r="C246" s="17">
        <f>IF($A246="","",IFERROR(SUMIF(tblAnahtarA[Norm],$A246,tblGirdi[Maliyet])*IFERROR(SUMIF(tblAnahtarA[Norm],$A246,tblGirdi[Miktar]),1),0))</f>
        <v/>
      </c>
      <c r="D246" s="17">
        <f>IF($A246="","",IFERROR(SUMIF(tblAnahtarA[Norm],$A246,tblGirdi[Miktar]),0))</f>
        <v/>
      </c>
      <c r="E246" s="17">
        <f>IF($A246="","",IFERROR(SUMIF(tblAnahtarA[Norm],$A246,tblGirdi[KomisyonOran]),0))</f>
        <v/>
      </c>
      <c r="F246" s="17">
        <f>IF($A246="","",ROUND($B246*$E246,2))</f>
        <v/>
      </c>
      <c r="G246" s="17">
        <f>IF($A246="","",IFERROR(SUMIF(tblAnahtarB[NormB],$A246,tblHakedis[TyPlus]),0))</f>
        <v/>
      </c>
      <c r="H246" s="17">
        <f>IF($A246="","",IFERROR(SUMIF(tblAnahtarB[NormB],$A246,tblHakedis[FlasKesinti]),0))</f>
        <v/>
      </c>
      <c r="I246" s="17">
        <f>IF($A246="","",IFERROR(SUMIF(tblAnahtarB[NormB],$A246,tblHakedis[UrunReklam]),0))</f>
        <v/>
      </c>
      <c r="J246" s="17">
        <f>IF($A246="","",IFERROR(SUMIF(tblAnahtarB[NormB],$A246,tblHakedis[DesiKargo]),0))</f>
        <v/>
      </c>
      <c r="K246" s="17">
        <f>IF($A246="","",ROUND($F246+$G246+$H246+$I246+$J246,2))</f>
        <v/>
      </c>
      <c r="L246" s="17">
        <f>IF($A246="","",ROUND($B246-$C246,2))</f>
        <v/>
      </c>
      <c r="M246" s="17">
        <f>IF($A246="","",ROUND($B246-$C246-$K246,2))</f>
        <v/>
      </c>
      <c r="N246" s="17">
        <f>IF(OR($A246="",$B246=0),0,$M246/$B246)</f>
        <v/>
      </c>
      <c r="O246" s="17">
        <f>IF($A246="","",IF((1-$E246)&lt;=0,0,IF($D246=0,0,ROUND(($C246+$G246+$H246+$I246+$J246)/$D246/(1-$E246),2))))</f>
        <v/>
      </c>
      <c r="P246" s="17">
        <f>IF($A246="","",IFERROR(SUMIF(tblAnahtarA[Norm],$A246,tblGirdi[HedefNet]),0))</f>
        <v/>
      </c>
      <c r="Q246" s="17">
        <f>IF($A246="","",ROUND($M246-$P246,2))</f>
        <v/>
      </c>
      <c r="R246" s="17">
        <f>IF($A246="","",ROUND($B246-$K246,2))</f>
        <v/>
      </c>
      <c r="S246" s="17">
        <f>IF($A246="","",IF($N246&lt;0,"ÇEKİL",IF($N246&lt;tyk_esikMarjDusuk,"ZAM","SAT")))</f>
        <v/>
      </c>
      <c r="T246" s="17">
        <f>IF($A246="","",$L246-$F246)</f>
        <v/>
      </c>
      <c r="U246" s="17">
        <f>IF($A246="","",$M246-$Q246)</f>
        <v/>
      </c>
      <c r="V246" s="17">
        <f>IF($A246="","",$R246-$M246)</f>
        <v/>
      </c>
    </row>
    <row r="247">
      <c r="A247" s="17">
        <f>IF('ANAHTAR'!$B247="","",'ANAHTAR'!$B247)</f>
        <v/>
      </c>
      <c r="B247" s="17">
        <f>IF($A247="","",IFERROR(SUMIF(tblAnahtarA[Norm],$A247,tblGirdi[ToplamSatis]),0))</f>
        <v/>
      </c>
      <c r="C247" s="17">
        <f>IF($A247="","",IFERROR(SUMIF(tblAnahtarA[Norm],$A247,tblGirdi[Maliyet])*IFERROR(SUMIF(tblAnahtarA[Norm],$A247,tblGirdi[Miktar]),1),0))</f>
        <v/>
      </c>
      <c r="D247" s="17">
        <f>IF($A247="","",IFERROR(SUMIF(tblAnahtarA[Norm],$A247,tblGirdi[Miktar]),0))</f>
        <v/>
      </c>
      <c r="E247" s="17">
        <f>IF($A247="","",IFERROR(SUMIF(tblAnahtarA[Norm],$A247,tblGirdi[KomisyonOran]),0))</f>
        <v/>
      </c>
      <c r="F247" s="17">
        <f>IF($A247="","",ROUND($B247*$E247,2))</f>
        <v/>
      </c>
      <c r="G247" s="17">
        <f>IF($A247="","",IFERROR(SUMIF(tblAnahtarB[NormB],$A247,tblHakedis[TyPlus]),0))</f>
        <v/>
      </c>
      <c r="H247" s="17">
        <f>IF($A247="","",IFERROR(SUMIF(tblAnahtarB[NormB],$A247,tblHakedis[FlasKesinti]),0))</f>
        <v/>
      </c>
      <c r="I247" s="17">
        <f>IF($A247="","",IFERROR(SUMIF(tblAnahtarB[NormB],$A247,tblHakedis[UrunReklam]),0))</f>
        <v/>
      </c>
      <c r="J247" s="17">
        <f>IF($A247="","",IFERROR(SUMIF(tblAnahtarB[NormB],$A247,tblHakedis[DesiKargo]),0))</f>
        <v/>
      </c>
      <c r="K247" s="17">
        <f>IF($A247="","",ROUND($F247+$G247+$H247+$I247+$J247,2))</f>
        <v/>
      </c>
      <c r="L247" s="17">
        <f>IF($A247="","",ROUND($B247-$C247,2))</f>
        <v/>
      </c>
      <c r="M247" s="17">
        <f>IF($A247="","",ROUND($B247-$C247-$K247,2))</f>
        <v/>
      </c>
      <c r="N247" s="17">
        <f>IF(OR($A247="",$B247=0),0,$M247/$B247)</f>
        <v/>
      </c>
      <c r="O247" s="17">
        <f>IF($A247="","",IF((1-$E247)&lt;=0,0,IF($D247=0,0,ROUND(($C247+$G247+$H247+$I247+$J247)/$D247/(1-$E247),2))))</f>
        <v/>
      </c>
      <c r="P247" s="17">
        <f>IF($A247="","",IFERROR(SUMIF(tblAnahtarA[Norm],$A247,tblGirdi[HedefNet]),0))</f>
        <v/>
      </c>
      <c r="Q247" s="17">
        <f>IF($A247="","",ROUND($M247-$P247,2))</f>
        <v/>
      </c>
      <c r="R247" s="17">
        <f>IF($A247="","",ROUND($B247-$K247,2))</f>
        <v/>
      </c>
      <c r="S247" s="17">
        <f>IF($A247="","",IF($N247&lt;0,"ÇEKİL",IF($N247&lt;tyk_esikMarjDusuk,"ZAM","SAT")))</f>
        <v/>
      </c>
      <c r="T247" s="17">
        <f>IF($A247="","",$L247-$F247)</f>
        <v/>
      </c>
      <c r="U247" s="17">
        <f>IF($A247="","",$M247-$Q247)</f>
        <v/>
      </c>
      <c r="V247" s="17">
        <f>IF($A247="","",$R247-$M247)</f>
        <v/>
      </c>
    </row>
    <row r="248">
      <c r="A248" s="17">
        <f>IF('ANAHTAR'!$B248="","",'ANAHTAR'!$B248)</f>
        <v/>
      </c>
      <c r="B248" s="17">
        <f>IF($A248="","",IFERROR(SUMIF(tblAnahtarA[Norm],$A248,tblGirdi[ToplamSatis]),0))</f>
        <v/>
      </c>
      <c r="C248" s="17">
        <f>IF($A248="","",IFERROR(SUMIF(tblAnahtarA[Norm],$A248,tblGirdi[Maliyet])*IFERROR(SUMIF(tblAnahtarA[Norm],$A248,tblGirdi[Miktar]),1),0))</f>
        <v/>
      </c>
      <c r="D248" s="17">
        <f>IF($A248="","",IFERROR(SUMIF(tblAnahtarA[Norm],$A248,tblGirdi[Miktar]),0))</f>
        <v/>
      </c>
      <c r="E248" s="17">
        <f>IF($A248="","",IFERROR(SUMIF(tblAnahtarA[Norm],$A248,tblGirdi[KomisyonOran]),0))</f>
        <v/>
      </c>
      <c r="F248" s="17">
        <f>IF($A248="","",ROUND($B248*$E248,2))</f>
        <v/>
      </c>
      <c r="G248" s="17">
        <f>IF($A248="","",IFERROR(SUMIF(tblAnahtarB[NormB],$A248,tblHakedis[TyPlus]),0))</f>
        <v/>
      </c>
      <c r="H248" s="17">
        <f>IF($A248="","",IFERROR(SUMIF(tblAnahtarB[NormB],$A248,tblHakedis[FlasKesinti]),0))</f>
        <v/>
      </c>
      <c r="I248" s="17">
        <f>IF($A248="","",IFERROR(SUMIF(tblAnahtarB[NormB],$A248,tblHakedis[UrunReklam]),0))</f>
        <v/>
      </c>
      <c r="J248" s="17">
        <f>IF($A248="","",IFERROR(SUMIF(tblAnahtarB[NormB],$A248,tblHakedis[DesiKargo]),0))</f>
        <v/>
      </c>
      <c r="K248" s="17">
        <f>IF($A248="","",ROUND($F248+$G248+$H248+$I248+$J248,2))</f>
        <v/>
      </c>
      <c r="L248" s="17">
        <f>IF($A248="","",ROUND($B248-$C248,2))</f>
        <v/>
      </c>
      <c r="M248" s="17">
        <f>IF($A248="","",ROUND($B248-$C248-$K248,2))</f>
        <v/>
      </c>
      <c r="N248" s="17">
        <f>IF(OR($A248="",$B248=0),0,$M248/$B248)</f>
        <v/>
      </c>
      <c r="O248" s="17">
        <f>IF($A248="","",IF((1-$E248)&lt;=0,0,IF($D248=0,0,ROUND(($C248+$G248+$H248+$I248+$J248)/$D248/(1-$E248),2))))</f>
        <v/>
      </c>
      <c r="P248" s="17">
        <f>IF($A248="","",IFERROR(SUMIF(tblAnahtarA[Norm],$A248,tblGirdi[HedefNet]),0))</f>
        <v/>
      </c>
      <c r="Q248" s="17">
        <f>IF($A248="","",ROUND($M248-$P248,2))</f>
        <v/>
      </c>
      <c r="R248" s="17">
        <f>IF($A248="","",ROUND($B248-$K248,2))</f>
        <v/>
      </c>
      <c r="S248" s="17">
        <f>IF($A248="","",IF($N248&lt;0,"ÇEKİL",IF($N248&lt;tyk_esikMarjDusuk,"ZAM","SAT")))</f>
        <v/>
      </c>
      <c r="T248" s="17">
        <f>IF($A248="","",$L248-$F248)</f>
        <v/>
      </c>
      <c r="U248" s="17">
        <f>IF($A248="","",$M248-$Q248)</f>
        <v/>
      </c>
      <c r="V248" s="17">
        <f>IF($A248="","",$R248-$M248)</f>
        <v/>
      </c>
    </row>
    <row r="249">
      <c r="A249" s="17">
        <f>IF('ANAHTAR'!$B249="","",'ANAHTAR'!$B249)</f>
        <v/>
      </c>
      <c r="B249" s="17">
        <f>IF($A249="","",IFERROR(SUMIF(tblAnahtarA[Norm],$A249,tblGirdi[ToplamSatis]),0))</f>
        <v/>
      </c>
      <c r="C249" s="17">
        <f>IF($A249="","",IFERROR(SUMIF(tblAnahtarA[Norm],$A249,tblGirdi[Maliyet])*IFERROR(SUMIF(tblAnahtarA[Norm],$A249,tblGirdi[Miktar]),1),0))</f>
        <v/>
      </c>
      <c r="D249" s="17">
        <f>IF($A249="","",IFERROR(SUMIF(tblAnahtarA[Norm],$A249,tblGirdi[Miktar]),0))</f>
        <v/>
      </c>
      <c r="E249" s="17">
        <f>IF($A249="","",IFERROR(SUMIF(tblAnahtarA[Norm],$A249,tblGirdi[KomisyonOran]),0))</f>
        <v/>
      </c>
      <c r="F249" s="17">
        <f>IF($A249="","",ROUND($B249*$E249,2))</f>
        <v/>
      </c>
      <c r="G249" s="17">
        <f>IF($A249="","",IFERROR(SUMIF(tblAnahtarB[NormB],$A249,tblHakedis[TyPlus]),0))</f>
        <v/>
      </c>
      <c r="H249" s="17">
        <f>IF($A249="","",IFERROR(SUMIF(tblAnahtarB[NormB],$A249,tblHakedis[FlasKesinti]),0))</f>
        <v/>
      </c>
      <c r="I249" s="17">
        <f>IF($A249="","",IFERROR(SUMIF(tblAnahtarB[NormB],$A249,tblHakedis[UrunReklam]),0))</f>
        <v/>
      </c>
      <c r="J249" s="17">
        <f>IF($A249="","",IFERROR(SUMIF(tblAnahtarB[NormB],$A249,tblHakedis[DesiKargo]),0))</f>
        <v/>
      </c>
      <c r="K249" s="17">
        <f>IF($A249="","",ROUND($F249+$G249+$H249+$I249+$J249,2))</f>
        <v/>
      </c>
      <c r="L249" s="17">
        <f>IF($A249="","",ROUND($B249-$C249,2))</f>
        <v/>
      </c>
      <c r="M249" s="17">
        <f>IF($A249="","",ROUND($B249-$C249-$K249,2))</f>
        <v/>
      </c>
      <c r="N249" s="17">
        <f>IF(OR($A249="",$B249=0),0,$M249/$B249)</f>
        <v/>
      </c>
      <c r="O249" s="17">
        <f>IF($A249="","",IF((1-$E249)&lt;=0,0,IF($D249=0,0,ROUND(($C249+$G249+$H249+$I249+$J249)/$D249/(1-$E249),2))))</f>
        <v/>
      </c>
      <c r="P249" s="17">
        <f>IF($A249="","",IFERROR(SUMIF(tblAnahtarA[Norm],$A249,tblGirdi[HedefNet]),0))</f>
        <v/>
      </c>
      <c r="Q249" s="17">
        <f>IF($A249="","",ROUND($M249-$P249,2))</f>
        <v/>
      </c>
      <c r="R249" s="17">
        <f>IF($A249="","",ROUND($B249-$K249,2))</f>
        <v/>
      </c>
      <c r="S249" s="17">
        <f>IF($A249="","",IF($N249&lt;0,"ÇEKİL",IF($N249&lt;tyk_esikMarjDusuk,"ZAM","SAT")))</f>
        <v/>
      </c>
      <c r="T249" s="17">
        <f>IF($A249="","",$L249-$F249)</f>
        <v/>
      </c>
      <c r="U249" s="17">
        <f>IF($A249="","",$M249-$Q249)</f>
        <v/>
      </c>
      <c r="V249" s="17">
        <f>IF($A249="","",$R249-$M249)</f>
        <v/>
      </c>
    </row>
    <row r="250">
      <c r="A250" s="17">
        <f>IF('ANAHTAR'!$B250="","",'ANAHTAR'!$B250)</f>
        <v/>
      </c>
      <c r="B250" s="17">
        <f>IF($A250="","",IFERROR(SUMIF(tblAnahtarA[Norm],$A250,tblGirdi[ToplamSatis]),0))</f>
        <v/>
      </c>
      <c r="C250" s="17">
        <f>IF($A250="","",IFERROR(SUMIF(tblAnahtarA[Norm],$A250,tblGirdi[Maliyet])*IFERROR(SUMIF(tblAnahtarA[Norm],$A250,tblGirdi[Miktar]),1),0))</f>
        <v/>
      </c>
      <c r="D250" s="17">
        <f>IF($A250="","",IFERROR(SUMIF(tblAnahtarA[Norm],$A250,tblGirdi[Miktar]),0))</f>
        <v/>
      </c>
      <c r="E250" s="17">
        <f>IF($A250="","",IFERROR(SUMIF(tblAnahtarA[Norm],$A250,tblGirdi[KomisyonOran]),0))</f>
        <v/>
      </c>
      <c r="F250" s="17">
        <f>IF($A250="","",ROUND($B250*$E250,2))</f>
        <v/>
      </c>
      <c r="G250" s="17">
        <f>IF($A250="","",IFERROR(SUMIF(tblAnahtarB[NormB],$A250,tblHakedis[TyPlus]),0))</f>
        <v/>
      </c>
      <c r="H250" s="17">
        <f>IF($A250="","",IFERROR(SUMIF(tblAnahtarB[NormB],$A250,tblHakedis[FlasKesinti]),0))</f>
        <v/>
      </c>
      <c r="I250" s="17">
        <f>IF($A250="","",IFERROR(SUMIF(tblAnahtarB[NormB],$A250,tblHakedis[UrunReklam]),0))</f>
        <v/>
      </c>
      <c r="J250" s="17">
        <f>IF($A250="","",IFERROR(SUMIF(tblAnahtarB[NormB],$A250,tblHakedis[DesiKargo]),0))</f>
        <v/>
      </c>
      <c r="K250" s="17">
        <f>IF($A250="","",ROUND($F250+$G250+$H250+$I250+$J250,2))</f>
        <v/>
      </c>
      <c r="L250" s="17">
        <f>IF($A250="","",ROUND($B250-$C250,2))</f>
        <v/>
      </c>
      <c r="M250" s="17">
        <f>IF($A250="","",ROUND($B250-$C250-$K250,2))</f>
        <v/>
      </c>
      <c r="N250" s="17">
        <f>IF(OR($A250="",$B250=0),0,$M250/$B250)</f>
        <v/>
      </c>
      <c r="O250" s="17">
        <f>IF($A250="","",IF((1-$E250)&lt;=0,0,IF($D250=0,0,ROUND(($C250+$G250+$H250+$I250+$J250)/$D250/(1-$E250),2))))</f>
        <v/>
      </c>
      <c r="P250" s="17">
        <f>IF($A250="","",IFERROR(SUMIF(tblAnahtarA[Norm],$A250,tblGirdi[HedefNet]),0))</f>
        <v/>
      </c>
      <c r="Q250" s="17">
        <f>IF($A250="","",ROUND($M250-$P250,2))</f>
        <v/>
      </c>
      <c r="R250" s="17">
        <f>IF($A250="","",ROUND($B250-$K250,2))</f>
        <v/>
      </c>
      <c r="S250" s="17">
        <f>IF($A250="","",IF($N250&lt;0,"ÇEKİL",IF($N250&lt;tyk_esikMarjDusuk,"ZAM","SAT")))</f>
        <v/>
      </c>
      <c r="T250" s="17">
        <f>IF($A250="","",$L250-$F250)</f>
        <v/>
      </c>
      <c r="U250" s="17">
        <f>IF($A250="","",$M250-$Q250)</f>
        <v/>
      </c>
      <c r="V250" s="17">
        <f>IF($A250="","",$R250-$M250)</f>
        <v/>
      </c>
    </row>
    <row r="251">
      <c r="A251" s="17">
        <f>IF('ANAHTAR'!$B251="","",'ANAHTAR'!$B251)</f>
        <v/>
      </c>
      <c r="B251" s="17">
        <f>IF($A251="","",IFERROR(SUMIF(tblAnahtarA[Norm],$A251,tblGirdi[ToplamSatis]),0))</f>
        <v/>
      </c>
      <c r="C251" s="17">
        <f>IF($A251="","",IFERROR(SUMIF(tblAnahtarA[Norm],$A251,tblGirdi[Maliyet])*IFERROR(SUMIF(tblAnahtarA[Norm],$A251,tblGirdi[Miktar]),1),0))</f>
        <v/>
      </c>
      <c r="D251" s="17">
        <f>IF($A251="","",IFERROR(SUMIF(tblAnahtarA[Norm],$A251,tblGirdi[Miktar]),0))</f>
        <v/>
      </c>
      <c r="E251" s="17">
        <f>IF($A251="","",IFERROR(SUMIF(tblAnahtarA[Norm],$A251,tblGirdi[KomisyonOran]),0))</f>
        <v/>
      </c>
      <c r="F251" s="17">
        <f>IF($A251="","",ROUND($B251*$E251,2))</f>
        <v/>
      </c>
      <c r="G251" s="17">
        <f>IF($A251="","",IFERROR(SUMIF(tblAnahtarB[NormB],$A251,tblHakedis[TyPlus]),0))</f>
        <v/>
      </c>
      <c r="H251" s="17">
        <f>IF($A251="","",IFERROR(SUMIF(tblAnahtarB[NormB],$A251,tblHakedis[FlasKesinti]),0))</f>
        <v/>
      </c>
      <c r="I251" s="17">
        <f>IF($A251="","",IFERROR(SUMIF(tblAnahtarB[NormB],$A251,tblHakedis[UrunReklam]),0))</f>
        <v/>
      </c>
      <c r="J251" s="17">
        <f>IF($A251="","",IFERROR(SUMIF(tblAnahtarB[NormB],$A251,tblHakedis[DesiKargo]),0))</f>
        <v/>
      </c>
      <c r="K251" s="17">
        <f>IF($A251="","",ROUND($F251+$G251+$H251+$I251+$J251,2))</f>
        <v/>
      </c>
      <c r="L251" s="17">
        <f>IF($A251="","",ROUND($B251-$C251,2))</f>
        <v/>
      </c>
      <c r="M251" s="17">
        <f>IF($A251="","",ROUND($B251-$C251-$K251,2))</f>
        <v/>
      </c>
      <c r="N251" s="17">
        <f>IF(OR($A251="",$B251=0),0,$M251/$B251)</f>
        <v/>
      </c>
      <c r="O251" s="17">
        <f>IF($A251="","",IF((1-$E251)&lt;=0,0,IF($D251=0,0,ROUND(($C251+$G251+$H251+$I251+$J251)/$D251/(1-$E251),2))))</f>
        <v/>
      </c>
      <c r="P251" s="17">
        <f>IF($A251="","",IFERROR(SUMIF(tblAnahtarA[Norm],$A251,tblGirdi[HedefNet]),0))</f>
        <v/>
      </c>
      <c r="Q251" s="17">
        <f>IF($A251="","",ROUND($M251-$P251,2))</f>
        <v/>
      </c>
      <c r="R251" s="17">
        <f>IF($A251="","",ROUND($B251-$K251,2))</f>
        <v/>
      </c>
      <c r="S251" s="17">
        <f>IF($A251="","",IF($N251&lt;0,"ÇEKİL",IF($N251&lt;tyk_esikMarjDusuk,"ZAM","SAT")))</f>
        <v/>
      </c>
      <c r="T251" s="17">
        <f>IF($A251="","",$L251-$F251)</f>
        <v/>
      </c>
      <c r="U251" s="17">
        <f>IF($A251="","",$M251-$Q251)</f>
        <v/>
      </c>
      <c r="V251" s="17">
        <f>IF($A251="","",$R251-$M251)</f>
        <v/>
      </c>
    </row>
    <row r="252">
      <c r="A252" s="17">
        <f>IF('ANAHTAR'!$B252="","",'ANAHTAR'!$B252)</f>
        <v/>
      </c>
      <c r="B252" s="17">
        <f>IF($A252="","",IFERROR(SUMIF(tblAnahtarA[Norm],$A252,tblGirdi[ToplamSatis]),0))</f>
        <v/>
      </c>
      <c r="C252" s="17">
        <f>IF($A252="","",IFERROR(SUMIF(tblAnahtarA[Norm],$A252,tblGirdi[Maliyet])*IFERROR(SUMIF(tblAnahtarA[Norm],$A252,tblGirdi[Miktar]),1),0))</f>
        <v/>
      </c>
      <c r="D252" s="17">
        <f>IF($A252="","",IFERROR(SUMIF(tblAnahtarA[Norm],$A252,tblGirdi[Miktar]),0))</f>
        <v/>
      </c>
      <c r="E252" s="17">
        <f>IF($A252="","",IFERROR(SUMIF(tblAnahtarA[Norm],$A252,tblGirdi[KomisyonOran]),0))</f>
        <v/>
      </c>
      <c r="F252" s="17">
        <f>IF($A252="","",ROUND($B252*$E252,2))</f>
        <v/>
      </c>
      <c r="G252" s="17">
        <f>IF($A252="","",IFERROR(SUMIF(tblAnahtarB[NormB],$A252,tblHakedis[TyPlus]),0))</f>
        <v/>
      </c>
      <c r="H252" s="17">
        <f>IF($A252="","",IFERROR(SUMIF(tblAnahtarB[NormB],$A252,tblHakedis[FlasKesinti]),0))</f>
        <v/>
      </c>
      <c r="I252" s="17">
        <f>IF($A252="","",IFERROR(SUMIF(tblAnahtarB[NormB],$A252,tblHakedis[UrunReklam]),0))</f>
        <v/>
      </c>
      <c r="J252" s="17">
        <f>IF($A252="","",IFERROR(SUMIF(tblAnahtarB[NormB],$A252,tblHakedis[DesiKargo]),0))</f>
        <v/>
      </c>
      <c r="K252" s="17">
        <f>IF($A252="","",ROUND($F252+$G252+$H252+$I252+$J252,2))</f>
        <v/>
      </c>
      <c r="L252" s="17">
        <f>IF($A252="","",ROUND($B252-$C252,2))</f>
        <v/>
      </c>
      <c r="M252" s="17">
        <f>IF($A252="","",ROUND($B252-$C252-$K252,2))</f>
        <v/>
      </c>
      <c r="N252" s="17">
        <f>IF(OR($A252="",$B252=0),0,$M252/$B252)</f>
        <v/>
      </c>
      <c r="O252" s="17">
        <f>IF($A252="","",IF((1-$E252)&lt;=0,0,IF($D252=0,0,ROUND(($C252+$G252+$H252+$I252+$J252)/$D252/(1-$E252),2))))</f>
        <v/>
      </c>
      <c r="P252" s="17">
        <f>IF($A252="","",IFERROR(SUMIF(tblAnahtarA[Norm],$A252,tblGirdi[HedefNet]),0))</f>
        <v/>
      </c>
      <c r="Q252" s="17">
        <f>IF($A252="","",ROUND($M252-$P252,2))</f>
        <v/>
      </c>
      <c r="R252" s="17">
        <f>IF($A252="","",ROUND($B252-$K252,2))</f>
        <v/>
      </c>
      <c r="S252" s="17">
        <f>IF($A252="","",IF($N252&lt;0,"ÇEKİL",IF($N252&lt;tyk_esikMarjDusuk,"ZAM","SAT")))</f>
        <v/>
      </c>
      <c r="T252" s="17">
        <f>IF($A252="","",$L252-$F252)</f>
        <v/>
      </c>
      <c r="U252" s="17">
        <f>IF($A252="","",$M252-$Q252)</f>
        <v/>
      </c>
      <c r="V252" s="17">
        <f>IF($A252="","",$R252-$M252)</f>
        <v/>
      </c>
    </row>
    <row r="253">
      <c r="A253" s="17">
        <f>IF('ANAHTAR'!$B253="","",'ANAHTAR'!$B253)</f>
        <v/>
      </c>
      <c r="B253" s="17">
        <f>IF($A253="","",IFERROR(SUMIF(tblAnahtarA[Norm],$A253,tblGirdi[ToplamSatis]),0))</f>
        <v/>
      </c>
      <c r="C253" s="17">
        <f>IF($A253="","",IFERROR(SUMIF(tblAnahtarA[Norm],$A253,tblGirdi[Maliyet])*IFERROR(SUMIF(tblAnahtarA[Norm],$A253,tblGirdi[Miktar]),1),0))</f>
        <v/>
      </c>
      <c r="D253" s="17">
        <f>IF($A253="","",IFERROR(SUMIF(tblAnahtarA[Norm],$A253,tblGirdi[Miktar]),0))</f>
        <v/>
      </c>
      <c r="E253" s="17">
        <f>IF($A253="","",IFERROR(SUMIF(tblAnahtarA[Norm],$A253,tblGirdi[KomisyonOran]),0))</f>
        <v/>
      </c>
      <c r="F253" s="17">
        <f>IF($A253="","",ROUND($B253*$E253,2))</f>
        <v/>
      </c>
      <c r="G253" s="17">
        <f>IF($A253="","",IFERROR(SUMIF(tblAnahtarB[NormB],$A253,tblHakedis[TyPlus]),0))</f>
        <v/>
      </c>
      <c r="H253" s="17">
        <f>IF($A253="","",IFERROR(SUMIF(tblAnahtarB[NormB],$A253,tblHakedis[FlasKesinti]),0))</f>
        <v/>
      </c>
      <c r="I253" s="17">
        <f>IF($A253="","",IFERROR(SUMIF(tblAnahtarB[NormB],$A253,tblHakedis[UrunReklam]),0))</f>
        <v/>
      </c>
      <c r="J253" s="17">
        <f>IF($A253="","",IFERROR(SUMIF(tblAnahtarB[NormB],$A253,tblHakedis[DesiKargo]),0))</f>
        <v/>
      </c>
      <c r="K253" s="17">
        <f>IF($A253="","",ROUND($F253+$G253+$H253+$I253+$J253,2))</f>
        <v/>
      </c>
      <c r="L253" s="17">
        <f>IF($A253="","",ROUND($B253-$C253,2))</f>
        <v/>
      </c>
      <c r="M253" s="17">
        <f>IF($A253="","",ROUND($B253-$C253-$K253,2))</f>
        <v/>
      </c>
      <c r="N253" s="17">
        <f>IF(OR($A253="",$B253=0),0,$M253/$B253)</f>
        <v/>
      </c>
      <c r="O253" s="17">
        <f>IF($A253="","",IF((1-$E253)&lt;=0,0,IF($D253=0,0,ROUND(($C253+$G253+$H253+$I253+$J253)/$D253/(1-$E253),2))))</f>
        <v/>
      </c>
      <c r="P253" s="17">
        <f>IF($A253="","",IFERROR(SUMIF(tblAnahtarA[Norm],$A253,tblGirdi[HedefNet]),0))</f>
        <v/>
      </c>
      <c r="Q253" s="17">
        <f>IF($A253="","",ROUND($M253-$P253,2))</f>
        <v/>
      </c>
      <c r="R253" s="17">
        <f>IF($A253="","",ROUND($B253-$K253,2))</f>
        <v/>
      </c>
      <c r="S253" s="17">
        <f>IF($A253="","",IF($N253&lt;0,"ÇEKİL",IF($N253&lt;tyk_esikMarjDusuk,"ZAM","SAT")))</f>
        <v/>
      </c>
      <c r="T253" s="17">
        <f>IF($A253="","",$L253-$F253)</f>
        <v/>
      </c>
      <c r="U253" s="17">
        <f>IF($A253="","",$M253-$Q253)</f>
        <v/>
      </c>
      <c r="V253" s="17">
        <f>IF($A253="","",$R253-$M253)</f>
        <v/>
      </c>
    </row>
    <row r="254">
      <c r="A254" s="17">
        <f>IF('ANAHTAR'!$B254="","",'ANAHTAR'!$B254)</f>
        <v/>
      </c>
      <c r="B254" s="17">
        <f>IF($A254="","",IFERROR(SUMIF(tblAnahtarA[Norm],$A254,tblGirdi[ToplamSatis]),0))</f>
        <v/>
      </c>
      <c r="C254" s="17">
        <f>IF($A254="","",IFERROR(SUMIF(tblAnahtarA[Norm],$A254,tblGirdi[Maliyet])*IFERROR(SUMIF(tblAnahtarA[Norm],$A254,tblGirdi[Miktar]),1),0))</f>
        <v/>
      </c>
      <c r="D254" s="17">
        <f>IF($A254="","",IFERROR(SUMIF(tblAnahtarA[Norm],$A254,tblGirdi[Miktar]),0))</f>
        <v/>
      </c>
      <c r="E254" s="17">
        <f>IF($A254="","",IFERROR(SUMIF(tblAnahtarA[Norm],$A254,tblGirdi[KomisyonOran]),0))</f>
        <v/>
      </c>
      <c r="F254" s="17">
        <f>IF($A254="","",ROUND($B254*$E254,2))</f>
        <v/>
      </c>
      <c r="G254" s="17">
        <f>IF($A254="","",IFERROR(SUMIF(tblAnahtarB[NormB],$A254,tblHakedis[TyPlus]),0))</f>
        <v/>
      </c>
      <c r="H254" s="17">
        <f>IF($A254="","",IFERROR(SUMIF(tblAnahtarB[NormB],$A254,tblHakedis[FlasKesinti]),0))</f>
        <v/>
      </c>
      <c r="I254" s="17">
        <f>IF($A254="","",IFERROR(SUMIF(tblAnahtarB[NormB],$A254,tblHakedis[UrunReklam]),0))</f>
        <v/>
      </c>
      <c r="J254" s="17">
        <f>IF($A254="","",IFERROR(SUMIF(tblAnahtarB[NormB],$A254,tblHakedis[DesiKargo]),0))</f>
        <v/>
      </c>
      <c r="K254" s="17">
        <f>IF($A254="","",ROUND($F254+$G254+$H254+$I254+$J254,2))</f>
        <v/>
      </c>
      <c r="L254" s="17">
        <f>IF($A254="","",ROUND($B254-$C254,2))</f>
        <v/>
      </c>
      <c r="M254" s="17">
        <f>IF($A254="","",ROUND($B254-$C254-$K254,2))</f>
        <v/>
      </c>
      <c r="N254" s="17">
        <f>IF(OR($A254="",$B254=0),0,$M254/$B254)</f>
        <v/>
      </c>
      <c r="O254" s="17">
        <f>IF($A254="","",IF((1-$E254)&lt;=0,0,IF($D254=0,0,ROUND(($C254+$G254+$H254+$I254+$J254)/$D254/(1-$E254),2))))</f>
        <v/>
      </c>
      <c r="P254" s="17">
        <f>IF($A254="","",IFERROR(SUMIF(tblAnahtarA[Norm],$A254,tblGirdi[HedefNet]),0))</f>
        <v/>
      </c>
      <c r="Q254" s="17">
        <f>IF($A254="","",ROUND($M254-$P254,2))</f>
        <v/>
      </c>
      <c r="R254" s="17">
        <f>IF($A254="","",ROUND($B254-$K254,2))</f>
        <v/>
      </c>
      <c r="S254" s="17">
        <f>IF($A254="","",IF($N254&lt;0,"ÇEKİL",IF($N254&lt;tyk_esikMarjDusuk,"ZAM","SAT")))</f>
        <v/>
      </c>
      <c r="T254" s="17">
        <f>IF($A254="","",$L254-$F254)</f>
        <v/>
      </c>
      <c r="U254" s="17">
        <f>IF($A254="","",$M254-$Q254)</f>
        <v/>
      </c>
      <c r="V254" s="17">
        <f>IF($A254="","",$R254-$M254)</f>
        <v/>
      </c>
    </row>
    <row r="255">
      <c r="A255" s="17">
        <f>IF('ANAHTAR'!$B255="","",'ANAHTAR'!$B255)</f>
        <v/>
      </c>
      <c r="B255" s="17">
        <f>IF($A255="","",IFERROR(SUMIF(tblAnahtarA[Norm],$A255,tblGirdi[ToplamSatis]),0))</f>
        <v/>
      </c>
      <c r="C255" s="17">
        <f>IF($A255="","",IFERROR(SUMIF(tblAnahtarA[Norm],$A255,tblGirdi[Maliyet])*IFERROR(SUMIF(tblAnahtarA[Norm],$A255,tblGirdi[Miktar]),1),0))</f>
        <v/>
      </c>
      <c r="D255" s="17">
        <f>IF($A255="","",IFERROR(SUMIF(tblAnahtarA[Norm],$A255,tblGirdi[Miktar]),0))</f>
        <v/>
      </c>
      <c r="E255" s="17">
        <f>IF($A255="","",IFERROR(SUMIF(tblAnahtarA[Norm],$A255,tblGirdi[KomisyonOran]),0))</f>
        <v/>
      </c>
      <c r="F255" s="17">
        <f>IF($A255="","",ROUND($B255*$E255,2))</f>
        <v/>
      </c>
      <c r="G255" s="17">
        <f>IF($A255="","",IFERROR(SUMIF(tblAnahtarB[NormB],$A255,tblHakedis[TyPlus]),0))</f>
        <v/>
      </c>
      <c r="H255" s="17">
        <f>IF($A255="","",IFERROR(SUMIF(tblAnahtarB[NormB],$A255,tblHakedis[FlasKesinti]),0))</f>
        <v/>
      </c>
      <c r="I255" s="17">
        <f>IF($A255="","",IFERROR(SUMIF(tblAnahtarB[NormB],$A255,tblHakedis[UrunReklam]),0))</f>
        <v/>
      </c>
      <c r="J255" s="17">
        <f>IF($A255="","",IFERROR(SUMIF(tblAnahtarB[NormB],$A255,tblHakedis[DesiKargo]),0))</f>
        <v/>
      </c>
      <c r="K255" s="17">
        <f>IF($A255="","",ROUND($F255+$G255+$H255+$I255+$J255,2))</f>
        <v/>
      </c>
      <c r="L255" s="17">
        <f>IF($A255="","",ROUND($B255-$C255,2))</f>
        <v/>
      </c>
      <c r="M255" s="17">
        <f>IF($A255="","",ROUND($B255-$C255-$K255,2))</f>
        <v/>
      </c>
      <c r="N255" s="17">
        <f>IF(OR($A255="",$B255=0),0,$M255/$B255)</f>
        <v/>
      </c>
      <c r="O255" s="17">
        <f>IF($A255="","",IF((1-$E255)&lt;=0,0,IF($D255=0,0,ROUND(($C255+$G255+$H255+$I255+$J255)/$D255/(1-$E255),2))))</f>
        <v/>
      </c>
      <c r="P255" s="17">
        <f>IF($A255="","",IFERROR(SUMIF(tblAnahtarA[Norm],$A255,tblGirdi[HedefNet]),0))</f>
        <v/>
      </c>
      <c r="Q255" s="17">
        <f>IF($A255="","",ROUND($M255-$P255,2))</f>
        <v/>
      </c>
      <c r="R255" s="17">
        <f>IF($A255="","",ROUND($B255-$K255,2))</f>
        <v/>
      </c>
      <c r="S255" s="17">
        <f>IF($A255="","",IF($N255&lt;0,"ÇEKİL",IF($N255&lt;tyk_esikMarjDusuk,"ZAM","SAT")))</f>
        <v/>
      </c>
      <c r="T255" s="17">
        <f>IF($A255="","",$L255-$F255)</f>
        <v/>
      </c>
      <c r="U255" s="17">
        <f>IF($A255="","",$M255-$Q255)</f>
        <v/>
      </c>
      <c r="V255" s="17">
        <f>IF($A255="","",$R255-$M255)</f>
        <v/>
      </c>
    </row>
    <row r="256">
      <c r="A256" s="17">
        <f>IF('ANAHTAR'!$B256="","",'ANAHTAR'!$B256)</f>
        <v/>
      </c>
      <c r="B256" s="17">
        <f>IF($A256="","",IFERROR(SUMIF(tblAnahtarA[Norm],$A256,tblGirdi[ToplamSatis]),0))</f>
        <v/>
      </c>
      <c r="C256" s="17">
        <f>IF($A256="","",IFERROR(SUMIF(tblAnahtarA[Norm],$A256,tblGirdi[Maliyet])*IFERROR(SUMIF(tblAnahtarA[Norm],$A256,tblGirdi[Miktar]),1),0))</f>
        <v/>
      </c>
      <c r="D256" s="17">
        <f>IF($A256="","",IFERROR(SUMIF(tblAnahtarA[Norm],$A256,tblGirdi[Miktar]),0))</f>
        <v/>
      </c>
      <c r="E256" s="17">
        <f>IF($A256="","",IFERROR(SUMIF(tblAnahtarA[Norm],$A256,tblGirdi[KomisyonOran]),0))</f>
        <v/>
      </c>
      <c r="F256" s="17">
        <f>IF($A256="","",ROUND($B256*$E256,2))</f>
        <v/>
      </c>
      <c r="G256" s="17">
        <f>IF($A256="","",IFERROR(SUMIF(tblAnahtarB[NormB],$A256,tblHakedis[TyPlus]),0))</f>
        <v/>
      </c>
      <c r="H256" s="17">
        <f>IF($A256="","",IFERROR(SUMIF(tblAnahtarB[NormB],$A256,tblHakedis[FlasKesinti]),0))</f>
        <v/>
      </c>
      <c r="I256" s="17">
        <f>IF($A256="","",IFERROR(SUMIF(tblAnahtarB[NormB],$A256,tblHakedis[UrunReklam]),0))</f>
        <v/>
      </c>
      <c r="J256" s="17">
        <f>IF($A256="","",IFERROR(SUMIF(tblAnahtarB[NormB],$A256,tblHakedis[DesiKargo]),0))</f>
        <v/>
      </c>
      <c r="K256" s="17">
        <f>IF($A256="","",ROUND($F256+$G256+$H256+$I256+$J256,2))</f>
        <v/>
      </c>
      <c r="L256" s="17">
        <f>IF($A256="","",ROUND($B256-$C256,2))</f>
        <v/>
      </c>
      <c r="M256" s="17">
        <f>IF($A256="","",ROUND($B256-$C256-$K256,2))</f>
        <v/>
      </c>
      <c r="N256" s="17">
        <f>IF(OR($A256="",$B256=0),0,$M256/$B256)</f>
        <v/>
      </c>
      <c r="O256" s="17">
        <f>IF($A256="","",IF((1-$E256)&lt;=0,0,IF($D256=0,0,ROUND(($C256+$G256+$H256+$I256+$J256)/$D256/(1-$E256),2))))</f>
        <v/>
      </c>
      <c r="P256" s="17">
        <f>IF($A256="","",IFERROR(SUMIF(tblAnahtarA[Norm],$A256,tblGirdi[HedefNet]),0))</f>
        <v/>
      </c>
      <c r="Q256" s="17">
        <f>IF($A256="","",ROUND($M256-$P256,2))</f>
        <v/>
      </c>
      <c r="R256" s="17">
        <f>IF($A256="","",ROUND($B256-$K256,2))</f>
        <v/>
      </c>
      <c r="S256" s="17">
        <f>IF($A256="","",IF($N256&lt;0,"ÇEKİL",IF($N256&lt;tyk_esikMarjDusuk,"ZAM","SAT")))</f>
        <v/>
      </c>
      <c r="T256" s="17">
        <f>IF($A256="","",$L256-$F256)</f>
        <v/>
      </c>
      <c r="U256" s="17">
        <f>IF($A256="","",$M256-$Q256)</f>
        <v/>
      </c>
      <c r="V256" s="17">
        <f>IF($A256="","",$R256-$M256)</f>
        <v/>
      </c>
    </row>
    <row r="257">
      <c r="A257" s="17">
        <f>IF('ANAHTAR'!$B257="","",'ANAHTAR'!$B257)</f>
        <v/>
      </c>
      <c r="B257" s="17">
        <f>IF($A257="","",IFERROR(SUMIF(tblAnahtarA[Norm],$A257,tblGirdi[ToplamSatis]),0))</f>
        <v/>
      </c>
      <c r="C257" s="17">
        <f>IF($A257="","",IFERROR(SUMIF(tblAnahtarA[Norm],$A257,tblGirdi[Maliyet])*IFERROR(SUMIF(tblAnahtarA[Norm],$A257,tblGirdi[Miktar]),1),0))</f>
        <v/>
      </c>
      <c r="D257" s="17">
        <f>IF($A257="","",IFERROR(SUMIF(tblAnahtarA[Norm],$A257,tblGirdi[Miktar]),0))</f>
        <v/>
      </c>
      <c r="E257" s="17">
        <f>IF($A257="","",IFERROR(SUMIF(tblAnahtarA[Norm],$A257,tblGirdi[KomisyonOran]),0))</f>
        <v/>
      </c>
      <c r="F257" s="17">
        <f>IF($A257="","",ROUND($B257*$E257,2))</f>
        <v/>
      </c>
      <c r="G257" s="17">
        <f>IF($A257="","",IFERROR(SUMIF(tblAnahtarB[NormB],$A257,tblHakedis[TyPlus]),0))</f>
        <v/>
      </c>
      <c r="H257" s="17">
        <f>IF($A257="","",IFERROR(SUMIF(tblAnahtarB[NormB],$A257,tblHakedis[FlasKesinti]),0))</f>
        <v/>
      </c>
      <c r="I257" s="17">
        <f>IF($A257="","",IFERROR(SUMIF(tblAnahtarB[NormB],$A257,tblHakedis[UrunReklam]),0))</f>
        <v/>
      </c>
      <c r="J257" s="17">
        <f>IF($A257="","",IFERROR(SUMIF(tblAnahtarB[NormB],$A257,tblHakedis[DesiKargo]),0))</f>
        <v/>
      </c>
      <c r="K257" s="17">
        <f>IF($A257="","",ROUND($F257+$G257+$H257+$I257+$J257,2))</f>
        <v/>
      </c>
      <c r="L257" s="17">
        <f>IF($A257="","",ROUND($B257-$C257,2))</f>
        <v/>
      </c>
      <c r="M257" s="17">
        <f>IF($A257="","",ROUND($B257-$C257-$K257,2))</f>
        <v/>
      </c>
      <c r="N257" s="17">
        <f>IF(OR($A257="",$B257=0),0,$M257/$B257)</f>
        <v/>
      </c>
      <c r="O257" s="17">
        <f>IF($A257="","",IF((1-$E257)&lt;=0,0,IF($D257=0,0,ROUND(($C257+$G257+$H257+$I257+$J257)/$D257/(1-$E257),2))))</f>
        <v/>
      </c>
      <c r="P257" s="17">
        <f>IF($A257="","",IFERROR(SUMIF(tblAnahtarA[Norm],$A257,tblGirdi[HedefNet]),0))</f>
        <v/>
      </c>
      <c r="Q257" s="17">
        <f>IF($A257="","",ROUND($M257-$P257,2))</f>
        <v/>
      </c>
      <c r="R257" s="17">
        <f>IF($A257="","",ROUND($B257-$K257,2))</f>
        <v/>
      </c>
      <c r="S257" s="17">
        <f>IF($A257="","",IF($N257&lt;0,"ÇEKİL",IF($N257&lt;tyk_esikMarjDusuk,"ZAM","SAT")))</f>
        <v/>
      </c>
      <c r="T257" s="17">
        <f>IF($A257="","",$L257-$F257)</f>
        <v/>
      </c>
      <c r="U257" s="17">
        <f>IF($A257="","",$M257-$Q257)</f>
        <v/>
      </c>
      <c r="V257" s="17">
        <f>IF($A257="","",$R257-$M257)</f>
        <v/>
      </c>
    </row>
    <row r="258">
      <c r="A258" s="17">
        <f>IF('ANAHTAR'!$B258="","",'ANAHTAR'!$B258)</f>
        <v/>
      </c>
      <c r="B258" s="17">
        <f>IF($A258="","",IFERROR(SUMIF(tblAnahtarA[Norm],$A258,tblGirdi[ToplamSatis]),0))</f>
        <v/>
      </c>
      <c r="C258" s="17">
        <f>IF($A258="","",IFERROR(SUMIF(tblAnahtarA[Norm],$A258,tblGirdi[Maliyet])*IFERROR(SUMIF(tblAnahtarA[Norm],$A258,tblGirdi[Miktar]),1),0))</f>
        <v/>
      </c>
      <c r="D258" s="17">
        <f>IF($A258="","",IFERROR(SUMIF(tblAnahtarA[Norm],$A258,tblGirdi[Miktar]),0))</f>
        <v/>
      </c>
      <c r="E258" s="17">
        <f>IF($A258="","",IFERROR(SUMIF(tblAnahtarA[Norm],$A258,tblGirdi[KomisyonOran]),0))</f>
        <v/>
      </c>
      <c r="F258" s="17">
        <f>IF($A258="","",ROUND($B258*$E258,2))</f>
        <v/>
      </c>
      <c r="G258" s="17">
        <f>IF($A258="","",IFERROR(SUMIF(tblAnahtarB[NormB],$A258,tblHakedis[TyPlus]),0))</f>
        <v/>
      </c>
      <c r="H258" s="17">
        <f>IF($A258="","",IFERROR(SUMIF(tblAnahtarB[NormB],$A258,tblHakedis[FlasKesinti]),0))</f>
        <v/>
      </c>
      <c r="I258" s="17">
        <f>IF($A258="","",IFERROR(SUMIF(tblAnahtarB[NormB],$A258,tblHakedis[UrunReklam]),0))</f>
        <v/>
      </c>
      <c r="J258" s="17">
        <f>IF($A258="","",IFERROR(SUMIF(tblAnahtarB[NormB],$A258,tblHakedis[DesiKargo]),0))</f>
        <v/>
      </c>
      <c r="K258" s="17">
        <f>IF($A258="","",ROUND($F258+$G258+$H258+$I258+$J258,2))</f>
        <v/>
      </c>
      <c r="L258" s="17">
        <f>IF($A258="","",ROUND($B258-$C258,2))</f>
        <v/>
      </c>
      <c r="M258" s="17">
        <f>IF($A258="","",ROUND($B258-$C258-$K258,2))</f>
        <v/>
      </c>
      <c r="N258" s="17">
        <f>IF(OR($A258="",$B258=0),0,$M258/$B258)</f>
        <v/>
      </c>
      <c r="O258" s="17">
        <f>IF($A258="","",IF((1-$E258)&lt;=0,0,IF($D258=0,0,ROUND(($C258+$G258+$H258+$I258+$J258)/$D258/(1-$E258),2))))</f>
        <v/>
      </c>
      <c r="P258" s="17">
        <f>IF($A258="","",IFERROR(SUMIF(tblAnahtarA[Norm],$A258,tblGirdi[HedefNet]),0))</f>
        <v/>
      </c>
      <c r="Q258" s="17">
        <f>IF($A258="","",ROUND($M258-$P258,2))</f>
        <v/>
      </c>
      <c r="R258" s="17">
        <f>IF($A258="","",ROUND($B258-$K258,2))</f>
        <v/>
      </c>
      <c r="S258" s="17">
        <f>IF($A258="","",IF($N258&lt;0,"ÇEKİL",IF($N258&lt;tyk_esikMarjDusuk,"ZAM","SAT")))</f>
        <v/>
      </c>
      <c r="T258" s="17">
        <f>IF($A258="","",$L258-$F258)</f>
        <v/>
      </c>
      <c r="U258" s="17">
        <f>IF($A258="","",$M258-$Q258)</f>
        <v/>
      </c>
      <c r="V258" s="17">
        <f>IF($A258="","",$R258-$M258)</f>
        <v/>
      </c>
    </row>
    <row r="259">
      <c r="A259" s="17">
        <f>IF('ANAHTAR'!$B259="","",'ANAHTAR'!$B259)</f>
        <v/>
      </c>
      <c r="B259" s="17">
        <f>IF($A259="","",IFERROR(SUMIF(tblAnahtarA[Norm],$A259,tblGirdi[ToplamSatis]),0))</f>
        <v/>
      </c>
      <c r="C259" s="17">
        <f>IF($A259="","",IFERROR(SUMIF(tblAnahtarA[Norm],$A259,tblGirdi[Maliyet])*IFERROR(SUMIF(tblAnahtarA[Norm],$A259,tblGirdi[Miktar]),1),0))</f>
        <v/>
      </c>
      <c r="D259" s="17">
        <f>IF($A259="","",IFERROR(SUMIF(tblAnahtarA[Norm],$A259,tblGirdi[Miktar]),0))</f>
        <v/>
      </c>
      <c r="E259" s="17">
        <f>IF($A259="","",IFERROR(SUMIF(tblAnahtarA[Norm],$A259,tblGirdi[KomisyonOran]),0))</f>
        <v/>
      </c>
      <c r="F259" s="17">
        <f>IF($A259="","",ROUND($B259*$E259,2))</f>
        <v/>
      </c>
      <c r="G259" s="17">
        <f>IF($A259="","",IFERROR(SUMIF(tblAnahtarB[NormB],$A259,tblHakedis[TyPlus]),0))</f>
        <v/>
      </c>
      <c r="H259" s="17">
        <f>IF($A259="","",IFERROR(SUMIF(tblAnahtarB[NormB],$A259,tblHakedis[FlasKesinti]),0))</f>
        <v/>
      </c>
      <c r="I259" s="17">
        <f>IF($A259="","",IFERROR(SUMIF(tblAnahtarB[NormB],$A259,tblHakedis[UrunReklam]),0))</f>
        <v/>
      </c>
      <c r="J259" s="17">
        <f>IF($A259="","",IFERROR(SUMIF(tblAnahtarB[NormB],$A259,tblHakedis[DesiKargo]),0))</f>
        <v/>
      </c>
      <c r="K259" s="17">
        <f>IF($A259="","",ROUND($F259+$G259+$H259+$I259+$J259,2))</f>
        <v/>
      </c>
      <c r="L259" s="17">
        <f>IF($A259="","",ROUND($B259-$C259,2))</f>
        <v/>
      </c>
      <c r="M259" s="17">
        <f>IF($A259="","",ROUND($B259-$C259-$K259,2))</f>
        <v/>
      </c>
      <c r="N259" s="17">
        <f>IF(OR($A259="",$B259=0),0,$M259/$B259)</f>
        <v/>
      </c>
      <c r="O259" s="17">
        <f>IF($A259="","",IF((1-$E259)&lt;=0,0,IF($D259=0,0,ROUND(($C259+$G259+$H259+$I259+$J259)/$D259/(1-$E259),2))))</f>
        <v/>
      </c>
      <c r="P259" s="17">
        <f>IF($A259="","",IFERROR(SUMIF(tblAnahtarA[Norm],$A259,tblGirdi[HedefNet]),0))</f>
        <v/>
      </c>
      <c r="Q259" s="17">
        <f>IF($A259="","",ROUND($M259-$P259,2))</f>
        <v/>
      </c>
      <c r="R259" s="17">
        <f>IF($A259="","",ROUND($B259-$K259,2))</f>
        <v/>
      </c>
      <c r="S259" s="17">
        <f>IF($A259="","",IF($N259&lt;0,"ÇEKİL",IF($N259&lt;tyk_esikMarjDusuk,"ZAM","SAT")))</f>
        <v/>
      </c>
      <c r="T259" s="17">
        <f>IF($A259="","",$L259-$F259)</f>
        <v/>
      </c>
      <c r="U259" s="17">
        <f>IF($A259="","",$M259-$Q259)</f>
        <v/>
      </c>
      <c r="V259" s="17">
        <f>IF($A259="","",$R259-$M259)</f>
        <v/>
      </c>
    </row>
    <row r="260">
      <c r="A260" s="17">
        <f>IF('ANAHTAR'!$B260="","",'ANAHTAR'!$B260)</f>
        <v/>
      </c>
      <c r="B260" s="17">
        <f>IF($A260="","",IFERROR(SUMIF(tblAnahtarA[Norm],$A260,tblGirdi[ToplamSatis]),0))</f>
        <v/>
      </c>
      <c r="C260" s="17">
        <f>IF($A260="","",IFERROR(SUMIF(tblAnahtarA[Norm],$A260,tblGirdi[Maliyet])*IFERROR(SUMIF(tblAnahtarA[Norm],$A260,tblGirdi[Miktar]),1),0))</f>
        <v/>
      </c>
      <c r="D260" s="17">
        <f>IF($A260="","",IFERROR(SUMIF(tblAnahtarA[Norm],$A260,tblGirdi[Miktar]),0))</f>
        <v/>
      </c>
      <c r="E260" s="17">
        <f>IF($A260="","",IFERROR(SUMIF(tblAnahtarA[Norm],$A260,tblGirdi[KomisyonOran]),0))</f>
        <v/>
      </c>
      <c r="F260" s="17">
        <f>IF($A260="","",ROUND($B260*$E260,2))</f>
        <v/>
      </c>
      <c r="G260" s="17">
        <f>IF($A260="","",IFERROR(SUMIF(tblAnahtarB[NormB],$A260,tblHakedis[TyPlus]),0))</f>
        <v/>
      </c>
      <c r="H260" s="17">
        <f>IF($A260="","",IFERROR(SUMIF(tblAnahtarB[NormB],$A260,tblHakedis[FlasKesinti]),0))</f>
        <v/>
      </c>
      <c r="I260" s="17">
        <f>IF($A260="","",IFERROR(SUMIF(tblAnahtarB[NormB],$A260,tblHakedis[UrunReklam]),0))</f>
        <v/>
      </c>
      <c r="J260" s="17">
        <f>IF($A260="","",IFERROR(SUMIF(tblAnahtarB[NormB],$A260,tblHakedis[DesiKargo]),0))</f>
        <v/>
      </c>
      <c r="K260" s="17">
        <f>IF($A260="","",ROUND($F260+$G260+$H260+$I260+$J260,2))</f>
        <v/>
      </c>
      <c r="L260" s="17">
        <f>IF($A260="","",ROUND($B260-$C260,2))</f>
        <v/>
      </c>
      <c r="M260" s="17">
        <f>IF($A260="","",ROUND($B260-$C260-$K260,2))</f>
        <v/>
      </c>
      <c r="N260" s="17">
        <f>IF(OR($A260="",$B260=0),0,$M260/$B260)</f>
        <v/>
      </c>
      <c r="O260" s="17">
        <f>IF($A260="","",IF((1-$E260)&lt;=0,0,IF($D260=0,0,ROUND(($C260+$G260+$H260+$I260+$J260)/$D260/(1-$E260),2))))</f>
        <v/>
      </c>
      <c r="P260" s="17">
        <f>IF($A260="","",IFERROR(SUMIF(tblAnahtarA[Norm],$A260,tblGirdi[HedefNet]),0))</f>
        <v/>
      </c>
      <c r="Q260" s="17">
        <f>IF($A260="","",ROUND($M260-$P260,2))</f>
        <v/>
      </c>
      <c r="R260" s="17">
        <f>IF($A260="","",ROUND($B260-$K260,2))</f>
        <v/>
      </c>
      <c r="S260" s="17">
        <f>IF($A260="","",IF($N260&lt;0,"ÇEKİL",IF($N260&lt;tyk_esikMarjDusuk,"ZAM","SAT")))</f>
        <v/>
      </c>
      <c r="T260" s="17">
        <f>IF($A260="","",$L260-$F260)</f>
        <v/>
      </c>
      <c r="U260" s="17">
        <f>IF($A260="","",$M260-$Q260)</f>
        <v/>
      </c>
      <c r="V260" s="17">
        <f>IF($A260="","",$R260-$M260)</f>
        <v/>
      </c>
    </row>
    <row r="261">
      <c r="A261" s="17">
        <f>IF('ANAHTAR'!$B261="","",'ANAHTAR'!$B261)</f>
        <v/>
      </c>
      <c r="B261" s="17">
        <f>IF($A261="","",IFERROR(SUMIF(tblAnahtarA[Norm],$A261,tblGirdi[ToplamSatis]),0))</f>
        <v/>
      </c>
      <c r="C261" s="17">
        <f>IF($A261="","",IFERROR(SUMIF(tblAnahtarA[Norm],$A261,tblGirdi[Maliyet])*IFERROR(SUMIF(tblAnahtarA[Norm],$A261,tblGirdi[Miktar]),1),0))</f>
        <v/>
      </c>
      <c r="D261" s="17">
        <f>IF($A261="","",IFERROR(SUMIF(tblAnahtarA[Norm],$A261,tblGirdi[Miktar]),0))</f>
        <v/>
      </c>
      <c r="E261" s="17">
        <f>IF($A261="","",IFERROR(SUMIF(tblAnahtarA[Norm],$A261,tblGirdi[KomisyonOran]),0))</f>
        <v/>
      </c>
      <c r="F261" s="17">
        <f>IF($A261="","",ROUND($B261*$E261,2))</f>
        <v/>
      </c>
      <c r="G261" s="17">
        <f>IF($A261="","",IFERROR(SUMIF(tblAnahtarB[NormB],$A261,tblHakedis[TyPlus]),0))</f>
        <v/>
      </c>
      <c r="H261" s="17">
        <f>IF($A261="","",IFERROR(SUMIF(tblAnahtarB[NormB],$A261,tblHakedis[FlasKesinti]),0))</f>
        <v/>
      </c>
      <c r="I261" s="17">
        <f>IF($A261="","",IFERROR(SUMIF(tblAnahtarB[NormB],$A261,tblHakedis[UrunReklam]),0))</f>
        <v/>
      </c>
      <c r="J261" s="17">
        <f>IF($A261="","",IFERROR(SUMIF(tblAnahtarB[NormB],$A261,tblHakedis[DesiKargo]),0))</f>
        <v/>
      </c>
      <c r="K261" s="17">
        <f>IF($A261="","",ROUND($F261+$G261+$H261+$I261+$J261,2))</f>
        <v/>
      </c>
      <c r="L261" s="17">
        <f>IF($A261="","",ROUND($B261-$C261,2))</f>
        <v/>
      </c>
      <c r="M261" s="17">
        <f>IF($A261="","",ROUND($B261-$C261-$K261,2))</f>
        <v/>
      </c>
      <c r="N261" s="17">
        <f>IF(OR($A261="",$B261=0),0,$M261/$B261)</f>
        <v/>
      </c>
      <c r="O261" s="17">
        <f>IF($A261="","",IF((1-$E261)&lt;=0,0,IF($D261=0,0,ROUND(($C261+$G261+$H261+$I261+$J261)/$D261/(1-$E261),2))))</f>
        <v/>
      </c>
      <c r="P261" s="17">
        <f>IF($A261="","",IFERROR(SUMIF(tblAnahtarA[Norm],$A261,tblGirdi[HedefNet]),0))</f>
        <v/>
      </c>
      <c r="Q261" s="17">
        <f>IF($A261="","",ROUND($M261-$P261,2))</f>
        <v/>
      </c>
      <c r="R261" s="17">
        <f>IF($A261="","",ROUND($B261-$K261,2))</f>
        <v/>
      </c>
      <c r="S261" s="17">
        <f>IF($A261="","",IF($N261&lt;0,"ÇEKİL",IF($N261&lt;tyk_esikMarjDusuk,"ZAM","SAT")))</f>
        <v/>
      </c>
      <c r="T261" s="17">
        <f>IF($A261="","",$L261-$F261)</f>
        <v/>
      </c>
      <c r="U261" s="17">
        <f>IF($A261="","",$M261-$Q261)</f>
        <v/>
      </c>
      <c r="V261" s="17">
        <f>IF($A261="","",$R261-$M261)</f>
        <v/>
      </c>
    </row>
    <row r="262">
      <c r="A262" s="17">
        <f>IF('ANAHTAR'!$B262="","",'ANAHTAR'!$B262)</f>
        <v/>
      </c>
      <c r="B262" s="17">
        <f>IF($A262="","",IFERROR(SUMIF(tblAnahtarA[Norm],$A262,tblGirdi[ToplamSatis]),0))</f>
        <v/>
      </c>
      <c r="C262" s="17">
        <f>IF($A262="","",IFERROR(SUMIF(tblAnahtarA[Norm],$A262,tblGirdi[Maliyet])*IFERROR(SUMIF(tblAnahtarA[Norm],$A262,tblGirdi[Miktar]),1),0))</f>
        <v/>
      </c>
      <c r="D262" s="17">
        <f>IF($A262="","",IFERROR(SUMIF(tblAnahtarA[Norm],$A262,tblGirdi[Miktar]),0))</f>
        <v/>
      </c>
      <c r="E262" s="17">
        <f>IF($A262="","",IFERROR(SUMIF(tblAnahtarA[Norm],$A262,tblGirdi[KomisyonOran]),0))</f>
        <v/>
      </c>
      <c r="F262" s="17">
        <f>IF($A262="","",ROUND($B262*$E262,2))</f>
        <v/>
      </c>
      <c r="G262" s="17">
        <f>IF($A262="","",IFERROR(SUMIF(tblAnahtarB[NormB],$A262,tblHakedis[TyPlus]),0))</f>
        <v/>
      </c>
      <c r="H262" s="17">
        <f>IF($A262="","",IFERROR(SUMIF(tblAnahtarB[NormB],$A262,tblHakedis[FlasKesinti]),0))</f>
        <v/>
      </c>
      <c r="I262" s="17">
        <f>IF($A262="","",IFERROR(SUMIF(tblAnahtarB[NormB],$A262,tblHakedis[UrunReklam]),0))</f>
        <v/>
      </c>
      <c r="J262" s="17">
        <f>IF($A262="","",IFERROR(SUMIF(tblAnahtarB[NormB],$A262,tblHakedis[DesiKargo]),0))</f>
        <v/>
      </c>
      <c r="K262" s="17">
        <f>IF($A262="","",ROUND($F262+$G262+$H262+$I262+$J262,2))</f>
        <v/>
      </c>
      <c r="L262" s="17">
        <f>IF($A262="","",ROUND($B262-$C262,2))</f>
        <v/>
      </c>
      <c r="M262" s="17">
        <f>IF($A262="","",ROUND($B262-$C262-$K262,2))</f>
        <v/>
      </c>
      <c r="N262" s="17">
        <f>IF(OR($A262="",$B262=0),0,$M262/$B262)</f>
        <v/>
      </c>
      <c r="O262" s="17">
        <f>IF($A262="","",IF((1-$E262)&lt;=0,0,IF($D262=0,0,ROUND(($C262+$G262+$H262+$I262+$J262)/$D262/(1-$E262),2))))</f>
        <v/>
      </c>
      <c r="P262" s="17">
        <f>IF($A262="","",IFERROR(SUMIF(tblAnahtarA[Norm],$A262,tblGirdi[HedefNet]),0))</f>
        <v/>
      </c>
      <c r="Q262" s="17">
        <f>IF($A262="","",ROUND($M262-$P262,2))</f>
        <v/>
      </c>
      <c r="R262" s="17">
        <f>IF($A262="","",ROUND($B262-$K262,2))</f>
        <v/>
      </c>
      <c r="S262" s="17">
        <f>IF($A262="","",IF($N262&lt;0,"ÇEKİL",IF($N262&lt;tyk_esikMarjDusuk,"ZAM","SAT")))</f>
        <v/>
      </c>
      <c r="T262" s="17">
        <f>IF($A262="","",$L262-$F262)</f>
        <v/>
      </c>
      <c r="U262" s="17">
        <f>IF($A262="","",$M262-$Q262)</f>
        <v/>
      </c>
      <c r="V262" s="17">
        <f>IF($A262="","",$R262-$M262)</f>
        <v/>
      </c>
    </row>
    <row r="263">
      <c r="A263" s="17">
        <f>IF('ANAHTAR'!$B263="","",'ANAHTAR'!$B263)</f>
        <v/>
      </c>
      <c r="B263" s="17">
        <f>IF($A263="","",IFERROR(SUMIF(tblAnahtarA[Norm],$A263,tblGirdi[ToplamSatis]),0))</f>
        <v/>
      </c>
      <c r="C263" s="17">
        <f>IF($A263="","",IFERROR(SUMIF(tblAnahtarA[Norm],$A263,tblGirdi[Maliyet])*IFERROR(SUMIF(tblAnahtarA[Norm],$A263,tblGirdi[Miktar]),1),0))</f>
        <v/>
      </c>
      <c r="D263" s="17">
        <f>IF($A263="","",IFERROR(SUMIF(tblAnahtarA[Norm],$A263,tblGirdi[Miktar]),0))</f>
        <v/>
      </c>
      <c r="E263" s="17">
        <f>IF($A263="","",IFERROR(SUMIF(tblAnahtarA[Norm],$A263,tblGirdi[KomisyonOran]),0))</f>
        <v/>
      </c>
      <c r="F263" s="17">
        <f>IF($A263="","",ROUND($B263*$E263,2))</f>
        <v/>
      </c>
      <c r="G263" s="17">
        <f>IF($A263="","",IFERROR(SUMIF(tblAnahtarB[NormB],$A263,tblHakedis[TyPlus]),0))</f>
        <v/>
      </c>
      <c r="H263" s="17">
        <f>IF($A263="","",IFERROR(SUMIF(tblAnahtarB[NormB],$A263,tblHakedis[FlasKesinti]),0))</f>
        <v/>
      </c>
      <c r="I263" s="17">
        <f>IF($A263="","",IFERROR(SUMIF(tblAnahtarB[NormB],$A263,tblHakedis[UrunReklam]),0))</f>
        <v/>
      </c>
      <c r="J263" s="17">
        <f>IF($A263="","",IFERROR(SUMIF(tblAnahtarB[NormB],$A263,tblHakedis[DesiKargo]),0))</f>
        <v/>
      </c>
      <c r="K263" s="17">
        <f>IF($A263="","",ROUND($F263+$G263+$H263+$I263+$J263,2))</f>
        <v/>
      </c>
      <c r="L263" s="17">
        <f>IF($A263="","",ROUND($B263-$C263,2))</f>
        <v/>
      </c>
      <c r="M263" s="17">
        <f>IF($A263="","",ROUND($B263-$C263-$K263,2))</f>
        <v/>
      </c>
      <c r="N263" s="17">
        <f>IF(OR($A263="",$B263=0),0,$M263/$B263)</f>
        <v/>
      </c>
      <c r="O263" s="17">
        <f>IF($A263="","",IF((1-$E263)&lt;=0,0,IF($D263=0,0,ROUND(($C263+$G263+$H263+$I263+$J263)/$D263/(1-$E263),2))))</f>
        <v/>
      </c>
      <c r="P263" s="17">
        <f>IF($A263="","",IFERROR(SUMIF(tblAnahtarA[Norm],$A263,tblGirdi[HedefNet]),0))</f>
        <v/>
      </c>
      <c r="Q263" s="17">
        <f>IF($A263="","",ROUND($M263-$P263,2))</f>
        <v/>
      </c>
      <c r="R263" s="17">
        <f>IF($A263="","",ROUND($B263-$K263,2))</f>
        <v/>
      </c>
      <c r="S263" s="17">
        <f>IF($A263="","",IF($N263&lt;0,"ÇEKİL",IF($N263&lt;tyk_esikMarjDusuk,"ZAM","SAT")))</f>
        <v/>
      </c>
      <c r="T263" s="17">
        <f>IF($A263="","",$L263-$F263)</f>
        <v/>
      </c>
      <c r="U263" s="17">
        <f>IF($A263="","",$M263-$Q263)</f>
        <v/>
      </c>
      <c r="V263" s="17">
        <f>IF($A263="","",$R263-$M263)</f>
        <v/>
      </c>
    </row>
    <row r="264">
      <c r="A264" s="17">
        <f>IF('ANAHTAR'!$B264="","",'ANAHTAR'!$B264)</f>
        <v/>
      </c>
      <c r="B264" s="17">
        <f>IF($A264="","",IFERROR(SUMIF(tblAnahtarA[Norm],$A264,tblGirdi[ToplamSatis]),0))</f>
        <v/>
      </c>
      <c r="C264" s="17">
        <f>IF($A264="","",IFERROR(SUMIF(tblAnahtarA[Norm],$A264,tblGirdi[Maliyet])*IFERROR(SUMIF(tblAnahtarA[Norm],$A264,tblGirdi[Miktar]),1),0))</f>
        <v/>
      </c>
      <c r="D264" s="17">
        <f>IF($A264="","",IFERROR(SUMIF(tblAnahtarA[Norm],$A264,tblGirdi[Miktar]),0))</f>
        <v/>
      </c>
      <c r="E264" s="17">
        <f>IF($A264="","",IFERROR(SUMIF(tblAnahtarA[Norm],$A264,tblGirdi[KomisyonOran]),0))</f>
        <v/>
      </c>
      <c r="F264" s="17">
        <f>IF($A264="","",ROUND($B264*$E264,2))</f>
        <v/>
      </c>
      <c r="G264" s="17">
        <f>IF($A264="","",IFERROR(SUMIF(tblAnahtarB[NormB],$A264,tblHakedis[TyPlus]),0))</f>
        <v/>
      </c>
      <c r="H264" s="17">
        <f>IF($A264="","",IFERROR(SUMIF(tblAnahtarB[NormB],$A264,tblHakedis[FlasKesinti]),0))</f>
        <v/>
      </c>
      <c r="I264" s="17">
        <f>IF($A264="","",IFERROR(SUMIF(tblAnahtarB[NormB],$A264,tblHakedis[UrunReklam]),0))</f>
        <v/>
      </c>
      <c r="J264" s="17">
        <f>IF($A264="","",IFERROR(SUMIF(tblAnahtarB[NormB],$A264,tblHakedis[DesiKargo]),0))</f>
        <v/>
      </c>
      <c r="K264" s="17">
        <f>IF($A264="","",ROUND($F264+$G264+$H264+$I264+$J264,2))</f>
        <v/>
      </c>
      <c r="L264" s="17">
        <f>IF($A264="","",ROUND($B264-$C264,2))</f>
        <v/>
      </c>
      <c r="M264" s="17">
        <f>IF($A264="","",ROUND($B264-$C264-$K264,2))</f>
        <v/>
      </c>
      <c r="N264" s="17">
        <f>IF(OR($A264="",$B264=0),0,$M264/$B264)</f>
        <v/>
      </c>
      <c r="O264" s="17">
        <f>IF($A264="","",IF((1-$E264)&lt;=0,0,IF($D264=0,0,ROUND(($C264+$G264+$H264+$I264+$J264)/$D264/(1-$E264),2))))</f>
        <v/>
      </c>
      <c r="P264" s="17">
        <f>IF($A264="","",IFERROR(SUMIF(tblAnahtarA[Norm],$A264,tblGirdi[HedefNet]),0))</f>
        <v/>
      </c>
      <c r="Q264" s="17">
        <f>IF($A264="","",ROUND($M264-$P264,2))</f>
        <v/>
      </c>
      <c r="R264" s="17">
        <f>IF($A264="","",ROUND($B264-$K264,2))</f>
        <v/>
      </c>
      <c r="S264" s="17">
        <f>IF($A264="","",IF($N264&lt;0,"ÇEKİL",IF($N264&lt;tyk_esikMarjDusuk,"ZAM","SAT")))</f>
        <v/>
      </c>
      <c r="T264" s="17">
        <f>IF($A264="","",$L264-$F264)</f>
        <v/>
      </c>
      <c r="U264" s="17">
        <f>IF($A264="","",$M264-$Q264)</f>
        <v/>
      </c>
      <c r="V264" s="17">
        <f>IF($A264="","",$R264-$M264)</f>
        <v/>
      </c>
    </row>
    <row r="265">
      <c r="A265" s="17">
        <f>IF('ANAHTAR'!$B265="","",'ANAHTAR'!$B265)</f>
        <v/>
      </c>
      <c r="B265" s="17">
        <f>IF($A265="","",IFERROR(SUMIF(tblAnahtarA[Norm],$A265,tblGirdi[ToplamSatis]),0))</f>
        <v/>
      </c>
      <c r="C265" s="17">
        <f>IF($A265="","",IFERROR(SUMIF(tblAnahtarA[Norm],$A265,tblGirdi[Maliyet])*IFERROR(SUMIF(tblAnahtarA[Norm],$A265,tblGirdi[Miktar]),1),0))</f>
        <v/>
      </c>
      <c r="D265" s="17">
        <f>IF($A265="","",IFERROR(SUMIF(tblAnahtarA[Norm],$A265,tblGirdi[Miktar]),0))</f>
        <v/>
      </c>
      <c r="E265" s="17">
        <f>IF($A265="","",IFERROR(SUMIF(tblAnahtarA[Norm],$A265,tblGirdi[KomisyonOran]),0))</f>
        <v/>
      </c>
      <c r="F265" s="17">
        <f>IF($A265="","",ROUND($B265*$E265,2))</f>
        <v/>
      </c>
      <c r="G265" s="17">
        <f>IF($A265="","",IFERROR(SUMIF(tblAnahtarB[NormB],$A265,tblHakedis[TyPlus]),0))</f>
        <v/>
      </c>
      <c r="H265" s="17">
        <f>IF($A265="","",IFERROR(SUMIF(tblAnahtarB[NormB],$A265,tblHakedis[FlasKesinti]),0))</f>
        <v/>
      </c>
      <c r="I265" s="17">
        <f>IF($A265="","",IFERROR(SUMIF(tblAnahtarB[NormB],$A265,tblHakedis[UrunReklam]),0))</f>
        <v/>
      </c>
      <c r="J265" s="17">
        <f>IF($A265="","",IFERROR(SUMIF(tblAnahtarB[NormB],$A265,tblHakedis[DesiKargo]),0))</f>
        <v/>
      </c>
      <c r="K265" s="17">
        <f>IF($A265="","",ROUND($F265+$G265+$H265+$I265+$J265,2))</f>
        <v/>
      </c>
      <c r="L265" s="17">
        <f>IF($A265="","",ROUND($B265-$C265,2))</f>
        <v/>
      </c>
      <c r="M265" s="17">
        <f>IF($A265="","",ROUND($B265-$C265-$K265,2))</f>
        <v/>
      </c>
      <c r="N265" s="17">
        <f>IF(OR($A265="",$B265=0),0,$M265/$B265)</f>
        <v/>
      </c>
      <c r="O265" s="17">
        <f>IF($A265="","",IF((1-$E265)&lt;=0,0,IF($D265=0,0,ROUND(($C265+$G265+$H265+$I265+$J265)/$D265/(1-$E265),2))))</f>
        <v/>
      </c>
      <c r="P265" s="17">
        <f>IF($A265="","",IFERROR(SUMIF(tblAnahtarA[Norm],$A265,tblGirdi[HedefNet]),0))</f>
        <v/>
      </c>
      <c r="Q265" s="17">
        <f>IF($A265="","",ROUND($M265-$P265,2))</f>
        <v/>
      </c>
      <c r="R265" s="17">
        <f>IF($A265="","",ROUND($B265-$K265,2))</f>
        <v/>
      </c>
      <c r="S265" s="17">
        <f>IF($A265="","",IF($N265&lt;0,"ÇEKİL",IF($N265&lt;tyk_esikMarjDusuk,"ZAM","SAT")))</f>
        <v/>
      </c>
      <c r="T265" s="17">
        <f>IF($A265="","",$L265-$F265)</f>
        <v/>
      </c>
      <c r="U265" s="17">
        <f>IF($A265="","",$M265-$Q265)</f>
        <v/>
      </c>
      <c r="V265" s="17">
        <f>IF($A265="","",$R265-$M265)</f>
        <v/>
      </c>
    </row>
    <row r="266">
      <c r="A266" s="17">
        <f>IF('ANAHTAR'!$B266="","",'ANAHTAR'!$B266)</f>
        <v/>
      </c>
      <c r="B266" s="17">
        <f>IF($A266="","",IFERROR(SUMIF(tblAnahtarA[Norm],$A266,tblGirdi[ToplamSatis]),0))</f>
        <v/>
      </c>
      <c r="C266" s="17">
        <f>IF($A266="","",IFERROR(SUMIF(tblAnahtarA[Norm],$A266,tblGirdi[Maliyet])*IFERROR(SUMIF(tblAnahtarA[Norm],$A266,tblGirdi[Miktar]),1),0))</f>
        <v/>
      </c>
      <c r="D266" s="17">
        <f>IF($A266="","",IFERROR(SUMIF(tblAnahtarA[Norm],$A266,tblGirdi[Miktar]),0))</f>
        <v/>
      </c>
      <c r="E266" s="17">
        <f>IF($A266="","",IFERROR(SUMIF(tblAnahtarA[Norm],$A266,tblGirdi[KomisyonOran]),0))</f>
        <v/>
      </c>
      <c r="F266" s="17">
        <f>IF($A266="","",ROUND($B266*$E266,2))</f>
        <v/>
      </c>
      <c r="G266" s="17">
        <f>IF($A266="","",IFERROR(SUMIF(tblAnahtarB[NormB],$A266,tblHakedis[TyPlus]),0))</f>
        <v/>
      </c>
      <c r="H266" s="17">
        <f>IF($A266="","",IFERROR(SUMIF(tblAnahtarB[NormB],$A266,tblHakedis[FlasKesinti]),0))</f>
        <v/>
      </c>
      <c r="I266" s="17">
        <f>IF($A266="","",IFERROR(SUMIF(tblAnahtarB[NormB],$A266,tblHakedis[UrunReklam]),0))</f>
        <v/>
      </c>
      <c r="J266" s="17">
        <f>IF($A266="","",IFERROR(SUMIF(tblAnahtarB[NormB],$A266,tblHakedis[DesiKargo]),0))</f>
        <v/>
      </c>
      <c r="K266" s="17">
        <f>IF($A266="","",ROUND($F266+$G266+$H266+$I266+$J266,2))</f>
        <v/>
      </c>
      <c r="L266" s="17">
        <f>IF($A266="","",ROUND($B266-$C266,2))</f>
        <v/>
      </c>
      <c r="M266" s="17">
        <f>IF($A266="","",ROUND($B266-$C266-$K266,2))</f>
        <v/>
      </c>
      <c r="N266" s="17">
        <f>IF(OR($A266="",$B266=0),0,$M266/$B266)</f>
        <v/>
      </c>
      <c r="O266" s="17">
        <f>IF($A266="","",IF((1-$E266)&lt;=0,0,IF($D266=0,0,ROUND(($C266+$G266+$H266+$I266+$J266)/$D266/(1-$E266),2))))</f>
        <v/>
      </c>
      <c r="P266" s="17">
        <f>IF($A266="","",IFERROR(SUMIF(tblAnahtarA[Norm],$A266,tblGirdi[HedefNet]),0))</f>
        <v/>
      </c>
      <c r="Q266" s="17">
        <f>IF($A266="","",ROUND($M266-$P266,2))</f>
        <v/>
      </c>
      <c r="R266" s="17">
        <f>IF($A266="","",ROUND($B266-$K266,2))</f>
        <v/>
      </c>
      <c r="S266" s="17">
        <f>IF($A266="","",IF($N266&lt;0,"ÇEKİL",IF($N266&lt;tyk_esikMarjDusuk,"ZAM","SAT")))</f>
        <v/>
      </c>
      <c r="T266" s="17">
        <f>IF($A266="","",$L266-$F266)</f>
        <v/>
      </c>
      <c r="U266" s="17">
        <f>IF($A266="","",$M266-$Q266)</f>
        <v/>
      </c>
      <c r="V266" s="17">
        <f>IF($A266="","",$R266-$M266)</f>
        <v/>
      </c>
    </row>
    <row r="267">
      <c r="A267" s="17">
        <f>IF('ANAHTAR'!$B267="","",'ANAHTAR'!$B267)</f>
        <v/>
      </c>
      <c r="B267" s="17">
        <f>IF($A267="","",IFERROR(SUMIF(tblAnahtarA[Norm],$A267,tblGirdi[ToplamSatis]),0))</f>
        <v/>
      </c>
      <c r="C267" s="17">
        <f>IF($A267="","",IFERROR(SUMIF(tblAnahtarA[Norm],$A267,tblGirdi[Maliyet])*IFERROR(SUMIF(tblAnahtarA[Norm],$A267,tblGirdi[Miktar]),1),0))</f>
        <v/>
      </c>
      <c r="D267" s="17">
        <f>IF($A267="","",IFERROR(SUMIF(tblAnahtarA[Norm],$A267,tblGirdi[Miktar]),0))</f>
        <v/>
      </c>
      <c r="E267" s="17">
        <f>IF($A267="","",IFERROR(SUMIF(tblAnahtarA[Norm],$A267,tblGirdi[KomisyonOran]),0))</f>
        <v/>
      </c>
      <c r="F267" s="17">
        <f>IF($A267="","",ROUND($B267*$E267,2))</f>
        <v/>
      </c>
      <c r="G267" s="17">
        <f>IF($A267="","",IFERROR(SUMIF(tblAnahtarB[NormB],$A267,tblHakedis[TyPlus]),0))</f>
        <v/>
      </c>
      <c r="H267" s="17">
        <f>IF($A267="","",IFERROR(SUMIF(tblAnahtarB[NormB],$A267,tblHakedis[FlasKesinti]),0))</f>
        <v/>
      </c>
      <c r="I267" s="17">
        <f>IF($A267="","",IFERROR(SUMIF(tblAnahtarB[NormB],$A267,tblHakedis[UrunReklam]),0))</f>
        <v/>
      </c>
      <c r="J267" s="17">
        <f>IF($A267="","",IFERROR(SUMIF(tblAnahtarB[NormB],$A267,tblHakedis[DesiKargo]),0))</f>
        <v/>
      </c>
      <c r="K267" s="17">
        <f>IF($A267="","",ROUND($F267+$G267+$H267+$I267+$J267,2))</f>
        <v/>
      </c>
      <c r="L267" s="17">
        <f>IF($A267="","",ROUND($B267-$C267,2))</f>
        <v/>
      </c>
      <c r="M267" s="17">
        <f>IF($A267="","",ROUND($B267-$C267-$K267,2))</f>
        <v/>
      </c>
      <c r="N267" s="17">
        <f>IF(OR($A267="",$B267=0),0,$M267/$B267)</f>
        <v/>
      </c>
      <c r="O267" s="17">
        <f>IF($A267="","",IF((1-$E267)&lt;=0,0,IF($D267=0,0,ROUND(($C267+$G267+$H267+$I267+$J267)/$D267/(1-$E267),2))))</f>
        <v/>
      </c>
      <c r="P267" s="17">
        <f>IF($A267="","",IFERROR(SUMIF(tblAnahtarA[Norm],$A267,tblGirdi[HedefNet]),0))</f>
        <v/>
      </c>
      <c r="Q267" s="17">
        <f>IF($A267="","",ROUND($M267-$P267,2))</f>
        <v/>
      </c>
      <c r="R267" s="17">
        <f>IF($A267="","",ROUND($B267-$K267,2))</f>
        <v/>
      </c>
      <c r="S267" s="17">
        <f>IF($A267="","",IF($N267&lt;0,"ÇEKİL",IF($N267&lt;tyk_esikMarjDusuk,"ZAM","SAT")))</f>
        <v/>
      </c>
      <c r="T267" s="17">
        <f>IF($A267="","",$L267-$F267)</f>
        <v/>
      </c>
      <c r="U267" s="17">
        <f>IF($A267="","",$M267-$Q267)</f>
        <v/>
      </c>
      <c r="V267" s="17">
        <f>IF($A267="","",$R267-$M267)</f>
        <v/>
      </c>
    </row>
    <row r="268">
      <c r="A268" s="17">
        <f>IF('ANAHTAR'!$B268="","",'ANAHTAR'!$B268)</f>
        <v/>
      </c>
      <c r="B268" s="17">
        <f>IF($A268="","",IFERROR(SUMIF(tblAnahtarA[Norm],$A268,tblGirdi[ToplamSatis]),0))</f>
        <v/>
      </c>
      <c r="C268" s="17">
        <f>IF($A268="","",IFERROR(SUMIF(tblAnahtarA[Norm],$A268,tblGirdi[Maliyet])*IFERROR(SUMIF(tblAnahtarA[Norm],$A268,tblGirdi[Miktar]),1),0))</f>
        <v/>
      </c>
      <c r="D268" s="17">
        <f>IF($A268="","",IFERROR(SUMIF(tblAnahtarA[Norm],$A268,tblGirdi[Miktar]),0))</f>
        <v/>
      </c>
      <c r="E268" s="17">
        <f>IF($A268="","",IFERROR(SUMIF(tblAnahtarA[Norm],$A268,tblGirdi[KomisyonOran]),0))</f>
        <v/>
      </c>
      <c r="F268" s="17">
        <f>IF($A268="","",ROUND($B268*$E268,2))</f>
        <v/>
      </c>
      <c r="G268" s="17">
        <f>IF($A268="","",IFERROR(SUMIF(tblAnahtarB[NormB],$A268,tblHakedis[TyPlus]),0))</f>
        <v/>
      </c>
      <c r="H268" s="17">
        <f>IF($A268="","",IFERROR(SUMIF(tblAnahtarB[NormB],$A268,tblHakedis[FlasKesinti]),0))</f>
        <v/>
      </c>
      <c r="I268" s="17">
        <f>IF($A268="","",IFERROR(SUMIF(tblAnahtarB[NormB],$A268,tblHakedis[UrunReklam]),0))</f>
        <v/>
      </c>
      <c r="J268" s="17">
        <f>IF($A268="","",IFERROR(SUMIF(tblAnahtarB[NormB],$A268,tblHakedis[DesiKargo]),0))</f>
        <v/>
      </c>
      <c r="K268" s="17">
        <f>IF($A268="","",ROUND($F268+$G268+$H268+$I268+$J268,2))</f>
        <v/>
      </c>
      <c r="L268" s="17">
        <f>IF($A268="","",ROUND($B268-$C268,2))</f>
        <v/>
      </c>
      <c r="M268" s="17">
        <f>IF($A268="","",ROUND($B268-$C268-$K268,2))</f>
        <v/>
      </c>
      <c r="N268" s="17">
        <f>IF(OR($A268="",$B268=0),0,$M268/$B268)</f>
        <v/>
      </c>
      <c r="O268" s="17">
        <f>IF($A268="","",IF((1-$E268)&lt;=0,0,IF($D268=0,0,ROUND(($C268+$G268+$H268+$I268+$J268)/$D268/(1-$E268),2))))</f>
        <v/>
      </c>
      <c r="P268" s="17">
        <f>IF($A268="","",IFERROR(SUMIF(tblAnahtarA[Norm],$A268,tblGirdi[HedefNet]),0))</f>
        <v/>
      </c>
      <c r="Q268" s="17">
        <f>IF($A268="","",ROUND($M268-$P268,2))</f>
        <v/>
      </c>
      <c r="R268" s="17">
        <f>IF($A268="","",ROUND($B268-$K268,2))</f>
        <v/>
      </c>
      <c r="S268" s="17">
        <f>IF($A268="","",IF($N268&lt;0,"ÇEKİL",IF($N268&lt;tyk_esikMarjDusuk,"ZAM","SAT")))</f>
        <v/>
      </c>
      <c r="T268" s="17">
        <f>IF($A268="","",$L268-$F268)</f>
        <v/>
      </c>
      <c r="U268" s="17">
        <f>IF($A268="","",$M268-$Q268)</f>
        <v/>
      </c>
      <c r="V268" s="17">
        <f>IF($A268="","",$R268-$M268)</f>
        <v/>
      </c>
    </row>
    <row r="269">
      <c r="A269" s="17">
        <f>IF('ANAHTAR'!$B269="","",'ANAHTAR'!$B269)</f>
        <v/>
      </c>
      <c r="B269" s="17">
        <f>IF($A269="","",IFERROR(SUMIF(tblAnahtarA[Norm],$A269,tblGirdi[ToplamSatis]),0))</f>
        <v/>
      </c>
      <c r="C269" s="17">
        <f>IF($A269="","",IFERROR(SUMIF(tblAnahtarA[Norm],$A269,tblGirdi[Maliyet])*IFERROR(SUMIF(tblAnahtarA[Norm],$A269,tblGirdi[Miktar]),1),0))</f>
        <v/>
      </c>
      <c r="D269" s="17">
        <f>IF($A269="","",IFERROR(SUMIF(tblAnahtarA[Norm],$A269,tblGirdi[Miktar]),0))</f>
        <v/>
      </c>
      <c r="E269" s="17">
        <f>IF($A269="","",IFERROR(SUMIF(tblAnahtarA[Norm],$A269,tblGirdi[KomisyonOran]),0))</f>
        <v/>
      </c>
      <c r="F269" s="17">
        <f>IF($A269="","",ROUND($B269*$E269,2))</f>
        <v/>
      </c>
      <c r="G269" s="17">
        <f>IF($A269="","",IFERROR(SUMIF(tblAnahtarB[NormB],$A269,tblHakedis[TyPlus]),0))</f>
        <v/>
      </c>
      <c r="H269" s="17">
        <f>IF($A269="","",IFERROR(SUMIF(tblAnahtarB[NormB],$A269,tblHakedis[FlasKesinti]),0))</f>
        <v/>
      </c>
      <c r="I269" s="17">
        <f>IF($A269="","",IFERROR(SUMIF(tblAnahtarB[NormB],$A269,tblHakedis[UrunReklam]),0))</f>
        <v/>
      </c>
      <c r="J269" s="17">
        <f>IF($A269="","",IFERROR(SUMIF(tblAnahtarB[NormB],$A269,tblHakedis[DesiKargo]),0))</f>
        <v/>
      </c>
      <c r="K269" s="17">
        <f>IF($A269="","",ROUND($F269+$G269+$H269+$I269+$J269,2))</f>
        <v/>
      </c>
      <c r="L269" s="17">
        <f>IF($A269="","",ROUND($B269-$C269,2))</f>
        <v/>
      </c>
      <c r="M269" s="17">
        <f>IF($A269="","",ROUND($B269-$C269-$K269,2))</f>
        <v/>
      </c>
      <c r="N269" s="17">
        <f>IF(OR($A269="",$B269=0),0,$M269/$B269)</f>
        <v/>
      </c>
      <c r="O269" s="17">
        <f>IF($A269="","",IF((1-$E269)&lt;=0,0,IF($D269=0,0,ROUND(($C269+$G269+$H269+$I269+$J269)/$D269/(1-$E269),2))))</f>
        <v/>
      </c>
      <c r="P269" s="17">
        <f>IF($A269="","",IFERROR(SUMIF(tblAnahtarA[Norm],$A269,tblGirdi[HedefNet]),0))</f>
        <v/>
      </c>
      <c r="Q269" s="17">
        <f>IF($A269="","",ROUND($M269-$P269,2))</f>
        <v/>
      </c>
      <c r="R269" s="17">
        <f>IF($A269="","",ROUND($B269-$K269,2))</f>
        <v/>
      </c>
      <c r="S269" s="17">
        <f>IF($A269="","",IF($N269&lt;0,"ÇEKİL",IF($N269&lt;tyk_esikMarjDusuk,"ZAM","SAT")))</f>
        <v/>
      </c>
      <c r="T269" s="17">
        <f>IF($A269="","",$L269-$F269)</f>
        <v/>
      </c>
      <c r="U269" s="17">
        <f>IF($A269="","",$M269-$Q269)</f>
        <v/>
      </c>
      <c r="V269" s="17">
        <f>IF($A269="","",$R269-$M269)</f>
        <v/>
      </c>
    </row>
    <row r="270">
      <c r="A270" s="17">
        <f>IF('ANAHTAR'!$B270="","",'ANAHTAR'!$B270)</f>
        <v/>
      </c>
      <c r="B270" s="17">
        <f>IF($A270="","",IFERROR(SUMIF(tblAnahtarA[Norm],$A270,tblGirdi[ToplamSatis]),0))</f>
        <v/>
      </c>
      <c r="C270" s="17">
        <f>IF($A270="","",IFERROR(SUMIF(tblAnahtarA[Norm],$A270,tblGirdi[Maliyet])*IFERROR(SUMIF(tblAnahtarA[Norm],$A270,tblGirdi[Miktar]),1),0))</f>
        <v/>
      </c>
      <c r="D270" s="17">
        <f>IF($A270="","",IFERROR(SUMIF(tblAnahtarA[Norm],$A270,tblGirdi[Miktar]),0))</f>
        <v/>
      </c>
      <c r="E270" s="17">
        <f>IF($A270="","",IFERROR(SUMIF(tblAnahtarA[Norm],$A270,tblGirdi[KomisyonOran]),0))</f>
        <v/>
      </c>
      <c r="F270" s="17">
        <f>IF($A270="","",ROUND($B270*$E270,2))</f>
        <v/>
      </c>
      <c r="G270" s="17">
        <f>IF($A270="","",IFERROR(SUMIF(tblAnahtarB[NormB],$A270,tblHakedis[TyPlus]),0))</f>
        <v/>
      </c>
      <c r="H270" s="17">
        <f>IF($A270="","",IFERROR(SUMIF(tblAnahtarB[NormB],$A270,tblHakedis[FlasKesinti]),0))</f>
        <v/>
      </c>
      <c r="I270" s="17">
        <f>IF($A270="","",IFERROR(SUMIF(tblAnahtarB[NormB],$A270,tblHakedis[UrunReklam]),0))</f>
        <v/>
      </c>
      <c r="J270" s="17">
        <f>IF($A270="","",IFERROR(SUMIF(tblAnahtarB[NormB],$A270,tblHakedis[DesiKargo]),0))</f>
        <v/>
      </c>
      <c r="K270" s="17">
        <f>IF($A270="","",ROUND($F270+$G270+$H270+$I270+$J270,2))</f>
        <v/>
      </c>
      <c r="L270" s="17">
        <f>IF($A270="","",ROUND($B270-$C270,2))</f>
        <v/>
      </c>
      <c r="M270" s="17">
        <f>IF($A270="","",ROUND($B270-$C270-$K270,2))</f>
        <v/>
      </c>
      <c r="N270" s="17">
        <f>IF(OR($A270="",$B270=0),0,$M270/$B270)</f>
        <v/>
      </c>
      <c r="O270" s="17">
        <f>IF($A270="","",IF((1-$E270)&lt;=0,0,IF($D270=0,0,ROUND(($C270+$G270+$H270+$I270+$J270)/$D270/(1-$E270),2))))</f>
        <v/>
      </c>
      <c r="P270" s="17">
        <f>IF($A270="","",IFERROR(SUMIF(tblAnahtarA[Norm],$A270,tblGirdi[HedefNet]),0))</f>
        <v/>
      </c>
      <c r="Q270" s="17">
        <f>IF($A270="","",ROUND($M270-$P270,2))</f>
        <v/>
      </c>
      <c r="R270" s="17">
        <f>IF($A270="","",ROUND($B270-$K270,2))</f>
        <v/>
      </c>
      <c r="S270" s="17">
        <f>IF($A270="","",IF($N270&lt;0,"ÇEKİL",IF($N270&lt;tyk_esikMarjDusuk,"ZAM","SAT")))</f>
        <v/>
      </c>
      <c r="T270" s="17">
        <f>IF($A270="","",$L270-$F270)</f>
        <v/>
      </c>
      <c r="U270" s="17">
        <f>IF($A270="","",$M270-$Q270)</f>
        <v/>
      </c>
      <c r="V270" s="17">
        <f>IF($A270="","",$R270-$M270)</f>
        <v/>
      </c>
    </row>
    <row r="271">
      <c r="A271" s="17">
        <f>IF('ANAHTAR'!$B271="","",'ANAHTAR'!$B271)</f>
        <v/>
      </c>
      <c r="B271" s="17">
        <f>IF($A271="","",IFERROR(SUMIF(tblAnahtarA[Norm],$A271,tblGirdi[ToplamSatis]),0))</f>
        <v/>
      </c>
      <c r="C271" s="17">
        <f>IF($A271="","",IFERROR(SUMIF(tblAnahtarA[Norm],$A271,tblGirdi[Maliyet])*IFERROR(SUMIF(tblAnahtarA[Norm],$A271,tblGirdi[Miktar]),1),0))</f>
        <v/>
      </c>
      <c r="D271" s="17">
        <f>IF($A271="","",IFERROR(SUMIF(tblAnahtarA[Norm],$A271,tblGirdi[Miktar]),0))</f>
        <v/>
      </c>
      <c r="E271" s="17">
        <f>IF($A271="","",IFERROR(SUMIF(tblAnahtarA[Norm],$A271,tblGirdi[KomisyonOran]),0))</f>
        <v/>
      </c>
      <c r="F271" s="17">
        <f>IF($A271="","",ROUND($B271*$E271,2))</f>
        <v/>
      </c>
      <c r="G271" s="17">
        <f>IF($A271="","",IFERROR(SUMIF(tblAnahtarB[NormB],$A271,tblHakedis[TyPlus]),0))</f>
        <v/>
      </c>
      <c r="H271" s="17">
        <f>IF($A271="","",IFERROR(SUMIF(tblAnahtarB[NormB],$A271,tblHakedis[FlasKesinti]),0))</f>
        <v/>
      </c>
      <c r="I271" s="17">
        <f>IF($A271="","",IFERROR(SUMIF(tblAnahtarB[NormB],$A271,tblHakedis[UrunReklam]),0))</f>
        <v/>
      </c>
      <c r="J271" s="17">
        <f>IF($A271="","",IFERROR(SUMIF(tblAnahtarB[NormB],$A271,tblHakedis[DesiKargo]),0))</f>
        <v/>
      </c>
      <c r="K271" s="17">
        <f>IF($A271="","",ROUND($F271+$G271+$H271+$I271+$J271,2))</f>
        <v/>
      </c>
      <c r="L271" s="17">
        <f>IF($A271="","",ROUND($B271-$C271,2))</f>
        <v/>
      </c>
      <c r="M271" s="17">
        <f>IF($A271="","",ROUND($B271-$C271-$K271,2))</f>
        <v/>
      </c>
      <c r="N271" s="17">
        <f>IF(OR($A271="",$B271=0),0,$M271/$B271)</f>
        <v/>
      </c>
      <c r="O271" s="17">
        <f>IF($A271="","",IF((1-$E271)&lt;=0,0,IF($D271=0,0,ROUND(($C271+$G271+$H271+$I271+$J271)/$D271/(1-$E271),2))))</f>
        <v/>
      </c>
      <c r="P271" s="17">
        <f>IF($A271="","",IFERROR(SUMIF(tblAnahtarA[Norm],$A271,tblGirdi[HedefNet]),0))</f>
        <v/>
      </c>
      <c r="Q271" s="17">
        <f>IF($A271="","",ROUND($M271-$P271,2))</f>
        <v/>
      </c>
      <c r="R271" s="17">
        <f>IF($A271="","",ROUND($B271-$K271,2))</f>
        <v/>
      </c>
      <c r="S271" s="17">
        <f>IF($A271="","",IF($N271&lt;0,"ÇEKİL",IF($N271&lt;tyk_esikMarjDusuk,"ZAM","SAT")))</f>
        <v/>
      </c>
      <c r="T271" s="17">
        <f>IF($A271="","",$L271-$F271)</f>
        <v/>
      </c>
      <c r="U271" s="17">
        <f>IF($A271="","",$M271-$Q271)</f>
        <v/>
      </c>
      <c r="V271" s="17">
        <f>IF($A271="","",$R271-$M271)</f>
        <v/>
      </c>
    </row>
    <row r="272">
      <c r="A272" s="17">
        <f>IF('ANAHTAR'!$B272="","",'ANAHTAR'!$B272)</f>
        <v/>
      </c>
      <c r="B272" s="17">
        <f>IF($A272="","",IFERROR(SUMIF(tblAnahtarA[Norm],$A272,tblGirdi[ToplamSatis]),0))</f>
        <v/>
      </c>
      <c r="C272" s="17">
        <f>IF($A272="","",IFERROR(SUMIF(tblAnahtarA[Norm],$A272,tblGirdi[Maliyet])*IFERROR(SUMIF(tblAnahtarA[Norm],$A272,tblGirdi[Miktar]),1),0))</f>
        <v/>
      </c>
      <c r="D272" s="17">
        <f>IF($A272="","",IFERROR(SUMIF(tblAnahtarA[Norm],$A272,tblGirdi[Miktar]),0))</f>
        <v/>
      </c>
      <c r="E272" s="17">
        <f>IF($A272="","",IFERROR(SUMIF(tblAnahtarA[Norm],$A272,tblGirdi[KomisyonOran]),0))</f>
        <v/>
      </c>
      <c r="F272" s="17">
        <f>IF($A272="","",ROUND($B272*$E272,2))</f>
        <v/>
      </c>
      <c r="G272" s="17">
        <f>IF($A272="","",IFERROR(SUMIF(tblAnahtarB[NormB],$A272,tblHakedis[TyPlus]),0))</f>
        <v/>
      </c>
      <c r="H272" s="17">
        <f>IF($A272="","",IFERROR(SUMIF(tblAnahtarB[NormB],$A272,tblHakedis[FlasKesinti]),0))</f>
        <v/>
      </c>
      <c r="I272" s="17">
        <f>IF($A272="","",IFERROR(SUMIF(tblAnahtarB[NormB],$A272,tblHakedis[UrunReklam]),0))</f>
        <v/>
      </c>
      <c r="J272" s="17">
        <f>IF($A272="","",IFERROR(SUMIF(tblAnahtarB[NormB],$A272,tblHakedis[DesiKargo]),0))</f>
        <v/>
      </c>
      <c r="K272" s="17">
        <f>IF($A272="","",ROUND($F272+$G272+$H272+$I272+$J272,2))</f>
        <v/>
      </c>
      <c r="L272" s="17">
        <f>IF($A272="","",ROUND($B272-$C272,2))</f>
        <v/>
      </c>
      <c r="M272" s="17">
        <f>IF($A272="","",ROUND($B272-$C272-$K272,2))</f>
        <v/>
      </c>
      <c r="N272" s="17">
        <f>IF(OR($A272="",$B272=0),0,$M272/$B272)</f>
        <v/>
      </c>
      <c r="O272" s="17">
        <f>IF($A272="","",IF((1-$E272)&lt;=0,0,IF($D272=0,0,ROUND(($C272+$G272+$H272+$I272+$J272)/$D272/(1-$E272),2))))</f>
        <v/>
      </c>
      <c r="P272" s="17">
        <f>IF($A272="","",IFERROR(SUMIF(tblAnahtarA[Norm],$A272,tblGirdi[HedefNet]),0))</f>
        <v/>
      </c>
      <c r="Q272" s="17">
        <f>IF($A272="","",ROUND($M272-$P272,2))</f>
        <v/>
      </c>
      <c r="R272" s="17">
        <f>IF($A272="","",ROUND($B272-$K272,2))</f>
        <v/>
      </c>
      <c r="S272" s="17">
        <f>IF($A272="","",IF($N272&lt;0,"ÇEKİL",IF($N272&lt;tyk_esikMarjDusuk,"ZAM","SAT")))</f>
        <v/>
      </c>
      <c r="T272" s="17">
        <f>IF($A272="","",$L272-$F272)</f>
        <v/>
      </c>
      <c r="U272" s="17">
        <f>IF($A272="","",$M272-$Q272)</f>
        <v/>
      </c>
      <c r="V272" s="17">
        <f>IF($A272="","",$R272-$M272)</f>
        <v/>
      </c>
    </row>
    <row r="273">
      <c r="A273" s="17">
        <f>IF('ANAHTAR'!$B273="","",'ANAHTAR'!$B273)</f>
        <v/>
      </c>
      <c r="B273" s="17">
        <f>IF($A273="","",IFERROR(SUMIF(tblAnahtarA[Norm],$A273,tblGirdi[ToplamSatis]),0))</f>
        <v/>
      </c>
      <c r="C273" s="17">
        <f>IF($A273="","",IFERROR(SUMIF(tblAnahtarA[Norm],$A273,tblGirdi[Maliyet])*IFERROR(SUMIF(tblAnahtarA[Norm],$A273,tblGirdi[Miktar]),1),0))</f>
        <v/>
      </c>
      <c r="D273" s="17">
        <f>IF($A273="","",IFERROR(SUMIF(tblAnahtarA[Norm],$A273,tblGirdi[Miktar]),0))</f>
        <v/>
      </c>
      <c r="E273" s="17">
        <f>IF($A273="","",IFERROR(SUMIF(tblAnahtarA[Norm],$A273,tblGirdi[KomisyonOran]),0))</f>
        <v/>
      </c>
      <c r="F273" s="17">
        <f>IF($A273="","",ROUND($B273*$E273,2))</f>
        <v/>
      </c>
      <c r="G273" s="17">
        <f>IF($A273="","",IFERROR(SUMIF(tblAnahtarB[NormB],$A273,tblHakedis[TyPlus]),0))</f>
        <v/>
      </c>
      <c r="H273" s="17">
        <f>IF($A273="","",IFERROR(SUMIF(tblAnahtarB[NormB],$A273,tblHakedis[FlasKesinti]),0))</f>
        <v/>
      </c>
      <c r="I273" s="17">
        <f>IF($A273="","",IFERROR(SUMIF(tblAnahtarB[NormB],$A273,tblHakedis[UrunReklam]),0))</f>
        <v/>
      </c>
      <c r="J273" s="17">
        <f>IF($A273="","",IFERROR(SUMIF(tblAnahtarB[NormB],$A273,tblHakedis[DesiKargo]),0))</f>
        <v/>
      </c>
      <c r="K273" s="17">
        <f>IF($A273="","",ROUND($F273+$G273+$H273+$I273+$J273,2))</f>
        <v/>
      </c>
      <c r="L273" s="17">
        <f>IF($A273="","",ROUND($B273-$C273,2))</f>
        <v/>
      </c>
      <c r="M273" s="17">
        <f>IF($A273="","",ROUND($B273-$C273-$K273,2))</f>
        <v/>
      </c>
      <c r="N273" s="17">
        <f>IF(OR($A273="",$B273=0),0,$M273/$B273)</f>
        <v/>
      </c>
      <c r="O273" s="17">
        <f>IF($A273="","",IF((1-$E273)&lt;=0,0,IF($D273=0,0,ROUND(($C273+$G273+$H273+$I273+$J273)/$D273/(1-$E273),2))))</f>
        <v/>
      </c>
      <c r="P273" s="17">
        <f>IF($A273="","",IFERROR(SUMIF(tblAnahtarA[Norm],$A273,tblGirdi[HedefNet]),0))</f>
        <v/>
      </c>
      <c r="Q273" s="17">
        <f>IF($A273="","",ROUND($M273-$P273,2))</f>
        <v/>
      </c>
      <c r="R273" s="17">
        <f>IF($A273="","",ROUND($B273-$K273,2))</f>
        <v/>
      </c>
      <c r="S273" s="17">
        <f>IF($A273="","",IF($N273&lt;0,"ÇEKİL",IF($N273&lt;tyk_esikMarjDusuk,"ZAM","SAT")))</f>
        <v/>
      </c>
      <c r="T273" s="17">
        <f>IF($A273="","",$L273-$F273)</f>
        <v/>
      </c>
      <c r="U273" s="17">
        <f>IF($A273="","",$M273-$Q273)</f>
        <v/>
      </c>
      <c r="V273" s="17">
        <f>IF($A273="","",$R273-$M273)</f>
        <v/>
      </c>
    </row>
    <row r="274">
      <c r="A274" s="17">
        <f>IF('ANAHTAR'!$B274="","",'ANAHTAR'!$B274)</f>
        <v/>
      </c>
      <c r="B274" s="17">
        <f>IF($A274="","",IFERROR(SUMIF(tblAnahtarA[Norm],$A274,tblGirdi[ToplamSatis]),0))</f>
        <v/>
      </c>
      <c r="C274" s="17">
        <f>IF($A274="","",IFERROR(SUMIF(tblAnahtarA[Norm],$A274,tblGirdi[Maliyet])*IFERROR(SUMIF(tblAnahtarA[Norm],$A274,tblGirdi[Miktar]),1),0))</f>
        <v/>
      </c>
      <c r="D274" s="17">
        <f>IF($A274="","",IFERROR(SUMIF(tblAnahtarA[Norm],$A274,tblGirdi[Miktar]),0))</f>
        <v/>
      </c>
      <c r="E274" s="17">
        <f>IF($A274="","",IFERROR(SUMIF(tblAnahtarA[Norm],$A274,tblGirdi[KomisyonOran]),0))</f>
        <v/>
      </c>
      <c r="F274" s="17">
        <f>IF($A274="","",ROUND($B274*$E274,2))</f>
        <v/>
      </c>
      <c r="G274" s="17">
        <f>IF($A274="","",IFERROR(SUMIF(tblAnahtarB[NormB],$A274,tblHakedis[TyPlus]),0))</f>
        <v/>
      </c>
      <c r="H274" s="17">
        <f>IF($A274="","",IFERROR(SUMIF(tblAnahtarB[NormB],$A274,tblHakedis[FlasKesinti]),0))</f>
        <v/>
      </c>
      <c r="I274" s="17">
        <f>IF($A274="","",IFERROR(SUMIF(tblAnahtarB[NormB],$A274,tblHakedis[UrunReklam]),0))</f>
        <v/>
      </c>
      <c r="J274" s="17">
        <f>IF($A274="","",IFERROR(SUMIF(tblAnahtarB[NormB],$A274,tblHakedis[DesiKargo]),0))</f>
        <v/>
      </c>
      <c r="K274" s="17">
        <f>IF($A274="","",ROUND($F274+$G274+$H274+$I274+$J274,2))</f>
        <v/>
      </c>
      <c r="L274" s="17">
        <f>IF($A274="","",ROUND($B274-$C274,2))</f>
        <v/>
      </c>
      <c r="M274" s="17">
        <f>IF($A274="","",ROUND($B274-$C274-$K274,2))</f>
        <v/>
      </c>
      <c r="N274" s="17">
        <f>IF(OR($A274="",$B274=0),0,$M274/$B274)</f>
        <v/>
      </c>
      <c r="O274" s="17">
        <f>IF($A274="","",IF((1-$E274)&lt;=0,0,IF($D274=0,0,ROUND(($C274+$G274+$H274+$I274+$J274)/$D274/(1-$E274),2))))</f>
        <v/>
      </c>
      <c r="P274" s="17">
        <f>IF($A274="","",IFERROR(SUMIF(tblAnahtarA[Norm],$A274,tblGirdi[HedefNet]),0))</f>
        <v/>
      </c>
      <c r="Q274" s="17">
        <f>IF($A274="","",ROUND($M274-$P274,2))</f>
        <v/>
      </c>
      <c r="R274" s="17">
        <f>IF($A274="","",ROUND($B274-$K274,2))</f>
        <v/>
      </c>
      <c r="S274" s="17">
        <f>IF($A274="","",IF($N274&lt;0,"ÇEKİL",IF($N274&lt;tyk_esikMarjDusuk,"ZAM","SAT")))</f>
        <v/>
      </c>
      <c r="T274" s="17">
        <f>IF($A274="","",$L274-$F274)</f>
        <v/>
      </c>
      <c r="U274" s="17">
        <f>IF($A274="","",$M274-$Q274)</f>
        <v/>
      </c>
      <c r="V274" s="17">
        <f>IF($A274="","",$R274-$M274)</f>
        <v/>
      </c>
    </row>
    <row r="275">
      <c r="A275" s="17">
        <f>IF('ANAHTAR'!$B275="","",'ANAHTAR'!$B275)</f>
        <v/>
      </c>
      <c r="B275" s="17">
        <f>IF($A275="","",IFERROR(SUMIF(tblAnahtarA[Norm],$A275,tblGirdi[ToplamSatis]),0))</f>
        <v/>
      </c>
      <c r="C275" s="17">
        <f>IF($A275="","",IFERROR(SUMIF(tblAnahtarA[Norm],$A275,tblGirdi[Maliyet])*IFERROR(SUMIF(tblAnahtarA[Norm],$A275,tblGirdi[Miktar]),1),0))</f>
        <v/>
      </c>
      <c r="D275" s="17">
        <f>IF($A275="","",IFERROR(SUMIF(tblAnahtarA[Norm],$A275,tblGirdi[Miktar]),0))</f>
        <v/>
      </c>
      <c r="E275" s="17">
        <f>IF($A275="","",IFERROR(SUMIF(tblAnahtarA[Norm],$A275,tblGirdi[KomisyonOran]),0))</f>
        <v/>
      </c>
      <c r="F275" s="17">
        <f>IF($A275="","",ROUND($B275*$E275,2))</f>
        <v/>
      </c>
      <c r="G275" s="17">
        <f>IF($A275="","",IFERROR(SUMIF(tblAnahtarB[NormB],$A275,tblHakedis[TyPlus]),0))</f>
        <v/>
      </c>
      <c r="H275" s="17">
        <f>IF($A275="","",IFERROR(SUMIF(tblAnahtarB[NormB],$A275,tblHakedis[FlasKesinti]),0))</f>
        <v/>
      </c>
      <c r="I275" s="17">
        <f>IF($A275="","",IFERROR(SUMIF(tblAnahtarB[NormB],$A275,tblHakedis[UrunReklam]),0))</f>
        <v/>
      </c>
      <c r="J275" s="17">
        <f>IF($A275="","",IFERROR(SUMIF(tblAnahtarB[NormB],$A275,tblHakedis[DesiKargo]),0))</f>
        <v/>
      </c>
      <c r="K275" s="17">
        <f>IF($A275="","",ROUND($F275+$G275+$H275+$I275+$J275,2))</f>
        <v/>
      </c>
      <c r="L275" s="17">
        <f>IF($A275="","",ROUND($B275-$C275,2))</f>
        <v/>
      </c>
      <c r="M275" s="17">
        <f>IF($A275="","",ROUND($B275-$C275-$K275,2))</f>
        <v/>
      </c>
      <c r="N275" s="17">
        <f>IF(OR($A275="",$B275=0),0,$M275/$B275)</f>
        <v/>
      </c>
      <c r="O275" s="17">
        <f>IF($A275="","",IF((1-$E275)&lt;=0,0,IF($D275=0,0,ROUND(($C275+$G275+$H275+$I275+$J275)/$D275/(1-$E275),2))))</f>
        <v/>
      </c>
      <c r="P275" s="17">
        <f>IF($A275="","",IFERROR(SUMIF(tblAnahtarA[Norm],$A275,tblGirdi[HedefNet]),0))</f>
        <v/>
      </c>
      <c r="Q275" s="17">
        <f>IF($A275="","",ROUND($M275-$P275,2))</f>
        <v/>
      </c>
      <c r="R275" s="17">
        <f>IF($A275="","",ROUND($B275-$K275,2))</f>
        <v/>
      </c>
      <c r="S275" s="17">
        <f>IF($A275="","",IF($N275&lt;0,"ÇEKİL",IF($N275&lt;tyk_esikMarjDusuk,"ZAM","SAT")))</f>
        <v/>
      </c>
      <c r="T275" s="17">
        <f>IF($A275="","",$L275-$F275)</f>
        <v/>
      </c>
      <c r="U275" s="17">
        <f>IF($A275="","",$M275-$Q275)</f>
        <v/>
      </c>
      <c r="V275" s="17">
        <f>IF($A275="","",$R275-$M275)</f>
        <v/>
      </c>
    </row>
    <row r="276">
      <c r="A276" s="17">
        <f>IF('ANAHTAR'!$B276="","",'ANAHTAR'!$B276)</f>
        <v/>
      </c>
      <c r="B276" s="17">
        <f>IF($A276="","",IFERROR(SUMIF(tblAnahtarA[Norm],$A276,tblGirdi[ToplamSatis]),0))</f>
        <v/>
      </c>
      <c r="C276" s="17">
        <f>IF($A276="","",IFERROR(SUMIF(tblAnahtarA[Norm],$A276,tblGirdi[Maliyet])*IFERROR(SUMIF(tblAnahtarA[Norm],$A276,tblGirdi[Miktar]),1),0))</f>
        <v/>
      </c>
      <c r="D276" s="17">
        <f>IF($A276="","",IFERROR(SUMIF(tblAnahtarA[Norm],$A276,tblGirdi[Miktar]),0))</f>
        <v/>
      </c>
      <c r="E276" s="17">
        <f>IF($A276="","",IFERROR(SUMIF(tblAnahtarA[Norm],$A276,tblGirdi[KomisyonOran]),0))</f>
        <v/>
      </c>
      <c r="F276" s="17">
        <f>IF($A276="","",ROUND($B276*$E276,2))</f>
        <v/>
      </c>
      <c r="G276" s="17">
        <f>IF($A276="","",IFERROR(SUMIF(tblAnahtarB[NormB],$A276,tblHakedis[TyPlus]),0))</f>
        <v/>
      </c>
      <c r="H276" s="17">
        <f>IF($A276="","",IFERROR(SUMIF(tblAnahtarB[NormB],$A276,tblHakedis[FlasKesinti]),0))</f>
        <v/>
      </c>
      <c r="I276" s="17">
        <f>IF($A276="","",IFERROR(SUMIF(tblAnahtarB[NormB],$A276,tblHakedis[UrunReklam]),0))</f>
        <v/>
      </c>
      <c r="J276" s="17">
        <f>IF($A276="","",IFERROR(SUMIF(tblAnahtarB[NormB],$A276,tblHakedis[DesiKargo]),0))</f>
        <v/>
      </c>
      <c r="K276" s="17">
        <f>IF($A276="","",ROUND($F276+$G276+$H276+$I276+$J276,2))</f>
        <v/>
      </c>
      <c r="L276" s="17">
        <f>IF($A276="","",ROUND($B276-$C276,2))</f>
        <v/>
      </c>
      <c r="M276" s="17">
        <f>IF($A276="","",ROUND($B276-$C276-$K276,2))</f>
        <v/>
      </c>
      <c r="N276" s="17">
        <f>IF(OR($A276="",$B276=0),0,$M276/$B276)</f>
        <v/>
      </c>
      <c r="O276" s="17">
        <f>IF($A276="","",IF((1-$E276)&lt;=0,0,IF($D276=0,0,ROUND(($C276+$G276+$H276+$I276+$J276)/$D276/(1-$E276),2))))</f>
        <v/>
      </c>
      <c r="P276" s="17">
        <f>IF($A276="","",IFERROR(SUMIF(tblAnahtarA[Norm],$A276,tblGirdi[HedefNet]),0))</f>
        <v/>
      </c>
      <c r="Q276" s="17">
        <f>IF($A276="","",ROUND($M276-$P276,2))</f>
        <v/>
      </c>
      <c r="R276" s="17">
        <f>IF($A276="","",ROUND($B276-$K276,2))</f>
        <v/>
      </c>
      <c r="S276" s="17">
        <f>IF($A276="","",IF($N276&lt;0,"ÇEKİL",IF($N276&lt;tyk_esikMarjDusuk,"ZAM","SAT")))</f>
        <v/>
      </c>
      <c r="T276" s="17">
        <f>IF($A276="","",$L276-$F276)</f>
        <v/>
      </c>
      <c r="U276" s="17">
        <f>IF($A276="","",$M276-$Q276)</f>
        <v/>
      </c>
      <c r="V276" s="17">
        <f>IF($A276="","",$R276-$M276)</f>
        <v/>
      </c>
    </row>
    <row r="277">
      <c r="A277" s="17">
        <f>IF('ANAHTAR'!$B277="","",'ANAHTAR'!$B277)</f>
        <v/>
      </c>
      <c r="B277" s="17">
        <f>IF($A277="","",IFERROR(SUMIF(tblAnahtarA[Norm],$A277,tblGirdi[ToplamSatis]),0))</f>
        <v/>
      </c>
      <c r="C277" s="17">
        <f>IF($A277="","",IFERROR(SUMIF(tblAnahtarA[Norm],$A277,tblGirdi[Maliyet])*IFERROR(SUMIF(tblAnahtarA[Norm],$A277,tblGirdi[Miktar]),1),0))</f>
        <v/>
      </c>
      <c r="D277" s="17">
        <f>IF($A277="","",IFERROR(SUMIF(tblAnahtarA[Norm],$A277,tblGirdi[Miktar]),0))</f>
        <v/>
      </c>
      <c r="E277" s="17">
        <f>IF($A277="","",IFERROR(SUMIF(tblAnahtarA[Norm],$A277,tblGirdi[KomisyonOran]),0))</f>
        <v/>
      </c>
      <c r="F277" s="17">
        <f>IF($A277="","",ROUND($B277*$E277,2))</f>
        <v/>
      </c>
      <c r="G277" s="17">
        <f>IF($A277="","",IFERROR(SUMIF(tblAnahtarB[NormB],$A277,tblHakedis[TyPlus]),0))</f>
        <v/>
      </c>
      <c r="H277" s="17">
        <f>IF($A277="","",IFERROR(SUMIF(tblAnahtarB[NormB],$A277,tblHakedis[FlasKesinti]),0))</f>
        <v/>
      </c>
      <c r="I277" s="17">
        <f>IF($A277="","",IFERROR(SUMIF(tblAnahtarB[NormB],$A277,tblHakedis[UrunReklam]),0))</f>
        <v/>
      </c>
      <c r="J277" s="17">
        <f>IF($A277="","",IFERROR(SUMIF(tblAnahtarB[NormB],$A277,tblHakedis[DesiKargo]),0))</f>
        <v/>
      </c>
      <c r="K277" s="17">
        <f>IF($A277="","",ROUND($F277+$G277+$H277+$I277+$J277,2))</f>
        <v/>
      </c>
      <c r="L277" s="17">
        <f>IF($A277="","",ROUND($B277-$C277,2))</f>
        <v/>
      </c>
      <c r="M277" s="17">
        <f>IF($A277="","",ROUND($B277-$C277-$K277,2))</f>
        <v/>
      </c>
      <c r="N277" s="17">
        <f>IF(OR($A277="",$B277=0),0,$M277/$B277)</f>
        <v/>
      </c>
      <c r="O277" s="17">
        <f>IF($A277="","",IF((1-$E277)&lt;=0,0,IF($D277=0,0,ROUND(($C277+$G277+$H277+$I277+$J277)/$D277/(1-$E277),2))))</f>
        <v/>
      </c>
      <c r="P277" s="17">
        <f>IF($A277="","",IFERROR(SUMIF(tblAnahtarA[Norm],$A277,tblGirdi[HedefNet]),0))</f>
        <v/>
      </c>
      <c r="Q277" s="17">
        <f>IF($A277="","",ROUND($M277-$P277,2))</f>
        <v/>
      </c>
      <c r="R277" s="17">
        <f>IF($A277="","",ROUND($B277-$K277,2))</f>
        <v/>
      </c>
      <c r="S277" s="17">
        <f>IF($A277="","",IF($N277&lt;0,"ÇEKİL",IF($N277&lt;tyk_esikMarjDusuk,"ZAM","SAT")))</f>
        <v/>
      </c>
      <c r="T277" s="17">
        <f>IF($A277="","",$L277-$F277)</f>
        <v/>
      </c>
      <c r="U277" s="17">
        <f>IF($A277="","",$M277-$Q277)</f>
        <v/>
      </c>
      <c r="V277" s="17">
        <f>IF($A277="","",$R277-$M277)</f>
        <v/>
      </c>
    </row>
    <row r="278">
      <c r="A278" s="17">
        <f>IF('ANAHTAR'!$B278="","",'ANAHTAR'!$B278)</f>
        <v/>
      </c>
      <c r="B278" s="17">
        <f>IF($A278="","",IFERROR(SUMIF(tblAnahtarA[Norm],$A278,tblGirdi[ToplamSatis]),0))</f>
        <v/>
      </c>
      <c r="C278" s="17">
        <f>IF($A278="","",IFERROR(SUMIF(tblAnahtarA[Norm],$A278,tblGirdi[Maliyet])*IFERROR(SUMIF(tblAnahtarA[Norm],$A278,tblGirdi[Miktar]),1),0))</f>
        <v/>
      </c>
      <c r="D278" s="17">
        <f>IF($A278="","",IFERROR(SUMIF(tblAnahtarA[Norm],$A278,tblGirdi[Miktar]),0))</f>
        <v/>
      </c>
      <c r="E278" s="17">
        <f>IF($A278="","",IFERROR(SUMIF(tblAnahtarA[Norm],$A278,tblGirdi[KomisyonOran]),0))</f>
        <v/>
      </c>
      <c r="F278" s="17">
        <f>IF($A278="","",ROUND($B278*$E278,2))</f>
        <v/>
      </c>
      <c r="G278" s="17">
        <f>IF($A278="","",IFERROR(SUMIF(tblAnahtarB[NormB],$A278,tblHakedis[TyPlus]),0))</f>
        <v/>
      </c>
      <c r="H278" s="17">
        <f>IF($A278="","",IFERROR(SUMIF(tblAnahtarB[NormB],$A278,tblHakedis[FlasKesinti]),0))</f>
        <v/>
      </c>
      <c r="I278" s="17">
        <f>IF($A278="","",IFERROR(SUMIF(tblAnahtarB[NormB],$A278,tblHakedis[UrunReklam]),0))</f>
        <v/>
      </c>
      <c r="J278" s="17">
        <f>IF($A278="","",IFERROR(SUMIF(tblAnahtarB[NormB],$A278,tblHakedis[DesiKargo]),0))</f>
        <v/>
      </c>
      <c r="K278" s="17">
        <f>IF($A278="","",ROUND($F278+$G278+$H278+$I278+$J278,2))</f>
        <v/>
      </c>
      <c r="L278" s="17">
        <f>IF($A278="","",ROUND($B278-$C278,2))</f>
        <v/>
      </c>
      <c r="M278" s="17">
        <f>IF($A278="","",ROUND($B278-$C278-$K278,2))</f>
        <v/>
      </c>
      <c r="N278" s="17">
        <f>IF(OR($A278="",$B278=0),0,$M278/$B278)</f>
        <v/>
      </c>
      <c r="O278" s="17">
        <f>IF($A278="","",IF((1-$E278)&lt;=0,0,IF($D278=0,0,ROUND(($C278+$G278+$H278+$I278+$J278)/$D278/(1-$E278),2))))</f>
        <v/>
      </c>
      <c r="P278" s="17">
        <f>IF($A278="","",IFERROR(SUMIF(tblAnahtarA[Norm],$A278,tblGirdi[HedefNet]),0))</f>
        <v/>
      </c>
      <c r="Q278" s="17">
        <f>IF($A278="","",ROUND($M278-$P278,2))</f>
        <v/>
      </c>
      <c r="R278" s="17">
        <f>IF($A278="","",ROUND($B278-$K278,2))</f>
        <v/>
      </c>
      <c r="S278" s="17">
        <f>IF($A278="","",IF($N278&lt;0,"ÇEKİL",IF($N278&lt;tyk_esikMarjDusuk,"ZAM","SAT")))</f>
        <v/>
      </c>
      <c r="T278" s="17">
        <f>IF($A278="","",$L278-$F278)</f>
        <v/>
      </c>
      <c r="U278" s="17">
        <f>IF($A278="","",$M278-$Q278)</f>
        <v/>
      </c>
      <c r="V278" s="17">
        <f>IF($A278="","",$R278-$M278)</f>
        <v/>
      </c>
    </row>
    <row r="279">
      <c r="A279" s="17">
        <f>IF('ANAHTAR'!$B279="","",'ANAHTAR'!$B279)</f>
        <v/>
      </c>
      <c r="B279" s="17">
        <f>IF($A279="","",IFERROR(SUMIF(tblAnahtarA[Norm],$A279,tblGirdi[ToplamSatis]),0))</f>
        <v/>
      </c>
      <c r="C279" s="17">
        <f>IF($A279="","",IFERROR(SUMIF(tblAnahtarA[Norm],$A279,tblGirdi[Maliyet])*IFERROR(SUMIF(tblAnahtarA[Norm],$A279,tblGirdi[Miktar]),1),0))</f>
        <v/>
      </c>
      <c r="D279" s="17">
        <f>IF($A279="","",IFERROR(SUMIF(tblAnahtarA[Norm],$A279,tblGirdi[Miktar]),0))</f>
        <v/>
      </c>
      <c r="E279" s="17">
        <f>IF($A279="","",IFERROR(SUMIF(tblAnahtarA[Norm],$A279,tblGirdi[KomisyonOran]),0))</f>
        <v/>
      </c>
      <c r="F279" s="17">
        <f>IF($A279="","",ROUND($B279*$E279,2))</f>
        <v/>
      </c>
      <c r="G279" s="17">
        <f>IF($A279="","",IFERROR(SUMIF(tblAnahtarB[NormB],$A279,tblHakedis[TyPlus]),0))</f>
        <v/>
      </c>
      <c r="H279" s="17">
        <f>IF($A279="","",IFERROR(SUMIF(tblAnahtarB[NormB],$A279,tblHakedis[FlasKesinti]),0))</f>
        <v/>
      </c>
      <c r="I279" s="17">
        <f>IF($A279="","",IFERROR(SUMIF(tblAnahtarB[NormB],$A279,tblHakedis[UrunReklam]),0))</f>
        <v/>
      </c>
      <c r="J279" s="17">
        <f>IF($A279="","",IFERROR(SUMIF(tblAnahtarB[NormB],$A279,tblHakedis[DesiKargo]),0))</f>
        <v/>
      </c>
      <c r="K279" s="17">
        <f>IF($A279="","",ROUND($F279+$G279+$H279+$I279+$J279,2))</f>
        <v/>
      </c>
      <c r="L279" s="17">
        <f>IF($A279="","",ROUND($B279-$C279,2))</f>
        <v/>
      </c>
      <c r="M279" s="17">
        <f>IF($A279="","",ROUND($B279-$C279-$K279,2))</f>
        <v/>
      </c>
      <c r="N279" s="17">
        <f>IF(OR($A279="",$B279=0),0,$M279/$B279)</f>
        <v/>
      </c>
      <c r="O279" s="17">
        <f>IF($A279="","",IF((1-$E279)&lt;=0,0,IF($D279=0,0,ROUND(($C279+$G279+$H279+$I279+$J279)/$D279/(1-$E279),2))))</f>
        <v/>
      </c>
      <c r="P279" s="17">
        <f>IF($A279="","",IFERROR(SUMIF(tblAnahtarA[Norm],$A279,tblGirdi[HedefNet]),0))</f>
        <v/>
      </c>
      <c r="Q279" s="17">
        <f>IF($A279="","",ROUND($M279-$P279,2))</f>
        <v/>
      </c>
      <c r="R279" s="17">
        <f>IF($A279="","",ROUND($B279-$K279,2))</f>
        <v/>
      </c>
      <c r="S279" s="17">
        <f>IF($A279="","",IF($N279&lt;0,"ÇEKİL",IF($N279&lt;tyk_esikMarjDusuk,"ZAM","SAT")))</f>
        <v/>
      </c>
      <c r="T279" s="17">
        <f>IF($A279="","",$L279-$F279)</f>
        <v/>
      </c>
      <c r="U279" s="17">
        <f>IF($A279="","",$M279-$Q279)</f>
        <v/>
      </c>
      <c r="V279" s="17">
        <f>IF($A279="","",$R279-$M279)</f>
        <v/>
      </c>
    </row>
    <row r="280">
      <c r="A280" s="17">
        <f>IF('ANAHTAR'!$B280="","",'ANAHTAR'!$B280)</f>
        <v/>
      </c>
      <c r="B280" s="17">
        <f>IF($A280="","",IFERROR(SUMIF(tblAnahtarA[Norm],$A280,tblGirdi[ToplamSatis]),0))</f>
        <v/>
      </c>
      <c r="C280" s="17">
        <f>IF($A280="","",IFERROR(SUMIF(tblAnahtarA[Norm],$A280,tblGirdi[Maliyet])*IFERROR(SUMIF(tblAnahtarA[Norm],$A280,tblGirdi[Miktar]),1),0))</f>
        <v/>
      </c>
      <c r="D280" s="17">
        <f>IF($A280="","",IFERROR(SUMIF(tblAnahtarA[Norm],$A280,tblGirdi[Miktar]),0))</f>
        <v/>
      </c>
      <c r="E280" s="17">
        <f>IF($A280="","",IFERROR(SUMIF(tblAnahtarA[Norm],$A280,tblGirdi[KomisyonOran]),0))</f>
        <v/>
      </c>
      <c r="F280" s="17">
        <f>IF($A280="","",ROUND($B280*$E280,2))</f>
        <v/>
      </c>
      <c r="G280" s="17">
        <f>IF($A280="","",IFERROR(SUMIF(tblAnahtarB[NormB],$A280,tblHakedis[TyPlus]),0))</f>
        <v/>
      </c>
      <c r="H280" s="17">
        <f>IF($A280="","",IFERROR(SUMIF(tblAnahtarB[NormB],$A280,tblHakedis[FlasKesinti]),0))</f>
        <v/>
      </c>
      <c r="I280" s="17">
        <f>IF($A280="","",IFERROR(SUMIF(tblAnahtarB[NormB],$A280,tblHakedis[UrunReklam]),0))</f>
        <v/>
      </c>
      <c r="J280" s="17">
        <f>IF($A280="","",IFERROR(SUMIF(tblAnahtarB[NormB],$A280,tblHakedis[DesiKargo]),0))</f>
        <v/>
      </c>
      <c r="K280" s="17">
        <f>IF($A280="","",ROUND($F280+$G280+$H280+$I280+$J280,2))</f>
        <v/>
      </c>
      <c r="L280" s="17">
        <f>IF($A280="","",ROUND($B280-$C280,2))</f>
        <v/>
      </c>
      <c r="M280" s="17">
        <f>IF($A280="","",ROUND($B280-$C280-$K280,2))</f>
        <v/>
      </c>
      <c r="N280" s="17">
        <f>IF(OR($A280="",$B280=0),0,$M280/$B280)</f>
        <v/>
      </c>
      <c r="O280" s="17">
        <f>IF($A280="","",IF((1-$E280)&lt;=0,0,IF($D280=0,0,ROUND(($C280+$G280+$H280+$I280+$J280)/$D280/(1-$E280),2))))</f>
        <v/>
      </c>
      <c r="P280" s="17">
        <f>IF($A280="","",IFERROR(SUMIF(tblAnahtarA[Norm],$A280,tblGirdi[HedefNet]),0))</f>
        <v/>
      </c>
      <c r="Q280" s="17">
        <f>IF($A280="","",ROUND($M280-$P280,2))</f>
        <v/>
      </c>
      <c r="R280" s="17">
        <f>IF($A280="","",ROUND($B280-$K280,2))</f>
        <v/>
      </c>
      <c r="S280" s="17">
        <f>IF($A280="","",IF($N280&lt;0,"ÇEKİL",IF($N280&lt;tyk_esikMarjDusuk,"ZAM","SAT")))</f>
        <v/>
      </c>
      <c r="T280" s="17">
        <f>IF($A280="","",$L280-$F280)</f>
        <v/>
      </c>
      <c r="U280" s="17">
        <f>IF($A280="","",$M280-$Q280)</f>
        <v/>
      </c>
      <c r="V280" s="17">
        <f>IF($A280="","",$R280-$M280)</f>
        <v/>
      </c>
    </row>
    <row r="281">
      <c r="A281" s="17">
        <f>IF('ANAHTAR'!$B281="","",'ANAHTAR'!$B281)</f>
        <v/>
      </c>
      <c r="B281" s="17">
        <f>IF($A281="","",IFERROR(SUMIF(tblAnahtarA[Norm],$A281,tblGirdi[ToplamSatis]),0))</f>
        <v/>
      </c>
      <c r="C281" s="17">
        <f>IF($A281="","",IFERROR(SUMIF(tblAnahtarA[Norm],$A281,tblGirdi[Maliyet])*IFERROR(SUMIF(tblAnahtarA[Norm],$A281,tblGirdi[Miktar]),1),0))</f>
        <v/>
      </c>
      <c r="D281" s="17">
        <f>IF($A281="","",IFERROR(SUMIF(tblAnahtarA[Norm],$A281,tblGirdi[Miktar]),0))</f>
        <v/>
      </c>
      <c r="E281" s="17">
        <f>IF($A281="","",IFERROR(SUMIF(tblAnahtarA[Norm],$A281,tblGirdi[KomisyonOran]),0))</f>
        <v/>
      </c>
      <c r="F281" s="17">
        <f>IF($A281="","",ROUND($B281*$E281,2))</f>
        <v/>
      </c>
      <c r="G281" s="17">
        <f>IF($A281="","",IFERROR(SUMIF(tblAnahtarB[NormB],$A281,tblHakedis[TyPlus]),0))</f>
        <v/>
      </c>
      <c r="H281" s="17">
        <f>IF($A281="","",IFERROR(SUMIF(tblAnahtarB[NormB],$A281,tblHakedis[FlasKesinti]),0))</f>
        <v/>
      </c>
      <c r="I281" s="17">
        <f>IF($A281="","",IFERROR(SUMIF(tblAnahtarB[NormB],$A281,tblHakedis[UrunReklam]),0))</f>
        <v/>
      </c>
      <c r="J281" s="17">
        <f>IF($A281="","",IFERROR(SUMIF(tblAnahtarB[NormB],$A281,tblHakedis[DesiKargo]),0))</f>
        <v/>
      </c>
      <c r="K281" s="17">
        <f>IF($A281="","",ROUND($F281+$G281+$H281+$I281+$J281,2))</f>
        <v/>
      </c>
      <c r="L281" s="17">
        <f>IF($A281="","",ROUND($B281-$C281,2))</f>
        <v/>
      </c>
      <c r="M281" s="17">
        <f>IF($A281="","",ROUND($B281-$C281-$K281,2))</f>
        <v/>
      </c>
      <c r="N281" s="17">
        <f>IF(OR($A281="",$B281=0),0,$M281/$B281)</f>
        <v/>
      </c>
      <c r="O281" s="17">
        <f>IF($A281="","",IF((1-$E281)&lt;=0,0,IF($D281=0,0,ROUND(($C281+$G281+$H281+$I281+$J281)/$D281/(1-$E281),2))))</f>
        <v/>
      </c>
      <c r="P281" s="17">
        <f>IF($A281="","",IFERROR(SUMIF(tblAnahtarA[Norm],$A281,tblGirdi[HedefNet]),0))</f>
        <v/>
      </c>
      <c r="Q281" s="17">
        <f>IF($A281="","",ROUND($M281-$P281,2))</f>
        <v/>
      </c>
      <c r="R281" s="17">
        <f>IF($A281="","",ROUND($B281-$K281,2))</f>
        <v/>
      </c>
      <c r="S281" s="17">
        <f>IF($A281="","",IF($N281&lt;0,"ÇEKİL",IF($N281&lt;tyk_esikMarjDusuk,"ZAM","SAT")))</f>
        <v/>
      </c>
      <c r="T281" s="17">
        <f>IF($A281="","",$L281-$F281)</f>
        <v/>
      </c>
      <c r="U281" s="17">
        <f>IF($A281="","",$M281-$Q281)</f>
        <v/>
      </c>
      <c r="V281" s="17">
        <f>IF($A281="","",$R281-$M281)</f>
        <v/>
      </c>
    </row>
    <row r="282">
      <c r="A282" s="17">
        <f>IF('ANAHTAR'!$B282="","",'ANAHTAR'!$B282)</f>
        <v/>
      </c>
      <c r="B282" s="17">
        <f>IF($A282="","",IFERROR(SUMIF(tblAnahtarA[Norm],$A282,tblGirdi[ToplamSatis]),0))</f>
        <v/>
      </c>
      <c r="C282" s="17">
        <f>IF($A282="","",IFERROR(SUMIF(tblAnahtarA[Norm],$A282,tblGirdi[Maliyet])*IFERROR(SUMIF(tblAnahtarA[Norm],$A282,tblGirdi[Miktar]),1),0))</f>
        <v/>
      </c>
      <c r="D282" s="17">
        <f>IF($A282="","",IFERROR(SUMIF(tblAnahtarA[Norm],$A282,tblGirdi[Miktar]),0))</f>
        <v/>
      </c>
      <c r="E282" s="17">
        <f>IF($A282="","",IFERROR(SUMIF(tblAnahtarA[Norm],$A282,tblGirdi[KomisyonOran]),0))</f>
        <v/>
      </c>
      <c r="F282" s="17">
        <f>IF($A282="","",ROUND($B282*$E282,2))</f>
        <v/>
      </c>
      <c r="G282" s="17">
        <f>IF($A282="","",IFERROR(SUMIF(tblAnahtarB[NormB],$A282,tblHakedis[TyPlus]),0))</f>
        <v/>
      </c>
      <c r="H282" s="17">
        <f>IF($A282="","",IFERROR(SUMIF(tblAnahtarB[NormB],$A282,tblHakedis[FlasKesinti]),0))</f>
        <v/>
      </c>
      <c r="I282" s="17">
        <f>IF($A282="","",IFERROR(SUMIF(tblAnahtarB[NormB],$A282,tblHakedis[UrunReklam]),0))</f>
        <v/>
      </c>
      <c r="J282" s="17">
        <f>IF($A282="","",IFERROR(SUMIF(tblAnahtarB[NormB],$A282,tblHakedis[DesiKargo]),0))</f>
        <v/>
      </c>
      <c r="K282" s="17">
        <f>IF($A282="","",ROUND($F282+$G282+$H282+$I282+$J282,2))</f>
        <v/>
      </c>
      <c r="L282" s="17">
        <f>IF($A282="","",ROUND($B282-$C282,2))</f>
        <v/>
      </c>
      <c r="M282" s="17">
        <f>IF($A282="","",ROUND($B282-$C282-$K282,2))</f>
        <v/>
      </c>
      <c r="N282" s="17">
        <f>IF(OR($A282="",$B282=0),0,$M282/$B282)</f>
        <v/>
      </c>
      <c r="O282" s="17">
        <f>IF($A282="","",IF((1-$E282)&lt;=0,0,IF($D282=0,0,ROUND(($C282+$G282+$H282+$I282+$J282)/$D282/(1-$E282),2))))</f>
        <v/>
      </c>
      <c r="P282" s="17">
        <f>IF($A282="","",IFERROR(SUMIF(tblAnahtarA[Norm],$A282,tblGirdi[HedefNet]),0))</f>
        <v/>
      </c>
      <c r="Q282" s="17">
        <f>IF($A282="","",ROUND($M282-$P282,2))</f>
        <v/>
      </c>
      <c r="R282" s="17">
        <f>IF($A282="","",ROUND($B282-$K282,2))</f>
        <v/>
      </c>
      <c r="S282" s="17">
        <f>IF($A282="","",IF($N282&lt;0,"ÇEKİL",IF($N282&lt;tyk_esikMarjDusuk,"ZAM","SAT")))</f>
        <v/>
      </c>
      <c r="T282" s="17">
        <f>IF($A282="","",$L282-$F282)</f>
        <v/>
      </c>
      <c r="U282" s="17">
        <f>IF($A282="","",$M282-$Q282)</f>
        <v/>
      </c>
      <c r="V282" s="17">
        <f>IF($A282="","",$R282-$M282)</f>
        <v/>
      </c>
    </row>
    <row r="283">
      <c r="A283" s="17">
        <f>IF('ANAHTAR'!$B283="","",'ANAHTAR'!$B283)</f>
        <v/>
      </c>
      <c r="B283" s="17">
        <f>IF($A283="","",IFERROR(SUMIF(tblAnahtarA[Norm],$A283,tblGirdi[ToplamSatis]),0))</f>
        <v/>
      </c>
      <c r="C283" s="17">
        <f>IF($A283="","",IFERROR(SUMIF(tblAnahtarA[Norm],$A283,tblGirdi[Maliyet])*IFERROR(SUMIF(tblAnahtarA[Norm],$A283,tblGirdi[Miktar]),1),0))</f>
        <v/>
      </c>
      <c r="D283" s="17">
        <f>IF($A283="","",IFERROR(SUMIF(tblAnahtarA[Norm],$A283,tblGirdi[Miktar]),0))</f>
        <v/>
      </c>
      <c r="E283" s="17">
        <f>IF($A283="","",IFERROR(SUMIF(tblAnahtarA[Norm],$A283,tblGirdi[KomisyonOran]),0))</f>
        <v/>
      </c>
      <c r="F283" s="17">
        <f>IF($A283="","",ROUND($B283*$E283,2))</f>
        <v/>
      </c>
      <c r="G283" s="17">
        <f>IF($A283="","",IFERROR(SUMIF(tblAnahtarB[NormB],$A283,tblHakedis[TyPlus]),0))</f>
        <v/>
      </c>
      <c r="H283" s="17">
        <f>IF($A283="","",IFERROR(SUMIF(tblAnahtarB[NormB],$A283,tblHakedis[FlasKesinti]),0))</f>
        <v/>
      </c>
      <c r="I283" s="17">
        <f>IF($A283="","",IFERROR(SUMIF(tblAnahtarB[NormB],$A283,tblHakedis[UrunReklam]),0))</f>
        <v/>
      </c>
      <c r="J283" s="17">
        <f>IF($A283="","",IFERROR(SUMIF(tblAnahtarB[NormB],$A283,tblHakedis[DesiKargo]),0))</f>
        <v/>
      </c>
      <c r="K283" s="17">
        <f>IF($A283="","",ROUND($F283+$G283+$H283+$I283+$J283,2))</f>
        <v/>
      </c>
      <c r="L283" s="17">
        <f>IF($A283="","",ROUND($B283-$C283,2))</f>
        <v/>
      </c>
      <c r="M283" s="17">
        <f>IF($A283="","",ROUND($B283-$C283-$K283,2))</f>
        <v/>
      </c>
      <c r="N283" s="17">
        <f>IF(OR($A283="",$B283=0),0,$M283/$B283)</f>
        <v/>
      </c>
      <c r="O283" s="17">
        <f>IF($A283="","",IF((1-$E283)&lt;=0,0,IF($D283=0,0,ROUND(($C283+$G283+$H283+$I283+$J283)/$D283/(1-$E283),2))))</f>
        <v/>
      </c>
      <c r="P283" s="17">
        <f>IF($A283="","",IFERROR(SUMIF(tblAnahtarA[Norm],$A283,tblGirdi[HedefNet]),0))</f>
        <v/>
      </c>
      <c r="Q283" s="17">
        <f>IF($A283="","",ROUND($M283-$P283,2))</f>
        <v/>
      </c>
      <c r="R283" s="17">
        <f>IF($A283="","",ROUND($B283-$K283,2))</f>
        <v/>
      </c>
      <c r="S283" s="17">
        <f>IF($A283="","",IF($N283&lt;0,"ÇEKİL",IF($N283&lt;tyk_esikMarjDusuk,"ZAM","SAT")))</f>
        <v/>
      </c>
      <c r="T283" s="17">
        <f>IF($A283="","",$L283-$F283)</f>
        <v/>
      </c>
      <c r="U283" s="17">
        <f>IF($A283="","",$M283-$Q283)</f>
        <v/>
      </c>
      <c r="V283" s="17">
        <f>IF($A283="","",$R283-$M283)</f>
        <v/>
      </c>
    </row>
    <row r="284">
      <c r="A284" s="17">
        <f>IF('ANAHTAR'!$B284="","",'ANAHTAR'!$B284)</f>
        <v/>
      </c>
      <c r="B284" s="17">
        <f>IF($A284="","",IFERROR(SUMIF(tblAnahtarA[Norm],$A284,tblGirdi[ToplamSatis]),0))</f>
        <v/>
      </c>
      <c r="C284" s="17">
        <f>IF($A284="","",IFERROR(SUMIF(tblAnahtarA[Norm],$A284,tblGirdi[Maliyet])*IFERROR(SUMIF(tblAnahtarA[Norm],$A284,tblGirdi[Miktar]),1),0))</f>
        <v/>
      </c>
      <c r="D284" s="17">
        <f>IF($A284="","",IFERROR(SUMIF(tblAnahtarA[Norm],$A284,tblGirdi[Miktar]),0))</f>
        <v/>
      </c>
      <c r="E284" s="17">
        <f>IF($A284="","",IFERROR(SUMIF(tblAnahtarA[Norm],$A284,tblGirdi[KomisyonOran]),0))</f>
        <v/>
      </c>
      <c r="F284" s="17">
        <f>IF($A284="","",ROUND($B284*$E284,2))</f>
        <v/>
      </c>
      <c r="G284" s="17">
        <f>IF($A284="","",IFERROR(SUMIF(tblAnahtarB[NormB],$A284,tblHakedis[TyPlus]),0))</f>
        <v/>
      </c>
      <c r="H284" s="17">
        <f>IF($A284="","",IFERROR(SUMIF(tblAnahtarB[NormB],$A284,tblHakedis[FlasKesinti]),0))</f>
        <v/>
      </c>
      <c r="I284" s="17">
        <f>IF($A284="","",IFERROR(SUMIF(tblAnahtarB[NormB],$A284,tblHakedis[UrunReklam]),0))</f>
        <v/>
      </c>
      <c r="J284" s="17">
        <f>IF($A284="","",IFERROR(SUMIF(tblAnahtarB[NormB],$A284,tblHakedis[DesiKargo]),0))</f>
        <v/>
      </c>
      <c r="K284" s="17">
        <f>IF($A284="","",ROUND($F284+$G284+$H284+$I284+$J284,2))</f>
        <v/>
      </c>
      <c r="L284" s="17">
        <f>IF($A284="","",ROUND($B284-$C284,2))</f>
        <v/>
      </c>
      <c r="M284" s="17">
        <f>IF($A284="","",ROUND($B284-$C284-$K284,2))</f>
        <v/>
      </c>
      <c r="N284" s="17">
        <f>IF(OR($A284="",$B284=0),0,$M284/$B284)</f>
        <v/>
      </c>
      <c r="O284" s="17">
        <f>IF($A284="","",IF((1-$E284)&lt;=0,0,IF($D284=0,0,ROUND(($C284+$G284+$H284+$I284+$J284)/$D284/(1-$E284),2))))</f>
        <v/>
      </c>
      <c r="P284" s="17">
        <f>IF($A284="","",IFERROR(SUMIF(tblAnahtarA[Norm],$A284,tblGirdi[HedefNet]),0))</f>
        <v/>
      </c>
      <c r="Q284" s="17">
        <f>IF($A284="","",ROUND($M284-$P284,2))</f>
        <v/>
      </c>
      <c r="R284" s="17">
        <f>IF($A284="","",ROUND($B284-$K284,2))</f>
        <v/>
      </c>
      <c r="S284" s="17">
        <f>IF($A284="","",IF($N284&lt;0,"ÇEKİL",IF($N284&lt;tyk_esikMarjDusuk,"ZAM","SAT")))</f>
        <v/>
      </c>
      <c r="T284" s="17">
        <f>IF($A284="","",$L284-$F284)</f>
        <v/>
      </c>
      <c r="U284" s="17">
        <f>IF($A284="","",$M284-$Q284)</f>
        <v/>
      </c>
      <c r="V284" s="17">
        <f>IF($A284="","",$R284-$M284)</f>
        <v/>
      </c>
    </row>
    <row r="285">
      <c r="A285" s="17">
        <f>IF('ANAHTAR'!$B285="","",'ANAHTAR'!$B285)</f>
        <v/>
      </c>
      <c r="B285" s="17">
        <f>IF($A285="","",IFERROR(SUMIF(tblAnahtarA[Norm],$A285,tblGirdi[ToplamSatis]),0))</f>
        <v/>
      </c>
      <c r="C285" s="17">
        <f>IF($A285="","",IFERROR(SUMIF(tblAnahtarA[Norm],$A285,tblGirdi[Maliyet])*IFERROR(SUMIF(tblAnahtarA[Norm],$A285,tblGirdi[Miktar]),1),0))</f>
        <v/>
      </c>
      <c r="D285" s="17">
        <f>IF($A285="","",IFERROR(SUMIF(tblAnahtarA[Norm],$A285,tblGirdi[Miktar]),0))</f>
        <v/>
      </c>
      <c r="E285" s="17">
        <f>IF($A285="","",IFERROR(SUMIF(tblAnahtarA[Norm],$A285,tblGirdi[KomisyonOran]),0))</f>
        <v/>
      </c>
      <c r="F285" s="17">
        <f>IF($A285="","",ROUND($B285*$E285,2))</f>
        <v/>
      </c>
      <c r="G285" s="17">
        <f>IF($A285="","",IFERROR(SUMIF(tblAnahtarB[NormB],$A285,tblHakedis[TyPlus]),0))</f>
        <v/>
      </c>
      <c r="H285" s="17">
        <f>IF($A285="","",IFERROR(SUMIF(tblAnahtarB[NormB],$A285,tblHakedis[FlasKesinti]),0))</f>
        <v/>
      </c>
      <c r="I285" s="17">
        <f>IF($A285="","",IFERROR(SUMIF(tblAnahtarB[NormB],$A285,tblHakedis[UrunReklam]),0))</f>
        <v/>
      </c>
      <c r="J285" s="17">
        <f>IF($A285="","",IFERROR(SUMIF(tblAnahtarB[NormB],$A285,tblHakedis[DesiKargo]),0))</f>
        <v/>
      </c>
      <c r="K285" s="17">
        <f>IF($A285="","",ROUND($F285+$G285+$H285+$I285+$J285,2))</f>
        <v/>
      </c>
      <c r="L285" s="17">
        <f>IF($A285="","",ROUND($B285-$C285,2))</f>
        <v/>
      </c>
      <c r="M285" s="17">
        <f>IF($A285="","",ROUND($B285-$C285-$K285,2))</f>
        <v/>
      </c>
      <c r="N285" s="17">
        <f>IF(OR($A285="",$B285=0),0,$M285/$B285)</f>
        <v/>
      </c>
      <c r="O285" s="17">
        <f>IF($A285="","",IF((1-$E285)&lt;=0,0,IF($D285=0,0,ROUND(($C285+$G285+$H285+$I285+$J285)/$D285/(1-$E285),2))))</f>
        <v/>
      </c>
      <c r="P285" s="17">
        <f>IF($A285="","",IFERROR(SUMIF(tblAnahtarA[Norm],$A285,tblGirdi[HedefNet]),0))</f>
        <v/>
      </c>
      <c r="Q285" s="17">
        <f>IF($A285="","",ROUND($M285-$P285,2))</f>
        <v/>
      </c>
      <c r="R285" s="17">
        <f>IF($A285="","",ROUND($B285-$K285,2))</f>
        <v/>
      </c>
      <c r="S285" s="17">
        <f>IF($A285="","",IF($N285&lt;0,"ÇEKİL",IF($N285&lt;tyk_esikMarjDusuk,"ZAM","SAT")))</f>
        <v/>
      </c>
      <c r="T285" s="17">
        <f>IF($A285="","",$L285-$F285)</f>
        <v/>
      </c>
      <c r="U285" s="17">
        <f>IF($A285="","",$M285-$Q285)</f>
        <v/>
      </c>
      <c r="V285" s="17">
        <f>IF($A285="","",$R285-$M285)</f>
        <v/>
      </c>
    </row>
    <row r="286">
      <c r="A286" s="17">
        <f>IF('ANAHTAR'!$B286="","",'ANAHTAR'!$B286)</f>
        <v/>
      </c>
      <c r="B286" s="17">
        <f>IF($A286="","",IFERROR(SUMIF(tblAnahtarA[Norm],$A286,tblGirdi[ToplamSatis]),0))</f>
        <v/>
      </c>
      <c r="C286" s="17">
        <f>IF($A286="","",IFERROR(SUMIF(tblAnahtarA[Norm],$A286,tblGirdi[Maliyet])*IFERROR(SUMIF(tblAnahtarA[Norm],$A286,tblGirdi[Miktar]),1),0))</f>
        <v/>
      </c>
      <c r="D286" s="17">
        <f>IF($A286="","",IFERROR(SUMIF(tblAnahtarA[Norm],$A286,tblGirdi[Miktar]),0))</f>
        <v/>
      </c>
      <c r="E286" s="17">
        <f>IF($A286="","",IFERROR(SUMIF(tblAnahtarA[Norm],$A286,tblGirdi[KomisyonOran]),0))</f>
        <v/>
      </c>
      <c r="F286" s="17">
        <f>IF($A286="","",ROUND($B286*$E286,2))</f>
        <v/>
      </c>
      <c r="G286" s="17">
        <f>IF($A286="","",IFERROR(SUMIF(tblAnahtarB[NormB],$A286,tblHakedis[TyPlus]),0))</f>
        <v/>
      </c>
      <c r="H286" s="17">
        <f>IF($A286="","",IFERROR(SUMIF(tblAnahtarB[NormB],$A286,tblHakedis[FlasKesinti]),0))</f>
        <v/>
      </c>
      <c r="I286" s="17">
        <f>IF($A286="","",IFERROR(SUMIF(tblAnahtarB[NormB],$A286,tblHakedis[UrunReklam]),0))</f>
        <v/>
      </c>
      <c r="J286" s="17">
        <f>IF($A286="","",IFERROR(SUMIF(tblAnahtarB[NormB],$A286,tblHakedis[DesiKargo]),0))</f>
        <v/>
      </c>
      <c r="K286" s="17">
        <f>IF($A286="","",ROUND($F286+$G286+$H286+$I286+$J286,2))</f>
        <v/>
      </c>
      <c r="L286" s="17">
        <f>IF($A286="","",ROUND($B286-$C286,2))</f>
        <v/>
      </c>
      <c r="M286" s="17">
        <f>IF($A286="","",ROUND($B286-$C286-$K286,2))</f>
        <v/>
      </c>
      <c r="N286" s="17">
        <f>IF(OR($A286="",$B286=0),0,$M286/$B286)</f>
        <v/>
      </c>
      <c r="O286" s="17">
        <f>IF($A286="","",IF((1-$E286)&lt;=0,0,IF($D286=0,0,ROUND(($C286+$G286+$H286+$I286+$J286)/$D286/(1-$E286),2))))</f>
        <v/>
      </c>
      <c r="P286" s="17">
        <f>IF($A286="","",IFERROR(SUMIF(tblAnahtarA[Norm],$A286,tblGirdi[HedefNet]),0))</f>
        <v/>
      </c>
      <c r="Q286" s="17">
        <f>IF($A286="","",ROUND($M286-$P286,2))</f>
        <v/>
      </c>
      <c r="R286" s="17">
        <f>IF($A286="","",ROUND($B286-$K286,2))</f>
        <v/>
      </c>
      <c r="S286" s="17">
        <f>IF($A286="","",IF($N286&lt;0,"ÇEKİL",IF($N286&lt;tyk_esikMarjDusuk,"ZAM","SAT")))</f>
        <v/>
      </c>
      <c r="T286" s="17">
        <f>IF($A286="","",$L286-$F286)</f>
        <v/>
      </c>
      <c r="U286" s="17">
        <f>IF($A286="","",$M286-$Q286)</f>
        <v/>
      </c>
      <c r="V286" s="17">
        <f>IF($A286="","",$R286-$M286)</f>
        <v/>
      </c>
    </row>
    <row r="287">
      <c r="A287" s="17">
        <f>IF('ANAHTAR'!$B287="","",'ANAHTAR'!$B287)</f>
        <v/>
      </c>
      <c r="B287" s="17">
        <f>IF($A287="","",IFERROR(SUMIF(tblAnahtarA[Norm],$A287,tblGirdi[ToplamSatis]),0))</f>
        <v/>
      </c>
      <c r="C287" s="17">
        <f>IF($A287="","",IFERROR(SUMIF(tblAnahtarA[Norm],$A287,tblGirdi[Maliyet])*IFERROR(SUMIF(tblAnahtarA[Norm],$A287,tblGirdi[Miktar]),1),0))</f>
        <v/>
      </c>
      <c r="D287" s="17">
        <f>IF($A287="","",IFERROR(SUMIF(tblAnahtarA[Norm],$A287,tblGirdi[Miktar]),0))</f>
        <v/>
      </c>
      <c r="E287" s="17">
        <f>IF($A287="","",IFERROR(SUMIF(tblAnahtarA[Norm],$A287,tblGirdi[KomisyonOran]),0))</f>
        <v/>
      </c>
      <c r="F287" s="17">
        <f>IF($A287="","",ROUND($B287*$E287,2))</f>
        <v/>
      </c>
      <c r="G287" s="17">
        <f>IF($A287="","",IFERROR(SUMIF(tblAnahtarB[NormB],$A287,tblHakedis[TyPlus]),0))</f>
        <v/>
      </c>
      <c r="H287" s="17">
        <f>IF($A287="","",IFERROR(SUMIF(tblAnahtarB[NormB],$A287,tblHakedis[FlasKesinti]),0))</f>
        <v/>
      </c>
      <c r="I287" s="17">
        <f>IF($A287="","",IFERROR(SUMIF(tblAnahtarB[NormB],$A287,tblHakedis[UrunReklam]),0))</f>
        <v/>
      </c>
      <c r="J287" s="17">
        <f>IF($A287="","",IFERROR(SUMIF(tblAnahtarB[NormB],$A287,tblHakedis[DesiKargo]),0))</f>
        <v/>
      </c>
      <c r="K287" s="17">
        <f>IF($A287="","",ROUND($F287+$G287+$H287+$I287+$J287,2))</f>
        <v/>
      </c>
      <c r="L287" s="17">
        <f>IF($A287="","",ROUND($B287-$C287,2))</f>
        <v/>
      </c>
      <c r="M287" s="17">
        <f>IF($A287="","",ROUND($B287-$C287-$K287,2))</f>
        <v/>
      </c>
      <c r="N287" s="17">
        <f>IF(OR($A287="",$B287=0),0,$M287/$B287)</f>
        <v/>
      </c>
      <c r="O287" s="17">
        <f>IF($A287="","",IF((1-$E287)&lt;=0,0,IF($D287=0,0,ROUND(($C287+$G287+$H287+$I287+$J287)/$D287/(1-$E287),2))))</f>
        <v/>
      </c>
      <c r="P287" s="17">
        <f>IF($A287="","",IFERROR(SUMIF(tblAnahtarA[Norm],$A287,tblGirdi[HedefNet]),0))</f>
        <v/>
      </c>
      <c r="Q287" s="17">
        <f>IF($A287="","",ROUND($M287-$P287,2))</f>
        <v/>
      </c>
      <c r="R287" s="17">
        <f>IF($A287="","",ROUND($B287-$K287,2))</f>
        <v/>
      </c>
      <c r="S287" s="17">
        <f>IF($A287="","",IF($N287&lt;0,"ÇEKİL",IF($N287&lt;tyk_esikMarjDusuk,"ZAM","SAT")))</f>
        <v/>
      </c>
      <c r="T287" s="17">
        <f>IF($A287="","",$L287-$F287)</f>
        <v/>
      </c>
      <c r="U287" s="17">
        <f>IF($A287="","",$M287-$Q287)</f>
        <v/>
      </c>
      <c r="V287" s="17">
        <f>IF($A287="","",$R287-$M287)</f>
        <v/>
      </c>
    </row>
    <row r="288">
      <c r="A288" s="17">
        <f>IF('ANAHTAR'!$B288="","",'ANAHTAR'!$B288)</f>
        <v/>
      </c>
      <c r="B288" s="17">
        <f>IF($A288="","",IFERROR(SUMIF(tblAnahtarA[Norm],$A288,tblGirdi[ToplamSatis]),0))</f>
        <v/>
      </c>
      <c r="C288" s="17">
        <f>IF($A288="","",IFERROR(SUMIF(tblAnahtarA[Norm],$A288,tblGirdi[Maliyet])*IFERROR(SUMIF(tblAnahtarA[Norm],$A288,tblGirdi[Miktar]),1),0))</f>
        <v/>
      </c>
      <c r="D288" s="17">
        <f>IF($A288="","",IFERROR(SUMIF(tblAnahtarA[Norm],$A288,tblGirdi[Miktar]),0))</f>
        <v/>
      </c>
      <c r="E288" s="17">
        <f>IF($A288="","",IFERROR(SUMIF(tblAnahtarA[Norm],$A288,tblGirdi[KomisyonOran]),0))</f>
        <v/>
      </c>
      <c r="F288" s="17">
        <f>IF($A288="","",ROUND($B288*$E288,2))</f>
        <v/>
      </c>
      <c r="G288" s="17">
        <f>IF($A288="","",IFERROR(SUMIF(tblAnahtarB[NormB],$A288,tblHakedis[TyPlus]),0))</f>
        <v/>
      </c>
      <c r="H288" s="17">
        <f>IF($A288="","",IFERROR(SUMIF(tblAnahtarB[NormB],$A288,tblHakedis[FlasKesinti]),0))</f>
        <v/>
      </c>
      <c r="I288" s="17">
        <f>IF($A288="","",IFERROR(SUMIF(tblAnahtarB[NormB],$A288,tblHakedis[UrunReklam]),0))</f>
        <v/>
      </c>
      <c r="J288" s="17">
        <f>IF($A288="","",IFERROR(SUMIF(tblAnahtarB[NormB],$A288,tblHakedis[DesiKargo]),0))</f>
        <v/>
      </c>
      <c r="K288" s="17">
        <f>IF($A288="","",ROUND($F288+$G288+$H288+$I288+$J288,2))</f>
        <v/>
      </c>
      <c r="L288" s="17">
        <f>IF($A288="","",ROUND($B288-$C288,2))</f>
        <v/>
      </c>
      <c r="M288" s="17">
        <f>IF($A288="","",ROUND($B288-$C288-$K288,2))</f>
        <v/>
      </c>
      <c r="N288" s="17">
        <f>IF(OR($A288="",$B288=0),0,$M288/$B288)</f>
        <v/>
      </c>
      <c r="O288" s="17">
        <f>IF($A288="","",IF((1-$E288)&lt;=0,0,IF($D288=0,0,ROUND(($C288+$G288+$H288+$I288+$J288)/$D288/(1-$E288),2))))</f>
        <v/>
      </c>
      <c r="P288" s="17">
        <f>IF($A288="","",IFERROR(SUMIF(tblAnahtarA[Norm],$A288,tblGirdi[HedefNet]),0))</f>
        <v/>
      </c>
      <c r="Q288" s="17">
        <f>IF($A288="","",ROUND($M288-$P288,2))</f>
        <v/>
      </c>
      <c r="R288" s="17">
        <f>IF($A288="","",ROUND($B288-$K288,2))</f>
        <v/>
      </c>
      <c r="S288" s="17">
        <f>IF($A288="","",IF($N288&lt;0,"ÇEKİL",IF($N288&lt;tyk_esikMarjDusuk,"ZAM","SAT")))</f>
        <v/>
      </c>
      <c r="T288" s="17">
        <f>IF($A288="","",$L288-$F288)</f>
        <v/>
      </c>
      <c r="U288" s="17">
        <f>IF($A288="","",$M288-$Q288)</f>
        <v/>
      </c>
      <c r="V288" s="17">
        <f>IF($A288="","",$R288-$M288)</f>
        <v/>
      </c>
    </row>
    <row r="289">
      <c r="A289" s="17">
        <f>IF('ANAHTAR'!$B289="","",'ANAHTAR'!$B289)</f>
        <v/>
      </c>
      <c r="B289" s="17">
        <f>IF($A289="","",IFERROR(SUMIF(tblAnahtarA[Norm],$A289,tblGirdi[ToplamSatis]),0))</f>
        <v/>
      </c>
      <c r="C289" s="17">
        <f>IF($A289="","",IFERROR(SUMIF(tblAnahtarA[Norm],$A289,tblGirdi[Maliyet])*IFERROR(SUMIF(tblAnahtarA[Norm],$A289,tblGirdi[Miktar]),1),0))</f>
        <v/>
      </c>
      <c r="D289" s="17">
        <f>IF($A289="","",IFERROR(SUMIF(tblAnahtarA[Norm],$A289,tblGirdi[Miktar]),0))</f>
        <v/>
      </c>
      <c r="E289" s="17">
        <f>IF($A289="","",IFERROR(SUMIF(tblAnahtarA[Norm],$A289,tblGirdi[KomisyonOran]),0))</f>
        <v/>
      </c>
      <c r="F289" s="17">
        <f>IF($A289="","",ROUND($B289*$E289,2))</f>
        <v/>
      </c>
      <c r="G289" s="17">
        <f>IF($A289="","",IFERROR(SUMIF(tblAnahtarB[NormB],$A289,tblHakedis[TyPlus]),0))</f>
        <v/>
      </c>
      <c r="H289" s="17">
        <f>IF($A289="","",IFERROR(SUMIF(tblAnahtarB[NormB],$A289,tblHakedis[FlasKesinti]),0))</f>
        <v/>
      </c>
      <c r="I289" s="17">
        <f>IF($A289="","",IFERROR(SUMIF(tblAnahtarB[NormB],$A289,tblHakedis[UrunReklam]),0))</f>
        <v/>
      </c>
      <c r="J289" s="17">
        <f>IF($A289="","",IFERROR(SUMIF(tblAnahtarB[NormB],$A289,tblHakedis[DesiKargo]),0))</f>
        <v/>
      </c>
      <c r="K289" s="17">
        <f>IF($A289="","",ROUND($F289+$G289+$H289+$I289+$J289,2))</f>
        <v/>
      </c>
      <c r="L289" s="17">
        <f>IF($A289="","",ROUND($B289-$C289,2))</f>
        <v/>
      </c>
      <c r="M289" s="17">
        <f>IF($A289="","",ROUND($B289-$C289-$K289,2))</f>
        <v/>
      </c>
      <c r="N289" s="17">
        <f>IF(OR($A289="",$B289=0),0,$M289/$B289)</f>
        <v/>
      </c>
      <c r="O289" s="17">
        <f>IF($A289="","",IF((1-$E289)&lt;=0,0,IF($D289=0,0,ROUND(($C289+$G289+$H289+$I289+$J289)/$D289/(1-$E289),2))))</f>
        <v/>
      </c>
      <c r="P289" s="17">
        <f>IF($A289="","",IFERROR(SUMIF(tblAnahtarA[Norm],$A289,tblGirdi[HedefNet]),0))</f>
        <v/>
      </c>
      <c r="Q289" s="17">
        <f>IF($A289="","",ROUND($M289-$P289,2))</f>
        <v/>
      </c>
      <c r="R289" s="17">
        <f>IF($A289="","",ROUND($B289-$K289,2))</f>
        <v/>
      </c>
      <c r="S289" s="17">
        <f>IF($A289="","",IF($N289&lt;0,"ÇEKİL",IF($N289&lt;tyk_esikMarjDusuk,"ZAM","SAT")))</f>
        <v/>
      </c>
      <c r="T289" s="17">
        <f>IF($A289="","",$L289-$F289)</f>
        <v/>
      </c>
      <c r="U289" s="17">
        <f>IF($A289="","",$M289-$Q289)</f>
        <v/>
      </c>
      <c r="V289" s="17">
        <f>IF($A289="","",$R289-$M289)</f>
        <v/>
      </c>
    </row>
    <row r="290">
      <c r="A290" s="17">
        <f>IF('ANAHTAR'!$B290="","",'ANAHTAR'!$B290)</f>
        <v/>
      </c>
      <c r="B290" s="17">
        <f>IF($A290="","",IFERROR(SUMIF(tblAnahtarA[Norm],$A290,tblGirdi[ToplamSatis]),0))</f>
        <v/>
      </c>
      <c r="C290" s="17">
        <f>IF($A290="","",IFERROR(SUMIF(tblAnahtarA[Norm],$A290,tblGirdi[Maliyet])*IFERROR(SUMIF(tblAnahtarA[Norm],$A290,tblGirdi[Miktar]),1),0))</f>
        <v/>
      </c>
      <c r="D290" s="17">
        <f>IF($A290="","",IFERROR(SUMIF(tblAnahtarA[Norm],$A290,tblGirdi[Miktar]),0))</f>
        <v/>
      </c>
      <c r="E290" s="17">
        <f>IF($A290="","",IFERROR(SUMIF(tblAnahtarA[Norm],$A290,tblGirdi[KomisyonOran]),0))</f>
        <v/>
      </c>
      <c r="F290" s="17">
        <f>IF($A290="","",ROUND($B290*$E290,2))</f>
        <v/>
      </c>
      <c r="G290" s="17">
        <f>IF($A290="","",IFERROR(SUMIF(tblAnahtarB[NormB],$A290,tblHakedis[TyPlus]),0))</f>
        <v/>
      </c>
      <c r="H290" s="17">
        <f>IF($A290="","",IFERROR(SUMIF(tblAnahtarB[NormB],$A290,tblHakedis[FlasKesinti]),0))</f>
        <v/>
      </c>
      <c r="I290" s="17">
        <f>IF($A290="","",IFERROR(SUMIF(tblAnahtarB[NormB],$A290,tblHakedis[UrunReklam]),0))</f>
        <v/>
      </c>
      <c r="J290" s="17">
        <f>IF($A290="","",IFERROR(SUMIF(tblAnahtarB[NormB],$A290,tblHakedis[DesiKargo]),0))</f>
        <v/>
      </c>
      <c r="K290" s="17">
        <f>IF($A290="","",ROUND($F290+$G290+$H290+$I290+$J290,2))</f>
        <v/>
      </c>
      <c r="L290" s="17">
        <f>IF($A290="","",ROUND($B290-$C290,2))</f>
        <v/>
      </c>
      <c r="M290" s="17">
        <f>IF($A290="","",ROUND($B290-$C290-$K290,2))</f>
        <v/>
      </c>
      <c r="N290" s="17">
        <f>IF(OR($A290="",$B290=0),0,$M290/$B290)</f>
        <v/>
      </c>
      <c r="O290" s="17">
        <f>IF($A290="","",IF((1-$E290)&lt;=0,0,IF($D290=0,0,ROUND(($C290+$G290+$H290+$I290+$J290)/$D290/(1-$E290),2))))</f>
        <v/>
      </c>
      <c r="P290" s="17">
        <f>IF($A290="","",IFERROR(SUMIF(tblAnahtarA[Norm],$A290,tblGirdi[HedefNet]),0))</f>
        <v/>
      </c>
      <c r="Q290" s="17">
        <f>IF($A290="","",ROUND($M290-$P290,2))</f>
        <v/>
      </c>
      <c r="R290" s="17">
        <f>IF($A290="","",ROUND($B290-$K290,2))</f>
        <v/>
      </c>
      <c r="S290" s="17">
        <f>IF($A290="","",IF($N290&lt;0,"ÇEKİL",IF($N290&lt;tyk_esikMarjDusuk,"ZAM","SAT")))</f>
        <v/>
      </c>
      <c r="T290" s="17">
        <f>IF($A290="","",$L290-$F290)</f>
        <v/>
      </c>
      <c r="U290" s="17">
        <f>IF($A290="","",$M290-$Q290)</f>
        <v/>
      </c>
      <c r="V290" s="17">
        <f>IF($A290="","",$R290-$M290)</f>
        <v/>
      </c>
    </row>
    <row r="291">
      <c r="A291" s="17">
        <f>IF('ANAHTAR'!$B291="","",'ANAHTAR'!$B291)</f>
        <v/>
      </c>
      <c r="B291" s="17">
        <f>IF($A291="","",IFERROR(SUMIF(tblAnahtarA[Norm],$A291,tblGirdi[ToplamSatis]),0))</f>
        <v/>
      </c>
      <c r="C291" s="17">
        <f>IF($A291="","",IFERROR(SUMIF(tblAnahtarA[Norm],$A291,tblGirdi[Maliyet])*IFERROR(SUMIF(tblAnahtarA[Norm],$A291,tblGirdi[Miktar]),1),0))</f>
        <v/>
      </c>
      <c r="D291" s="17">
        <f>IF($A291="","",IFERROR(SUMIF(tblAnahtarA[Norm],$A291,tblGirdi[Miktar]),0))</f>
        <v/>
      </c>
      <c r="E291" s="17">
        <f>IF($A291="","",IFERROR(SUMIF(tblAnahtarA[Norm],$A291,tblGirdi[KomisyonOran]),0))</f>
        <v/>
      </c>
      <c r="F291" s="17">
        <f>IF($A291="","",ROUND($B291*$E291,2))</f>
        <v/>
      </c>
      <c r="G291" s="17">
        <f>IF($A291="","",IFERROR(SUMIF(tblAnahtarB[NormB],$A291,tblHakedis[TyPlus]),0))</f>
        <v/>
      </c>
      <c r="H291" s="17">
        <f>IF($A291="","",IFERROR(SUMIF(tblAnahtarB[NormB],$A291,tblHakedis[FlasKesinti]),0))</f>
        <v/>
      </c>
      <c r="I291" s="17">
        <f>IF($A291="","",IFERROR(SUMIF(tblAnahtarB[NormB],$A291,tblHakedis[UrunReklam]),0))</f>
        <v/>
      </c>
      <c r="J291" s="17">
        <f>IF($A291="","",IFERROR(SUMIF(tblAnahtarB[NormB],$A291,tblHakedis[DesiKargo]),0))</f>
        <v/>
      </c>
      <c r="K291" s="17">
        <f>IF($A291="","",ROUND($F291+$G291+$H291+$I291+$J291,2))</f>
        <v/>
      </c>
      <c r="L291" s="17">
        <f>IF($A291="","",ROUND($B291-$C291,2))</f>
        <v/>
      </c>
      <c r="M291" s="17">
        <f>IF($A291="","",ROUND($B291-$C291-$K291,2))</f>
        <v/>
      </c>
      <c r="N291" s="17">
        <f>IF(OR($A291="",$B291=0),0,$M291/$B291)</f>
        <v/>
      </c>
      <c r="O291" s="17">
        <f>IF($A291="","",IF((1-$E291)&lt;=0,0,IF($D291=0,0,ROUND(($C291+$G291+$H291+$I291+$J291)/$D291/(1-$E291),2))))</f>
        <v/>
      </c>
      <c r="P291" s="17">
        <f>IF($A291="","",IFERROR(SUMIF(tblAnahtarA[Norm],$A291,tblGirdi[HedefNet]),0))</f>
        <v/>
      </c>
      <c r="Q291" s="17">
        <f>IF($A291="","",ROUND($M291-$P291,2))</f>
        <v/>
      </c>
      <c r="R291" s="17">
        <f>IF($A291="","",ROUND($B291-$K291,2))</f>
        <v/>
      </c>
      <c r="S291" s="17">
        <f>IF($A291="","",IF($N291&lt;0,"ÇEKİL",IF($N291&lt;tyk_esikMarjDusuk,"ZAM","SAT")))</f>
        <v/>
      </c>
      <c r="T291" s="17">
        <f>IF($A291="","",$L291-$F291)</f>
        <v/>
      </c>
      <c r="U291" s="17">
        <f>IF($A291="","",$M291-$Q291)</f>
        <v/>
      </c>
      <c r="V291" s="17">
        <f>IF($A291="","",$R291-$M291)</f>
        <v/>
      </c>
    </row>
    <row r="292">
      <c r="A292" s="17">
        <f>IF('ANAHTAR'!$B292="","",'ANAHTAR'!$B292)</f>
        <v/>
      </c>
      <c r="B292" s="17">
        <f>IF($A292="","",IFERROR(SUMIF(tblAnahtarA[Norm],$A292,tblGirdi[ToplamSatis]),0))</f>
        <v/>
      </c>
      <c r="C292" s="17">
        <f>IF($A292="","",IFERROR(SUMIF(tblAnahtarA[Norm],$A292,tblGirdi[Maliyet])*IFERROR(SUMIF(tblAnahtarA[Norm],$A292,tblGirdi[Miktar]),1),0))</f>
        <v/>
      </c>
      <c r="D292" s="17">
        <f>IF($A292="","",IFERROR(SUMIF(tblAnahtarA[Norm],$A292,tblGirdi[Miktar]),0))</f>
        <v/>
      </c>
      <c r="E292" s="17">
        <f>IF($A292="","",IFERROR(SUMIF(tblAnahtarA[Norm],$A292,tblGirdi[KomisyonOran]),0))</f>
        <v/>
      </c>
      <c r="F292" s="17">
        <f>IF($A292="","",ROUND($B292*$E292,2))</f>
        <v/>
      </c>
      <c r="G292" s="17">
        <f>IF($A292="","",IFERROR(SUMIF(tblAnahtarB[NormB],$A292,tblHakedis[TyPlus]),0))</f>
        <v/>
      </c>
      <c r="H292" s="17">
        <f>IF($A292="","",IFERROR(SUMIF(tblAnahtarB[NormB],$A292,tblHakedis[FlasKesinti]),0))</f>
        <v/>
      </c>
      <c r="I292" s="17">
        <f>IF($A292="","",IFERROR(SUMIF(tblAnahtarB[NormB],$A292,tblHakedis[UrunReklam]),0))</f>
        <v/>
      </c>
      <c r="J292" s="17">
        <f>IF($A292="","",IFERROR(SUMIF(tblAnahtarB[NormB],$A292,tblHakedis[DesiKargo]),0))</f>
        <v/>
      </c>
      <c r="K292" s="17">
        <f>IF($A292="","",ROUND($F292+$G292+$H292+$I292+$J292,2))</f>
        <v/>
      </c>
      <c r="L292" s="17">
        <f>IF($A292="","",ROUND($B292-$C292,2))</f>
        <v/>
      </c>
      <c r="M292" s="17">
        <f>IF($A292="","",ROUND($B292-$C292-$K292,2))</f>
        <v/>
      </c>
      <c r="N292" s="17">
        <f>IF(OR($A292="",$B292=0),0,$M292/$B292)</f>
        <v/>
      </c>
      <c r="O292" s="17">
        <f>IF($A292="","",IF((1-$E292)&lt;=0,0,IF($D292=0,0,ROUND(($C292+$G292+$H292+$I292+$J292)/$D292/(1-$E292),2))))</f>
        <v/>
      </c>
      <c r="P292" s="17">
        <f>IF($A292="","",IFERROR(SUMIF(tblAnahtarA[Norm],$A292,tblGirdi[HedefNet]),0))</f>
        <v/>
      </c>
      <c r="Q292" s="17">
        <f>IF($A292="","",ROUND($M292-$P292,2))</f>
        <v/>
      </c>
      <c r="R292" s="17">
        <f>IF($A292="","",ROUND($B292-$K292,2))</f>
        <v/>
      </c>
      <c r="S292" s="17">
        <f>IF($A292="","",IF($N292&lt;0,"ÇEKİL",IF($N292&lt;tyk_esikMarjDusuk,"ZAM","SAT")))</f>
        <v/>
      </c>
      <c r="T292" s="17">
        <f>IF($A292="","",$L292-$F292)</f>
        <v/>
      </c>
      <c r="U292" s="17">
        <f>IF($A292="","",$M292-$Q292)</f>
        <v/>
      </c>
      <c r="V292" s="17">
        <f>IF($A292="","",$R292-$M292)</f>
        <v/>
      </c>
    </row>
    <row r="293">
      <c r="A293" s="17">
        <f>IF('ANAHTAR'!$B293="","",'ANAHTAR'!$B293)</f>
        <v/>
      </c>
      <c r="B293" s="17">
        <f>IF($A293="","",IFERROR(SUMIF(tblAnahtarA[Norm],$A293,tblGirdi[ToplamSatis]),0))</f>
        <v/>
      </c>
      <c r="C293" s="17">
        <f>IF($A293="","",IFERROR(SUMIF(tblAnahtarA[Norm],$A293,tblGirdi[Maliyet])*IFERROR(SUMIF(tblAnahtarA[Norm],$A293,tblGirdi[Miktar]),1),0))</f>
        <v/>
      </c>
      <c r="D293" s="17">
        <f>IF($A293="","",IFERROR(SUMIF(tblAnahtarA[Norm],$A293,tblGirdi[Miktar]),0))</f>
        <v/>
      </c>
      <c r="E293" s="17">
        <f>IF($A293="","",IFERROR(SUMIF(tblAnahtarA[Norm],$A293,tblGirdi[KomisyonOran]),0))</f>
        <v/>
      </c>
      <c r="F293" s="17">
        <f>IF($A293="","",ROUND($B293*$E293,2))</f>
        <v/>
      </c>
      <c r="G293" s="17">
        <f>IF($A293="","",IFERROR(SUMIF(tblAnahtarB[NormB],$A293,tblHakedis[TyPlus]),0))</f>
        <v/>
      </c>
      <c r="H293" s="17">
        <f>IF($A293="","",IFERROR(SUMIF(tblAnahtarB[NormB],$A293,tblHakedis[FlasKesinti]),0))</f>
        <v/>
      </c>
      <c r="I293" s="17">
        <f>IF($A293="","",IFERROR(SUMIF(tblAnahtarB[NormB],$A293,tblHakedis[UrunReklam]),0))</f>
        <v/>
      </c>
      <c r="J293" s="17">
        <f>IF($A293="","",IFERROR(SUMIF(tblAnahtarB[NormB],$A293,tblHakedis[DesiKargo]),0))</f>
        <v/>
      </c>
      <c r="K293" s="17">
        <f>IF($A293="","",ROUND($F293+$G293+$H293+$I293+$J293,2))</f>
        <v/>
      </c>
      <c r="L293" s="17">
        <f>IF($A293="","",ROUND($B293-$C293,2))</f>
        <v/>
      </c>
      <c r="M293" s="17">
        <f>IF($A293="","",ROUND($B293-$C293-$K293,2))</f>
        <v/>
      </c>
      <c r="N293" s="17">
        <f>IF(OR($A293="",$B293=0),0,$M293/$B293)</f>
        <v/>
      </c>
      <c r="O293" s="17">
        <f>IF($A293="","",IF((1-$E293)&lt;=0,0,IF($D293=0,0,ROUND(($C293+$G293+$H293+$I293+$J293)/$D293/(1-$E293),2))))</f>
        <v/>
      </c>
      <c r="P293" s="17">
        <f>IF($A293="","",IFERROR(SUMIF(tblAnahtarA[Norm],$A293,tblGirdi[HedefNet]),0))</f>
        <v/>
      </c>
      <c r="Q293" s="17">
        <f>IF($A293="","",ROUND($M293-$P293,2))</f>
        <v/>
      </c>
      <c r="R293" s="17">
        <f>IF($A293="","",ROUND($B293-$K293,2))</f>
        <v/>
      </c>
      <c r="S293" s="17">
        <f>IF($A293="","",IF($N293&lt;0,"ÇEKİL",IF($N293&lt;tyk_esikMarjDusuk,"ZAM","SAT")))</f>
        <v/>
      </c>
      <c r="T293" s="17">
        <f>IF($A293="","",$L293-$F293)</f>
        <v/>
      </c>
      <c r="U293" s="17">
        <f>IF($A293="","",$M293-$Q293)</f>
        <v/>
      </c>
      <c r="V293" s="17">
        <f>IF($A293="","",$R293-$M293)</f>
        <v/>
      </c>
    </row>
    <row r="294">
      <c r="A294" s="17">
        <f>IF('ANAHTAR'!$B294="","",'ANAHTAR'!$B294)</f>
        <v/>
      </c>
      <c r="B294" s="17">
        <f>IF($A294="","",IFERROR(SUMIF(tblAnahtarA[Norm],$A294,tblGirdi[ToplamSatis]),0))</f>
        <v/>
      </c>
      <c r="C294" s="17">
        <f>IF($A294="","",IFERROR(SUMIF(tblAnahtarA[Norm],$A294,tblGirdi[Maliyet])*IFERROR(SUMIF(tblAnahtarA[Norm],$A294,tblGirdi[Miktar]),1),0))</f>
        <v/>
      </c>
      <c r="D294" s="17">
        <f>IF($A294="","",IFERROR(SUMIF(tblAnahtarA[Norm],$A294,tblGirdi[Miktar]),0))</f>
        <v/>
      </c>
      <c r="E294" s="17">
        <f>IF($A294="","",IFERROR(SUMIF(tblAnahtarA[Norm],$A294,tblGirdi[KomisyonOran]),0))</f>
        <v/>
      </c>
      <c r="F294" s="17">
        <f>IF($A294="","",ROUND($B294*$E294,2))</f>
        <v/>
      </c>
      <c r="G294" s="17">
        <f>IF($A294="","",IFERROR(SUMIF(tblAnahtarB[NormB],$A294,tblHakedis[TyPlus]),0))</f>
        <v/>
      </c>
      <c r="H294" s="17">
        <f>IF($A294="","",IFERROR(SUMIF(tblAnahtarB[NormB],$A294,tblHakedis[FlasKesinti]),0))</f>
        <v/>
      </c>
      <c r="I294" s="17">
        <f>IF($A294="","",IFERROR(SUMIF(tblAnahtarB[NormB],$A294,tblHakedis[UrunReklam]),0))</f>
        <v/>
      </c>
      <c r="J294" s="17">
        <f>IF($A294="","",IFERROR(SUMIF(tblAnahtarB[NormB],$A294,tblHakedis[DesiKargo]),0))</f>
        <v/>
      </c>
      <c r="K294" s="17">
        <f>IF($A294="","",ROUND($F294+$G294+$H294+$I294+$J294,2))</f>
        <v/>
      </c>
      <c r="L294" s="17">
        <f>IF($A294="","",ROUND($B294-$C294,2))</f>
        <v/>
      </c>
      <c r="M294" s="17">
        <f>IF($A294="","",ROUND($B294-$C294-$K294,2))</f>
        <v/>
      </c>
      <c r="N294" s="17">
        <f>IF(OR($A294="",$B294=0),0,$M294/$B294)</f>
        <v/>
      </c>
      <c r="O294" s="17">
        <f>IF($A294="","",IF((1-$E294)&lt;=0,0,IF($D294=0,0,ROUND(($C294+$G294+$H294+$I294+$J294)/$D294/(1-$E294),2))))</f>
        <v/>
      </c>
      <c r="P294" s="17">
        <f>IF($A294="","",IFERROR(SUMIF(tblAnahtarA[Norm],$A294,tblGirdi[HedefNet]),0))</f>
        <v/>
      </c>
      <c r="Q294" s="17">
        <f>IF($A294="","",ROUND($M294-$P294,2))</f>
        <v/>
      </c>
      <c r="R294" s="17">
        <f>IF($A294="","",ROUND($B294-$K294,2))</f>
        <v/>
      </c>
      <c r="S294" s="17">
        <f>IF($A294="","",IF($N294&lt;0,"ÇEKİL",IF($N294&lt;tyk_esikMarjDusuk,"ZAM","SAT")))</f>
        <v/>
      </c>
      <c r="T294" s="17">
        <f>IF($A294="","",$L294-$F294)</f>
        <v/>
      </c>
      <c r="U294" s="17">
        <f>IF($A294="","",$M294-$Q294)</f>
        <v/>
      </c>
      <c r="V294" s="17">
        <f>IF($A294="","",$R294-$M294)</f>
        <v/>
      </c>
    </row>
    <row r="295">
      <c r="A295" s="17">
        <f>IF('ANAHTAR'!$B295="","",'ANAHTAR'!$B295)</f>
        <v/>
      </c>
      <c r="B295" s="17">
        <f>IF($A295="","",IFERROR(SUMIF(tblAnahtarA[Norm],$A295,tblGirdi[ToplamSatis]),0))</f>
        <v/>
      </c>
      <c r="C295" s="17">
        <f>IF($A295="","",IFERROR(SUMIF(tblAnahtarA[Norm],$A295,tblGirdi[Maliyet])*IFERROR(SUMIF(tblAnahtarA[Norm],$A295,tblGirdi[Miktar]),1),0))</f>
        <v/>
      </c>
      <c r="D295" s="17">
        <f>IF($A295="","",IFERROR(SUMIF(tblAnahtarA[Norm],$A295,tblGirdi[Miktar]),0))</f>
        <v/>
      </c>
      <c r="E295" s="17">
        <f>IF($A295="","",IFERROR(SUMIF(tblAnahtarA[Norm],$A295,tblGirdi[KomisyonOran]),0))</f>
        <v/>
      </c>
      <c r="F295" s="17">
        <f>IF($A295="","",ROUND($B295*$E295,2))</f>
        <v/>
      </c>
      <c r="G295" s="17">
        <f>IF($A295="","",IFERROR(SUMIF(tblAnahtarB[NormB],$A295,tblHakedis[TyPlus]),0))</f>
        <v/>
      </c>
      <c r="H295" s="17">
        <f>IF($A295="","",IFERROR(SUMIF(tblAnahtarB[NormB],$A295,tblHakedis[FlasKesinti]),0))</f>
        <v/>
      </c>
      <c r="I295" s="17">
        <f>IF($A295="","",IFERROR(SUMIF(tblAnahtarB[NormB],$A295,tblHakedis[UrunReklam]),0))</f>
        <v/>
      </c>
      <c r="J295" s="17">
        <f>IF($A295="","",IFERROR(SUMIF(tblAnahtarB[NormB],$A295,tblHakedis[DesiKargo]),0))</f>
        <v/>
      </c>
      <c r="K295" s="17">
        <f>IF($A295="","",ROUND($F295+$G295+$H295+$I295+$J295,2))</f>
        <v/>
      </c>
      <c r="L295" s="17">
        <f>IF($A295="","",ROUND($B295-$C295,2))</f>
        <v/>
      </c>
      <c r="M295" s="17">
        <f>IF($A295="","",ROUND($B295-$C295-$K295,2))</f>
        <v/>
      </c>
      <c r="N295" s="17">
        <f>IF(OR($A295="",$B295=0),0,$M295/$B295)</f>
        <v/>
      </c>
      <c r="O295" s="17">
        <f>IF($A295="","",IF((1-$E295)&lt;=0,0,IF($D295=0,0,ROUND(($C295+$G295+$H295+$I295+$J295)/$D295/(1-$E295),2))))</f>
        <v/>
      </c>
      <c r="P295" s="17">
        <f>IF($A295="","",IFERROR(SUMIF(tblAnahtarA[Norm],$A295,tblGirdi[HedefNet]),0))</f>
        <v/>
      </c>
      <c r="Q295" s="17">
        <f>IF($A295="","",ROUND($M295-$P295,2))</f>
        <v/>
      </c>
      <c r="R295" s="17">
        <f>IF($A295="","",ROUND($B295-$K295,2))</f>
        <v/>
      </c>
      <c r="S295" s="17">
        <f>IF($A295="","",IF($N295&lt;0,"ÇEKİL",IF($N295&lt;tyk_esikMarjDusuk,"ZAM","SAT")))</f>
        <v/>
      </c>
      <c r="T295" s="17">
        <f>IF($A295="","",$L295-$F295)</f>
        <v/>
      </c>
      <c r="U295" s="17">
        <f>IF($A295="","",$M295-$Q295)</f>
        <v/>
      </c>
      <c r="V295" s="17">
        <f>IF($A295="","",$R295-$M295)</f>
        <v/>
      </c>
    </row>
    <row r="296">
      <c r="A296" s="17">
        <f>IF('ANAHTAR'!$B296="","",'ANAHTAR'!$B296)</f>
        <v/>
      </c>
      <c r="B296" s="17">
        <f>IF($A296="","",IFERROR(SUMIF(tblAnahtarA[Norm],$A296,tblGirdi[ToplamSatis]),0))</f>
        <v/>
      </c>
      <c r="C296" s="17">
        <f>IF($A296="","",IFERROR(SUMIF(tblAnahtarA[Norm],$A296,tblGirdi[Maliyet])*IFERROR(SUMIF(tblAnahtarA[Norm],$A296,tblGirdi[Miktar]),1),0))</f>
        <v/>
      </c>
      <c r="D296" s="17">
        <f>IF($A296="","",IFERROR(SUMIF(tblAnahtarA[Norm],$A296,tblGirdi[Miktar]),0))</f>
        <v/>
      </c>
      <c r="E296" s="17">
        <f>IF($A296="","",IFERROR(SUMIF(tblAnahtarA[Norm],$A296,tblGirdi[KomisyonOran]),0))</f>
        <v/>
      </c>
      <c r="F296" s="17">
        <f>IF($A296="","",ROUND($B296*$E296,2))</f>
        <v/>
      </c>
      <c r="G296" s="17">
        <f>IF($A296="","",IFERROR(SUMIF(tblAnahtarB[NormB],$A296,tblHakedis[TyPlus]),0))</f>
        <v/>
      </c>
      <c r="H296" s="17">
        <f>IF($A296="","",IFERROR(SUMIF(tblAnahtarB[NormB],$A296,tblHakedis[FlasKesinti]),0))</f>
        <v/>
      </c>
      <c r="I296" s="17">
        <f>IF($A296="","",IFERROR(SUMIF(tblAnahtarB[NormB],$A296,tblHakedis[UrunReklam]),0))</f>
        <v/>
      </c>
      <c r="J296" s="17">
        <f>IF($A296="","",IFERROR(SUMIF(tblAnahtarB[NormB],$A296,tblHakedis[DesiKargo]),0))</f>
        <v/>
      </c>
      <c r="K296" s="17">
        <f>IF($A296="","",ROUND($F296+$G296+$H296+$I296+$J296,2))</f>
        <v/>
      </c>
      <c r="L296" s="17">
        <f>IF($A296="","",ROUND($B296-$C296,2))</f>
        <v/>
      </c>
      <c r="M296" s="17">
        <f>IF($A296="","",ROUND($B296-$C296-$K296,2))</f>
        <v/>
      </c>
      <c r="N296" s="17">
        <f>IF(OR($A296="",$B296=0),0,$M296/$B296)</f>
        <v/>
      </c>
      <c r="O296" s="17">
        <f>IF($A296="","",IF((1-$E296)&lt;=0,0,IF($D296=0,0,ROUND(($C296+$G296+$H296+$I296+$J296)/$D296/(1-$E296),2))))</f>
        <v/>
      </c>
      <c r="P296" s="17">
        <f>IF($A296="","",IFERROR(SUMIF(tblAnahtarA[Norm],$A296,tblGirdi[HedefNet]),0))</f>
        <v/>
      </c>
      <c r="Q296" s="17">
        <f>IF($A296="","",ROUND($M296-$P296,2))</f>
        <v/>
      </c>
      <c r="R296" s="17">
        <f>IF($A296="","",ROUND($B296-$K296,2))</f>
        <v/>
      </c>
      <c r="S296" s="17">
        <f>IF($A296="","",IF($N296&lt;0,"ÇEKİL",IF($N296&lt;tyk_esikMarjDusuk,"ZAM","SAT")))</f>
        <v/>
      </c>
      <c r="T296" s="17">
        <f>IF($A296="","",$L296-$F296)</f>
        <v/>
      </c>
      <c r="U296" s="17">
        <f>IF($A296="","",$M296-$Q296)</f>
        <v/>
      </c>
      <c r="V296" s="17">
        <f>IF($A296="","",$R296-$M296)</f>
        <v/>
      </c>
    </row>
    <row r="297">
      <c r="A297" s="17">
        <f>IF('ANAHTAR'!$B297="","",'ANAHTAR'!$B297)</f>
        <v/>
      </c>
      <c r="B297" s="17">
        <f>IF($A297="","",IFERROR(SUMIF(tblAnahtarA[Norm],$A297,tblGirdi[ToplamSatis]),0))</f>
        <v/>
      </c>
      <c r="C297" s="17">
        <f>IF($A297="","",IFERROR(SUMIF(tblAnahtarA[Norm],$A297,tblGirdi[Maliyet])*IFERROR(SUMIF(tblAnahtarA[Norm],$A297,tblGirdi[Miktar]),1),0))</f>
        <v/>
      </c>
      <c r="D297" s="17">
        <f>IF($A297="","",IFERROR(SUMIF(tblAnahtarA[Norm],$A297,tblGirdi[Miktar]),0))</f>
        <v/>
      </c>
      <c r="E297" s="17">
        <f>IF($A297="","",IFERROR(SUMIF(tblAnahtarA[Norm],$A297,tblGirdi[KomisyonOran]),0))</f>
        <v/>
      </c>
      <c r="F297" s="17">
        <f>IF($A297="","",ROUND($B297*$E297,2))</f>
        <v/>
      </c>
      <c r="G297" s="17">
        <f>IF($A297="","",IFERROR(SUMIF(tblAnahtarB[NormB],$A297,tblHakedis[TyPlus]),0))</f>
        <v/>
      </c>
      <c r="H297" s="17">
        <f>IF($A297="","",IFERROR(SUMIF(tblAnahtarB[NormB],$A297,tblHakedis[FlasKesinti]),0))</f>
        <v/>
      </c>
      <c r="I297" s="17">
        <f>IF($A297="","",IFERROR(SUMIF(tblAnahtarB[NormB],$A297,tblHakedis[UrunReklam]),0))</f>
        <v/>
      </c>
      <c r="J297" s="17">
        <f>IF($A297="","",IFERROR(SUMIF(tblAnahtarB[NormB],$A297,tblHakedis[DesiKargo]),0))</f>
        <v/>
      </c>
      <c r="K297" s="17">
        <f>IF($A297="","",ROUND($F297+$G297+$H297+$I297+$J297,2))</f>
        <v/>
      </c>
      <c r="L297" s="17">
        <f>IF($A297="","",ROUND($B297-$C297,2))</f>
        <v/>
      </c>
      <c r="M297" s="17">
        <f>IF($A297="","",ROUND($B297-$C297-$K297,2))</f>
        <v/>
      </c>
      <c r="N297" s="17">
        <f>IF(OR($A297="",$B297=0),0,$M297/$B297)</f>
        <v/>
      </c>
      <c r="O297" s="17">
        <f>IF($A297="","",IF((1-$E297)&lt;=0,0,IF($D297=0,0,ROUND(($C297+$G297+$H297+$I297+$J297)/$D297/(1-$E297),2))))</f>
        <v/>
      </c>
      <c r="P297" s="17">
        <f>IF($A297="","",IFERROR(SUMIF(tblAnahtarA[Norm],$A297,tblGirdi[HedefNet]),0))</f>
        <v/>
      </c>
      <c r="Q297" s="17">
        <f>IF($A297="","",ROUND($M297-$P297,2))</f>
        <v/>
      </c>
      <c r="R297" s="17">
        <f>IF($A297="","",ROUND($B297-$K297,2))</f>
        <v/>
      </c>
      <c r="S297" s="17">
        <f>IF($A297="","",IF($N297&lt;0,"ÇEKİL",IF($N297&lt;tyk_esikMarjDusuk,"ZAM","SAT")))</f>
        <v/>
      </c>
      <c r="T297" s="17">
        <f>IF($A297="","",$L297-$F297)</f>
        <v/>
      </c>
      <c r="U297" s="17">
        <f>IF($A297="","",$M297-$Q297)</f>
        <v/>
      </c>
      <c r="V297" s="17">
        <f>IF($A297="","",$R297-$M297)</f>
        <v/>
      </c>
    </row>
    <row r="298">
      <c r="A298" s="17">
        <f>IF('ANAHTAR'!$B298="","",'ANAHTAR'!$B298)</f>
        <v/>
      </c>
      <c r="B298" s="17">
        <f>IF($A298="","",IFERROR(SUMIF(tblAnahtarA[Norm],$A298,tblGirdi[ToplamSatis]),0))</f>
        <v/>
      </c>
      <c r="C298" s="17">
        <f>IF($A298="","",IFERROR(SUMIF(tblAnahtarA[Norm],$A298,tblGirdi[Maliyet])*IFERROR(SUMIF(tblAnahtarA[Norm],$A298,tblGirdi[Miktar]),1),0))</f>
        <v/>
      </c>
      <c r="D298" s="17">
        <f>IF($A298="","",IFERROR(SUMIF(tblAnahtarA[Norm],$A298,tblGirdi[Miktar]),0))</f>
        <v/>
      </c>
      <c r="E298" s="17">
        <f>IF($A298="","",IFERROR(SUMIF(tblAnahtarA[Norm],$A298,tblGirdi[KomisyonOran]),0))</f>
        <v/>
      </c>
      <c r="F298" s="17">
        <f>IF($A298="","",ROUND($B298*$E298,2))</f>
        <v/>
      </c>
      <c r="G298" s="17">
        <f>IF($A298="","",IFERROR(SUMIF(tblAnahtarB[NormB],$A298,tblHakedis[TyPlus]),0))</f>
        <v/>
      </c>
      <c r="H298" s="17">
        <f>IF($A298="","",IFERROR(SUMIF(tblAnahtarB[NormB],$A298,tblHakedis[FlasKesinti]),0))</f>
        <v/>
      </c>
      <c r="I298" s="17">
        <f>IF($A298="","",IFERROR(SUMIF(tblAnahtarB[NormB],$A298,tblHakedis[UrunReklam]),0))</f>
        <v/>
      </c>
      <c r="J298" s="17">
        <f>IF($A298="","",IFERROR(SUMIF(tblAnahtarB[NormB],$A298,tblHakedis[DesiKargo]),0))</f>
        <v/>
      </c>
      <c r="K298" s="17">
        <f>IF($A298="","",ROUND($F298+$G298+$H298+$I298+$J298,2))</f>
        <v/>
      </c>
      <c r="L298" s="17">
        <f>IF($A298="","",ROUND($B298-$C298,2))</f>
        <v/>
      </c>
      <c r="M298" s="17">
        <f>IF($A298="","",ROUND($B298-$C298-$K298,2))</f>
        <v/>
      </c>
      <c r="N298" s="17">
        <f>IF(OR($A298="",$B298=0),0,$M298/$B298)</f>
        <v/>
      </c>
      <c r="O298" s="17">
        <f>IF($A298="","",IF((1-$E298)&lt;=0,0,IF($D298=0,0,ROUND(($C298+$G298+$H298+$I298+$J298)/$D298/(1-$E298),2))))</f>
        <v/>
      </c>
      <c r="P298" s="17">
        <f>IF($A298="","",IFERROR(SUMIF(tblAnahtarA[Norm],$A298,tblGirdi[HedefNet]),0))</f>
        <v/>
      </c>
      <c r="Q298" s="17">
        <f>IF($A298="","",ROUND($M298-$P298,2))</f>
        <v/>
      </c>
      <c r="R298" s="17">
        <f>IF($A298="","",ROUND($B298-$K298,2))</f>
        <v/>
      </c>
      <c r="S298" s="17">
        <f>IF($A298="","",IF($N298&lt;0,"ÇEKİL",IF($N298&lt;tyk_esikMarjDusuk,"ZAM","SAT")))</f>
        <v/>
      </c>
      <c r="T298" s="17">
        <f>IF($A298="","",$L298-$F298)</f>
        <v/>
      </c>
      <c r="U298" s="17">
        <f>IF($A298="","",$M298-$Q298)</f>
        <v/>
      </c>
      <c r="V298" s="17">
        <f>IF($A298="","",$R298-$M298)</f>
        <v/>
      </c>
    </row>
    <row r="299">
      <c r="A299" s="17">
        <f>IF('ANAHTAR'!$B299="","",'ANAHTAR'!$B299)</f>
        <v/>
      </c>
      <c r="B299" s="17">
        <f>IF($A299="","",IFERROR(SUMIF(tblAnahtarA[Norm],$A299,tblGirdi[ToplamSatis]),0))</f>
        <v/>
      </c>
      <c r="C299" s="17">
        <f>IF($A299="","",IFERROR(SUMIF(tblAnahtarA[Norm],$A299,tblGirdi[Maliyet])*IFERROR(SUMIF(tblAnahtarA[Norm],$A299,tblGirdi[Miktar]),1),0))</f>
        <v/>
      </c>
      <c r="D299" s="17">
        <f>IF($A299="","",IFERROR(SUMIF(tblAnahtarA[Norm],$A299,tblGirdi[Miktar]),0))</f>
        <v/>
      </c>
      <c r="E299" s="17">
        <f>IF($A299="","",IFERROR(SUMIF(tblAnahtarA[Norm],$A299,tblGirdi[KomisyonOran]),0))</f>
        <v/>
      </c>
      <c r="F299" s="17">
        <f>IF($A299="","",ROUND($B299*$E299,2))</f>
        <v/>
      </c>
      <c r="G299" s="17">
        <f>IF($A299="","",IFERROR(SUMIF(tblAnahtarB[NormB],$A299,tblHakedis[TyPlus]),0))</f>
        <v/>
      </c>
      <c r="H299" s="17">
        <f>IF($A299="","",IFERROR(SUMIF(tblAnahtarB[NormB],$A299,tblHakedis[FlasKesinti]),0))</f>
        <v/>
      </c>
      <c r="I299" s="17">
        <f>IF($A299="","",IFERROR(SUMIF(tblAnahtarB[NormB],$A299,tblHakedis[UrunReklam]),0))</f>
        <v/>
      </c>
      <c r="J299" s="17">
        <f>IF($A299="","",IFERROR(SUMIF(tblAnahtarB[NormB],$A299,tblHakedis[DesiKargo]),0))</f>
        <v/>
      </c>
      <c r="K299" s="17">
        <f>IF($A299="","",ROUND($F299+$G299+$H299+$I299+$J299,2))</f>
        <v/>
      </c>
      <c r="L299" s="17">
        <f>IF($A299="","",ROUND($B299-$C299,2))</f>
        <v/>
      </c>
      <c r="M299" s="17">
        <f>IF($A299="","",ROUND($B299-$C299-$K299,2))</f>
        <v/>
      </c>
      <c r="N299" s="17">
        <f>IF(OR($A299="",$B299=0),0,$M299/$B299)</f>
        <v/>
      </c>
      <c r="O299" s="17">
        <f>IF($A299="","",IF((1-$E299)&lt;=0,0,IF($D299=0,0,ROUND(($C299+$G299+$H299+$I299+$J299)/$D299/(1-$E299),2))))</f>
        <v/>
      </c>
      <c r="P299" s="17">
        <f>IF($A299="","",IFERROR(SUMIF(tblAnahtarA[Norm],$A299,tblGirdi[HedefNet]),0))</f>
        <v/>
      </c>
      <c r="Q299" s="17">
        <f>IF($A299="","",ROUND($M299-$P299,2))</f>
        <v/>
      </c>
      <c r="R299" s="17">
        <f>IF($A299="","",ROUND($B299-$K299,2))</f>
        <v/>
      </c>
      <c r="S299" s="17">
        <f>IF($A299="","",IF($N299&lt;0,"ÇEKİL",IF($N299&lt;tyk_esikMarjDusuk,"ZAM","SAT")))</f>
        <v/>
      </c>
      <c r="T299" s="17">
        <f>IF($A299="","",$L299-$F299)</f>
        <v/>
      </c>
      <c r="U299" s="17">
        <f>IF($A299="","",$M299-$Q299)</f>
        <v/>
      </c>
      <c r="V299" s="17">
        <f>IF($A299="","",$R299-$M299)</f>
        <v/>
      </c>
    </row>
    <row r="300">
      <c r="A300" s="17">
        <f>IF('ANAHTAR'!$B300="","",'ANAHTAR'!$B300)</f>
        <v/>
      </c>
      <c r="B300" s="17">
        <f>IF($A300="","",IFERROR(SUMIF(tblAnahtarA[Norm],$A300,tblGirdi[ToplamSatis]),0))</f>
        <v/>
      </c>
      <c r="C300" s="17">
        <f>IF($A300="","",IFERROR(SUMIF(tblAnahtarA[Norm],$A300,tblGirdi[Maliyet])*IFERROR(SUMIF(tblAnahtarA[Norm],$A300,tblGirdi[Miktar]),1),0))</f>
        <v/>
      </c>
      <c r="D300" s="17">
        <f>IF($A300="","",IFERROR(SUMIF(tblAnahtarA[Norm],$A300,tblGirdi[Miktar]),0))</f>
        <v/>
      </c>
      <c r="E300" s="17">
        <f>IF($A300="","",IFERROR(SUMIF(tblAnahtarA[Norm],$A300,tblGirdi[KomisyonOran]),0))</f>
        <v/>
      </c>
      <c r="F300" s="17">
        <f>IF($A300="","",ROUND($B300*$E300,2))</f>
        <v/>
      </c>
      <c r="G300" s="17">
        <f>IF($A300="","",IFERROR(SUMIF(tblAnahtarB[NormB],$A300,tblHakedis[TyPlus]),0))</f>
        <v/>
      </c>
      <c r="H300" s="17">
        <f>IF($A300="","",IFERROR(SUMIF(tblAnahtarB[NormB],$A300,tblHakedis[FlasKesinti]),0))</f>
        <v/>
      </c>
      <c r="I300" s="17">
        <f>IF($A300="","",IFERROR(SUMIF(tblAnahtarB[NormB],$A300,tblHakedis[UrunReklam]),0))</f>
        <v/>
      </c>
      <c r="J300" s="17">
        <f>IF($A300="","",IFERROR(SUMIF(tblAnahtarB[NormB],$A300,tblHakedis[DesiKargo]),0))</f>
        <v/>
      </c>
      <c r="K300" s="17">
        <f>IF($A300="","",ROUND($F300+$G300+$H300+$I300+$J300,2))</f>
        <v/>
      </c>
      <c r="L300" s="17">
        <f>IF($A300="","",ROUND($B300-$C300,2))</f>
        <v/>
      </c>
      <c r="M300" s="17">
        <f>IF($A300="","",ROUND($B300-$C300-$K300,2))</f>
        <v/>
      </c>
      <c r="N300" s="17">
        <f>IF(OR($A300="",$B300=0),0,$M300/$B300)</f>
        <v/>
      </c>
      <c r="O300" s="17">
        <f>IF($A300="","",IF((1-$E300)&lt;=0,0,IF($D300=0,0,ROUND(($C300+$G300+$H300+$I300+$J300)/$D300/(1-$E300),2))))</f>
        <v/>
      </c>
      <c r="P300" s="17">
        <f>IF($A300="","",IFERROR(SUMIF(tblAnahtarA[Norm],$A300,tblGirdi[HedefNet]),0))</f>
        <v/>
      </c>
      <c r="Q300" s="17">
        <f>IF($A300="","",ROUND($M300-$P300,2))</f>
        <v/>
      </c>
      <c r="R300" s="17">
        <f>IF($A300="","",ROUND($B300-$K300,2))</f>
        <v/>
      </c>
      <c r="S300" s="17">
        <f>IF($A300="","",IF($N300&lt;0,"ÇEKİL",IF($N300&lt;tyk_esikMarjDusuk,"ZAM","SAT")))</f>
        <v/>
      </c>
      <c r="T300" s="17">
        <f>IF($A300="","",$L300-$F300)</f>
        <v/>
      </c>
      <c r="U300" s="17">
        <f>IF($A300="","",$M300-$Q300)</f>
        <v/>
      </c>
      <c r="V300" s="17">
        <f>IF($A300="","",$R300-$M300)</f>
        <v/>
      </c>
    </row>
    <row r="301">
      <c r="A301" s="17">
        <f>IF('ANAHTAR'!$B301="","",'ANAHTAR'!$B301)</f>
        <v/>
      </c>
      <c r="B301" s="17">
        <f>IF($A301="","",IFERROR(SUMIF(tblAnahtarA[Norm],$A301,tblGirdi[ToplamSatis]),0))</f>
        <v/>
      </c>
      <c r="C301" s="17">
        <f>IF($A301="","",IFERROR(SUMIF(tblAnahtarA[Norm],$A301,tblGirdi[Maliyet])*IFERROR(SUMIF(tblAnahtarA[Norm],$A301,tblGirdi[Miktar]),1),0))</f>
        <v/>
      </c>
      <c r="D301" s="17">
        <f>IF($A301="","",IFERROR(SUMIF(tblAnahtarA[Norm],$A301,tblGirdi[Miktar]),0))</f>
        <v/>
      </c>
      <c r="E301" s="17">
        <f>IF($A301="","",IFERROR(SUMIF(tblAnahtarA[Norm],$A301,tblGirdi[KomisyonOran]),0))</f>
        <v/>
      </c>
      <c r="F301" s="17">
        <f>IF($A301="","",ROUND($B301*$E301,2))</f>
        <v/>
      </c>
      <c r="G301" s="17">
        <f>IF($A301="","",IFERROR(SUMIF(tblAnahtarB[NormB],$A301,tblHakedis[TyPlus]),0))</f>
        <v/>
      </c>
      <c r="H301" s="17">
        <f>IF($A301="","",IFERROR(SUMIF(tblAnahtarB[NormB],$A301,tblHakedis[FlasKesinti]),0))</f>
        <v/>
      </c>
      <c r="I301" s="17">
        <f>IF($A301="","",IFERROR(SUMIF(tblAnahtarB[NormB],$A301,tblHakedis[UrunReklam]),0))</f>
        <v/>
      </c>
      <c r="J301" s="17">
        <f>IF($A301="","",IFERROR(SUMIF(tblAnahtarB[NormB],$A301,tblHakedis[DesiKargo]),0))</f>
        <v/>
      </c>
      <c r="K301" s="17">
        <f>IF($A301="","",ROUND($F301+$G301+$H301+$I301+$J301,2))</f>
        <v/>
      </c>
      <c r="L301" s="17">
        <f>IF($A301="","",ROUND($B301-$C301,2))</f>
        <v/>
      </c>
      <c r="M301" s="17">
        <f>IF($A301="","",ROUND($B301-$C301-$K301,2))</f>
        <v/>
      </c>
      <c r="N301" s="17">
        <f>IF(OR($A301="",$B301=0),0,$M301/$B301)</f>
        <v/>
      </c>
      <c r="O301" s="17">
        <f>IF($A301="","",IF((1-$E301)&lt;=0,0,IF($D301=0,0,ROUND(($C301+$G301+$H301+$I301+$J301)/$D301/(1-$E301),2))))</f>
        <v/>
      </c>
      <c r="P301" s="17">
        <f>IF($A301="","",IFERROR(SUMIF(tblAnahtarA[Norm],$A301,tblGirdi[HedefNet]),0))</f>
        <v/>
      </c>
      <c r="Q301" s="17">
        <f>IF($A301="","",ROUND($M301-$P301,2))</f>
        <v/>
      </c>
      <c r="R301" s="17">
        <f>IF($A301="","",ROUND($B301-$K301,2))</f>
        <v/>
      </c>
      <c r="S301" s="17">
        <f>IF($A301="","",IF($N301&lt;0,"ÇEKİL",IF($N301&lt;tyk_esikMarjDusuk,"ZAM","SAT")))</f>
        <v/>
      </c>
      <c r="T301" s="17">
        <f>IF($A301="","",$L301-$F301)</f>
        <v/>
      </c>
      <c r="U301" s="17">
        <f>IF($A301="","",$M301-$Q301)</f>
        <v/>
      </c>
      <c r="V301" s="17">
        <f>IF($A301="","",$R301-$M301)</f>
        <v/>
      </c>
    </row>
    <row r="302">
      <c r="A302" s="17">
        <f>IF('ANAHTAR'!$B302="","",'ANAHTAR'!$B302)</f>
        <v/>
      </c>
      <c r="B302" s="17">
        <f>IF($A302="","",IFERROR(SUMIF(tblAnahtarA[Norm],$A302,tblGirdi[ToplamSatis]),0))</f>
        <v/>
      </c>
      <c r="C302" s="17">
        <f>IF($A302="","",IFERROR(SUMIF(tblAnahtarA[Norm],$A302,tblGirdi[Maliyet])*IFERROR(SUMIF(tblAnahtarA[Norm],$A302,tblGirdi[Miktar]),1),0))</f>
        <v/>
      </c>
      <c r="D302" s="17">
        <f>IF($A302="","",IFERROR(SUMIF(tblAnahtarA[Norm],$A302,tblGirdi[Miktar]),0))</f>
        <v/>
      </c>
      <c r="E302" s="17">
        <f>IF($A302="","",IFERROR(SUMIF(tblAnahtarA[Norm],$A302,tblGirdi[KomisyonOran]),0))</f>
        <v/>
      </c>
      <c r="F302" s="17">
        <f>IF($A302="","",ROUND($B302*$E302,2))</f>
        <v/>
      </c>
      <c r="G302" s="17">
        <f>IF($A302="","",IFERROR(SUMIF(tblAnahtarB[NormB],$A302,tblHakedis[TyPlus]),0))</f>
        <v/>
      </c>
      <c r="H302" s="17">
        <f>IF($A302="","",IFERROR(SUMIF(tblAnahtarB[NormB],$A302,tblHakedis[FlasKesinti]),0))</f>
        <v/>
      </c>
      <c r="I302" s="17">
        <f>IF($A302="","",IFERROR(SUMIF(tblAnahtarB[NormB],$A302,tblHakedis[UrunReklam]),0))</f>
        <v/>
      </c>
      <c r="J302" s="17">
        <f>IF($A302="","",IFERROR(SUMIF(tblAnahtarB[NormB],$A302,tblHakedis[DesiKargo]),0))</f>
        <v/>
      </c>
      <c r="K302" s="17">
        <f>IF($A302="","",ROUND($F302+$G302+$H302+$I302+$J302,2))</f>
        <v/>
      </c>
      <c r="L302" s="17">
        <f>IF($A302="","",ROUND($B302-$C302,2))</f>
        <v/>
      </c>
      <c r="M302" s="17">
        <f>IF($A302="","",ROUND($B302-$C302-$K302,2))</f>
        <v/>
      </c>
      <c r="N302" s="17">
        <f>IF(OR($A302="",$B302=0),0,$M302/$B302)</f>
        <v/>
      </c>
      <c r="O302" s="17">
        <f>IF($A302="","",IF((1-$E302)&lt;=0,0,IF($D302=0,0,ROUND(($C302+$G302+$H302+$I302+$J302)/$D302/(1-$E302),2))))</f>
        <v/>
      </c>
      <c r="P302" s="17">
        <f>IF($A302="","",IFERROR(SUMIF(tblAnahtarA[Norm],$A302,tblGirdi[HedefNet]),0))</f>
        <v/>
      </c>
      <c r="Q302" s="17">
        <f>IF($A302="","",ROUND($M302-$P302,2))</f>
        <v/>
      </c>
      <c r="R302" s="17">
        <f>IF($A302="","",ROUND($B302-$K302,2))</f>
        <v/>
      </c>
      <c r="S302" s="17">
        <f>IF($A302="","",IF($N302&lt;0,"ÇEKİL",IF($N302&lt;tyk_esikMarjDusuk,"ZAM","SAT")))</f>
        <v/>
      </c>
      <c r="T302" s="17">
        <f>IF($A302="","",$L302-$F302)</f>
        <v/>
      </c>
      <c r="U302" s="17">
        <f>IF($A302="","",$M302-$Q302)</f>
        <v/>
      </c>
      <c r="V302" s="17">
        <f>IF($A302="","",$R302-$M302)</f>
        <v/>
      </c>
    </row>
    <row r="303">
      <c r="A303" s="17">
        <f>IF('ANAHTAR'!$B303="","",'ANAHTAR'!$B303)</f>
        <v/>
      </c>
      <c r="B303" s="17">
        <f>IF($A303="","",IFERROR(SUMIF(tblAnahtarA[Norm],$A303,tblGirdi[ToplamSatis]),0))</f>
        <v/>
      </c>
      <c r="C303" s="17">
        <f>IF($A303="","",IFERROR(SUMIF(tblAnahtarA[Norm],$A303,tblGirdi[Maliyet])*IFERROR(SUMIF(tblAnahtarA[Norm],$A303,tblGirdi[Miktar]),1),0))</f>
        <v/>
      </c>
      <c r="D303" s="17">
        <f>IF($A303="","",IFERROR(SUMIF(tblAnahtarA[Norm],$A303,tblGirdi[Miktar]),0))</f>
        <v/>
      </c>
      <c r="E303" s="17">
        <f>IF($A303="","",IFERROR(SUMIF(tblAnahtarA[Norm],$A303,tblGirdi[KomisyonOran]),0))</f>
        <v/>
      </c>
      <c r="F303" s="17">
        <f>IF($A303="","",ROUND($B303*$E303,2))</f>
        <v/>
      </c>
      <c r="G303" s="17">
        <f>IF($A303="","",IFERROR(SUMIF(tblAnahtarB[NormB],$A303,tblHakedis[TyPlus]),0))</f>
        <v/>
      </c>
      <c r="H303" s="17">
        <f>IF($A303="","",IFERROR(SUMIF(tblAnahtarB[NormB],$A303,tblHakedis[FlasKesinti]),0))</f>
        <v/>
      </c>
      <c r="I303" s="17">
        <f>IF($A303="","",IFERROR(SUMIF(tblAnahtarB[NormB],$A303,tblHakedis[UrunReklam]),0))</f>
        <v/>
      </c>
      <c r="J303" s="17">
        <f>IF($A303="","",IFERROR(SUMIF(tblAnahtarB[NormB],$A303,tblHakedis[DesiKargo]),0))</f>
        <v/>
      </c>
      <c r="K303" s="17">
        <f>IF($A303="","",ROUND($F303+$G303+$H303+$I303+$J303,2))</f>
        <v/>
      </c>
      <c r="L303" s="17">
        <f>IF($A303="","",ROUND($B303-$C303,2))</f>
        <v/>
      </c>
      <c r="M303" s="17">
        <f>IF($A303="","",ROUND($B303-$C303-$K303,2))</f>
        <v/>
      </c>
      <c r="N303" s="17">
        <f>IF(OR($A303="",$B303=0),0,$M303/$B303)</f>
        <v/>
      </c>
      <c r="O303" s="17">
        <f>IF($A303="","",IF((1-$E303)&lt;=0,0,IF($D303=0,0,ROUND(($C303+$G303+$H303+$I303+$J303)/$D303/(1-$E303),2))))</f>
        <v/>
      </c>
      <c r="P303" s="17">
        <f>IF($A303="","",IFERROR(SUMIF(tblAnahtarA[Norm],$A303,tblGirdi[HedefNet]),0))</f>
        <v/>
      </c>
      <c r="Q303" s="17">
        <f>IF($A303="","",ROUND($M303-$P303,2))</f>
        <v/>
      </c>
      <c r="R303" s="17">
        <f>IF($A303="","",ROUND($B303-$K303,2))</f>
        <v/>
      </c>
      <c r="S303" s="17">
        <f>IF($A303="","",IF($N303&lt;0,"ÇEKİL",IF($N303&lt;tyk_esikMarjDusuk,"ZAM","SAT")))</f>
        <v/>
      </c>
      <c r="T303" s="17">
        <f>IF($A303="","",$L303-$F303)</f>
        <v/>
      </c>
      <c r="U303" s="17">
        <f>IF($A303="","",$M303-$Q303)</f>
        <v/>
      </c>
      <c r="V303" s="17">
        <f>IF($A303="","",$R303-$M303)</f>
        <v/>
      </c>
    </row>
    <row r="304">
      <c r="A304" s="17">
        <f>IF('ANAHTAR'!$B304="","",'ANAHTAR'!$B304)</f>
        <v/>
      </c>
      <c r="B304" s="17">
        <f>IF($A304="","",IFERROR(SUMIF(tblAnahtarA[Norm],$A304,tblGirdi[ToplamSatis]),0))</f>
        <v/>
      </c>
      <c r="C304" s="17">
        <f>IF($A304="","",IFERROR(SUMIF(tblAnahtarA[Norm],$A304,tblGirdi[Maliyet])*IFERROR(SUMIF(tblAnahtarA[Norm],$A304,tblGirdi[Miktar]),1),0))</f>
        <v/>
      </c>
      <c r="D304" s="17">
        <f>IF($A304="","",IFERROR(SUMIF(tblAnahtarA[Norm],$A304,tblGirdi[Miktar]),0))</f>
        <v/>
      </c>
      <c r="E304" s="17">
        <f>IF($A304="","",IFERROR(SUMIF(tblAnahtarA[Norm],$A304,tblGirdi[KomisyonOran]),0))</f>
        <v/>
      </c>
      <c r="F304" s="17">
        <f>IF($A304="","",ROUND($B304*$E304,2))</f>
        <v/>
      </c>
      <c r="G304" s="17">
        <f>IF($A304="","",IFERROR(SUMIF(tblAnahtarB[NormB],$A304,tblHakedis[TyPlus]),0))</f>
        <v/>
      </c>
      <c r="H304" s="17">
        <f>IF($A304="","",IFERROR(SUMIF(tblAnahtarB[NormB],$A304,tblHakedis[FlasKesinti]),0))</f>
        <v/>
      </c>
      <c r="I304" s="17">
        <f>IF($A304="","",IFERROR(SUMIF(tblAnahtarB[NormB],$A304,tblHakedis[UrunReklam]),0))</f>
        <v/>
      </c>
      <c r="J304" s="17">
        <f>IF($A304="","",IFERROR(SUMIF(tblAnahtarB[NormB],$A304,tblHakedis[DesiKargo]),0))</f>
        <v/>
      </c>
      <c r="K304" s="17">
        <f>IF($A304="","",ROUND($F304+$G304+$H304+$I304+$J304,2))</f>
        <v/>
      </c>
      <c r="L304" s="17">
        <f>IF($A304="","",ROUND($B304-$C304,2))</f>
        <v/>
      </c>
      <c r="M304" s="17">
        <f>IF($A304="","",ROUND($B304-$C304-$K304,2))</f>
        <v/>
      </c>
      <c r="N304" s="17">
        <f>IF(OR($A304="",$B304=0),0,$M304/$B304)</f>
        <v/>
      </c>
      <c r="O304" s="17">
        <f>IF($A304="","",IF((1-$E304)&lt;=0,0,IF($D304=0,0,ROUND(($C304+$G304+$H304+$I304+$J304)/$D304/(1-$E304),2))))</f>
        <v/>
      </c>
      <c r="P304" s="17">
        <f>IF($A304="","",IFERROR(SUMIF(tblAnahtarA[Norm],$A304,tblGirdi[HedefNet]),0))</f>
        <v/>
      </c>
      <c r="Q304" s="17">
        <f>IF($A304="","",ROUND($M304-$P304,2))</f>
        <v/>
      </c>
      <c r="R304" s="17">
        <f>IF($A304="","",ROUND($B304-$K304,2))</f>
        <v/>
      </c>
      <c r="S304" s="17">
        <f>IF($A304="","",IF($N304&lt;0,"ÇEKİL",IF($N304&lt;tyk_esikMarjDusuk,"ZAM","SAT")))</f>
        <v/>
      </c>
      <c r="T304" s="17">
        <f>IF($A304="","",$L304-$F304)</f>
        <v/>
      </c>
      <c r="U304" s="17">
        <f>IF($A304="","",$M304-$Q304)</f>
        <v/>
      </c>
      <c r="V304" s="17">
        <f>IF($A304="","",$R304-$M304)</f>
        <v/>
      </c>
    </row>
    <row r="305">
      <c r="A305" s="17">
        <f>IF('ANAHTAR'!$B305="","",'ANAHTAR'!$B305)</f>
        <v/>
      </c>
      <c r="B305" s="17">
        <f>IF($A305="","",IFERROR(SUMIF(tblAnahtarA[Norm],$A305,tblGirdi[ToplamSatis]),0))</f>
        <v/>
      </c>
      <c r="C305" s="17">
        <f>IF($A305="","",IFERROR(SUMIF(tblAnahtarA[Norm],$A305,tblGirdi[Maliyet])*IFERROR(SUMIF(tblAnahtarA[Norm],$A305,tblGirdi[Miktar]),1),0))</f>
        <v/>
      </c>
      <c r="D305" s="17">
        <f>IF($A305="","",IFERROR(SUMIF(tblAnahtarA[Norm],$A305,tblGirdi[Miktar]),0))</f>
        <v/>
      </c>
      <c r="E305" s="17">
        <f>IF($A305="","",IFERROR(SUMIF(tblAnahtarA[Norm],$A305,tblGirdi[KomisyonOran]),0))</f>
        <v/>
      </c>
      <c r="F305" s="17">
        <f>IF($A305="","",ROUND($B305*$E305,2))</f>
        <v/>
      </c>
      <c r="G305" s="17">
        <f>IF($A305="","",IFERROR(SUMIF(tblAnahtarB[NormB],$A305,tblHakedis[TyPlus]),0))</f>
        <v/>
      </c>
      <c r="H305" s="17">
        <f>IF($A305="","",IFERROR(SUMIF(tblAnahtarB[NormB],$A305,tblHakedis[FlasKesinti]),0))</f>
        <v/>
      </c>
      <c r="I305" s="17">
        <f>IF($A305="","",IFERROR(SUMIF(tblAnahtarB[NormB],$A305,tblHakedis[UrunReklam]),0))</f>
        <v/>
      </c>
      <c r="J305" s="17">
        <f>IF($A305="","",IFERROR(SUMIF(tblAnahtarB[NormB],$A305,tblHakedis[DesiKargo]),0))</f>
        <v/>
      </c>
      <c r="K305" s="17">
        <f>IF($A305="","",ROUND($F305+$G305+$H305+$I305+$J305,2))</f>
        <v/>
      </c>
      <c r="L305" s="17">
        <f>IF($A305="","",ROUND($B305-$C305,2))</f>
        <v/>
      </c>
      <c r="M305" s="17">
        <f>IF($A305="","",ROUND($B305-$C305-$K305,2))</f>
        <v/>
      </c>
      <c r="N305" s="17">
        <f>IF(OR($A305="",$B305=0),0,$M305/$B305)</f>
        <v/>
      </c>
      <c r="O305" s="17">
        <f>IF($A305="","",IF((1-$E305)&lt;=0,0,IF($D305=0,0,ROUND(($C305+$G305+$H305+$I305+$J305)/$D305/(1-$E305),2))))</f>
        <v/>
      </c>
      <c r="P305" s="17">
        <f>IF($A305="","",IFERROR(SUMIF(tblAnahtarA[Norm],$A305,tblGirdi[HedefNet]),0))</f>
        <v/>
      </c>
      <c r="Q305" s="17">
        <f>IF($A305="","",ROUND($M305-$P305,2))</f>
        <v/>
      </c>
      <c r="R305" s="17">
        <f>IF($A305="","",ROUND($B305-$K305,2))</f>
        <v/>
      </c>
      <c r="S305" s="17">
        <f>IF($A305="","",IF($N305&lt;0,"ÇEKİL",IF($N305&lt;tyk_esikMarjDusuk,"ZAM","SAT")))</f>
        <v/>
      </c>
      <c r="T305" s="17">
        <f>IF($A305="","",$L305-$F305)</f>
        <v/>
      </c>
      <c r="U305" s="17">
        <f>IF($A305="","",$M305-$Q305)</f>
        <v/>
      </c>
      <c r="V305" s="17">
        <f>IF($A305="","",$R305-$M305)</f>
        <v/>
      </c>
    </row>
    <row r="306">
      <c r="A306" s="17">
        <f>IF('ANAHTAR'!$B306="","",'ANAHTAR'!$B306)</f>
        <v/>
      </c>
      <c r="B306" s="17">
        <f>IF($A306="","",IFERROR(SUMIF(tblAnahtarA[Norm],$A306,tblGirdi[ToplamSatis]),0))</f>
        <v/>
      </c>
      <c r="C306" s="17">
        <f>IF($A306="","",IFERROR(SUMIF(tblAnahtarA[Norm],$A306,tblGirdi[Maliyet])*IFERROR(SUMIF(tblAnahtarA[Norm],$A306,tblGirdi[Miktar]),1),0))</f>
        <v/>
      </c>
      <c r="D306" s="17">
        <f>IF($A306="","",IFERROR(SUMIF(tblAnahtarA[Norm],$A306,tblGirdi[Miktar]),0))</f>
        <v/>
      </c>
      <c r="E306" s="17">
        <f>IF($A306="","",IFERROR(SUMIF(tblAnahtarA[Norm],$A306,tblGirdi[KomisyonOran]),0))</f>
        <v/>
      </c>
      <c r="F306" s="17">
        <f>IF($A306="","",ROUND($B306*$E306,2))</f>
        <v/>
      </c>
      <c r="G306" s="17">
        <f>IF($A306="","",IFERROR(SUMIF(tblAnahtarB[NormB],$A306,tblHakedis[TyPlus]),0))</f>
        <v/>
      </c>
      <c r="H306" s="17">
        <f>IF($A306="","",IFERROR(SUMIF(tblAnahtarB[NormB],$A306,tblHakedis[FlasKesinti]),0))</f>
        <v/>
      </c>
      <c r="I306" s="17">
        <f>IF($A306="","",IFERROR(SUMIF(tblAnahtarB[NormB],$A306,tblHakedis[UrunReklam]),0))</f>
        <v/>
      </c>
      <c r="J306" s="17">
        <f>IF($A306="","",IFERROR(SUMIF(tblAnahtarB[NormB],$A306,tblHakedis[DesiKargo]),0))</f>
        <v/>
      </c>
      <c r="K306" s="17">
        <f>IF($A306="","",ROUND($F306+$G306+$H306+$I306+$J306,2))</f>
        <v/>
      </c>
      <c r="L306" s="17">
        <f>IF($A306="","",ROUND($B306-$C306,2))</f>
        <v/>
      </c>
      <c r="M306" s="17">
        <f>IF($A306="","",ROUND($B306-$C306-$K306,2))</f>
        <v/>
      </c>
      <c r="N306" s="17">
        <f>IF(OR($A306="",$B306=0),0,$M306/$B306)</f>
        <v/>
      </c>
      <c r="O306" s="17">
        <f>IF($A306="","",IF((1-$E306)&lt;=0,0,IF($D306=0,0,ROUND(($C306+$G306+$H306+$I306+$J306)/$D306/(1-$E306),2))))</f>
        <v/>
      </c>
      <c r="P306" s="17">
        <f>IF($A306="","",IFERROR(SUMIF(tblAnahtarA[Norm],$A306,tblGirdi[HedefNet]),0))</f>
        <v/>
      </c>
      <c r="Q306" s="17">
        <f>IF($A306="","",ROUND($M306-$P306,2))</f>
        <v/>
      </c>
      <c r="R306" s="17">
        <f>IF($A306="","",ROUND($B306-$K306,2))</f>
        <v/>
      </c>
      <c r="S306" s="17">
        <f>IF($A306="","",IF($N306&lt;0,"ÇEKİL",IF($N306&lt;tyk_esikMarjDusuk,"ZAM","SAT")))</f>
        <v/>
      </c>
      <c r="T306" s="17">
        <f>IF($A306="","",$L306-$F306)</f>
        <v/>
      </c>
      <c r="U306" s="17">
        <f>IF($A306="","",$M306-$Q306)</f>
        <v/>
      </c>
      <c r="V306" s="17">
        <f>IF($A306="","",$R306-$M306)</f>
        <v/>
      </c>
    </row>
    <row r="307">
      <c r="A307" s="17">
        <f>IF('ANAHTAR'!$B307="","",'ANAHTAR'!$B307)</f>
        <v/>
      </c>
      <c r="B307" s="17">
        <f>IF($A307="","",IFERROR(SUMIF(tblAnahtarA[Norm],$A307,tblGirdi[ToplamSatis]),0))</f>
        <v/>
      </c>
      <c r="C307" s="17">
        <f>IF($A307="","",IFERROR(SUMIF(tblAnahtarA[Norm],$A307,tblGirdi[Maliyet])*IFERROR(SUMIF(tblAnahtarA[Norm],$A307,tblGirdi[Miktar]),1),0))</f>
        <v/>
      </c>
      <c r="D307" s="17">
        <f>IF($A307="","",IFERROR(SUMIF(tblAnahtarA[Norm],$A307,tblGirdi[Miktar]),0))</f>
        <v/>
      </c>
      <c r="E307" s="17">
        <f>IF($A307="","",IFERROR(SUMIF(tblAnahtarA[Norm],$A307,tblGirdi[KomisyonOran]),0))</f>
        <v/>
      </c>
      <c r="F307" s="17">
        <f>IF($A307="","",ROUND($B307*$E307,2))</f>
        <v/>
      </c>
      <c r="G307" s="17">
        <f>IF($A307="","",IFERROR(SUMIF(tblAnahtarB[NormB],$A307,tblHakedis[TyPlus]),0))</f>
        <v/>
      </c>
      <c r="H307" s="17">
        <f>IF($A307="","",IFERROR(SUMIF(tblAnahtarB[NormB],$A307,tblHakedis[FlasKesinti]),0))</f>
        <v/>
      </c>
      <c r="I307" s="17">
        <f>IF($A307="","",IFERROR(SUMIF(tblAnahtarB[NormB],$A307,tblHakedis[UrunReklam]),0))</f>
        <v/>
      </c>
      <c r="J307" s="17">
        <f>IF($A307="","",IFERROR(SUMIF(tblAnahtarB[NormB],$A307,tblHakedis[DesiKargo]),0))</f>
        <v/>
      </c>
      <c r="K307" s="17">
        <f>IF($A307="","",ROUND($F307+$G307+$H307+$I307+$J307,2))</f>
        <v/>
      </c>
      <c r="L307" s="17">
        <f>IF($A307="","",ROUND($B307-$C307,2))</f>
        <v/>
      </c>
      <c r="M307" s="17">
        <f>IF($A307="","",ROUND($B307-$C307-$K307,2))</f>
        <v/>
      </c>
      <c r="N307" s="17">
        <f>IF(OR($A307="",$B307=0),0,$M307/$B307)</f>
        <v/>
      </c>
      <c r="O307" s="17">
        <f>IF($A307="","",IF((1-$E307)&lt;=0,0,IF($D307=0,0,ROUND(($C307+$G307+$H307+$I307+$J307)/$D307/(1-$E307),2))))</f>
        <v/>
      </c>
      <c r="P307" s="17">
        <f>IF($A307="","",IFERROR(SUMIF(tblAnahtarA[Norm],$A307,tblGirdi[HedefNet]),0))</f>
        <v/>
      </c>
      <c r="Q307" s="17">
        <f>IF($A307="","",ROUND($M307-$P307,2))</f>
        <v/>
      </c>
      <c r="R307" s="17">
        <f>IF($A307="","",ROUND($B307-$K307,2))</f>
        <v/>
      </c>
      <c r="S307" s="17">
        <f>IF($A307="","",IF($N307&lt;0,"ÇEKİL",IF($N307&lt;tyk_esikMarjDusuk,"ZAM","SAT")))</f>
        <v/>
      </c>
      <c r="T307" s="17">
        <f>IF($A307="","",$L307-$F307)</f>
        <v/>
      </c>
      <c r="U307" s="17">
        <f>IF($A307="","",$M307-$Q307)</f>
        <v/>
      </c>
      <c r="V307" s="17">
        <f>IF($A307="","",$R307-$M307)</f>
        <v/>
      </c>
    </row>
    <row r="308">
      <c r="A308" s="17">
        <f>IF('ANAHTAR'!$B308="","",'ANAHTAR'!$B308)</f>
        <v/>
      </c>
      <c r="B308" s="17">
        <f>IF($A308="","",IFERROR(SUMIF(tblAnahtarA[Norm],$A308,tblGirdi[ToplamSatis]),0))</f>
        <v/>
      </c>
      <c r="C308" s="17">
        <f>IF($A308="","",IFERROR(SUMIF(tblAnahtarA[Norm],$A308,tblGirdi[Maliyet])*IFERROR(SUMIF(tblAnahtarA[Norm],$A308,tblGirdi[Miktar]),1),0))</f>
        <v/>
      </c>
      <c r="D308" s="17">
        <f>IF($A308="","",IFERROR(SUMIF(tblAnahtarA[Norm],$A308,tblGirdi[Miktar]),0))</f>
        <v/>
      </c>
      <c r="E308" s="17">
        <f>IF($A308="","",IFERROR(SUMIF(tblAnahtarA[Norm],$A308,tblGirdi[KomisyonOran]),0))</f>
        <v/>
      </c>
      <c r="F308" s="17">
        <f>IF($A308="","",ROUND($B308*$E308,2))</f>
        <v/>
      </c>
      <c r="G308" s="17">
        <f>IF($A308="","",IFERROR(SUMIF(tblAnahtarB[NormB],$A308,tblHakedis[TyPlus]),0))</f>
        <v/>
      </c>
      <c r="H308" s="17">
        <f>IF($A308="","",IFERROR(SUMIF(tblAnahtarB[NormB],$A308,tblHakedis[FlasKesinti]),0))</f>
        <v/>
      </c>
      <c r="I308" s="17">
        <f>IF($A308="","",IFERROR(SUMIF(tblAnahtarB[NormB],$A308,tblHakedis[UrunReklam]),0))</f>
        <v/>
      </c>
      <c r="J308" s="17">
        <f>IF($A308="","",IFERROR(SUMIF(tblAnahtarB[NormB],$A308,tblHakedis[DesiKargo]),0))</f>
        <v/>
      </c>
      <c r="K308" s="17">
        <f>IF($A308="","",ROUND($F308+$G308+$H308+$I308+$J308,2))</f>
        <v/>
      </c>
      <c r="L308" s="17">
        <f>IF($A308="","",ROUND($B308-$C308,2))</f>
        <v/>
      </c>
      <c r="M308" s="17">
        <f>IF($A308="","",ROUND($B308-$C308-$K308,2))</f>
        <v/>
      </c>
      <c r="N308" s="17">
        <f>IF(OR($A308="",$B308=0),0,$M308/$B308)</f>
        <v/>
      </c>
      <c r="O308" s="17">
        <f>IF($A308="","",IF((1-$E308)&lt;=0,0,IF($D308=0,0,ROUND(($C308+$G308+$H308+$I308+$J308)/$D308/(1-$E308),2))))</f>
        <v/>
      </c>
      <c r="P308" s="17">
        <f>IF($A308="","",IFERROR(SUMIF(tblAnahtarA[Norm],$A308,tblGirdi[HedefNet]),0))</f>
        <v/>
      </c>
      <c r="Q308" s="17">
        <f>IF($A308="","",ROUND($M308-$P308,2))</f>
        <v/>
      </c>
      <c r="R308" s="17">
        <f>IF($A308="","",ROUND($B308-$K308,2))</f>
        <v/>
      </c>
      <c r="S308" s="17">
        <f>IF($A308="","",IF($N308&lt;0,"ÇEKİL",IF($N308&lt;tyk_esikMarjDusuk,"ZAM","SAT")))</f>
        <v/>
      </c>
      <c r="T308" s="17">
        <f>IF($A308="","",$L308-$F308)</f>
        <v/>
      </c>
      <c r="U308" s="17">
        <f>IF($A308="","",$M308-$Q308)</f>
        <v/>
      </c>
      <c r="V308" s="17">
        <f>IF($A308="","",$R308-$M308)</f>
        <v/>
      </c>
    </row>
    <row r="309">
      <c r="A309" s="17">
        <f>IF('ANAHTAR'!$B309="","",'ANAHTAR'!$B309)</f>
        <v/>
      </c>
      <c r="B309" s="17">
        <f>IF($A309="","",IFERROR(SUMIF(tblAnahtarA[Norm],$A309,tblGirdi[ToplamSatis]),0))</f>
        <v/>
      </c>
      <c r="C309" s="17">
        <f>IF($A309="","",IFERROR(SUMIF(tblAnahtarA[Norm],$A309,tblGirdi[Maliyet])*IFERROR(SUMIF(tblAnahtarA[Norm],$A309,tblGirdi[Miktar]),1),0))</f>
        <v/>
      </c>
      <c r="D309" s="17">
        <f>IF($A309="","",IFERROR(SUMIF(tblAnahtarA[Norm],$A309,tblGirdi[Miktar]),0))</f>
        <v/>
      </c>
      <c r="E309" s="17">
        <f>IF($A309="","",IFERROR(SUMIF(tblAnahtarA[Norm],$A309,tblGirdi[KomisyonOran]),0))</f>
        <v/>
      </c>
      <c r="F309" s="17">
        <f>IF($A309="","",ROUND($B309*$E309,2))</f>
        <v/>
      </c>
      <c r="G309" s="17">
        <f>IF($A309="","",IFERROR(SUMIF(tblAnahtarB[NormB],$A309,tblHakedis[TyPlus]),0))</f>
        <v/>
      </c>
      <c r="H309" s="17">
        <f>IF($A309="","",IFERROR(SUMIF(tblAnahtarB[NormB],$A309,tblHakedis[FlasKesinti]),0))</f>
        <v/>
      </c>
      <c r="I309" s="17">
        <f>IF($A309="","",IFERROR(SUMIF(tblAnahtarB[NormB],$A309,tblHakedis[UrunReklam]),0))</f>
        <v/>
      </c>
      <c r="J309" s="17">
        <f>IF($A309="","",IFERROR(SUMIF(tblAnahtarB[NormB],$A309,tblHakedis[DesiKargo]),0))</f>
        <v/>
      </c>
      <c r="K309" s="17">
        <f>IF($A309="","",ROUND($F309+$G309+$H309+$I309+$J309,2))</f>
        <v/>
      </c>
      <c r="L309" s="17">
        <f>IF($A309="","",ROUND($B309-$C309,2))</f>
        <v/>
      </c>
      <c r="M309" s="17">
        <f>IF($A309="","",ROUND($B309-$C309-$K309,2))</f>
        <v/>
      </c>
      <c r="N309" s="17">
        <f>IF(OR($A309="",$B309=0),0,$M309/$B309)</f>
        <v/>
      </c>
      <c r="O309" s="17">
        <f>IF($A309="","",IF((1-$E309)&lt;=0,0,IF($D309=0,0,ROUND(($C309+$G309+$H309+$I309+$J309)/$D309/(1-$E309),2))))</f>
        <v/>
      </c>
      <c r="P309" s="17">
        <f>IF($A309="","",IFERROR(SUMIF(tblAnahtarA[Norm],$A309,tblGirdi[HedefNet]),0))</f>
        <v/>
      </c>
      <c r="Q309" s="17">
        <f>IF($A309="","",ROUND($M309-$P309,2))</f>
        <v/>
      </c>
      <c r="R309" s="17">
        <f>IF($A309="","",ROUND($B309-$K309,2))</f>
        <v/>
      </c>
      <c r="S309" s="17">
        <f>IF($A309="","",IF($N309&lt;0,"ÇEKİL",IF($N309&lt;tyk_esikMarjDusuk,"ZAM","SAT")))</f>
        <v/>
      </c>
      <c r="T309" s="17">
        <f>IF($A309="","",$L309-$F309)</f>
        <v/>
      </c>
      <c r="U309" s="17">
        <f>IF($A309="","",$M309-$Q309)</f>
        <v/>
      </c>
      <c r="V309" s="17">
        <f>IF($A309="","",$R309-$M309)</f>
        <v/>
      </c>
    </row>
    <row r="310">
      <c r="A310" s="17">
        <f>IF('ANAHTAR'!$B310="","",'ANAHTAR'!$B310)</f>
        <v/>
      </c>
      <c r="B310" s="17">
        <f>IF($A310="","",IFERROR(SUMIF(tblAnahtarA[Norm],$A310,tblGirdi[ToplamSatis]),0))</f>
        <v/>
      </c>
      <c r="C310" s="17">
        <f>IF($A310="","",IFERROR(SUMIF(tblAnahtarA[Norm],$A310,tblGirdi[Maliyet])*IFERROR(SUMIF(tblAnahtarA[Norm],$A310,tblGirdi[Miktar]),1),0))</f>
        <v/>
      </c>
      <c r="D310" s="17">
        <f>IF($A310="","",IFERROR(SUMIF(tblAnahtarA[Norm],$A310,tblGirdi[Miktar]),0))</f>
        <v/>
      </c>
      <c r="E310" s="17">
        <f>IF($A310="","",IFERROR(SUMIF(tblAnahtarA[Norm],$A310,tblGirdi[KomisyonOran]),0))</f>
        <v/>
      </c>
      <c r="F310" s="17">
        <f>IF($A310="","",ROUND($B310*$E310,2))</f>
        <v/>
      </c>
      <c r="G310" s="17">
        <f>IF($A310="","",IFERROR(SUMIF(tblAnahtarB[NormB],$A310,tblHakedis[TyPlus]),0))</f>
        <v/>
      </c>
      <c r="H310" s="17">
        <f>IF($A310="","",IFERROR(SUMIF(tblAnahtarB[NormB],$A310,tblHakedis[FlasKesinti]),0))</f>
        <v/>
      </c>
      <c r="I310" s="17">
        <f>IF($A310="","",IFERROR(SUMIF(tblAnahtarB[NormB],$A310,tblHakedis[UrunReklam]),0))</f>
        <v/>
      </c>
      <c r="J310" s="17">
        <f>IF($A310="","",IFERROR(SUMIF(tblAnahtarB[NormB],$A310,tblHakedis[DesiKargo]),0))</f>
        <v/>
      </c>
      <c r="K310" s="17">
        <f>IF($A310="","",ROUND($F310+$G310+$H310+$I310+$J310,2))</f>
        <v/>
      </c>
      <c r="L310" s="17">
        <f>IF($A310="","",ROUND($B310-$C310,2))</f>
        <v/>
      </c>
      <c r="M310" s="17">
        <f>IF($A310="","",ROUND($B310-$C310-$K310,2))</f>
        <v/>
      </c>
      <c r="N310" s="17">
        <f>IF(OR($A310="",$B310=0),0,$M310/$B310)</f>
        <v/>
      </c>
      <c r="O310" s="17">
        <f>IF($A310="","",IF((1-$E310)&lt;=0,0,IF($D310=0,0,ROUND(($C310+$G310+$H310+$I310+$J310)/$D310/(1-$E310),2))))</f>
        <v/>
      </c>
      <c r="P310" s="17">
        <f>IF($A310="","",IFERROR(SUMIF(tblAnahtarA[Norm],$A310,tblGirdi[HedefNet]),0))</f>
        <v/>
      </c>
      <c r="Q310" s="17">
        <f>IF($A310="","",ROUND($M310-$P310,2))</f>
        <v/>
      </c>
      <c r="R310" s="17">
        <f>IF($A310="","",ROUND($B310-$K310,2))</f>
        <v/>
      </c>
      <c r="S310" s="17">
        <f>IF($A310="","",IF($N310&lt;0,"ÇEKİL",IF($N310&lt;tyk_esikMarjDusuk,"ZAM","SAT")))</f>
        <v/>
      </c>
      <c r="T310" s="17">
        <f>IF($A310="","",$L310-$F310)</f>
        <v/>
      </c>
      <c r="U310" s="17">
        <f>IF($A310="","",$M310-$Q310)</f>
        <v/>
      </c>
      <c r="V310" s="17">
        <f>IF($A310="","",$R310-$M310)</f>
        <v/>
      </c>
    </row>
    <row r="311">
      <c r="A311" s="17">
        <f>IF('ANAHTAR'!$B311="","",'ANAHTAR'!$B311)</f>
        <v/>
      </c>
      <c r="B311" s="17">
        <f>IF($A311="","",IFERROR(SUMIF(tblAnahtarA[Norm],$A311,tblGirdi[ToplamSatis]),0))</f>
        <v/>
      </c>
      <c r="C311" s="17">
        <f>IF($A311="","",IFERROR(SUMIF(tblAnahtarA[Norm],$A311,tblGirdi[Maliyet])*IFERROR(SUMIF(tblAnahtarA[Norm],$A311,tblGirdi[Miktar]),1),0))</f>
        <v/>
      </c>
      <c r="D311" s="17">
        <f>IF($A311="","",IFERROR(SUMIF(tblAnahtarA[Norm],$A311,tblGirdi[Miktar]),0))</f>
        <v/>
      </c>
      <c r="E311" s="17">
        <f>IF($A311="","",IFERROR(SUMIF(tblAnahtarA[Norm],$A311,tblGirdi[KomisyonOran]),0))</f>
        <v/>
      </c>
      <c r="F311" s="17">
        <f>IF($A311="","",ROUND($B311*$E311,2))</f>
        <v/>
      </c>
      <c r="G311" s="17">
        <f>IF($A311="","",IFERROR(SUMIF(tblAnahtarB[NormB],$A311,tblHakedis[TyPlus]),0))</f>
        <v/>
      </c>
      <c r="H311" s="17">
        <f>IF($A311="","",IFERROR(SUMIF(tblAnahtarB[NormB],$A311,tblHakedis[FlasKesinti]),0))</f>
        <v/>
      </c>
      <c r="I311" s="17">
        <f>IF($A311="","",IFERROR(SUMIF(tblAnahtarB[NormB],$A311,tblHakedis[UrunReklam]),0))</f>
        <v/>
      </c>
      <c r="J311" s="17">
        <f>IF($A311="","",IFERROR(SUMIF(tblAnahtarB[NormB],$A311,tblHakedis[DesiKargo]),0))</f>
        <v/>
      </c>
      <c r="K311" s="17">
        <f>IF($A311="","",ROUND($F311+$G311+$H311+$I311+$J311,2))</f>
        <v/>
      </c>
      <c r="L311" s="17">
        <f>IF($A311="","",ROUND($B311-$C311,2))</f>
        <v/>
      </c>
      <c r="M311" s="17">
        <f>IF($A311="","",ROUND($B311-$C311-$K311,2))</f>
        <v/>
      </c>
      <c r="N311" s="17">
        <f>IF(OR($A311="",$B311=0),0,$M311/$B311)</f>
        <v/>
      </c>
      <c r="O311" s="17">
        <f>IF($A311="","",IF((1-$E311)&lt;=0,0,IF($D311=0,0,ROUND(($C311+$G311+$H311+$I311+$J311)/$D311/(1-$E311),2))))</f>
        <v/>
      </c>
      <c r="P311" s="17">
        <f>IF($A311="","",IFERROR(SUMIF(tblAnahtarA[Norm],$A311,tblGirdi[HedefNet]),0))</f>
        <v/>
      </c>
      <c r="Q311" s="17">
        <f>IF($A311="","",ROUND($M311-$P311,2))</f>
        <v/>
      </c>
      <c r="R311" s="17">
        <f>IF($A311="","",ROUND($B311-$K311,2))</f>
        <v/>
      </c>
      <c r="S311" s="17">
        <f>IF($A311="","",IF($N311&lt;0,"ÇEKİL",IF($N311&lt;tyk_esikMarjDusuk,"ZAM","SAT")))</f>
        <v/>
      </c>
      <c r="T311" s="17">
        <f>IF($A311="","",$L311-$F311)</f>
        <v/>
      </c>
      <c r="U311" s="17">
        <f>IF($A311="","",$M311-$Q311)</f>
        <v/>
      </c>
      <c r="V311" s="17">
        <f>IF($A311="","",$R311-$M311)</f>
        <v/>
      </c>
    </row>
    <row r="312">
      <c r="A312" s="17">
        <f>IF('ANAHTAR'!$B312="","",'ANAHTAR'!$B312)</f>
        <v/>
      </c>
      <c r="B312" s="17">
        <f>IF($A312="","",IFERROR(SUMIF(tblAnahtarA[Norm],$A312,tblGirdi[ToplamSatis]),0))</f>
        <v/>
      </c>
      <c r="C312" s="17">
        <f>IF($A312="","",IFERROR(SUMIF(tblAnahtarA[Norm],$A312,tblGirdi[Maliyet])*IFERROR(SUMIF(tblAnahtarA[Norm],$A312,tblGirdi[Miktar]),1),0))</f>
        <v/>
      </c>
      <c r="D312" s="17">
        <f>IF($A312="","",IFERROR(SUMIF(tblAnahtarA[Norm],$A312,tblGirdi[Miktar]),0))</f>
        <v/>
      </c>
      <c r="E312" s="17">
        <f>IF($A312="","",IFERROR(SUMIF(tblAnahtarA[Norm],$A312,tblGirdi[KomisyonOran]),0))</f>
        <v/>
      </c>
      <c r="F312" s="17">
        <f>IF($A312="","",ROUND($B312*$E312,2))</f>
        <v/>
      </c>
      <c r="G312" s="17">
        <f>IF($A312="","",IFERROR(SUMIF(tblAnahtarB[NormB],$A312,tblHakedis[TyPlus]),0))</f>
        <v/>
      </c>
      <c r="H312" s="17">
        <f>IF($A312="","",IFERROR(SUMIF(tblAnahtarB[NormB],$A312,tblHakedis[FlasKesinti]),0))</f>
        <v/>
      </c>
      <c r="I312" s="17">
        <f>IF($A312="","",IFERROR(SUMIF(tblAnahtarB[NormB],$A312,tblHakedis[UrunReklam]),0))</f>
        <v/>
      </c>
      <c r="J312" s="17">
        <f>IF($A312="","",IFERROR(SUMIF(tblAnahtarB[NormB],$A312,tblHakedis[DesiKargo]),0))</f>
        <v/>
      </c>
      <c r="K312" s="17">
        <f>IF($A312="","",ROUND($F312+$G312+$H312+$I312+$J312,2))</f>
        <v/>
      </c>
      <c r="L312" s="17">
        <f>IF($A312="","",ROUND($B312-$C312,2))</f>
        <v/>
      </c>
      <c r="M312" s="17">
        <f>IF($A312="","",ROUND($B312-$C312-$K312,2))</f>
        <v/>
      </c>
      <c r="N312" s="17">
        <f>IF(OR($A312="",$B312=0),0,$M312/$B312)</f>
        <v/>
      </c>
      <c r="O312" s="17">
        <f>IF($A312="","",IF((1-$E312)&lt;=0,0,IF($D312=0,0,ROUND(($C312+$G312+$H312+$I312+$J312)/$D312/(1-$E312),2))))</f>
        <v/>
      </c>
      <c r="P312" s="17">
        <f>IF($A312="","",IFERROR(SUMIF(tblAnahtarA[Norm],$A312,tblGirdi[HedefNet]),0))</f>
        <v/>
      </c>
      <c r="Q312" s="17">
        <f>IF($A312="","",ROUND($M312-$P312,2))</f>
        <v/>
      </c>
      <c r="R312" s="17">
        <f>IF($A312="","",ROUND($B312-$K312,2))</f>
        <v/>
      </c>
      <c r="S312" s="17">
        <f>IF($A312="","",IF($N312&lt;0,"ÇEKİL",IF($N312&lt;tyk_esikMarjDusuk,"ZAM","SAT")))</f>
        <v/>
      </c>
      <c r="T312" s="17">
        <f>IF($A312="","",$L312-$F312)</f>
        <v/>
      </c>
      <c r="U312" s="17">
        <f>IF($A312="","",$M312-$Q312)</f>
        <v/>
      </c>
      <c r="V312" s="17">
        <f>IF($A312="","",$R312-$M312)</f>
        <v/>
      </c>
    </row>
    <row r="313">
      <c r="A313" s="17">
        <f>IF('ANAHTAR'!$B313="","",'ANAHTAR'!$B313)</f>
        <v/>
      </c>
      <c r="B313" s="17">
        <f>IF($A313="","",IFERROR(SUMIF(tblAnahtarA[Norm],$A313,tblGirdi[ToplamSatis]),0))</f>
        <v/>
      </c>
      <c r="C313" s="17">
        <f>IF($A313="","",IFERROR(SUMIF(tblAnahtarA[Norm],$A313,tblGirdi[Maliyet])*IFERROR(SUMIF(tblAnahtarA[Norm],$A313,tblGirdi[Miktar]),1),0))</f>
        <v/>
      </c>
      <c r="D313" s="17">
        <f>IF($A313="","",IFERROR(SUMIF(tblAnahtarA[Norm],$A313,tblGirdi[Miktar]),0))</f>
        <v/>
      </c>
      <c r="E313" s="17">
        <f>IF($A313="","",IFERROR(SUMIF(tblAnahtarA[Norm],$A313,tblGirdi[KomisyonOran]),0))</f>
        <v/>
      </c>
      <c r="F313" s="17">
        <f>IF($A313="","",ROUND($B313*$E313,2))</f>
        <v/>
      </c>
      <c r="G313" s="17">
        <f>IF($A313="","",IFERROR(SUMIF(tblAnahtarB[NormB],$A313,tblHakedis[TyPlus]),0))</f>
        <v/>
      </c>
      <c r="H313" s="17">
        <f>IF($A313="","",IFERROR(SUMIF(tblAnahtarB[NormB],$A313,tblHakedis[FlasKesinti]),0))</f>
        <v/>
      </c>
      <c r="I313" s="17">
        <f>IF($A313="","",IFERROR(SUMIF(tblAnahtarB[NormB],$A313,tblHakedis[UrunReklam]),0))</f>
        <v/>
      </c>
      <c r="J313" s="17">
        <f>IF($A313="","",IFERROR(SUMIF(tblAnahtarB[NormB],$A313,tblHakedis[DesiKargo]),0))</f>
        <v/>
      </c>
      <c r="K313" s="17">
        <f>IF($A313="","",ROUND($F313+$G313+$H313+$I313+$J313,2))</f>
        <v/>
      </c>
      <c r="L313" s="17">
        <f>IF($A313="","",ROUND($B313-$C313,2))</f>
        <v/>
      </c>
      <c r="M313" s="17">
        <f>IF($A313="","",ROUND($B313-$C313-$K313,2))</f>
        <v/>
      </c>
      <c r="N313" s="17">
        <f>IF(OR($A313="",$B313=0),0,$M313/$B313)</f>
        <v/>
      </c>
      <c r="O313" s="17">
        <f>IF($A313="","",IF((1-$E313)&lt;=0,0,IF($D313=0,0,ROUND(($C313+$G313+$H313+$I313+$J313)/$D313/(1-$E313),2))))</f>
        <v/>
      </c>
      <c r="P313" s="17">
        <f>IF($A313="","",IFERROR(SUMIF(tblAnahtarA[Norm],$A313,tblGirdi[HedefNet]),0))</f>
        <v/>
      </c>
      <c r="Q313" s="17">
        <f>IF($A313="","",ROUND($M313-$P313,2))</f>
        <v/>
      </c>
      <c r="R313" s="17">
        <f>IF($A313="","",ROUND($B313-$K313,2))</f>
        <v/>
      </c>
      <c r="S313" s="17">
        <f>IF($A313="","",IF($N313&lt;0,"ÇEKİL",IF($N313&lt;tyk_esikMarjDusuk,"ZAM","SAT")))</f>
        <v/>
      </c>
      <c r="T313" s="17">
        <f>IF($A313="","",$L313-$F313)</f>
        <v/>
      </c>
      <c r="U313" s="17">
        <f>IF($A313="","",$M313-$Q313)</f>
        <v/>
      </c>
      <c r="V313" s="17">
        <f>IF($A313="","",$R313-$M313)</f>
        <v/>
      </c>
    </row>
    <row r="314">
      <c r="A314" s="17">
        <f>IF('ANAHTAR'!$B314="","",'ANAHTAR'!$B314)</f>
        <v/>
      </c>
      <c r="B314" s="17">
        <f>IF($A314="","",IFERROR(SUMIF(tblAnahtarA[Norm],$A314,tblGirdi[ToplamSatis]),0))</f>
        <v/>
      </c>
      <c r="C314" s="17">
        <f>IF($A314="","",IFERROR(SUMIF(tblAnahtarA[Norm],$A314,tblGirdi[Maliyet])*IFERROR(SUMIF(tblAnahtarA[Norm],$A314,tblGirdi[Miktar]),1),0))</f>
        <v/>
      </c>
      <c r="D314" s="17">
        <f>IF($A314="","",IFERROR(SUMIF(tblAnahtarA[Norm],$A314,tblGirdi[Miktar]),0))</f>
        <v/>
      </c>
      <c r="E314" s="17">
        <f>IF($A314="","",IFERROR(SUMIF(tblAnahtarA[Norm],$A314,tblGirdi[KomisyonOran]),0))</f>
        <v/>
      </c>
      <c r="F314" s="17">
        <f>IF($A314="","",ROUND($B314*$E314,2))</f>
        <v/>
      </c>
      <c r="G314" s="17">
        <f>IF($A314="","",IFERROR(SUMIF(tblAnahtarB[NormB],$A314,tblHakedis[TyPlus]),0))</f>
        <v/>
      </c>
      <c r="H314" s="17">
        <f>IF($A314="","",IFERROR(SUMIF(tblAnahtarB[NormB],$A314,tblHakedis[FlasKesinti]),0))</f>
        <v/>
      </c>
      <c r="I314" s="17">
        <f>IF($A314="","",IFERROR(SUMIF(tblAnahtarB[NormB],$A314,tblHakedis[UrunReklam]),0))</f>
        <v/>
      </c>
      <c r="J314" s="17">
        <f>IF($A314="","",IFERROR(SUMIF(tblAnahtarB[NormB],$A314,tblHakedis[DesiKargo]),0))</f>
        <v/>
      </c>
      <c r="K314" s="17">
        <f>IF($A314="","",ROUND($F314+$G314+$H314+$I314+$J314,2))</f>
        <v/>
      </c>
      <c r="L314" s="17">
        <f>IF($A314="","",ROUND($B314-$C314,2))</f>
        <v/>
      </c>
      <c r="M314" s="17">
        <f>IF($A314="","",ROUND($B314-$C314-$K314,2))</f>
        <v/>
      </c>
      <c r="N314" s="17">
        <f>IF(OR($A314="",$B314=0),0,$M314/$B314)</f>
        <v/>
      </c>
      <c r="O314" s="17">
        <f>IF($A314="","",IF((1-$E314)&lt;=0,0,IF($D314=0,0,ROUND(($C314+$G314+$H314+$I314+$J314)/$D314/(1-$E314),2))))</f>
        <v/>
      </c>
      <c r="P314" s="17">
        <f>IF($A314="","",IFERROR(SUMIF(tblAnahtarA[Norm],$A314,tblGirdi[HedefNet]),0))</f>
        <v/>
      </c>
      <c r="Q314" s="17">
        <f>IF($A314="","",ROUND($M314-$P314,2))</f>
        <v/>
      </c>
      <c r="R314" s="17">
        <f>IF($A314="","",ROUND($B314-$K314,2))</f>
        <v/>
      </c>
      <c r="S314" s="17">
        <f>IF($A314="","",IF($N314&lt;0,"ÇEKİL",IF($N314&lt;tyk_esikMarjDusuk,"ZAM","SAT")))</f>
        <v/>
      </c>
      <c r="T314" s="17">
        <f>IF($A314="","",$L314-$F314)</f>
        <v/>
      </c>
      <c r="U314" s="17">
        <f>IF($A314="","",$M314-$Q314)</f>
        <v/>
      </c>
      <c r="V314" s="17">
        <f>IF($A314="","",$R314-$M314)</f>
        <v/>
      </c>
    </row>
    <row r="315">
      <c r="A315" s="17">
        <f>IF('ANAHTAR'!$B315="","",'ANAHTAR'!$B315)</f>
        <v/>
      </c>
      <c r="B315" s="17">
        <f>IF($A315="","",IFERROR(SUMIF(tblAnahtarA[Norm],$A315,tblGirdi[ToplamSatis]),0))</f>
        <v/>
      </c>
      <c r="C315" s="17">
        <f>IF($A315="","",IFERROR(SUMIF(tblAnahtarA[Norm],$A315,tblGirdi[Maliyet])*IFERROR(SUMIF(tblAnahtarA[Norm],$A315,tblGirdi[Miktar]),1),0))</f>
        <v/>
      </c>
      <c r="D315" s="17">
        <f>IF($A315="","",IFERROR(SUMIF(tblAnahtarA[Norm],$A315,tblGirdi[Miktar]),0))</f>
        <v/>
      </c>
      <c r="E315" s="17">
        <f>IF($A315="","",IFERROR(SUMIF(tblAnahtarA[Norm],$A315,tblGirdi[KomisyonOran]),0))</f>
        <v/>
      </c>
      <c r="F315" s="17">
        <f>IF($A315="","",ROUND($B315*$E315,2))</f>
        <v/>
      </c>
      <c r="G315" s="17">
        <f>IF($A315="","",IFERROR(SUMIF(tblAnahtarB[NormB],$A315,tblHakedis[TyPlus]),0))</f>
        <v/>
      </c>
      <c r="H315" s="17">
        <f>IF($A315="","",IFERROR(SUMIF(tblAnahtarB[NormB],$A315,tblHakedis[FlasKesinti]),0))</f>
        <v/>
      </c>
      <c r="I315" s="17">
        <f>IF($A315="","",IFERROR(SUMIF(tblAnahtarB[NormB],$A315,tblHakedis[UrunReklam]),0))</f>
        <v/>
      </c>
      <c r="J315" s="17">
        <f>IF($A315="","",IFERROR(SUMIF(tblAnahtarB[NormB],$A315,tblHakedis[DesiKargo]),0))</f>
        <v/>
      </c>
      <c r="K315" s="17">
        <f>IF($A315="","",ROUND($F315+$G315+$H315+$I315+$J315,2))</f>
        <v/>
      </c>
      <c r="L315" s="17">
        <f>IF($A315="","",ROUND($B315-$C315,2))</f>
        <v/>
      </c>
      <c r="M315" s="17">
        <f>IF($A315="","",ROUND($B315-$C315-$K315,2))</f>
        <v/>
      </c>
      <c r="N315" s="17">
        <f>IF(OR($A315="",$B315=0),0,$M315/$B315)</f>
        <v/>
      </c>
      <c r="O315" s="17">
        <f>IF($A315="","",IF((1-$E315)&lt;=0,0,IF($D315=0,0,ROUND(($C315+$G315+$H315+$I315+$J315)/$D315/(1-$E315),2))))</f>
        <v/>
      </c>
      <c r="P315" s="17">
        <f>IF($A315="","",IFERROR(SUMIF(tblAnahtarA[Norm],$A315,tblGirdi[HedefNet]),0))</f>
        <v/>
      </c>
      <c r="Q315" s="17">
        <f>IF($A315="","",ROUND($M315-$P315,2))</f>
        <v/>
      </c>
      <c r="R315" s="17">
        <f>IF($A315="","",ROUND($B315-$K315,2))</f>
        <v/>
      </c>
      <c r="S315" s="17">
        <f>IF($A315="","",IF($N315&lt;0,"ÇEKİL",IF($N315&lt;tyk_esikMarjDusuk,"ZAM","SAT")))</f>
        <v/>
      </c>
      <c r="T315" s="17">
        <f>IF($A315="","",$L315-$F315)</f>
        <v/>
      </c>
      <c r="U315" s="17">
        <f>IF($A315="","",$M315-$Q315)</f>
        <v/>
      </c>
      <c r="V315" s="17">
        <f>IF($A315="","",$R315-$M315)</f>
        <v/>
      </c>
    </row>
    <row r="316">
      <c r="A316" s="17">
        <f>IF('ANAHTAR'!$B316="","",'ANAHTAR'!$B316)</f>
        <v/>
      </c>
      <c r="B316" s="17">
        <f>IF($A316="","",IFERROR(SUMIF(tblAnahtarA[Norm],$A316,tblGirdi[ToplamSatis]),0))</f>
        <v/>
      </c>
      <c r="C316" s="17">
        <f>IF($A316="","",IFERROR(SUMIF(tblAnahtarA[Norm],$A316,tblGirdi[Maliyet])*IFERROR(SUMIF(tblAnahtarA[Norm],$A316,tblGirdi[Miktar]),1),0))</f>
        <v/>
      </c>
      <c r="D316" s="17">
        <f>IF($A316="","",IFERROR(SUMIF(tblAnahtarA[Norm],$A316,tblGirdi[Miktar]),0))</f>
        <v/>
      </c>
      <c r="E316" s="17">
        <f>IF($A316="","",IFERROR(SUMIF(tblAnahtarA[Norm],$A316,tblGirdi[KomisyonOran]),0))</f>
        <v/>
      </c>
      <c r="F316" s="17">
        <f>IF($A316="","",ROUND($B316*$E316,2))</f>
        <v/>
      </c>
      <c r="G316" s="17">
        <f>IF($A316="","",IFERROR(SUMIF(tblAnahtarB[NormB],$A316,tblHakedis[TyPlus]),0))</f>
        <v/>
      </c>
      <c r="H316" s="17">
        <f>IF($A316="","",IFERROR(SUMIF(tblAnahtarB[NormB],$A316,tblHakedis[FlasKesinti]),0))</f>
        <v/>
      </c>
      <c r="I316" s="17">
        <f>IF($A316="","",IFERROR(SUMIF(tblAnahtarB[NormB],$A316,tblHakedis[UrunReklam]),0))</f>
        <v/>
      </c>
      <c r="J316" s="17">
        <f>IF($A316="","",IFERROR(SUMIF(tblAnahtarB[NormB],$A316,tblHakedis[DesiKargo]),0))</f>
        <v/>
      </c>
      <c r="K316" s="17">
        <f>IF($A316="","",ROUND($F316+$G316+$H316+$I316+$J316,2))</f>
        <v/>
      </c>
      <c r="L316" s="17">
        <f>IF($A316="","",ROUND($B316-$C316,2))</f>
        <v/>
      </c>
      <c r="M316" s="17">
        <f>IF($A316="","",ROUND($B316-$C316-$K316,2))</f>
        <v/>
      </c>
      <c r="N316" s="17">
        <f>IF(OR($A316="",$B316=0),0,$M316/$B316)</f>
        <v/>
      </c>
      <c r="O316" s="17">
        <f>IF($A316="","",IF((1-$E316)&lt;=0,0,IF($D316=0,0,ROUND(($C316+$G316+$H316+$I316+$J316)/$D316/(1-$E316),2))))</f>
        <v/>
      </c>
      <c r="P316" s="17">
        <f>IF($A316="","",IFERROR(SUMIF(tblAnahtarA[Norm],$A316,tblGirdi[HedefNet]),0))</f>
        <v/>
      </c>
      <c r="Q316" s="17">
        <f>IF($A316="","",ROUND($M316-$P316,2))</f>
        <v/>
      </c>
      <c r="R316" s="17">
        <f>IF($A316="","",ROUND($B316-$K316,2))</f>
        <v/>
      </c>
      <c r="S316" s="17">
        <f>IF($A316="","",IF($N316&lt;0,"ÇEKİL",IF($N316&lt;tyk_esikMarjDusuk,"ZAM","SAT")))</f>
        <v/>
      </c>
      <c r="T316" s="17">
        <f>IF($A316="","",$L316-$F316)</f>
        <v/>
      </c>
      <c r="U316" s="17">
        <f>IF($A316="","",$M316-$Q316)</f>
        <v/>
      </c>
      <c r="V316" s="17">
        <f>IF($A316="","",$R316-$M316)</f>
        <v/>
      </c>
    </row>
    <row r="317">
      <c r="A317" s="17">
        <f>IF('ANAHTAR'!$B317="","",'ANAHTAR'!$B317)</f>
        <v/>
      </c>
      <c r="B317" s="17">
        <f>IF($A317="","",IFERROR(SUMIF(tblAnahtarA[Norm],$A317,tblGirdi[ToplamSatis]),0))</f>
        <v/>
      </c>
      <c r="C317" s="17">
        <f>IF($A317="","",IFERROR(SUMIF(tblAnahtarA[Norm],$A317,tblGirdi[Maliyet])*IFERROR(SUMIF(tblAnahtarA[Norm],$A317,tblGirdi[Miktar]),1),0))</f>
        <v/>
      </c>
      <c r="D317" s="17">
        <f>IF($A317="","",IFERROR(SUMIF(tblAnahtarA[Norm],$A317,tblGirdi[Miktar]),0))</f>
        <v/>
      </c>
      <c r="E317" s="17">
        <f>IF($A317="","",IFERROR(SUMIF(tblAnahtarA[Norm],$A317,tblGirdi[KomisyonOran]),0))</f>
        <v/>
      </c>
      <c r="F317" s="17">
        <f>IF($A317="","",ROUND($B317*$E317,2))</f>
        <v/>
      </c>
      <c r="G317" s="17">
        <f>IF($A317="","",IFERROR(SUMIF(tblAnahtarB[NormB],$A317,tblHakedis[TyPlus]),0))</f>
        <v/>
      </c>
      <c r="H317" s="17">
        <f>IF($A317="","",IFERROR(SUMIF(tblAnahtarB[NormB],$A317,tblHakedis[FlasKesinti]),0))</f>
        <v/>
      </c>
      <c r="I317" s="17">
        <f>IF($A317="","",IFERROR(SUMIF(tblAnahtarB[NormB],$A317,tblHakedis[UrunReklam]),0))</f>
        <v/>
      </c>
      <c r="J317" s="17">
        <f>IF($A317="","",IFERROR(SUMIF(tblAnahtarB[NormB],$A317,tblHakedis[DesiKargo]),0))</f>
        <v/>
      </c>
      <c r="K317" s="17">
        <f>IF($A317="","",ROUND($F317+$G317+$H317+$I317+$J317,2))</f>
        <v/>
      </c>
      <c r="L317" s="17">
        <f>IF($A317="","",ROUND($B317-$C317,2))</f>
        <v/>
      </c>
      <c r="M317" s="17">
        <f>IF($A317="","",ROUND($B317-$C317-$K317,2))</f>
        <v/>
      </c>
      <c r="N317" s="17">
        <f>IF(OR($A317="",$B317=0),0,$M317/$B317)</f>
        <v/>
      </c>
      <c r="O317" s="17">
        <f>IF($A317="","",IF((1-$E317)&lt;=0,0,IF($D317=0,0,ROUND(($C317+$G317+$H317+$I317+$J317)/$D317/(1-$E317),2))))</f>
        <v/>
      </c>
      <c r="P317" s="17">
        <f>IF($A317="","",IFERROR(SUMIF(tblAnahtarA[Norm],$A317,tblGirdi[HedefNet]),0))</f>
        <v/>
      </c>
      <c r="Q317" s="17">
        <f>IF($A317="","",ROUND($M317-$P317,2))</f>
        <v/>
      </c>
      <c r="R317" s="17">
        <f>IF($A317="","",ROUND($B317-$K317,2))</f>
        <v/>
      </c>
      <c r="S317" s="17">
        <f>IF($A317="","",IF($N317&lt;0,"ÇEKİL",IF($N317&lt;tyk_esikMarjDusuk,"ZAM","SAT")))</f>
        <v/>
      </c>
      <c r="T317" s="17">
        <f>IF($A317="","",$L317-$F317)</f>
        <v/>
      </c>
      <c r="U317" s="17">
        <f>IF($A317="","",$M317-$Q317)</f>
        <v/>
      </c>
      <c r="V317" s="17">
        <f>IF($A317="","",$R317-$M317)</f>
        <v/>
      </c>
    </row>
    <row r="318">
      <c r="A318" s="17">
        <f>IF('ANAHTAR'!$B318="","",'ANAHTAR'!$B318)</f>
        <v/>
      </c>
      <c r="B318" s="17">
        <f>IF($A318="","",IFERROR(SUMIF(tblAnahtarA[Norm],$A318,tblGirdi[ToplamSatis]),0))</f>
        <v/>
      </c>
      <c r="C318" s="17">
        <f>IF($A318="","",IFERROR(SUMIF(tblAnahtarA[Norm],$A318,tblGirdi[Maliyet])*IFERROR(SUMIF(tblAnahtarA[Norm],$A318,tblGirdi[Miktar]),1),0))</f>
        <v/>
      </c>
      <c r="D318" s="17">
        <f>IF($A318="","",IFERROR(SUMIF(tblAnahtarA[Norm],$A318,tblGirdi[Miktar]),0))</f>
        <v/>
      </c>
      <c r="E318" s="17">
        <f>IF($A318="","",IFERROR(SUMIF(tblAnahtarA[Norm],$A318,tblGirdi[KomisyonOran]),0))</f>
        <v/>
      </c>
      <c r="F318" s="17">
        <f>IF($A318="","",ROUND($B318*$E318,2))</f>
        <v/>
      </c>
      <c r="G318" s="17">
        <f>IF($A318="","",IFERROR(SUMIF(tblAnahtarB[NormB],$A318,tblHakedis[TyPlus]),0))</f>
        <v/>
      </c>
      <c r="H318" s="17">
        <f>IF($A318="","",IFERROR(SUMIF(tblAnahtarB[NormB],$A318,tblHakedis[FlasKesinti]),0))</f>
        <v/>
      </c>
      <c r="I318" s="17">
        <f>IF($A318="","",IFERROR(SUMIF(tblAnahtarB[NormB],$A318,tblHakedis[UrunReklam]),0))</f>
        <v/>
      </c>
      <c r="J318" s="17">
        <f>IF($A318="","",IFERROR(SUMIF(tblAnahtarB[NormB],$A318,tblHakedis[DesiKargo]),0))</f>
        <v/>
      </c>
      <c r="K318" s="17">
        <f>IF($A318="","",ROUND($F318+$G318+$H318+$I318+$J318,2))</f>
        <v/>
      </c>
      <c r="L318" s="17">
        <f>IF($A318="","",ROUND($B318-$C318,2))</f>
        <v/>
      </c>
      <c r="M318" s="17">
        <f>IF($A318="","",ROUND($B318-$C318-$K318,2))</f>
        <v/>
      </c>
      <c r="N318" s="17">
        <f>IF(OR($A318="",$B318=0),0,$M318/$B318)</f>
        <v/>
      </c>
      <c r="O318" s="17">
        <f>IF($A318="","",IF((1-$E318)&lt;=0,0,IF($D318=0,0,ROUND(($C318+$G318+$H318+$I318+$J318)/$D318/(1-$E318),2))))</f>
        <v/>
      </c>
      <c r="P318" s="17">
        <f>IF($A318="","",IFERROR(SUMIF(tblAnahtarA[Norm],$A318,tblGirdi[HedefNet]),0))</f>
        <v/>
      </c>
      <c r="Q318" s="17">
        <f>IF($A318="","",ROUND($M318-$P318,2))</f>
        <v/>
      </c>
      <c r="R318" s="17">
        <f>IF($A318="","",ROUND($B318-$K318,2))</f>
        <v/>
      </c>
      <c r="S318" s="17">
        <f>IF($A318="","",IF($N318&lt;0,"ÇEKİL",IF($N318&lt;tyk_esikMarjDusuk,"ZAM","SAT")))</f>
        <v/>
      </c>
      <c r="T318" s="17">
        <f>IF($A318="","",$L318-$F318)</f>
        <v/>
      </c>
      <c r="U318" s="17">
        <f>IF($A318="","",$M318-$Q318)</f>
        <v/>
      </c>
      <c r="V318" s="17">
        <f>IF($A318="","",$R318-$M318)</f>
        <v/>
      </c>
    </row>
    <row r="319">
      <c r="A319" s="17">
        <f>IF('ANAHTAR'!$B319="","",'ANAHTAR'!$B319)</f>
        <v/>
      </c>
      <c r="B319" s="17">
        <f>IF($A319="","",IFERROR(SUMIF(tblAnahtarA[Norm],$A319,tblGirdi[ToplamSatis]),0))</f>
        <v/>
      </c>
      <c r="C319" s="17">
        <f>IF($A319="","",IFERROR(SUMIF(tblAnahtarA[Norm],$A319,tblGirdi[Maliyet])*IFERROR(SUMIF(tblAnahtarA[Norm],$A319,tblGirdi[Miktar]),1),0))</f>
        <v/>
      </c>
      <c r="D319" s="17">
        <f>IF($A319="","",IFERROR(SUMIF(tblAnahtarA[Norm],$A319,tblGirdi[Miktar]),0))</f>
        <v/>
      </c>
      <c r="E319" s="17">
        <f>IF($A319="","",IFERROR(SUMIF(tblAnahtarA[Norm],$A319,tblGirdi[KomisyonOran]),0))</f>
        <v/>
      </c>
      <c r="F319" s="17">
        <f>IF($A319="","",ROUND($B319*$E319,2))</f>
        <v/>
      </c>
      <c r="G319" s="17">
        <f>IF($A319="","",IFERROR(SUMIF(tblAnahtarB[NormB],$A319,tblHakedis[TyPlus]),0))</f>
        <v/>
      </c>
      <c r="H319" s="17">
        <f>IF($A319="","",IFERROR(SUMIF(tblAnahtarB[NormB],$A319,tblHakedis[FlasKesinti]),0))</f>
        <v/>
      </c>
      <c r="I319" s="17">
        <f>IF($A319="","",IFERROR(SUMIF(tblAnahtarB[NormB],$A319,tblHakedis[UrunReklam]),0))</f>
        <v/>
      </c>
      <c r="J319" s="17">
        <f>IF($A319="","",IFERROR(SUMIF(tblAnahtarB[NormB],$A319,tblHakedis[DesiKargo]),0))</f>
        <v/>
      </c>
      <c r="K319" s="17">
        <f>IF($A319="","",ROUND($F319+$G319+$H319+$I319+$J319,2))</f>
        <v/>
      </c>
      <c r="L319" s="17">
        <f>IF($A319="","",ROUND($B319-$C319,2))</f>
        <v/>
      </c>
      <c r="M319" s="17">
        <f>IF($A319="","",ROUND($B319-$C319-$K319,2))</f>
        <v/>
      </c>
      <c r="N319" s="17">
        <f>IF(OR($A319="",$B319=0),0,$M319/$B319)</f>
        <v/>
      </c>
      <c r="O319" s="17">
        <f>IF($A319="","",IF((1-$E319)&lt;=0,0,IF($D319=0,0,ROUND(($C319+$G319+$H319+$I319+$J319)/$D319/(1-$E319),2))))</f>
        <v/>
      </c>
      <c r="P319" s="17">
        <f>IF($A319="","",IFERROR(SUMIF(tblAnahtarA[Norm],$A319,tblGirdi[HedefNet]),0))</f>
        <v/>
      </c>
      <c r="Q319" s="17">
        <f>IF($A319="","",ROUND($M319-$P319,2))</f>
        <v/>
      </c>
      <c r="R319" s="17">
        <f>IF($A319="","",ROUND($B319-$K319,2))</f>
        <v/>
      </c>
      <c r="S319" s="17">
        <f>IF($A319="","",IF($N319&lt;0,"ÇEKİL",IF($N319&lt;tyk_esikMarjDusuk,"ZAM","SAT")))</f>
        <v/>
      </c>
      <c r="T319" s="17">
        <f>IF($A319="","",$L319-$F319)</f>
        <v/>
      </c>
      <c r="U319" s="17">
        <f>IF($A319="","",$M319-$Q319)</f>
        <v/>
      </c>
      <c r="V319" s="17">
        <f>IF($A319="","",$R319-$M319)</f>
        <v/>
      </c>
    </row>
    <row r="320">
      <c r="A320" s="17">
        <f>IF('ANAHTAR'!$B320="","",'ANAHTAR'!$B320)</f>
        <v/>
      </c>
      <c r="B320" s="17">
        <f>IF($A320="","",IFERROR(SUMIF(tblAnahtarA[Norm],$A320,tblGirdi[ToplamSatis]),0))</f>
        <v/>
      </c>
      <c r="C320" s="17">
        <f>IF($A320="","",IFERROR(SUMIF(tblAnahtarA[Norm],$A320,tblGirdi[Maliyet])*IFERROR(SUMIF(tblAnahtarA[Norm],$A320,tblGirdi[Miktar]),1),0))</f>
        <v/>
      </c>
      <c r="D320" s="17">
        <f>IF($A320="","",IFERROR(SUMIF(tblAnahtarA[Norm],$A320,tblGirdi[Miktar]),0))</f>
        <v/>
      </c>
      <c r="E320" s="17">
        <f>IF($A320="","",IFERROR(SUMIF(tblAnahtarA[Norm],$A320,tblGirdi[KomisyonOran]),0))</f>
        <v/>
      </c>
      <c r="F320" s="17">
        <f>IF($A320="","",ROUND($B320*$E320,2))</f>
        <v/>
      </c>
      <c r="G320" s="17">
        <f>IF($A320="","",IFERROR(SUMIF(tblAnahtarB[NormB],$A320,tblHakedis[TyPlus]),0))</f>
        <v/>
      </c>
      <c r="H320" s="17">
        <f>IF($A320="","",IFERROR(SUMIF(tblAnahtarB[NormB],$A320,tblHakedis[FlasKesinti]),0))</f>
        <v/>
      </c>
      <c r="I320" s="17">
        <f>IF($A320="","",IFERROR(SUMIF(tblAnahtarB[NormB],$A320,tblHakedis[UrunReklam]),0))</f>
        <v/>
      </c>
      <c r="J320" s="17">
        <f>IF($A320="","",IFERROR(SUMIF(tblAnahtarB[NormB],$A320,tblHakedis[DesiKargo]),0))</f>
        <v/>
      </c>
      <c r="K320" s="17">
        <f>IF($A320="","",ROUND($F320+$G320+$H320+$I320+$J320,2))</f>
        <v/>
      </c>
      <c r="L320" s="17">
        <f>IF($A320="","",ROUND($B320-$C320,2))</f>
        <v/>
      </c>
      <c r="M320" s="17">
        <f>IF($A320="","",ROUND($B320-$C320-$K320,2))</f>
        <v/>
      </c>
      <c r="N320" s="17">
        <f>IF(OR($A320="",$B320=0),0,$M320/$B320)</f>
        <v/>
      </c>
      <c r="O320" s="17">
        <f>IF($A320="","",IF((1-$E320)&lt;=0,0,IF($D320=0,0,ROUND(($C320+$G320+$H320+$I320+$J320)/$D320/(1-$E320),2))))</f>
        <v/>
      </c>
      <c r="P320" s="17">
        <f>IF($A320="","",IFERROR(SUMIF(tblAnahtarA[Norm],$A320,tblGirdi[HedefNet]),0))</f>
        <v/>
      </c>
      <c r="Q320" s="17">
        <f>IF($A320="","",ROUND($M320-$P320,2))</f>
        <v/>
      </c>
      <c r="R320" s="17">
        <f>IF($A320="","",ROUND($B320-$K320,2))</f>
        <v/>
      </c>
      <c r="S320" s="17">
        <f>IF($A320="","",IF($N320&lt;0,"ÇEKİL",IF($N320&lt;tyk_esikMarjDusuk,"ZAM","SAT")))</f>
        <v/>
      </c>
      <c r="T320" s="17">
        <f>IF($A320="","",$L320-$F320)</f>
        <v/>
      </c>
      <c r="U320" s="17">
        <f>IF($A320="","",$M320-$Q320)</f>
        <v/>
      </c>
      <c r="V320" s="17">
        <f>IF($A320="","",$R320-$M320)</f>
        <v/>
      </c>
    </row>
    <row r="321">
      <c r="A321" s="17">
        <f>IF('ANAHTAR'!$B321="","",'ANAHTAR'!$B321)</f>
        <v/>
      </c>
      <c r="B321" s="17">
        <f>IF($A321="","",IFERROR(SUMIF(tblAnahtarA[Norm],$A321,tblGirdi[ToplamSatis]),0))</f>
        <v/>
      </c>
      <c r="C321" s="17">
        <f>IF($A321="","",IFERROR(SUMIF(tblAnahtarA[Norm],$A321,tblGirdi[Maliyet])*IFERROR(SUMIF(tblAnahtarA[Norm],$A321,tblGirdi[Miktar]),1),0))</f>
        <v/>
      </c>
      <c r="D321" s="17">
        <f>IF($A321="","",IFERROR(SUMIF(tblAnahtarA[Norm],$A321,tblGirdi[Miktar]),0))</f>
        <v/>
      </c>
      <c r="E321" s="17">
        <f>IF($A321="","",IFERROR(SUMIF(tblAnahtarA[Norm],$A321,tblGirdi[KomisyonOran]),0))</f>
        <v/>
      </c>
      <c r="F321" s="17">
        <f>IF($A321="","",ROUND($B321*$E321,2))</f>
        <v/>
      </c>
      <c r="G321" s="17">
        <f>IF($A321="","",IFERROR(SUMIF(tblAnahtarB[NormB],$A321,tblHakedis[TyPlus]),0))</f>
        <v/>
      </c>
      <c r="H321" s="17">
        <f>IF($A321="","",IFERROR(SUMIF(tblAnahtarB[NormB],$A321,tblHakedis[FlasKesinti]),0))</f>
        <v/>
      </c>
      <c r="I321" s="17">
        <f>IF($A321="","",IFERROR(SUMIF(tblAnahtarB[NormB],$A321,tblHakedis[UrunReklam]),0))</f>
        <v/>
      </c>
      <c r="J321" s="17">
        <f>IF($A321="","",IFERROR(SUMIF(tblAnahtarB[NormB],$A321,tblHakedis[DesiKargo]),0))</f>
        <v/>
      </c>
      <c r="K321" s="17">
        <f>IF($A321="","",ROUND($F321+$G321+$H321+$I321+$J321,2))</f>
        <v/>
      </c>
      <c r="L321" s="17">
        <f>IF($A321="","",ROUND($B321-$C321,2))</f>
        <v/>
      </c>
      <c r="M321" s="17">
        <f>IF($A321="","",ROUND($B321-$C321-$K321,2))</f>
        <v/>
      </c>
      <c r="N321" s="17">
        <f>IF(OR($A321="",$B321=0),0,$M321/$B321)</f>
        <v/>
      </c>
      <c r="O321" s="17">
        <f>IF($A321="","",IF((1-$E321)&lt;=0,0,IF($D321=0,0,ROUND(($C321+$G321+$H321+$I321+$J321)/$D321/(1-$E321),2))))</f>
        <v/>
      </c>
      <c r="P321" s="17">
        <f>IF($A321="","",IFERROR(SUMIF(tblAnahtarA[Norm],$A321,tblGirdi[HedefNet]),0))</f>
        <v/>
      </c>
      <c r="Q321" s="17">
        <f>IF($A321="","",ROUND($M321-$P321,2))</f>
        <v/>
      </c>
      <c r="R321" s="17">
        <f>IF($A321="","",ROUND($B321-$K321,2))</f>
        <v/>
      </c>
      <c r="S321" s="17">
        <f>IF($A321="","",IF($N321&lt;0,"ÇEKİL",IF($N321&lt;tyk_esikMarjDusuk,"ZAM","SAT")))</f>
        <v/>
      </c>
      <c r="T321" s="17">
        <f>IF($A321="","",$L321-$F321)</f>
        <v/>
      </c>
      <c r="U321" s="17">
        <f>IF($A321="","",$M321-$Q321)</f>
        <v/>
      </c>
      <c r="V321" s="17">
        <f>IF($A321="","",$R321-$M321)</f>
        <v/>
      </c>
    </row>
    <row r="322">
      <c r="A322" s="17">
        <f>IF('ANAHTAR'!$B322="","",'ANAHTAR'!$B322)</f>
        <v/>
      </c>
      <c r="B322" s="17">
        <f>IF($A322="","",IFERROR(SUMIF(tblAnahtarA[Norm],$A322,tblGirdi[ToplamSatis]),0))</f>
        <v/>
      </c>
      <c r="C322" s="17">
        <f>IF($A322="","",IFERROR(SUMIF(tblAnahtarA[Norm],$A322,tblGirdi[Maliyet])*IFERROR(SUMIF(tblAnahtarA[Norm],$A322,tblGirdi[Miktar]),1),0))</f>
        <v/>
      </c>
      <c r="D322" s="17">
        <f>IF($A322="","",IFERROR(SUMIF(tblAnahtarA[Norm],$A322,tblGirdi[Miktar]),0))</f>
        <v/>
      </c>
      <c r="E322" s="17">
        <f>IF($A322="","",IFERROR(SUMIF(tblAnahtarA[Norm],$A322,tblGirdi[KomisyonOran]),0))</f>
        <v/>
      </c>
      <c r="F322" s="17">
        <f>IF($A322="","",ROUND($B322*$E322,2))</f>
        <v/>
      </c>
      <c r="G322" s="17">
        <f>IF($A322="","",IFERROR(SUMIF(tblAnahtarB[NormB],$A322,tblHakedis[TyPlus]),0))</f>
        <v/>
      </c>
      <c r="H322" s="17">
        <f>IF($A322="","",IFERROR(SUMIF(tblAnahtarB[NormB],$A322,tblHakedis[FlasKesinti]),0))</f>
        <v/>
      </c>
      <c r="I322" s="17">
        <f>IF($A322="","",IFERROR(SUMIF(tblAnahtarB[NormB],$A322,tblHakedis[UrunReklam]),0))</f>
        <v/>
      </c>
      <c r="J322" s="17">
        <f>IF($A322="","",IFERROR(SUMIF(tblAnahtarB[NormB],$A322,tblHakedis[DesiKargo]),0))</f>
        <v/>
      </c>
      <c r="K322" s="17">
        <f>IF($A322="","",ROUND($F322+$G322+$H322+$I322+$J322,2))</f>
        <v/>
      </c>
      <c r="L322" s="17">
        <f>IF($A322="","",ROUND($B322-$C322,2))</f>
        <v/>
      </c>
      <c r="M322" s="17">
        <f>IF($A322="","",ROUND($B322-$C322-$K322,2))</f>
        <v/>
      </c>
      <c r="N322" s="17">
        <f>IF(OR($A322="",$B322=0),0,$M322/$B322)</f>
        <v/>
      </c>
      <c r="O322" s="17">
        <f>IF($A322="","",IF((1-$E322)&lt;=0,0,IF($D322=0,0,ROUND(($C322+$G322+$H322+$I322+$J322)/$D322/(1-$E322),2))))</f>
        <v/>
      </c>
      <c r="P322" s="17">
        <f>IF($A322="","",IFERROR(SUMIF(tblAnahtarA[Norm],$A322,tblGirdi[HedefNet]),0))</f>
        <v/>
      </c>
      <c r="Q322" s="17">
        <f>IF($A322="","",ROUND($M322-$P322,2))</f>
        <v/>
      </c>
      <c r="R322" s="17">
        <f>IF($A322="","",ROUND($B322-$K322,2))</f>
        <v/>
      </c>
      <c r="S322" s="17">
        <f>IF($A322="","",IF($N322&lt;0,"ÇEKİL",IF($N322&lt;tyk_esikMarjDusuk,"ZAM","SAT")))</f>
        <v/>
      </c>
      <c r="T322" s="17">
        <f>IF($A322="","",$L322-$F322)</f>
        <v/>
      </c>
      <c r="U322" s="17">
        <f>IF($A322="","",$M322-$Q322)</f>
        <v/>
      </c>
      <c r="V322" s="17">
        <f>IF($A322="","",$R322-$M322)</f>
        <v/>
      </c>
    </row>
    <row r="323">
      <c r="A323" s="17">
        <f>IF('ANAHTAR'!$B323="","",'ANAHTAR'!$B323)</f>
        <v/>
      </c>
      <c r="B323" s="17">
        <f>IF($A323="","",IFERROR(SUMIF(tblAnahtarA[Norm],$A323,tblGirdi[ToplamSatis]),0))</f>
        <v/>
      </c>
      <c r="C323" s="17">
        <f>IF($A323="","",IFERROR(SUMIF(tblAnahtarA[Norm],$A323,tblGirdi[Maliyet])*IFERROR(SUMIF(tblAnahtarA[Norm],$A323,tblGirdi[Miktar]),1),0))</f>
        <v/>
      </c>
      <c r="D323" s="17">
        <f>IF($A323="","",IFERROR(SUMIF(tblAnahtarA[Norm],$A323,tblGirdi[Miktar]),0))</f>
        <v/>
      </c>
      <c r="E323" s="17">
        <f>IF($A323="","",IFERROR(SUMIF(tblAnahtarA[Norm],$A323,tblGirdi[KomisyonOran]),0))</f>
        <v/>
      </c>
      <c r="F323" s="17">
        <f>IF($A323="","",ROUND($B323*$E323,2))</f>
        <v/>
      </c>
      <c r="G323" s="17">
        <f>IF($A323="","",IFERROR(SUMIF(tblAnahtarB[NormB],$A323,tblHakedis[TyPlus]),0))</f>
        <v/>
      </c>
      <c r="H323" s="17">
        <f>IF($A323="","",IFERROR(SUMIF(tblAnahtarB[NormB],$A323,tblHakedis[FlasKesinti]),0))</f>
        <v/>
      </c>
      <c r="I323" s="17">
        <f>IF($A323="","",IFERROR(SUMIF(tblAnahtarB[NormB],$A323,tblHakedis[UrunReklam]),0))</f>
        <v/>
      </c>
      <c r="J323" s="17">
        <f>IF($A323="","",IFERROR(SUMIF(tblAnahtarB[NormB],$A323,tblHakedis[DesiKargo]),0))</f>
        <v/>
      </c>
      <c r="K323" s="17">
        <f>IF($A323="","",ROUND($F323+$G323+$H323+$I323+$J323,2))</f>
        <v/>
      </c>
      <c r="L323" s="17">
        <f>IF($A323="","",ROUND($B323-$C323,2))</f>
        <v/>
      </c>
      <c r="M323" s="17">
        <f>IF($A323="","",ROUND($B323-$C323-$K323,2))</f>
        <v/>
      </c>
      <c r="N323" s="17">
        <f>IF(OR($A323="",$B323=0),0,$M323/$B323)</f>
        <v/>
      </c>
      <c r="O323" s="17">
        <f>IF($A323="","",IF((1-$E323)&lt;=0,0,IF($D323=0,0,ROUND(($C323+$G323+$H323+$I323+$J323)/$D323/(1-$E323),2))))</f>
        <v/>
      </c>
      <c r="P323" s="17">
        <f>IF($A323="","",IFERROR(SUMIF(tblAnahtarA[Norm],$A323,tblGirdi[HedefNet]),0))</f>
        <v/>
      </c>
      <c r="Q323" s="17">
        <f>IF($A323="","",ROUND($M323-$P323,2))</f>
        <v/>
      </c>
      <c r="R323" s="17">
        <f>IF($A323="","",ROUND($B323-$K323,2))</f>
        <v/>
      </c>
      <c r="S323" s="17">
        <f>IF($A323="","",IF($N323&lt;0,"ÇEKİL",IF($N323&lt;tyk_esikMarjDusuk,"ZAM","SAT")))</f>
        <v/>
      </c>
      <c r="T323" s="17">
        <f>IF($A323="","",$L323-$F323)</f>
        <v/>
      </c>
      <c r="U323" s="17">
        <f>IF($A323="","",$M323-$Q323)</f>
        <v/>
      </c>
      <c r="V323" s="17">
        <f>IF($A323="","",$R323-$M323)</f>
        <v/>
      </c>
    </row>
    <row r="324">
      <c r="A324" s="17">
        <f>IF('ANAHTAR'!$B324="","",'ANAHTAR'!$B324)</f>
        <v/>
      </c>
      <c r="B324" s="17">
        <f>IF($A324="","",IFERROR(SUMIF(tblAnahtarA[Norm],$A324,tblGirdi[ToplamSatis]),0))</f>
        <v/>
      </c>
      <c r="C324" s="17">
        <f>IF($A324="","",IFERROR(SUMIF(tblAnahtarA[Norm],$A324,tblGirdi[Maliyet])*IFERROR(SUMIF(tblAnahtarA[Norm],$A324,tblGirdi[Miktar]),1),0))</f>
        <v/>
      </c>
      <c r="D324" s="17">
        <f>IF($A324="","",IFERROR(SUMIF(tblAnahtarA[Norm],$A324,tblGirdi[Miktar]),0))</f>
        <v/>
      </c>
      <c r="E324" s="17">
        <f>IF($A324="","",IFERROR(SUMIF(tblAnahtarA[Norm],$A324,tblGirdi[KomisyonOran]),0))</f>
        <v/>
      </c>
      <c r="F324" s="17">
        <f>IF($A324="","",ROUND($B324*$E324,2))</f>
        <v/>
      </c>
      <c r="G324" s="17">
        <f>IF($A324="","",IFERROR(SUMIF(tblAnahtarB[NormB],$A324,tblHakedis[TyPlus]),0))</f>
        <v/>
      </c>
      <c r="H324" s="17">
        <f>IF($A324="","",IFERROR(SUMIF(tblAnahtarB[NormB],$A324,tblHakedis[FlasKesinti]),0))</f>
        <v/>
      </c>
      <c r="I324" s="17">
        <f>IF($A324="","",IFERROR(SUMIF(tblAnahtarB[NormB],$A324,tblHakedis[UrunReklam]),0))</f>
        <v/>
      </c>
      <c r="J324" s="17">
        <f>IF($A324="","",IFERROR(SUMIF(tblAnahtarB[NormB],$A324,tblHakedis[DesiKargo]),0))</f>
        <v/>
      </c>
      <c r="K324" s="17">
        <f>IF($A324="","",ROUND($F324+$G324+$H324+$I324+$J324,2))</f>
        <v/>
      </c>
      <c r="L324" s="17">
        <f>IF($A324="","",ROUND($B324-$C324,2))</f>
        <v/>
      </c>
      <c r="M324" s="17">
        <f>IF($A324="","",ROUND($B324-$C324-$K324,2))</f>
        <v/>
      </c>
      <c r="N324" s="17">
        <f>IF(OR($A324="",$B324=0),0,$M324/$B324)</f>
        <v/>
      </c>
      <c r="O324" s="17">
        <f>IF($A324="","",IF((1-$E324)&lt;=0,0,IF($D324=0,0,ROUND(($C324+$G324+$H324+$I324+$J324)/$D324/(1-$E324),2))))</f>
        <v/>
      </c>
      <c r="P324" s="17">
        <f>IF($A324="","",IFERROR(SUMIF(tblAnahtarA[Norm],$A324,tblGirdi[HedefNet]),0))</f>
        <v/>
      </c>
      <c r="Q324" s="17">
        <f>IF($A324="","",ROUND($M324-$P324,2))</f>
        <v/>
      </c>
      <c r="R324" s="17">
        <f>IF($A324="","",ROUND($B324-$K324,2))</f>
        <v/>
      </c>
      <c r="S324" s="17">
        <f>IF($A324="","",IF($N324&lt;0,"ÇEKİL",IF($N324&lt;tyk_esikMarjDusuk,"ZAM","SAT")))</f>
        <v/>
      </c>
      <c r="T324" s="17">
        <f>IF($A324="","",$L324-$F324)</f>
        <v/>
      </c>
      <c r="U324" s="17">
        <f>IF($A324="","",$M324-$Q324)</f>
        <v/>
      </c>
      <c r="V324" s="17">
        <f>IF($A324="","",$R324-$M324)</f>
        <v/>
      </c>
    </row>
    <row r="325">
      <c r="A325" s="17">
        <f>IF('ANAHTAR'!$B325="","",'ANAHTAR'!$B325)</f>
        <v/>
      </c>
      <c r="B325" s="17">
        <f>IF($A325="","",IFERROR(SUMIF(tblAnahtarA[Norm],$A325,tblGirdi[ToplamSatis]),0))</f>
        <v/>
      </c>
      <c r="C325" s="17">
        <f>IF($A325="","",IFERROR(SUMIF(tblAnahtarA[Norm],$A325,tblGirdi[Maliyet])*IFERROR(SUMIF(tblAnahtarA[Norm],$A325,tblGirdi[Miktar]),1),0))</f>
        <v/>
      </c>
      <c r="D325" s="17">
        <f>IF($A325="","",IFERROR(SUMIF(tblAnahtarA[Norm],$A325,tblGirdi[Miktar]),0))</f>
        <v/>
      </c>
      <c r="E325" s="17">
        <f>IF($A325="","",IFERROR(SUMIF(tblAnahtarA[Norm],$A325,tblGirdi[KomisyonOran]),0))</f>
        <v/>
      </c>
      <c r="F325" s="17">
        <f>IF($A325="","",ROUND($B325*$E325,2))</f>
        <v/>
      </c>
      <c r="G325" s="17">
        <f>IF($A325="","",IFERROR(SUMIF(tblAnahtarB[NormB],$A325,tblHakedis[TyPlus]),0))</f>
        <v/>
      </c>
      <c r="H325" s="17">
        <f>IF($A325="","",IFERROR(SUMIF(tblAnahtarB[NormB],$A325,tblHakedis[FlasKesinti]),0))</f>
        <v/>
      </c>
      <c r="I325" s="17">
        <f>IF($A325="","",IFERROR(SUMIF(tblAnahtarB[NormB],$A325,tblHakedis[UrunReklam]),0))</f>
        <v/>
      </c>
      <c r="J325" s="17">
        <f>IF($A325="","",IFERROR(SUMIF(tblAnahtarB[NormB],$A325,tblHakedis[DesiKargo]),0))</f>
        <v/>
      </c>
      <c r="K325" s="17">
        <f>IF($A325="","",ROUND($F325+$G325+$H325+$I325+$J325,2))</f>
        <v/>
      </c>
      <c r="L325" s="17">
        <f>IF($A325="","",ROUND($B325-$C325,2))</f>
        <v/>
      </c>
      <c r="M325" s="17">
        <f>IF($A325="","",ROUND($B325-$C325-$K325,2))</f>
        <v/>
      </c>
      <c r="N325" s="17">
        <f>IF(OR($A325="",$B325=0),0,$M325/$B325)</f>
        <v/>
      </c>
      <c r="O325" s="17">
        <f>IF($A325="","",IF((1-$E325)&lt;=0,0,IF($D325=0,0,ROUND(($C325+$G325+$H325+$I325+$J325)/$D325/(1-$E325),2))))</f>
        <v/>
      </c>
      <c r="P325" s="17">
        <f>IF($A325="","",IFERROR(SUMIF(tblAnahtarA[Norm],$A325,tblGirdi[HedefNet]),0))</f>
        <v/>
      </c>
      <c r="Q325" s="17">
        <f>IF($A325="","",ROUND($M325-$P325,2))</f>
        <v/>
      </c>
      <c r="R325" s="17">
        <f>IF($A325="","",ROUND($B325-$K325,2))</f>
        <v/>
      </c>
      <c r="S325" s="17">
        <f>IF($A325="","",IF($N325&lt;0,"ÇEKİL",IF($N325&lt;tyk_esikMarjDusuk,"ZAM","SAT")))</f>
        <v/>
      </c>
      <c r="T325" s="17">
        <f>IF($A325="","",$L325-$F325)</f>
        <v/>
      </c>
      <c r="U325" s="17">
        <f>IF($A325="","",$M325-$Q325)</f>
        <v/>
      </c>
      <c r="V325" s="17">
        <f>IF($A325="","",$R325-$M325)</f>
        <v/>
      </c>
    </row>
    <row r="326">
      <c r="A326" s="17">
        <f>IF('ANAHTAR'!$B326="","",'ANAHTAR'!$B326)</f>
        <v/>
      </c>
      <c r="B326" s="17">
        <f>IF($A326="","",IFERROR(SUMIF(tblAnahtarA[Norm],$A326,tblGirdi[ToplamSatis]),0))</f>
        <v/>
      </c>
      <c r="C326" s="17">
        <f>IF($A326="","",IFERROR(SUMIF(tblAnahtarA[Norm],$A326,tblGirdi[Maliyet])*IFERROR(SUMIF(tblAnahtarA[Norm],$A326,tblGirdi[Miktar]),1),0))</f>
        <v/>
      </c>
      <c r="D326" s="17">
        <f>IF($A326="","",IFERROR(SUMIF(tblAnahtarA[Norm],$A326,tblGirdi[Miktar]),0))</f>
        <v/>
      </c>
      <c r="E326" s="17">
        <f>IF($A326="","",IFERROR(SUMIF(tblAnahtarA[Norm],$A326,tblGirdi[KomisyonOran]),0))</f>
        <v/>
      </c>
      <c r="F326" s="17">
        <f>IF($A326="","",ROUND($B326*$E326,2))</f>
        <v/>
      </c>
      <c r="G326" s="17">
        <f>IF($A326="","",IFERROR(SUMIF(tblAnahtarB[NormB],$A326,tblHakedis[TyPlus]),0))</f>
        <v/>
      </c>
      <c r="H326" s="17">
        <f>IF($A326="","",IFERROR(SUMIF(tblAnahtarB[NormB],$A326,tblHakedis[FlasKesinti]),0))</f>
        <v/>
      </c>
      <c r="I326" s="17">
        <f>IF($A326="","",IFERROR(SUMIF(tblAnahtarB[NormB],$A326,tblHakedis[UrunReklam]),0))</f>
        <v/>
      </c>
      <c r="J326" s="17">
        <f>IF($A326="","",IFERROR(SUMIF(tblAnahtarB[NormB],$A326,tblHakedis[DesiKargo]),0))</f>
        <v/>
      </c>
      <c r="K326" s="17">
        <f>IF($A326="","",ROUND($F326+$G326+$H326+$I326+$J326,2))</f>
        <v/>
      </c>
      <c r="L326" s="17">
        <f>IF($A326="","",ROUND($B326-$C326,2))</f>
        <v/>
      </c>
      <c r="M326" s="17">
        <f>IF($A326="","",ROUND($B326-$C326-$K326,2))</f>
        <v/>
      </c>
      <c r="N326" s="17">
        <f>IF(OR($A326="",$B326=0),0,$M326/$B326)</f>
        <v/>
      </c>
      <c r="O326" s="17">
        <f>IF($A326="","",IF((1-$E326)&lt;=0,0,IF($D326=0,0,ROUND(($C326+$G326+$H326+$I326+$J326)/$D326/(1-$E326),2))))</f>
        <v/>
      </c>
      <c r="P326" s="17">
        <f>IF($A326="","",IFERROR(SUMIF(tblAnahtarA[Norm],$A326,tblGirdi[HedefNet]),0))</f>
        <v/>
      </c>
      <c r="Q326" s="17">
        <f>IF($A326="","",ROUND($M326-$P326,2))</f>
        <v/>
      </c>
      <c r="R326" s="17">
        <f>IF($A326="","",ROUND($B326-$K326,2))</f>
        <v/>
      </c>
      <c r="S326" s="17">
        <f>IF($A326="","",IF($N326&lt;0,"ÇEKİL",IF($N326&lt;tyk_esikMarjDusuk,"ZAM","SAT")))</f>
        <v/>
      </c>
      <c r="T326" s="17">
        <f>IF($A326="","",$L326-$F326)</f>
        <v/>
      </c>
      <c r="U326" s="17">
        <f>IF($A326="","",$M326-$Q326)</f>
        <v/>
      </c>
      <c r="V326" s="17">
        <f>IF($A326="","",$R326-$M326)</f>
        <v/>
      </c>
    </row>
    <row r="327">
      <c r="A327" s="17">
        <f>IF('ANAHTAR'!$B327="","",'ANAHTAR'!$B327)</f>
        <v/>
      </c>
      <c r="B327" s="17">
        <f>IF($A327="","",IFERROR(SUMIF(tblAnahtarA[Norm],$A327,tblGirdi[ToplamSatis]),0))</f>
        <v/>
      </c>
      <c r="C327" s="17">
        <f>IF($A327="","",IFERROR(SUMIF(tblAnahtarA[Norm],$A327,tblGirdi[Maliyet])*IFERROR(SUMIF(tblAnahtarA[Norm],$A327,tblGirdi[Miktar]),1),0))</f>
        <v/>
      </c>
      <c r="D327" s="17">
        <f>IF($A327="","",IFERROR(SUMIF(tblAnahtarA[Norm],$A327,tblGirdi[Miktar]),0))</f>
        <v/>
      </c>
      <c r="E327" s="17">
        <f>IF($A327="","",IFERROR(SUMIF(tblAnahtarA[Norm],$A327,tblGirdi[KomisyonOran]),0))</f>
        <v/>
      </c>
      <c r="F327" s="17">
        <f>IF($A327="","",ROUND($B327*$E327,2))</f>
        <v/>
      </c>
      <c r="G327" s="17">
        <f>IF($A327="","",IFERROR(SUMIF(tblAnahtarB[NormB],$A327,tblHakedis[TyPlus]),0))</f>
        <v/>
      </c>
      <c r="H327" s="17">
        <f>IF($A327="","",IFERROR(SUMIF(tblAnahtarB[NormB],$A327,tblHakedis[FlasKesinti]),0))</f>
        <v/>
      </c>
      <c r="I327" s="17">
        <f>IF($A327="","",IFERROR(SUMIF(tblAnahtarB[NormB],$A327,tblHakedis[UrunReklam]),0))</f>
        <v/>
      </c>
      <c r="J327" s="17">
        <f>IF($A327="","",IFERROR(SUMIF(tblAnahtarB[NormB],$A327,tblHakedis[DesiKargo]),0))</f>
        <v/>
      </c>
      <c r="K327" s="17">
        <f>IF($A327="","",ROUND($F327+$G327+$H327+$I327+$J327,2))</f>
        <v/>
      </c>
      <c r="L327" s="17">
        <f>IF($A327="","",ROUND($B327-$C327,2))</f>
        <v/>
      </c>
      <c r="M327" s="17">
        <f>IF($A327="","",ROUND($B327-$C327-$K327,2))</f>
        <v/>
      </c>
      <c r="N327" s="17">
        <f>IF(OR($A327="",$B327=0),0,$M327/$B327)</f>
        <v/>
      </c>
      <c r="O327" s="17">
        <f>IF($A327="","",IF((1-$E327)&lt;=0,0,IF($D327=0,0,ROUND(($C327+$G327+$H327+$I327+$J327)/$D327/(1-$E327),2))))</f>
        <v/>
      </c>
      <c r="P327" s="17">
        <f>IF($A327="","",IFERROR(SUMIF(tblAnahtarA[Norm],$A327,tblGirdi[HedefNet]),0))</f>
        <v/>
      </c>
      <c r="Q327" s="17">
        <f>IF($A327="","",ROUND($M327-$P327,2))</f>
        <v/>
      </c>
      <c r="R327" s="17">
        <f>IF($A327="","",ROUND($B327-$K327,2))</f>
        <v/>
      </c>
      <c r="S327" s="17">
        <f>IF($A327="","",IF($N327&lt;0,"ÇEKİL",IF($N327&lt;tyk_esikMarjDusuk,"ZAM","SAT")))</f>
        <v/>
      </c>
      <c r="T327" s="17">
        <f>IF($A327="","",$L327-$F327)</f>
        <v/>
      </c>
      <c r="U327" s="17">
        <f>IF($A327="","",$M327-$Q327)</f>
        <v/>
      </c>
      <c r="V327" s="17">
        <f>IF($A327="","",$R327-$M327)</f>
        <v/>
      </c>
    </row>
    <row r="328">
      <c r="A328" s="17">
        <f>IF('ANAHTAR'!$B328="","",'ANAHTAR'!$B328)</f>
        <v/>
      </c>
      <c r="B328" s="17">
        <f>IF($A328="","",IFERROR(SUMIF(tblAnahtarA[Norm],$A328,tblGirdi[ToplamSatis]),0))</f>
        <v/>
      </c>
      <c r="C328" s="17">
        <f>IF($A328="","",IFERROR(SUMIF(tblAnahtarA[Norm],$A328,tblGirdi[Maliyet])*IFERROR(SUMIF(tblAnahtarA[Norm],$A328,tblGirdi[Miktar]),1),0))</f>
        <v/>
      </c>
      <c r="D328" s="17">
        <f>IF($A328="","",IFERROR(SUMIF(tblAnahtarA[Norm],$A328,tblGirdi[Miktar]),0))</f>
        <v/>
      </c>
      <c r="E328" s="17">
        <f>IF($A328="","",IFERROR(SUMIF(tblAnahtarA[Norm],$A328,tblGirdi[KomisyonOran]),0))</f>
        <v/>
      </c>
      <c r="F328" s="17">
        <f>IF($A328="","",ROUND($B328*$E328,2))</f>
        <v/>
      </c>
      <c r="G328" s="17">
        <f>IF($A328="","",IFERROR(SUMIF(tblAnahtarB[NormB],$A328,tblHakedis[TyPlus]),0))</f>
        <v/>
      </c>
      <c r="H328" s="17">
        <f>IF($A328="","",IFERROR(SUMIF(tblAnahtarB[NormB],$A328,tblHakedis[FlasKesinti]),0))</f>
        <v/>
      </c>
      <c r="I328" s="17">
        <f>IF($A328="","",IFERROR(SUMIF(tblAnahtarB[NormB],$A328,tblHakedis[UrunReklam]),0))</f>
        <v/>
      </c>
      <c r="J328" s="17">
        <f>IF($A328="","",IFERROR(SUMIF(tblAnahtarB[NormB],$A328,tblHakedis[DesiKargo]),0))</f>
        <v/>
      </c>
      <c r="K328" s="17">
        <f>IF($A328="","",ROUND($F328+$G328+$H328+$I328+$J328,2))</f>
        <v/>
      </c>
      <c r="L328" s="17">
        <f>IF($A328="","",ROUND($B328-$C328,2))</f>
        <v/>
      </c>
      <c r="M328" s="17">
        <f>IF($A328="","",ROUND($B328-$C328-$K328,2))</f>
        <v/>
      </c>
      <c r="N328" s="17">
        <f>IF(OR($A328="",$B328=0),0,$M328/$B328)</f>
        <v/>
      </c>
      <c r="O328" s="17">
        <f>IF($A328="","",IF((1-$E328)&lt;=0,0,IF($D328=0,0,ROUND(($C328+$G328+$H328+$I328+$J328)/$D328/(1-$E328),2))))</f>
        <v/>
      </c>
      <c r="P328" s="17">
        <f>IF($A328="","",IFERROR(SUMIF(tblAnahtarA[Norm],$A328,tblGirdi[HedefNet]),0))</f>
        <v/>
      </c>
      <c r="Q328" s="17">
        <f>IF($A328="","",ROUND($M328-$P328,2))</f>
        <v/>
      </c>
      <c r="R328" s="17">
        <f>IF($A328="","",ROUND($B328-$K328,2))</f>
        <v/>
      </c>
      <c r="S328" s="17">
        <f>IF($A328="","",IF($N328&lt;0,"ÇEKİL",IF($N328&lt;tyk_esikMarjDusuk,"ZAM","SAT")))</f>
        <v/>
      </c>
      <c r="T328" s="17">
        <f>IF($A328="","",$L328-$F328)</f>
        <v/>
      </c>
      <c r="U328" s="17">
        <f>IF($A328="","",$M328-$Q328)</f>
        <v/>
      </c>
      <c r="V328" s="17">
        <f>IF($A328="","",$R328-$M328)</f>
        <v/>
      </c>
    </row>
    <row r="329">
      <c r="A329" s="17">
        <f>IF('ANAHTAR'!$B329="","",'ANAHTAR'!$B329)</f>
        <v/>
      </c>
      <c r="B329" s="17">
        <f>IF($A329="","",IFERROR(SUMIF(tblAnahtarA[Norm],$A329,tblGirdi[ToplamSatis]),0))</f>
        <v/>
      </c>
      <c r="C329" s="17">
        <f>IF($A329="","",IFERROR(SUMIF(tblAnahtarA[Norm],$A329,tblGirdi[Maliyet])*IFERROR(SUMIF(tblAnahtarA[Norm],$A329,tblGirdi[Miktar]),1),0))</f>
        <v/>
      </c>
      <c r="D329" s="17">
        <f>IF($A329="","",IFERROR(SUMIF(tblAnahtarA[Norm],$A329,tblGirdi[Miktar]),0))</f>
        <v/>
      </c>
      <c r="E329" s="17">
        <f>IF($A329="","",IFERROR(SUMIF(tblAnahtarA[Norm],$A329,tblGirdi[KomisyonOran]),0))</f>
        <v/>
      </c>
      <c r="F329" s="17">
        <f>IF($A329="","",ROUND($B329*$E329,2))</f>
        <v/>
      </c>
      <c r="G329" s="17">
        <f>IF($A329="","",IFERROR(SUMIF(tblAnahtarB[NormB],$A329,tblHakedis[TyPlus]),0))</f>
        <v/>
      </c>
      <c r="H329" s="17">
        <f>IF($A329="","",IFERROR(SUMIF(tblAnahtarB[NormB],$A329,tblHakedis[FlasKesinti]),0))</f>
        <v/>
      </c>
      <c r="I329" s="17">
        <f>IF($A329="","",IFERROR(SUMIF(tblAnahtarB[NormB],$A329,tblHakedis[UrunReklam]),0))</f>
        <v/>
      </c>
      <c r="J329" s="17">
        <f>IF($A329="","",IFERROR(SUMIF(tblAnahtarB[NormB],$A329,tblHakedis[DesiKargo]),0))</f>
        <v/>
      </c>
      <c r="K329" s="17">
        <f>IF($A329="","",ROUND($F329+$G329+$H329+$I329+$J329,2))</f>
        <v/>
      </c>
      <c r="L329" s="17">
        <f>IF($A329="","",ROUND($B329-$C329,2))</f>
        <v/>
      </c>
      <c r="M329" s="17">
        <f>IF($A329="","",ROUND($B329-$C329-$K329,2))</f>
        <v/>
      </c>
      <c r="N329" s="17">
        <f>IF(OR($A329="",$B329=0),0,$M329/$B329)</f>
        <v/>
      </c>
      <c r="O329" s="17">
        <f>IF($A329="","",IF((1-$E329)&lt;=0,0,IF($D329=0,0,ROUND(($C329+$G329+$H329+$I329+$J329)/$D329/(1-$E329),2))))</f>
        <v/>
      </c>
      <c r="P329" s="17">
        <f>IF($A329="","",IFERROR(SUMIF(tblAnahtarA[Norm],$A329,tblGirdi[HedefNet]),0))</f>
        <v/>
      </c>
      <c r="Q329" s="17">
        <f>IF($A329="","",ROUND($M329-$P329,2))</f>
        <v/>
      </c>
      <c r="R329" s="17">
        <f>IF($A329="","",ROUND($B329-$K329,2))</f>
        <v/>
      </c>
      <c r="S329" s="17">
        <f>IF($A329="","",IF($N329&lt;0,"ÇEKİL",IF($N329&lt;tyk_esikMarjDusuk,"ZAM","SAT")))</f>
        <v/>
      </c>
      <c r="T329" s="17">
        <f>IF($A329="","",$L329-$F329)</f>
        <v/>
      </c>
      <c r="U329" s="17">
        <f>IF($A329="","",$M329-$Q329)</f>
        <v/>
      </c>
      <c r="V329" s="17">
        <f>IF($A329="","",$R329-$M329)</f>
        <v/>
      </c>
    </row>
    <row r="330">
      <c r="A330" s="17">
        <f>IF('ANAHTAR'!$B330="","",'ANAHTAR'!$B330)</f>
        <v/>
      </c>
      <c r="B330" s="17">
        <f>IF($A330="","",IFERROR(SUMIF(tblAnahtarA[Norm],$A330,tblGirdi[ToplamSatis]),0))</f>
        <v/>
      </c>
      <c r="C330" s="17">
        <f>IF($A330="","",IFERROR(SUMIF(tblAnahtarA[Norm],$A330,tblGirdi[Maliyet])*IFERROR(SUMIF(tblAnahtarA[Norm],$A330,tblGirdi[Miktar]),1),0))</f>
        <v/>
      </c>
      <c r="D330" s="17">
        <f>IF($A330="","",IFERROR(SUMIF(tblAnahtarA[Norm],$A330,tblGirdi[Miktar]),0))</f>
        <v/>
      </c>
      <c r="E330" s="17">
        <f>IF($A330="","",IFERROR(SUMIF(tblAnahtarA[Norm],$A330,tblGirdi[KomisyonOran]),0))</f>
        <v/>
      </c>
      <c r="F330" s="17">
        <f>IF($A330="","",ROUND($B330*$E330,2))</f>
        <v/>
      </c>
      <c r="G330" s="17">
        <f>IF($A330="","",IFERROR(SUMIF(tblAnahtarB[NormB],$A330,tblHakedis[TyPlus]),0))</f>
        <v/>
      </c>
      <c r="H330" s="17">
        <f>IF($A330="","",IFERROR(SUMIF(tblAnahtarB[NormB],$A330,tblHakedis[FlasKesinti]),0))</f>
        <v/>
      </c>
      <c r="I330" s="17">
        <f>IF($A330="","",IFERROR(SUMIF(tblAnahtarB[NormB],$A330,tblHakedis[UrunReklam]),0))</f>
        <v/>
      </c>
      <c r="J330" s="17">
        <f>IF($A330="","",IFERROR(SUMIF(tblAnahtarB[NormB],$A330,tblHakedis[DesiKargo]),0))</f>
        <v/>
      </c>
      <c r="K330" s="17">
        <f>IF($A330="","",ROUND($F330+$G330+$H330+$I330+$J330,2))</f>
        <v/>
      </c>
      <c r="L330" s="17">
        <f>IF($A330="","",ROUND($B330-$C330,2))</f>
        <v/>
      </c>
      <c r="M330" s="17">
        <f>IF($A330="","",ROUND($B330-$C330-$K330,2))</f>
        <v/>
      </c>
      <c r="N330" s="17">
        <f>IF(OR($A330="",$B330=0),0,$M330/$B330)</f>
        <v/>
      </c>
      <c r="O330" s="17">
        <f>IF($A330="","",IF((1-$E330)&lt;=0,0,IF($D330=0,0,ROUND(($C330+$G330+$H330+$I330+$J330)/$D330/(1-$E330),2))))</f>
        <v/>
      </c>
      <c r="P330" s="17">
        <f>IF($A330="","",IFERROR(SUMIF(tblAnahtarA[Norm],$A330,tblGirdi[HedefNet]),0))</f>
        <v/>
      </c>
      <c r="Q330" s="17">
        <f>IF($A330="","",ROUND($M330-$P330,2))</f>
        <v/>
      </c>
      <c r="R330" s="17">
        <f>IF($A330="","",ROUND($B330-$K330,2))</f>
        <v/>
      </c>
      <c r="S330" s="17">
        <f>IF($A330="","",IF($N330&lt;0,"ÇEKİL",IF($N330&lt;tyk_esikMarjDusuk,"ZAM","SAT")))</f>
        <v/>
      </c>
      <c r="T330" s="17">
        <f>IF($A330="","",$L330-$F330)</f>
        <v/>
      </c>
      <c r="U330" s="17">
        <f>IF($A330="","",$M330-$Q330)</f>
        <v/>
      </c>
      <c r="V330" s="17">
        <f>IF($A330="","",$R330-$M330)</f>
        <v/>
      </c>
    </row>
    <row r="331">
      <c r="A331" s="17">
        <f>IF('ANAHTAR'!$B331="","",'ANAHTAR'!$B331)</f>
        <v/>
      </c>
      <c r="B331" s="17">
        <f>IF($A331="","",IFERROR(SUMIF(tblAnahtarA[Norm],$A331,tblGirdi[ToplamSatis]),0))</f>
        <v/>
      </c>
      <c r="C331" s="17">
        <f>IF($A331="","",IFERROR(SUMIF(tblAnahtarA[Norm],$A331,tblGirdi[Maliyet])*IFERROR(SUMIF(tblAnahtarA[Norm],$A331,tblGirdi[Miktar]),1),0))</f>
        <v/>
      </c>
      <c r="D331" s="17">
        <f>IF($A331="","",IFERROR(SUMIF(tblAnahtarA[Norm],$A331,tblGirdi[Miktar]),0))</f>
        <v/>
      </c>
      <c r="E331" s="17">
        <f>IF($A331="","",IFERROR(SUMIF(tblAnahtarA[Norm],$A331,tblGirdi[KomisyonOran]),0))</f>
        <v/>
      </c>
      <c r="F331" s="17">
        <f>IF($A331="","",ROUND($B331*$E331,2))</f>
        <v/>
      </c>
      <c r="G331" s="17">
        <f>IF($A331="","",IFERROR(SUMIF(tblAnahtarB[NormB],$A331,tblHakedis[TyPlus]),0))</f>
        <v/>
      </c>
      <c r="H331" s="17">
        <f>IF($A331="","",IFERROR(SUMIF(tblAnahtarB[NormB],$A331,tblHakedis[FlasKesinti]),0))</f>
        <v/>
      </c>
      <c r="I331" s="17">
        <f>IF($A331="","",IFERROR(SUMIF(tblAnahtarB[NormB],$A331,tblHakedis[UrunReklam]),0))</f>
        <v/>
      </c>
      <c r="J331" s="17">
        <f>IF($A331="","",IFERROR(SUMIF(tblAnahtarB[NormB],$A331,tblHakedis[DesiKargo]),0))</f>
        <v/>
      </c>
      <c r="K331" s="17">
        <f>IF($A331="","",ROUND($F331+$G331+$H331+$I331+$J331,2))</f>
        <v/>
      </c>
      <c r="L331" s="17">
        <f>IF($A331="","",ROUND($B331-$C331,2))</f>
        <v/>
      </c>
      <c r="M331" s="17">
        <f>IF($A331="","",ROUND($B331-$C331-$K331,2))</f>
        <v/>
      </c>
      <c r="N331" s="17">
        <f>IF(OR($A331="",$B331=0),0,$M331/$B331)</f>
        <v/>
      </c>
      <c r="O331" s="17">
        <f>IF($A331="","",IF((1-$E331)&lt;=0,0,IF($D331=0,0,ROUND(($C331+$G331+$H331+$I331+$J331)/$D331/(1-$E331),2))))</f>
        <v/>
      </c>
      <c r="P331" s="17">
        <f>IF($A331="","",IFERROR(SUMIF(tblAnahtarA[Norm],$A331,tblGirdi[HedefNet]),0))</f>
        <v/>
      </c>
      <c r="Q331" s="17">
        <f>IF($A331="","",ROUND($M331-$P331,2))</f>
        <v/>
      </c>
      <c r="R331" s="17">
        <f>IF($A331="","",ROUND($B331-$K331,2))</f>
        <v/>
      </c>
      <c r="S331" s="17">
        <f>IF($A331="","",IF($N331&lt;0,"ÇEKİL",IF($N331&lt;tyk_esikMarjDusuk,"ZAM","SAT")))</f>
        <v/>
      </c>
      <c r="T331" s="17">
        <f>IF($A331="","",$L331-$F331)</f>
        <v/>
      </c>
      <c r="U331" s="17">
        <f>IF($A331="","",$M331-$Q331)</f>
        <v/>
      </c>
      <c r="V331" s="17">
        <f>IF($A331="","",$R331-$M331)</f>
        <v/>
      </c>
    </row>
    <row r="332">
      <c r="A332" s="17">
        <f>IF('ANAHTAR'!$B332="","",'ANAHTAR'!$B332)</f>
        <v/>
      </c>
      <c r="B332" s="17">
        <f>IF($A332="","",IFERROR(SUMIF(tblAnahtarA[Norm],$A332,tblGirdi[ToplamSatis]),0))</f>
        <v/>
      </c>
      <c r="C332" s="17">
        <f>IF($A332="","",IFERROR(SUMIF(tblAnahtarA[Norm],$A332,tblGirdi[Maliyet])*IFERROR(SUMIF(tblAnahtarA[Norm],$A332,tblGirdi[Miktar]),1),0))</f>
        <v/>
      </c>
      <c r="D332" s="17">
        <f>IF($A332="","",IFERROR(SUMIF(tblAnahtarA[Norm],$A332,tblGirdi[Miktar]),0))</f>
        <v/>
      </c>
      <c r="E332" s="17">
        <f>IF($A332="","",IFERROR(SUMIF(tblAnahtarA[Norm],$A332,tblGirdi[KomisyonOran]),0))</f>
        <v/>
      </c>
      <c r="F332" s="17">
        <f>IF($A332="","",ROUND($B332*$E332,2))</f>
        <v/>
      </c>
      <c r="G332" s="17">
        <f>IF($A332="","",IFERROR(SUMIF(tblAnahtarB[NormB],$A332,tblHakedis[TyPlus]),0))</f>
        <v/>
      </c>
      <c r="H332" s="17">
        <f>IF($A332="","",IFERROR(SUMIF(tblAnahtarB[NormB],$A332,tblHakedis[FlasKesinti]),0))</f>
        <v/>
      </c>
      <c r="I332" s="17">
        <f>IF($A332="","",IFERROR(SUMIF(tblAnahtarB[NormB],$A332,tblHakedis[UrunReklam]),0))</f>
        <v/>
      </c>
      <c r="J332" s="17">
        <f>IF($A332="","",IFERROR(SUMIF(tblAnahtarB[NormB],$A332,tblHakedis[DesiKargo]),0))</f>
        <v/>
      </c>
      <c r="K332" s="17">
        <f>IF($A332="","",ROUND($F332+$G332+$H332+$I332+$J332,2))</f>
        <v/>
      </c>
      <c r="L332" s="17">
        <f>IF($A332="","",ROUND($B332-$C332,2))</f>
        <v/>
      </c>
      <c r="M332" s="17">
        <f>IF($A332="","",ROUND($B332-$C332-$K332,2))</f>
        <v/>
      </c>
      <c r="N332" s="17">
        <f>IF(OR($A332="",$B332=0),0,$M332/$B332)</f>
        <v/>
      </c>
      <c r="O332" s="17">
        <f>IF($A332="","",IF((1-$E332)&lt;=0,0,IF($D332=0,0,ROUND(($C332+$G332+$H332+$I332+$J332)/$D332/(1-$E332),2))))</f>
        <v/>
      </c>
      <c r="P332" s="17">
        <f>IF($A332="","",IFERROR(SUMIF(tblAnahtarA[Norm],$A332,tblGirdi[HedefNet]),0))</f>
        <v/>
      </c>
      <c r="Q332" s="17">
        <f>IF($A332="","",ROUND($M332-$P332,2))</f>
        <v/>
      </c>
      <c r="R332" s="17">
        <f>IF($A332="","",ROUND($B332-$K332,2))</f>
        <v/>
      </c>
      <c r="S332" s="17">
        <f>IF($A332="","",IF($N332&lt;0,"ÇEKİL",IF($N332&lt;tyk_esikMarjDusuk,"ZAM","SAT")))</f>
        <v/>
      </c>
      <c r="T332" s="17">
        <f>IF($A332="","",$L332-$F332)</f>
        <v/>
      </c>
      <c r="U332" s="17">
        <f>IF($A332="","",$M332-$Q332)</f>
        <v/>
      </c>
      <c r="V332" s="17">
        <f>IF($A332="","",$R332-$M332)</f>
        <v/>
      </c>
    </row>
    <row r="333">
      <c r="A333" s="17">
        <f>IF('ANAHTAR'!$B333="","",'ANAHTAR'!$B333)</f>
        <v/>
      </c>
      <c r="B333" s="17">
        <f>IF($A333="","",IFERROR(SUMIF(tblAnahtarA[Norm],$A333,tblGirdi[ToplamSatis]),0))</f>
        <v/>
      </c>
      <c r="C333" s="17">
        <f>IF($A333="","",IFERROR(SUMIF(tblAnahtarA[Norm],$A333,tblGirdi[Maliyet])*IFERROR(SUMIF(tblAnahtarA[Norm],$A333,tblGirdi[Miktar]),1),0))</f>
        <v/>
      </c>
      <c r="D333" s="17">
        <f>IF($A333="","",IFERROR(SUMIF(tblAnahtarA[Norm],$A333,tblGirdi[Miktar]),0))</f>
        <v/>
      </c>
      <c r="E333" s="17">
        <f>IF($A333="","",IFERROR(SUMIF(tblAnahtarA[Norm],$A333,tblGirdi[KomisyonOran]),0))</f>
        <v/>
      </c>
      <c r="F333" s="17">
        <f>IF($A333="","",ROUND($B333*$E333,2))</f>
        <v/>
      </c>
      <c r="G333" s="17">
        <f>IF($A333="","",IFERROR(SUMIF(tblAnahtarB[NormB],$A333,tblHakedis[TyPlus]),0))</f>
        <v/>
      </c>
      <c r="H333" s="17">
        <f>IF($A333="","",IFERROR(SUMIF(tblAnahtarB[NormB],$A333,tblHakedis[FlasKesinti]),0))</f>
        <v/>
      </c>
      <c r="I333" s="17">
        <f>IF($A333="","",IFERROR(SUMIF(tblAnahtarB[NormB],$A333,tblHakedis[UrunReklam]),0))</f>
        <v/>
      </c>
      <c r="J333" s="17">
        <f>IF($A333="","",IFERROR(SUMIF(tblAnahtarB[NormB],$A333,tblHakedis[DesiKargo]),0))</f>
        <v/>
      </c>
      <c r="K333" s="17">
        <f>IF($A333="","",ROUND($F333+$G333+$H333+$I333+$J333,2))</f>
        <v/>
      </c>
      <c r="L333" s="17">
        <f>IF($A333="","",ROUND($B333-$C333,2))</f>
        <v/>
      </c>
      <c r="M333" s="17">
        <f>IF($A333="","",ROUND($B333-$C333-$K333,2))</f>
        <v/>
      </c>
      <c r="N333" s="17">
        <f>IF(OR($A333="",$B333=0),0,$M333/$B333)</f>
        <v/>
      </c>
      <c r="O333" s="17">
        <f>IF($A333="","",IF((1-$E333)&lt;=0,0,IF($D333=0,0,ROUND(($C333+$G333+$H333+$I333+$J333)/$D333/(1-$E333),2))))</f>
        <v/>
      </c>
      <c r="P333" s="17">
        <f>IF($A333="","",IFERROR(SUMIF(tblAnahtarA[Norm],$A333,tblGirdi[HedefNet]),0))</f>
        <v/>
      </c>
      <c r="Q333" s="17">
        <f>IF($A333="","",ROUND($M333-$P333,2))</f>
        <v/>
      </c>
      <c r="R333" s="17">
        <f>IF($A333="","",ROUND($B333-$K333,2))</f>
        <v/>
      </c>
      <c r="S333" s="17">
        <f>IF($A333="","",IF($N333&lt;0,"ÇEKİL",IF($N333&lt;tyk_esikMarjDusuk,"ZAM","SAT")))</f>
        <v/>
      </c>
      <c r="T333" s="17">
        <f>IF($A333="","",$L333-$F333)</f>
        <v/>
      </c>
      <c r="U333" s="17">
        <f>IF($A333="","",$M333-$Q333)</f>
        <v/>
      </c>
      <c r="V333" s="17">
        <f>IF($A333="","",$R333-$M333)</f>
        <v/>
      </c>
    </row>
    <row r="334">
      <c r="A334" s="17">
        <f>IF('ANAHTAR'!$B334="","",'ANAHTAR'!$B334)</f>
        <v/>
      </c>
      <c r="B334" s="17">
        <f>IF($A334="","",IFERROR(SUMIF(tblAnahtarA[Norm],$A334,tblGirdi[ToplamSatis]),0))</f>
        <v/>
      </c>
      <c r="C334" s="17">
        <f>IF($A334="","",IFERROR(SUMIF(tblAnahtarA[Norm],$A334,tblGirdi[Maliyet])*IFERROR(SUMIF(tblAnahtarA[Norm],$A334,tblGirdi[Miktar]),1),0))</f>
        <v/>
      </c>
      <c r="D334" s="17">
        <f>IF($A334="","",IFERROR(SUMIF(tblAnahtarA[Norm],$A334,tblGirdi[Miktar]),0))</f>
        <v/>
      </c>
      <c r="E334" s="17">
        <f>IF($A334="","",IFERROR(SUMIF(tblAnahtarA[Norm],$A334,tblGirdi[KomisyonOran]),0))</f>
        <v/>
      </c>
      <c r="F334" s="17">
        <f>IF($A334="","",ROUND($B334*$E334,2))</f>
        <v/>
      </c>
      <c r="G334" s="17">
        <f>IF($A334="","",IFERROR(SUMIF(tblAnahtarB[NormB],$A334,tblHakedis[TyPlus]),0))</f>
        <v/>
      </c>
      <c r="H334" s="17">
        <f>IF($A334="","",IFERROR(SUMIF(tblAnahtarB[NormB],$A334,tblHakedis[FlasKesinti]),0))</f>
        <v/>
      </c>
      <c r="I334" s="17">
        <f>IF($A334="","",IFERROR(SUMIF(tblAnahtarB[NormB],$A334,tblHakedis[UrunReklam]),0))</f>
        <v/>
      </c>
      <c r="J334" s="17">
        <f>IF($A334="","",IFERROR(SUMIF(tblAnahtarB[NormB],$A334,tblHakedis[DesiKargo]),0))</f>
        <v/>
      </c>
      <c r="K334" s="17">
        <f>IF($A334="","",ROUND($F334+$G334+$H334+$I334+$J334,2))</f>
        <v/>
      </c>
      <c r="L334" s="17">
        <f>IF($A334="","",ROUND($B334-$C334,2))</f>
        <v/>
      </c>
      <c r="M334" s="17">
        <f>IF($A334="","",ROUND($B334-$C334-$K334,2))</f>
        <v/>
      </c>
      <c r="N334" s="17">
        <f>IF(OR($A334="",$B334=0),0,$M334/$B334)</f>
        <v/>
      </c>
      <c r="O334" s="17">
        <f>IF($A334="","",IF((1-$E334)&lt;=0,0,IF($D334=0,0,ROUND(($C334+$G334+$H334+$I334+$J334)/$D334/(1-$E334),2))))</f>
        <v/>
      </c>
      <c r="P334" s="17">
        <f>IF($A334="","",IFERROR(SUMIF(tblAnahtarA[Norm],$A334,tblGirdi[HedefNet]),0))</f>
        <v/>
      </c>
      <c r="Q334" s="17">
        <f>IF($A334="","",ROUND($M334-$P334,2))</f>
        <v/>
      </c>
      <c r="R334" s="17">
        <f>IF($A334="","",ROUND($B334-$K334,2))</f>
        <v/>
      </c>
      <c r="S334" s="17">
        <f>IF($A334="","",IF($N334&lt;0,"ÇEKİL",IF($N334&lt;tyk_esikMarjDusuk,"ZAM","SAT")))</f>
        <v/>
      </c>
      <c r="T334" s="17">
        <f>IF($A334="","",$L334-$F334)</f>
        <v/>
      </c>
      <c r="U334" s="17">
        <f>IF($A334="","",$M334-$Q334)</f>
        <v/>
      </c>
      <c r="V334" s="17">
        <f>IF($A334="","",$R334-$M334)</f>
        <v/>
      </c>
    </row>
    <row r="335">
      <c r="A335" s="17">
        <f>IF('ANAHTAR'!$B335="","",'ANAHTAR'!$B335)</f>
        <v/>
      </c>
      <c r="B335" s="17">
        <f>IF($A335="","",IFERROR(SUMIF(tblAnahtarA[Norm],$A335,tblGirdi[ToplamSatis]),0))</f>
        <v/>
      </c>
      <c r="C335" s="17">
        <f>IF($A335="","",IFERROR(SUMIF(tblAnahtarA[Norm],$A335,tblGirdi[Maliyet])*IFERROR(SUMIF(tblAnahtarA[Norm],$A335,tblGirdi[Miktar]),1),0))</f>
        <v/>
      </c>
      <c r="D335" s="17">
        <f>IF($A335="","",IFERROR(SUMIF(tblAnahtarA[Norm],$A335,tblGirdi[Miktar]),0))</f>
        <v/>
      </c>
      <c r="E335" s="17">
        <f>IF($A335="","",IFERROR(SUMIF(tblAnahtarA[Norm],$A335,tblGirdi[KomisyonOran]),0))</f>
        <v/>
      </c>
      <c r="F335" s="17">
        <f>IF($A335="","",ROUND($B335*$E335,2))</f>
        <v/>
      </c>
      <c r="G335" s="17">
        <f>IF($A335="","",IFERROR(SUMIF(tblAnahtarB[NormB],$A335,tblHakedis[TyPlus]),0))</f>
        <v/>
      </c>
      <c r="H335" s="17">
        <f>IF($A335="","",IFERROR(SUMIF(tblAnahtarB[NormB],$A335,tblHakedis[FlasKesinti]),0))</f>
        <v/>
      </c>
      <c r="I335" s="17">
        <f>IF($A335="","",IFERROR(SUMIF(tblAnahtarB[NormB],$A335,tblHakedis[UrunReklam]),0))</f>
        <v/>
      </c>
      <c r="J335" s="17">
        <f>IF($A335="","",IFERROR(SUMIF(tblAnahtarB[NormB],$A335,tblHakedis[DesiKargo]),0))</f>
        <v/>
      </c>
      <c r="K335" s="17">
        <f>IF($A335="","",ROUND($F335+$G335+$H335+$I335+$J335,2))</f>
        <v/>
      </c>
      <c r="L335" s="17">
        <f>IF($A335="","",ROUND($B335-$C335,2))</f>
        <v/>
      </c>
      <c r="M335" s="17">
        <f>IF($A335="","",ROUND($B335-$C335-$K335,2))</f>
        <v/>
      </c>
      <c r="N335" s="17">
        <f>IF(OR($A335="",$B335=0),0,$M335/$B335)</f>
        <v/>
      </c>
      <c r="O335" s="17">
        <f>IF($A335="","",IF((1-$E335)&lt;=0,0,IF($D335=0,0,ROUND(($C335+$G335+$H335+$I335+$J335)/$D335/(1-$E335),2))))</f>
        <v/>
      </c>
      <c r="P335" s="17">
        <f>IF($A335="","",IFERROR(SUMIF(tblAnahtarA[Norm],$A335,tblGirdi[HedefNet]),0))</f>
        <v/>
      </c>
      <c r="Q335" s="17">
        <f>IF($A335="","",ROUND($M335-$P335,2))</f>
        <v/>
      </c>
      <c r="R335" s="17">
        <f>IF($A335="","",ROUND($B335-$K335,2))</f>
        <v/>
      </c>
      <c r="S335" s="17">
        <f>IF($A335="","",IF($N335&lt;0,"ÇEKİL",IF($N335&lt;tyk_esikMarjDusuk,"ZAM","SAT")))</f>
        <v/>
      </c>
      <c r="T335" s="17">
        <f>IF($A335="","",$L335-$F335)</f>
        <v/>
      </c>
      <c r="U335" s="17">
        <f>IF($A335="","",$M335-$Q335)</f>
        <v/>
      </c>
      <c r="V335" s="17">
        <f>IF($A335="","",$R335-$M335)</f>
        <v/>
      </c>
    </row>
    <row r="336">
      <c r="A336" s="17">
        <f>IF('ANAHTAR'!$B336="","",'ANAHTAR'!$B336)</f>
        <v/>
      </c>
      <c r="B336" s="17">
        <f>IF($A336="","",IFERROR(SUMIF(tblAnahtarA[Norm],$A336,tblGirdi[ToplamSatis]),0))</f>
        <v/>
      </c>
      <c r="C336" s="17">
        <f>IF($A336="","",IFERROR(SUMIF(tblAnahtarA[Norm],$A336,tblGirdi[Maliyet])*IFERROR(SUMIF(tblAnahtarA[Norm],$A336,tblGirdi[Miktar]),1),0))</f>
        <v/>
      </c>
      <c r="D336" s="17">
        <f>IF($A336="","",IFERROR(SUMIF(tblAnahtarA[Norm],$A336,tblGirdi[Miktar]),0))</f>
        <v/>
      </c>
      <c r="E336" s="17">
        <f>IF($A336="","",IFERROR(SUMIF(tblAnahtarA[Norm],$A336,tblGirdi[KomisyonOran]),0))</f>
        <v/>
      </c>
      <c r="F336" s="17">
        <f>IF($A336="","",ROUND($B336*$E336,2))</f>
        <v/>
      </c>
      <c r="G336" s="17">
        <f>IF($A336="","",IFERROR(SUMIF(tblAnahtarB[NormB],$A336,tblHakedis[TyPlus]),0))</f>
        <v/>
      </c>
      <c r="H336" s="17">
        <f>IF($A336="","",IFERROR(SUMIF(tblAnahtarB[NormB],$A336,tblHakedis[FlasKesinti]),0))</f>
        <v/>
      </c>
      <c r="I336" s="17">
        <f>IF($A336="","",IFERROR(SUMIF(tblAnahtarB[NormB],$A336,tblHakedis[UrunReklam]),0))</f>
        <v/>
      </c>
      <c r="J336" s="17">
        <f>IF($A336="","",IFERROR(SUMIF(tblAnahtarB[NormB],$A336,tblHakedis[DesiKargo]),0))</f>
        <v/>
      </c>
      <c r="K336" s="17">
        <f>IF($A336="","",ROUND($F336+$G336+$H336+$I336+$J336,2))</f>
        <v/>
      </c>
      <c r="L336" s="17">
        <f>IF($A336="","",ROUND($B336-$C336,2))</f>
        <v/>
      </c>
      <c r="M336" s="17">
        <f>IF($A336="","",ROUND($B336-$C336-$K336,2))</f>
        <v/>
      </c>
      <c r="N336" s="17">
        <f>IF(OR($A336="",$B336=0),0,$M336/$B336)</f>
        <v/>
      </c>
      <c r="O336" s="17">
        <f>IF($A336="","",IF((1-$E336)&lt;=0,0,IF($D336=0,0,ROUND(($C336+$G336+$H336+$I336+$J336)/$D336/(1-$E336),2))))</f>
        <v/>
      </c>
      <c r="P336" s="17">
        <f>IF($A336="","",IFERROR(SUMIF(tblAnahtarA[Norm],$A336,tblGirdi[HedefNet]),0))</f>
        <v/>
      </c>
      <c r="Q336" s="17">
        <f>IF($A336="","",ROUND($M336-$P336,2))</f>
        <v/>
      </c>
      <c r="R336" s="17">
        <f>IF($A336="","",ROUND($B336-$K336,2))</f>
        <v/>
      </c>
      <c r="S336" s="17">
        <f>IF($A336="","",IF($N336&lt;0,"ÇEKİL",IF($N336&lt;tyk_esikMarjDusuk,"ZAM","SAT")))</f>
        <v/>
      </c>
      <c r="T336" s="17">
        <f>IF($A336="","",$L336-$F336)</f>
        <v/>
      </c>
      <c r="U336" s="17">
        <f>IF($A336="","",$M336-$Q336)</f>
        <v/>
      </c>
      <c r="V336" s="17">
        <f>IF($A336="","",$R336-$M336)</f>
        <v/>
      </c>
    </row>
    <row r="337">
      <c r="A337" s="17">
        <f>IF('ANAHTAR'!$B337="","",'ANAHTAR'!$B337)</f>
        <v/>
      </c>
      <c r="B337" s="17">
        <f>IF($A337="","",IFERROR(SUMIF(tblAnahtarA[Norm],$A337,tblGirdi[ToplamSatis]),0))</f>
        <v/>
      </c>
      <c r="C337" s="17">
        <f>IF($A337="","",IFERROR(SUMIF(tblAnahtarA[Norm],$A337,tblGirdi[Maliyet])*IFERROR(SUMIF(tblAnahtarA[Norm],$A337,tblGirdi[Miktar]),1),0))</f>
        <v/>
      </c>
      <c r="D337" s="17">
        <f>IF($A337="","",IFERROR(SUMIF(tblAnahtarA[Norm],$A337,tblGirdi[Miktar]),0))</f>
        <v/>
      </c>
      <c r="E337" s="17">
        <f>IF($A337="","",IFERROR(SUMIF(tblAnahtarA[Norm],$A337,tblGirdi[KomisyonOran]),0))</f>
        <v/>
      </c>
      <c r="F337" s="17">
        <f>IF($A337="","",ROUND($B337*$E337,2))</f>
        <v/>
      </c>
      <c r="G337" s="17">
        <f>IF($A337="","",IFERROR(SUMIF(tblAnahtarB[NormB],$A337,tblHakedis[TyPlus]),0))</f>
        <v/>
      </c>
      <c r="H337" s="17">
        <f>IF($A337="","",IFERROR(SUMIF(tblAnahtarB[NormB],$A337,tblHakedis[FlasKesinti]),0))</f>
        <v/>
      </c>
      <c r="I337" s="17">
        <f>IF($A337="","",IFERROR(SUMIF(tblAnahtarB[NormB],$A337,tblHakedis[UrunReklam]),0))</f>
        <v/>
      </c>
      <c r="J337" s="17">
        <f>IF($A337="","",IFERROR(SUMIF(tblAnahtarB[NormB],$A337,tblHakedis[DesiKargo]),0))</f>
        <v/>
      </c>
      <c r="K337" s="17">
        <f>IF($A337="","",ROUND($F337+$G337+$H337+$I337+$J337,2))</f>
        <v/>
      </c>
      <c r="L337" s="17">
        <f>IF($A337="","",ROUND($B337-$C337,2))</f>
        <v/>
      </c>
      <c r="M337" s="17">
        <f>IF($A337="","",ROUND($B337-$C337-$K337,2))</f>
        <v/>
      </c>
      <c r="N337" s="17">
        <f>IF(OR($A337="",$B337=0),0,$M337/$B337)</f>
        <v/>
      </c>
      <c r="O337" s="17">
        <f>IF($A337="","",IF((1-$E337)&lt;=0,0,IF($D337=0,0,ROUND(($C337+$G337+$H337+$I337+$J337)/$D337/(1-$E337),2))))</f>
        <v/>
      </c>
      <c r="P337" s="17">
        <f>IF($A337="","",IFERROR(SUMIF(tblAnahtarA[Norm],$A337,tblGirdi[HedefNet]),0))</f>
        <v/>
      </c>
      <c r="Q337" s="17">
        <f>IF($A337="","",ROUND($M337-$P337,2))</f>
        <v/>
      </c>
      <c r="R337" s="17">
        <f>IF($A337="","",ROUND($B337-$K337,2))</f>
        <v/>
      </c>
      <c r="S337" s="17">
        <f>IF($A337="","",IF($N337&lt;0,"ÇEKİL",IF($N337&lt;tyk_esikMarjDusuk,"ZAM","SAT")))</f>
        <v/>
      </c>
      <c r="T337" s="17">
        <f>IF($A337="","",$L337-$F337)</f>
        <v/>
      </c>
      <c r="U337" s="17">
        <f>IF($A337="","",$M337-$Q337)</f>
        <v/>
      </c>
      <c r="V337" s="17">
        <f>IF($A337="","",$R337-$M337)</f>
        <v/>
      </c>
    </row>
    <row r="338">
      <c r="A338" s="17">
        <f>IF('ANAHTAR'!$B338="","",'ANAHTAR'!$B338)</f>
        <v/>
      </c>
      <c r="B338" s="17">
        <f>IF($A338="","",IFERROR(SUMIF(tblAnahtarA[Norm],$A338,tblGirdi[ToplamSatis]),0))</f>
        <v/>
      </c>
      <c r="C338" s="17">
        <f>IF($A338="","",IFERROR(SUMIF(tblAnahtarA[Norm],$A338,tblGirdi[Maliyet])*IFERROR(SUMIF(tblAnahtarA[Norm],$A338,tblGirdi[Miktar]),1),0))</f>
        <v/>
      </c>
      <c r="D338" s="17">
        <f>IF($A338="","",IFERROR(SUMIF(tblAnahtarA[Norm],$A338,tblGirdi[Miktar]),0))</f>
        <v/>
      </c>
      <c r="E338" s="17">
        <f>IF($A338="","",IFERROR(SUMIF(tblAnahtarA[Norm],$A338,tblGirdi[KomisyonOran]),0))</f>
        <v/>
      </c>
      <c r="F338" s="17">
        <f>IF($A338="","",ROUND($B338*$E338,2))</f>
        <v/>
      </c>
      <c r="G338" s="17">
        <f>IF($A338="","",IFERROR(SUMIF(tblAnahtarB[NormB],$A338,tblHakedis[TyPlus]),0))</f>
        <v/>
      </c>
      <c r="H338" s="17">
        <f>IF($A338="","",IFERROR(SUMIF(tblAnahtarB[NormB],$A338,tblHakedis[FlasKesinti]),0))</f>
        <v/>
      </c>
      <c r="I338" s="17">
        <f>IF($A338="","",IFERROR(SUMIF(tblAnahtarB[NormB],$A338,tblHakedis[UrunReklam]),0))</f>
        <v/>
      </c>
      <c r="J338" s="17">
        <f>IF($A338="","",IFERROR(SUMIF(tblAnahtarB[NormB],$A338,tblHakedis[DesiKargo]),0))</f>
        <v/>
      </c>
      <c r="K338" s="17">
        <f>IF($A338="","",ROUND($F338+$G338+$H338+$I338+$J338,2))</f>
        <v/>
      </c>
      <c r="L338" s="17">
        <f>IF($A338="","",ROUND($B338-$C338,2))</f>
        <v/>
      </c>
      <c r="M338" s="17">
        <f>IF($A338="","",ROUND($B338-$C338-$K338,2))</f>
        <v/>
      </c>
      <c r="N338" s="17">
        <f>IF(OR($A338="",$B338=0),0,$M338/$B338)</f>
        <v/>
      </c>
      <c r="O338" s="17">
        <f>IF($A338="","",IF((1-$E338)&lt;=0,0,IF($D338=0,0,ROUND(($C338+$G338+$H338+$I338+$J338)/$D338/(1-$E338),2))))</f>
        <v/>
      </c>
      <c r="P338" s="17">
        <f>IF($A338="","",IFERROR(SUMIF(tblAnahtarA[Norm],$A338,tblGirdi[HedefNet]),0))</f>
        <v/>
      </c>
      <c r="Q338" s="17">
        <f>IF($A338="","",ROUND($M338-$P338,2))</f>
        <v/>
      </c>
      <c r="R338" s="17">
        <f>IF($A338="","",ROUND($B338-$K338,2))</f>
        <v/>
      </c>
      <c r="S338" s="17">
        <f>IF($A338="","",IF($N338&lt;0,"ÇEKİL",IF($N338&lt;tyk_esikMarjDusuk,"ZAM","SAT")))</f>
        <v/>
      </c>
      <c r="T338" s="17">
        <f>IF($A338="","",$L338-$F338)</f>
        <v/>
      </c>
      <c r="U338" s="17">
        <f>IF($A338="","",$M338-$Q338)</f>
        <v/>
      </c>
      <c r="V338" s="17">
        <f>IF($A338="","",$R338-$M338)</f>
        <v/>
      </c>
    </row>
    <row r="339">
      <c r="A339" s="17">
        <f>IF('ANAHTAR'!$B339="","",'ANAHTAR'!$B339)</f>
        <v/>
      </c>
      <c r="B339" s="17">
        <f>IF($A339="","",IFERROR(SUMIF(tblAnahtarA[Norm],$A339,tblGirdi[ToplamSatis]),0))</f>
        <v/>
      </c>
      <c r="C339" s="17">
        <f>IF($A339="","",IFERROR(SUMIF(tblAnahtarA[Norm],$A339,tblGirdi[Maliyet])*IFERROR(SUMIF(tblAnahtarA[Norm],$A339,tblGirdi[Miktar]),1),0))</f>
        <v/>
      </c>
      <c r="D339" s="17">
        <f>IF($A339="","",IFERROR(SUMIF(tblAnahtarA[Norm],$A339,tblGirdi[Miktar]),0))</f>
        <v/>
      </c>
      <c r="E339" s="17">
        <f>IF($A339="","",IFERROR(SUMIF(tblAnahtarA[Norm],$A339,tblGirdi[KomisyonOran]),0))</f>
        <v/>
      </c>
      <c r="F339" s="17">
        <f>IF($A339="","",ROUND($B339*$E339,2))</f>
        <v/>
      </c>
      <c r="G339" s="17">
        <f>IF($A339="","",IFERROR(SUMIF(tblAnahtarB[NormB],$A339,tblHakedis[TyPlus]),0))</f>
        <v/>
      </c>
      <c r="H339" s="17">
        <f>IF($A339="","",IFERROR(SUMIF(tblAnahtarB[NormB],$A339,tblHakedis[FlasKesinti]),0))</f>
        <v/>
      </c>
      <c r="I339" s="17">
        <f>IF($A339="","",IFERROR(SUMIF(tblAnahtarB[NormB],$A339,tblHakedis[UrunReklam]),0))</f>
        <v/>
      </c>
      <c r="J339" s="17">
        <f>IF($A339="","",IFERROR(SUMIF(tblAnahtarB[NormB],$A339,tblHakedis[DesiKargo]),0))</f>
        <v/>
      </c>
      <c r="K339" s="17">
        <f>IF($A339="","",ROUND($F339+$G339+$H339+$I339+$J339,2))</f>
        <v/>
      </c>
      <c r="L339" s="17">
        <f>IF($A339="","",ROUND($B339-$C339,2))</f>
        <v/>
      </c>
      <c r="M339" s="17">
        <f>IF($A339="","",ROUND($B339-$C339-$K339,2))</f>
        <v/>
      </c>
      <c r="N339" s="17">
        <f>IF(OR($A339="",$B339=0),0,$M339/$B339)</f>
        <v/>
      </c>
      <c r="O339" s="17">
        <f>IF($A339="","",IF((1-$E339)&lt;=0,0,IF($D339=0,0,ROUND(($C339+$G339+$H339+$I339+$J339)/$D339/(1-$E339),2))))</f>
        <v/>
      </c>
      <c r="P339" s="17">
        <f>IF($A339="","",IFERROR(SUMIF(tblAnahtarA[Norm],$A339,tblGirdi[HedefNet]),0))</f>
        <v/>
      </c>
      <c r="Q339" s="17">
        <f>IF($A339="","",ROUND($M339-$P339,2))</f>
        <v/>
      </c>
      <c r="R339" s="17">
        <f>IF($A339="","",ROUND($B339-$K339,2))</f>
        <v/>
      </c>
      <c r="S339" s="17">
        <f>IF($A339="","",IF($N339&lt;0,"ÇEKİL",IF($N339&lt;tyk_esikMarjDusuk,"ZAM","SAT")))</f>
        <v/>
      </c>
      <c r="T339" s="17">
        <f>IF($A339="","",$L339-$F339)</f>
        <v/>
      </c>
      <c r="U339" s="17">
        <f>IF($A339="","",$M339-$Q339)</f>
        <v/>
      </c>
      <c r="V339" s="17">
        <f>IF($A339="","",$R339-$M339)</f>
        <v/>
      </c>
    </row>
    <row r="340">
      <c r="A340" s="17">
        <f>IF('ANAHTAR'!$B340="","",'ANAHTAR'!$B340)</f>
        <v/>
      </c>
      <c r="B340" s="17">
        <f>IF($A340="","",IFERROR(SUMIF(tblAnahtarA[Norm],$A340,tblGirdi[ToplamSatis]),0))</f>
        <v/>
      </c>
      <c r="C340" s="17">
        <f>IF($A340="","",IFERROR(SUMIF(tblAnahtarA[Norm],$A340,tblGirdi[Maliyet])*IFERROR(SUMIF(tblAnahtarA[Norm],$A340,tblGirdi[Miktar]),1),0))</f>
        <v/>
      </c>
      <c r="D340" s="17">
        <f>IF($A340="","",IFERROR(SUMIF(tblAnahtarA[Norm],$A340,tblGirdi[Miktar]),0))</f>
        <v/>
      </c>
      <c r="E340" s="17">
        <f>IF($A340="","",IFERROR(SUMIF(tblAnahtarA[Norm],$A340,tblGirdi[KomisyonOran]),0))</f>
        <v/>
      </c>
      <c r="F340" s="17">
        <f>IF($A340="","",ROUND($B340*$E340,2))</f>
        <v/>
      </c>
      <c r="G340" s="17">
        <f>IF($A340="","",IFERROR(SUMIF(tblAnahtarB[NormB],$A340,tblHakedis[TyPlus]),0))</f>
        <v/>
      </c>
      <c r="H340" s="17">
        <f>IF($A340="","",IFERROR(SUMIF(tblAnahtarB[NormB],$A340,tblHakedis[FlasKesinti]),0))</f>
        <v/>
      </c>
      <c r="I340" s="17">
        <f>IF($A340="","",IFERROR(SUMIF(tblAnahtarB[NormB],$A340,tblHakedis[UrunReklam]),0))</f>
        <v/>
      </c>
      <c r="J340" s="17">
        <f>IF($A340="","",IFERROR(SUMIF(tblAnahtarB[NormB],$A340,tblHakedis[DesiKargo]),0))</f>
        <v/>
      </c>
      <c r="K340" s="17">
        <f>IF($A340="","",ROUND($F340+$G340+$H340+$I340+$J340,2))</f>
        <v/>
      </c>
      <c r="L340" s="17">
        <f>IF($A340="","",ROUND($B340-$C340,2))</f>
        <v/>
      </c>
      <c r="M340" s="17">
        <f>IF($A340="","",ROUND($B340-$C340-$K340,2))</f>
        <v/>
      </c>
      <c r="N340" s="17">
        <f>IF(OR($A340="",$B340=0),0,$M340/$B340)</f>
        <v/>
      </c>
      <c r="O340" s="17">
        <f>IF($A340="","",IF((1-$E340)&lt;=0,0,IF($D340=0,0,ROUND(($C340+$G340+$H340+$I340+$J340)/$D340/(1-$E340),2))))</f>
        <v/>
      </c>
      <c r="P340" s="17">
        <f>IF($A340="","",IFERROR(SUMIF(tblAnahtarA[Norm],$A340,tblGirdi[HedefNet]),0))</f>
        <v/>
      </c>
      <c r="Q340" s="17">
        <f>IF($A340="","",ROUND($M340-$P340,2))</f>
        <v/>
      </c>
      <c r="R340" s="17">
        <f>IF($A340="","",ROUND($B340-$K340,2))</f>
        <v/>
      </c>
      <c r="S340" s="17">
        <f>IF($A340="","",IF($N340&lt;0,"ÇEKİL",IF($N340&lt;tyk_esikMarjDusuk,"ZAM","SAT")))</f>
        <v/>
      </c>
      <c r="T340" s="17">
        <f>IF($A340="","",$L340-$F340)</f>
        <v/>
      </c>
      <c r="U340" s="17">
        <f>IF($A340="","",$M340-$Q340)</f>
        <v/>
      </c>
      <c r="V340" s="17">
        <f>IF($A340="","",$R340-$M340)</f>
        <v/>
      </c>
    </row>
    <row r="341">
      <c r="A341" s="17">
        <f>IF('ANAHTAR'!$B341="","",'ANAHTAR'!$B341)</f>
        <v/>
      </c>
      <c r="B341" s="17">
        <f>IF($A341="","",IFERROR(SUMIF(tblAnahtarA[Norm],$A341,tblGirdi[ToplamSatis]),0))</f>
        <v/>
      </c>
      <c r="C341" s="17">
        <f>IF($A341="","",IFERROR(SUMIF(tblAnahtarA[Norm],$A341,tblGirdi[Maliyet])*IFERROR(SUMIF(tblAnahtarA[Norm],$A341,tblGirdi[Miktar]),1),0))</f>
        <v/>
      </c>
      <c r="D341" s="17">
        <f>IF($A341="","",IFERROR(SUMIF(tblAnahtarA[Norm],$A341,tblGirdi[Miktar]),0))</f>
        <v/>
      </c>
      <c r="E341" s="17">
        <f>IF($A341="","",IFERROR(SUMIF(tblAnahtarA[Norm],$A341,tblGirdi[KomisyonOran]),0))</f>
        <v/>
      </c>
      <c r="F341" s="17">
        <f>IF($A341="","",ROUND($B341*$E341,2))</f>
        <v/>
      </c>
      <c r="G341" s="17">
        <f>IF($A341="","",IFERROR(SUMIF(tblAnahtarB[NormB],$A341,tblHakedis[TyPlus]),0))</f>
        <v/>
      </c>
      <c r="H341" s="17">
        <f>IF($A341="","",IFERROR(SUMIF(tblAnahtarB[NormB],$A341,tblHakedis[FlasKesinti]),0))</f>
        <v/>
      </c>
      <c r="I341" s="17">
        <f>IF($A341="","",IFERROR(SUMIF(tblAnahtarB[NormB],$A341,tblHakedis[UrunReklam]),0))</f>
        <v/>
      </c>
      <c r="J341" s="17">
        <f>IF($A341="","",IFERROR(SUMIF(tblAnahtarB[NormB],$A341,tblHakedis[DesiKargo]),0))</f>
        <v/>
      </c>
      <c r="K341" s="17">
        <f>IF($A341="","",ROUND($F341+$G341+$H341+$I341+$J341,2))</f>
        <v/>
      </c>
      <c r="L341" s="17">
        <f>IF($A341="","",ROUND($B341-$C341,2))</f>
        <v/>
      </c>
      <c r="M341" s="17">
        <f>IF($A341="","",ROUND($B341-$C341-$K341,2))</f>
        <v/>
      </c>
      <c r="N341" s="17">
        <f>IF(OR($A341="",$B341=0),0,$M341/$B341)</f>
        <v/>
      </c>
      <c r="O341" s="17">
        <f>IF($A341="","",IF((1-$E341)&lt;=0,0,IF($D341=0,0,ROUND(($C341+$G341+$H341+$I341+$J341)/$D341/(1-$E341),2))))</f>
        <v/>
      </c>
      <c r="P341" s="17">
        <f>IF($A341="","",IFERROR(SUMIF(tblAnahtarA[Norm],$A341,tblGirdi[HedefNet]),0))</f>
        <v/>
      </c>
      <c r="Q341" s="17">
        <f>IF($A341="","",ROUND($M341-$P341,2))</f>
        <v/>
      </c>
      <c r="R341" s="17">
        <f>IF($A341="","",ROUND($B341-$K341,2))</f>
        <v/>
      </c>
      <c r="S341" s="17">
        <f>IF($A341="","",IF($N341&lt;0,"ÇEKİL",IF($N341&lt;tyk_esikMarjDusuk,"ZAM","SAT")))</f>
        <v/>
      </c>
      <c r="T341" s="17">
        <f>IF($A341="","",$L341-$F341)</f>
        <v/>
      </c>
      <c r="U341" s="17">
        <f>IF($A341="","",$M341-$Q341)</f>
        <v/>
      </c>
      <c r="V341" s="17">
        <f>IF($A341="","",$R341-$M341)</f>
        <v/>
      </c>
    </row>
    <row r="342">
      <c r="A342" s="17">
        <f>IF('ANAHTAR'!$B342="","",'ANAHTAR'!$B342)</f>
        <v/>
      </c>
      <c r="B342" s="17">
        <f>IF($A342="","",IFERROR(SUMIF(tblAnahtarA[Norm],$A342,tblGirdi[ToplamSatis]),0))</f>
        <v/>
      </c>
      <c r="C342" s="17">
        <f>IF($A342="","",IFERROR(SUMIF(tblAnahtarA[Norm],$A342,tblGirdi[Maliyet])*IFERROR(SUMIF(tblAnahtarA[Norm],$A342,tblGirdi[Miktar]),1),0))</f>
        <v/>
      </c>
      <c r="D342" s="17">
        <f>IF($A342="","",IFERROR(SUMIF(tblAnahtarA[Norm],$A342,tblGirdi[Miktar]),0))</f>
        <v/>
      </c>
      <c r="E342" s="17">
        <f>IF($A342="","",IFERROR(SUMIF(tblAnahtarA[Norm],$A342,tblGirdi[KomisyonOran]),0))</f>
        <v/>
      </c>
      <c r="F342" s="17">
        <f>IF($A342="","",ROUND($B342*$E342,2))</f>
        <v/>
      </c>
      <c r="G342" s="17">
        <f>IF($A342="","",IFERROR(SUMIF(tblAnahtarB[NormB],$A342,tblHakedis[TyPlus]),0))</f>
        <v/>
      </c>
      <c r="H342" s="17">
        <f>IF($A342="","",IFERROR(SUMIF(tblAnahtarB[NormB],$A342,tblHakedis[FlasKesinti]),0))</f>
        <v/>
      </c>
      <c r="I342" s="17">
        <f>IF($A342="","",IFERROR(SUMIF(tblAnahtarB[NormB],$A342,tblHakedis[UrunReklam]),0))</f>
        <v/>
      </c>
      <c r="J342" s="17">
        <f>IF($A342="","",IFERROR(SUMIF(tblAnahtarB[NormB],$A342,tblHakedis[DesiKargo]),0))</f>
        <v/>
      </c>
      <c r="K342" s="17">
        <f>IF($A342="","",ROUND($F342+$G342+$H342+$I342+$J342,2))</f>
        <v/>
      </c>
      <c r="L342" s="17">
        <f>IF($A342="","",ROUND($B342-$C342,2))</f>
        <v/>
      </c>
      <c r="M342" s="17">
        <f>IF($A342="","",ROUND($B342-$C342-$K342,2))</f>
        <v/>
      </c>
      <c r="N342" s="17">
        <f>IF(OR($A342="",$B342=0),0,$M342/$B342)</f>
        <v/>
      </c>
      <c r="O342" s="17">
        <f>IF($A342="","",IF((1-$E342)&lt;=0,0,IF($D342=0,0,ROUND(($C342+$G342+$H342+$I342+$J342)/$D342/(1-$E342),2))))</f>
        <v/>
      </c>
      <c r="P342" s="17">
        <f>IF($A342="","",IFERROR(SUMIF(tblAnahtarA[Norm],$A342,tblGirdi[HedefNet]),0))</f>
        <v/>
      </c>
      <c r="Q342" s="17">
        <f>IF($A342="","",ROUND($M342-$P342,2))</f>
        <v/>
      </c>
      <c r="R342" s="17">
        <f>IF($A342="","",ROUND($B342-$K342,2))</f>
        <v/>
      </c>
      <c r="S342" s="17">
        <f>IF($A342="","",IF($N342&lt;0,"ÇEKİL",IF($N342&lt;tyk_esikMarjDusuk,"ZAM","SAT")))</f>
        <v/>
      </c>
      <c r="T342" s="17">
        <f>IF($A342="","",$L342-$F342)</f>
        <v/>
      </c>
      <c r="U342" s="17">
        <f>IF($A342="","",$M342-$Q342)</f>
        <v/>
      </c>
      <c r="V342" s="17">
        <f>IF($A342="","",$R342-$M342)</f>
        <v/>
      </c>
    </row>
    <row r="343">
      <c r="A343" s="17">
        <f>IF('ANAHTAR'!$B343="","",'ANAHTAR'!$B343)</f>
        <v/>
      </c>
      <c r="B343" s="17">
        <f>IF($A343="","",IFERROR(SUMIF(tblAnahtarA[Norm],$A343,tblGirdi[ToplamSatis]),0))</f>
        <v/>
      </c>
      <c r="C343" s="17">
        <f>IF($A343="","",IFERROR(SUMIF(tblAnahtarA[Norm],$A343,tblGirdi[Maliyet])*IFERROR(SUMIF(tblAnahtarA[Norm],$A343,tblGirdi[Miktar]),1),0))</f>
        <v/>
      </c>
      <c r="D343" s="17">
        <f>IF($A343="","",IFERROR(SUMIF(tblAnahtarA[Norm],$A343,tblGirdi[Miktar]),0))</f>
        <v/>
      </c>
      <c r="E343" s="17">
        <f>IF($A343="","",IFERROR(SUMIF(tblAnahtarA[Norm],$A343,tblGirdi[KomisyonOran]),0))</f>
        <v/>
      </c>
      <c r="F343" s="17">
        <f>IF($A343="","",ROUND($B343*$E343,2))</f>
        <v/>
      </c>
      <c r="G343" s="17">
        <f>IF($A343="","",IFERROR(SUMIF(tblAnahtarB[NormB],$A343,tblHakedis[TyPlus]),0))</f>
        <v/>
      </c>
      <c r="H343" s="17">
        <f>IF($A343="","",IFERROR(SUMIF(tblAnahtarB[NormB],$A343,tblHakedis[FlasKesinti]),0))</f>
        <v/>
      </c>
      <c r="I343" s="17">
        <f>IF($A343="","",IFERROR(SUMIF(tblAnahtarB[NormB],$A343,tblHakedis[UrunReklam]),0))</f>
        <v/>
      </c>
      <c r="J343" s="17">
        <f>IF($A343="","",IFERROR(SUMIF(tblAnahtarB[NormB],$A343,tblHakedis[DesiKargo]),0))</f>
        <v/>
      </c>
      <c r="K343" s="17">
        <f>IF($A343="","",ROUND($F343+$G343+$H343+$I343+$J343,2))</f>
        <v/>
      </c>
      <c r="L343" s="17">
        <f>IF($A343="","",ROUND($B343-$C343,2))</f>
        <v/>
      </c>
      <c r="M343" s="17">
        <f>IF($A343="","",ROUND($B343-$C343-$K343,2))</f>
        <v/>
      </c>
      <c r="N343" s="17">
        <f>IF(OR($A343="",$B343=0),0,$M343/$B343)</f>
        <v/>
      </c>
      <c r="O343" s="17">
        <f>IF($A343="","",IF((1-$E343)&lt;=0,0,IF($D343=0,0,ROUND(($C343+$G343+$H343+$I343+$J343)/$D343/(1-$E343),2))))</f>
        <v/>
      </c>
      <c r="P343" s="17">
        <f>IF($A343="","",IFERROR(SUMIF(tblAnahtarA[Norm],$A343,tblGirdi[HedefNet]),0))</f>
        <v/>
      </c>
      <c r="Q343" s="17">
        <f>IF($A343="","",ROUND($M343-$P343,2))</f>
        <v/>
      </c>
      <c r="R343" s="17">
        <f>IF($A343="","",ROUND($B343-$K343,2))</f>
        <v/>
      </c>
      <c r="S343" s="17">
        <f>IF($A343="","",IF($N343&lt;0,"ÇEKİL",IF($N343&lt;tyk_esikMarjDusuk,"ZAM","SAT")))</f>
        <v/>
      </c>
      <c r="T343" s="17">
        <f>IF($A343="","",$L343-$F343)</f>
        <v/>
      </c>
      <c r="U343" s="17">
        <f>IF($A343="","",$M343-$Q343)</f>
        <v/>
      </c>
      <c r="V343" s="17">
        <f>IF($A343="","",$R343-$M343)</f>
        <v/>
      </c>
    </row>
    <row r="344">
      <c r="A344" s="17">
        <f>IF('ANAHTAR'!$B344="","",'ANAHTAR'!$B344)</f>
        <v/>
      </c>
      <c r="B344" s="17">
        <f>IF($A344="","",IFERROR(SUMIF(tblAnahtarA[Norm],$A344,tblGirdi[ToplamSatis]),0))</f>
        <v/>
      </c>
      <c r="C344" s="17">
        <f>IF($A344="","",IFERROR(SUMIF(tblAnahtarA[Norm],$A344,tblGirdi[Maliyet])*IFERROR(SUMIF(tblAnahtarA[Norm],$A344,tblGirdi[Miktar]),1),0))</f>
        <v/>
      </c>
      <c r="D344" s="17">
        <f>IF($A344="","",IFERROR(SUMIF(tblAnahtarA[Norm],$A344,tblGirdi[Miktar]),0))</f>
        <v/>
      </c>
      <c r="E344" s="17">
        <f>IF($A344="","",IFERROR(SUMIF(tblAnahtarA[Norm],$A344,tblGirdi[KomisyonOran]),0))</f>
        <v/>
      </c>
      <c r="F344" s="17">
        <f>IF($A344="","",ROUND($B344*$E344,2))</f>
        <v/>
      </c>
      <c r="G344" s="17">
        <f>IF($A344="","",IFERROR(SUMIF(tblAnahtarB[NormB],$A344,tblHakedis[TyPlus]),0))</f>
        <v/>
      </c>
      <c r="H344" s="17">
        <f>IF($A344="","",IFERROR(SUMIF(tblAnahtarB[NormB],$A344,tblHakedis[FlasKesinti]),0))</f>
        <v/>
      </c>
      <c r="I344" s="17">
        <f>IF($A344="","",IFERROR(SUMIF(tblAnahtarB[NormB],$A344,tblHakedis[UrunReklam]),0))</f>
        <v/>
      </c>
      <c r="J344" s="17">
        <f>IF($A344="","",IFERROR(SUMIF(tblAnahtarB[NormB],$A344,tblHakedis[DesiKargo]),0))</f>
        <v/>
      </c>
      <c r="K344" s="17">
        <f>IF($A344="","",ROUND($F344+$G344+$H344+$I344+$J344,2))</f>
        <v/>
      </c>
      <c r="L344" s="17">
        <f>IF($A344="","",ROUND($B344-$C344,2))</f>
        <v/>
      </c>
      <c r="M344" s="17">
        <f>IF($A344="","",ROUND($B344-$C344-$K344,2))</f>
        <v/>
      </c>
      <c r="N344" s="17">
        <f>IF(OR($A344="",$B344=0),0,$M344/$B344)</f>
        <v/>
      </c>
      <c r="O344" s="17">
        <f>IF($A344="","",IF((1-$E344)&lt;=0,0,IF($D344=0,0,ROUND(($C344+$G344+$H344+$I344+$J344)/$D344/(1-$E344),2))))</f>
        <v/>
      </c>
      <c r="P344" s="17">
        <f>IF($A344="","",IFERROR(SUMIF(tblAnahtarA[Norm],$A344,tblGirdi[HedefNet]),0))</f>
        <v/>
      </c>
      <c r="Q344" s="17">
        <f>IF($A344="","",ROUND($M344-$P344,2))</f>
        <v/>
      </c>
      <c r="R344" s="17">
        <f>IF($A344="","",ROUND($B344-$K344,2))</f>
        <v/>
      </c>
      <c r="S344" s="17">
        <f>IF($A344="","",IF($N344&lt;0,"ÇEKİL",IF($N344&lt;tyk_esikMarjDusuk,"ZAM","SAT")))</f>
        <v/>
      </c>
      <c r="T344" s="17">
        <f>IF($A344="","",$L344-$F344)</f>
        <v/>
      </c>
      <c r="U344" s="17">
        <f>IF($A344="","",$M344-$Q344)</f>
        <v/>
      </c>
      <c r="V344" s="17">
        <f>IF($A344="","",$R344-$M344)</f>
        <v/>
      </c>
    </row>
    <row r="345">
      <c r="A345" s="17">
        <f>IF('ANAHTAR'!$B345="","",'ANAHTAR'!$B345)</f>
        <v/>
      </c>
      <c r="B345" s="17">
        <f>IF($A345="","",IFERROR(SUMIF(tblAnahtarA[Norm],$A345,tblGirdi[ToplamSatis]),0))</f>
        <v/>
      </c>
      <c r="C345" s="17">
        <f>IF($A345="","",IFERROR(SUMIF(tblAnahtarA[Norm],$A345,tblGirdi[Maliyet])*IFERROR(SUMIF(tblAnahtarA[Norm],$A345,tblGirdi[Miktar]),1),0))</f>
        <v/>
      </c>
      <c r="D345" s="17">
        <f>IF($A345="","",IFERROR(SUMIF(tblAnahtarA[Norm],$A345,tblGirdi[Miktar]),0))</f>
        <v/>
      </c>
      <c r="E345" s="17">
        <f>IF($A345="","",IFERROR(SUMIF(tblAnahtarA[Norm],$A345,tblGirdi[KomisyonOran]),0))</f>
        <v/>
      </c>
      <c r="F345" s="17">
        <f>IF($A345="","",ROUND($B345*$E345,2))</f>
        <v/>
      </c>
      <c r="G345" s="17">
        <f>IF($A345="","",IFERROR(SUMIF(tblAnahtarB[NormB],$A345,tblHakedis[TyPlus]),0))</f>
        <v/>
      </c>
      <c r="H345" s="17">
        <f>IF($A345="","",IFERROR(SUMIF(tblAnahtarB[NormB],$A345,tblHakedis[FlasKesinti]),0))</f>
        <v/>
      </c>
      <c r="I345" s="17">
        <f>IF($A345="","",IFERROR(SUMIF(tblAnahtarB[NormB],$A345,tblHakedis[UrunReklam]),0))</f>
        <v/>
      </c>
      <c r="J345" s="17">
        <f>IF($A345="","",IFERROR(SUMIF(tblAnahtarB[NormB],$A345,tblHakedis[DesiKargo]),0))</f>
        <v/>
      </c>
      <c r="K345" s="17">
        <f>IF($A345="","",ROUND($F345+$G345+$H345+$I345+$J345,2))</f>
        <v/>
      </c>
      <c r="L345" s="17">
        <f>IF($A345="","",ROUND($B345-$C345,2))</f>
        <v/>
      </c>
      <c r="M345" s="17">
        <f>IF($A345="","",ROUND($B345-$C345-$K345,2))</f>
        <v/>
      </c>
      <c r="N345" s="17">
        <f>IF(OR($A345="",$B345=0),0,$M345/$B345)</f>
        <v/>
      </c>
      <c r="O345" s="17">
        <f>IF($A345="","",IF((1-$E345)&lt;=0,0,IF($D345=0,0,ROUND(($C345+$G345+$H345+$I345+$J345)/$D345/(1-$E345),2))))</f>
        <v/>
      </c>
      <c r="P345" s="17">
        <f>IF($A345="","",IFERROR(SUMIF(tblAnahtarA[Norm],$A345,tblGirdi[HedefNet]),0))</f>
        <v/>
      </c>
      <c r="Q345" s="17">
        <f>IF($A345="","",ROUND($M345-$P345,2))</f>
        <v/>
      </c>
      <c r="R345" s="17">
        <f>IF($A345="","",ROUND($B345-$K345,2))</f>
        <v/>
      </c>
      <c r="S345" s="17">
        <f>IF($A345="","",IF($N345&lt;0,"ÇEKİL",IF($N345&lt;tyk_esikMarjDusuk,"ZAM","SAT")))</f>
        <v/>
      </c>
      <c r="T345" s="17">
        <f>IF($A345="","",$L345-$F345)</f>
        <v/>
      </c>
      <c r="U345" s="17">
        <f>IF($A345="","",$M345-$Q345)</f>
        <v/>
      </c>
      <c r="V345" s="17">
        <f>IF($A345="","",$R345-$M345)</f>
        <v/>
      </c>
    </row>
    <row r="346">
      <c r="A346" s="17">
        <f>IF('ANAHTAR'!$B346="","",'ANAHTAR'!$B346)</f>
        <v/>
      </c>
      <c r="B346" s="17">
        <f>IF($A346="","",IFERROR(SUMIF(tblAnahtarA[Norm],$A346,tblGirdi[ToplamSatis]),0))</f>
        <v/>
      </c>
      <c r="C346" s="17">
        <f>IF($A346="","",IFERROR(SUMIF(tblAnahtarA[Norm],$A346,tblGirdi[Maliyet])*IFERROR(SUMIF(tblAnahtarA[Norm],$A346,tblGirdi[Miktar]),1),0))</f>
        <v/>
      </c>
      <c r="D346" s="17">
        <f>IF($A346="","",IFERROR(SUMIF(tblAnahtarA[Norm],$A346,tblGirdi[Miktar]),0))</f>
        <v/>
      </c>
      <c r="E346" s="17">
        <f>IF($A346="","",IFERROR(SUMIF(tblAnahtarA[Norm],$A346,tblGirdi[KomisyonOran]),0))</f>
        <v/>
      </c>
      <c r="F346" s="17">
        <f>IF($A346="","",ROUND($B346*$E346,2))</f>
        <v/>
      </c>
      <c r="G346" s="17">
        <f>IF($A346="","",IFERROR(SUMIF(tblAnahtarB[NormB],$A346,tblHakedis[TyPlus]),0))</f>
        <v/>
      </c>
      <c r="H346" s="17">
        <f>IF($A346="","",IFERROR(SUMIF(tblAnahtarB[NormB],$A346,tblHakedis[FlasKesinti]),0))</f>
        <v/>
      </c>
      <c r="I346" s="17">
        <f>IF($A346="","",IFERROR(SUMIF(tblAnahtarB[NormB],$A346,tblHakedis[UrunReklam]),0))</f>
        <v/>
      </c>
      <c r="J346" s="17">
        <f>IF($A346="","",IFERROR(SUMIF(tblAnahtarB[NormB],$A346,tblHakedis[DesiKargo]),0))</f>
        <v/>
      </c>
      <c r="K346" s="17">
        <f>IF($A346="","",ROUND($F346+$G346+$H346+$I346+$J346,2))</f>
        <v/>
      </c>
      <c r="L346" s="17">
        <f>IF($A346="","",ROUND($B346-$C346,2))</f>
        <v/>
      </c>
      <c r="M346" s="17">
        <f>IF($A346="","",ROUND($B346-$C346-$K346,2))</f>
        <v/>
      </c>
      <c r="N346" s="17">
        <f>IF(OR($A346="",$B346=0),0,$M346/$B346)</f>
        <v/>
      </c>
      <c r="O346" s="17">
        <f>IF($A346="","",IF((1-$E346)&lt;=0,0,IF($D346=0,0,ROUND(($C346+$G346+$H346+$I346+$J346)/$D346/(1-$E346),2))))</f>
        <v/>
      </c>
      <c r="P346" s="17">
        <f>IF($A346="","",IFERROR(SUMIF(tblAnahtarA[Norm],$A346,tblGirdi[HedefNet]),0))</f>
        <v/>
      </c>
      <c r="Q346" s="17">
        <f>IF($A346="","",ROUND($M346-$P346,2))</f>
        <v/>
      </c>
      <c r="R346" s="17">
        <f>IF($A346="","",ROUND($B346-$K346,2))</f>
        <v/>
      </c>
      <c r="S346" s="17">
        <f>IF($A346="","",IF($N346&lt;0,"ÇEKİL",IF($N346&lt;tyk_esikMarjDusuk,"ZAM","SAT")))</f>
        <v/>
      </c>
      <c r="T346" s="17">
        <f>IF($A346="","",$L346-$F346)</f>
        <v/>
      </c>
      <c r="U346" s="17">
        <f>IF($A346="","",$M346-$Q346)</f>
        <v/>
      </c>
      <c r="V346" s="17">
        <f>IF($A346="","",$R346-$M346)</f>
        <v/>
      </c>
    </row>
    <row r="347">
      <c r="A347" s="17">
        <f>IF('ANAHTAR'!$B347="","",'ANAHTAR'!$B347)</f>
        <v/>
      </c>
      <c r="B347" s="17">
        <f>IF($A347="","",IFERROR(SUMIF(tblAnahtarA[Norm],$A347,tblGirdi[ToplamSatis]),0))</f>
        <v/>
      </c>
      <c r="C347" s="17">
        <f>IF($A347="","",IFERROR(SUMIF(tblAnahtarA[Norm],$A347,tblGirdi[Maliyet])*IFERROR(SUMIF(tblAnahtarA[Norm],$A347,tblGirdi[Miktar]),1),0))</f>
        <v/>
      </c>
      <c r="D347" s="17">
        <f>IF($A347="","",IFERROR(SUMIF(tblAnahtarA[Norm],$A347,tblGirdi[Miktar]),0))</f>
        <v/>
      </c>
      <c r="E347" s="17">
        <f>IF($A347="","",IFERROR(SUMIF(tblAnahtarA[Norm],$A347,tblGirdi[KomisyonOran]),0))</f>
        <v/>
      </c>
      <c r="F347" s="17">
        <f>IF($A347="","",ROUND($B347*$E347,2))</f>
        <v/>
      </c>
      <c r="G347" s="17">
        <f>IF($A347="","",IFERROR(SUMIF(tblAnahtarB[NormB],$A347,tblHakedis[TyPlus]),0))</f>
        <v/>
      </c>
      <c r="H347" s="17">
        <f>IF($A347="","",IFERROR(SUMIF(tblAnahtarB[NormB],$A347,tblHakedis[FlasKesinti]),0))</f>
        <v/>
      </c>
      <c r="I347" s="17">
        <f>IF($A347="","",IFERROR(SUMIF(tblAnahtarB[NormB],$A347,tblHakedis[UrunReklam]),0))</f>
        <v/>
      </c>
      <c r="J347" s="17">
        <f>IF($A347="","",IFERROR(SUMIF(tblAnahtarB[NormB],$A347,tblHakedis[DesiKargo]),0))</f>
        <v/>
      </c>
      <c r="K347" s="17">
        <f>IF($A347="","",ROUND($F347+$G347+$H347+$I347+$J347,2))</f>
        <v/>
      </c>
      <c r="L347" s="17">
        <f>IF($A347="","",ROUND($B347-$C347,2))</f>
        <v/>
      </c>
      <c r="M347" s="17">
        <f>IF($A347="","",ROUND($B347-$C347-$K347,2))</f>
        <v/>
      </c>
      <c r="N347" s="17">
        <f>IF(OR($A347="",$B347=0),0,$M347/$B347)</f>
        <v/>
      </c>
      <c r="O347" s="17">
        <f>IF($A347="","",IF((1-$E347)&lt;=0,0,IF($D347=0,0,ROUND(($C347+$G347+$H347+$I347+$J347)/$D347/(1-$E347),2))))</f>
        <v/>
      </c>
      <c r="P347" s="17">
        <f>IF($A347="","",IFERROR(SUMIF(tblAnahtarA[Norm],$A347,tblGirdi[HedefNet]),0))</f>
        <v/>
      </c>
      <c r="Q347" s="17">
        <f>IF($A347="","",ROUND($M347-$P347,2))</f>
        <v/>
      </c>
      <c r="R347" s="17">
        <f>IF($A347="","",ROUND($B347-$K347,2))</f>
        <v/>
      </c>
      <c r="S347" s="17">
        <f>IF($A347="","",IF($N347&lt;0,"ÇEKİL",IF($N347&lt;tyk_esikMarjDusuk,"ZAM","SAT")))</f>
        <v/>
      </c>
      <c r="T347" s="17">
        <f>IF($A347="","",$L347-$F347)</f>
        <v/>
      </c>
      <c r="U347" s="17">
        <f>IF($A347="","",$M347-$Q347)</f>
        <v/>
      </c>
      <c r="V347" s="17">
        <f>IF($A347="","",$R347-$M347)</f>
        <v/>
      </c>
    </row>
    <row r="348">
      <c r="A348" s="17">
        <f>IF('ANAHTAR'!$B348="","",'ANAHTAR'!$B348)</f>
        <v/>
      </c>
      <c r="B348" s="17">
        <f>IF($A348="","",IFERROR(SUMIF(tblAnahtarA[Norm],$A348,tblGirdi[ToplamSatis]),0))</f>
        <v/>
      </c>
      <c r="C348" s="17">
        <f>IF($A348="","",IFERROR(SUMIF(tblAnahtarA[Norm],$A348,tblGirdi[Maliyet])*IFERROR(SUMIF(tblAnahtarA[Norm],$A348,tblGirdi[Miktar]),1),0))</f>
        <v/>
      </c>
      <c r="D348" s="17">
        <f>IF($A348="","",IFERROR(SUMIF(tblAnahtarA[Norm],$A348,tblGirdi[Miktar]),0))</f>
        <v/>
      </c>
      <c r="E348" s="17">
        <f>IF($A348="","",IFERROR(SUMIF(tblAnahtarA[Norm],$A348,tblGirdi[KomisyonOran]),0))</f>
        <v/>
      </c>
      <c r="F348" s="17">
        <f>IF($A348="","",ROUND($B348*$E348,2))</f>
        <v/>
      </c>
      <c r="G348" s="17">
        <f>IF($A348="","",IFERROR(SUMIF(tblAnahtarB[NormB],$A348,tblHakedis[TyPlus]),0))</f>
        <v/>
      </c>
      <c r="H348" s="17">
        <f>IF($A348="","",IFERROR(SUMIF(tblAnahtarB[NormB],$A348,tblHakedis[FlasKesinti]),0))</f>
        <v/>
      </c>
      <c r="I348" s="17">
        <f>IF($A348="","",IFERROR(SUMIF(tblAnahtarB[NormB],$A348,tblHakedis[UrunReklam]),0))</f>
        <v/>
      </c>
      <c r="J348" s="17">
        <f>IF($A348="","",IFERROR(SUMIF(tblAnahtarB[NormB],$A348,tblHakedis[DesiKargo]),0))</f>
        <v/>
      </c>
      <c r="K348" s="17">
        <f>IF($A348="","",ROUND($F348+$G348+$H348+$I348+$J348,2))</f>
        <v/>
      </c>
      <c r="L348" s="17">
        <f>IF($A348="","",ROUND($B348-$C348,2))</f>
        <v/>
      </c>
      <c r="M348" s="17">
        <f>IF($A348="","",ROUND($B348-$C348-$K348,2))</f>
        <v/>
      </c>
      <c r="N348" s="17">
        <f>IF(OR($A348="",$B348=0),0,$M348/$B348)</f>
        <v/>
      </c>
      <c r="O348" s="17">
        <f>IF($A348="","",IF((1-$E348)&lt;=0,0,IF($D348=0,0,ROUND(($C348+$G348+$H348+$I348+$J348)/$D348/(1-$E348),2))))</f>
        <v/>
      </c>
      <c r="P348" s="17">
        <f>IF($A348="","",IFERROR(SUMIF(tblAnahtarA[Norm],$A348,tblGirdi[HedefNet]),0))</f>
        <v/>
      </c>
      <c r="Q348" s="17">
        <f>IF($A348="","",ROUND($M348-$P348,2))</f>
        <v/>
      </c>
      <c r="R348" s="17">
        <f>IF($A348="","",ROUND($B348-$K348,2))</f>
        <v/>
      </c>
      <c r="S348" s="17">
        <f>IF($A348="","",IF($N348&lt;0,"ÇEKİL",IF($N348&lt;tyk_esikMarjDusuk,"ZAM","SAT")))</f>
        <v/>
      </c>
      <c r="T348" s="17">
        <f>IF($A348="","",$L348-$F348)</f>
        <v/>
      </c>
      <c r="U348" s="17">
        <f>IF($A348="","",$M348-$Q348)</f>
        <v/>
      </c>
      <c r="V348" s="17">
        <f>IF($A348="","",$R348-$M348)</f>
        <v/>
      </c>
    </row>
    <row r="349">
      <c r="A349" s="17">
        <f>IF('ANAHTAR'!$B349="","",'ANAHTAR'!$B349)</f>
        <v/>
      </c>
      <c r="B349" s="17">
        <f>IF($A349="","",IFERROR(SUMIF(tblAnahtarA[Norm],$A349,tblGirdi[ToplamSatis]),0))</f>
        <v/>
      </c>
      <c r="C349" s="17">
        <f>IF($A349="","",IFERROR(SUMIF(tblAnahtarA[Norm],$A349,tblGirdi[Maliyet])*IFERROR(SUMIF(tblAnahtarA[Norm],$A349,tblGirdi[Miktar]),1),0))</f>
        <v/>
      </c>
      <c r="D349" s="17">
        <f>IF($A349="","",IFERROR(SUMIF(tblAnahtarA[Norm],$A349,tblGirdi[Miktar]),0))</f>
        <v/>
      </c>
      <c r="E349" s="17">
        <f>IF($A349="","",IFERROR(SUMIF(tblAnahtarA[Norm],$A349,tblGirdi[KomisyonOran]),0))</f>
        <v/>
      </c>
      <c r="F349" s="17">
        <f>IF($A349="","",ROUND($B349*$E349,2))</f>
        <v/>
      </c>
      <c r="G349" s="17">
        <f>IF($A349="","",IFERROR(SUMIF(tblAnahtarB[NormB],$A349,tblHakedis[TyPlus]),0))</f>
        <v/>
      </c>
      <c r="H349" s="17">
        <f>IF($A349="","",IFERROR(SUMIF(tblAnahtarB[NormB],$A349,tblHakedis[FlasKesinti]),0))</f>
        <v/>
      </c>
      <c r="I349" s="17">
        <f>IF($A349="","",IFERROR(SUMIF(tblAnahtarB[NormB],$A349,tblHakedis[UrunReklam]),0))</f>
        <v/>
      </c>
      <c r="J349" s="17">
        <f>IF($A349="","",IFERROR(SUMIF(tblAnahtarB[NormB],$A349,tblHakedis[DesiKargo]),0))</f>
        <v/>
      </c>
      <c r="K349" s="17">
        <f>IF($A349="","",ROUND($F349+$G349+$H349+$I349+$J349,2))</f>
        <v/>
      </c>
      <c r="L349" s="17">
        <f>IF($A349="","",ROUND($B349-$C349,2))</f>
        <v/>
      </c>
      <c r="M349" s="17">
        <f>IF($A349="","",ROUND($B349-$C349-$K349,2))</f>
        <v/>
      </c>
      <c r="N349" s="17">
        <f>IF(OR($A349="",$B349=0),0,$M349/$B349)</f>
        <v/>
      </c>
      <c r="O349" s="17">
        <f>IF($A349="","",IF((1-$E349)&lt;=0,0,IF($D349=0,0,ROUND(($C349+$G349+$H349+$I349+$J349)/$D349/(1-$E349),2))))</f>
        <v/>
      </c>
      <c r="P349" s="17">
        <f>IF($A349="","",IFERROR(SUMIF(tblAnahtarA[Norm],$A349,tblGirdi[HedefNet]),0))</f>
        <v/>
      </c>
      <c r="Q349" s="17">
        <f>IF($A349="","",ROUND($M349-$P349,2))</f>
        <v/>
      </c>
      <c r="R349" s="17">
        <f>IF($A349="","",ROUND($B349-$K349,2))</f>
        <v/>
      </c>
      <c r="S349" s="17">
        <f>IF($A349="","",IF($N349&lt;0,"ÇEKİL",IF($N349&lt;tyk_esikMarjDusuk,"ZAM","SAT")))</f>
        <v/>
      </c>
      <c r="T349" s="17">
        <f>IF($A349="","",$L349-$F349)</f>
        <v/>
      </c>
      <c r="U349" s="17">
        <f>IF($A349="","",$M349-$Q349)</f>
        <v/>
      </c>
      <c r="V349" s="17">
        <f>IF($A349="","",$R349-$M349)</f>
        <v/>
      </c>
    </row>
    <row r="350">
      <c r="A350" s="17">
        <f>IF('ANAHTAR'!$B350="","",'ANAHTAR'!$B350)</f>
        <v/>
      </c>
      <c r="B350" s="17">
        <f>IF($A350="","",IFERROR(SUMIF(tblAnahtarA[Norm],$A350,tblGirdi[ToplamSatis]),0))</f>
        <v/>
      </c>
      <c r="C350" s="17">
        <f>IF($A350="","",IFERROR(SUMIF(tblAnahtarA[Norm],$A350,tblGirdi[Maliyet])*IFERROR(SUMIF(tblAnahtarA[Norm],$A350,tblGirdi[Miktar]),1),0))</f>
        <v/>
      </c>
      <c r="D350" s="17">
        <f>IF($A350="","",IFERROR(SUMIF(tblAnahtarA[Norm],$A350,tblGirdi[Miktar]),0))</f>
        <v/>
      </c>
      <c r="E350" s="17">
        <f>IF($A350="","",IFERROR(SUMIF(tblAnahtarA[Norm],$A350,tblGirdi[KomisyonOran]),0))</f>
        <v/>
      </c>
      <c r="F350" s="17">
        <f>IF($A350="","",ROUND($B350*$E350,2))</f>
        <v/>
      </c>
      <c r="G350" s="17">
        <f>IF($A350="","",IFERROR(SUMIF(tblAnahtarB[NormB],$A350,tblHakedis[TyPlus]),0))</f>
        <v/>
      </c>
      <c r="H350" s="17">
        <f>IF($A350="","",IFERROR(SUMIF(tblAnahtarB[NormB],$A350,tblHakedis[FlasKesinti]),0))</f>
        <v/>
      </c>
      <c r="I350" s="17">
        <f>IF($A350="","",IFERROR(SUMIF(tblAnahtarB[NormB],$A350,tblHakedis[UrunReklam]),0))</f>
        <v/>
      </c>
      <c r="J350" s="17">
        <f>IF($A350="","",IFERROR(SUMIF(tblAnahtarB[NormB],$A350,tblHakedis[DesiKargo]),0))</f>
        <v/>
      </c>
      <c r="K350" s="17">
        <f>IF($A350="","",ROUND($F350+$G350+$H350+$I350+$J350,2))</f>
        <v/>
      </c>
      <c r="L350" s="17">
        <f>IF($A350="","",ROUND($B350-$C350,2))</f>
        <v/>
      </c>
      <c r="M350" s="17">
        <f>IF($A350="","",ROUND($B350-$C350-$K350,2))</f>
        <v/>
      </c>
      <c r="N350" s="17">
        <f>IF(OR($A350="",$B350=0),0,$M350/$B350)</f>
        <v/>
      </c>
      <c r="O350" s="17">
        <f>IF($A350="","",IF((1-$E350)&lt;=0,0,IF($D350=0,0,ROUND(($C350+$G350+$H350+$I350+$J350)/$D350/(1-$E350),2))))</f>
        <v/>
      </c>
      <c r="P350" s="17">
        <f>IF($A350="","",IFERROR(SUMIF(tblAnahtarA[Norm],$A350,tblGirdi[HedefNet]),0))</f>
        <v/>
      </c>
      <c r="Q350" s="17">
        <f>IF($A350="","",ROUND($M350-$P350,2))</f>
        <v/>
      </c>
      <c r="R350" s="17">
        <f>IF($A350="","",ROUND($B350-$K350,2))</f>
        <v/>
      </c>
      <c r="S350" s="17">
        <f>IF($A350="","",IF($N350&lt;0,"ÇEKİL",IF($N350&lt;tyk_esikMarjDusuk,"ZAM","SAT")))</f>
        <v/>
      </c>
      <c r="T350" s="17">
        <f>IF($A350="","",$L350-$F350)</f>
        <v/>
      </c>
      <c r="U350" s="17">
        <f>IF($A350="","",$M350-$Q350)</f>
        <v/>
      </c>
      <c r="V350" s="17">
        <f>IF($A350="","",$R350-$M350)</f>
        <v/>
      </c>
    </row>
    <row r="351">
      <c r="A351" s="17">
        <f>IF('ANAHTAR'!$B351="","",'ANAHTAR'!$B351)</f>
        <v/>
      </c>
      <c r="B351" s="17">
        <f>IF($A351="","",IFERROR(SUMIF(tblAnahtarA[Norm],$A351,tblGirdi[ToplamSatis]),0))</f>
        <v/>
      </c>
      <c r="C351" s="17">
        <f>IF($A351="","",IFERROR(SUMIF(tblAnahtarA[Norm],$A351,tblGirdi[Maliyet])*IFERROR(SUMIF(tblAnahtarA[Norm],$A351,tblGirdi[Miktar]),1),0))</f>
        <v/>
      </c>
      <c r="D351" s="17">
        <f>IF($A351="","",IFERROR(SUMIF(tblAnahtarA[Norm],$A351,tblGirdi[Miktar]),0))</f>
        <v/>
      </c>
      <c r="E351" s="17">
        <f>IF($A351="","",IFERROR(SUMIF(tblAnahtarA[Norm],$A351,tblGirdi[KomisyonOran]),0))</f>
        <v/>
      </c>
      <c r="F351" s="17">
        <f>IF($A351="","",ROUND($B351*$E351,2))</f>
        <v/>
      </c>
      <c r="G351" s="17">
        <f>IF($A351="","",IFERROR(SUMIF(tblAnahtarB[NormB],$A351,tblHakedis[TyPlus]),0))</f>
        <v/>
      </c>
      <c r="H351" s="17">
        <f>IF($A351="","",IFERROR(SUMIF(tblAnahtarB[NormB],$A351,tblHakedis[FlasKesinti]),0))</f>
        <v/>
      </c>
      <c r="I351" s="17">
        <f>IF($A351="","",IFERROR(SUMIF(tblAnahtarB[NormB],$A351,tblHakedis[UrunReklam]),0))</f>
        <v/>
      </c>
      <c r="J351" s="17">
        <f>IF($A351="","",IFERROR(SUMIF(tblAnahtarB[NormB],$A351,tblHakedis[DesiKargo]),0))</f>
        <v/>
      </c>
      <c r="K351" s="17">
        <f>IF($A351="","",ROUND($F351+$G351+$H351+$I351+$J351,2))</f>
        <v/>
      </c>
      <c r="L351" s="17">
        <f>IF($A351="","",ROUND($B351-$C351,2))</f>
        <v/>
      </c>
      <c r="M351" s="17">
        <f>IF($A351="","",ROUND($B351-$C351-$K351,2))</f>
        <v/>
      </c>
      <c r="N351" s="17">
        <f>IF(OR($A351="",$B351=0),0,$M351/$B351)</f>
        <v/>
      </c>
      <c r="O351" s="17">
        <f>IF($A351="","",IF((1-$E351)&lt;=0,0,IF($D351=0,0,ROUND(($C351+$G351+$H351+$I351+$J351)/$D351/(1-$E351),2))))</f>
        <v/>
      </c>
      <c r="P351" s="17">
        <f>IF($A351="","",IFERROR(SUMIF(tblAnahtarA[Norm],$A351,tblGirdi[HedefNet]),0))</f>
        <v/>
      </c>
      <c r="Q351" s="17">
        <f>IF($A351="","",ROUND($M351-$P351,2))</f>
        <v/>
      </c>
      <c r="R351" s="17">
        <f>IF($A351="","",ROUND($B351-$K351,2))</f>
        <v/>
      </c>
      <c r="S351" s="17">
        <f>IF($A351="","",IF($N351&lt;0,"ÇEKİL",IF($N351&lt;tyk_esikMarjDusuk,"ZAM","SAT")))</f>
        <v/>
      </c>
      <c r="T351" s="17">
        <f>IF($A351="","",$L351-$F351)</f>
        <v/>
      </c>
      <c r="U351" s="17">
        <f>IF($A351="","",$M351-$Q351)</f>
        <v/>
      </c>
      <c r="V351" s="17">
        <f>IF($A351="","",$R351-$M351)</f>
        <v/>
      </c>
    </row>
    <row r="352">
      <c r="A352" s="17">
        <f>IF('ANAHTAR'!$B352="","",'ANAHTAR'!$B352)</f>
        <v/>
      </c>
      <c r="B352" s="17">
        <f>IF($A352="","",IFERROR(SUMIF(tblAnahtarA[Norm],$A352,tblGirdi[ToplamSatis]),0))</f>
        <v/>
      </c>
      <c r="C352" s="17">
        <f>IF($A352="","",IFERROR(SUMIF(tblAnahtarA[Norm],$A352,tblGirdi[Maliyet])*IFERROR(SUMIF(tblAnahtarA[Norm],$A352,tblGirdi[Miktar]),1),0))</f>
        <v/>
      </c>
      <c r="D352" s="17">
        <f>IF($A352="","",IFERROR(SUMIF(tblAnahtarA[Norm],$A352,tblGirdi[Miktar]),0))</f>
        <v/>
      </c>
      <c r="E352" s="17">
        <f>IF($A352="","",IFERROR(SUMIF(tblAnahtarA[Norm],$A352,tblGirdi[KomisyonOran]),0))</f>
        <v/>
      </c>
      <c r="F352" s="17">
        <f>IF($A352="","",ROUND($B352*$E352,2))</f>
        <v/>
      </c>
      <c r="G352" s="17">
        <f>IF($A352="","",IFERROR(SUMIF(tblAnahtarB[NormB],$A352,tblHakedis[TyPlus]),0))</f>
        <v/>
      </c>
      <c r="H352" s="17">
        <f>IF($A352="","",IFERROR(SUMIF(tblAnahtarB[NormB],$A352,tblHakedis[FlasKesinti]),0))</f>
        <v/>
      </c>
      <c r="I352" s="17">
        <f>IF($A352="","",IFERROR(SUMIF(tblAnahtarB[NormB],$A352,tblHakedis[UrunReklam]),0))</f>
        <v/>
      </c>
      <c r="J352" s="17">
        <f>IF($A352="","",IFERROR(SUMIF(tblAnahtarB[NormB],$A352,tblHakedis[DesiKargo]),0))</f>
        <v/>
      </c>
      <c r="K352" s="17">
        <f>IF($A352="","",ROUND($F352+$G352+$H352+$I352+$J352,2))</f>
        <v/>
      </c>
      <c r="L352" s="17">
        <f>IF($A352="","",ROUND($B352-$C352,2))</f>
        <v/>
      </c>
      <c r="M352" s="17">
        <f>IF($A352="","",ROUND($B352-$C352-$K352,2))</f>
        <v/>
      </c>
      <c r="N352" s="17">
        <f>IF(OR($A352="",$B352=0),0,$M352/$B352)</f>
        <v/>
      </c>
      <c r="O352" s="17">
        <f>IF($A352="","",IF((1-$E352)&lt;=0,0,IF($D352=0,0,ROUND(($C352+$G352+$H352+$I352+$J352)/$D352/(1-$E352),2))))</f>
        <v/>
      </c>
      <c r="P352" s="17">
        <f>IF($A352="","",IFERROR(SUMIF(tblAnahtarA[Norm],$A352,tblGirdi[HedefNet]),0))</f>
        <v/>
      </c>
      <c r="Q352" s="17">
        <f>IF($A352="","",ROUND($M352-$P352,2))</f>
        <v/>
      </c>
      <c r="R352" s="17">
        <f>IF($A352="","",ROUND($B352-$K352,2))</f>
        <v/>
      </c>
      <c r="S352" s="17">
        <f>IF($A352="","",IF($N352&lt;0,"ÇEKİL",IF($N352&lt;tyk_esikMarjDusuk,"ZAM","SAT")))</f>
        <v/>
      </c>
      <c r="T352" s="17">
        <f>IF($A352="","",$L352-$F352)</f>
        <v/>
      </c>
      <c r="U352" s="17">
        <f>IF($A352="","",$M352-$Q352)</f>
        <v/>
      </c>
      <c r="V352" s="17">
        <f>IF($A352="","",$R352-$M352)</f>
        <v/>
      </c>
    </row>
    <row r="353">
      <c r="A353" s="17">
        <f>IF('ANAHTAR'!$B353="","",'ANAHTAR'!$B353)</f>
        <v/>
      </c>
      <c r="B353" s="17">
        <f>IF($A353="","",IFERROR(SUMIF(tblAnahtarA[Norm],$A353,tblGirdi[ToplamSatis]),0))</f>
        <v/>
      </c>
      <c r="C353" s="17">
        <f>IF($A353="","",IFERROR(SUMIF(tblAnahtarA[Norm],$A353,tblGirdi[Maliyet])*IFERROR(SUMIF(tblAnahtarA[Norm],$A353,tblGirdi[Miktar]),1),0))</f>
        <v/>
      </c>
      <c r="D353" s="17">
        <f>IF($A353="","",IFERROR(SUMIF(tblAnahtarA[Norm],$A353,tblGirdi[Miktar]),0))</f>
        <v/>
      </c>
      <c r="E353" s="17">
        <f>IF($A353="","",IFERROR(SUMIF(tblAnahtarA[Norm],$A353,tblGirdi[KomisyonOran]),0))</f>
        <v/>
      </c>
      <c r="F353" s="17">
        <f>IF($A353="","",ROUND($B353*$E353,2))</f>
        <v/>
      </c>
      <c r="G353" s="17">
        <f>IF($A353="","",IFERROR(SUMIF(tblAnahtarB[NormB],$A353,tblHakedis[TyPlus]),0))</f>
        <v/>
      </c>
      <c r="H353" s="17">
        <f>IF($A353="","",IFERROR(SUMIF(tblAnahtarB[NormB],$A353,tblHakedis[FlasKesinti]),0))</f>
        <v/>
      </c>
      <c r="I353" s="17">
        <f>IF($A353="","",IFERROR(SUMIF(tblAnahtarB[NormB],$A353,tblHakedis[UrunReklam]),0))</f>
        <v/>
      </c>
      <c r="J353" s="17">
        <f>IF($A353="","",IFERROR(SUMIF(tblAnahtarB[NormB],$A353,tblHakedis[DesiKargo]),0))</f>
        <v/>
      </c>
      <c r="K353" s="17">
        <f>IF($A353="","",ROUND($F353+$G353+$H353+$I353+$J353,2))</f>
        <v/>
      </c>
      <c r="L353" s="17">
        <f>IF($A353="","",ROUND($B353-$C353,2))</f>
        <v/>
      </c>
      <c r="M353" s="17">
        <f>IF($A353="","",ROUND($B353-$C353-$K353,2))</f>
        <v/>
      </c>
      <c r="N353" s="17">
        <f>IF(OR($A353="",$B353=0),0,$M353/$B353)</f>
        <v/>
      </c>
      <c r="O353" s="17">
        <f>IF($A353="","",IF((1-$E353)&lt;=0,0,IF($D353=0,0,ROUND(($C353+$G353+$H353+$I353+$J353)/$D353/(1-$E353),2))))</f>
        <v/>
      </c>
      <c r="P353" s="17">
        <f>IF($A353="","",IFERROR(SUMIF(tblAnahtarA[Norm],$A353,tblGirdi[HedefNet]),0))</f>
        <v/>
      </c>
      <c r="Q353" s="17">
        <f>IF($A353="","",ROUND($M353-$P353,2))</f>
        <v/>
      </c>
      <c r="R353" s="17">
        <f>IF($A353="","",ROUND($B353-$K353,2))</f>
        <v/>
      </c>
      <c r="S353" s="17">
        <f>IF($A353="","",IF($N353&lt;0,"ÇEKİL",IF($N353&lt;tyk_esikMarjDusuk,"ZAM","SAT")))</f>
        <v/>
      </c>
      <c r="T353" s="17">
        <f>IF($A353="","",$L353-$F353)</f>
        <v/>
      </c>
      <c r="U353" s="17">
        <f>IF($A353="","",$M353-$Q353)</f>
        <v/>
      </c>
      <c r="V353" s="17">
        <f>IF($A353="","",$R353-$M353)</f>
        <v/>
      </c>
    </row>
    <row r="354">
      <c r="A354" s="17">
        <f>IF('ANAHTAR'!$B354="","",'ANAHTAR'!$B354)</f>
        <v/>
      </c>
      <c r="B354" s="17">
        <f>IF($A354="","",IFERROR(SUMIF(tblAnahtarA[Norm],$A354,tblGirdi[ToplamSatis]),0))</f>
        <v/>
      </c>
      <c r="C354" s="17">
        <f>IF($A354="","",IFERROR(SUMIF(tblAnahtarA[Norm],$A354,tblGirdi[Maliyet])*IFERROR(SUMIF(tblAnahtarA[Norm],$A354,tblGirdi[Miktar]),1),0))</f>
        <v/>
      </c>
      <c r="D354" s="17">
        <f>IF($A354="","",IFERROR(SUMIF(tblAnahtarA[Norm],$A354,tblGirdi[Miktar]),0))</f>
        <v/>
      </c>
      <c r="E354" s="17">
        <f>IF($A354="","",IFERROR(SUMIF(tblAnahtarA[Norm],$A354,tblGirdi[KomisyonOran]),0))</f>
        <v/>
      </c>
      <c r="F354" s="17">
        <f>IF($A354="","",ROUND($B354*$E354,2))</f>
        <v/>
      </c>
      <c r="G354" s="17">
        <f>IF($A354="","",IFERROR(SUMIF(tblAnahtarB[NormB],$A354,tblHakedis[TyPlus]),0))</f>
        <v/>
      </c>
      <c r="H354" s="17">
        <f>IF($A354="","",IFERROR(SUMIF(tblAnahtarB[NormB],$A354,tblHakedis[FlasKesinti]),0))</f>
        <v/>
      </c>
      <c r="I354" s="17">
        <f>IF($A354="","",IFERROR(SUMIF(tblAnahtarB[NormB],$A354,tblHakedis[UrunReklam]),0))</f>
        <v/>
      </c>
      <c r="J354" s="17">
        <f>IF($A354="","",IFERROR(SUMIF(tblAnahtarB[NormB],$A354,tblHakedis[DesiKargo]),0))</f>
        <v/>
      </c>
      <c r="K354" s="17">
        <f>IF($A354="","",ROUND($F354+$G354+$H354+$I354+$J354,2))</f>
        <v/>
      </c>
      <c r="L354" s="17">
        <f>IF($A354="","",ROUND($B354-$C354,2))</f>
        <v/>
      </c>
      <c r="M354" s="17">
        <f>IF($A354="","",ROUND($B354-$C354-$K354,2))</f>
        <v/>
      </c>
      <c r="N354" s="17">
        <f>IF(OR($A354="",$B354=0),0,$M354/$B354)</f>
        <v/>
      </c>
      <c r="O354" s="17">
        <f>IF($A354="","",IF((1-$E354)&lt;=0,0,IF($D354=0,0,ROUND(($C354+$G354+$H354+$I354+$J354)/$D354/(1-$E354),2))))</f>
        <v/>
      </c>
      <c r="P354" s="17">
        <f>IF($A354="","",IFERROR(SUMIF(tblAnahtarA[Norm],$A354,tblGirdi[HedefNet]),0))</f>
        <v/>
      </c>
      <c r="Q354" s="17">
        <f>IF($A354="","",ROUND($M354-$P354,2))</f>
        <v/>
      </c>
      <c r="R354" s="17">
        <f>IF($A354="","",ROUND($B354-$K354,2))</f>
        <v/>
      </c>
      <c r="S354" s="17">
        <f>IF($A354="","",IF($N354&lt;0,"ÇEKİL",IF($N354&lt;tyk_esikMarjDusuk,"ZAM","SAT")))</f>
        <v/>
      </c>
      <c r="T354" s="17">
        <f>IF($A354="","",$L354-$F354)</f>
        <v/>
      </c>
      <c r="U354" s="17">
        <f>IF($A354="","",$M354-$Q354)</f>
        <v/>
      </c>
      <c r="V354" s="17">
        <f>IF($A354="","",$R354-$M354)</f>
        <v/>
      </c>
    </row>
    <row r="355">
      <c r="A355" s="17">
        <f>IF('ANAHTAR'!$B355="","",'ANAHTAR'!$B355)</f>
        <v/>
      </c>
      <c r="B355" s="17">
        <f>IF($A355="","",IFERROR(SUMIF(tblAnahtarA[Norm],$A355,tblGirdi[ToplamSatis]),0))</f>
        <v/>
      </c>
      <c r="C355" s="17">
        <f>IF($A355="","",IFERROR(SUMIF(tblAnahtarA[Norm],$A355,tblGirdi[Maliyet])*IFERROR(SUMIF(tblAnahtarA[Norm],$A355,tblGirdi[Miktar]),1),0))</f>
        <v/>
      </c>
      <c r="D355" s="17">
        <f>IF($A355="","",IFERROR(SUMIF(tblAnahtarA[Norm],$A355,tblGirdi[Miktar]),0))</f>
        <v/>
      </c>
      <c r="E355" s="17">
        <f>IF($A355="","",IFERROR(SUMIF(tblAnahtarA[Norm],$A355,tblGirdi[KomisyonOran]),0))</f>
        <v/>
      </c>
      <c r="F355" s="17">
        <f>IF($A355="","",ROUND($B355*$E355,2))</f>
        <v/>
      </c>
      <c r="G355" s="17">
        <f>IF($A355="","",IFERROR(SUMIF(tblAnahtarB[NormB],$A355,tblHakedis[TyPlus]),0))</f>
        <v/>
      </c>
      <c r="H355" s="17">
        <f>IF($A355="","",IFERROR(SUMIF(tblAnahtarB[NormB],$A355,tblHakedis[FlasKesinti]),0))</f>
        <v/>
      </c>
      <c r="I355" s="17">
        <f>IF($A355="","",IFERROR(SUMIF(tblAnahtarB[NormB],$A355,tblHakedis[UrunReklam]),0))</f>
        <v/>
      </c>
      <c r="J355" s="17">
        <f>IF($A355="","",IFERROR(SUMIF(tblAnahtarB[NormB],$A355,tblHakedis[DesiKargo]),0))</f>
        <v/>
      </c>
      <c r="K355" s="17">
        <f>IF($A355="","",ROUND($F355+$G355+$H355+$I355+$J355,2))</f>
        <v/>
      </c>
      <c r="L355" s="17">
        <f>IF($A355="","",ROUND($B355-$C355,2))</f>
        <v/>
      </c>
      <c r="M355" s="17">
        <f>IF($A355="","",ROUND($B355-$C355-$K355,2))</f>
        <v/>
      </c>
      <c r="N355" s="17">
        <f>IF(OR($A355="",$B355=0),0,$M355/$B355)</f>
        <v/>
      </c>
      <c r="O355" s="17">
        <f>IF($A355="","",IF((1-$E355)&lt;=0,0,IF($D355=0,0,ROUND(($C355+$G355+$H355+$I355+$J355)/$D355/(1-$E355),2))))</f>
        <v/>
      </c>
      <c r="P355" s="17">
        <f>IF($A355="","",IFERROR(SUMIF(tblAnahtarA[Norm],$A355,tblGirdi[HedefNet]),0))</f>
        <v/>
      </c>
      <c r="Q355" s="17">
        <f>IF($A355="","",ROUND($M355-$P355,2))</f>
        <v/>
      </c>
      <c r="R355" s="17">
        <f>IF($A355="","",ROUND($B355-$K355,2))</f>
        <v/>
      </c>
      <c r="S355" s="17">
        <f>IF($A355="","",IF($N355&lt;0,"ÇEKİL",IF($N355&lt;tyk_esikMarjDusuk,"ZAM","SAT")))</f>
        <v/>
      </c>
      <c r="T355" s="17">
        <f>IF($A355="","",$L355-$F355)</f>
        <v/>
      </c>
      <c r="U355" s="17">
        <f>IF($A355="","",$M355-$Q355)</f>
        <v/>
      </c>
      <c r="V355" s="17">
        <f>IF($A355="","",$R355-$M355)</f>
        <v/>
      </c>
    </row>
    <row r="356">
      <c r="A356" s="17">
        <f>IF('ANAHTAR'!$B356="","",'ANAHTAR'!$B356)</f>
        <v/>
      </c>
      <c r="B356" s="17">
        <f>IF($A356="","",IFERROR(SUMIF(tblAnahtarA[Norm],$A356,tblGirdi[ToplamSatis]),0))</f>
        <v/>
      </c>
      <c r="C356" s="17">
        <f>IF($A356="","",IFERROR(SUMIF(tblAnahtarA[Norm],$A356,tblGirdi[Maliyet])*IFERROR(SUMIF(tblAnahtarA[Norm],$A356,tblGirdi[Miktar]),1),0))</f>
        <v/>
      </c>
      <c r="D356" s="17">
        <f>IF($A356="","",IFERROR(SUMIF(tblAnahtarA[Norm],$A356,tblGirdi[Miktar]),0))</f>
        <v/>
      </c>
      <c r="E356" s="17">
        <f>IF($A356="","",IFERROR(SUMIF(tblAnahtarA[Norm],$A356,tblGirdi[KomisyonOran]),0))</f>
        <v/>
      </c>
      <c r="F356" s="17">
        <f>IF($A356="","",ROUND($B356*$E356,2))</f>
        <v/>
      </c>
      <c r="G356" s="17">
        <f>IF($A356="","",IFERROR(SUMIF(tblAnahtarB[NormB],$A356,tblHakedis[TyPlus]),0))</f>
        <v/>
      </c>
      <c r="H356" s="17">
        <f>IF($A356="","",IFERROR(SUMIF(tblAnahtarB[NormB],$A356,tblHakedis[FlasKesinti]),0))</f>
        <v/>
      </c>
      <c r="I356" s="17">
        <f>IF($A356="","",IFERROR(SUMIF(tblAnahtarB[NormB],$A356,tblHakedis[UrunReklam]),0))</f>
        <v/>
      </c>
      <c r="J356" s="17">
        <f>IF($A356="","",IFERROR(SUMIF(tblAnahtarB[NormB],$A356,tblHakedis[DesiKargo]),0))</f>
        <v/>
      </c>
      <c r="K356" s="17">
        <f>IF($A356="","",ROUND($F356+$G356+$H356+$I356+$J356,2))</f>
        <v/>
      </c>
      <c r="L356" s="17">
        <f>IF($A356="","",ROUND($B356-$C356,2))</f>
        <v/>
      </c>
      <c r="M356" s="17">
        <f>IF($A356="","",ROUND($B356-$C356-$K356,2))</f>
        <v/>
      </c>
      <c r="N356" s="17">
        <f>IF(OR($A356="",$B356=0),0,$M356/$B356)</f>
        <v/>
      </c>
      <c r="O356" s="17">
        <f>IF($A356="","",IF((1-$E356)&lt;=0,0,IF($D356=0,0,ROUND(($C356+$G356+$H356+$I356+$J356)/$D356/(1-$E356),2))))</f>
        <v/>
      </c>
      <c r="P356" s="17">
        <f>IF($A356="","",IFERROR(SUMIF(tblAnahtarA[Norm],$A356,tblGirdi[HedefNet]),0))</f>
        <v/>
      </c>
      <c r="Q356" s="17">
        <f>IF($A356="","",ROUND($M356-$P356,2))</f>
        <v/>
      </c>
      <c r="R356" s="17">
        <f>IF($A356="","",ROUND($B356-$K356,2))</f>
        <v/>
      </c>
      <c r="S356" s="17">
        <f>IF($A356="","",IF($N356&lt;0,"ÇEKİL",IF($N356&lt;tyk_esikMarjDusuk,"ZAM","SAT")))</f>
        <v/>
      </c>
      <c r="T356" s="17">
        <f>IF($A356="","",$L356-$F356)</f>
        <v/>
      </c>
      <c r="U356" s="17">
        <f>IF($A356="","",$M356-$Q356)</f>
        <v/>
      </c>
      <c r="V356" s="17">
        <f>IF($A356="","",$R356-$M356)</f>
        <v/>
      </c>
    </row>
    <row r="357">
      <c r="A357" s="17">
        <f>IF('ANAHTAR'!$B357="","",'ANAHTAR'!$B357)</f>
        <v/>
      </c>
      <c r="B357" s="17">
        <f>IF($A357="","",IFERROR(SUMIF(tblAnahtarA[Norm],$A357,tblGirdi[ToplamSatis]),0))</f>
        <v/>
      </c>
      <c r="C357" s="17">
        <f>IF($A357="","",IFERROR(SUMIF(tblAnahtarA[Norm],$A357,tblGirdi[Maliyet])*IFERROR(SUMIF(tblAnahtarA[Norm],$A357,tblGirdi[Miktar]),1),0))</f>
        <v/>
      </c>
      <c r="D357" s="17">
        <f>IF($A357="","",IFERROR(SUMIF(tblAnahtarA[Norm],$A357,tblGirdi[Miktar]),0))</f>
        <v/>
      </c>
      <c r="E357" s="17">
        <f>IF($A357="","",IFERROR(SUMIF(tblAnahtarA[Norm],$A357,tblGirdi[KomisyonOran]),0))</f>
        <v/>
      </c>
      <c r="F357" s="17">
        <f>IF($A357="","",ROUND($B357*$E357,2))</f>
        <v/>
      </c>
      <c r="G357" s="17">
        <f>IF($A357="","",IFERROR(SUMIF(tblAnahtarB[NormB],$A357,tblHakedis[TyPlus]),0))</f>
        <v/>
      </c>
      <c r="H357" s="17">
        <f>IF($A357="","",IFERROR(SUMIF(tblAnahtarB[NormB],$A357,tblHakedis[FlasKesinti]),0))</f>
        <v/>
      </c>
      <c r="I357" s="17">
        <f>IF($A357="","",IFERROR(SUMIF(tblAnahtarB[NormB],$A357,tblHakedis[UrunReklam]),0))</f>
        <v/>
      </c>
      <c r="J357" s="17">
        <f>IF($A357="","",IFERROR(SUMIF(tblAnahtarB[NormB],$A357,tblHakedis[DesiKargo]),0))</f>
        <v/>
      </c>
      <c r="K357" s="17">
        <f>IF($A357="","",ROUND($F357+$G357+$H357+$I357+$J357,2))</f>
        <v/>
      </c>
      <c r="L357" s="17">
        <f>IF($A357="","",ROUND($B357-$C357,2))</f>
        <v/>
      </c>
      <c r="M357" s="17">
        <f>IF($A357="","",ROUND($B357-$C357-$K357,2))</f>
        <v/>
      </c>
      <c r="N357" s="17">
        <f>IF(OR($A357="",$B357=0),0,$M357/$B357)</f>
        <v/>
      </c>
      <c r="O357" s="17">
        <f>IF($A357="","",IF((1-$E357)&lt;=0,0,IF($D357=0,0,ROUND(($C357+$G357+$H357+$I357+$J357)/$D357/(1-$E357),2))))</f>
        <v/>
      </c>
      <c r="P357" s="17">
        <f>IF($A357="","",IFERROR(SUMIF(tblAnahtarA[Norm],$A357,tblGirdi[HedefNet]),0))</f>
        <v/>
      </c>
      <c r="Q357" s="17">
        <f>IF($A357="","",ROUND($M357-$P357,2))</f>
        <v/>
      </c>
      <c r="R357" s="17">
        <f>IF($A357="","",ROUND($B357-$K357,2))</f>
        <v/>
      </c>
      <c r="S357" s="17">
        <f>IF($A357="","",IF($N357&lt;0,"ÇEKİL",IF($N357&lt;tyk_esikMarjDusuk,"ZAM","SAT")))</f>
        <v/>
      </c>
      <c r="T357" s="17">
        <f>IF($A357="","",$L357-$F357)</f>
        <v/>
      </c>
      <c r="U357" s="17">
        <f>IF($A357="","",$M357-$Q357)</f>
        <v/>
      </c>
      <c r="V357" s="17">
        <f>IF($A357="","",$R357-$M357)</f>
        <v/>
      </c>
    </row>
    <row r="358">
      <c r="A358" s="17">
        <f>IF('ANAHTAR'!$B358="","",'ANAHTAR'!$B358)</f>
        <v/>
      </c>
      <c r="B358" s="17">
        <f>IF($A358="","",IFERROR(SUMIF(tblAnahtarA[Norm],$A358,tblGirdi[ToplamSatis]),0))</f>
        <v/>
      </c>
      <c r="C358" s="17">
        <f>IF($A358="","",IFERROR(SUMIF(tblAnahtarA[Norm],$A358,tblGirdi[Maliyet])*IFERROR(SUMIF(tblAnahtarA[Norm],$A358,tblGirdi[Miktar]),1),0))</f>
        <v/>
      </c>
      <c r="D358" s="17">
        <f>IF($A358="","",IFERROR(SUMIF(tblAnahtarA[Norm],$A358,tblGirdi[Miktar]),0))</f>
        <v/>
      </c>
      <c r="E358" s="17">
        <f>IF($A358="","",IFERROR(SUMIF(tblAnahtarA[Norm],$A358,tblGirdi[KomisyonOran]),0))</f>
        <v/>
      </c>
      <c r="F358" s="17">
        <f>IF($A358="","",ROUND($B358*$E358,2))</f>
        <v/>
      </c>
      <c r="G358" s="17">
        <f>IF($A358="","",IFERROR(SUMIF(tblAnahtarB[NormB],$A358,tblHakedis[TyPlus]),0))</f>
        <v/>
      </c>
      <c r="H358" s="17">
        <f>IF($A358="","",IFERROR(SUMIF(tblAnahtarB[NormB],$A358,tblHakedis[FlasKesinti]),0))</f>
        <v/>
      </c>
      <c r="I358" s="17">
        <f>IF($A358="","",IFERROR(SUMIF(tblAnahtarB[NormB],$A358,tblHakedis[UrunReklam]),0))</f>
        <v/>
      </c>
      <c r="J358" s="17">
        <f>IF($A358="","",IFERROR(SUMIF(tblAnahtarB[NormB],$A358,tblHakedis[DesiKargo]),0))</f>
        <v/>
      </c>
      <c r="K358" s="17">
        <f>IF($A358="","",ROUND($F358+$G358+$H358+$I358+$J358,2))</f>
        <v/>
      </c>
      <c r="L358" s="17">
        <f>IF($A358="","",ROUND($B358-$C358,2))</f>
        <v/>
      </c>
      <c r="M358" s="17">
        <f>IF($A358="","",ROUND($B358-$C358-$K358,2))</f>
        <v/>
      </c>
      <c r="N358" s="17">
        <f>IF(OR($A358="",$B358=0),0,$M358/$B358)</f>
        <v/>
      </c>
      <c r="O358" s="17">
        <f>IF($A358="","",IF((1-$E358)&lt;=0,0,IF($D358=0,0,ROUND(($C358+$G358+$H358+$I358+$J358)/$D358/(1-$E358),2))))</f>
        <v/>
      </c>
      <c r="P358" s="17">
        <f>IF($A358="","",IFERROR(SUMIF(tblAnahtarA[Norm],$A358,tblGirdi[HedefNet]),0))</f>
        <v/>
      </c>
      <c r="Q358" s="17">
        <f>IF($A358="","",ROUND($M358-$P358,2))</f>
        <v/>
      </c>
      <c r="R358" s="17">
        <f>IF($A358="","",ROUND($B358-$K358,2))</f>
        <v/>
      </c>
      <c r="S358" s="17">
        <f>IF($A358="","",IF($N358&lt;0,"ÇEKİL",IF($N358&lt;tyk_esikMarjDusuk,"ZAM","SAT")))</f>
        <v/>
      </c>
      <c r="T358" s="17">
        <f>IF($A358="","",$L358-$F358)</f>
        <v/>
      </c>
      <c r="U358" s="17">
        <f>IF($A358="","",$M358-$Q358)</f>
        <v/>
      </c>
      <c r="V358" s="17">
        <f>IF($A358="","",$R358-$M358)</f>
        <v/>
      </c>
    </row>
    <row r="359">
      <c r="A359" s="17">
        <f>IF('ANAHTAR'!$B359="","",'ANAHTAR'!$B359)</f>
        <v/>
      </c>
      <c r="B359" s="17">
        <f>IF($A359="","",IFERROR(SUMIF(tblAnahtarA[Norm],$A359,tblGirdi[ToplamSatis]),0))</f>
        <v/>
      </c>
      <c r="C359" s="17">
        <f>IF($A359="","",IFERROR(SUMIF(tblAnahtarA[Norm],$A359,tblGirdi[Maliyet])*IFERROR(SUMIF(tblAnahtarA[Norm],$A359,tblGirdi[Miktar]),1),0))</f>
        <v/>
      </c>
      <c r="D359" s="17">
        <f>IF($A359="","",IFERROR(SUMIF(tblAnahtarA[Norm],$A359,tblGirdi[Miktar]),0))</f>
        <v/>
      </c>
      <c r="E359" s="17">
        <f>IF($A359="","",IFERROR(SUMIF(tblAnahtarA[Norm],$A359,tblGirdi[KomisyonOran]),0))</f>
        <v/>
      </c>
      <c r="F359" s="17">
        <f>IF($A359="","",ROUND($B359*$E359,2))</f>
        <v/>
      </c>
      <c r="G359" s="17">
        <f>IF($A359="","",IFERROR(SUMIF(tblAnahtarB[NormB],$A359,tblHakedis[TyPlus]),0))</f>
        <v/>
      </c>
      <c r="H359" s="17">
        <f>IF($A359="","",IFERROR(SUMIF(tblAnahtarB[NormB],$A359,tblHakedis[FlasKesinti]),0))</f>
        <v/>
      </c>
      <c r="I359" s="17">
        <f>IF($A359="","",IFERROR(SUMIF(tblAnahtarB[NormB],$A359,tblHakedis[UrunReklam]),0))</f>
        <v/>
      </c>
      <c r="J359" s="17">
        <f>IF($A359="","",IFERROR(SUMIF(tblAnahtarB[NormB],$A359,tblHakedis[DesiKargo]),0))</f>
        <v/>
      </c>
      <c r="K359" s="17">
        <f>IF($A359="","",ROUND($F359+$G359+$H359+$I359+$J359,2))</f>
        <v/>
      </c>
      <c r="L359" s="17">
        <f>IF($A359="","",ROUND($B359-$C359,2))</f>
        <v/>
      </c>
      <c r="M359" s="17">
        <f>IF($A359="","",ROUND($B359-$C359-$K359,2))</f>
        <v/>
      </c>
      <c r="N359" s="17">
        <f>IF(OR($A359="",$B359=0),0,$M359/$B359)</f>
        <v/>
      </c>
      <c r="O359" s="17">
        <f>IF($A359="","",IF((1-$E359)&lt;=0,0,IF($D359=0,0,ROUND(($C359+$G359+$H359+$I359+$J359)/$D359/(1-$E359),2))))</f>
        <v/>
      </c>
      <c r="P359" s="17">
        <f>IF($A359="","",IFERROR(SUMIF(tblAnahtarA[Norm],$A359,tblGirdi[HedefNet]),0))</f>
        <v/>
      </c>
      <c r="Q359" s="17">
        <f>IF($A359="","",ROUND($M359-$P359,2))</f>
        <v/>
      </c>
      <c r="R359" s="17">
        <f>IF($A359="","",ROUND($B359-$K359,2))</f>
        <v/>
      </c>
      <c r="S359" s="17">
        <f>IF($A359="","",IF($N359&lt;0,"ÇEKİL",IF($N359&lt;tyk_esikMarjDusuk,"ZAM","SAT")))</f>
        <v/>
      </c>
      <c r="T359" s="17">
        <f>IF($A359="","",$L359-$F359)</f>
        <v/>
      </c>
      <c r="U359" s="17">
        <f>IF($A359="","",$M359-$Q359)</f>
        <v/>
      </c>
      <c r="V359" s="17">
        <f>IF($A359="","",$R359-$M359)</f>
        <v/>
      </c>
    </row>
    <row r="360">
      <c r="A360" s="17">
        <f>IF('ANAHTAR'!$B360="","",'ANAHTAR'!$B360)</f>
        <v/>
      </c>
      <c r="B360" s="17">
        <f>IF($A360="","",IFERROR(SUMIF(tblAnahtarA[Norm],$A360,tblGirdi[ToplamSatis]),0))</f>
        <v/>
      </c>
      <c r="C360" s="17">
        <f>IF($A360="","",IFERROR(SUMIF(tblAnahtarA[Norm],$A360,tblGirdi[Maliyet])*IFERROR(SUMIF(tblAnahtarA[Norm],$A360,tblGirdi[Miktar]),1),0))</f>
        <v/>
      </c>
      <c r="D360" s="17">
        <f>IF($A360="","",IFERROR(SUMIF(tblAnahtarA[Norm],$A360,tblGirdi[Miktar]),0))</f>
        <v/>
      </c>
      <c r="E360" s="17">
        <f>IF($A360="","",IFERROR(SUMIF(tblAnahtarA[Norm],$A360,tblGirdi[KomisyonOran]),0))</f>
        <v/>
      </c>
      <c r="F360" s="17">
        <f>IF($A360="","",ROUND($B360*$E360,2))</f>
        <v/>
      </c>
      <c r="G360" s="17">
        <f>IF($A360="","",IFERROR(SUMIF(tblAnahtarB[NormB],$A360,tblHakedis[TyPlus]),0))</f>
        <v/>
      </c>
      <c r="H360" s="17">
        <f>IF($A360="","",IFERROR(SUMIF(tblAnahtarB[NormB],$A360,tblHakedis[FlasKesinti]),0))</f>
        <v/>
      </c>
      <c r="I360" s="17">
        <f>IF($A360="","",IFERROR(SUMIF(tblAnahtarB[NormB],$A360,tblHakedis[UrunReklam]),0))</f>
        <v/>
      </c>
      <c r="J360" s="17">
        <f>IF($A360="","",IFERROR(SUMIF(tblAnahtarB[NormB],$A360,tblHakedis[DesiKargo]),0))</f>
        <v/>
      </c>
      <c r="K360" s="17">
        <f>IF($A360="","",ROUND($F360+$G360+$H360+$I360+$J360,2))</f>
        <v/>
      </c>
      <c r="L360" s="17">
        <f>IF($A360="","",ROUND($B360-$C360,2))</f>
        <v/>
      </c>
      <c r="M360" s="17">
        <f>IF($A360="","",ROUND($B360-$C360-$K360,2))</f>
        <v/>
      </c>
      <c r="N360" s="17">
        <f>IF(OR($A360="",$B360=0),0,$M360/$B360)</f>
        <v/>
      </c>
      <c r="O360" s="17">
        <f>IF($A360="","",IF((1-$E360)&lt;=0,0,IF($D360=0,0,ROUND(($C360+$G360+$H360+$I360+$J360)/$D360/(1-$E360),2))))</f>
        <v/>
      </c>
      <c r="P360" s="17">
        <f>IF($A360="","",IFERROR(SUMIF(tblAnahtarA[Norm],$A360,tblGirdi[HedefNet]),0))</f>
        <v/>
      </c>
      <c r="Q360" s="17">
        <f>IF($A360="","",ROUND($M360-$P360,2))</f>
        <v/>
      </c>
      <c r="R360" s="17">
        <f>IF($A360="","",ROUND($B360-$K360,2))</f>
        <v/>
      </c>
      <c r="S360" s="17">
        <f>IF($A360="","",IF($N360&lt;0,"ÇEKİL",IF($N360&lt;tyk_esikMarjDusuk,"ZAM","SAT")))</f>
        <v/>
      </c>
      <c r="T360" s="17">
        <f>IF($A360="","",$L360-$F360)</f>
        <v/>
      </c>
      <c r="U360" s="17">
        <f>IF($A360="","",$M360-$Q360)</f>
        <v/>
      </c>
      <c r="V360" s="17">
        <f>IF($A360="","",$R360-$M360)</f>
        <v/>
      </c>
    </row>
    <row r="361">
      <c r="A361" s="17">
        <f>IF('ANAHTAR'!$B361="","",'ANAHTAR'!$B361)</f>
        <v/>
      </c>
      <c r="B361" s="17">
        <f>IF($A361="","",IFERROR(SUMIF(tblAnahtarA[Norm],$A361,tblGirdi[ToplamSatis]),0))</f>
        <v/>
      </c>
      <c r="C361" s="17">
        <f>IF($A361="","",IFERROR(SUMIF(tblAnahtarA[Norm],$A361,tblGirdi[Maliyet])*IFERROR(SUMIF(tblAnahtarA[Norm],$A361,tblGirdi[Miktar]),1),0))</f>
        <v/>
      </c>
      <c r="D361" s="17">
        <f>IF($A361="","",IFERROR(SUMIF(tblAnahtarA[Norm],$A361,tblGirdi[Miktar]),0))</f>
        <v/>
      </c>
      <c r="E361" s="17">
        <f>IF($A361="","",IFERROR(SUMIF(tblAnahtarA[Norm],$A361,tblGirdi[KomisyonOran]),0))</f>
        <v/>
      </c>
      <c r="F361" s="17">
        <f>IF($A361="","",ROUND($B361*$E361,2))</f>
        <v/>
      </c>
      <c r="G361" s="17">
        <f>IF($A361="","",IFERROR(SUMIF(tblAnahtarB[NormB],$A361,tblHakedis[TyPlus]),0))</f>
        <v/>
      </c>
      <c r="H361" s="17">
        <f>IF($A361="","",IFERROR(SUMIF(tblAnahtarB[NormB],$A361,tblHakedis[FlasKesinti]),0))</f>
        <v/>
      </c>
      <c r="I361" s="17">
        <f>IF($A361="","",IFERROR(SUMIF(tblAnahtarB[NormB],$A361,tblHakedis[UrunReklam]),0))</f>
        <v/>
      </c>
      <c r="J361" s="17">
        <f>IF($A361="","",IFERROR(SUMIF(tblAnahtarB[NormB],$A361,tblHakedis[DesiKargo]),0))</f>
        <v/>
      </c>
      <c r="K361" s="17">
        <f>IF($A361="","",ROUND($F361+$G361+$H361+$I361+$J361,2))</f>
        <v/>
      </c>
      <c r="L361" s="17">
        <f>IF($A361="","",ROUND($B361-$C361,2))</f>
        <v/>
      </c>
      <c r="M361" s="17">
        <f>IF($A361="","",ROUND($B361-$C361-$K361,2))</f>
        <v/>
      </c>
      <c r="N361" s="17">
        <f>IF(OR($A361="",$B361=0),0,$M361/$B361)</f>
        <v/>
      </c>
      <c r="O361" s="17">
        <f>IF($A361="","",IF((1-$E361)&lt;=0,0,IF($D361=0,0,ROUND(($C361+$G361+$H361+$I361+$J361)/$D361/(1-$E361),2))))</f>
        <v/>
      </c>
      <c r="P361" s="17">
        <f>IF($A361="","",IFERROR(SUMIF(tblAnahtarA[Norm],$A361,tblGirdi[HedefNet]),0))</f>
        <v/>
      </c>
      <c r="Q361" s="17">
        <f>IF($A361="","",ROUND($M361-$P361,2))</f>
        <v/>
      </c>
      <c r="R361" s="17">
        <f>IF($A361="","",ROUND($B361-$K361,2))</f>
        <v/>
      </c>
      <c r="S361" s="17">
        <f>IF($A361="","",IF($N361&lt;0,"ÇEKİL",IF($N361&lt;tyk_esikMarjDusuk,"ZAM","SAT")))</f>
        <v/>
      </c>
      <c r="T361" s="17">
        <f>IF($A361="","",$L361-$F361)</f>
        <v/>
      </c>
      <c r="U361" s="17">
        <f>IF($A361="","",$M361-$Q361)</f>
        <v/>
      </c>
      <c r="V361" s="17">
        <f>IF($A361="","",$R361-$M361)</f>
        <v/>
      </c>
    </row>
    <row r="362">
      <c r="A362" s="17">
        <f>IF('ANAHTAR'!$B362="","",'ANAHTAR'!$B362)</f>
        <v/>
      </c>
      <c r="B362" s="17">
        <f>IF($A362="","",IFERROR(SUMIF(tblAnahtarA[Norm],$A362,tblGirdi[ToplamSatis]),0))</f>
        <v/>
      </c>
      <c r="C362" s="17">
        <f>IF($A362="","",IFERROR(SUMIF(tblAnahtarA[Norm],$A362,tblGirdi[Maliyet])*IFERROR(SUMIF(tblAnahtarA[Norm],$A362,tblGirdi[Miktar]),1),0))</f>
        <v/>
      </c>
      <c r="D362" s="17">
        <f>IF($A362="","",IFERROR(SUMIF(tblAnahtarA[Norm],$A362,tblGirdi[Miktar]),0))</f>
        <v/>
      </c>
      <c r="E362" s="17">
        <f>IF($A362="","",IFERROR(SUMIF(tblAnahtarA[Norm],$A362,tblGirdi[KomisyonOran]),0))</f>
        <v/>
      </c>
      <c r="F362" s="17">
        <f>IF($A362="","",ROUND($B362*$E362,2))</f>
        <v/>
      </c>
      <c r="G362" s="17">
        <f>IF($A362="","",IFERROR(SUMIF(tblAnahtarB[NormB],$A362,tblHakedis[TyPlus]),0))</f>
        <v/>
      </c>
      <c r="H362" s="17">
        <f>IF($A362="","",IFERROR(SUMIF(tblAnahtarB[NormB],$A362,tblHakedis[FlasKesinti]),0))</f>
        <v/>
      </c>
      <c r="I362" s="17">
        <f>IF($A362="","",IFERROR(SUMIF(tblAnahtarB[NormB],$A362,tblHakedis[UrunReklam]),0))</f>
        <v/>
      </c>
      <c r="J362" s="17">
        <f>IF($A362="","",IFERROR(SUMIF(tblAnahtarB[NormB],$A362,tblHakedis[DesiKargo]),0))</f>
        <v/>
      </c>
      <c r="K362" s="17">
        <f>IF($A362="","",ROUND($F362+$G362+$H362+$I362+$J362,2))</f>
        <v/>
      </c>
      <c r="L362" s="17">
        <f>IF($A362="","",ROUND($B362-$C362,2))</f>
        <v/>
      </c>
      <c r="M362" s="17">
        <f>IF($A362="","",ROUND($B362-$C362-$K362,2))</f>
        <v/>
      </c>
      <c r="N362" s="17">
        <f>IF(OR($A362="",$B362=0),0,$M362/$B362)</f>
        <v/>
      </c>
      <c r="O362" s="17">
        <f>IF($A362="","",IF((1-$E362)&lt;=0,0,IF($D362=0,0,ROUND(($C362+$G362+$H362+$I362+$J362)/$D362/(1-$E362),2))))</f>
        <v/>
      </c>
      <c r="P362" s="17">
        <f>IF($A362="","",IFERROR(SUMIF(tblAnahtarA[Norm],$A362,tblGirdi[HedefNet]),0))</f>
        <v/>
      </c>
      <c r="Q362" s="17">
        <f>IF($A362="","",ROUND($M362-$P362,2))</f>
        <v/>
      </c>
      <c r="R362" s="17">
        <f>IF($A362="","",ROUND($B362-$K362,2))</f>
        <v/>
      </c>
      <c r="S362" s="17">
        <f>IF($A362="","",IF($N362&lt;0,"ÇEKİL",IF($N362&lt;tyk_esikMarjDusuk,"ZAM","SAT")))</f>
        <v/>
      </c>
      <c r="T362" s="17">
        <f>IF($A362="","",$L362-$F362)</f>
        <v/>
      </c>
      <c r="U362" s="17">
        <f>IF($A362="","",$M362-$Q362)</f>
        <v/>
      </c>
      <c r="V362" s="17">
        <f>IF($A362="","",$R362-$M362)</f>
        <v/>
      </c>
    </row>
    <row r="363">
      <c r="A363" s="17">
        <f>IF('ANAHTAR'!$B363="","",'ANAHTAR'!$B363)</f>
        <v/>
      </c>
      <c r="B363" s="17">
        <f>IF($A363="","",IFERROR(SUMIF(tblAnahtarA[Norm],$A363,tblGirdi[ToplamSatis]),0))</f>
        <v/>
      </c>
      <c r="C363" s="17">
        <f>IF($A363="","",IFERROR(SUMIF(tblAnahtarA[Norm],$A363,tblGirdi[Maliyet])*IFERROR(SUMIF(tblAnahtarA[Norm],$A363,tblGirdi[Miktar]),1),0))</f>
        <v/>
      </c>
      <c r="D363" s="17">
        <f>IF($A363="","",IFERROR(SUMIF(tblAnahtarA[Norm],$A363,tblGirdi[Miktar]),0))</f>
        <v/>
      </c>
      <c r="E363" s="17">
        <f>IF($A363="","",IFERROR(SUMIF(tblAnahtarA[Norm],$A363,tblGirdi[KomisyonOran]),0))</f>
        <v/>
      </c>
      <c r="F363" s="17">
        <f>IF($A363="","",ROUND($B363*$E363,2))</f>
        <v/>
      </c>
      <c r="G363" s="17">
        <f>IF($A363="","",IFERROR(SUMIF(tblAnahtarB[NormB],$A363,tblHakedis[TyPlus]),0))</f>
        <v/>
      </c>
      <c r="H363" s="17">
        <f>IF($A363="","",IFERROR(SUMIF(tblAnahtarB[NormB],$A363,tblHakedis[FlasKesinti]),0))</f>
        <v/>
      </c>
      <c r="I363" s="17">
        <f>IF($A363="","",IFERROR(SUMIF(tblAnahtarB[NormB],$A363,tblHakedis[UrunReklam]),0))</f>
        <v/>
      </c>
      <c r="J363" s="17">
        <f>IF($A363="","",IFERROR(SUMIF(tblAnahtarB[NormB],$A363,tblHakedis[DesiKargo]),0))</f>
        <v/>
      </c>
      <c r="K363" s="17">
        <f>IF($A363="","",ROUND($F363+$G363+$H363+$I363+$J363,2))</f>
        <v/>
      </c>
      <c r="L363" s="17">
        <f>IF($A363="","",ROUND($B363-$C363,2))</f>
        <v/>
      </c>
      <c r="M363" s="17">
        <f>IF($A363="","",ROUND($B363-$C363-$K363,2))</f>
        <v/>
      </c>
      <c r="N363" s="17">
        <f>IF(OR($A363="",$B363=0),0,$M363/$B363)</f>
        <v/>
      </c>
      <c r="O363" s="17">
        <f>IF($A363="","",IF((1-$E363)&lt;=0,0,IF($D363=0,0,ROUND(($C363+$G363+$H363+$I363+$J363)/$D363/(1-$E363),2))))</f>
        <v/>
      </c>
      <c r="P363" s="17">
        <f>IF($A363="","",IFERROR(SUMIF(tblAnahtarA[Norm],$A363,tblGirdi[HedefNet]),0))</f>
        <v/>
      </c>
      <c r="Q363" s="17">
        <f>IF($A363="","",ROUND($M363-$P363,2))</f>
        <v/>
      </c>
      <c r="R363" s="17">
        <f>IF($A363="","",ROUND($B363-$K363,2))</f>
        <v/>
      </c>
      <c r="S363" s="17">
        <f>IF($A363="","",IF($N363&lt;0,"ÇEKİL",IF($N363&lt;tyk_esikMarjDusuk,"ZAM","SAT")))</f>
        <v/>
      </c>
      <c r="T363" s="17">
        <f>IF($A363="","",$L363-$F363)</f>
        <v/>
      </c>
      <c r="U363" s="17">
        <f>IF($A363="","",$M363-$Q363)</f>
        <v/>
      </c>
      <c r="V363" s="17">
        <f>IF($A363="","",$R363-$M363)</f>
        <v/>
      </c>
    </row>
    <row r="364">
      <c r="A364" s="17">
        <f>IF('ANAHTAR'!$B364="","",'ANAHTAR'!$B364)</f>
        <v/>
      </c>
      <c r="B364" s="17">
        <f>IF($A364="","",IFERROR(SUMIF(tblAnahtarA[Norm],$A364,tblGirdi[ToplamSatis]),0))</f>
        <v/>
      </c>
      <c r="C364" s="17">
        <f>IF($A364="","",IFERROR(SUMIF(tblAnahtarA[Norm],$A364,tblGirdi[Maliyet])*IFERROR(SUMIF(tblAnahtarA[Norm],$A364,tblGirdi[Miktar]),1),0))</f>
        <v/>
      </c>
      <c r="D364" s="17">
        <f>IF($A364="","",IFERROR(SUMIF(tblAnahtarA[Norm],$A364,tblGirdi[Miktar]),0))</f>
        <v/>
      </c>
      <c r="E364" s="17">
        <f>IF($A364="","",IFERROR(SUMIF(tblAnahtarA[Norm],$A364,tblGirdi[KomisyonOran]),0))</f>
        <v/>
      </c>
      <c r="F364" s="17">
        <f>IF($A364="","",ROUND($B364*$E364,2))</f>
        <v/>
      </c>
      <c r="G364" s="17">
        <f>IF($A364="","",IFERROR(SUMIF(tblAnahtarB[NormB],$A364,tblHakedis[TyPlus]),0))</f>
        <v/>
      </c>
      <c r="H364" s="17">
        <f>IF($A364="","",IFERROR(SUMIF(tblAnahtarB[NormB],$A364,tblHakedis[FlasKesinti]),0))</f>
        <v/>
      </c>
      <c r="I364" s="17">
        <f>IF($A364="","",IFERROR(SUMIF(tblAnahtarB[NormB],$A364,tblHakedis[UrunReklam]),0))</f>
        <v/>
      </c>
      <c r="J364" s="17">
        <f>IF($A364="","",IFERROR(SUMIF(tblAnahtarB[NormB],$A364,tblHakedis[DesiKargo]),0))</f>
        <v/>
      </c>
      <c r="K364" s="17">
        <f>IF($A364="","",ROUND($F364+$G364+$H364+$I364+$J364,2))</f>
        <v/>
      </c>
      <c r="L364" s="17">
        <f>IF($A364="","",ROUND($B364-$C364,2))</f>
        <v/>
      </c>
      <c r="M364" s="17">
        <f>IF($A364="","",ROUND($B364-$C364-$K364,2))</f>
        <v/>
      </c>
      <c r="N364" s="17">
        <f>IF(OR($A364="",$B364=0),0,$M364/$B364)</f>
        <v/>
      </c>
      <c r="O364" s="17">
        <f>IF($A364="","",IF((1-$E364)&lt;=0,0,IF($D364=0,0,ROUND(($C364+$G364+$H364+$I364+$J364)/$D364/(1-$E364),2))))</f>
        <v/>
      </c>
      <c r="P364" s="17">
        <f>IF($A364="","",IFERROR(SUMIF(tblAnahtarA[Norm],$A364,tblGirdi[HedefNet]),0))</f>
        <v/>
      </c>
      <c r="Q364" s="17">
        <f>IF($A364="","",ROUND($M364-$P364,2))</f>
        <v/>
      </c>
      <c r="R364" s="17">
        <f>IF($A364="","",ROUND($B364-$K364,2))</f>
        <v/>
      </c>
      <c r="S364" s="17">
        <f>IF($A364="","",IF($N364&lt;0,"ÇEKİL",IF($N364&lt;tyk_esikMarjDusuk,"ZAM","SAT")))</f>
        <v/>
      </c>
      <c r="T364" s="17">
        <f>IF($A364="","",$L364-$F364)</f>
        <v/>
      </c>
      <c r="U364" s="17">
        <f>IF($A364="","",$M364-$Q364)</f>
        <v/>
      </c>
      <c r="V364" s="17">
        <f>IF($A364="","",$R364-$M364)</f>
        <v/>
      </c>
    </row>
    <row r="365">
      <c r="A365" s="17">
        <f>IF('ANAHTAR'!$B365="","",'ANAHTAR'!$B365)</f>
        <v/>
      </c>
      <c r="B365" s="17">
        <f>IF($A365="","",IFERROR(SUMIF(tblAnahtarA[Norm],$A365,tblGirdi[ToplamSatis]),0))</f>
        <v/>
      </c>
      <c r="C365" s="17">
        <f>IF($A365="","",IFERROR(SUMIF(tblAnahtarA[Norm],$A365,tblGirdi[Maliyet])*IFERROR(SUMIF(tblAnahtarA[Norm],$A365,tblGirdi[Miktar]),1),0))</f>
        <v/>
      </c>
      <c r="D365" s="17">
        <f>IF($A365="","",IFERROR(SUMIF(tblAnahtarA[Norm],$A365,tblGirdi[Miktar]),0))</f>
        <v/>
      </c>
      <c r="E365" s="17">
        <f>IF($A365="","",IFERROR(SUMIF(tblAnahtarA[Norm],$A365,tblGirdi[KomisyonOran]),0))</f>
        <v/>
      </c>
      <c r="F365" s="17">
        <f>IF($A365="","",ROUND($B365*$E365,2))</f>
        <v/>
      </c>
      <c r="G365" s="17">
        <f>IF($A365="","",IFERROR(SUMIF(tblAnahtarB[NormB],$A365,tblHakedis[TyPlus]),0))</f>
        <v/>
      </c>
      <c r="H365" s="17">
        <f>IF($A365="","",IFERROR(SUMIF(tblAnahtarB[NormB],$A365,tblHakedis[FlasKesinti]),0))</f>
        <v/>
      </c>
      <c r="I365" s="17">
        <f>IF($A365="","",IFERROR(SUMIF(tblAnahtarB[NormB],$A365,tblHakedis[UrunReklam]),0))</f>
        <v/>
      </c>
      <c r="J365" s="17">
        <f>IF($A365="","",IFERROR(SUMIF(tblAnahtarB[NormB],$A365,tblHakedis[DesiKargo]),0))</f>
        <v/>
      </c>
      <c r="K365" s="17">
        <f>IF($A365="","",ROUND($F365+$G365+$H365+$I365+$J365,2))</f>
        <v/>
      </c>
      <c r="L365" s="17">
        <f>IF($A365="","",ROUND($B365-$C365,2))</f>
        <v/>
      </c>
      <c r="M365" s="17">
        <f>IF($A365="","",ROUND($B365-$C365-$K365,2))</f>
        <v/>
      </c>
      <c r="N365" s="17">
        <f>IF(OR($A365="",$B365=0),0,$M365/$B365)</f>
        <v/>
      </c>
      <c r="O365" s="17">
        <f>IF($A365="","",IF((1-$E365)&lt;=0,0,IF($D365=0,0,ROUND(($C365+$G365+$H365+$I365+$J365)/$D365/(1-$E365),2))))</f>
        <v/>
      </c>
      <c r="P365" s="17">
        <f>IF($A365="","",IFERROR(SUMIF(tblAnahtarA[Norm],$A365,tblGirdi[HedefNet]),0))</f>
        <v/>
      </c>
      <c r="Q365" s="17">
        <f>IF($A365="","",ROUND($M365-$P365,2))</f>
        <v/>
      </c>
      <c r="R365" s="17">
        <f>IF($A365="","",ROUND($B365-$K365,2))</f>
        <v/>
      </c>
      <c r="S365" s="17">
        <f>IF($A365="","",IF($N365&lt;0,"ÇEKİL",IF($N365&lt;tyk_esikMarjDusuk,"ZAM","SAT")))</f>
        <v/>
      </c>
      <c r="T365" s="17">
        <f>IF($A365="","",$L365-$F365)</f>
        <v/>
      </c>
      <c r="U365" s="17">
        <f>IF($A365="","",$M365-$Q365)</f>
        <v/>
      </c>
      <c r="V365" s="17">
        <f>IF($A365="","",$R365-$M365)</f>
        <v/>
      </c>
    </row>
    <row r="366">
      <c r="A366" s="17">
        <f>IF('ANAHTAR'!$B366="","",'ANAHTAR'!$B366)</f>
        <v/>
      </c>
      <c r="B366" s="17">
        <f>IF($A366="","",IFERROR(SUMIF(tblAnahtarA[Norm],$A366,tblGirdi[ToplamSatis]),0))</f>
        <v/>
      </c>
      <c r="C366" s="17">
        <f>IF($A366="","",IFERROR(SUMIF(tblAnahtarA[Norm],$A366,tblGirdi[Maliyet])*IFERROR(SUMIF(tblAnahtarA[Norm],$A366,tblGirdi[Miktar]),1),0))</f>
        <v/>
      </c>
      <c r="D366" s="17">
        <f>IF($A366="","",IFERROR(SUMIF(tblAnahtarA[Norm],$A366,tblGirdi[Miktar]),0))</f>
        <v/>
      </c>
      <c r="E366" s="17">
        <f>IF($A366="","",IFERROR(SUMIF(tblAnahtarA[Norm],$A366,tblGirdi[KomisyonOran]),0))</f>
        <v/>
      </c>
      <c r="F366" s="17">
        <f>IF($A366="","",ROUND($B366*$E366,2))</f>
        <v/>
      </c>
      <c r="G366" s="17">
        <f>IF($A366="","",IFERROR(SUMIF(tblAnahtarB[NormB],$A366,tblHakedis[TyPlus]),0))</f>
        <v/>
      </c>
      <c r="H366" s="17">
        <f>IF($A366="","",IFERROR(SUMIF(tblAnahtarB[NormB],$A366,tblHakedis[FlasKesinti]),0))</f>
        <v/>
      </c>
      <c r="I366" s="17">
        <f>IF($A366="","",IFERROR(SUMIF(tblAnahtarB[NormB],$A366,tblHakedis[UrunReklam]),0))</f>
        <v/>
      </c>
      <c r="J366" s="17">
        <f>IF($A366="","",IFERROR(SUMIF(tblAnahtarB[NormB],$A366,tblHakedis[DesiKargo]),0))</f>
        <v/>
      </c>
      <c r="K366" s="17">
        <f>IF($A366="","",ROUND($F366+$G366+$H366+$I366+$J366,2))</f>
        <v/>
      </c>
      <c r="L366" s="17">
        <f>IF($A366="","",ROUND($B366-$C366,2))</f>
        <v/>
      </c>
      <c r="M366" s="17">
        <f>IF($A366="","",ROUND($B366-$C366-$K366,2))</f>
        <v/>
      </c>
      <c r="N366" s="17">
        <f>IF(OR($A366="",$B366=0),0,$M366/$B366)</f>
        <v/>
      </c>
      <c r="O366" s="17">
        <f>IF($A366="","",IF((1-$E366)&lt;=0,0,IF($D366=0,0,ROUND(($C366+$G366+$H366+$I366+$J366)/$D366/(1-$E366),2))))</f>
        <v/>
      </c>
      <c r="P366" s="17">
        <f>IF($A366="","",IFERROR(SUMIF(tblAnahtarA[Norm],$A366,tblGirdi[HedefNet]),0))</f>
        <v/>
      </c>
      <c r="Q366" s="17">
        <f>IF($A366="","",ROUND($M366-$P366,2))</f>
        <v/>
      </c>
      <c r="R366" s="17">
        <f>IF($A366="","",ROUND($B366-$K366,2))</f>
        <v/>
      </c>
      <c r="S366" s="17">
        <f>IF($A366="","",IF($N366&lt;0,"ÇEKİL",IF($N366&lt;tyk_esikMarjDusuk,"ZAM","SAT")))</f>
        <v/>
      </c>
      <c r="T366" s="17">
        <f>IF($A366="","",$L366-$F366)</f>
        <v/>
      </c>
      <c r="U366" s="17">
        <f>IF($A366="","",$M366-$Q366)</f>
        <v/>
      </c>
      <c r="V366" s="17">
        <f>IF($A366="","",$R366-$M366)</f>
        <v/>
      </c>
    </row>
    <row r="367">
      <c r="A367" s="17">
        <f>IF('ANAHTAR'!$B367="","",'ANAHTAR'!$B367)</f>
        <v/>
      </c>
      <c r="B367" s="17">
        <f>IF($A367="","",IFERROR(SUMIF(tblAnahtarA[Norm],$A367,tblGirdi[ToplamSatis]),0))</f>
        <v/>
      </c>
      <c r="C367" s="17">
        <f>IF($A367="","",IFERROR(SUMIF(tblAnahtarA[Norm],$A367,tblGirdi[Maliyet])*IFERROR(SUMIF(tblAnahtarA[Norm],$A367,tblGirdi[Miktar]),1),0))</f>
        <v/>
      </c>
      <c r="D367" s="17">
        <f>IF($A367="","",IFERROR(SUMIF(tblAnahtarA[Norm],$A367,tblGirdi[Miktar]),0))</f>
        <v/>
      </c>
      <c r="E367" s="17">
        <f>IF($A367="","",IFERROR(SUMIF(tblAnahtarA[Norm],$A367,tblGirdi[KomisyonOran]),0))</f>
        <v/>
      </c>
      <c r="F367" s="17">
        <f>IF($A367="","",ROUND($B367*$E367,2))</f>
        <v/>
      </c>
      <c r="G367" s="17">
        <f>IF($A367="","",IFERROR(SUMIF(tblAnahtarB[NormB],$A367,tblHakedis[TyPlus]),0))</f>
        <v/>
      </c>
      <c r="H367" s="17">
        <f>IF($A367="","",IFERROR(SUMIF(tblAnahtarB[NormB],$A367,tblHakedis[FlasKesinti]),0))</f>
        <v/>
      </c>
      <c r="I367" s="17">
        <f>IF($A367="","",IFERROR(SUMIF(tblAnahtarB[NormB],$A367,tblHakedis[UrunReklam]),0))</f>
        <v/>
      </c>
      <c r="J367" s="17">
        <f>IF($A367="","",IFERROR(SUMIF(tblAnahtarB[NormB],$A367,tblHakedis[DesiKargo]),0))</f>
        <v/>
      </c>
      <c r="K367" s="17">
        <f>IF($A367="","",ROUND($F367+$G367+$H367+$I367+$J367,2))</f>
        <v/>
      </c>
      <c r="L367" s="17">
        <f>IF($A367="","",ROUND($B367-$C367,2))</f>
        <v/>
      </c>
      <c r="M367" s="17">
        <f>IF($A367="","",ROUND($B367-$C367-$K367,2))</f>
        <v/>
      </c>
      <c r="N367" s="17">
        <f>IF(OR($A367="",$B367=0),0,$M367/$B367)</f>
        <v/>
      </c>
      <c r="O367" s="17">
        <f>IF($A367="","",IF((1-$E367)&lt;=0,0,IF($D367=0,0,ROUND(($C367+$G367+$H367+$I367+$J367)/$D367/(1-$E367),2))))</f>
        <v/>
      </c>
      <c r="P367" s="17">
        <f>IF($A367="","",IFERROR(SUMIF(tblAnahtarA[Norm],$A367,tblGirdi[HedefNet]),0))</f>
        <v/>
      </c>
      <c r="Q367" s="17">
        <f>IF($A367="","",ROUND($M367-$P367,2))</f>
        <v/>
      </c>
      <c r="R367" s="17">
        <f>IF($A367="","",ROUND($B367-$K367,2))</f>
        <v/>
      </c>
      <c r="S367" s="17">
        <f>IF($A367="","",IF($N367&lt;0,"ÇEKİL",IF($N367&lt;tyk_esikMarjDusuk,"ZAM","SAT")))</f>
        <v/>
      </c>
      <c r="T367" s="17">
        <f>IF($A367="","",$L367-$F367)</f>
        <v/>
      </c>
      <c r="U367" s="17">
        <f>IF($A367="","",$M367-$Q367)</f>
        <v/>
      </c>
      <c r="V367" s="17">
        <f>IF($A367="","",$R367-$M367)</f>
        <v/>
      </c>
    </row>
    <row r="368">
      <c r="A368" s="17">
        <f>IF('ANAHTAR'!$B368="","",'ANAHTAR'!$B368)</f>
        <v/>
      </c>
      <c r="B368" s="17">
        <f>IF($A368="","",IFERROR(SUMIF(tblAnahtarA[Norm],$A368,tblGirdi[ToplamSatis]),0))</f>
        <v/>
      </c>
      <c r="C368" s="17">
        <f>IF($A368="","",IFERROR(SUMIF(tblAnahtarA[Norm],$A368,tblGirdi[Maliyet])*IFERROR(SUMIF(tblAnahtarA[Norm],$A368,tblGirdi[Miktar]),1),0))</f>
        <v/>
      </c>
      <c r="D368" s="17">
        <f>IF($A368="","",IFERROR(SUMIF(tblAnahtarA[Norm],$A368,tblGirdi[Miktar]),0))</f>
        <v/>
      </c>
      <c r="E368" s="17">
        <f>IF($A368="","",IFERROR(SUMIF(tblAnahtarA[Norm],$A368,tblGirdi[KomisyonOran]),0))</f>
        <v/>
      </c>
      <c r="F368" s="17">
        <f>IF($A368="","",ROUND($B368*$E368,2))</f>
        <v/>
      </c>
      <c r="G368" s="17">
        <f>IF($A368="","",IFERROR(SUMIF(tblAnahtarB[NormB],$A368,tblHakedis[TyPlus]),0))</f>
        <v/>
      </c>
      <c r="H368" s="17">
        <f>IF($A368="","",IFERROR(SUMIF(tblAnahtarB[NormB],$A368,tblHakedis[FlasKesinti]),0))</f>
        <v/>
      </c>
      <c r="I368" s="17">
        <f>IF($A368="","",IFERROR(SUMIF(tblAnahtarB[NormB],$A368,tblHakedis[UrunReklam]),0))</f>
        <v/>
      </c>
      <c r="J368" s="17">
        <f>IF($A368="","",IFERROR(SUMIF(tblAnahtarB[NormB],$A368,tblHakedis[DesiKargo]),0))</f>
        <v/>
      </c>
      <c r="K368" s="17">
        <f>IF($A368="","",ROUND($F368+$G368+$H368+$I368+$J368,2))</f>
        <v/>
      </c>
      <c r="L368" s="17">
        <f>IF($A368="","",ROUND($B368-$C368,2))</f>
        <v/>
      </c>
      <c r="M368" s="17">
        <f>IF($A368="","",ROUND($B368-$C368-$K368,2))</f>
        <v/>
      </c>
      <c r="N368" s="17">
        <f>IF(OR($A368="",$B368=0),0,$M368/$B368)</f>
        <v/>
      </c>
      <c r="O368" s="17">
        <f>IF($A368="","",IF((1-$E368)&lt;=0,0,IF($D368=0,0,ROUND(($C368+$G368+$H368+$I368+$J368)/$D368/(1-$E368),2))))</f>
        <v/>
      </c>
      <c r="P368" s="17">
        <f>IF($A368="","",IFERROR(SUMIF(tblAnahtarA[Norm],$A368,tblGirdi[HedefNet]),0))</f>
        <v/>
      </c>
      <c r="Q368" s="17">
        <f>IF($A368="","",ROUND($M368-$P368,2))</f>
        <v/>
      </c>
      <c r="R368" s="17">
        <f>IF($A368="","",ROUND($B368-$K368,2))</f>
        <v/>
      </c>
      <c r="S368" s="17">
        <f>IF($A368="","",IF($N368&lt;0,"ÇEKİL",IF($N368&lt;tyk_esikMarjDusuk,"ZAM","SAT")))</f>
        <v/>
      </c>
      <c r="T368" s="17">
        <f>IF($A368="","",$L368-$F368)</f>
        <v/>
      </c>
      <c r="U368" s="17">
        <f>IF($A368="","",$M368-$Q368)</f>
        <v/>
      </c>
      <c r="V368" s="17">
        <f>IF($A368="","",$R368-$M368)</f>
        <v/>
      </c>
    </row>
    <row r="369">
      <c r="A369" s="17">
        <f>IF('ANAHTAR'!$B369="","",'ANAHTAR'!$B369)</f>
        <v/>
      </c>
      <c r="B369" s="17">
        <f>IF($A369="","",IFERROR(SUMIF(tblAnahtarA[Norm],$A369,tblGirdi[ToplamSatis]),0))</f>
        <v/>
      </c>
      <c r="C369" s="17">
        <f>IF($A369="","",IFERROR(SUMIF(tblAnahtarA[Norm],$A369,tblGirdi[Maliyet])*IFERROR(SUMIF(tblAnahtarA[Norm],$A369,tblGirdi[Miktar]),1),0))</f>
        <v/>
      </c>
      <c r="D369" s="17">
        <f>IF($A369="","",IFERROR(SUMIF(tblAnahtarA[Norm],$A369,tblGirdi[Miktar]),0))</f>
        <v/>
      </c>
      <c r="E369" s="17">
        <f>IF($A369="","",IFERROR(SUMIF(tblAnahtarA[Norm],$A369,tblGirdi[KomisyonOran]),0))</f>
        <v/>
      </c>
      <c r="F369" s="17">
        <f>IF($A369="","",ROUND($B369*$E369,2))</f>
        <v/>
      </c>
      <c r="G369" s="17">
        <f>IF($A369="","",IFERROR(SUMIF(tblAnahtarB[NormB],$A369,tblHakedis[TyPlus]),0))</f>
        <v/>
      </c>
      <c r="H369" s="17">
        <f>IF($A369="","",IFERROR(SUMIF(tblAnahtarB[NormB],$A369,tblHakedis[FlasKesinti]),0))</f>
        <v/>
      </c>
      <c r="I369" s="17">
        <f>IF($A369="","",IFERROR(SUMIF(tblAnahtarB[NormB],$A369,tblHakedis[UrunReklam]),0))</f>
        <v/>
      </c>
      <c r="J369" s="17">
        <f>IF($A369="","",IFERROR(SUMIF(tblAnahtarB[NormB],$A369,tblHakedis[DesiKargo]),0))</f>
        <v/>
      </c>
      <c r="K369" s="17">
        <f>IF($A369="","",ROUND($F369+$G369+$H369+$I369+$J369,2))</f>
        <v/>
      </c>
      <c r="L369" s="17">
        <f>IF($A369="","",ROUND($B369-$C369,2))</f>
        <v/>
      </c>
      <c r="M369" s="17">
        <f>IF($A369="","",ROUND($B369-$C369-$K369,2))</f>
        <v/>
      </c>
      <c r="N369" s="17">
        <f>IF(OR($A369="",$B369=0),0,$M369/$B369)</f>
        <v/>
      </c>
      <c r="O369" s="17">
        <f>IF($A369="","",IF((1-$E369)&lt;=0,0,IF($D369=0,0,ROUND(($C369+$G369+$H369+$I369+$J369)/$D369/(1-$E369),2))))</f>
        <v/>
      </c>
      <c r="P369" s="17">
        <f>IF($A369="","",IFERROR(SUMIF(tblAnahtarA[Norm],$A369,tblGirdi[HedefNet]),0))</f>
        <v/>
      </c>
      <c r="Q369" s="17">
        <f>IF($A369="","",ROUND($M369-$P369,2))</f>
        <v/>
      </c>
      <c r="R369" s="17">
        <f>IF($A369="","",ROUND($B369-$K369,2))</f>
        <v/>
      </c>
      <c r="S369" s="17">
        <f>IF($A369="","",IF($N369&lt;0,"ÇEKİL",IF($N369&lt;tyk_esikMarjDusuk,"ZAM","SAT")))</f>
        <v/>
      </c>
      <c r="T369" s="17">
        <f>IF($A369="","",$L369-$F369)</f>
        <v/>
      </c>
      <c r="U369" s="17">
        <f>IF($A369="","",$M369-$Q369)</f>
        <v/>
      </c>
      <c r="V369" s="17">
        <f>IF($A369="","",$R369-$M369)</f>
        <v/>
      </c>
    </row>
    <row r="370">
      <c r="A370" s="17">
        <f>IF('ANAHTAR'!$B370="","",'ANAHTAR'!$B370)</f>
        <v/>
      </c>
      <c r="B370" s="17">
        <f>IF($A370="","",IFERROR(SUMIF(tblAnahtarA[Norm],$A370,tblGirdi[ToplamSatis]),0))</f>
        <v/>
      </c>
      <c r="C370" s="17">
        <f>IF($A370="","",IFERROR(SUMIF(tblAnahtarA[Norm],$A370,tblGirdi[Maliyet])*IFERROR(SUMIF(tblAnahtarA[Norm],$A370,tblGirdi[Miktar]),1),0))</f>
        <v/>
      </c>
      <c r="D370" s="17">
        <f>IF($A370="","",IFERROR(SUMIF(tblAnahtarA[Norm],$A370,tblGirdi[Miktar]),0))</f>
        <v/>
      </c>
      <c r="E370" s="17">
        <f>IF($A370="","",IFERROR(SUMIF(tblAnahtarA[Norm],$A370,tblGirdi[KomisyonOran]),0))</f>
        <v/>
      </c>
      <c r="F370" s="17">
        <f>IF($A370="","",ROUND($B370*$E370,2))</f>
        <v/>
      </c>
      <c r="G370" s="17">
        <f>IF($A370="","",IFERROR(SUMIF(tblAnahtarB[NormB],$A370,tblHakedis[TyPlus]),0))</f>
        <v/>
      </c>
      <c r="H370" s="17">
        <f>IF($A370="","",IFERROR(SUMIF(tblAnahtarB[NormB],$A370,tblHakedis[FlasKesinti]),0))</f>
        <v/>
      </c>
      <c r="I370" s="17">
        <f>IF($A370="","",IFERROR(SUMIF(tblAnahtarB[NormB],$A370,tblHakedis[UrunReklam]),0))</f>
        <v/>
      </c>
      <c r="J370" s="17">
        <f>IF($A370="","",IFERROR(SUMIF(tblAnahtarB[NormB],$A370,tblHakedis[DesiKargo]),0))</f>
        <v/>
      </c>
      <c r="K370" s="17">
        <f>IF($A370="","",ROUND($F370+$G370+$H370+$I370+$J370,2))</f>
        <v/>
      </c>
      <c r="L370" s="17">
        <f>IF($A370="","",ROUND($B370-$C370,2))</f>
        <v/>
      </c>
      <c r="M370" s="17">
        <f>IF($A370="","",ROUND($B370-$C370-$K370,2))</f>
        <v/>
      </c>
      <c r="N370" s="17">
        <f>IF(OR($A370="",$B370=0),0,$M370/$B370)</f>
        <v/>
      </c>
      <c r="O370" s="17">
        <f>IF($A370="","",IF((1-$E370)&lt;=0,0,IF($D370=0,0,ROUND(($C370+$G370+$H370+$I370+$J370)/$D370/(1-$E370),2))))</f>
        <v/>
      </c>
      <c r="P370" s="17">
        <f>IF($A370="","",IFERROR(SUMIF(tblAnahtarA[Norm],$A370,tblGirdi[HedefNet]),0))</f>
        <v/>
      </c>
      <c r="Q370" s="17">
        <f>IF($A370="","",ROUND($M370-$P370,2))</f>
        <v/>
      </c>
      <c r="R370" s="17">
        <f>IF($A370="","",ROUND($B370-$K370,2))</f>
        <v/>
      </c>
      <c r="S370" s="17">
        <f>IF($A370="","",IF($N370&lt;0,"ÇEKİL",IF($N370&lt;tyk_esikMarjDusuk,"ZAM","SAT")))</f>
        <v/>
      </c>
      <c r="T370" s="17">
        <f>IF($A370="","",$L370-$F370)</f>
        <v/>
      </c>
      <c r="U370" s="17">
        <f>IF($A370="","",$M370-$Q370)</f>
        <v/>
      </c>
      <c r="V370" s="17">
        <f>IF($A370="","",$R370-$M370)</f>
        <v/>
      </c>
    </row>
    <row r="371">
      <c r="A371" s="17">
        <f>IF('ANAHTAR'!$B371="","",'ANAHTAR'!$B371)</f>
        <v/>
      </c>
      <c r="B371" s="17">
        <f>IF($A371="","",IFERROR(SUMIF(tblAnahtarA[Norm],$A371,tblGirdi[ToplamSatis]),0))</f>
        <v/>
      </c>
      <c r="C371" s="17">
        <f>IF($A371="","",IFERROR(SUMIF(tblAnahtarA[Norm],$A371,tblGirdi[Maliyet])*IFERROR(SUMIF(tblAnahtarA[Norm],$A371,tblGirdi[Miktar]),1),0))</f>
        <v/>
      </c>
      <c r="D371" s="17">
        <f>IF($A371="","",IFERROR(SUMIF(tblAnahtarA[Norm],$A371,tblGirdi[Miktar]),0))</f>
        <v/>
      </c>
      <c r="E371" s="17">
        <f>IF($A371="","",IFERROR(SUMIF(tblAnahtarA[Norm],$A371,tblGirdi[KomisyonOran]),0))</f>
        <v/>
      </c>
      <c r="F371" s="17">
        <f>IF($A371="","",ROUND($B371*$E371,2))</f>
        <v/>
      </c>
      <c r="G371" s="17">
        <f>IF($A371="","",IFERROR(SUMIF(tblAnahtarB[NormB],$A371,tblHakedis[TyPlus]),0))</f>
        <v/>
      </c>
      <c r="H371" s="17">
        <f>IF($A371="","",IFERROR(SUMIF(tblAnahtarB[NormB],$A371,tblHakedis[FlasKesinti]),0))</f>
        <v/>
      </c>
      <c r="I371" s="17">
        <f>IF($A371="","",IFERROR(SUMIF(tblAnahtarB[NormB],$A371,tblHakedis[UrunReklam]),0))</f>
        <v/>
      </c>
      <c r="J371" s="17">
        <f>IF($A371="","",IFERROR(SUMIF(tblAnahtarB[NormB],$A371,tblHakedis[DesiKargo]),0))</f>
        <v/>
      </c>
      <c r="K371" s="17">
        <f>IF($A371="","",ROUND($F371+$G371+$H371+$I371+$J371,2))</f>
        <v/>
      </c>
      <c r="L371" s="17">
        <f>IF($A371="","",ROUND($B371-$C371,2))</f>
        <v/>
      </c>
      <c r="M371" s="17">
        <f>IF($A371="","",ROUND($B371-$C371-$K371,2))</f>
        <v/>
      </c>
      <c r="N371" s="17">
        <f>IF(OR($A371="",$B371=0),0,$M371/$B371)</f>
        <v/>
      </c>
      <c r="O371" s="17">
        <f>IF($A371="","",IF((1-$E371)&lt;=0,0,IF($D371=0,0,ROUND(($C371+$G371+$H371+$I371+$J371)/$D371/(1-$E371),2))))</f>
        <v/>
      </c>
      <c r="P371" s="17">
        <f>IF($A371="","",IFERROR(SUMIF(tblAnahtarA[Norm],$A371,tblGirdi[HedefNet]),0))</f>
        <v/>
      </c>
      <c r="Q371" s="17">
        <f>IF($A371="","",ROUND($M371-$P371,2))</f>
        <v/>
      </c>
      <c r="R371" s="17">
        <f>IF($A371="","",ROUND($B371-$K371,2))</f>
        <v/>
      </c>
      <c r="S371" s="17">
        <f>IF($A371="","",IF($N371&lt;0,"ÇEKİL",IF($N371&lt;tyk_esikMarjDusuk,"ZAM","SAT")))</f>
        <v/>
      </c>
      <c r="T371" s="17">
        <f>IF($A371="","",$L371-$F371)</f>
        <v/>
      </c>
      <c r="U371" s="17">
        <f>IF($A371="","",$M371-$Q371)</f>
        <v/>
      </c>
      <c r="V371" s="17">
        <f>IF($A371="","",$R371-$M371)</f>
        <v/>
      </c>
    </row>
    <row r="372">
      <c r="A372" s="17">
        <f>IF('ANAHTAR'!$B372="","",'ANAHTAR'!$B372)</f>
        <v/>
      </c>
      <c r="B372" s="17">
        <f>IF($A372="","",IFERROR(SUMIF(tblAnahtarA[Norm],$A372,tblGirdi[ToplamSatis]),0))</f>
        <v/>
      </c>
      <c r="C372" s="17">
        <f>IF($A372="","",IFERROR(SUMIF(tblAnahtarA[Norm],$A372,tblGirdi[Maliyet])*IFERROR(SUMIF(tblAnahtarA[Norm],$A372,tblGirdi[Miktar]),1),0))</f>
        <v/>
      </c>
      <c r="D372" s="17">
        <f>IF($A372="","",IFERROR(SUMIF(tblAnahtarA[Norm],$A372,tblGirdi[Miktar]),0))</f>
        <v/>
      </c>
      <c r="E372" s="17">
        <f>IF($A372="","",IFERROR(SUMIF(tblAnahtarA[Norm],$A372,tblGirdi[KomisyonOran]),0))</f>
        <v/>
      </c>
      <c r="F372" s="17">
        <f>IF($A372="","",ROUND($B372*$E372,2))</f>
        <v/>
      </c>
      <c r="G372" s="17">
        <f>IF($A372="","",IFERROR(SUMIF(tblAnahtarB[NormB],$A372,tblHakedis[TyPlus]),0))</f>
        <v/>
      </c>
      <c r="H372" s="17">
        <f>IF($A372="","",IFERROR(SUMIF(tblAnahtarB[NormB],$A372,tblHakedis[FlasKesinti]),0))</f>
        <v/>
      </c>
      <c r="I372" s="17">
        <f>IF($A372="","",IFERROR(SUMIF(tblAnahtarB[NormB],$A372,tblHakedis[UrunReklam]),0))</f>
        <v/>
      </c>
      <c r="J372" s="17">
        <f>IF($A372="","",IFERROR(SUMIF(tblAnahtarB[NormB],$A372,tblHakedis[DesiKargo]),0))</f>
        <v/>
      </c>
      <c r="K372" s="17">
        <f>IF($A372="","",ROUND($F372+$G372+$H372+$I372+$J372,2))</f>
        <v/>
      </c>
      <c r="L372" s="17">
        <f>IF($A372="","",ROUND($B372-$C372,2))</f>
        <v/>
      </c>
      <c r="M372" s="17">
        <f>IF($A372="","",ROUND($B372-$C372-$K372,2))</f>
        <v/>
      </c>
      <c r="N372" s="17">
        <f>IF(OR($A372="",$B372=0),0,$M372/$B372)</f>
        <v/>
      </c>
      <c r="O372" s="17">
        <f>IF($A372="","",IF((1-$E372)&lt;=0,0,IF($D372=0,0,ROUND(($C372+$G372+$H372+$I372+$J372)/$D372/(1-$E372),2))))</f>
        <v/>
      </c>
      <c r="P372" s="17">
        <f>IF($A372="","",IFERROR(SUMIF(tblAnahtarA[Norm],$A372,tblGirdi[HedefNet]),0))</f>
        <v/>
      </c>
      <c r="Q372" s="17">
        <f>IF($A372="","",ROUND($M372-$P372,2))</f>
        <v/>
      </c>
      <c r="R372" s="17">
        <f>IF($A372="","",ROUND($B372-$K372,2))</f>
        <v/>
      </c>
      <c r="S372" s="17">
        <f>IF($A372="","",IF($N372&lt;0,"ÇEKİL",IF($N372&lt;tyk_esikMarjDusuk,"ZAM","SAT")))</f>
        <v/>
      </c>
      <c r="T372" s="17">
        <f>IF($A372="","",$L372-$F372)</f>
        <v/>
      </c>
      <c r="U372" s="17">
        <f>IF($A372="","",$M372-$Q372)</f>
        <v/>
      </c>
      <c r="V372" s="17">
        <f>IF($A372="","",$R372-$M372)</f>
        <v/>
      </c>
    </row>
    <row r="373">
      <c r="A373" s="17">
        <f>IF('ANAHTAR'!$B373="","",'ANAHTAR'!$B373)</f>
        <v/>
      </c>
      <c r="B373" s="17">
        <f>IF($A373="","",IFERROR(SUMIF(tblAnahtarA[Norm],$A373,tblGirdi[ToplamSatis]),0))</f>
        <v/>
      </c>
      <c r="C373" s="17">
        <f>IF($A373="","",IFERROR(SUMIF(tblAnahtarA[Norm],$A373,tblGirdi[Maliyet])*IFERROR(SUMIF(tblAnahtarA[Norm],$A373,tblGirdi[Miktar]),1),0))</f>
        <v/>
      </c>
      <c r="D373" s="17">
        <f>IF($A373="","",IFERROR(SUMIF(tblAnahtarA[Norm],$A373,tblGirdi[Miktar]),0))</f>
        <v/>
      </c>
      <c r="E373" s="17">
        <f>IF($A373="","",IFERROR(SUMIF(tblAnahtarA[Norm],$A373,tblGirdi[KomisyonOran]),0))</f>
        <v/>
      </c>
      <c r="F373" s="17">
        <f>IF($A373="","",ROUND($B373*$E373,2))</f>
        <v/>
      </c>
      <c r="G373" s="17">
        <f>IF($A373="","",IFERROR(SUMIF(tblAnahtarB[NormB],$A373,tblHakedis[TyPlus]),0))</f>
        <v/>
      </c>
      <c r="H373" s="17">
        <f>IF($A373="","",IFERROR(SUMIF(tblAnahtarB[NormB],$A373,tblHakedis[FlasKesinti]),0))</f>
        <v/>
      </c>
      <c r="I373" s="17">
        <f>IF($A373="","",IFERROR(SUMIF(tblAnahtarB[NormB],$A373,tblHakedis[UrunReklam]),0))</f>
        <v/>
      </c>
      <c r="J373" s="17">
        <f>IF($A373="","",IFERROR(SUMIF(tblAnahtarB[NormB],$A373,tblHakedis[DesiKargo]),0))</f>
        <v/>
      </c>
      <c r="K373" s="17">
        <f>IF($A373="","",ROUND($F373+$G373+$H373+$I373+$J373,2))</f>
        <v/>
      </c>
      <c r="L373" s="17">
        <f>IF($A373="","",ROUND($B373-$C373,2))</f>
        <v/>
      </c>
      <c r="M373" s="17">
        <f>IF($A373="","",ROUND($B373-$C373-$K373,2))</f>
        <v/>
      </c>
      <c r="N373" s="17">
        <f>IF(OR($A373="",$B373=0),0,$M373/$B373)</f>
        <v/>
      </c>
      <c r="O373" s="17">
        <f>IF($A373="","",IF((1-$E373)&lt;=0,0,IF($D373=0,0,ROUND(($C373+$G373+$H373+$I373+$J373)/$D373/(1-$E373),2))))</f>
        <v/>
      </c>
      <c r="P373" s="17">
        <f>IF($A373="","",IFERROR(SUMIF(tblAnahtarA[Norm],$A373,tblGirdi[HedefNet]),0))</f>
        <v/>
      </c>
      <c r="Q373" s="17">
        <f>IF($A373="","",ROUND($M373-$P373,2))</f>
        <v/>
      </c>
      <c r="R373" s="17">
        <f>IF($A373="","",ROUND($B373-$K373,2))</f>
        <v/>
      </c>
      <c r="S373" s="17">
        <f>IF($A373="","",IF($N373&lt;0,"ÇEKİL",IF($N373&lt;tyk_esikMarjDusuk,"ZAM","SAT")))</f>
        <v/>
      </c>
      <c r="T373" s="17">
        <f>IF($A373="","",$L373-$F373)</f>
        <v/>
      </c>
      <c r="U373" s="17">
        <f>IF($A373="","",$M373-$Q373)</f>
        <v/>
      </c>
      <c r="V373" s="17">
        <f>IF($A373="","",$R373-$M373)</f>
        <v/>
      </c>
    </row>
    <row r="374">
      <c r="A374" s="17">
        <f>IF('ANAHTAR'!$B374="","",'ANAHTAR'!$B374)</f>
        <v/>
      </c>
      <c r="B374" s="17">
        <f>IF($A374="","",IFERROR(SUMIF(tblAnahtarA[Norm],$A374,tblGirdi[ToplamSatis]),0))</f>
        <v/>
      </c>
      <c r="C374" s="17">
        <f>IF($A374="","",IFERROR(SUMIF(tblAnahtarA[Norm],$A374,tblGirdi[Maliyet])*IFERROR(SUMIF(tblAnahtarA[Norm],$A374,tblGirdi[Miktar]),1),0))</f>
        <v/>
      </c>
      <c r="D374" s="17">
        <f>IF($A374="","",IFERROR(SUMIF(tblAnahtarA[Norm],$A374,tblGirdi[Miktar]),0))</f>
        <v/>
      </c>
      <c r="E374" s="17">
        <f>IF($A374="","",IFERROR(SUMIF(tblAnahtarA[Norm],$A374,tblGirdi[KomisyonOran]),0))</f>
        <v/>
      </c>
      <c r="F374" s="17">
        <f>IF($A374="","",ROUND($B374*$E374,2))</f>
        <v/>
      </c>
      <c r="G374" s="17">
        <f>IF($A374="","",IFERROR(SUMIF(tblAnahtarB[NormB],$A374,tblHakedis[TyPlus]),0))</f>
        <v/>
      </c>
      <c r="H374" s="17">
        <f>IF($A374="","",IFERROR(SUMIF(tblAnahtarB[NormB],$A374,tblHakedis[FlasKesinti]),0))</f>
        <v/>
      </c>
      <c r="I374" s="17">
        <f>IF($A374="","",IFERROR(SUMIF(tblAnahtarB[NormB],$A374,tblHakedis[UrunReklam]),0))</f>
        <v/>
      </c>
      <c r="J374" s="17">
        <f>IF($A374="","",IFERROR(SUMIF(tblAnahtarB[NormB],$A374,tblHakedis[DesiKargo]),0))</f>
        <v/>
      </c>
      <c r="K374" s="17">
        <f>IF($A374="","",ROUND($F374+$G374+$H374+$I374+$J374,2))</f>
        <v/>
      </c>
      <c r="L374" s="17">
        <f>IF($A374="","",ROUND($B374-$C374,2))</f>
        <v/>
      </c>
      <c r="M374" s="17">
        <f>IF($A374="","",ROUND($B374-$C374-$K374,2))</f>
        <v/>
      </c>
      <c r="N374" s="17">
        <f>IF(OR($A374="",$B374=0),0,$M374/$B374)</f>
        <v/>
      </c>
      <c r="O374" s="17">
        <f>IF($A374="","",IF((1-$E374)&lt;=0,0,IF($D374=0,0,ROUND(($C374+$G374+$H374+$I374+$J374)/$D374/(1-$E374),2))))</f>
        <v/>
      </c>
      <c r="P374" s="17">
        <f>IF($A374="","",IFERROR(SUMIF(tblAnahtarA[Norm],$A374,tblGirdi[HedefNet]),0))</f>
        <v/>
      </c>
      <c r="Q374" s="17">
        <f>IF($A374="","",ROUND($M374-$P374,2))</f>
        <v/>
      </c>
      <c r="R374" s="17">
        <f>IF($A374="","",ROUND($B374-$K374,2))</f>
        <v/>
      </c>
      <c r="S374" s="17">
        <f>IF($A374="","",IF($N374&lt;0,"ÇEKİL",IF($N374&lt;tyk_esikMarjDusuk,"ZAM","SAT")))</f>
        <v/>
      </c>
      <c r="T374" s="17">
        <f>IF($A374="","",$L374-$F374)</f>
        <v/>
      </c>
      <c r="U374" s="17">
        <f>IF($A374="","",$M374-$Q374)</f>
        <v/>
      </c>
      <c r="V374" s="17">
        <f>IF($A374="","",$R374-$M374)</f>
        <v/>
      </c>
    </row>
    <row r="375">
      <c r="A375" s="17">
        <f>IF('ANAHTAR'!$B375="","",'ANAHTAR'!$B375)</f>
        <v/>
      </c>
      <c r="B375" s="17">
        <f>IF($A375="","",IFERROR(SUMIF(tblAnahtarA[Norm],$A375,tblGirdi[ToplamSatis]),0))</f>
        <v/>
      </c>
      <c r="C375" s="17">
        <f>IF($A375="","",IFERROR(SUMIF(tblAnahtarA[Norm],$A375,tblGirdi[Maliyet])*IFERROR(SUMIF(tblAnahtarA[Norm],$A375,tblGirdi[Miktar]),1),0))</f>
        <v/>
      </c>
      <c r="D375" s="17">
        <f>IF($A375="","",IFERROR(SUMIF(tblAnahtarA[Norm],$A375,tblGirdi[Miktar]),0))</f>
        <v/>
      </c>
      <c r="E375" s="17">
        <f>IF($A375="","",IFERROR(SUMIF(tblAnahtarA[Norm],$A375,tblGirdi[KomisyonOran]),0))</f>
        <v/>
      </c>
      <c r="F375" s="17">
        <f>IF($A375="","",ROUND($B375*$E375,2))</f>
        <v/>
      </c>
      <c r="G375" s="17">
        <f>IF($A375="","",IFERROR(SUMIF(tblAnahtarB[NormB],$A375,tblHakedis[TyPlus]),0))</f>
        <v/>
      </c>
      <c r="H375" s="17">
        <f>IF($A375="","",IFERROR(SUMIF(tblAnahtarB[NormB],$A375,tblHakedis[FlasKesinti]),0))</f>
        <v/>
      </c>
      <c r="I375" s="17">
        <f>IF($A375="","",IFERROR(SUMIF(tblAnahtarB[NormB],$A375,tblHakedis[UrunReklam]),0))</f>
        <v/>
      </c>
      <c r="J375" s="17">
        <f>IF($A375="","",IFERROR(SUMIF(tblAnahtarB[NormB],$A375,tblHakedis[DesiKargo]),0))</f>
        <v/>
      </c>
      <c r="K375" s="17">
        <f>IF($A375="","",ROUND($F375+$G375+$H375+$I375+$J375,2))</f>
        <v/>
      </c>
      <c r="L375" s="17">
        <f>IF($A375="","",ROUND($B375-$C375,2))</f>
        <v/>
      </c>
      <c r="M375" s="17">
        <f>IF($A375="","",ROUND($B375-$C375-$K375,2))</f>
        <v/>
      </c>
      <c r="N375" s="17">
        <f>IF(OR($A375="",$B375=0),0,$M375/$B375)</f>
        <v/>
      </c>
      <c r="O375" s="17">
        <f>IF($A375="","",IF((1-$E375)&lt;=0,0,IF($D375=0,0,ROUND(($C375+$G375+$H375+$I375+$J375)/$D375/(1-$E375),2))))</f>
        <v/>
      </c>
      <c r="P375" s="17">
        <f>IF($A375="","",IFERROR(SUMIF(tblAnahtarA[Norm],$A375,tblGirdi[HedefNet]),0))</f>
        <v/>
      </c>
      <c r="Q375" s="17">
        <f>IF($A375="","",ROUND($M375-$P375,2))</f>
        <v/>
      </c>
      <c r="R375" s="17">
        <f>IF($A375="","",ROUND($B375-$K375,2))</f>
        <v/>
      </c>
      <c r="S375" s="17">
        <f>IF($A375="","",IF($N375&lt;0,"ÇEKİL",IF($N375&lt;tyk_esikMarjDusuk,"ZAM","SAT")))</f>
        <v/>
      </c>
      <c r="T375" s="17">
        <f>IF($A375="","",$L375-$F375)</f>
        <v/>
      </c>
      <c r="U375" s="17">
        <f>IF($A375="","",$M375-$Q375)</f>
        <v/>
      </c>
      <c r="V375" s="17">
        <f>IF($A375="","",$R375-$M375)</f>
        <v/>
      </c>
    </row>
    <row r="376">
      <c r="A376" s="17">
        <f>IF('ANAHTAR'!$B376="","",'ANAHTAR'!$B376)</f>
        <v/>
      </c>
      <c r="B376" s="17">
        <f>IF($A376="","",IFERROR(SUMIF(tblAnahtarA[Norm],$A376,tblGirdi[ToplamSatis]),0))</f>
        <v/>
      </c>
      <c r="C376" s="17">
        <f>IF($A376="","",IFERROR(SUMIF(tblAnahtarA[Norm],$A376,tblGirdi[Maliyet])*IFERROR(SUMIF(tblAnahtarA[Norm],$A376,tblGirdi[Miktar]),1),0))</f>
        <v/>
      </c>
      <c r="D376" s="17">
        <f>IF($A376="","",IFERROR(SUMIF(tblAnahtarA[Norm],$A376,tblGirdi[Miktar]),0))</f>
        <v/>
      </c>
      <c r="E376" s="17">
        <f>IF($A376="","",IFERROR(SUMIF(tblAnahtarA[Norm],$A376,tblGirdi[KomisyonOran]),0))</f>
        <v/>
      </c>
      <c r="F376" s="17">
        <f>IF($A376="","",ROUND($B376*$E376,2))</f>
        <v/>
      </c>
      <c r="G376" s="17">
        <f>IF($A376="","",IFERROR(SUMIF(tblAnahtarB[NormB],$A376,tblHakedis[TyPlus]),0))</f>
        <v/>
      </c>
      <c r="H376" s="17">
        <f>IF($A376="","",IFERROR(SUMIF(tblAnahtarB[NormB],$A376,tblHakedis[FlasKesinti]),0))</f>
        <v/>
      </c>
      <c r="I376" s="17">
        <f>IF($A376="","",IFERROR(SUMIF(tblAnahtarB[NormB],$A376,tblHakedis[UrunReklam]),0))</f>
        <v/>
      </c>
      <c r="J376" s="17">
        <f>IF($A376="","",IFERROR(SUMIF(tblAnahtarB[NormB],$A376,tblHakedis[DesiKargo]),0))</f>
        <v/>
      </c>
      <c r="K376" s="17">
        <f>IF($A376="","",ROUND($F376+$G376+$H376+$I376+$J376,2))</f>
        <v/>
      </c>
      <c r="L376" s="17">
        <f>IF($A376="","",ROUND($B376-$C376,2))</f>
        <v/>
      </c>
      <c r="M376" s="17">
        <f>IF($A376="","",ROUND($B376-$C376-$K376,2))</f>
        <v/>
      </c>
      <c r="N376" s="17">
        <f>IF(OR($A376="",$B376=0),0,$M376/$B376)</f>
        <v/>
      </c>
      <c r="O376" s="17">
        <f>IF($A376="","",IF((1-$E376)&lt;=0,0,IF($D376=0,0,ROUND(($C376+$G376+$H376+$I376+$J376)/$D376/(1-$E376),2))))</f>
        <v/>
      </c>
      <c r="P376" s="17">
        <f>IF($A376="","",IFERROR(SUMIF(tblAnahtarA[Norm],$A376,tblGirdi[HedefNet]),0))</f>
        <v/>
      </c>
      <c r="Q376" s="17">
        <f>IF($A376="","",ROUND($M376-$P376,2))</f>
        <v/>
      </c>
      <c r="R376" s="17">
        <f>IF($A376="","",ROUND($B376-$K376,2))</f>
        <v/>
      </c>
      <c r="S376" s="17">
        <f>IF($A376="","",IF($N376&lt;0,"ÇEKİL",IF($N376&lt;tyk_esikMarjDusuk,"ZAM","SAT")))</f>
        <v/>
      </c>
      <c r="T376" s="17">
        <f>IF($A376="","",$L376-$F376)</f>
        <v/>
      </c>
      <c r="U376" s="17">
        <f>IF($A376="","",$M376-$Q376)</f>
        <v/>
      </c>
      <c r="V376" s="17">
        <f>IF($A376="","",$R376-$M376)</f>
        <v/>
      </c>
    </row>
    <row r="377">
      <c r="A377" s="17">
        <f>IF('ANAHTAR'!$B377="","",'ANAHTAR'!$B377)</f>
        <v/>
      </c>
      <c r="B377" s="17">
        <f>IF($A377="","",IFERROR(SUMIF(tblAnahtarA[Norm],$A377,tblGirdi[ToplamSatis]),0))</f>
        <v/>
      </c>
      <c r="C377" s="17">
        <f>IF($A377="","",IFERROR(SUMIF(tblAnahtarA[Norm],$A377,tblGirdi[Maliyet])*IFERROR(SUMIF(tblAnahtarA[Norm],$A377,tblGirdi[Miktar]),1),0))</f>
        <v/>
      </c>
      <c r="D377" s="17">
        <f>IF($A377="","",IFERROR(SUMIF(tblAnahtarA[Norm],$A377,tblGirdi[Miktar]),0))</f>
        <v/>
      </c>
      <c r="E377" s="17">
        <f>IF($A377="","",IFERROR(SUMIF(tblAnahtarA[Norm],$A377,tblGirdi[KomisyonOran]),0))</f>
        <v/>
      </c>
      <c r="F377" s="17">
        <f>IF($A377="","",ROUND($B377*$E377,2))</f>
        <v/>
      </c>
      <c r="G377" s="17">
        <f>IF($A377="","",IFERROR(SUMIF(tblAnahtarB[NormB],$A377,tblHakedis[TyPlus]),0))</f>
        <v/>
      </c>
      <c r="H377" s="17">
        <f>IF($A377="","",IFERROR(SUMIF(tblAnahtarB[NormB],$A377,tblHakedis[FlasKesinti]),0))</f>
        <v/>
      </c>
      <c r="I377" s="17">
        <f>IF($A377="","",IFERROR(SUMIF(tblAnahtarB[NormB],$A377,tblHakedis[UrunReklam]),0))</f>
        <v/>
      </c>
      <c r="J377" s="17">
        <f>IF($A377="","",IFERROR(SUMIF(tblAnahtarB[NormB],$A377,tblHakedis[DesiKargo]),0))</f>
        <v/>
      </c>
      <c r="K377" s="17">
        <f>IF($A377="","",ROUND($F377+$G377+$H377+$I377+$J377,2))</f>
        <v/>
      </c>
      <c r="L377" s="17">
        <f>IF($A377="","",ROUND($B377-$C377,2))</f>
        <v/>
      </c>
      <c r="M377" s="17">
        <f>IF($A377="","",ROUND($B377-$C377-$K377,2))</f>
        <v/>
      </c>
      <c r="N377" s="17">
        <f>IF(OR($A377="",$B377=0),0,$M377/$B377)</f>
        <v/>
      </c>
      <c r="O377" s="17">
        <f>IF($A377="","",IF((1-$E377)&lt;=0,0,IF($D377=0,0,ROUND(($C377+$G377+$H377+$I377+$J377)/$D377/(1-$E377),2))))</f>
        <v/>
      </c>
      <c r="P377" s="17">
        <f>IF($A377="","",IFERROR(SUMIF(tblAnahtarA[Norm],$A377,tblGirdi[HedefNet]),0))</f>
        <v/>
      </c>
      <c r="Q377" s="17">
        <f>IF($A377="","",ROUND($M377-$P377,2))</f>
        <v/>
      </c>
      <c r="R377" s="17">
        <f>IF($A377="","",ROUND($B377-$K377,2))</f>
        <v/>
      </c>
      <c r="S377" s="17">
        <f>IF($A377="","",IF($N377&lt;0,"ÇEKİL",IF($N377&lt;tyk_esikMarjDusuk,"ZAM","SAT")))</f>
        <v/>
      </c>
      <c r="T377" s="17">
        <f>IF($A377="","",$L377-$F377)</f>
        <v/>
      </c>
      <c r="U377" s="17">
        <f>IF($A377="","",$M377-$Q377)</f>
        <v/>
      </c>
      <c r="V377" s="17">
        <f>IF($A377="","",$R377-$M377)</f>
        <v/>
      </c>
    </row>
    <row r="378">
      <c r="A378" s="17">
        <f>IF('ANAHTAR'!$B378="","",'ANAHTAR'!$B378)</f>
        <v/>
      </c>
      <c r="B378" s="17">
        <f>IF($A378="","",IFERROR(SUMIF(tblAnahtarA[Norm],$A378,tblGirdi[ToplamSatis]),0))</f>
        <v/>
      </c>
      <c r="C378" s="17">
        <f>IF($A378="","",IFERROR(SUMIF(tblAnahtarA[Norm],$A378,tblGirdi[Maliyet])*IFERROR(SUMIF(tblAnahtarA[Norm],$A378,tblGirdi[Miktar]),1),0))</f>
        <v/>
      </c>
      <c r="D378" s="17">
        <f>IF($A378="","",IFERROR(SUMIF(tblAnahtarA[Norm],$A378,tblGirdi[Miktar]),0))</f>
        <v/>
      </c>
      <c r="E378" s="17">
        <f>IF($A378="","",IFERROR(SUMIF(tblAnahtarA[Norm],$A378,tblGirdi[KomisyonOran]),0))</f>
        <v/>
      </c>
      <c r="F378" s="17">
        <f>IF($A378="","",ROUND($B378*$E378,2))</f>
        <v/>
      </c>
      <c r="G378" s="17">
        <f>IF($A378="","",IFERROR(SUMIF(tblAnahtarB[NormB],$A378,tblHakedis[TyPlus]),0))</f>
        <v/>
      </c>
      <c r="H378" s="17">
        <f>IF($A378="","",IFERROR(SUMIF(tblAnahtarB[NormB],$A378,tblHakedis[FlasKesinti]),0))</f>
        <v/>
      </c>
      <c r="I378" s="17">
        <f>IF($A378="","",IFERROR(SUMIF(tblAnahtarB[NormB],$A378,tblHakedis[UrunReklam]),0))</f>
        <v/>
      </c>
      <c r="J378" s="17">
        <f>IF($A378="","",IFERROR(SUMIF(tblAnahtarB[NormB],$A378,tblHakedis[DesiKargo]),0))</f>
        <v/>
      </c>
      <c r="K378" s="17">
        <f>IF($A378="","",ROUND($F378+$G378+$H378+$I378+$J378,2))</f>
        <v/>
      </c>
      <c r="L378" s="17">
        <f>IF($A378="","",ROUND($B378-$C378,2))</f>
        <v/>
      </c>
      <c r="M378" s="17">
        <f>IF($A378="","",ROUND($B378-$C378-$K378,2))</f>
        <v/>
      </c>
      <c r="N378" s="17">
        <f>IF(OR($A378="",$B378=0),0,$M378/$B378)</f>
        <v/>
      </c>
      <c r="O378" s="17">
        <f>IF($A378="","",IF((1-$E378)&lt;=0,0,IF($D378=0,0,ROUND(($C378+$G378+$H378+$I378+$J378)/$D378/(1-$E378),2))))</f>
        <v/>
      </c>
      <c r="P378" s="17">
        <f>IF($A378="","",IFERROR(SUMIF(tblAnahtarA[Norm],$A378,tblGirdi[HedefNet]),0))</f>
        <v/>
      </c>
      <c r="Q378" s="17">
        <f>IF($A378="","",ROUND($M378-$P378,2))</f>
        <v/>
      </c>
      <c r="R378" s="17">
        <f>IF($A378="","",ROUND($B378-$K378,2))</f>
        <v/>
      </c>
      <c r="S378" s="17">
        <f>IF($A378="","",IF($N378&lt;0,"ÇEKİL",IF($N378&lt;tyk_esikMarjDusuk,"ZAM","SAT")))</f>
        <v/>
      </c>
      <c r="T378" s="17">
        <f>IF($A378="","",$L378-$F378)</f>
        <v/>
      </c>
      <c r="U378" s="17">
        <f>IF($A378="","",$M378-$Q378)</f>
        <v/>
      </c>
      <c r="V378" s="17">
        <f>IF($A378="","",$R378-$M378)</f>
        <v/>
      </c>
    </row>
    <row r="379">
      <c r="A379" s="17">
        <f>IF('ANAHTAR'!$B379="","",'ANAHTAR'!$B379)</f>
        <v/>
      </c>
      <c r="B379" s="17">
        <f>IF($A379="","",IFERROR(SUMIF(tblAnahtarA[Norm],$A379,tblGirdi[ToplamSatis]),0))</f>
        <v/>
      </c>
      <c r="C379" s="17">
        <f>IF($A379="","",IFERROR(SUMIF(tblAnahtarA[Norm],$A379,tblGirdi[Maliyet])*IFERROR(SUMIF(tblAnahtarA[Norm],$A379,tblGirdi[Miktar]),1),0))</f>
        <v/>
      </c>
      <c r="D379" s="17">
        <f>IF($A379="","",IFERROR(SUMIF(tblAnahtarA[Norm],$A379,tblGirdi[Miktar]),0))</f>
        <v/>
      </c>
      <c r="E379" s="17">
        <f>IF($A379="","",IFERROR(SUMIF(tblAnahtarA[Norm],$A379,tblGirdi[KomisyonOran]),0))</f>
        <v/>
      </c>
      <c r="F379" s="17">
        <f>IF($A379="","",ROUND($B379*$E379,2))</f>
        <v/>
      </c>
      <c r="G379" s="17">
        <f>IF($A379="","",IFERROR(SUMIF(tblAnahtarB[NormB],$A379,tblHakedis[TyPlus]),0))</f>
        <v/>
      </c>
      <c r="H379" s="17">
        <f>IF($A379="","",IFERROR(SUMIF(tblAnahtarB[NormB],$A379,tblHakedis[FlasKesinti]),0))</f>
        <v/>
      </c>
      <c r="I379" s="17">
        <f>IF($A379="","",IFERROR(SUMIF(tblAnahtarB[NormB],$A379,tblHakedis[UrunReklam]),0))</f>
        <v/>
      </c>
      <c r="J379" s="17">
        <f>IF($A379="","",IFERROR(SUMIF(tblAnahtarB[NormB],$A379,tblHakedis[DesiKargo]),0))</f>
        <v/>
      </c>
      <c r="K379" s="17">
        <f>IF($A379="","",ROUND($F379+$G379+$H379+$I379+$J379,2))</f>
        <v/>
      </c>
      <c r="L379" s="17">
        <f>IF($A379="","",ROUND($B379-$C379,2))</f>
        <v/>
      </c>
      <c r="M379" s="17">
        <f>IF($A379="","",ROUND($B379-$C379-$K379,2))</f>
        <v/>
      </c>
      <c r="N379" s="17">
        <f>IF(OR($A379="",$B379=0),0,$M379/$B379)</f>
        <v/>
      </c>
      <c r="O379" s="17">
        <f>IF($A379="","",IF((1-$E379)&lt;=0,0,IF($D379=0,0,ROUND(($C379+$G379+$H379+$I379+$J379)/$D379/(1-$E379),2))))</f>
        <v/>
      </c>
      <c r="P379" s="17">
        <f>IF($A379="","",IFERROR(SUMIF(tblAnahtarA[Norm],$A379,tblGirdi[HedefNet]),0))</f>
        <v/>
      </c>
      <c r="Q379" s="17">
        <f>IF($A379="","",ROUND($M379-$P379,2))</f>
        <v/>
      </c>
      <c r="R379" s="17">
        <f>IF($A379="","",ROUND($B379-$K379,2))</f>
        <v/>
      </c>
      <c r="S379" s="17">
        <f>IF($A379="","",IF($N379&lt;0,"ÇEKİL",IF($N379&lt;tyk_esikMarjDusuk,"ZAM","SAT")))</f>
        <v/>
      </c>
      <c r="T379" s="17">
        <f>IF($A379="","",$L379-$F379)</f>
        <v/>
      </c>
      <c r="U379" s="17">
        <f>IF($A379="","",$M379-$Q379)</f>
        <v/>
      </c>
      <c r="V379" s="17">
        <f>IF($A379="","",$R379-$M379)</f>
        <v/>
      </c>
    </row>
    <row r="380">
      <c r="A380" s="17">
        <f>IF('ANAHTAR'!$B380="","",'ANAHTAR'!$B380)</f>
        <v/>
      </c>
      <c r="B380" s="17">
        <f>IF($A380="","",IFERROR(SUMIF(tblAnahtarA[Norm],$A380,tblGirdi[ToplamSatis]),0))</f>
        <v/>
      </c>
      <c r="C380" s="17">
        <f>IF($A380="","",IFERROR(SUMIF(tblAnahtarA[Norm],$A380,tblGirdi[Maliyet])*IFERROR(SUMIF(tblAnahtarA[Norm],$A380,tblGirdi[Miktar]),1),0))</f>
        <v/>
      </c>
      <c r="D380" s="17">
        <f>IF($A380="","",IFERROR(SUMIF(tblAnahtarA[Norm],$A380,tblGirdi[Miktar]),0))</f>
        <v/>
      </c>
      <c r="E380" s="17">
        <f>IF($A380="","",IFERROR(SUMIF(tblAnahtarA[Norm],$A380,tblGirdi[KomisyonOran]),0))</f>
        <v/>
      </c>
      <c r="F380" s="17">
        <f>IF($A380="","",ROUND($B380*$E380,2))</f>
        <v/>
      </c>
      <c r="G380" s="17">
        <f>IF($A380="","",IFERROR(SUMIF(tblAnahtarB[NormB],$A380,tblHakedis[TyPlus]),0))</f>
        <v/>
      </c>
      <c r="H380" s="17">
        <f>IF($A380="","",IFERROR(SUMIF(tblAnahtarB[NormB],$A380,tblHakedis[FlasKesinti]),0))</f>
        <v/>
      </c>
      <c r="I380" s="17">
        <f>IF($A380="","",IFERROR(SUMIF(tblAnahtarB[NormB],$A380,tblHakedis[UrunReklam]),0))</f>
        <v/>
      </c>
      <c r="J380" s="17">
        <f>IF($A380="","",IFERROR(SUMIF(tblAnahtarB[NormB],$A380,tblHakedis[DesiKargo]),0))</f>
        <v/>
      </c>
      <c r="K380" s="17">
        <f>IF($A380="","",ROUND($F380+$G380+$H380+$I380+$J380,2))</f>
        <v/>
      </c>
      <c r="L380" s="17">
        <f>IF($A380="","",ROUND($B380-$C380,2))</f>
        <v/>
      </c>
      <c r="M380" s="17">
        <f>IF($A380="","",ROUND($B380-$C380-$K380,2))</f>
        <v/>
      </c>
      <c r="N380" s="17">
        <f>IF(OR($A380="",$B380=0),0,$M380/$B380)</f>
        <v/>
      </c>
      <c r="O380" s="17">
        <f>IF($A380="","",IF((1-$E380)&lt;=0,0,IF($D380=0,0,ROUND(($C380+$G380+$H380+$I380+$J380)/$D380/(1-$E380),2))))</f>
        <v/>
      </c>
      <c r="P380" s="17">
        <f>IF($A380="","",IFERROR(SUMIF(tblAnahtarA[Norm],$A380,tblGirdi[HedefNet]),0))</f>
        <v/>
      </c>
      <c r="Q380" s="17">
        <f>IF($A380="","",ROUND($M380-$P380,2))</f>
        <v/>
      </c>
      <c r="R380" s="17">
        <f>IF($A380="","",ROUND($B380-$K380,2))</f>
        <v/>
      </c>
      <c r="S380" s="17">
        <f>IF($A380="","",IF($N380&lt;0,"ÇEKİL",IF($N380&lt;tyk_esikMarjDusuk,"ZAM","SAT")))</f>
        <v/>
      </c>
      <c r="T380" s="17">
        <f>IF($A380="","",$L380-$F380)</f>
        <v/>
      </c>
      <c r="U380" s="17">
        <f>IF($A380="","",$M380-$Q380)</f>
        <v/>
      </c>
      <c r="V380" s="17">
        <f>IF($A380="","",$R380-$M380)</f>
        <v/>
      </c>
    </row>
    <row r="381">
      <c r="A381" s="17">
        <f>IF('ANAHTAR'!$B381="","",'ANAHTAR'!$B381)</f>
        <v/>
      </c>
      <c r="B381" s="17">
        <f>IF($A381="","",IFERROR(SUMIF(tblAnahtarA[Norm],$A381,tblGirdi[ToplamSatis]),0))</f>
        <v/>
      </c>
      <c r="C381" s="17">
        <f>IF($A381="","",IFERROR(SUMIF(tblAnahtarA[Norm],$A381,tblGirdi[Maliyet])*IFERROR(SUMIF(tblAnahtarA[Norm],$A381,tblGirdi[Miktar]),1),0))</f>
        <v/>
      </c>
      <c r="D381" s="17">
        <f>IF($A381="","",IFERROR(SUMIF(tblAnahtarA[Norm],$A381,tblGirdi[Miktar]),0))</f>
        <v/>
      </c>
      <c r="E381" s="17">
        <f>IF($A381="","",IFERROR(SUMIF(tblAnahtarA[Norm],$A381,tblGirdi[KomisyonOran]),0))</f>
        <v/>
      </c>
      <c r="F381" s="17">
        <f>IF($A381="","",ROUND($B381*$E381,2))</f>
        <v/>
      </c>
      <c r="G381" s="17">
        <f>IF($A381="","",IFERROR(SUMIF(tblAnahtarB[NormB],$A381,tblHakedis[TyPlus]),0))</f>
        <v/>
      </c>
      <c r="H381" s="17">
        <f>IF($A381="","",IFERROR(SUMIF(tblAnahtarB[NormB],$A381,tblHakedis[FlasKesinti]),0))</f>
        <v/>
      </c>
      <c r="I381" s="17">
        <f>IF($A381="","",IFERROR(SUMIF(tblAnahtarB[NormB],$A381,tblHakedis[UrunReklam]),0))</f>
        <v/>
      </c>
      <c r="J381" s="17">
        <f>IF($A381="","",IFERROR(SUMIF(tblAnahtarB[NormB],$A381,tblHakedis[DesiKargo]),0))</f>
        <v/>
      </c>
      <c r="K381" s="17">
        <f>IF($A381="","",ROUND($F381+$G381+$H381+$I381+$J381,2))</f>
        <v/>
      </c>
      <c r="L381" s="17">
        <f>IF($A381="","",ROUND($B381-$C381,2))</f>
        <v/>
      </c>
      <c r="M381" s="17">
        <f>IF($A381="","",ROUND($B381-$C381-$K381,2))</f>
        <v/>
      </c>
      <c r="N381" s="17">
        <f>IF(OR($A381="",$B381=0),0,$M381/$B381)</f>
        <v/>
      </c>
      <c r="O381" s="17">
        <f>IF($A381="","",IF((1-$E381)&lt;=0,0,IF($D381=0,0,ROUND(($C381+$G381+$H381+$I381+$J381)/$D381/(1-$E381),2))))</f>
        <v/>
      </c>
      <c r="P381" s="17">
        <f>IF($A381="","",IFERROR(SUMIF(tblAnahtarA[Norm],$A381,tblGirdi[HedefNet]),0))</f>
        <v/>
      </c>
      <c r="Q381" s="17">
        <f>IF($A381="","",ROUND($M381-$P381,2))</f>
        <v/>
      </c>
      <c r="R381" s="17">
        <f>IF($A381="","",ROUND($B381-$K381,2))</f>
        <v/>
      </c>
      <c r="S381" s="17">
        <f>IF($A381="","",IF($N381&lt;0,"ÇEKİL",IF($N381&lt;tyk_esikMarjDusuk,"ZAM","SAT")))</f>
        <v/>
      </c>
      <c r="T381" s="17">
        <f>IF($A381="","",$L381-$F381)</f>
        <v/>
      </c>
      <c r="U381" s="17">
        <f>IF($A381="","",$M381-$Q381)</f>
        <v/>
      </c>
      <c r="V381" s="17">
        <f>IF($A381="","",$R381-$M381)</f>
        <v/>
      </c>
    </row>
    <row r="382">
      <c r="A382" s="17">
        <f>IF('ANAHTAR'!$B382="","",'ANAHTAR'!$B382)</f>
        <v/>
      </c>
      <c r="B382" s="17">
        <f>IF($A382="","",IFERROR(SUMIF(tblAnahtarA[Norm],$A382,tblGirdi[ToplamSatis]),0))</f>
        <v/>
      </c>
      <c r="C382" s="17">
        <f>IF($A382="","",IFERROR(SUMIF(tblAnahtarA[Norm],$A382,tblGirdi[Maliyet])*IFERROR(SUMIF(tblAnahtarA[Norm],$A382,tblGirdi[Miktar]),1),0))</f>
        <v/>
      </c>
      <c r="D382" s="17">
        <f>IF($A382="","",IFERROR(SUMIF(tblAnahtarA[Norm],$A382,tblGirdi[Miktar]),0))</f>
        <v/>
      </c>
      <c r="E382" s="17">
        <f>IF($A382="","",IFERROR(SUMIF(tblAnahtarA[Norm],$A382,tblGirdi[KomisyonOran]),0))</f>
        <v/>
      </c>
      <c r="F382" s="17">
        <f>IF($A382="","",ROUND($B382*$E382,2))</f>
        <v/>
      </c>
      <c r="G382" s="17">
        <f>IF($A382="","",IFERROR(SUMIF(tblAnahtarB[NormB],$A382,tblHakedis[TyPlus]),0))</f>
        <v/>
      </c>
      <c r="H382" s="17">
        <f>IF($A382="","",IFERROR(SUMIF(tblAnahtarB[NormB],$A382,tblHakedis[FlasKesinti]),0))</f>
        <v/>
      </c>
      <c r="I382" s="17">
        <f>IF($A382="","",IFERROR(SUMIF(tblAnahtarB[NormB],$A382,tblHakedis[UrunReklam]),0))</f>
        <v/>
      </c>
      <c r="J382" s="17">
        <f>IF($A382="","",IFERROR(SUMIF(tblAnahtarB[NormB],$A382,tblHakedis[DesiKargo]),0))</f>
        <v/>
      </c>
      <c r="K382" s="17">
        <f>IF($A382="","",ROUND($F382+$G382+$H382+$I382+$J382,2))</f>
        <v/>
      </c>
      <c r="L382" s="17">
        <f>IF($A382="","",ROUND($B382-$C382,2))</f>
        <v/>
      </c>
      <c r="M382" s="17">
        <f>IF($A382="","",ROUND($B382-$C382-$K382,2))</f>
        <v/>
      </c>
      <c r="N382" s="17">
        <f>IF(OR($A382="",$B382=0),0,$M382/$B382)</f>
        <v/>
      </c>
      <c r="O382" s="17">
        <f>IF($A382="","",IF((1-$E382)&lt;=0,0,IF($D382=0,0,ROUND(($C382+$G382+$H382+$I382+$J382)/$D382/(1-$E382),2))))</f>
        <v/>
      </c>
      <c r="P382" s="17">
        <f>IF($A382="","",IFERROR(SUMIF(tblAnahtarA[Norm],$A382,tblGirdi[HedefNet]),0))</f>
        <v/>
      </c>
      <c r="Q382" s="17">
        <f>IF($A382="","",ROUND($M382-$P382,2))</f>
        <v/>
      </c>
      <c r="R382" s="17">
        <f>IF($A382="","",ROUND($B382-$K382,2))</f>
        <v/>
      </c>
      <c r="S382" s="17">
        <f>IF($A382="","",IF($N382&lt;0,"ÇEKİL",IF($N382&lt;tyk_esikMarjDusuk,"ZAM","SAT")))</f>
        <v/>
      </c>
      <c r="T382" s="17">
        <f>IF($A382="","",$L382-$F382)</f>
        <v/>
      </c>
      <c r="U382" s="17">
        <f>IF($A382="","",$M382-$Q382)</f>
        <v/>
      </c>
      <c r="V382" s="17">
        <f>IF($A382="","",$R382-$M382)</f>
        <v/>
      </c>
    </row>
    <row r="383">
      <c r="A383" s="17">
        <f>IF('ANAHTAR'!$B383="","",'ANAHTAR'!$B383)</f>
        <v/>
      </c>
      <c r="B383" s="17">
        <f>IF($A383="","",IFERROR(SUMIF(tblAnahtarA[Norm],$A383,tblGirdi[ToplamSatis]),0))</f>
        <v/>
      </c>
      <c r="C383" s="17">
        <f>IF($A383="","",IFERROR(SUMIF(tblAnahtarA[Norm],$A383,tblGirdi[Maliyet])*IFERROR(SUMIF(tblAnahtarA[Norm],$A383,tblGirdi[Miktar]),1),0))</f>
        <v/>
      </c>
      <c r="D383" s="17">
        <f>IF($A383="","",IFERROR(SUMIF(tblAnahtarA[Norm],$A383,tblGirdi[Miktar]),0))</f>
        <v/>
      </c>
      <c r="E383" s="17">
        <f>IF($A383="","",IFERROR(SUMIF(tblAnahtarA[Norm],$A383,tblGirdi[KomisyonOran]),0))</f>
        <v/>
      </c>
      <c r="F383" s="17">
        <f>IF($A383="","",ROUND($B383*$E383,2))</f>
        <v/>
      </c>
      <c r="G383" s="17">
        <f>IF($A383="","",IFERROR(SUMIF(tblAnahtarB[NormB],$A383,tblHakedis[TyPlus]),0))</f>
        <v/>
      </c>
      <c r="H383" s="17">
        <f>IF($A383="","",IFERROR(SUMIF(tblAnahtarB[NormB],$A383,tblHakedis[FlasKesinti]),0))</f>
        <v/>
      </c>
      <c r="I383" s="17">
        <f>IF($A383="","",IFERROR(SUMIF(tblAnahtarB[NormB],$A383,tblHakedis[UrunReklam]),0))</f>
        <v/>
      </c>
      <c r="J383" s="17">
        <f>IF($A383="","",IFERROR(SUMIF(tblAnahtarB[NormB],$A383,tblHakedis[DesiKargo]),0))</f>
        <v/>
      </c>
      <c r="K383" s="17">
        <f>IF($A383="","",ROUND($F383+$G383+$H383+$I383+$J383,2))</f>
        <v/>
      </c>
      <c r="L383" s="17">
        <f>IF($A383="","",ROUND($B383-$C383,2))</f>
        <v/>
      </c>
      <c r="M383" s="17">
        <f>IF($A383="","",ROUND($B383-$C383-$K383,2))</f>
        <v/>
      </c>
      <c r="N383" s="17">
        <f>IF(OR($A383="",$B383=0),0,$M383/$B383)</f>
        <v/>
      </c>
      <c r="O383" s="17">
        <f>IF($A383="","",IF((1-$E383)&lt;=0,0,IF($D383=0,0,ROUND(($C383+$G383+$H383+$I383+$J383)/$D383/(1-$E383),2))))</f>
        <v/>
      </c>
      <c r="P383" s="17">
        <f>IF($A383="","",IFERROR(SUMIF(tblAnahtarA[Norm],$A383,tblGirdi[HedefNet]),0))</f>
        <v/>
      </c>
      <c r="Q383" s="17">
        <f>IF($A383="","",ROUND($M383-$P383,2))</f>
        <v/>
      </c>
      <c r="R383" s="17">
        <f>IF($A383="","",ROUND($B383-$K383,2))</f>
        <v/>
      </c>
      <c r="S383" s="17">
        <f>IF($A383="","",IF($N383&lt;0,"ÇEKİL",IF($N383&lt;tyk_esikMarjDusuk,"ZAM","SAT")))</f>
        <v/>
      </c>
      <c r="T383" s="17">
        <f>IF($A383="","",$L383-$F383)</f>
        <v/>
      </c>
      <c r="U383" s="17">
        <f>IF($A383="","",$M383-$Q383)</f>
        <v/>
      </c>
      <c r="V383" s="17">
        <f>IF($A383="","",$R383-$M383)</f>
        <v/>
      </c>
    </row>
    <row r="384">
      <c r="A384" s="17">
        <f>IF('ANAHTAR'!$B384="","",'ANAHTAR'!$B384)</f>
        <v/>
      </c>
      <c r="B384" s="17">
        <f>IF($A384="","",IFERROR(SUMIF(tblAnahtarA[Norm],$A384,tblGirdi[ToplamSatis]),0))</f>
        <v/>
      </c>
      <c r="C384" s="17">
        <f>IF($A384="","",IFERROR(SUMIF(tblAnahtarA[Norm],$A384,tblGirdi[Maliyet])*IFERROR(SUMIF(tblAnahtarA[Norm],$A384,tblGirdi[Miktar]),1),0))</f>
        <v/>
      </c>
      <c r="D384" s="17">
        <f>IF($A384="","",IFERROR(SUMIF(tblAnahtarA[Norm],$A384,tblGirdi[Miktar]),0))</f>
        <v/>
      </c>
      <c r="E384" s="17">
        <f>IF($A384="","",IFERROR(SUMIF(tblAnahtarA[Norm],$A384,tblGirdi[KomisyonOran]),0))</f>
        <v/>
      </c>
      <c r="F384" s="17">
        <f>IF($A384="","",ROUND($B384*$E384,2))</f>
        <v/>
      </c>
      <c r="G384" s="17">
        <f>IF($A384="","",IFERROR(SUMIF(tblAnahtarB[NormB],$A384,tblHakedis[TyPlus]),0))</f>
        <v/>
      </c>
      <c r="H384" s="17">
        <f>IF($A384="","",IFERROR(SUMIF(tblAnahtarB[NormB],$A384,tblHakedis[FlasKesinti]),0))</f>
        <v/>
      </c>
      <c r="I384" s="17">
        <f>IF($A384="","",IFERROR(SUMIF(tblAnahtarB[NormB],$A384,tblHakedis[UrunReklam]),0))</f>
        <v/>
      </c>
      <c r="J384" s="17">
        <f>IF($A384="","",IFERROR(SUMIF(tblAnahtarB[NormB],$A384,tblHakedis[DesiKargo]),0))</f>
        <v/>
      </c>
      <c r="K384" s="17">
        <f>IF($A384="","",ROUND($F384+$G384+$H384+$I384+$J384,2))</f>
        <v/>
      </c>
      <c r="L384" s="17">
        <f>IF($A384="","",ROUND($B384-$C384,2))</f>
        <v/>
      </c>
      <c r="M384" s="17">
        <f>IF($A384="","",ROUND($B384-$C384-$K384,2))</f>
        <v/>
      </c>
      <c r="N384" s="17">
        <f>IF(OR($A384="",$B384=0),0,$M384/$B384)</f>
        <v/>
      </c>
      <c r="O384" s="17">
        <f>IF($A384="","",IF((1-$E384)&lt;=0,0,IF($D384=0,0,ROUND(($C384+$G384+$H384+$I384+$J384)/$D384/(1-$E384),2))))</f>
        <v/>
      </c>
      <c r="P384" s="17">
        <f>IF($A384="","",IFERROR(SUMIF(tblAnahtarA[Norm],$A384,tblGirdi[HedefNet]),0))</f>
        <v/>
      </c>
      <c r="Q384" s="17">
        <f>IF($A384="","",ROUND($M384-$P384,2))</f>
        <v/>
      </c>
      <c r="R384" s="17">
        <f>IF($A384="","",ROUND($B384-$K384,2))</f>
        <v/>
      </c>
      <c r="S384" s="17">
        <f>IF($A384="","",IF($N384&lt;0,"ÇEKİL",IF($N384&lt;tyk_esikMarjDusuk,"ZAM","SAT")))</f>
        <v/>
      </c>
      <c r="T384" s="17">
        <f>IF($A384="","",$L384-$F384)</f>
        <v/>
      </c>
      <c r="U384" s="17">
        <f>IF($A384="","",$M384-$Q384)</f>
        <v/>
      </c>
      <c r="V384" s="17">
        <f>IF($A384="","",$R384-$M384)</f>
        <v/>
      </c>
    </row>
    <row r="385">
      <c r="A385" s="17">
        <f>IF('ANAHTAR'!$B385="","",'ANAHTAR'!$B385)</f>
        <v/>
      </c>
      <c r="B385" s="17">
        <f>IF($A385="","",IFERROR(SUMIF(tblAnahtarA[Norm],$A385,tblGirdi[ToplamSatis]),0))</f>
        <v/>
      </c>
      <c r="C385" s="17">
        <f>IF($A385="","",IFERROR(SUMIF(tblAnahtarA[Norm],$A385,tblGirdi[Maliyet])*IFERROR(SUMIF(tblAnahtarA[Norm],$A385,tblGirdi[Miktar]),1),0))</f>
        <v/>
      </c>
      <c r="D385" s="17">
        <f>IF($A385="","",IFERROR(SUMIF(tblAnahtarA[Norm],$A385,tblGirdi[Miktar]),0))</f>
        <v/>
      </c>
      <c r="E385" s="17">
        <f>IF($A385="","",IFERROR(SUMIF(tblAnahtarA[Norm],$A385,tblGirdi[KomisyonOran]),0))</f>
        <v/>
      </c>
      <c r="F385" s="17">
        <f>IF($A385="","",ROUND($B385*$E385,2))</f>
        <v/>
      </c>
      <c r="G385" s="17">
        <f>IF($A385="","",IFERROR(SUMIF(tblAnahtarB[NormB],$A385,tblHakedis[TyPlus]),0))</f>
        <v/>
      </c>
      <c r="H385" s="17">
        <f>IF($A385="","",IFERROR(SUMIF(tblAnahtarB[NormB],$A385,tblHakedis[FlasKesinti]),0))</f>
        <v/>
      </c>
      <c r="I385" s="17">
        <f>IF($A385="","",IFERROR(SUMIF(tblAnahtarB[NormB],$A385,tblHakedis[UrunReklam]),0))</f>
        <v/>
      </c>
      <c r="J385" s="17">
        <f>IF($A385="","",IFERROR(SUMIF(tblAnahtarB[NormB],$A385,tblHakedis[DesiKargo]),0))</f>
        <v/>
      </c>
      <c r="K385" s="17">
        <f>IF($A385="","",ROUND($F385+$G385+$H385+$I385+$J385,2))</f>
        <v/>
      </c>
      <c r="L385" s="17">
        <f>IF($A385="","",ROUND($B385-$C385,2))</f>
        <v/>
      </c>
      <c r="M385" s="17">
        <f>IF($A385="","",ROUND($B385-$C385-$K385,2))</f>
        <v/>
      </c>
      <c r="N385" s="17">
        <f>IF(OR($A385="",$B385=0),0,$M385/$B385)</f>
        <v/>
      </c>
      <c r="O385" s="17">
        <f>IF($A385="","",IF((1-$E385)&lt;=0,0,IF($D385=0,0,ROUND(($C385+$G385+$H385+$I385+$J385)/$D385/(1-$E385),2))))</f>
        <v/>
      </c>
      <c r="P385" s="17">
        <f>IF($A385="","",IFERROR(SUMIF(tblAnahtarA[Norm],$A385,tblGirdi[HedefNet]),0))</f>
        <v/>
      </c>
      <c r="Q385" s="17">
        <f>IF($A385="","",ROUND($M385-$P385,2))</f>
        <v/>
      </c>
      <c r="R385" s="17">
        <f>IF($A385="","",ROUND($B385-$K385,2))</f>
        <v/>
      </c>
      <c r="S385" s="17">
        <f>IF($A385="","",IF($N385&lt;0,"ÇEKİL",IF($N385&lt;tyk_esikMarjDusuk,"ZAM","SAT")))</f>
        <v/>
      </c>
      <c r="T385" s="17">
        <f>IF($A385="","",$L385-$F385)</f>
        <v/>
      </c>
      <c r="U385" s="17">
        <f>IF($A385="","",$M385-$Q385)</f>
        <v/>
      </c>
      <c r="V385" s="17">
        <f>IF($A385="","",$R385-$M385)</f>
        <v/>
      </c>
    </row>
    <row r="386">
      <c r="A386" s="17">
        <f>IF('ANAHTAR'!$B386="","",'ANAHTAR'!$B386)</f>
        <v/>
      </c>
      <c r="B386" s="17">
        <f>IF($A386="","",IFERROR(SUMIF(tblAnahtarA[Norm],$A386,tblGirdi[ToplamSatis]),0))</f>
        <v/>
      </c>
      <c r="C386" s="17">
        <f>IF($A386="","",IFERROR(SUMIF(tblAnahtarA[Norm],$A386,tblGirdi[Maliyet])*IFERROR(SUMIF(tblAnahtarA[Norm],$A386,tblGirdi[Miktar]),1),0))</f>
        <v/>
      </c>
      <c r="D386" s="17">
        <f>IF($A386="","",IFERROR(SUMIF(tblAnahtarA[Norm],$A386,tblGirdi[Miktar]),0))</f>
        <v/>
      </c>
      <c r="E386" s="17">
        <f>IF($A386="","",IFERROR(SUMIF(tblAnahtarA[Norm],$A386,tblGirdi[KomisyonOran]),0))</f>
        <v/>
      </c>
      <c r="F386" s="17">
        <f>IF($A386="","",ROUND($B386*$E386,2))</f>
        <v/>
      </c>
      <c r="G386" s="17">
        <f>IF($A386="","",IFERROR(SUMIF(tblAnahtarB[NormB],$A386,tblHakedis[TyPlus]),0))</f>
        <v/>
      </c>
      <c r="H386" s="17">
        <f>IF($A386="","",IFERROR(SUMIF(tblAnahtarB[NormB],$A386,tblHakedis[FlasKesinti]),0))</f>
        <v/>
      </c>
      <c r="I386" s="17">
        <f>IF($A386="","",IFERROR(SUMIF(tblAnahtarB[NormB],$A386,tblHakedis[UrunReklam]),0))</f>
        <v/>
      </c>
      <c r="J386" s="17">
        <f>IF($A386="","",IFERROR(SUMIF(tblAnahtarB[NormB],$A386,tblHakedis[DesiKargo]),0))</f>
        <v/>
      </c>
      <c r="K386" s="17">
        <f>IF($A386="","",ROUND($F386+$G386+$H386+$I386+$J386,2))</f>
        <v/>
      </c>
      <c r="L386" s="17">
        <f>IF($A386="","",ROUND($B386-$C386,2))</f>
        <v/>
      </c>
      <c r="M386" s="17">
        <f>IF($A386="","",ROUND($B386-$C386-$K386,2))</f>
        <v/>
      </c>
      <c r="N386" s="17">
        <f>IF(OR($A386="",$B386=0),0,$M386/$B386)</f>
        <v/>
      </c>
      <c r="O386" s="17">
        <f>IF($A386="","",IF((1-$E386)&lt;=0,0,IF($D386=0,0,ROUND(($C386+$G386+$H386+$I386+$J386)/$D386/(1-$E386),2))))</f>
        <v/>
      </c>
      <c r="P386" s="17">
        <f>IF($A386="","",IFERROR(SUMIF(tblAnahtarA[Norm],$A386,tblGirdi[HedefNet]),0))</f>
        <v/>
      </c>
      <c r="Q386" s="17">
        <f>IF($A386="","",ROUND($M386-$P386,2))</f>
        <v/>
      </c>
      <c r="R386" s="17">
        <f>IF($A386="","",ROUND($B386-$K386,2))</f>
        <v/>
      </c>
      <c r="S386" s="17">
        <f>IF($A386="","",IF($N386&lt;0,"ÇEKİL",IF($N386&lt;tyk_esikMarjDusuk,"ZAM","SAT")))</f>
        <v/>
      </c>
      <c r="T386" s="17">
        <f>IF($A386="","",$L386-$F386)</f>
        <v/>
      </c>
      <c r="U386" s="17">
        <f>IF($A386="","",$M386-$Q386)</f>
        <v/>
      </c>
      <c r="V386" s="17">
        <f>IF($A386="","",$R386-$M386)</f>
        <v/>
      </c>
    </row>
    <row r="387">
      <c r="A387" s="17">
        <f>IF('ANAHTAR'!$B387="","",'ANAHTAR'!$B387)</f>
        <v/>
      </c>
      <c r="B387" s="17">
        <f>IF($A387="","",IFERROR(SUMIF(tblAnahtarA[Norm],$A387,tblGirdi[ToplamSatis]),0))</f>
        <v/>
      </c>
      <c r="C387" s="17">
        <f>IF($A387="","",IFERROR(SUMIF(tblAnahtarA[Norm],$A387,tblGirdi[Maliyet])*IFERROR(SUMIF(tblAnahtarA[Norm],$A387,tblGirdi[Miktar]),1),0))</f>
        <v/>
      </c>
      <c r="D387" s="17">
        <f>IF($A387="","",IFERROR(SUMIF(tblAnahtarA[Norm],$A387,tblGirdi[Miktar]),0))</f>
        <v/>
      </c>
      <c r="E387" s="17">
        <f>IF($A387="","",IFERROR(SUMIF(tblAnahtarA[Norm],$A387,tblGirdi[KomisyonOran]),0))</f>
        <v/>
      </c>
      <c r="F387" s="17">
        <f>IF($A387="","",ROUND($B387*$E387,2))</f>
        <v/>
      </c>
      <c r="G387" s="17">
        <f>IF($A387="","",IFERROR(SUMIF(tblAnahtarB[NormB],$A387,tblHakedis[TyPlus]),0))</f>
        <v/>
      </c>
      <c r="H387" s="17">
        <f>IF($A387="","",IFERROR(SUMIF(tblAnahtarB[NormB],$A387,tblHakedis[FlasKesinti]),0))</f>
        <v/>
      </c>
      <c r="I387" s="17">
        <f>IF($A387="","",IFERROR(SUMIF(tblAnahtarB[NormB],$A387,tblHakedis[UrunReklam]),0))</f>
        <v/>
      </c>
      <c r="J387" s="17">
        <f>IF($A387="","",IFERROR(SUMIF(tblAnahtarB[NormB],$A387,tblHakedis[DesiKargo]),0))</f>
        <v/>
      </c>
      <c r="K387" s="17">
        <f>IF($A387="","",ROUND($F387+$G387+$H387+$I387+$J387,2))</f>
        <v/>
      </c>
      <c r="L387" s="17">
        <f>IF($A387="","",ROUND($B387-$C387,2))</f>
        <v/>
      </c>
      <c r="M387" s="17">
        <f>IF($A387="","",ROUND($B387-$C387-$K387,2))</f>
        <v/>
      </c>
      <c r="N387" s="17">
        <f>IF(OR($A387="",$B387=0),0,$M387/$B387)</f>
        <v/>
      </c>
      <c r="O387" s="17">
        <f>IF($A387="","",IF((1-$E387)&lt;=0,0,IF($D387=0,0,ROUND(($C387+$G387+$H387+$I387+$J387)/$D387/(1-$E387),2))))</f>
        <v/>
      </c>
      <c r="P387" s="17">
        <f>IF($A387="","",IFERROR(SUMIF(tblAnahtarA[Norm],$A387,tblGirdi[HedefNet]),0))</f>
        <v/>
      </c>
      <c r="Q387" s="17">
        <f>IF($A387="","",ROUND($M387-$P387,2))</f>
        <v/>
      </c>
      <c r="R387" s="17">
        <f>IF($A387="","",ROUND($B387-$K387,2))</f>
        <v/>
      </c>
      <c r="S387" s="17">
        <f>IF($A387="","",IF($N387&lt;0,"ÇEKİL",IF($N387&lt;tyk_esikMarjDusuk,"ZAM","SAT")))</f>
        <v/>
      </c>
      <c r="T387" s="17">
        <f>IF($A387="","",$L387-$F387)</f>
        <v/>
      </c>
      <c r="U387" s="17">
        <f>IF($A387="","",$M387-$Q387)</f>
        <v/>
      </c>
      <c r="V387" s="17">
        <f>IF($A387="","",$R387-$M387)</f>
        <v/>
      </c>
    </row>
    <row r="388">
      <c r="A388" s="17">
        <f>IF('ANAHTAR'!$B388="","",'ANAHTAR'!$B388)</f>
        <v/>
      </c>
      <c r="B388" s="17">
        <f>IF($A388="","",IFERROR(SUMIF(tblAnahtarA[Norm],$A388,tblGirdi[ToplamSatis]),0))</f>
        <v/>
      </c>
      <c r="C388" s="17">
        <f>IF($A388="","",IFERROR(SUMIF(tblAnahtarA[Norm],$A388,tblGirdi[Maliyet])*IFERROR(SUMIF(tblAnahtarA[Norm],$A388,tblGirdi[Miktar]),1),0))</f>
        <v/>
      </c>
      <c r="D388" s="17">
        <f>IF($A388="","",IFERROR(SUMIF(tblAnahtarA[Norm],$A388,tblGirdi[Miktar]),0))</f>
        <v/>
      </c>
      <c r="E388" s="17">
        <f>IF($A388="","",IFERROR(SUMIF(tblAnahtarA[Norm],$A388,tblGirdi[KomisyonOran]),0))</f>
        <v/>
      </c>
      <c r="F388" s="17">
        <f>IF($A388="","",ROUND($B388*$E388,2))</f>
        <v/>
      </c>
      <c r="G388" s="17">
        <f>IF($A388="","",IFERROR(SUMIF(tblAnahtarB[NormB],$A388,tblHakedis[TyPlus]),0))</f>
        <v/>
      </c>
      <c r="H388" s="17">
        <f>IF($A388="","",IFERROR(SUMIF(tblAnahtarB[NormB],$A388,tblHakedis[FlasKesinti]),0))</f>
        <v/>
      </c>
      <c r="I388" s="17">
        <f>IF($A388="","",IFERROR(SUMIF(tblAnahtarB[NormB],$A388,tblHakedis[UrunReklam]),0))</f>
        <v/>
      </c>
      <c r="J388" s="17">
        <f>IF($A388="","",IFERROR(SUMIF(tblAnahtarB[NormB],$A388,tblHakedis[DesiKargo]),0))</f>
        <v/>
      </c>
      <c r="K388" s="17">
        <f>IF($A388="","",ROUND($F388+$G388+$H388+$I388+$J388,2))</f>
        <v/>
      </c>
      <c r="L388" s="17">
        <f>IF($A388="","",ROUND($B388-$C388,2))</f>
        <v/>
      </c>
      <c r="M388" s="17">
        <f>IF($A388="","",ROUND($B388-$C388-$K388,2))</f>
        <v/>
      </c>
      <c r="N388" s="17">
        <f>IF(OR($A388="",$B388=0),0,$M388/$B388)</f>
        <v/>
      </c>
      <c r="O388" s="17">
        <f>IF($A388="","",IF((1-$E388)&lt;=0,0,IF($D388=0,0,ROUND(($C388+$G388+$H388+$I388+$J388)/$D388/(1-$E388),2))))</f>
        <v/>
      </c>
      <c r="P388" s="17">
        <f>IF($A388="","",IFERROR(SUMIF(tblAnahtarA[Norm],$A388,tblGirdi[HedefNet]),0))</f>
        <v/>
      </c>
      <c r="Q388" s="17">
        <f>IF($A388="","",ROUND($M388-$P388,2))</f>
        <v/>
      </c>
      <c r="R388" s="17">
        <f>IF($A388="","",ROUND($B388-$K388,2))</f>
        <v/>
      </c>
      <c r="S388" s="17">
        <f>IF($A388="","",IF($N388&lt;0,"ÇEKİL",IF($N388&lt;tyk_esikMarjDusuk,"ZAM","SAT")))</f>
        <v/>
      </c>
      <c r="T388" s="17">
        <f>IF($A388="","",$L388-$F388)</f>
        <v/>
      </c>
      <c r="U388" s="17">
        <f>IF($A388="","",$M388-$Q388)</f>
        <v/>
      </c>
      <c r="V388" s="17">
        <f>IF($A388="","",$R388-$M388)</f>
        <v/>
      </c>
    </row>
    <row r="389">
      <c r="A389" s="17">
        <f>IF('ANAHTAR'!$B389="","",'ANAHTAR'!$B389)</f>
        <v/>
      </c>
      <c r="B389" s="17">
        <f>IF($A389="","",IFERROR(SUMIF(tblAnahtarA[Norm],$A389,tblGirdi[ToplamSatis]),0))</f>
        <v/>
      </c>
      <c r="C389" s="17">
        <f>IF($A389="","",IFERROR(SUMIF(tblAnahtarA[Norm],$A389,tblGirdi[Maliyet])*IFERROR(SUMIF(tblAnahtarA[Norm],$A389,tblGirdi[Miktar]),1),0))</f>
        <v/>
      </c>
      <c r="D389" s="17">
        <f>IF($A389="","",IFERROR(SUMIF(tblAnahtarA[Norm],$A389,tblGirdi[Miktar]),0))</f>
        <v/>
      </c>
      <c r="E389" s="17">
        <f>IF($A389="","",IFERROR(SUMIF(tblAnahtarA[Norm],$A389,tblGirdi[KomisyonOran]),0))</f>
        <v/>
      </c>
      <c r="F389" s="17">
        <f>IF($A389="","",ROUND($B389*$E389,2))</f>
        <v/>
      </c>
      <c r="G389" s="17">
        <f>IF($A389="","",IFERROR(SUMIF(tblAnahtarB[NormB],$A389,tblHakedis[TyPlus]),0))</f>
        <v/>
      </c>
      <c r="H389" s="17">
        <f>IF($A389="","",IFERROR(SUMIF(tblAnahtarB[NormB],$A389,tblHakedis[FlasKesinti]),0))</f>
        <v/>
      </c>
      <c r="I389" s="17">
        <f>IF($A389="","",IFERROR(SUMIF(tblAnahtarB[NormB],$A389,tblHakedis[UrunReklam]),0))</f>
        <v/>
      </c>
      <c r="J389" s="17">
        <f>IF($A389="","",IFERROR(SUMIF(tblAnahtarB[NormB],$A389,tblHakedis[DesiKargo]),0))</f>
        <v/>
      </c>
      <c r="K389" s="17">
        <f>IF($A389="","",ROUND($F389+$G389+$H389+$I389+$J389,2))</f>
        <v/>
      </c>
      <c r="L389" s="17">
        <f>IF($A389="","",ROUND($B389-$C389,2))</f>
        <v/>
      </c>
      <c r="M389" s="17">
        <f>IF($A389="","",ROUND($B389-$C389-$K389,2))</f>
        <v/>
      </c>
      <c r="N389" s="17">
        <f>IF(OR($A389="",$B389=0),0,$M389/$B389)</f>
        <v/>
      </c>
      <c r="O389" s="17">
        <f>IF($A389="","",IF((1-$E389)&lt;=0,0,IF($D389=0,0,ROUND(($C389+$G389+$H389+$I389+$J389)/$D389/(1-$E389),2))))</f>
        <v/>
      </c>
      <c r="P389" s="17">
        <f>IF($A389="","",IFERROR(SUMIF(tblAnahtarA[Norm],$A389,tblGirdi[HedefNet]),0))</f>
        <v/>
      </c>
      <c r="Q389" s="17">
        <f>IF($A389="","",ROUND($M389-$P389,2))</f>
        <v/>
      </c>
      <c r="R389" s="17">
        <f>IF($A389="","",ROUND($B389-$K389,2))</f>
        <v/>
      </c>
      <c r="S389" s="17">
        <f>IF($A389="","",IF($N389&lt;0,"ÇEKİL",IF($N389&lt;tyk_esikMarjDusuk,"ZAM","SAT")))</f>
        <v/>
      </c>
      <c r="T389" s="17">
        <f>IF($A389="","",$L389-$F389)</f>
        <v/>
      </c>
      <c r="U389" s="17">
        <f>IF($A389="","",$M389-$Q389)</f>
        <v/>
      </c>
      <c r="V389" s="17">
        <f>IF($A389="","",$R389-$M389)</f>
        <v/>
      </c>
    </row>
    <row r="390">
      <c r="A390" s="17">
        <f>IF('ANAHTAR'!$B390="","",'ANAHTAR'!$B390)</f>
        <v/>
      </c>
      <c r="B390" s="17">
        <f>IF($A390="","",IFERROR(SUMIF(tblAnahtarA[Norm],$A390,tblGirdi[ToplamSatis]),0))</f>
        <v/>
      </c>
      <c r="C390" s="17">
        <f>IF($A390="","",IFERROR(SUMIF(tblAnahtarA[Norm],$A390,tblGirdi[Maliyet])*IFERROR(SUMIF(tblAnahtarA[Norm],$A390,tblGirdi[Miktar]),1),0))</f>
        <v/>
      </c>
      <c r="D390" s="17">
        <f>IF($A390="","",IFERROR(SUMIF(tblAnahtarA[Norm],$A390,tblGirdi[Miktar]),0))</f>
        <v/>
      </c>
      <c r="E390" s="17">
        <f>IF($A390="","",IFERROR(SUMIF(tblAnahtarA[Norm],$A390,tblGirdi[KomisyonOran]),0))</f>
        <v/>
      </c>
      <c r="F390" s="17">
        <f>IF($A390="","",ROUND($B390*$E390,2))</f>
        <v/>
      </c>
      <c r="G390" s="17">
        <f>IF($A390="","",IFERROR(SUMIF(tblAnahtarB[NormB],$A390,tblHakedis[TyPlus]),0))</f>
        <v/>
      </c>
      <c r="H390" s="17">
        <f>IF($A390="","",IFERROR(SUMIF(tblAnahtarB[NormB],$A390,tblHakedis[FlasKesinti]),0))</f>
        <v/>
      </c>
      <c r="I390" s="17">
        <f>IF($A390="","",IFERROR(SUMIF(tblAnahtarB[NormB],$A390,tblHakedis[UrunReklam]),0))</f>
        <v/>
      </c>
      <c r="J390" s="17">
        <f>IF($A390="","",IFERROR(SUMIF(tblAnahtarB[NormB],$A390,tblHakedis[DesiKargo]),0))</f>
        <v/>
      </c>
      <c r="K390" s="17">
        <f>IF($A390="","",ROUND($F390+$G390+$H390+$I390+$J390,2))</f>
        <v/>
      </c>
      <c r="L390" s="17">
        <f>IF($A390="","",ROUND($B390-$C390,2))</f>
        <v/>
      </c>
      <c r="M390" s="17">
        <f>IF($A390="","",ROUND($B390-$C390-$K390,2))</f>
        <v/>
      </c>
      <c r="N390" s="17">
        <f>IF(OR($A390="",$B390=0),0,$M390/$B390)</f>
        <v/>
      </c>
      <c r="O390" s="17">
        <f>IF($A390="","",IF((1-$E390)&lt;=0,0,IF($D390=0,0,ROUND(($C390+$G390+$H390+$I390+$J390)/$D390/(1-$E390),2))))</f>
        <v/>
      </c>
      <c r="P390" s="17">
        <f>IF($A390="","",IFERROR(SUMIF(tblAnahtarA[Norm],$A390,tblGirdi[HedefNet]),0))</f>
        <v/>
      </c>
      <c r="Q390" s="17">
        <f>IF($A390="","",ROUND($M390-$P390,2))</f>
        <v/>
      </c>
      <c r="R390" s="17">
        <f>IF($A390="","",ROUND($B390-$K390,2))</f>
        <v/>
      </c>
      <c r="S390" s="17">
        <f>IF($A390="","",IF($N390&lt;0,"ÇEKİL",IF($N390&lt;tyk_esikMarjDusuk,"ZAM","SAT")))</f>
        <v/>
      </c>
      <c r="T390" s="17">
        <f>IF($A390="","",$L390-$F390)</f>
        <v/>
      </c>
      <c r="U390" s="17">
        <f>IF($A390="","",$M390-$Q390)</f>
        <v/>
      </c>
      <c r="V390" s="17">
        <f>IF($A390="","",$R390-$M390)</f>
        <v/>
      </c>
    </row>
    <row r="391">
      <c r="A391" s="17">
        <f>IF('ANAHTAR'!$B391="","",'ANAHTAR'!$B391)</f>
        <v/>
      </c>
      <c r="B391" s="17">
        <f>IF($A391="","",IFERROR(SUMIF(tblAnahtarA[Norm],$A391,tblGirdi[ToplamSatis]),0))</f>
        <v/>
      </c>
      <c r="C391" s="17">
        <f>IF($A391="","",IFERROR(SUMIF(tblAnahtarA[Norm],$A391,tblGirdi[Maliyet])*IFERROR(SUMIF(tblAnahtarA[Norm],$A391,tblGirdi[Miktar]),1),0))</f>
        <v/>
      </c>
      <c r="D391" s="17">
        <f>IF($A391="","",IFERROR(SUMIF(tblAnahtarA[Norm],$A391,tblGirdi[Miktar]),0))</f>
        <v/>
      </c>
      <c r="E391" s="17">
        <f>IF($A391="","",IFERROR(SUMIF(tblAnahtarA[Norm],$A391,tblGirdi[KomisyonOran]),0))</f>
        <v/>
      </c>
      <c r="F391" s="17">
        <f>IF($A391="","",ROUND($B391*$E391,2))</f>
        <v/>
      </c>
      <c r="G391" s="17">
        <f>IF($A391="","",IFERROR(SUMIF(tblAnahtarB[NormB],$A391,tblHakedis[TyPlus]),0))</f>
        <v/>
      </c>
      <c r="H391" s="17">
        <f>IF($A391="","",IFERROR(SUMIF(tblAnahtarB[NormB],$A391,tblHakedis[FlasKesinti]),0))</f>
        <v/>
      </c>
      <c r="I391" s="17">
        <f>IF($A391="","",IFERROR(SUMIF(tblAnahtarB[NormB],$A391,tblHakedis[UrunReklam]),0))</f>
        <v/>
      </c>
      <c r="J391" s="17">
        <f>IF($A391="","",IFERROR(SUMIF(tblAnahtarB[NormB],$A391,tblHakedis[DesiKargo]),0))</f>
        <v/>
      </c>
      <c r="K391" s="17">
        <f>IF($A391="","",ROUND($F391+$G391+$H391+$I391+$J391,2))</f>
        <v/>
      </c>
      <c r="L391" s="17">
        <f>IF($A391="","",ROUND($B391-$C391,2))</f>
        <v/>
      </c>
      <c r="M391" s="17">
        <f>IF($A391="","",ROUND($B391-$C391-$K391,2))</f>
        <v/>
      </c>
      <c r="N391" s="17">
        <f>IF(OR($A391="",$B391=0),0,$M391/$B391)</f>
        <v/>
      </c>
      <c r="O391" s="17">
        <f>IF($A391="","",IF((1-$E391)&lt;=0,0,IF($D391=0,0,ROUND(($C391+$G391+$H391+$I391+$J391)/$D391/(1-$E391),2))))</f>
        <v/>
      </c>
      <c r="P391" s="17">
        <f>IF($A391="","",IFERROR(SUMIF(tblAnahtarA[Norm],$A391,tblGirdi[HedefNet]),0))</f>
        <v/>
      </c>
      <c r="Q391" s="17">
        <f>IF($A391="","",ROUND($M391-$P391,2))</f>
        <v/>
      </c>
      <c r="R391" s="17">
        <f>IF($A391="","",ROUND($B391-$K391,2))</f>
        <v/>
      </c>
      <c r="S391" s="17">
        <f>IF($A391="","",IF($N391&lt;0,"ÇEKİL",IF($N391&lt;tyk_esikMarjDusuk,"ZAM","SAT")))</f>
        <v/>
      </c>
      <c r="T391" s="17">
        <f>IF($A391="","",$L391-$F391)</f>
        <v/>
      </c>
      <c r="U391" s="17">
        <f>IF($A391="","",$M391-$Q391)</f>
        <v/>
      </c>
      <c r="V391" s="17">
        <f>IF($A391="","",$R391-$M391)</f>
        <v/>
      </c>
    </row>
    <row r="392">
      <c r="A392" s="17">
        <f>IF('ANAHTAR'!$B392="","",'ANAHTAR'!$B392)</f>
        <v/>
      </c>
      <c r="B392" s="17">
        <f>IF($A392="","",IFERROR(SUMIF(tblAnahtarA[Norm],$A392,tblGirdi[ToplamSatis]),0))</f>
        <v/>
      </c>
      <c r="C392" s="17">
        <f>IF($A392="","",IFERROR(SUMIF(tblAnahtarA[Norm],$A392,tblGirdi[Maliyet])*IFERROR(SUMIF(tblAnahtarA[Norm],$A392,tblGirdi[Miktar]),1),0))</f>
        <v/>
      </c>
      <c r="D392" s="17">
        <f>IF($A392="","",IFERROR(SUMIF(tblAnahtarA[Norm],$A392,tblGirdi[Miktar]),0))</f>
        <v/>
      </c>
      <c r="E392" s="17">
        <f>IF($A392="","",IFERROR(SUMIF(tblAnahtarA[Norm],$A392,tblGirdi[KomisyonOran]),0))</f>
        <v/>
      </c>
      <c r="F392" s="17">
        <f>IF($A392="","",ROUND($B392*$E392,2))</f>
        <v/>
      </c>
      <c r="G392" s="17">
        <f>IF($A392="","",IFERROR(SUMIF(tblAnahtarB[NormB],$A392,tblHakedis[TyPlus]),0))</f>
        <v/>
      </c>
      <c r="H392" s="17">
        <f>IF($A392="","",IFERROR(SUMIF(tblAnahtarB[NormB],$A392,tblHakedis[FlasKesinti]),0))</f>
        <v/>
      </c>
      <c r="I392" s="17">
        <f>IF($A392="","",IFERROR(SUMIF(tblAnahtarB[NormB],$A392,tblHakedis[UrunReklam]),0))</f>
        <v/>
      </c>
      <c r="J392" s="17">
        <f>IF($A392="","",IFERROR(SUMIF(tblAnahtarB[NormB],$A392,tblHakedis[DesiKargo]),0))</f>
        <v/>
      </c>
      <c r="K392" s="17">
        <f>IF($A392="","",ROUND($F392+$G392+$H392+$I392+$J392,2))</f>
        <v/>
      </c>
      <c r="L392" s="17">
        <f>IF($A392="","",ROUND($B392-$C392,2))</f>
        <v/>
      </c>
      <c r="M392" s="17">
        <f>IF($A392="","",ROUND($B392-$C392-$K392,2))</f>
        <v/>
      </c>
      <c r="N392" s="17">
        <f>IF(OR($A392="",$B392=0),0,$M392/$B392)</f>
        <v/>
      </c>
      <c r="O392" s="17">
        <f>IF($A392="","",IF((1-$E392)&lt;=0,0,IF($D392=0,0,ROUND(($C392+$G392+$H392+$I392+$J392)/$D392/(1-$E392),2))))</f>
        <v/>
      </c>
      <c r="P392" s="17">
        <f>IF($A392="","",IFERROR(SUMIF(tblAnahtarA[Norm],$A392,tblGirdi[HedefNet]),0))</f>
        <v/>
      </c>
      <c r="Q392" s="17">
        <f>IF($A392="","",ROUND($M392-$P392,2))</f>
        <v/>
      </c>
      <c r="R392" s="17">
        <f>IF($A392="","",ROUND($B392-$K392,2))</f>
        <v/>
      </c>
      <c r="S392" s="17">
        <f>IF($A392="","",IF($N392&lt;0,"ÇEKİL",IF($N392&lt;tyk_esikMarjDusuk,"ZAM","SAT")))</f>
        <v/>
      </c>
      <c r="T392" s="17">
        <f>IF($A392="","",$L392-$F392)</f>
        <v/>
      </c>
      <c r="U392" s="17">
        <f>IF($A392="","",$M392-$Q392)</f>
        <v/>
      </c>
      <c r="V392" s="17">
        <f>IF($A392="","",$R392-$M392)</f>
        <v/>
      </c>
    </row>
    <row r="393">
      <c r="A393" s="17">
        <f>IF('ANAHTAR'!$B393="","",'ANAHTAR'!$B393)</f>
        <v/>
      </c>
      <c r="B393" s="17">
        <f>IF($A393="","",IFERROR(SUMIF(tblAnahtarA[Norm],$A393,tblGirdi[ToplamSatis]),0))</f>
        <v/>
      </c>
      <c r="C393" s="17">
        <f>IF($A393="","",IFERROR(SUMIF(tblAnahtarA[Norm],$A393,tblGirdi[Maliyet])*IFERROR(SUMIF(tblAnahtarA[Norm],$A393,tblGirdi[Miktar]),1),0))</f>
        <v/>
      </c>
      <c r="D393" s="17">
        <f>IF($A393="","",IFERROR(SUMIF(tblAnahtarA[Norm],$A393,tblGirdi[Miktar]),0))</f>
        <v/>
      </c>
      <c r="E393" s="17">
        <f>IF($A393="","",IFERROR(SUMIF(tblAnahtarA[Norm],$A393,tblGirdi[KomisyonOran]),0))</f>
        <v/>
      </c>
      <c r="F393" s="17">
        <f>IF($A393="","",ROUND($B393*$E393,2))</f>
        <v/>
      </c>
      <c r="G393" s="17">
        <f>IF($A393="","",IFERROR(SUMIF(tblAnahtarB[NormB],$A393,tblHakedis[TyPlus]),0))</f>
        <v/>
      </c>
      <c r="H393" s="17">
        <f>IF($A393="","",IFERROR(SUMIF(tblAnahtarB[NormB],$A393,tblHakedis[FlasKesinti]),0))</f>
        <v/>
      </c>
      <c r="I393" s="17">
        <f>IF($A393="","",IFERROR(SUMIF(tblAnahtarB[NormB],$A393,tblHakedis[UrunReklam]),0))</f>
        <v/>
      </c>
      <c r="J393" s="17">
        <f>IF($A393="","",IFERROR(SUMIF(tblAnahtarB[NormB],$A393,tblHakedis[DesiKargo]),0))</f>
        <v/>
      </c>
      <c r="K393" s="17">
        <f>IF($A393="","",ROUND($F393+$G393+$H393+$I393+$J393,2))</f>
        <v/>
      </c>
      <c r="L393" s="17">
        <f>IF($A393="","",ROUND($B393-$C393,2))</f>
        <v/>
      </c>
      <c r="M393" s="17">
        <f>IF($A393="","",ROUND($B393-$C393-$K393,2))</f>
        <v/>
      </c>
      <c r="N393" s="17">
        <f>IF(OR($A393="",$B393=0),0,$M393/$B393)</f>
        <v/>
      </c>
      <c r="O393" s="17">
        <f>IF($A393="","",IF((1-$E393)&lt;=0,0,IF($D393=0,0,ROUND(($C393+$G393+$H393+$I393+$J393)/$D393/(1-$E393),2))))</f>
        <v/>
      </c>
      <c r="P393" s="17">
        <f>IF($A393="","",IFERROR(SUMIF(tblAnahtarA[Norm],$A393,tblGirdi[HedefNet]),0))</f>
        <v/>
      </c>
      <c r="Q393" s="17">
        <f>IF($A393="","",ROUND($M393-$P393,2))</f>
        <v/>
      </c>
      <c r="R393" s="17">
        <f>IF($A393="","",ROUND($B393-$K393,2))</f>
        <v/>
      </c>
      <c r="S393" s="17">
        <f>IF($A393="","",IF($N393&lt;0,"ÇEKİL",IF($N393&lt;tyk_esikMarjDusuk,"ZAM","SAT")))</f>
        <v/>
      </c>
      <c r="T393" s="17">
        <f>IF($A393="","",$L393-$F393)</f>
        <v/>
      </c>
      <c r="U393" s="17">
        <f>IF($A393="","",$M393-$Q393)</f>
        <v/>
      </c>
      <c r="V393" s="17">
        <f>IF($A393="","",$R393-$M393)</f>
        <v/>
      </c>
    </row>
    <row r="394">
      <c r="A394" s="17">
        <f>IF('ANAHTAR'!$B394="","",'ANAHTAR'!$B394)</f>
        <v/>
      </c>
      <c r="B394" s="17">
        <f>IF($A394="","",IFERROR(SUMIF(tblAnahtarA[Norm],$A394,tblGirdi[ToplamSatis]),0))</f>
        <v/>
      </c>
      <c r="C394" s="17">
        <f>IF($A394="","",IFERROR(SUMIF(tblAnahtarA[Norm],$A394,tblGirdi[Maliyet])*IFERROR(SUMIF(tblAnahtarA[Norm],$A394,tblGirdi[Miktar]),1),0))</f>
        <v/>
      </c>
      <c r="D394" s="17">
        <f>IF($A394="","",IFERROR(SUMIF(tblAnahtarA[Norm],$A394,tblGirdi[Miktar]),0))</f>
        <v/>
      </c>
      <c r="E394" s="17">
        <f>IF($A394="","",IFERROR(SUMIF(tblAnahtarA[Norm],$A394,tblGirdi[KomisyonOran]),0))</f>
        <v/>
      </c>
      <c r="F394" s="17">
        <f>IF($A394="","",ROUND($B394*$E394,2))</f>
        <v/>
      </c>
      <c r="G394" s="17">
        <f>IF($A394="","",IFERROR(SUMIF(tblAnahtarB[NormB],$A394,tblHakedis[TyPlus]),0))</f>
        <v/>
      </c>
      <c r="H394" s="17">
        <f>IF($A394="","",IFERROR(SUMIF(tblAnahtarB[NormB],$A394,tblHakedis[FlasKesinti]),0))</f>
        <v/>
      </c>
      <c r="I394" s="17">
        <f>IF($A394="","",IFERROR(SUMIF(tblAnahtarB[NormB],$A394,tblHakedis[UrunReklam]),0))</f>
        <v/>
      </c>
      <c r="J394" s="17">
        <f>IF($A394="","",IFERROR(SUMIF(tblAnahtarB[NormB],$A394,tblHakedis[DesiKargo]),0))</f>
        <v/>
      </c>
      <c r="K394" s="17">
        <f>IF($A394="","",ROUND($F394+$G394+$H394+$I394+$J394,2))</f>
        <v/>
      </c>
      <c r="L394" s="17">
        <f>IF($A394="","",ROUND($B394-$C394,2))</f>
        <v/>
      </c>
      <c r="M394" s="17">
        <f>IF($A394="","",ROUND($B394-$C394-$K394,2))</f>
        <v/>
      </c>
      <c r="N394" s="17">
        <f>IF(OR($A394="",$B394=0),0,$M394/$B394)</f>
        <v/>
      </c>
      <c r="O394" s="17">
        <f>IF($A394="","",IF((1-$E394)&lt;=0,0,IF($D394=0,0,ROUND(($C394+$G394+$H394+$I394+$J394)/$D394/(1-$E394),2))))</f>
        <v/>
      </c>
      <c r="P394" s="17">
        <f>IF($A394="","",IFERROR(SUMIF(tblAnahtarA[Norm],$A394,tblGirdi[HedefNet]),0))</f>
        <v/>
      </c>
      <c r="Q394" s="17">
        <f>IF($A394="","",ROUND($M394-$P394,2))</f>
        <v/>
      </c>
      <c r="R394" s="17">
        <f>IF($A394="","",ROUND($B394-$K394,2))</f>
        <v/>
      </c>
      <c r="S394" s="17">
        <f>IF($A394="","",IF($N394&lt;0,"ÇEKİL",IF($N394&lt;tyk_esikMarjDusuk,"ZAM","SAT")))</f>
        <v/>
      </c>
      <c r="T394" s="17">
        <f>IF($A394="","",$L394-$F394)</f>
        <v/>
      </c>
      <c r="U394" s="17">
        <f>IF($A394="","",$M394-$Q394)</f>
        <v/>
      </c>
      <c r="V394" s="17">
        <f>IF($A394="","",$R394-$M394)</f>
        <v/>
      </c>
    </row>
    <row r="395">
      <c r="A395" s="17">
        <f>IF('ANAHTAR'!$B395="","",'ANAHTAR'!$B395)</f>
        <v/>
      </c>
      <c r="B395" s="17">
        <f>IF($A395="","",IFERROR(SUMIF(tblAnahtarA[Norm],$A395,tblGirdi[ToplamSatis]),0))</f>
        <v/>
      </c>
      <c r="C395" s="17">
        <f>IF($A395="","",IFERROR(SUMIF(tblAnahtarA[Norm],$A395,tblGirdi[Maliyet])*IFERROR(SUMIF(tblAnahtarA[Norm],$A395,tblGirdi[Miktar]),1),0))</f>
        <v/>
      </c>
      <c r="D395" s="17">
        <f>IF($A395="","",IFERROR(SUMIF(tblAnahtarA[Norm],$A395,tblGirdi[Miktar]),0))</f>
        <v/>
      </c>
      <c r="E395" s="17">
        <f>IF($A395="","",IFERROR(SUMIF(tblAnahtarA[Norm],$A395,tblGirdi[KomisyonOran]),0))</f>
        <v/>
      </c>
      <c r="F395" s="17">
        <f>IF($A395="","",ROUND($B395*$E395,2))</f>
        <v/>
      </c>
      <c r="G395" s="17">
        <f>IF($A395="","",IFERROR(SUMIF(tblAnahtarB[NormB],$A395,tblHakedis[TyPlus]),0))</f>
        <v/>
      </c>
      <c r="H395" s="17">
        <f>IF($A395="","",IFERROR(SUMIF(tblAnahtarB[NormB],$A395,tblHakedis[FlasKesinti]),0))</f>
        <v/>
      </c>
      <c r="I395" s="17">
        <f>IF($A395="","",IFERROR(SUMIF(tblAnahtarB[NormB],$A395,tblHakedis[UrunReklam]),0))</f>
        <v/>
      </c>
      <c r="J395" s="17">
        <f>IF($A395="","",IFERROR(SUMIF(tblAnahtarB[NormB],$A395,tblHakedis[DesiKargo]),0))</f>
        <v/>
      </c>
      <c r="K395" s="17">
        <f>IF($A395="","",ROUND($F395+$G395+$H395+$I395+$J395,2))</f>
        <v/>
      </c>
      <c r="L395" s="17">
        <f>IF($A395="","",ROUND($B395-$C395,2))</f>
        <v/>
      </c>
      <c r="M395" s="17">
        <f>IF($A395="","",ROUND($B395-$C395-$K395,2))</f>
        <v/>
      </c>
      <c r="N395" s="17">
        <f>IF(OR($A395="",$B395=0),0,$M395/$B395)</f>
        <v/>
      </c>
      <c r="O395" s="17">
        <f>IF($A395="","",IF((1-$E395)&lt;=0,0,IF($D395=0,0,ROUND(($C395+$G395+$H395+$I395+$J395)/$D395/(1-$E395),2))))</f>
        <v/>
      </c>
      <c r="P395" s="17">
        <f>IF($A395="","",IFERROR(SUMIF(tblAnahtarA[Norm],$A395,tblGirdi[HedefNet]),0))</f>
        <v/>
      </c>
      <c r="Q395" s="17">
        <f>IF($A395="","",ROUND($M395-$P395,2))</f>
        <v/>
      </c>
      <c r="R395" s="17">
        <f>IF($A395="","",ROUND($B395-$K395,2))</f>
        <v/>
      </c>
      <c r="S395" s="17">
        <f>IF($A395="","",IF($N395&lt;0,"ÇEKİL",IF($N395&lt;tyk_esikMarjDusuk,"ZAM","SAT")))</f>
        <v/>
      </c>
      <c r="T395" s="17">
        <f>IF($A395="","",$L395-$F395)</f>
        <v/>
      </c>
      <c r="U395" s="17">
        <f>IF($A395="","",$M395-$Q395)</f>
        <v/>
      </c>
      <c r="V395" s="17">
        <f>IF($A395="","",$R395-$M395)</f>
        <v/>
      </c>
    </row>
    <row r="396">
      <c r="A396" s="17">
        <f>IF('ANAHTAR'!$B396="","",'ANAHTAR'!$B396)</f>
        <v/>
      </c>
      <c r="B396" s="17">
        <f>IF($A396="","",IFERROR(SUMIF(tblAnahtarA[Norm],$A396,tblGirdi[ToplamSatis]),0))</f>
        <v/>
      </c>
      <c r="C396" s="17">
        <f>IF($A396="","",IFERROR(SUMIF(tblAnahtarA[Norm],$A396,tblGirdi[Maliyet])*IFERROR(SUMIF(tblAnahtarA[Norm],$A396,tblGirdi[Miktar]),1),0))</f>
        <v/>
      </c>
      <c r="D396" s="17">
        <f>IF($A396="","",IFERROR(SUMIF(tblAnahtarA[Norm],$A396,tblGirdi[Miktar]),0))</f>
        <v/>
      </c>
      <c r="E396" s="17">
        <f>IF($A396="","",IFERROR(SUMIF(tblAnahtarA[Norm],$A396,tblGirdi[KomisyonOran]),0))</f>
        <v/>
      </c>
      <c r="F396" s="17">
        <f>IF($A396="","",ROUND($B396*$E396,2))</f>
        <v/>
      </c>
      <c r="G396" s="17">
        <f>IF($A396="","",IFERROR(SUMIF(tblAnahtarB[NormB],$A396,tblHakedis[TyPlus]),0))</f>
        <v/>
      </c>
      <c r="H396" s="17">
        <f>IF($A396="","",IFERROR(SUMIF(tblAnahtarB[NormB],$A396,tblHakedis[FlasKesinti]),0))</f>
        <v/>
      </c>
      <c r="I396" s="17">
        <f>IF($A396="","",IFERROR(SUMIF(tblAnahtarB[NormB],$A396,tblHakedis[UrunReklam]),0))</f>
        <v/>
      </c>
      <c r="J396" s="17">
        <f>IF($A396="","",IFERROR(SUMIF(tblAnahtarB[NormB],$A396,tblHakedis[DesiKargo]),0))</f>
        <v/>
      </c>
      <c r="K396" s="17">
        <f>IF($A396="","",ROUND($F396+$G396+$H396+$I396+$J396,2))</f>
        <v/>
      </c>
      <c r="L396" s="17">
        <f>IF($A396="","",ROUND($B396-$C396,2))</f>
        <v/>
      </c>
      <c r="M396" s="17">
        <f>IF($A396="","",ROUND($B396-$C396-$K396,2))</f>
        <v/>
      </c>
      <c r="N396" s="17">
        <f>IF(OR($A396="",$B396=0),0,$M396/$B396)</f>
        <v/>
      </c>
      <c r="O396" s="17">
        <f>IF($A396="","",IF((1-$E396)&lt;=0,0,IF($D396=0,0,ROUND(($C396+$G396+$H396+$I396+$J396)/$D396/(1-$E396),2))))</f>
        <v/>
      </c>
      <c r="P396" s="17">
        <f>IF($A396="","",IFERROR(SUMIF(tblAnahtarA[Norm],$A396,tblGirdi[HedefNet]),0))</f>
        <v/>
      </c>
      <c r="Q396" s="17">
        <f>IF($A396="","",ROUND($M396-$P396,2))</f>
        <v/>
      </c>
      <c r="R396" s="17">
        <f>IF($A396="","",ROUND($B396-$K396,2))</f>
        <v/>
      </c>
      <c r="S396" s="17">
        <f>IF($A396="","",IF($N396&lt;0,"ÇEKİL",IF($N396&lt;tyk_esikMarjDusuk,"ZAM","SAT")))</f>
        <v/>
      </c>
      <c r="T396" s="17">
        <f>IF($A396="","",$L396-$F396)</f>
        <v/>
      </c>
      <c r="U396" s="17">
        <f>IF($A396="","",$M396-$Q396)</f>
        <v/>
      </c>
      <c r="V396" s="17">
        <f>IF($A396="","",$R396-$M396)</f>
        <v/>
      </c>
    </row>
    <row r="397">
      <c r="A397" s="17">
        <f>IF('ANAHTAR'!$B397="","",'ANAHTAR'!$B397)</f>
        <v/>
      </c>
      <c r="B397" s="17">
        <f>IF($A397="","",IFERROR(SUMIF(tblAnahtarA[Norm],$A397,tblGirdi[ToplamSatis]),0))</f>
        <v/>
      </c>
      <c r="C397" s="17">
        <f>IF($A397="","",IFERROR(SUMIF(tblAnahtarA[Norm],$A397,tblGirdi[Maliyet])*IFERROR(SUMIF(tblAnahtarA[Norm],$A397,tblGirdi[Miktar]),1),0))</f>
        <v/>
      </c>
      <c r="D397" s="17">
        <f>IF($A397="","",IFERROR(SUMIF(tblAnahtarA[Norm],$A397,tblGirdi[Miktar]),0))</f>
        <v/>
      </c>
      <c r="E397" s="17">
        <f>IF($A397="","",IFERROR(SUMIF(tblAnahtarA[Norm],$A397,tblGirdi[KomisyonOran]),0))</f>
        <v/>
      </c>
      <c r="F397" s="17">
        <f>IF($A397="","",ROUND($B397*$E397,2))</f>
        <v/>
      </c>
      <c r="G397" s="17">
        <f>IF($A397="","",IFERROR(SUMIF(tblAnahtarB[NormB],$A397,tblHakedis[TyPlus]),0))</f>
        <v/>
      </c>
      <c r="H397" s="17">
        <f>IF($A397="","",IFERROR(SUMIF(tblAnahtarB[NormB],$A397,tblHakedis[FlasKesinti]),0))</f>
        <v/>
      </c>
      <c r="I397" s="17">
        <f>IF($A397="","",IFERROR(SUMIF(tblAnahtarB[NormB],$A397,tblHakedis[UrunReklam]),0))</f>
        <v/>
      </c>
      <c r="J397" s="17">
        <f>IF($A397="","",IFERROR(SUMIF(tblAnahtarB[NormB],$A397,tblHakedis[DesiKargo]),0))</f>
        <v/>
      </c>
      <c r="K397" s="17">
        <f>IF($A397="","",ROUND($F397+$G397+$H397+$I397+$J397,2))</f>
        <v/>
      </c>
      <c r="L397" s="17">
        <f>IF($A397="","",ROUND($B397-$C397,2))</f>
        <v/>
      </c>
      <c r="M397" s="17">
        <f>IF($A397="","",ROUND($B397-$C397-$K397,2))</f>
        <v/>
      </c>
      <c r="N397" s="17">
        <f>IF(OR($A397="",$B397=0),0,$M397/$B397)</f>
        <v/>
      </c>
      <c r="O397" s="17">
        <f>IF($A397="","",IF((1-$E397)&lt;=0,0,IF($D397=0,0,ROUND(($C397+$G397+$H397+$I397+$J397)/$D397/(1-$E397),2))))</f>
        <v/>
      </c>
      <c r="P397" s="17">
        <f>IF($A397="","",IFERROR(SUMIF(tblAnahtarA[Norm],$A397,tblGirdi[HedefNet]),0))</f>
        <v/>
      </c>
      <c r="Q397" s="17">
        <f>IF($A397="","",ROUND($M397-$P397,2))</f>
        <v/>
      </c>
      <c r="R397" s="17">
        <f>IF($A397="","",ROUND($B397-$K397,2))</f>
        <v/>
      </c>
      <c r="S397" s="17">
        <f>IF($A397="","",IF($N397&lt;0,"ÇEKİL",IF($N397&lt;tyk_esikMarjDusuk,"ZAM","SAT")))</f>
        <v/>
      </c>
      <c r="T397" s="17">
        <f>IF($A397="","",$L397-$F397)</f>
        <v/>
      </c>
      <c r="U397" s="17">
        <f>IF($A397="","",$M397-$Q397)</f>
        <v/>
      </c>
      <c r="V397" s="17">
        <f>IF($A397="","",$R397-$M397)</f>
        <v/>
      </c>
    </row>
    <row r="398">
      <c r="A398" s="17">
        <f>IF('ANAHTAR'!$B398="","",'ANAHTAR'!$B398)</f>
        <v/>
      </c>
      <c r="B398" s="17">
        <f>IF($A398="","",IFERROR(SUMIF(tblAnahtarA[Norm],$A398,tblGirdi[ToplamSatis]),0))</f>
        <v/>
      </c>
      <c r="C398" s="17">
        <f>IF($A398="","",IFERROR(SUMIF(tblAnahtarA[Norm],$A398,tblGirdi[Maliyet])*IFERROR(SUMIF(tblAnahtarA[Norm],$A398,tblGirdi[Miktar]),1),0))</f>
        <v/>
      </c>
      <c r="D398" s="17">
        <f>IF($A398="","",IFERROR(SUMIF(tblAnahtarA[Norm],$A398,tblGirdi[Miktar]),0))</f>
        <v/>
      </c>
      <c r="E398" s="17">
        <f>IF($A398="","",IFERROR(SUMIF(tblAnahtarA[Norm],$A398,tblGirdi[KomisyonOran]),0))</f>
        <v/>
      </c>
      <c r="F398" s="17">
        <f>IF($A398="","",ROUND($B398*$E398,2))</f>
        <v/>
      </c>
      <c r="G398" s="17">
        <f>IF($A398="","",IFERROR(SUMIF(tblAnahtarB[NormB],$A398,tblHakedis[TyPlus]),0))</f>
        <v/>
      </c>
      <c r="H398" s="17">
        <f>IF($A398="","",IFERROR(SUMIF(tblAnahtarB[NormB],$A398,tblHakedis[FlasKesinti]),0))</f>
        <v/>
      </c>
      <c r="I398" s="17">
        <f>IF($A398="","",IFERROR(SUMIF(tblAnahtarB[NormB],$A398,tblHakedis[UrunReklam]),0))</f>
        <v/>
      </c>
      <c r="J398" s="17">
        <f>IF($A398="","",IFERROR(SUMIF(tblAnahtarB[NormB],$A398,tblHakedis[DesiKargo]),0))</f>
        <v/>
      </c>
      <c r="K398" s="17">
        <f>IF($A398="","",ROUND($F398+$G398+$H398+$I398+$J398,2))</f>
        <v/>
      </c>
      <c r="L398" s="17">
        <f>IF($A398="","",ROUND($B398-$C398,2))</f>
        <v/>
      </c>
      <c r="M398" s="17">
        <f>IF($A398="","",ROUND($B398-$C398-$K398,2))</f>
        <v/>
      </c>
      <c r="N398" s="17">
        <f>IF(OR($A398="",$B398=0),0,$M398/$B398)</f>
        <v/>
      </c>
      <c r="O398" s="17">
        <f>IF($A398="","",IF((1-$E398)&lt;=0,0,IF($D398=0,0,ROUND(($C398+$G398+$H398+$I398+$J398)/$D398/(1-$E398),2))))</f>
        <v/>
      </c>
      <c r="P398" s="17">
        <f>IF($A398="","",IFERROR(SUMIF(tblAnahtarA[Norm],$A398,tblGirdi[HedefNet]),0))</f>
        <v/>
      </c>
      <c r="Q398" s="17">
        <f>IF($A398="","",ROUND($M398-$P398,2))</f>
        <v/>
      </c>
      <c r="R398" s="17">
        <f>IF($A398="","",ROUND($B398-$K398,2))</f>
        <v/>
      </c>
      <c r="S398" s="17">
        <f>IF($A398="","",IF($N398&lt;0,"ÇEKİL",IF($N398&lt;tyk_esikMarjDusuk,"ZAM","SAT")))</f>
        <v/>
      </c>
      <c r="T398" s="17">
        <f>IF($A398="","",$L398-$F398)</f>
        <v/>
      </c>
      <c r="U398" s="17">
        <f>IF($A398="","",$M398-$Q398)</f>
        <v/>
      </c>
      <c r="V398" s="17">
        <f>IF($A398="","",$R398-$M398)</f>
        <v/>
      </c>
    </row>
    <row r="399">
      <c r="A399" s="17">
        <f>IF('ANAHTAR'!$B399="","",'ANAHTAR'!$B399)</f>
        <v/>
      </c>
      <c r="B399" s="17">
        <f>IF($A399="","",IFERROR(SUMIF(tblAnahtarA[Norm],$A399,tblGirdi[ToplamSatis]),0))</f>
        <v/>
      </c>
      <c r="C399" s="17">
        <f>IF($A399="","",IFERROR(SUMIF(tblAnahtarA[Norm],$A399,tblGirdi[Maliyet])*IFERROR(SUMIF(tblAnahtarA[Norm],$A399,tblGirdi[Miktar]),1),0))</f>
        <v/>
      </c>
      <c r="D399" s="17">
        <f>IF($A399="","",IFERROR(SUMIF(tblAnahtarA[Norm],$A399,tblGirdi[Miktar]),0))</f>
        <v/>
      </c>
      <c r="E399" s="17">
        <f>IF($A399="","",IFERROR(SUMIF(tblAnahtarA[Norm],$A399,tblGirdi[KomisyonOran]),0))</f>
        <v/>
      </c>
      <c r="F399" s="17">
        <f>IF($A399="","",ROUND($B399*$E399,2))</f>
        <v/>
      </c>
      <c r="G399" s="17">
        <f>IF($A399="","",IFERROR(SUMIF(tblAnahtarB[NormB],$A399,tblHakedis[TyPlus]),0))</f>
        <v/>
      </c>
      <c r="H399" s="17">
        <f>IF($A399="","",IFERROR(SUMIF(tblAnahtarB[NormB],$A399,tblHakedis[FlasKesinti]),0))</f>
        <v/>
      </c>
      <c r="I399" s="17">
        <f>IF($A399="","",IFERROR(SUMIF(tblAnahtarB[NormB],$A399,tblHakedis[UrunReklam]),0))</f>
        <v/>
      </c>
      <c r="J399" s="17">
        <f>IF($A399="","",IFERROR(SUMIF(tblAnahtarB[NormB],$A399,tblHakedis[DesiKargo]),0))</f>
        <v/>
      </c>
      <c r="K399" s="17">
        <f>IF($A399="","",ROUND($F399+$G399+$H399+$I399+$J399,2))</f>
        <v/>
      </c>
      <c r="L399" s="17">
        <f>IF($A399="","",ROUND($B399-$C399,2))</f>
        <v/>
      </c>
      <c r="M399" s="17">
        <f>IF($A399="","",ROUND($B399-$C399-$K399,2))</f>
        <v/>
      </c>
      <c r="N399" s="17">
        <f>IF(OR($A399="",$B399=0),0,$M399/$B399)</f>
        <v/>
      </c>
      <c r="O399" s="17">
        <f>IF($A399="","",IF((1-$E399)&lt;=0,0,IF($D399=0,0,ROUND(($C399+$G399+$H399+$I399+$J399)/$D399/(1-$E399),2))))</f>
        <v/>
      </c>
      <c r="P399" s="17">
        <f>IF($A399="","",IFERROR(SUMIF(tblAnahtarA[Norm],$A399,tblGirdi[HedefNet]),0))</f>
        <v/>
      </c>
      <c r="Q399" s="17">
        <f>IF($A399="","",ROUND($M399-$P399,2))</f>
        <v/>
      </c>
      <c r="R399" s="17">
        <f>IF($A399="","",ROUND($B399-$K399,2))</f>
        <v/>
      </c>
      <c r="S399" s="17">
        <f>IF($A399="","",IF($N399&lt;0,"ÇEKİL",IF($N399&lt;tyk_esikMarjDusuk,"ZAM","SAT")))</f>
        <v/>
      </c>
      <c r="T399" s="17">
        <f>IF($A399="","",$L399-$F399)</f>
        <v/>
      </c>
      <c r="U399" s="17">
        <f>IF($A399="","",$M399-$Q399)</f>
        <v/>
      </c>
      <c r="V399" s="17">
        <f>IF($A399="","",$R399-$M399)</f>
        <v/>
      </c>
    </row>
    <row r="400">
      <c r="A400" s="17">
        <f>IF('ANAHTAR'!$B400="","",'ANAHTAR'!$B400)</f>
        <v/>
      </c>
      <c r="B400" s="17">
        <f>IF($A400="","",IFERROR(SUMIF(tblAnahtarA[Norm],$A400,tblGirdi[ToplamSatis]),0))</f>
        <v/>
      </c>
      <c r="C400" s="17">
        <f>IF($A400="","",IFERROR(SUMIF(tblAnahtarA[Norm],$A400,tblGirdi[Maliyet])*IFERROR(SUMIF(tblAnahtarA[Norm],$A400,tblGirdi[Miktar]),1),0))</f>
        <v/>
      </c>
      <c r="D400" s="17">
        <f>IF($A400="","",IFERROR(SUMIF(tblAnahtarA[Norm],$A400,tblGirdi[Miktar]),0))</f>
        <v/>
      </c>
      <c r="E400" s="17">
        <f>IF($A400="","",IFERROR(SUMIF(tblAnahtarA[Norm],$A400,tblGirdi[KomisyonOran]),0))</f>
        <v/>
      </c>
      <c r="F400" s="17">
        <f>IF($A400="","",ROUND($B400*$E400,2))</f>
        <v/>
      </c>
      <c r="G400" s="17">
        <f>IF($A400="","",IFERROR(SUMIF(tblAnahtarB[NormB],$A400,tblHakedis[TyPlus]),0))</f>
        <v/>
      </c>
      <c r="H400" s="17">
        <f>IF($A400="","",IFERROR(SUMIF(tblAnahtarB[NormB],$A400,tblHakedis[FlasKesinti]),0))</f>
        <v/>
      </c>
      <c r="I400" s="17">
        <f>IF($A400="","",IFERROR(SUMIF(tblAnahtarB[NormB],$A400,tblHakedis[UrunReklam]),0))</f>
        <v/>
      </c>
      <c r="J400" s="17">
        <f>IF($A400="","",IFERROR(SUMIF(tblAnahtarB[NormB],$A400,tblHakedis[DesiKargo]),0))</f>
        <v/>
      </c>
      <c r="K400" s="17">
        <f>IF($A400="","",ROUND($F400+$G400+$H400+$I400+$J400,2))</f>
        <v/>
      </c>
      <c r="L400" s="17">
        <f>IF($A400="","",ROUND($B400-$C400,2))</f>
        <v/>
      </c>
      <c r="M400" s="17">
        <f>IF($A400="","",ROUND($B400-$C400-$K400,2))</f>
        <v/>
      </c>
      <c r="N400" s="17">
        <f>IF(OR($A400="",$B400=0),0,$M400/$B400)</f>
        <v/>
      </c>
      <c r="O400" s="17">
        <f>IF($A400="","",IF((1-$E400)&lt;=0,0,IF($D400=0,0,ROUND(($C400+$G400+$H400+$I400+$J400)/$D400/(1-$E400),2))))</f>
        <v/>
      </c>
      <c r="P400" s="17">
        <f>IF($A400="","",IFERROR(SUMIF(tblAnahtarA[Norm],$A400,tblGirdi[HedefNet]),0))</f>
        <v/>
      </c>
      <c r="Q400" s="17">
        <f>IF($A400="","",ROUND($M400-$P400,2))</f>
        <v/>
      </c>
      <c r="R400" s="17">
        <f>IF($A400="","",ROUND($B400-$K400,2))</f>
        <v/>
      </c>
      <c r="S400" s="17">
        <f>IF($A400="","",IF($N400&lt;0,"ÇEKİL",IF($N400&lt;tyk_esikMarjDusuk,"ZAM","SAT")))</f>
        <v/>
      </c>
      <c r="T400" s="17">
        <f>IF($A400="","",$L400-$F400)</f>
        <v/>
      </c>
      <c r="U400" s="17">
        <f>IF($A400="","",$M400-$Q400)</f>
        <v/>
      </c>
      <c r="V400" s="17">
        <f>IF($A400="","",$R400-$M400)</f>
        <v/>
      </c>
    </row>
    <row r="401">
      <c r="A401" s="17">
        <f>IF('ANAHTAR'!$B401="","",'ANAHTAR'!$B401)</f>
        <v/>
      </c>
      <c r="B401" s="17">
        <f>IF($A401="","",IFERROR(SUMIF(tblAnahtarA[Norm],$A401,tblGirdi[ToplamSatis]),0))</f>
        <v/>
      </c>
      <c r="C401" s="17">
        <f>IF($A401="","",IFERROR(SUMIF(tblAnahtarA[Norm],$A401,tblGirdi[Maliyet])*IFERROR(SUMIF(tblAnahtarA[Norm],$A401,tblGirdi[Miktar]),1),0))</f>
        <v/>
      </c>
      <c r="D401" s="17">
        <f>IF($A401="","",IFERROR(SUMIF(tblAnahtarA[Norm],$A401,tblGirdi[Miktar]),0))</f>
        <v/>
      </c>
      <c r="E401" s="17">
        <f>IF($A401="","",IFERROR(SUMIF(tblAnahtarA[Norm],$A401,tblGirdi[KomisyonOran]),0))</f>
        <v/>
      </c>
      <c r="F401" s="17">
        <f>IF($A401="","",ROUND($B401*$E401,2))</f>
        <v/>
      </c>
      <c r="G401" s="17">
        <f>IF($A401="","",IFERROR(SUMIF(tblAnahtarB[NormB],$A401,tblHakedis[TyPlus]),0))</f>
        <v/>
      </c>
      <c r="H401" s="17">
        <f>IF($A401="","",IFERROR(SUMIF(tblAnahtarB[NormB],$A401,tblHakedis[FlasKesinti]),0))</f>
        <v/>
      </c>
      <c r="I401" s="17">
        <f>IF($A401="","",IFERROR(SUMIF(tblAnahtarB[NormB],$A401,tblHakedis[UrunReklam]),0))</f>
        <v/>
      </c>
      <c r="J401" s="17">
        <f>IF($A401="","",IFERROR(SUMIF(tblAnahtarB[NormB],$A401,tblHakedis[DesiKargo]),0))</f>
        <v/>
      </c>
      <c r="K401" s="17">
        <f>IF($A401="","",ROUND($F401+$G401+$H401+$I401+$J401,2))</f>
        <v/>
      </c>
      <c r="L401" s="17">
        <f>IF($A401="","",ROUND($B401-$C401,2))</f>
        <v/>
      </c>
      <c r="M401" s="17">
        <f>IF($A401="","",ROUND($B401-$C401-$K401,2))</f>
        <v/>
      </c>
      <c r="N401" s="17">
        <f>IF(OR($A401="",$B401=0),0,$M401/$B401)</f>
        <v/>
      </c>
      <c r="O401" s="17">
        <f>IF($A401="","",IF((1-$E401)&lt;=0,0,IF($D401=0,0,ROUND(($C401+$G401+$H401+$I401+$J401)/$D401/(1-$E401),2))))</f>
        <v/>
      </c>
      <c r="P401" s="17">
        <f>IF($A401="","",IFERROR(SUMIF(tblAnahtarA[Norm],$A401,tblGirdi[HedefNet]),0))</f>
        <v/>
      </c>
      <c r="Q401" s="17">
        <f>IF($A401="","",ROUND($M401-$P401,2))</f>
        <v/>
      </c>
      <c r="R401" s="17">
        <f>IF($A401="","",ROUND($B401-$K401,2))</f>
        <v/>
      </c>
      <c r="S401" s="17">
        <f>IF($A401="","",IF($N401&lt;0,"ÇEKİL",IF($N401&lt;tyk_esikMarjDusuk,"ZAM","SAT")))</f>
        <v/>
      </c>
      <c r="T401" s="17">
        <f>IF($A401="","",$L401-$F401)</f>
        <v/>
      </c>
      <c r="U401" s="17">
        <f>IF($A401="","",$M401-$Q401)</f>
        <v/>
      </c>
      <c r="V401" s="17">
        <f>IF($A401="","",$R401-$M401)</f>
        <v/>
      </c>
    </row>
    <row r="402">
      <c r="A402" s="17">
        <f>IF('ANAHTAR'!$B402="","",'ANAHTAR'!$B402)</f>
        <v/>
      </c>
      <c r="B402" s="17">
        <f>IF($A402="","",IFERROR(SUMIF(tblAnahtarA[Norm],$A402,tblGirdi[ToplamSatis]),0))</f>
        <v/>
      </c>
      <c r="C402" s="17">
        <f>IF($A402="","",IFERROR(SUMIF(tblAnahtarA[Norm],$A402,tblGirdi[Maliyet])*IFERROR(SUMIF(tblAnahtarA[Norm],$A402,tblGirdi[Miktar]),1),0))</f>
        <v/>
      </c>
      <c r="D402" s="17">
        <f>IF($A402="","",IFERROR(SUMIF(tblAnahtarA[Norm],$A402,tblGirdi[Miktar]),0))</f>
        <v/>
      </c>
      <c r="E402" s="17">
        <f>IF($A402="","",IFERROR(SUMIF(tblAnahtarA[Norm],$A402,tblGirdi[KomisyonOran]),0))</f>
        <v/>
      </c>
      <c r="F402" s="17">
        <f>IF($A402="","",ROUND($B402*$E402,2))</f>
        <v/>
      </c>
      <c r="G402" s="17">
        <f>IF($A402="","",IFERROR(SUMIF(tblAnahtarB[NormB],$A402,tblHakedis[TyPlus]),0))</f>
        <v/>
      </c>
      <c r="H402" s="17">
        <f>IF($A402="","",IFERROR(SUMIF(tblAnahtarB[NormB],$A402,tblHakedis[FlasKesinti]),0))</f>
        <v/>
      </c>
      <c r="I402" s="17">
        <f>IF($A402="","",IFERROR(SUMIF(tblAnahtarB[NormB],$A402,tblHakedis[UrunReklam]),0))</f>
        <v/>
      </c>
      <c r="J402" s="17">
        <f>IF($A402="","",IFERROR(SUMIF(tblAnahtarB[NormB],$A402,tblHakedis[DesiKargo]),0))</f>
        <v/>
      </c>
      <c r="K402" s="17">
        <f>IF($A402="","",ROUND($F402+$G402+$H402+$I402+$J402,2))</f>
        <v/>
      </c>
      <c r="L402" s="17">
        <f>IF($A402="","",ROUND($B402-$C402,2))</f>
        <v/>
      </c>
      <c r="M402" s="17">
        <f>IF($A402="","",ROUND($B402-$C402-$K402,2))</f>
        <v/>
      </c>
      <c r="N402" s="17">
        <f>IF(OR($A402="",$B402=0),0,$M402/$B402)</f>
        <v/>
      </c>
      <c r="O402" s="17">
        <f>IF($A402="","",IF((1-$E402)&lt;=0,0,IF($D402=0,0,ROUND(($C402+$G402+$H402+$I402+$J402)/$D402/(1-$E402),2))))</f>
        <v/>
      </c>
      <c r="P402" s="17">
        <f>IF($A402="","",IFERROR(SUMIF(tblAnahtarA[Norm],$A402,tblGirdi[HedefNet]),0))</f>
        <v/>
      </c>
      <c r="Q402" s="17">
        <f>IF($A402="","",ROUND($M402-$P402,2))</f>
        <v/>
      </c>
      <c r="R402" s="17">
        <f>IF($A402="","",ROUND($B402-$K402,2))</f>
        <v/>
      </c>
      <c r="S402" s="17">
        <f>IF($A402="","",IF($N402&lt;0,"ÇEKİL",IF($N402&lt;tyk_esikMarjDusuk,"ZAM","SAT")))</f>
        <v/>
      </c>
      <c r="T402" s="17">
        <f>IF($A402="","",$L402-$F402)</f>
        <v/>
      </c>
      <c r="U402" s="17">
        <f>IF($A402="","",$M402-$Q402)</f>
        <v/>
      </c>
      <c r="V402" s="17">
        <f>IF($A402="","",$R402-$M402)</f>
        <v/>
      </c>
    </row>
    <row r="403">
      <c r="A403" s="17">
        <f>IF('ANAHTAR'!$B403="","",'ANAHTAR'!$B403)</f>
        <v/>
      </c>
      <c r="B403" s="17">
        <f>IF($A403="","",IFERROR(SUMIF(tblAnahtarA[Norm],$A403,tblGirdi[ToplamSatis]),0))</f>
        <v/>
      </c>
      <c r="C403" s="17">
        <f>IF($A403="","",IFERROR(SUMIF(tblAnahtarA[Norm],$A403,tblGirdi[Maliyet])*IFERROR(SUMIF(tblAnahtarA[Norm],$A403,tblGirdi[Miktar]),1),0))</f>
        <v/>
      </c>
      <c r="D403" s="17">
        <f>IF($A403="","",IFERROR(SUMIF(tblAnahtarA[Norm],$A403,tblGirdi[Miktar]),0))</f>
        <v/>
      </c>
      <c r="E403" s="17">
        <f>IF($A403="","",IFERROR(SUMIF(tblAnahtarA[Norm],$A403,tblGirdi[KomisyonOran]),0))</f>
        <v/>
      </c>
      <c r="F403" s="17">
        <f>IF($A403="","",ROUND($B403*$E403,2))</f>
        <v/>
      </c>
      <c r="G403" s="17">
        <f>IF($A403="","",IFERROR(SUMIF(tblAnahtarB[NormB],$A403,tblHakedis[TyPlus]),0))</f>
        <v/>
      </c>
      <c r="H403" s="17">
        <f>IF($A403="","",IFERROR(SUMIF(tblAnahtarB[NormB],$A403,tblHakedis[FlasKesinti]),0))</f>
        <v/>
      </c>
      <c r="I403" s="17">
        <f>IF($A403="","",IFERROR(SUMIF(tblAnahtarB[NormB],$A403,tblHakedis[UrunReklam]),0))</f>
        <v/>
      </c>
      <c r="J403" s="17">
        <f>IF($A403="","",IFERROR(SUMIF(tblAnahtarB[NormB],$A403,tblHakedis[DesiKargo]),0))</f>
        <v/>
      </c>
      <c r="K403" s="17">
        <f>IF($A403="","",ROUND($F403+$G403+$H403+$I403+$J403,2))</f>
        <v/>
      </c>
      <c r="L403" s="17">
        <f>IF($A403="","",ROUND($B403-$C403,2))</f>
        <v/>
      </c>
      <c r="M403" s="17">
        <f>IF($A403="","",ROUND($B403-$C403-$K403,2))</f>
        <v/>
      </c>
      <c r="N403" s="17">
        <f>IF(OR($A403="",$B403=0),0,$M403/$B403)</f>
        <v/>
      </c>
      <c r="O403" s="17">
        <f>IF($A403="","",IF((1-$E403)&lt;=0,0,IF($D403=0,0,ROUND(($C403+$G403+$H403+$I403+$J403)/$D403/(1-$E403),2))))</f>
        <v/>
      </c>
      <c r="P403" s="17">
        <f>IF($A403="","",IFERROR(SUMIF(tblAnahtarA[Norm],$A403,tblGirdi[HedefNet]),0))</f>
        <v/>
      </c>
      <c r="Q403" s="17">
        <f>IF($A403="","",ROUND($M403-$P403,2))</f>
        <v/>
      </c>
      <c r="R403" s="17">
        <f>IF($A403="","",ROUND($B403-$K403,2))</f>
        <v/>
      </c>
      <c r="S403" s="17">
        <f>IF($A403="","",IF($N403&lt;0,"ÇEKİL",IF($N403&lt;tyk_esikMarjDusuk,"ZAM","SAT")))</f>
        <v/>
      </c>
      <c r="T403" s="17">
        <f>IF($A403="","",$L403-$F403)</f>
        <v/>
      </c>
      <c r="U403" s="17">
        <f>IF($A403="","",$M403-$Q403)</f>
        <v/>
      </c>
      <c r="V403" s="17">
        <f>IF($A403="","",$R403-$M403)</f>
        <v/>
      </c>
    </row>
    <row r="404">
      <c r="A404" s="17">
        <f>IF('ANAHTAR'!$B404="","",'ANAHTAR'!$B404)</f>
        <v/>
      </c>
      <c r="B404" s="17">
        <f>IF($A404="","",IFERROR(SUMIF(tblAnahtarA[Norm],$A404,tblGirdi[ToplamSatis]),0))</f>
        <v/>
      </c>
      <c r="C404" s="17">
        <f>IF($A404="","",IFERROR(SUMIF(tblAnahtarA[Norm],$A404,tblGirdi[Maliyet])*IFERROR(SUMIF(tblAnahtarA[Norm],$A404,tblGirdi[Miktar]),1),0))</f>
        <v/>
      </c>
      <c r="D404" s="17">
        <f>IF($A404="","",IFERROR(SUMIF(tblAnahtarA[Norm],$A404,tblGirdi[Miktar]),0))</f>
        <v/>
      </c>
      <c r="E404" s="17">
        <f>IF($A404="","",IFERROR(SUMIF(tblAnahtarA[Norm],$A404,tblGirdi[KomisyonOran]),0))</f>
        <v/>
      </c>
      <c r="F404" s="17">
        <f>IF($A404="","",ROUND($B404*$E404,2))</f>
        <v/>
      </c>
      <c r="G404" s="17">
        <f>IF($A404="","",IFERROR(SUMIF(tblAnahtarB[NormB],$A404,tblHakedis[TyPlus]),0))</f>
        <v/>
      </c>
      <c r="H404" s="17">
        <f>IF($A404="","",IFERROR(SUMIF(tblAnahtarB[NormB],$A404,tblHakedis[FlasKesinti]),0))</f>
        <v/>
      </c>
      <c r="I404" s="17">
        <f>IF($A404="","",IFERROR(SUMIF(tblAnahtarB[NormB],$A404,tblHakedis[UrunReklam]),0))</f>
        <v/>
      </c>
      <c r="J404" s="17">
        <f>IF($A404="","",IFERROR(SUMIF(tblAnahtarB[NormB],$A404,tblHakedis[DesiKargo]),0))</f>
        <v/>
      </c>
      <c r="K404" s="17">
        <f>IF($A404="","",ROUND($F404+$G404+$H404+$I404+$J404,2))</f>
        <v/>
      </c>
      <c r="L404" s="17">
        <f>IF($A404="","",ROUND($B404-$C404,2))</f>
        <v/>
      </c>
      <c r="M404" s="17">
        <f>IF($A404="","",ROUND($B404-$C404-$K404,2))</f>
        <v/>
      </c>
      <c r="N404" s="17">
        <f>IF(OR($A404="",$B404=0),0,$M404/$B404)</f>
        <v/>
      </c>
      <c r="O404" s="17">
        <f>IF($A404="","",IF((1-$E404)&lt;=0,0,IF($D404=0,0,ROUND(($C404+$G404+$H404+$I404+$J404)/$D404/(1-$E404),2))))</f>
        <v/>
      </c>
      <c r="P404" s="17">
        <f>IF($A404="","",IFERROR(SUMIF(tblAnahtarA[Norm],$A404,tblGirdi[HedefNet]),0))</f>
        <v/>
      </c>
      <c r="Q404" s="17">
        <f>IF($A404="","",ROUND($M404-$P404,2))</f>
        <v/>
      </c>
      <c r="R404" s="17">
        <f>IF($A404="","",ROUND($B404-$K404,2))</f>
        <v/>
      </c>
      <c r="S404" s="17">
        <f>IF($A404="","",IF($N404&lt;0,"ÇEKİL",IF($N404&lt;tyk_esikMarjDusuk,"ZAM","SAT")))</f>
        <v/>
      </c>
      <c r="T404" s="17">
        <f>IF($A404="","",$L404-$F404)</f>
        <v/>
      </c>
      <c r="U404" s="17">
        <f>IF($A404="","",$M404-$Q404)</f>
        <v/>
      </c>
      <c r="V404" s="17">
        <f>IF($A404="","",$R404-$M404)</f>
        <v/>
      </c>
    </row>
    <row r="405">
      <c r="A405" s="17">
        <f>IF('ANAHTAR'!$B405="","",'ANAHTAR'!$B405)</f>
        <v/>
      </c>
      <c r="B405" s="17">
        <f>IF($A405="","",IFERROR(SUMIF(tblAnahtarA[Norm],$A405,tblGirdi[ToplamSatis]),0))</f>
        <v/>
      </c>
      <c r="C405" s="17">
        <f>IF($A405="","",IFERROR(SUMIF(tblAnahtarA[Norm],$A405,tblGirdi[Maliyet])*IFERROR(SUMIF(tblAnahtarA[Norm],$A405,tblGirdi[Miktar]),1),0))</f>
        <v/>
      </c>
      <c r="D405" s="17">
        <f>IF($A405="","",IFERROR(SUMIF(tblAnahtarA[Norm],$A405,tblGirdi[Miktar]),0))</f>
        <v/>
      </c>
      <c r="E405" s="17">
        <f>IF($A405="","",IFERROR(SUMIF(tblAnahtarA[Norm],$A405,tblGirdi[KomisyonOran]),0))</f>
        <v/>
      </c>
      <c r="F405" s="17">
        <f>IF($A405="","",ROUND($B405*$E405,2))</f>
        <v/>
      </c>
      <c r="G405" s="17">
        <f>IF($A405="","",IFERROR(SUMIF(tblAnahtarB[NormB],$A405,tblHakedis[TyPlus]),0))</f>
        <v/>
      </c>
      <c r="H405" s="17">
        <f>IF($A405="","",IFERROR(SUMIF(tblAnahtarB[NormB],$A405,tblHakedis[FlasKesinti]),0))</f>
        <v/>
      </c>
      <c r="I405" s="17">
        <f>IF($A405="","",IFERROR(SUMIF(tblAnahtarB[NormB],$A405,tblHakedis[UrunReklam]),0))</f>
        <v/>
      </c>
      <c r="J405" s="17">
        <f>IF($A405="","",IFERROR(SUMIF(tblAnahtarB[NormB],$A405,tblHakedis[DesiKargo]),0))</f>
        <v/>
      </c>
      <c r="K405" s="17">
        <f>IF($A405="","",ROUND($F405+$G405+$H405+$I405+$J405,2))</f>
        <v/>
      </c>
      <c r="L405" s="17">
        <f>IF($A405="","",ROUND($B405-$C405,2))</f>
        <v/>
      </c>
      <c r="M405" s="17">
        <f>IF($A405="","",ROUND($B405-$C405-$K405,2))</f>
        <v/>
      </c>
      <c r="N405" s="17">
        <f>IF(OR($A405="",$B405=0),0,$M405/$B405)</f>
        <v/>
      </c>
      <c r="O405" s="17">
        <f>IF($A405="","",IF((1-$E405)&lt;=0,0,IF($D405=0,0,ROUND(($C405+$G405+$H405+$I405+$J405)/$D405/(1-$E405),2))))</f>
        <v/>
      </c>
      <c r="P405" s="17">
        <f>IF($A405="","",IFERROR(SUMIF(tblAnahtarA[Norm],$A405,tblGirdi[HedefNet]),0))</f>
        <v/>
      </c>
      <c r="Q405" s="17">
        <f>IF($A405="","",ROUND($M405-$P405,2))</f>
        <v/>
      </c>
      <c r="R405" s="17">
        <f>IF($A405="","",ROUND($B405-$K405,2))</f>
        <v/>
      </c>
      <c r="S405" s="17">
        <f>IF($A405="","",IF($N405&lt;0,"ÇEKİL",IF($N405&lt;tyk_esikMarjDusuk,"ZAM","SAT")))</f>
        <v/>
      </c>
      <c r="T405" s="17">
        <f>IF($A405="","",$L405-$F405)</f>
        <v/>
      </c>
      <c r="U405" s="17">
        <f>IF($A405="","",$M405-$Q405)</f>
        <v/>
      </c>
      <c r="V405" s="17">
        <f>IF($A405="","",$R405-$M405)</f>
        <v/>
      </c>
    </row>
    <row r="406">
      <c r="A406" s="17">
        <f>IF('ANAHTAR'!$B406="","",'ANAHTAR'!$B406)</f>
        <v/>
      </c>
      <c r="B406" s="17">
        <f>IF($A406="","",IFERROR(SUMIF(tblAnahtarA[Norm],$A406,tblGirdi[ToplamSatis]),0))</f>
        <v/>
      </c>
      <c r="C406" s="17">
        <f>IF($A406="","",IFERROR(SUMIF(tblAnahtarA[Norm],$A406,tblGirdi[Maliyet])*IFERROR(SUMIF(tblAnahtarA[Norm],$A406,tblGirdi[Miktar]),1),0))</f>
        <v/>
      </c>
      <c r="D406" s="17">
        <f>IF($A406="","",IFERROR(SUMIF(tblAnahtarA[Norm],$A406,tblGirdi[Miktar]),0))</f>
        <v/>
      </c>
      <c r="E406" s="17">
        <f>IF($A406="","",IFERROR(SUMIF(tblAnahtarA[Norm],$A406,tblGirdi[KomisyonOran]),0))</f>
        <v/>
      </c>
      <c r="F406" s="17">
        <f>IF($A406="","",ROUND($B406*$E406,2))</f>
        <v/>
      </c>
      <c r="G406" s="17">
        <f>IF($A406="","",IFERROR(SUMIF(tblAnahtarB[NormB],$A406,tblHakedis[TyPlus]),0))</f>
        <v/>
      </c>
      <c r="H406" s="17">
        <f>IF($A406="","",IFERROR(SUMIF(tblAnahtarB[NormB],$A406,tblHakedis[FlasKesinti]),0))</f>
        <v/>
      </c>
      <c r="I406" s="17">
        <f>IF($A406="","",IFERROR(SUMIF(tblAnahtarB[NormB],$A406,tblHakedis[UrunReklam]),0))</f>
        <v/>
      </c>
      <c r="J406" s="17">
        <f>IF($A406="","",IFERROR(SUMIF(tblAnahtarB[NormB],$A406,tblHakedis[DesiKargo]),0))</f>
        <v/>
      </c>
      <c r="K406" s="17">
        <f>IF($A406="","",ROUND($F406+$G406+$H406+$I406+$J406,2))</f>
        <v/>
      </c>
      <c r="L406" s="17">
        <f>IF($A406="","",ROUND($B406-$C406,2))</f>
        <v/>
      </c>
      <c r="M406" s="17">
        <f>IF($A406="","",ROUND($B406-$C406-$K406,2))</f>
        <v/>
      </c>
      <c r="N406" s="17">
        <f>IF(OR($A406="",$B406=0),0,$M406/$B406)</f>
        <v/>
      </c>
      <c r="O406" s="17">
        <f>IF($A406="","",IF((1-$E406)&lt;=0,0,IF($D406=0,0,ROUND(($C406+$G406+$H406+$I406+$J406)/$D406/(1-$E406),2))))</f>
        <v/>
      </c>
      <c r="P406" s="17">
        <f>IF($A406="","",IFERROR(SUMIF(tblAnahtarA[Norm],$A406,tblGirdi[HedefNet]),0))</f>
        <v/>
      </c>
      <c r="Q406" s="17">
        <f>IF($A406="","",ROUND($M406-$P406,2))</f>
        <v/>
      </c>
      <c r="R406" s="17">
        <f>IF($A406="","",ROUND($B406-$K406,2))</f>
        <v/>
      </c>
      <c r="S406" s="17">
        <f>IF($A406="","",IF($N406&lt;0,"ÇEKİL",IF($N406&lt;tyk_esikMarjDusuk,"ZAM","SAT")))</f>
        <v/>
      </c>
      <c r="T406" s="17">
        <f>IF($A406="","",$L406-$F406)</f>
        <v/>
      </c>
      <c r="U406" s="17">
        <f>IF($A406="","",$M406-$Q406)</f>
        <v/>
      </c>
      <c r="V406" s="17">
        <f>IF($A406="","",$R406-$M406)</f>
        <v/>
      </c>
    </row>
    <row r="407">
      <c r="A407" s="17">
        <f>IF('ANAHTAR'!$B407="","",'ANAHTAR'!$B407)</f>
        <v/>
      </c>
      <c r="B407" s="17">
        <f>IF($A407="","",IFERROR(SUMIF(tblAnahtarA[Norm],$A407,tblGirdi[ToplamSatis]),0))</f>
        <v/>
      </c>
      <c r="C407" s="17">
        <f>IF($A407="","",IFERROR(SUMIF(tblAnahtarA[Norm],$A407,tblGirdi[Maliyet])*IFERROR(SUMIF(tblAnahtarA[Norm],$A407,tblGirdi[Miktar]),1),0))</f>
        <v/>
      </c>
      <c r="D407" s="17">
        <f>IF($A407="","",IFERROR(SUMIF(tblAnahtarA[Norm],$A407,tblGirdi[Miktar]),0))</f>
        <v/>
      </c>
      <c r="E407" s="17">
        <f>IF($A407="","",IFERROR(SUMIF(tblAnahtarA[Norm],$A407,tblGirdi[KomisyonOran]),0))</f>
        <v/>
      </c>
      <c r="F407" s="17">
        <f>IF($A407="","",ROUND($B407*$E407,2))</f>
        <v/>
      </c>
      <c r="G407" s="17">
        <f>IF($A407="","",IFERROR(SUMIF(tblAnahtarB[NormB],$A407,tblHakedis[TyPlus]),0))</f>
        <v/>
      </c>
      <c r="H407" s="17">
        <f>IF($A407="","",IFERROR(SUMIF(tblAnahtarB[NormB],$A407,tblHakedis[FlasKesinti]),0))</f>
        <v/>
      </c>
      <c r="I407" s="17">
        <f>IF($A407="","",IFERROR(SUMIF(tblAnahtarB[NormB],$A407,tblHakedis[UrunReklam]),0))</f>
        <v/>
      </c>
      <c r="J407" s="17">
        <f>IF($A407="","",IFERROR(SUMIF(tblAnahtarB[NormB],$A407,tblHakedis[DesiKargo]),0))</f>
        <v/>
      </c>
      <c r="K407" s="17">
        <f>IF($A407="","",ROUND($F407+$G407+$H407+$I407+$J407,2))</f>
        <v/>
      </c>
      <c r="L407" s="17">
        <f>IF($A407="","",ROUND($B407-$C407,2))</f>
        <v/>
      </c>
      <c r="M407" s="17">
        <f>IF($A407="","",ROUND($B407-$C407-$K407,2))</f>
        <v/>
      </c>
      <c r="N407" s="17">
        <f>IF(OR($A407="",$B407=0),0,$M407/$B407)</f>
        <v/>
      </c>
      <c r="O407" s="17">
        <f>IF($A407="","",IF((1-$E407)&lt;=0,0,IF($D407=0,0,ROUND(($C407+$G407+$H407+$I407+$J407)/$D407/(1-$E407),2))))</f>
        <v/>
      </c>
      <c r="P407" s="17">
        <f>IF($A407="","",IFERROR(SUMIF(tblAnahtarA[Norm],$A407,tblGirdi[HedefNet]),0))</f>
        <v/>
      </c>
      <c r="Q407" s="17">
        <f>IF($A407="","",ROUND($M407-$P407,2))</f>
        <v/>
      </c>
      <c r="R407" s="17">
        <f>IF($A407="","",ROUND($B407-$K407,2))</f>
        <v/>
      </c>
      <c r="S407" s="17">
        <f>IF($A407="","",IF($N407&lt;0,"ÇEKİL",IF($N407&lt;tyk_esikMarjDusuk,"ZAM","SAT")))</f>
        <v/>
      </c>
      <c r="T407" s="17">
        <f>IF($A407="","",$L407-$F407)</f>
        <v/>
      </c>
      <c r="U407" s="17">
        <f>IF($A407="","",$M407-$Q407)</f>
        <v/>
      </c>
      <c r="V407" s="17">
        <f>IF($A407="","",$R407-$M407)</f>
        <v/>
      </c>
    </row>
    <row r="408">
      <c r="A408" s="17">
        <f>IF('ANAHTAR'!$B408="","",'ANAHTAR'!$B408)</f>
        <v/>
      </c>
      <c r="B408" s="17">
        <f>IF($A408="","",IFERROR(SUMIF(tblAnahtarA[Norm],$A408,tblGirdi[ToplamSatis]),0))</f>
        <v/>
      </c>
      <c r="C408" s="17">
        <f>IF($A408="","",IFERROR(SUMIF(tblAnahtarA[Norm],$A408,tblGirdi[Maliyet])*IFERROR(SUMIF(tblAnahtarA[Norm],$A408,tblGirdi[Miktar]),1),0))</f>
        <v/>
      </c>
      <c r="D408" s="17">
        <f>IF($A408="","",IFERROR(SUMIF(tblAnahtarA[Norm],$A408,tblGirdi[Miktar]),0))</f>
        <v/>
      </c>
      <c r="E408" s="17">
        <f>IF($A408="","",IFERROR(SUMIF(tblAnahtarA[Norm],$A408,tblGirdi[KomisyonOran]),0))</f>
        <v/>
      </c>
      <c r="F408" s="17">
        <f>IF($A408="","",ROUND($B408*$E408,2))</f>
        <v/>
      </c>
      <c r="G408" s="17">
        <f>IF($A408="","",IFERROR(SUMIF(tblAnahtarB[NormB],$A408,tblHakedis[TyPlus]),0))</f>
        <v/>
      </c>
      <c r="H408" s="17">
        <f>IF($A408="","",IFERROR(SUMIF(tblAnahtarB[NormB],$A408,tblHakedis[FlasKesinti]),0))</f>
        <v/>
      </c>
      <c r="I408" s="17">
        <f>IF($A408="","",IFERROR(SUMIF(tblAnahtarB[NormB],$A408,tblHakedis[UrunReklam]),0))</f>
        <v/>
      </c>
      <c r="J408" s="17">
        <f>IF($A408="","",IFERROR(SUMIF(tblAnahtarB[NormB],$A408,tblHakedis[DesiKargo]),0))</f>
        <v/>
      </c>
      <c r="K408" s="17">
        <f>IF($A408="","",ROUND($F408+$G408+$H408+$I408+$J408,2))</f>
        <v/>
      </c>
      <c r="L408" s="17">
        <f>IF($A408="","",ROUND($B408-$C408,2))</f>
        <v/>
      </c>
      <c r="M408" s="17">
        <f>IF($A408="","",ROUND($B408-$C408-$K408,2))</f>
        <v/>
      </c>
      <c r="N408" s="17">
        <f>IF(OR($A408="",$B408=0),0,$M408/$B408)</f>
        <v/>
      </c>
      <c r="O408" s="17">
        <f>IF($A408="","",IF((1-$E408)&lt;=0,0,IF($D408=0,0,ROUND(($C408+$G408+$H408+$I408+$J408)/$D408/(1-$E408),2))))</f>
        <v/>
      </c>
      <c r="P408" s="17">
        <f>IF($A408="","",IFERROR(SUMIF(tblAnahtarA[Norm],$A408,tblGirdi[HedefNet]),0))</f>
        <v/>
      </c>
      <c r="Q408" s="17">
        <f>IF($A408="","",ROUND($M408-$P408,2))</f>
        <v/>
      </c>
      <c r="R408" s="17">
        <f>IF($A408="","",ROUND($B408-$K408,2))</f>
        <v/>
      </c>
      <c r="S408" s="17">
        <f>IF($A408="","",IF($N408&lt;0,"ÇEKİL",IF($N408&lt;tyk_esikMarjDusuk,"ZAM","SAT")))</f>
        <v/>
      </c>
      <c r="T408" s="17">
        <f>IF($A408="","",$L408-$F408)</f>
        <v/>
      </c>
      <c r="U408" s="17">
        <f>IF($A408="","",$M408-$Q408)</f>
        <v/>
      </c>
      <c r="V408" s="17">
        <f>IF($A408="","",$R408-$M408)</f>
        <v/>
      </c>
    </row>
    <row r="409">
      <c r="A409" s="17">
        <f>IF('ANAHTAR'!$B409="","",'ANAHTAR'!$B409)</f>
        <v/>
      </c>
      <c r="B409" s="17">
        <f>IF($A409="","",IFERROR(SUMIF(tblAnahtarA[Norm],$A409,tblGirdi[ToplamSatis]),0))</f>
        <v/>
      </c>
      <c r="C409" s="17">
        <f>IF($A409="","",IFERROR(SUMIF(tblAnahtarA[Norm],$A409,tblGirdi[Maliyet])*IFERROR(SUMIF(tblAnahtarA[Norm],$A409,tblGirdi[Miktar]),1),0))</f>
        <v/>
      </c>
      <c r="D409" s="17">
        <f>IF($A409="","",IFERROR(SUMIF(tblAnahtarA[Norm],$A409,tblGirdi[Miktar]),0))</f>
        <v/>
      </c>
      <c r="E409" s="17">
        <f>IF($A409="","",IFERROR(SUMIF(tblAnahtarA[Norm],$A409,tblGirdi[KomisyonOran]),0))</f>
        <v/>
      </c>
      <c r="F409" s="17">
        <f>IF($A409="","",ROUND($B409*$E409,2))</f>
        <v/>
      </c>
      <c r="G409" s="17">
        <f>IF($A409="","",IFERROR(SUMIF(tblAnahtarB[NormB],$A409,tblHakedis[TyPlus]),0))</f>
        <v/>
      </c>
      <c r="H409" s="17">
        <f>IF($A409="","",IFERROR(SUMIF(tblAnahtarB[NormB],$A409,tblHakedis[FlasKesinti]),0))</f>
        <v/>
      </c>
      <c r="I409" s="17">
        <f>IF($A409="","",IFERROR(SUMIF(tblAnahtarB[NormB],$A409,tblHakedis[UrunReklam]),0))</f>
        <v/>
      </c>
      <c r="J409" s="17">
        <f>IF($A409="","",IFERROR(SUMIF(tblAnahtarB[NormB],$A409,tblHakedis[DesiKargo]),0))</f>
        <v/>
      </c>
      <c r="K409" s="17">
        <f>IF($A409="","",ROUND($F409+$G409+$H409+$I409+$J409,2))</f>
        <v/>
      </c>
      <c r="L409" s="17">
        <f>IF($A409="","",ROUND($B409-$C409,2))</f>
        <v/>
      </c>
      <c r="M409" s="17">
        <f>IF($A409="","",ROUND($B409-$C409-$K409,2))</f>
        <v/>
      </c>
      <c r="N409" s="17">
        <f>IF(OR($A409="",$B409=0),0,$M409/$B409)</f>
        <v/>
      </c>
      <c r="O409" s="17">
        <f>IF($A409="","",IF((1-$E409)&lt;=0,0,IF($D409=0,0,ROUND(($C409+$G409+$H409+$I409+$J409)/$D409/(1-$E409),2))))</f>
        <v/>
      </c>
      <c r="P409" s="17">
        <f>IF($A409="","",IFERROR(SUMIF(tblAnahtarA[Norm],$A409,tblGirdi[HedefNet]),0))</f>
        <v/>
      </c>
      <c r="Q409" s="17">
        <f>IF($A409="","",ROUND($M409-$P409,2))</f>
        <v/>
      </c>
      <c r="R409" s="17">
        <f>IF($A409="","",ROUND($B409-$K409,2))</f>
        <v/>
      </c>
      <c r="S409" s="17">
        <f>IF($A409="","",IF($N409&lt;0,"ÇEKİL",IF($N409&lt;tyk_esikMarjDusuk,"ZAM","SAT")))</f>
        <v/>
      </c>
      <c r="T409" s="17">
        <f>IF($A409="","",$L409-$F409)</f>
        <v/>
      </c>
      <c r="U409" s="17">
        <f>IF($A409="","",$M409-$Q409)</f>
        <v/>
      </c>
      <c r="V409" s="17">
        <f>IF($A409="","",$R409-$M409)</f>
        <v/>
      </c>
    </row>
    <row r="410">
      <c r="A410" s="17">
        <f>IF('ANAHTAR'!$B410="","",'ANAHTAR'!$B410)</f>
        <v/>
      </c>
      <c r="B410" s="17">
        <f>IF($A410="","",IFERROR(SUMIF(tblAnahtarA[Norm],$A410,tblGirdi[ToplamSatis]),0))</f>
        <v/>
      </c>
      <c r="C410" s="17">
        <f>IF($A410="","",IFERROR(SUMIF(tblAnahtarA[Norm],$A410,tblGirdi[Maliyet])*IFERROR(SUMIF(tblAnahtarA[Norm],$A410,tblGirdi[Miktar]),1),0))</f>
        <v/>
      </c>
      <c r="D410" s="17">
        <f>IF($A410="","",IFERROR(SUMIF(tblAnahtarA[Norm],$A410,tblGirdi[Miktar]),0))</f>
        <v/>
      </c>
      <c r="E410" s="17">
        <f>IF($A410="","",IFERROR(SUMIF(tblAnahtarA[Norm],$A410,tblGirdi[KomisyonOran]),0))</f>
        <v/>
      </c>
      <c r="F410" s="17">
        <f>IF($A410="","",ROUND($B410*$E410,2))</f>
        <v/>
      </c>
      <c r="G410" s="17">
        <f>IF($A410="","",IFERROR(SUMIF(tblAnahtarB[NormB],$A410,tblHakedis[TyPlus]),0))</f>
        <v/>
      </c>
      <c r="H410" s="17">
        <f>IF($A410="","",IFERROR(SUMIF(tblAnahtarB[NormB],$A410,tblHakedis[FlasKesinti]),0))</f>
        <v/>
      </c>
      <c r="I410" s="17">
        <f>IF($A410="","",IFERROR(SUMIF(tblAnahtarB[NormB],$A410,tblHakedis[UrunReklam]),0))</f>
        <v/>
      </c>
      <c r="J410" s="17">
        <f>IF($A410="","",IFERROR(SUMIF(tblAnahtarB[NormB],$A410,tblHakedis[DesiKargo]),0))</f>
        <v/>
      </c>
      <c r="K410" s="17">
        <f>IF($A410="","",ROUND($F410+$G410+$H410+$I410+$J410,2))</f>
        <v/>
      </c>
      <c r="L410" s="17">
        <f>IF($A410="","",ROUND($B410-$C410,2))</f>
        <v/>
      </c>
      <c r="M410" s="17">
        <f>IF($A410="","",ROUND($B410-$C410-$K410,2))</f>
        <v/>
      </c>
      <c r="N410" s="17">
        <f>IF(OR($A410="",$B410=0),0,$M410/$B410)</f>
        <v/>
      </c>
      <c r="O410" s="17">
        <f>IF($A410="","",IF((1-$E410)&lt;=0,0,IF($D410=0,0,ROUND(($C410+$G410+$H410+$I410+$J410)/$D410/(1-$E410),2))))</f>
        <v/>
      </c>
      <c r="P410" s="17">
        <f>IF($A410="","",IFERROR(SUMIF(tblAnahtarA[Norm],$A410,tblGirdi[HedefNet]),0))</f>
        <v/>
      </c>
      <c r="Q410" s="17">
        <f>IF($A410="","",ROUND($M410-$P410,2))</f>
        <v/>
      </c>
      <c r="R410" s="17">
        <f>IF($A410="","",ROUND($B410-$K410,2))</f>
        <v/>
      </c>
      <c r="S410" s="17">
        <f>IF($A410="","",IF($N410&lt;0,"ÇEKİL",IF($N410&lt;tyk_esikMarjDusuk,"ZAM","SAT")))</f>
        <v/>
      </c>
      <c r="T410" s="17">
        <f>IF($A410="","",$L410-$F410)</f>
        <v/>
      </c>
      <c r="U410" s="17">
        <f>IF($A410="","",$M410-$Q410)</f>
        <v/>
      </c>
      <c r="V410" s="17">
        <f>IF($A410="","",$R410-$M410)</f>
        <v/>
      </c>
    </row>
    <row r="411">
      <c r="A411" s="17">
        <f>IF('ANAHTAR'!$B411="","",'ANAHTAR'!$B411)</f>
        <v/>
      </c>
      <c r="B411" s="17">
        <f>IF($A411="","",IFERROR(SUMIF(tblAnahtarA[Norm],$A411,tblGirdi[ToplamSatis]),0))</f>
        <v/>
      </c>
      <c r="C411" s="17">
        <f>IF($A411="","",IFERROR(SUMIF(tblAnahtarA[Norm],$A411,tblGirdi[Maliyet])*IFERROR(SUMIF(tblAnahtarA[Norm],$A411,tblGirdi[Miktar]),1),0))</f>
        <v/>
      </c>
      <c r="D411" s="17">
        <f>IF($A411="","",IFERROR(SUMIF(tblAnahtarA[Norm],$A411,tblGirdi[Miktar]),0))</f>
        <v/>
      </c>
      <c r="E411" s="17">
        <f>IF($A411="","",IFERROR(SUMIF(tblAnahtarA[Norm],$A411,tblGirdi[KomisyonOran]),0))</f>
        <v/>
      </c>
      <c r="F411" s="17">
        <f>IF($A411="","",ROUND($B411*$E411,2))</f>
        <v/>
      </c>
      <c r="G411" s="17">
        <f>IF($A411="","",IFERROR(SUMIF(tblAnahtarB[NormB],$A411,tblHakedis[TyPlus]),0))</f>
        <v/>
      </c>
      <c r="H411" s="17">
        <f>IF($A411="","",IFERROR(SUMIF(tblAnahtarB[NormB],$A411,tblHakedis[FlasKesinti]),0))</f>
        <v/>
      </c>
      <c r="I411" s="17">
        <f>IF($A411="","",IFERROR(SUMIF(tblAnahtarB[NormB],$A411,tblHakedis[UrunReklam]),0))</f>
        <v/>
      </c>
      <c r="J411" s="17">
        <f>IF($A411="","",IFERROR(SUMIF(tblAnahtarB[NormB],$A411,tblHakedis[DesiKargo]),0))</f>
        <v/>
      </c>
      <c r="K411" s="17">
        <f>IF($A411="","",ROUND($F411+$G411+$H411+$I411+$J411,2))</f>
        <v/>
      </c>
      <c r="L411" s="17">
        <f>IF($A411="","",ROUND($B411-$C411,2))</f>
        <v/>
      </c>
      <c r="M411" s="17">
        <f>IF($A411="","",ROUND($B411-$C411-$K411,2))</f>
        <v/>
      </c>
      <c r="N411" s="17">
        <f>IF(OR($A411="",$B411=0),0,$M411/$B411)</f>
        <v/>
      </c>
      <c r="O411" s="17">
        <f>IF($A411="","",IF((1-$E411)&lt;=0,0,IF($D411=0,0,ROUND(($C411+$G411+$H411+$I411+$J411)/$D411/(1-$E411),2))))</f>
        <v/>
      </c>
      <c r="P411" s="17">
        <f>IF($A411="","",IFERROR(SUMIF(tblAnahtarA[Norm],$A411,tblGirdi[HedefNet]),0))</f>
        <v/>
      </c>
      <c r="Q411" s="17">
        <f>IF($A411="","",ROUND($M411-$P411,2))</f>
        <v/>
      </c>
      <c r="R411" s="17">
        <f>IF($A411="","",ROUND($B411-$K411,2))</f>
        <v/>
      </c>
      <c r="S411" s="17">
        <f>IF($A411="","",IF($N411&lt;0,"ÇEKİL",IF($N411&lt;tyk_esikMarjDusuk,"ZAM","SAT")))</f>
        <v/>
      </c>
      <c r="T411" s="17">
        <f>IF($A411="","",$L411-$F411)</f>
        <v/>
      </c>
      <c r="U411" s="17">
        <f>IF($A411="","",$M411-$Q411)</f>
        <v/>
      </c>
      <c r="V411" s="17">
        <f>IF($A411="","",$R411-$M411)</f>
        <v/>
      </c>
    </row>
    <row r="412">
      <c r="A412" s="17">
        <f>IF('ANAHTAR'!$B412="","",'ANAHTAR'!$B412)</f>
        <v/>
      </c>
      <c r="B412" s="17">
        <f>IF($A412="","",IFERROR(SUMIF(tblAnahtarA[Norm],$A412,tblGirdi[ToplamSatis]),0))</f>
        <v/>
      </c>
      <c r="C412" s="17">
        <f>IF($A412="","",IFERROR(SUMIF(tblAnahtarA[Norm],$A412,tblGirdi[Maliyet])*IFERROR(SUMIF(tblAnahtarA[Norm],$A412,tblGirdi[Miktar]),1),0))</f>
        <v/>
      </c>
      <c r="D412" s="17">
        <f>IF($A412="","",IFERROR(SUMIF(tblAnahtarA[Norm],$A412,tblGirdi[Miktar]),0))</f>
        <v/>
      </c>
      <c r="E412" s="17">
        <f>IF($A412="","",IFERROR(SUMIF(tblAnahtarA[Norm],$A412,tblGirdi[KomisyonOran]),0))</f>
        <v/>
      </c>
      <c r="F412" s="17">
        <f>IF($A412="","",ROUND($B412*$E412,2))</f>
        <v/>
      </c>
      <c r="G412" s="17">
        <f>IF($A412="","",IFERROR(SUMIF(tblAnahtarB[NormB],$A412,tblHakedis[TyPlus]),0))</f>
        <v/>
      </c>
      <c r="H412" s="17">
        <f>IF($A412="","",IFERROR(SUMIF(tblAnahtarB[NormB],$A412,tblHakedis[FlasKesinti]),0))</f>
        <v/>
      </c>
      <c r="I412" s="17">
        <f>IF($A412="","",IFERROR(SUMIF(tblAnahtarB[NormB],$A412,tblHakedis[UrunReklam]),0))</f>
        <v/>
      </c>
      <c r="J412" s="17">
        <f>IF($A412="","",IFERROR(SUMIF(tblAnahtarB[NormB],$A412,tblHakedis[DesiKargo]),0))</f>
        <v/>
      </c>
      <c r="K412" s="17">
        <f>IF($A412="","",ROUND($F412+$G412+$H412+$I412+$J412,2))</f>
        <v/>
      </c>
      <c r="L412" s="17">
        <f>IF($A412="","",ROUND($B412-$C412,2))</f>
        <v/>
      </c>
      <c r="M412" s="17">
        <f>IF($A412="","",ROUND($B412-$C412-$K412,2))</f>
        <v/>
      </c>
      <c r="N412" s="17">
        <f>IF(OR($A412="",$B412=0),0,$M412/$B412)</f>
        <v/>
      </c>
      <c r="O412" s="17">
        <f>IF($A412="","",IF((1-$E412)&lt;=0,0,IF($D412=0,0,ROUND(($C412+$G412+$H412+$I412+$J412)/$D412/(1-$E412),2))))</f>
        <v/>
      </c>
      <c r="P412" s="17">
        <f>IF($A412="","",IFERROR(SUMIF(tblAnahtarA[Norm],$A412,tblGirdi[HedefNet]),0))</f>
        <v/>
      </c>
      <c r="Q412" s="17">
        <f>IF($A412="","",ROUND($M412-$P412,2))</f>
        <v/>
      </c>
      <c r="R412" s="17">
        <f>IF($A412="","",ROUND($B412-$K412,2))</f>
        <v/>
      </c>
      <c r="S412" s="17">
        <f>IF($A412="","",IF($N412&lt;0,"ÇEKİL",IF($N412&lt;tyk_esikMarjDusuk,"ZAM","SAT")))</f>
        <v/>
      </c>
      <c r="T412" s="17">
        <f>IF($A412="","",$L412-$F412)</f>
        <v/>
      </c>
      <c r="U412" s="17">
        <f>IF($A412="","",$M412-$Q412)</f>
        <v/>
      </c>
      <c r="V412" s="17">
        <f>IF($A412="","",$R412-$M412)</f>
        <v/>
      </c>
    </row>
    <row r="413">
      <c r="A413" s="17">
        <f>IF('ANAHTAR'!$B413="","",'ANAHTAR'!$B413)</f>
        <v/>
      </c>
      <c r="B413" s="17">
        <f>IF($A413="","",IFERROR(SUMIF(tblAnahtarA[Norm],$A413,tblGirdi[ToplamSatis]),0))</f>
        <v/>
      </c>
      <c r="C413" s="17">
        <f>IF($A413="","",IFERROR(SUMIF(tblAnahtarA[Norm],$A413,tblGirdi[Maliyet])*IFERROR(SUMIF(tblAnahtarA[Norm],$A413,tblGirdi[Miktar]),1),0))</f>
        <v/>
      </c>
      <c r="D413" s="17">
        <f>IF($A413="","",IFERROR(SUMIF(tblAnahtarA[Norm],$A413,tblGirdi[Miktar]),0))</f>
        <v/>
      </c>
      <c r="E413" s="17">
        <f>IF($A413="","",IFERROR(SUMIF(tblAnahtarA[Norm],$A413,tblGirdi[KomisyonOran]),0))</f>
        <v/>
      </c>
      <c r="F413" s="17">
        <f>IF($A413="","",ROUND($B413*$E413,2))</f>
        <v/>
      </c>
      <c r="G413" s="17">
        <f>IF($A413="","",IFERROR(SUMIF(tblAnahtarB[NormB],$A413,tblHakedis[TyPlus]),0))</f>
        <v/>
      </c>
      <c r="H413" s="17">
        <f>IF($A413="","",IFERROR(SUMIF(tblAnahtarB[NormB],$A413,tblHakedis[FlasKesinti]),0))</f>
        <v/>
      </c>
      <c r="I413" s="17">
        <f>IF($A413="","",IFERROR(SUMIF(tblAnahtarB[NormB],$A413,tblHakedis[UrunReklam]),0))</f>
        <v/>
      </c>
      <c r="J413" s="17">
        <f>IF($A413="","",IFERROR(SUMIF(tblAnahtarB[NormB],$A413,tblHakedis[DesiKargo]),0))</f>
        <v/>
      </c>
      <c r="K413" s="17">
        <f>IF($A413="","",ROUND($F413+$G413+$H413+$I413+$J413,2))</f>
        <v/>
      </c>
      <c r="L413" s="17">
        <f>IF($A413="","",ROUND($B413-$C413,2))</f>
        <v/>
      </c>
      <c r="M413" s="17">
        <f>IF($A413="","",ROUND($B413-$C413-$K413,2))</f>
        <v/>
      </c>
      <c r="N413" s="17">
        <f>IF(OR($A413="",$B413=0),0,$M413/$B413)</f>
        <v/>
      </c>
      <c r="O413" s="17">
        <f>IF($A413="","",IF((1-$E413)&lt;=0,0,IF($D413=0,0,ROUND(($C413+$G413+$H413+$I413+$J413)/$D413/(1-$E413),2))))</f>
        <v/>
      </c>
      <c r="P413" s="17">
        <f>IF($A413="","",IFERROR(SUMIF(tblAnahtarA[Norm],$A413,tblGirdi[HedefNet]),0))</f>
        <v/>
      </c>
      <c r="Q413" s="17">
        <f>IF($A413="","",ROUND($M413-$P413,2))</f>
        <v/>
      </c>
      <c r="R413" s="17">
        <f>IF($A413="","",ROUND($B413-$K413,2))</f>
        <v/>
      </c>
      <c r="S413" s="17">
        <f>IF($A413="","",IF($N413&lt;0,"ÇEKİL",IF($N413&lt;tyk_esikMarjDusuk,"ZAM","SAT")))</f>
        <v/>
      </c>
      <c r="T413" s="17">
        <f>IF($A413="","",$L413-$F413)</f>
        <v/>
      </c>
      <c r="U413" s="17">
        <f>IF($A413="","",$M413-$Q413)</f>
        <v/>
      </c>
      <c r="V413" s="17">
        <f>IF($A413="","",$R413-$M413)</f>
        <v/>
      </c>
    </row>
    <row r="414">
      <c r="A414" s="17">
        <f>IF('ANAHTAR'!$B414="","",'ANAHTAR'!$B414)</f>
        <v/>
      </c>
      <c r="B414" s="17">
        <f>IF($A414="","",IFERROR(SUMIF(tblAnahtarA[Norm],$A414,tblGirdi[ToplamSatis]),0))</f>
        <v/>
      </c>
      <c r="C414" s="17">
        <f>IF($A414="","",IFERROR(SUMIF(tblAnahtarA[Norm],$A414,tblGirdi[Maliyet])*IFERROR(SUMIF(tblAnahtarA[Norm],$A414,tblGirdi[Miktar]),1),0))</f>
        <v/>
      </c>
      <c r="D414" s="17">
        <f>IF($A414="","",IFERROR(SUMIF(tblAnahtarA[Norm],$A414,tblGirdi[Miktar]),0))</f>
        <v/>
      </c>
      <c r="E414" s="17">
        <f>IF($A414="","",IFERROR(SUMIF(tblAnahtarA[Norm],$A414,tblGirdi[KomisyonOran]),0))</f>
        <v/>
      </c>
      <c r="F414" s="17">
        <f>IF($A414="","",ROUND($B414*$E414,2))</f>
        <v/>
      </c>
      <c r="G414" s="17">
        <f>IF($A414="","",IFERROR(SUMIF(tblAnahtarB[NormB],$A414,tblHakedis[TyPlus]),0))</f>
        <v/>
      </c>
      <c r="H414" s="17">
        <f>IF($A414="","",IFERROR(SUMIF(tblAnahtarB[NormB],$A414,tblHakedis[FlasKesinti]),0))</f>
        <v/>
      </c>
      <c r="I414" s="17">
        <f>IF($A414="","",IFERROR(SUMIF(tblAnahtarB[NormB],$A414,tblHakedis[UrunReklam]),0))</f>
        <v/>
      </c>
      <c r="J414" s="17">
        <f>IF($A414="","",IFERROR(SUMIF(tblAnahtarB[NormB],$A414,tblHakedis[DesiKargo]),0))</f>
        <v/>
      </c>
      <c r="K414" s="17">
        <f>IF($A414="","",ROUND($F414+$G414+$H414+$I414+$J414,2))</f>
        <v/>
      </c>
      <c r="L414" s="17">
        <f>IF($A414="","",ROUND($B414-$C414,2))</f>
        <v/>
      </c>
      <c r="M414" s="17">
        <f>IF($A414="","",ROUND($B414-$C414-$K414,2))</f>
        <v/>
      </c>
      <c r="N414" s="17">
        <f>IF(OR($A414="",$B414=0),0,$M414/$B414)</f>
        <v/>
      </c>
      <c r="O414" s="17">
        <f>IF($A414="","",IF((1-$E414)&lt;=0,0,IF($D414=0,0,ROUND(($C414+$G414+$H414+$I414+$J414)/$D414/(1-$E414),2))))</f>
        <v/>
      </c>
      <c r="P414" s="17">
        <f>IF($A414="","",IFERROR(SUMIF(tblAnahtarA[Norm],$A414,tblGirdi[HedefNet]),0))</f>
        <v/>
      </c>
      <c r="Q414" s="17">
        <f>IF($A414="","",ROUND($M414-$P414,2))</f>
        <v/>
      </c>
      <c r="R414" s="17">
        <f>IF($A414="","",ROUND($B414-$K414,2))</f>
        <v/>
      </c>
      <c r="S414" s="17">
        <f>IF($A414="","",IF($N414&lt;0,"ÇEKİL",IF($N414&lt;tyk_esikMarjDusuk,"ZAM","SAT")))</f>
        <v/>
      </c>
      <c r="T414" s="17">
        <f>IF($A414="","",$L414-$F414)</f>
        <v/>
      </c>
      <c r="U414" s="17">
        <f>IF($A414="","",$M414-$Q414)</f>
        <v/>
      </c>
      <c r="V414" s="17">
        <f>IF($A414="","",$R414-$M414)</f>
        <v/>
      </c>
    </row>
    <row r="415">
      <c r="A415" s="17">
        <f>IF('ANAHTAR'!$B415="","",'ANAHTAR'!$B415)</f>
        <v/>
      </c>
      <c r="B415" s="17">
        <f>IF($A415="","",IFERROR(SUMIF(tblAnahtarA[Norm],$A415,tblGirdi[ToplamSatis]),0))</f>
        <v/>
      </c>
      <c r="C415" s="17">
        <f>IF($A415="","",IFERROR(SUMIF(tblAnahtarA[Norm],$A415,tblGirdi[Maliyet])*IFERROR(SUMIF(tblAnahtarA[Norm],$A415,tblGirdi[Miktar]),1),0))</f>
        <v/>
      </c>
      <c r="D415" s="17">
        <f>IF($A415="","",IFERROR(SUMIF(tblAnahtarA[Norm],$A415,tblGirdi[Miktar]),0))</f>
        <v/>
      </c>
      <c r="E415" s="17">
        <f>IF($A415="","",IFERROR(SUMIF(tblAnahtarA[Norm],$A415,tblGirdi[KomisyonOran]),0))</f>
        <v/>
      </c>
      <c r="F415" s="17">
        <f>IF($A415="","",ROUND($B415*$E415,2))</f>
        <v/>
      </c>
      <c r="G415" s="17">
        <f>IF($A415="","",IFERROR(SUMIF(tblAnahtarB[NormB],$A415,tblHakedis[TyPlus]),0))</f>
        <v/>
      </c>
      <c r="H415" s="17">
        <f>IF($A415="","",IFERROR(SUMIF(tblAnahtarB[NormB],$A415,tblHakedis[FlasKesinti]),0))</f>
        <v/>
      </c>
      <c r="I415" s="17">
        <f>IF($A415="","",IFERROR(SUMIF(tblAnahtarB[NormB],$A415,tblHakedis[UrunReklam]),0))</f>
        <v/>
      </c>
      <c r="J415" s="17">
        <f>IF($A415="","",IFERROR(SUMIF(tblAnahtarB[NormB],$A415,tblHakedis[DesiKargo]),0))</f>
        <v/>
      </c>
      <c r="K415" s="17">
        <f>IF($A415="","",ROUND($F415+$G415+$H415+$I415+$J415,2))</f>
        <v/>
      </c>
      <c r="L415" s="17">
        <f>IF($A415="","",ROUND($B415-$C415,2))</f>
        <v/>
      </c>
      <c r="M415" s="17">
        <f>IF($A415="","",ROUND($B415-$C415-$K415,2))</f>
        <v/>
      </c>
      <c r="N415" s="17">
        <f>IF(OR($A415="",$B415=0),0,$M415/$B415)</f>
        <v/>
      </c>
      <c r="O415" s="17">
        <f>IF($A415="","",IF((1-$E415)&lt;=0,0,IF($D415=0,0,ROUND(($C415+$G415+$H415+$I415+$J415)/$D415/(1-$E415),2))))</f>
        <v/>
      </c>
      <c r="P415" s="17">
        <f>IF($A415="","",IFERROR(SUMIF(tblAnahtarA[Norm],$A415,tblGirdi[HedefNet]),0))</f>
        <v/>
      </c>
      <c r="Q415" s="17">
        <f>IF($A415="","",ROUND($M415-$P415,2))</f>
        <v/>
      </c>
      <c r="R415" s="17">
        <f>IF($A415="","",ROUND($B415-$K415,2))</f>
        <v/>
      </c>
      <c r="S415" s="17">
        <f>IF($A415="","",IF($N415&lt;0,"ÇEKİL",IF($N415&lt;tyk_esikMarjDusuk,"ZAM","SAT")))</f>
        <v/>
      </c>
      <c r="T415" s="17">
        <f>IF($A415="","",$L415-$F415)</f>
        <v/>
      </c>
      <c r="U415" s="17">
        <f>IF($A415="","",$M415-$Q415)</f>
        <v/>
      </c>
      <c r="V415" s="17">
        <f>IF($A415="","",$R415-$M415)</f>
        <v/>
      </c>
    </row>
    <row r="416">
      <c r="A416" s="17">
        <f>IF('ANAHTAR'!$B416="","",'ANAHTAR'!$B416)</f>
        <v/>
      </c>
      <c r="B416" s="17">
        <f>IF($A416="","",IFERROR(SUMIF(tblAnahtarA[Norm],$A416,tblGirdi[ToplamSatis]),0))</f>
        <v/>
      </c>
      <c r="C416" s="17">
        <f>IF($A416="","",IFERROR(SUMIF(tblAnahtarA[Norm],$A416,tblGirdi[Maliyet])*IFERROR(SUMIF(tblAnahtarA[Norm],$A416,tblGirdi[Miktar]),1),0))</f>
        <v/>
      </c>
      <c r="D416" s="17">
        <f>IF($A416="","",IFERROR(SUMIF(tblAnahtarA[Norm],$A416,tblGirdi[Miktar]),0))</f>
        <v/>
      </c>
      <c r="E416" s="17">
        <f>IF($A416="","",IFERROR(SUMIF(tblAnahtarA[Norm],$A416,tblGirdi[KomisyonOran]),0))</f>
        <v/>
      </c>
      <c r="F416" s="17">
        <f>IF($A416="","",ROUND($B416*$E416,2))</f>
        <v/>
      </c>
      <c r="G416" s="17">
        <f>IF($A416="","",IFERROR(SUMIF(tblAnahtarB[NormB],$A416,tblHakedis[TyPlus]),0))</f>
        <v/>
      </c>
      <c r="H416" s="17">
        <f>IF($A416="","",IFERROR(SUMIF(tblAnahtarB[NormB],$A416,tblHakedis[FlasKesinti]),0))</f>
        <v/>
      </c>
      <c r="I416" s="17">
        <f>IF($A416="","",IFERROR(SUMIF(tblAnahtarB[NormB],$A416,tblHakedis[UrunReklam]),0))</f>
        <v/>
      </c>
      <c r="J416" s="17">
        <f>IF($A416="","",IFERROR(SUMIF(tblAnahtarB[NormB],$A416,tblHakedis[DesiKargo]),0))</f>
        <v/>
      </c>
      <c r="K416" s="17">
        <f>IF($A416="","",ROUND($F416+$G416+$H416+$I416+$J416,2))</f>
        <v/>
      </c>
      <c r="L416" s="17">
        <f>IF($A416="","",ROUND($B416-$C416,2))</f>
        <v/>
      </c>
      <c r="M416" s="17">
        <f>IF($A416="","",ROUND($B416-$C416-$K416,2))</f>
        <v/>
      </c>
      <c r="N416" s="17">
        <f>IF(OR($A416="",$B416=0),0,$M416/$B416)</f>
        <v/>
      </c>
      <c r="O416" s="17">
        <f>IF($A416="","",IF((1-$E416)&lt;=0,0,IF($D416=0,0,ROUND(($C416+$G416+$H416+$I416+$J416)/$D416/(1-$E416),2))))</f>
        <v/>
      </c>
      <c r="P416" s="17">
        <f>IF($A416="","",IFERROR(SUMIF(tblAnahtarA[Norm],$A416,tblGirdi[HedefNet]),0))</f>
        <v/>
      </c>
      <c r="Q416" s="17">
        <f>IF($A416="","",ROUND($M416-$P416,2))</f>
        <v/>
      </c>
      <c r="R416" s="17">
        <f>IF($A416="","",ROUND($B416-$K416,2))</f>
        <v/>
      </c>
      <c r="S416" s="17">
        <f>IF($A416="","",IF($N416&lt;0,"ÇEKİL",IF($N416&lt;tyk_esikMarjDusuk,"ZAM","SAT")))</f>
        <v/>
      </c>
      <c r="T416" s="17">
        <f>IF($A416="","",$L416-$F416)</f>
        <v/>
      </c>
      <c r="U416" s="17">
        <f>IF($A416="","",$M416-$Q416)</f>
        <v/>
      </c>
      <c r="V416" s="17">
        <f>IF($A416="","",$R416-$M416)</f>
        <v/>
      </c>
    </row>
    <row r="417">
      <c r="A417" s="17">
        <f>IF('ANAHTAR'!$B417="","",'ANAHTAR'!$B417)</f>
        <v/>
      </c>
      <c r="B417" s="17">
        <f>IF($A417="","",IFERROR(SUMIF(tblAnahtarA[Norm],$A417,tblGirdi[ToplamSatis]),0))</f>
        <v/>
      </c>
      <c r="C417" s="17">
        <f>IF($A417="","",IFERROR(SUMIF(tblAnahtarA[Norm],$A417,tblGirdi[Maliyet])*IFERROR(SUMIF(tblAnahtarA[Norm],$A417,tblGirdi[Miktar]),1),0))</f>
        <v/>
      </c>
      <c r="D417" s="17">
        <f>IF($A417="","",IFERROR(SUMIF(tblAnahtarA[Norm],$A417,tblGirdi[Miktar]),0))</f>
        <v/>
      </c>
      <c r="E417" s="17">
        <f>IF($A417="","",IFERROR(SUMIF(tblAnahtarA[Norm],$A417,tblGirdi[KomisyonOran]),0))</f>
        <v/>
      </c>
      <c r="F417" s="17">
        <f>IF($A417="","",ROUND($B417*$E417,2))</f>
        <v/>
      </c>
      <c r="G417" s="17">
        <f>IF($A417="","",IFERROR(SUMIF(tblAnahtarB[NormB],$A417,tblHakedis[TyPlus]),0))</f>
        <v/>
      </c>
      <c r="H417" s="17">
        <f>IF($A417="","",IFERROR(SUMIF(tblAnahtarB[NormB],$A417,tblHakedis[FlasKesinti]),0))</f>
        <v/>
      </c>
      <c r="I417" s="17">
        <f>IF($A417="","",IFERROR(SUMIF(tblAnahtarB[NormB],$A417,tblHakedis[UrunReklam]),0))</f>
        <v/>
      </c>
      <c r="J417" s="17">
        <f>IF($A417="","",IFERROR(SUMIF(tblAnahtarB[NormB],$A417,tblHakedis[DesiKargo]),0))</f>
        <v/>
      </c>
      <c r="K417" s="17">
        <f>IF($A417="","",ROUND($F417+$G417+$H417+$I417+$J417,2))</f>
        <v/>
      </c>
      <c r="L417" s="17">
        <f>IF($A417="","",ROUND($B417-$C417,2))</f>
        <v/>
      </c>
      <c r="M417" s="17">
        <f>IF($A417="","",ROUND($B417-$C417-$K417,2))</f>
        <v/>
      </c>
      <c r="N417" s="17">
        <f>IF(OR($A417="",$B417=0),0,$M417/$B417)</f>
        <v/>
      </c>
      <c r="O417" s="17">
        <f>IF($A417="","",IF((1-$E417)&lt;=0,0,IF($D417=0,0,ROUND(($C417+$G417+$H417+$I417+$J417)/$D417/(1-$E417),2))))</f>
        <v/>
      </c>
      <c r="P417" s="17">
        <f>IF($A417="","",IFERROR(SUMIF(tblAnahtarA[Norm],$A417,tblGirdi[HedefNet]),0))</f>
        <v/>
      </c>
      <c r="Q417" s="17">
        <f>IF($A417="","",ROUND($M417-$P417,2))</f>
        <v/>
      </c>
      <c r="R417" s="17">
        <f>IF($A417="","",ROUND($B417-$K417,2))</f>
        <v/>
      </c>
      <c r="S417" s="17">
        <f>IF($A417="","",IF($N417&lt;0,"ÇEKİL",IF($N417&lt;tyk_esikMarjDusuk,"ZAM","SAT")))</f>
        <v/>
      </c>
      <c r="T417" s="17">
        <f>IF($A417="","",$L417-$F417)</f>
        <v/>
      </c>
      <c r="U417" s="17">
        <f>IF($A417="","",$M417-$Q417)</f>
        <v/>
      </c>
      <c r="V417" s="17">
        <f>IF($A417="","",$R417-$M417)</f>
        <v/>
      </c>
    </row>
    <row r="418">
      <c r="A418" s="17">
        <f>IF('ANAHTAR'!$B418="","",'ANAHTAR'!$B418)</f>
        <v/>
      </c>
      <c r="B418" s="17">
        <f>IF($A418="","",IFERROR(SUMIF(tblAnahtarA[Norm],$A418,tblGirdi[ToplamSatis]),0))</f>
        <v/>
      </c>
      <c r="C418" s="17">
        <f>IF($A418="","",IFERROR(SUMIF(tblAnahtarA[Norm],$A418,tblGirdi[Maliyet])*IFERROR(SUMIF(tblAnahtarA[Norm],$A418,tblGirdi[Miktar]),1),0))</f>
        <v/>
      </c>
      <c r="D418" s="17">
        <f>IF($A418="","",IFERROR(SUMIF(tblAnahtarA[Norm],$A418,tblGirdi[Miktar]),0))</f>
        <v/>
      </c>
      <c r="E418" s="17">
        <f>IF($A418="","",IFERROR(SUMIF(tblAnahtarA[Norm],$A418,tblGirdi[KomisyonOran]),0))</f>
        <v/>
      </c>
      <c r="F418" s="17">
        <f>IF($A418="","",ROUND($B418*$E418,2))</f>
        <v/>
      </c>
      <c r="G418" s="17">
        <f>IF($A418="","",IFERROR(SUMIF(tblAnahtarB[NormB],$A418,tblHakedis[TyPlus]),0))</f>
        <v/>
      </c>
      <c r="H418" s="17">
        <f>IF($A418="","",IFERROR(SUMIF(tblAnahtarB[NormB],$A418,tblHakedis[FlasKesinti]),0))</f>
        <v/>
      </c>
      <c r="I418" s="17">
        <f>IF($A418="","",IFERROR(SUMIF(tblAnahtarB[NormB],$A418,tblHakedis[UrunReklam]),0))</f>
        <v/>
      </c>
      <c r="J418" s="17">
        <f>IF($A418="","",IFERROR(SUMIF(tblAnahtarB[NormB],$A418,tblHakedis[DesiKargo]),0))</f>
        <v/>
      </c>
      <c r="K418" s="17">
        <f>IF($A418="","",ROUND($F418+$G418+$H418+$I418+$J418,2))</f>
        <v/>
      </c>
      <c r="L418" s="17">
        <f>IF($A418="","",ROUND($B418-$C418,2))</f>
        <v/>
      </c>
      <c r="M418" s="17">
        <f>IF($A418="","",ROUND($B418-$C418-$K418,2))</f>
        <v/>
      </c>
      <c r="N418" s="17">
        <f>IF(OR($A418="",$B418=0),0,$M418/$B418)</f>
        <v/>
      </c>
      <c r="O418" s="17">
        <f>IF($A418="","",IF((1-$E418)&lt;=0,0,IF($D418=0,0,ROUND(($C418+$G418+$H418+$I418+$J418)/$D418/(1-$E418),2))))</f>
        <v/>
      </c>
      <c r="P418" s="17">
        <f>IF($A418="","",IFERROR(SUMIF(tblAnahtarA[Norm],$A418,tblGirdi[HedefNet]),0))</f>
        <v/>
      </c>
      <c r="Q418" s="17">
        <f>IF($A418="","",ROUND($M418-$P418,2))</f>
        <v/>
      </c>
      <c r="R418" s="17">
        <f>IF($A418="","",ROUND($B418-$K418,2))</f>
        <v/>
      </c>
      <c r="S418" s="17">
        <f>IF($A418="","",IF($N418&lt;0,"ÇEKİL",IF($N418&lt;tyk_esikMarjDusuk,"ZAM","SAT")))</f>
        <v/>
      </c>
      <c r="T418" s="17">
        <f>IF($A418="","",$L418-$F418)</f>
        <v/>
      </c>
      <c r="U418" s="17">
        <f>IF($A418="","",$M418-$Q418)</f>
        <v/>
      </c>
      <c r="V418" s="17">
        <f>IF($A418="","",$R418-$M418)</f>
        <v/>
      </c>
    </row>
    <row r="419">
      <c r="A419" s="17">
        <f>IF('ANAHTAR'!$B419="","",'ANAHTAR'!$B419)</f>
        <v/>
      </c>
      <c r="B419" s="17">
        <f>IF($A419="","",IFERROR(SUMIF(tblAnahtarA[Norm],$A419,tblGirdi[ToplamSatis]),0))</f>
        <v/>
      </c>
      <c r="C419" s="17">
        <f>IF($A419="","",IFERROR(SUMIF(tblAnahtarA[Norm],$A419,tblGirdi[Maliyet])*IFERROR(SUMIF(tblAnahtarA[Norm],$A419,tblGirdi[Miktar]),1),0))</f>
        <v/>
      </c>
      <c r="D419" s="17">
        <f>IF($A419="","",IFERROR(SUMIF(tblAnahtarA[Norm],$A419,tblGirdi[Miktar]),0))</f>
        <v/>
      </c>
      <c r="E419" s="17">
        <f>IF($A419="","",IFERROR(SUMIF(tblAnahtarA[Norm],$A419,tblGirdi[KomisyonOran]),0))</f>
        <v/>
      </c>
      <c r="F419" s="17">
        <f>IF($A419="","",ROUND($B419*$E419,2))</f>
        <v/>
      </c>
      <c r="G419" s="17">
        <f>IF($A419="","",IFERROR(SUMIF(tblAnahtarB[NormB],$A419,tblHakedis[TyPlus]),0))</f>
        <v/>
      </c>
      <c r="H419" s="17">
        <f>IF($A419="","",IFERROR(SUMIF(tblAnahtarB[NormB],$A419,tblHakedis[FlasKesinti]),0))</f>
        <v/>
      </c>
      <c r="I419" s="17">
        <f>IF($A419="","",IFERROR(SUMIF(tblAnahtarB[NormB],$A419,tblHakedis[UrunReklam]),0))</f>
        <v/>
      </c>
      <c r="J419" s="17">
        <f>IF($A419="","",IFERROR(SUMIF(tblAnahtarB[NormB],$A419,tblHakedis[DesiKargo]),0))</f>
        <v/>
      </c>
      <c r="K419" s="17">
        <f>IF($A419="","",ROUND($F419+$G419+$H419+$I419+$J419,2))</f>
        <v/>
      </c>
      <c r="L419" s="17">
        <f>IF($A419="","",ROUND($B419-$C419,2))</f>
        <v/>
      </c>
      <c r="M419" s="17">
        <f>IF($A419="","",ROUND($B419-$C419-$K419,2))</f>
        <v/>
      </c>
      <c r="N419" s="17">
        <f>IF(OR($A419="",$B419=0),0,$M419/$B419)</f>
        <v/>
      </c>
      <c r="O419" s="17">
        <f>IF($A419="","",IF((1-$E419)&lt;=0,0,IF($D419=0,0,ROUND(($C419+$G419+$H419+$I419+$J419)/$D419/(1-$E419),2))))</f>
        <v/>
      </c>
      <c r="P419" s="17">
        <f>IF($A419="","",IFERROR(SUMIF(tblAnahtarA[Norm],$A419,tblGirdi[HedefNet]),0))</f>
        <v/>
      </c>
      <c r="Q419" s="17">
        <f>IF($A419="","",ROUND($M419-$P419,2))</f>
        <v/>
      </c>
      <c r="R419" s="17">
        <f>IF($A419="","",ROUND($B419-$K419,2))</f>
        <v/>
      </c>
      <c r="S419" s="17">
        <f>IF($A419="","",IF($N419&lt;0,"ÇEKİL",IF($N419&lt;tyk_esikMarjDusuk,"ZAM","SAT")))</f>
        <v/>
      </c>
      <c r="T419" s="17">
        <f>IF($A419="","",$L419-$F419)</f>
        <v/>
      </c>
      <c r="U419" s="17">
        <f>IF($A419="","",$M419-$Q419)</f>
        <v/>
      </c>
      <c r="V419" s="17">
        <f>IF($A419="","",$R419-$M419)</f>
        <v/>
      </c>
    </row>
    <row r="420">
      <c r="A420" s="17">
        <f>IF('ANAHTAR'!$B420="","",'ANAHTAR'!$B420)</f>
        <v/>
      </c>
      <c r="B420" s="17">
        <f>IF($A420="","",IFERROR(SUMIF(tblAnahtarA[Norm],$A420,tblGirdi[ToplamSatis]),0))</f>
        <v/>
      </c>
      <c r="C420" s="17">
        <f>IF($A420="","",IFERROR(SUMIF(tblAnahtarA[Norm],$A420,tblGirdi[Maliyet])*IFERROR(SUMIF(tblAnahtarA[Norm],$A420,tblGirdi[Miktar]),1),0))</f>
        <v/>
      </c>
      <c r="D420" s="17">
        <f>IF($A420="","",IFERROR(SUMIF(tblAnahtarA[Norm],$A420,tblGirdi[Miktar]),0))</f>
        <v/>
      </c>
      <c r="E420" s="17">
        <f>IF($A420="","",IFERROR(SUMIF(tblAnahtarA[Norm],$A420,tblGirdi[KomisyonOran]),0))</f>
        <v/>
      </c>
      <c r="F420" s="17">
        <f>IF($A420="","",ROUND($B420*$E420,2))</f>
        <v/>
      </c>
      <c r="G420" s="17">
        <f>IF($A420="","",IFERROR(SUMIF(tblAnahtarB[NormB],$A420,tblHakedis[TyPlus]),0))</f>
        <v/>
      </c>
      <c r="H420" s="17">
        <f>IF($A420="","",IFERROR(SUMIF(tblAnahtarB[NormB],$A420,tblHakedis[FlasKesinti]),0))</f>
        <v/>
      </c>
      <c r="I420" s="17">
        <f>IF($A420="","",IFERROR(SUMIF(tblAnahtarB[NormB],$A420,tblHakedis[UrunReklam]),0))</f>
        <v/>
      </c>
      <c r="J420" s="17">
        <f>IF($A420="","",IFERROR(SUMIF(tblAnahtarB[NormB],$A420,tblHakedis[DesiKargo]),0))</f>
        <v/>
      </c>
      <c r="K420" s="17">
        <f>IF($A420="","",ROUND($F420+$G420+$H420+$I420+$J420,2))</f>
        <v/>
      </c>
      <c r="L420" s="17">
        <f>IF($A420="","",ROUND($B420-$C420,2))</f>
        <v/>
      </c>
      <c r="M420" s="17">
        <f>IF($A420="","",ROUND($B420-$C420-$K420,2))</f>
        <v/>
      </c>
      <c r="N420" s="17">
        <f>IF(OR($A420="",$B420=0),0,$M420/$B420)</f>
        <v/>
      </c>
      <c r="O420" s="17">
        <f>IF($A420="","",IF((1-$E420)&lt;=0,0,IF($D420=0,0,ROUND(($C420+$G420+$H420+$I420+$J420)/$D420/(1-$E420),2))))</f>
        <v/>
      </c>
      <c r="P420" s="17">
        <f>IF($A420="","",IFERROR(SUMIF(tblAnahtarA[Norm],$A420,tblGirdi[HedefNet]),0))</f>
        <v/>
      </c>
      <c r="Q420" s="17">
        <f>IF($A420="","",ROUND($M420-$P420,2))</f>
        <v/>
      </c>
      <c r="R420" s="17">
        <f>IF($A420="","",ROUND($B420-$K420,2))</f>
        <v/>
      </c>
      <c r="S420" s="17">
        <f>IF($A420="","",IF($N420&lt;0,"ÇEKİL",IF($N420&lt;tyk_esikMarjDusuk,"ZAM","SAT")))</f>
        <v/>
      </c>
      <c r="T420" s="17">
        <f>IF($A420="","",$L420-$F420)</f>
        <v/>
      </c>
      <c r="U420" s="17">
        <f>IF($A420="","",$M420-$Q420)</f>
        <v/>
      </c>
      <c r="V420" s="17">
        <f>IF($A420="","",$R420-$M420)</f>
        <v/>
      </c>
    </row>
    <row r="421">
      <c r="A421" s="17">
        <f>IF('ANAHTAR'!$B421="","",'ANAHTAR'!$B421)</f>
        <v/>
      </c>
      <c r="B421" s="17">
        <f>IF($A421="","",IFERROR(SUMIF(tblAnahtarA[Norm],$A421,tblGirdi[ToplamSatis]),0))</f>
        <v/>
      </c>
      <c r="C421" s="17">
        <f>IF($A421="","",IFERROR(SUMIF(tblAnahtarA[Norm],$A421,tblGirdi[Maliyet])*IFERROR(SUMIF(tblAnahtarA[Norm],$A421,tblGirdi[Miktar]),1),0))</f>
        <v/>
      </c>
      <c r="D421" s="17">
        <f>IF($A421="","",IFERROR(SUMIF(tblAnahtarA[Norm],$A421,tblGirdi[Miktar]),0))</f>
        <v/>
      </c>
      <c r="E421" s="17">
        <f>IF($A421="","",IFERROR(SUMIF(tblAnahtarA[Norm],$A421,tblGirdi[KomisyonOran]),0))</f>
        <v/>
      </c>
      <c r="F421" s="17">
        <f>IF($A421="","",ROUND($B421*$E421,2))</f>
        <v/>
      </c>
      <c r="G421" s="17">
        <f>IF($A421="","",IFERROR(SUMIF(tblAnahtarB[NormB],$A421,tblHakedis[TyPlus]),0))</f>
        <v/>
      </c>
      <c r="H421" s="17">
        <f>IF($A421="","",IFERROR(SUMIF(tblAnahtarB[NormB],$A421,tblHakedis[FlasKesinti]),0))</f>
        <v/>
      </c>
      <c r="I421" s="17">
        <f>IF($A421="","",IFERROR(SUMIF(tblAnahtarB[NormB],$A421,tblHakedis[UrunReklam]),0))</f>
        <v/>
      </c>
      <c r="J421" s="17">
        <f>IF($A421="","",IFERROR(SUMIF(tblAnahtarB[NormB],$A421,tblHakedis[DesiKargo]),0))</f>
        <v/>
      </c>
      <c r="K421" s="17">
        <f>IF($A421="","",ROUND($F421+$G421+$H421+$I421+$J421,2))</f>
        <v/>
      </c>
      <c r="L421" s="17">
        <f>IF($A421="","",ROUND($B421-$C421,2))</f>
        <v/>
      </c>
      <c r="M421" s="17">
        <f>IF($A421="","",ROUND($B421-$C421-$K421,2))</f>
        <v/>
      </c>
      <c r="N421" s="17">
        <f>IF(OR($A421="",$B421=0),0,$M421/$B421)</f>
        <v/>
      </c>
      <c r="O421" s="17">
        <f>IF($A421="","",IF((1-$E421)&lt;=0,0,IF($D421=0,0,ROUND(($C421+$G421+$H421+$I421+$J421)/$D421/(1-$E421),2))))</f>
        <v/>
      </c>
      <c r="P421" s="17">
        <f>IF($A421="","",IFERROR(SUMIF(tblAnahtarA[Norm],$A421,tblGirdi[HedefNet]),0))</f>
        <v/>
      </c>
      <c r="Q421" s="17">
        <f>IF($A421="","",ROUND($M421-$P421,2))</f>
        <v/>
      </c>
      <c r="R421" s="17">
        <f>IF($A421="","",ROUND($B421-$K421,2))</f>
        <v/>
      </c>
      <c r="S421" s="17">
        <f>IF($A421="","",IF($N421&lt;0,"ÇEKİL",IF($N421&lt;tyk_esikMarjDusuk,"ZAM","SAT")))</f>
        <v/>
      </c>
      <c r="T421" s="17">
        <f>IF($A421="","",$L421-$F421)</f>
        <v/>
      </c>
      <c r="U421" s="17">
        <f>IF($A421="","",$M421-$Q421)</f>
        <v/>
      </c>
      <c r="V421" s="17">
        <f>IF($A421="","",$R421-$M421)</f>
        <v/>
      </c>
    </row>
    <row r="422">
      <c r="A422" s="17">
        <f>IF('ANAHTAR'!$B422="","",'ANAHTAR'!$B422)</f>
        <v/>
      </c>
      <c r="B422" s="17">
        <f>IF($A422="","",IFERROR(SUMIF(tblAnahtarA[Norm],$A422,tblGirdi[ToplamSatis]),0))</f>
        <v/>
      </c>
      <c r="C422" s="17">
        <f>IF($A422="","",IFERROR(SUMIF(tblAnahtarA[Norm],$A422,tblGirdi[Maliyet])*IFERROR(SUMIF(tblAnahtarA[Norm],$A422,tblGirdi[Miktar]),1),0))</f>
        <v/>
      </c>
      <c r="D422" s="17">
        <f>IF($A422="","",IFERROR(SUMIF(tblAnahtarA[Norm],$A422,tblGirdi[Miktar]),0))</f>
        <v/>
      </c>
      <c r="E422" s="17">
        <f>IF($A422="","",IFERROR(SUMIF(tblAnahtarA[Norm],$A422,tblGirdi[KomisyonOran]),0))</f>
        <v/>
      </c>
      <c r="F422" s="17">
        <f>IF($A422="","",ROUND($B422*$E422,2))</f>
        <v/>
      </c>
      <c r="G422" s="17">
        <f>IF($A422="","",IFERROR(SUMIF(tblAnahtarB[NormB],$A422,tblHakedis[TyPlus]),0))</f>
        <v/>
      </c>
      <c r="H422" s="17">
        <f>IF($A422="","",IFERROR(SUMIF(tblAnahtarB[NormB],$A422,tblHakedis[FlasKesinti]),0))</f>
        <v/>
      </c>
      <c r="I422" s="17">
        <f>IF($A422="","",IFERROR(SUMIF(tblAnahtarB[NormB],$A422,tblHakedis[UrunReklam]),0))</f>
        <v/>
      </c>
      <c r="J422" s="17">
        <f>IF($A422="","",IFERROR(SUMIF(tblAnahtarB[NormB],$A422,tblHakedis[DesiKargo]),0))</f>
        <v/>
      </c>
      <c r="K422" s="17">
        <f>IF($A422="","",ROUND($F422+$G422+$H422+$I422+$J422,2))</f>
        <v/>
      </c>
      <c r="L422" s="17">
        <f>IF($A422="","",ROUND($B422-$C422,2))</f>
        <v/>
      </c>
      <c r="M422" s="17">
        <f>IF($A422="","",ROUND($B422-$C422-$K422,2))</f>
        <v/>
      </c>
      <c r="N422" s="17">
        <f>IF(OR($A422="",$B422=0),0,$M422/$B422)</f>
        <v/>
      </c>
      <c r="O422" s="17">
        <f>IF($A422="","",IF((1-$E422)&lt;=0,0,IF($D422=0,0,ROUND(($C422+$G422+$H422+$I422+$J422)/$D422/(1-$E422),2))))</f>
        <v/>
      </c>
      <c r="P422" s="17">
        <f>IF($A422="","",IFERROR(SUMIF(tblAnahtarA[Norm],$A422,tblGirdi[HedefNet]),0))</f>
        <v/>
      </c>
      <c r="Q422" s="17">
        <f>IF($A422="","",ROUND($M422-$P422,2))</f>
        <v/>
      </c>
      <c r="R422" s="17">
        <f>IF($A422="","",ROUND($B422-$K422,2))</f>
        <v/>
      </c>
      <c r="S422" s="17">
        <f>IF($A422="","",IF($N422&lt;0,"ÇEKİL",IF($N422&lt;tyk_esikMarjDusuk,"ZAM","SAT")))</f>
        <v/>
      </c>
      <c r="T422" s="17">
        <f>IF($A422="","",$L422-$F422)</f>
        <v/>
      </c>
      <c r="U422" s="17">
        <f>IF($A422="","",$M422-$Q422)</f>
        <v/>
      </c>
      <c r="V422" s="17">
        <f>IF($A422="","",$R422-$M422)</f>
        <v/>
      </c>
    </row>
    <row r="423">
      <c r="A423" s="17">
        <f>IF('ANAHTAR'!$B423="","",'ANAHTAR'!$B423)</f>
        <v/>
      </c>
      <c r="B423" s="17">
        <f>IF($A423="","",IFERROR(SUMIF(tblAnahtarA[Norm],$A423,tblGirdi[ToplamSatis]),0))</f>
        <v/>
      </c>
      <c r="C423" s="17">
        <f>IF($A423="","",IFERROR(SUMIF(tblAnahtarA[Norm],$A423,tblGirdi[Maliyet])*IFERROR(SUMIF(tblAnahtarA[Norm],$A423,tblGirdi[Miktar]),1),0))</f>
        <v/>
      </c>
      <c r="D423" s="17">
        <f>IF($A423="","",IFERROR(SUMIF(tblAnahtarA[Norm],$A423,tblGirdi[Miktar]),0))</f>
        <v/>
      </c>
      <c r="E423" s="17">
        <f>IF($A423="","",IFERROR(SUMIF(tblAnahtarA[Norm],$A423,tblGirdi[KomisyonOran]),0))</f>
        <v/>
      </c>
      <c r="F423" s="17">
        <f>IF($A423="","",ROUND($B423*$E423,2))</f>
        <v/>
      </c>
      <c r="G423" s="17">
        <f>IF($A423="","",IFERROR(SUMIF(tblAnahtarB[NormB],$A423,tblHakedis[TyPlus]),0))</f>
        <v/>
      </c>
      <c r="H423" s="17">
        <f>IF($A423="","",IFERROR(SUMIF(tblAnahtarB[NormB],$A423,tblHakedis[FlasKesinti]),0))</f>
        <v/>
      </c>
      <c r="I423" s="17">
        <f>IF($A423="","",IFERROR(SUMIF(tblAnahtarB[NormB],$A423,tblHakedis[UrunReklam]),0))</f>
        <v/>
      </c>
      <c r="J423" s="17">
        <f>IF($A423="","",IFERROR(SUMIF(tblAnahtarB[NormB],$A423,tblHakedis[DesiKargo]),0))</f>
        <v/>
      </c>
      <c r="K423" s="17">
        <f>IF($A423="","",ROUND($F423+$G423+$H423+$I423+$J423,2))</f>
        <v/>
      </c>
      <c r="L423" s="17">
        <f>IF($A423="","",ROUND($B423-$C423,2))</f>
        <v/>
      </c>
      <c r="M423" s="17">
        <f>IF($A423="","",ROUND($B423-$C423-$K423,2))</f>
        <v/>
      </c>
      <c r="N423" s="17">
        <f>IF(OR($A423="",$B423=0),0,$M423/$B423)</f>
        <v/>
      </c>
      <c r="O423" s="17">
        <f>IF($A423="","",IF((1-$E423)&lt;=0,0,IF($D423=0,0,ROUND(($C423+$G423+$H423+$I423+$J423)/$D423/(1-$E423),2))))</f>
        <v/>
      </c>
      <c r="P423" s="17">
        <f>IF($A423="","",IFERROR(SUMIF(tblAnahtarA[Norm],$A423,tblGirdi[HedefNet]),0))</f>
        <v/>
      </c>
      <c r="Q423" s="17">
        <f>IF($A423="","",ROUND($M423-$P423,2))</f>
        <v/>
      </c>
      <c r="R423" s="17">
        <f>IF($A423="","",ROUND($B423-$K423,2))</f>
        <v/>
      </c>
      <c r="S423" s="17">
        <f>IF($A423="","",IF($N423&lt;0,"ÇEKİL",IF($N423&lt;tyk_esikMarjDusuk,"ZAM","SAT")))</f>
        <v/>
      </c>
      <c r="T423" s="17">
        <f>IF($A423="","",$L423-$F423)</f>
        <v/>
      </c>
      <c r="U423" s="17">
        <f>IF($A423="","",$M423-$Q423)</f>
        <v/>
      </c>
      <c r="V423" s="17">
        <f>IF($A423="","",$R423-$M423)</f>
        <v/>
      </c>
    </row>
    <row r="424">
      <c r="A424" s="17">
        <f>IF('ANAHTAR'!$B424="","",'ANAHTAR'!$B424)</f>
        <v/>
      </c>
      <c r="B424" s="17">
        <f>IF($A424="","",IFERROR(SUMIF(tblAnahtarA[Norm],$A424,tblGirdi[ToplamSatis]),0))</f>
        <v/>
      </c>
      <c r="C424" s="17">
        <f>IF($A424="","",IFERROR(SUMIF(tblAnahtarA[Norm],$A424,tblGirdi[Maliyet])*IFERROR(SUMIF(tblAnahtarA[Norm],$A424,tblGirdi[Miktar]),1),0))</f>
        <v/>
      </c>
      <c r="D424" s="17">
        <f>IF($A424="","",IFERROR(SUMIF(tblAnahtarA[Norm],$A424,tblGirdi[Miktar]),0))</f>
        <v/>
      </c>
      <c r="E424" s="17">
        <f>IF($A424="","",IFERROR(SUMIF(tblAnahtarA[Norm],$A424,tblGirdi[KomisyonOran]),0))</f>
        <v/>
      </c>
      <c r="F424" s="17">
        <f>IF($A424="","",ROUND($B424*$E424,2))</f>
        <v/>
      </c>
      <c r="G424" s="17">
        <f>IF($A424="","",IFERROR(SUMIF(tblAnahtarB[NormB],$A424,tblHakedis[TyPlus]),0))</f>
        <v/>
      </c>
      <c r="H424" s="17">
        <f>IF($A424="","",IFERROR(SUMIF(tblAnahtarB[NormB],$A424,tblHakedis[FlasKesinti]),0))</f>
        <v/>
      </c>
      <c r="I424" s="17">
        <f>IF($A424="","",IFERROR(SUMIF(tblAnahtarB[NormB],$A424,tblHakedis[UrunReklam]),0))</f>
        <v/>
      </c>
      <c r="J424" s="17">
        <f>IF($A424="","",IFERROR(SUMIF(tblAnahtarB[NormB],$A424,tblHakedis[DesiKargo]),0))</f>
        <v/>
      </c>
      <c r="K424" s="17">
        <f>IF($A424="","",ROUND($F424+$G424+$H424+$I424+$J424,2))</f>
        <v/>
      </c>
      <c r="L424" s="17">
        <f>IF($A424="","",ROUND($B424-$C424,2))</f>
        <v/>
      </c>
      <c r="M424" s="17">
        <f>IF($A424="","",ROUND($B424-$C424-$K424,2))</f>
        <v/>
      </c>
      <c r="N424" s="17">
        <f>IF(OR($A424="",$B424=0),0,$M424/$B424)</f>
        <v/>
      </c>
      <c r="O424" s="17">
        <f>IF($A424="","",IF((1-$E424)&lt;=0,0,IF($D424=0,0,ROUND(($C424+$G424+$H424+$I424+$J424)/$D424/(1-$E424),2))))</f>
        <v/>
      </c>
      <c r="P424" s="17">
        <f>IF($A424="","",IFERROR(SUMIF(tblAnahtarA[Norm],$A424,tblGirdi[HedefNet]),0))</f>
        <v/>
      </c>
      <c r="Q424" s="17">
        <f>IF($A424="","",ROUND($M424-$P424,2))</f>
        <v/>
      </c>
      <c r="R424" s="17">
        <f>IF($A424="","",ROUND($B424-$K424,2))</f>
        <v/>
      </c>
      <c r="S424" s="17">
        <f>IF($A424="","",IF($N424&lt;0,"ÇEKİL",IF($N424&lt;tyk_esikMarjDusuk,"ZAM","SAT")))</f>
        <v/>
      </c>
      <c r="T424" s="17">
        <f>IF($A424="","",$L424-$F424)</f>
        <v/>
      </c>
      <c r="U424" s="17">
        <f>IF($A424="","",$M424-$Q424)</f>
        <v/>
      </c>
      <c r="V424" s="17">
        <f>IF($A424="","",$R424-$M424)</f>
        <v/>
      </c>
    </row>
    <row r="425">
      <c r="A425" s="17">
        <f>IF('ANAHTAR'!$B425="","",'ANAHTAR'!$B425)</f>
        <v/>
      </c>
      <c r="B425" s="17">
        <f>IF($A425="","",IFERROR(SUMIF(tblAnahtarA[Norm],$A425,tblGirdi[ToplamSatis]),0))</f>
        <v/>
      </c>
      <c r="C425" s="17">
        <f>IF($A425="","",IFERROR(SUMIF(tblAnahtarA[Norm],$A425,tblGirdi[Maliyet])*IFERROR(SUMIF(tblAnahtarA[Norm],$A425,tblGirdi[Miktar]),1),0))</f>
        <v/>
      </c>
      <c r="D425" s="17">
        <f>IF($A425="","",IFERROR(SUMIF(tblAnahtarA[Norm],$A425,tblGirdi[Miktar]),0))</f>
        <v/>
      </c>
      <c r="E425" s="17">
        <f>IF($A425="","",IFERROR(SUMIF(tblAnahtarA[Norm],$A425,tblGirdi[KomisyonOran]),0))</f>
        <v/>
      </c>
      <c r="F425" s="17">
        <f>IF($A425="","",ROUND($B425*$E425,2))</f>
        <v/>
      </c>
      <c r="G425" s="17">
        <f>IF($A425="","",IFERROR(SUMIF(tblAnahtarB[NormB],$A425,tblHakedis[TyPlus]),0))</f>
        <v/>
      </c>
      <c r="H425" s="17">
        <f>IF($A425="","",IFERROR(SUMIF(tblAnahtarB[NormB],$A425,tblHakedis[FlasKesinti]),0))</f>
        <v/>
      </c>
      <c r="I425" s="17">
        <f>IF($A425="","",IFERROR(SUMIF(tblAnahtarB[NormB],$A425,tblHakedis[UrunReklam]),0))</f>
        <v/>
      </c>
      <c r="J425" s="17">
        <f>IF($A425="","",IFERROR(SUMIF(tblAnahtarB[NormB],$A425,tblHakedis[DesiKargo]),0))</f>
        <v/>
      </c>
      <c r="K425" s="17">
        <f>IF($A425="","",ROUND($F425+$G425+$H425+$I425+$J425,2))</f>
        <v/>
      </c>
      <c r="L425" s="17">
        <f>IF($A425="","",ROUND($B425-$C425,2))</f>
        <v/>
      </c>
      <c r="M425" s="17">
        <f>IF($A425="","",ROUND($B425-$C425-$K425,2))</f>
        <v/>
      </c>
      <c r="N425" s="17">
        <f>IF(OR($A425="",$B425=0),0,$M425/$B425)</f>
        <v/>
      </c>
      <c r="O425" s="17">
        <f>IF($A425="","",IF((1-$E425)&lt;=0,0,IF($D425=0,0,ROUND(($C425+$G425+$H425+$I425+$J425)/$D425/(1-$E425),2))))</f>
        <v/>
      </c>
      <c r="P425" s="17">
        <f>IF($A425="","",IFERROR(SUMIF(tblAnahtarA[Norm],$A425,tblGirdi[HedefNet]),0))</f>
        <v/>
      </c>
      <c r="Q425" s="17">
        <f>IF($A425="","",ROUND($M425-$P425,2))</f>
        <v/>
      </c>
      <c r="R425" s="17">
        <f>IF($A425="","",ROUND($B425-$K425,2))</f>
        <v/>
      </c>
      <c r="S425" s="17">
        <f>IF($A425="","",IF($N425&lt;0,"ÇEKİL",IF($N425&lt;tyk_esikMarjDusuk,"ZAM","SAT")))</f>
        <v/>
      </c>
      <c r="T425" s="17">
        <f>IF($A425="","",$L425-$F425)</f>
        <v/>
      </c>
      <c r="U425" s="17">
        <f>IF($A425="","",$M425-$Q425)</f>
        <v/>
      </c>
      <c r="V425" s="17">
        <f>IF($A425="","",$R425-$M425)</f>
        <v/>
      </c>
    </row>
    <row r="426">
      <c r="A426" s="17">
        <f>IF('ANAHTAR'!$B426="","",'ANAHTAR'!$B426)</f>
        <v/>
      </c>
      <c r="B426" s="17">
        <f>IF($A426="","",IFERROR(SUMIF(tblAnahtarA[Norm],$A426,tblGirdi[ToplamSatis]),0))</f>
        <v/>
      </c>
      <c r="C426" s="17">
        <f>IF($A426="","",IFERROR(SUMIF(tblAnahtarA[Norm],$A426,tblGirdi[Maliyet])*IFERROR(SUMIF(tblAnahtarA[Norm],$A426,tblGirdi[Miktar]),1),0))</f>
        <v/>
      </c>
      <c r="D426" s="17">
        <f>IF($A426="","",IFERROR(SUMIF(tblAnahtarA[Norm],$A426,tblGirdi[Miktar]),0))</f>
        <v/>
      </c>
      <c r="E426" s="17">
        <f>IF($A426="","",IFERROR(SUMIF(tblAnahtarA[Norm],$A426,tblGirdi[KomisyonOran]),0))</f>
        <v/>
      </c>
      <c r="F426" s="17">
        <f>IF($A426="","",ROUND($B426*$E426,2))</f>
        <v/>
      </c>
      <c r="G426" s="17">
        <f>IF($A426="","",IFERROR(SUMIF(tblAnahtarB[NormB],$A426,tblHakedis[TyPlus]),0))</f>
        <v/>
      </c>
      <c r="H426" s="17">
        <f>IF($A426="","",IFERROR(SUMIF(tblAnahtarB[NormB],$A426,tblHakedis[FlasKesinti]),0))</f>
        <v/>
      </c>
      <c r="I426" s="17">
        <f>IF($A426="","",IFERROR(SUMIF(tblAnahtarB[NormB],$A426,tblHakedis[UrunReklam]),0))</f>
        <v/>
      </c>
      <c r="J426" s="17">
        <f>IF($A426="","",IFERROR(SUMIF(tblAnahtarB[NormB],$A426,tblHakedis[DesiKargo]),0))</f>
        <v/>
      </c>
      <c r="K426" s="17">
        <f>IF($A426="","",ROUND($F426+$G426+$H426+$I426+$J426,2))</f>
        <v/>
      </c>
      <c r="L426" s="17">
        <f>IF($A426="","",ROUND($B426-$C426,2))</f>
        <v/>
      </c>
      <c r="M426" s="17">
        <f>IF($A426="","",ROUND($B426-$C426-$K426,2))</f>
        <v/>
      </c>
      <c r="N426" s="17">
        <f>IF(OR($A426="",$B426=0),0,$M426/$B426)</f>
        <v/>
      </c>
      <c r="O426" s="17">
        <f>IF($A426="","",IF((1-$E426)&lt;=0,0,IF($D426=0,0,ROUND(($C426+$G426+$H426+$I426+$J426)/$D426/(1-$E426),2))))</f>
        <v/>
      </c>
      <c r="P426" s="17">
        <f>IF($A426="","",IFERROR(SUMIF(tblAnahtarA[Norm],$A426,tblGirdi[HedefNet]),0))</f>
        <v/>
      </c>
      <c r="Q426" s="17">
        <f>IF($A426="","",ROUND($M426-$P426,2))</f>
        <v/>
      </c>
      <c r="R426" s="17">
        <f>IF($A426="","",ROUND($B426-$K426,2))</f>
        <v/>
      </c>
      <c r="S426" s="17">
        <f>IF($A426="","",IF($N426&lt;0,"ÇEKİL",IF($N426&lt;tyk_esikMarjDusuk,"ZAM","SAT")))</f>
        <v/>
      </c>
      <c r="T426" s="17">
        <f>IF($A426="","",$L426-$F426)</f>
        <v/>
      </c>
      <c r="U426" s="17">
        <f>IF($A426="","",$M426-$Q426)</f>
        <v/>
      </c>
      <c r="V426" s="17">
        <f>IF($A426="","",$R426-$M426)</f>
        <v/>
      </c>
    </row>
    <row r="427">
      <c r="A427" s="17">
        <f>IF('ANAHTAR'!$B427="","",'ANAHTAR'!$B427)</f>
        <v/>
      </c>
      <c r="B427" s="17">
        <f>IF($A427="","",IFERROR(SUMIF(tblAnahtarA[Norm],$A427,tblGirdi[ToplamSatis]),0))</f>
        <v/>
      </c>
      <c r="C427" s="17">
        <f>IF($A427="","",IFERROR(SUMIF(tblAnahtarA[Norm],$A427,tblGirdi[Maliyet])*IFERROR(SUMIF(tblAnahtarA[Norm],$A427,tblGirdi[Miktar]),1),0))</f>
        <v/>
      </c>
      <c r="D427" s="17">
        <f>IF($A427="","",IFERROR(SUMIF(tblAnahtarA[Norm],$A427,tblGirdi[Miktar]),0))</f>
        <v/>
      </c>
      <c r="E427" s="17">
        <f>IF($A427="","",IFERROR(SUMIF(tblAnahtarA[Norm],$A427,tblGirdi[KomisyonOran]),0))</f>
        <v/>
      </c>
      <c r="F427" s="17">
        <f>IF($A427="","",ROUND($B427*$E427,2))</f>
        <v/>
      </c>
      <c r="G427" s="17">
        <f>IF($A427="","",IFERROR(SUMIF(tblAnahtarB[NormB],$A427,tblHakedis[TyPlus]),0))</f>
        <v/>
      </c>
      <c r="H427" s="17">
        <f>IF($A427="","",IFERROR(SUMIF(tblAnahtarB[NormB],$A427,tblHakedis[FlasKesinti]),0))</f>
        <v/>
      </c>
      <c r="I427" s="17">
        <f>IF($A427="","",IFERROR(SUMIF(tblAnahtarB[NormB],$A427,tblHakedis[UrunReklam]),0))</f>
        <v/>
      </c>
      <c r="J427" s="17">
        <f>IF($A427="","",IFERROR(SUMIF(tblAnahtarB[NormB],$A427,tblHakedis[DesiKargo]),0))</f>
        <v/>
      </c>
      <c r="K427" s="17">
        <f>IF($A427="","",ROUND($F427+$G427+$H427+$I427+$J427,2))</f>
        <v/>
      </c>
      <c r="L427" s="17">
        <f>IF($A427="","",ROUND($B427-$C427,2))</f>
        <v/>
      </c>
      <c r="M427" s="17">
        <f>IF($A427="","",ROUND($B427-$C427-$K427,2))</f>
        <v/>
      </c>
      <c r="N427" s="17">
        <f>IF(OR($A427="",$B427=0),0,$M427/$B427)</f>
        <v/>
      </c>
      <c r="O427" s="17">
        <f>IF($A427="","",IF((1-$E427)&lt;=0,0,IF($D427=0,0,ROUND(($C427+$G427+$H427+$I427+$J427)/$D427/(1-$E427),2))))</f>
        <v/>
      </c>
      <c r="P427" s="17">
        <f>IF($A427="","",IFERROR(SUMIF(tblAnahtarA[Norm],$A427,tblGirdi[HedefNet]),0))</f>
        <v/>
      </c>
      <c r="Q427" s="17">
        <f>IF($A427="","",ROUND($M427-$P427,2))</f>
        <v/>
      </c>
      <c r="R427" s="17">
        <f>IF($A427="","",ROUND($B427-$K427,2))</f>
        <v/>
      </c>
      <c r="S427" s="17">
        <f>IF($A427="","",IF($N427&lt;0,"ÇEKİL",IF($N427&lt;tyk_esikMarjDusuk,"ZAM","SAT")))</f>
        <v/>
      </c>
      <c r="T427" s="17">
        <f>IF($A427="","",$L427-$F427)</f>
        <v/>
      </c>
      <c r="U427" s="17">
        <f>IF($A427="","",$M427-$Q427)</f>
        <v/>
      </c>
      <c r="V427" s="17">
        <f>IF($A427="","",$R427-$M427)</f>
        <v/>
      </c>
    </row>
    <row r="428">
      <c r="A428" s="17">
        <f>IF('ANAHTAR'!$B428="","",'ANAHTAR'!$B428)</f>
        <v/>
      </c>
      <c r="B428" s="17">
        <f>IF($A428="","",IFERROR(SUMIF(tblAnahtarA[Norm],$A428,tblGirdi[ToplamSatis]),0))</f>
        <v/>
      </c>
      <c r="C428" s="17">
        <f>IF($A428="","",IFERROR(SUMIF(tblAnahtarA[Norm],$A428,tblGirdi[Maliyet])*IFERROR(SUMIF(tblAnahtarA[Norm],$A428,tblGirdi[Miktar]),1),0))</f>
        <v/>
      </c>
      <c r="D428" s="17">
        <f>IF($A428="","",IFERROR(SUMIF(tblAnahtarA[Norm],$A428,tblGirdi[Miktar]),0))</f>
        <v/>
      </c>
      <c r="E428" s="17">
        <f>IF($A428="","",IFERROR(SUMIF(tblAnahtarA[Norm],$A428,tblGirdi[KomisyonOran]),0))</f>
        <v/>
      </c>
      <c r="F428" s="17">
        <f>IF($A428="","",ROUND($B428*$E428,2))</f>
        <v/>
      </c>
      <c r="G428" s="17">
        <f>IF($A428="","",IFERROR(SUMIF(tblAnahtarB[NormB],$A428,tblHakedis[TyPlus]),0))</f>
        <v/>
      </c>
      <c r="H428" s="17">
        <f>IF($A428="","",IFERROR(SUMIF(tblAnahtarB[NormB],$A428,tblHakedis[FlasKesinti]),0))</f>
        <v/>
      </c>
      <c r="I428" s="17">
        <f>IF($A428="","",IFERROR(SUMIF(tblAnahtarB[NormB],$A428,tblHakedis[UrunReklam]),0))</f>
        <v/>
      </c>
      <c r="J428" s="17">
        <f>IF($A428="","",IFERROR(SUMIF(tblAnahtarB[NormB],$A428,tblHakedis[DesiKargo]),0))</f>
        <v/>
      </c>
      <c r="K428" s="17">
        <f>IF($A428="","",ROUND($F428+$G428+$H428+$I428+$J428,2))</f>
        <v/>
      </c>
      <c r="L428" s="17">
        <f>IF($A428="","",ROUND($B428-$C428,2))</f>
        <v/>
      </c>
      <c r="M428" s="17">
        <f>IF($A428="","",ROUND($B428-$C428-$K428,2))</f>
        <v/>
      </c>
      <c r="N428" s="17">
        <f>IF(OR($A428="",$B428=0),0,$M428/$B428)</f>
        <v/>
      </c>
      <c r="O428" s="17">
        <f>IF($A428="","",IF((1-$E428)&lt;=0,0,IF($D428=0,0,ROUND(($C428+$G428+$H428+$I428+$J428)/$D428/(1-$E428),2))))</f>
        <v/>
      </c>
      <c r="P428" s="17">
        <f>IF($A428="","",IFERROR(SUMIF(tblAnahtarA[Norm],$A428,tblGirdi[HedefNet]),0))</f>
        <v/>
      </c>
      <c r="Q428" s="17">
        <f>IF($A428="","",ROUND($M428-$P428,2))</f>
        <v/>
      </c>
      <c r="R428" s="17">
        <f>IF($A428="","",ROUND($B428-$K428,2))</f>
        <v/>
      </c>
      <c r="S428" s="17">
        <f>IF($A428="","",IF($N428&lt;0,"ÇEKİL",IF($N428&lt;tyk_esikMarjDusuk,"ZAM","SAT")))</f>
        <v/>
      </c>
      <c r="T428" s="17">
        <f>IF($A428="","",$L428-$F428)</f>
        <v/>
      </c>
      <c r="U428" s="17">
        <f>IF($A428="","",$M428-$Q428)</f>
        <v/>
      </c>
      <c r="V428" s="17">
        <f>IF($A428="","",$R428-$M428)</f>
        <v/>
      </c>
    </row>
    <row r="429">
      <c r="A429" s="17">
        <f>IF('ANAHTAR'!$B429="","",'ANAHTAR'!$B429)</f>
        <v/>
      </c>
      <c r="B429" s="17">
        <f>IF($A429="","",IFERROR(SUMIF(tblAnahtarA[Norm],$A429,tblGirdi[ToplamSatis]),0))</f>
        <v/>
      </c>
      <c r="C429" s="17">
        <f>IF($A429="","",IFERROR(SUMIF(tblAnahtarA[Norm],$A429,tblGirdi[Maliyet])*IFERROR(SUMIF(tblAnahtarA[Norm],$A429,tblGirdi[Miktar]),1),0))</f>
        <v/>
      </c>
      <c r="D429" s="17">
        <f>IF($A429="","",IFERROR(SUMIF(tblAnahtarA[Norm],$A429,tblGirdi[Miktar]),0))</f>
        <v/>
      </c>
      <c r="E429" s="17">
        <f>IF($A429="","",IFERROR(SUMIF(tblAnahtarA[Norm],$A429,tblGirdi[KomisyonOran]),0))</f>
        <v/>
      </c>
      <c r="F429" s="17">
        <f>IF($A429="","",ROUND($B429*$E429,2))</f>
        <v/>
      </c>
      <c r="G429" s="17">
        <f>IF($A429="","",IFERROR(SUMIF(tblAnahtarB[NormB],$A429,tblHakedis[TyPlus]),0))</f>
        <v/>
      </c>
      <c r="H429" s="17">
        <f>IF($A429="","",IFERROR(SUMIF(tblAnahtarB[NormB],$A429,tblHakedis[FlasKesinti]),0))</f>
        <v/>
      </c>
      <c r="I429" s="17">
        <f>IF($A429="","",IFERROR(SUMIF(tblAnahtarB[NormB],$A429,tblHakedis[UrunReklam]),0))</f>
        <v/>
      </c>
      <c r="J429" s="17">
        <f>IF($A429="","",IFERROR(SUMIF(tblAnahtarB[NormB],$A429,tblHakedis[DesiKargo]),0))</f>
        <v/>
      </c>
      <c r="K429" s="17">
        <f>IF($A429="","",ROUND($F429+$G429+$H429+$I429+$J429,2))</f>
        <v/>
      </c>
      <c r="L429" s="17">
        <f>IF($A429="","",ROUND($B429-$C429,2))</f>
        <v/>
      </c>
      <c r="M429" s="17">
        <f>IF($A429="","",ROUND($B429-$C429-$K429,2))</f>
        <v/>
      </c>
      <c r="N429" s="17">
        <f>IF(OR($A429="",$B429=0),0,$M429/$B429)</f>
        <v/>
      </c>
      <c r="O429" s="17">
        <f>IF($A429="","",IF((1-$E429)&lt;=0,0,IF($D429=0,0,ROUND(($C429+$G429+$H429+$I429+$J429)/$D429/(1-$E429),2))))</f>
        <v/>
      </c>
      <c r="P429" s="17">
        <f>IF($A429="","",IFERROR(SUMIF(tblAnahtarA[Norm],$A429,tblGirdi[HedefNet]),0))</f>
        <v/>
      </c>
      <c r="Q429" s="17">
        <f>IF($A429="","",ROUND($M429-$P429,2))</f>
        <v/>
      </c>
      <c r="R429" s="17">
        <f>IF($A429="","",ROUND($B429-$K429,2))</f>
        <v/>
      </c>
      <c r="S429" s="17">
        <f>IF($A429="","",IF($N429&lt;0,"ÇEKİL",IF($N429&lt;tyk_esikMarjDusuk,"ZAM","SAT")))</f>
        <v/>
      </c>
      <c r="T429" s="17">
        <f>IF($A429="","",$L429-$F429)</f>
        <v/>
      </c>
      <c r="U429" s="17">
        <f>IF($A429="","",$M429-$Q429)</f>
        <v/>
      </c>
      <c r="V429" s="17">
        <f>IF($A429="","",$R429-$M429)</f>
        <v/>
      </c>
    </row>
    <row r="430">
      <c r="A430" s="17">
        <f>IF('ANAHTAR'!$B430="","",'ANAHTAR'!$B430)</f>
        <v/>
      </c>
      <c r="B430" s="17">
        <f>IF($A430="","",IFERROR(SUMIF(tblAnahtarA[Norm],$A430,tblGirdi[ToplamSatis]),0))</f>
        <v/>
      </c>
      <c r="C430" s="17">
        <f>IF($A430="","",IFERROR(SUMIF(tblAnahtarA[Norm],$A430,tblGirdi[Maliyet])*IFERROR(SUMIF(tblAnahtarA[Norm],$A430,tblGirdi[Miktar]),1),0))</f>
        <v/>
      </c>
      <c r="D430" s="17">
        <f>IF($A430="","",IFERROR(SUMIF(tblAnahtarA[Norm],$A430,tblGirdi[Miktar]),0))</f>
        <v/>
      </c>
      <c r="E430" s="17">
        <f>IF($A430="","",IFERROR(SUMIF(tblAnahtarA[Norm],$A430,tblGirdi[KomisyonOran]),0))</f>
        <v/>
      </c>
      <c r="F430" s="17">
        <f>IF($A430="","",ROUND($B430*$E430,2))</f>
        <v/>
      </c>
      <c r="G430" s="17">
        <f>IF($A430="","",IFERROR(SUMIF(tblAnahtarB[NormB],$A430,tblHakedis[TyPlus]),0))</f>
        <v/>
      </c>
      <c r="H430" s="17">
        <f>IF($A430="","",IFERROR(SUMIF(tblAnahtarB[NormB],$A430,tblHakedis[FlasKesinti]),0))</f>
        <v/>
      </c>
      <c r="I430" s="17">
        <f>IF($A430="","",IFERROR(SUMIF(tblAnahtarB[NormB],$A430,tblHakedis[UrunReklam]),0))</f>
        <v/>
      </c>
      <c r="J430" s="17">
        <f>IF($A430="","",IFERROR(SUMIF(tblAnahtarB[NormB],$A430,tblHakedis[DesiKargo]),0))</f>
        <v/>
      </c>
      <c r="K430" s="17">
        <f>IF($A430="","",ROUND($F430+$G430+$H430+$I430+$J430,2))</f>
        <v/>
      </c>
      <c r="L430" s="17">
        <f>IF($A430="","",ROUND($B430-$C430,2))</f>
        <v/>
      </c>
      <c r="M430" s="17">
        <f>IF($A430="","",ROUND($B430-$C430-$K430,2))</f>
        <v/>
      </c>
      <c r="N430" s="17">
        <f>IF(OR($A430="",$B430=0),0,$M430/$B430)</f>
        <v/>
      </c>
      <c r="O430" s="17">
        <f>IF($A430="","",IF((1-$E430)&lt;=0,0,IF($D430=0,0,ROUND(($C430+$G430+$H430+$I430+$J430)/$D430/(1-$E430),2))))</f>
        <v/>
      </c>
      <c r="P430" s="17">
        <f>IF($A430="","",IFERROR(SUMIF(tblAnahtarA[Norm],$A430,tblGirdi[HedefNet]),0))</f>
        <v/>
      </c>
      <c r="Q430" s="17">
        <f>IF($A430="","",ROUND($M430-$P430,2))</f>
        <v/>
      </c>
      <c r="R430" s="17">
        <f>IF($A430="","",ROUND($B430-$K430,2))</f>
        <v/>
      </c>
      <c r="S430" s="17">
        <f>IF($A430="","",IF($N430&lt;0,"ÇEKİL",IF($N430&lt;tyk_esikMarjDusuk,"ZAM","SAT")))</f>
        <v/>
      </c>
      <c r="T430" s="17">
        <f>IF($A430="","",$L430-$F430)</f>
        <v/>
      </c>
      <c r="U430" s="17">
        <f>IF($A430="","",$M430-$Q430)</f>
        <v/>
      </c>
      <c r="V430" s="17">
        <f>IF($A430="","",$R430-$M430)</f>
        <v/>
      </c>
    </row>
    <row r="431">
      <c r="A431" s="17">
        <f>IF('ANAHTAR'!$B431="","",'ANAHTAR'!$B431)</f>
        <v/>
      </c>
      <c r="B431" s="17">
        <f>IF($A431="","",IFERROR(SUMIF(tblAnahtarA[Norm],$A431,tblGirdi[ToplamSatis]),0))</f>
        <v/>
      </c>
      <c r="C431" s="17">
        <f>IF($A431="","",IFERROR(SUMIF(tblAnahtarA[Norm],$A431,tblGirdi[Maliyet])*IFERROR(SUMIF(tblAnahtarA[Norm],$A431,tblGirdi[Miktar]),1),0))</f>
        <v/>
      </c>
      <c r="D431" s="17">
        <f>IF($A431="","",IFERROR(SUMIF(tblAnahtarA[Norm],$A431,tblGirdi[Miktar]),0))</f>
        <v/>
      </c>
      <c r="E431" s="17">
        <f>IF($A431="","",IFERROR(SUMIF(tblAnahtarA[Norm],$A431,tblGirdi[KomisyonOran]),0))</f>
        <v/>
      </c>
      <c r="F431" s="17">
        <f>IF($A431="","",ROUND($B431*$E431,2))</f>
        <v/>
      </c>
      <c r="G431" s="17">
        <f>IF($A431="","",IFERROR(SUMIF(tblAnahtarB[NormB],$A431,tblHakedis[TyPlus]),0))</f>
        <v/>
      </c>
      <c r="H431" s="17">
        <f>IF($A431="","",IFERROR(SUMIF(tblAnahtarB[NormB],$A431,tblHakedis[FlasKesinti]),0))</f>
        <v/>
      </c>
      <c r="I431" s="17">
        <f>IF($A431="","",IFERROR(SUMIF(tblAnahtarB[NormB],$A431,tblHakedis[UrunReklam]),0))</f>
        <v/>
      </c>
      <c r="J431" s="17">
        <f>IF($A431="","",IFERROR(SUMIF(tblAnahtarB[NormB],$A431,tblHakedis[DesiKargo]),0))</f>
        <v/>
      </c>
      <c r="K431" s="17">
        <f>IF($A431="","",ROUND($F431+$G431+$H431+$I431+$J431,2))</f>
        <v/>
      </c>
      <c r="L431" s="17">
        <f>IF($A431="","",ROUND($B431-$C431,2))</f>
        <v/>
      </c>
      <c r="M431" s="17">
        <f>IF($A431="","",ROUND($B431-$C431-$K431,2))</f>
        <v/>
      </c>
      <c r="N431" s="17">
        <f>IF(OR($A431="",$B431=0),0,$M431/$B431)</f>
        <v/>
      </c>
      <c r="O431" s="17">
        <f>IF($A431="","",IF((1-$E431)&lt;=0,0,IF($D431=0,0,ROUND(($C431+$G431+$H431+$I431+$J431)/$D431/(1-$E431),2))))</f>
        <v/>
      </c>
      <c r="P431" s="17">
        <f>IF($A431="","",IFERROR(SUMIF(tblAnahtarA[Norm],$A431,tblGirdi[HedefNet]),0))</f>
        <v/>
      </c>
      <c r="Q431" s="17">
        <f>IF($A431="","",ROUND($M431-$P431,2))</f>
        <v/>
      </c>
      <c r="R431" s="17">
        <f>IF($A431="","",ROUND($B431-$K431,2))</f>
        <v/>
      </c>
      <c r="S431" s="17">
        <f>IF($A431="","",IF($N431&lt;0,"ÇEKİL",IF($N431&lt;tyk_esikMarjDusuk,"ZAM","SAT")))</f>
        <v/>
      </c>
      <c r="T431" s="17">
        <f>IF($A431="","",$L431-$F431)</f>
        <v/>
      </c>
      <c r="U431" s="17">
        <f>IF($A431="","",$M431-$Q431)</f>
        <v/>
      </c>
      <c r="V431" s="17">
        <f>IF($A431="","",$R431-$M431)</f>
        <v/>
      </c>
    </row>
    <row r="432">
      <c r="A432" s="17">
        <f>IF('ANAHTAR'!$B432="","",'ANAHTAR'!$B432)</f>
        <v/>
      </c>
      <c r="B432" s="17">
        <f>IF($A432="","",IFERROR(SUMIF(tblAnahtarA[Norm],$A432,tblGirdi[ToplamSatis]),0))</f>
        <v/>
      </c>
      <c r="C432" s="17">
        <f>IF($A432="","",IFERROR(SUMIF(tblAnahtarA[Norm],$A432,tblGirdi[Maliyet])*IFERROR(SUMIF(tblAnahtarA[Norm],$A432,tblGirdi[Miktar]),1),0))</f>
        <v/>
      </c>
      <c r="D432" s="17">
        <f>IF($A432="","",IFERROR(SUMIF(tblAnahtarA[Norm],$A432,tblGirdi[Miktar]),0))</f>
        <v/>
      </c>
      <c r="E432" s="17">
        <f>IF($A432="","",IFERROR(SUMIF(tblAnahtarA[Norm],$A432,tblGirdi[KomisyonOran]),0))</f>
        <v/>
      </c>
      <c r="F432" s="17">
        <f>IF($A432="","",ROUND($B432*$E432,2))</f>
        <v/>
      </c>
      <c r="G432" s="17">
        <f>IF($A432="","",IFERROR(SUMIF(tblAnahtarB[NormB],$A432,tblHakedis[TyPlus]),0))</f>
        <v/>
      </c>
      <c r="H432" s="17">
        <f>IF($A432="","",IFERROR(SUMIF(tblAnahtarB[NormB],$A432,tblHakedis[FlasKesinti]),0))</f>
        <v/>
      </c>
      <c r="I432" s="17">
        <f>IF($A432="","",IFERROR(SUMIF(tblAnahtarB[NormB],$A432,tblHakedis[UrunReklam]),0))</f>
        <v/>
      </c>
      <c r="J432" s="17">
        <f>IF($A432="","",IFERROR(SUMIF(tblAnahtarB[NormB],$A432,tblHakedis[DesiKargo]),0))</f>
        <v/>
      </c>
      <c r="K432" s="17">
        <f>IF($A432="","",ROUND($F432+$G432+$H432+$I432+$J432,2))</f>
        <v/>
      </c>
      <c r="L432" s="17">
        <f>IF($A432="","",ROUND($B432-$C432,2))</f>
        <v/>
      </c>
      <c r="M432" s="17">
        <f>IF($A432="","",ROUND($B432-$C432-$K432,2))</f>
        <v/>
      </c>
      <c r="N432" s="17">
        <f>IF(OR($A432="",$B432=0),0,$M432/$B432)</f>
        <v/>
      </c>
      <c r="O432" s="17">
        <f>IF($A432="","",IF((1-$E432)&lt;=0,0,IF($D432=0,0,ROUND(($C432+$G432+$H432+$I432+$J432)/$D432/(1-$E432),2))))</f>
        <v/>
      </c>
      <c r="P432" s="17">
        <f>IF($A432="","",IFERROR(SUMIF(tblAnahtarA[Norm],$A432,tblGirdi[HedefNet]),0))</f>
        <v/>
      </c>
      <c r="Q432" s="17">
        <f>IF($A432="","",ROUND($M432-$P432,2))</f>
        <v/>
      </c>
      <c r="R432" s="17">
        <f>IF($A432="","",ROUND($B432-$K432,2))</f>
        <v/>
      </c>
      <c r="S432" s="17">
        <f>IF($A432="","",IF($N432&lt;0,"ÇEKİL",IF($N432&lt;tyk_esikMarjDusuk,"ZAM","SAT")))</f>
        <v/>
      </c>
      <c r="T432" s="17">
        <f>IF($A432="","",$L432-$F432)</f>
        <v/>
      </c>
      <c r="U432" s="17">
        <f>IF($A432="","",$M432-$Q432)</f>
        <v/>
      </c>
      <c r="V432" s="17">
        <f>IF($A432="","",$R432-$M432)</f>
        <v/>
      </c>
    </row>
    <row r="433">
      <c r="A433" s="17">
        <f>IF('ANAHTAR'!$B433="","",'ANAHTAR'!$B433)</f>
        <v/>
      </c>
      <c r="B433" s="17">
        <f>IF($A433="","",IFERROR(SUMIF(tblAnahtarA[Norm],$A433,tblGirdi[ToplamSatis]),0))</f>
        <v/>
      </c>
      <c r="C433" s="17">
        <f>IF($A433="","",IFERROR(SUMIF(tblAnahtarA[Norm],$A433,tblGirdi[Maliyet])*IFERROR(SUMIF(tblAnahtarA[Norm],$A433,tblGirdi[Miktar]),1),0))</f>
        <v/>
      </c>
      <c r="D433" s="17">
        <f>IF($A433="","",IFERROR(SUMIF(tblAnahtarA[Norm],$A433,tblGirdi[Miktar]),0))</f>
        <v/>
      </c>
      <c r="E433" s="17">
        <f>IF($A433="","",IFERROR(SUMIF(tblAnahtarA[Norm],$A433,tblGirdi[KomisyonOran]),0))</f>
        <v/>
      </c>
      <c r="F433" s="17">
        <f>IF($A433="","",ROUND($B433*$E433,2))</f>
        <v/>
      </c>
      <c r="G433" s="17">
        <f>IF($A433="","",IFERROR(SUMIF(tblAnahtarB[NormB],$A433,tblHakedis[TyPlus]),0))</f>
        <v/>
      </c>
      <c r="H433" s="17">
        <f>IF($A433="","",IFERROR(SUMIF(tblAnahtarB[NormB],$A433,tblHakedis[FlasKesinti]),0))</f>
        <v/>
      </c>
      <c r="I433" s="17">
        <f>IF($A433="","",IFERROR(SUMIF(tblAnahtarB[NormB],$A433,tblHakedis[UrunReklam]),0))</f>
        <v/>
      </c>
      <c r="J433" s="17">
        <f>IF($A433="","",IFERROR(SUMIF(tblAnahtarB[NormB],$A433,tblHakedis[DesiKargo]),0))</f>
        <v/>
      </c>
      <c r="K433" s="17">
        <f>IF($A433="","",ROUND($F433+$G433+$H433+$I433+$J433,2))</f>
        <v/>
      </c>
      <c r="L433" s="17">
        <f>IF($A433="","",ROUND($B433-$C433,2))</f>
        <v/>
      </c>
      <c r="M433" s="17">
        <f>IF($A433="","",ROUND($B433-$C433-$K433,2))</f>
        <v/>
      </c>
      <c r="N433" s="17">
        <f>IF(OR($A433="",$B433=0),0,$M433/$B433)</f>
        <v/>
      </c>
      <c r="O433" s="17">
        <f>IF($A433="","",IF((1-$E433)&lt;=0,0,IF($D433=0,0,ROUND(($C433+$G433+$H433+$I433+$J433)/$D433/(1-$E433),2))))</f>
        <v/>
      </c>
      <c r="P433" s="17">
        <f>IF($A433="","",IFERROR(SUMIF(tblAnahtarA[Norm],$A433,tblGirdi[HedefNet]),0))</f>
        <v/>
      </c>
      <c r="Q433" s="17">
        <f>IF($A433="","",ROUND($M433-$P433,2))</f>
        <v/>
      </c>
      <c r="R433" s="17">
        <f>IF($A433="","",ROUND($B433-$K433,2))</f>
        <v/>
      </c>
      <c r="S433" s="17">
        <f>IF($A433="","",IF($N433&lt;0,"ÇEKİL",IF($N433&lt;tyk_esikMarjDusuk,"ZAM","SAT")))</f>
        <v/>
      </c>
      <c r="T433" s="17">
        <f>IF($A433="","",$L433-$F433)</f>
        <v/>
      </c>
      <c r="U433" s="17">
        <f>IF($A433="","",$M433-$Q433)</f>
        <v/>
      </c>
      <c r="V433" s="17">
        <f>IF($A433="","",$R433-$M433)</f>
        <v/>
      </c>
    </row>
    <row r="434">
      <c r="A434" s="17">
        <f>IF('ANAHTAR'!$B434="","",'ANAHTAR'!$B434)</f>
        <v/>
      </c>
      <c r="B434" s="17">
        <f>IF($A434="","",IFERROR(SUMIF(tblAnahtarA[Norm],$A434,tblGirdi[ToplamSatis]),0))</f>
        <v/>
      </c>
      <c r="C434" s="17">
        <f>IF($A434="","",IFERROR(SUMIF(tblAnahtarA[Norm],$A434,tblGirdi[Maliyet])*IFERROR(SUMIF(tblAnahtarA[Norm],$A434,tblGirdi[Miktar]),1),0))</f>
        <v/>
      </c>
      <c r="D434" s="17">
        <f>IF($A434="","",IFERROR(SUMIF(tblAnahtarA[Norm],$A434,tblGirdi[Miktar]),0))</f>
        <v/>
      </c>
      <c r="E434" s="17">
        <f>IF($A434="","",IFERROR(SUMIF(tblAnahtarA[Norm],$A434,tblGirdi[KomisyonOran]),0))</f>
        <v/>
      </c>
      <c r="F434" s="17">
        <f>IF($A434="","",ROUND($B434*$E434,2))</f>
        <v/>
      </c>
      <c r="G434" s="17">
        <f>IF($A434="","",IFERROR(SUMIF(tblAnahtarB[NormB],$A434,tblHakedis[TyPlus]),0))</f>
        <v/>
      </c>
      <c r="H434" s="17">
        <f>IF($A434="","",IFERROR(SUMIF(tblAnahtarB[NormB],$A434,tblHakedis[FlasKesinti]),0))</f>
        <v/>
      </c>
      <c r="I434" s="17">
        <f>IF($A434="","",IFERROR(SUMIF(tblAnahtarB[NormB],$A434,tblHakedis[UrunReklam]),0))</f>
        <v/>
      </c>
      <c r="J434" s="17">
        <f>IF($A434="","",IFERROR(SUMIF(tblAnahtarB[NormB],$A434,tblHakedis[DesiKargo]),0))</f>
        <v/>
      </c>
      <c r="K434" s="17">
        <f>IF($A434="","",ROUND($F434+$G434+$H434+$I434+$J434,2))</f>
        <v/>
      </c>
      <c r="L434" s="17">
        <f>IF($A434="","",ROUND($B434-$C434,2))</f>
        <v/>
      </c>
      <c r="M434" s="17">
        <f>IF($A434="","",ROUND($B434-$C434-$K434,2))</f>
        <v/>
      </c>
      <c r="N434" s="17">
        <f>IF(OR($A434="",$B434=0),0,$M434/$B434)</f>
        <v/>
      </c>
      <c r="O434" s="17">
        <f>IF($A434="","",IF((1-$E434)&lt;=0,0,IF($D434=0,0,ROUND(($C434+$G434+$H434+$I434+$J434)/$D434/(1-$E434),2))))</f>
        <v/>
      </c>
      <c r="P434" s="17">
        <f>IF($A434="","",IFERROR(SUMIF(tblAnahtarA[Norm],$A434,tblGirdi[HedefNet]),0))</f>
        <v/>
      </c>
      <c r="Q434" s="17">
        <f>IF($A434="","",ROUND($M434-$P434,2))</f>
        <v/>
      </c>
      <c r="R434" s="17">
        <f>IF($A434="","",ROUND($B434-$K434,2))</f>
        <v/>
      </c>
      <c r="S434" s="17">
        <f>IF($A434="","",IF($N434&lt;0,"ÇEKİL",IF($N434&lt;tyk_esikMarjDusuk,"ZAM","SAT")))</f>
        <v/>
      </c>
      <c r="T434" s="17">
        <f>IF($A434="","",$L434-$F434)</f>
        <v/>
      </c>
      <c r="U434" s="17">
        <f>IF($A434="","",$M434-$Q434)</f>
        <v/>
      </c>
      <c r="V434" s="17">
        <f>IF($A434="","",$R434-$M434)</f>
        <v/>
      </c>
    </row>
    <row r="435">
      <c r="A435" s="17">
        <f>IF('ANAHTAR'!$B435="","",'ANAHTAR'!$B435)</f>
        <v/>
      </c>
      <c r="B435" s="17">
        <f>IF($A435="","",IFERROR(SUMIF(tblAnahtarA[Norm],$A435,tblGirdi[ToplamSatis]),0))</f>
        <v/>
      </c>
      <c r="C435" s="17">
        <f>IF($A435="","",IFERROR(SUMIF(tblAnahtarA[Norm],$A435,tblGirdi[Maliyet])*IFERROR(SUMIF(tblAnahtarA[Norm],$A435,tblGirdi[Miktar]),1),0))</f>
        <v/>
      </c>
      <c r="D435" s="17">
        <f>IF($A435="","",IFERROR(SUMIF(tblAnahtarA[Norm],$A435,tblGirdi[Miktar]),0))</f>
        <v/>
      </c>
      <c r="E435" s="17">
        <f>IF($A435="","",IFERROR(SUMIF(tblAnahtarA[Norm],$A435,tblGirdi[KomisyonOran]),0))</f>
        <v/>
      </c>
      <c r="F435" s="17">
        <f>IF($A435="","",ROUND($B435*$E435,2))</f>
        <v/>
      </c>
      <c r="G435" s="17">
        <f>IF($A435="","",IFERROR(SUMIF(tblAnahtarB[NormB],$A435,tblHakedis[TyPlus]),0))</f>
        <v/>
      </c>
      <c r="H435" s="17">
        <f>IF($A435="","",IFERROR(SUMIF(tblAnahtarB[NormB],$A435,tblHakedis[FlasKesinti]),0))</f>
        <v/>
      </c>
      <c r="I435" s="17">
        <f>IF($A435="","",IFERROR(SUMIF(tblAnahtarB[NormB],$A435,tblHakedis[UrunReklam]),0))</f>
        <v/>
      </c>
      <c r="J435" s="17">
        <f>IF($A435="","",IFERROR(SUMIF(tblAnahtarB[NormB],$A435,tblHakedis[DesiKargo]),0))</f>
        <v/>
      </c>
      <c r="K435" s="17">
        <f>IF($A435="","",ROUND($F435+$G435+$H435+$I435+$J435,2))</f>
        <v/>
      </c>
      <c r="L435" s="17">
        <f>IF($A435="","",ROUND($B435-$C435,2))</f>
        <v/>
      </c>
      <c r="M435" s="17">
        <f>IF($A435="","",ROUND($B435-$C435-$K435,2))</f>
        <v/>
      </c>
      <c r="N435" s="17">
        <f>IF(OR($A435="",$B435=0),0,$M435/$B435)</f>
        <v/>
      </c>
      <c r="O435" s="17">
        <f>IF($A435="","",IF((1-$E435)&lt;=0,0,IF($D435=0,0,ROUND(($C435+$G435+$H435+$I435+$J435)/$D435/(1-$E435),2))))</f>
        <v/>
      </c>
      <c r="P435" s="17">
        <f>IF($A435="","",IFERROR(SUMIF(tblAnahtarA[Norm],$A435,tblGirdi[HedefNet]),0))</f>
        <v/>
      </c>
      <c r="Q435" s="17">
        <f>IF($A435="","",ROUND($M435-$P435,2))</f>
        <v/>
      </c>
      <c r="R435" s="17">
        <f>IF($A435="","",ROUND($B435-$K435,2))</f>
        <v/>
      </c>
      <c r="S435" s="17">
        <f>IF($A435="","",IF($N435&lt;0,"ÇEKİL",IF($N435&lt;tyk_esikMarjDusuk,"ZAM","SAT")))</f>
        <v/>
      </c>
      <c r="T435" s="17">
        <f>IF($A435="","",$L435-$F435)</f>
        <v/>
      </c>
      <c r="U435" s="17">
        <f>IF($A435="","",$M435-$Q435)</f>
        <v/>
      </c>
      <c r="V435" s="17">
        <f>IF($A435="","",$R435-$M435)</f>
        <v/>
      </c>
    </row>
    <row r="436">
      <c r="A436" s="17">
        <f>IF('ANAHTAR'!$B436="","",'ANAHTAR'!$B436)</f>
        <v/>
      </c>
      <c r="B436" s="17">
        <f>IF($A436="","",IFERROR(SUMIF(tblAnahtarA[Norm],$A436,tblGirdi[ToplamSatis]),0))</f>
        <v/>
      </c>
      <c r="C436" s="17">
        <f>IF($A436="","",IFERROR(SUMIF(tblAnahtarA[Norm],$A436,tblGirdi[Maliyet])*IFERROR(SUMIF(tblAnahtarA[Norm],$A436,tblGirdi[Miktar]),1),0))</f>
        <v/>
      </c>
      <c r="D436" s="17">
        <f>IF($A436="","",IFERROR(SUMIF(tblAnahtarA[Norm],$A436,tblGirdi[Miktar]),0))</f>
        <v/>
      </c>
      <c r="E436" s="17">
        <f>IF($A436="","",IFERROR(SUMIF(tblAnahtarA[Norm],$A436,tblGirdi[KomisyonOran]),0))</f>
        <v/>
      </c>
      <c r="F436" s="17">
        <f>IF($A436="","",ROUND($B436*$E436,2))</f>
        <v/>
      </c>
      <c r="G436" s="17">
        <f>IF($A436="","",IFERROR(SUMIF(tblAnahtarB[NormB],$A436,tblHakedis[TyPlus]),0))</f>
        <v/>
      </c>
      <c r="H436" s="17">
        <f>IF($A436="","",IFERROR(SUMIF(tblAnahtarB[NormB],$A436,tblHakedis[FlasKesinti]),0))</f>
        <v/>
      </c>
      <c r="I436" s="17">
        <f>IF($A436="","",IFERROR(SUMIF(tblAnahtarB[NormB],$A436,tblHakedis[UrunReklam]),0))</f>
        <v/>
      </c>
      <c r="J436" s="17">
        <f>IF($A436="","",IFERROR(SUMIF(tblAnahtarB[NormB],$A436,tblHakedis[DesiKargo]),0))</f>
        <v/>
      </c>
      <c r="K436" s="17">
        <f>IF($A436="","",ROUND($F436+$G436+$H436+$I436+$J436,2))</f>
        <v/>
      </c>
      <c r="L436" s="17">
        <f>IF($A436="","",ROUND($B436-$C436,2))</f>
        <v/>
      </c>
      <c r="M436" s="17">
        <f>IF($A436="","",ROUND($B436-$C436-$K436,2))</f>
        <v/>
      </c>
      <c r="N436" s="17">
        <f>IF(OR($A436="",$B436=0),0,$M436/$B436)</f>
        <v/>
      </c>
      <c r="O436" s="17">
        <f>IF($A436="","",IF((1-$E436)&lt;=0,0,IF($D436=0,0,ROUND(($C436+$G436+$H436+$I436+$J436)/$D436/(1-$E436),2))))</f>
        <v/>
      </c>
      <c r="P436" s="17">
        <f>IF($A436="","",IFERROR(SUMIF(tblAnahtarA[Norm],$A436,tblGirdi[HedefNet]),0))</f>
        <v/>
      </c>
      <c r="Q436" s="17">
        <f>IF($A436="","",ROUND($M436-$P436,2))</f>
        <v/>
      </c>
      <c r="R436" s="17">
        <f>IF($A436="","",ROUND($B436-$K436,2))</f>
        <v/>
      </c>
      <c r="S436" s="17">
        <f>IF($A436="","",IF($N436&lt;0,"ÇEKİL",IF($N436&lt;tyk_esikMarjDusuk,"ZAM","SAT")))</f>
        <v/>
      </c>
      <c r="T436" s="17">
        <f>IF($A436="","",$L436-$F436)</f>
        <v/>
      </c>
      <c r="U436" s="17">
        <f>IF($A436="","",$M436-$Q436)</f>
        <v/>
      </c>
      <c r="V436" s="17">
        <f>IF($A436="","",$R436-$M436)</f>
        <v/>
      </c>
    </row>
    <row r="437">
      <c r="A437" s="17">
        <f>IF('ANAHTAR'!$B437="","",'ANAHTAR'!$B437)</f>
        <v/>
      </c>
      <c r="B437" s="17">
        <f>IF($A437="","",IFERROR(SUMIF(tblAnahtarA[Norm],$A437,tblGirdi[ToplamSatis]),0))</f>
        <v/>
      </c>
      <c r="C437" s="17">
        <f>IF($A437="","",IFERROR(SUMIF(tblAnahtarA[Norm],$A437,tblGirdi[Maliyet])*IFERROR(SUMIF(tblAnahtarA[Norm],$A437,tblGirdi[Miktar]),1),0))</f>
        <v/>
      </c>
      <c r="D437" s="17">
        <f>IF($A437="","",IFERROR(SUMIF(tblAnahtarA[Norm],$A437,tblGirdi[Miktar]),0))</f>
        <v/>
      </c>
      <c r="E437" s="17">
        <f>IF($A437="","",IFERROR(SUMIF(tblAnahtarA[Norm],$A437,tblGirdi[KomisyonOran]),0))</f>
        <v/>
      </c>
      <c r="F437" s="17">
        <f>IF($A437="","",ROUND($B437*$E437,2))</f>
        <v/>
      </c>
      <c r="G437" s="17">
        <f>IF($A437="","",IFERROR(SUMIF(tblAnahtarB[NormB],$A437,tblHakedis[TyPlus]),0))</f>
        <v/>
      </c>
      <c r="H437" s="17">
        <f>IF($A437="","",IFERROR(SUMIF(tblAnahtarB[NormB],$A437,tblHakedis[FlasKesinti]),0))</f>
        <v/>
      </c>
      <c r="I437" s="17">
        <f>IF($A437="","",IFERROR(SUMIF(tblAnahtarB[NormB],$A437,tblHakedis[UrunReklam]),0))</f>
        <v/>
      </c>
      <c r="J437" s="17">
        <f>IF($A437="","",IFERROR(SUMIF(tblAnahtarB[NormB],$A437,tblHakedis[DesiKargo]),0))</f>
        <v/>
      </c>
      <c r="K437" s="17">
        <f>IF($A437="","",ROUND($F437+$G437+$H437+$I437+$J437,2))</f>
        <v/>
      </c>
      <c r="L437" s="17">
        <f>IF($A437="","",ROUND($B437-$C437,2))</f>
        <v/>
      </c>
      <c r="M437" s="17">
        <f>IF($A437="","",ROUND($B437-$C437-$K437,2))</f>
        <v/>
      </c>
      <c r="N437" s="17">
        <f>IF(OR($A437="",$B437=0),0,$M437/$B437)</f>
        <v/>
      </c>
      <c r="O437" s="17">
        <f>IF($A437="","",IF((1-$E437)&lt;=0,0,IF($D437=0,0,ROUND(($C437+$G437+$H437+$I437+$J437)/$D437/(1-$E437),2))))</f>
        <v/>
      </c>
      <c r="P437" s="17">
        <f>IF($A437="","",IFERROR(SUMIF(tblAnahtarA[Norm],$A437,tblGirdi[HedefNet]),0))</f>
        <v/>
      </c>
      <c r="Q437" s="17">
        <f>IF($A437="","",ROUND($M437-$P437,2))</f>
        <v/>
      </c>
      <c r="R437" s="17">
        <f>IF($A437="","",ROUND($B437-$K437,2))</f>
        <v/>
      </c>
      <c r="S437" s="17">
        <f>IF($A437="","",IF($N437&lt;0,"ÇEKİL",IF($N437&lt;tyk_esikMarjDusuk,"ZAM","SAT")))</f>
        <v/>
      </c>
      <c r="T437" s="17">
        <f>IF($A437="","",$L437-$F437)</f>
        <v/>
      </c>
      <c r="U437" s="17">
        <f>IF($A437="","",$M437-$Q437)</f>
        <v/>
      </c>
      <c r="V437" s="17">
        <f>IF($A437="","",$R437-$M437)</f>
        <v/>
      </c>
    </row>
    <row r="438">
      <c r="A438" s="17">
        <f>IF('ANAHTAR'!$B438="","",'ANAHTAR'!$B438)</f>
        <v/>
      </c>
      <c r="B438" s="17">
        <f>IF($A438="","",IFERROR(SUMIF(tblAnahtarA[Norm],$A438,tblGirdi[ToplamSatis]),0))</f>
        <v/>
      </c>
      <c r="C438" s="17">
        <f>IF($A438="","",IFERROR(SUMIF(tblAnahtarA[Norm],$A438,tblGirdi[Maliyet])*IFERROR(SUMIF(tblAnahtarA[Norm],$A438,tblGirdi[Miktar]),1),0))</f>
        <v/>
      </c>
      <c r="D438" s="17">
        <f>IF($A438="","",IFERROR(SUMIF(tblAnahtarA[Norm],$A438,tblGirdi[Miktar]),0))</f>
        <v/>
      </c>
      <c r="E438" s="17">
        <f>IF($A438="","",IFERROR(SUMIF(tblAnahtarA[Norm],$A438,tblGirdi[KomisyonOran]),0))</f>
        <v/>
      </c>
      <c r="F438" s="17">
        <f>IF($A438="","",ROUND($B438*$E438,2))</f>
        <v/>
      </c>
      <c r="G438" s="17">
        <f>IF($A438="","",IFERROR(SUMIF(tblAnahtarB[NormB],$A438,tblHakedis[TyPlus]),0))</f>
        <v/>
      </c>
      <c r="H438" s="17">
        <f>IF($A438="","",IFERROR(SUMIF(tblAnahtarB[NormB],$A438,tblHakedis[FlasKesinti]),0))</f>
        <v/>
      </c>
      <c r="I438" s="17">
        <f>IF($A438="","",IFERROR(SUMIF(tblAnahtarB[NormB],$A438,tblHakedis[UrunReklam]),0))</f>
        <v/>
      </c>
      <c r="J438" s="17">
        <f>IF($A438="","",IFERROR(SUMIF(tblAnahtarB[NormB],$A438,tblHakedis[DesiKargo]),0))</f>
        <v/>
      </c>
      <c r="K438" s="17">
        <f>IF($A438="","",ROUND($F438+$G438+$H438+$I438+$J438,2))</f>
        <v/>
      </c>
      <c r="L438" s="17">
        <f>IF($A438="","",ROUND($B438-$C438,2))</f>
        <v/>
      </c>
      <c r="M438" s="17">
        <f>IF($A438="","",ROUND($B438-$C438-$K438,2))</f>
        <v/>
      </c>
      <c r="N438" s="17">
        <f>IF(OR($A438="",$B438=0),0,$M438/$B438)</f>
        <v/>
      </c>
      <c r="O438" s="17">
        <f>IF($A438="","",IF((1-$E438)&lt;=0,0,IF($D438=0,0,ROUND(($C438+$G438+$H438+$I438+$J438)/$D438/(1-$E438),2))))</f>
        <v/>
      </c>
      <c r="P438" s="17">
        <f>IF($A438="","",IFERROR(SUMIF(tblAnahtarA[Norm],$A438,tblGirdi[HedefNet]),0))</f>
        <v/>
      </c>
      <c r="Q438" s="17">
        <f>IF($A438="","",ROUND($M438-$P438,2))</f>
        <v/>
      </c>
      <c r="R438" s="17">
        <f>IF($A438="","",ROUND($B438-$K438,2))</f>
        <v/>
      </c>
      <c r="S438" s="17">
        <f>IF($A438="","",IF($N438&lt;0,"ÇEKİL",IF($N438&lt;tyk_esikMarjDusuk,"ZAM","SAT")))</f>
        <v/>
      </c>
      <c r="T438" s="17">
        <f>IF($A438="","",$L438-$F438)</f>
        <v/>
      </c>
      <c r="U438" s="17">
        <f>IF($A438="","",$M438-$Q438)</f>
        <v/>
      </c>
      <c r="V438" s="17">
        <f>IF($A438="","",$R438-$M438)</f>
        <v/>
      </c>
    </row>
    <row r="439">
      <c r="A439" s="17">
        <f>IF('ANAHTAR'!$B439="","",'ANAHTAR'!$B439)</f>
        <v/>
      </c>
      <c r="B439" s="17">
        <f>IF($A439="","",IFERROR(SUMIF(tblAnahtarA[Norm],$A439,tblGirdi[ToplamSatis]),0))</f>
        <v/>
      </c>
      <c r="C439" s="17">
        <f>IF($A439="","",IFERROR(SUMIF(tblAnahtarA[Norm],$A439,tblGirdi[Maliyet])*IFERROR(SUMIF(tblAnahtarA[Norm],$A439,tblGirdi[Miktar]),1),0))</f>
        <v/>
      </c>
      <c r="D439" s="17">
        <f>IF($A439="","",IFERROR(SUMIF(tblAnahtarA[Norm],$A439,tblGirdi[Miktar]),0))</f>
        <v/>
      </c>
      <c r="E439" s="17">
        <f>IF($A439="","",IFERROR(SUMIF(tblAnahtarA[Norm],$A439,tblGirdi[KomisyonOran]),0))</f>
        <v/>
      </c>
      <c r="F439" s="17">
        <f>IF($A439="","",ROUND($B439*$E439,2))</f>
        <v/>
      </c>
      <c r="G439" s="17">
        <f>IF($A439="","",IFERROR(SUMIF(tblAnahtarB[NormB],$A439,tblHakedis[TyPlus]),0))</f>
        <v/>
      </c>
      <c r="H439" s="17">
        <f>IF($A439="","",IFERROR(SUMIF(tblAnahtarB[NormB],$A439,tblHakedis[FlasKesinti]),0))</f>
        <v/>
      </c>
      <c r="I439" s="17">
        <f>IF($A439="","",IFERROR(SUMIF(tblAnahtarB[NormB],$A439,tblHakedis[UrunReklam]),0))</f>
        <v/>
      </c>
      <c r="J439" s="17">
        <f>IF($A439="","",IFERROR(SUMIF(tblAnahtarB[NormB],$A439,tblHakedis[DesiKargo]),0))</f>
        <v/>
      </c>
      <c r="K439" s="17">
        <f>IF($A439="","",ROUND($F439+$G439+$H439+$I439+$J439,2))</f>
        <v/>
      </c>
      <c r="L439" s="17">
        <f>IF($A439="","",ROUND($B439-$C439,2))</f>
        <v/>
      </c>
      <c r="M439" s="17">
        <f>IF($A439="","",ROUND($B439-$C439-$K439,2))</f>
        <v/>
      </c>
      <c r="N439" s="17">
        <f>IF(OR($A439="",$B439=0),0,$M439/$B439)</f>
        <v/>
      </c>
      <c r="O439" s="17">
        <f>IF($A439="","",IF((1-$E439)&lt;=0,0,IF($D439=0,0,ROUND(($C439+$G439+$H439+$I439+$J439)/$D439/(1-$E439),2))))</f>
        <v/>
      </c>
      <c r="P439" s="17">
        <f>IF($A439="","",IFERROR(SUMIF(tblAnahtarA[Norm],$A439,tblGirdi[HedefNet]),0))</f>
        <v/>
      </c>
      <c r="Q439" s="17">
        <f>IF($A439="","",ROUND($M439-$P439,2))</f>
        <v/>
      </c>
      <c r="R439" s="17">
        <f>IF($A439="","",ROUND($B439-$K439,2))</f>
        <v/>
      </c>
      <c r="S439" s="17">
        <f>IF($A439="","",IF($N439&lt;0,"ÇEKİL",IF($N439&lt;tyk_esikMarjDusuk,"ZAM","SAT")))</f>
        <v/>
      </c>
      <c r="T439" s="17">
        <f>IF($A439="","",$L439-$F439)</f>
        <v/>
      </c>
      <c r="U439" s="17">
        <f>IF($A439="","",$M439-$Q439)</f>
        <v/>
      </c>
      <c r="V439" s="17">
        <f>IF($A439="","",$R439-$M439)</f>
        <v/>
      </c>
    </row>
    <row r="440">
      <c r="A440" s="17">
        <f>IF('ANAHTAR'!$B440="","",'ANAHTAR'!$B440)</f>
        <v/>
      </c>
      <c r="B440" s="17">
        <f>IF($A440="","",IFERROR(SUMIF(tblAnahtarA[Norm],$A440,tblGirdi[ToplamSatis]),0))</f>
        <v/>
      </c>
      <c r="C440" s="17">
        <f>IF($A440="","",IFERROR(SUMIF(tblAnahtarA[Norm],$A440,tblGirdi[Maliyet])*IFERROR(SUMIF(tblAnahtarA[Norm],$A440,tblGirdi[Miktar]),1),0))</f>
        <v/>
      </c>
      <c r="D440" s="17">
        <f>IF($A440="","",IFERROR(SUMIF(tblAnahtarA[Norm],$A440,tblGirdi[Miktar]),0))</f>
        <v/>
      </c>
      <c r="E440" s="17">
        <f>IF($A440="","",IFERROR(SUMIF(tblAnahtarA[Norm],$A440,tblGirdi[KomisyonOran]),0))</f>
        <v/>
      </c>
      <c r="F440" s="17">
        <f>IF($A440="","",ROUND($B440*$E440,2))</f>
        <v/>
      </c>
      <c r="G440" s="17">
        <f>IF($A440="","",IFERROR(SUMIF(tblAnahtarB[NormB],$A440,tblHakedis[TyPlus]),0))</f>
        <v/>
      </c>
      <c r="H440" s="17">
        <f>IF($A440="","",IFERROR(SUMIF(tblAnahtarB[NormB],$A440,tblHakedis[FlasKesinti]),0))</f>
        <v/>
      </c>
      <c r="I440" s="17">
        <f>IF($A440="","",IFERROR(SUMIF(tblAnahtarB[NormB],$A440,tblHakedis[UrunReklam]),0))</f>
        <v/>
      </c>
      <c r="J440" s="17">
        <f>IF($A440="","",IFERROR(SUMIF(tblAnahtarB[NormB],$A440,tblHakedis[DesiKargo]),0))</f>
        <v/>
      </c>
      <c r="K440" s="17">
        <f>IF($A440="","",ROUND($F440+$G440+$H440+$I440+$J440,2))</f>
        <v/>
      </c>
      <c r="L440" s="17">
        <f>IF($A440="","",ROUND($B440-$C440,2))</f>
        <v/>
      </c>
      <c r="M440" s="17">
        <f>IF($A440="","",ROUND($B440-$C440-$K440,2))</f>
        <v/>
      </c>
      <c r="N440" s="17">
        <f>IF(OR($A440="",$B440=0),0,$M440/$B440)</f>
        <v/>
      </c>
      <c r="O440" s="17">
        <f>IF($A440="","",IF((1-$E440)&lt;=0,0,IF($D440=0,0,ROUND(($C440+$G440+$H440+$I440+$J440)/$D440/(1-$E440),2))))</f>
        <v/>
      </c>
      <c r="P440" s="17">
        <f>IF($A440="","",IFERROR(SUMIF(tblAnahtarA[Norm],$A440,tblGirdi[HedefNet]),0))</f>
        <v/>
      </c>
      <c r="Q440" s="17">
        <f>IF($A440="","",ROUND($M440-$P440,2))</f>
        <v/>
      </c>
      <c r="R440" s="17">
        <f>IF($A440="","",ROUND($B440-$K440,2))</f>
        <v/>
      </c>
      <c r="S440" s="17">
        <f>IF($A440="","",IF($N440&lt;0,"ÇEKİL",IF($N440&lt;tyk_esikMarjDusuk,"ZAM","SAT")))</f>
        <v/>
      </c>
      <c r="T440" s="17">
        <f>IF($A440="","",$L440-$F440)</f>
        <v/>
      </c>
      <c r="U440" s="17">
        <f>IF($A440="","",$M440-$Q440)</f>
        <v/>
      </c>
      <c r="V440" s="17">
        <f>IF($A440="","",$R440-$M440)</f>
        <v/>
      </c>
    </row>
    <row r="441">
      <c r="A441" s="17">
        <f>IF('ANAHTAR'!$B441="","",'ANAHTAR'!$B441)</f>
        <v/>
      </c>
      <c r="B441" s="17">
        <f>IF($A441="","",IFERROR(SUMIF(tblAnahtarA[Norm],$A441,tblGirdi[ToplamSatis]),0))</f>
        <v/>
      </c>
      <c r="C441" s="17">
        <f>IF($A441="","",IFERROR(SUMIF(tblAnahtarA[Norm],$A441,tblGirdi[Maliyet])*IFERROR(SUMIF(tblAnahtarA[Norm],$A441,tblGirdi[Miktar]),1),0))</f>
        <v/>
      </c>
      <c r="D441" s="17">
        <f>IF($A441="","",IFERROR(SUMIF(tblAnahtarA[Norm],$A441,tblGirdi[Miktar]),0))</f>
        <v/>
      </c>
      <c r="E441" s="17">
        <f>IF($A441="","",IFERROR(SUMIF(tblAnahtarA[Norm],$A441,tblGirdi[KomisyonOran]),0))</f>
        <v/>
      </c>
      <c r="F441" s="17">
        <f>IF($A441="","",ROUND($B441*$E441,2))</f>
        <v/>
      </c>
      <c r="G441" s="17">
        <f>IF($A441="","",IFERROR(SUMIF(tblAnahtarB[NormB],$A441,tblHakedis[TyPlus]),0))</f>
        <v/>
      </c>
      <c r="H441" s="17">
        <f>IF($A441="","",IFERROR(SUMIF(tblAnahtarB[NormB],$A441,tblHakedis[FlasKesinti]),0))</f>
        <v/>
      </c>
      <c r="I441" s="17">
        <f>IF($A441="","",IFERROR(SUMIF(tblAnahtarB[NormB],$A441,tblHakedis[UrunReklam]),0))</f>
        <v/>
      </c>
      <c r="J441" s="17">
        <f>IF($A441="","",IFERROR(SUMIF(tblAnahtarB[NormB],$A441,tblHakedis[DesiKargo]),0))</f>
        <v/>
      </c>
      <c r="K441" s="17">
        <f>IF($A441="","",ROUND($F441+$G441+$H441+$I441+$J441,2))</f>
        <v/>
      </c>
      <c r="L441" s="17">
        <f>IF($A441="","",ROUND($B441-$C441,2))</f>
        <v/>
      </c>
      <c r="M441" s="17">
        <f>IF($A441="","",ROUND($B441-$C441-$K441,2))</f>
        <v/>
      </c>
      <c r="N441" s="17">
        <f>IF(OR($A441="",$B441=0),0,$M441/$B441)</f>
        <v/>
      </c>
      <c r="O441" s="17">
        <f>IF($A441="","",IF((1-$E441)&lt;=0,0,IF($D441=0,0,ROUND(($C441+$G441+$H441+$I441+$J441)/$D441/(1-$E441),2))))</f>
        <v/>
      </c>
      <c r="P441" s="17">
        <f>IF($A441="","",IFERROR(SUMIF(tblAnahtarA[Norm],$A441,tblGirdi[HedefNet]),0))</f>
        <v/>
      </c>
      <c r="Q441" s="17">
        <f>IF($A441="","",ROUND($M441-$P441,2))</f>
        <v/>
      </c>
      <c r="R441" s="17">
        <f>IF($A441="","",ROUND($B441-$K441,2))</f>
        <v/>
      </c>
      <c r="S441" s="17">
        <f>IF($A441="","",IF($N441&lt;0,"ÇEKİL",IF($N441&lt;tyk_esikMarjDusuk,"ZAM","SAT")))</f>
        <v/>
      </c>
      <c r="T441" s="17">
        <f>IF($A441="","",$L441-$F441)</f>
        <v/>
      </c>
      <c r="U441" s="17">
        <f>IF($A441="","",$M441-$Q441)</f>
        <v/>
      </c>
      <c r="V441" s="17">
        <f>IF($A441="","",$R441-$M441)</f>
        <v/>
      </c>
    </row>
    <row r="442">
      <c r="A442" s="17">
        <f>IF('ANAHTAR'!$B442="","",'ANAHTAR'!$B442)</f>
        <v/>
      </c>
      <c r="B442" s="17">
        <f>IF($A442="","",IFERROR(SUMIF(tblAnahtarA[Norm],$A442,tblGirdi[ToplamSatis]),0))</f>
        <v/>
      </c>
      <c r="C442" s="17">
        <f>IF($A442="","",IFERROR(SUMIF(tblAnahtarA[Norm],$A442,tblGirdi[Maliyet])*IFERROR(SUMIF(tblAnahtarA[Norm],$A442,tblGirdi[Miktar]),1),0))</f>
        <v/>
      </c>
      <c r="D442" s="17">
        <f>IF($A442="","",IFERROR(SUMIF(tblAnahtarA[Norm],$A442,tblGirdi[Miktar]),0))</f>
        <v/>
      </c>
      <c r="E442" s="17">
        <f>IF($A442="","",IFERROR(SUMIF(tblAnahtarA[Norm],$A442,tblGirdi[KomisyonOran]),0))</f>
        <v/>
      </c>
      <c r="F442" s="17">
        <f>IF($A442="","",ROUND($B442*$E442,2))</f>
        <v/>
      </c>
      <c r="G442" s="17">
        <f>IF($A442="","",IFERROR(SUMIF(tblAnahtarB[NormB],$A442,tblHakedis[TyPlus]),0))</f>
        <v/>
      </c>
      <c r="H442" s="17">
        <f>IF($A442="","",IFERROR(SUMIF(tblAnahtarB[NormB],$A442,tblHakedis[FlasKesinti]),0))</f>
        <v/>
      </c>
      <c r="I442" s="17">
        <f>IF($A442="","",IFERROR(SUMIF(tblAnahtarB[NormB],$A442,tblHakedis[UrunReklam]),0))</f>
        <v/>
      </c>
      <c r="J442" s="17">
        <f>IF($A442="","",IFERROR(SUMIF(tblAnahtarB[NormB],$A442,tblHakedis[DesiKargo]),0))</f>
        <v/>
      </c>
      <c r="K442" s="17">
        <f>IF($A442="","",ROUND($F442+$G442+$H442+$I442+$J442,2))</f>
        <v/>
      </c>
      <c r="L442" s="17">
        <f>IF($A442="","",ROUND($B442-$C442,2))</f>
        <v/>
      </c>
      <c r="M442" s="17">
        <f>IF($A442="","",ROUND($B442-$C442-$K442,2))</f>
        <v/>
      </c>
      <c r="N442" s="17">
        <f>IF(OR($A442="",$B442=0),0,$M442/$B442)</f>
        <v/>
      </c>
      <c r="O442" s="17">
        <f>IF($A442="","",IF((1-$E442)&lt;=0,0,IF($D442=0,0,ROUND(($C442+$G442+$H442+$I442+$J442)/$D442/(1-$E442),2))))</f>
        <v/>
      </c>
      <c r="P442" s="17">
        <f>IF($A442="","",IFERROR(SUMIF(tblAnahtarA[Norm],$A442,tblGirdi[HedefNet]),0))</f>
        <v/>
      </c>
      <c r="Q442" s="17">
        <f>IF($A442="","",ROUND($M442-$P442,2))</f>
        <v/>
      </c>
      <c r="R442" s="17">
        <f>IF($A442="","",ROUND($B442-$K442,2))</f>
        <v/>
      </c>
      <c r="S442" s="17">
        <f>IF($A442="","",IF($N442&lt;0,"ÇEKİL",IF($N442&lt;tyk_esikMarjDusuk,"ZAM","SAT")))</f>
        <v/>
      </c>
      <c r="T442" s="17">
        <f>IF($A442="","",$L442-$F442)</f>
        <v/>
      </c>
      <c r="U442" s="17">
        <f>IF($A442="","",$M442-$Q442)</f>
        <v/>
      </c>
      <c r="V442" s="17">
        <f>IF($A442="","",$R442-$M442)</f>
        <v/>
      </c>
    </row>
    <row r="443">
      <c r="A443" s="17">
        <f>IF('ANAHTAR'!$B443="","",'ANAHTAR'!$B443)</f>
        <v/>
      </c>
      <c r="B443" s="17">
        <f>IF($A443="","",IFERROR(SUMIF(tblAnahtarA[Norm],$A443,tblGirdi[ToplamSatis]),0))</f>
        <v/>
      </c>
      <c r="C443" s="17">
        <f>IF($A443="","",IFERROR(SUMIF(tblAnahtarA[Norm],$A443,tblGirdi[Maliyet])*IFERROR(SUMIF(tblAnahtarA[Norm],$A443,tblGirdi[Miktar]),1),0))</f>
        <v/>
      </c>
      <c r="D443" s="17">
        <f>IF($A443="","",IFERROR(SUMIF(tblAnahtarA[Norm],$A443,tblGirdi[Miktar]),0))</f>
        <v/>
      </c>
      <c r="E443" s="17">
        <f>IF($A443="","",IFERROR(SUMIF(tblAnahtarA[Norm],$A443,tblGirdi[KomisyonOran]),0))</f>
        <v/>
      </c>
      <c r="F443" s="17">
        <f>IF($A443="","",ROUND($B443*$E443,2))</f>
        <v/>
      </c>
      <c r="G443" s="17">
        <f>IF($A443="","",IFERROR(SUMIF(tblAnahtarB[NormB],$A443,tblHakedis[TyPlus]),0))</f>
        <v/>
      </c>
      <c r="H443" s="17">
        <f>IF($A443="","",IFERROR(SUMIF(tblAnahtarB[NormB],$A443,tblHakedis[FlasKesinti]),0))</f>
        <v/>
      </c>
      <c r="I443" s="17">
        <f>IF($A443="","",IFERROR(SUMIF(tblAnahtarB[NormB],$A443,tblHakedis[UrunReklam]),0))</f>
        <v/>
      </c>
      <c r="J443" s="17">
        <f>IF($A443="","",IFERROR(SUMIF(tblAnahtarB[NormB],$A443,tblHakedis[DesiKargo]),0))</f>
        <v/>
      </c>
      <c r="K443" s="17">
        <f>IF($A443="","",ROUND($F443+$G443+$H443+$I443+$J443,2))</f>
        <v/>
      </c>
      <c r="L443" s="17">
        <f>IF($A443="","",ROUND($B443-$C443,2))</f>
        <v/>
      </c>
      <c r="M443" s="17">
        <f>IF($A443="","",ROUND($B443-$C443-$K443,2))</f>
        <v/>
      </c>
      <c r="N443" s="17">
        <f>IF(OR($A443="",$B443=0),0,$M443/$B443)</f>
        <v/>
      </c>
      <c r="O443" s="17">
        <f>IF($A443="","",IF((1-$E443)&lt;=0,0,IF($D443=0,0,ROUND(($C443+$G443+$H443+$I443+$J443)/$D443/(1-$E443),2))))</f>
        <v/>
      </c>
      <c r="P443" s="17">
        <f>IF($A443="","",IFERROR(SUMIF(tblAnahtarA[Norm],$A443,tblGirdi[HedefNet]),0))</f>
        <v/>
      </c>
      <c r="Q443" s="17">
        <f>IF($A443="","",ROUND($M443-$P443,2))</f>
        <v/>
      </c>
      <c r="R443" s="17">
        <f>IF($A443="","",ROUND($B443-$K443,2))</f>
        <v/>
      </c>
      <c r="S443" s="17">
        <f>IF($A443="","",IF($N443&lt;0,"ÇEKİL",IF($N443&lt;tyk_esikMarjDusuk,"ZAM","SAT")))</f>
        <v/>
      </c>
      <c r="T443" s="17">
        <f>IF($A443="","",$L443-$F443)</f>
        <v/>
      </c>
      <c r="U443" s="17">
        <f>IF($A443="","",$M443-$Q443)</f>
        <v/>
      </c>
      <c r="V443" s="17">
        <f>IF($A443="","",$R443-$M443)</f>
        <v/>
      </c>
    </row>
    <row r="444">
      <c r="A444" s="17">
        <f>IF('ANAHTAR'!$B444="","",'ANAHTAR'!$B444)</f>
        <v/>
      </c>
      <c r="B444" s="17">
        <f>IF($A444="","",IFERROR(SUMIF(tblAnahtarA[Norm],$A444,tblGirdi[ToplamSatis]),0))</f>
        <v/>
      </c>
      <c r="C444" s="17">
        <f>IF($A444="","",IFERROR(SUMIF(tblAnahtarA[Norm],$A444,tblGirdi[Maliyet])*IFERROR(SUMIF(tblAnahtarA[Norm],$A444,tblGirdi[Miktar]),1),0))</f>
        <v/>
      </c>
      <c r="D444" s="17">
        <f>IF($A444="","",IFERROR(SUMIF(tblAnahtarA[Norm],$A444,tblGirdi[Miktar]),0))</f>
        <v/>
      </c>
      <c r="E444" s="17">
        <f>IF($A444="","",IFERROR(SUMIF(tblAnahtarA[Norm],$A444,tblGirdi[KomisyonOran]),0))</f>
        <v/>
      </c>
      <c r="F444" s="17">
        <f>IF($A444="","",ROUND($B444*$E444,2))</f>
        <v/>
      </c>
      <c r="G444" s="17">
        <f>IF($A444="","",IFERROR(SUMIF(tblAnahtarB[NormB],$A444,tblHakedis[TyPlus]),0))</f>
        <v/>
      </c>
      <c r="H444" s="17">
        <f>IF($A444="","",IFERROR(SUMIF(tblAnahtarB[NormB],$A444,tblHakedis[FlasKesinti]),0))</f>
        <v/>
      </c>
      <c r="I444" s="17">
        <f>IF($A444="","",IFERROR(SUMIF(tblAnahtarB[NormB],$A444,tblHakedis[UrunReklam]),0))</f>
        <v/>
      </c>
      <c r="J444" s="17">
        <f>IF($A444="","",IFERROR(SUMIF(tblAnahtarB[NormB],$A444,tblHakedis[DesiKargo]),0))</f>
        <v/>
      </c>
      <c r="K444" s="17">
        <f>IF($A444="","",ROUND($F444+$G444+$H444+$I444+$J444,2))</f>
        <v/>
      </c>
      <c r="L444" s="17">
        <f>IF($A444="","",ROUND($B444-$C444,2))</f>
        <v/>
      </c>
      <c r="M444" s="17">
        <f>IF($A444="","",ROUND($B444-$C444-$K444,2))</f>
        <v/>
      </c>
      <c r="N444" s="17">
        <f>IF(OR($A444="",$B444=0),0,$M444/$B444)</f>
        <v/>
      </c>
      <c r="O444" s="17">
        <f>IF($A444="","",IF((1-$E444)&lt;=0,0,IF($D444=0,0,ROUND(($C444+$G444+$H444+$I444+$J444)/$D444/(1-$E444),2))))</f>
        <v/>
      </c>
      <c r="P444" s="17">
        <f>IF($A444="","",IFERROR(SUMIF(tblAnahtarA[Norm],$A444,tblGirdi[HedefNet]),0))</f>
        <v/>
      </c>
      <c r="Q444" s="17">
        <f>IF($A444="","",ROUND($M444-$P444,2))</f>
        <v/>
      </c>
      <c r="R444" s="17">
        <f>IF($A444="","",ROUND($B444-$K444,2))</f>
        <v/>
      </c>
      <c r="S444" s="17">
        <f>IF($A444="","",IF($N444&lt;0,"ÇEKİL",IF($N444&lt;tyk_esikMarjDusuk,"ZAM","SAT")))</f>
        <v/>
      </c>
      <c r="T444" s="17">
        <f>IF($A444="","",$L444-$F444)</f>
        <v/>
      </c>
      <c r="U444" s="17">
        <f>IF($A444="","",$M444-$Q444)</f>
        <v/>
      </c>
      <c r="V444" s="17">
        <f>IF($A444="","",$R444-$M444)</f>
        <v/>
      </c>
    </row>
    <row r="445">
      <c r="A445" s="17">
        <f>IF('ANAHTAR'!$B445="","",'ANAHTAR'!$B445)</f>
        <v/>
      </c>
      <c r="B445" s="17">
        <f>IF($A445="","",IFERROR(SUMIF(tblAnahtarA[Norm],$A445,tblGirdi[ToplamSatis]),0))</f>
        <v/>
      </c>
      <c r="C445" s="17">
        <f>IF($A445="","",IFERROR(SUMIF(tblAnahtarA[Norm],$A445,tblGirdi[Maliyet])*IFERROR(SUMIF(tblAnahtarA[Norm],$A445,tblGirdi[Miktar]),1),0))</f>
        <v/>
      </c>
      <c r="D445" s="17">
        <f>IF($A445="","",IFERROR(SUMIF(tblAnahtarA[Norm],$A445,tblGirdi[Miktar]),0))</f>
        <v/>
      </c>
      <c r="E445" s="17">
        <f>IF($A445="","",IFERROR(SUMIF(tblAnahtarA[Norm],$A445,tblGirdi[KomisyonOran]),0))</f>
        <v/>
      </c>
      <c r="F445" s="17">
        <f>IF($A445="","",ROUND($B445*$E445,2))</f>
        <v/>
      </c>
      <c r="G445" s="17">
        <f>IF($A445="","",IFERROR(SUMIF(tblAnahtarB[NormB],$A445,tblHakedis[TyPlus]),0))</f>
        <v/>
      </c>
      <c r="H445" s="17">
        <f>IF($A445="","",IFERROR(SUMIF(tblAnahtarB[NormB],$A445,tblHakedis[FlasKesinti]),0))</f>
        <v/>
      </c>
      <c r="I445" s="17">
        <f>IF($A445="","",IFERROR(SUMIF(tblAnahtarB[NormB],$A445,tblHakedis[UrunReklam]),0))</f>
        <v/>
      </c>
      <c r="J445" s="17">
        <f>IF($A445="","",IFERROR(SUMIF(tblAnahtarB[NormB],$A445,tblHakedis[DesiKargo]),0))</f>
        <v/>
      </c>
      <c r="K445" s="17">
        <f>IF($A445="","",ROUND($F445+$G445+$H445+$I445+$J445,2))</f>
        <v/>
      </c>
      <c r="L445" s="17">
        <f>IF($A445="","",ROUND($B445-$C445,2))</f>
        <v/>
      </c>
      <c r="M445" s="17">
        <f>IF($A445="","",ROUND($B445-$C445-$K445,2))</f>
        <v/>
      </c>
      <c r="N445" s="17">
        <f>IF(OR($A445="",$B445=0),0,$M445/$B445)</f>
        <v/>
      </c>
      <c r="O445" s="17">
        <f>IF($A445="","",IF((1-$E445)&lt;=0,0,IF($D445=0,0,ROUND(($C445+$G445+$H445+$I445+$J445)/$D445/(1-$E445),2))))</f>
        <v/>
      </c>
      <c r="P445" s="17">
        <f>IF($A445="","",IFERROR(SUMIF(tblAnahtarA[Norm],$A445,tblGirdi[HedefNet]),0))</f>
        <v/>
      </c>
      <c r="Q445" s="17">
        <f>IF($A445="","",ROUND($M445-$P445,2))</f>
        <v/>
      </c>
      <c r="R445" s="17">
        <f>IF($A445="","",ROUND($B445-$K445,2))</f>
        <v/>
      </c>
      <c r="S445" s="17">
        <f>IF($A445="","",IF($N445&lt;0,"ÇEKİL",IF($N445&lt;tyk_esikMarjDusuk,"ZAM","SAT")))</f>
        <v/>
      </c>
      <c r="T445" s="17">
        <f>IF($A445="","",$L445-$F445)</f>
        <v/>
      </c>
      <c r="U445" s="17">
        <f>IF($A445="","",$M445-$Q445)</f>
        <v/>
      </c>
      <c r="V445" s="17">
        <f>IF($A445="","",$R445-$M445)</f>
        <v/>
      </c>
    </row>
    <row r="446">
      <c r="A446" s="17">
        <f>IF('ANAHTAR'!$B446="","",'ANAHTAR'!$B446)</f>
        <v/>
      </c>
      <c r="B446" s="17">
        <f>IF($A446="","",IFERROR(SUMIF(tblAnahtarA[Norm],$A446,tblGirdi[ToplamSatis]),0))</f>
        <v/>
      </c>
      <c r="C446" s="17">
        <f>IF($A446="","",IFERROR(SUMIF(tblAnahtarA[Norm],$A446,tblGirdi[Maliyet])*IFERROR(SUMIF(tblAnahtarA[Norm],$A446,tblGirdi[Miktar]),1),0))</f>
        <v/>
      </c>
      <c r="D446" s="17">
        <f>IF($A446="","",IFERROR(SUMIF(tblAnahtarA[Norm],$A446,tblGirdi[Miktar]),0))</f>
        <v/>
      </c>
      <c r="E446" s="17">
        <f>IF($A446="","",IFERROR(SUMIF(tblAnahtarA[Norm],$A446,tblGirdi[KomisyonOran]),0))</f>
        <v/>
      </c>
      <c r="F446" s="17">
        <f>IF($A446="","",ROUND($B446*$E446,2))</f>
        <v/>
      </c>
      <c r="G446" s="17">
        <f>IF($A446="","",IFERROR(SUMIF(tblAnahtarB[NormB],$A446,tblHakedis[TyPlus]),0))</f>
        <v/>
      </c>
      <c r="H446" s="17">
        <f>IF($A446="","",IFERROR(SUMIF(tblAnahtarB[NormB],$A446,tblHakedis[FlasKesinti]),0))</f>
        <v/>
      </c>
      <c r="I446" s="17">
        <f>IF($A446="","",IFERROR(SUMIF(tblAnahtarB[NormB],$A446,tblHakedis[UrunReklam]),0))</f>
        <v/>
      </c>
      <c r="J446" s="17">
        <f>IF($A446="","",IFERROR(SUMIF(tblAnahtarB[NormB],$A446,tblHakedis[DesiKargo]),0))</f>
        <v/>
      </c>
      <c r="K446" s="17">
        <f>IF($A446="","",ROUND($F446+$G446+$H446+$I446+$J446,2))</f>
        <v/>
      </c>
      <c r="L446" s="17">
        <f>IF($A446="","",ROUND($B446-$C446,2))</f>
        <v/>
      </c>
      <c r="M446" s="17">
        <f>IF($A446="","",ROUND($B446-$C446-$K446,2))</f>
        <v/>
      </c>
      <c r="N446" s="17">
        <f>IF(OR($A446="",$B446=0),0,$M446/$B446)</f>
        <v/>
      </c>
      <c r="O446" s="17">
        <f>IF($A446="","",IF((1-$E446)&lt;=0,0,IF($D446=0,0,ROUND(($C446+$G446+$H446+$I446+$J446)/$D446/(1-$E446),2))))</f>
        <v/>
      </c>
      <c r="P446" s="17">
        <f>IF($A446="","",IFERROR(SUMIF(tblAnahtarA[Norm],$A446,tblGirdi[HedefNet]),0))</f>
        <v/>
      </c>
      <c r="Q446" s="17">
        <f>IF($A446="","",ROUND($M446-$P446,2))</f>
        <v/>
      </c>
      <c r="R446" s="17">
        <f>IF($A446="","",ROUND($B446-$K446,2))</f>
        <v/>
      </c>
      <c r="S446" s="17">
        <f>IF($A446="","",IF($N446&lt;0,"ÇEKİL",IF($N446&lt;tyk_esikMarjDusuk,"ZAM","SAT")))</f>
        <v/>
      </c>
      <c r="T446" s="17">
        <f>IF($A446="","",$L446-$F446)</f>
        <v/>
      </c>
      <c r="U446" s="17">
        <f>IF($A446="","",$M446-$Q446)</f>
        <v/>
      </c>
      <c r="V446" s="17">
        <f>IF($A446="","",$R446-$M446)</f>
        <v/>
      </c>
    </row>
    <row r="447">
      <c r="A447" s="17">
        <f>IF('ANAHTAR'!$B447="","",'ANAHTAR'!$B447)</f>
        <v/>
      </c>
      <c r="B447" s="17">
        <f>IF($A447="","",IFERROR(SUMIF(tblAnahtarA[Norm],$A447,tblGirdi[ToplamSatis]),0))</f>
        <v/>
      </c>
      <c r="C447" s="17">
        <f>IF($A447="","",IFERROR(SUMIF(tblAnahtarA[Norm],$A447,tblGirdi[Maliyet])*IFERROR(SUMIF(tblAnahtarA[Norm],$A447,tblGirdi[Miktar]),1),0))</f>
        <v/>
      </c>
      <c r="D447" s="17">
        <f>IF($A447="","",IFERROR(SUMIF(tblAnahtarA[Norm],$A447,tblGirdi[Miktar]),0))</f>
        <v/>
      </c>
      <c r="E447" s="17">
        <f>IF($A447="","",IFERROR(SUMIF(tblAnahtarA[Norm],$A447,tblGirdi[KomisyonOran]),0))</f>
        <v/>
      </c>
      <c r="F447" s="17">
        <f>IF($A447="","",ROUND($B447*$E447,2))</f>
        <v/>
      </c>
      <c r="G447" s="17">
        <f>IF($A447="","",IFERROR(SUMIF(tblAnahtarB[NormB],$A447,tblHakedis[TyPlus]),0))</f>
        <v/>
      </c>
      <c r="H447" s="17">
        <f>IF($A447="","",IFERROR(SUMIF(tblAnahtarB[NormB],$A447,tblHakedis[FlasKesinti]),0))</f>
        <v/>
      </c>
      <c r="I447" s="17">
        <f>IF($A447="","",IFERROR(SUMIF(tblAnahtarB[NormB],$A447,tblHakedis[UrunReklam]),0))</f>
        <v/>
      </c>
      <c r="J447" s="17">
        <f>IF($A447="","",IFERROR(SUMIF(tblAnahtarB[NormB],$A447,tblHakedis[DesiKargo]),0))</f>
        <v/>
      </c>
      <c r="K447" s="17">
        <f>IF($A447="","",ROUND($F447+$G447+$H447+$I447+$J447,2))</f>
        <v/>
      </c>
      <c r="L447" s="17">
        <f>IF($A447="","",ROUND($B447-$C447,2))</f>
        <v/>
      </c>
      <c r="M447" s="17">
        <f>IF($A447="","",ROUND($B447-$C447-$K447,2))</f>
        <v/>
      </c>
      <c r="N447" s="17">
        <f>IF(OR($A447="",$B447=0),0,$M447/$B447)</f>
        <v/>
      </c>
      <c r="O447" s="17">
        <f>IF($A447="","",IF((1-$E447)&lt;=0,0,IF($D447=0,0,ROUND(($C447+$G447+$H447+$I447+$J447)/$D447/(1-$E447),2))))</f>
        <v/>
      </c>
      <c r="P447" s="17">
        <f>IF($A447="","",IFERROR(SUMIF(tblAnahtarA[Norm],$A447,tblGirdi[HedefNet]),0))</f>
        <v/>
      </c>
      <c r="Q447" s="17">
        <f>IF($A447="","",ROUND($M447-$P447,2))</f>
        <v/>
      </c>
      <c r="R447" s="17">
        <f>IF($A447="","",ROUND($B447-$K447,2))</f>
        <v/>
      </c>
      <c r="S447" s="17">
        <f>IF($A447="","",IF($N447&lt;0,"ÇEKİL",IF($N447&lt;tyk_esikMarjDusuk,"ZAM","SAT")))</f>
        <v/>
      </c>
      <c r="T447" s="17">
        <f>IF($A447="","",$L447-$F447)</f>
        <v/>
      </c>
      <c r="U447" s="17">
        <f>IF($A447="","",$M447-$Q447)</f>
        <v/>
      </c>
      <c r="V447" s="17">
        <f>IF($A447="","",$R447-$M447)</f>
        <v/>
      </c>
    </row>
    <row r="448">
      <c r="A448" s="17">
        <f>IF('ANAHTAR'!$B448="","",'ANAHTAR'!$B448)</f>
        <v/>
      </c>
      <c r="B448" s="17">
        <f>IF($A448="","",IFERROR(SUMIF(tblAnahtarA[Norm],$A448,tblGirdi[ToplamSatis]),0))</f>
        <v/>
      </c>
      <c r="C448" s="17">
        <f>IF($A448="","",IFERROR(SUMIF(tblAnahtarA[Norm],$A448,tblGirdi[Maliyet])*IFERROR(SUMIF(tblAnahtarA[Norm],$A448,tblGirdi[Miktar]),1),0))</f>
        <v/>
      </c>
      <c r="D448" s="17">
        <f>IF($A448="","",IFERROR(SUMIF(tblAnahtarA[Norm],$A448,tblGirdi[Miktar]),0))</f>
        <v/>
      </c>
      <c r="E448" s="17">
        <f>IF($A448="","",IFERROR(SUMIF(tblAnahtarA[Norm],$A448,tblGirdi[KomisyonOran]),0))</f>
        <v/>
      </c>
      <c r="F448" s="17">
        <f>IF($A448="","",ROUND($B448*$E448,2))</f>
        <v/>
      </c>
      <c r="G448" s="17">
        <f>IF($A448="","",IFERROR(SUMIF(tblAnahtarB[NormB],$A448,tblHakedis[TyPlus]),0))</f>
        <v/>
      </c>
      <c r="H448" s="17">
        <f>IF($A448="","",IFERROR(SUMIF(tblAnahtarB[NormB],$A448,tblHakedis[FlasKesinti]),0))</f>
        <v/>
      </c>
      <c r="I448" s="17">
        <f>IF($A448="","",IFERROR(SUMIF(tblAnahtarB[NormB],$A448,tblHakedis[UrunReklam]),0))</f>
        <v/>
      </c>
      <c r="J448" s="17">
        <f>IF($A448="","",IFERROR(SUMIF(tblAnahtarB[NormB],$A448,tblHakedis[DesiKargo]),0))</f>
        <v/>
      </c>
      <c r="K448" s="17">
        <f>IF($A448="","",ROUND($F448+$G448+$H448+$I448+$J448,2))</f>
        <v/>
      </c>
      <c r="L448" s="17">
        <f>IF($A448="","",ROUND($B448-$C448,2))</f>
        <v/>
      </c>
      <c r="M448" s="17">
        <f>IF($A448="","",ROUND($B448-$C448-$K448,2))</f>
        <v/>
      </c>
      <c r="N448" s="17">
        <f>IF(OR($A448="",$B448=0),0,$M448/$B448)</f>
        <v/>
      </c>
      <c r="O448" s="17">
        <f>IF($A448="","",IF((1-$E448)&lt;=0,0,IF($D448=0,0,ROUND(($C448+$G448+$H448+$I448+$J448)/$D448/(1-$E448),2))))</f>
        <v/>
      </c>
      <c r="P448" s="17">
        <f>IF($A448="","",IFERROR(SUMIF(tblAnahtarA[Norm],$A448,tblGirdi[HedefNet]),0))</f>
        <v/>
      </c>
      <c r="Q448" s="17">
        <f>IF($A448="","",ROUND($M448-$P448,2))</f>
        <v/>
      </c>
      <c r="R448" s="17">
        <f>IF($A448="","",ROUND($B448-$K448,2))</f>
        <v/>
      </c>
      <c r="S448" s="17">
        <f>IF($A448="","",IF($N448&lt;0,"ÇEKİL",IF($N448&lt;tyk_esikMarjDusuk,"ZAM","SAT")))</f>
        <v/>
      </c>
      <c r="T448" s="17">
        <f>IF($A448="","",$L448-$F448)</f>
        <v/>
      </c>
      <c r="U448" s="17">
        <f>IF($A448="","",$M448-$Q448)</f>
        <v/>
      </c>
      <c r="V448" s="17">
        <f>IF($A448="","",$R448-$M448)</f>
        <v/>
      </c>
    </row>
    <row r="449">
      <c r="A449" s="17">
        <f>IF('ANAHTAR'!$B449="","",'ANAHTAR'!$B449)</f>
        <v/>
      </c>
      <c r="B449" s="17">
        <f>IF($A449="","",IFERROR(SUMIF(tblAnahtarA[Norm],$A449,tblGirdi[ToplamSatis]),0))</f>
        <v/>
      </c>
      <c r="C449" s="17">
        <f>IF($A449="","",IFERROR(SUMIF(tblAnahtarA[Norm],$A449,tblGirdi[Maliyet])*IFERROR(SUMIF(tblAnahtarA[Norm],$A449,tblGirdi[Miktar]),1),0))</f>
        <v/>
      </c>
      <c r="D449" s="17">
        <f>IF($A449="","",IFERROR(SUMIF(tblAnahtarA[Norm],$A449,tblGirdi[Miktar]),0))</f>
        <v/>
      </c>
      <c r="E449" s="17">
        <f>IF($A449="","",IFERROR(SUMIF(tblAnahtarA[Norm],$A449,tblGirdi[KomisyonOran]),0))</f>
        <v/>
      </c>
      <c r="F449" s="17">
        <f>IF($A449="","",ROUND($B449*$E449,2))</f>
        <v/>
      </c>
      <c r="G449" s="17">
        <f>IF($A449="","",IFERROR(SUMIF(tblAnahtarB[NormB],$A449,tblHakedis[TyPlus]),0))</f>
        <v/>
      </c>
      <c r="H449" s="17">
        <f>IF($A449="","",IFERROR(SUMIF(tblAnahtarB[NormB],$A449,tblHakedis[FlasKesinti]),0))</f>
        <v/>
      </c>
      <c r="I449" s="17">
        <f>IF($A449="","",IFERROR(SUMIF(tblAnahtarB[NormB],$A449,tblHakedis[UrunReklam]),0))</f>
        <v/>
      </c>
      <c r="J449" s="17">
        <f>IF($A449="","",IFERROR(SUMIF(tblAnahtarB[NormB],$A449,tblHakedis[DesiKargo]),0))</f>
        <v/>
      </c>
      <c r="K449" s="17">
        <f>IF($A449="","",ROUND($F449+$G449+$H449+$I449+$J449,2))</f>
        <v/>
      </c>
      <c r="L449" s="17">
        <f>IF($A449="","",ROUND($B449-$C449,2))</f>
        <v/>
      </c>
      <c r="M449" s="17">
        <f>IF($A449="","",ROUND($B449-$C449-$K449,2))</f>
        <v/>
      </c>
      <c r="N449" s="17">
        <f>IF(OR($A449="",$B449=0),0,$M449/$B449)</f>
        <v/>
      </c>
      <c r="O449" s="17">
        <f>IF($A449="","",IF((1-$E449)&lt;=0,0,IF($D449=0,0,ROUND(($C449+$G449+$H449+$I449+$J449)/$D449/(1-$E449),2))))</f>
        <v/>
      </c>
      <c r="P449" s="17">
        <f>IF($A449="","",IFERROR(SUMIF(tblAnahtarA[Norm],$A449,tblGirdi[HedefNet]),0))</f>
        <v/>
      </c>
      <c r="Q449" s="17">
        <f>IF($A449="","",ROUND($M449-$P449,2))</f>
        <v/>
      </c>
      <c r="R449" s="17">
        <f>IF($A449="","",ROUND($B449-$K449,2))</f>
        <v/>
      </c>
      <c r="S449" s="17">
        <f>IF($A449="","",IF($N449&lt;0,"ÇEKİL",IF($N449&lt;tyk_esikMarjDusuk,"ZAM","SAT")))</f>
        <v/>
      </c>
      <c r="T449" s="17">
        <f>IF($A449="","",$L449-$F449)</f>
        <v/>
      </c>
      <c r="U449" s="17">
        <f>IF($A449="","",$M449-$Q449)</f>
        <v/>
      </c>
      <c r="V449" s="17">
        <f>IF($A449="","",$R449-$M449)</f>
        <v/>
      </c>
    </row>
    <row r="450">
      <c r="A450" s="17">
        <f>IF('ANAHTAR'!$B450="","",'ANAHTAR'!$B450)</f>
        <v/>
      </c>
      <c r="B450" s="17">
        <f>IF($A450="","",IFERROR(SUMIF(tblAnahtarA[Norm],$A450,tblGirdi[ToplamSatis]),0))</f>
        <v/>
      </c>
      <c r="C450" s="17">
        <f>IF($A450="","",IFERROR(SUMIF(tblAnahtarA[Norm],$A450,tblGirdi[Maliyet])*IFERROR(SUMIF(tblAnahtarA[Norm],$A450,tblGirdi[Miktar]),1),0))</f>
        <v/>
      </c>
      <c r="D450" s="17">
        <f>IF($A450="","",IFERROR(SUMIF(tblAnahtarA[Norm],$A450,tblGirdi[Miktar]),0))</f>
        <v/>
      </c>
      <c r="E450" s="17">
        <f>IF($A450="","",IFERROR(SUMIF(tblAnahtarA[Norm],$A450,tblGirdi[KomisyonOran]),0))</f>
        <v/>
      </c>
      <c r="F450" s="17">
        <f>IF($A450="","",ROUND($B450*$E450,2))</f>
        <v/>
      </c>
      <c r="G450" s="17">
        <f>IF($A450="","",IFERROR(SUMIF(tblAnahtarB[NormB],$A450,tblHakedis[TyPlus]),0))</f>
        <v/>
      </c>
      <c r="H450" s="17">
        <f>IF($A450="","",IFERROR(SUMIF(tblAnahtarB[NormB],$A450,tblHakedis[FlasKesinti]),0))</f>
        <v/>
      </c>
      <c r="I450" s="17">
        <f>IF($A450="","",IFERROR(SUMIF(tblAnahtarB[NormB],$A450,tblHakedis[UrunReklam]),0))</f>
        <v/>
      </c>
      <c r="J450" s="17">
        <f>IF($A450="","",IFERROR(SUMIF(tblAnahtarB[NormB],$A450,tblHakedis[DesiKargo]),0))</f>
        <v/>
      </c>
      <c r="K450" s="17">
        <f>IF($A450="","",ROUND($F450+$G450+$H450+$I450+$J450,2))</f>
        <v/>
      </c>
      <c r="L450" s="17">
        <f>IF($A450="","",ROUND($B450-$C450,2))</f>
        <v/>
      </c>
      <c r="M450" s="17">
        <f>IF($A450="","",ROUND($B450-$C450-$K450,2))</f>
        <v/>
      </c>
      <c r="N450" s="17">
        <f>IF(OR($A450="",$B450=0),0,$M450/$B450)</f>
        <v/>
      </c>
      <c r="O450" s="17">
        <f>IF($A450="","",IF((1-$E450)&lt;=0,0,IF($D450=0,0,ROUND(($C450+$G450+$H450+$I450+$J450)/$D450/(1-$E450),2))))</f>
        <v/>
      </c>
      <c r="P450" s="17">
        <f>IF($A450="","",IFERROR(SUMIF(tblAnahtarA[Norm],$A450,tblGirdi[HedefNet]),0))</f>
        <v/>
      </c>
      <c r="Q450" s="17">
        <f>IF($A450="","",ROUND($M450-$P450,2))</f>
        <v/>
      </c>
      <c r="R450" s="17">
        <f>IF($A450="","",ROUND($B450-$K450,2))</f>
        <v/>
      </c>
      <c r="S450" s="17">
        <f>IF($A450="","",IF($N450&lt;0,"ÇEKİL",IF($N450&lt;tyk_esikMarjDusuk,"ZAM","SAT")))</f>
        <v/>
      </c>
      <c r="T450" s="17">
        <f>IF($A450="","",$L450-$F450)</f>
        <v/>
      </c>
      <c r="U450" s="17">
        <f>IF($A450="","",$M450-$Q450)</f>
        <v/>
      </c>
      <c r="V450" s="17">
        <f>IF($A450="","",$R450-$M450)</f>
        <v/>
      </c>
    </row>
    <row r="451">
      <c r="A451" s="17">
        <f>IF('ANAHTAR'!$B451="","",'ANAHTAR'!$B451)</f>
        <v/>
      </c>
      <c r="B451" s="17">
        <f>IF($A451="","",IFERROR(SUMIF(tblAnahtarA[Norm],$A451,tblGirdi[ToplamSatis]),0))</f>
        <v/>
      </c>
      <c r="C451" s="17">
        <f>IF($A451="","",IFERROR(SUMIF(tblAnahtarA[Norm],$A451,tblGirdi[Maliyet])*IFERROR(SUMIF(tblAnahtarA[Norm],$A451,tblGirdi[Miktar]),1),0))</f>
        <v/>
      </c>
      <c r="D451" s="17">
        <f>IF($A451="","",IFERROR(SUMIF(tblAnahtarA[Norm],$A451,tblGirdi[Miktar]),0))</f>
        <v/>
      </c>
      <c r="E451" s="17">
        <f>IF($A451="","",IFERROR(SUMIF(tblAnahtarA[Norm],$A451,tblGirdi[KomisyonOran]),0))</f>
        <v/>
      </c>
      <c r="F451" s="17">
        <f>IF($A451="","",ROUND($B451*$E451,2))</f>
        <v/>
      </c>
      <c r="G451" s="17">
        <f>IF($A451="","",IFERROR(SUMIF(tblAnahtarB[NormB],$A451,tblHakedis[TyPlus]),0))</f>
        <v/>
      </c>
      <c r="H451" s="17">
        <f>IF($A451="","",IFERROR(SUMIF(tblAnahtarB[NormB],$A451,tblHakedis[FlasKesinti]),0))</f>
        <v/>
      </c>
      <c r="I451" s="17">
        <f>IF($A451="","",IFERROR(SUMIF(tblAnahtarB[NormB],$A451,tblHakedis[UrunReklam]),0))</f>
        <v/>
      </c>
      <c r="J451" s="17">
        <f>IF($A451="","",IFERROR(SUMIF(tblAnahtarB[NormB],$A451,tblHakedis[DesiKargo]),0))</f>
        <v/>
      </c>
      <c r="K451" s="17">
        <f>IF($A451="","",ROUND($F451+$G451+$H451+$I451+$J451,2))</f>
        <v/>
      </c>
      <c r="L451" s="17">
        <f>IF($A451="","",ROUND($B451-$C451,2))</f>
        <v/>
      </c>
      <c r="M451" s="17">
        <f>IF($A451="","",ROUND($B451-$C451-$K451,2))</f>
        <v/>
      </c>
      <c r="N451" s="17">
        <f>IF(OR($A451="",$B451=0),0,$M451/$B451)</f>
        <v/>
      </c>
      <c r="O451" s="17">
        <f>IF($A451="","",IF((1-$E451)&lt;=0,0,IF($D451=0,0,ROUND(($C451+$G451+$H451+$I451+$J451)/$D451/(1-$E451),2))))</f>
        <v/>
      </c>
      <c r="P451" s="17">
        <f>IF($A451="","",IFERROR(SUMIF(tblAnahtarA[Norm],$A451,tblGirdi[HedefNet]),0))</f>
        <v/>
      </c>
      <c r="Q451" s="17">
        <f>IF($A451="","",ROUND($M451-$P451,2))</f>
        <v/>
      </c>
      <c r="R451" s="17">
        <f>IF($A451="","",ROUND($B451-$K451,2))</f>
        <v/>
      </c>
      <c r="S451" s="17">
        <f>IF($A451="","",IF($N451&lt;0,"ÇEKİL",IF($N451&lt;tyk_esikMarjDusuk,"ZAM","SAT")))</f>
        <v/>
      </c>
      <c r="T451" s="17">
        <f>IF($A451="","",$L451-$F451)</f>
        <v/>
      </c>
      <c r="U451" s="17">
        <f>IF($A451="","",$M451-$Q451)</f>
        <v/>
      </c>
      <c r="V451" s="17">
        <f>IF($A451="","",$R451-$M451)</f>
        <v/>
      </c>
    </row>
    <row r="452">
      <c r="A452" s="17">
        <f>IF('ANAHTAR'!$B452="","",'ANAHTAR'!$B452)</f>
        <v/>
      </c>
      <c r="B452" s="17">
        <f>IF($A452="","",IFERROR(SUMIF(tblAnahtarA[Norm],$A452,tblGirdi[ToplamSatis]),0))</f>
        <v/>
      </c>
      <c r="C452" s="17">
        <f>IF($A452="","",IFERROR(SUMIF(tblAnahtarA[Norm],$A452,tblGirdi[Maliyet])*IFERROR(SUMIF(tblAnahtarA[Norm],$A452,tblGirdi[Miktar]),1),0))</f>
        <v/>
      </c>
      <c r="D452" s="17">
        <f>IF($A452="","",IFERROR(SUMIF(tblAnahtarA[Norm],$A452,tblGirdi[Miktar]),0))</f>
        <v/>
      </c>
      <c r="E452" s="17">
        <f>IF($A452="","",IFERROR(SUMIF(tblAnahtarA[Norm],$A452,tblGirdi[KomisyonOran]),0))</f>
        <v/>
      </c>
      <c r="F452" s="17">
        <f>IF($A452="","",ROUND($B452*$E452,2))</f>
        <v/>
      </c>
      <c r="G452" s="17">
        <f>IF($A452="","",IFERROR(SUMIF(tblAnahtarB[NormB],$A452,tblHakedis[TyPlus]),0))</f>
        <v/>
      </c>
      <c r="H452" s="17">
        <f>IF($A452="","",IFERROR(SUMIF(tblAnahtarB[NormB],$A452,tblHakedis[FlasKesinti]),0))</f>
        <v/>
      </c>
      <c r="I452" s="17">
        <f>IF($A452="","",IFERROR(SUMIF(tblAnahtarB[NormB],$A452,tblHakedis[UrunReklam]),0))</f>
        <v/>
      </c>
      <c r="J452" s="17">
        <f>IF($A452="","",IFERROR(SUMIF(tblAnahtarB[NormB],$A452,tblHakedis[DesiKargo]),0))</f>
        <v/>
      </c>
      <c r="K452" s="17">
        <f>IF($A452="","",ROUND($F452+$G452+$H452+$I452+$J452,2))</f>
        <v/>
      </c>
      <c r="L452" s="17">
        <f>IF($A452="","",ROUND($B452-$C452,2))</f>
        <v/>
      </c>
      <c r="M452" s="17">
        <f>IF($A452="","",ROUND($B452-$C452-$K452,2))</f>
        <v/>
      </c>
      <c r="N452" s="17">
        <f>IF(OR($A452="",$B452=0),0,$M452/$B452)</f>
        <v/>
      </c>
      <c r="O452" s="17">
        <f>IF($A452="","",IF((1-$E452)&lt;=0,0,IF($D452=0,0,ROUND(($C452+$G452+$H452+$I452+$J452)/$D452/(1-$E452),2))))</f>
        <v/>
      </c>
      <c r="P452" s="17">
        <f>IF($A452="","",IFERROR(SUMIF(tblAnahtarA[Norm],$A452,tblGirdi[HedefNet]),0))</f>
        <v/>
      </c>
      <c r="Q452" s="17">
        <f>IF($A452="","",ROUND($M452-$P452,2))</f>
        <v/>
      </c>
      <c r="R452" s="17">
        <f>IF($A452="","",ROUND($B452-$K452,2))</f>
        <v/>
      </c>
      <c r="S452" s="17">
        <f>IF($A452="","",IF($N452&lt;0,"ÇEKİL",IF($N452&lt;tyk_esikMarjDusuk,"ZAM","SAT")))</f>
        <v/>
      </c>
      <c r="T452" s="17">
        <f>IF($A452="","",$L452-$F452)</f>
        <v/>
      </c>
      <c r="U452" s="17">
        <f>IF($A452="","",$M452-$Q452)</f>
        <v/>
      </c>
      <c r="V452" s="17">
        <f>IF($A452="","",$R452-$M452)</f>
        <v/>
      </c>
    </row>
    <row r="453">
      <c r="A453" s="17">
        <f>IF('ANAHTAR'!$B453="","",'ANAHTAR'!$B453)</f>
        <v/>
      </c>
      <c r="B453" s="17">
        <f>IF($A453="","",IFERROR(SUMIF(tblAnahtarA[Norm],$A453,tblGirdi[ToplamSatis]),0))</f>
        <v/>
      </c>
      <c r="C453" s="17">
        <f>IF($A453="","",IFERROR(SUMIF(tblAnahtarA[Norm],$A453,tblGirdi[Maliyet])*IFERROR(SUMIF(tblAnahtarA[Norm],$A453,tblGirdi[Miktar]),1),0))</f>
        <v/>
      </c>
      <c r="D453" s="17">
        <f>IF($A453="","",IFERROR(SUMIF(tblAnahtarA[Norm],$A453,tblGirdi[Miktar]),0))</f>
        <v/>
      </c>
      <c r="E453" s="17">
        <f>IF($A453="","",IFERROR(SUMIF(tblAnahtarA[Norm],$A453,tblGirdi[KomisyonOran]),0))</f>
        <v/>
      </c>
      <c r="F453" s="17">
        <f>IF($A453="","",ROUND($B453*$E453,2))</f>
        <v/>
      </c>
      <c r="G453" s="17">
        <f>IF($A453="","",IFERROR(SUMIF(tblAnahtarB[NormB],$A453,tblHakedis[TyPlus]),0))</f>
        <v/>
      </c>
      <c r="H453" s="17">
        <f>IF($A453="","",IFERROR(SUMIF(tblAnahtarB[NormB],$A453,tblHakedis[FlasKesinti]),0))</f>
        <v/>
      </c>
      <c r="I453" s="17">
        <f>IF($A453="","",IFERROR(SUMIF(tblAnahtarB[NormB],$A453,tblHakedis[UrunReklam]),0))</f>
        <v/>
      </c>
      <c r="J453" s="17">
        <f>IF($A453="","",IFERROR(SUMIF(tblAnahtarB[NormB],$A453,tblHakedis[DesiKargo]),0))</f>
        <v/>
      </c>
      <c r="K453" s="17">
        <f>IF($A453="","",ROUND($F453+$G453+$H453+$I453+$J453,2))</f>
        <v/>
      </c>
      <c r="L453" s="17">
        <f>IF($A453="","",ROUND($B453-$C453,2))</f>
        <v/>
      </c>
      <c r="M453" s="17">
        <f>IF($A453="","",ROUND($B453-$C453-$K453,2))</f>
        <v/>
      </c>
      <c r="N453" s="17">
        <f>IF(OR($A453="",$B453=0),0,$M453/$B453)</f>
        <v/>
      </c>
      <c r="O453" s="17">
        <f>IF($A453="","",IF((1-$E453)&lt;=0,0,IF($D453=0,0,ROUND(($C453+$G453+$H453+$I453+$J453)/$D453/(1-$E453),2))))</f>
        <v/>
      </c>
      <c r="P453" s="17">
        <f>IF($A453="","",IFERROR(SUMIF(tblAnahtarA[Norm],$A453,tblGirdi[HedefNet]),0))</f>
        <v/>
      </c>
      <c r="Q453" s="17">
        <f>IF($A453="","",ROUND($M453-$P453,2))</f>
        <v/>
      </c>
      <c r="R453" s="17">
        <f>IF($A453="","",ROUND($B453-$K453,2))</f>
        <v/>
      </c>
      <c r="S453" s="17">
        <f>IF($A453="","",IF($N453&lt;0,"ÇEKİL",IF($N453&lt;tyk_esikMarjDusuk,"ZAM","SAT")))</f>
        <v/>
      </c>
      <c r="T453" s="17">
        <f>IF($A453="","",$L453-$F453)</f>
        <v/>
      </c>
      <c r="U453" s="17">
        <f>IF($A453="","",$M453-$Q453)</f>
        <v/>
      </c>
      <c r="V453" s="17">
        <f>IF($A453="","",$R453-$M453)</f>
        <v/>
      </c>
    </row>
    <row r="454">
      <c r="A454" s="17">
        <f>IF('ANAHTAR'!$B454="","",'ANAHTAR'!$B454)</f>
        <v/>
      </c>
      <c r="B454" s="17">
        <f>IF($A454="","",IFERROR(SUMIF(tblAnahtarA[Norm],$A454,tblGirdi[ToplamSatis]),0))</f>
        <v/>
      </c>
      <c r="C454" s="17">
        <f>IF($A454="","",IFERROR(SUMIF(tblAnahtarA[Norm],$A454,tblGirdi[Maliyet])*IFERROR(SUMIF(tblAnahtarA[Norm],$A454,tblGirdi[Miktar]),1),0))</f>
        <v/>
      </c>
      <c r="D454" s="17">
        <f>IF($A454="","",IFERROR(SUMIF(tblAnahtarA[Norm],$A454,tblGirdi[Miktar]),0))</f>
        <v/>
      </c>
      <c r="E454" s="17">
        <f>IF($A454="","",IFERROR(SUMIF(tblAnahtarA[Norm],$A454,tblGirdi[KomisyonOran]),0))</f>
        <v/>
      </c>
      <c r="F454" s="17">
        <f>IF($A454="","",ROUND($B454*$E454,2))</f>
        <v/>
      </c>
      <c r="G454" s="17">
        <f>IF($A454="","",IFERROR(SUMIF(tblAnahtarB[NormB],$A454,tblHakedis[TyPlus]),0))</f>
        <v/>
      </c>
      <c r="H454" s="17">
        <f>IF($A454="","",IFERROR(SUMIF(tblAnahtarB[NormB],$A454,tblHakedis[FlasKesinti]),0))</f>
        <v/>
      </c>
      <c r="I454" s="17">
        <f>IF($A454="","",IFERROR(SUMIF(tblAnahtarB[NormB],$A454,tblHakedis[UrunReklam]),0))</f>
        <v/>
      </c>
      <c r="J454" s="17">
        <f>IF($A454="","",IFERROR(SUMIF(tblAnahtarB[NormB],$A454,tblHakedis[DesiKargo]),0))</f>
        <v/>
      </c>
      <c r="K454" s="17">
        <f>IF($A454="","",ROUND($F454+$G454+$H454+$I454+$J454,2))</f>
        <v/>
      </c>
      <c r="L454" s="17">
        <f>IF($A454="","",ROUND($B454-$C454,2))</f>
        <v/>
      </c>
      <c r="M454" s="17">
        <f>IF($A454="","",ROUND($B454-$C454-$K454,2))</f>
        <v/>
      </c>
      <c r="N454" s="17">
        <f>IF(OR($A454="",$B454=0),0,$M454/$B454)</f>
        <v/>
      </c>
      <c r="O454" s="17">
        <f>IF($A454="","",IF((1-$E454)&lt;=0,0,IF($D454=0,0,ROUND(($C454+$G454+$H454+$I454+$J454)/$D454/(1-$E454),2))))</f>
        <v/>
      </c>
      <c r="P454" s="17">
        <f>IF($A454="","",IFERROR(SUMIF(tblAnahtarA[Norm],$A454,tblGirdi[HedefNet]),0))</f>
        <v/>
      </c>
      <c r="Q454" s="17">
        <f>IF($A454="","",ROUND($M454-$P454,2))</f>
        <v/>
      </c>
      <c r="R454" s="17">
        <f>IF($A454="","",ROUND($B454-$K454,2))</f>
        <v/>
      </c>
      <c r="S454" s="17">
        <f>IF($A454="","",IF($N454&lt;0,"ÇEKİL",IF($N454&lt;tyk_esikMarjDusuk,"ZAM","SAT")))</f>
        <v/>
      </c>
      <c r="T454" s="17">
        <f>IF($A454="","",$L454-$F454)</f>
        <v/>
      </c>
      <c r="U454" s="17">
        <f>IF($A454="","",$M454-$Q454)</f>
        <v/>
      </c>
      <c r="V454" s="17">
        <f>IF($A454="","",$R454-$M454)</f>
        <v/>
      </c>
    </row>
    <row r="455">
      <c r="A455" s="17">
        <f>IF('ANAHTAR'!$B455="","",'ANAHTAR'!$B455)</f>
        <v/>
      </c>
      <c r="B455" s="17">
        <f>IF($A455="","",IFERROR(SUMIF(tblAnahtarA[Norm],$A455,tblGirdi[ToplamSatis]),0))</f>
        <v/>
      </c>
      <c r="C455" s="17">
        <f>IF($A455="","",IFERROR(SUMIF(tblAnahtarA[Norm],$A455,tblGirdi[Maliyet])*IFERROR(SUMIF(tblAnahtarA[Norm],$A455,tblGirdi[Miktar]),1),0))</f>
        <v/>
      </c>
      <c r="D455" s="17">
        <f>IF($A455="","",IFERROR(SUMIF(tblAnahtarA[Norm],$A455,tblGirdi[Miktar]),0))</f>
        <v/>
      </c>
      <c r="E455" s="17">
        <f>IF($A455="","",IFERROR(SUMIF(tblAnahtarA[Norm],$A455,tblGirdi[KomisyonOran]),0))</f>
        <v/>
      </c>
      <c r="F455" s="17">
        <f>IF($A455="","",ROUND($B455*$E455,2))</f>
        <v/>
      </c>
      <c r="G455" s="17">
        <f>IF($A455="","",IFERROR(SUMIF(tblAnahtarB[NormB],$A455,tblHakedis[TyPlus]),0))</f>
        <v/>
      </c>
      <c r="H455" s="17">
        <f>IF($A455="","",IFERROR(SUMIF(tblAnahtarB[NormB],$A455,tblHakedis[FlasKesinti]),0))</f>
        <v/>
      </c>
      <c r="I455" s="17">
        <f>IF($A455="","",IFERROR(SUMIF(tblAnahtarB[NormB],$A455,tblHakedis[UrunReklam]),0))</f>
        <v/>
      </c>
      <c r="J455" s="17">
        <f>IF($A455="","",IFERROR(SUMIF(tblAnahtarB[NormB],$A455,tblHakedis[DesiKargo]),0))</f>
        <v/>
      </c>
      <c r="K455" s="17">
        <f>IF($A455="","",ROUND($F455+$G455+$H455+$I455+$J455,2))</f>
        <v/>
      </c>
      <c r="L455" s="17">
        <f>IF($A455="","",ROUND($B455-$C455,2))</f>
        <v/>
      </c>
      <c r="M455" s="17">
        <f>IF($A455="","",ROUND($B455-$C455-$K455,2))</f>
        <v/>
      </c>
      <c r="N455" s="17">
        <f>IF(OR($A455="",$B455=0),0,$M455/$B455)</f>
        <v/>
      </c>
      <c r="O455" s="17">
        <f>IF($A455="","",IF((1-$E455)&lt;=0,0,IF($D455=0,0,ROUND(($C455+$G455+$H455+$I455+$J455)/$D455/(1-$E455),2))))</f>
        <v/>
      </c>
      <c r="P455" s="17">
        <f>IF($A455="","",IFERROR(SUMIF(tblAnahtarA[Norm],$A455,tblGirdi[HedefNet]),0))</f>
        <v/>
      </c>
      <c r="Q455" s="17">
        <f>IF($A455="","",ROUND($M455-$P455,2))</f>
        <v/>
      </c>
      <c r="R455" s="17">
        <f>IF($A455="","",ROUND($B455-$K455,2))</f>
        <v/>
      </c>
      <c r="S455" s="17">
        <f>IF($A455="","",IF($N455&lt;0,"ÇEKİL",IF($N455&lt;tyk_esikMarjDusuk,"ZAM","SAT")))</f>
        <v/>
      </c>
      <c r="T455" s="17">
        <f>IF($A455="","",$L455-$F455)</f>
        <v/>
      </c>
      <c r="U455" s="17">
        <f>IF($A455="","",$M455-$Q455)</f>
        <v/>
      </c>
      <c r="V455" s="17">
        <f>IF($A455="","",$R455-$M455)</f>
        <v/>
      </c>
    </row>
    <row r="456">
      <c r="A456" s="17">
        <f>IF('ANAHTAR'!$B456="","",'ANAHTAR'!$B456)</f>
        <v/>
      </c>
      <c r="B456" s="17">
        <f>IF($A456="","",IFERROR(SUMIF(tblAnahtarA[Norm],$A456,tblGirdi[ToplamSatis]),0))</f>
        <v/>
      </c>
      <c r="C456" s="17">
        <f>IF($A456="","",IFERROR(SUMIF(tblAnahtarA[Norm],$A456,tblGirdi[Maliyet])*IFERROR(SUMIF(tblAnahtarA[Norm],$A456,tblGirdi[Miktar]),1),0))</f>
        <v/>
      </c>
      <c r="D456" s="17">
        <f>IF($A456="","",IFERROR(SUMIF(tblAnahtarA[Norm],$A456,tblGirdi[Miktar]),0))</f>
        <v/>
      </c>
      <c r="E456" s="17">
        <f>IF($A456="","",IFERROR(SUMIF(tblAnahtarA[Norm],$A456,tblGirdi[KomisyonOran]),0))</f>
        <v/>
      </c>
      <c r="F456" s="17">
        <f>IF($A456="","",ROUND($B456*$E456,2))</f>
        <v/>
      </c>
      <c r="G456" s="17">
        <f>IF($A456="","",IFERROR(SUMIF(tblAnahtarB[NormB],$A456,tblHakedis[TyPlus]),0))</f>
        <v/>
      </c>
      <c r="H456" s="17">
        <f>IF($A456="","",IFERROR(SUMIF(tblAnahtarB[NormB],$A456,tblHakedis[FlasKesinti]),0))</f>
        <v/>
      </c>
      <c r="I456" s="17">
        <f>IF($A456="","",IFERROR(SUMIF(tblAnahtarB[NormB],$A456,tblHakedis[UrunReklam]),0))</f>
        <v/>
      </c>
      <c r="J456" s="17">
        <f>IF($A456="","",IFERROR(SUMIF(tblAnahtarB[NormB],$A456,tblHakedis[DesiKargo]),0))</f>
        <v/>
      </c>
      <c r="K456" s="17">
        <f>IF($A456="","",ROUND($F456+$G456+$H456+$I456+$J456,2))</f>
        <v/>
      </c>
      <c r="L456" s="17">
        <f>IF($A456="","",ROUND($B456-$C456,2))</f>
        <v/>
      </c>
      <c r="M456" s="17">
        <f>IF($A456="","",ROUND($B456-$C456-$K456,2))</f>
        <v/>
      </c>
      <c r="N456" s="17">
        <f>IF(OR($A456="",$B456=0),0,$M456/$B456)</f>
        <v/>
      </c>
      <c r="O456" s="17">
        <f>IF($A456="","",IF((1-$E456)&lt;=0,0,IF($D456=0,0,ROUND(($C456+$G456+$H456+$I456+$J456)/$D456/(1-$E456),2))))</f>
        <v/>
      </c>
      <c r="P456" s="17">
        <f>IF($A456="","",IFERROR(SUMIF(tblAnahtarA[Norm],$A456,tblGirdi[HedefNet]),0))</f>
        <v/>
      </c>
      <c r="Q456" s="17">
        <f>IF($A456="","",ROUND($M456-$P456,2))</f>
        <v/>
      </c>
      <c r="R456" s="17">
        <f>IF($A456="","",ROUND($B456-$K456,2))</f>
        <v/>
      </c>
      <c r="S456" s="17">
        <f>IF($A456="","",IF($N456&lt;0,"ÇEKİL",IF($N456&lt;tyk_esikMarjDusuk,"ZAM","SAT")))</f>
        <v/>
      </c>
      <c r="T456" s="17">
        <f>IF($A456="","",$L456-$F456)</f>
        <v/>
      </c>
      <c r="U456" s="17">
        <f>IF($A456="","",$M456-$Q456)</f>
        <v/>
      </c>
      <c r="V456" s="17">
        <f>IF($A456="","",$R456-$M456)</f>
        <v/>
      </c>
    </row>
    <row r="457">
      <c r="A457" s="17">
        <f>IF('ANAHTAR'!$B457="","",'ANAHTAR'!$B457)</f>
        <v/>
      </c>
      <c r="B457" s="17">
        <f>IF($A457="","",IFERROR(SUMIF(tblAnahtarA[Norm],$A457,tblGirdi[ToplamSatis]),0))</f>
        <v/>
      </c>
      <c r="C457" s="17">
        <f>IF($A457="","",IFERROR(SUMIF(tblAnahtarA[Norm],$A457,tblGirdi[Maliyet])*IFERROR(SUMIF(tblAnahtarA[Norm],$A457,tblGirdi[Miktar]),1),0))</f>
        <v/>
      </c>
      <c r="D457" s="17">
        <f>IF($A457="","",IFERROR(SUMIF(tblAnahtarA[Norm],$A457,tblGirdi[Miktar]),0))</f>
        <v/>
      </c>
      <c r="E457" s="17">
        <f>IF($A457="","",IFERROR(SUMIF(tblAnahtarA[Norm],$A457,tblGirdi[KomisyonOran]),0))</f>
        <v/>
      </c>
      <c r="F457" s="17">
        <f>IF($A457="","",ROUND($B457*$E457,2))</f>
        <v/>
      </c>
      <c r="G457" s="17">
        <f>IF($A457="","",IFERROR(SUMIF(tblAnahtarB[NormB],$A457,tblHakedis[TyPlus]),0))</f>
        <v/>
      </c>
      <c r="H457" s="17">
        <f>IF($A457="","",IFERROR(SUMIF(tblAnahtarB[NormB],$A457,tblHakedis[FlasKesinti]),0))</f>
        <v/>
      </c>
      <c r="I457" s="17">
        <f>IF($A457="","",IFERROR(SUMIF(tblAnahtarB[NormB],$A457,tblHakedis[UrunReklam]),0))</f>
        <v/>
      </c>
      <c r="J457" s="17">
        <f>IF($A457="","",IFERROR(SUMIF(tblAnahtarB[NormB],$A457,tblHakedis[DesiKargo]),0))</f>
        <v/>
      </c>
      <c r="K457" s="17">
        <f>IF($A457="","",ROUND($F457+$G457+$H457+$I457+$J457,2))</f>
        <v/>
      </c>
      <c r="L457" s="17">
        <f>IF($A457="","",ROUND($B457-$C457,2))</f>
        <v/>
      </c>
      <c r="M457" s="17">
        <f>IF($A457="","",ROUND($B457-$C457-$K457,2))</f>
        <v/>
      </c>
      <c r="N457" s="17">
        <f>IF(OR($A457="",$B457=0),0,$M457/$B457)</f>
        <v/>
      </c>
      <c r="O457" s="17">
        <f>IF($A457="","",IF((1-$E457)&lt;=0,0,IF($D457=0,0,ROUND(($C457+$G457+$H457+$I457+$J457)/$D457/(1-$E457),2))))</f>
        <v/>
      </c>
      <c r="P457" s="17">
        <f>IF($A457="","",IFERROR(SUMIF(tblAnahtarA[Norm],$A457,tblGirdi[HedefNet]),0))</f>
        <v/>
      </c>
      <c r="Q457" s="17">
        <f>IF($A457="","",ROUND($M457-$P457,2))</f>
        <v/>
      </c>
      <c r="R457" s="17">
        <f>IF($A457="","",ROUND($B457-$K457,2))</f>
        <v/>
      </c>
      <c r="S457" s="17">
        <f>IF($A457="","",IF($N457&lt;0,"ÇEKİL",IF($N457&lt;tyk_esikMarjDusuk,"ZAM","SAT")))</f>
        <v/>
      </c>
      <c r="T457" s="17">
        <f>IF($A457="","",$L457-$F457)</f>
        <v/>
      </c>
      <c r="U457" s="17">
        <f>IF($A457="","",$M457-$Q457)</f>
        <v/>
      </c>
      <c r="V457" s="17">
        <f>IF($A457="","",$R457-$M457)</f>
        <v/>
      </c>
    </row>
    <row r="458">
      <c r="A458" s="17">
        <f>IF('ANAHTAR'!$B458="","",'ANAHTAR'!$B458)</f>
        <v/>
      </c>
      <c r="B458" s="17">
        <f>IF($A458="","",IFERROR(SUMIF(tblAnahtarA[Norm],$A458,tblGirdi[ToplamSatis]),0))</f>
        <v/>
      </c>
      <c r="C458" s="17">
        <f>IF($A458="","",IFERROR(SUMIF(tblAnahtarA[Norm],$A458,tblGirdi[Maliyet])*IFERROR(SUMIF(tblAnahtarA[Norm],$A458,tblGirdi[Miktar]),1),0))</f>
        <v/>
      </c>
      <c r="D458" s="17">
        <f>IF($A458="","",IFERROR(SUMIF(tblAnahtarA[Norm],$A458,tblGirdi[Miktar]),0))</f>
        <v/>
      </c>
      <c r="E458" s="17">
        <f>IF($A458="","",IFERROR(SUMIF(tblAnahtarA[Norm],$A458,tblGirdi[KomisyonOran]),0))</f>
        <v/>
      </c>
      <c r="F458" s="17">
        <f>IF($A458="","",ROUND($B458*$E458,2))</f>
        <v/>
      </c>
      <c r="G458" s="17">
        <f>IF($A458="","",IFERROR(SUMIF(tblAnahtarB[NormB],$A458,tblHakedis[TyPlus]),0))</f>
        <v/>
      </c>
      <c r="H458" s="17">
        <f>IF($A458="","",IFERROR(SUMIF(tblAnahtarB[NormB],$A458,tblHakedis[FlasKesinti]),0))</f>
        <v/>
      </c>
      <c r="I458" s="17">
        <f>IF($A458="","",IFERROR(SUMIF(tblAnahtarB[NormB],$A458,tblHakedis[UrunReklam]),0))</f>
        <v/>
      </c>
      <c r="J458" s="17">
        <f>IF($A458="","",IFERROR(SUMIF(tblAnahtarB[NormB],$A458,tblHakedis[DesiKargo]),0))</f>
        <v/>
      </c>
      <c r="K458" s="17">
        <f>IF($A458="","",ROUND($F458+$G458+$H458+$I458+$J458,2))</f>
        <v/>
      </c>
      <c r="L458" s="17">
        <f>IF($A458="","",ROUND($B458-$C458,2))</f>
        <v/>
      </c>
      <c r="M458" s="17">
        <f>IF($A458="","",ROUND($B458-$C458-$K458,2))</f>
        <v/>
      </c>
      <c r="N458" s="17">
        <f>IF(OR($A458="",$B458=0),0,$M458/$B458)</f>
        <v/>
      </c>
      <c r="O458" s="17">
        <f>IF($A458="","",IF((1-$E458)&lt;=0,0,IF($D458=0,0,ROUND(($C458+$G458+$H458+$I458+$J458)/$D458/(1-$E458),2))))</f>
        <v/>
      </c>
      <c r="P458" s="17">
        <f>IF($A458="","",IFERROR(SUMIF(tblAnahtarA[Norm],$A458,tblGirdi[HedefNet]),0))</f>
        <v/>
      </c>
      <c r="Q458" s="17">
        <f>IF($A458="","",ROUND($M458-$P458,2))</f>
        <v/>
      </c>
      <c r="R458" s="17">
        <f>IF($A458="","",ROUND($B458-$K458,2))</f>
        <v/>
      </c>
      <c r="S458" s="17">
        <f>IF($A458="","",IF($N458&lt;0,"ÇEKİL",IF($N458&lt;tyk_esikMarjDusuk,"ZAM","SAT")))</f>
        <v/>
      </c>
      <c r="T458" s="17">
        <f>IF($A458="","",$L458-$F458)</f>
        <v/>
      </c>
      <c r="U458" s="17">
        <f>IF($A458="","",$M458-$Q458)</f>
        <v/>
      </c>
      <c r="V458" s="17">
        <f>IF($A458="","",$R458-$M458)</f>
        <v/>
      </c>
    </row>
    <row r="459">
      <c r="A459" s="17">
        <f>IF('ANAHTAR'!$B459="","",'ANAHTAR'!$B459)</f>
        <v/>
      </c>
      <c r="B459" s="17">
        <f>IF($A459="","",IFERROR(SUMIF(tblAnahtarA[Norm],$A459,tblGirdi[ToplamSatis]),0))</f>
        <v/>
      </c>
      <c r="C459" s="17">
        <f>IF($A459="","",IFERROR(SUMIF(tblAnahtarA[Norm],$A459,tblGirdi[Maliyet])*IFERROR(SUMIF(tblAnahtarA[Norm],$A459,tblGirdi[Miktar]),1),0))</f>
        <v/>
      </c>
      <c r="D459" s="17">
        <f>IF($A459="","",IFERROR(SUMIF(tblAnahtarA[Norm],$A459,tblGirdi[Miktar]),0))</f>
        <v/>
      </c>
      <c r="E459" s="17">
        <f>IF($A459="","",IFERROR(SUMIF(tblAnahtarA[Norm],$A459,tblGirdi[KomisyonOran]),0))</f>
        <v/>
      </c>
      <c r="F459" s="17">
        <f>IF($A459="","",ROUND($B459*$E459,2))</f>
        <v/>
      </c>
      <c r="G459" s="17">
        <f>IF($A459="","",IFERROR(SUMIF(tblAnahtarB[NormB],$A459,tblHakedis[TyPlus]),0))</f>
        <v/>
      </c>
      <c r="H459" s="17">
        <f>IF($A459="","",IFERROR(SUMIF(tblAnahtarB[NormB],$A459,tblHakedis[FlasKesinti]),0))</f>
        <v/>
      </c>
      <c r="I459" s="17">
        <f>IF($A459="","",IFERROR(SUMIF(tblAnahtarB[NormB],$A459,tblHakedis[UrunReklam]),0))</f>
        <v/>
      </c>
      <c r="J459" s="17">
        <f>IF($A459="","",IFERROR(SUMIF(tblAnahtarB[NormB],$A459,tblHakedis[DesiKargo]),0))</f>
        <v/>
      </c>
      <c r="K459" s="17">
        <f>IF($A459="","",ROUND($F459+$G459+$H459+$I459+$J459,2))</f>
        <v/>
      </c>
      <c r="L459" s="17">
        <f>IF($A459="","",ROUND($B459-$C459,2))</f>
        <v/>
      </c>
      <c r="M459" s="17">
        <f>IF($A459="","",ROUND($B459-$C459-$K459,2))</f>
        <v/>
      </c>
      <c r="N459" s="17">
        <f>IF(OR($A459="",$B459=0),0,$M459/$B459)</f>
        <v/>
      </c>
      <c r="O459" s="17">
        <f>IF($A459="","",IF((1-$E459)&lt;=0,0,IF($D459=0,0,ROUND(($C459+$G459+$H459+$I459+$J459)/$D459/(1-$E459),2))))</f>
        <v/>
      </c>
      <c r="P459" s="17">
        <f>IF($A459="","",IFERROR(SUMIF(tblAnahtarA[Norm],$A459,tblGirdi[HedefNet]),0))</f>
        <v/>
      </c>
      <c r="Q459" s="17">
        <f>IF($A459="","",ROUND($M459-$P459,2))</f>
        <v/>
      </c>
      <c r="R459" s="17">
        <f>IF($A459="","",ROUND($B459-$K459,2))</f>
        <v/>
      </c>
      <c r="S459" s="17">
        <f>IF($A459="","",IF($N459&lt;0,"ÇEKİL",IF($N459&lt;tyk_esikMarjDusuk,"ZAM","SAT")))</f>
        <v/>
      </c>
      <c r="T459" s="17">
        <f>IF($A459="","",$L459-$F459)</f>
        <v/>
      </c>
      <c r="U459" s="17">
        <f>IF($A459="","",$M459-$Q459)</f>
        <v/>
      </c>
      <c r="V459" s="17">
        <f>IF($A459="","",$R459-$M459)</f>
        <v/>
      </c>
    </row>
    <row r="460">
      <c r="A460" s="17">
        <f>IF('ANAHTAR'!$B460="","",'ANAHTAR'!$B460)</f>
        <v/>
      </c>
      <c r="B460" s="17">
        <f>IF($A460="","",IFERROR(SUMIF(tblAnahtarA[Norm],$A460,tblGirdi[ToplamSatis]),0))</f>
        <v/>
      </c>
      <c r="C460" s="17">
        <f>IF($A460="","",IFERROR(SUMIF(tblAnahtarA[Norm],$A460,tblGirdi[Maliyet])*IFERROR(SUMIF(tblAnahtarA[Norm],$A460,tblGirdi[Miktar]),1),0))</f>
        <v/>
      </c>
      <c r="D460" s="17">
        <f>IF($A460="","",IFERROR(SUMIF(tblAnahtarA[Norm],$A460,tblGirdi[Miktar]),0))</f>
        <v/>
      </c>
      <c r="E460" s="17">
        <f>IF($A460="","",IFERROR(SUMIF(tblAnahtarA[Norm],$A460,tblGirdi[KomisyonOran]),0))</f>
        <v/>
      </c>
      <c r="F460" s="17">
        <f>IF($A460="","",ROUND($B460*$E460,2))</f>
        <v/>
      </c>
      <c r="G460" s="17">
        <f>IF($A460="","",IFERROR(SUMIF(tblAnahtarB[NormB],$A460,tblHakedis[TyPlus]),0))</f>
        <v/>
      </c>
      <c r="H460" s="17">
        <f>IF($A460="","",IFERROR(SUMIF(tblAnahtarB[NormB],$A460,tblHakedis[FlasKesinti]),0))</f>
        <v/>
      </c>
      <c r="I460" s="17">
        <f>IF($A460="","",IFERROR(SUMIF(tblAnahtarB[NormB],$A460,tblHakedis[UrunReklam]),0))</f>
        <v/>
      </c>
      <c r="J460" s="17">
        <f>IF($A460="","",IFERROR(SUMIF(tblAnahtarB[NormB],$A460,tblHakedis[DesiKargo]),0))</f>
        <v/>
      </c>
      <c r="K460" s="17">
        <f>IF($A460="","",ROUND($F460+$G460+$H460+$I460+$J460,2))</f>
        <v/>
      </c>
      <c r="L460" s="17">
        <f>IF($A460="","",ROUND($B460-$C460,2))</f>
        <v/>
      </c>
      <c r="M460" s="17">
        <f>IF($A460="","",ROUND($B460-$C460-$K460,2))</f>
        <v/>
      </c>
      <c r="N460" s="17">
        <f>IF(OR($A460="",$B460=0),0,$M460/$B460)</f>
        <v/>
      </c>
      <c r="O460" s="17">
        <f>IF($A460="","",IF((1-$E460)&lt;=0,0,IF($D460=0,0,ROUND(($C460+$G460+$H460+$I460+$J460)/$D460/(1-$E460),2))))</f>
        <v/>
      </c>
      <c r="P460" s="17">
        <f>IF($A460="","",IFERROR(SUMIF(tblAnahtarA[Norm],$A460,tblGirdi[HedefNet]),0))</f>
        <v/>
      </c>
      <c r="Q460" s="17">
        <f>IF($A460="","",ROUND($M460-$P460,2))</f>
        <v/>
      </c>
      <c r="R460" s="17">
        <f>IF($A460="","",ROUND($B460-$K460,2))</f>
        <v/>
      </c>
      <c r="S460" s="17">
        <f>IF($A460="","",IF($N460&lt;0,"ÇEKİL",IF($N460&lt;tyk_esikMarjDusuk,"ZAM","SAT")))</f>
        <v/>
      </c>
      <c r="T460" s="17">
        <f>IF($A460="","",$L460-$F460)</f>
        <v/>
      </c>
      <c r="U460" s="17">
        <f>IF($A460="","",$M460-$Q460)</f>
        <v/>
      </c>
      <c r="V460" s="17">
        <f>IF($A460="","",$R460-$M460)</f>
        <v/>
      </c>
    </row>
    <row r="461">
      <c r="A461" s="17">
        <f>IF('ANAHTAR'!$B461="","",'ANAHTAR'!$B461)</f>
        <v/>
      </c>
      <c r="B461" s="17">
        <f>IF($A461="","",IFERROR(SUMIF(tblAnahtarA[Norm],$A461,tblGirdi[ToplamSatis]),0))</f>
        <v/>
      </c>
      <c r="C461" s="17">
        <f>IF($A461="","",IFERROR(SUMIF(tblAnahtarA[Norm],$A461,tblGirdi[Maliyet])*IFERROR(SUMIF(tblAnahtarA[Norm],$A461,tblGirdi[Miktar]),1),0))</f>
        <v/>
      </c>
      <c r="D461" s="17">
        <f>IF($A461="","",IFERROR(SUMIF(tblAnahtarA[Norm],$A461,tblGirdi[Miktar]),0))</f>
        <v/>
      </c>
      <c r="E461" s="17">
        <f>IF($A461="","",IFERROR(SUMIF(tblAnahtarA[Norm],$A461,tblGirdi[KomisyonOran]),0))</f>
        <v/>
      </c>
      <c r="F461" s="17">
        <f>IF($A461="","",ROUND($B461*$E461,2))</f>
        <v/>
      </c>
      <c r="G461" s="17">
        <f>IF($A461="","",IFERROR(SUMIF(tblAnahtarB[NormB],$A461,tblHakedis[TyPlus]),0))</f>
        <v/>
      </c>
      <c r="H461" s="17">
        <f>IF($A461="","",IFERROR(SUMIF(tblAnahtarB[NormB],$A461,tblHakedis[FlasKesinti]),0))</f>
        <v/>
      </c>
      <c r="I461" s="17">
        <f>IF($A461="","",IFERROR(SUMIF(tblAnahtarB[NormB],$A461,tblHakedis[UrunReklam]),0))</f>
        <v/>
      </c>
      <c r="J461" s="17">
        <f>IF($A461="","",IFERROR(SUMIF(tblAnahtarB[NormB],$A461,tblHakedis[DesiKargo]),0))</f>
        <v/>
      </c>
      <c r="K461" s="17">
        <f>IF($A461="","",ROUND($F461+$G461+$H461+$I461+$J461,2))</f>
        <v/>
      </c>
      <c r="L461" s="17">
        <f>IF($A461="","",ROUND($B461-$C461,2))</f>
        <v/>
      </c>
      <c r="M461" s="17">
        <f>IF($A461="","",ROUND($B461-$C461-$K461,2))</f>
        <v/>
      </c>
      <c r="N461" s="17">
        <f>IF(OR($A461="",$B461=0),0,$M461/$B461)</f>
        <v/>
      </c>
      <c r="O461" s="17">
        <f>IF($A461="","",IF((1-$E461)&lt;=0,0,IF($D461=0,0,ROUND(($C461+$G461+$H461+$I461+$J461)/$D461/(1-$E461),2))))</f>
        <v/>
      </c>
      <c r="P461" s="17">
        <f>IF($A461="","",IFERROR(SUMIF(tblAnahtarA[Norm],$A461,tblGirdi[HedefNet]),0))</f>
        <v/>
      </c>
      <c r="Q461" s="17">
        <f>IF($A461="","",ROUND($M461-$P461,2))</f>
        <v/>
      </c>
      <c r="R461" s="17">
        <f>IF($A461="","",ROUND($B461-$K461,2))</f>
        <v/>
      </c>
      <c r="S461" s="17">
        <f>IF($A461="","",IF($N461&lt;0,"ÇEKİL",IF($N461&lt;tyk_esikMarjDusuk,"ZAM","SAT")))</f>
        <v/>
      </c>
      <c r="T461" s="17">
        <f>IF($A461="","",$L461-$F461)</f>
        <v/>
      </c>
      <c r="U461" s="17">
        <f>IF($A461="","",$M461-$Q461)</f>
        <v/>
      </c>
      <c r="V461" s="17">
        <f>IF($A461="","",$R461-$M461)</f>
        <v/>
      </c>
    </row>
    <row r="462">
      <c r="A462" s="17">
        <f>IF('ANAHTAR'!$B462="","",'ANAHTAR'!$B462)</f>
        <v/>
      </c>
      <c r="B462" s="17">
        <f>IF($A462="","",IFERROR(SUMIF(tblAnahtarA[Norm],$A462,tblGirdi[ToplamSatis]),0))</f>
        <v/>
      </c>
      <c r="C462" s="17">
        <f>IF($A462="","",IFERROR(SUMIF(tblAnahtarA[Norm],$A462,tblGirdi[Maliyet])*IFERROR(SUMIF(tblAnahtarA[Norm],$A462,tblGirdi[Miktar]),1),0))</f>
        <v/>
      </c>
      <c r="D462" s="17">
        <f>IF($A462="","",IFERROR(SUMIF(tblAnahtarA[Norm],$A462,tblGirdi[Miktar]),0))</f>
        <v/>
      </c>
      <c r="E462" s="17">
        <f>IF($A462="","",IFERROR(SUMIF(tblAnahtarA[Norm],$A462,tblGirdi[KomisyonOran]),0))</f>
        <v/>
      </c>
      <c r="F462" s="17">
        <f>IF($A462="","",ROUND($B462*$E462,2))</f>
        <v/>
      </c>
      <c r="G462" s="17">
        <f>IF($A462="","",IFERROR(SUMIF(tblAnahtarB[NormB],$A462,tblHakedis[TyPlus]),0))</f>
        <v/>
      </c>
      <c r="H462" s="17">
        <f>IF($A462="","",IFERROR(SUMIF(tblAnahtarB[NormB],$A462,tblHakedis[FlasKesinti]),0))</f>
        <v/>
      </c>
      <c r="I462" s="17">
        <f>IF($A462="","",IFERROR(SUMIF(tblAnahtarB[NormB],$A462,tblHakedis[UrunReklam]),0))</f>
        <v/>
      </c>
      <c r="J462" s="17">
        <f>IF($A462="","",IFERROR(SUMIF(tblAnahtarB[NormB],$A462,tblHakedis[DesiKargo]),0))</f>
        <v/>
      </c>
      <c r="K462" s="17">
        <f>IF($A462="","",ROUND($F462+$G462+$H462+$I462+$J462,2))</f>
        <v/>
      </c>
      <c r="L462" s="17">
        <f>IF($A462="","",ROUND($B462-$C462,2))</f>
        <v/>
      </c>
      <c r="M462" s="17">
        <f>IF($A462="","",ROUND($B462-$C462-$K462,2))</f>
        <v/>
      </c>
      <c r="N462" s="17">
        <f>IF(OR($A462="",$B462=0),0,$M462/$B462)</f>
        <v/>
      </c>
      <c r="O462" s="17">
        <f>IF($A462="","",IF((1-$E462)&lt;=0,0,IF($D462=0,0,ROUND(($C462+$G462+$H462+$I462+$J462)/$D462/(1-$E462),2))))</f>
        <v/>
      </c>
      <c r="P462" s="17">
        <f>IF($A462="","",IFERROR(SUMIF(tblAnahtarA[Norm],$A462,tblGirdi[HedefNet]),0))</f>
        <v/>
      </c>
      <c r="Q462" s="17">
        <f>IF($A462="","",ROUND($M462-$P462,2))</f>
        <v/>
      </c>
      <c r="R462" s="17">
        <f>IF($A462="","",ROUND($B462-$K462,2))</f>
        <v/>
      </c>
      <c r="S462" s="17">
        <f>IF($A462="","",IF($N462&lt;0,"ÇEKİL",IF($N462&lt;tyk_esikMarjDusuk,"ZAM","SAT")))</f>
        <v/>
      </c>
      <c r="T462" s="17">
        <f>IF($A462="","",$L462-$F462)</f>
        <v/>
      </c>
      <c r="U462" s="17">
        <f>IF($A462="","",$M462-$Q462)</f>
        <v/>
      </c>
      <c r="V462" s="17">
        <f>IF($A462="","",$R462-$M462)</f>
        <v/>
      </c>
    </row>
    <row r="463">
      <c r="A463" s="17">
        <f>IF('ANAHTAR'!$B463="","",'ANAHTAR'!$B463)</f>
        <v/>
      </c>
      <c r="B463" s="17">
        <f>IF($A463="","",IFERROR(SUMIF(tblAnahtarA[Norm],$A463,tblGirdi[ToplamSatis]),0))</f>
        <v/>
      </c>
      <c r="C463" s="17">
        <f>IF($A463="","",IFERROR(SUMIF(tblAnahtarA[Norm],$A463,tblGirdi[Maliyet])*IFERROR(SUMIF(tblAnahtarA[Norm],$A463,tblGirdi[Miktar]),1),0))</f>
        <v/>
      </c>
      <c r="D463" s="17">
        <f>IF($A463="","",IFERROR(SUMIF(tblAnahtarA[Norm],$A463,tblGirdi[Miktar]),0))</f>
        <v/>
      </c>
      <c r="E463" s="17">
        <f>IF($A463="","",IFERROR(SUMIF(tblAnahtarA[Norm],$A463,tblGirdi[KomisyonOran]),0))</f>
        <v/>
      </c>
      <c r="F463" s="17">
        <f>IF($A463="","",ROUND($B463*$E463,2))</f>
        <v/>
      </c>
      <c r="G463" s="17">
        <f>IF($A463="","",IFERROR(SUMIF(tblAnahtarB[NormB],$A463,tblHakedis[TyPlus]),0))</f>
        <v/>
      </c>
      <c r="H463" s="17">
        <f>IF($A463="","",IFERROR(SUMIF(tblAnahtarB[NormB],$A463,tblHakedis[FlasKesinti]),0))</f>
        <v/>
      </c>
      <c r="I463" s="17">
        <f>IF($A463="","",IFERROR(SUMIF(tblAnahtarB[NormB],$A463,tblHakedis[UrunReklam]),0))</f>
        <v/>
      </c>
      <c r="J463" s="17">
        <f>IF($A463="","",IFERROR(SUMIF(tblAnahtarB[NormB],$A463,tblHakedis[DesiKargo]),0))</f>
        <v/>
      </c>
      <c r="K463" s="17">
        <f>IF($A463="","",ROUND($F463+$G463+$H463+$I463+$J463,2))</f>
        <v/>
      </c>
      <c r="L463" s="17">
        <f>IF($A463="","",ROUND($B463-$C463,2))</f>
        <v/>
      </c>
      <c r="M463" s="17">
        <f>IF($A463="","",ROUND($B463-$C463-$K463,2))</f>
        <v/>
      </c>
      <c r="N463" s="17">
        <f>IF(OR($A463="",$B463=0),0,$M463/$B463)</f>
        <v/>
      </c>
      <c r="O463" s="17">
        <f>IF($A463="","",IF((1-$E463)&lt;=0,0,IF($D463=0,0,ROUND(($C463+$G463+$H463+$I463+$J463)/$D463/(1-$E463),2))))</f>
        <v/>
      </c>
      <c r="P463" s="17">
        <f>IF($A463="","",IFERROR(SUMIF(tblAnahtarA[Norm],$A463,tblGirdi[HedefNet]),0))</f>
        <v/>
      </c>
      <c r="Q463" s="17">
        <f>IF($A463="","",ROUND($M463-$P463,2))</f>
        <v/>
      </c>
      <c r="R463" s="17">
        <f>IF($A463="","",ROUND($B463-$K463,2))</f>
        <v/>
      </c>
      <c r="S463" s="17">
        <f>IF($A463="","",IF($N463&lt;0,"ÇEKİL",IF($N463&lt;tyk_esikMarjDusuk,"ZAM","SAT")))</f>
        <v/>
      </c>
      <c r="T463" s="17">
        <f>IF($A463="","",$L463-$F463)</f>
        <v/>
      </c>
      <c r="U463" s="17">
        <f>IF($A463="","",$M463-$Q463)</f>
        <v/>
      </c>
      <c r="V463" s="17">
        <f>IF($A463="","",$R463-$M463)</f>
        <v/>
      </c>
    </row>
    <row r="464">
      <c r="A464" s="17">
        <f>IF('ANAHTAR'!$B464="","",'ANAHTAR'!$B464)</f>
        <v/>
      </c>
      <c r="B464" s="17">
        <f>IF($A464="","",IFERROR(SUMIF(tblAnahtarA[Norm],$A464,tblGirdi[ToplamSatis]),0))</f>
        <v/>
      </c>
      <c r="C464" s="17">
        <f>IF($A464="","",IFERROR(SUMIF(tblAnahtarA[Norm],$A464,tblGirdi[Maliyet])*IFERROR(SUMIF(tblAnahtarA[Norm],$A464,tblGirdi[Miktar]),1),0))</f>
        <v/>
      </c>
      <c r="D464" s="17">
        <f>IF($A464="","",IFERROR(SUMIF(tblAnahtarA[Norm],$A464,tblGirdi[Miktar]),0))</f>
        <v/>
      </c>
      <c r="E464" s="17">
        <f>IF($A464="","",IFERROR(SUMIF(tblAnahtarA[Norm],$A464,tblGirdi[KomisyonOran]),0))</f>
        <v/>
      </c>
      <c r="F464" s="17">
        <f>IF($A464="","",ROUND($B464*$E464,2))</f>
        <v/>
      </c>
      <c r="G464" s="17">
        <f>IF($A464="","",IFERROR(SUMIF(tblAnahtarB[NormB],$A464,tblHakedis[TyPlus]),0))</f>
        <v/>
      </c>
      <c r="H464" s="17">
        <f>IF($A464="","",IFERROR(SUMIF(tblAnahtarB[NormB],$A464,tblHakedis[FlasKesinti]),0))</f>
        <v/>
      </c>
      <c r="I464" s="17">
        <f>IF($A464="","",IFERROR(SUMIF(tblAnahtarB[NormB],$A464,tblHakedis[UrunReklam]),0))</f>
        <v/>
      </c>
      <c r="J464" s="17">
        <f>IF($A464="","",IFERROR(SUMIF(tblAnahtarB[NormB],$A464,tblHakedis[DesiKargo]),0))</f>
        <v/>
      </c>
      <c r="K464" s="17">
        <f>IF($A464="","",ROUND($F464+$G464+$H464+$I464+$J464,2))</f>
        <v/>
      </c>
      <c r="L464" s="17">
        <f>IF($A464="","",ROUND($B464-$C464,2))</f>
        <v/>
      </c>
      <c r="M464" s="17">
        <f>IF($A464="","",ROUND($B464-$C464-$K464,2))</f>
        <v/>
      </c>
      <c r="N464" s="17">
        <f>IF(OR($A464="",$B464=0),0,$M464/$B464)</f>
        <v/>
      </c>
      <c r="O464" s="17">
        <f>IF($A464="","",IF((1-$E464)&lt;=0,0,IF($D464=0,0,ROUND(($C464+$G464+$H464+$I464+$J464)/$D464/(1-$E464),2))))</f>
        <v/>
      </c>
      <c r="P464" s="17">
        <f>IF($A464="","",IFERROR(SUMIF(tblAnahtarA[Norm],$A464,tblGirdi[HedefNet]),0))</f>
        <v/>
      </c>
      <c r="Q464" s="17">
        <f>IF($A464="","",ROUND($M464-$P464,2))</f>
        <v/>
      </c>
      <c r="R464" s="17">
        <f>IF($A464="","",ROUND($B464-$K464,2))</f>
        <v/>
      </c>
      <c r="S464" s="17">
        <f>IF($A464="","",IF($N464&lt;0,"ÇEKİL",IF($N464&lt;tyk_esikMarjDusuk,"ZAM","SAT")))</f>
        <v/>
      </c>
      <c r="T464" s="17">
        <f>IF($A464="","",$L464-$F464)</f>
        <v/>
      </c>
      <c r="U464" s="17">
        <f>IF($A464="","",$M464-$Q464)</f>
        <v/>
      </c>
      <c r="V464" s="17">
        <f>IF($A464="","",$R464-$M464)</f>
        <v/>
      </c>
    </row>
    <row r="465">
      <c r="A465" s="17">
        <f>IF('ANAHTAR'!$B465="","",'ANAHTAR'!$B465)</f>
        <v/>
      </c>
      <c r="B465" s="17">
        <f>IF($A465="","",IFERROR(SUMIF(tblAnahtarA[Norm],$A465,tblGirdi[ToplamSatis]),0))</f>
        <v/>
      </c>
      <c r="C465" s="17">
        <f>IF($A465="","",IFERROR(SUMIF(tblAnahtarA[Norm],$A465,tblGirdi[Maliyet])*IFERROR(SUMIF(tblAnahtarA[Norm],$A465,tblGirdi[Miktar]),1),0))</f>
        <v/>
      </c>
      <c r="D465" s="17">
        <f>IF($A465="","",IFERROR(SUMIF(tblAnahtarA[Norm],$A465,tblGirdi[Miktar]),0))</f>
        <v/>
      </c>
      <c r="E465" s="17">
        <f>IF($A465="","",IFERROR(SUMIF(tblAnahtarA[Norm],$A465,tblGirdi[KomisyonOran]),0))</f>
        <v/>
      </c>
      <c r="F465" s="17">
        <f>IF($A465="","",ROUND($B465*$E465,2))</f>
        <v/>
      </c>
      <c r="G465" s="17">
        <f>IF($A465="","",IFERROR(SUMIF(tblAnahtarB[NormB],$A465,tblHakedis[TyPlus]),0))</f>
        <v/>
      </c>
      <c r="H465" s="17">
        <f>IF($A465="","",IFERROR(SUMIF(tblAnahtarB[NormB],$A465,tblHakedis[FlasKesinti]),0))</f>
        <v/>
      </c>
      <c r="I465" s="17">
        <f>IF($A465="","",IFERROR(SUMIF(tblAnahtarB[NormB],$A465,tblHakedis[UrunReklam]),0))</f>
        <v/>
      </c>
      <c r="J465" s="17">
        <f>IF($A465="","",IFERROR(SUMIF(tblAnahtarB[NormB],$A465,tblHakedis[DesiKargo]),0))</f>
        <v/>
      </c>
      <c r="K465" s="17">
        <f>IF($A465="","",ROUND($F465+$G465+$H465+$I465+$J465,2))</f>
        <v/>
      </c>
      <c r="L465" s="17">
        <f>IF($A465="","",ROUND($B465-$C465,2))</f>
        <v/>
      </c>
      <c r="M465" s="17">
        <f>IF($A465="","",ROUND($B465-$C465-$K465,2))</f>
        <v/>
      </c>
      <c r="N465" s="17">
        <f>IF(OR($A465="",$B465=0),0,$M465/$B465)</f>
        <v/>
      </c>
      <c r="O465" s="17">
        <f>IF($A465="","",IF((1-$E465)&lt;=0,0,IF($D465=0,0,ROUND(($C465+$G465+$H465+$I465+$J465)/$D465/(1-$E465),2))))</f>
        <v/>
      </c>
      <c r="P465" s="17">
        <f>IF($A465="","",IFERROR(SUMIF(tblAnahtarA[Norm],$A465,tblGirdi[HedefNet]),0))</f>
        <v/>
      </c>
      <c r="Q465" s="17">
        <f>IF($A465="","",ROUND($M465-$P465,2))</f>
        <v/>
      </c>
      <c r="R465" s="17">
        <f>IF($A465="","",ROUND($B465-$K465,2))</f>
        <v/>
      </c>
      <c r="S465" s="17">
        <f>IF($A465="","",IF($N465&lt;0,"ÇEKİL",IF($N465&lt;tyk_esikMarjDusuk,"ZAM","SAT")))</f>
        <v/>
      </c>
      <c r="T465" s="17">
        <f>IF($A465="","",$L465-$F465)</f>
        <v/>
      </c>
      <c r="U465" s="17">
        <f>IF($A465="","",$M465-$Q465)</f>
        <v/>
      </c>
      <c r="V465" s="17">
        <f>IF($A465="","",$R465-$M465)</f>
        <v/>
      </c>
    </row>
    <row r="466">
      <c r="A466" s="17">
        <f>IF('ANAHTAR'!$B466="","",'ANAHTAR'!$B466)</f>
        <v/>
      </c>
      <c r="B466" s="17">
        <f>IF($A466="","",IFERROR(SUMIF(tblAnahtarA[Norm],$A466,tblGirdi[ToplamSatis]),0))</f>
        <v/>
      </c>
      <c r="C466" s="17">
        <f>IF($A466="","",IFERROR(SUMIF(tblAnahtarA[Norm],$A466,tblGirdi[Maliyet])*IFERROR(SUMIF(tblAnahtarA[Norm],$A466,tblGirdi[Miktar]),1),0))</f>
        <v/>
      </c>
      <c r="D466" s="17">
        <f>IF($A466="","",IFERROR(SUMIF(tblAnahtarA[Norm],$A466,tblGirdi[Miktar]),0))</f>
        <v/>
      </c>
      <c r="E466" s="17">
        <f>IF($A466="","",IFERROR(SUMIF(tblAnahtarA[Norm],$A466,tblGirdi[KomisyonOran]),0))</f>
        <v/>
      </c>
      <c r="F466" s="17">
        <f>IF($A466="","",ROUND($B466*$E466,2))</f>
        <v/>
      </c>
      <c r="G466" s="17">
        <f>IF($A466="","",IFERROR(SUMIF(tblAnahtarB[NormB],$A466,tblHakedis[TyPlus]),0))</f>
        <v/>
      </c>
      <c r="H466" s="17">
        <f>IF($A466="","",IFERROR(SUMIF(tblAnahtarB[NormB],$A466,tblHakedis[FlasKesinti]),0))</f>
        <v/>
      </c>
      <c r="I466" s="17">
        <f>IF($A466="","",IFERROR(SUMIF(tblAnahtarB[NormB],$A466,tblHakedis[UrunReklam]),0))</f>
        <v/>
      </c>
      <c r="J466" s="17">
        <f>IF($A466="","",IFERROR(SUMIF(tblAnahtarB[NormB],$A466,tblHakedis[DesiKargo]),0))</f>
        <v/>
      </c>
      <c r="K466" s="17">
        <f>IF($A466="","",ROUND($F466+$G466+$H466+$I466+$J466,2))</f>
        <v/>
      </c>
      <c r="L466" s="17">
        <f>IF($A466="","",ROUND($B466-$C466,2))</f>
        <v/>
      </c>
      <c r="M466" s="17">
        <f>IF($A466="","",ROUND($B466-$C466-$K466,2))</f>
        <v/>
      </c>
      <c r="N466" s="17">
        <f>IF(OR($A466="",$B466=0),0,$M466/$B466)</f>
        <v/>
      </c>
      <c r="O466" s="17">
        <f>IF($A466="","",IF((1-$E466)&lt;=0,0,IF($D466=0,0,ROUND(($C466+$G466+$H466+$I466+$J466)/$D466/(1-$E466),2))))</f>
        <v/>
      </c>
      <c r="P466" s="17">
        <f>IF($A466="","",IFERROR(SUMIF(tblAnahtarA[Norm],$A466,tblGirdi[HedefNet]),0))</f>
        <v/>
      </c>
      <c r="Q466" s="17">
        <f>IF($A466="","",ROUND($M466-$P466,2))</f>
        <v/>
      </c>
      <c r="R466" s="17">
        <f>IF($A466="","",ROUND($B466-$K466,2))</f>
        <v/>
      </c>
      <c r="S466" s="17">
        <f>IF($A466="","",IF($N466&lt;0,"ÇEKİL",IF($N466&lt;tyk_esikMarjDusuk,"ZAM","SAT")))</f>
        <v/>
      </c>
      <c r="T466" s="17">
        <f>IF($A466="","",$L466-$F466)</f>
        <v/>
      </c>
      <c r="U466" s="17">
        <f>IF($A466="","",$M466-$Q466)</f>
        <v/>
      </c>
      <c r="V466" s="17">
        <f>IF($A466="","",$R466-$M466)</f>
        <v/>
      </c>
    </row>
    <row r="467">
      <c r="A467" s="17">
        <f>IF('ANAHTAR'!$B467="","",'ANAHTAR'!$B467)</f>
        <v/>
      </c>
      <c r="B467" s="17">
        <f>IF($A467="","",IFERROR(SUMIF(tblAnahtarA[Norm],$A467,tblGirdi[ToplamSatis]),0))</f>
        <v/>
      </c>
      <c r="C467" s="17">
        <f>IF($A467="","",IFERROR(SUMIF(tblAnahtarA[Norm],$A467,tblGirdi[Maliyet])*IFERROR(SUMIF(tblAnahtarA[Norm],$A467,tblGirdi[Miktar]),1),0))</f>
        <v/>
      </c>
      <c r="D467" s="17">
        <f>IF($A467="","",IFERROR(SUMIF(tblAnahtarA[Norm],$A467,tblGirdi[Miktar]),0))</f>
        <v/>
      </c>
      <c r="E467" s="17">
        <f>IF($A467="","",IFERROR(SUMIF(tblAnahtarA[Norm],$A467,tblGirdi[KomisyonOran]),0))</f>
        <v/>
      </c>
      <c r="F467" s="17">
        <f>IF($A467="","",ROUND($B467*$E467,2))</f>
        <v/>
      </c>
      <c r="G467" s="17">
        <f>IF($A467="","",IFERROR(SUMIF(tblAnahtarB[NormB],$A467,tblHakedis[TyPlus]),0))</f>
        <v/>
      </c>
      <c r="H467" s="17">
        <f>IF($A467="","",IFERROR(SUMIF(tblAnahtarB[NormB],$A467,tblHakedis[FlasKesinti]),0))</f>
        <v/>
      </c>
      <c r="I467" s="17">
        <f>IF($A467="","",IFERROR(SUMIF(tblAnahtarB[NormB],$A467,tblHakedis[UrunReklam]),0))</f>
        <v/>
      </c>
      <c r="J467" s="17">
        <f>IF($A467="","",IFERROR(SUMIF(tblAnahtarB[NormB],$A467,tblHakedis[DesiKargo]),0))</f>
        <v/>
      </c>
      <c r="K467" s="17">
        <f>IF($A467="","",ROUND($F467+$G467+$H467+$I467+$J467,2))</f>
        <v/>
      </c>
      <c r="L467" s="17">
        <f>IF($A467="","",ROUND($B467-$C467,2))</f>
        <v/>
      </c>
      <c r="M467" s="17">
        <f>IF($A467="","",ROUND($B467-$C467-$K467,2))</f>
        <v/>
      </c>
      <c r="N467" s="17">
        <f>IF(OR($A467="",$B467=0),0,$M467/$B467)</f>
        <v/>
      </c>
      <c r="O467" s="17">
        <f>IF($A467="","",IF((1-$E467)&lt;=0,0,IF($D467=0,0,ROUND(($C467+$G467+$H467+$I467+$J467)/$D467/(1-$E467),2))))</f>
        <v/>
      </c>
      <c r="P467" s="17">
        <f>IF($A467="","",IFERROR(SUMIF(tblAnahtarA[Norm],$A467,tblGirdi[HedefNet]),0))</f>
        <v/>
      </c>
      <c r="Q467" s="17">
        <f>IF($A467="","",ROUND($M467-$P467,2))</f>
        <v/>
      </c>
      <c r="R467" s="17">
        <f>IF($A467="","",ROUND($B467-$K467,2))</f>
        <v/>
      </c>
      <c r="S467" s="17">
        <f>IF($A467="","",IF($N467&lt;0,"ÇEKİL",IF($N467&lt;tyk_esikMarjDusuk,"ZAM","SAT")))</f>
        <v/>
      </c>
      <c r="T467" s="17">
        <f>IF($A467="","",$L467-$F467)</f>
        <v/>
      </c>
      <c r="U467" s="17">
        <f>IF($A467="","",$M467-$Q467)</f>
        <v/>
      </c>
      <c r="V467" s="17">
        <f>IF($A467="","",$R467-$M467)</f>
        <v/>
      </c>
    </row>
    <row r="468">
      <c r="A468" s="17">
        <f>IF('ANAHTAR'!$B468="","",'ANAHTAR'!$B468)</f>
        <v/>
      </c>
      <c r="B468" s="17">
        <f>IF($A468="","",IFERROR(SUMIF(tblAnahtarA[Norm],$A468,tblGirdi[ToplamSatis]),0))</f>
        <v/>
      </c>
      <c r="C468" s="17">
        <f>IF($A468="","",IFERROR(SUMIF(tblAnahtarA[Norm],$A468,tblGirdi[Maliyet])*IFERROR(SUMIF(tblAnahtarA[Norm],$A468,tblGirdi[Miktar]),1),0))</f>
        <v/>
      </c>
      <c r="D468" s="17">
        <f>IF($A468="","",IFERROR(SUMIF(tblAnahtarA[Norm],$A468,tblGirdi[Miktar]),0))</f>
        <v/>
      </c>
      <c r="E468" s="17">
        <f>IF($A468="","",IFERROR(SUMIF(tblAnahtarA[Norm],$A468,tblGirdi[KomisyonOran]),0))</f>
        <v/>
      </c>
      <c r="F468" s="17">
        <f>IF($A468="","",ROUND($B468*$E468,2))</f>
        <v/>
      </c>
      <c r="G468" s="17">
        <f>IF($A468="","",IFERROR(SUMIF(tblAnahtarB[NormB],$A468,tblHakedis[TyPlus]),0))</f>
        <v/>
      </c>
      <c r="H468" s="17">
        <f>IF($A468="","",IFERROR(SUMIF(tblAnahtarB[NormB],$A468,tblHakedis[FlasKesinti]),0))</f>
        <v/>
      </c>
      <c r="I468" s="17">
        <f>IF($A468="","",IFERROR(SUMIF(tblAnahtarB[NormB],$A468,tblHakedis[UrunReklam]),0))</f>
        <v/>
      </c>
      <c r="J468" s="17">
        <f>IF($A468="","",IFERROR(SUMIF(tblAnahtarB[NormB],$A468,tblHakedis[DesiKargo]),0))</f>
        <v/>
      </c>
      <c r="K468" s="17">
        <f>IF($A468="","",ROUND($F468+$G468+$H468+$I468+$J468,2))</f>
        <v/>
      </c>
      <c r="L468" s="17">
        <f>IF($A468="","",ROUND($B468-$C468,2))</f>
        <v/>
      </c>
      <c r="M468" s="17">
        <f>IF($A468="","",ROUND($B468-$C468-$K468,2))</f>
        <v/>
      </c>
      <c r="N468" s="17">
        <f>IF(OR($A468="",$B468=0),0,$M468/$B468)</f>
        <v/>
      </c>
      <c r="O468" s="17">
        <f>IF($A468="","",IF((1-$E468)&lt;=0,0,IF($D468=0,0,ROUND(($C468+$G468+$H468+$I468+$J468)/$D468/(1-$E468),2))))</f>
        <v/>
      </c>
      <c r="P468" s="17">
        <f>IF($A468="","",IFERROR(SUMIF(tblAnahtarA[Norm],$A468,tblGirdi[HedefNet]),0))</f>
        <v/>
      </c>
      <c r="Q468" s="17">
        <f>IF($A468="","",ROUND($M468-$P468,2))</f>
        <v/>
      </c>
      <c r="R468" s="17">
        <f>IF($A468="","",ROUND($B468-$K468,2))</f>
        <v/>
      </c>
      <c r="S468" s="17">
        <f>IF($A468="","",IF($N468&lt;0,"ÇEKİL",IF($N468&lt;tyk_esikMarjDusuk,"ZAM","SAT")))</f>
        <v/>
      </c>
      <c r="T468" s="17">
        <f>IF($A468="","",$L468-$F468)</f>
        <v/>
      </c>
      <c r="U468" s="17">
        <f>IF($A468="","",$M468-$Q468)</f>
        <v/>
      </c>
      <c r="V468" s="17">
        <f>IF($A468="","",$R468-$M468)</f>
        <v/>
      </c>
    </row>
    <row r="469">
      <c r="A469" s="17">
        <f>IF('ANAHTAR'!$B469="","",'ANAHTAR'!$B469)</f>
        <v/>
      </c>
      <c r="B469" s="17">
        <f>IF($A469="","",IFERROR(SUMIF(tblAnahtarA[Norm],$A469,tblGirdi[ToplamSatis]),0))</f>
        <v/>
      </c>
      <c r="C469" s="17">
        <f>IF($A469="","",IFERROR(SUMIF(tblAnahtarA[Norm],$A469,tblGirdi[Maliyet])*IFERROR(SUMIF(tblAnahtarA[Norm],$A469,tblGirdi[Miktar]),1),0))</f>
        <v/>
      </c>
      <c r="D469" s="17">
        <f>IF($A469="","",IFERROR(SUMIF(tblAnahtarA[Norm],$A469,tblGirdi[Miktar]),0))</f>
        <v/>
      </c>
      <c r="E469" s="17">
        <f>IF($A469="","",IFERROR(SUMIF(tblAnahtarA[Norm],$A469,tblGirdi[KomisyonOran]),0))</f>
        <v/>
      </c>
      <c r="F469" s="17">
        <f>IF($A469="","",ROUND($B469*$E469,2))</f>
        <v/>
      </c>
      <c r="G469" s="17">
        <f>IF($A469="","",IFERROR(SUMIF(tblAnahtarB[NormB],$A469,tblHakedis[TyPlus]),0))</f>
        <v/>
      </c>
      <c r="H469" s="17">
        <f>IF($A469="","",IFERROR(SUMIF(tblAnahtarB[NormB],$A469,tblHakedis[FlasKesinti]),0))</f>
        <v/>
      </c>
      <c r="I469" s="17">
        <f>IF($A469="","",IFERROR(SUMIF(tblAnahtarB[NormB],$A469,tblHakedis[UrunReklam]),0))</f>
        <v/>
      </c>
      <c r="J469" s="17">
        <f>IF($A469="","",IFERROR(SUMIF(tblAnahtarB[NormB],$A469,tblHakedis[DesiKargo]),0))</f>
        <v/>
      </c>
      <c r="K469" s="17">
        <f>IF($A469="","",ROUND($F469+$G469+$H469+$I469+$J469,2))</f>
        <v/>
      </c>
      <c r="L469" s="17">
        <f>IF($A469="","",ROUND($B469-$C469,2))</f>
        <v/>
      </c>
      <c r="M469" s="17">
        <f>IF($A469="","",ROUND($B469-$C469-$K469,2))</f>
        <v/>
      </c>
      <c r="N469" s="17">
        <f>IF(OR($A469="",$B469=0),0,$M469/$B469)</f>
        <v/>
      </c>
      <c r="O469" s="17">
        <f>IF($A469="","",IF((1-$E469)&lt;=0,0,IF($D469=0,0,ROUND(($C469+$G469+$H469+$I469+$J469)/$D469/(1-$E469),2))))</f>
        <v/>
      </c>
      <c r="P469" s="17">
        <f>IF($A469="","",IFERROR(SUMIF(tblAnahtarA[Norm],$A469,tblGirdi[HedefNet]),0))</f>
        <v/>
      </c>
      <c r="Q469" s="17">
        <f>IF($A469="","",ROUND($M469-$P469,2))</f>
        <v/>
      </c>
      <c r="R469" s="17">
        <f>IF($A469="","",ROUND($B469-$K469,2))</f>
        <v/>
      </c>
      <c r="S469" s="17">
        <f>IF($A469="","",IF($N469&lt;0,"ÇEKİL",IF($N469&lt;tyk_esikMarjDusuk,"ZAM","SAT")))</f>
        <v/>
      </c>
      <c r="T469" s="17">
        <f>IF($A469="","",$L469-$F469)</f>
        <v/>
      </c>
      <c r="U469" s="17">
        <f>IF($A469="","",$M469-$Q469)</f>
        <v/>
      </c>
      <c r="V469" s="17">
        <f>IF($A469="","",$R469-$M469)</f>
        <v/>
      </c>
    </row>
    <row r="470">
      <c r="A470" s="17">
        <f>IF('ANAHTAR'!$B470="","",'ANAHTAR'!$B470)</f>
        <v/>
      </c>
      <c r="B470" s="17">
        <f>IF($A470="","",IFERROR(SUMIF(tblAnahtarA[Norm],$A470,tblGirdi[ToplamSatis]),0))</f>
        <v/>
      </c>
      <c r="C470" s="17">
        <f>IF($A470="","",IFERROR(SUMIF(tblAnahtarA[Norm],$A470,tblGirdi[Maliyet])*IFERROR(SUMIF(tblAnahtarA[Norm],$A470,tblGirdi[Miktar]),1),0))</f>
        <v/>
      </c>
      <c r="D470" s="17">
        <f>IF($A470="","",IFERROR(SUMIF(tblAnahtarA[Norm],$A470,tblGirdi[Miktar]),0))</f>
        <v/>
      </c>
      <c r="E470" s="17">
        <f>IF($A470="","",IFERROR(SUMIF(tblAnahtarA[Norm],$A470,tblGirdi[KomisyonOran]),0))</f>
        <v/>
      </c>
      <c r="F470" s="17">
        <f>IF($A470="","",ROUND($B470*$E470,2))</f>
        <v/>
      </c>
      <c r="G470" s="17">
        <f>IF($A470="","",IFERROR(SUMIF(tblAnahtarB[NormB],$A470,tblHakedis[TyPlus]),0))</f>
        <v/>
      </c>
      <c r="H470" s="17">
        <f>IF($A470="","",IFERROR(SUMIF(tblAnahtarB[NormB],$A470,tblHakedis[FlasKesinti]),0))</f>
        <v/>
      </c>
      <c r="I470" s="17">
        <f>IF($A470="","",IFERROR(SUMIF(tblAnahtarB[NormB],$A470,tblHakedis[UrunReklam]),0))</f>
        <v/>
      </c>
      <c r="J470" s="17">
        <f>IF($A470="","",IFERROR(SUMIF(tblAnahtarB[NormB],$A470,tblHakedis[DesiKargo]),0))</f>
        <v/>
      </c>
      <c r="K470" s="17">
        <f>IF($A470="","",ROUND($F470+$G470+$H470+$I470+$J470,2))</f>
        <v/>
      </c>
      <c r="L470" s="17">
        <f>IF($A470="","",ROUND($B470-$C470,2))</f>
        <v/>
      </c>
      <c r="M470" s="17">
        <f>IF($A470="","",ROUND($B470-$C470-$K470,2))</f>
        <v/>
      </c>
      <c r="N470" s="17">
        <f>IF(OR($A470="",$B470=0),0,$M470/$B470)</f>
        <v/>
      </c>
      <c r="O470" s="17">
        <f>IF($A470="","",IF((1-$E470)&lt;=0,0,IF($D470=0,0,ROUND(($C470+$G470+$H470+$I470+$J470)/$D470/(1-$E470),2))))</f>
        <v/>
      </c>
      <c r="P470" s="17">
        <f>IF($A470="","",IFERROR(SUMIF(tblAnahtarA[Norm],$A470,tblGirdi[HedefNet]),0))</f>
        <v/>
      </c>
      <c r="Q470" s="17">
        <f>IF($A470="","",ROUND($M470-$P470,2))</f>
        <v/>
      </c>
      <c r="R470" s="17">
        <f>IF($A470="","",ROUND($B470-$K470,2))</f>
        <v/>
      </c>
      <c r="S470" s="17">
        <f>IF($A470="","",IF($N470&lt;0,"ÇEKİL",IF($N470&lt;tyk_esikMarjDusuk,"ZAM","SAT")))</f>
        <v/>
      </c>
      <c r="T470" s="17">
        <f>IF($A470="","",$L470-$F470)</f>
        <v/>
      </c>
      <c r="U470" s="17">
        <f>IF($A470="","",$M470-$Q470)</f>
        <v/>
      </c>
      <c r="V470" s="17">
        <f>IF($A470="","",$R470-$M470)</f>
        <v/>
      </c>
    </row>
    <row r="471">
      <c r="A471" s="17">
        <f>IF('ANAHTAR'!$B471="","",'ANAHTAR'!$B471)</f>
        <v/>
      </c>
      <c r="B471" s="17">
        <f>IF($A471="","",IFERROR(SUMIF(tblAnahtarA[Norm],$A471,tblGirdi[ToplamSatis]),0))</f>
        <v/>
      </c>
      <c r="C471" s="17">
        <f>IF($A471="","",IFERROR(SUMIF(tblAnahtarA[Norm],$A471,tblGirdi[Maliyet])*IFERROR(SUMIF(tblAnahtarA[Norm],$A471,tblGirdi[Miktar]),1),0))</f>
        <v/>
      </c>
      <c r="D471" s="17">
        <f>IF($A471="","",IFERROR(SUMIF(tblAnahtarA[Norm],$A471,tblGirdi[Miktar]),0))</f>
        <v/>
      </c>
      <c r="E471" s="17">
        <f>IF($A471="","",IFERROR(SUMIF(tblAnahtarA[Norm],$A471,tblGirdi[KomisyonOran]),0))</f>
        <v/>
      </c>
      <c r="F471" s="17">
        <f>IF($A471="","",ROUND($B471*$E471,2))</f>
        <v/>
      </c>
      <c r="G471" s="17">
        <f>IF($A471="","",IFERROR(SUMIF(tblAnahtarB[NormB],$A471,tblHakedis[TyPlus]),0))</f>
        <v/>
      </c>
      <c r="H471" s="17">
        <f>IF($A471="","",IFERROR(SUMIF(tblAnahtarB[NormB],$A471,tblHakedis[FlasKesinti]),0))</f>
        <v/>
      </c>
      <c r="I471" s="17">
        <f>IF($A471="","",IFERROR(SUMIF(tblAnahtarB[NormB],$A471,tblHakedis[UrunReklam]),0))</f>
        <v/>
      </c>
      <c r="J471" s="17">
        <f>IF($A471="","",IFERROR(SUMIF(tblAnahtarB[NormB],$A471,tblHakedis[DesiKargo]),0))</f>
        <v/>
      </c>
      <c r="K471" s="17">
        <f>IF($A471="","",ROUND($F471+$G471+$H471+$I471+$J471,2))</f>
        <v/>
      </c>
      <c r="L471" s="17">
        <f>IF($A471="","",ROUND($B471-$C471,2))</f>
        <v/>
      </c>
      <c r="M471" s="17">
        <f>IF($A471="","",ROUND($B471-$C471-$K471,2))</f>
        <v/>
      </c>
      <c r="N471" s="17">
        <f>IF(OR($A471="",$B471=0),0,$M471/$B471)</f>
        <v/>
      </c>
      <c r="O471" s="17">
        <f>IF($A471="","",IF((1-$E471)&lt;=0,0,IF($D471=0,0,ROUND(($C471+$G471+$H471+$I471+$J471)/$D471/(1-$E471),2))))</f>
        <v/>
      </c>
      <c r="P471" s="17">
        <f>IF($A471="","",IFERROR(SUMIF(tblAnahtarA[Norm],$A471,tblGirdi[HedefNet]),0))</f>
        <v/>
      </c>
      <c r="Q471" s="17">
        <f>IF($A471="","",ROUND($M471-$P471,2))</f>
        <v/>
      </c>
      <c r="R471" s="17">
        <f>IF($A471="","",ROUND($B471-$K471,2))</f>
        <v/>
      </c>
      <c r="S471" s="17">
        <f>IF($A471="","",IF($N471&lt;0,"ÇEKİL",IF($N471&lt;tyk_esikMarjDusuk,"ZAM","SAT")))</f>
        <v/>
      </c>
      <c r="T471" s="17">
        <f>IF($A471="","",$L471-$F471)</f>
        <v/>
      </c>
      <c r="U471" s="17">
        <f>IF($A471="","",$M471-$Q471)</f>
        <v/>
      </c>
      <c r="V471" s="17">
        <f>IF($A471="","",$R471-$M471)</f>
        <v/>
      </c>
    </row>
    <row r="472">
      <c r="A472" s="17">
        <f>IF('ANAHTAR'!$B472="","",'ANAHTAR'!$B472)</f>
        <v/>
      </c>
      <c r="B472" s="17">
        <f>IF($A472="","",IFERROR(SUMIF(tblAnahtarA[Norm],$A472,tblGirdi[ToplamSatis]),0))</f>
        <v/>
      </c>
      <c r="C472" s="17">
        <f>IF($A472="","",IFERROR(SUMIF(tblAnahtarA[Norm],$A472,tblGirdi[Maliyet])*IFERROR(SUMIF(tblAnahtarA[Norm],$A472,tblGirdi[Miktar]),1),0))</f>
        <v/>
      </c>
      <c r="D472" s="17">
        <f>IF($A472="","",IFERROR(SUMIF(tblAnahtarA[Norm],$A472,tblGirdi[Miktar]),0))</f>
        <v/>
      </c>
      <c r="E472" s="17">
        <f>IF($A472="","",IFERROR(SUMIF(tblAnahtarA[Norm],$A472,tblGirdi[KomisyonOran]),0))</f>
        <v/>
      </c>
      <c r="F472" s="17">
        <f>IF($A472="","",ROUND($B472*$E472,2))</f>
        <v/>
      </c>
      <c r="G472" s="17">
        <f>IF($A472="","",IFERROR(SUMIF(tblAnahtarB[NormB],$A472,tblHakedis[TyPlus]),0))</f>
        <v/>
      </c>
      <c r="H472" s="17">
        <f>IF($A472="","",IFERROR(SUMIF(tblAnahtarB[NormB],$A472,tblHakedis[FlasKesinti]),0))</f>
        <v/>
      </c>
      <c r="I472" s="17">
        <f>IF($A472="","",IFERROR(SUMIF(tblAnahtarB[NormB],$A472,tblHakedis[UrunReklam]),0))</f>
        <v/>
      </c>
      <c r="J472" s="17">
        <f>IF($A472="","",IFERROR(SUMIF(tblAnahtarB[NormB],$A472,tblHakedis[DesiKargo]),0))</f>
        <v/>
      </c>
      <c r="K472" s="17">
        <f>IF($A472="","",ROUND($F472+$G472+$H472+$I472+$J472,2))</f>
        <v/>
      </c>
      <c r="L472" s="17">
        <f>IF($A472="","",ROUND($B472-$C472,2))</f>
        <v/>
      </c>
      <c r="M472" s="17">
        <f>IF($A472="","",ROUND($B472-$C472-$K472,2))</f>
        <v/>
      </c>
      <c r="N472" s="17">
        <f>IF(OR($A472="",$B472=0),0,$M472/$B472)</f>
        <v/>
      </c>
      <c r="O472" s="17">
        <f>IF($A472="","",IF((1-$E472)&lt;=0,0,IF($D472=0,0,ROUND(($C472+$G472+$H472+$I472+$J472)/$D472/(1-$E472),2))))</f>
        <v/>
      </c>
      <c r="P472" s="17">
        <f>IF($A472="","",IFERROR(SUMIF(tblAnahtarA[Norm],$A472,tblGirdi[HedefNet]),0))</f>
        <v/>
      </c>
      <c r="Q472" s="17">
        <f>IF($A472="","",ROUND($M472-$P472,2))</f>
        <v/>
      </c>
      <c r="R472" s="17">
        <f>IF($A472="","",ROUND($B472-$K472,2))</f>
        <v/>
      </c>
      <c r="S472" s="17">
        <f>IF($A472="","",IF($N472&lt;0,"ÇEKİL",IF($N472&lt;tyk_esikMarjDusuk,"ZAM","SAT")))</f>
        <v/>
      </c>
      <c r="T472" s="17">
        <f>IF($A472="","",$L472-$F472)</f>
        <v/>
      </c>
      <c r="U472" s="17">
        <f>IF($A472="","",$M472-$Q472)</f>
        <v/>
      </c>
      <c r="V472" s="17">
        <f>IF($A472="","",$R472-$M472)</f>
        <v/>
      </c>
    </row>
    <row r="473">
      <c r="A473" s="17">
        <f>IF('ANAHTAR'!$B473="","",'ANAHTAR'!$B473)</f>
        <v/>
      </c>
      <c r="B473" s="17">
        <f>IF($A473="","",IFERROR(SUMIF(tblAnahtarA[Norm],$A473,tblGirdi[ToplamSatis]),0))</f>
        <v/>
      </c>
      <c r="C473" s="17">
        <f>IF($A473="","",IFERROR(SUMIF(tblAnahtarA[Norm],$A473,tblGirdi[Maliyet])*IFERROR(SUMIF(tblAnahtarA[Norm],$A473,tblGirdi[Miktar]),1),0))</f>
        <v/>
      </c>
      <c r="D473" s="17">
        <f>IF($A473="","",IFERROR(SUMIF(tblAnahtarA[Norm],$A473,tblGirdi[Miktar]),0))</f>
        <v/>
      </c>
      <c r="E473" s="17">
        <f>IF($A473="","",IFERROR(SUMIF(tblAnahtarA[Norm],$A473,tblGirdi[KomisyonOran]),0))</f>
        <v/>
      </c>
      <c r="F473" s="17">
        <f>IF($A473="","",ROUND($B473*$E473,2))</f>
        <v/>
      </c>
      <c r="G473" s="17">
        <f>IF($A473="","",IFERROR(SUMIF(tblAnahtarB[NormB],$A473,tblHakedis[TyPlus]),0))</f>
        <v/>
      </c>
      <c r="H473" s="17">
        <f>IF($A473="","",IFERROR(SUMIF(tblAnahtarB[NormB],$A473,tblHakedis[FlasKesinti]),0))</f>
        <v/>
      </c>
      <c r="I473" s="17">
        <f>IF($A473="","",IFERROR(SUMIF(tblAnahtarB[NormB],$A473,tblHakedis[UrunReklam]),0))</f>
        <v/>
      </c>
      <c r="J473" s="17">
        <f>IF($A473="","",IFERROR(SUMIF(tblAnahtarB[NormB],$A473,tblHakedis[DesiKargo]),0))</f>
        <v/>
      </c>
      <c r="K473" s="17">
        <f>IF($A473="","",ROUND($F473+$G473+$H473+$I473+$J473,2))</f>
        <v/>
      </c>
      <c r="L473" s="17">
        <f>IF($A473="","",ROUND($B473-$C473,2))</f>
        <v/>
      </c>
      <c r="M473" s="17">
        <f>IF($A473="","",ROUND($B473-$C473-$K473,2))</f>
        <v/>
      </c>
      <c r="N473" s="17">
        <f>IF(OR($A473="",$B473=0),0,$M473/$B473)</f>
        <v/>
      </c>
      <c r="O473" s="17">
        <f>IF($A473="","",IF((1-$E473)&lt;=0,0,IF($D473=0,0,ROUND(($C473+$G473+$H473+$I473+$J473)/$D473/(1-$E473),2))))</f>
        <v/>
      </c>
      <c r="P473" s="17">
        <f>IF($A473="","",IFERROR(SUMIF(tblAnahtarA[Norm],$A473,tblGirdi[HedefNet]),0))</f>
        <v/>
      </c>
      <c r="Q473" s="17">
        <f>IF($A473="","",ROUND($M473-$P473,2))</f>
        <v/>
      </c>
      <c r="R473" s="17">
        <f>IF($A473="","",ROUND($B473-$K473,2))</f>
        <v/>
      </c>
      <c r="S473" s="17">
        <f>IF($A473="","",IF($N473&lt;0,"ÇEKİL",IF($N473&lt;tyk_esikMarjDusuk,"ZAM","SAT")))</f>
        <v/>
      </c>
      <c r="T473" s="17">
        <f>IF($A473="","",$L473-$F473)</f>
        <v/>
      </c>
      <c r="U473" s="17">
        <f>IF($A473="","",$M473-$Q473)</f>
        <v/>
      </c>
      <c r="V473" s="17">
        <f>IF($A473="","",$R473-$M473)</f>
        <v/>
      </c>
    </row>
    <row r="474">
      <c r="A474" s="17">
        <f>IF('ANAHTAR'!$B474="","",'ANAHTAR'!$B474)</f>
        <v/>
      </c>
      <c r="B474" s="17">
        <f>IF($A474="","",IFERROR(SUMIF(tblAnahtarA[Norm],$A474,tblGirdi[ToplamSatis]),0))</f>
        <v/>
      </c>
      <c r="C474" s="17">
        <f>IF($A474="","",IFERROR(SUMIF(tblAnahtarA[Norm],$A474,tblGirdi[Maliyet])*IFERROR(SUMIF(tblAnahtarA[Norm],$A474,tblGirdi[Miktar]),1),0))</f>
        <v/>
      </c>
      <c r="D474" s="17">
        <f>IF($A474="","",IFERROR(SUMIF(tblAnahtarA[Norm],$A474,tblGirdi[Miktar]),0))</f>
        <v/>
      </c>
      <c r="E474" s="17">
        <f>IF($A474="","",IFERROR(SUMIF(tblAnahtarA[Norm],$A474,tblGirdi[KomisyonOran]),0))</f>
        <v/>
      </c>
      <c r="F474" s="17">
        <f>IF($A474="","",ROUND($B474*$E474,2))</f>
        <v/>
      </c>
      <c r="G474" s="17">
        <f>IF($A474="","",IFERROR(SUMIF(tblAnahtarB[NormB],$A474,tblHakedis[TyPlus]),0))</f>
        <v/>
      </c>
      <c r="H474" s="17">
        <f>IF($A474="","",IFERROR(SUMIF(tblAnahtarB[NormB],$A474,tblHakedis[FlasKesinti]),0))</f>
        <v/>
      </c>
      <c r="I474" s="17">
        <f>IF($A474="","",IFERROR(SUMIF(tblAnahtarB[NormB],$A474,tblHakedis[UrunReklam]),0))</f>
        <v/>
      </c>
      <c r="J474" s="17">
        <f>IF($A474="","",IFERROR(SUMIF(tblAnahtarB[NormB],$A474,tblHakedis[DesiKargo]),0))</f>
        <v/>
      </c>
      <c r="K474" s="17">
        <f>IF($A474="","",ROUND($F474+$G474+$H474+$I474+$J474,2))</f>
        <v/>
      </c>
      <c r="L474" s="17">
        <f>IF($A474="","",ROUND($B474-$C474,2))</f>
        <v/>
      </c>
      <c r="M474" s="17">
        <f>IF($A474="","",ROUND($B474-$C474-$K474,2))</f>
        <v/>
      </c>
      <c r="N474" s="17">
        <f>IF(OR($A474="",$B474=0),0,$M474/$B474)</f>
        <v/>
      </c>
      <c r="O474" s="17">
        <f>IF($A474="","",IF((1-$E474)&lt;=0,0,IF($D474=0,0,ROUND(($C474+$G474+$H474+$I474+$J474)/$D474/(1-$E474),2))))</f>
        <v/>
      </c>
      <c r="P474" s="17">
        <f>IF($A474="","",IFERROR(SUMIF(tblAnahtarA[Norm],$A474,tblGirdi[HedefNet]),0))</f>
        <v/>
      </c>
      <c r="Q474" s="17">
        <f>IF($A474="","",ROUND($M474-$P474,2))</f>
        <v/>
      </c>
      <c r="R474" s="17">
        <f>IF($A474="","",ROUND($B474-$K474,2))</f>
        <v/>
      </c>
      <c r="S474" s="17">
        <f>IF($A474="","",IF($N474&lt;0,"ÇEKİL",IF($N474&lt;tyk_esikMarjDusuk,"ZAM","SAT")))</f>
        <v/>
      </c>
      <c r="T474" s="17">
        <f>IF($A474="","",$L474-$F474)</f>
        <v/>
      </c>
      <c r="U474" s="17">
        <f>IF($A474="","",$M474-$Q474)</f>
        <v/>
      </c>
      <c r="V474" s="17">
        <f>IF($A474="","",$R474-$M474)</f>
        <v/>
      </c>
    </row>
    <row r="475">
      <c r="A475" s="17">
        <f>IF('ANAHTAR'!$B475="","",'ANAHTAR'!$B475)</f>
        <v/>
      </c>
      <c r="B475" s="17">
        <f>IF($A475="","",IFERROR(SUMIF(tblAnahtarA[Norm],$A475,tblGirdi[ToplamSatis]),0))</f>
        <v/>
      </c>
      <c r="C475" s="17">
        <f>IF($A475="","",IFERROR(SUMIF(tblAnahtarA[Norm],$A475,tblGirdi[Maliyet])*IFERROR(SUMIF(tblAnahtarA[Norm],$A475,tblGirdi[Miktar]),1),0))</f>
        <v/>
      </c>
      <c r="D475" s="17">
        <f>IF($A475="","",IFERROR(SUMIF(tblAnahtarA[Norm],$A475,tblGirdi[Miktar]),0))</f>
        <v/>
      </c>
      <c r="E475" s="17">
        <f>IF($A475="","",IFERROR(SUMIF(tblAnahtarA[Norm],$A475,tblGirdi[KomisyonOran]),0))</f>
        <v/>
      </c>
      <c r="F475" s="17">
        <f>IF($A475="","",ROUND($B475*$E475,2))</f>
        <v/>
      </c>
      <c r="G475" s="17">
        <f>IF($A475="","",IFERROR(SUMIF(tblAnahtarB[NormB],$A475,tblHakedis[TyPlus]),0))</f>
        <v/>
      </c>
      <c r="H475" s="17">
        <f>IF($A475="","",IFERROR(SUMIF(tblAnahtarB[NormB],$A475,tblHakedis[FlasKesinti]),0))</f>
        <v/>
      </c>
      <c r="I475" s="17">
        <f>IF($A475="","",IFERROR(SUMIF(tblAnahtarB[NormB],$A475,tblHakedis[UrunReklam]),0))</f>
        <v/>
      </c>
      <c r="J475" s="17">
        <f>IF($A475="","",IFERROR(SUMIF(tblAnahtarB[NormB],$A475,tblHakedis[DesiKargo]),0))</f>
        <v/>
      </c>
      <c r="K475" s="17">
        <f>IF($A475="","",ROUND($F475+$G475+$H475+$I475+$J475,2))</f>
        <v/>
      </c>
      <c r="L475" s="17">
        <f>IF($A475="","",ROUND($B475-$C475,2))</f>
        <v/>
      </c>
      <c r="M475" s="17">
        <f>IF($A475="","",ROUND($B475-$C475-$K475,2))</f>
        <v/>
      </c>
      <c r="N475" s="17">
        <f>IF(OR($A475="",$B475=0),0,$M475/$B475)</f>
        <v/>
      </c>
      <c r="O475" s="17">
        <f>IF($A475="","",IF((1-$E475)&lt;=0,0,IF($D475=0,0,ROUND(($C475+$G475+$H475+$I475+$J475)/$D475/(1-$E475),2))))</f>
        <v/>
      </c>
      <c r="P475" s="17">
        <f>IF($A475="","",IFERROR(SUMIF(tblAnahtarA[Norm],$A475,tblGirdi[HedefNet]),0))</f>
        <v/>
      </c>
      <c r="Q475" s="17">
        <f>IF($A475="","",ROUND($M475-$P475,2))</f>
        <v/>
      </c>
      <c r="R475" s="17">
        <f>IF($A475="","",ROUND($B475-$K475,2))</f>
        <v/>
      </c>
      <c r="S475" s="17">
        <f>IF($A475="","",IF($N475&lt;0,"ÇEKİL",IF($N475&lt;tyk_esikMarjDusuk,"ZAM","SAT")))</f>
        <v/>
      </c>
      <c r="T475" s="17">
        <f>IF($A475="","",$L475-$F475)</f>
        <v/>
      </c>
      <c r="U475" s="17">
        <f>IF($A475="","",$M475-$Q475)</f>
        <v/>
      </c>
      <c r="V475" s="17">
        <f>IF($A475="","",$R475-$M475)</f>
        <v/>
      </c>
    </row>
    <row r="476">
      <c r="A476" s="17">
        <f>IF('ANAHTAR'!$B476="","",'ANAHTAR'!$B476)</f>
        <v/>
      </c>
      <c r="B476" s="17">
        <f>IF($A476="","",IFERROR(SUMIF(tblAnahtarA[Norm],$A476,tblGirdi[ToplamSatis]),0))</f>
        <v/>
      </c>
      <c r="C476" s="17">
        <f>IF($A476="","",IFERROR(SUMIF(tblAnahtarA[Norm],$A476,tblGirdi[Maliyet])*IFERROR(SUMIF(tblAnahtarA[Norm],$A476,tblGirdi[Miktar]),1),0))</f>
        <v/>
      </c>
      <c r="D476" s="17">
        <f>IF($A476="","",IFERROR(SUMIF(tblAnahtarA[Norm],$A476,tblGirdi[Miktar]),0))</f>
        <v/>
      </c>
      <c r="E476" s="17">
        <f>IF($A476="","",IFERROR(SUMIF(tblAnahtarA[Norm],$A476,tblGirdi[KomisyonOran]),0))</f>
        <v/>
      </c>
      <c r="F476" s="17">
        <f>IF($A476="","",ROUND($B476*$E476,2))</f>
        <v/>
      </c>
      <c r="G476" s="17">
        <f>IF($A476="","",IFERROR(SUMIF(tblAnahtarB[NormB],$A476,tblHakedis[TyPlus]),0))</f>
        <v/>
      </c>
      <c r="H476" s="17">
        <f>IF($A476="","",IFERROR(SUMIF(tblAnahtarB[NormB],$A476,tblHakedis[FlasKesinti]),0))</f>
        <v/>
      </c>
      <c r="I476" s="17">
        <f>IF($A476="","",IFERROR(SUMIF(tblAnahtarB[NormB],$A476,tblHakedis[UrunReklam]),0))</f>
        <v/>
      </c>
      <c r="J476" s="17">
        <f>IF($A476="","",IFERROR(SUMIF(tblAnahtarB[NormB],$A476,tblHakedis[DesiKargo]),0))</f>
        <v/>
      </c>
      <c r="K476" s="17">
        <f>IF($A476="","",ROUND($F476+$G476+$H476+$I476+$J476,2))</f>
        <v/>
      </c>
      <c r="L476" s="17">
        <f>IF($A476="","",ROUND($B476-$C476,2))</f>
        <v/>
      </c>
      <c r="M476" s="17">
        <f>IF($A476="","",ROUND($B476-$C476-$K476,2))</f>
        <v/>
      </c>
      <c r="N476" s="17">
        <f>IF(OR($A476="",$B476=0),0,$M476/$B476)</f>
        <v/>
      </c>
      <c r="O476" s="17">
        <f>IF($A476="","",IF((1-$E476)&lt;=0,0,IF($D476=0,0,ROUND(($C476+$G476+$H476+$I476+$J476)/$D476/(1-$E476),2))))</f>
        <v/>
      </c>
      <c r="P476" s="17">
        <f>IF($A476="","",IFERROR(SUMIF(tblAnahtarA[Norm],$A476,tblGirdi[HedefNet]),0))</f>
        <v/>
      </c>
      <c r="Q476" s="17">
        <f>IF($A476="","",ROUND($M476-$P476,2))</f>
        <v/>
      </c>
      <c r="R476" s="17">
        <f>IF($A476="","",ROUND($B476-$K476,2))</f>
        <v/>
      </c>
      <c r="S476" s="17">
        <f>IF($A476="","",IF($N476&lt;0,"ÇEKİL",IF($N476&lt;tyk_esikMarjDusuk,"ZAM","SAT")))</f>
        <v/>
      </c>
      <c r="T476" s="17">
        <f>IF($A476="","",$L476-$F476)</f>
        <v/>
      </c>
      <c r="U476" s="17">
        <f>IF($A476="","",$M476-$Q476)</f>
        <v/>
      </c>
      <c r="V476" s="17">
        <f>IF($A476="","",$R476-$M476)</f>
        <v/>
      </c>
    </row>
    <row r="477">
      <c r="A477" s="17">
        <f>IF('ANAHTAR'!$B477="","",'ANAHTAR'!$B477)</f>
        <v/>
      </c>
      <c r="B477" s="17">
        <f>IF($A477="","",IFERROR(SUMIF(tblAnahtarA[Norm],$A477,tblGirdi[ToplamSatis]),0))</f>
        <v/>
      </c>
      <c r="C477" s="17">
        <f>IF($A477="","",IFERROR(SUMIF(tblAnahtarA[Norm],$A477,tblGirdi[Maliyet])*IFERROR(SUMIF(tblAnahtarA[Norm],$A477,tblGirdi[Miktar]),1),0))</f>
        <v/>
      </c>
      <c r="D477" s="17">
        <f>IF($A477="","",IFERROR(SUMIF(tblAnahtarA[Norm],$A477,tblGirdi[Miktar]),0))</f>
        <v/>
      </c>
      <c r="E477" s="17">
        <f>IF($A477="","",IFERROR(SUMIF(tblAnahtarA[Norm],$A477,tblGirdi[KomisyonOran]),0))</f>
        <v/>
      </c>
      <c r="F477" s="17">
        <f>IF($A477="","",ROUND($B477*$E477,2))</f>
        <v/>
      </c>
      <c r="G477" s="17">
        <f>IF($A477="","",IFERROR(SUMIF(tblAnahtarB[NormB],$A477,tblHakedis[TyPlus]),0))</f>
        <v/>
      </c>
      <c r="H477" s="17">
        <f>IF($A477="","",IFERROR(SUMIF(tblAnahtarB[NormB],$A477,tblHakedis[FlasKesinti]),0))</f>
        <v/>
      </c>
      <c r="I477" s="17">
        <f>IF($A477="","",IFERROR(SUMIF(tblAnahtarB[NormB],$A477,tblHakedis[UrunReklam]),0))</f>
        <v/>
      </c>
      <c r="J477" s="17">
        <f>IF($A477="","",IFERROR(SUMIF(tblAnahtarB[NormB],$A477,tblHakedis[DesiKargo]),0))</f>
        <v/>
      </c>
      <c r="K477" s="17">
        <f>IF($A477="","",ROUND($F477+$G477+$H477+$I477+$J477,2))</f>
        <v/>
      </c>
      <c r="L477" s="17">
        <f>IF($A477="","",ROUND($B477-$C477,2))</f>
        <v/>
      </c>
      <c r="M477" s="17">
        <f>IF($A477="","",ROUND($B477-$C477-$K477,2))</f>
        <v/>
      </c>
      <c r="N477" s="17">
        <f>IF(OR($A477="",$B477=0),0,$M477/$B477)</f>
        <v/>
      </c>
      <c r="O477" s="17">
        <f>IF($A477="","",IF((1-$E477)&lt;=0,0,IF($D477=0,0,ROUND(($C477+$G477+$H477+$I477+$J477)/$D477/(1-$E477),2))))</f>
        <v/>
      </c>
      <c r="P477" s="17">
        <f>IF($A477="","",IFERROR(SUMIF(tblAnahtarA[Norm],$A477,tblGirdi[HedefNet]),0))</f>
        <v/>
      </c>
      <c r="Q477" s="17">
        <f>IF($A477="","",ROUND($M477-$P477,2))</f>
        <v/>
      </c>
      <c r="R477" s="17">
        <f>IF($A477="","",ROUND($B477-$K477,2))</f>
        <v/>
      </c>
      <c r="S477" s="17">
        <f>IF($A477="","",IF($N477&lt;0,"ÇEKİL",IF($N477&lt;tyk_esikMarjDusuk,"ZAM","SAT")))</f>
        <v/>
      </c>
      <c r="T477" s="17">
        <f>IF($A477="","",$L477-$F477)</f>
        <v/>
      </c>
      <c r="U477" s="17">
        <f>IF($A477="","",$M477-$Q477)</f>
        <v/>
      </c>
      <c r="V477" s="17">
        <f>IF($A477="","",$R477-$M477)</f>
        <v/>
      </c>
    </row>
    <row r="478">
      <c r="A478" s="17">
        <f>IF('ANAHTAR'!$B478="","",'ANAHTAR'!$B478)</f>
        <v/>
      </c>
      <c r="B478" s="17">
        <f>IF($A478="","",IFERROR(SUMIF(tblAnahtarA[Norm],$A478,tblGirdi[ToplamSatis]),0))</f>
        <v/>
      </c>
      <c r="C478" s="17">
        <f>IF($A478="","",IFERROR(SUMIF(tblAnahtarA[Norm],$A478,tblGirdi[Maliyet])*IFERROR(SUMIF(tblAnahtarA[Norm],$A478,tblGirdi[Miktar]),1),0))</f>
        <v/>
      </c>
      <c r="D478" s="17">
        <f>IF($A478="","",IFERROR(SUMIF(tblAnahtarA[Norm],$A478,tblGirdi[Miktar]),0))</f>
        <v/>
      </c>
      <c r="E478" s="17">
        <f>IF($A478="","",IFERROR(SUMIF(tblAnahtarA[Norm],$A478,tblGirdi[KomisyonOran]),0))</f>
        <v/>
      </c>
      <c r="F478" s="17">
        <f>IF($A478="","",ROUND($B478*$E478,2))</f>
        <v/>
      </c>
      <c r="G478" s="17">
        <f>IF($A478="","",IFERROR(SUMIF(tblAnahtarB[NormB],$A478,tblHakedis[TyPlus]),0))</f>
        <v/>
      </c>
      <c r="H478" s="17">
        <f>IF($A478="","",IFERROR(SUMIF(tblAnahtarB[NormB],$A478,tblHakedis[FlasKesinti]),0))</f>
        <v/>
      </c>
      <c r="I478" s="17">
        <f>IF($A478="","",IFERROR(SUMIF(tblAnahtarB[NormB],$A478,tblHakedis[UrunReklam]),0))</f>
        <v/>
      </c>
      <c r="J478" s="17">
        <f>IF($A478="","",IFERROR(SUMIF(tblAnahtarB[NormB],$A478,tblHakedis[DesiKargo]),0))</f>
        <v/>
      </c>
      <c r="K478" s="17">
        <f>IF($A478="","",ROUND($F478+$G478+$H478+$I478+$J478,2))</f>
        <v/>
      </c>
      <c r="L478" s="17">
        <f>IF($A478="","",ROUND($B478-$C478,2))</f>
        <v/>
      </c>
      <c r="M478" s="17">
        <f>IF($A478="","",ROUND($B478-$C478-$K478,2))</f>
        <v/>
      </c>
      <c r="N478" s="17">
        <f>IF(OR($A478="",$B478=0),0,$M478/$B478)</f>
        <v/>
      </c>
      <c r="O478" s="17">
        <f>IF($A478="","",IF((1-$E478)&lt;=0,0,IF($D478=0,0,ROUND(($C478+$G478+$H478+$I478+$J478)/$D478/(1-$E478),2))))</f>
        <v/>
      </c>
      <c r="P478" s="17">
        <f>IF($A478="","",IFERROR(SUMIF(tblAnahtarA[Norm],$A478,tblGirdi[HedefNet]),0))</f>
        <v/>
      </c>
      <c r="Q478" s="17">
        <f>IF($A478="","",ROUND($M478-$P478,2))</f>
        <v/>
      </c>
      <c r="R478" s="17">
        <f>IF($A478="","",ROUND($B478-$K478,2))</f>
        <v/>
      </c>
      <c r="S478" s="17">
        <f>IF($A478="","",IF($N478&lt;0,"ÇEKİL",IF($N478&lt;tyk_esikMarjDusuk,"ZAM","SAT")))</f>
        <v/>
      </c>
      <c r="T478" s="17">
        <f>IF($A478="","",$L478-$F478)</f>
        <v/>
      </c>
      <c r="U478" s="17">
        <f>IF($A478="","",$M478-$Q478)</f>
        <v/>
      </c>
      <c r="V478" s="17">
        <f>IF($A478="","",$R478-$M478)</f>
        <v/>
      </c>
    </row>
    <row r="479">
      <c r="A479" s="17">
        <f>IF('ANAHTAR'!$B479="","",'ANAHTAR'!$B479)</f>
        <v/>
      </c>
      <c r="B479" s="17">
        <f>IF($A479="","",IFERROR(SUMIF(tblAnahtarA[Norm],$A479,tblGirdi[ToplamSatis]),0))</f>
        <v/>
      </c>
      <c r="C479" s="17">
        <f>IF($A479="","",IFERROR(SUMIF(tblAnahtarA[Norm],$A479,tblGirdi[Maliyet])*IFERROR(SUMIF(tblAnahtarA[Norm],$A479,tblGirdi[Miktar]),1),0))</f>
        <v/>
      </c>
      <c r="D479" s="17">
        <f>IF($A479="","",IFERROR(SUMIF(tblAnahtarA[Norm],$A479,tblGirdi[Miktar]),0))</f>
        <v/>
      </c>
      <c r="E479" s="17">
        <f>IF($A479="","",IFERROR(SUMIF(tblAnahtarA[Norm],$A479,tblGirdi[KomisyonOran]),0))</f>
        <v/>
      </c>
      <c r="F479" s="17">
        <f>IF($A479="","",ROUND($B479*$E479,2))</f>
        <v/>
      </c>
      <c r="G479" s="17">
        <f>IF($A479="","",IFERROR(SUMIF(tblAnahtarB[NormB],$A479,tblHakedis[TyPlus]),0))</f>
        <v/>
      </c>
      <c r="H479" s="17">
        <f>IF($A479="","",IFERROR(SUMIF(tblAnahtarB[NormB],$A479,tblHakedis[FlasKesinti]),0))</f>
        <v/>
      </c>
      <c r="I479" s="17">
        <f>IF($A479="","",IFERROR(SUMIF(tblAnahtarB[NormB],$A479,tblHakedis[UrunReklam]),0))</f>
        <v/>
      </c>
      <c r="J479" s="17">
        <f>IF($A479="","",IFERROR(SUMIF(tblAnahtarB[NormB],$A479,tblHakedis[DesiKargo]),0))</f>
        <v/>
      </c>
      <c r="K479" s="17">
        <f>IF($A479="","",ROUND($F479+$G479+$H479+$I479+$J479,2))</f>
        <v/>
      </c>
      <c r="L479" s="17">
        <f>IF($A479="","",ROUND($B479-$C479,2))</f>
        <v/>
      </c>
      <c r="M479" s="17">
        <f>IF($A479="","",ROUND($B479-$C479-$K479,2))</f>
        <v/>
      </c>
      <c r="N479" s="17">
        <f>IF(OR($A479="",$B479=0),0,$M479/$B479)</f>
        <v/>
      </c>
      <c r="O479" s="17">
        <f>IF($A479="","",IF((1-$E479)&lt;=0,0,IF($D479=0,0,ROUND(($C479+$G479+$H479+$I479+$J479)/$D479/(1-$E479),2))))</f>
        <v/>
      </c>
      <c r="P479" s="17">
        <f>IF($A479="","",IFERROR(SUMIF(tblAnahtarA[Norm],$A479,tblGirdi[HedefNet]),0))</f>
        <v/>
      </c>
      <c r="Q479" s="17">
        <f>IF($A479="","",ROUND($M479-$P479,2))</f>
        <v/>
      </c>
      <c r="R479" s="17">
        <f>IF($A479="","",ROUND($B479-$K479,2))</f>
        <v/>
      </c>
      <c r="S479" s="17">
        <f>IF($A479="","",IF($N479&lt;0,"ÇEKİL",IF($N479&lt;tyk_esikMarjDusuk,"ZAM","SAT")))</f>
        <v/>
      </c>
      <c r="T479" s="17">
        <f>IF($A479="","",$L479-$F479)</f>
        <v/>
      </c>
      <c r="U479" s="17">
        <f>IF($A479="","",$M479-$Q479)</f>
        <v/>
      </c>
      <c r="V479" s="17">
        <f>IF($A479="","",$R479-$M479)</f>
        <v/>
      </c>
    </row>
    <row r="480">
      <c r="A480" s="17">
        <f>IF('ANAHTAR'!$B480="","",'ANAHTAR'!$B480)</f>
        <v/>
      </c>
      <c r="B480" s="17">
        <f>IF($A480="","",IFERROR(SUMIF(tblAnahtarA[Norm],$A480,tblGirdi[ToplamSatis]),0))</f>
        <v/>
      </c>
      <c r="C480" s="17">
        <f>IF($A480="","",IFERROR(SUMIF(tblAnahtarA[Norm],$A480,tblGirdi[Maliyet])*IFERROR(SUMIF(tblAnahtarA[Norm],$A480,tblGirdi[Miktar]),1),0))</f>
        <v/>
      </c>
      <c r="D480" s="17">
        <f>IF($A480="","",IFERROR(SUMIF(tblAnahtarA[Norm],$A480,tblGirdi[Miktar]),0))</f>
        <v/>
      </c>
      <c r="E480" s="17">
        <f>IF($A480="","",IFERROR(SUMIF(tblAnahtarA[Norm],$A480,tblGirdi[KomisyonOran]),0))</f>
        <v/>
      </c>
      <c r="F480" s="17">
        <f>IF($A480="","",ROUND($B480*$E480,2))</f>
        <v/>
      </c>
      <c r="G480" s="17">
        <f>IF($A480="","",IFERROR(SUMIF(tblAnahtarB[NormB],$A480,tblHakedis[TyPlus]),0))</f>
        <v/>
      </c>
      <c r="H480" s="17">
        <f>IF($A480="","",IFERROR(SUMIF(tblAnahtarB[NormB],$A480,tblHakedis[FlasKesinti]),0))</f>
        <v/>
      </c>
      <c r="I480" s="17">
        <f>IF($A480="","",IFERROR(SUMIF(tblAnahtarB[NormB],$A480,tblHakedis[UrunReklam]),0))</f>
        <v/>
      </c>
      <c r="J480" s="17">
        <f>IF($A480="","",IFERROR(SUMIF(tblAnahtarB[NormB],$A480,tblHakedis[DesiKargo]),0))</f>
        <v/>
      </c>
      <c r="K480" s="17">
        <f>IF($A480="","",ROUND($F480+$G480+$H480+$I480+$J480,2))</f>
        <v/>
      </c>
      <c r="L480" s="17">
        <f>IF($A480="","",ROUND($B480-$C480,2))</f>
        <v/>
      </c>
      <c r="M480" s="17">
        <f>IF($A480="","",ROUND($B480-$C480-$K480,2))</f>
        <v/>
      </c>
      <c r="N480" s="17">
        <f>IF(OR($A480="",$B480=0),0,$M480/$B480)</f>
        <v/>
      </c>
      <c r="O480" s="17">
        <f>IF($A480="","",IF((1-$E480)&lt;=0,0,IF($D480=0,0,ROUND(($C480+$G480+$H480+$I480+$J480)/$D480/(1-$E480),2))))</f>
        <v/>
      </c>
      <c r="P480" s="17">
        <f>IF($A480="","",IFERROR(SUMIF(tblAnahtarA[Norm],$A480,tblGirdi[HedefNet]),0))</f>
        <v/>
      </c>
      <c r="Q480" s="17">
        <f>IF($A480="","",ROUND($M480-$P480,2))</f>
        <v/>
      </c>
      <c r="R480" s="17">
        <f>IF($A480="","",ROUND($B480-$K480,2))</f>
        <v/>
      </c>
      <c r="S480" s="17">
        <f>IF($A480="","",IF($N480&lt;0,"ÇEKİL",IF($N480&lt;tyk_esikMarjDusuk,"ZAM","SAT")))</f>
        <v/>
      </c>
      <c r="T480" s="17">
        <f>IF($A480="","",$L480-$F480)</f>
        <v/>
      </c>
      <c r="U480" s="17">
        <f>IF($A480="","",$M480-$Q480)</f>
        <v/>
      </c>
      <c r="V480" s="17">
        <f>IF($A480="","",$R480-$M480)</f>
        <v/>
      </c>
    </row>
    <row r="481">
      <c r="A481" s="17">
        <f>IF('ANAHTAR'!$B481="","",'ANAHTAR'!$B481)</f>
        <v/>
      </c>
      <c r="B481" s="17">
        <f>IF($A481="","",IFERROR(SUMIF(tblAnahtarA[Norm],$A481,tblGirdi[ToplamSatis]),0))</f>
        <v/>
      </c>
      <c r="C481" s="17">
        <f>IF($A481="","",IFERROR(SUMIF(tblAnahtarA[Norm],$A481,tblGirdi[Maliyet])*IFERROR(SUMIF(tblAnahtarA[Norm],$A481,tblGirdi[Miktar]),1),0))</f>
        <v/>
      </c>
      <c r="D481" s="17">
        <f>IF($A481="","",IFERROR(SUMIF(tblAnahtarA[Norm],$A481,tblGirdi[Miktar]),0))</f>
        <v/>
      </c>
      <c r="E481" s="17">
        <f>IF($A481="","",IFERROR(SUMIF(tblAnahtarA[Norm],$A481,tblGirdi[KomisyonOran]),0))</f>
        <v/>
      </c>
      <c r="F481" s="17">
        <f>IF($A481="","",ROUND($B481*$E481,2))</f>
        <v/>
      </c>
      <c r="G481" s="17">
        <f>IF($A481="","",IFERROR(SUMIF(tblAnahtarB[NormB],$A481,tblHakedis[TyPlus]),0))</f>
        <v/>
      </c>
      <c r="H481" s="17">
        <f>IF($A481="","",IFERROR(SUMIF(tblAnahtarB[NormB],$A481,tblHakedis[FlasKesinti]),0))</f>
        <v/>
      </c>
      <c r="I481" s="17">
        <f>IF($A481="","",IFERROR(SUMIF(tblAnahtarB[NormB],$A481,tblHakedis[UrunReklam]),0))</f>
        <v/>
      </c>
      <c r="J481" s="17">
        <f>IF($A481="","",IFERROR(SUMIF(tblAnahtarB[NormB],$A481,tblHakedis[DesiKargo]),0))</f>
        <v/>
      </c>
      <c r="K481" s="17">
        <f>IF($A481="","",ROUND($F481+$G481+$H481+$I481+$J481,2))</f>
        <v/>
      </c>
      <c r="L481" s="17">
        <f>IF($A481="","",ROUND($B481-$C481,2))</f>
        <v/>
      </c>
      <c r="M481" s="17">
        <f>IF($A481="","",ROUND($B481-$C481-$K481,2))</f>
        <v/>
      </c>
      <c r="N481" s="17">
        <f>IF(OR($A481="",$B481=0),0,$M481/$B481)</f>
        <v/>
      </c>
      <c r="O481" s="17">
        <f>IF($A481="","",IF((1-$E481)&lt;=0,0,IF($D481=0,0,ROUND(($C481+$G481+$H481+$I481+$J481)/$D481/(1-$E481),2))))</f>
        <v/>
      </c>
      <c r="P481" s="17">
        <f>IF($A481="","",IFERROR(SUMIF(tblAnahtarA[Norm],$A481,tblGirdi[HedefNet]),0))</f>
        <v/>
      </c>
      <c r="Q481" s="17">
        <f>IF($A481="","",ROUND($M481-$P481,2))</f>
        <v/>
      </c>
      <c r="R481" s="17">
        <f>IF($A481="","",ROUND($B481-$K481,2))</f>
        <v/>
      </c>
      <c r="S481" s="17">
        <f>IF($A481="","",IF($N481&lt;0,"ÇEKİL",IF($N481&lt;tyk_esikMarjDusuk,"ZAM","SAT")))</f>
        <v/>
      </c>
      <c r="T481" s="17">
        <f>IF($A481="","",$L481-$F481)</f>
        <v/>
      </c>
      <c r="U481" s="17">
        <f>IF($A481="","",$M481-$Q481)</f>
        <v/>
      </c>
      <c r="V481" s="17">
        <f>IF($A481="","",$R481-$M481)</f>
        <v/>
      </c>
    </row>
    <row r="482">
      <c r="A482" s="17">
        <f>IF('ANAHTAR'!$B482="","",'ANAHTAR'!$B482)</f>
        <v/>
      </c>
      <c r="B482" s="17">
        <f>IF($A482="","",IFERROR(SUMIF(tblAnahtarA[Norm],$A482,tblGirdi[ToplamSatis]),0))</f>
        <v/>
      </c>
      <c r="C482" s="17">
        <f>IF($A482="","",IFERROR(SUMIF(tblAnahtarA[Norm],$A482,tblGirdi[Maliyet])*IFERROR(SUMIF(tblAnahtarA[Norm],$A482,tblGirdi[Miktar]),1),0))</f>
        <v/>
      </c>
      <c r="D482" s="17">
        <f>IF($A482="","",IFERROR(SUMIF(tblAnahtarA[Norm],$A482,tblGirdi[Miktar]),0))</f>
        <v/>
      </c>
      <c r="E482" s="17">
        <f>IF($A482="","",IFERROR(SUMIF(tblAnahtarA[Norm],$A482,tblGirdi[KomisyonOran]),0))</f>
        <v/>
      </c>
      <c r="F482" s="17">
        <f>IF($A482="","",ROUND($B482*$E482,2))</f>
        <v/>
      </c>
      <c r="G482" s="17">
        <f>IF($A482="","",IFERROR(SUMIF(tblAnahtarB[NormB],$A482,tblHakedis[TyPlus]),0))</f>
        <v/>
      </c>
      <c r="H482" s="17">
        <f>IF($A482="","",IFERROR(SUMIF(tblAnahtarB[NormB],$A482,tblHakedis[FlasKesinti]),0))</f>
        <v/>
      </c>
      <c r="I482" s="17">
        <f>IF($A482="","",IFERROR(SUMIF(tblAnahtarB[NormB],$A482,tblHakedis[UrunReklam]),0))</f>
        <v/>
      </c>
      <c r="J482" s="17">
        <f>IF($A482="","",IFERROR(SUMIF(tblAnahtarB[NormB],$A482,tblHakedis[DesiKargo]),0))</f>
        <v/>
      </c>
      <c r="K482" s="17">
        <f>IF($A482="","",ROUND($F482+$G482+$H482+$I482+$J482,2))</f>
        <v/>
      </c>
      <c r="L482" s="17">
        <f>IF($A482="","",ROUND($B482-$C482,2))</f>
        <v/>
      </c>
      <c r="M482" s="17">
        <f>IF($A482="","",ROUND($B482-$C482-$K482,2))</f>
        <v/>
      </c>
      <c r="N482" s="17">
        <f>IF(OR($A482="",$B482=0),0,$M482/$B482)</f>
        <v/>
      </c>
      <c r="O482" s="17">
        <f>IF($A482="","",IF((1-$E482)&lt;=0,0,IF($D482=0,0,ROUND(($C482+$G482+$H482+$I482+$J482)/$D482/(1-$E482),2))))</f>
        <v/>
      </c>
      <c r="P482" s="17">
        <f>IF($A482="","",IFERROR(SUMIF(tblAnahtarA[Norm],$A482,tblGirdi[HedefNet]),0))</f>
        <v/>
      </c>
      <c r="Q482" s="17">
        <f>IF($A482="","",ROUND($M482-$P482,2))</f>
        <v/>
      </c>
      <c r="R482" s="17">
        <f>IF($A482="","",ROUND($B482-$K482,2))</f>
        <v/>
      </c>
      <c r="S482" s="17">
        <f>IF($A482="","",IF($N482&lt;0,"ÇEKİL",IF($N482&lt;tyk_esikMarjDusuk,"ZAM","SAT")))</f>
        <v/>
      </c>
      <c r="T482" s="17">
        <f>IF($A482="","",$L482-$F482)</f>
        <v/>
      </c>
      <c r="U482" s="17">
        <f>IF($A482="","",$M482-$Q482)</f>
        <v/>
      </c>
      <c r="V482" s="17">
        <f>IF($A482="","",$R482-$M482)</f>
        <v/>
      </c>
    </row>
    <row r="483">
      <c r="A483" s="17">
        <f>IF('ANAHTAR'!$B483="","",'ANAHTAR'!$B483)</f>
        <v/>
      </c>
      <c r="B483" s="17">
        <f>IF($A483="","",IFERROR(SUMIF(tblAnahtarA[Norm],$A483,tblGirdi[ToplamSatis]),0))</f>
        <v/>
      </c>
      <c r="C483" s="17">
        <f>IF($A483="","",IFERROR(SUMIF(tblAnahtarA[Norm],$A483,tblGirdi[Maliyet])*IFERROR(SUMIF(tblAnahtarA[Norm],$A483,tblGirdi[Miktar]),1),0))</f>
        <v/>
      </c>
      <c r="D483" s="17">
        <f>IF($A483="","",IFERROR(SUMIF(tblAnahtarA[Norm],$A483,tblGirdi[Miktar]),0))</f>
        <v/>
      </c>
      <c r="E483" s="17">
        <f>IF($A483="","",IFERROR(SUMIF(tblAnahtarA[Norm],$A483,tblGirdi[KomisyonOran]),0))</f>
        <v/>
      </c>
      <c r="F483" s="17">
        <f>IF($A483="","",ROUND($B483*$E483,2))</f>
        <v/>
      </c>
      <c r="G483" s="17">
        <f>IF($A483="","",IFERROR(SUMIF(tblAnahtarB[NormB],$A483,tblHakedis[TyPlus]),0))</f>
        <v/>
      </c>
      <c r="H483" s="17">
        <f>IF($A483="","",IFERROR(SUMIF(tblAnahtarB[NormB],$A483,tblHakedis[FlasKesinti]),0))</f>
        <v/>
      </c>
      <c r="I483" s="17">
        <f>IF($A483="","",IFERROR(SUMIF(tblAnahtarB[NormB],$A483,tblHakedis[UrunReklam]),0))</f>
        <v/>
      </c>
      <c r="J483" s="17">
        <f>IF($A483="","",IFERROR(SUMIF(tblAnahtarB[NormB],$A483,tblHakedis[DesiKargo]),0))</f>
        <v/>
      </c>
      <c r="K483" s="17">
        <f>IF($A483="","",ROUND($F483+$G483+$H483+$I483+$J483,2))</f>
        <v/>
      </c>
      <c r="L483" s="17">
        <f>IF($A483="","",ROUND($B483-$C483,2))</f>
        <v/>
      </c>
      <c r="M483" s="17">
        <f>IF($A483="","",ROUND($B483-$C483-$K483,2))</f>
        <v/>
      </c>
      <c r="N483" s="17">
        <f>IF(OR($A483="",$B483=0),0,$M483/$B483)</f>
        <v/>
      </c>
      <c r="O483" s="17">
        <f>IF($A483="","",IF((1-$E483)&lt;=0,0,IF($D483=0,0,ROUND(($C483+$G483+$H483+$I483+$J483)/$D483/(1-$E483),2))))</f>
        <v/>
      </c>
      <c r="P483" s="17">
        <f>IF($A483="","",IFERROR(SUMIF(tblAnahtarA[Norm],$A483,tblGirdi[HedefNet]),0))</f>
        <v/>
      </c>
      <c r="Q483" s="17">
        <f>IF($A483="","",ROUND($M483-$P483,2))</f>
        <v/>
      </c>
      <c r="R483" s="17">
        <f>IF($A483="","",ROUND($B483-$K483,2))</f>
        <v/>
      </c>
      <c r="S483" s="17">
        <f>IF($A483="","",IF($N483&lt;0,"ÇEKİL",IF($N483&lt;tyk_esikMarjDusuk,"ZAM","SAT")))</f>
        <v/>
      </c>
      <c r="T483" s="17">
        <f>IF($A483="","",$L483-$F483)</f>
        <v/>
      </c>
      <c r="U483" s="17">
        <f>IF($A483="","",$M483-$Q483)</f>
        <v/>
      </c>
      <c r="V483" s="17">
        <f>IF($A483="","",$R483-$M483)</f>
        <v/>
      </c>
    </row>
    <row r="484">
      <c r="A484" s="17">
        <f>IF('ANAHTAR'!$B484="","",'ANAHTAR'!$B484)</f>
        <v/>
      </c>
      <c r="B484" s="17">
        <f>IF($A484="","",IFERROR(SUMIF(tblAnahtarA[Norm],$A484,tblGirdi[ToplamSatis]),0))</f>
        <v/>
      </c>
      <c r="C484" s="17">
        <f>IF($A484="","",IFERROR(SUMIF(tblAnahtarA[Norm],$A484,tblGirdi[Maliyet])*IFERROR(SUMIF(tblAnahtarA[Norm],$A484,tblGirdi[Miktar]),1),0))</f>
        <v/>
      </c>
      <c r="D484" s="17">
        <f>IF($A484="","",IFERROR(SUMIF(tblAnahtarA[Norm],$A484,tblGirdi[Miktar]),0))</f>
        <v/>
      </c>
      <c r="E484" s="17">
        <f>IF($A484="","",IFERROR(SUMIF(tblAnahtarA[Norm],$A484,tblGirdi[KomisyonOran]),0))</f>
        <v/>
      </c>
      <c r="F484" s="17">
        <f>IF($A484="","",ROUND($B484*$E484,2))</f>
        <v/>
      </c>
      <c r="G484" s="17">
        <f>IF($A484="","",IFERROR(SUMIF(tblAnahtarB[NormB],$A484,tblHakedis[TyPlus]),0))</f>
        <v/>
      </c>
      <c r="H484" s="17">
        <f>IF($A484="","",IFERROR(SUMIF(tblAnahtarB[NormB],$A484,tblHakedis[FlasKesinti]),0))</f>
        <v/>
      </c>
      <c r="I484" s="17">
        <f>IF($A484="","",IFERROR(SUMIF(tblAnahtarB[NormB],$A484,tblHakedis[UrunReklam]),0))</f>
        <v/>
      </c>
      <c r="J484" s="17">
        <f>IF($A484="","",IFERROR(SUMIF(tblAnahtarB[NormB],$A484,tblHakedis[DesiKargo]),0))</f>
        <v/>
      </c>
      <c r="K484" s="17">
        <f>IF($A484="","",ROUND($F484+$G484+$H484+$I484+$J484,2))</f>
        <v/>
      </c>
      <c r="L484" s="17">
        <f>IF($A484="","",ROUND($B484-$C484,2))</f>
        <v/>
      </c>
      <c r="M484" s="17">
        <f>IF($A484="","",ROUND($B484-$C484-$K484,2))</f>
        <v/>
      </c>
      <c r="N484" s="17">
        <f>IF(OR($A484="",$B484=0),0,$M484/$B484)</f>
        <v/>
      </c>
      <c r="O484" s="17">
        <f>IF($A484="","",IF((1-$E484)&lt;=0,0,IF($D484=0,0,ROUND(($C484+$G484+$H484+$I484+$J484)/$D484/(1-$E484),2))))</f>
        <v/>
      </c>
      <c r="P484" s="17">
        <f>IF($A484="","",IFERROR(SUMIF(tblAnahtarA[Norm],$A484,tblGirdi[HedefNet]),0))</f>
        <v/>
      </c>
      <c r="Q484" s="17">
        <f>IF($A484="","",ROUND($M484-$P484,2))</f>
        <v/>
      </c>
      <c r="R484" s="17">
        <f>IF($A484="","",ROUND($B484-$K484,2))</f>
        <v/>
      </c>
      <c r="S484" s="17">
        <f>IF($A484="","",IF($N484&lt;0,"ÇEKİL",IF($N484&lt;tyk_esikMarjDusuk,"ZAM","SAT")))</f>
        <v/>
      </c>
      <c r="T484" s="17">
        <f>IF($A484="","",$L484-$F484)</f>
        <v/>
      </c>
      <c r="U484" s="17">
        <f>IF($A484="","",$M484-$Q484)</f>
        <v/>
      </c>
      <c r="V484" s="17">
        <f>IF($A484="","",$R484-$M484)</f>
        <v/>
      </c>
    </row>
    <row r="485">
      <c r="A485" s="17">
        <f>IF('ANAHTAR'!$B485="","",'ANAHTAR'!$B485)</f>
        <v/>
      </c>
      <c r="B485" s="17">
        <f>IF($A485="","",IFERROR(SUMIF(tblAnahtarA[Norm],$A485,tblGirdi[ToplamSatis]),0))</f>
        <v/>
      </c>
      <c r="C485" s="17">
        <f>IF($A485="","",IFERROR(SUMIF(tblAnahtarA[Norm],$A485,tblGirdi[Maliyet])*IFERROR(SUMIF(tblAnahtarA[Norm],$A485,tblGirdi[Miktar]),1),0))</f>
        <v/>
      </c>
      <c r="D485" s="17">
        <f>IF($A485="","",IFERROR(SUMIF(tblAnahtarA[Norm],$A485,tblGirdi[Miktar]),0))</f>
        <v/>
      </c>
      <c r="E485" s="17">
        <f>IF($A485="","",IFERROR(SUMIF(tblAnahtarA[Norm],$A485,tblGirdi[KomisyonOran]),0))</f>
        <v/>
      </c>
      <c r="F485" s="17">
        <f>IF($A485="","",ROUND($B485*$E485,2))</f>
        <v/>
      </c>
      <c r="G485" s="17">
        <f>IF($A485="","",IFERROR(SUMIF(tblAnahtarB[NormB],$A485,tblHakedis[TyPlus]),0))</f>
        <v/>
      </c>
      <c r="H485" s="17">
        <f>IF($A485="","",IFERROR(SUMIF(tblAnahtarB[NormB],$A485,tblHakedis[FlasKesinti]),0))</f>
        <v/>
      </c>
      <c r="I485" s="17">
        <f>IF($A485="","",IFERROR(SUMIF(tblAnahtarB[NormB],$A485,tblHakedis[UrunReklam]),0))</f>
        <v/>
      </c>
      <c r="J485" s="17">
        <f>IF($A485="","",IFERROR(SUMIF(tblAnahtarB[NormB],$A485,tblHakedis[DesiKargo]),0))</f>
        <v/>
      </c>
      <c r="K485" s="17">
        <f>IF($A485="","",ROUND($F485+$G485+$H485+$I485+$J485,2))</f>
        <v/>
      </c>
      <c r="L485" s="17">
        <f>IF($A485="","",ROUND($B485-$C485,2))</f>
        <v/>
      </c>
      <c r="M485" s="17">
        <f>IF($A485="","",ROUND($B485-$C485-$K485,2))</f>
        <v/>
      </c>
      <c r="N485" s="17">
        <f>IF(OR($A485="",$B485=0),0,$M485/$B485)</f>
        <v/>
      </c>
      <c r="O485" s="17">
        <f>IF($A485="","",IF((1-$E485)&lt;=0,0,IF($D485=0,0,ROUND(($C485+$G485+$H485+$I485+$J485)/$D485/(1-$E485),2))))</f>
        <v/>
      </c>
      <c r="P485" s="17">
        <f>IF($A485="","",IFERROR(SUMIF(tblAnahtarA[Norm],$A485,tblGirdi[HedefNet]),0))</f>
        <v/>
      </c>
      <c r="Q485" s="17">
        <f>IF($A485="","",ROUND($M485-$P485,2))</f>
        <v/>
      </c>
      <c r="R485" s="17">
        <f>IF($A485="","",ROUND($B485-$K485,2))</f>
        <v/>
      </c>
      <c r="S485" s="17">
        <f>IF($A485="","",IF($N485&lt;0,"ÇEKİL",IF($N485&lt;tyk_esikMarjDusuk,"ZAM","SAT")))</f>
        <v/>
      </c>
      <c r="T485" s="17">
        <f>IF($A485="","",$L485-$F485)</f>
        <v/>
      </c>
      <c r="U485" s="17">
        <f>IF($A485="","",$M485-$Q485)</f>
        <v/>
      </c>
      <c r="V485" s="17">
        <f>IF($A485="","",$R485-$M485)</f>
        <v/>
      </c>
    </row>
    <row r="486">
      <c r="A486" s="17">
        <f>IF('ANAHTAR'!$B486="","",'ANAHTAR'!$B486)</f>
        <v/>
      </c>
      <c r="B486" s="17">
        <f>IF($A486="","",IFERROR(SUMIF(tblAnahtarA[Norm],$A486,tblGirdi[ToplamSatis]),0))</f>
        <v/>
      </c>
      <c r="C486" s="17">
        <f>IF($A486="","",IFERROR(SUMIF(tblAnahtarA[Norm],$A486,tblGirdi[Maliyet])*IFERROR(SUMIF(tblAnahtarA[Norm],$A486,tblGirdi[Miktar]),1),0))</f>
        <v/>
      </c>
      <c r="D486" s="17">
        <f>IF($A486="","",IFERROR(SUMIF(tblAnahtarA[Norm],$A486,tblGirdi[Miktar]),0))</f>
        <v/>
      </c>
      <c r="E486" s="17">
        <f>IF($A486="","",IFERROR(SUMIF(tblAnahtarA[Norm],$A486,tblGirdi[KomisyonOran]),0))</f>
        <v/>
      </c>
      <c r="F486" s="17">
        <f>IF($A486="","",ROUND($B486*$E486,2))</f>
        <v/>
      </c>
      <c r="G486" s="17">
        <f>IF($A486="","",IFERROR(SUMIF(tblAnahtarB[NormB],$A486,tblHakedis[TyPlus]),0))</f>
        <v/>
      </c>
      <c r="H486" s="17">
        <f>IF($A486="","",IFERROR(SUMIF(tblAnahtarB[NormB],$A486,tblHakedis[FlasKesinti]),0))</f>
        <v/>
      </c>
      <c r="I486" s="17">
        <f>IF($A486="","",IFERROR(SUMIF(tblAnahtarB[NormB],$A486,tblHakedis[UrunReklam]),0))</f>
        <v/>
      </c>
      <c r="J486" s="17">
        <f>IF($A486="","",IFERROR(SUMIF(tblAnahtarB[NormB],$A486,tblHakedis[DesiKargo]),0))</f>
        <v/>
      </c>
      <c r="K486" s="17">
        <f>IF($A486="","",ROUND($F486+$G486+$H486+$I486+$J486,2))</f>
        <v/>
      </c>
      <c r="L486" s="17">
        <f>IF($A486="","",ROUND($B486-$C486,2))</f>
        <v/>
      </c>
      <c r="M486" s="17">
        <f>IF($A486="","",ROUND($B486-$C486-$K486,2))</f>
        <v/>
      </c>
      <c r="N486" s="17">
        <f>IF(OR($A486="",$B486=0),0,$M486/$B486)</f>
        <v/>
      </c>
      <c r="O486" s="17">
        <f>IF($A486="","",IF((1-$E486)&lt;=0,0,IF($D486=0,0,ROUND(($C486+$G486+$H486+$I486+$J486)/$D486/(1-$E486),2))))</f>
        <v/>
      </c>
      <c r="P486" s="17">
        <f>IF($A486="","",IFERROR(SUMIF(tblAnahtarA[Norm],$A486,tblGirdi[HedefNet]),0))</f>
        <v/>
      </c>
      <c r="Q486" s="17">
        <f>IF($A486="","",ROUND($M486-$P486,2))</f>
        <v/>
      </c>
      <c r="R486" s="17">
        <f>IF($A486="","",ROUND($B486-$K486,2))</f>
        <v/>
      </c>
      <c r="S486" s="17">
        <f>IF($A486="","",IF($N486&lt;0,"ÇEKİL",IF($N486&lt;tyk_esikMarjDusuk,"ZAM","SAT")))</f>
        <v/>
      </c>
      <c r="T486" s="17">
        <f>IF($A486="","",$L486-$F486)</f>
        <v/>
      </c>
      <c r="U486" s="17">
        <f>IF($A486="","",$M486-$Q486)</f>
        <v/>
      </c>
      <c r="V486" s="17">
        <f>IF($A486="","",$R486-$M486)</f>
        <v/>
      </c>
    </row>
    <row r="487">
      <c r="A487" s="17">
        <f>IF('ANAHTAR'!$B487="","",'ANAHTAR'!$B487)</f>
        <v/>
      </c>
      <c r="B487" s="17">
        <f>IF($A487="","",IFERROR(SUMIF(tblAnahtarA[Norm],$A487,tblGirdi[ToplamSatis]),0))</f>
        <v/>
      </c>
      <c r="C487" s="17">
        <f>IF($A487="","",IFERROR(SUMIF(tblAnahtarA[Norm],$A487,tblGirdi[Maliyet])*IFERROR(SUMIF(tblAnahtarA[Norm],$A487,tblGirdi[Miktar]),1),0))</f>
        <v/>
      </c>
      <c r="D487" s="17">
        <f>IF($A487="","",IFERROR(SUMIF(tblAnahtarA[Norm],$A487,tblGirdi[Miktar]),0))</f>
        <v/>
      </c>
      <c r="E487" s="17">
        <f>IF($A487="","",IFERROR(SUMIF(tblAnahtarA[Norm],$A487,tblGirdi[KomisyonOran]),0))</f>
        <v/>
      </c>
      <c r="F487" s="17">
        <f>IF($A487="","",ROUND($B487*$E487,2))</f>
        <v/>
      </c>
      <c r="G487" s="17">
        <f>IF($A487="","",IFERROR(SUMIF(tblAnahtarB[NormB],$A487,tblHakedis[TyPlus]),0))</f>
        <v/>
      </c>
      <c r="H487" s="17">
        <f>IF($A487="","",IFERROR(SUMIF(tblAnahtarB[NormB],$A487,tblHakedis[FlasKesinti]),0))</f>
        <v/>
      </c>
      <c r="I487" s="17">
        <f>IF($A487="","",IFERROR(SUMIF(tblAnahtarB[NormB],$A487,tblHakedis[UrunReklam]),0))</f>
        <v/>
      </c>
      <c r="J487" s="17">
        <f>IF($A487="","",IFERROR(SUMIF(tblAnahtarB[NormB],$A487,tblHakedis[DesiKargo]),0))</f>
        <v/>
      </c>
      <c r="K487" s="17">
        <f>IF($A487="","",ROUND($F487+$G487+$H487+$I487+$J487,2))</f>
        <v/>
      </c>
      <c r="L487" s="17">
        <f>IF($A487="","",ROUND($B487-$C487,2))</f>
        <v/>
      </c>
      <c r="M487" s="17">
        <f>IF($A487="","",ROUND($B487-$C487-$K487,2))</f>
        <v/>
      </c>
      <c r="N487" s="17">
        <f>IF(OR($A487="",$B487=0),0,$M487/$B487)</f>
        <v/>
      </c>
      <c r="O487" s="17">
        <f>IF($A487="","",IF((1-$E487)&lt;=0,0,IF($D487=0,0,ROUND(($C487+$G487+$H487+$I487+$J487)/$D487/(1-$E487),2))))</f>
        <v/>
      </c>
      <c r="P487" s="17">
        <f>IF($A487="","",IFERROR(SUMIF(tblAnahtarA[Norm],$A487,tblGirdi[HedefNet]),0))</f>
        <v/>
      </c>
      <c r="Q487" s="17">
        <f>IF($A487="","",ROUND($M487-$P487,2))</f>
        <v/>
      </c>
      <c r="R487" s="17">
        <f>IF($A487="","",ROUND($B487-$K487,2))</f>
        <v/>
      </c>
      <c r="S487" s="17">
        <f>IF($A487="","",IF($N487&lt;0,"ÇEKİL",IF($N487&lt;tyk_esikMarjDusuk,"ZAM","SAT")))</f>
        <v/>
      </c>
      <c r="T487" s="17">
        <f>IF($A487="","",$L487-$F487)</f>
        <v/>
      </c>
      <c r="U487" s="17">
        <f>IF($A487="","",$M487-$Q487)</f>
        <v/>
      </c>
      <c r="V487" s="17">
        <f>IF($A487="","",$R487-$M487)</f>
        <v/>
      </c>
    </row>
    <row r="488">
      <c r="A488" s="17">
        <f>IF('ANAHTAR'!$B488="","",'ANAHTAR'!$B488)</f>
        <v/>
      </c>
      <c r="B488" s="17">
        <f>IF($A488="","",IFERROR(SUMIF(tblAnahtarA[Norm],$A488,tblGirdi[ToplamSatis]),0))</f>
        <v/>
      </c>
      <c r="C488" s="17">
        <f>IF($A488="","",IFERROR(SUMIF(tblAnahtarA[Norm],$A488,tblGirdi[Maliyet])*IFERROR(SUMIF(tblAnahtarA[Norm],$A488,tblGirdi[Miktar]),1),0))</f>
        <v/>
      </c>
      <c r="D488" s="17">
        <f>IF($A488="","",IFERROR(SUMIF(tblAnahtarA[Norm],$A488,tblGirdi[Miktar]),0))</f>
        <v/>
      </c>
      <c r="E488" s="17">
        <f>IF($A488="","",IFERROR(SUMIF(tblAnahtarA[Norm],$A488,tblGirdi[KomisyonOran]),0))</f>
        <v/>
      </c>
      <c r="F488" s="17">
        <f>IF($A488="","",ROUND($B488*$E488,2))</f>
        <v/>
      </c>
      <c r="G488" s="17">
        <f>IF($A488="","",IFERROR(SUMIF(tblAnahtarB[NormB],$A488,tblHakedis[TyPlus]),0))</f>
        <v/>
      </c>
      <c r="H488" s="17">
        <f>IF($A488="","",IFERROR(SUMIF(tblAnahtarB[NormB],$A488,tblHakedis[FlasKesinti]),0))</f>
        <v/>
      </c>
      <c r="I488" s="17">
        <f>IF($A488="","",IFERROR(SUMIF(tblAnahtarB[NormB],$A488,tblHakedis[UrunReklam]),0))</f>
        <v/>
      </c>
      <c r="J488" s="17">
        <f>IF($A488="","",IFERROR(SUMIF(tblAnahtarB[NormB],$A488,tblHakedis[DesiKargo]),0))</f>
        <v/>
      </c>
      <c r="K488" s="17">
        <f>IF($A488="","",ROUND($F488+$G488+$H488+$I488+$J488,2))</f>
        <v/>
      </c>
      <c r="L488" s="17">
        <f>IF($A488="","",ROUND($B488-$C488,2))</f>
        <v/>
      </c>
      <c r="M488" s="17">
        <f>IF($A488="","",ROUND($B488-$C488-$K488,2))</f>
        <v/>
      </c>
      <c r="N488" s="17">
        <f>IF(OR($A488="",$B488=0),0,$M488/$B488)</f>
        <v/>
      </c>
      <c r="O488" s="17">
        <f>IF($A488="","",IF((1-$E488)&lt;=0,0,IF($D488=0,0,ROUND(($C488+$G488+$H488+$I488+$J488)/$D488/(1-$E488),2))))</f>
        <v/>
      </c>
      <c r="P488" s="17">
        <f>IF($A488="","",IFERROR(SUMIF(tblAnahtarA[Norm],$A488,tblGirdi[HedefNet]),0))</f>
        <v/>
      </c>
      <c r="Q488" s="17">
        <f>IF($A488="","",ROUND($M488-$P488,2))</f>
        <v/>
      </c>
      <c r="R488" s="17">
        <f>IF($A488="","",ROUND($B488-$K488,2))</f>
        <v/>
      </c>
      <c r="S488" s="17">
        <f>IF($A488="","",IF($N488&lt;0,"ÇEKİL",IF($N488&lt;tyk_esikMarjDusuk,"ZAM","SAT")))</f>
        <v/>
      </c>
      <c r="T488" s="17">
        <f>IF($A488="","",$L488-$F488)</f>
        <v/>
      </c>
      <c r="U488" s="17">
        <f>IF($A488="","",$M488-$Q488)</f>
        <v/>
      </c>
      <c r="V488" s="17">
        <f>IF($A488="","",$R488-$M488)</f>
        <v/>
      </c>
    </row>
    <row r="489">
      <c r="A489" s="17">
        <f>IF('ANAHTAR'!$B489="","",'ANAHTAR'!$B489)</f>
        <v/>
      </c>
      <c r="B489" s="17">
        <f>IF($A489="","",IFERROR(SUMIF(tblAnahtarA[Norm],$A489,tblGirdi[ToplamSatis]),0))</f>
        <v/>
      </c>
      <c r="C489" s="17">
        <f>IF($A489="","",IFERROR(SUMIF(tblAnahtarA[Norm],$A489,tblGirdi[Maliyet])*IFERROR(SUMIF(tblAnahtarA[Norm],$A489,tblGirdi[Miktar]),1),0))</f>
        <v/>
      </c>
      <c r="D489" s="17">
        <f>IF($A489="","",IFERROR(SUMIF(tblAnahtarA[Norm],$A489,tblGirdi[Miktar]),0))</f>
        <v/>
      </c>
      <c r="E489" s="17">
        <f>IF($A489="","",IFERROR(SUMIF(tblAnahtarA[Norm],$A489,tblGirdi[KomisyonOran]),0))</f>
        <v/>
      </c>
      <c r="F489" s="17">
        <f>IF($A489="","",ROUND($B489*$E489,2))</f>
        <v/>
      </c>
      <c r="G489" s="17">
        <f>IF($A489="","",IFERROR(SUMIF(tblAnahtarB[NormB],$A489,tblHakedis[TyPlus]),0))</f>
        <v/>
      </c>
      <c r="H489" s="17">
        <f>IF($A489="","",IFERROR(SUMIF(tblAnahtarB[NormB],$A489,tblHakedis[FlasKesinti]),0))</f>
        <v/>
      </c>
      <c r="I489" s="17">
        <f>IF($A489="","",IFERROR(SUMIF(tblAnahtarB[NormB],$A489,tblHakedis[UrunReklam]),0))</f>
        <v/>
      </c>
      <c r="J489" s="17">
        <f>IF($A489="","",IFERROR(SUMIF(tblAnahtarB[NormB],$A489,tblHakedis[DesiKargo]),0))</f>
        <v/>
      </c>
      <c r="K489" s="17">
        <f>IF($A489="","",ROUND($F489+$G489+$H489+$I489+$J489,2))</f>
        <v/>
      </c>
      <c r="L489" s="17">
        <f>IF($A489="","",ROUND($B489-$C489,2))</f>
        <v/>
      </c>
      <c r="M489" s="17">
        <f>IF($A489="","",ROUND($B489-$C489-$K489,2))</f>
        <v/>
      </c>
      <c r="N489" s="17">
        <f>IF(OR($A489="",$B489=0),0,$M489/$B489)</f>
        <v/>
      </c>
      <c r="O489" s="17">
        <f>IF($A489="","",IF((1-$E489)&lt;=0,0,IF($D489=0,0,ROUND(($C489+$G489+$H489+$I489+$J489)/$D489/(1-$E489),2))))</f>
        <v/>
      </c>
      <c r="P489" s="17">
        <f>IF($A489="","",IFERROR(SUMIF(tblAnahtarA[Norm],$A489,tblGirdi[HedefNet]),0))</f>
        <v/>
      </c>
      <c r="Q489" s="17">
        <f>IF($A489="","",ROUND($M489-$P489,2))</f>
        <v/>
      </c>
      <c r="R489" s="17">
        <f>IF($A489="","",ROUND($B489-$K489,2))</f>
        <v/>
      </c>
      <c r="S489" s="17">
        <f>IF($A489="","",IF($N489&lt;0,"ÇEKİL",IF($N489&lt;tyk_esikMarjDusuk,"ZAM","SAT")))</f>
        <v/>
      </c>
      <c r="T489" s="17">
        <f>IF($A489="","",$L489-$F489)</f>
        <v/>
      </c>
      <c r="U489" s="17">
        <f>IF($A489="","",$M489-$Q489)</f>
        <v/>
      </c>
      <c r="V489" s="17">
        <f>IF($A489="","",$R489-$M489)</f>
        <v/>
      </c>
    </row>
    <row r="490">
      <c r="A490" s="17">
        <f>IF('ANAHTAR'!$B490="","",'ANAHTAR'!$B490)</f>
        <v/>
      </c>
      <c r="B490" s="17">
        <f>IF($A490="","",IFERROR(SUMIF(tblAnahtarA[Norm],$A490,tblGirdi[ToplamSatis]),0))</f>
        <v/>
      </c>
      <c r="C490" s="17">
        <f>IF($A490="","",IFERROR(SUMIF(tblAnahtarA[Norm],$A490,tblGirdi[Maliyet])*IFERROR(SUMIF(tblAnahtarA[Norm],$A490,tblGirdi[Miktar]),1),0))</f>
        <v/>
      </c>
      <c r="D490" s="17">
        <f>IF($A490="","",IFERROR(SUMIF(tblAnahtarA[Norm],$A490,tblGirdi[Miktar]),0))</f>
        <v/>
      </c>
      <c r="E490" s="17">
        <f>IF($A490="","",IFERROR(SUMIF(tblAnahtarA[Norm],$A490,tblGirdi[KomisyonOran]),0))</f>
        <v/>
      </c>
      <c r="F490" s="17">
        <f>IF($A490="","",ROUND($B490*$E490,2))</f>
        <v/>
      </c>
      <c r="G490" s="17">
        <f>IF($A490="","",IFERROR(SUMIF(tblAnahtarB[NormB],$A490,tblHakedis[TyPlus]),0))</f>
        <v/>
      </c>
      <c r="H490" s="17">
        <f>IF($A490="","",IFERROR(SUMIF(tblAnahtarB[NormB],$A490,tblHakedis[FlasKesinti]),0))</f>
        <v/>
      </c>
      <c r="I490" s="17">
        <f>IF($A490="","",IFERROR(SUMIF(tblAnahtarB[NormB],$A490,tblHakedis[UrunReklam]),0))</f>
        <v/>
      </c>
      <c r="J490" s="17">
        <f>IF($A490="","",IFERROR(SUMIF(tblAnahtarB[NormB],$A490,tblHakedis[DesiKargo]),0))</f>
        <v/>
      </c>
      <c r="K490" s="17">
        <f>IF($A490="","",ROUND($F490+$G490+$H490+$I490+$J490,2))</f>
        <v/>
      </c>
      <c r="L490" s="17">
        <f>IF($A490="","",ROUND($B490-$C490,2))</f>
        <v/>
      </c>
      <c r="M490" s="17">
        <f>IF($A490="","",ROUND($B490-$C490-$K490,2))</f>
        <v/>
      </c>
      <c r="N490" s="17">
        <f>IF(OR($A490="",$B490=0),0,$M490/$B490)</f>
        <v/>
      </c>
      <c r="O490" s="17">
        <f>IF($A490="","",IF((1-$E490)&lt;=0,0,IF($D490=0,0,ROUND(($C490+$G490+$H490+$I490+$J490)/$D490/(1-$E490),2))))</f>
        <v/>
      </c>
      <c r="P490" s="17">
        <f>IF($A490="","",IFERROR(SUMIF(tblAnahtarA[Norm],$A490,tblGirdi[HedefNet]),0))</f>
        <v/>
      </c>
      <c r="Q490" s="17">
        <f>IF($A490="","",ROUND($M490-$P490,2))</f>
        <v/>
      </c>
      <c r="R490" s="17">
        <f>IF($A490="","",ROUND($B490-$K490,2))</f>
        <v/>
      </c>
      <c r="S490" s="17">
        <f>IF($A490="","",IF($N490&lt;0,"ÇEKİL",IF($N490&lt;tyk_esikMarjDusuk,"ZAM","SAT")))</f>
        <v/>
      </c>
      <c r="T490" s="17">
        <f>IF($A490="","",$L490-$F490)</f>
        <v/>
      </c>
      <c r="U490" s="17">
        <f>IF($A490="","",$M490-$Q490)</f>
        <v/>
      </c>
      <c r="V490" s="17">
        <f>IF($A490="","",$R490-$M490)</f>
        <v/>
      </c>
    </row>
    <row r="491">
      <c r="A491" s="17">
        <f>IF('ANAHTAR'!$B491="","",'ANAHTAR'!$B491)</f>
        <v/>
      </c>
      <c r="B491" s="17">
        <f>IF($A491="","",IFERROR(SUMIF(tblAnahtarA[Norm],$A491,tblGirdi[ToplamSatis]),0))</f>
        <v/>
      </c>
      <c r="C491" s="17">
        <f>IF($A491="","",IFERROR(SUMIF(tblAnahtarA[Norm],$A491,tblGirdi[Maliyet])*IFERROR(SUMIF(tblAnahtarA[Norm],$A491,tblGirdi[Miktar]),1),0))</f>
        <v/>
      </c>
      <c r="D491" s="17">
        <f>IF($A491="","",IFERROR(SUMIF(tblAnahtarA[Norm],$A491,tblGirdi[Miktar]),0))</f>
        <v/>
      </c>
      <c r="E491" s="17">
        <f>IF($A491="","",IFERROR(SUMIF(tblAnahtarA[Norm],$A491,tblGirdi[KomisyonOran]),0))</f>
        <v/>
      </c>
      <c r="F491" s="17">
        <f>IF($A491="","",ROUND($B491*$E491,2))</f>
        <v/>
      </c>
      <c r="G491" s="17">
        <f>IF($A491="","",IFERROR(SUMIF(tblAnahtarB[NormB],$A491,tblHakedis[TyPlus]),0))</f>
        <v/>
      </c>
      <c r="H491" s="17">
        <f>IF($A491="","",IFERROR(SUMIF(tblAnahtarB[NormB],$A491,tblHakedis[FlasKesinti]),0))</f>
        <v/>
      </c>
      <c r="I491" s="17">
        <f>IF($A491="","",IFERROR(SUMIF(tblAnahtarB[NormB],$A491,tblHakedis[UrunReklam]),0))</f>
        <v/>
      </c>
      <c r="J491" s="17">
        <f>IF($A491="","",IFERROR(SUMIF(tblAnahtarB[NormB],$A491,tblHakedis[DesiKargo]),0))</f>
        <v/>
      </c>
      <c r="K491" s="17">
        <f>IF($A491="","",ROUND($F491+$G491+$H491+$I491+$J491,2))</f>
        <v/>
      </c>
      <c r="L491" s="17">
        <f>IF($A491="","",ROUND($B491-$C491,2))</f>
        <v/>
      </c>
      <c r="M491" s="17">
        <f>IF($A491="","",ROUND($B491-$C491-$K491,2))</f>
        <v/>
      </c>
      <c r="N491" s="17">
        <f>IF(OR($A491="",$B491=0),0,$M491/$B491)</f>
        <v/>
      </c>
      <c r="O491" s="17">
        <f>IF($A491="","",IF((1-$E491)&lt;=0,0,IF($D491=0,0,ROUND(($C491+$G491+$H491+$I491+$J491)/$D491/(1-$E491),2))))</f>
        <v/>
      </c>
      <c r="P491" s="17">
        <f>IF($A491="","",IFERROR(SUMIF(tblAnahtarA[Norm],$A491,tblGirdi[HedefNet]),0))</f>
        <v/>
      </c>
      <c r="Q491" s="17">
        <f>IF($A491="","",ROUND($M491-$P491,2))</f>
        <v/>
      </c>
      <c r="R491" s="17">
        <f>IF($A491="","",ROUND($B491-$K491,2))</f>
        <v/>
      </c>
      <c r="S491" s="17">
        <f>IF($A491="","",IF($N491&lt;0,"ÇEKİL",IF($N491&lt;tyk_esikMarjDusuk,"ZAM","SAT")))</f>
        <v/>
      </c>
      <c r="T491" s="17">
        <f>IF($A491="","",$L491-$F491)</f>
        <v/>
      </c>
      <c r="U491" s="17">
        <f>IF($A491="","",$M491-$Q491)</f>
        <v/>
      </c>
      <c r="V491" s="17">
        <f>IF($A491="","",$R491-$M491)</f>
        <v/>
      </c>
    </row>
    <row r="492">
      <c r="A492" s="17">
        <f>IF('ANAHTAR'!$B492="","",'ANAHTAR'!$B492)</f>
        <v/>
      </c>
      <c r="B492" s="17">
        <f>IF($A492="","",IFERROR(SUMIF(tblAnahtarA[Norm],$A492,tblGirdi[ToplamSatis]),0))</f>
        <v/>
      </c>
      <c r="C492" s="17">
        <f>IF($A492="","",IFERROR(SUMIF(tblAnahtarA[Norm],$A492,tblGirdi[Maliyet])*IFERROR(SUMIF(tblAnahtarA[Norm],$A492,tblGirdi[Miktar]),1),0))</f>
        <v/>
      </c>
      <c r="D492" s="17">
        <f>IF($A492="","",IFERROR(SUMIF(tblAnahtarA[Norm],$A492,tblGirdi[Miktar]),0))</f>
        <v/>
      </c>
      <c r="E492" s="17">
        <f>IF($A492="","",IFERROR(SUMIF(tblAnahtarA[Norm],$A492,tblGirdi[KomisyonOran]),0))</f>
        <v/>
      </c>
      <c r="F492" s="17">
        <f>IF($A492="","",ROUND($B492*$E492,2))</f>
        <v/>
      </c>
      <c r="G492" s="17">
        <f>IF($A492="","",IFERROR(SUMIF(tblAnahtarB[NormB],$A492,tblHakedis[TyPlus]),0))</f>
        <v/>
      </c>
      <c r="H492" s="17">
        <f>IF($A492="","",IFERROR(SUMIF(tblAnahtarB[NormB],$A492,tblHakedis[FlasKesinti]),0))</f>
        <v/>
      </c>
      <c r="I492" s="17">
        <f>IF($A492="","",IFERROR(SUMIF(tblAnahtarB[NormB],$A492,tblHakedis[UrunReklam]),0))</f>
        <v/>
      </c>
      <c r="J492" s="17">
        <f>IF($A492="","",IFERROR(SUMIF(tblAnahtarB[NormB],$A492,tblHakedis[DesiKargo]),0))</f>
        <v/>
      </c>
      <c r="K492" s="17">
        <f>IF($A492="","",ROUND($F492+$G492+$H492+$I492+$J492,2))</f>
        <v/>
      </c>
      <c r="L492" s="17">
        <f>IF($A492="","",ROUND($B492-$C492,2))</f>
        <v/>
      </c>
      <c r="M492" s="17">
        <f>IF($A492="","",ROUND($B492-$C492-$K492,2))</f>
        <v/>
      </c>
      <c r="N492" s="17">
        <f>IF(OR($A492="",$B492=0),0,$M492/$B492)</f>
        <v/>
      </c>
      <c r="O492" s="17">
        <f>IF($A492="","",IF((1-$E492)&lt;=0,0,IF($D492=0,0,ROUND(($C492+$G492+$H492+$I492+$J492)/$D492/(1-$E492),2))))</f>
        <v/>
      </c>
      <c r="P492" s="17">
        <f>IF($A492="","",IFERROR(SUMIF(tblAnahtarA[Norm],$A492,tblGirdi[HedefNet]),0))</f>
        <v/>
      </c>
      <c r="Q492" s="17">
        <f>IF($A492="","",ROUND($M492-$P492,2))</f>
        <v/>
      </c>
      <c r="R492" s="17">
        <f>IF($A492="","",ROUND($B492-$K492,2))</f>
        <v/>
      </c>
      <c r="S492" s="17">
        <f>IF($A492="","",IF($N492&lt;0,"ÇEKİL",IF($N492&lt;tyk_esikMarjDusuk,"ZAM","SAT")))</f>
        <v/>
      </c>
      <c r="T492" s="17">
        <f>IF($A492="","",$L492-$F492)</f>
        <v/>
      </c>
      <c r="U492" s="17">
        <f>IF($A492="","",$M492-$Q492)</f>
        <v/>
      </c>
      <c r="V492" s="17">
        <f>IF($A492="","",$R492-$M492)</f>
        <v/>
      </c>
    </row>
    <row r="493">
      <c r="A493" s="17">
        <f>IF('ANAHTAR'!$B493="","",'ANAHTAR'!$B493)</f>
        <v/>
      </c>
      <c r="B493" s="17">
        <f>IF($A493="","",IFERROR(SUMIF(tblAnahtarA[Norm],$A493,tblGirdi[ToplamSatis]),0))</f>
        <v/>
      </c>
      <c r="C493" s="17">
        <f>IF($A493="","",IFERROR(SUMIF(tblAnahtarA[Norm],$A493,tblGirdi[Maliyet])*IFERROR(SUMIF(tblAnahtarA[Norm],$A493,tblGirdi[Miktar]),1),0))</f>
        <v/>
      </c>
      <c r="D493" s="17">
        <f>IF($A493="","",IFERROR(SUMIF(tblAnahtarA[Norm],$A493,tblGirdi[Miktar]),0))</f>
        <v/>
      </c>
      <c r="E493" s="17">
        <f>IF($A493="","",IFERROR(SUMIF(tblAnahtarA[Norm],$A493,tblGirdi[KomisyonOran]),0))</f>
        <v/>
      </c>
      <c r="F493" s="17">
        <f>IF($A493="","",ROUND($B493*$E493,2))</f>
        <v/>
      </c>
      <c r="G493" s="17">
        <f>IF($A493="","",IFERROR(SUMIF(tblAnahtarB[NormB],$A493,tblHakedis[TyPlus]),0))</f>
        <v/>
      </c>
      <c r="H493" s="17">
        <f>IF($A493="","",IFERROR(SUMIF(tblAnahtarB[NormB],$A493,tblHakedis[FlasKesinti]),0))</f>
        <v/>
      </c>
      <c r="I493" s="17">
        <f>IF($A493="","",IFERROR(SUMIF(tblAnahtarB[NormB],$A493,tblHakedis[UrunReklam]),0))</f>
        <v/>
      </c>
      <c r="J493" s="17">
        <f>IF($A493="","",IFERROR(SUMIF(tblAnahtarB[NormB],$A493,tblHakedis[DesiKargo]),0))</f>
        <v/>
      </c>
      <c r="K493" s="17">
        <f>IF($A493="","",ROUND($F493+$G493+$H493+$I493+$J493,2))</f>
        <v/>
      </c>
      <c r="L493" s="17">
        <f>IF($A493="","",ROUND($B493-$C493,2))</f>
        <v/>
      </c>
      <c r="M493" s="17">
        <f>IF($A493="","",ROUND($B493-$C493-$K493,2))</f>
        <v/>
      </c>
      <c r="N493" s="17">
        <f>IF(OR($A493="",$B493=0),0,$M493/$B493)</f>
        <v/>
      </c>
      <c r="O493" s="17">
        <f>IF($A493="","",IF((1-$E493)&lt;=0,0,IF($D493=0,0,ROUND(($C493+$G493+$H493+$I493+$J493)/$D493/(1-$E493),2))))</f>
        <v/>
      </c>
      <c r="P493" s="17">
        <f>IF($A493="","",IFERROR(SUMIF(tblAnahtarA[Norm],$A493,tblGirdi[HedefNet]),0))</f>
        <v/>
      </c>
      <c r="Q493" s="17">
        <f>IF($A493="","",ROUND($M493-$P493,2))</f>
        <v/>
      </c>
      <c r="R493" s="17">
        <f>IF($A493="","",ROUND($B493-$K493,2))</f>
        <v/>
      </c>
      <c r="S493" s="17">
        <f>IF($A493="","",IF($N493&lt;0,"ÇEKİL",IF($N493&lt;tyk_esikMarjDusuk,"ZAM","SAT")))</f>
        <v/>
      </c>
      <c r="T493" s="17">
        <f>IF($A493="","",$L493-$F493)</f>
        <v/>
      </c>
      <c r="U493" s="17">
        <f>IF($A493="","",$M493-$Q493)</f>
        <v/>
      </c>
      <c r="V493" s="17">
        <f>IF($A493="","",$R493-$M493)</f>
        <v/>
      </c>
    </row>
    <row r="494">
      <c r="A494" s="17">
        <f>IF('ANAHTAR'!$B494="","",'ANAHTAR'!$B494)</f>
        <v/>
      </c>
      <c r="B494" s="17">
        <f>IF($A494="","",IFERROR(SUMIF(tblAnahtarA[Norm],$A494,tblGirdi[ToplamSatis]),0))</f>
        <v/>
      </c>
      <c r="C494" s="17">
        <f>IF($A494="","",IFERROR(SUMIF(tblAnahtarA[Norm],$A494,tblGirdi[Maliyet])*IFERROR(SUMIF(tblAnahtarA[Norm],$A494,tblGirdi[Miktar]),1),0))</f>
        <v/>
      </c>
      <c r="D494" s="17">
        <f>IF($A494="","",IFERROR(SUMIF(tblAnahtarA[Norm],$A494,tblGirdi[Miktar]),0))</f>
        <v/>
      </c>
      <c r="E494" s="17">
        <f>IF($A494="","",IFERROR(SUMIF(tblAnahtarA[Norm],$A494,tblGirdi[KomisyonOran]),0))</f>
        <v/>
      </c>
      <c r="F494" s="17">
        <f>IF($A494="","",ROUND($B494*$E494,2))</f>
        <v/>
      </c>
      <c r="G494" s="17">
        <f>IF($A494="","",IFERROR(SUMIF(tblAnahtarB[NormB],$A494,tblHakedis[TyPlus]),0))</f>
        <v/>
      </c>
      <c r="H494" s="17">
        <f>IF($A494="","",IFERROR(SUMIF(tblAnahtarB[NormB],$A494,tblHakedis[FlasKesinti]),0))</f>
        <v/>
      </c>
      <c r="I494" s="17">
        <f>IF($A494="","",IFERROR(SUMIF(tblAnahtarB[NormB],$A494,tblHakedis[UrunReklam]),0))</f>
        <v/>
      </c>
      <c r="J494" s="17">
        <f>IF($A494="","",IFERROR(SUMIF(tblAnahtarB[NormB],$A494,tblHakedis[DesiKargo]),0))</f>
        <v/>
      </c>
      <c r="K494" s="17">
        <f>IF($A494="","",ROUND($F494+$G494+$H494+$I494+$J494,2))</f>
        <v/>
      </c>
      <c r="L494" s="17">
        <f>IF($A494="","",ROUND($B494-$C494,2))</f>
        <v/>
      </c>
      <c r="M494" s="17">
        <f>IF($A494="","",ROUND($B494-$C494-$K494,2))</f>
        <v/>
      </c>
      <c r="N494" s="17">
        <f>IF(OR($A494="",$B494=0),0,$M494/$B494)</f>
        <v/>
      </c>
      <c r="O494" s="17">
        <f>IF($A494="","",IF((1-$E494)&lt;=0,0,IF($D494=0,0,ROUND(($C494+$G494+$H494+$I494+$J494)/$D494/(1-$E494),2))))</f>
        <v/>
      </c>
      <c r="P494" s="17">
        <f>IF($A494="","",IFERROR(SUMIF(tblAnahtarA[Norm],$A494,tblGirdi[HedefNet]),0))</f>
        <v/>
      </c>
      <c r="Q494" s="17">
        <f>IF($A494="","",ROUND($M494-$P494,2))</f>
        <v/>
      </c>
      <c r="R494" s="17">
        <f>IF($A494="","",ROUND($B494-$K494,2))</f>
        <v/>
      </c>
      <c r="S494" s="17">
        <f>IF($A494="","",IF($N494&lt;0,"ÇEKİL",IF($N494&lt;tyk_esikMarjDusuk,"ZAM","SAT")))</f>
        <v/>
      </c>
      <c r="T494" s="17">
        <f>IF($A494="","",$L494-$F494)</f>
        <v/>
      </c>
      <c r="U494" s="17">
        <f>IF($A494="","",$M494-$Q494)</f>
        <v/>
      </c>
      <c r="V494" s="17">
        <f>IF($A494="","",$R494-$M494)</f>
        <v/>
      </c>
    </row>
    <row r="495">
      <c r="A495" s="17">
        <f>IF('ANAHTAR'!$B495="","",'ANAHTAR'!$B495)</f>
        <v/>
      </c>
      <c r="B495" s="17">
        <f>IF($A495="","",IFERROR(SUMIF(tblAnahtarA[Norm],$A495,tblGirdi[ToplamSatis]),0))</f>
        <v/>
      </c>
      <c r="C495" s="17">
        <f>IF($A495="","",IFERROR(SUMIF(tblAnahtarA[Norm],$A495,tblGirdi[Maliyet])*IFERROR(SUMIF(tblAnahtarA[Norm],$A495,tblGirdi[Miktar]),1),0))</f>
        <v/>
      </c>
      <c r="D495" s="17">
        <f>IF($A495="","",IFERROR(SUMIF(tblAnahtarA[Norm],$A495,tblGirdi[Miktar]),0))</f>
        <v/>
      </c>
      <c r="E495" s="17">
        <f>IF($A495="","",IFERROR(SUMIF(tblAnahtarA[Norm],$A495,tblGirdi[KomisyonOran]),0))</f>
        <v/>
      </c>
      <c r="F495" s="17">
        <f>IF($A495="","",ROUND($B495*$E495,2))</f>
        <v/>
      </c>
      <c r="G495" s="17">
        <f>IF($A495="","",IFERROR(SUMIF(tblAnahtarB[NormB],$A495,tblHakedis[TyPlus]),0))</f>
        <v/>
      </c>
      <c r="H495" s="17">
        <f>IF($A495="","",IFERROR(SUMIF(tblAnahtarB[NormB],$A495,tblHakedis[FlasKesinti]),0))</f>
        <v/>
      </c>
      <c r="I495" s="17">
        <f>IF($A495="","",IFERROR(SUMIF(tblAnahtarB[NormB],$A495,tblHakedis[UrunReklam]),0))</f>
        <v/>
      </c>
      <c r="J495" s="17">
        <f>IF($A495="","",IFERROR(SUMIF(tblAnahtarB[NormB],$A495,tblHakedis[DesiKargo]),0))</f>
        <v/>
      </c>
      <c r="K495" s="17">
        <f>IF($A495="","",ROUND($F495+$G495+$H495+$I495+$J495,2))</f>
        <v/>
      </c>
      <c r="L495" s="17">
        <f>IF($A495="","",ROUND($B495-$C495,2))</f>
        <v/>
      </c>
      <c r="M495" s="17">
        <f>IF($A495="","",ROUND($B495-$C495-$K495,2))</f>
        <v/>
      </c>
      <c r="N495" s="17">
        <f>IF(OR($A495="",$B495=0),0,$M495/$B495)</f>
        <v/>
      </c>
      <c r="O495" s="17">
        <f>IF($A495="","",IF((1-$E495)&lt;=0,0,IF($D495=0,0,ROUND(($C495+$G495+$H495+$I495+$J495)/$D495/(1-$E495),2))))</f>
        <v/>
      </c>
      <c r="P495" s="17">
        <f>IF($A495="","",IFERROR(SUMIF(tblAnahtarA[Norm],$A495,tblGirdi[HedefNet]),0))</f>
        <v/>
      </c>
      <c r="Q495" s="17">
        <f>IF($A495="","",ROUND($M495-$P495,2))</f>
        <v/>
      </c>
      <c r="R495" s="17">
        <f>IF($A495="","",ROUND($B495-$K495,2))</f>
        <v/>
      </c>
      <c r="S495" s="17">
        <f>IF($A495="","",IF($N495&lt;0,"ÇEKİL",IF($N495&lt;tyk_esikMarjDusuk,"ZAM","SAT")))</f>
        <v/>
      </c>
      <c r="T495" s="17">
        <f>IF($A495="","",$L495-$F495)</f>
        <v/>
      </c>
      <c r="U495" s="17">
        <f>IF($A495="","",$M495-$Q495)</f>
        <v/>
      </c>
      <c r="V495" s="17">
        <f>IF($A495="","",$R495-$M495)</f>
        <v/>
      </c>
    </row>
    <row r="496">
      <c r="A496" s="17">
        <f>IF('ANAHTAR'!$B496="","",'ANAHTAR'!$B496)</f>
        <v/>
      </c>
      <c r="B496" s="17">
        <f>IF($A496="","",IFERROR(SUMIF(tblAnahtarA[Norm],$A496,tblGirdi[ToplamSatis]),0))</f>
        <v/>
      </c>
      <c r="C496" s="17">
        <f>IF($A496="","",IFERROR(SUMIF(tblAnahtarA[Norm],$A496,tblGirdi[Maliyet])*IFERROR(SUMIF(tblAnahtarA[Norm],$A496,tblGirdi[Miktar]),1),0))</f>
        <v/>
      </c>
      <c r="D496" s="17">
        <f>IF($A496="","",IFERROR(SUMIF(tblAnahtarA[Norm],$A496,tblGirdi[Miktar]),0))</f>
        <v/>
      </c>
      <c r="E496" s="17">
        <f>IF($A496="","",IFERROR(SUMIF(tblAnahtarA[Norm],$A496,tblGirdi[KomisyonOran]),0))</f>
        <v/>
      </c>
      <c r="F496" s="17">
        <f>IF($A496="","",ROUND($B496*$E496,2))</f>
        <v/>
      </c>
      <c r="G496" s="17">
        <f>IF($A496="","",IFERROR(SUMIF(tblAnahtarB[NormB],$A496,tblHakedis[TyPlus]),0))</f>
        <v/>
      </c>
      <c r="H496" s="17">
        <f>IF($A496="","",IFERROR(SUMIF(tblAnahtarB[NormB],$A496,tblHakedis[FlasKesinti]),0))</f>
        <v/>
      </c>
      <c r="I496" s="17">
        <f>IF($A496="","",IFERROR(SUMIF(tblAnahtarB[NormB],$A496,tblHakedis[UrunReklam]),0))</f>
        <v/>
      </c>
      <c r="J496" s="17">
        <f>IF($A496="","",IFERROR(SUMIF(tblAnahtarB[NormB],$A496,tblHakedis[DesiKargo]),0))</f>
        <v/>
      </c>
      <c r="K496" s="17">
        <f>IF($A496="","",ROUND($F496+$G496+$H496+$I496+$J496,2))</f>
        <v/>
      </c>
      <c r="L496" s="17">
        <f>IF($A496="","",ROUND($B496-$C496,2))</f>
        <v/>
      </c>
      <c r="M496" s="17">
        <f>IF($A496="","",ROUND($B496-$C496-$K496,2))</f>
        <v/>
      </c>
      <c r="N496" s="17">
        <f>IF(OR($A496="",$B496=0),0,$M496/$B496)</f>
        <v/>
      </c>
      <c r="O496" s="17">
        <f>IF($A496="","",IF((1-$E496)&lt;=0,0,IF($D496=0,0,ROUND(($C496+$G496+$H496+$I496+$J496)/$D496/(1-$E496),2))))</f>
        <v/>
      </c>
      <c r="P496" s="17">
        <f>IF($A496="","",IFERROR(SUMIF(tblAnahtarA[Norm],$A496,tblGirdi[HedefNet]),0))</f>
        <v/>
      </c>
      <c r="Q496" s="17">
        <f>IF($A496="","",ROUND($M496-$P496,2))</f>
        <v/>
      </c>
      <c r="R496" s="17">
        <f>IF($A496="","",ROUND($B496-$K496,2))</f>
        <v/>
      </c>
      <c r="S496" s="17">
        <f>IF($A496="","",IF($N496&lt;0,"ÇEKİL",IF($N496&lt;tyk_esikMarjDusuk,"ZAM","SAT")))</f>
        <v/>
      </c>
      <c r="T496" s="17">
        <f>IF($A496="","",$L496-$F496)</f>
        <v/>
      </c>
      <c r="U496" s="17">
        <f>IF($A496="","",$M496-$Q496)</f>
        <v/>
      </c>
      <c r="V496" s="17">
        <f>IF($A496="","",$R496-$M496)</f>
        <v/>
      </c>
    </row>
    <row r="497">
      <c r="A497" s="17">
        <f>IF('ANAHTAR'!$B497="","",'ANAHTAR'!$B497)</f>
        <v/>
      </c>
      <c r="B497" s="17">
        <f>IF($A497="","",IFERROR(SUMIF(tblAnahtarA[Norm],$A497,tblGirdi[ToplamSatis]),0))</f>
        <v/>
      </c>
      <c r="C497" s="17">
        <f>IF($A497="","",IFERROR(SUMIF(tblAnahtarA[Norm],$A497,tblGirdi[Maliyet])*IFERROR(SUMIF(tblAnahtarA[Norm],$A497,tblGirdi[Miktar]),1),0))</f>
        <v/>
      </c>
      <c r="D497" s="17">
        <f>IF($A497="","",IFERROR(SUMIF(tblAnahtarA[Norm],$A497,tblGirdi[Miktar]),0))</f>
        <v/>
      </c>
      <c r="E497" s="17">
        <f>IF($A497="","",IFERROR(SUMIF(tblAnahtarA[Norm],$A497,tblGirdi[KomisyonOran]),0))</f>
        <v/>
      </c>
      <c r="F497" s="17">
        <f>IF($A497="","",ROUND($B497*$E497,2))</f>
        <v/>
      </c>
      <c r="G497" s="17">
        <f>IF($A497="","",IFERROR(SUMIF(tblAnahtarB[NormB],$A497,tblHakedis[TyPlus]),0))</f>
        <v/>
      </c>
      <c r="H497" s="17">
        <f>IF($A497="","",IFERROR(SUMIF(tblAnahtarB[NormB],$A497,tblHakedis[FlasKesinti]),0))</f>
        <v/>
      </c>
      <c r="I497" s="17">
        <f>IF($A497="","",IFERROR(SUMIF(tblAnahtarB[NormB],$A497,tblHakedis[UrunReklam]),0))</f>
        <v/>
      </c>
      <c r="J497" s="17">
        <f>IF($A497="","",IFERROR(SUMIF(tblAnahtarB[NormB],$A497,tblHakedis[DesiKargo]),0))</f>
        <v/>
      </c>
      <c r="K497" s="17">
        <f>IF($A497="","",ROUND($F497+$G497+$H497+$I497+$J497,2))</f>
        <v/>
      </c>
      <c r="L497" s="17">
        <f>IF($A497="","",ROUND($B497-$C497,2))</f>
        <v/>
      </c>
      <c r="M497" s="17">
        <f>IF($A497="","",ROUND($B497-$C497-$K497,2))</f>
        <v/>
      </c>
      <c r="N497" s="17">
        <f>IF(OR($A497="",$B497=0),0,$M497/$B497)</f>
        <v/>
      </c>
      <c r="O497" s="17">
        <f>IF($A497="","",IF((1-$E497)&lt;=0,0,IF($D497=0,0,ROUND(($C497+$G497+$H497+$I497+$J497)/$D497/(1-$E497),2))))</f>
        <v/>
      </c>
      <c r="P497" s="17">
        <f>IF($A497="","",IFERROR(SUMIF(tblAnahtarA[Norm],$A497,tblGirdi[HedefNet]),0))</f>
        <v/>
      </c>
      <c r="Q497" s="17">
        <f>IF($A497="","",ROUND($M497-$P497,2))</f>
        <v/>
      </c>
      <c r="R497" s="17">
        <f>IF($A497="","",ROUND($B497-$K497,2))</f>
        <v/>
      </c>
      <c r="S497" s="17">
        <f>IF($A497="","",IF($N497&lt;0,"ÇEKİL",IF($N497&lt;tyk_esikMarjDusuk,"ZAM","SAT")))</f>
        <v/>
      </c>
      <c r="T497" s="17">
        <f>IF($A497="","",$L497-$F497)</f>
        <v/>
      </c>
      <c r="U497" s="17">
        <f>IF($A497="","",$M497-$Q497)</f>
        <v/>
      </c>
      <c r="V497" s="17">
        <f>IF($A497="","",$R497-$M497)</f>
        <v/>
      </c>
    </row>
    <row r="498">
      <c r="A498" s="17">
        <f>IF('ANAHTAR'!$B498="","",'ANAHTAR'!$B498)</f>
        <v/>
      </c>
      <c r="B498" s="17">
        <f>IF($A498="","",IFERROR(SUMIF(tblAnahtarA[Norm],$A498,tblGirdi[ToplamSatis]),0))</f>
        <v/>
      </c>
      <c r="C498" s="17">
        <f>IF($A498="","",IFERROR(SUMIF(tblAnahtarA[Norm],$A498,tblGirdi[Maliyet])*IFERROR(SUMIF(tblAnahtarA[Norm],$A498,tblGirdi[Miktar]),1),0))</f>
        <v/>
      </c>
      <c r="D498" s="17">
        <f>IF($A498="","",IFERROR(SUMIF(tblAnahtarA[Norm],$A498,tblGirdi[Miktar]),0))</f>
        <v/>
      </c>
      <c r="E498" s="17">
        <f>IF($A498="","",IFERROR(SUMIF(tblAnahtarA[Norm],$A498,tblGirdi[KomisyonOran]),0))</f>
        <v/>
      </c>
      <c r="F498" s="17">
        <f>IF($A498="","",ROUND($B498*$E498,2))</f>
        <v/>
      </c>
      <c r="G498" s="17">
        <f>IF($A498="","",IFERROR(SUMIF(tblAnahtarB[NormB],$A498,tblHakedis[TyPlus]),0))</f>
        <v/>
      </c>
      <c r="H498" s="17">
        <f>IF($A498="","",IFERROR(SUMIF(tblAnahtarB[NormB],$A498,tblHakedis[FlasKesinti]),0))</f>
        <v/>
      </c>
      <c r="I498" s="17">
        <f>IF($A498="","",IFERROR(SUMIF(tblAnahtarB[NormB],$A498,tblHakedis[UrunReklam]),0))</f>
        <v/>
      </c>
      <c r="J498" s="17">
        <f>IF($A498="","",IFERROR(SUMIF(tblAnahtarB[NormB],$A498,tblHakedis[DesiKargo]),0))</f>
        <v/>
      </c>
      <c r="K498" s="17">
        <f>IF($A498="","",ROUND($F498+$G498+$H498+$I498+$J498,2))</f>
        <v/>
      </c>
      <c r="L498" s="17">
        <f>IF($A498="","",ROUND($B498-$C498,2))</f>
        <v/>
      </c>
      <c r="M498" s="17">
        <f>IF($A498="","",ROUND($B498-$C498-$K498,2))</f>
        <v/>
      </c>
      <c r="N498" s="17">
        <f>IF(OR($A498="",$B498=0),0,$M498/$B498)</f>
        <v/>
      </c>
      <c r="O498" s="17">
        <f>IF($A498="","",IF((1-$E498)&lt;=0,0,IF($D498=0,0,ROUND(($C498+$G498+$H498+$I498+$J498)/$D498/(1-$E498),2))))</f>
        <v/>
      </c>
      <c r="P498" s="17">
        <f>IF($A498="","",IFERROR(SUMIF(tblAnahtarA[Norm],$A498,tblGirdi[HedefNet]),0))</f>
        <v/>
      </c>
      <c r="Q498" s="17">
        <f>IF($A498="","",ROUND($M498-$P498,2))</f>
        <v/>
      </c>
      <c r="R498" s="17">
        <f>IF($A498="","",ROUND($B498-$K498,2))</f>
        <v/>
      </c>
      <c r="S498" s="17">
        <f>IF($A498="","",IF($N498&lt;0,"ÇEKİL",IF($N498&lt;tyk_esikMarjDusuk,"ZAM","SAT")))</f>
        <v/>
      </c>
      <c r="T498" s="17">
        <f>IF($A498="","",$L498-$F498)</f>
        <v/>
      </c>
      <c r="U498" s="17">
        <f>IF($A498="","",$M498-$Q498)</f>
        <v/>
      </c>
      <c r="V498" s="17">
        <f>IF($A498="","",$R498-$M498)</f>
        <v/>
      </c>
    </row>
    <row r="499">
      <c r="A499" s="17">
        <f>IF('ANAHTAR'!$B499="","",'ANAHTAR'!$B499)</f>
        <v/>
      </c>
      <c r="B499" s="17">
        <f>IF($A499="","",IFERROR(SUMIF(tblAnahtarA[Norm],$A499,tblGirdi[ToplamSatis]),0))</f>
        <v/>
      </c>
      <c r="C499" s="17">
        <f>IF($A499="","",IFERROR(SUMIF(tblAnahtarA[Norm],$A499,tblGirdi[Maliyet])*IFERROR(SUMIF(tblAnahtarA[Norm],$A499,tblGirdi[Miktar]),1),0))</f>
        <v/>
      </c>
      <c r="D499" s="17">
        <f>IF($A499="","",IFERROR(SUMIF(tblAnahtarA[Norm],$A499,tblGirdi[Miktar]),0))</f>
        <v/>
      </c>
      <c r="E499" s="17">
        <f>IF($A499="","",IFERROR(SUMIF(tblAnahtarA[Norm],$A499,tblGirdi[KomisyonOran]),0))</f>
        <v/>
      </c>
      <c r="F499" s="17">
        <f>IF($A499="","",ROUND($B499*$E499,2))</f>
        <v/>
      </c>
      <c r="G499" s="17">
        <f>IF($A499="","",IFERROR(SUMIF(tblAnahtarB[NormB],$A499,tblHakedis[TyPlus]),0))</f>
        <v/>
      </c>
      <c r="H499" s="17">
        <f>IF($A499="","",IFERROR(SUMIF(tblAnahtarB[NormB],$A499,tblHakedis[FlasKesinti]),0))</f>
        <v/>
      </c>
      <c r="I499" s="17">
        <f>IF($A499="","",IFERROR(SUMIF(tblAnahtarB[NormB],$A499,tblHakedis[UrunReklam]),0))</f>
        <v/>
      </c>
      <c r="J499" s="17">
        <f>IF($A499="","",IFERROR(SUMIF(tblAnahtarB[NormB],$A499,tblHakedis[DesiKargo]),0))</f>
        <v/>
      </c>
      <c r="K499" s="17">
        <f>IF($A499="","",ROUND($F499+$G499+$H499+$I499+$J499,2))</f>
        <v/>
      </c>
      <c r="L499" s="17">
        <f>IF($A499="","",ROUND($B499-$C499,2))</f>
        <v/>
      </c>
      <c r="M499" s="17">
        <f>IF($A499="","",ROUND($B499-$C499-$K499,2))</f>
        <v/>
      </c>
      <c r="N499" s="17">
        <f>IF(OR($A499="",$B499=0),0,$M499/$B499)</f>
        <v/>
      </c>
      <c r="O499" s="17">
        <f>IF($A499="","",IF((1-$E499)&lt;=0,0,IF($D499=0,0,ROUND(($C499+$G499+$H499+$I499+$J499)/$D499/(1-$E499),2))))</f>
        <v/>
      </c>
      <c r="P499" s="17">
        <f>IF($A499="","",IFERROR(SUMIF(tblAnahtarA[Norm],$A499,tblGirdi[HedefNet]),0))</f>
        <v/>
      </c>
      <c r="Q499" s="17">
        <f>IF($A499="","",ROUND($M499-$P499,2))</f>
        <v/>
      </c>
      <c r="R499" s="17">
        <f>IF($A499="","",ROUND($B499-$K499,2))</f>
        <v/>
      </c>
      <c r="S499" s="17">
        <f>IF($A499="","",IF($N499&lt;0,"ÇEKİL",IF($N499&lt;tyk_esikMarjDusuk,"ZAM","SAT")))</f>
        <v/>
      </c>
      <c r="T499" s="17">
        <f>IF($A499="","",$L499-$F499)</f>
        <v/>
      </c>
      <c r="U499" s="17">
        <f>IF($A499="","",$M499-$Q499)</f>
        <v/>
      </c>
      <c r="V499" s="17">
        <f>IF($A499="","",$R499-$M499)</f>
        <v/>
      </c>
    </row>
    <row r="500">
      <c r="A500" s="17">
        <f>IF('ANAHTAR'!$B500="","",'ANAHTAR'!$B500)</f>
        <v/>
      </c>
      <c r="B500" s="17">
        <f>IF($A500="","",IFERROR(SUMIF(tblAnahtarA[Norm],$A500,tblGirdi[ToplamSatis]),0))</f>
        <v/>
      </c>
      <c r="C500" s="17">
        <f>IF($A500="","",IFERROR(SUMIF(tblAnahtarA[Norm],$A500,tblGirdi[Maliyet])*IFERROR(SUMIF(tblAnahtarA[Norm],$A500,tblGirdi[Miktar]),1),0))</f>
        <v/>
      </c>
      <c r="D500" s="17">
        <f>IF($A500="","",IFERROR(SUMIF(tblAnahtarA[Norm],$A500,tblGirdi[Miktar]),0))</f>
        <v/>
      </c>
      <c r="E500" s="17">
        <f>IF($A500="","",IFERROR(SUMIF(tblAnahtarA[Norm],$A500,tblGirdi[KomisyonOran]),0))</f>
        <v/>
      </c>
      <c r="F500" s="17">
        <f>IF($A500="","",ROUND($B500*$E500,2))</f>
        <v/>
      </c>
      <c r="G500" s="17">
        <f>IF($A500="","",IFERROR(SUMIF(tblAnahtarB[NormB],$A500,tblHakedis[TyPlus]),0))</f>
        <v/>
      </c>
      <c r="H500" s="17">
        <f>IF($A500="","",IFERROR(SUMIF(tblAnahtarB[NormB],$A500,tblHakedis[FlasKesinti]),0))</f>
        <v/>
      </c>
      <c r="I500" s="17">
        <f>IF($A500="","",IFERROR(SUMIF(tblAnahtarB[NormB],$A500,tblHakedis[UrunReklam]),0))</f>
        <v/>
      </c>
      <c r="J500" s="17">
        <f>IF($A500="","",IFERROR(SUMIF(tblAnahtarB[NormB],$A500,tblHakedis[DesiKargo]),0))</f>
        <v/>
      </c>
      <c r="K500" s="17">
        <f>IF($A500="","",ROUND($F500+$G500+$H500+$I500+$J500,2))</f>
        <v/>
      </c>
      <c r="L500" s="17">
        <f>IF($A500="","",ROUND($B500-$C500,2))</f>
        <v/>
      </c>
      <c r="M500" s="17">
        <f>IF($A500="","",ROUND($B500-$C500-$K500,2))</f>
        <v/>
      </c>
      <c r="N500" s="17">
        <f>IF(OR($A500="",$B500=0),0,$M500/$B500)</f>
        <v/>
      </c>
      <c r="O500" s="17">
        <f>IF($A500="","",IF((1-$E500)&lt;=0,0,IF($D500=0,0,ROUND(($C500+$G500+$H500+$I500+$J500)/$D500/(1-$E500),2))))</f>
        <v/>
      </c>
      <c r="P500" s="17">
        <f>IF($A500="","",IFERROR(SUMIF(tblAnahtarA[Norm],$A500,tblGirdi[HedefNet]),0))</f>
        <v/>
      </c>
      <c r="Q500" s="17">
        <f>IF($A500="","",ROUND($M500-$P500,2))</f>
        <v/>
      </c>
      <c r="R500" s="17">
        <f>IF($A500="","",ROUND($B500-$K500,2))</f>
        <v/>
      </c>
      <c r="S500" s="17">
        <f>IF($A500="","",IF($N500&lt;0,"ÇEKİL",IF($N500&lt;tyk_esikMarjDusuk,"ZAM","SAT")))</f>
        <v/>
      </c>
      <c r="T500" s="17">
        <f>IF($A500="","",$L500-$F500)</f>
        <v/>
      </c>
      <c r="U500" s="17">
        <f>IF($A500="","",$M500-$Q500)</f>
        <v/>
      </c>
      <c r="V500" s="17">
        <f>IF($A500="","",$R500-$M500)</f>
        <v/>
      </c>
    </row>
    <row r="501">
      <c r="A501" s="17">
        <f>IF('ANAHTAR'!$B501="","",'ANAHTAR'!$B501)</f>
        <v/>
      </c>
      <c r="B501" s="17">
        <f>IF($A501="","",IFERROR(SUMIF(tblAnahtarA[Norm],$A501,tblGirdi[ToplamSatis]),0))</f>
        <v/>
      </c>
      <c r="C501" s="17">
        <f>IF($A501="","",IFERROR(SUMIF(tblAnahtarA[Norm],$A501,tblGirdi[Maliyet])*IFERROR(SUMIF(tblAnahtarA[Norm],$A501,tblGirdi[Miktar]),1),0))</f>
        <v/>
      </c>
      <c r="D501" s="17">
        <f>IF($A501="","",IFERROR(SUMIF(tblAnahtarA[Norm],$A501,tblGirdi[Miktar]),0))</f>
        <v/>
      </c>
      <c r="E501" s="17">
        <f>IF($A501="","",IFERROR(SUMIF(tblAnahtarA[Norm],$A501,tblGirdi[KomisyonOran]),0))</f>
        <v/>
      </c>
      <c r="F501" s="17">
        <f>IF($A501="","",ROUND($B501*$E501,2))</f>
        <v/>
      </c>
      <c r="G501" s="17">
        <f>IF($A501="","",IFERROR(SUMIF(tblAnahtarB[NormB],$A501,tblHakedis[TyPlus]),0))</f>
        <v/>
      </c>
      <c r="H501" s="17">
        <f>IF($A501="","",IFERROR(SUMIF(tblAnahtarB[NormB],$A501,tblHakedis[FlasKesinti]),0))</f>
        <v/>
      </c>
      <c r="I501" s="17">
        <f>IF($A501="","",IFERROR(SUMIF(tblAnahtarB[NormB],$A501,tblHakedis[UrunReklam]),0))</f>
        <v/>
      </c>
      <c r="J501" s="17">
        <f>IF($A501="","",IFERROR(SUMIF(tblAnahtarB[NormB],$A501,tblHakedis[DesiKargo]),0))</f>
        <v/>
      </c>
      <c r="K501" s="17">
        <f>IF($A501="","",ROUND($F501+$G501+$H501+$I501+$J501,2))</f>
        <v/>
      </c>
      <c r="L501" s="17">
        <f>IF($A501="","",ROUND($B501-$C501,2))</f>
        <v/>
      </c>
      <c r="M501" s="17">
        <f>IF($A501="","",ROUND($B501-$C501-$K501,2))</f>
        <v/>
      </c>
      <c r="N501" s="17">
        <f>IF(OR($A501="",$B501=0),0,$M501/$B501)</f>
        <v/>
      </c>
      <c r="O501" s="17">
        <f>IF($A501="","",IF((1-$E501)&lt;=0,0,IF($D501=0,0,ROUND(($C501+$G501+$H501+$I501+$J501)/$D501/(1-$E501),2))))</f>
        <v/>
      </c>
      <c r="P501" s="17">
        <f>IF($A501="","",IFERROR(SUMIF(tblAnahtarA[Norm],$A501,tblGirdi[HedefNet]),0))</f>
        <v/>
      </c>
      <c r="Q501" s="17">
        <f>IF($A501="","",ROUND($M501-$P501,2))</f>
        <v/>
      </c>
      <c r="R501" s="17">
        <f>IF($A501="","",ROUND($B501-$K501,2))</f>
        <v/>
      </c>
      <c r="S501" s="17">
        <f>IF($A501="","",IF($N501&lt;0,"ÇEKİL",IF($N501&lt;tyk_esikMarjDusuk,"ZAM","SAT")))</f>
        <v/>
      </c>
      <c r="T501" s="17">
        <f>IF($A501="","",$L501-$F501)</f>
        <v/>
      </c>
      <c r="U501" s="17">
        <f>IF($A501="","",$M501-$Q501)</f>
        <v/>
      </c>
      <c r="V501" s="17">
        <f>IF($A501="","",$R501-$M501)</f>
        <v/>
      </c>
    </row>
    <row r="502">
      <c r="A502" s="17">
        <f>IF('ANAHTAR'!$B502="","",'ANAHTAR'!$B502)</f>
        <v/>
      </c>
      <c r="B502" s="17">
        <f>IF($A502="","",IFERROR(SUMIF(tblAnahtarA[Norm],$A502,tblGirdi[ToplamSatis]),0))</f>
        <v/>
      </c>
      <c r="C502" s="17">
        <f>IF($A502="","",IFERROR(SUMIF(tblAnahtarA[Norm],$A502,tblGirdi[Maliyet])*IFERROR(SUMIF(tblAnahtarA[Norm],$A502,tblGirdi[Miktar]),1),0))</f>
        <v/>
      </c>
      <c r="D502" s="17">
        <f>IF($A502="","",IFERROR(SUMIF(tblAnahtarA[Norm],$A502,tblGirdi[Miktar]),0))</f>
        <v/>
      </c>
      <c r="E502" s="17">
        <f>IF($A502="","",IFERROR(SUMIF(tblAnahtarA[Norm],$A502,tblGirdi[KomisyonOran]),0))</f>
        <v/>
      </c>
      <c r="F502" s="17">
        <f>IF($A502="","",ROUND($B502*$E502,2))</f>
        <v/>
      </c>
      <c r="G502" s="17">
        <f>IF($A502="","",IFERROR(SUMIF(tblAnahtarB[NormB],$A502,tblHakedis[TyPlus]),0))</f>
        <v/>
      </c>
      <c r="H502" s="17">
        <f>IF($A502="","",IFERROR(SUMIF(tblAnahtarB[NormB],$A502,tblHakedis[FlasKesinti]),0))</f>
        <v/>
      </c>
      <c r="I502" s="17">
        <f>IF($A502="","",IFERROR(SUMIF(tblAnahtarB[NormB],$A502,tblHakedis[UrunReklam]),0))</f>
        <v/>
      </c>
      <c r="J502" s="17">
        <f>IF($A502="","",IFERROR(SUMIF(tblAnahtarB[NormB],$A502,tblHakedis[DesiKargo]),0))</f>
        <v/>
      </c>
      <c r="K502" s="17">
        <f>IF($A502="","",ROUND($F502+$G502+$H502+$I502+$J502,2))</f>
        <v/>
      </c>
      <c r="L502" s="17">
        <f>IF($A502="","",ROUND($B502-$C502,2))</f>
        <v/>
      </c>
      <c r="M502" s="17">
        <f>IF($A502="","",ROUND($B502-$C502-$K502,2))</f>
        <v/>
      </c>
      <c r="N502" s="17">
        <f>IF(OR($A502="",$B502=0),0,$M502/$B502)</f>
        <v/>
      </c>
      <c r="O502" s="17">
        <f>IF($A502="","",IF((1-$E502)&lt;=0,0,IF($D502=0,0,ROUND(($C502+$G502+$H502+$I502+$J502)/$D502/(1-$E502),2))))</f>
        <v/>
      </c>
      <c r="P502" s="17">
        <f>IF($A502="","",IFERROR(SUMIF(tblAnahtarA[Norm],$A502,tblGirdi[HedefNet]),0))</f>
        <v/>
      </c>
      <c r="Q502" s="17">
        <f>IF($A502="","",ROUND($M502-$P502,2))</f>
        <v/>
      </c>
      <c r="R502" s="17">
        <f>IF($A502="","",ROUND($B502-$K502,2))</f>
        <v/>
      </c>
      <c r="S502" s="17">
        <f>IF($A502="","",IF($N502&lt;0,"ÇEKİL",IF($N502&lt;tyk_esikMarjDusuk,"ZAM","SAT")))</f>
        <v/>
      </c>
      <c r="T502" s="17">
        <f>IF($A502="","",$L502-$F502)</f>
        <v/>
      </c>
      <c r="U502" s="17">
        <f>IF($A502="","",$M502-$Q502)</f>
        <v/>
      </c>
      <c r="V502" s="17">
        <f>IF($A502="","",$R502-$M502)</f>
        <v/>
      </c>
    </row>
    <row r="503">
      <c r="A503" s="17">
        <f>IF('ANAHTAR'!$B503="","",'ANAHTAR'!$B503)</f>
        <v/>
      </c>
      <c r="B503" s="17">
        <f>IF($A503="","",IFERROR(SUMIF(tblAnahtarA[Norm],$A503,tblGirdi[ToplamSatis]),0))</f>
        <v/>
      </c>
      <c r="C503" s="17">
        <f>IF($A503="","",IFERROR(SUMIF(tblAnahtarA[Norm],$A503,tblGirdi[Maliyet])*IFERROR(SUMIF(tblAnahtarA[Norm],$A503,tblGirdi[Miktar]),1),0))</f>
        <v/>
      </c>
      <c r="D503" s="17">
        <f>IF($A503="","",IFERROR(SUMIF(tblAnahtarA[Norm],$A503,tblGirdi[Miktar]),0))</f>
        <v/>
      </c>
      <c r="E503" s="17">
        <f>IF($A503="","",IFERROR(SUMIF(tblAnahtarA[Norm],$A503,tblGirdi[KomisyonOran]),0))</f>
        <v/>
      </c>
      <c r="F503" s="17">
        <f>IF($A503="","",ROUND($B503*$E503,2))</f>
        <v/>
      </c>
      <c r="G503" s="17">
        <f>IF($A503="","",IFERROR(SUMIF(tblAnahtarB[NormB],$A503,tblHakedis[TyPlus]),0))</f>
        <v/>
      </c>
      <c r="H503" s="17">
        <f>IF($A503="","",IFERROR(SUMIF(tblAnahtarB[NormB],$A503,tblHakedis[FlasKesinti]),0))</f>
        <v/>
      </c>
      <c r="I503" s="17">
        <f>IF($A503="","",IFERROR(SUMIF(tblAnahtarB[NormB],$A503,tblHakedis[UrunReklam]),0))</f>
        <v/>
      </c>
      <c r="J503" s="17">
        <f>IF($A503="","",IFERROR(SUMIF(tblAnahtarB[NormB],$A503,tblHakedis[DesiKargo]),0))</f>
        <v/>
      </c>
      <c r="K503" s="17">
        <f>IF($A503="","",ROUND($F503+$G503+$H503+$I503+$J503,2))</f>
        <v/>
      </c>
      <c r="L503" s="17">
        <f>IF($A503="","",ROUND($B503-$C503,2))</f>
        <v/>
      </c>
      <c r="M503" s="17">
        <f>IF($A503="","",ROUND($B503-$C503-$K503,2))</f>
        <v/>
      </c>
      <c r="N503" s="17">
        <f>IF(OR($A503="",$B503=0),0,$M503/$B503)</f>
        <v/>
      </c>
      <c r="O503" s="17">
        <f>IF($A503="","",IF((1-$E503)&lt;=0,0,IF($D503=0,0,ROUND(($C503+$G503+$H503+$I503+$J503)/$D503/(1-$E503),2))))</f>
        <v/>
      </c>
      <c r="P503" s="17">
        <f>IF($A503="","",IFERROR(SUMIF(tblAnahtarA[Norm],$A503,tblGirdi[HedefNet]),0))</f>
        <v/>
      </c>
      <c r="Q503" s="17">
        <f>IF($A503="","",ROUND($M503-$P503,2))</f>
        <v/>
      </c>
      <c r="R503" s="17">
        <f>IF($A503="","",ROUND($B503-$K503,2))</f>
        <v/>
      </c>
      <c r="S503" s="17">
        <f>IF($A503="","",IF($N503&lt;0,"ÇEKİL",IF($N503&lt;tyk_esikMarjDusuk,"ZAM","SAT")))</f>
        <v/>
      </c>
      <c r="T503" s="17">
        <f>IF($A503="","",$L503-$F503)</f>
        <v/>
      </c>
      <c r="U503" s="17">
        <f>IF($A503="","",$M503-$Q503)</f>
        <v/>
      </c>
      <c r="V503" s="17">
        <f>IF($A503="","",$R503-$M503)</f>
        <v/>
      </c>
    </row>
    <row r="504">
      <c r="A504" s="17">
        <f>IF('ANAHTAR'!$B504="","",'ANAHTAR'!$B504)</f>
        <v/>
      </c>
      <c r="B504" s="17">
        <f>IF($A504="","",IFERROR(SUMIF(tblAnahtarA[Norm],$A504,tblGirdi[ToplamSatis]),0))</f>
        <v/>
      </c>
      <c r="C504" s="17">
        <f>IF($A504="","",IFERROR(SUMIF(tblAnahtarA[Norm],$A504,tblGirdi[Maliyet])*IFERROR(SUMIF(tblAnahtarA[Norm],$A504,tblGirdi[Miktar]),1),0))</f>
        <v/>
      </c>
      <c r="D504" s="17">
        <f>IF($A504="","",IFERROR(SUMIF(tblAnahtarA[Norm],$A504,tblGirdi[Miktar]),0))</f>
        <v/>
      </c>
      <c r="E504" s="17">
        <f>IF($A504="","",IFERROR(SUMIF(tblAnahtarA[Norm],$A504,tblGirdi[KomisyonOran]),0))</f>
        <v/>
      </c>
      <c r="F504" s="17">
        <f>IF($A504="","",ROUND($B504*$E504,2))</f>
        <v/>
      </c>
      <c r="G504" s="17">
        <f>IF($A504="","",IFERROR(SUMIF(tblAnahtarB[NormB],$A504,tblHakedis[TyPlus]),0))</f>
        <v/>
      </c>
      <c r="H504" s="17">
        <f>IF($A504="","",IFERROR(SUMIF(tblAnahtarB[NormB],$A504,tblHakedis[FlasKesinti]),0))</f>
        <v/>
      </c>
      <c r="I504" s="17">
        <f>IF($A504="","",IFERROR(SUMIF(tblAnahtarB[NormB],$A504,tblHakedis[UrunReklam]),0))</f>
        <v/>
      </c>
      <c r="J504" s="17">
        <f>IF($A504="","",IFERROR(SUMIF(tblAnahtarB[NormB],$A504,tblHakedis[DesiKargo]),0))</f>
        <v/>
      </c>
      <c r="K504" s="17">
        <f>IF($A504="","",ROUND($F504+$G504+$H504+$I504+$J504,2))</f>
        <v/>
      </c>
      <c r="L504" s="17">
        <f>IF($A504="","",ROUND($B504-$C504,2))</f>
        <v/>
      </c>
      <c r="M504" s="17">
        <f>IF($A504="","",ROUND($B504-$C504-$K504,2))</f>
        <v/>
      </c>
      <c r="N504" s="17">
        <f>IF(OR($A504="",$B504=0),0,$M504/$B504)</f>
        <v/>
      </c>
      <c r="O504" s="17">
        <f>IF($A504="","",IF((1-$E504)&lt;=0,0,IF($D504=0,0,ROUND(($C504+$G504+$H504+$I504+$J504)/$D504/(1-$E504),2))))</f>
        <v/>
      </c>
      <c r="P504" s="17">
        <f>IF($A504="","",IFERROR(SUMIF(tblAnahtarA[Norm],$A504,tblGirdi[HedefNet]),0))</f>
        <v/>
      </c>
      <c r="Q504" s="17">
        <f>IF($A504="","",ROUND($M504-$P504,2))</f>
        <v/>
      </c>
      <c r="R504" s="17">
        <f>IF($A504="","",ROUND($B504-$K504,2))</f>
        <v/>
      </c>
      <c r="S504" s="17">
        <f>IF($A504="","",IF($N504&lt;0,"ÇEKİL",IF($N504&lt;tyk_esikMarjDusuk,"ZAM","SAT")))</f>
        <v/>
      </c>
      <c r="T504" s="17">
        <f>IF($A504="","",$L504-$F504)</f>
        <v/>
      </c>
      <c r="U504" s="17">
        <f>IF($A504="","",$M504-$Q504)</f>
        <v/>
      </c>
      <c r="V504" s="17">
        <f>IF($A504="","",$R504-$M504)</f>
        <v/>
      </c>
    </row>
    <row r="505">
      <c r="A505" s="17">
        <f>IF('ANAHTAR'!$B505="","",'ANAHTAR'!$B505)</f>
        <v/>
      </c>
      <c r="B505" s="17">
        <f>IF($A505="","",IFERROR(SUMIF(tblAnahtarA[Norm],$A505,tblGirdi[ToplamSatis]),0))</f>
        <v/>
      </c>
      <c r="C505" s="17">
        <f>IF($A505="","",IFERROR(SUMIF(tblAnahtarA[Norm],$A505,tblGirdi[Maliyet])*IFERROR(SUMIF(tblAnahtarA[Norm],$A505,tblGirdi[Miktar]),1),0))</f>
        <v/>
      </c>
      <c r="D505" s="17">
        <f>IF($A505="","",IFERROR(SUMIF(tblAnahtarA[Norm],$A505,tblGirdi[Miktar]),0))</f>
        <v/>
      </c>
      <c r="E505" s="17">
        <f>IF($A505="","",IFERROR(SUMIF(tblAnahtarA[Norm],$A505,tblGirdi[KomisyonOran]),0))</f>
        <v/>
      </c>
      <c r="F505" s="17">
        <f>IF($A505="","",ROUND($B505*$E505,2))</f>
        <v/>
      </c>
      <c r="G505" s="17">
        <f>IF($A505="","",IFERROR(SUMIF(tblAnahtarB[NormB],$A505,tblHakedis[TyPlus]),0))</f>
        <v/>
      </c>
      <c r="H505" s="17">
        <f>IF($A505="","",IFERROR(SUMIF(tblAnahtarB[NormB],$A505,tblHakedis[FlasKesinti]),0))</f>
        <v/>
      </c>
      <c r="I505" s="17">
        <f>IF($A505="","",IFERROR(SUMIF(tblAnahtarB[NormB],$A505,tblHakedis[UrunReklam]),0))</f>
        <v/>
      </c>
      <c r="J505" s="17">
        <f>IF($A505="","",IFERROR(SUMIF(tblAnahtarB[NormB],$A505,tblHakedis[DesiKargo]),0))</f>
        <v/>
      </c>
      <c r="K505" s="17">
        <f>IF($A505="","",ROUND($F505+$G505+$H505+$I505+$J505,2))</f>
        <v/>
      </c>
      <c r="L505" s="17">
        <f>IF($A505="","",ROUND($B505-$C505,2))</f>
        <v/>
      </c>
      <c r="M505" s="17">
        <f>IF($A505="","",ROUND($B505-$C505-$K505,2))</f>
        <v/>
      </c>
      <c r="N505" s="17">
        <f>IF(OR($A505="",$B505=0),0,$M505/$B505)</f>
        <v/>
      </c>
      <c r="O505" s="17">
        <f>IF($A505="","",IF((1-$E505)&lt;=0,0,IF($D505=0,0,ROUND(($C505+$G505+$H505+$I505+$J505)/$D505/(1-$E505),2))))</f>
        <v/>
      </c>
      <c r="P505" s="17">
        <f>IF($A505="","",IFERROR(SUMIF(tblAnahtarA[Norm],$A505,tblGirdi[HedefNet]),0))</f>
        <v/>
      </c>
      <c r="Q505" s="17">
        <f>IF($A505="","",ROUND($M505-$P505,2))</f>
        <v/>
      </c>
      <c r="R505" s="17">
        <f>IF($A505="","",ROUND($B505-$K505,2))</f>
        <v/>
      </c>
      <c r="S505" s="17">
        <f>IF($A505="","",IF($N505&lt;0,"ÇEKİL",IF($N505&lt;tyk_esikMarjDusuk,"ZAM","SAT")))</f>
        <v/>
      </c>
      <c r="T505" s="17">
        <f>IF($A505="","",$L505-$F505)</f>
        <v/>
      </c>
      <c r="U505" s="17">
        <f>IF($A505="","",$M505-$Q505)</f>
        <v/>
      </c>
      <c r="V505" s="17">
        <f>IF($A505="","",$R505-$M505)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R3"/>
    <mergeCell ref="A1:X1"/>
  </mergeCells>
  <conditionalFormatting sqref="S6:S505">
    <cfRule type="cellIs" priority="1" operator="equal" dxfId="0">
      <formula>"ZAM"</formula>
    </cfRule>
    <cfRule type="cellIs" priority="2" operator="equal" dxfId="1">
      <formula>"ÇEKİL"</formula>
    </cfRule>
    <cfRule type="cellIs" priority="3" operator="equal" dxfId="2">
      <formula>"SAT"</formula>
    </cfRule>
  </conditionalFormatting>
  <conditionalFormatting sqref="M6:M505">
    <cfRule type="cellIs" priority="4" operator="less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/>
  </sheetPr>
  <dimension ref="A1:R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6" customHeight="1">
      <c r="A1" s="1" t="inlineStr">
        <is>
          <t>ESLESTIRME — Trendyol Komisyon Sonrası Net Kâr Hesaplama</t>
        </is>
      </c>
    </row>
    <row r="2">
      <c r="A2" s="18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Beklenen hakediş ↔ gerçek hakediş dört kova — her A kaydı tek kovaya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NetKatki</t>
        </is>
      </c>
      <c r="P5" s="12" t="inlineStr">
        <is>
          <t>MotorAdim</t>
        </is>
      </c>
    </row>
    <row r="6">
      <c r="A6" s="17">
        <f>IF('ANAHTAR'!$B6="","",'ANAHTAR'!$B6)</f>
        <v/>
      </c>
      <c r="B6" s="17">
        <f>IF($A6="","",COUNTIF(tblAnahtarB[NormB],$A6))</f>
        <v/>
      </c>
      <c r="C6" s="17">
        <f>IF($A6="","",IFERROR(SUMIF(tblAnahtarB[NormB],$A6,tblHakedis[GercekHakedis]),0))</f>
        <v/>
      </c>
      <c r="D6" s="17">
        <f>IF($A6="","",IFERROR(SUMIF(tblMotor[A_Norm],$A6,tblMotor[BeklenenHakedis]),0))</f>
        <v/>
      </c>
      <c r="E6" s="17">
        <f>IF($A6="","",ROUND($D6,2)-ROUND($C6,2))</f>
        <v/>
      </c>
      <c r="F6" s="17">
        <f>IF($A6="","",ABS($E6))</f>
        <v/>
      </c>
      <c r="G6" s="17">
        <f>IF($A6="","",IF($B6=0,"eslesmedi",IF(ROUND($D6,2)=ROUND($C6,2),"eslesti",IF(ABS(ROUND($D6,2)-ROUND($C6,2))&lt;=toleransKurus,"tolerans_icinde","tutar_farki"))))</f>
        <v/>
      </c>
      <c r="H6" s="17">
        <f>IF($A6="","",IF($B6&gt;0,"BIRINCIL",IF(COUNTIF(tblAnahtarB[IkincilB],'ANAHTAR'!$D6)&gt;0,"IKINCIL","YOK")))</f>
        <v/>
      </c>
      <c r="I6" s="17">
        <f>IF($A6="","",'ANAHTAR'!$F6)</f>
        <v/>
      </c>
      <c r="J6" s="17">
        <f>IF(OR($A6="",$D6=0),0,$F6/ABS($D6))</f>
        <v/>
      </c>
      <c r="K6" s="17">
        <f>IF($A6="","",ROUND($D6,2))</f>
        <v/>
      </c>
      <c r="L6" s="17">
        <f>IF($A6="","",ROUND($C6,2))</f>
        <v/>
      </c>
      <c r="M6" s="17">
        <f>IF($A6="","",IF($F6&lt;=toleransKurus,1,0))</f>
        <v/>
      </c>
      <c r="N6" s="17">
        <f>IF($A6="","",IF($F6&gt;tyk_esikFark,1,0))</f>
        <v/>
      </c>
      <c r="O6" s="17">
        <f>IF($A6="","",IFERROR(SUMIF(tblMotor[A_Norm],$A6,tblMotor[NetKar]),0))</f>
        <v/>
      </c>
      <c r="P6" s="17">
        <f>IF($A6="","",$B6+$M6+$N6)</f>
        <v/>
      </c>
    </row>
    <row r="7">
      <c r="A7" s="17">
        <f>IF('ANAHTAR'!$B7="","",'ANAHTAR'!$B7)</f>
        <v/>
      </c>
      <c r="B7" s="17">
        <f>IF($A7="","",COUNTIF(tblAnahtarB[NormB],$A7))</f>
        <v/>
      </c>
      <c r="C7" s="17">
        <f>IF($A7="","",IFERROR(SUMIF(tblAnahtarB[NormB],$A7,tblHakedis[GercekHakedis]),0))</f>
        <v/>
      </c>
      <c r="D7" s="17">
        <f>IF($A7="","",IFERROR(SUMIF(tblMotor[A_Norm],$A7,tblMotor[BeklenenHakedis]),0))</f>
        <v/>
      </c>
      <c r="E7" s="17">
        <f>IF($A7="","",ROUND($D7,2)-ROUND($C7,2))</f>
        <v/>
      </c>
      <c r="F7" s="17">
        <f>IF($A7="","",ABS($E7))</f>
        <v/>
      </c>
      <c r="G7" s="17">
        <f>IF($A7="","",IF($B7=0,"eslesmedi",IF(ROUND($D7,2)=ROUND($C7,2),"eslesti",IF(ABS(ROUND($D7,2)-ROUND($C7,2))&lt;=toleransKurus,"tolerans_icinde","tutar_farki"))))</f>
        <v/>
      </c>
      <c r="H7" s="17">
        <f>IF($A7="","",IF($B7&gt;0,"BIRINCIL",IF(COUNTIF(tblAnahtarB[IkincilB],'ANAHTAR'!$D7)&gt;0,"IKINCIL","YOK")))</f>
        <v/>
      </c>
      <c r="I7" s="17">
        <f>IF($A7="","",'ANAHTAR'!$F7)</f>
        <v/>
      </c>
      <c r="J7" s="17">
        <f>IF(OR($A7="",$D7=0),0,$F7/ABS($D7))</f>
        <v/>
      </c>
      <c r="K7" s="17">
        <f>IF($A7="","",ROUND($D7,2))</f>
        <v/>
      </c>
      <c r="L7" s="17">
        <f>IF($A7="","",ROUND($C7,2))</f>
        <v/>
      </c>
      <c r="M7" s="17">
        <f>IF($A7="","",IF($F7&lt;=toleransKurus,1,0))</f>
        <v/>
      </c>
      <c r="N7" s="17">
        <f>IF($A7="","",IF($F7&gt;tyk_esikFark,1,0))</f>
        <v/>
      </c>
      <c r="O7" s="17">
        <f>IF($A7="","",IFERROR(SUMIF(tblMotor[A_Norm],$A7,tblMotor[NetKar]),0))</f>
        <v/>
      </c>
      <c r="P7" s="17">
        <f>IF($A7="","",$B7+$M7+$N7)</f>
        <v/>
      </c>
    </row>
    <row r="8">
      <c r="A8" s="17">
        <f>IF('ANAHTAR'!$B8="","",'ANAHTAR'!$B8)</f>
        <v/>
      </c>
      <c r="B8" s="17">
        <f>IF($A8="","",COUNTIF(tblAnahtarB[NormB],$A8))</f>
        <v/>
      </c>
      <c r="C8" s="17">
        <f>IF($A8="","",IFERROR(SUMIF(tblAnahtarB[NormB],$A8,tblHakedis[GercekHakedis]),0))</f>
        <v/>
      </c>
      <c r="D8" s="17">
        <f>IF($A8="","",IFERROR(SUMIF(tblMotor[A_Norm],$A8,tblMotor[BeklenenHakedis]),0))</f>
        <v/>
      </c>
      <c r="E8" s="17">
        <f>IF($A8="","",ROUND($D8,2)-ROUND($C8,2))</f>
        <v/>
      </c>
      <c r="F8" s="17">
        <f>IF($A8="","",ABS($E8))</f>
        <v/>
      </c>
      <c r="G8" s="17">
        <f>IF($A8="","",IF($B8=0,"eslesmedi",IF(ROUND($D8,2)=ROUND($C8,2),"eslesti",IF(ABS(ROUND($D8,2)-ROUND($C8,2))&lt;=toleransKurus,"tolerans_icinde","tutar_farki"))))</f>
        <v/>
      </c>
      <c r="H8" s="17">
        <f>IF($A8="","",IF($B8&gt;0,"BIRINCIL",IF(COUNTIF(tblAnahtarB[IkincilB],'ANAHTAR'!$D8)&gt;0,"IKINCIL","YOK")))</f>
        <v/>
      </c>
      <c r="I8" s="17">
        <f>IF($A8="","",'ANAHTAR'!$F8)</f>
        <v/>
      </c>
      <c r="J8" s="17">
        <f>IF(OR($A8="",$D8=0),0,$F8/ABS($D8))</f>
        <v/>
      </c>
      <c r="K8" s="17">
        <f>IF($A8="","",ROUND($D8,2))</f>
        <v/>
      </c>
      <c r="L8" s="17">
        <f>IF($A8="","",ROUND($C8,2))</f>
        <v/>
      </c>
      <c r="M8" s="17">
        <f>IF($A8="","",IF($F8&lt;=toleransKurus,1,0))</f>
        <v/>
      </c>
      <c r="N8" s="17">
        <f>IF($A8="","",IF($F8&gt;tyk_esikFark,1,0))</f>
        <v/>
      </c>
      <c r="O8" s="17">
        <f>IF($A8="","",IFERROR(SUMIF(tblMotor[A_Norm],$A8,tblMotor[NetKar]),0))</f>
        <v/>
      </c>
      <c r="P8" s="17">
        <f>IF($A8="","",$B8+$M8+$N8)</f>
        <v/>
      </c>
    </row>
    <row r="9">
      <c r="A9" s="17">
        <f>IF('ANAHTAR'!$B9="","",'ANAHTAR'!$B9)</f>
        <v/>
      </c>
      <c r="B9" s="17">
        <f>IF($A9="","",COUNTIF(tblAnahtarB[NormB],$A9))</f>
        <v/>
      </c>
      <c r="C9" s="17">
        <f>IF($A9="","",IFERROR(SUMIF(tblAnahtarB[NormB],$A9,tblHakedis[GercekHakedis]),0))</f>
        <v/>
      </c>
      <c r="D9" s="17">
        <f>IF($A9="","",IFERROR(SUMIF(tblMotor[A_Norm],$A9,tblMotor[BeklenenHakedis]),0))</f>
        <v/>
      </c>
      <c r="E9" s="17">
        <f>IF($A9="","",ROUND($D9,2)-ROUND($C9,2))</f>
        <v/>
      </c>
      <c r="F9" s="17">
        <f>IF($A9="","",ABS($E9))</f>
        <v/>
      </c>
      <c r="G9" s="17">
        <f>IF($A9="","",IF($B9=0,"eslesmedi",IF(ROUND($D9,2)=ROUND($C9,2),"eslesti",IF(ABS(ROUND($D9,2)-ROUND($C9,2))&lt;=toleransKurus,"tolerans_icinde","tutar_farki"))))</f>
        <v/>
      </c>
      <c r="H9" s="17">
        <f>IF($A9="","",IF($B9&gt;0,"BIRINCIL",IF(COUNTIF(tblAnahtarB[IkincilB],'ANAHTAR'!$D9)&gt;0,"IKINCIL","YOK")))</f>
        <v/>
      </c>
      <c r="I9" s="17">
        <f>IF($A9="","",'ANAHTAR'!$F9)</f>
        <v/>
      </c>
      <c r="J9" s="17">
        <f>IF(OR($A9="",$D9=0),0,$F9/ABS($D9))</f>
        <v/>
      </c>
      <c r="K9" s="17">
        <f>IF($A9="","",ROUND($D9,2))</f>
        <v/>
      </c>
      <c r="L9" s="17">
        <f>IF($A9="","",ROUND($C9,2))</f>
        <v/>
      </c>
      <c r="M9" s="17">
        <f>IF($A9="","",IF($F9&lt;=toleransKurus,1,0))</f>
        <v/>
      </c>
      <c r="N9" s="17">
        <f>IF($A9="","",IF($F9&gt;tyk_esikFark,1,0))</f>
        <v/>
      </c>
      <c r="O9" s="17">
        <f>IF($A9="","",IFERROR(SUMIF(tblMotor[A_Norm],$A9,tblMotor[NetKar]),0))</f>
        <v/>
      </c>
      <c r="P9" s="17">
        <f>IF($A9="","",$B9+$M9+$N9)</f>
        <v/>
      </c>
    </row>
    <row r="10">
      <c r="A10" s="17">
        <f>IF('ANAHTAR'!$B10="","",'ANAHTAR'!$B10)</f>
        <v/>
      </c>
      <c r="B10" s="17">
        <f>IF($A10="","",COUNTIF(tblAnahtarB[NormB],$A10))</f>
        <v/>
      </c>
      <c r="C10" s="17">
        <f>IF($A10="","",IFERROR(SUMIF(tblAnahtarB[NormB],$A10,tblHakedis[GercekHakedis]),0))</f>
        <v/>
      </c>
      <c r="D10" s="17">
        <f>IF($A10="","",IFERROR(SUMIF(tblMotor[A_Norm],$A10,tblMotor[BeklenenHakedis]),0))</f>
        <v/>
      </c>
      <c r="E10" s="17">
        <f>IF($A10="","",ROUND($D10,2)-ROUND($C10,2))</f>
        <v/>
      </c>
      <c r="F10" s="17">
        <f>IF($A10="","",ABS($E10))</f>
        <v/>
      </c>
      <c r="G10" s="17">
        <f>IF($A10="","",IF($B10=0,"eslesmedi",IF(ROUND($D10,2)=ROUND($C10,2),"eslesti",IF(ABS(ROUND($D10,2)-ROUND($C10,2))&lt;=toleransKurus,"tolerans_icinde","tutar_farki"))))</f>
        <v/>
      </c>
      <c r="H10" s="17">
        <f>IF($A10="","",IF($B10&gt;0,"BIRINCIL",IF(COUNTIF(tblAnahtarB[IkincilB],'ANAHTAR'!$D10)&gt;0,"IKINCIL","YOK")))</f>
        <v/>
      </c>
      <c r="I10" s="17">
        <f>IF($A10="","",'ANAHTAR'!$F10)</f>
        <v/>
      </c>
      <c r="J10" s="17">
        <f>IF(OR($A10="",$D10=0),0,$F10/ABS($D10))</f>
        <v/>
      </c>
      <c r="K10" s="17">
        <f>IF($A10="","",ROUND($D10,2))</f>
        <v/>
      </c>
      <c r="L10" s="17">
        <f>IF($A10="","",ROUND($C10,2))</f>
        <v/>
      </c>
      <c r="M10" s="17">
        <f>IF($A10="","",IF($F10&lt;=toleransKurus,1,0))</f>
        <v/>
      </c>
      <c r="N10" s="17">
        <f>IF($A10="","",IF($F10&gt;tyk_esikFark,1,0))</f>
        <v/>
      </c>
      <c r="O10" s="17">
        <f>IF($A10="","",IFERROR(SUMIF(tblMotor[A_Norm],$A10,tblMotor[NetKar]),0))</f>
        <v/>
      </c>
      <c r="P10" s="17">
        <f>IF($A10="","",$B10+$M10+$N10)</f>
        <v/>
      </c>
    </row>
    <row r="11">
      <c r="A11" s="17">
        <f>IF('ANAHTAR'!$B11="","",'ANAHTAR'!$B11)</f>
        <v/>
      </c>
      <c r="B11" s="17">
        <f>IF($A11="","",COUNTIF(tblAnahtarB[NormB],$A11))</f>
        <v/>
      </c>
      <c r="C11" s="17">
        <f>IF($A11="","",IFERROR(SUMIF(tblAnahtarB[NormB],$A11,tblHakedis[GercekHakedis]),0))</f>
        <v/>
      </c>
      <c r="D11" s="17">
        <f>IF($A11="","",IFERROR(SUMIF(tblMotor[A_Norm],$A11,tblMotor[BeklenenHakedis]),0))</f>
        <v/>
      </c>
      <c r="E11" s="17">
        <f>IF($A11="","",ROUND($D11,2)-ROUND($C11,2))</f>
        <v/>
      </c>
      <c r="F11" s="17">
        <f>IF($A11="","",ABS($E11))</f>
        <v/>
      </c>
      <c r="G11" s="17">
        <f>IF($A11="","",IF($B11=0,"eslesmedi",IF(ROUND($D11,2)=ROUND($C11,2),"eslesti",IF(ABS(ROUND($D11,2)-ROUND($C11,2))&lt;=toleransKurus,"tolerans_icinde","tutar_farki"))))</f>
        <v/>
      </c>
      <c r="H11" s="17">
        <f>IF($A11="","",IF($B11&gt;0,"BIRINCIL",IF(COUNTIF(tblAnahtarB[IkincilB],'ANAHTAR'!$D11)&gt;0,"IKINCIL","YOK")))</f>
        <v/>
      </c>
      <c r="I11" s="17">
        <f>IF($A11="","",'ANAHTAR'!$F11)</f>
        <v/>
      </c>
      <c r="J11" s="17">
        <f>IF(OR($A11="",$D11=0),0,$F11/ABS($D11))</f>
        <v/>
      </c>
      <c r="K11" s="17">
        <f>IF($A11="","",ROUND($D11,2))</f>
        <v/>
      </c>
      <c r="L11" s="17">
        <f>IF($A11="","",ROUND($C11,2))</f>
        <v/>
      </c>
      <c r="M11" s="17">
        <f>IF($A11="","",IF($F11&lt;=toleransKurus,1,0))</f>
        <v/>
      </c>
      <c r="N11" s="17">
        <f>IF($A11="","",IF($F11&gt;tyk_esikFark,1,0))</f>
        <v/>
      </c>
      <c r="O11" s="17">
        <f>IF($A11="","",IFERROR(SUMIF(tblMotor[A_Norm],$A11,tblMotor[NetKar]),0))</f>
        <v/>
      </c>
      <c r="P11" s="17">
        <f>IF($A11="","",$B11+$M11+$N11)</f>
        <v/>
      </c>
    </row>
    <row r="12">
      <c r="A12" s="17">
        <f>IF('ANAHTAR'!$B12="","",'ANAHTAR'!$B12)</f>
        <v/>
      </c>
      <c r="B12" s="17">
        <f>IF($A12="","",COUNTIF(tblAnahtarB[NormB],$A12))</f>
        <v/>
      </c>
      <c r="C12" s="17">
        <f>IF($A12="","",IFERROR(SUMIF(tblAnahtarB[NormB],$A12,tblHakedis[GercekHakedis]),0))</f>
        <v/>
      </c>
      <c r="D12" s="17">
        <f>IF($A12="","",IFERROR(SUMIF(tblMotor[A_Norm],$A12,tblMotor[BeklenenHakedis]),0))</f>
        <v/>
      </c>
      <c r="E12" s="17">
        <f>IF($A12="","",ROUND($D12,2)-ROUND($C12,2))</f>
        <v/>
      </c>
      <c r="F12" s="17">
        <f>IF($A12="","",ABS($E12))</f>
        <v/>
      </c>
      <c r="G12" s="17">
        <f>IF($A12="","",IF($B12=0,"eslesmedi",IF(ROUND($D12,2)=ROUND($C12,2),"eslesti",IF(ABS(ROUND($D12,2)-ROUND($C12,2))&lt;=toleransKurus,"tolerans_icinde","tutar_farki"))))</f>
        <v/>
      </c>
      <c r="H12" s="17">
        <f>IF($A12="","",IF($B12&gt;0,"BIRINCIL",IF(COUNTIF(tblAnahtarB[IkincilB],'ANAHTAR'!$D12)&gt;0,"IKINCIL","YOK")))</f>
        <v/>
      </c>
      <c r="I12" s="17">
        <f>IF($A12="","",'ANAHTAR'!$F12)</f>
        <v/>
      </c>
      <c r="J12" s="17">
        <f>IF(OR($A12="",$D12=0),0,$F12/ABS($D12))</f>
        <v/>
      </c>
      <c r="K12" s="17">
        <f>IF($A12="","",ROUND($D12,2))</f>
        <v/>
      </c>
      <c r="L12" s="17">
        <f>IF($A12="","",ROUND($C12,2))</f>
        <v/>
      </c>
      <c r="M12" s="17">
        <f>IF($A12="","",IF($F12&lt;=toleransKurus,1,0))</f>
        <v/>
      </c>
      <c r="N12" s="17">
        <f>IF($A12="","",IF($F12&gt;tyk_esikFark,1,0))</f>
        <v/>
      </c>
      <c r="O12" s="17">
        <f>IF($A12="","",IFERROR(SUMIF(tblMotor[A_Norm],$A12,tblMotor[NetKar]),0))</f>
        <v/>
      </c>
      <c r="P12" s="17">
        <f>IF($A12="","",$B12+$M12+$N12)</f>
        <v/>
      </c>
    </row>
    <row r="13">
      <c r="A13" s="17">
        <f>IF('ANAHTAR'!$B13="","",'ANAHTAR'!$B13)</f>
        <v/>
      </c>
      <c r="B13" s="17">
        <f>IF($A13="","",COUNTIF(tblAnahtarB[NormB],$A13))</f>
        <v/>
      </c>
      <c r="C13" s="17">
        <f>IF($A13="","",IFERROR(SUMIF(tblAnahtarB[NormB],$A13,tblHakedis[GercekHakedis]),0))</f>
        <v/>
      </c>
      <c r="D13" s="17">
        <f>IF($A13="","",IFERROR(SUMIF(tblMotor[A_Norm],$A13,tblMotor[BeklenenHakedis]),0))</f>
        <v/>
      </c>
      <c r="E13" s="17">
        <f>IF($A13="","",ROUND($D13,2)-ROUND($C13,2))</f>
        <v/>
      </c>
      <c r="F13" s="17">
        <f>IF($A13="","",ABS($E13))</f>
        <v/>
      </c>
      <c r="G13" s="17">
        <f>IF($A13="","",IF($B13=0,"eslesmedi",IF(ROUND($D13,2)=ROUND($C13,2),"eslesti",IF(ABS(ROUND($D13,2)-ROUND($C13,2))&lt;=toleransKurus,"tolerans_icinde","tutar_farki"))))</f>
        <v/>
      </c>
      <c r="H13" s="17">
        <f>IF($A13="","",IF($B13&gt;0,"BIRINCIL",IF(COUNTIF(tblAnahtarB[IkincilB],'ANAHTAR'!$D13)&gt;0,"IKINCIL","YOK")))</f>
        <v/>
      </c>
      <c r="I13" s="17">
        <f>IF($A13="","",'ANAHTAR'!$F13)</f>
        <v/>
      </c>
      <c r="J13" s="17">
        <f>IF(OR($A13="",$D13=0),0,$F13/ABS($D13))</f>
        <v/>
      </c>
      <c r="K13" s="17">
        <f>IF($A13="","",ROUND($D13,2))</f>
        <v/>
      </c>
      <c r="L13" s="17">
        <f>IF($A13="","",ROUND($C13,2))</f>
        <v/>
      </c>
      <c r="M13" s="17">
        <f>IF($A13="","",IF($F13&lt;=toleransKurus,1,0))</f>
        <v/>
      </c>
      <c r="N13" s="17">
        <f>IF($A13="","",IF($F13&gt;tyk_esikFark,1,0))</f>
        <v/>
      </c>
      <c r="O13" s="17">
        <f>IF($A13="","",IFERROR(SUMIF(tblMotor[A_Norm],$A13,tblMotor[NetKar]),0))</f>
        <v/>
      </c>
      <c r="P13" s="17">
        <f>IF($A13="","",$B13+$M13+$N13)</f>
        <v/>
      </c>
    </row>
    <row r="14">
      <c r="A14" s="17">
        <f>IF('ANAHTAR'!$B14="","",'ANAHTAR'!$B14)</f>
        <v/>
      </c>
      <c r="B14" s="17">
        <f>IF($A14="","",COUNTIF(tblAnahtarB[NormB],$A14))</f>
        <v/>
      </c>
      <c r="C14" s="17">
        <f>IF($A14="","",IFERROR(SUMIF(tblAnahtarB[NormB],$A14,tblHakedis[GercekHakedis]),0))</f>
        <v/>
      </c>
      <c r="D14" s="17">
        <f>IF($A14="","",IFERROR(SUMIF(tblMotor[A_Norm],$A14,tblMotor[BeklenenHakedis]),0))</f>
        <v/>
      </c>
      <c r="E14" s="17">
        <f>IF($A14="","",ROUND($D14,2)-ROUND($C14,2))</f>
        <v/>
      </c>
      <c r="F14" s="17">
        <f>IF($A14="","",ABS($E14))</f>
        <v/>
      </c>
      <c r="G14" s="17">
        <f>IF($A14="","",IF($B14=0,"eslesmedi",IF(ROUND($D14,2)=ROUND($C14,2),"eslesti",IF(ABS(ROUND($D14,2)-ROUND($C14,2))&lt;=toleransKurus,"tolerans_icinde","tutar_farki"))))</f>
        <v/>
      </c>
      <c r="H14" s="17">
        <f>IF($A14="","",IF($B14&gt;0,"BIRINCIL",IF(COUNTIF(tblAnahtarB[IkincilB],'ANAHTAR'!$D14)&gt;0,"IKINCIL","YOK")))</f>
        <v/>
      </c>
      <c r="I14" s="17">
        <f>IF($A14="","",'ANAHTAR'!$F14)</f>
        <v/>
      </c>
      <c r="J14" s="17">
        <f>IF(OR($A14="",$D14=0),0,$F14/ABS($D14))</f>
        <v/>
      </c>
      <c r="K14" s="17">
        <f>IF($A14="","",ROUND($D14,2))</f>
        <v/>
      </c>
      <c r="L14" s="17">
        <f>IF($A14="","",ROUND($C14,2))</f>
        <v/>
      </c>
      <c r="M14" s="17">
        <f>IF($A14="","",IF($F14&lt;=toleransKurus,1,0))</f>
        <v/>
      </c>
      <c r="N14" s="17">
        <f>IF($A14="","",IF($F14&gt;tyk_esikFark,1,0))</f>
        <v/>
      </c>
      <c r="O14" s="17">
        <f>IF($A14="","",IFERROR(SUMIF(tblMotor[A_Norm],$A14,tblMotor[NetKar]),0))</f>
        <v/>
      </c>
      <c r="P14" s="17">
        <f>IF($A14="","",$B14+$M14+$N14)</f>
        <v/>
      </c>
    </row>
    <row r="15">
      <c r="A15" s="17">
        <f>IF('ANAHTAR'!$B15="","",'ANAHTAR'!$B15)</f>
        <v/>
      </c>
      <c r="B15" s="17">
        <f>IF($A15="","",COUNTIF(tblAnahtarB[NormB],$A15))</f>
        <v/>
      </c>
      <c r="C15" s="17">
        <f>IF($A15="","",IFERROR(SUMIF(tblAnahtarB[NormB],$A15,tblHakedis[GercekHakedis]),0))</f>
        <v/>
      </c>
      <c r="D15" s="17">
        <f>IF($A15="","",IFERROR(SUMIF(tblMotor[A_Norm],$A15,tblMotor[BeklenenHakedis]),0))</f>
        <v/>
      </c>
      <c r="E15" s="17">
        <f>IF($A15="","",ROUND($D15,2)-ROUND($C15,2))</f>
        <v/>
      </c>
      <c r="F15" s="17">
        <f>IF($A15="","",ABS($E15))</f>
        <v/>
      </c>
      <c r="G15" s="17">
        <f>IF($A15="","",IF($B15=0,"eslesmedi",IF(ROUND($D15,2)=ROUND($C15,2),"eslesti",IF(ABS(ROUND($D15,2)-ROUND($C15,2))&lt;=toleransKurus,"tolerans_icinde","tutar_farki"))))</f>
        <v/>
      </c>
      <c r="H15" s="17">
        <f>IF($A15="","",IF($B15&gt;0,"BIRINCIL",IF(COUNTIF(tblAnahtarB[IkincilB],'ANAHTAR'!$D15)&gt;0,"IKINCIL","YOK")))</f>
        <v/>
      </c>
      <c r="I15" s="17">
        <f>IF($A15="","",'ANAHTAR'!$F15)</f>
        <v/>
      </c>
      <c r="J15" s="17">
        <f>IF(OR($A15="",$D15=0),0,$F15/ABS($D15))</f>
        <v/>
      </c>
      <c r="K15" s="17">
        <f>IF($A15="","",ROUND($D15,2))</f>
        <v/>
      </c>
      <c r="L15" s="17">
        <f>IF($A15="","",ROUND($C15,2))</f>
        <v/>
      </c>
      <c r="M15" s="17">
        <f>IF($A15="","",IF($F15&lt;=toleransKurus,1,0))</f>
        <v/>
      </c>
      <c r="N15" s="17">
        <f>IF($A15="","",IF($F15&gt;tyk_esikFark,1,0))</f>
        <v/>
      </c>
      <c r="O15" s="17">
        <f>IF($A15="","",IFERROR(SUMIF(tblMotor[A_Norm],$A15,tblMotor[NetKar]),0))</f>
        <v/>
      </c>
      <c r="P15" s="17">
        <f>IF($A15="","",$B15+$M15+$N15)</f>
        <v/>
      </c>
    </row>
    <row r="16">
      <c r="A16" s="17">
        <f>IF('ANAHTAR'!$B16="","",'ANAHTAR'!$B16)</f>
        <v/>
      </c>
      <c r="B16" s="17">
        <f>IF($A16="","",COUNTIF(tblAnahtarB[NormB],$A16))</f>
        <v/>
      </c>
      <c r="C16" s="17">
        <f>IF($A16="","",IFERROR(SUMIF(tblAnahtarB[NormB],$A16,tblHakedis[GercekHakedis]),0))</f>
        <v/>
      </c>
      <c r="D16" s="17">
        <f>IF($A16="","",IFERROR(SUMIF(tblMotor[A_Norm],$A16,tblMotor[BeklenenHakedis]),0))</f>
        <v/>
      </c>
      <c r="E16" s="17">
        <f>IF($A16="","",ROUND($D16,2)-ROUND($C16,2))</f>
        <v/>
      </c>
      <c r="F16" s="17">
        <f>IF($A16="","",ABS($E16))</f>
        <v/>
      </c>
      <c r="G16" s="17">
        <f>IF($A16="","",IF($B16=0,"eslesmedi",IF(ROUND($D16,2)=ROUND($C16,2),"eslesti",IF(ABS(ROUND($D16,2)-ROUND($C16,2))&lt;=toleransKurus,"tolerans_icinde","tutar_farki"))))</f>
        <v/>
      </c>
      <c r="H16" s="17">
        <f>IF($A16="","",IF($B16&gt;0,"BIRINCIL",IF(COUNTIF(tblAnahtarB[IkincilB],'ANAHTAR'!$D16)&gt;0,"IKINCIL","YOK")))</f>
        <v/>
      </c>
      <c r="I16" s="17">
        <f>IF($A16="","",'ANAHTAR'!$F16)</f>
        <v/>
      </c>
      <c r="J16" s="17">
        <f>IF(OR($A16="",$D16=0),0,$F16/ABS($D16))</f>
        <v/>
      </c>
      <c r="K16" s="17">
        <f>IF($A16="","",ROUND($D16,2))</f>
        <v/>
      </c>
      <c r="L16" s="17">
        <f>IF($A16="","",ROUND($C16,2))</f>
        <v/>
      </c>
      <c r="M16" s="17">
        <f>IF($A16="","",IF($F16&lt;=toleransKurus,1,0))</f>
        <v/>
      </c>
      <c r="N16" s="17">
        <f>IF($A16="","",IF($F16&gt;tyk_esikFark,1,0))</f>
        <v/>
      </c>
      <c r="O16" s="17">
        <f>IF($A16="","",IFERROR(SUMIF(tblMotor[A_Norm],$A16,tblMotor[NetKar]),0))</f>
        <v/>
      </c>
      <c r="P16" s="17">
        <f>IF($A16="","",$B16+$M16+$N16)</f>
        <v/>
      </c>
    </row>
    <row r="17">
      <c r="A17" s="17">
        <f>IF('ANAHTAR'!$B17="","",'ANAHTAR'!$B17)</f>
        <v/>
      </c>
      <c r="B17" s="17">
        <f>IF($A17="","",COUNTIF(tblAnahtarB[NormB],$A17))</f>
        <v/>
      </c>
      <c r="C17" s="17">
        <f>IF($A17="","",IFERROR(SUMIF(tblAnahtarB[NormB],$A17,tblHakedis[GercekHakedis]),0))</f>
        <v/>
      </c>
      <c r="D17" s="17">
        <f>IF($A17="","",IFERROR(SUMIF(tblMotor[A_Norm],$A17,tblMotor[BeklenenHakedis]),0))</f>
        <v/>
      </c>
      <c r="E17" s="17">
        <f>IF($A17="","",ROUND($D17,2)-ROUND($C17,2))</f>
        <v/>
      </c>
      <c r="F17" s="17">
        <f>IF($A17="","",ABS($E17))</f>
        <v/>
      </c>
      <c r="G17" s="17">
        <f>IF($A17="","",IF($B17=0,"eslesmedi",IF(ROUND($D17,2)=ROUND($C17,2),"eslesti",IF(ABS(ROUND($D17,2)-ROUND($C17,2))&lt;=toleransKurus,"tolerans_icinde","tutar_farki"))))</f>
        <v/>
      </c>
      <c r="H17" s="17">
        <f>IF($A17="","",IF($B17&gt;0,"BIRINCIL",IF(COUNTIF(tblAnahtarB[IkincilB],'ANAHTAR'!$D17)&gt;0,"IKINCIL","YOK")))</f>
        <v/>
      </c>
      <c r="I17" s="17">
        <f>IF($A17="","",'ANAHTAR'!$F17)</f>
        <v/>
      </c>
      <c r="J17" s="17">
        <f>IF(OR($A17="",$D17=0),0,$F17/ABS($D17))</f>
        <v/>
      </c>
      <c r="K17" s="17">
        <f>IF($A17="","",ROUND($D17,2))</f>
        <v/>
      </c>
      <c r="L17" s="17">
        <f>IF($A17="","",ROUND($C17,2))</f>
        <v/>
      </c>
      <c r="M17" s="17">
        <f>IF($A17="","",IF($F17&lt;=toleransKurus,1,0))</f>
        <v/>
      </c>
      <c r="N17" s="17">
        <f>IF($A17="","",IF($F17&gt;tyk_esikFark,1,0))</f>
        <v/>
      </c>
      <c r="O17" s="17">
        <f>IF($A17="","",IFERROR(SUMIF(tblMotor[A_Norm],$A17,tblMotor[NetKar]),0))</f>
        <v/>
      </c>
      <c r="P17" s="17">
        <f>IF($A17="","",$B17+$M17+$N17)</f>
        <v/>
      </c>
    </row>
    <row r="18">
      <c r="A18" s="17">
        <f>IF('ANAHTAR'!$B18="","",'ANAHTAR'!$B18)</f>
        <v/>
      </c>
      <c r="B18" s="17">
        <f>IF($A18="","",COUNTIF(tblAnahtarB[NormB],$A18))</f>
        <v/>
      </c>
      <c r="C18" s="17">
        <f>IF($A18="","",IFERROR(SUMIF(tblAnahtarB[NormB],$A18,tblHakedis[GercekHakedis]),0))</f>
        <v/>
      </c>
      <c r="D18" s="17">
        <f>IF($A18="","",IFERROR(SUMIF(tblMotor[A_Norm],$A18,tblMotor[BeklenenHakedis]),0))</f>
        <v/>
      </c>
      <c r="E18" s="17">
        <f>IF($A18="","",ROUND($D18,2)-ROUND($C18,2))</f>
        <v/>
      </c>
      <c r="F18" s="17">
        <f>IF($A18="","",ABS($E18))</f>
        <v/>
      </c>
      <c r="G18" s="17">
        <f>IF($A18="","",IF($B18=0,"eslesmedi",IF(ROUND($D18,2)=ROUND($C18,2),"eslesti",IF(ABS(ROUND($D18,2)-ROUND($C18,2))&lt;=toleransKurus,"tolerans_icinde","tutar_farki"))))</f>
        <v/>
      </c>
      <c r="H18" s="17">
        <f>IF($A18="","",IF($B18&gt;0,"BIRINCIL",IF(COUNTIF(tblAnahtarB[IkincilB],'ANAHTAR'!$D18)&gt;0,"IKINCIL","YOK")))</f>
        <v/>
      </c>
      <c r="I18" s="17">
        <f>IF($A18="","",'ANAHTAR'!$F18)</f>
        <v/>
      </c>
      <c r="J18" s="17">
        <f>IF(OR($A18="",$D18=0),0,$F18/ABS($D18))</f>
        <v/>
      </c>
      <c r="K18" s="17">
        <f>IF($A18="","",ROUND($D18,2))</f>
        <v/>
      </c>
      <c r="L18" s="17">
        <f>IF($A18="","",ROUND($C18,2))</f>
        <v/>
      </c>
      <c r="M18" s="17">
        <f>IF($A18="","",IF($F18&lt;=toleransKurus,1,0))</f>
        <v/>
      </c>
      <c r="N18" s="17">
        <f>IF($A18="","",IF($F18&gt;tyk_esikFark,1,0))</f>
        <v/>
      </c>
      <c r="O18" s="17">
        <f>IF($A18="","",IFERROR(SUMIF(tblMotor[A_Norm],$A18,tblMotor[NetKar]),0))</f>
        <v/>
      </c>
      <c r="P18" s="17">
        <f>IF($A18="","",$B18+$M18+$N18)</f>
        <v/>
      </c>
    </row>
    <row r="19">
      <c r="A19" s="17">
        <f>IF('ANAHTAR'!$B19="","",'ANAHTAR'!$B19)</f>
        <v/>
      </c>
      <c r="B19" s="17">
        <f>IF($A19="","",COUNTIF(tblAnahtarB[NormB],$A19))</f>
        <v/>
      </c>
      <c r="C19" s="17">
        <f>IF($A19="","",IFERROR(SUMIF(tblAnahtarB[NormB],$A19,tblHakedis[GercekHakedis]),0))</f>
        <v/>
      </c>
      <c r="D19" s="17">
        <f>IF($A19="","",IFERROR(SUMIF(tblMotor[A_Norm],$A19,tblMotor[BeklenenHakedis]),0))</f>
        <v/>
      </c>
      <c r="E19" s="17">
        <f>IF($A19="","",ROUND($D19,2)-ROUND($C19,2))</f>
        <v/>
      </c>
      <c r="F19" s="17">
        <f>IF($A19="","",ABS($E19))</f>
        <v/>
      </c>
      <c r="G19" s="17">
        <f>IF($A19="","",IF($B19=0,"eslesmedi",IF(ROUND($D19,2)=ROUND($C19,2),"eslesti",IF(ABS(ROUND($D19,2)-ROUND($C19,2))&lt;=toleransKurus,"tolerans_icinde","tutar_farki"))))</f>
        <v/>
      </c>
      <c r="H19" s="17">
        <f>IF($A19="","",IF($B19&gt;0,"BIRINCIL",IF(COUNTIF(tblAnahtarB[IkincilB],'ANAHTAR'!$D19)&gt;0,"IKINCIL","YOK")))</f>
        <v/>
      </c>
      <c r="I19" s="17">
        <f>IF($A19="","",'ANAHTAR'!$F19)</f>
        <v/>
      </c>
      <c r="J19" s="17">
        <f>IF(OR($A19="",$D19=0),0,$F19/ABS($D19))</f>
        <v/>
      </c>
      <c r="K19" s="17">
        <f>IF($A19="","",ROUND($D19,2))</f>
        <v/>
      </c>
      <c r="L19" s="17">
        <f>IF($A19="","",ROUND($C19,2))</f>
        <v/>
      </c>
      <c r="M19" s="17">
        <f>IF($A19="","",IF($F19&lt;=toleransKurus,1,0))</f>
        <v/>
      </c>
      <c r="N19" s="17">
        <f>IF($A19="","",IF($F19&gt;tyk_esikFark,1,0))</f>
        <v/>
      </c>
      <c r="O19" s="17">
        <f>IF($A19="","",IFERROR(SUMIF(tblMotor[A_Norm],$A19,tblMotor[NetKar]),0))</f>
        <v/>
      </c>
      <c r="P19" s="17">
        <f>IF($A19="","",$B19+$M19+$N19)</f>
        <v/>
      </c>
    </row>
    <row r="20">
      <c r="A20" s="17">
        <f>IF('ANAHTAR'!$B20="","",'ANAHTAR'!$B20)</f>
        <v/>
      </c>
      <c r="B20" s="17">
        <f>IF($A20="","",COUNTIF(tblAnahtarB[NormB],$A20))</f>
        <v/>
      </c>
      <c r="C20" s="17">
        <f>IF($A20="","",IFERROR(SUMIF(tblAnahtarB[NormB],$A20,tblHakedis[GercekHakedis]),0))</f>
        <v/>
      </c>
      <c r="D20" s="17">
        <f>IF($A20="","",IFERROR(SUMIF(tblMotor[A_Norm],$A20,tblMotor[BeklenenHakedis]),0))</f>
        <v/>
      </c>
      <c r="E20" s="17">
        <f>IF($A20="","",ROUND($D20,2)-ROUND($C20,2))</f>
        <v/>
      </c>
      <c r="F20" s="17">
        <f>IF($A20="","",ABS($E20))</f>
        <v/>
      </c>
      <c r="G20" s="17">
        <f>IF($A20="","",IF($B20=0,"eslesmedi",IF(ROUND($D20,2)=ROUND($C20,2),"eslesti",IF(ABS(ROUND($D20,2)-ROUND($C20,2))&lt;=toleransKurus,"tolerans_icinde","tutar_farki"))))</f>
        <v/>
      </c>
      <c r="H20" s="17">
        <f>IF($A20="","",IF($B20&gt;0,"BIRINCIL",IF(COUNTIF(tblAnahtarB[IkincilB],'ANAHTAR'!$D20)&gt;0,"IKINCIL","YOK")))</f>
        <v/>
      </c>
      <c r="I20" s="17">
        <f>IF($A20="","",'ANAHTAR'!$F20)</f>
        <v/>
      </c>
      <c r="J20" s="17">
        <f>IF(OR($A20="",$D20=0),0,$F20/ABS($D20))</f>
        <v/>
      </c>
      <c r="K20" s="17">
        <f>IF($A20="","",ROUND($D20,2))</f>
        <v/>
      </c>
      <c r="L20" s="17">
        <f>IF($A20="","",ROUND($C20,2))</f>
        <v/>
      </c>
      <c r="M20" s="17">
        <f>IF($A20="","",IF($F20&lt;=toleransKurus,1,0))</f>
        <v/>
      </c>
      <c r="N20" s="17">
        <f>IF($A20="","",IF($F20&gt;tyk_esikFark,1,0))</f>
        <v/>
      </c>
      <c r="O20" s="17">
        <f>IF($A20="","",IFERROR(SUMIF(tblMotor[A_Norm],$A20,tblMotor[NetKar]),0))</f>
        <v/>
      </c>
      <c r="P20" s="17">
        <f>IF($A20="","",$B20+$M20+$N20)</f>
        <v/>
      </c>
    </row>
    <row r="21">
      <c r="A21" s="17">
        <f>IF('ANAHTAR'!$B21="","",'ANAHTAR'!$B21)</f>
        <v/>
      </c>
      <c r="B21" s="17">
        <f>IF($A21="","",COUNTIF(tblAnahtarB[NormB],$A21))</f>
        <v/>
      </c>
      <c r="C21" s="17">
        <f>IF($A21="","",IFERROR(SUMIF(tblAnahtarB[NormB],$A21,tblHakedis[GercekHakedis]),0))</f>
        <v/>
      </c>
      <c r="D21" s="17">
        <f>IF($A21="","",IFERROR(SUMIF(tblMotor[A_Norm],$A21,tblMotor[BeklenenHakedis]),0))</f>
        <v/>
      </c>
      <c r="E21" s="17">
        <f>IF($A21="","",ROUND($D21,2)-ROUND($C21,2))</f>
        <v/>
      </c>
      <c r="F21" s="17">
        <f>IF($A21="","",ABS($E21))</f>
        <v/>
      </c>
      <c r="G21" s="17">
        <f>IF($A21="","",IF($B21=0,"eslesmedi",IF(ROUND($D21,2)=ROUND($C21,2),"eslesti",IF(ABS(ROUND($D21,2)-ROUND($C21,2))&lt;=toleransKurus,"tolerans_icinde","tutar_farki"))))</f>
        <v/>
      </c>
      <c r="H21" s="17">
        <f>IF($A21="","",IF($B21&gt;0,"BIRINCIL",IF(COUNTIF(tblAnahtarB[IkincilB],'ANAHTAR'!$D21)&gt;0,"IKINCIL","YOK")))</f>
        <v/>
      </c>
      <c r="I21" s="17">
        <f>IF($A21="","",'ANAHTAR'!$F21)</f>
        <v/>
      </c>
      <c r="J21" s="17">
        <f>IF(OR($A21="",$D21=0),0,$F21/ABS($D21))</f>
        <v/>
      </c>
      <c r="K21" s="17">
        <f>IF($A21="","",ROUND($D21,2))</f>
        <v/>
      </c>
      <c r="L21" s="17">
        <f>IF($A21="","",ROUND($C21,2))</f>
        <v/>
      </c>
      <c r="M21" s="17">
        <f>IF($A21="","",IF($F21&lt;=toleransKurus,1,0))</f>
        <v/>
      </c>
      <c r="N21" s="17">
        <f>IF($A21="","",IF($F21&gt;tyk_esikFark,1,0))</f>
        <v/>
      </c>
      <c r="O21" s="17">
        <f>IF($A21="","",IFERROR(SUMIF(tblMotor[A_Norm],$A21,tblMotor[NetKar]),0))</f>
        <v/>
      </c>
      <c r="P21" s="17">
        <f>IF($A21="","",$B21+$M21+$N21)</f>
        <v/>
      </c>
    </row>
    <row r="22">
      <c r="A22" s="17">
        <f>IF('ANAHTAR'!$B22="","",'ANAHTAR'!$B22)</f>
        <v/>
      </c>
      <c r="B22" s="17">
        <f>IF($A22="","",COUNTIF(tblAnahtarB[NormB],$A22))</f>
        <v/>
      </c>
      <c r="C22" s="17">
        <f>IF($A22="","",IFERROR(SUMIF(tblAnahtarB[NormB],$A22,tblHakedis[GercekHakedis]),0))</f>
        <v/>
      </c>
      <c r="D22" s="17">
        <f>IF($A22="","",IFERROR(SUMIF(tblMotor[A_Norm],$A22,tblMotor[BeklenenHakedis]),0))</f>
        <v/>
      </c>
      <c r="E22" s="17">
        <f>IF($A22="","",ROUND($D22,2)-ROUND($C22,2))</f>
        <v/>
      </c>
      <c r="F22" s="17">
        <f>IF($A22="","",ABS($E22))</f>
        <v/>
      </c>
      <c r="G22" s="17">
        <f>IF($A22="","",IF($B22=0,"eslesmedi",IF(ROUND($D22,2)=ROUND($C22,2),"eslesti",IF(ABS(ROUND($D22,2)-ROUND($C22,2))&lt;=toleransKurus,"tolerans_icinde","tutar_farki"))))</f>
        <v/>
      </c>
      <c r="H22" s="17">
        <f>IF($A22="","",IF($B22&gt;0,"BIRINCIL",IF(COUNTIF(tblAnahtarB[IkincilB],'ANAHTAR'!$D22)&gt;0,"IKINCIL","YOK")))</f>
        <v/>
      </c>
      <c r="I22" s="17">
        <f>IF($A22="","",'ANAHTAR'!$F22)</f>
        <v/>
      </c>
      <c r="J22" s="17">
        <f>IF(OR($A22="",$D22=0),0,$F22/ABS($D22))</f>
        <v/>
      </c>
      <c r="K22" s="17">
        <f>IF($A22="","",ROUND($D22,2))</f>
        <v/>
      </c>
      <c r="L22" s="17">
        <f>IF($A22="","",ROUND($C22,2))</f>
        <v/>
      </c>
      <c r="M22" s="17">
        <f>IF($A22="","",IF($F22&lt;=toleransKurus,1,0))</f>
        <v/>
      </c>
      <c r="N22" s="17">
        <f>IF($A22="","",IF($F22&gt;tyk_esikFark,1,0))</f>
        <v/>
      </c>
      <c r="O22" s="17">
        <f>IF($A22="","",IFERROR(SUMIF(tblMotor[A_Norm],$A22,tblMotor[NetKar]),0))</f>
        <v/>
      </c>
      <c r="P22" s="17">
        <f>IF($A22="","",$B22+$M22+$N22)</f>
        <v/>
      </c>
    </row>
    <row r="23">
      <c r="A23" s="17">
        <f>IF('ANAHTAR'!$B23="","",'ANAHTAR'!$B23)</f>
        <v/>
      </c>
      <c r="B23" s="17">
        <f>IF($A23="","",COUNTIF(tblAnahtarB[NormB],$A23))</f>
        <v/>
      </c>
      <c r="C23" s="17">
        <f>IF($A23="","",IFERROR(SUMIF(tblAnahtarB[NormB],$A23,tblHakedis[GercekHakedis]),0))</f>
        <v/>
      </c>
      <c r="D23" s="17">
        <f>IF($A23="","",IFERROR(SUMIF(tblMotor[A_Norm],$A23,tblMotor[BeklenenHakedis]),0))</f>
        <v/>
      </c>
      <c r="E23" s="17">
        <f>IF($A23="","",ROUND($D23,2)-ROUND($C23,2))</f>
        <v/>
      </c>
      <c r="F23" s="17">
        <f>IF($A23="","",ABS($E23))</f>
        <v/>
      </c>
      <c r="G23" s="17">
        <f>IF($A23="","",IF($B23=0,"eslesmedi",IF(ROUND($D23,2)=ROUND($C23,2),"eslesti",IF(ABS(ROUND($D23,2)-ROUND($C23,2))&lt;=toleransKurus,"tolerans_icinde","tutar_farki"))))</f>
        <v/>
      </c>
      <c r="H23" s="17">
        <f>IF($A23="","",IF($B23&gt;0,"BIRINCIL",IF(COUNTIF(tblAnahtarB[IkincilB],'ANAHTAR'!$D23)&gt;0,"IKINCIL","YOK")))</f>
        <v/>
      </c>
      <c r="I23" s="17">
        <f>IF($A23="","",'ANAHTAR'!$F23)</f>
        <v/>
      </c>
      <c r="J23" s="17">
        <f>IF(OR($A23="",$D23=0),0,$F23/ABS($D23))</f>
        <v/>
      </c>
      <c r="K23" s="17">
        <f>IF($A23="","",ROUND($D23,2))</f>
        <v/>
      </c>
      <c r="L23" s="17">
        <f>IF($A23="","",ROUND($C23,2))</f>
        <v/>
      </c>
      <c r="M23" s="17">
        <f>IF($A23="","",IF($F23&lt;=toleransKurus,1,0))</f>
        <v/>
      </c>
      <c r="N23" s="17">
        <f>IF($A23="","",IF($F23&gt;tyk_esikFark,1,0))</f>
        <v/>
      </c>
      <c r="O23" s="17">
        <f>IF($A23="","",IFERROR(SUMIF(tblMotor[A_Norm],$A23,tblMotor[NetKar]),0))</f>
        <v/>
      </c>
      <c r="P23" s="17">
        <f>IF($A23="","",$B23+$M23+$N23)</f>
        <v/>
      </c>
    </row>
    <row r="24">
      <c r="A24" s="17">
        <f>IF('ANAHTAR'!$B24="","",'ANAHTAR'!$B24)</f>
        <v/>
      </c>
      <c r="B24" s="17">
        <f>IF($A24="","",COUNTIF(tblAnahtarB[NormB],$A24))</f>
        <v/>
      </c>
      <c r="C24" s="17">
        <f>IF($A24="","",IFERROR(SUMIF(tblAnahtarB[NormB],$A24,tblHakedis[GercekHakedis]),0))</f>
        <v/>
      </c>
      <c r="D24" s="17">
        <f>IF($A24="","",IFERROR(SUMIF(tblMotor[A_Norm],$A24,tblMotor[BeklenenHakedis]),0))</f>
        <v/>
      </c>
      <c r="E24" s="17">
        <f>IF($A24="","",ROUND($D24,2)-ROUND($C24,2))</f>
        <v/>
      </c>
      <c r="F24" s="17">
        <f>IF($A24="","",ABS($E24))</f>
        <v/>
      </c>
      <c r="G24" s="17">
        <f>IF($A24="","",IF($B24=0,"eslesmedi",IF(ROUND($D24,2)=ROUND($C24,2),"eslesti",IF(ABS(ROUND($D24,2)-ROUND($C24,2))&lt;=toleransKurus,"tolerans_icinde","tutar_farki"))))</f>
        <v/>
      </c>
      <c r="H24" s="17">
        <f>IF($A24="","",IF($B24&gt;0,"BIRINCIL",IF(COUNTIF(tblAnahtarB[IkincilB],'ANAHTAR'!$D24)&gt;0,"IKINCIL","YOK")))</f>
        <v/>
      </c>
      <c r="I24" s="17">
        <f>IF($A24="","",'ANAHTAR'!$F24)</f>
        <v/>
      </c>
      <c r="J24" s="17">
        <f>IF(OR($A24="",$D24=0),0,$F24/ABS($D24))</f>
        <v/>
      </c>
      <c r="K24" s="17">
        <f>IF($A24="","",ROUND($D24,2))</f>
        <v/>
      </c>
      <c r="L24" s="17">
        <f>IF($A24="","",ROUND($C24,2))</f>
        <v/>
      </c>
      <c r="M24" s="17">
        <f>IF($A24="","",IF($F24&lt;=toleransKurus,1,0))</f>
        <v/>
      </c>
      <c r="N24" s="17">
        <f>IF($A24="","",IF($F24&gt;tyk_esikFark,1,0))</f>
        <v/>
      </c>
      <c r="O24" s="17">
        <f>IF($A24="","",IFERROR(SUMIF(tblMotor[A_Norm],$A24,tblMotor[NetKar]),0))</f>
        <v/>
      </c>
      <c r="P24" s="17">
        <f>IF($A24="","",$B24+$M24+$N24)</f>
        <v/>
      </c>
    </row>
    <row r="25">
      <c r="A25" s="17">
        <f>IF('ANAHTAR'!$B25="","",'ANAHTAR'!$B25)</f>
        <v/>
      </c>
      <c r="B25" s="17">
        <f>IF($A25="","",COUNTIF(tblAnahtarB[NormB],$A25))</f>
        <v/>
      </c>
      <c r="C25" s="17">
        <f>IF($A25="","",IFERROR(SUMIF(tblAnahtarB[NormB],$A25,tblHakedis[GercekHakedis]),0))</f>
        <v/>
      </c>
      <c r="D25" s="17">
        <f>IF($A25="","",IFERROR(SUMIF(tblMotor[A_Norm],$A25,tblMotor[BeklenenHakedis]),0))</f>
        <v/>
      </c>
      <c r="E25" s="17">
        <f>IF($A25="","",ROUND($D25,2)-ROUND($C25,2))</f>
        <v/>
      </c>
      <c r="F25" s="17">
        <f>IF($A25="","",ABS($E25))</f>
        <v/>
      </c>
      <c r="G25" s="17">
        <f>IF($A25="","",IF($B25=0,"eslesmedi",IF(ROUND($D25,2)=ROUND($C25,2),"eslesti",IF(ABS(ROUND($D25,2)-ROUND($C25,2))&lt;=toleransKurus,"tolerans_icinde","tutar_farki"))))</f>
        <v/>
      </c>
      <c r="H25" s="17">
        <f>IF($A25="","",IF($B25&gt;0,"BIRINCIL",IF(COUNTIF(tblAnahtarB[IkincilB],'ANAHTAR'!$D25)&gt;0,"IKINCIL","YOK")))</f>
        <v/>
      </c>
      <c r="I25" s="17">
        <f>IF($A25="","",'ANAHTAR'!$F25)</f>
        <v/>
      </c>
      <c r="J25" s="17">
        <f>IF(OR($A25="",$D25=0),0,$F25/ABS($D25))</f>
        <v/>
      </c>
      <c r="K25" s="17">
        <f>IF($A25="","",ROUND($D25,2))</f>
        <v/>
      </c>
      <c r="L25" s="17">
        <f>IF($A25="","",ROUND($C25,2))</f>
        <v/>
      </c>
      <c r="M25" s="17">
        <f>IF($A25="","",IF($F25&lt;=toleransKurus,1,0))</f>
        <v/>
      </c>
      <c r="N25" s="17">
        <f>IF($A25="","",IF($F25&gt;tyk_esikFark,1,0))</f>
        <v/>
      </c>
      <c r="O25" s="17">
        <f>IF($A25="","",IFERROR(SUMIF(tblMotor[A_Norm],$A25,tblMotor[NetKar]),0))</f>
        <v/>
      </c>
      <c r="P25" s="17">
        <f>IF($A25="","",$B25+$M25+$N25)</f>
        <v/>
      </c>
    </row>
    <row r="26">
      <c r="A26" s="17">
        <f>IF('ANAHTAR'!$B26="","",'ANAHTAR'!$B26)</f>
        <v/>
      </c>
      <c r="B26" s="17">
        <f>IF($A26="","",COUNTIF(tblAnahtarB[NormB],$A26))</f>
        <v/>
      </c>
      <c r="C26" s="17">
        <f>IF($A26="","",IFERROR(SUMIF(tblAnahtarB[NormB],$A26,tblHakedis[GercekHakedis]),0))</f>
        <v/>
      </c>
      <c r="D26" s="17">
        <f>IF($A26="","",IFERROR(SUMIF(tblMotor[A_Norm],$A26,tblMotor[BeklenenHakedis]),0))</f>
        <v/>
      </c>
      <c r="E26" s="17">
        <f>IF($A26="","",ROUND($D26,2)-ROUND($C26,2))</f>
        <v/>
      </c>
      <c r="F26" s="17">
        <f>IF($A26="","",ABS($E26))</f>
        <v/>
      </c>
      <c r="G26" s="17">
        <f>IF($A26="","",IF($B26=0,"eslesmedi",IF(ROUND($D26,2)=ROUND($C26,2),"eslesti",IF(ABS(ROUND($D26,2)-ROUND($C26,2))&lt;=toleransKurus,"tolerans_icinde","tutar_farki"))))</f>
        <v/>
      </c>
      <c r="H26" s="17">
        <f>IF($A26="","",IF($B26&gt;0,"BIRINCIL",IF(COUNTIF(tblAnahtarB[IkincilB],'ANAHTAR'!$D26)&gt;0,"IKINCIL","YOK")))</f>
        <v/>
      </c>
      <c r="I26" s="17">
        <f>IF($A26="","",'ANAHTAR'!$F26)</f>
        <v/>
      </c>
      <c r="J26" s="17">
        <f>IF(OR($A26="",$D26=0),0,$F26/ABS($D26))</f>
        <v/>
      </c>
      <c r="K26" s="17">
        <f>IF($A26="","",ROUND($D26,2))</f>
        <v/>
      </c>
      <c r="L26" s="17">
        <f>IF($A26="","",ROUND($C26,2))</f>
        <v/>
      </c>
      <c r="M26" s="17">
        <f>IF($A26="","",IF($F26&lt;=toleransKurus,1,0))</f>
        <v/>
      </c>
      <c r="N26" s="17">
        <f>IF($A26="","",IF($F26&gt;tyk_esikFark,1,0))</f>
        <v/>
      </c>
      <c r="O26" s="17">
        <f>IF($A26="","",IFERROR(SUMIF(tblMotor[A_Norm],$A26,tblMotor[NetKar]),0))</f>
        <v/>
      </c>
      <c r="P26" s="17">
        <f>IF($A26="","",$B26+$M26+$N26)</f>
        <v/>
      </c>
    </row>
    <row r="27">
      <c r="A27" s="17">
        <f>IF('ANAHTAR'!$B27="","",'ANAHTAR'!$B27)</f>
        <v/>
      </c>
      <c r="B27" s="17">
        <f>IF($A27="","",COUNTIF(tblAnahtarB[NormB],$A27))</f>
        <v/>
      </c>
      <c r="C27" s="17">
        <f>IF($A27="","",IFERROR(SUMIF(tblAnahtarB[NormB],$A27,tblHakedis[GercekHakedis]),0))</f>
        <v/>
      </c>
      <c r="D27" s="17">
        <f>IF($A27="","",IFERROR(SUMIF(tblMotor[A_Norm],$A27,tblMotor[BeklenenHakedis]),0))</f>
        <v/>
      </c>
      <c r="E27" s="17">
        <f>IF($A27="","",ROUND($D27,2)-ROUND($C27,2))</f>
        <v/>
      </c>
      <c r="F27" s="17">
        <f>IF($A27="","",ABS($E27))</f>
        <v/>
      </c>
      <c r="G27" s="17">
        <f>IF($A27="","",IF($B27=0,"eslesmedi",IF(ROUND($D27,2)=ROUND($C27,2),"eslesti",IF(ABS(ROUND($D27,2)-ROUND($C27,2))&lt;=toleransKurus,"tolerans_icinde","tutar_farki"))))</f>
        <v/>
      </c>
      <c r="H27" s="17">
        <f>IF($A27="","",IF($B27&gt;0,"BIRINCIL",IF(COUNTIF(tblAnahtarB[IkincilB],'ANAHTAR'!$D27)&gt;0,"IKINCIL","YOK")))</f>
        <v/>
      </c>
      <c r="I27" s="17">
        <f>IF($A27="","",'ANAHTAR'!$F27)</f>
        <v/>
      </c>
      <c r="J27" s="17">
        <f>IF(OR($A27="",$D27=0),0,$F27/ABS($D27))</f>
        <v/>
      </c>
      <c r="K27" s="17">
        <f>IF($A27="","",ROUND($D27,2))</f>
        <v/>
      </c>
      <c r="L27" s="17">
        <f>IF($A27="","",ROUND($C27,2))</f>
        <v/>
      </c>
      <c r="M27" s="17">
        <f>IF($A27="","",IF($F27&lt;=toleransKurus,1,0))</f>
        <v/>
      </c>
      <c r="N27" s="17">
        <f>IF($A27="","",IF($F27&gt;tyk_esikFark,1,0))</f>
        <v/>
      </c>
      <c r="O27" s="17">
        <f>IF($A27="","",IFERROR(SUMIF(tblMotor[A_Norm],$A27,tblMotor[NetKar]),0))</f>
        <v/>
      </c>
      <c r="P27" s="17">
        <f>IF($A27="","",$B27+$M27+$N27)</f>
        <v/>
      </c>
    </row>
    <row r="28">
      <c r="A28" s="17">
        <f>IF('ANAHTAR'!$B28="","",'ANAHTAR'!$B28)</f>
        <v/>
      </c>
      <c r="B28" s="17">
        <f>IF($A28="","",COUNTIF(tblAnahtarB[NormB],$A28))</f>
        <v/>
      </c>
      <c r="C28" s="17">
        <f>IF($A28="","",IFERROR(SUMIF(tblAnahtarB[NormB],$A28,tblHakedis[GercekHakedis]),0))</f>
        <v/>
      </c>
      <c r="D28" s="17">
        <f>IF($A28="","",IFERROR(SUMIF(tblMotor[A_Norm],$A28,tblMotor[BeklenenHakedis]),0))</f>
        <v/>
      </c>
      <c r="E28" s="17">
        <f>IF($A28="","",ROUND($D28,2)-ROUND($C28,2))</f>
        <v/>
      </c>
      <c r="F28" s="17">
        <f>IF($A28="","",ABS($E28))</f>
        <v/>
      </c>
      <c r="G28" s="17">
        <f>IF($A28="","",IF($B28=0,"eslesmedi",IF(ROUND($D28,2)=ROUND($C28,2),"eslesti",IF(ABS(ROUND($D28,2)-ROUND($C28,2))&lt;=toleransKurus,"tolerans_icinde","tutar_farki"))))</f>
        <v/>
      </c>
      <c r="H28" s="17">
        <f>IF($A28="","",IF($B28&gt;0,"BIRINCIL",IF(COUNTIF(tblAnahtarB[IkincilB],'ANAHTAR'!$D28)&gt;0,"IKINCIL","YOK")))</f>
        <v/>
      </c>
      <c r="I28" s="17">
        <f>IF($A28="","",'ANAHTAR'!$F28)</f>
        <v/>
      </c>
      <c r="J28" s="17">
        <f>IF(OR($A28="",$D28=0),0,$F28/ABS($D28))</f>
        <v/>
      </c>
      <c r="K28" s="17">
        <f>IF($A28="","",ROUND($D28,2))</f>
        <v/>
      </c>
      <c r="L28" s="17">
        <f>IF($A28="","",ROUND($C28,2))</f>
        <v/>
      </c>
      <c r="M28" s="17">
        <f>IF($A28="","",IF($F28&lt;=toleransKurus,1,0))</f>
        <v/>
      </c>
      <c r="N28" s="17">
        <f>IF($A28="","",IF($F28&gt;tyk_esikFark,1,0))</f>
        <v/>
      </c>
      <c r="O28" s="17">
        <f>IF($A28="","",IFERROR(SUMIF(tblMotor[A_Norm],$A28,tblMotor[NetKar]),0))</f>
        <v/>
      </c>
      <c r="P28" s="17">
        <f>IF($A28="","",$B28+$M28+$N28)</f>
        <v/>
      </c>
    </row>
    <row r="29">
      <c r="A29" s="17">
        <f>IF('ANAHTAR'!$B29="","",'ANAHTAR'!$B29)</f>
        <v/>
      </c>
      <c r="B29" s="17">
        <f>IF($A29="","",COUNTIF(tblAnahtarB[NormB],$A29))</f>
        <v/>
      </c>
      <c r="C29" s="17">
        <f>IF($A29="","",IFERROR(SUMIF(tblAnahtarB[NormB],$A29,tblHakedis[GercekHakedis]),0))</f>
        <v/>
      </c>
      <c r="D29" s="17">
        <f>IF($A29="","",IFERROR(SUMIF(tblMotor[A_Norm],$A29,tblMotor[BeklenenHakedis]),0))</f>
        <v/>
      </c>
      <c r="E29" s="17">
        <f>IF($A29="","",ROUND($D29,2)-ROUND($C29,2))</f>
        <v/>
      </c>
      <c r="F29" s="17">
        <f>IF($A29="","",ABS($E29))</f>
        <v/>
      </c>
      <c r="G29" s="17">
        <f>IF($A29="","",IF($B29=0,"eslesmedi",IF(ROUND($D29,2)=ROUND($C29,2),"eslesti",IF(ABS(ROUND($D29,2)-ROUND($C29,2))&lt;=toleransKurus,"tolerans_icinde","tutar_farki"))))</f>
        <v/>
      </c>
      <c r="H29" s="17">
        <f>IF($A29="","",IF($B29&gt;0,"BIRINCIL",IF(COUNTIF(tblAnahtarB[IkincilB],'ANAHTAR'!$D29)&gt;0,"IKINCIL","YOK")))</f>
        <v/>
      </c>
      <c r="I29" s="17">
        <f>IF($A29="","",'ANAHTAR'!$F29)</f>
        <v/>
      </c>
      <c r="J29" s="17">
        <f>IF(OR($A29="",$D29=0),0,$F29/ABS($D29))</f>
        <v/>
      </c>
      <c r="K29" s="17">
        <f>IF($A29="","",ROUND($D29,2))</f>
        <v/>
      </c>
      <c r="L29" s="17">
        <f>IF($A29="","",ROUND($C29,2))</f>
        <v/>
      </c>
      <c r="M29" s="17">
        <f>IF($A29="","",IF($F29&lt;=toleransKurus,1,0))</f>
        <v/>
      </c>
      <c r="N29" s="17">
        <f>IF($A29="","",IF($F29&gt;tyk_esikFark,1,0))</f>
        <v/>
      </c>
      <c r="O29" s="17">
        <f>IF($A29="","",IFERROR(SUMIF(tblMotor[A_Norm],$A29,tblMotor[NetKar]),0))</f>
        <v/>
      </c>
      <c r="P29" s="17">
        <f>IF($A29="","",$B29+$M29+$N29)</f>
        <v/>
      </c>
    </row>
    <row r="30">
      <c r="A30" s="17">
        <f>IF('ANAHTAR'!$B30="","",'ANAHTAR'!$B30)</f>
        <v/>
      </c>
      <c r="B30" s="17">
        <f>IF($A30="","",COUNTIF(tblAnahtarB[NormB],$A30))</f>
        <v/>
      </c>
      <c r="C30" s="17">
        <f>IF($A30="","",IFERROR(SUMIF(tblAnahtarB[NormB],$A30,tblHakedis[GercekHakedis]),0))</f>
        <v/>
      </c>
      <c r="D30" s="17">
        <f>IF($A30="","",IFERROR(SUMIF(tblMotor[A_Norm],$A30,tblMotor[BeklenenHakedis]),0))</f>
        <v/>
      </c>
      <c r="E30" s="17">
        <f>IF($A30="","",ROUND($D30,2)-ROUND($C30,2))</f>
        <v/>
      </c>
      <c r="F30" s="17">
        <f>IF($A30="","",ABS($E30))</f>
        <v/>
      </c>
      <c r="G30" s="17">
        <f>IF($A30="","",IF($B30=0,"eslesmedi",IF(ROUND($D30,2)=ROUND($C30,2),"eslesti",IF(ABS(ROUND($D30,2)-ROUND($C30,2))&lt;=toleransKurus,"tolerans_icinde","tutar_farki"))))</f>
        <v/>
      </c>
      <c r="H30" s="17">
        <f>IF($A30="","",IF($B30&gt;0,"BIRINCIL",IF(COUNTIF(tblAnahtarB[IkincilB],'ANAHTAR'!$D30)&gt;0,"IKINCIL","YOK")))</f>
        <v/>
      </c>
      <c r="I30" s="17">
        <f>IF($A30="","",'ANAHTAR'!$F30)</f>
        <v/>
      </c>
      <c r="J30" s="17">
        <f>IF(OR($A30="",$D30=0),0,$F30/ABS($D30))</f>
        <v/>
      </c>
      <c r="K30" s="17">
        <f>IF($A30="","",ROUND($D30,2))</f>
        <v/>
      </c>
      <c r="L30" s="17">
        <f>IF($A30="","",ROUND($C30,2))</f>
        <v/>
      </c>
      <c r="M30" s="17">
        <f>IF($A30="","",IF($F30&lt;=toleransKurus,1,0))</f>
        <v/>
      </c>
      <c r="N30" s="17">
        <f>IF($A30="","",IF($F30&gt;tyk_esikFark,1,0))</f>
        <v/>
      </c>
      <c r="O30" s="17">
        <f>IF($A30="","",IFERROR(SUMIF(tblMotor[A_Norm],$A30,tblMotor[NetKar]),0))</f>
        <v/>
      </c>
      <c r="P30" s="17">
        <f>IF($A30="","",$B30+$M30+$N30)</f>
        <v/>
      </c>
    </row>
    <row r="31">
      <c r="A31" s="17">
        <f>IF('ANAHTAR'!$B31="","",'ANAHTAR'!$B31)</f>
        <v/>
      </c>
      <c r="B31" s="17">
        <f>IF($A31="","",COUNTIF(tblAnahtarB[NormB],$A31))</f>
        <v/>
      </c>
      <c r="C31" s="17">
        <f>IF($A31="","",IFERROR(SUMIF(tblAnahtarB[NormB],$A31,tblHakedis[GercekHakedis]),0))</f>
        <v/>
      </c>
      <c r="D31" s="17">
        <f>IF($A31="","",IFERROR(SUMIF(tblMotor[A_Norm],$A31,tblMotor[BeklenenHakedis]),0))</f>
        <v/>
      </c>
      <c r="E31" s="17">
        <f>IF($A31="","",ROUND($D31,2)-ROUND($C31,2))</f>
        <v/>
      </c>
      <c r="F31" s="17">
        <f>IF($A31="","",ABS($E31))</f>
        <v/>
      </c>
      <c r="G31" s="17">
        <f>IF($A31="","",IF($B31=0,"eslesmedi",IF(ROUND($D31,2)=ROUND($C31,2),"eslesti",IF(ABS(ROUND($D31,2)-ROUND($C31,2))&lt;=toleransKurus,"tolerans_icinde","tutar_farki"))))</f>
        <v/>
      </c>
      <c r="H31" s="17">
        <f>IF($A31="","",IF($B31&gt;0,"BIRINCIL",IF(COUNTIF(tblAnahtarB[IkincilB],'ANAHTAR'!$D31)&gt;0,"IKINCIL","YOK")))</f>
        <v/>
      </c>
      <c r="I31" s="17">
        <f>IF($A31="","",'ANAHTAR'!$F31)</f>
        <v/>
      </c>
      <c r="J31" s="17">
        <f>IF(OR($A31="",$D31=0),0,$F31/ABS($D31))</f>
        <v/>
      </c>
      <c r="K31" s="17">
        <f>IF($A31="","",ROUND($D31,2))</f>
        <v/>
      </c>
      <c r="L31" s="17">
        <f>IF($A31="","",ROUND($C31,2))</f>
        <v/>
      </c>
      <c r="M31" s="17">
        <f>IF($A31="","",IF($F31&lt;=toleransKurus,1,0))</f>
        <v/>
      </c>
      <c r="N31" s="17">
        <f>IF($A31="","",IF($F31&gt;tyk_esikFark,1,0))</f>
        <v/>
      </c>
      <c r="O31" s="17">
        <f>IF($A31="","",IFERROR(SUMIF(tblMotor[A_Norm],$A31,tblMotor[NetKar]),0))</f>
        <v/>
      </c>
      <c r="P31" s="17">
        <f>IF($A31="","",$B31+$M31+$N31)</f>
        <v/>
      </c>
    </row>
    <row r="32">
      <c r="A32" s="17">
        <f>IF('ANAHTAR'!$B32="","",'ANAHTAR'!$B32)</f>
        <v/>
      </c>
      <c r="B32" s="17">
        <f>IF($A32="","",COUNTIF(tblAnahtarB[NormB],$A32))</f>
        <v/>
      </c>
      <c r="C32" s="17">
        <f>IF($A32="","",IFERROR(SUMIF(tblAnahtarB[NormB],$A32,tblHakedis[GercekHakedis]),0))</f>
        <v/>
      </c>
      <c r="D32" s="17">
        <f>IF($A32="","",IFERROR(SUMIF(tblMotor[A_Norm],$A32,tblMotor[BeklenenHakedis]),0))</f>
        <v/>
      </c>
      <c r="E32" s="17">
        <f>IF($A32="","",ROUND($D32,2)-ROUND($C32,2))</f>
        <v/>
      </c>
      <c r="F32" s="17">
        <f>IF($A32="","",ABS($E32))</f>
        <v/>
      </c>
      <c r="G32" s="17">
        <f>IF($A32="","",IF($B32=0,"eslesmedi",IF(ROUND($D32,2)=ROUND($C32,2),"eslesti",IF(ABS(ROUND($D32,2)-ROUND($C32,2))&lt;=toleransKurus,"tolerans_icinde","tutar_farki"))))</f>
        <v/>
      </c>
      <c r="H32" s="17">
        <f>IF($A32="","",IF($B32&gt;0,"BIRINCIL",IF(COUNTIF(tblAnahtarB[IkincilB],'ANAHTAR'!$D32)&gt;0,"IKINCIL","YOK")))</f>
        <v/>
      </c>
      <c r="I32" s="17">
        <f>IF($A32="","",'ANAHTAR'!$F32)</f>
        <v/>
      </c>
      <c r="J32" s="17">
        <f>IF(OR($A32="",$D32=0),0,$F32/ABS($D32))</f>
        <v/>
      </c>
      <c r="K32" s="17">
        <f>IF($A32="","",ROUND($D32,2))</f>
        <v/>
      </c>
      <c r="L32" s="17">
        <f>IF($A32="","",ROUND($C32,2))</f>
        <v/>
      </c>
      <c r="M32" s="17">
        <f>IF($A32="","",IF($F32&lt;=toleransKurus,1,0))</f>
        <v/>
      </c>
      <c r="N32" s="17">
        <f>IF($A32="","",IF($F32&gt;tyk_esikFark,1,0))</f>
        <v/>
      </c>
      <c r="O32" s="17">
        <f>IF($A32="","",IFERROR(SUMIF(tblMotor[A_Norm],$A32,tblMotor[NetKar]),0))</f>
        <v/>
      </c>
      <c r="P32" s="17">
        <f>IF($A32="","",$B32+$M32+$N32)</f>
        <v/>
      </c>
    </row>
    <row r="33">
      <c r="A33" s="17">
        <f>IF('ANAHTAR'!$B33="","",'ANAHTAR'!$B33)</f>
        <v/>
      </c>
      <c r="B33" s="17">
        <f>IF($A33="","",COUNTIF(tblAnahtarB[NormB],$A33))</f>
        <v/>
      </c>
      <c r="C33" s="17">
        <f>IF($A33="","",IFERROR(SUMIF(tblAnahtarB[NormB],$A33,tblHakedis[GercekHakedis]),0))</f>
        <v/>
      </c>
      <c r="D33" s="17">
        <f>IF($A33="","",IFERROR(SUMIF(tblMotor[A_Norm],$A33,tblMotor[BeklenenHakedis]),0))</f>
        <v/>
      </c>
      <c r="E33" s="17">
        <f>IF($A33="","",ROUND($D33,2)-ROUND($C33,2))</f>
        <v/>
      </c>
      <c r="F33" s="17">
        <f>IF($A33="","",ABS($E33))</f>
        <v/>
      </c>
      <c r="G33" s="17">
        <f>IF($A33="","",IF($B33=0,"eslesmedi",IF(ROUND($D33,2)=ROUND($C33,2),"eslesti",IF(ABS(ROUND($D33,2)-ROUND($C33,2))&lt;=toleransKurus,"tolerans_icinde","tutar_farki"))))</f>
        <v/>
      </c>
      <c r="H33" s="17">
        <f>IF($A33="","",IF($B33&gt;0,"BIRINCIL",IF(COUNTIF(tblAnahtarB[IkincilB],'ANAHTAR'!$D33)&gt;0,"IKINCIL","YOK")))</f>
        <v/>
      </c>
      <c r="I33" s="17">
        <f>IF($A33="","",'ANAHTAR'!$F33)</f>
        <v/>
      </c>
      <c r="J33" s="17">
        <f>IF(OR($A33="",$D33=0),0,$F33/ABS($D33))</f>
        <v/>
      </c>
      <c r="K33" s="17">
        <f>IF($A33="","",ROUND($D33,2))</f>
        <v/>
      </c>
      <c r="L33" s="17">
        <f>IF($A33="","",ROUND($C33,2))</f>
        <v/>
      </c>
      <c r="M33" s="17">
        <f>IF($A33="","",IF($F33&lt;=toleransKurus,1,0))</f>
        <v/>
      </c>
      <c r="N33" s="17">
        <f>IF($A33="","",IF($F33&gt;tyk_esikFark,1,0))</f>
        <v/>
      </c>
      <c r="O33" s="17">
        <f>IF($A33="","",IFERROR(SUMIF(tblMotor[A_Norm],$A33,tblMotor[NetKar]),0))</f>
        <v/>
      </c>
      <c r="P33" s="17">
        <f>IF($A33="","",$B33+$M33+$N33)</f>
        <v/>
      </c>
    </row>
    <row r="34">
      <c r="A34" s="17">
        <f>IF('ANAHTAR'!$B34="","",'ANAHTAR'!$B34)</f>
        <v/>
      </c>
      <c r="B34" s="17">
        <f>IF($A34="","",COUNTIF(tblAnahtarB[NormB],$A34))</f>
        <v/>
      </c>
      <c r="C34" s="17">
        <f>IF($A34="","",IFERROR(SUMIF(tblAnahtarB[NormB],$A34,tblHakedis[GercekHakedis]),0))</f>
        <v/>
      </c>
      <c r="D34" s="17">
        <f>IF($A34="","",IFERROR(SUMIF(tblMotor[A_Norm],$A34,tblMotor[BeklenenHakedis]),0))</f>
        <v/>
      </c>
      <c r="E34" s="17">
        <f>IF($A34="","",ROUND($D34,2)-ROUND($C34,2))</f>
        <v/>
      </c>
      <c r="F34" s="17">
        <f>IF($A34="","",ABS($E34))</f>
        <v/>
      </c>
      <c r="G34" s="17">
        <f>IF($A34="","",IF($B34=0,"eslesmedi",IF(ROUND($D34,2)=ROUND($C34,2),"eslesti",IF(ABS(ROUND($D34,2)-ROUND($C34,2))&lt;=toleransKurus,"tolerans_icinde","tutar_farki"))))</f>
        <v/>
      </c>
      <c r="H34" s="17">
        <f>IF($A34="","",IF($B34&gt;0,"BIRINCIL",IF(COUNTIF(tblAnahtarB[IkincilB],'ANAHTAR'!$D34)&gt;0,"IKINCIL","YOK")))</f>
        <v/>
      </c>
      <c r="I34" s="17">
        <f>IF($A34="","",'ANAHTAR'!$F34)</f>
        <v/>
      </c>
      <c r="J34" s="17">
        <f>IF(OR($A34="",$D34=0),0,$F34/ABS($D34))</f>
        <v/>
      </c>
      <c r="K34" s="17">
        <f>IF($A34="","",ROUND($D34,2))</f>
        <v/>
      </c>
      <c r="L34" s="17">
        <f>IF($A34="","",ROUND($C34,2))</f>
        <v/>
      </c>
      <c r="M34" s="17">
        <f>IF($A34="","",IF($F34&lt;=toleransKurus,1,0))</f>
        <v/>
      </c>
      <c r="N34" s="17">
        <f>IF($A34="","",IF($F34&gt;tyk_esikFark,1,0))</f>
        <v/>
      </c>
      <c r="O34" s="17">
        <f>IF($A34="","",IFERROR(SUMIF(tblMotor[A_Norm],$A34,tblMotor[NetKar]),0))</f>
        <v/>
      </c>
      <c r="P34" s="17">
        <f>IF($A34="","",$B34+$M34+$N34)</f>
        <v/>
      </c>
    </row>
    <row r="35">
      <c r="A35" s="17">
        <f>IF('ANAHTAR'!$B35="","",'ANAHTAR'!$B35)</f>
        <v/>
      </c>
      <c r="B35" s="17">
        <f>IF($A35="","",COUNTIF(tblAnahtarB[NormB],$A35))</f>
        <v/>
      </c>
      <c r="C35" s="17">
        <f>IF($A35="","",IFERROR(SUMIF(tblAnahtarB[NormB],$A35,tblHakedis[GercekHakedis]),0))</f>
        <v/>
      </c>
      <c r="D35" s="17">
        <f>IF($A35="","",IFERROR(SUMIF(tblMotor[A_Norm],$A35,tblMotor[BeklenenHakedis]),0))</f>
        <v/>
      </c>
      <c r="E35" s="17">
        <f>IF($A35="","",ROUND($D35,2)-ROUND($C35,2))</f>
        <v/>
      </c>
      <c r="F35" s="17">
        <f>IF($A35="","",ABS($E35))</f>
        <v/>
      </c>
      <c r="G35" s="17">
        <f>IF($A35="","",IF($B35=0,"eslesmedi",IF(ROUND($D35,2)=ROUND($C35,2),"eslesti",IF(ABS(ROUND($D35,2)-ROUND($C35,2))&lt;=toleransKurus,"tolerans_icinde","tutar_farki"))))</f>
        <v/>
      </c>
      <c r="H35" s="17">
        <f>IF($A35="","",IF($B35&gt;0,"BIRINCIL",IF(COUNTIF(tblAnahtarB[IkincilB],'ANAHTAR'!$D35)&gt;0,"IKINCIL","YOK")))</f>
        <v/>
      </c>
      <c r="I35" s="17">
        <f>IF($A35="","",'ANAHTAR'!$F35)</f>
        <v/>
      </c>
      <c r="J35" s="17">
        <f>IF(OR($A35="",$D35=0),0,$F35/ABS($D35))</f>
        <v/>
      </c>
      <c r="K35" s="17">
        <f>IF($A35="","",ROUND($D35,2))</f>
        <v/>
      </c>
      <c r="L35" s="17">
        <f>IF($A35="","",ROUND($C35,2))</f>
        <v/>
      </c>
      <c r="M35" s="17">
        <f>IF($A35="","",IF($F35&lt;=toleransKurus,1,0))</f>
        <v/>
      </c>
      <c r="N35" s="17">
        <f>IF($A35="","",IF($F35&gt;tyk_esikFark,1,0))</f>
        <v/>
      </c>
      <c r="O35" s="17">
        <f>IF($A35="","",IFERROR(SUMIF(tblMotor[A_Norm],$A35,tblMotor[NetKar]),0))</f>
        <v/>
      </c>
      <c r="P35" s="17">
        <f>IF($A35="","",$B35+$M35+$N35)</f>
        <v/>
      </c>
    </row>
    <row r="36">
      <c r="A36" s="17">
        <f>IF('ANAHTAR'!$B36="","",'ANAHTAR'!$B36)</f>
        <v/>
      </c>
      <c r="B36" s="17">
        <f>IF($A36="","",COUNTIF(tblAnahtarB[NormB],$A36))</f>
        <v/>
      </c>
      <c r="C36" s="17">
        <f>IF($A36="","",IFERROR(SUMIF(tblAnahtarB[NormB],$A36,tblHakedis[GercekHakedis]),0))</f>
        <v/>
      </c>
      <c r="D36" s="17">
        <f>IF($A36="","",IFERROR(SUMIF(tblMotor[A_Norm],$A36,tblMotor[BeklenenHakedis]),0))</f>
        <v/>
      </c>
      <c r="E36" s="17">
        <f>IF($A36="","",ROUND($D36,2)-ROUND($C36,2))</f>
        <v/>
      </c>
      <c r="F36" s="17">
        <f>IF($A36="","",ABS($E36))</f>
        <v/>
      </c>
      <c r="G36" s="17">
        <f>IF($A36="","",IF($B36=0,"eslesmedi",IF(ROUND($D36,2)=ROUND($C36,2),"eslesti",IF(ABS(ROUND($D36,2)-ROUND($C36,2))&lt;=toleransKurus,"tolerans_icinde","tutar_farki"))))</f>
        <v/>
      </c>
      <c r="H36" s="17">
        <f>IF($A36="","",IF($B36&gt;0,"BIRINCIL",IF(COUNTIF(tblAnahtarB[IkincilB],'ANAHTAR'!$D36)&gt;0,"IKINCIL","YOK")))</f>
        <v/>
      </c>
      <c r="I36" s="17">
        <f>IF($A36="","",'ANAHTAR'!$F36)</f>
        <v/>
      </c>
      <c r="J36" s="17">
        <f>IF(OR($A36="",$D36=0),0,$F36/ABS($D36))</f>
        <v/>
      </c>
      <c r="K36" s="17">
        <f>IF($A36="","",ROUND($D36,2))</f>
        <v/>
      </c>
      <c r="L36" s="17">
        <f>IF($A36="","",ROUND($C36,2))</f>
        <v/>
      </c>
      <c r="M36" s="17">
        <f>IF($A36="","",IF($F36&lt;=toleransKurus,1,0))</f>
        <v/>
      </c>
      <c r="N36" s="17">
        <f>IF($A36="","",IF($F36&gt;tyk_esikFark,1,0))</f>
        <v/>
      </c>
      <c r="O36" s="17">
        <f>IF($A36="","",IFERROR(SUMIF(tblMotor[A_Norm],$A36,tblMotor[NetKar]),0))</f>
        <v/>
      </c>
      <c r="P36" s="17">
        <f>IF($A36="","",$B36+$M36+$N36)</f>
        <v/>
      </c>
    </row>
    <row r="37">
      <c r="A37" s="17">
        <f>IF('ANAHTAR'!$B37="","",'ANAHTAR'!$B37)</f>
        <v/>
      </c>
      <c r="B37" s="17">
        <f>IF($A37="","",COUNTIF(tblAnahtarB[NormB],$A37))</f>
        <v/>
      </c>
      <c r="C37" s="17">
        <f>IF($A37="","",IFERROR(SUMIF(tblAnahtarB[NormB],$A37,tblHakedis[GercekHakedis]),0))</f>
        <v/>
      </c>
      <c r="D37" s="17">
        <f>IF($A37="","",IFERROR(SUMIF(tblMotor[A_Norm],$A37,tblMotor[BeklenenHakedis]),0))</f>
        <v/>
      </c>
      <c r="E37" s="17">
        <f>IF($A37="","",ROUND($D37,2)-ROUND($C37,2))</f>
        <v/>
      </c>
      <c r="F37" s="17">
        <f>IF($A37="","",ABS($E37))</f>
        <v/>
      </c>
      <c r="G37" s="17">
        <f>IF($A37="","",IF($B37=0,"eslesmedi",IF(ROUND($D37,2)=ROUND($C37,2),"eslesti",IF(ABS(ROUND($D37,2)-ROUND($C37,2))&lt;=toleransKurus,"tolerans_icinde","tutar_farki"))))</f>
        <v/>
      </c>
      <c r="H37" s="17">
        <f>IF($A37="","",IF($B37&gt;0,"BIRINCIL",IF(COUNTIF(tblAnahtarB[IkincilB],'ANAHTAR'!$D37)&gt;0,"IKINCIL","YOK")))</f>
        <v/>
      </c>
      <c r="I37" s="17">
        <f>IF($A37="","",'ANAHTAR'!$F37)</f>
        <v/>
      </c>
      <c r="J37" s="17">
        <f>IF(OR($A37="",$D37=0),0,$F37/ABS($D37))</f>
        <v/>
      </c>
      <c r="K37" s="17">
        <f>IF($A37="","",ROUND($D37,2))</f>
        <v/>
      </c>
      <c r="L37" s="17">
        <f>IF($A37="","",ROUND($C37,2))</f>
        <v/>
      </c>
      <c r="M37" s="17">
        <f>IF($A37="","",IF($F37&lt;=toleransKurus,1,0))</f>
        <v/>
      </c>
      <c r="N37" s="17">
        <f>IF($A37="","",IF($F37&gt;tyk_esikFark,1,0))</f>
        <v/>
      </c>
      <c r="O37" s="17">
        <f>IF($A37="","",IFERROR(SUMIF(tblMotor[A_Norm],$A37,tblMotor[NetKar]),0))</f>
        <v/>
      </c>
      <c r="P37" s="17">
        <f>IF($A37="","",$B37+$M37+$N37)</f>
        <v/>
      </c>
    </row>
    <row r="38">
      <c r="A38" s="17">
        <f>IF('ANAHTAR'!$B38="","",'ANAHTAR'!$B38)</f>
        <v/>
      </c>
      <c r="B38" s="17">
        <f>IF($A38="","",COUNTIF(tblAnahtarB[NormB],$A38))</f>
        <v/>
      </c>
      <c r="C38" s="17">
        <f>IF($A38="","",IFERROR(SUMIF(tblAnahtarB[NormB],$A38,tblHakedis[GercekHakedis]),0))</f>
        <v/>
      </c>
      <c r="D38" s="17">
        <f>IF($A38="","",IFERROR(SUMIF(tblMotor[A_Norm],$A38,tblMotor[BeklenenHakedis]),0))</f>
        <v/>
      </c>
      <c r="E38" s="17">
        <f>IF($A38="","",ROUND($D38,2)-ROUND($C38,2))</f>
        <v/>
      </c>
      <c r="F38" s="17">
        <f>IF($A38="","",ABS($E38))</f>
        <v/>
      </c>
      <c r="G38" s="17">
        <f>IF($A38="","",IF($B38=0,"eslesmedi",IF(ROUND($D38,2)=ROUND($C38,2),"eslesti",IF(ABS(ROUND($D38,2)-ROUND($C38,2))&lt;=toleransKurus,"tolerans_icinde","tutar_farki"))))</f>
        <v/>
      </c>
      <c r="H38" s="17">
        <f>IF($A38="","",IF($B38&gt;0,"BIRINCIL",IF(COUNTIF(tblAnahtarB[IkincilB],'ANAHTAR'!$D38)&gt;0,"IKINCIL","YOK")))</f>
        <v/>
      </c>
      <c r="I38" s="17">
        <f>IF($A38="","",'ANAHTAR'!$F38)</f>
        <v/>
      </c>
      <c r="J38" s="17">
        <f>IF(OR($A38="",$D38=0),0,$F38/ABS($D38))</f>
        <v/>
      </c>
      <c r="K38" s="17">
        <f>IF($A38="","",ROUND($D38,2))</f>
        <v/>
      </c>
      <c r="L38" s="17">
        <f>IF($A38="","",ROUND($C38,2))</f>
        <v/>
      </c>
      <c r="M38" s="17">
        <f>IF($A38="","",IF($F38&lt;=toleransKurus,1,0))</f>
        <v/>
      </c>
      <c r="N38" s="17">
        <f>IF($A38="","",IF($F38&gt;tyk_esikFark,1,0))</f>
        <v/>
      </c>
      <c r="O38" s="17">
        <f>IF($A38="","",IFERROR(SUMIF(tblMotor[A_Norm],$A38,tblMotor[NetKar]),0))</f>
        <v/>
      </c>
      <c r="P38" s="17">
        <f>IF($A38="","",$B38+$M38+$N38)</f>
        <v/>
      </c>
    </row>
    <row r="39">
      <c r="A39" s="17">
        <f>IF('ANAHTAR'!$B39="","",'ANAHTAR'!$B39)</f>
        <v/>
      </c>
      <c r="B39" s="17">
        <f>IF($A39="","",COUNTIF(tblAnahtarB[NormB],$A39))</f>
        <v/>
      </c>
      <c r="C39" s="17">
        <f>IF($A39="","",IFERROR(SUMIF(tblAnahtarB[NormB],$A39,tblHakedis[GercekHakedis]),0))</f>
        <v/>
      </c>
      <c r="D39" s="17">
        <f>IF($A39="","",IFERROR(SUMIF(tblMotor[A_Norm],$A39,tblMotor[BeklenenHakedis]),0))</f>
        <v/>
      </c>
      <c r="E39" s="17">
        <f>IF($A39="","",ROUND($D39,2)-ROUND($C39,2))</f>
        <v/>
      </c>
      <c r="F39" s="17">
        <f>IF($A39="","",ABS($E39))</f>
        <v/>
      </c>
      <c r="G39" s="17">
        <f>IF($A39="","",IF($B39=0,"eslesmedi",IF(ROUND($D39,2)=ROUND($C39,2),"eslesti",IF(ABS(ROUND($D39,2)-ROUND($C39,2))&lt;=toleransKurus,"tolerans_icinde","tutar_farki"))))</f>
        <v/>
      </c>
      <c r="H39" s="17">
        <f>IF($A39="","",IF($B39&gt;0,"BIRINCIL",IF(COUNTIF(tblAnahtarB[IkincilB],'ANAHTAR'!$D39)&gt;0,"IKINCIL","YOK")))</f>
        <v/>
      </c>
      <c r="I39" s="17">
        <f>IF($A39="","",'ANAHTAR'!$F39)</f>
        <v/>
      </c>
      <c r="J39" s="17">
        <f>IF(OR($A39="",$D39=0),0,$F39/ABS($D39))</f>
        <v/>
      </c>
      <c r="K39" s="17">
        <f>IF($A39="","",ROUND($D39,2))</f>
        <v/>
      </c>
      <c r="L39" s="17">
        <f>IF($A39="","",ROUND($C39,2))</f>
        <v/>
      </c>
      <c r="M39" s="17">
        <f>IF($A39="","",IF($F39&lt;=toleransKurus,1,0))</f>
        <v/>
      </c>
      <c r="N39" s="17">
        <f>IF($A39="","",IF($F39&gt;tyk_esikFark,1,0))</f>
        <v/>
      </c>
      <c r="O39" s="17">
        <f>IF($A39="","",IFERROR(SUMIF(tblMotor[A_Norm],$A39,tblMotor[NetKar]),0))</f>
        <v/>
      </c>
      <c r="P39" s="17">
        <f>IF($A39="","",$B39+$M39+$N39)</f>
        <v/>
      </c>
    </row>
    <row r="40">
      <c r="A40" s="17">
        <f>IF('ANAHTAR'!$B40="","",'ANAHTAR'!$B40)</f>
        <v/>
      </c>
      <c r="B40" s="17">
        <f>IF($A40="","",COUNTIF(tblAnahtarB[NormB],$A40))</f>
        <v/>
      </c>
      <c r="C40" s="17">
        <f>IF($A40="","",IFERROR(SUMIF(tblAnahtarB[NormB],$A40,tblHakedis[GercekHakedis]),0))</f>
        <v/>
      </c>
      <c r="D40" s="17">
        <f>IF($A40="","",IFERROR(SUMIF(tblMotor[A_Norm],$A40,tblMotor[BeklenenHakedis]),0))</f>
        <v/>
      </c>
      <c r="E40" s="17">
        <f>IF($A40="","",ROUND($D40,2)-ROUND($C40,2))</f>
        <v/>
      </c>
      <c r="F40" s="17">
        <f>IF($A40="","",ABS($E40))</f>
        <v/>
      </c>
      <c r="G40" s="17">
        <f>IF($A40="","",IF($B40=0,"eslesmedi",IF(ROUND($D40,2)=ROUND($C40,2),"eslesti",IF(ABS(ROUND($D40,2)-ROUND($C40,2))&lt;=toleransKurus,"tolerans_icinde","tutar_farki"))))</f>
        <v/>
      </c>
      <c r="H40" s="17">
        <f>IF($A40="","",IF($B40&gt;0,"BIRINCIL",IF(COUNTIF(tblAnahtarB[IkincilB],'ANAHTAR'!$D40)&gt;0,"IKINCIL","YOK")))</f>
        <v/>
      </c>
      <c r="I40" s="17">
        <f>IF($A40="","",'ANAHTAR'!$F40)</f>
        <v/>
      </c>
      <c r="J40" s="17">
        <f>IF(OR($A40="",$D40=0),0,$F40/ABS($D40))</f>
        <v/>
      </c>
      <c r="K40" s="17">
        <f>IF($A40="","",ROUND($D40,2))</f>
        <v/>
      </c>
      <c r="L40" s="17">
        <f>IF($A40="","",ROUND($C40,2))</f>
        <v/>
      </c>
      <c r="M40" s="17">
        <f>IF($A40="","",IF($F40&lt;=toleransKurus,1,0))</f>
        <v/>
      </c>
      <c r="N40" s="17">
        <f>IF($A40="","",IF($F40&gt;tyk_esikFark,1,0))</f>
        <v/>
      </c>
      <c r="O40" s="17">
        <f>IF($A40="","",IFERROR(SUMIF(tblMotor[A_Norm],$A40,tblMotor[NetKar]),0))</f>
        <v/>
      </c>
      <c r="P40" s="17">
        <f>IF($A40="","",$B40+$M40+$N40)</f>
        <v/>
      </c>
    </row>
    <row r="41">
      <c r="A41" s="17">
        <f>IF('ANAHTAR'!$B41="","",'ANAHTAR'!$B41)</f>
        <v/>
      </c>
      <c r="B41" s="17">
        <f>IF($A41="","",COUNTIF(tblAnahtarB[NormB],$A41))</f>
        <v/>
      </c>
      <c r="C41" s="17">
        <f>IF($A41="","",IFERROR(SUMIF(tblAnahtarB[NormB],$A41,tblHakedis[GercekHakedis]),0))</f>
        <v/>
      </c>
      <c r="D41" s="17">
        <f>IF($A41="","",IFERROR(SUMIF(tblMotor[A_Norm],$A41,tblMotor[BeklenenHakedis]),0))</f>
        <v/>
      </c>
      <c r="E41" s="17">
        <f>IF($A41="","",ROUND($D41,2)-ROUND($C41,2))</f>
        <v/>
      </c>
      <c r="F41" s="17">
        <f>IF($A41="","",ABS($E41))</f>
        <v/>
      </c>
      <c r="G41" s="17">
        <f>IF($A41="","",IF($B41=0,"eslesmedi",IF(ROUND($D41,2)=ROUND($C41,2),"eslesti",IF(ABS(ROUND($D41,2)-ROUND($C41,2))&lt;=toleransKurus,"tolerans_icinde","tutar_farki"))))</f>
        <v/>
      </c>
      <c r="H41" s="17">
        <f>IF($A41="","",IF($B41&gt;0,"BIRINCIL",IF(COUNTIF(tblAnahtarB[IkincilB],'ANAHTAR'!$D41)&gt;0,"IKINCIL","YOK")))</f>
        <v/>
      </c>
      <c r="I41" s="17">
        <f>IF($A41="","",'ANAHTAR'!$F41)</f>
        <v/>
      </c>
      <c r="J41" s="17">
        <f>IF(OR($A41="",$D41=0),0,$F41/ABS($D41))</f>
        <v/>
      </c>
      <c r="K41" s="17">
        <f>IF($A41="","",ROUND($D41,2))</f>
        <v/>
      </c>
      <c r="L41" s="17">
        <f>IF($A41="","",ROUND($C41,2))</f>
        <v/>
      </c>
      <c r="M41" s="17">
        <f>IF($A41="","",IF($F41&lt;=toleransKurus,1,0))</f>
        <v/>
      </c>
      <c r="N41" s="17">
        <f>IF($A41="","",IF($F41&gt;tyk_esikFark,1,0))</f>
        <v/>
      </c>
      <c r="O41" s="17">
        <f>IF($A41="","",IFERROR(SUMIF(tblMotor[A_Norm],$A41,tblMotor[NetKar]),0))</f>
        <v/>
      </c>
      <c r="P41" s="17">
        <f>IF($A41="","",$B41+$M41+$N41)</f>
        <v/>
      </c>
    </row>
    <row r="42">
      <c r="A42" s="17">
        <f>IF('ANAHTAR'!$B42="","",'ANAHTAR'!$B42)</f>
        <v/>
      </c>
      <c r="B42" s="17">
        <f>IF($A42="","",COUNTIF(tblAnahtarB[NormB],$A42))</f>
        <v/>
      </c>
      <c r="C42" s="17">
        <f>IF($A42="","",IFERROR(SUMIF(tblAnahtarB[NormB],$A42,tblHakedis[GercekHakedis]),0))</f>
        <v/>
      </c>
      <c r="D42" s="17">
        <f>IF($A42="","",IFERROR(SUMIF(tblMotor[A_Norm],$A42,tblMotor[BeklenenHakedis]),0))</f>
        <v/>
      </c>
      <c r="E42" s="17">
        <f>IF($A42="","",ROUND($D42,2)-ROUND($C42,2))</f>
        <v/>
      </c>
      <c r="F42" s="17">
        <f>IF($A42="","",ABS($E42))</f>
        <v/>
      </c>
      <c r="G42" s="17">
        <f>IF($A42="","",IF($B42=0,"eslesmedi",IF(ROUND($D42,2)=ROUND($C42,2),"eslesti",IF(ABS(ROUND($D42,2)-ROUND($C42,2))&lt;=toleransKurus,"tolerans_icinde","tutar_farki"))))</f>
        <v/>
      </c>
      <c r="H42" s="17">
        <f>IF($A42="","",IF($B42&gt;0,"BIRINCIL",IF(COUNTIF(tblAnahtarB[IkincilB],'ANAHTAR'!$D42)&gt;0,"IKINCIL","YOK")))</f>
        <v/>
      </c>
      <c r="I42" s="17">
        <f>IF($A42="","",'ANAHTAR'!$F42)</f>
        <v/>
      </c>
      <c r="J42" s="17">
        <f>IF(OR($A42="",$D42=0),0,$F42/ABS($D42))</f>
        <v/>
      </c>
      <c r="K42" s="17">
        <f>IF($A42="","",ROUND($D42,2))</f>
        <v/>
      </c>
      <c r="L42" s="17">
        <f>IF($A42="","",ROUND($C42,2))</f>
        <v/>
      </c>
      <c r="M42" s="17">
        <f>IF($A42="","",IF($F42&lt;=toleransKurus,1,0))</f>
        <v/>
      </c>
      <c r="N42" s="17">
        <f>IF($A42="","",IF($F42&gt;tyk_esikFark,1,0))</f>
        <v/>
      </c>
      <c r="O42" s="17">
        <f>IF($A42="","",IFERROR(SUMIF(tblMotor[A_Norm],$A42,tblMotor[NetKar]),0))</f>
        <v/>
      </c>
      <c r="P42" s="17">
        <f>IF($A42="","",$B42+$M42+$N42)</f>
        <v/>
      </c>
    </row>
    <row r="43">
      <c r="A43" s="17">
        <f>IF('ANAHTAR'!$B43="","",'ANAHTAR'!$B43)</f>
        <v/>
      </c>
      <c r="B43" s="17">
        <f>IF($A43="","",COUNTIF(tblAnahtarB[NormB],$A43))</f>
        <v/>
      </c>
      <c r="C43" s="17">
        <f>IF($A43="","",IFERROR(SUMIF(tblAnahtarB[NormB],$A43,tblHakedis[GercekHakedis]),0))</f>
        <v/>
      </c>
      <c r="D43" s="17">
        <f>IF($A43="","",IFERROR(SUMIF(tblMotor[A_Norm],$A43,tblMotor[BeklenenHakedis]),0))</f>
        <v/>
      </c>
      <c r="E43" s="17">
        <f>IF($A43="","",ROUND($D43,2)-ROUND($C43,2))</f>
        <v/>
      </c>
      <c r="F43" s="17">
        <f>IF($A43="","",ABS($E43))</f>
        <v/>
      </c>
      <c r="G43" s="17">
        <f>IF($A43="","",IF($B43=0,"eslesmedi",IF(ROUND($D43,2)=ROUND($C43,2),"eslesti",IF(ABS(ROUND($D43,2)-ROUND($C43,2))&lt;=toleransKurus,"tolerans_icinde","tutar_farki"))))</f>
        <v/>
      </c>
      <c r="H43" s="17">
        <f>IF($A43="","",IF($B43&gt;0,"BIRINCIL",IF(COUNTIF(tblAnahtarB[IkincilB],'ANAHTAR'!$D43)&gt;0,"IKINCIL","YOK")))</f>
        <v/>
      </c>
      <c r="I43" s="17">
        <f>IF($A43="","",'ANAHTAR'!$F43)</f>
        <v/>
      </c>
      <c r="J43" s="17">
        <f>IF(OR($A43="",$D43=0),0,$F43/ABS($D43))</f>
        <v/>
      </c>
      <c r="K43" s="17">
        <f>IF($A43="","",ROUND($D43,2))</f>
        <v/>
      </c>
      <c r="L43" s="17">
        <f>IF($A43="","",ROUND($C43,2))</f>
        <v/>
      </c>
      <c r="M43" s="17">
        <f>IF($A43="","",IF($F43&lt;=toleransKurus,1,0))</f>
        <v/>
      </c>
      <c r="N43" s="17">
        <f>IF($A43="","",IF($F43&gt;tyk_esikFark,1,0))</f>
        <v/>
      </c>
      <c r="O43" s="17">
        <f>IF($A43="","",IFERROR(SUMIF(tblMotor[A_Norm],$A43,tblMotor[NetKar]),0))</f>
        <v/>
      </c>
      <c r="P43" s="17">
        <f>IF($A43="","",$B43+$M43+$N43)</f>
        <v/>
      </c>
    </row>
    <row r="44">
      <c r="A44" s="17">
        <f>IF('ANAHTAR'!$B44="","",'ANAHTAR'!$B44)</f>
        <v/>
      </c>
      <c r="B44" s="17">
        <f>IF($A44="","",COUNTIF(tblAnahtarB[NormB],$A44))</f>
        <v/>
      </c>
      <c r="C44" s="17">
        <f>IF($A44="","",IFERROR(SUMIF(tblAnahtarB[NormB],$A44,tblHakedis[GercekHakedis]),0))</f>
        <v/>
      </c>
      <c r="D44" s="17">
        <f>IF($A44="","",IFERROR(SUMIF(tblMotor[A_Norm],$A44,tblMotor[BeklenenHakedis]),0))</f>
        <v/>
      </c>
      <c r="E44" s="17">
        <f>IF($A44="","",ROUND($D44,2)-ROUND($C44,2))</f>
        <v/>
      </c>
      <c r="F44" s="17">
        <f>IF($A44="","",ABS($E44))</f>
        <v/>
      </c>
      <c r="G44" s="17">
        <f>IF($A44="","",IF($B44=0,"eslesmedi",IF(ROUND($D44,2)=ROUND($C44,2),"eslesti",IF(ABS(ROUND($D44,2)-ROUND($C44,2))&lt;=toleransKurus,"tolerans_icinde","tutar_farki"))))</f>
        <v/>
      </c>
      <c r="H44" s="17">
        <f>IF($A44="","",IF($B44&gt;0,"BIRINCIL",IF(COUNTIF(tblAnahtarB[IkincilB],'ANAHTAR'!$D44)&gt;0,"IKINCIL","YOK")))</f>
        <v/>
      </c>
      <c r="I44" s="17">
        <f>IF($A44="","",'ANAHTAR'!$F44)</f>
        <v/>
      </c>
      <c r="J44" s="17">
        <f>IF(OR($A44="",$D44=0),0,$F44/ABS($D44))</f>
        <v/>
      </c>
      <c r="K44" s="17">
        <f>IF($A44="","",ROUND($D44,2))</f>
        <v/>
      </c>
      <c r="L44" s="17">
        <f>IF($A44="","",ROUND($C44,2))</f>
        <v/>
      </c>
      <c r="M44" s="17">
        <f>IF($A44="","",IF($F44&lt;=toleransKurus,1,0))</f>
        <v/>
      </c>
      <c r="N44" s="17">
        <f>IF($A44="","",IF($F44&gt;tyk_esikFark,1,0))</f>
        <v/>
      </c>
      <c r="O44" s="17">
        <f>IF($A44="","",IFERROR(SUMIF(tblMotor[A_Norm],$A44,tblMotor[NetKar]),0))</f>
        <v/>
      </c>
      <c r="P44" s="17">
        <f>IF($A44="","",$B44+$M44+$N44)</f>
        <v/>
      </c>
    </row>
    <row r="45">
      <c r="A45" s="17">
        <f>IF('ANAHTAR'!$B45="","",'ANAHTAR'!$B45)</f>
        <v/>
      </c>
      <c r="B45" s="17">
        <f>IF($A45="","",COUNTIF(tblAnahtarB[NormB],$A45))</f>
        <v/>
      </c>
      <c r="C45" s="17">
        <f>IF($A45="","",IFERROR(SUMIF(tblAnahtarB[NormB],$A45,tblHakedis[GercekHakedis]),0))</f>
        <v/>
      </c>
      <c r="D45" s="17">
        <f>IF($A45="","",IFERROR(SUMIF(tblMotor[A_Norm],$A45,tblMotor[BeklenenHakedis]),0))</f>
        <v/>
      </c>
      <c r="E45" s="17">
        <f>IF($A45="","",ROUND($D45,2)-ROUND($C45,2))</f>
        <v/>
      </c>
      <c r="F45" s="17">
        <f>IF($A45="","",ABS($E45))</f>
        <v/>
      </c>
      <c r="G45" s="17">
        <f>IF($A45="","",IF($B45=0,"eslesmedi",IF(ROUND($D45,2)=ROUND($C45,2),"eslesti",IF(ABS(ROUND($D45,2)-ROUND($C45,2))&lt;=toleransKurus,"tolerans_icinde","tutar_farki"))))</f>
        <v/>
      </c>
      <c r="H45" s="17">
        <f>IF($A45="","",IF($B45&gt;0,"BIRINCIL",IF(COUNTIF(tblAnahtarB[IkincilB],'ANAHTAR'!$D45)&gt;0,"IKINCIL","YOK")))</f>
        <v/>
      </c>
      <c r="I45" s="17">
        <f>IF($A45="","",'ANAHTAR'!$F45)</f>
        <v/>
      </c>
      <c r="J45" s="17">
        <f>IF(OR($A45="",$D45=0),0,$F45/ABS($D45))</f>
        <v/>
      </c>
      <c r="K45" s="17">
        <f>IF($A45="","",ROUND($D45,2))</f>
        <v/>
      </c>
      <c r="L45" s="17">
        <f>IF($A45="","",ROUND($C45,2))</f>
        <v/>
      </c>
      <c r="M45" s="17">
        <f>IF($A45="","",IF($F45&lt;=toleransKurus,1,0))</f>
        <v/>
      </c>
      <c r="N45" s="17">
        <f>IF($A45="","",IF($F45&gt;tyk_esikFark,1,0))</f>
        <v/>
      </c>
      <c r="O45" s="17">
        <f>IF($A45="","",IFERROR(SUMIF(tblMotor[A_Norm],$A45,tblMotor[NetKar]),0))</f>
        <v/>
      </c>
      <c r="P45" s="17">
        <f>IF($A45="","",$B45+$M45+$N45)</f>
        <v/>
      </c>
    </row>
    <row r="46">
      <c r="A46" s="17">
        <f>IF('ANAHTAR'!$B46="","",'ANAHTAR'!$B46)</f>
        <v/>
      </c>
      <c r="B46" s="17">
        <f>IF($A46="","",COUNTIF(tblAnahtarB[NormB],$A46))</f>
        <v/>
      </c>
      <c r="C46" s="17">
        <f>IF($A46="","",IFERROR(SUMIF(tblAnahtarB[NormB],$A46,tblHakedis[GercekHakedis]),0))</f>
        <v/>
      </c>
      <c r="D46" s="17">
        <f>IF($A46="","",IFERROR(SUMIF(tblMotor[A_Norm],$A46,tblMotor[BeklenenHakedis]),0))</f>
        <v/>
      </c>
      <c r="E46" s="17">
        <f>IF($A46="","",ROUND($D46,2)-ROUND($C46,2))</f>
        <v/>
      </c>
      <c r="F46" s="17">
        <f>IF($A46="","",ABS($E46))</f>
        <v/>
      </c>
      <c r="G46" s="17">
        <f>IF($A46="","",IF($B46=0,"eslesmedi",IF(ROUND($D46,2)=ROUND($C46,2),"eslesti",IF(ABS(ROUND($D46,2)-ROUND($C46,2))&lt;=toleransKurus,"tolerans_icinde","tutar_farki"))))</f>
        <v/>
      </c>
      <c r="H46" s="17">
        <f>IF($A46="","",IF($B46&gt;0,"BIRINCIL",IF(COUNTIF(tblAnahtarB[IkincilB],'ANAHTAR'!$D46)&gt;0,"IKINCIL","YOK")))</f>
        <v/>
      </c>
      <c r="I46" s="17">
        <f>IF($A46="","",'ANAHTAR'!$F46)</f>
        <v/>
      </c>
      <c r="J46" s="17">
        <f>IF(OR($A46="",$D46=0),0,$F46/ABS($D46))</f>
        <v/>
      </c>
      <c r="K46" s="17">
        <f>IF($A46="","",ROUND($D46,2))</f>
        <v/>
      </c>
      <c r="L46" s="17">
        <f>IF($A46="","",ROUND($C46,2))</f>
        <v/>
      </c>
      <c r="M46" s="17">
        <f>IF($A46="","",IF($F46&lt;=toleransKurus,1,0))</f>
        <v/>
      </c>
      <c r="N46" s="17">
        <f>IF($A46="","",IF($F46&gt;tyk_esikFark,1,0))</f>
        <v/>
      </c>
      <c r="O46" s="17">
        <f>IF($A46="","",IFERROR(SUMIF(tblMotor[A_Norm],$A46,tblMotor[NetKar]),0))</f>
        <v/>
      </c>
      <c r="P46" s="17">
        <f>IF($A46="","",$B46+$M46+$N46)</f>
        <v/>
      </c>
    </row>
    <row r="47">
      <c r="A47" s="17">
        <f>IF('ANAHTAR'!$B47="","",'ANAHTAR'!$B47)</f>
        <v/>
      </c>
      <c r="B47" s="17">
        <f>IF($A47="","",COUNTIF(tblAnahtarB[NormB],$A47))</f>
        <v/>
      </c>
      <c r="C47" s="17">
        <f>IF($A47="","",IFERROR(SUMIF(tblAnahtarB[NormB],$A47,tblHakedis[GercekHakedis]),0))</f>
        <v/>
      </c>
      <c r="D47" s="17">
        <f>IF($A47="","",IFERROR(SUMIF(tblMotor[A_Norm],$A47,tblMotor[BeklenenHakedis]),0))</f>
        <v/>
      </c>
      <c r="E47" s="17">
        <f>IF($A47="","",ROUND($D47,2)-ROUND($C47,2))</f>
        <v/>
      </c>
      <c r="F47" s="17">
        <f>IF($A47="","",ABS($E47))</f>
        <v/>
      </c>
      <c r="G47" s="17">
        <f>IF($A47="","",IF($B47=0,"eslesmedi",IF(ROUND($D47,2)=ROUND($C47,2),"eslesti",IF(ABS(ROUND($D47,2)-ROUND($C47,2))&lt;=toleransKurus,"tolerans_icinde","tutar_farki"))))</f>
        <v/>
      </c>
      <c r="H47" s="17">
        <f>IF($A47="","",IF($B47&gt;0,"BIRINCIL",IF(COUNTIF(tblAnahtarB[IkincilB],'ANAHTAR'!$D47)&gt;0,"IKINCIL","YOK")))</f>
        <v/>
      </c>
      <c r="I47" s="17">
        <f>IF($A47="","",'ANAHTAR'!$F47)</f>
        <v/>
      </c>
      <c r="J47" s="17">
        <f>IF(OR($A47="",$D47=0),0,$F47/ABS($D47))</f>
        <v/>
      </c>
      <c r="K47" s="17">
        <f>IF($A47="","",ROUND($D47,2))</f>
        <v/>
      </c>
      <c r="L47" s="17">
        <f>IF($A47="","",ROUND($C47,2))</f>
        <v/>
      </c>
      <c r="M47" s="17">
        <f>IF($A47="","",IF($F47&lt;=toleransKurus,1,0))</f>
        <v/>
      </c>
      <c r="N47" s="17">
        <f>IF($A47="","",IF($F47&gt;tyk_esikFark,1,0))</f>
        <v/>
      </c>
      <c r="O47" s="17">
        <f>IF($A47="","",IFERROR(SUMIF(tblMotor[A_Norm],$A47,tblMotor[NetKar]),0))</f>
        <v/>
      </c>
      <c r="P47" s="17">
        <f>IF($A47="","",$B47+$M47+$N47)</f>
        <v/>
      </c>
    </row>
    <row r="48">
      <c r="A48" s="17">
        <f>IF('ANAHTAR'!$B48="","",'ANAHTAR'!$B48)</f>
        <v/>
      </c>
      <c r="B48" s="17">
        <f>IF($A48="","",COUNTIF(tblAnahtarB[NormB],$A48))</f>
        <v/>
      </c>
      <c r="C48" s="17">
        <f>IF($A48="","",IFERROR(SUMIF(tblAnahtarB[NormB],$A48,tblHakedis[GercekHakedis]),0))</f>
        <v/>
      </c>
      <c r="D48" s="17">
        <f>IF($A48="","",IFERROR(SUMIF(tblMotor[A_Norm],$A48,tblMotor[BeklenenHakedis]),0))</f>
        <v/>
      </c>
      <c r="E48" s="17">
        <f>IF($A48="","",ROUND($D48,2)-ROUND($C48,2))</f>
        <v/>
      </c>
      <c r="F48" s="17">
        <f>IF($A48="","",ABS($E48))</f>
        <v/>
      </c>
      <c r="G48" s="17">
        <f>IF($A48="","",IF($B48=0,"eslesmedi",IF(ROUND($D48,2)=ROUND($C48,2),"eslesti",IF(ABS(ROUND($D48,2)-ROUND($C48,2))&lt;=toleransKurus,"tolerans_icinde","tutar_farki"))))</f>
        <v/>
      </c>
      <c r="H48" s="17">
        <f>IF($A48="","",IF($B48&gt;0,"BIRINCIL",IF(COUNTIF(tblAnahtarB[IkincilB],'ANAHTAR'!$D48)&gt;0,"IKINCIL","YOK")))</f>
        <v/>
      </c>
      <c r="I48" s="17">
        <f>IF($A48="","",'ANAHTAR'!$F48)</f>
        <v/>
      </c>
      <c r="J48" s="17">
        <f>IF(OR($A48="",$D48=0),0,$F48/ABS($D48))</f>
        <v/>
      </c>
      <c r="K48" s="17">
        <f>IF($A48="","",ROUND($D48,2))</f>
        <v/>
      </c>
      <c r="L48" s="17">
        <f>IF($A48="","",ROUND($C48,2))</f>
        <v/>
      </c>
      <c r="M48" s="17">
        <f>IF($A48="","",IF($F48&lt;=toleransKurus,1,0))</f>
        <v/>
      </c>
      <c r="N48" s="17">
        <f>IF($A48="","",IF($F48&gt;tyk_esikFark,1,0))</f>
        <v/>
      </c>
      <c r="O48" s="17">
        <f>IF($A48="","",IFERROR(SUMIF(tblMotor[A_Norm],$A48,tblMotor[NetKar]),0))</f>
        <v/>
      </c>
      <c r="P48" s="17">
        <f>IF($A48="","",$B48+$M48+$N48)</f>
        <v/>
      </c>
    </row>
    <row r="49">
      <c r="A49" s="17">
        <f>IF('ANAHTAR'!$B49="","",'ANAHTAR'!$B49)</f>
        <v/>
      </c>
      <c r="B49" s="17">
        <f>IF($A49="","",COUNTIF(tblAnahtarB[NormB],$A49))</f>
        <v/>
      </c>
      <c r="C49" s="17">
        <f>IF($A49="","",IFERROR(SUMIF(tblAnahtarB[NormB],$A49,tblHakedis[GercekHakedis]),0))</f>
        <v/>
      </c>
      <c r="D49" s="17">
        <f>IF($A49="","",IFERROR(SUMIF(tblMotor[A_Norm],$A49,tblMotor[BeklenenHakedis]),0))</f>
        <v/>
      </c>
      <c r="E49" s="17">
        <f>IF($A49="","",ROUND($D49,2)-ROUND($C49,2))</f>
        <v/>
      </c>
      <c r="F49" s="17">
        <f>IF($A49="","",ABS($E49))</f>
        <v/>
      </c>
      <c r="G49" s="17">
        <f>IF($A49="","",IF($B49=0,"eslesmedi",IF(ROUND($D49,2)=ROUND($C49,2),"eslesti",IF(ABS(ROUND($D49,2)-ROUND($C49,2))&lt;=toleransKurus,"tolerans_icinde","tutar_farki"))))</f>
        <v/>
      </c>
      <c r="H49" s="17">
        <f>IF($A49="","",IF($B49&gt;0,"BIRINCIL",IF(COUNTIF(tblAnahtarB[IkincilB],'ANAHTAR'!$D49)&gt;0,"IKINCIL","YOK")))</f>
        <v/>
      </c>
      <c r="I49" s="17">
        <f>IF($A49="","",'ANAHTAR'!$F49)</f>
        <v/>
      </c>
      <c r="J49" s="17">
        <f>IF(OR($A49="",$D49=0),0,$F49/ABS($D49))</f>
        <v/>
      </c>
      <c r="K49" s="17">
        <f>IF($A49="","",ROUND($D49,2))</f>
        <v/>
      </c>
      <c r="L49" s="17">
        <f>IF($A49="","",ROUND($C49,2))</f>
        <v/>
      </c>
      <c r="M49" s="17">
        <f>IF($A49="","",IF($F49&lt;=toleransKurus,1,0))</f>
        <v/>
      </c>
      <c r="N49" s="17">
        <f>IF($A49="","",IF($F49&gt;tyk_esikFark,1,0))</f>
        <v/>
      </c>
      <c r="O49" s="17">
        <f>IF($A49="","",IFERROR(SUMIF(tblMotor[A_Norm],$A49,tblMotor[NetKar]),0))</f>
        <v/>
      </c>
      <c r="P49" s="17">
        <f>IF($A49="","",$B49+$M49+$N49)</f>
        <v/>
      </c>
    </row>
    <row r="50">
      <c r="A50" s="17">
        <f>IF('ANAHTAR'!$B50="","",'ANAHTAR'!$B50)</f>
        <v/>
      </c>
      <c r="B50" s="17">
        <f>IF($A50="","",COUNTIF(tblAnahtarB[NormB],$A50))</f>
        <v/>
      </c>
      <c r="C50" s="17">
        <f>IF($A50="","",IFERROR(SUMIF(tblAnahtarB[NormB],$A50,tblHakedis[GercekHakedis]),0))</f>
        <v/>
      </c>
      <c r="D50" s="17">
        <f>IF($A50="","",IFERROR(SUMIF(tblMotor[A_Norm],$A50,tblMotor[BeklenenHakedis]),0))</f>
        <v/>
      </c>
      <c r="E50" s="17">
        <f>IF($A50="","",ROUND($D50,2)-ROUND($C50,2))</f>
        <v/>
      </c>
      <c r="F50" s="17">
        <f>IF($A50="","",ABS($E50))</f>
        <v/>
      </c>
      <c r="G50" s="17">
        <f>IF($A50="","",IF($B50=0,"eslesmedi",IF(ROUND($D50,2)=ROUND($C50,2),"eslesti",IF(ABS(ROUND($D50,2)-ROUND($C50,2))&lt;=toleransKurus,"tolerans_icinde","tutar_farki"))))</f>
        <v/>
      </c>
      <c r="H50" s="17">
        <f>IF($A50="","",IF($B50&gt;0,"BIRINCIL",IF(COUNTIF(tblAnahtarB[IkincilB],'ANAHTAR'!$D50)&gt;0,"IKINCIL","YOK")))</f>
        <v/>
      </c>
      <c r="I50" s="17">
        <f>IF($A50="","",'ANAHTAR'!$F50)</f>
        <v/>
      </c>
      <c r="J50" s="17">
        <f>IF(OR($A50="",$D50=0),0,$F50/ABS($D50))</f>
        <v/>
      </c>
      <c r="K50" s="17">
        <f>IF($A50="","",ROUND($D50,2))</f>
        <v/>
      </c>
      <c r="L50" s="17">
        <f>IF($A50="","",ROUND($C50,2))</f>
        <v/>
      </c>
      <c r="M50" s="17">
        <f>IF($A50="","",IF($F50&lt;=toleransKurus,1,0))</f>
        <v/>
      </c>
      <c r="N50" s="17">
        <f>IF($A50="","",IF($F50&gt;tyk_esikFark,1,0))</f>
        <v/>
      </c>
      <c r="O50" s="17">
        <f>IF($A50="","",IFERROR(SUMIF(tblMotor[A_Norm],$A50,tblMotor[NetKar]),0))</f>
        <v/>
      </c>
      <c r="P50" s="17">
        <f>IF($A50="","",$B50+$M50+$N50)</f>
        <v/>
      </c>
    </row>
    <row r="51">
      <c r="A51" s="17">
        <f>IF('ANAHTAR'!$B51="","",'ANAHTAR'!$B51)</f>
        <v/>
      </c>
      <c r="B51" s="17">
        <f>IF($A51="","",COUNTIF(tblAnahtarB[NormB],$A51))</f>
        <v/>
      </c>
      <c r="C51" s="17">
        <f>IF($A51="","",IFERROR(SUMIF(tblAnahtarB[NormB],$A51,tblHakedis[GercekHakedis]),0))</f>
        <v/>
      </c>
      <c r="D51" s="17">
        <f>IF($A51="","",IFERROR(SUMIF(tblMotor[A_Norm],$A51,tblMotor[BeklenenHakedis]),0))</f>
        <v/>
      </c>
      <c r="E51" s="17">
        <f>IF($A51="","",ROUND($D51,2)-ROUND($C51,2))</f>
        <v/>
      </c>
      <c r="F51" s="17">
        <f>IF($A51="","",ABS($E51))</f>
        <v/>
      </c>
      <c r="G51" s="17">
        <f>IF($A51="","",IF($B51=0,"eslesmedi",IF(ROUND($D51,2)=ROUND($C51,2),"eslesti",IF(ABS(ROUND($D51,2)-ROUND($C51,2))&lt;=toleransKurus,"tolerans_icinde","tutar_farki"))))</f>
        <v/>
      </c>
      <c r="H51" s="17">
        <f>IF($A51="","",IF($B51&gt;0,"BIRINCIL",IF(COUNTIF(tblAnahtarB[IkincilB],'ANAHTAR'!$D51)&gt;0,"IKINCIL","YOK")))</f>
        <v/>
      </c>
      <c r="I51" s="17">
        <f>IF($A51="","",'ANAHTAR'!$F51)</f>
        <v/>
      </c>
      <c r="J51" s="17">
        <f>IF(OR($A51="",$D51=0),0,$F51/ABS($D51))</f>
        <v/>
      </c>
      <c r="K51" s="17">
        <f>IF($A51="","",ROUND($D51,2))</f>
        <v/>
      </c>
      <c r="L51" s="17">
        <f>IF($A51="","",ROUND($C51,2))</f>
        <v/>
      </c>
      <c r="M51" s="17">
        <f>IF($A51="","",IF($F51&lt;=toleransKurus,1,0))</f>
        <v/>
      </c>
      <c r="N51" s="17">
        <f>IF($A51="","",IF($F51&gt;tyk_esikFark,1,0))</f>
        <v/>
      </c>
      <c r="O51" s="17">
        <f>IF($A51="","",IFERROR(SUMIF(tblMotor[A_Norm],$A51,tblMotor[NetKar]),0))</f>
        <v/>
      </c>
      <c r="P51" s="17">
        <f>IF($A51="","",$B51+$M51+$N51)</f>
        <v/>
      </c>
    </row>
    <row r="52">
      <c r="A52" s="17">
        <f>IF('ANAHTAR'!$B52="","",'ANAHTAR'!$B52)</f>
        <v/>
      </c>
      <c r="B52" s="17">
        <f>IF($A52="","",COUNTIF(tblAnahtarB[NormB],$A52))</f>
        <v/>
      </c>
      <c r="C52" s="17">
        <f>IF($A52="","",IFERROR(SUMIF(tblAnahtarB[NormB],$A52,tblHakedis[GercekHakedis]),0))</f>
        <v/>
      </c>
      <c r="D52" s="17">
        <f>IF($A52="","",IFERROR(SUMIF(tblMotor[A_Norm],$A52,tblMotor[BeklenenHakedis]),0))</f>
        <v/>
      </c>
      <c r="E52" s="17">
        <f>IF($A52="","",ROUND($D52,2)-ROUND($C52,2))</f>
        <v/>
      </c>
      <c r="F52" s="17">
        <f>IF($A52="","",ABS($E52))</f>
        <v/>
      </c>
      <c r="G52" s="17">
        <f>IF($A52="","",IF($B52=0,"eslesmedi",IF(ROUND($D52,2)=ROUND($C52,2),"eslesti",IF(ABS(ROUND($D52,2)-ROUND($C52,2))&lt;=toleransKurus,"tolerans_icinde","tutar_farki"))))</f>
        <v/>
      </c>
      <c r="H52" s="17">
        <f>IF($A52="","",IF($B52&gt;0,"BIRINCIL",IF(COUNTIF(tblAnahtarB[IkincilB],'ANAHTAR'!$D52)&gt;0,"IKINCIL","YOK")))</f>
        <v/>
      </c>
      <c r="I52" s="17">
        <f>IF($A52="","",'ANAHTAR'!$F52)</f>
        <v/>
      </c>
      <c r="J52" s="17">
        <f>IF(OR($A52="",$D52=0),0,$F52/ABS($D52))</f>
        <v/>
      </c>
      <c r="K52" s="17">
        <f>IF($A52="","",ROUND($D52,2))</f>
        <v/>
      </c>
      <c r="L52" s="17">
        <f>IF($A52="","",ROUND($C52,2))</f>
        <v/>
      </c>
      <c r="M52" s="17">
        <f>IF($A52="","",IF($F52&lt;=toleransKurus,1,0))</f>
        <v/>
      </c>
      <c r="N52" s="17">
        <f>IF($A52="","",IF($F52&gt;tyk_esikFark,1,0))</f>
        <v/>
      </c>
      <c r="O52" s="17">
        <f>IF($A52="","",IFERROR(SUMIF(tblMotor[A_Norm],$A52,tblMotor[NetKar]),0))</f>
        <v/>
      </c>
      <c r="P52" s="17">
        <f>IF($A52="","",$B52+$M52+$N52)</f>
        <v/>
      </c>
    </row>
    <row r="53">
      <c r="A53" s="17">
        <f>IF('ANAHTAR'!$B53="","",'ANAHTAR'!$B53)</f>
        <v/>
      </c>
      <c r="B53" s="17">
        <f>IF($A53="","",COUNTIF(tblAnahtarB[NormB],$A53))</f>
        <v/>
      </c>
      <c r="C53" s="17">
        <f>IF($A53="","",IFERROR(SUMIF(tblAnahtarB[NormB],$A53,tblHakedis[GercekHakedis]),0))</f>
        <v/>
      </c>
      <c r="D53" s="17">
        <f>IF($A53="","",IFERROR(SUMIF(tblMotor[A_Norm],$A53,tblMotor[BeklenenHakedis]),0))</f>
        <v/>
      </c>
      <c r="E53" s="17">
        <f>IF($A53="","",ROUND($D53,2)-ROUND($C53,2))</f>
        <v/>
      </c>
      <c r="F53" s="17">
        <f>IF($A53="","",ABS($E53))</f>
        <v/>
      </c>
      <c r="G53" s="17">
        <f>IF($A53="","",IF($B53=0,"eslesmedi",IF(ROUND($D53,2)=ROUND($C53,2),"eslesti",IF(ABS(ROUND($D53,2)-ROUND($C53,2))&lt;=toleransKurus,"tolerans_icinde","tutar_farki"))))</f>
        <v/>
      </c>
      <c r="H53" s="17">
        <f>IF($A53="","",IF($B53&gt;0,"BIRINCIL",IF(COUNTIF(tblAnahtarB[IkincilB],'ANAHTAR'!$D53)&gt;0,"IKINCIL","YOK")))</f>
        <v/>
      </c>
      <c r="I53" s="17">
        <f>IF($A53="","",'ANAHTAR'!$F53)</f>
        <v/>
      </c>
      <c r="J53" s="17">
        <f>IF(OR($A53="",$D53=0),0,$F53/ABS($D53))</f>
        <v/>
      </c>
      <c r="K53" s="17">
        <f>IF($A53="","",ROUND($D53,2))</f>
        <v/>
      </c>
      <c r="L53" s="17">
        <f>IF($A53="","",ROUND($C53,2))</f>
        <v/>
      </c>
      <c r="M53" s="17">
        <f>IF($A53="","",IF($F53&lt;=toleransKurus,1,0))</f>
        <v/>
      </c>
      <c r="N53" s="17">
        <f>IF($A53="","",IF($F53&gt;tyk_esikFark,1,0))</f>
        <v/>
      </c>
      <c r="O53" s="17">
        <f>IF($A53="","",IFERROR(SUMIF(tblMotor[A_Norm],$A53,tblMotor[NetKar]),0))</f>
        <v/>
      </c>
      <c r="P53" s="17">
        <f>IF($A53="","",$B53+$M53+$N53)</f>
        <v/>
      </c>
    </row>
    <row r="54">
      <c r="A54" s="17">
        <f>IF('ANAHTAR'!$B54="","",'ANAHTAR'!$B54)</f>
        <v/>
      </c>
      <c r="B54" s="17">
        <f>IF($A54="","",COUNTIF(tblAnahtarB[NormB],$A54))</f>
        <v/>
      </c>
      <c r="C54" s="17">
        <f>IF($A54="","",IFERROR(SUMIF(tblAnahtarB[NormB],$A54,tblHakedis[GercekHakedis]),0))</f>
        <v/>
      </c>
      <c r="D54" s="17">
        <f>IF($A54="","",IFERROR(SUMIF(tblMotor[A_Norm],$A54,tblMotor[BeklenenHakedis]),0))</f>
        <v/>
      </c>
      <c r="E54" s="17">
        <f>IF($A54="","",ROUND($D54,2)-ROUND($C54,2))</f>
        <v/>
      </c>
      <c r="F54" s="17">
        <f>IF($A54="","",ABS($E54))</f>
        <v/>
      </c>
      <c r="G54" s="17">
        <f>IF($A54="","",IF($B54=0,"eslesmedi",IF(ROUND($D54,2)=ROUND($C54,2),"eslesti",IF(ABS(ROUND($D54,2)-ROUND($C54,2))&lt;=toleransKurus,"tolerans_icinde","tutar_farki"))))</f>
        <v/>
      </c>
      <c r="H54" s="17">
        <f>IF($A54="","",IF($B54&gt;0,"BIRINCIL",IF(COUNTIF(tblAnahtarB[IkincilB],'ANAHTAR'!$D54)&gt;0,"IKINCIL","YOK")))</f>
        <v/>
      </c>
      <c r="I54" s="17">
        <f>IF($A54="","",'ANAHTAR'!$F54)</f>
        <v/>
      </c>
      <c r="J54" s="17">
        <f>IF(OR($A54="",$D54=0),0,$F54/ABS($D54))</f>
        <v/>
      </c>
      <c r="K54" s="17">
        <f>IF($A54="","",ROUND($D54,2))</f>
        <v/>
      </c>
      <c r="L54" s="17">
        <f>IF($A54="","",ROUND($C54,2))</f>
        <v/>
      </c>
      <c r="M54" s="17">
        <f>IF($A54="","",IF($F54&lt;=toleransKurus,1,0))</f>
        <v/>
      </c>
      <c r="N54" s="17">
        <f>IF($A54="","",IF($F54&gt;tyk_esikFark,1,0))</f>
        <v/>
      </c>
      <c r="O54" s="17">
        <f>IF($A54="","",IFERROR(SUMIF(tblMotor[A_Norm],$A54,tblMotor[NetKar]),0))</f>
        <v/>
      </c>
      <c r="P54" s="17">
        <f>IF($A54="","",$B54+$M54+$N54)</f>
        <v/>
      </c>
    </row>
    <row r="55">
      <c r="A55" s="17">
        <f>IF('ANAHTAR'!$B55="","",'ANAHTAR'!$B55)</f>
        <v/>
      </c>
      <c r="B55" s="17">
        <f>IF($A55="","",COUNTIF(tblAnahtarB[NormB],$A55))</f>
        <v/>
      </c>
      <c r="C55" s="17">
        <f>IF($A55="","",IFERROR(SUMIF(tblAnahtarB[NormB],$A55,tblHakedis[GercekHakedis]),0))</f>
        <v/>
      </c>
      <c r="D55" s="17">
        <f>IF($A55="","",IFERROR(SUMIF(tblMotor[A_Norm],$A55,tblMotor[BeklenenHakedis]),0))</f>
        <v/>
      </c>
      <c r="E55" s="17">
        <f>IF($A55="","",ROUND($D55,2)-ROUND($C55,2))</f>
        <v/>
      </c>
      <c r="F55" s="17">
        <f>IF($A55="","",ABS($E55))</f>
        <v/>
      </c>
      <c r="G55" s="17">
        <f>IF($A55="","",IF($B55=0,"eslesmedi",IF(ROUND($D55,2)=ROUND($C55,2),"eslesti",IF(ABS(ROUND($D55,2)-ROUND($C55,2))&lt;=toleransKurus,"tolerans_icinde","tutar_farki"))))</f>
        <v/>
      </c>
      <c r="H55" s="17">
        <f>IF($A55="","",IF($B55&gt;0,"BIRINCIL",IF(COUNTIF(tblAnahtarB[IkincilB],'ANAHTAR'!$D55)&gt;0,"IKINCIL","YOK")))</f>
        <v/>
      </c>
      <c r="I55" s="17">
        <f>IF($A55="","",'ANAHTAR'!$F55)</f>
        <v/>
      </c>
      <c r="J55" s="17">
        <f>IF(OR($A55="",$D55=0),0,$F55/ABS($D55))</f>
        <v/>
      </c>
      <c r="K55" s="17">
        <f>IF($A55="","",ROUND($D55,2))</f>
        <v/>
      </c>
      <c r="L55" s="17">
        <f>IF($A55="","",ROUND($C55,2))</f>
        <v/>
      </c>
      <c r="M55" s="17">
        <f>IF($A55="","",IF($F55&lt;=toleransKurus,1,0))</f>
        <v/>
      </c>
      <c r="N55" s="17">
        <f>IF($A55="","",IF($F55&gt;tyk_esikFark,1,0))</f>
        <v/>
      </c>
      <c r="O55" s="17">
        <f>IF($A55="","",IFERROR(SUMIF(tblMotor[A_Norm],$A55,tblMotor[NetKar]),0))</f>
        <v/>
      </c>
      <c r="P55" s="17">
        <f>IF($A55="","",$B55+$M55+$N55)</f>
        <v/>
      </c>
    </row>
    <row r="56">
      <c r="A56" s="17">
        <f>IF('ANAHTAR'!$B56="","",'ANAHTAR'!$B56)</f>
        <v/>
      </c>
      <c r="B56" s="17">
        <f>IF($A56="","",COUNTIF(tblAnahtarB[NormB],$A56))</f>
        <v/>
      </c>
      <c r="C56" s="17">
        <f>IF($A56="","",IFERROR(SUMIF(tblAnahtarB[NormB],$A56,tblHakedis[GercekHakedis]),0))</f>
        <v/>
      </c>
      <c r="D56" s="17">
        <f>IF($A56="","",IFERROR(SUMIF(tblMotor[A_Norm],$A56,tblMotor[BeklenenHakedis]),0))</f>
        <v/>
      </c>
      <c r="E56" s="17">
        <f>IF($A56="","",ROUND($D56,2)-ROUND($C56,2))</f>
        <v/>
      </c>
      <c r="F56" s="17">
        <f>IF($A56="","",ABS($E56))</f>
        <v/>
      </c>
      <c r="G56" s="17">
        <f>IF($A56="","",IF($B56=0,"eslesmedi",IF(ROUND($D56,2)=ROUND($C56,2),"eslesti",IF(ABS(ROUND($D56,2)-ROUND($C56,2))&lt;=toleransKurus,"tolerans_icinde","tutar_farki"))))</f>
        <v/>
      </c>
      <c r="H56" s="17">
        <f>IF($A56="","",IF($B56&gt;0,"BIRINCIL",IF(COUNTIF(tblAnahtarB[IkincilB],'ANAHTAR'!$D56)&gt;0,"IKINCIL","YOK")))</f>
        <v/>
      </c>
      <c r="I56" s="17">
        <f>IF($A56="","",'ANAHTAR'!$F56)</f>
        <v/>
      </c>
      <c r="J56" s="17">
        <f>IF(OR($A56="",$D56=0),0,$F56/ABS($D56))</f>
        <v/>
      </c>
      <c r="K56" s="17">
        <f>IF($A56="","",ROUND($D56,2))</f>
        <v/>
      </c>
      <c r="L56" s="17">
        <f>IF($A56="","",ROUND($C56,2))</f>
        <v/>
      </c>
      <c r="M56" s="17">
        <f>IF($A56="","",IF($F56&lt;=toleransKurus,1,0))</f>
        <v/>
      </c>
      <c r="N56" s="17">
        <f>IF($A56="","",IF($F56&gt;tyk_esikFark,1,0))</f>
        <v/>
      </c>
      <c r="O56" s="17">
        <f>IF($A56="","",IFERROR(SUMIF(tblMotor[A_Norm],$A56,tblMotor[NetKar]),0))</f>
        <v/>
      </c>
      <c r="P56" s="17">
        <f>IF($A56="","",$B56+$M56+$N56)</f>
        <v/>
      </c>
    </row>
    <row r="57">
      <c r="A57" s="17">
        <f>IF('ANAHTAR'!$B57="","",'ANAHTAR'!$B57)</f>
        <v/>
      </c>
      <c r="B57" s="17">
        <f>IF($A57="","",COUNTIF(tblAnahtarB[NormB],$A57))</f>
        <v/>
      </c>
      <c r="C57" s="17">
        <f>IF($A57="","",IFERROR(SUMIF(tblAnahtarB[NormB],$A57,tblHakedis[GercekHakedis]),0))</f>
        <v/>
      </c>
      <c r="D57" s="17">
        <f>IF($A57="","",IFERROR(SUMIF(tblMotor[A_Norm],$A57,tblMotor[BeklenenHakedis]),0))</f>
        <v/>
      </c>
      <c r="E57" s="17">
        <f>IF($A57="","",ROUND($D57,2)-ROUND($C57,2))</f>
        <v/>
      </c>
      <c r="F57" s="17">
        <f>IF($A57="","",ABS($E57))</f>
        <v/>
      </c>
      <c r="G57" s="17">
        <f>IF($A57="","",IF($B57=0,"eslesmedi",IF(ROUND($D57,2)=ROUND($C57,2),"eslesti",IF(ABS(ROUND($D57,2)-ROUND($C57,2))&lt;=toleransKurus,"tolerans_icinde","tutar_farki"))))</f>
        <v/>
      </c>
      <c r="H57" s="17">
        <f>IF($A57="","",IF($B57&gt;0,"BIRINCIL",IF(COUNTIF(tblAnahtarB[IkincilB],'ANAHTAR'!$D57)&gt;0,"IKINCIL","YOK")))</f>
        <v/>
      </c>
      <c r="I57" s="17">
        <f>IF($A57="","",'ANAHTAR'!$F57)</f>
        <v/>
      </c>
      <c r="J57" s="17">
        <f>IF(OR($A57="",$D57=0),0,$F57/ABS($D57))</f>
        <v/>
      </c>
      <c r="K57" s="17">
        <f>IF($A57="","",ROUND($D57,2))</f>
        <v/>
      </c>
      <c r="L57" s="17">
        <f>IF($A57="","",ROUND($C57,2))</f>
        <v/>
      </c>
      <c r="M57" s="17">
        <f>IF($A57="","",IF($F57&lt;=toleransKurus,1,0))</f>
        <v/>
      </c>
      <c r="N57" s="17">
        <f>IF($A57="","",IF($F57&gt;tyk_esikFark,1,0))</f>
        <v/>
      </c>
      <c r="O57" s="17">
        <f>IF($A57="","",IFERROR(SUMIF(tblMotor[A_Norm],$A57,tblMotor[NetKar]),0))</f>
        <v/>
      </c>
      <c r="P57" s="17">
        <f>IF($A57="","",$B57+$M57+$N57)</f>
        <v/>
      </c>
    </row>
    <row r="58">
      <c r="A58" s="17">
        <f>IF('ANAHTAR'!$B58="","",'ANAHTAR'!$B58)</f>
        <v/>
      </c>
      <c r="B58" s="17">
        <f>IF($A58="","",COUNTIF(tblAnahtarB[NormB],$A58))</f>
        <v/>
      </c>
      <c r="C58" s="17">
        <f>IF($A58="","",IFERROR(SUMIF(tblAnahtarB[NormB],$A58,tblHakedis[GercekHakedis]),0))</f>
        <v/>
      </c>
      <c r="D58" s="17">
        <f>IF($A58="","",IFERROR(SUMIF(tblMotor[A_Norm],$A58,tblMotor[BeklenenHakedis]),0))</f>
        <v/>
      </c>
      <c r="E58" s="17">
        <f>IF($A58="","",ROUND($D58,2)-ROUND($C58,2))</f>
        <v/>
      </c>
      <c r="F58" s="17">
        <f>IF($A58="","",ABS($E58))</f>
        <v/>
      </c>
      <c r="G58" s="17">
        <f>IF($A58="","",IF($B58=0,"eslesmedi",IF(ROUND($D58,2)=ROUND($C58,2),"eslesti",IF(ABS(ROUND($D58,2)-ROUND($C58,2))&lt;=toleransKurus,"tolerans_icinde","tutar_farki"))))</f>
        <v/>
      </c>
      <c r="H58" s="17">
        <f>IF($A58="","",IF($B58&gt;0,"BIRINCIL",IF(COUNTIF(tblAnahtarB[IkincilB],'ANAHTAR'!$D58)&gt;0,"IKINCIL","YOK")))</f>
        <v/>
      </c>
      <c r="I58" s="17">
        <f>IF($A58="","",'ANAHTAR'!$F58)</f>
        <v/>
      </c>
      <c r="J58" s="17">
        <f>IF(OR($A58="",$D58=0),0,$F58/ABS($D58))</f>
        <v/>
      </c>
      <c r="K58" s="17">
        <f>IF($A58="","",ROUND($D58,2))</f>
        <v/>
      </c>
      <c r="L58" s="17">
        <f>IF($A58="","",ROUND($C58,2))</f>
        <v/>
      </c>
      <c r="M58" s="17">
        <f>IF($A58="","",IF($F58&lt;=toleransKurus,1,0))</f>
        <v/>
      </c>
      <c r="N58" s="17">
        <f>IF($A58="","",IF($F58&gt;tyk_esikFark,1,0))</f>
        <v/>
      </c>
      <c r="O58" s="17">
        <f>IF($A58="","",IFERROR(SUMIF(tblMotor[A_Norm],$A58,tblMotor[NetKar]),0))</f>
        <v/>
      </c>
      <c r="P58" s="17">
        <f>IF($A58="","",$B58+$M58+$N58)</f>
        <v/>
      </c>
    </row>
    <row r="59">
      <c r="A59" s="17">
        <f>IF('ANAHTAR'!$B59="","",'ANAHTAR'!$B59)</f>
        <v/>
      </c>
      <c r="B59" s="17">
        <f>IF($A59="","",COUNTIF(tblAnahtarB[NormB],$A59))</f>
        <v/>
      </c>
      <c r="C59" s="17">
        <f>IF($A59="","",IFERROR(SUMIF(tblAnahtarB[NormB],$A59,tblHakedis[GercekHakedis]),0))</f>
        <v/>
      </c>
      <c r="D59" s="17">
        <f>IF($A59="","",IFERROR(SUMIF(tblMotor[A_Norm],$A59,tblMotor[BeklenenHakedis]),0))</f>
        <v/>
      </c>
      <c r="E59" s="17">
        <f>IF($A59="","",ROUND($D59,2)-ROUND($C59,2))</f>
        <v/>
      </c>
      <c r="F59" s="17">
        <f>IF($A59="","",ABS($E59))</f>
        <v/>
      </c>
      <c r="G59" s="17">
        <f>IF($A59="","",IF($B59=0,"eslesmedi",IF(ROUND($D59,2)=ROUND($C59,2),"eslesti",IF(ABS(ROUND($D59,2)-ROUND($C59,2))&lt;=toleransKurus,"tolerans_icinde","tutar_farki"))))</f>
        <v/>
      </c>
      <c r="H59" s="17">
        <f>IF($A59="","",IF($B59&gt;0,"BIRINCIL",IF(COUNTIF(tblAnahtarB[IkincilB],'ANAHTAR'!$D59)&gt;0,"IKINCIL","YOK")))</f>
        <v/>
      </c>
      <c r="I59" s="17">
        <f>IF($A59="","",'ANAHTAR'!$F59)</f>
        <v/>
      </c>
      <c r="J59" s="17">
        <f>IF(OR($A59="",$D59=0),0,$F59/ABS($D59))</f>
        <v/>
      </c>
      <c r="K59" s="17">
        <f>IF($A59="","",ROUND($D59,2))</f>
        <v/>
      </c>
      <c r="L59" s="17">
        <f>IF($A59="","",ROUND($C59,2))</f>
        <v/>
      </c>
      <c r="M59" s="17">
        <f>IF($A59="","",IF($F59&lt;=toleransKurus,1,0))</f>
        <v/>
      </c>
      <c r="N59" s="17">
        <f>IF($A59="","",IF($F59&gt;tyk_esikFark,1,0))</f>
        <v/>
      </c>
      <c r="O59" s="17">
        <f>IF($A59="","",IFERROR(SUMIF(tblMotor[A_Norm],$A59,tblMotor[NetKar]),0))</f>
        <v/>
      </c>
      <c r="P59" s="17">
        <f>IF($A59="","",$B59+$M59+$N59)</f>
        <v/>
      </c>
    </row>
    <row r="60">
      <c r="A60" s="17">
        <f>IF('ANAHTAR'!$B60="","",'ANAHTAR'!$B60)</f>
        <v/>
      </c>
      <c r="B60" s="17">
        <f>IF($A60="","",COUNTIF(tblAnahtarB[NormB],$A60))</f>
        <v/>
      </c>
      <c r="C60" s="17">
        <f>IF($A60="","",IFERROR(SUMIF(tblAnahtarB[NormB],$A60,tblHakedis[GercekHakedis]),0))</f>
        <v/>
      </c>
      <c r="D60" s="17">
        <f>IF($A60="","",IFERROR(SUMIF(tblMotor[A_Norm],$A60,tblMotor[BeklenenHakedis]),0))</f>
        <v/>
      </c>
      <c r="E60" s="17">
        <f>IF($A60="","",ROUND($D60,2)-ROUND($C60,2))</f>
        <v/>
      </c>
      <c r="F60" s="17">
        <f>IF($A60="","",ABS($E60))</f>
        <v/>
      </c>
      <c r="G60" s="17">
        <f>IF($A60="","",IF($B60=0,"eslesmedi",IF(ROUND($D60,2)=ROUND($C60,2),"eslesti",IF(ABS(ROUND($D60,2)-ROUND($C60,2))&lt;=toleransKurus,"tolerans_icinde","tutar_farki"))))</f>
        <v/>
      </c>
      <c r="H60" s="17">
        <f>IF($A60="","",IF($B60&gt;0,"BIRINCIL",IF(COUNTIF(tblAnahtarB[IkincilB],'ANAHTAR'!$D60)&gt;0,"IKINCIL","YOK")))</f>
        <v/>
      </c>
      <c r="I60" s="17">
        <f>IF($A60="","",'ANAHTAR'!$F60)</f>
        <v/>
      </c>
      <c r="J60" s="17">
        <f>IF(OR($A60="",$D60=0),0,$F60/ABS($D60))</f>
        <v/>
      </c>
      <c r="K60" s="17">
        <f>IF($A60="","",ROUND($D60,2))</f>
        <v/>
      </c>
      <c r="L60" s="17">
        <f>IF($A60="","",ROUND($C60,2))</f>
        <v/>
      </c>
      <c r="M60" s="17">
        <f>IF($A60="","",IF($F60&lt;=toleransKurus,1,0))</f>
        <v/>
      </c>
      <c r="N60" s="17">
        <f>IF($A60="","",IF($F60&gt;tyk_esikFark,1,0))</f>
        <v/>
      </c>
      <c r="O60" s="17">
        <f>IF($A60="","",IFERROR(SUMIF(tblMotor[A_Norm],$A60,tblMotor[NetKar]),0))</f>
        <v/>
      </c>
      <c r="P60" s="17">
        <f>IF($A60="","",$B60+$M60+$N60)</f>
        <v/>
      </c>
    </row>
    <row r="61">
      <c r="A61" s="17">
        <f>IF('ANAHTAR'!$B61="","",'ANAHTAR'!$B61)</f>
        <v/>
      </c>
      <c r="B61" s="17">
        <f>IF($A61="","",COUNTIF(tblAnahtarB[NormB],$A61))</f>
        <v/>
      </c>
      <c r="C61" s="17">
        <f>IF($A61="","",IFERROR(SUMIF(tblAnahtarB[NormB],$A61,tblHakedis[GercekHakedis]),0))</f>
        <v/>
      </c>
      <c r="D61" s="17">
        <f>IF($A61="","",IFERROR(SUMIF(tblMotor[A_Norm],$A61,tblMotor[BeklenenHakedis]),0))</f>
        <v/>
      </c>
      <c r="E61" s="17">
        <f>IF($A61="","",ROUND($D61,2)-ROUND($C61,2))</f>
        <v/>
      </c>
      <c r="F61" s="17">
        <f>IF($A61="","",ABS($E61))</f>
        <v/>
      </c>
      <c r="G61" s="17">
        <f>IF($A61="","",IF($B61=0,"eslesmedi",IF(ROUND($D61,2)=ROUND($C61,2),"eslesti",IF(ABS(ROUND($D61,2)-ROUND($C61,2))&lt;=toleransKurus,"tolerans_icinde","tutar_farki"))))</f>
        <v/>
      </c>
      <c r="H61" s="17">
        <f>IF($A61="","",IF($B61&gt;0,"BIRINCIL",IF(COUNTIF(tblAnahtarB[IkincilB],'ANAHTAR'!$D61)&gt;0,"IKINCIL","YOK")))</f>
        <v/>
      </c>
      <c r="I61" s="17">
        <f>IF($A61="","",'ANAHTAR'!$F61)</f>
        <v/>
      </c>
      <c r="J61" s="17">
        <f>IF(OR($A61="",$D61=0),0,$F61/ABS($D61))</f>
        <v/>
      </c>
      <c r="K61" s="17">
        <f>IF($A61="","",ROUND($D61,2))</f>
        <v/>
      </c>
      <c r="L61" s="17">
        <f>IF($A61="","",ROUND($C61,2))</f>
        <v/>
      </c>
      <c r="M61" s="17">
        <f>IF($A61="","",IF($F61&lt;=toleransKurus,1,0))</f>
        <v/>
      </c>
      <c r="N61" s="17">
        <f>IF($A61="","",IF($F61&gt;tyk_esikFark,1,0))</f>
        <v/>
      </c>
      <c r="O61" s="17">
        <f>IF($A61="","",IFERROR(SUMIF(tblMotor[A_Norm],$A61,tblMotor[NetKar]),0))</f>
        <v/>
      </c>
      <c r="P61" s="17">
        <f>IF($A61="","",$B61+$M61+$N61)</f>
        <v/>
      </c>
    </row>
    <row r="62">
      <c r="A62" s="17">
        <f>IF('ANAHTAR'!$B62="","",'ANAHTAR'!$B62)</f>
        <v/>
      </c>
      <c r="B62" s="17">
        <f>IF($A62="","",COUNTIF(tblAnahtarB[NormB],$A62))</f>
        <v/>
      </c>
      <c r="C62" s="17">
        <f>IF($A62="","",IFERROR(SUMIF(tblAnahtarB[NormB],$A62,tblHakedis[GercekHakedis]),0))</f>
        <v/>
      </c>
      <c r="D62" s="17">
        <f>IF($A62="","",IFERROR(SUMIF(tblMotor[A_Norm],$A62,tblMotor[BeklenenHakedis]),0))</f>
        <v/>
      </c>
      <c r="E62" s="17">
        <f>IF($A62="","",ROUND($D62,2)-ROUND($C62,2))</f>
        <v/>
      </c>
      <c r="F62" s="17">
        <f>IF($A62="","",ABS($E62))</f>
        <v/>
      </c>
      <c r="G62" s="17">
        <f>IF($A62="","",IF($B62=0,"eslesmedi",IF(ROUND($D62,2)=ROUND($C62,2),"eslesti",IF(ABS(ROUND($D62,2)-ROUND($C62,2))&lt;=toleransKurus,"tolerans_icinde","tutar_farki"))))</f>
        <v/>
      </c>
      <c r="H62" s="17">
        <f>IF($A62="","",IF($B62&gt;0,"BIRINCIL",IF(COUNTIF(tblAnahtarB[IkincilB],'ANAHTAR'!$D62)&gt;0,"IKINCIL","YOK")))</f>
        <v/>
      </c>
      <c r="I62" s="17">
        <f>IF($A62="","",'ANAHTAR'!$F62)</f>
        <v/>
      </c>
      <c r="J62" s="17">
        <f>IF(OR($A62="",$D62=0),0,$F62/ABS($D62))</f>
        <v/>
      </c>
      <c r="K62" s="17">
        <f>IF($A62="","",ROUND($D62,2))</f>
        <v/>
      </c>
      <c r="L62" s="17">
        <f>IF($A62="","",ROUND($C62,2))</f>
        <v/>
      </c>
      <c r="M62" s="17">
        <f>IF($A62="","",IF($F62&lt;=toleransKurus,1,0))</f>
        <v/>
      </c>
      <c r="N62" s="17">
        <f>IF($A62="","",IF($F62&gt;tyk_esikFark,1,0))</f>
        <v/>
      </c>
      <c r="O62" s="17">
        <f>IF($A62="","",IFERROR(SUMIF(tblMotor[A_Norm],$A62,tblMotor[NetKar]),0))</f>
        <v/>
      </c>
      <c r="P62" s="17">
        <f>IF($A62="","",$B62+$M62+$N62)</f>
        <v/>
      </c>
    </row>
    <row r="63">
      <c r="A63" s="17">
        <f>IF('ANAHTAR'!$B63="","",'ANAHTAR'!$B63)</f>
        <v/>
      </c>
      <c r="B63" s="17">
        <f>IF($A63="","",COUNTIF(tblAnahtarB[NormB],$A63))</f>
        <v/>
      </c>
      <c r="C63" s="17">
        <f>IF($A63="","",IFERROR(SUMIF(tblAnahtarB[NormB],$A63,tblHakedis[GercekHakedis]),0))</f>
        <v/>
      </c>
      <c r="D63" s="17">
        <f>IF($A63="","",IFERROR(SUMIF(tblMotor[A_Norm],$A63,tblMotor[BeklenenHakedis]),0))</f>
        <v/>
      </c>
      <c r="E63" s="17">
        <f>IF($A63="","",ROUND($D63,2)-ROUND($C63,2))</f>
        <v/>
      </c>
      <c r="F63" s="17">
        <f>IF($A63="","",ABS($E63))</f>
        <v/>
      </c>
      <c r="G63" s="17">
        <f>IF($A63="","",IF($B63=0,"eslesmedi",IF(ROUND($D63,2)=ROUND($C63,2),"eslesti",IF(ABS(ROUND($D63,2)-ROUND($C63,2))&lt;=toleransKurus,"tolerans_icinde","tutar_farki"))))</f>
        <v/>
      </c>
      <c r="H63" s="17">
        <f>IF($A63="","",IF($B63&gt;0,"BIRINCIL",IF(COUNTIF(tblAnahtarB[IkincilB],'ANAHTAR'!$D63)&gt;0,"IKINCIL","YOK")))</f>
        <v/>
      </c>
      <c r="I63" s="17">
        <f>IF($A63="","",'ANAHTAR'!$F63)</f>
        <v/>
      </c>
      <c r="J63" s="17">
        <f>IF(OR($A63="",$D63=0),0,$F63/ABS($D63))</f>
        <v/>
      </c>
      <c r="K63" s="17">
        <f>IF($A63="","",ROUND($D63,2))</f>
        <v/>
      </c>
      <c r="L63" s="17">
        <f>IF($A63="","",ROUND($C63,2))</f>
        <v/>
      </c>
      <c r="M63" s="17">
        <f>IF($A63="","",IF($F63&lt;=toleransKurus,1,0))</f>
        <v/>
      </c>
      <c r="N63" s="17">
        <f>IF($A63="","",IF($F63&gt;tyk_esikFark,1,0))</f>
        <v/>
      </c>
      <c r="O63" s="17">
        <f>IF($A63="","",IFERROR(SUMIF(tblMotor[A_Norm],$A63,tblMotor[NetKar]),0))</f>
        <v/>
      </c>
      <c r="P63" s="17">
        <f>IF($A63="","",$B63+$M63+$N63)</f>
        <v/>
      </c>
    </row>
    <row r="64">
      <c r="A64" s="17">
        <f>IF('ANAHTAR'!$B64="","",'ANAHTAR'!$B64)</f>
        <v/>
      </c>
      <c r="B64" s="17">
        <f>IF($A64="","",COUNTIF(tblAnahtarB[NormB],$A64))</f>
        <v/>
      </c>
      <c r="C64" s="17">
        <f>IF($A64="","",IFERROR(SUMIF(tblAnahtarB[NormB],$A64,tblHakedis[GercekHakedis]),0))</f>
        <v/>
      </c>
      <c r="D64" s="17">
        <f>IF($A64="","",IFERROR(SUMIF(tblMotor[A_Norm],$A64,tblMotor[BeklenenHakedis]),0))</f>
        <v/>
      </c>
      <c r="E64" s="17">
        <f>IF($A64="","",ROUND($D64,2)-ROUND($C64,2))</f>
        <v/>
      </c>
      <c r="F64" s="17">
        <f>IF($A64="","",ABS($E64))</f>
        <v/>
      </c>
      <c r="G64" s="17">
        <f>IF($A64="","",IF($B64=0,"eslesmedi",IF(ROUND($D64,2)=ROUND($C64,2),"eslesti",IF(ABS(ROUND($D64,2)-ROUND($C64,2))&lt;=toleransKurus,"tolerans_icinde","tutar_farki"))))</f>
        <v/>
      </c>
      <c r="H64" s="17">
        <f>IF($A64="","",IF($B64&gt;0,"BIRINCIL",IF(COUNTIF(tblAnahtarB[IkincilB],'ANAHTAR'!$D64)&gt;0,"IKINCIL","YOK")))</f>
        <v/>
      </c>
      <c r="I64" s="17">
        <f>IF($A64="","",'ANAHTAR'!$F64)</f>
        <v/>
      </c>
      <c r="J64" s="17">
        <f>IF(OR($A64="",$D64=0),0,$F64/ABS($D64))</f>
        <v/>
      </c>
      <c r="K64" s="17">
        <f>IF($A64="","",ROUND($D64,2))</f>
        <v/>
      </c>
      <c r="L64" s="17">
        <f>IF($A64="","",ROUND($C64,2))</f>
        <v/>
      </c>
      <c r="M64" s="17">
        <f>IF($A64="","",IF($F64&lt;=toleransKurus,1,0))</f>
        <v/>
      </c>
      <c r="N64" s="17">
        <f>IF($A64="","",IF($F64&gt;tyk_esikFark,1,0))</f>
        <v/>
      </c>
      <c r="O64" s="17">
        <f>IF($A64="","",IFERROR(SUMIF(tblMotor[A_Norm],$A64,tblMotor[NetKar]),0))</f>
        <v/>
      </c>
      <c r="P64" s="17">
        <f>IF($A64="","",$B64+$M64+$N64)</f>
        <v/>
      </c>
    </row>
    <row r="65">
      <c r="A65" s="17">
        <f>IF('ANAHTAR'!$B65="","",'ANAHTAR'!$B65)</f>
        <v/>
      </c>
      <c r="B65" s="17">
        <f>IF($A65="","",COUNTIF(tblAnahtarB[NormB],$A65))</f>
        <v/>
      </c>
      <c r="C65" s="17">
        <f>IF($A65="","",IFERROR(SUMIF(tblAnahtarB[NormB],$A65,tblHakedis[GercekHakedis]),0))</f>
        <v/>
      </c>
      <c r="D65" s="17">
        <f>IF($A65="","",IFERROR(SUMIF(tblMotor[A_Norm],$A65,tblMotor[BeklenenHakedis]),0))</f>
        <v/>
      </c>
      <c r="E65" s="17">
        <f>IF($A65="","",ROUND($D65,2)-ROUND($C65,2))</f>
        <v/>
      </c>
      <c r="F65" s="17">
        <f>IF($A65="","",ABS($E65))</f>
        <v/>
      </c>
      <c r="G65" s="17">
        <f>IF($A65="","",IF($B65=0,"eslesmedi",IF(ROUND($D65,2)=ROUND($C65,2),"eslesti",IF(ABS(ROUND($D65,2)-ROUND($C65,2))&lt;=toleransKurus,"tolerans_icinde","tutar_farki"))))</f>
        <v/>
      </c>
      <c r="H65" s="17">
        <f>IF($A65="","",IF($B65&gt;0,"BIRINCIL",IF(COUNTIF(tblAnahtarB[IkincilB],'ANAHTAR'!$D65)&gt;0,"IKINCIL","YOK")))</f>
        <v/>
      </c>
      <c r="I65" s="17">
        <f>IF($A65="","",'ANAHTAR'!$F65)</f>
        <v/>
      </c>
      <c r="J65" s="17">
        <f>IF(OR($A65="",$D65=0),0,$F65/ABS($D65))</f>
        <v/>
      </c>
      <c r="K65" s="17">
        <f>IF($A65="","",ROUND($D65,2))</f>
        <v/>
      </c>
      <c r="L65" s="17">
        <f>IF($A65="","",ROUND($C65,2))</f>
        <v/>
      </c>
      <c r="M65" s="17">
        <f>IF($A65="","",IF($F65&lt;=toleransKurus,1,0))</f>
        <v/>
      </c>
      <c r="N65" s="17">
        <f>IF($A65="","",IF($F65&gt;tyk_esikFark,1,0))</f>
        <v/>
      </c>
      <c r="O65" s="17">
        <f>IF($A65="","",IFERROR(SUMIF(tblMotor[A_Norm],$A65,tblMotor[NetKar]),0))</f>
        <v/>
      </c>
      <c r="P65" s="17">
        <f>IF($A65="","",$B65+$M65+$N65)</f>
        <v/>
      </c>
    </row>
    <row r="66">
      <c r="A66" s="17">
        <f>IF('ANAHTAR'!$B66="","",'ANAHTAR'!$B66)</f>
        <v/>
      </c>
      <c r="B66" s="17">
        <f>IF($A66="","",COUNTIF(tblAnahtarB[NormB],$A66))</f>
        <v/>
      </c>
      <c r="C66" s="17">
        <f>IF($A66="","",IFERROR(SUMIF(tblAnahtarB[NormB],$A66,tblHakedis[GercekHakedis]),0))</f>
        <v/>
      </c>
      <c r="D66" s="17">
        <f>IF($A66="","",IFERROR(SUMIF(tblMotor[A_Norm],$A66,tblMotor[BeklenenHakedis]),0))</f>
        <v/>
      </c>
      <c r="E66" s="17">
        <f>IF($A66="","",ROUND($D66,2)-ROUND($C66,2))</f>
        <v/>
      </c>
      <c r="F66" s="17">
        <f>IF($A66="","",ABS($E66))</f>
        <v/>
      </c>
      <c r="G66" s="17">
        <f>IF($A66="","",IF($B66=0,"eslesmedi",IF(ROUND($D66,2)=ROUND($C66,2),"eslesti",IF(ABS(ROUND($D66,2)-ROUND($C66,2))&lt;=toleransKurus,"tolerans_icinde","tutar_farki"))))</f>
        <v/>
      </c>
      <c r="H66" s="17">
        <f>IF($A66="","",IF($B66&gt;0,"BIRINCIL",IF(COUNTIF(tblAnahtarB[IkincilB],'ANAHTAR'!$D66)&gt;0,"IKINCIL","YOK")))</f>
        <v/>
      </c>
      <c r="I66" s="17">
        <f>IF($A66="","",'ANAHTAR'!$F66)</f>
        <v/>
      </c>
      <c r="J66" s="17">
        <f>IF(OR($A66="",$D66=0),0,$F66/ABS($D66))</f>
        <v/>
      </c>
      <c r="K66" s="17">
        <f>IF($A66="","",ROUND($D66,2))</f>
        <v/>
      </c>
      <c r="L66" s="17">
        <f>IF($A66="","",ROUND($C66,2))</f>
        <v/>
      </c>
      <c r="M66" s="17">
        <f>IF($A66="","",IF($F66&lt;=toleransKurus,1,0))</f>
        <v/>
      </c>
      <c r="N66" s="17">
        <f>IF($A66="","",IF($F66&gt;tyk_esikFark,1,0))</f>
        <v/>
      </c>
      <c r="O66" s="17">
        <f>IF($A66="","",IFERROR(SUMIF(tblMotor[A_Norm],$A66,tblMotor[NetKar]),0))</f>
        <v/>
      </c>
      <c r="P66" s="17">
        <f>IF($A66="","",$B66+$M66+$N66)</f>
        <v/>
      </c>
    </row>
    <row r="67">
      <c r="A67" s="17">
        <f>IF('ANAHTAR'!$B67="","",'ANAHTAR'!$B67)</f>
        <v/>
      </c>
      <c r="B67" s="17">
        <f>IF($A67="","",COUNTIF(tblAnahtarB[NormB],$A67))</f>
        <v/>
      </c>
      <c r="C67" s="17">
        <f>IF($A67="","",IFERROR(SUMIF(tblAnahtarB[NormB],$A67,tblHakedis[GercekHakedis]),0))</f>
        <v/>
      </c>
      <c r="D67" s="17">
        <f>IF($A67="","",IFERROR(SUMIF(tblMotor[A_Norm],$A67,tblMotor[BeklenenHakedis]),0))</f>
        <v/>
      </c>
      <c r="E67" s="17">
        <f>IF($A67="","",ROUND($D67,2)-ROUND($C67,2))</f>
        <v/>
      </c>
      <c r="F67" s="17">
        <f>IF($A67="","",ABS($E67))</f>
        <v/>
      </c>
      <c r="G67" s="17">
        <f>IF($A67="","",IF($B67=0,"eslesmedi",IF(ROUND($D67,2)=ROUND($C67,2),"eslesti",IF(ABS(ROUND($D67,2)-ROUND($C67,2))&lt;=toleransKurus,"tolerans_icinde","tutar_farki"))))</f>
        <v/>
      </c>
      <c r="H67" s="17">
        <f>IF($A67="","",IF($B67&gt;0,"BIRINCIL",IF(COUNTIF(tblAnahtarB[IkincilB],'ANAHTAR'!$D67)&gt;0,"IKINCIL","YOK")))</f>
        <v/>
      </c>
      <c r="I67" s="17">
        <f>IF($A67="","",'ANAHTAR'!$F67)</f>
        <v/>
      </c>
      <c r="J67" s="17">
        <f>IF(OR($A67="",$D67=0),0,$F67/ABS($D67))</f>
        <v/>
      </c>
      <c r="K67" s="17">
        <f>IF($A67="","",ROUND($D67,2))</f>
        <v/>
      </c>
      <c r="L67" s="17">
        <f>IF($A67="","",ROUND($C67,2))</f>
        <v/>
      </c>
      <c r="M67" s="17">
        <f>IF($A67="","",IF($F67&lt;=toleransKurus,1,0))</f>
        <v/>
      </c>
      <c r="N67" s="17">
        <f>IF($A67="","",IF($F67&gt;tyk_esikFark,1,0))</f>
        <v/>
      </c>
      <c r="O67" s="17">
        <f>IF($A67="","",IFERROR(SUMIF(tblMotor[A_Norm],$A67,tblMotor[NetKar]),0))</f>
        <v/>
      </c>
      <c r="P67" s="17">
        <f>IF($A67="","",$B67+$M67+$N67)</f>
        <v/>
      </c>
    </row>
    <row r="68">
      <c r="A68" s="17">
        <f>IF('ANAHTAR'!$B68="","",'ANAHTAR'!$B68)</f>
        <v/>
      </c>
      <c r="B68" s="17">
        <f>IF($A68="","",COUNTIF(tblAnahtarB[NormB],$A68))</f>
        <v/>
      </c>
      <c r="C68" s="17">
        <f>IF($A68="","",IFERROR(SUMIF(tblAnahtarB[NormB],$A68,tblHakedis[GercekHakedis]),0))</f>
        <v/>
      </c>
      <c r="D68" s="17">
        <f>IF($A68="","",IFERROR(SUMIF(tblMotor[A_Norm],$A68,tblMotor[BeklenenHakedis]),0))</f>
        <v/>
      </c>
      <c r="E68" s="17">
        <f>IF($A68="","",ROUND($D68,2)-ROUND($C68,2))</f>
        <v/>
      </c>
      <c r="F68" s="17">
        <f>IF($A68="","",ABS($E68))</f>
        <v/>
      </c>
      <c r="G68" s="17">
        <f>IF($A68="","",IF($B68=0,"eslesmedi",IF(ROUND($D68,2)=ROUND($C68,2),"eslesti",IF(ABS(ROUND($D68,2)-ROUND($C68,2))&lt;=toleransKurus,"tolerans_icinde","tutar_farki"))))</f>
        <v/>
      </c>
      <c r="H68" s="17">
        <f>IF($A68="","",IF($B68&gt;0,"BIRINCIL",IF(COUNTIF(tblAnahtarB[IkincilB],'ANAHTAR'!$D68)&gt;0,"IKINCIL","YOK")))</f>
        <v/>
      </c>
      <c r="I68" s="17">
        <f>IF($A68="","",'ANAHTAR'!$F68)</f>
        <v/>
      </c>
      <c r="J68" s="17">
        <f>IF(OR($A68="",$D68=0),0,$F68/ABS($D68))</f>
        <v/>
      </c>
      <c r="K68" s="17">
        <f>IF($A68="","",ROUND($D68,2))</f>
        <v/>
      </c>
      <c r="L68" s="17">
        <f>IF($A68="","",ROUND($C68,2))</f>
        <v/>
      </c>
      <c r="M68" s="17">
        <f>IF($A68="","",IF($F68&lt;=toleransKurus,1,0))</f>
        <v/>
      </c>
      <c r="N68" s="17">
        <f>IF($A68="","",IF($F68&gt;tyk_esikFark,1,0))</f>
        <v/>
      </c>
      <c r="O68" s="17">
        <f>IF($A68="","",IFERROR(SUMIF(tblMotor[A_Norm],$A68,tblMotor[NetKar]),0))</f>
        <v/>
      </c>
      <c r="P68" s="17">
        <f>IF($A68="","",$B68+$M68+$N68)</f>
        <v/>
      </c>
    </row>
    <row r="69">
      <c r="A69" s="17">
        <f>IF('ANAHTAR'!$B69="","",'ANAHTAR'!$B69)</f>
        <v/>
      </c>
      <c r="B69" s="17">
        <f>IF($A69="","",COUNTIF(tblAnahtarB[NormB],$A69))</f>
        <v/>
      </c>
      <c r="C69" s="17">
        <f>IF($A69="","",IFERROR(SUMIF(tblAnahtarB[NormB],$A69,tblHakedis[GercekHakedis]),0))</f>
        <v/>
      </c>
      <c r="D69" s="17">
        <f>IF($A69="","",IFERROR(SUMIF(tblMotor[A_Norm],$A69,tblMotor[BeklenenHakedis]),0))</f>
        <v/>
      </c>
      <c r="E69" s="17">
        <f>IF($A69="","",ROUND($D69,2)-ROUND($C69,2))</f>
        <v/>
      </c>
      <c r="F69" s="17">
        <f>IF($A69="","",ABS($E69))</f>
        <v/>
      </c>
      <c r="G69" s="17">
        <f>IF($A69="","",IF($B69=0,"eslesmedi",IF(ROUND($D69,2)=ROUND($C69,2),"eslesti",IF(ABS(ROUND($D69,2)-ROUND($C69,2))&lt;=toleransKurus,"tolerans_icinde","tutar_farki"))))</f>
        <v/>
      </c>
      <c r="H69" s="17">
        <f>IF($A69="","",IF($B69&gt;0,"BIRINCIL",IF(COUNTIF(tblAnahtarB[IkincilB],'ANAHTAR'!$D69)&gt;0,"IKINCIL","YOK")))</f>
        <v/>
      </c>
      <c r="I69" s="17">
        <f>IF($A69="","",'ANAHTAR'!$F69)</f>
        <v/>
      </c>
      <c r="J69" s="17">
        <f>IF(OR($A69="",$D69=0),0,$F69/ABS($D69))</f>
        <v/>
      </c>
      <c r="K69" s="17">
        <f>IF($A69="","",ROUND($D69,2))</f>
        <v/>
      </c>
      <c r="L69" s="17">
        <f>IF($A69="","",ROUND($C69,2))</f>
        <v/>
      </c>
      <c r="M69" s="17">
        <f>IF($A69="","",IF($F69&lt;=toleransKurus,1,0))</f>
        <v/>
      </c>
      <c r="N69" s="17">
        <f>IF($A69="","",IF($F69&gt;tyk_esikFark,1,0))</f>
        <v/>
      </c>
      <c r="O69" s="17">
        <f>IF($A69="","",IFERROR(SUMIF(tblMotor[A_Norm],$A69,tblMotor[NetKar]),0))</f>
        <v/>
      </c>
      <c r="P69" s="17">
        <f>IF($A69="","",$B69+$M69+$N69)</f>
        <v/>
      </c>
    </row>
    <row r="70">
      <c r="A70" s="17">
        <f>IF('ANAHTAR'!$B70="","",'ANAHTAR'!$B70)</f>
        <v/>
      </c>
      <c r="B70" s="17">
        <f>IF($A70="","",COUNTIF(tblAnahtarB[NormB],$A70))</f>
        <v/>
      </c>
      <c r="C70" s="17">
        <f>IF($A70="","",IFERROR(SUMIF(tblAnahtarB[NormB],$A70,tblHakedis[GercekHakedis]),0))</f>
        <v/>
      </c>
      <c r="D70" s="17">
        <f>IF($A70="","",IFERROR(SUMIF(tblMotor[A_Norm],$A70,tblMotor[BeklenenHakedis]),0))</f>
        <v/>
      </c>
      <c r="E70" s="17">
        <f>IF($A70="","",ROUND($D70,2)-ROUND($C70,2))</f>
        <v/>
      </c>
      <c r="F70" s="17">
        <f>IF($A70="","",ABS($E70))</f>
        <v/>
      </c>
      <c r="G70" s="17">
        <f>IF($A70="","",IF($B70=0,"eslesmedi",IF(ROUND($D70,2)=ROUND($C70,2),"eslesti",IF(ABS(ROUND($D70,2)-ROUND($C70,2))&lt;=toleransKurus,"tolerans_icinde","tutar_farki"))))</f>
        <v/>
      </c>
      <c r="H70" s="17">
        <f>IF($A70="","",IF($B70&gt;0,"BIRINCIL",IF(COUNTIF(tblAnahtarB[IkincilB],'ANAHTAR'!$D70)&gt;0,"IKINCIL","YOK")))</f>
        <v/>
      </c>
      <c r="I70" s="17">
        <f>IF($A70="","",'ANAHTAR'!$F70)</f>
        <v/>
      </c>
      <c r="J70" s="17">
        <f>IF(OR($A70="",$D70=0),0,$F70/ABS($D70))</f>
        <v/>
      </c>
      <c r="K70" s="17">
        <f>IF($A70="","",ROUND($D70,2))</f>
        <v/>
      </c>
      <c r="L70" s="17">
        <f>IF($A70="","",ROUND($C70,2))</f>
        <v/>
      </c>
      <c r="M70" s="17">
        <f>IF($A70="","",IF($F70&lt;=toleransKurus,1,0))</f>
        <v/>
      </c>
      <c r="N70" s="17">
        <f>IF($A70="","",IF($F70&gt;tyk_esikFark,1,0))</f>
        <v/>
      </c>
      <c r="O70" s="17">
        <f>IF($A70="","",IFERROR(SUMIF(tblMotor[A_Norm],$A70,tblMotor[NetKar]),0))</f>
        <v/>
      </c>
      <c r="P70" s="17">
        <f>IF($A70="","",$B70+$M70+$N70)</f>
        <v/>
      </c>
    </row>
    <row r="71">
      <c r="A71" s="17">
        <f>IF('ANAHTAR'!$B71="","",'ANAHTAR'!$B71)</f>
        <v/>
      </c>
      <c r="B71" s="17">
        <f>IF($A71="","",COUNTIF(tblAnahtarB[NormB],$A71))</f>
        <v/>
      </c>
      <c r="C71" s="17">
        <f>IF($A71="","",IFERROR(SUMIF(tblAnahtarB[NormB],$A71,tblHakedis[GercekHakedis]),0))</f>
        <v/>
      </c>
      <c r="D71" s="17">
        <f>IF($A71="","",IFERROR(SUMIF(tblMotor[A_Norm],$A71,tblMotor[BeklenenHakedis]),0))</f>
        <v/>
      </c>
      <c r="E71" s="17">
        <f>IF($A71="","",ROUND($D71,2)-ROUND($C71,2))</f>
        <v/>
      </c>
      <c r="F71" s="17">
        <f>IF($A71="","",ABS($E71))</f>
        <v/>
      </c>
      <c r="G71" s="17">
        <f>IF($A71="","",IF($B71=0,"eslesmedi",IF(ROUND($D71,2)=ROUND($C71,2),"eslesti",IF(ABS(ROUND($D71,2)-ROUND($C71,2))&lt;=toleransKurus,"tolerans_icinde","tutar_farki"))))</f>
        <v/>
      </c>
      <c r="H71" s="17">
        <f>IF($A71="","",IF($B71&gt;0,"BIRINCIL",IF(COUNTIF(tblAnahtarB[IkincilB],'ANAHTAR'!$D71)&gt;0,"IKINCIL","YOK")))</f>
        <v/>
      </c>
      <c r="I71" s="17">
        <f>IF($A71="","",'ANAHTAR'!$F71)</f>
        <v/>
      </c>
      <c r="J71" s="17">
        <f>IF(OR($A71="",$D71=0),0,$F71/ABS($D71))</f>
        <v/>
      </c>
      <c r="K71" s="17">
        <f>IF($A71="","",ROUND($D71,2))</f>
        <v/>
      </c>
      <c r="L71" s="17">
        <f>IF($A71="","",ROUND($C71,2))</f>
        <v/>
      </c>
      <c r="M71" s="17">
        <f>IF($A71="","",IF($F71&lt;=toleransKurus,1,0))</f>
        <v/>
      </c>
      <c r="N71" s="17">
        <f>IF($A71="","",IF($F71&gt;tyk_esikFark,1,0))</f>
        <v/>
      </c>
      <c r="O71" s="17">
        <f>IF($A71="","",IFERROR(SUMIF(tblMotor[A_Norm],$A71,tblMotor[NetKar]),0))</f>
        <v/>
      </c>
      <c r="P71" s="17">
        <f>IF($A71="","",$B71+$M71+$N71)</f>
        <v/>
      </c>
    </row>
    <row r="72">
      <c r="A72" s="17">
        <f>IF('ANAHTAR'!$B72="","",'ANAHTAR'!$B72)</f>
        <v/>
      </c>
      <c r="B72" s="17">
        <f>IF($A72="","",COUNTIF(tblAnahtarB[NormB],$A72))</f>
        <v/>
      </c>
      <c r="C72" s="17">
        <f>IF($A72="","",IFERROR(SUMIF(tblAnahtarB[NormB],$A72,tblHakedis[GercekHakedis]),0))</f>
        <v/>
      </c>
      <c r="D72" s="17">
        <f>IF($A72="","",IFERROR(SUMIF(tblMotor[A_Norm],$A72,tblMotor[BeklenenHakedis]),0))</f>
        <v/>
      </c>
      <c r="E72" s="17">
        <f>IF($A72="","",ROUND($D72,2)-ROUND($C72,2))</f>
        <v/>
      </c>
      <c r="F72" s="17">
        <f>IF($A72="","",ABS($E72))</f>
        <v/>
      </c>
      <c r="G72" s="17">
        <f>IF($A72="","",IF($B72=0,"eslesmedi",IF(ROUND($D72,2)=ROUND($C72,2),"eslesti",IF(ABS(ROUND($D72,2)-ROUND($C72,2))&lt;=toleransKurus,"tolerans_icinde","tutar_farki"))))</f>
        <v/>
      </c>
      <c r="H72" s="17">
        <f>IF($A72="","",IF($B72&gt;0,"BIRINCIL",IF(COUNTIF(tblAnahtarB[IkincilB],'ANAHTAR'!$D72)&gt;0,"IKINCIL","YOK")))</f>
        <v/>
      </c>
      <c r="I72" s="17">
        <f>IF($A72="","",'ANAHTAR'!$F72)</f>
        <v/>
      </c>
      <c r="J72" s="17">
        <f>IF(OR($A72="",$D72=0),0,$F72/ABS($D72))</f>
        <v/>
      </c>
      <c r="K72" s="17">
        <f>IF($A72="","",ROUND($D72,2))</f>
        <v/>
      </c>
      <c r="L72" s="17">
        <f>IF($A72="","",ROUND($C72,2))</f>
        <v/>
      </c>
      <c r="M72" s="17">
        <f>IF($A72="","",IF($F72&lt;=toleransKurus,1,0))</f>
        <v/>
      </c>
      <c r="N72" s="17">
        <f>IF($A72="","",IF($F72&gt;tyk_esikFark,1,0))</f>
        <v/>
      </c>
      <c r="O72" s="17">
        <f>IF($A72="","",IFERROR(SUMIF(tblMotor[A_Norm],$A72,tblMotor[NetKar]),0))</f>
        <v/>
      </c>
      <c r="P72" s="17">
        <f>IF($A72="","",$B72+$M72+$N72)</f>
        <v/>
      </c>
    </row>
    <row r="73">
      <c r="A73" s="17">
        <f>IF('ANAHTAR'!$B73="","",'ANAHTAR'!$B73)</f>
        <v/>
      </c>
      <c r="B73" s="17">
        <f>IF($A73="","",COUNTIF(tblAnahtarB[NormB],$A73))</f>
        <v/>
      </c>
      <c r="C73" s="17">
        <f>IF($A73="","",IFERROR(SUMIF(tblAnahtarB[NormB],$A73,tblHakedis[GercekHakedis]),0))</f>
        <v/>
      </c>
      <c r="D73" s="17">
        <f>IF($A73="","",IFERROR(SUMIF(tblMotor[A_Norm],$A73,tblMotor[BeklenenHakedis]),0))</f>
        <v/>
      </c>
      <c r="E73" s="17">
        <f>IF($A73="","",ROUND($D73,2)-ROUND($C73,2))</f>
        <v/>
      </c>
      <c r="F73" s="17">
        <f>IF($A73="","",ABS($E73))</f>
        <v/>
      </c>
      <c r="G73" s="17">
        <f>IF($A73="","",IF($B73=0,"eslesmedi",IF(ROUND($D73,2)=ROUND($C73,2),"eslesti",IF(ABS(ROUND($D73,2)-ROUND($C73,2))&lt;=toleransKurus,"tolerans_icinde","tutar_farki"))))</f>
        <v/>
      </c>
      <c r="H73" s="17">
        <f>IF($A73="","",IF($B73&gt;0,"BIRINCIL",IF(COUNTIF(tblAnahtarB[IkincilB],'ANAHTAR'!$D73)&gt;0,"IKINCIL","YOK")))</f>
        <v/>
      </c>
      <c r="I73" s="17">
        <f>IF($A73="","",'ANAHTAR'!$F73)</f>
        <v/>
      </c>
      <c r="J73" s="17">
        <f>IF(OR($A73="",$D73=0),0,$F73/ABS($D73))</f>
        <v/>
      </c>
      <c r="K73" s="17">
        <f>IF($A73="","",ROUND($D73,2))</f>
        <v/>
      </c>
      <c r="L73" s="17">
        <f>IF($A73="","",ROUND($C73,2))</f>
        <v/>
      </c>
      <c r="M73" s="17">
        <f>IF($A73="","",IF($F73&lt;=toleransKurus,1,0))</f>
        <v/>
      </c>
      <c r="N73" s="17">
        <f>IF($A73="","",IF($F73&gt;tyk_esikFark,1,0))</f>
        <v/>
      </c>
      <c r="O73" s="17">
        <f>IF($A73="","",IFERROR(SUMIF(tblMotor[A_Norm],$A73,tblMotor[NetKar]),0))</f>
        <v/>
      </c>
      <c r="P73" s="17">
        <f>IF($A73="","",$B73+$M73+$N73)</f>
        <v/>
      </c>
    </row>
    <row r="74">
      <c r="A74" s="17">
        <f>IF('ANAHTAR'!$B74="","",'ANAHTAR'!$B74)</f>
        <v/>
      </c>
      <c r="B74" s="17">
        <f>IF($A74="","",COUNTIF(tblAnahtarB[NormB],$A74))</f>
        <v/>
      </c>
      <c r="C74" s="17">
        <f>IF($A74="","",IFERROR(SUMIF(tblAnahtarB[NormB],$A74,tblHakedis[GercekHakedis]),0))</f>
        <v/>
      </c>
      <c r="D74" s="17">
        <f>IF($A74="","",IFERROR(SUMIF(tblMotor[A_Norm],$A74,tblMotor[BeklenenHakedis]),0))</f>
        <v/>
      </c>
      <c r="E74" s="17">
        <f>IF($A74="","",ROUND($D74,2)-ROUND($C74,2))</f>
        <v/>
      </c>
      <c r="F74" s="17">
        <f>IF($A74="","",ABS($E74))</f>
        <v/>
      </c>
      <c r="G74" s="17">
        <f>IF($A74="","",IF($B74=0,"eslesmedi",IF(ROUND($D74,2)=ROUND($C74,2),"eslesti",IF(ABS(ROUND($D74,2)-ROUND($C74,2))&lt;=toleransKurus,"tolerans_icinde","tutar_farki"))))</f>
        <v/>
      </c>
      <c r="H74" s="17">
        <f>IF($A74="","",IF($B74&gt;0,"BIRINCIL",IF(COUNTIF(tblAnahtarB[IkincilB],'ANAHTAR'!$D74)&gt;0,"IKINCIL","YOK")))</f>
        <v/>
      </c>
      <c r="I74" s="17">
        <f>IF($A74="","",'ANAHTAR'!$F74)</f>
        <v/>
      </c>
      <c r="J74" s="17">
        <f>IF(OR($A74="",$D74=0),0,$F74/ABS($D74))</f>
        <v/>
      </c>
      <c r="K74" s="17">
        <f>IF($A74="","",ROUND($D74,2))</f>
        <v/>
      </c>
      <c r="L74" s="17">
        <f>IF($A74="","",ROUND($C74,2))</f>
        <v/>
      </c>
      <c r="M74" s="17">
        <f>IF($A74="","",IF($F74&lt;=toleransKurus,1,0))</f>
        <v/>
      </c>
      <c r="N74" s="17">
        <f>IF($A74="","",IF($F74&gt;tyk_esikFark,1,0))</f>
        <v/>
      </c>
      <c r="O74" s="17">
        <f>IF($A74="","",IFERROR(SUMIF(tblMotor[A_Norm],$A74,tblMotor[NetKar]),0))</f>
        <v/>
      </c>
      <c r="P74" s="17">
        <f>IF($A74="","",$B74+$M74+$N74)</f>
        <v/>
      </c>
    </row>
    <row r="75">
      <c r="A75" s="17">
        <f>IF('ANAHTAR'!$B75="","",'ANAHTAR'!$B75)</f>
        <v/>
      </c>
      <c r="B75" s="17">
        <f>IF($A75="","",COUNTIF(tblAnahtarB[NormB],$A75))</f>
        <v/>
      </c>
      <c r="C75" s="17">
        <f>IF($A75="","",IFERROR(SUMIF(tblAnahtarB[NormB],$A75,tblHakedis[GercekHakedis]),0))</f>
        <v/>
      </c>
      <c r="D75" s="17">
        <f>IF($A75="","",IFERROR(SUMIF(tblMotor[A_Norm],$A75,tblMotor[BeklenenHakedis]),0))</f>
        <v/>
      </c>
      <c r="E75" s="17">
        <f>IF($A75="","",ROUND($D75,2)-ROUND($C75,2))</f>
        <v/>
      </c>
      <c r="F75" s="17">
        <f>IF($A75="","",ABS($E75))</f>
        <v/>
      </c>
      <c r="G75" s="17">
        <f>IF($A75="","",IF($B75=0,"eslesmedi",IF(ROUND($D75,2)=ROUND($C75,2),"eslesti",IF(ABS(ROUND($D75,2)-ROUND($C75,2))&lt;=toleransKurus,"tolerans_icinde","tutar_farki"))))</f>
        <v/>
      </c>
      <c r="H75" s="17">
        <f>IF($A75="","",IF($B75&gt;0,"BIRINCIL",IF(COUNTIF(tblAnahtarB[IkincilB],'ANAHTAR'!$D75)&gt;0,"IKINCIL","YOK")))</f>
        <v/>
      </c>
      <c r="I75" s="17">
        <f>IF($A75="","",'ANAHTAR'!$F75)</f>
        <v/>
      </c>
      <c r="J75" s="17">
        <f>IF(OR($A75="",$D75=0),0,$F75/ABS($D75))</f>
        <v/>
      </c>
      <c r="K75" s="17">
        <f>IF($A75="","",ROUND($D75,2))</f>
        <v/>
      </c>
      <c r="L75" s="17">
        <f>IF($A75="","",ROUND($C75,2))</f>
        <v/>
      </c>
      <c r="M75" s="17">
        <f>IF($A75="","",IF($F75&lt;=toleransKurus,1,0))</f>
        <v/>
      </c>
      <c r="N75" s="17">
        <f>IF($A75="","",IF($F75&gt;tyk_esikFark,1,0))</f>
        <v/>
      </c>
      <c r="O75" s="17">
        <f>IF($A75="","",IFERROR(SUMIF(tblMotor[A_Norm],$A75,tblMotor[NetKar]),0))</f>
        <v/>
      </c>
      <c r="P75" s="17">
        <f>IF($A75="","",$B75+$M75+$N75)</f>
        <v/>
      </c>
    </row>
    <row r="76">
      <c r="A76" s="17">
        <f>IF('ANAHTAR'!$B76="","",'ANAHTAR'!$B76)</f>
        <v/>
      </c>
      <c r="B76" s="17">
        <f>IF($A76="","",COUNTIF(tblAnahtarB[NormB],$A76))</f>
        <v/>
      </c>
      <c r="C76" s="17">
        <f>IF($A76="","",IFERROR(SUMIF(tblAnahtarB[NormB],$A76,tblHakedis[GercekHakedis]),0))</f>
        <v/>
      </c>
      <c r="D76" s="17">
        <f>IF($A76="","",IFERROR(SUMIF(tblMotor[A_Norm],$A76,tblMotor[BeklenenHakedis]),0))</f>
        <v/>
      </c>
      <c r="E76" s="17">
        <f>IF($A76="","",ROUND($D76,2)-ROUND($C76,2))</f>
        <v/>
      </c>
      <c r="F76" s="17">
        <f>IF($A76="","",ABS($E76))</f>
        <v/>
      </c>
      <c r="G76" s="17">
        <f>IF($A76="","",IF($B76=0,"eslesmedi",IF(ROUND($D76,2)=ROUND($C76,2),"eslesti",IF(ABS(ROUND($D76,2)-ROUND($C76,2))&lt;=toleransKurus,"tolerans_icinde","tutar_farki"))))</f>
        <v/>
      </c>
      <c r="H76" s="17">
        <f>IF($A76="","",IF($B76&gt;0,"BIRINCIL",IF(COUNTIF(tblAnahtarB[IkincilB],'ANAHTAR'!$D76)&gt;0,"IKINCIL","YOK")))</f>
        <v/>
      </c>
      <c r="I76" s="17">
        <f>IF($A76="","",'ANAHTAR'!$F76)</f>
        <v/>
      </c>
      <c r="J76" s="17">
        <f>IF(OR($A76="",$D76=0),0,$F76/ABS($D76))</f>
        <v/>
      </c>
      <c r="K76" s="17">
        <f>IF($A76="","",ROUND($D76,2))</f>
        <v/>
      </c>
      <c r="L76" s="17">
        <f>IF($A76="","",ROUND($C76,2))</f>
        <v/>
      </c>
      <c r="M76" s="17">
        <f>IF($A76="","",IF($F76&lt;=toleransKurus,1,0))</f>
        <v/>
      </c>
      <c r="N76" s="17">
        <f>IF($A76="","",IF($F76&gt;tyk_esikFark,1,0))</f>
        <v/>
      </c>
      <c r="O76" s="17">
        <f>IF($A76="","",IFERROR(SUMIF(tblMotor[A_Norm],$A76,tblMotor[NetKar]),0))</f>
        <v/>
      </c>
      <c r="P76" s="17">
        <f>IF($A76="","",$B76+$M76+$N76)</f>
        <v/>
      </c>
    </row>
    <row r="77">
      <c r="A77" s="17">
        <f>IF('ANAHTAR'!$B77="","",'ANAHTAR'!$B77)</f>
        <v/>
      </c>
      <c r="B77" s="17">
        <f>IF($A77="","",COUNTIF(tblAnahtarB[NormB],$A77))</f>
        <v/>
      </c>
      <c r="C77" s="17">
        <f>IF($A77="","",IFERROR(SUMIF(tblAnahtarB[NormB],$A77,tblHakedis[GercekHakedis]),0))</f>
        <v/>
      </c>
      <c r="D77" s="17">
        <f>IF($A77="","",IFERROR(SUMIF(tblMotor[A_Norm],$A77,tblMotor[BeklenenHakedis]),0))</f>
        <v/>
      </c>
      <c r="E77" s="17">
        <f>IF($A77="","",ROUND($D77,2)-ROUND($C77,2))</f>
        <v/>
      </c>
      <c r="F77" s="17">
        <f>IF($A77="","",ABS($E77))</f>
        <v/>
      </c>
      <c r="G77" s="17">
        <f>IF($A77="","",IF($B77=0,"eslesmedi",IF(ROUND($D77,2)=ROUND($C77,2),"eslesti",IF(ABS(ROUND($D77,2)-ROUND($C77,2))&lt;=toleransKurus,"tolerans_icinde","tutar_farki"))))</f>
        <v/>
      </c>
      <c r="H77" s="17">
        <f>IF($A77="","",IF($B77&gt;0,"BIRINCIL",IF(COUNTIF(tblAnahtarB[IkincilB],'ANAHTAR'!$D77)&gt;0,"IKINCIL","YOK")))</f>
        <v/>
      </c>
      <c r="I77" s="17">
        <f>IF($A77="","",'ANAHTAR'!$F77)</f>
        <v/>
      </c>
      <c r="J77" s="17">
        <f>IF(OR($A77="",$D77=0),0,$F77/ABS($D77))</f>
        <v/>
      </c>
      <c r="K77" s="17">
        <f>IF($A77="","",ROUND($D77,2))</f>
        <v/>
      </c>
      <c r="L77" s="17">
        <f>IF($A77="","",ROUND($C77,2))</f>
        <v/>
      </c>
      <c r="M77" s="17">
        <f>IF($A77="","",IF($F77&lt;=toleransKurus,1,0))</f>
        <v/>
      </c>
      <c r="N77" s="17">
        <f>IF($A77="","",IF($F77&gt;tyk_esikFark,1,0))</f>
        <v/>
      </c>
      <c r="O77" s="17">
        <f>IF($A77="","",IFERROR(SUMIF(tblMotor[A_Norm],$A77,tblMotor[NetKar]),0))</f>
        <v/>
      </c>
      <c r="P77" s="17">
        <f>IF($A77="","",$B77+$M77+$N77)</f>
        <v/>
      </c>
    </row>
    <row r="78">
      <c r="A78" s="17">
        <f>IF('ANAHTAR'!$B78="","",'ANAHTAR'!$B78)</f>
        <v/>
      </c>
      <c r="B78" s="17">
        <f>IF($A78="","",COUNTIF(tblAnahtarB[NormB],$A78))</f>
        <v/>
      </c>
      <c r="C78" s="17">
        <f>IF($A78="","",IFERROR(SUMIF(tblAnahtarB[NormB],$A78,tblHakedis[GercekHakedis]),0))</f>
        <v/>
      </c>
      <c r="D78" s="17">
        <f>IF($A78="","",IFERROR(SUMIF(tblMotor[A_Norm],$A78,tblMotor[BeklenenHakedis]),0))</f>
        <v/>
      </c>
      <c r="E78" s="17">
        <f>IF($A78="","",ROUND($D78,2)-ROUND($C78,2))</f>
        <v/>
      </c>
      <c r="F78" s="17">
        <f>IF($A78="","",ABS($E78))</f>
        <v/>
      </c>
      <c r="G78" s="17">
        <f>IF($A78="","",IF($B78=0,"eslesmedi",IF(ROUND($D78,2)=ROUND($C78,2),"eslesti",IF(ABS(ROUND($D78,2)-ROUND($C78,2))&lt;=toleransKurus,"tolerans_icinde","tutar_farki"))))</f>
        <v/>
      </c>
      <c r="H78" s="17">
        <f>IF($A78="","",IF($B78&gt;0,"BIRINCIL",IF(COUNTIF(tblAnahtarB[IkincilB],'ANAHTAR'!$D78)&gt;0,"IKINCIL","YOK")))</f>
        <v/>
      </c>
      <c r="I78" s="17">
        <f>IF($A78="","",'ANAHTAR'!$F78)</f>
        <v/>
      </c>
      <c r="J78" s="17">
        <f>IF(OR($A78="",$D78=0),0,$F78/ABS($D78))</f>
        <v/>
      </c>
      <c r="K78" s="17">
        <f>IF($A78="","",ROUND($D78,2))</f>
        <v/>
      </c>
      <c r="L78" s="17">
        <f>IF($A78="","",ROUND($C78,2))</f>
        <v/>
      </c>
      <c r="M78" s="17">
        <f>IF($A78="","",IF($F78&lt;=toleransKurus,1,0))</f>
        <v/>
      </c>
      <c r="N78" s="17">
        <f>IF($A78="","",IF($F78&gt;tyk_esikFark,1,0))</f>
        <v/>
      </c>
      <c r="O78" s="17">
        <f>IF($A78="","",IFERROR(SUMIF(tblMotor[A_Norm],$A78,tblMotor[NetKar]),0))</f>
        <v/>
      </c>
      <c r="P78" s="17">
        <f>IF($A78="","",$B78+$M78+$N78)</f>
        <v/>
      </c>
    </row>
    <row r="79">
      <c r="A79" s="17">
        <f>IF('ANAHTAR'!$B79="","",'ANAHTAR'!$B79)</f>
        <v/>
      </c>
      <c r="B79" s="17">
        <f>IF($A79="","",COUNTIF(tblAnahtarB[NormB],$A79))</f>
        <v/>
      </c>
      <c r="C79" s="17">
        <f>IF($A79="","",IFERROR(SUMIF(tblAnahtarB[NormB],$A79,tblHakedis[GercekHakedis]),0))</f>
        <v/>
      </c>
      <c r="D79" s="17">
        <f>IF($A79="","",IFERROR(SUMIF(tblMotor[A_Norm],$A79,tblMotor[BeklenenHakedis]),0))</f>
        <v/>
      </c>
      <c r="E79" s="17">
        <f>IF($A79="","",ROUND($D79,2)-ROUND($C79,2))</f>
        <v/>
      </c>
      <c r="F79" s="17">
        <f>IF($A79="","",ABS($E79))</f>
        <v/>
      </c>
      <c r="G79" s="17">
        <f>IF($A79="","",IF($B79=0,"eslesmedi",IF(ROUND($D79,2)=ROUND($C79,2),"eslesti",IF(ABS(ROUND($D79,2)-ROUND($C79,2))&lt;=toleransKurus,"tolerans_icinde","tutar_farki"))))</f>
        <v/>
      </c>
      <c r="H79" s="17">
        <f>IF($A79="","",IF($B79&gt;0,"BIRINCIL",IF(COUNTIF(tblAnahtarB[IkincilB],'ANAHTAR'!$D79)&gt;0,"IKINCIL","YOK")))</f>
        <v/>
      </c>
      <c r="I79" s="17">
        <f>IF($A79="","",'ANAHTAR'!$F79)</f>
        <v/>
      </c>
      <c r="J79" s="17">
        <f>IF(OR($A79="",$D79=0),0,$F79/ABS($D79))</f>
        <v/>
      </c>
      <c r="K79" s="17">
        <f>IF($A79="","",ROUND($D79,2))</f>
        <v/>
      </c>
      <c r="L79" s="17">
        <f>IF($A79="","",ROUND($C79,2))</f>
        <v/>
      </c>
      <c r="M79" s="17">
        <f>IF($A79="","",IF($F79&lt;=toleransKurus,1,0))</f>
        <v/>
      </c>
      <c r="N79" s="17">
        <f>IF($A79="","",IF($F79&gt;tyk_esikFark,1,0))</f>
        <v/>
      </c>
      <c r="O79" s="17">
        <f>IF($A79="","",IFERROR(SUMIF(tblMotor[A_Norm],$A79,tblMotor[NetKar]),0))</f>
        <v/>
      </c>
      <c r="P79" s="17">
        <f>IF($A79="","",$B79+$M79+$N79)</f>
        <v/>
      </c>
    </row>
    <row r="80">
      <c r="A80" s="17">
        <f>IF('ANAHTAR'!$B80="","",'ANAHTAR'!$B80)</f>
        <v/>
      </c>
      <c r="B80" s="17">
        <f>IF($A80="","",COUNTIF(tblAnahtarB[NormB],$A80))</f>
        <v/>
      </c>
      <c r="C80" s="17">
        <f>IF($A80="","",IFERROR(SUMIF(tblAnahtarB[NormB],$A80,tblHakedis[GercekHakedis]),0))</f>
        <v/>
      </c>
      <c r="D80" s="17">
        <f>IF($A80="","",IFERROR(SUMIF(tblMotor[A_Norm],$A80,tblMotor[BeklenenHakedis]),0))</f>
        <v/>
      </c>
      <c r="E80" s="17">
        <f>IF($A80="","",ROUND($D80,2)-ROUND($C80,2))</f>
        <v/>
      </c>
      <c r="F80" s="17">
        <f>IF($A80="","",ABS($E80))</f>
        <v/>
      </c>
      <c r="G80" s="17">
        <f>IF($A80="","",IF($B80=0,"eslesmedi",IF(ROUND($D80,2)=ROUND($C80,2),"eslesti",IF(ABS(ROUND($D80,2)-ROUND($C80,2))&lt;=toleransKurus,"tolerans_icinde","tutar_farki"))))</f>
        <v/>
      </c>
      <c r="H80" s="17">
        <f>IF($A80="","",IF($B80&gt;0,"BIRINCIL",IF(COUNTIF(tblAnahtarB[IkincilB],'ANAHTAR'!$D80)&gt;0,"IKINCIL","YOK")))</f>
        <v/>
      </c>
      <c r="I80" s="17">
        <f>IF($A80="","",'ANAHTAR'!$F80)</f>
        <v/>
      </c>
      <c r="J80" s="17">
        <f>IF(OR($A80="",$D80=0),0,$F80/ABS($D80))</f>
        <v/>
      </c>
      <c r="K80" s="17">
        <f>IF($A80="","",ROUND($D80,2))</f>
        <v/>
      </c>
      <c r="L80" s="17">
        <f>IF($A80="","",ROUND($C80,2))</f>
        <v/>
      </c>
      <c r="M80" s="17">
        <f>IF($A80="","",IF($F80&lt;=toleransKurus,1,0))</f>
        <v/>
      </c>
      <c r="N80" s="17">
        <f>IF($A80="","",IF($F80&gt;tyk_esikFark,1,0))</f>
        <v/>
      </c>
      <c r="O80" s="17">
        <f>IF($A80="","",IFERROR(SUMIF(tblMotor[A_Norm],$A80,tblMotor[NetKar]),0))</f>
        <v/>
      </c>
      <c r="P80" s="17">
        <f>IF($A80="","",$B80+$M80+$N80)</f>
        <v/>
      </c>
    </row>
    <row r="81">
      <c r="A81" s="17">
        <f>IF('ANAHTAR'!$B81="","",'ANAHTAR'!$B81)</f>
        <v/>
      </c>
      <c r="B81" s="17">
        <f>IF($A81="","",COUNTIF(tblAnahtarB[NormB],$A81))</f>
        <v/>
      </c>
      <c r="C81" s="17">
        <f>IF($A81="","",IFERROR(SUMIF(tblAnahtarB[NormB],$A81,tblHakedis[GercekHakedis]),0))</f>
        <v/>
      </c>
      <c r="D81" s="17">
        <f>IF($A81="","",IFERROR(SUMIF(tblMotor[A_Norm],$A81,tblMotor[BeklenenHakedis]),0))</f>
        <v/>
      </c>
      <c r="E81" s="17">
        <f>IF($A81="","",ROUND($D81,2)-ROUND($C81,2))</f>
        <v/>
      </c>
      <c r="F81" s="17">
        <f>IF($A81="","",ABS($E81))</f>
        <v/>
      </c>
      <c r="G81" s="17">
        <f>IF($A81="","",IF($B81=0,"eslesmedi",IF(ROUND($D81,2)=ROUND($C81,2),"eslesti",IF(ABS(ROUND($D81,2)-ROUND($C81,2))&lt;=toleransKurus,"tolerans_icinde","tutar_farki"))))</f>
        <v/>
      </c>
      <c r="H81" s="17">
        <f>IF($A81="","",IF($B81&gt;0,"BIRINCIL",IF(COUNTIF(tblAnahtarB[IkincilB],'ANAHTAR'!$D81)&gt;0,"IKINCIL","YOK")))</f>
        <v/>
      </c>
      <c r="I81" s="17">
        <f>IF($A81="","",'ANAHTAR'!$F81)</f>
        <v/>
      </c>
      <c r="J81" s="17">
        <f>IF(OR($A81="",$D81=0),0,$F81/ABS($D81))</f>
        <v/>
      </c>
      <c r="K81" s="17">
        <f>IF($A81="","",ROUND($D81,2))</f>
        <v/>
      </c>
      <c r="L81" s="17">
        <f>IF($A81="","",ROUND($C81,2))</f>
        <v/>
      </c>
      <c r="M81" s="17">
        <f>IF($A81="","",IF($F81&lt;=toleransKurus,1,0))</f>
        <v/>
      </c>
      <c r="N81" s="17">
        <f>IF($A81="","",IF($F81&gt;tyk_esikFark,1,0))</f>
        <v/>
      </c>
      <c r="O81" s="17">
        <f>IF($A81="","",IFERROR(SUMIF(tblMotor[A_Norm],$A81,tblMotor[NetKar]),0))</f>
        <v/>
      </c>
      <c r="P81" s="17">
        <f>IF($A81="","",$B81+$M81+$N81)</f>
        <v/>
      </c>
    </row>
    <row r="82">
      <c r="A82" s="17">
        <f>IF('ANAHTAR'!$B82="","",'ANAHTAR'!$B82)</f>
        <v/>
      </c>
      <c r="B82" s="17">
        <f>IF($A82="","",COUNTIF(tblAnahtarB[NormB],$A82))</f>
        <v/>
      </c>
      <c r="C82" s="17">
        <f>IF($A82="","",IFERROR(SUMIF(tblAnahtarB[NormB],$A82,tblHakedis[GercekHakedis]),0))</f>
        <v/>
      </c>
      <c r="D82" s="17">
        <f>IF($A82="","",IFERROR(SUMIF(tblMotor[A_Norm],$A82,tblMotor[BeklenenHakedis]),0))</f>
        <v/>
      </c>
      <c r="E82" s="17">
        <f>IF($A82="","",ROUND($D82,2)-ROUND($C82,2))</f>
        <v/>
      </c>
      <c r="F82" s="17">
        <f>IF($A82="","",ABS($E82))</f>
        <v/>
      </c>
      <c r="G82" s="17">
        <f>IF($A82="","",IF($B82=0,"eslesmedi",IF(ROUND($D82,2)=ROUND($C82,2),"eslesti",IF(ABS(ROUND($D82,2)-ROUND($C82,2))&lt;=toleransKurus,"tolerans_icinde","tutar_farki"))))</f>
        <v/>
      </c>
      <c r="H82" s="17">
        <f>IF($A82="","",IF($B82&gt;0,"BIRINCIL",IF(COUNTIF(tblAnahtarB[IkincilB],'ANAHTAR'!$D82)&gt;0,"IKINCIL","YOK")))</f>
        <v/>
      </c>
      <c r="I82" s="17">
        <f>IF($A82="","",'ANAHTAR'!$F82)</f>
        <v/>
      </c>
      <c r="J82" s="17">
        <f>IF(OR($A82="",$D82=0),0,$F82/ABS($D82))</f>
        <v/>
      </c>
      <c r="K82" s="17">
        <f>IF($A82="","",ROUND($D82,2))</f>
        <v/>
      </c>
      <c r="L82" s="17">
        <f>IF($A82="","",ROUND($C82,2))</f>
        <v/>
      </c>
      <c r="M82" s="17">
        <f>IF($A82="","",IF($F82&lt;=toleransKurus,1,0))</f>
        <v/>
      </c>
      <c r="N82" s="17">
        <f>IF($A82="","",IF($F82&gt;tyk_esikFark,1,0))</f>
        <v/>
      </c>
      <c r="O82" s="17">
        <f>IF($A82="","",IFERROR(SUMIF(tblMotor[A_Norm],$A82,tblMotor[NetKar]),0))</f>
        <v/>
      </c>
      <c r="P82" s="17">
        <f>IF($A82="","",$B82+$M82+$N82)</f>
        <v/>
      </c>
    </row>
    <row r="83">
      <c r="A83" s="17">
        <f>IF('ANAHTAR'!$B83="","",'ANAHTAR'!$B83)</f>
        <v/>
      </c>
      <c r="B83" s="17">
        <f>IF($A83="","",COUNTIF(tblAnahtarB[NormB],$A83))</f>
        <v/>
      </c>
      <c r="C83" s="17">
        <f>IF($A83="","",IFERROR(SUMIF(tblAnahtarB[NormB],$A83,tblHakedis[GercekHakedis]),0))</f>
        <v/>
      </c>
      <c r="D83" s="17">
        <f>IF($A83="","",IFERROR(SUMIF(tblMotor[A_Norm],$A83,tblMotor[BeklenenHakedis]),0))</f>
        <v/>
      </c>
      <c r="E83" s="17">
        <f>IF($A83="","",ROUND($D83,2)-ROUND($C83,2))</f>
        <v/>
      </c>
      <c r="F83" s="17">
        <f>IF($A83="","",ABS($E83))</f>
        <v/>
      </c>
      <c r="G83" s="17">
        <f>IF($A83="","",IF($B83=0,"eslesmedi",IF(ROUND($D83,2)=ROUND($C83,2),"eslesti",IF(ABS(ROUND($D83,2)-ROUND($C83,2))&lt;=toleransKurus,"tolerans_icinde","tutar_farki"))))</f>
        <v/>
      </c>
      <c r="H83" s="17">
        <f>IF($A83="","",IF($B83&gt;0,"BIRINCIL",IF(COUNTIF(tblAnahtarB[IkincilB],'ANAHTAR'!$D83)&gt;0,"IKINCIL","YOK")))</f>
        <v/>
      </c>
      <c r="I83" s="17">
        <f>IF($A83="","",'ANAHTAR'!$F83)</f>
        <v/>
      </c>
      <c r="J83" s="17">
        <f>IF(OR($A83="",$D83=0),0,$F83/ABS($D83))</f>
        <v/>
      </c>
      <c r="K83" s="17">
        <f>IF($A83="","",ROUND($D83,2))</f>
        <v/>
      </c>
      <c r="L83" s="17">
        <f>IF($A83="","",ROUND($C83,2))</f>
        <v/>
      </c>
      <c r="M83" s="17">
        <f>IF($A83="","",IF($F83&lt;=toleransKurus,1,0))</f>
        <v/>
      </c>
      <c r="N83" s="17">
        <f>IF($A83="","",IF($F83&gt;tyk_esikFark,1,0))</f>
        <v/>
      </c>
      <c r="O83" s="17">
        <f>IF($A83="","",IFERROR(SUMIF(tblMotor[A_Norm],$A83,tblMotor[NetKar]),0))</f>
        <v/>
      </c>
      <c r="P83" s="17">
        <f>IF($A83="","",$B83+$M83+$N83)</f>
        <v/>
      </c>
    </row>
    <row r="84">
      <c r="A84" s="17">
        <f>IF('ANAHTAR'!$B84="","",'ANAHTAR'!$B84)</f>
        <v/>
      </c>
      <c r="B84" s="17">
        <f>IF($A84="","",COUNTIF(tblAnahtarB[NormB],$A84))</f>
        <v/>
      </c>
      <c r="C84" s="17">
        <f>IF($A84="","",IFERROR(SUMIF(tblAnahtarB[NormB],$A84,tblHakedis[GercekHakedis]),0))</f>
        <v/>
      </c>
      <c r="D84" s="17">
        <f>IF($A84="","",IFERROR(SUMIF(tblMotor[A_Norm],$A84,tblMotor[BeklenenHakedis]),0))</f>
        <v/>
      </c>
      <c r="E84" s="17">
        <f>IF($A84="","",ROUND($D84,2)-ROUND($C84,2))</f>
        <v/>
      </c>
      <c r="F84" s="17">
        <f>IF($A84="","",ABS($E84))</f>
        <v/>
      </c>
      <c r="G84" s="17">
        <f>IF($A84="","",IF($B84=0,"eslesmedi",IF(ROUND($D84,2)=ROUND($C84,2),"eslesti",IF(ABS(ROUND($D84,2)-ROUND($C84,2))&lt;=toleransKurus,"tolerans_icinde","tutar_farki"))))</f>
        <v/>
      </c>
      <c r="H84" s="17">
        <f>IF($A84="","",IF($B84&gt;0,"BIRINCIL",IF(COUNTIF(tblAnahtarB[IkincilB],'ANAHTAR'!$D84)&gt;0,"IKINCIL","YOK")))</f>
        <v/>
      </c>
      <c r="I84" s="17">
        <f>IF($A84="","",'ANAHTAR'!$F84)</f>
        <v/>
      </c>
      <c r="J84" s="17">
        <f>IF(OR($A84="",$D84=0),0,$F84/ABS($D84))</f>
        <v/>
      </c>
      <c r="K84" s="17">
        <f>IF($A84="","",ROUND($D84,2))</f>
        <v/>
      </c>
      <c r="L84" s="17">
        <f>IF($A84="","",ROUND($C84,2))</f>
        <v/>
      </c>
      <c r="M84" s="17">
        <f>IF($A84="","",IF($F84&lt;=toleransKurus,1,0))</f>
        <v/>
      </c>
      <c r="N84" s="17">
        <f>IF($A84="","",IF($F84&gt;tyk_esikFark,1,0))</f>
        <v/>
      </c>
      <c r="O84" s="17">
        <f>IF($A84="","",IFERROR(SUMIF(tblMotor[A_Norm],$A84,tblMotor[NetKar]),0))</f>
        <v/>
      </c>
      <c r="P84" s="17">
        <f>IF($A84="","",$B84+$M84+$N84)</f>
        <v/>
      </c>
    </row>
    <row r="85">
      <c r="A85" s="17">
        <f>IF('ANAHTAR'!$B85="","",'ANAHTAR'!$B85)</f>
        <v/>
      </c>
      <c r="B85" s="17">
        <f>IF($A85="","",COUNTIF(tblAnahtarB[NormB],$A85))</f>
        <v/>
      </c>
      <c r="C85" s="17">
        <f>IF($A85="","",IFERROR(SUMIF(tblAnahtarB[NormB],$A85,tblHakedis[GercekHakedis]),0))</f>
        <v/>
      </c>
      <c r="D85" s="17">
        <f>IF($A85="","",IFERROR(SUMIF(tblMotor[A_Norm],$A85,tblMotor[BeklenenHakedis]),0))</f>
        <v/>
      </c>
      <c r="E85" s="17">
        <f>IF($A85="","",ROUND($D85,2)-ROUND($C85,2))</f>
        <v/>
      </c>
      <c r="F85" s="17">
        <f>IF($A85="","",ABS($E85))</f>
        <v/>
      </c>
      <c r="G85" s="17">
        <f>IF($A85="","",IF($B85=0,"eslesmedi",IF(ROUND($D85,2)=ROUND($C85,2),"eslesti",IF(ABS(ROUND($D85,2)-ROUND($C85,2))&lt;=toleransKurus,"tolerans_icinde","tutar_farki"))))</f>
        <v/>
      </c>
      <c r="H85" s="17">
        <f>IF($A85="","",IF($B85&gt;0,"BIRINCIL",IF(COUNTIF(tblAnahtarB[IkincilB],'ANAHTAR'!$D85)&gt;0,"IKINCIL","YOK")))</f>
        <v/>
      </c>
      <c r="I85" s="17">
        <f>IF($A85="","",'ANAHTAR'!$F85)</f>
        <v/>
      </c>
      <c r="J85" s="17">
        <f>IF(OR($A85="",$D85=0),0,$F85/ABS($D85))</f>
        <v/>
      </c>
      <c r="K85" s="17">
        <f>IF($A85="","",ROUND($D85,2))</f>
        <v/>
      </c>
      <c r="L85" s="17">
        <f>IF($A85="","",ROUND($C85,2))</f>
        <v/>
      </c>
      <c r="M85" s="17">
        <f>IF($A85="","",IF($F85&lt;=toleransKurus,1,0))</f>
        <v/>
      </c>
      <c r="N85" s="17">
        <f>IF($A85="","",IF($F85&gt;tyk_esikFark,1,0))</f>
        <v/>
      </c>
      <c r="O85" s="17">
        <f>IF($A85="","",IFERROR(SUMIF(tblMotor[A_Norm],$A85,tblMotor[NetKar]),0))</f>
        <v/>
      </c>
      <c r="P85" s="17">
        <f>IF($A85="","",$B85+$M85+$N85)</f>
        <v/>
      </c>
    </row>
    <row r="86">
      <c r="A86" s="17">
        <f>IF('ANAHTAR'!$B86="","",'ANAHTAR'!$B86)</f>
        <v/>
      </c>
      <c r="B86" s="17">
        <f>IF($A86="","",COUNTIF(tblAnahtarB[NormB],$A86))</f>
        <v/>
      </c>
      <c r="C86" s="17">
        <f>IF($A86="","",IFERROR(SUMIF(tblAnahtarB[NormB],$A86,tblHakedis[GercekHakedis]),0))</f>
        <v/>
      </c>
      <c r="D86" s="17">
        <f>IF($A86="","",IFERROR(SUMIF(tblMotor[A_Norm],$A86,tblMotor[BeklenenHakedis]),0))</f>
        <v/>
      </c>
      <c r="E86" s="17">
        <f>IF($A86="","",ROUND($D86,2)-ROUND($C86,2))</f>
        <v/>
      </c>
      <c r="F86" s="17">
        <f>IF($A86="","",ABS($E86))</f>
        <v/>
      </c>
      <c r="G86" s="17">
        <f>IF($A86="","",IF($B86=0,"eslesmedi",IF(ROUND($D86,2)=ROUND($C86,2),"eslesti",IF(ABS(ROUND($D86,2)-ROUND($C86,2))&lt;=toleransKurus,"tolerans_icinde","tutar_farki"))))</f>
        <v/>
      </c>
      <c r="H86" s="17">
        <f>IF($A86="","",IF($B86&gt;0,"BIRINCIL",IF(COUNTIF(tblAnahtarB[IkincilB],'ANAHTAR'!$D86)&gt;0,"IKINCIL","YOK")))</f>
        <v/>
      </c>
      <c r="I86" s="17">
        <f>IF($A86="","",'ANAHTAR'!$F86)</f>
        <v/>
      </c>
      <c r="J86" s="17">
        <f>IF(OR($A86="",$D86=0),0,$F86/ABS($D86))</f>
        <v/>
      </c>
      <c r="K86" s="17">
        <f>IF($A86="","",ROUND($D86,2))</f>
        <v/>
      </c>
      <c r="L86" s="17">
        <f>IF($A86="","",ROUND($C86,2))</f>
        <v/>
      </c>
      <c r="M86" s="17">
        <f>IF($A86="","",IF($F86&lt;=toleransKurus,1,0))</f>
        <v/>
      </c>
      <c r="N86" s="17">
        <f>IF($A86="","",IF($F86&gt;tyk_esikFark,1,0))</f>
        <v/>
      </c>
      <c r="O86" s="17">
        <f>IF($A86="","",IFERROR(SUMIF(tblMotor[A_Norm],$A86,tblMotor[NetKar]),0))</f>
        <v/>
      </c>
      <c r="P86" s="17">
        <f>IF($A86="","",$B86+$M86+$N86)</f>
        <v/>
      </c>
    </row>
    <row r="87">
      <c r="A87" s="17">
        <f>IF('ANAHTAR'!$B87="","",'ANAHTAR'!$B87)</f>
        <v/>
      </c>
      <c r="B87" s="17">
        <f>IF($A87="","",COUNTIF(tblAnahtarB[NormB],$A87))</f>
        <v/>
      </c>
      <c r="C87" s="17">
        <f>IF($A87="","",IFERROR(SUMIF(tblAnahtarB[NormB],$A87,tblHakedis[GercekHakedis]),0))</f>
        <v/>
      </c>
      <c r="D87" s="17">
        <f>IF($A87="","",IFERROR(SUMIF(tblMotor[A_Norm],$A87,tblMotor[BeklenenHakedis]),0))</f>
        <v/>
      </c>
      <c r="E87" s="17">
        <f>IF($A87="","",ROUND($D87,2)-ROUND($C87,2))</f>
        <v/>
      </c>
      <c r="F87" s="17">
        <f>IF($A87="","",ABS($E87))</f>
        <v/>
      </c>
      <c r="G87" s="17">
        <f>IF($A87="","",IF($B87=0,"eslesmedi",IF(ROUND($D87,2)=ROUND($C87,2),"eslesti",IF(ABS(ROUND($D87,2)-ROUND($C87,2))&lt;=toleransKurus,"tolerans_icinde","tutar_farki"))))</f>
        <v/>
      </c>
      <c r="H87" s="17">
        <f>IF($A87="","",IF($B87&gt;0,"BIRINCIL",IF(COUNTIF(tblAnahtarB[IkincilB],'ANAHTAR'!$D87)&gt;0,"IKINCIL","YOK")))</f>
        <v/>
      </c>
      <c r="I87" s="17">
        <f>IF($A87="","",'ANAHTAR'!$F87)</f>
        <v/>
      </c>
      <c r="J87" s="17">
        <f>IF(OR($A87="",$D87=0),0,$F87/ABS($D87))</f>
        <v/>
      </c>
      <c r="K87" s="17">
        <f>IF($A87="","",ROUND($D87,2))</f>
        <v/>
      </c>
      <c r="L87" s="17">
        <f>IF($A87="","",ROUND($C87,2))</f>
        <v/>
      </c>
      <c r="M87" s="17">
        <f>IF($A87="","",IF($F87&lt;=toleransKurus,1,0))</f>
        <v/>
      </c>
      <c r="N87" s="17">
        <f>IF($A87="","",IF($F87&gt;tyk_esikFark,1,0))</f>
        <v/>
      </c>
      <c r="O87" s="17">
        <f>IF($A87="","",IFERROR(SUMIF(tblMotor[A_Norm],$A87,tblMotor[NetKar]),0))</f>
        <v/>
      </c>
      <c r="P87" s="17">
        <f>IF($A87="","",$B87+$M87+$N87)</f>
        <v/>
      </c>
    </row>
    <row r="88">
      <c r="A88" s="17">
        <f>IF('ANAHTAR'!$B88="","",'ANAHTAR'!$B88)</f>
        <v/>
      </c>
      <c r="B88" s="17">
        <f>IF($A88="","",COUNTIF(tblAnahtarB[NormB],$A88))</f>
        <v/>
      </c>
      <c r="C88" s="17">
        <f>IF($A88="","",IFERROR(SUMIF(tblAnahtarB[NormB],$A88,tblHakedis[GercekHakedis]),0))</f>
        <v/>
      </c>
      <c r="D88" s="17">
        <f>IF($A88="","",IFERROR(SUMIF(tblMotor[A_Norm],$A88,tblMotor[BeklenenHakedis]),0))</f>
        <v/>
      </c>
      <c r="E88" s="17">
        <f>IF($A88="","",ROUND($D88,2)-ROUND($C88,2))</f>
        <v/>
      </c>
      <c r="F88" s="17">
        <f>IF($A88="","",ABS($E88))</f>
        <v/>
      </c>
      <c r="G88" s="17">
        <f>IF($A88="","",IF($B88=0,"eslesmedi",IF(ROUND($D88,2)=ROUND($C88,2),"eslesti",IF(ABS(ROUND($D88,2)-ROUND($C88,2))&lt;=toleransKurus,"tolerans_icinde","tutar_farki"))))</f>
        <v/>
      </c>
      <c r="H88" s="17">
        <f>IF($A88="","",IF($B88&gt;0,"BIRINCIL",IF(COUNTIF(tblAnahtarB[IkincilB],'ANAHTAR'!$D88)&gt;0,"IKINCIL","YOK")))</f>
        <v/>
      </c>
      <c r="I88" s="17">
        <f>IF($A88="","",'ANAHTAR'!$F88)</f>
        <v/>
      </c>
      <c r="J88" s="17">
        <f>IF(OR($A88="",$D88=0),0,$F88/ABS($D88))</f>
        <v/>
      </c>
      <c r="K88" s="17">
        <f>IF($A88="","",ROUND($D88,2))</f>
        <v/>
      </c>
      <c r="L88" s="17">
        <f>IF($A88="","",ROUND($C88,2))</f>
        <v/>
      </c>
      <c r="M88" s="17">
        <f>IF($A88="","",IF($F88&lt;=toleransKurus,1,0))</f>
        <v/>
      </c>
      <c r="N88" s="17">
        <f>IF($A88="","",IF($F88&gt;tyk_esikFark,1,0))</f>
        <v/>
      </c>
      <c r="O88" s="17">
        <f>IF($A88="","",IFERROR(SUMIF(tblMotor[A_Norm],$A88,tblMotor[NetKar]),0))</f>
        <v/>
      </c>
      <c r="P88" s="17">
        <f>IF($A88="","",$B88+$M88+$N88)</f>
        <v/>
      </c>
    </row>
    <row r="89">
      <c r="A89" s="17">
        <f>IF('ANAHTAR'!$B89="","",'ANAHTAR'!$B89)</f>
        <v/>
      </c>
      <c r="B89" s="17">
        <f>IF($A89="","",COUNTIF(tblAnahtarB[NormB],$A89))</f>
        <v/>
      </c>
      <c r="C89" s="17">
        <f>IF($A89="","",IFERROR(SUMIF(tblAnahtarB[NormB],$A89,tblHakedis[GercekHakedis]),0))</f>
        <v/>
      </c>
      <c r="D89" s="17">
        <f>IF($A89="","",IFERROR(SUMIF(tblMotor[A_Norm],$A89,tblMotor[BeklenenHakedis]),0))</f>
        <v/>
      </c>
      <c r="E89" s="17">
        <f>IF($A89="","",ROUND($D89,2)-ROUND($C89,2))</f>
        <v/>
      </c>
      <c r="F89" s="17">
        <f>IF($A89="","",ABS($E89))</f>
        <v/>
      </c>
      <c r="G89" s="17">
        <f>IF($A89="","",IF($B89=0,"eslesmedi",IF(ROUND($D89,2)=ROUND($C89,2),"eslesti",IF(ABS(ROUND($D89,2)-ROUND($C89,2))&lt;=toleransKurus,"tolerans_icinde","tutar_farki"))))</f>
        <v/>
      </c>
      <c r="H89" s="17">
        <f>IF($A89="","",IF($B89&gt;0,"BIRINCIL",IF(COUNTIF(tblAnahtarB[IkincilB],'ANAHTAR'!$D89)&gt;0,"IKINCIL","YOK")))</f>
        <v/>
      </c>
      <c r="I89" s="17">
        <f>IF($A89="","",'ANAHTAR'!$F89)</f>
        <v/>
      </c>
      <c r="J89" s="17">
        <f>IF(OR($A89="",$D89=0),0,$F89/ABS($D89))</f>
        <v/>
      </c>
      <c r="K89" s="17">
        <f>IF($A89="","",ROUND($D89,2))</f>
        <v/>
      </c>
      <c r="L89" s="17">
        <f>IF($A89="","",ROUND($C89,2))</f>
        <v/>
      </c>
      <c r="M89" s="17">
        <f>IF($A89="","",IF($F89&lt;=toleransKurus,1,0))</f>
        <v/>
      </c>
      <c r="N89" s="17">
        <f>IF($A89="","",IF($F89&gt;tyk_esikFark,1,0))</f>
        <v/>
      </c>
      <c r="O89" s="17">
        <f>IF($A89="","",IFERROR(SUMIF(tblMotor[A_Norm],$A89,tblMotor[NetKar]),0))</f>
        <v/>
      </c>
      <c r="P89" s="17">
        <f>IF($A89="","",$B89+$M89+$N89)</f>
        <v/>
      </c>
    </row>
    <row r="90">
      <c r="A90" s="17">
        <f>IF('ANAHTAR'!$B90="","",'ANAHTAR'!$B90)</f>
        <v/>
      </c>
      <c r="B90" s="17">
        <f>IF($A90="","",COUNTIF(tblAnahtarB[NormB],$A90))</f>
        <v/>
      </c>
      <c r="C90" s="17">
        <f>IF($A90="","",IFERROR(SUMIF(tblAnahtarB[NormB],$A90,tblHakedis[GercekHakedis]),0))</f>
        <v/>
      </c>
      <c r="D90" s="17">
        <f>IF($A90="","",IFERROR(SUMIF(tblMotor[A_Norm],$A90,tblMotor[BeklenenHakedis]),0))</f>
        <v/>
      </c>
      <c r="E90" s="17">
        <f>IF($A90="","",ROUND($D90,2)-ROUND($C90,2))</f>
        <v/>
      </c>
      <c r="F90" s="17">
        <f>IF($A90="","",ABS($E90))</f>
        <v/>
      </c>
      <c r="G90" s="17">
        <f>IF($A90="","",IF($B90=0,"eslesmedi",IF(ROUND($D90,2)=ROUND($C90,2),"eslesti",IF(ABS(ROUND($D90,2)-ROUND($C90,2))&lt;=toleransKurus,"tolerans_icinde","tutar_farki"))))</f>
        <v/>
      </c>
      <c r="H90" s="17">
        <f>IF($A90="","",IF($B90&gt;0,"BIRINCIL",IF(COUNTIF(tblAnahtarB[IkincilB],'ANAHTAR'!$D90)&gt;0,"IKINCIL","YOK")))</f>
        <v/>
      </c>
      <c r="I90" s="17">
        <f>IF($A90="","",'ANAHTAR'!$F90)</f>
        <v/>
      </c>
      <c r="J90" s="17">
        <f>IF(OR($A90="",$D90=0),0,$F90/ABS($D90))</f>
        <v/>
      </c>
      <c r="K90" s="17">
        <f>IF($A90="","",ROUND($D90,2))</f>
        <v/>
      </c>
      <c r="L90" s="17">
        <f>IF($A90="","",ROUND($C90,2))</f>
        <v/>
      </c>
      <c r="M90" s="17">
        <f>IF($A90="","",IF($F90&lt;=toleransKurus,1,0))</f>
        <v/>
      </c>
      <c r="N90" s="17">
        <f>IF($A90="","",IF($F90&gt;tyk_esikFark,1,0))</f>
        <v/>
      </c>
      <c r="O90" s="17">
        <f>IF($A90="","",IFERROR(SUMIF(tblMotor[A_Norm],$A90,tblMotor[NetKar]),0))</f>
        <v/>
      </c>
      <c r="P90" s="17">
        <f>IF($A90="","",$B90+$M90+$N90)</f>
        <v/>
      </c>
    </row>
    <row r="91">
      <c r="A91" s="17">
        <f>IF('ANAHTAR'!$B91="","",'ANAHTAR'!$B91)</f>
        <v/>
      </c>
      <c r="B91" s="17">
        <f>IF($A91="","",COUNTIF(tblAnahtarB[NormB],$A91))</f>
        <v/>
      </c>
      <c r="C91" s="17">
        <f>IF($A91="","",IFERROR(SUMIF(tblAnahtarB[NormB],$A91,tblHakedis[GercekHakedis]),0))</f>
        <v/>
      </c>
      <c r="D91" s="17">
        <f>IF($A91="","",IFERROR(SUMIF(tblMotor[A_Norm],$A91,tblMotor[BeklenenHakedis]),0))</f>
        <v/>
      </c>
      <c r="E91" s="17">
        <f>IF($A91="","",ROUND($D91,2)-ROUND($C91,2))</f>
        <v/>
      </c>
      <c r="F91" s="17">
        <f>IF($A91="","",ABS($E91))</f>
        <v/>
      </c>
      <c r="G91" s="17">
        <f>IF($A91="","",IF($B91=0,"eslesmedi",IF(ROUND($D91,2)=ROUND($C91,2),"eslesti",IF(ABS(ROUND($D91,2)-ROUND($C91,2))&lt;=toleransKurus,"tolerans_icinde","tutar_farki"))))</f>
        <v/>
      </c>
      <c r="H91" s="17">
        <f>IF($A91="","",IF($B91&gt;0,"BIRINCIL",IF(COUNTIF(tblAnahtarB[IkincilB],'ANAHTAR'!$D91)&gt;0,"IKINCIL","YOK")))</f>
        <v/>
      </c>
      <c r="I91" s="17">
        <f>IF($A91="","",'ANAHTAR'!$F91)</f>
        <v/>
      </c>
      <c r="J91" s="17">
        <f>IF(OR($A91="",$D91=0),0,$F91/ABS($D91))</f>
        <v/>
      </c>
      <c r="K91" s="17">
        <f>IF($A91="","",ROUND($D91,2))</f>
        <v/>
      </c>
      <c r="L91" s="17">
        <f>IF($A91="","",ROUND($C91,2))</f>
        <v/>
      </c>
      <c r="M91" s="17">
        <f>IF($A91="","",IF($F91&lt;=toleransKurus,1,0))</f>
        <v/>
      </c>
      <c r="N91" s="17">
        <f>IF($A91="","",IF($F91&gt;tyk_esikFark,1,0))</f>
        <v/>
      </c>
      <c r="O91" s="17">
        <f>IF($A91="","",IFERROR(SUMIF(tblMotor[A_Norm],$A91,tblMotor[NetKar]),0))</f>
        <v/>
      </c>
      <c r="P91" s="17">
        <f>IF($A91="","",$B91+$M91+$N91)</f>
        <v/>
      </c>
    </row>
    <row r="92">
      <c r="A92" s="17">
        <f>IF('ANAHTAR'!$B92="","",'ANAHTAR'!$B92)</f>
        <v/>
      </c>
      <c r="B92" s="17">
        <f>IF($A92="","",COUNTIF(tblAnahtarB[NormB],$A92))</f>
        <v/>
      </c>
      <c r="C92" s="17">
        <f>IF($A92="","",IFERROR(SUMIF(tblAnahtarB[NormB],$A92,tblHakedis[GercekHakedis]),0))</f>
        <v/>
      </c>
      <c r="D92" s="17">
        <f>IF($A92="","",IFERROR(SUMIF(tblMotor[A_Norm],$A92,tblMotor[BeklenenHakedis]),0))</f>
        <v/>
      </c>
      <c r="E92" s="17">
        <f>IF($A92="","",ROUND($D92,2)-ROUND($C92,2))</f>
        <v/>
      </c>
      <c r="F92" s="17">
        <f>IF($A92="","",ABS($E92))</f>
        <v/>
      </c>
      <c r="G92" s="17">
        <f>IF($A92="","",IF($B92=0,"eslesmedi",IF(ROUND($D92,2)=ROUND($C92,2),"eslesti",IF(ABS(ROUND($D92,2)-ROUND($C92,2))&lt;=toleransKurus,"tolerans_icinde","tutar_farki"))))</f>
        <v/>
      </c>
      <c r="H92" s="17">
        <f>IF($A92="","",IF($B92&gt;0,"BIRINCIL",IF(COUNTIF(tblAnahtarB[IkincilB],'ANAHTAR'!$D92)&gt;0,"IKINCIL","YOK")))</f>
        <v/>
      </c>
      <c r="I92" s="17">
        <f>IF($A92="","",'ANAHTAR'!$F92)</f>
        <v/>
      </c>
      <c r="J92" s="17">
        <f>IF(OR($A92="",$D92=0),0,$F92/ABS($D92))</f>
        <v/>
      </c>
      <c r="K92" s="17">
        <f>IF($A92="","",ROUND($D92,2))</f>
        <v/>
      </c>
      <c r="L92" s="17">
        <f>IF($A92="","",ROUND($C92,2))</f>
        <v/>
      </c>
      <c r="M92" s="17">
        <f>IF($A92="","",IF($F92&lt;=toleransKurus,1,0))</f>
        <v/>
      </c>
      <c r="N92" s="17">
        <f>IF($A92="","",IF($F92&gt;tyk_esikFark,1,0))</f>
        <v/>
      </c>
      <c r="O92" s="17">
        <f>IF($A92="","",IFERROR(SUMIF(tblMotor[A_Norm],$A92,tblMotor[NetKar]),0))</f>
        <v/>
      </c>
      <c r="P92" s="17">
        <f>IF($A92="","",$B92+$M92+$N92)</f>
        <v/>
      </c>
    </row>
    <row r="93">
      <c r="A93" s="17">
        <f>IF('ANAHTAR'!$B93="","",'ANAHTAR'!$B93)</f>
        <v/>
      </c>
      <c r="B93" s="17">
        <f>IF($A93="","",COUNTIF(tblAnahtarB[NormB],$A93))</f>
        <v/>
      </c>
      <c r="C93" s="17">
        <f>IF($A93="","",IFERROR(SUMIF(tblAnahtarB[NormB],$A93,tblHakedis[GercekHakedis]),0))</f>
        <v/>
      </c>
      <c r="D93" s="17">
        <f>IF($A93="","",IFERROR(SUMIF(tblMotor[A_Norm],$A93,tblMotor[BeklenenHakedis]),0))</f>
        <v/>
      </c>
      <c r="E93" s="17">
        <f>IF($A93="","",ROUND($D93,2)-ROUND($C93,2))</f>
        <v/>
      </c>
      <c r="F93" s="17">
        <f>IF($A93="","",ABS($E93))</f>
        <v/>
      </c>
      <c r="G93" s="17">
        <f>IF($A93="","",IF($B93=0,"eslesmedi",IF(ROUND($D93,2)=ROUND($C93,2),"eslesti",IF(ABS(ROUND($D93,2)-ROUND($C93,2))&lt;=toleransKurus,"tolerans_icinde","tutar_farki"))))</f>
        <v/>
      </c>
      <c r="H93" s="17">
        <f>IF($A93="","",IF($B93&gt;0,"BIRINCIL",IF(COUNTIF(tblAnahtarB[IkincilB],'ANAHTAR'!$D93)&gt;0,"IKINCIL","YOK")))</f>
        <v/>
      </c>
      <c r="I93" s="17">
        <f>IF($A93="","",'ANAHTAR'!$F93)</f>
        <v/>
      </c>
      <c r="J93" s="17">
        <f>IF(OR($A93="",$D93=0),0,$F93/ABS($D93))</f>
        <v/>
      </c>
      <c r="K93" s="17">
        <f>IF($A93="","",ROUND($D93,2))</f>
        <v/>
      </c>
      <c r="L93" s="17">
        <f>IF($A93="","",ROUND($C93,2))</f>
        <v/>
      </c>
      <c r="M93" s="17">
        <f>IF($A93="","",IF($F93&lt;=toleransKurus,1,0))</f>
        <v/>
      </c>
      <c r="N93" s="17">
        <f>IF($A93="","",IF($F93&gt;tyk_esikFark,1,0))</f>
        <v/>
      </c>
      <c r="O93" s="17">
        <f>IF($A93="","",IFERROR(SUMIF(tblMotor[A_Norm],$A93,tblMotor[NetKar]),0))</f>
        <v/>
      </c>
      <c r="P93" s="17">
        <f>IF($A93="","",$B93+$M93+$N93)</f>
        <v/>
      </c>
    </row>
    <row r="94">
      <c r="A94" s="17">
        <f>IF('ANAHTAR'!$B94="","",'ANAHTAR'!$B94)</f>
        <v/>
      </c>
      <c r="B94" s="17">
        <f>IF($A94="","",COUNTIF(tblAnahtarB[NormB],$A94))</f>
        <v/>
      </c>
      <c r="C94" s="17">
        <f>IF($A94="","",IFERROR(SUMIF(tblAnahtarB[NormB],$A94,tblHakedis[GercekHakedis]),0))</f>
        <v/>
      </c>
      <c r="D94" s="17">
        <f>IF($A94="","",IFERROR(SUMIF(tblMotor[A_Norm],$A94,tblMotor[BeklenenHakedis]),0))</f>
        <v/>
      </c>
      <c r="E94" s="17">
        <f>IF($A94="","",ROUND($D94,2)-ROUND($C94,2))</f>
        <v/>
      </c>
      <c r="F94" s="17">
        <f>IF($A94="","",ABS($E94))</f>
        <v/>
      </c>
      <c r="G94" s="17">
        <f>IF($A94="","",IF($B94=0,"eslesmedi",IF(ROUND($D94,2)=ROUND($C94,2),"eslesti",IF(ABS(ROUND($D94,2)-ROUND($C94,2))&lt;=toleransKurus,"tolerans_icinde","tutar_farki"))))</f>
        <v/>
      </c>
      <c r="H94" s="17">
        <f>IF($A94="","",IF($B94&gt;0,"BIRINCIL",IF(COUNTIF(tblAnahtarB[IkincilB],'ANAHTAR'!$D94)&gt;0,"IKINCIL","YOK")))</f>
        <v/>
      </c>
      <c r="I94" s="17">
        <f>IF($A94="","",'ANAHTAR'!$F94)</f>
        <v/>
      </c>
      <c r="J94" s="17">
        <f>IF(OR($A94="",$D94=0),0,$F94/ABS($D94))</f>
        <v/>
      </c>
      <c r="K94" s="17">
        <f>IF($A94="","",ROUND($D94,2))</f>
        <v/>
      </c>
      <c r="L94" s="17">
        <f>IF($A94="","",ROUND($C94,2))</f>
        <v/>
      </c>
      <c r="M94" s="17">
        <f>IF($A94="","",IF($F94&lt;=toleransKurus,1,0))</f>
        <v/>
      </c>
      <c r="N94" s="17">
        <f>IF($A94="","",IF($F94&gt;tyk_esikFark,1,0))</f>
        <v/>
      </c>
      <c r="O94" s="17">
        <f>IF($A94="","",IFERROR(SUMIF(tblMotor[A_Norm],$A94,tblMotor[NetKar]),0))</f>
        <v/>
      </c>
      <c r="P94" s="17">
        <f>IF($A94="","",$B94+$M94+$N94)</f>
        <v/>
      </c>
    </row>
    <row r="95">
      <c r="A95" s="17">
        <f>IF('ANAHTAR'!$B95="","",'ANAHTAR'!$B95)</f>
        <v/>
      </c>
      <c r="B95" s="17">
        <f>IF($A95="","",COUNTIF(tblAnahtarB[NormB],$A95))</f>
        <v/>
      </c>
      <c r="C95" s="17">
        <f>IF($A95="","",IFERROR(SUMIF(tblAnahtarB[NormB],$A95,tblHakedis[GercekHakedis]),0))</f>
        <v/>
      </c>
      <c r="D95" s="17">
        <f>IF($A95="","",IFERROR(SUMIF(tblMotor[A_Norm],$A95,tblMotor[BeklenenHakedis]),0))</f>
        <v/>
      </c>
      <c r="E95" s="17">
        <f>IF($A95="","",ROUND($D95,2)-ROUND($C95,2))</f>
        <v/>
      </c>
      <c r="F95" s="17">
        <f>IF($A95="","",ABS($E95))</f>
        <v/>
      </c>
      <c r="G95" s="17">
        <f>IF($A95="","",IF($B95=0,"eslesmedi",IF(ROUND($D95,2)=ROUND($C95,2),"eslesti",IF(ABS(ROUND($D95,2)-ROUND($C95,2))&lt;=toleransKurus,"tolerans_icinde","tutar_farki"))))</f>
        <v/>
      </c>
      <c r="H95" s="17">
        <f>IF($A95="","",IF($B95&gt;0,"BIRINCIL",IF(COUNTIF(tblAnahtarB[IkincilB],'ANAHTAR'!$D95)&gt;0,"IKINCIL","YOK")))</f>
        <v/>
      </c>
      <c r="I95" s="17">
        <f>IF($A95="","",'ANAHTAR'!$F95)</f>
        <v/>
      </c>
      <c r="J95" s="17">
        <f>IF(OR($A95="",$D95=0),0,$F95/ABS($D95))</f>
        <v/>
      </c>
      <c r="K95" s="17">
        <f>IF($A95="","",ROUND($D95,2))</f>
        <v/>
      </c>
      <c r="L95" s="17">
        <f>IF($A95="","",ROUND($C95,2))</f>
        <v/>
      </c>
      <c r="M95" s="17">
        <f>IF($A95="","",IF($F95&lt;=toleransKurus,1,0))</f>
        <v/>
      </c>
      <c r="N95" s="17">
        <f>IF($A95="","",IF($F95&gt;tyk_esikFark,1,0))</f>
        <v/>
      </c>
      <c r="O95" s="17">
        <f>IF($A95="","",IFERROR(SUMIF(tblMotor[A_Norm],$A95,tblMotor[NetKar]),0))</f>
        <v/>
      </c>
      <c r="P95" s="17">
        <f>IF($A95="","",$B95+$M95+$N95)</f>
        <v/>
      </c>
    </row>
    <row r="96">
      <c r="A96" s="17">
        <f>IF('ANAHTAR'!$B96="","",'ANAHTAR'!$B96)</f>
        <v/>
      </c>
      <c r="B96" s="17">
        <f>IF($A96="","",COUNTIF(tblAnahtarB[NormB],$A96))</f>
        <v/>
      </c>
      <c r="C96" s="17">
        <f>IF($A96="","",IFERROR(SUMIF(tblAnahtarB[NormB],$A96,tblHakedis[GercekHakedis]),0))</f>
        <v/>
      </c>
      <c r="D96" s="17">
        <f>IF($A96="","",IFERROR(SUMIF(tblMotor[A_Norm],$A96,tblMotor[BeklenenHakedis]),0))</f>
        <v/>
      </c>
      <c r="E96" s="17">
        <f>IF($A96="","",ROUND($D96,2)-ROUND($C96,2))</f>
        <v/>
      </c>
      <c r="F96" s="17">
        <f>IF($A96="","",ABS($E96))</f>
        <v/>
      </c>
      <c r="G96" s="17">
        <f>IF($A96="","",IF($B96=0,"eslesmedi",IF(ROUND($D96,2)=ROUND($C96,2),"eslesti",IF(ABS(ROUND($D96,2)-ROUND($C96,2))&lt;=toleransKurus,"tolerans_icinde","tutar_farki"))))</f>
        <v/>
      </c>
      <c r="H96" s="17">
        <f>IF($A96="","",IF($B96&gt;0,"BIRINCIL",IF(COUNTIF(tblAnahtarB[IkincilB],'ANAHTAR'!$D96)&gt;0,"IKINCIL","YOK")))</f>
        <v/>
      </c>
      <c r="I96" s="17">
        <f>IF($A96="","",'ANAHTAR'!$F96)</f>
        <v/>
      </c>
      <c r="J96" s="17">
        <f>IF(OR($A96="",$D96=0),0,$F96/ABS($D96))</f>
        <v/>
      </c>
      <c r="K96" s="17">
        <f>IF($A96="","",ROUND($D96,2))</f>
        <v/>
      </c>
      <c r="L96" s="17">
        <f>IF($A96="","",ROUND($C96,2))</f>
        <v/>
      </c>
      <c r="M96" s="17">
        <f>IF($A96="","",IF($F96&lt;=toleransKurus,1,0))</f>
        <v/>
      </c>
      <c r="N96" s="17">
        <f>IF($A96="","",IF($F96&gt;tyk_esikFark,1,0))</f>
        <v/>
      </c>
      <c r="O96" s="17">
        <f>IF($A96="","",IFERROR(SUMIF(tblMotor[A_Norm],$A96,tblMotor[NetKar]),0))</f>
        <v/>
      </c>
      <c r="P96" s="17">
        <f>IF($A96="","",$B96+$M96+$N96)</f>
        <v/>
      </c>
    </row>
    <row r="97">
      <c r="A97" s="17">
        <f>IF('ANAHTAR'!$B97="","",'ANAHTAR'!$B97)</f>
        <v/>
      </c>
      <c r="B97" s="17">
        <f>IF($A97="","",COUNTIF(tblAnahtarB[NormB],$A97))</f>
        <v/>
      </c>
      <c r="C97" s="17">
        <f>IF($A97="","",IFERROR(SUMIF(tblAnahtarB[NormB],$A97,tblHakedis[GercekHakedis]),0))</f>
        <v/>
      </c>
      <c r="D97" s="17">
        <f>IF($A97="","",IFERROR(SUMIF(tblMotor[A_Norm],$A97,tblMotor[BeklenenHakedis]),0))</f>
        <v/>
      </c>
      <c r="E97" s="17">
        <f>IF($A97="","",ROUND($D97,2)-ROUND($C97,2))</f>
        <v/>
      </c>
      <c r="F97" s="17">
        <f>IF($A97="","",ABS($E97))</f>
        <v/>
      </c>
      <c r="G97" s="17">
        <f>IF($A97="","",IF($B97=0,"eslesmedi",IF(ROUND($D97,2)=ROUND($C97,2),"eslesti",IF(ABS(ROUND($D97,2)-ROUND($C97,2))&lt;=toleransKurus,"tolerans_icinde","tutar_farki"))))</f>
        <v/>
      </c>
      <c r="H97" s="17">
        <f>IF($A97="","",IF($B97&gt;0,"BIRINCIL",IF(COUNTIF(tblAnahtarB[IkincilB],'ANAHTAR'!$D97)&gt;0,"IKINCIL","YOK")))</f>
        <v/>
      </c>
      <c r="I97" s="17">
        <f>IF($A97="","",'ANAHTAR'!$F97)</f>
        <v/>
      </c>
      <c r="J97" s="17">
        <f>IF(OR($A97="",$D97=0),0,$F97/ABS($D97))</f>
        <v/>
      </c>
      <c r="K97" s="17">
        <f>IF($A97="","",ROUND($D97,2))</f>
        <v/>
      </c>
      <c r="L97" s="17">
        <f>IF($A97="","",ROUND($C97,2))</f>
        <v/>
      </c>
      <c r="M97" s="17">
        <f>IF($A97="","",IF($F97&lt;=toleransKurus,1,0))</f>
        <v/>
      </c>
      <c r="N97" s="17">
        <f>IF($A97="","",IF($F97&gt;tyk_esikFark,1,0))</f>
        <v/>
      </c>
      <c r="O97" s="17">
        <f>IF($A97="","",IFERROR(SUMIF(tblMotor[A_Norm],$A97,tblMotor[NetKar]),0))</f>
        <v/>
      </c>
      <c r="P97" s="17">
        <f>IF($A97="","",$B97+$M97+$N97)</f>
        <v/>
      </c>
    </row>
    <row r="98">
      <c r="A98" s="17">
        <f>IF('ANAHTAR'!$B98="","",'ANAHTAR'!$B98)</f>
        <v/>
      </c>
      <c r="B98" s="17">
        <f>IF($A98="","",COUNTIF(tblAnahtarB[NormB],$A98))</f>
        <v/>
      </c>
      <c r="C98" s="17">
        <f>IF($A98="","",IFERROR(SUMIF(tblAnahtarB[NormB],$A98,tblHakedis[GercekHakedis]),0))</f>
        <v/>
      </c>
      <c r="D98" s="17">
        <f>IF($A98="","",IFERROR(SUMIF(tblMotor[A_Norm],$A98,tblMotor[BeklenenHakedis]),0))</f>
        <v/>
      </c>
      <c r="E98" s="17">
        <f>IF($A98="","",ROUND($D98,2)-ROUND($C98,2))</f>
        <v/>
      </c>
      <c r="F98" s="17">
        <f>IF($A98="","",ABS($E98))</f>
        <v/>
      </c>
      <c r="G98" s="17">
        <f>IF($A98="","",IF($B98=0,"eslesmedi",IF(ROUND($D98,2)=ROUND($C98,2),"eslesti",IF(ABS(ROUND($D98,2)-ROUND($C98,2))&lt;=toleransKurus,"tolerans_icinde","tutar_farki"))))</f>
        <v/>
      </c>
      <c r="H98" s="17">
        <f>IF($A98="","",IF($B98&gt;0,"BIRINCIL",IF(COUNTIF(tblAnahtarB[IkincilB],'ANAHTAR'!$D98)&gt;0,"IKINCIL","YOK")))</f>
        <v/>
      </c>
      <c r="I98" s="17">
        <f>IF($A98="","",'ANAHTAR'!$F98)</f>
        <v/>
      </c>
      <c r="J98" s="17">
        <f>IF(OR($A98="",$D98=0),0,$F98/ABS($D98))</f>
        <v/>
      </c>
      <c r="K98" s="17">
        <f>IF($A98="","",ROUND($D98,2))</f>
        <v/>
      </c>
      <c r="L98" s="17">
        <f>IF($A98="","",ROUND($C98,2))</f>
        <v/>
      </c>
      <c r="M98" s="17">
        <f>IF($A98="","",IF($F98&lt;=toleransKurus,1,0))</f>
        <v/>
      </c>
      <c r="N98" s="17">
        <f>IF($A98="","",IF($F98&gt;tyk_esikFark,1,0))</f>
        <v/>
      </c>
      <c r="O98" s="17">
        <f>IF($A98="","",IFERROR(SUMIF(tblMotor[A_Norm],$A98,tblMotor[NetKar]),0))</f>
        <v/>
      </c>
      <c r="P98" s="17">
        <f>IF($A98="","",$B98+$M98+$N98)</f>
        <v/>
      </c>
    </row>
    <row r="99">
      <c r="A99" s="17">
        <f>IF('ANAHTAR'!$B99="","",'ANAHTAR'!$B99)</f>
        <v/>
      </c>
      <c r="B99" s="17">
        <f>IF($A99="","",COUNTIF(tblAnahtarB[NormB],$A99))</f>
        <v/>
      </c>
      <c r="C99" s="17">
        <f>IF($A99="","",IFERROR(SUMIF(tblAnahtarB[NormB],$A99,tblHakedis[GercekHakedis]),0))</f>
        <v/>
      </c>
      <c r="D99" s="17">
        <f>IF($A99="","",IFERROR(SUMIF(tblMotor[A_Norm],$A99,tblMotor[BeklenenHakedis]),0))</f>
        <v/>
      </c>
      <c r="E99" s="17">
        <f>IF($A99="","",ROUND($D99,2)-ROUND($C99,2))</f>
        <v/>
      </c>
      <c r="F99" s="17">
        <f>IF($A99="","",ABS($E99))</f>
        <v/>
      </c>
      <c r="G99" s="17">
        <f>IF($A99="","",IF($B99=0,"eslesmedi",IF(ROUND($D99,2)=ROUND($C99,2),"eslesti",IF(ABS(ROUND($D99,2)-ROUND($C99,2))&lt;=toleransKurus,"tolerans_icinde","tutar_farki"))))</f>
        <v/>
      </c>
      <c r="H99" s="17">
        <f>IF($A99="","",IF($B99&gt;0,"BIRINCIL",IF(COUNTIF(tblAnahtarB[IkincilB],'ANAHTAR'!$D99)&gt;0,"IKINCIL","YOK")))</f>
        <v/>
      </c>
      <c r="I99" s="17">
        <f>IF($A99="","",'ANAHTAR'!$F99)</f>
        <v/>
      </c>
      <c r="J99" s="17">
        <f>IF(OR($A99="",$D99=0),0,$F99/ABS($D99))</f>
        <v/>
      </c>
      <c r="K99" s="17">
        <f>IF($A99="","",ROUND($D99,2))</f>
        <v/>
      </c>
      <c r="L99" s="17">
        <f>IF($A99="","",ROUND($C99,2))</f>
        <v/>
      </c>
      <c r="M99" s="17">
        <f>IF($A99="","",IF($F99&lt;=toleransKurus,1,0))</f>
        <v/>
      </c>
      <c r="N99" s="17">
        <f>IF($A99="","",IF($F99&gt;tyk_esikFark,1,0))</f>
        <v/>
      </c>
      <c r="O99" s="17">
        <f>IF($A99="","",IFERROR(SUMIF(tblMotor[A_Norm],$A99,tblMotor[NetKar]),0))</f>
        <v/>
      </c>
      <c r="P99" s="17">
        <f>IF($A99="","",$B99+$M99+$N99)</f>
        <v/>
      </c>
    </row>
    <row r="100">
      <c r="A100" s="17">
        <f>IF('ANAHTAR'!$B100="","",'ANAHTAR'!$B100)</f>
        <v/>
      </c>
      <c r="B100" s="17">
        <f>IF($A100="","",COUNTIF(tblAnahtarB[NormB],$A100))</f>
        <v/>
      </c>
      <c r="C100" s="17">
        <f>IF($A100="","",IFERROR(SUMIF(tblAnahtarB[NormB],$A100,tblHakedis[GercekHakedis]),0))</f>
        <v/>
      </c>
      <c r="D100" s="17">
        <f>IF($A100="","",IFERROR(SUMIF(tblMotor[A_Norm],$A100,tblMotor[BeklenenHakedis]),0))</f>
        <v/>
      </c>
      <c r="E100" s="17">
        <f>IF($A100="","",ROUND($D100,2)-ROUND($C100,2))</f>
        <v/>
      </c>
      <c r="F100" s="17">
        <f>IF($A100="","",ABS($E100))</f>
        <v/>
      </c>
      <c r="G100" s="17">
        <f>IF($A100="","",IF($B100=0,"eslesmedi",IF(ROUND($D100,2)=ROUND($C100,2),"eslesti",IF(ABS(ROUND($D100,2)-ROUND($C100,2))&lt;=toleransKurus,"tolerans_icinde","tutar_farki"))))</f>
        <v/>
      </c>
      <c r="H100" s="17">
        <f>IF($A100="","",IF($B100&gt;0,"BIRINCIL",IF(COUNTIF(tblAnahtarB[IkincilB],'ANAHTAR'!$D100)&gt;0,"IKINCIL","YOK")))</f>
        <v/>
      </c>
      <c r="I100" s="17">
        <f>IF($A100="","",'ANAHTAR'!$F100)</f>
        <v/>
      </c>
      <c r="J100" s="17">
        <f>IF(OR($A100="",$D100=0),0,$F100/ABS($D100))</f>
        <v/>
      </c>
      <c r="K100" s="17">
        <f>IF($A100="","",ROUND($D100,2))</f>
        <v/>
      </c>
      <c r="L100" s="17">
        <f>IF($A100="","",ROUND($C100,2))</f>
        <v/>
      </c>
      <c r="M100" s="17">
        <f>IF($A100="","",IF($F100&lt;=toleransKurus,1,0))</f>
        <v/>
      </c>
      <c r="N100" s="17">
        <f>IF($A100="","",IF($F100&gt;tyk_esikFark,1,0))</f>
        <v/>
      </c>
      <c r="O100" s="17">
        <f>IF($A100="","",IFERROR(SUMIF(tblMotor[A_Norm],$A100,tblMotor[NetKar]),0))</f>
        <v/>
      </c>
      <c r="P100" s="17">
        <f>IF($A100="","",$B100+$M100+$N100)</f>
        <v/>
      </c>
    </row>
    <row r="101">
      <c r="A101" s="17">
        <f>IF('ANAHTAR'!$B101="","",'ANAHTAR'!$B101)</f>
        <v/>
      </c>
      <c r="B101" s="17">
        <f>IF($A101="","",COUNTIF(tblAnahtarB[NormB],$A101))</f>
        <v/>
      </c>
      <c r="C101" s="17">
        <f>IF($A101="","",IFERROR(SUMIF(tblAnahtarB[NormB],$A101,tblHakedis[GercekHakedis]),0))</f>
        <v/>
      </c>
      <c r="D101" s="17">
        <f>IF($A101="","",IFERROR(SUMIF(tblMotor[A_Norm],$A101,tblMotor[BeklenenHakedis]),0))</f>
        <v/>
      </c>
      <c r="E101" s="17">
        <f>IF($A101="","",ROUND($D101,2)-ROUND($C101,2))</f>
        <v/>
      </c>
      <c r="F101" s="17">
        <f>IF($A101="","",ABS($E101))</f>
        <v/>
      </c>
      <c r="G101" s="17">
        <f>IF($A101="","",IF($B101=0,"eslesmedi",IF(ROUND($D101,2)=ROUND($C101,2),"eslesti",IF(ABS(ROUND($D101,2)-ROUND($C101,2))&lt;=toleransKurus,"tolerans_icinde","tutar_farki"))))</f>
        <v/>
      </c>
      <c r="H101" s="17">
        <f>IF($A101="","",IF($B101&gt;0,"BIRINCIL",IF(COUNTIF(tblAnahtarB[IkincilB],'ANAHTAR'!$D101)&gt;0,"IKINCIL","YOK")))</f>
        <v/>
      </c>
      <c r="I101" s="17">
        <f>IF($A101="","",'ANAHTAR'!$F101)</f>
        <v/>
      </c>
      <c r="J101" s="17">
        <f>IF(OR($A101="",$D101=0),0,$F101/ABS($D101))</f>
        <v/>
      </c>
      <c r="K101" s="17">
        <f>IF($A101="","",ROUND($D101,2))</f>
        <v/>
      </c>
      <c r="L101" s="17">
        <f>IF($A101="","",ROUND($C101,2))</f>
        <v/>
      </c>
      <c r="M101" s="17">
        <f>IF($A101="","",IF($F101&lt;=toleransKurus,1,0))</f>
        <v/>
      </c>
      <c r="N101" s="17">
        <f>IF($A101="","",IF($F101&gt;tyk_esikFark,1,0))</f>
        <v/>
      </c>
      <c r="O101" s="17">
        <f>IF($A101="","",IFERROR(SUMIF(tblMotor[A_Norm],$A101,tblMotor[NetKar]),0))</f>
        <v/>
      </c>
      <c r="P101" s="17">
        <f>IF($A101="","",$B101+$M101+$N101)</f>
        <v/>
      </c>
    </row>
    <row r="102">
      <c r="A102" s="17">
        <f>IF('ANAHTAR'!$B102="","",'ANAHTAR'!$B102)</f>
        <v/>
      </c>
      <c r="B102" s="17">
        <f>IF($A102="","",COUNTIF(tblAnahtarB[NormB],$A102))</f>
        <v/>
      </c>
      <c r="C102" s="17">
        <f>IF($A102="","",IFERROR(SUMIF(tblAnahtarB[NormB],$A102,tblHakedis[GercekHakedis]),0))</f>
        <v/>
      </c>
      <c r="D102" s="17">
        <f>IF($A102="","",IFERROR(SUMIF(tblMotor[A_Norm],$A102,tblMotor[BeklenenHakedis]),0))</f>
        <v/>
      </c>
      <c r="E102" s="17">
        <f>IF($A102="","",ROUND($D102,2)-ROUND($C102,2))</f>
        <v/>
      </c>
      <c r="F102" s="17">
        <f>IF($A102="","",ABS($E102))</f>
        <v/>
      </c>
      <c r="G102" s="17">
        <f>IF($A102="","",IF($B102=0,"eslesmedi",IF(ROUND($D102,2)=ROUND($C102,2),"eslesti",IF(ABS(ROUND($D102,2)-ROUND($C102,2))&lt;=toleransKurus,"tolerans_icinde","tutar_farki"))))</f>
        <v/>
      </c>
      <c r="H102" s="17">
        <f>IF($A102="","",IF($B102&gt;0,"BIRINCIL",IF(COUNTIF(tblAnahtarB[IkincilB],'ANAHTAR'!$D102)&gt;0,"IKINCIL","YOK")))</f>
        <v/>
      </c>
      <c r="I102" s="17">
        <f>IF($A102="","",'ANAHTAR'!$F102)</f>
        <v/>
      </c>
      <c r="J102" s="17">
        <f>IF(OR($A102="",$D102=0),0,$F102/ABS($D102))</f>
        <v/>
      </c>
      <c r="K102" s="17">
        <f>IF($A102="","",ROUND($D102,2))</f>
        <v/>
      </c>
      <c r="L102" s="17">
        <f>IF($A102="","",ROUND($C102,2))</f>
        <v/>
      </c>
      <c r="M102" s="17">
        <f>IF($A102="","",IF($F102&lt;=toleransKurus,1,0))</f>
        <v/>
      </c>
      <c r="N102" s="17">
        <f>IF($A102="","",IF($F102&gt;tyk_esikFark,1,0))</f>
        <v/>
      </c>
      <c r="O102" s="17">
        <f>IF($A102="","",IFERROR(SUMIF(tblMotor[A_Norm],$A102,tblMotor[NetKar]),0))</f>
        <v/>
      </c>
      <c r="P102" s="17">
        <f>IF($A102="","",$B102+$M102+$N102)</f>
        <v/>
      </c>
    </row>
    <row r="103">
      <c r="A103" s="17">
        <f>IF('ANAHTAR'!$B103="","",'ANAHTAR'!$B103)</f>
        <v/>
      </c>
      <c r="B103" s="17">
        <f>IF($A103="","",COUNTIF(tblAnahtarB[NormB],$A103))</f>
        <v/>
      </c>
      <c r="C103" s="17">
        <f>IF($A103="","",IFERROR(SUMIF(tblAnahtarB[NormB],$A103,tblHakedis[GercekHakedis]),0))</f>
        <v/>
      </c>
      <c r="D103" s="17">
        <f>IF($A103="","",IFERROR(SUMIF(tblMotor[A_Norm],$A103,tblMotor[BeklenenHakedis]),0))</f>
        <v/>
      </c>
      <c r="E103" s="17">
        <f>IF($A103="","",ROUND($D103,2)-ROUND($C103,2))</f>
        <v/>
      </c>
      <c r="F103" s="17">
        <f>IF($A103="","",ABS($E103))</f>
        <v/>
      </c>
      <c r="G103" s="17">
        <f>IF($A103="","",IF($B103=0,"eslesmedi",IF(ROUND($D103,2)=ROUND($C103,2),"eslesti",IF(ABS(ROUND($D103,2)-ROUND($C103,2))&lt;=toleransKurus,"tolerans_icinde","tutar_farki"))))</f>
        <v/>
      </c>
      <c r="H103" s="17">
        <f>IF($A103="","",IF($B103&gt;0,"BIRINCIL",IF(COUNTIF(tblAnahtarB[IkincilB],'ANAHTAR'!$D103)&gt;0,"IKINCIL","YOK")))</f>
        <v/>
      </c>
      <c r="I103" s="17">
        <f>IF($A103="","",'ANAHTAR'!$F103)</f>
        <v/>
      </c>
      <c r="J103" s="17">
        <f>IF(OR($A103="",$D103=0),0,$F103/ABS($D103))</f>
        <v/>
      </c>
      <c r="K103" s="17">
        <f>IF($A103="","",ROUND($D103,2))</f>
        <v/>
      </c>
      <c r="L103" s="17">
        <f>IF($A103="","",ROUND($C103,2))</f>
        <v/>
      </c>
      <c r="M103" s="17">
        <f>IF($A103="","",IF($F103&lt;=toleransKurus,1,0))</f>
        <v/>
      </c>
      <c r="N103" s="17">
        <f>IF($A103="","",IF($F103&gt;tyk_esikFark,1,0))</f>
        <v/>
      </c>
      <c r="O103" s="17">
        <f>IF($A103="","",IFERROR(SUMIF(tblMotor[A_Norm],$A103,tblMotor[NetKar]),0))</f>
        <v/>
      </c>
      <c r="P103" s="17">
        <f>IF($A103="","",$B103+$M103+$N103)</f>
        <v/>
      </c>
    </row>
    <row r="104">
      <c r="A104" s="17">
        <f>IF('ANAHTAR'!$B104="","",'ANAHTAR'!$B104)</f>
        <v/>
      </c>
      <c r="B104" s="17">
        <f>IF($A104="","",COUNTIF(tblAnahtarB[NormB],$A104))</f>
        <v/>
      </c>
      <c r="C104" s="17">
        <f>IF($A104="","",IFERROR(SUMIF(tblAnahtarB[NormB],$A104,tblHakedis[GercekHakedis]),0))</f>
        <v/>
      </c>
      <c r="D104" s="17">
        <f>IF($A104="","",IFERROR(SUMIF(tblMotor[A_Norm],$A104,tblMotor[BeklenenHakedis]),0))</f>
        <v/>
      </c>
      <c r="E104" s="17">
        <f>IF($A104="","",ROUND($D104,2)-ROUND($C104,2))</f>
        <v/>
      </c>
      <c r="F104" s="17">
        <f>IF($A104="","",ABS($E104))</f>
        <v/>
      </c>
      <c r="G104" s="17">
        <f>IF($A104="","",IF($B104=0,"eslesmedi",IF(ROUND($D104,2)=ROUND($C104,2),"eslesti",IF(ABS(ROUND($D104,2)-ROUND($C104,2))&lt;=toleransKurus,"tolerans_icinde","tutar_farki"))))</f>
        <v/>
      </c>
      <c r="H104" s="17">
        <f>IF($A104="","",IF($B104&gt;0,"BIRINCIL",IF(COUNTIF(tblAnahtarB[IkincilB],'ANAHTAR'!$D104)&gt;0,"IKINCIL","YOK")))</f>
        <v/>
      </c>
      <c r="I104" s="17">
        <f>IF($A104="","",'ANAHTAR'!$F104)</f>
        <v/>
      </c>
      <c r="J104" s="17">
        <f>IF(OR($A104="",$D104=0),0,$F104/ABS($D104))</f>
        <v/>
      </c>
      <c r="K104" s="17">
        <f>IF($A104="","",ROUND($D104,2))</f>
        <v/>
      </c>
      <c r="L104" s="17">
        <f>IF($A104="","",ROUND($C104,2))</f>
        <v/>
      </c>
      <c r="M104" s="17">
        <f>IF($A104="","",IF($F104&lt;=toleransKurus,1,0))</f>
        <v/>
      </c>
      <c r="N104" s="17">
        <f>IF($A104="","",IF($F104&gt;tyk_esikFark,1,0))</f>
        <v/>
      </c>
      <c r="O104" s="17">
        <f>IF($A104="","",IFERROR(SUMIF(tblMotor[A_Norm],$A104,tblMotor[NetKar]),0))</f>
        <v/>
      </c>
      <c r="P104" s="17">
        <f>IF($A104="","",$B104+$M104+$N104)</f>
        <v/>
      </c>
    </row>
    <row r="105">
      <c r="A105" s="17">
        <f>IF('ANAHTAR'!$B105="","",'ANAHTAR'!$B105)</f>
        <v/>
      </c>
      <c r="B105" s="17">
        <f>IF($A105="","",COUNTIF(tblAnahtarB[NormB],$A105))</f>
        <v/>
      </c>
      <c r="C105" s="17">
        <f>IF($A105="","",IFERROR(SUMIF(tblAnahtarB[NormB],$A105,tblHakedis[GercekHakedis]),0))</f>
        <v/>
      </c>
      <c r="D105" s="17">
        <f>IF($A105="","",IFERROR(SUMIF(tblMotor[A_Norm],$A105,tblMotor[BeklenenHakedis]),0))</f>
        <v/>
      </c>
      <c r="E105" s="17">
        <f>IF($A105="","",ROUND($D105,2)-ROUND($C105,2))</f>
        <v/>
      </c>
      <c r="F105" s="17">
        <f>IF($A105="","",ABS($E105))</f>
        <v/>
      </c>
      <c r="G105" s="17">
        <f>IF($A105="","",IF($B105=0,"eslesmedi",IF(ROUND($D105,2)=ROUND($C105,2),"eslesti",IF(ABS(ROUND($D105,2)-ROUND($C105,2))&lt;=toleransKurus,"tolerans_icinde","tutar_farki"))))</f>
        <v/>
      </c>
      <c r="H105" s="17">
        <f>IF($A105="","",IF($B105&gt;0,"BIRINCIL",IF(COUNTIF(tblAnahtarB[IkincilB],'ANAHTAR'!$D105)&gt;0,"IKINCIL","YOK")))</f>
        <v/>
      </c>
      <c r="I105" s="17">
        <f>IF($A105="","",'ANAHTAR'!$F105)</f>
        <v/>
      </c>
      <c r="J105" s="17">
        <f>IF(OR($A105="",$D105=0),0,$F105/ABS($D105))</f>
        <v/>
      </c>
      <c r="K105" s="17">
        <f>IF($A105="","",ROUND($D105,2))</f>
        <v/>
      </c>
      <c r="L105" s="17">
        <f>IF($A105="","",ROUND($C105,2))</f>
        <v/>
      </c>
      <c r="M105" s="17">
        <f>IF($A105="","",IF($F105&lt;=toleransKurus,1,0))</f>
        <v/>
      </c>
      <c r="N105" s="17">
        <f>IF($A105="","",IF($F105&gt;tyk_esikFark,1,0))</f>
        <v/>
      </c>
      <c r="O105" s="17">
        <f>IF($A105="","",IFERROR(SUMIF(tblMotor[A_Norm],$A105,tblMotor[NetKar]),0))</f>
        <v/>
      </c>
      <c r="P105" s="17">
        <f>IF($A105="","",$B105+$M105+$N105)</f>
        <v/>
      </c>
    </row>
    <row r="106">
      <c r="A106" s="17">
        <f>IF('ANAHTAR'!$B106="","",'ANAHTAR'!$B106)</f>
        <v/>
      </c>
      <c r="B106" s="17">
        <f>IF($A106="","",COUNTIF(tblAnahtarB[NormB],$A106))</f>
        <v/>
      </c>
      <c r="C106" s="17">
        <f>IF($A106="","",IFERROR(SUMIF(tblAnahtarB[NormB],$A106,tblHakedis[GercekHakedis]),0))</f>
        <v/>
      </c>
      <c r="D106" s="17">
        <f>IF($A106="","",IFERROR(SUMIF(tblMotor[A_Norm],$A106,tblMotor[BeklenenHakedis]),0))</f>
        <v/>
      </c>
      <c r="E106" s="17">
        <f>IF($A106="","",ROUND($D106,2)-ROUND($C106,2))</f>
        <v/>
      </c>
      <c r="F106" s="17">
        <f>IF($A106="","",ABS($E106))</f>
        <v/>
      </c>
      <c r="G106" s="17">
        <f>IF($A106="","",IF($B106=0,"eslesmedi",IF(ROUND($D106,2)=ROUND($C106,2),"eslesti",IF(ABS(ROUND($D106,2)-ROUND($C106,2))&lt;=toleransKurus,"tolerans_icinde","tutar_farki"))))</f>
        <v/>
      </c>
      <c r="H106" s="17">
        <f>IF($A106="","",IF($B106&gt;0,"BIRINCIL",IF(COUNTIF(tblAnahtarB[IkincilB],'ANAHTAR'!$D106)&gt;0,"IKINCIL","YOK")))</f>
        <v/>
      </c>
      <c r="I106" s="17">
        <f>IF($A106="","",'ANAHTAR'!$F106)</f>
        <v/>
      </c>
      <c r="J106" s="17">
        <f>IF(OR($A106="",$D106=0),0,$F106/ABS($D106))</f>
        <v/>
      </c>
      <c r="K106" s="17">
        <f>IF($A106="","",ROUND($D106,2))</f>
        <v/>
      </c>
      <c r="L106" s="17">
        <f>IF($A106="","",ROUND($C106,2))</f>
        <v/>
      </c>
      <c r="M106" s="17">
        <f>IF($A106="","",IF($F106&lt;=toleransKurus,1,0))</f>
        <v/>
      </c>
      <c r="N106" s="17">
        <f>IF($A106="","",IF($F106&gt;tyk_esikFark,1,0))</f>
        <v/>
      </c>
      <c r="O106" s="17">
        <f>IF($A106="","",IFERROR(SUMIF(tblMotor[A_Norm],$A106,tblMotor[NetKar]),0))</f>
        <v/>
      </c>
      <c r="P106" s="17">
        <f>IF($A106="","",$B106+$M106+$N106)</f>
        <v/>
      </c>
    </row>
    <row r="107">
      <c r="A107" s="17">
        <f>IF('ANAHTAR'!$B107="","",'ANAHTAR'!$B107)</f>
        <v/>
      </c>
      <c r="B107" s="17">
        <f>IF($A107="","",COUNTIF(tblAnahtarB[NormB],$A107))</f>
        <v/>
      </c>
      <c r="C107" s="17">
        <f>IF($A107="","",IFERROR(SUMIF(tblAnahtarB[NormB],$A107,tblHakedis[GercekHakedis]),0))</f>
        <v/>
      </c>
      <c r="D107" s="17">
        <f>IF($A107="","",IFERROR(SUMIF(tblMotor[A_Norm],$A107,tblMotor[BeklenenHakedis]),0))</f>
        <v/>
      </c>
      <c r="E107" s="17">
        <f>IF($A107="","",ROUND($D107,2)-ROUND($C107,2))</f>
        <v/>
      </c>
      <c r="F107" s="17">
        <f>IF($A107="","",ABS($E107))</f>
        <v/>
      </c>
      <c r="G107" s="17">
        <f>IF($A107="","",IF($B107=0,"eslesmedi",IF(ROUND($D107,2)=ROUND($C107,2),"eslesti",IF(ABS(ROUND($D107,2)-ROUND($C107,2))&lt;=toleransKurus,"tolerans_icinde","tutar_farki"))))</f>
        <v/>
      </c>
      <c r="H107" s="17">
        <f>IF($A107="","",IF($B107&gt;0,"BIRINCIL",IF(COUNTIF(tblAnahtarB[IkincilB],'ANAHTAR'!$D107)&gt;0,"IKINCIL","YOK")))</f>
        <v/>
      </c>
      <c r="I107" s="17">
        <f>IF($A107="","",'ANAHTAR'!$F107)</f>
        <v/>
      </c>
      <c r="J107" s="17">
        <f>IF(OR($A107="",$D107=0),0,$F107/ABS($D107))</f>
        <v/>
      </c>
      <c r="K107" s="17">
        <f>IF($A107="","",ROUND($D107,2))</f>
        <v/>
      </c>
      <c r="L107" s="17">
        <f>IF($A107="","",ROUND($C107,2))</f>
        <v/>
      </c>
      <c r="M107" s="17">
        <f>IF($A107="","",IF($F107&lt;=toleransKurus,1,0))</f>
        <v/>
      </c>
      <c r="N107" s="17">
        <f>IF($A107="","",IF($F107&gt;tyk_esikFark,1,0))</f>
        <v/>
      </c>
      <c r="O107" s="17">
        <f>IF($A107="","",IFERROR(SUMIF(tblMotor[A_Norm],$A107,tblMotor[NetKar]),0))</f>
        <v/>
      </c>
      <c r="P107" s="17">
        <f>IF($A107="","",$B107+$M107+$N107)</f>
        <v/>
      </c>
    </row>
    <row r="108">
      <c r="A108" s="17">
        <f>IF('ANAHTAR'!$B108="","",'ANAHTAR'!$B108)</f>
        <v/>
      </c>
      <c r="B108" s="17">
        <f>IF($A108="","",COUNTIF(tblAnahtarB[NormB],$A108))</f>
        <v/>
      </c>
      <c r="C108" s="17">
        <f>IF($A108="","",IFERROR(SUMIF(tblAnahtarB[NormB],$A108,tblHakedis[GercekHakedis]),0))</f>
        <v/>
      </c>
      <c r="D108" s="17">
        <f>IF($A108="","",IFERROR(SUMIF(tblMotor[A_Norm],$A108,tblMotor[BeklenenHakedis]),0))</f>
        <v/>
      </c>
      <c r="E108" s="17">
        <f>IF($A108="","",ROUND($D108,2)-ROUND($C108,2))</f>
        <v/>
      </c>
      <c r="F108" s="17">
        <f>IF($A108="","",ABS($E108))</f>
        <v/>
      </c>
      <c r="G108" s="17">
        <f>IF($A108="","",IF($B108=0,"eslesmedi",IF(ROUND($D108,2)=ROUND($C108,2),"eslesti",IF(ABS(ROUND($D108,2)-ROUND($C108,2))&lt;=toleransKurus,"tolerans_icinde","tutar_farki"))))</f>
        <v/>
      </c>
      <c r="H108" s="17">
        <f>IF($A108="","",IF($B108&gt;0,"BIRINCIL",IF(COUNTIF(tblAnahtarB[IkincilB],'ANAHTAR'!$D108)&gt;0,"IKINCIL","YOK")))</f>
        <v/>
      </c>
      <c r="I108" s="17">
        <f>IF($A108="","",'ANAHTAR'!$F108)</f>
        <v/>
      </c>
      <c r="J108" s="17">
        <f>IF(OR($A108="",$D108=0),0,$F108/ABS($D108))</f>
        <v/>
      </c>
      <c r="K108" s="17">
        <f>IF($A108="","",ROUND($D108,2))</f>
        <v/>
      </c>
      <c r="L108" s="17">
        <f>IF($A108="","",ROUND($C108,2))</f>
        <v/>
      </c>
      <c r="M108" s="17">
        <f>IF($A108="","",IF($F108&lt;=toleransKurus,1,0))</f>
        <v/>
      </c>
      <c r="N108" s="17">
        <f>IF($A108="","",IF($F108&gt;tyk_esikFark,1,0))</f>
        <v/>
      </c>
      <c r="O108" s="17">
        <f>IF($A108="","",IFERROR(SUMIF(tblMotor[A_Norm],$A108,tblMotor[NetKar]),0))</f>
        <v/>
      </c>
      <c r="P108" s="17">
        <f>IF($A108="","",$B108+$M108+$N108)</f>
        <v/>
      </c>
    </row>
    <row r="109">
      <c r="A109" s="17">
        <f>IF('ANAHTAR'!$B109="","",'ANAHTAR'!$B109)</f>
        <v/>
      </c>
      <c r="B109" s="17">
        <f>IF($A109="","",COUNTIF(tblAnahtarB[NormB],$A109))</f>
        <v/>
      </c>
      <c r="C109" s="17">
        <f>IF($A109="","",IFERROR(SUMIF(tblAnahtarB[NormB],$A109,tblHakedis[GercekHakedis]),0))</f>
        <v/>
      </c>
      <c r="D109" s="17">
        <f>IF($A109="","",IFERROR(SUMIF(tblMotor[A_Norm],$A109,tblMotor[BeklenenHakedis]),0))</f>
        <v/>
      </c>
      <c r="E109" s="17">
        <f>IF($A109="","",ROUND($D109,2)-ROUND($C109,2))</f>
        <v/>
      </c>
      <c r="F109" s="17">
        <f>IF($A109="","",ABS($E109))</f>
        <v/>
      </c>
      <c r="G109" s="17">
        <f>IF($A109="","",IF($B109=0,"eslesmedi",IF(ROUND($D109,2)=ROUND($C109,2),"eslesti",IF(ABS(ROUND($D109,2)-ROUND($C109,2))&lt;=toleransKurus,"tolerans_icinde","tutar_farki"))))</f>
        <v/>
      </c>
      <c r="H109" s="17">
        <f>IF($A109="","",IF($B109&gt;0,"BIRINCIL",IF(COUNTIF(tblAnahtarB[IkincilB],'ANAHTAR'!$D109)&gt;0,"IKINCIL","YOK")))</f>
        <v/>
      </c>
      <c r="I109" s="17">
        <f>IF($A109="","",'ANAHTAR'!$F109)</f>
        <v/>
      </c>
      <c r="J109" s="17">
        <f>IF(OR($A109="",$D109=0),0,$F109/ABS($D109))</f>
        <v/>
      </c>
      <c r="K109" s="17">
        <f>IF($A109="","",ROUND($D109,2))</f>
        <v/>
      </c>
      <c r="L109" s="17">
        <f>IF($A109="","",ROUND($C109,2))</f>
        <v/>
      </c>
      <c r="M109" s="17">
        <f>IF($A109="","",IF($F109&lt;=toleransKurus,1,0))</f>
        <v/>
      </c>
      <c r="N109" s="17">
        <f>IF($A109="","",IF($F109&gt;tyk_esikFark,1,0))</f>
        <v/>
      </c>
      <c r="O109" s="17">
        <f>IF($A109="","",IFERROR(SUMIF(tblMotor[A_Norm],$A109,tblMotor[NetKar]),0))</f>
        <v/>
      </c>
      <c r="P109" s="17">
        <f>IF($A109="","",$B109+$M109+$N109)</f>
        <v/>
      </c>
    </row>
    <row r="110">
      <c r="A110" s="17">
        <f>IF('ANAHTAR'!$B110="","",'ANAHTAR'!$B110)</f>
        <v/>
      </c>
      <c r="B110" s="17">
        <f>IF($A110="","",COUNTIF(tblAnahtarB[NormB],$A110))</f>
        <v/>
      </c>
      <c r="C110" s="17">
        <f>IF($A110="","",IFERROR(SUMIF(tblAnahtarB[NormB],$A110,tblHakedis[GercekHakedis]),0))</f>
        <v/>
      </c>
      <c r="D110" s="17">
        <f>IF($A110="","",IFERROR(SUMIF(tblMotor[A_Norm],$A110,tblMotor[BeklenenHakedis]),0))</f>
        <v/>
      </c>
      <c r="E110" s="17">
        <f>IF($A110="","",ROUND($D110,2)-ROUND($C110,2))</f>
        <v/>
      </c>
      <c r="F110" s="17">
        <f>IF($A110="","",ABS($E110))</f>
        <v/>
      </c>
      <c r="G110" s="17">
        <f>IF($A110="","",IF($B110=0,"eslesmedi",IF(ROUND($D110,2)=ROUND($C110,2),"eslesti",IF(ABS(ROUND($D110,2)-ROUND($C110,2))&lt;=toleransKurus,"tolerans_icinde","tutar_farki"))))</f>
        <v/>
      </c>
      <c r="H110" s="17">
        <f>IF($A110="","",IF($B110&gt;0,"BIRINCIL",IF(COUNTIF(tblAnahtarB[IkincilB],'ANAHTAR'!$D110)&gt;0,"IKINCIL","YOK")))</f>
        <v/>
      </c>
      <c r="I110" s="17">
        <f>IF($A110="","",'ANAHTAR'!$F110)</f>
        <v/>
      </c>
      <c r="J110" s="17">
        <f>IF(OR($A110="",$D110=0),0,$F110/ABS($D110))</f>
        <v/>
      </c>
      <c r="K110" s="17">
        <f>IF($A110="","",ROUND($D110,2))</f>
        <v/>
      </c>
      <c r="L110" s="17">
        <f>IF($A110="","",ROUND($C110,2))</f>
        <v/>
      </c>
      <c r="M110" s="17">
        <f>IF($A110="","",IF($F110&lt;=toleransKurus,1,0))</f>
        <v/>
      </c>
      <c r="N110" s="17">
        <f>IF($A110="","",IF($F110&gt;tyk_esikFark,1,0))</f>
        <v/>
      </c>
      <c r="O110" s="17">
        <f>IF($A110="","",IFERROR(SUMIF(tblMotor[A_Norm],$A110,tblMotor[NetKar]),0))</f>
        <v/>
      </c>
      <c r="P110" s="17">
        <f>IF($A110="","",$B110+$M110+$N110)</f>
        <v/>
      </c>
    </row>
    <row r="111">
      <c r="A111" s="17">
        <f>IF('ANAHTAR'!$B111="","",'ANAHTAR'!$B111)</f>
        <v/>
      </c>
      <c r="B111" s="17">
        <f>IF($A111="","",COUNTIF(tblAnahtarB[NormB],$A111))</f>
        <v/>
      </c>
      <c r="C111" s="17">
        <f>IF($A111="","",IFERROR(SUMIF(tblAnahtarB[NormB],$A111,tblHakedis[GercekHakedis]),0))</f>
        <v/>
      </c>
      <c r="D111" s="17">
        <f>IF($A111="","",IFERROR(SUMIF(tblMotor[A_Norm],$A111,tblMotor[BeklenenHakedis]),0))</f>
        <v/>
      </c>
      <c r="E111" s="17">
        <f>IF($A111="","",ROUND($D111,2)-ROUND($C111,2))</f>
        <v/>
      </c>
      <c r="F111" s="17">
        <f>IF($A111="","",ABS($E111))</f>
        <v/>
      </c>
      <c r="G111" s="17">
        <f>IF($A111="","",IF($B111=0,"eslesmedi",IF(ROUND($D111,2)=ROUND($C111,2),"eslesti",IF(ABS(ROUND($D111,2)-ROUND($C111,2))&lt;=toleransKurus,"tolerans_icinde","tutar_farki"))))</f>
        <v/>
      </c>
      <c r="H111" s="17">
        <f>IF($A111="","",IF($B111&gt;0,"BIRINCIL",IF(COUNTIF(tblAnahtarB[IkincilB],'ANAHTAR'!$D111)&gt;0,"IKINCIL","YOK")))</f>
        <v/>
      </c>
      <c r="I111" s="17">
        <f>IF($A111="","",'ANAHTAR'!$F111)</f>
        <v/>
      </c>
      <c r="J111" s="17">
        <f>IF(OR($A111="",$D111=0),0,$F111/ABS($D111))</f>
        <v/>
      </c>
      <c r="K111" s="17">
        <f>IF($A111="","",ROUND($D111,2))</f>
        <v/>
      </c>
      <c r="L111" s="17">
        <f>IF($A111="","",ROUND($C111,2))</f>
        <v/>
      </c>
      <c r="M111" s="17">
        <f>IF($A111="","",IF($F111&lt;=toleransKurus,1,0))</f>
        <v/>
      </c>
      <c r="N111" s="17">
        <f>IF($A111="","",IF($F111&gt;tyk_esikFark,1,0))</f>
        <v/>
      </c>
      <c r="O111" s="17">
        <f>IF($A111="","",IFERROR(SUMIF(tblMotor[A_Norm],$A111,tblMotor[NetKar]),0))</f>
        <v/>
      </c>
      <c r="P111" s="17">
        <f>IF($A111="","",$B111+$M111+$N111)</f>
        <v/>
      </c>
    </row>
    <row r="112">
      <c r="A112" s="17">
        <f>IF('ANAHTAR'!$B112="","",'ANAHTAR'!$B112)</f>
        <v/>
      </c>
      <c r="B112" s="17">
        <f>IF($A112="","",COUNTIF(tblAnahtarB[NormB],$A112))</f>
        <v/>
      </c>
      <c r="C112" s="17">
        <f>IF($A112="","",IFERROR(SUMIF(tblAnahtarB[NormB],$A112,tblHakedis[GercekHakedis]),0))</f>
        <v/>
      </c>
      <c r="D112" s="17">
        <f>IF($A112="","",IFERROR(SUMIF(tblMotor[A_Norm],$A112,tblMotor[BeklenenHakedis]),0))</f>
        <v/>
      </c>
      <c r="E112" s="17">
        <f>IF($A112="","",ROUND($D112,2)-ROUND($C112,2))</f>
        <v/>
      </c>
      <c r="F112" s="17">
        <f>IF($A112="","",ABS($E112))</f>
        <v/>
      </c>
      <c r="G112" s="17">
        <f>IF($A112="","",IF($B112=0,"eslesmedi",IF(ROUND($D112,2)=ROUND($C112,2),"eslesti",IF(ABS(ROUND($D112,2)-ROUND($C112,2))&lt;=toleransKurus,"tolerans_icinde","tutar_farki"))))</f>
        <v/>
      </c>
      <c r="H112" s="17">
        <f>IF($A112="","",IF($B112&gt;0,"BIRINCIL",IF(COUNTIF(tblAnahtarB[IkincilB],'ANAHTAR'!$D112)&gt;0,"IKINCIL","YOK")))</f>
        <v/>
      </c>
      <c r="I112" s="17">
        <f>IF($A112="","",'ANAHTAR'!$F112)</f>
        <v/>
      </c>
      <c r="J112" s="17">
        <f>IF(OR($A112="",$D112=0),0,$F112/ABS($D112))</f>
        <v/>
      </c>
      <c r="K112" s="17">
        <f>IF($A112="","",ROUND($D112,2))</f>
        <v/>
      </c>
      <c r="L112" s="17">
        <f>IF($A112="","",ROUND($C112,2))</f>
        <v/>
      </c>
      <c r="M112" s="17">
        <f>IF($A112="","",IF($F112&lt;=toleransKurus,1,0))</f>
        <v/>
      </c>
      <c r="N112" s="17">
        <f>IF($A112="","",IF($F112&gt;tyk_esikFark,1,0))</f>
        <v/>
      </c>
      <c r="O112" s="17">
        <f>IF($A112="","",IFERROR(SUMIF(tblMotor[A_Norm],$A112,tblMotor[NetKar]),0))</f>
        <v/>
      </c>
      <c r="P112" s="17">
        <f>IF($A112="","",$B112+$M112+$N112)</f>
        <v/>
      </c>
    </row>
    <row r="113">
      <c r="A113" s="17">
        <f>IF('ANAHTAR'!$B113="","",'ANAHTAR'!$B113)</f>
        <v/>
      </c>
      <c r="B113" s="17">
        <f>IF($A113="","",COUNTIF(tblAnahtarB[NormB],$A113))</f>
        <v/>
      </c>
      <c r="C113" s="17">
        <f>IF($A113="","",IFERROR(SUMIF(tblAnahtarB[NormB],$A113,tblHakedis[GercekHakedis]),0))</f>
        <v/>
      </c>
      <c r="D113" s="17">
        <f>IF($A113="","",IFERROR(SUMIF(tblMotor[A_Norm],$A113,tblMotor[BeklenenHakedis]),0))</f>
        <v/>
      </c>
      <c r="E113" s="17">
        <f>IF($A113="","",ROUND($D113,2)-ROUND($C113,2))</f>
        <v/>
      </c>
      <c r="F113" s="17">
        <f>IF($A113="","",ABS($E113))</f>
        <v/>
      </c>
      <c r="G113" s="17">
        <f>IF($A113="","",IF($B113=0,"eslesmedi",IF(ROUND($D113,2)=ROUND($C113,2),"eslesti",IF(ABS(ROUND($D113,2)-ROUND($C113,2))&lt;=toleransKurus,"tolerans_icinde","tutar_farki"))))</f>
        <v/>
      </c>
      <c r="H113" s="17">
        <f>IF($A113="","",IF($B113&gt;0,"BIRINCIL",IF(COUNTIF(tblAnahtarB[IkincilB],'ANAHTAR'!$D113)&gt;0,"IKINCIL","YOK")))</f>
        <v/>
      </c>
      <c r="I113" s="17">
        <f>IF($A113="","",'ANAHTAR'!$F113)</f>
        <v/>
      </c>
      <c r="J113" s="17">
        <f>IF(OR($A113="",$D113=0),0,$F113/ABS($D113))</f>
        <v/>
      </c>
      <c r="K113" s="17">
        <f>IF($A113="","",ROUND($D113,2))</f>
        <v/>
      </c>
      <c r="L113" s="17">
        <f>IF($A113="","",ROUND($C113,2))</f>
        <v/>
      </c>
      <c r="M113" s="17">
        <f>IF($A113="","",IF($F113&lt;=toleransKurus,1,0))</f>
        <v/>
      </c>
      <c r="N113" s="17">
        <f>IF($A113="","",IF($F113&gt;tyk_esikFark,1,0))</f>
        <v/>
      </c>
      <c r="O113" s="17">
        <f>IF($A113="","",IFERROR(SUMIF(tblMotor[A_Norm],$A113,tblMotor[NetKar]),0))</f>
        <v/>
      </c>
      <c r="P113" s="17">
        <f>IF($A113="","",$B113+$M113+$N113)</f>
        <v/>
      </c>
    </row>
    <row r="114">
      <c r="A114" s="17">
        <f>IF('ANAHTAR'!$B114="","",'ANAHTAR'!$B114)</f>
        <v/>
      </c>
      <c r="B114" s="17">
        <f>IF($A114="","",COUNTIF(tblAnahtarB[NormB],$A114))</f>
        <v/>
      </c>
      <c r="C114" s="17">
        <f>IF($A114="","",IFERROR(SUMIF(tblAnahtarB[NormB],$A114,tblHakedis[GercekHakedis]),0))</f>
        <v/>
      </c>
      <c r="D114" s="17">
        <f>IF($A114="","",IFERROR(SUMIF(tblMotor[A_Norm],$A114,tblMotor[BeklenenHakedis]),0))</f>
        <v/>
      </c>
      <c r="E114" s="17">
        <f>IF($A114="","",ROUND($D114,2)-ROUND($C114,2))</f>
        <v/>
      </c>
      <c r="F114" s="17">
        <f>IF($A114="","",ABS($E114))</f>
        <v/>
      </c>
      <c r="G114" s="17">
        <f>IF($A114="","",IF($B114=0,"eslesmedi",IF(ROUND($D114,2)=ROUND($C114,2),"eslesti",IF(ABS(ROUND($D114,2)-ROUND($C114,2))&lt;=toleransKurus,"tolerans_icinde","tutar_farki"))))</f>
        <v/>
      </c>
      <c r="H114" s="17">
        <f>IF($A114="","",IF($B114&gt;0,"BIRINCIL",IF(COUNTIF(tblAnahtarB[IkincilB],'ANAHTAR'!$D114)&gt;0,"IKINCIL","YOK")))</f>
        <v/>
      </c>
      <c r="I114" s="17">
        <f>IF($A114="","",'ANAHTAR'!$F114)</f>
        <v/>
      </c>
      <c r="J114" s="17">
        <f>IF(OR($A114="",$D114=0),0,$F114/ABS($D114))</f>
        <v/>
      </c>
      <c r="K114" s="17">
        <f>IF($A114="","",ROUND($D114,2))</f>
        <v/>
      </c>
      <c r="L114" s="17">
        <f>IF($A114="","",ROUND($C114,2))</f>
        <v/>
      </c>
      <c r="M114" s="17">
        <f>IF($A114="","",IF($F114&lt;=toleransKurus,1,0))</f>
        <v/>
      </c>
      <c r="N114" s="17">
        <f>IF($A114="","",IF($F114&gt;tyk_esikFark,1,0))</f>
        <v/>
      </c>
      <c r="O114" s="17">
        <f>IF($A114="","",IFERROR(SUMIF(tblMotor[A_Norm],$A114,tblMotor[NetKar]),0))</f>
        <v/>
      </c>
      <c r="P114" s="17">
        <f>IF($A114="","",$B114+$M114+$N114)</f>
        <v/>
      </c>
    </row>
    <row r="115">
      <c r="A115" s="17">
        <f>IF('ANAHTAR'!$B115="","",'ANAHTAR'!$B115)</f>
        <v/>
      </c>
      <c r="B115" s="17">
        <f>IF($A115="","",COUNTIF(tblAnahtarB[NormB],$A115))</f>
        <v/>
      </c>
      <c r="C115" s="17">
        <f>IF($A115="","",IFERROR(SUMIF(tblAnahtarB[NormB],$A115,tblHakedis[GercekHakedis]),0))</f>
        <v/>
      </c>
      <c r="D115" s="17">
        <f>IF($A115="","",IFERROR(SUMIF(tblMotor[A_Norm],$A115,tblMotor[BeklenenHakedis]),0))</f>
        <v/>
      </c>
      <c r="E115" s="17">
        <f>IF($A115="","",ROUND($D115,2)-ROUND($C115,2))</f>
        <v/>
      </c>
      <c r="F115" s="17">
        <f>IF($A115="","",ABS($E115))</f>
        <v/>
      </c>
      <c r="G115" s="17">
        <f>IF($A115="","",IF($B115=0,"eslesmedi",IF(ROUND($D115,2)=ROUND($C115,2),"eslesti",IF(ABS(ROUND($D115,2)-ROUND($C115,2))&lt;=toleransKurus,"tolerans_icinde","tutar_farki"))))</f>
        <v/>
      </c>
      <c r="H115" s="17">
        <f>IF($A115="","",IF($B115&gt;0,"BIRINCIL",IF(COUNTIF(tblAnahtarB[IkincilB],'ANAHTAR'!$D115)&gt;0,"IKINCIL","YOK")))</f>
        <v/>
      </c>
      <c r="I115" s="17">
        <f>IF($A115="","",'ANAHTAR'!$F115)</f>
        <v/>
      </c>
      <c r="J115" s="17">
        <f>IF(OR($A115="",$D115=0),0,$F115/ABS($D115))</f>
        <v/>
      </c>
      <c r="K115" s="17">
        <f>IF($A115="","",ROUND($D115,2))</f>
        <v/>
      </c>
      <c r="L115" s="17">
        <f>IF($A115="","",ROUND($C115,2))</f>
        <v/>
      </c>
      <c r="M115" s="17">
        <f>IF($A115="","",IF($F115&lt;=toleransKurus,1,0))</f>
        <v/>
      </c>
      <c r="N115" s="17">
        <f>IF($A115="","",IF($F115&gt;tyk_esikFark,1,0))</f>
        <v/>
      </c>
      <c r="O115" s="17">
        <f>IF($A115="","",IFERROR(SUMIF(tblMotor[A_Norm],$A115,tblMotor[NetKar]),0))</f>
        <v/>
      </c>
      <c r="P115" s="17">
        <f>IF($A115="","",$B115+$M115+$N115)</f>
        <v/>
      </c>
    </row>
    <row r="116">
      <c r="A116" s="17">
        <f>IF('ANAHTAR'!$B116="","",'ANAHTAR'!$B116)</f>
        <v/>
      </c>
      <c r="B116" s="17">
        <f>IF($A116="","",COUNTIF(tblAnahtarB[NormB],$A116))</f>
        <v/>
      </c>
      <c r="C116" s="17">
        <f>IF($A116="","",IFERROR(SUMIF(tblAnahtarB[NormB],$A116,tblHakedis[GercekHakedis]),0))</f>
        <v/>
      </c>
      <c r="D116" s="17">
        <f>IF($A116="","",IFERROR(SUMIF(tblMotor[A_Norm],$A116,tblMotor[BeklenenHakedis]),0))</f>
        <v/>
      </c>
      <c r="E116" s="17">
        <f>IF($A116="","",ROUND($D116,2)-ROUND($C116,2))</f>
        <v/>
      </c>
      <c r="F116" s="17">
        <f>IF($A116="","",ABS($E116))</f>
        <v/>
      </c>
      <c r="G116" s="17">
        <f>IF($A116="","",IF($B116=0,"eslesmedi",IF(ROUND($D116,2)=ROUND($C116,2),"eslesti",IF(ABS(ROUND($D116,2)-ROUND($C116,2))&lt;=toleransKurus,"tolerans_icinde","tutar_farki"))))</f>
        <v/>
      </c>
      <c r="H116" s="17">
        <f>IF($A116="","",IF($B116&gt;0,"BIRINCIL",IF(COUNTIF(tblAnahtarB[IkincilB],'ANAHTAR'!$D116)&gt;0,"IKINCIL","YOK")))</f>
        <v/>
      </c>
      <c r="I116" s="17">
        <f>IF($A116="","",'ANAHTAR'!$F116)</f>
        <v/>
      </c>
      <c r="J116" s="17">
        <f>IF(OR($A116="",$D116=0),0,$F116/ABS($D116))</f>
        <v/>
      </c>
      <c r="K116" s="17">
        <f>IF($A116="","",ROUND($D116,2))</f>
        <v/>
      </c>
      <c r="L116" s="17">
        <f>IF($A116="","",ROUND($C116,2))</f>
        <v/>
      </c>
      <c r="M116" s="17">
        <f>IF($A116="","",IF($F116&lt;=toleransKurus,1,0))</f>
        <v/>
      </c>
      <c r="N116" s="17">
        <f>IF($A116="","",IF($F116&gt;tyk_esikFark,1,0))</f>
        <v/>
      </c>
      <c r="O116" s="17">
        <f>IF($A116="","",IFERROR(SUMIF(tblMotor[A_Norm],$A116,tblMotor[NetKar]),0))</f>
        <v/>
      </c>
      <c r="P116" s="17">
        <f>IF($A116="","",$B116+$M116+$N116)</f>
        <v/>
      </c>
    </row>
    <row r="117">
      <c r="A117" s="17">
        <f>IF('ANAHTAR'!$B117="","",'ANAHTAR'!$B117)</f>
        <v/>
      </c>
      <c r="B117" s="17">
        <f>IF($A117="","",COUNTIF(tblAnahtarB[NormB],$A117))</f>
        <v/>
      </c>
      <c r="C117" s="17">
        <f>IF($A117="","",IFERROR(SUMIF(tblAnahtarB[NormB],$A117,tblHakedis[GercekHakedis]),0))</f>
        <v/>
      </c>
      <c r="D117" s="17">
        <f>IF($A117="","",IFERROR(SUMIF(tblMotor[A_Norm],$A117,tblMotor[BeklenenHakedis]),0))</f>
        <v/>
      </c>
      <c r="E117" s="17">
        <f>IF($A117="","",ROUND($D117,2)-ROUND($C117,2))</f>
        <v/>
      </c>
      <c r="F117" s="17">
        <f>IF($A117="","",ABS($E117))</f>
        <v/>
      </c>
      <c r="G117" s="17">
        <f>IF($A117="","",IF($B117=0,"eslesmedi",IF(ROUND($D117,2)=ROUND($C117,2),"eslesti",IF(ABS(ROUND($D117,2)-ROUND($C117,2))&lt;=toleransKurus,"tolerans_icinde","tutar_farki"))))</f>
        <v/>
      </c>
      <c r="H117" s="17">
        <f>IF($A117="","",IF($B117&gt;0,"BIRINCIL",IF(COUNTIF(tblAnahtarB[IkincilB],'ANAHTAR'!$D117)&gt;0,"IKINCIL","YOK")))</f>
        <v/>
      </c>
      <c r="I117" s="17">
        <f>IF($A117="","",'ANAHTAR'!$F117)</f>
        <v/>
      </c>
      <c r="J117" s="17">
        <f>IF(OR($A117="",$D117=0),0,$F117/ABS($D117))</f>
        <v/>
      </c>
      <c r="K117" s="17">
        <f>IF($A117="","",ROUND($D117,2))</f>
        <v/>
      </c>
      <c r="L117" s="17">
        <f>IF($A117="","",ROUND($C117,2))</f>
        <v/>
      </c>
      <c r="M117" s="17">
        <f>IF($A117="","",IF($F117&lt;=toleransKurus,1,0))</f>
        <v/>
      </c>
      <c r="N117" s="17">
        <f>IF($A117="","",IF($F117&gt;tyk_esikFark,1,0))</f>
        <v/>
      </c>
      <c r="O117" s="17">
        <f>IF($A117="","",IFERROR(SUMIF(tblMotor[A_Norm],$A117,tblMotor[NetKar]),0))</f>
        <v/>
      </c>
      <c r="P117" s="17">
        <f>IF($A117="","",$B117+$M117+$N117)</f>
        <v/>
      </c>
    </row>
    <row r="118">
      <c r="A118" s="17">
        <f>IF('ANAHTAR'!$B118="","",'ANAHTAR'!$B118)</f>
        <v/>
      </c>
      <c r="B118" s="17">
        <f>IF($A118="","",COUNTIF(tblAnahtarB[NormB],$A118))</f>
        <v/>
      </c>
      <c r="C118" s="17">
        <f>IF($A118="","",IFERROR(SUMIF(tblAnahtarB[NormB],$A118,tblHakedis[GercekHakedis]),0))</f>
        <v/>
      </c>
      <c r="D118" s="17">
        <f>IF($A118="","",IFERROR(SUMIF(tblMotor[A_Norm],$A118,tblMotor[BeklenenHakedis]),0))</f>
        <v/>
      </c>
      <c r="E118" s="17">
        <f>IF($A118="","",ROUND($D118,2)-ROUND($C118,2))</f>
        <v/>
      </c>
      <c r="F118" s="17">
        <f>IF($A118="","",ABS($E118))</f>
        <v/>
      </c>
      <c r="G118" s="17">
        <f>IF($A118="","",IF($B118=0,"eslesmedi",IF(ROUND($D118,2)=ROUND($C118,2),"eslesti",IF(ABS(ROUND($D118,2)-ROUND($C118,2))&lt;=toleransKurus,"tolerans_icinde","tutar_farki"))))</f>
        <v/>
      </c>
      <c r="H118" s="17">
        <f>IF($A118="","",IF($B118&gt;0,"BIRINCIL",IF(COUNTIF(tblAnahtarB[IkincilB],'ANAHTAR'!$D118)&gt;0,"IKINCIL","YOK")))</f>
        <v/>
      </c>
      <c r="I118" s="17">
        <f>IF($A118="","",'ANAHTAR'!$F118)</f>
        <v/>
      </c>
      <c r="J118" s="17">
        <f>IF(OR($A118="",$D118=0),0,$F118/ABS($D118))</f>
        <v/>
      </c>
      <c r="K118" s="17">
        <f>IF($A118="","",ROUND($D118,2))</f>
        <v/>
      </c>
      <c r="L118" s="17">
        <f>IF($A118="","",ROUND($C118,2))</f>
        <v/>
      </c>
      <c r="M118" s="17">
        <f>IF($A118="","",IF($F118&lt;=toleransKurus,1,0))</f>
        <v/>
      </c>
      <c r="N118" s="17">
        <f>IF($A118="","",IF($F118&gt;tyk_esikFark,1,0))</f>
        <v/>
      </c>
      <c r="O118" s="17">
        <f>IF($A118="","",IFERROR(SUMIF(tblMotor[A_Norm],$A118,tblMotor[NetKar]),0))</f>
        <v/>
      </c>
      <c r="P118" s="17">
        <f>IF($A118="","",$B118+$M118+$N118)</f>
        <v/>
      </c>
    </row>
    <row r="119">
      <c r="A119" s="17">
        <f>IF('ANAHTAR'!$B119="","",'ANAHTAR'!$B119)</f>
        <v/>
      </c>
      <c r="B119" s="17">
        <f>IF($A119="","",COUNTIF(tblAnahtarB[NormB],$A119))</f>
        <v/>
      </c>
      <c r="C119" s="17">
        <f>IF($A119="","",IFERROR(SUMIF(tblAnahtarB[NormB],$A119,tblHakedis[GercekHakedis]),0))</f>
        <v/>
      </c>
      <c r="D119" s="17">
        <f>IF($A119="","",IFERROR(SUMIF(tblMotor[A_Norm],$A119,tblMotor[BeklenenHakedis]),0))</f>
        <v/>
      </c>
      <c r="E119" s="17">
        <f>IF($A119="","",ROUND($D119,2)-ROUND($C119,2))</f>
        <v/>
      </c>
      <c r="F119" s="17">
        <f>IF($A119="","",ABS($E119))</f>
        <v/>
      </c>
      <c r="G119" s="17">
        <f>IF($A119="","",IF($B119=0,"eslesmedi",IF(ROUND($D119,2)=ROUND($C119,2),"eslesti",IF(ABS(ROUND($D119,2)-ROUND($C119,2))&lt;=toleransKurus,"tolerans_icinde","tutar_farki"))))</f>
        <v/>
      </c>
      <c r="H119" s="17">
        <f>IF($A119="","",IF($B119&gt;0,"BIRINCIL",IF(COUNTIF(tblAnahtarB[IkincilB],'ANAHTAR'!$D119)&gt;0,"IKINCIL","YOK")))</f>
        <v/>
      </c>
      <c r="I119" s="17">
        <f>IF($A119="","",'ANAHTAR'!$F119)</f>
        <v/>
      </c>
      <c r="J119" s="17">
        <f>IF(OR($A119="",$D119=0),0,$F119/ABS($D119))</f>
        <v/>
      </c>
      <c r="K119" s="17">
        <f>IF($A119="","",ROUND($D119,2))</f>
        <v/>
      </c>
      <c r="L119" s="17">
        <f>IF($A119="","",ROUND($C119,2))</f>
        <v/>
      </c>
      <c r="M119" s="17">
        <f>IF($A119="","",IF($F119&lt;=toleransKurus,1,0))</f>
        <v/>
      </c>
      <c r="N119" s="17">
        <f>IF($A119="","",IF($F119&gt;tyk_esikFark,1,0))</f>
        <v/>
      </c>
      <c r="O119" s="17">
        <f>IF($A119="","",IFERROR(SUMIF(tblMotor[A_Norm],$A119,tblMotor[NetKar]),0))</f>
        <v/>
      </c>
      <c r="P119" s="17">
        <f>IF($A119="","",$B119+$M119+$N119)</f>
        <v/>
      </c>
    </row>
    <row r="120">
      <c r="A120" s="17">
        <f>IF('ANAHTAR'!$B120="","",'ANAHTAR'!$B120)</f>
        <v/>
      </c>
      <c r="B120" s="17">
        <f>IF($A120="","",COUNTIF(tblAnahtarB[NormB],$A120))</f>
        <v/>
      </c>
      <c r="C120" s="17">
        <f>IF($A120="","",IFERROR(SUMIF(tblAnahtarB[NormB],$A120,tblHakedis[GercekHakedis]),0))</f>
        <v/>
      </c>
      <c r="D120" s="17">
        <f>IF($A120="","",IFERROR(SUMIF(tblMotor[A_Norm],$A120,tblMotor[BeklenenHakedis]),0))</f>
        <v/>
      </c>
      <c r="E120" s="17">
        <f>IF($A120="","",ROUND($D120,2)-ROUND($C120,2))</f>
        <v/>
      </c>
      <c r="F120" s="17">
        <f>IF($A120="","",ABS($E120))</f>
        <v/>
      </c>
      <c r="G120" s="17">
        <f>IF($A120="","",IF($B120=0,"eslesmedi",IF(ROUND($D120,2)=ROUND($C120,2),"eslesti",IF(ABS(ROUND($D120,2)-ROUND($C120,2))&lt;=toleransKurus,"tolerans_icinde","tutar_farki"))))</f>
        <v/>
      </c>
      <c r="H120" s="17">
        <f>IF($A120="","",IF($B120&gt;0,"BIRINCIL",IF(COUNTIF(tblAnahtarB[IkincilB],'ANAHTAR'!$D120)&gt;0,"IKINCIL","YOK")))</f>
        <v/>
      </c>
      <c r="I120" s="17">
        <f>IF($A120="","",'ANAHTAR'!$F120)</f>
        <v/>
      </c>
      <c r="J120" s="17">
        <f>IF(OR($A120="",$D120=0),0,$F120/ABS($D120))</f>
        <v/>
      </c>
      <c r="K120" s="17">
        <f>IF($A120="","",ROUND($D120,2))</f>
        <v/>
      </c>
      <c r="L120" s="17">
        <f>IF($A120="","",ROUND($C120,2))</f>
        <v/>
      </c>
      <c r="M120" s="17">
        <f>IF($A120="","",IF($F120&lt;=toleransKurus,1,0))</f>
        <v/>
      </c>
      <c r="N120" s="17">
        <f>IF($A120="","",IF($F120&gt;tyk_esikFark,1,0))</f>
        <v/>
      </c>
      <c r="O120" s="17">
        <f>IF($A120="","",IFERROR(SUMIF(tblMotor[A_Norm],$A120,tblMotor[NetKar]),0))</f>
        <v/>
      </c>
      <c r="P120" s="17">
        <f>IF($A120="","",$B120+$M120+$N120)</f>
        <v/>
      </c>
    </row>
    <row r="121">
      <c r="A121" s="17">
        <f>IF('ANAHTAR'!$B121="","",'ANAHTAR'!$B121)</f>
        <v/>
      </c>
      <c r="B121" s="17">
        <f>IF($A121="","",COUNTIF(tblAnahtarB[NormB],$A121))</f>
        <v/>
      </c>
      <c r="C121" s="17">
        <f>IF($A121="","",IFERROR(SUMIF(tblAnahtarB[NormB],$A121,tblHakedis[GercekHakedis]),0))</f>
        <v/>
      </c>
      <c r="D121" s="17">
        <f>IF($A121="","",IFERROR(SUMIF(tblMotor[A_Norm],$A121,tblMotor[BeklenenHakedis]),0))</f>
        <v/>
      </c>
      <c r="E121" s="17">
        <f>IF($A121="","",ROUND($D121,2)-ROUND($C121,2))</f>
        <v/>
      </c>
      <c r="F121" s="17">
        <f>IF($A121="","",ABS($E121))</f>
        <v/>
      </c>
      <c r="G121" s="17">
        <f>IF($A121="","",IF($B121=0,"eslesmedi",IF(ROUND($D121,2)=ROUND($C121,2),"eslesti",IF(ABS(ROUND($D121,2)-ROUND($C121,2))&lt;=toleransKurus,"tolerans_icinde","tutar_farki"))))</f>
        <v/>
      </c>
      <c r="H121" s="17">
        <f>IF($A121="","",IF($B121&gt;0,"BIRINCIL",IF(COUNTIF(tblAnahtarB[IkincilB],'ANAHTAR'!$D121)&gt;0,"IKINCIL","YOK")))</f>
        <v/>
      </c>
      <c r="I121" s="17">
        <f>IF($A121="","",'ANAHTAR'!$F121)</f>
        <v/>
      </c>
      <c r="J121" s="17">
        <f>IF(OR($A121="",$D121=0),0,$F121/ABS($D121))</f>
        <v/>
      </c>
      <c r="K121" s="17">
        <f>IF($A121="","",ROUND($D121,2))</f>
        <v/>
      </c>
      <c r="L121" s="17">
        <f>IF($A121="","",ROUND($C121,2))</f>
        <v/>
      </c>
      <c r="M121" s="17">
        <f>IF($A121="","",IF($F121&lt;=toleransKurus,1,0))</f>
        <v/>
      </c>
      <c r="N121" s="17">
        <f>IF($A121="","",IF($F121&gt;tyk_esikFark,1,0))</f>
        <v/>
      </c>
      <c r="O121" s="17">
        <f>IF($A121="","",IFERROR(SUMIF(tblMotor[A_Norm],$A121,tblMotor[NetKar]),0))</f>
        <v/>
      </c>
      <c r="P121" s="17">
        <f>IF($A121="","",$B121+$M121+$N121)</f>
        <v/>
      </c>
    </row>
    <row r="122">
      <c r="A122" s="17">
        <f>IF('ANAHTAR'!$B122="","",'ANAHTAR'!$B122)</f>
        <v/>
      </c>
      <c r="B122" s="17">
        <f>IF($A122="","",COUNTIF(tblAnahtarB[NormB],$A122))</f>
        <v/>
      </c>
      <c r="C122" s="17">
        <f>IF($A122="","",IFERROR(SUMIF(tblAnahtarB[NormB],$A122,tblHakedis[GercekHakedis]),0))</f>
        <v/>
      </c>
      <c r="D122" s="17">
        <f>IF($A122="","",IFERROR(SUMIF(tblMotor[A_Norm],$A122,tblMotor[BeklenenHakedis]),0))</f>
        <v/>
      </c>
      <c r="E122" s="17">
        <f>IF($A122="","",ROUND($D122,2)-ROUND($C122,2))</f>
        <v/>
      </c>
      <c r="F122" s="17">
        <f>IF($A122="","",ABS($E122))</f>
        <v/>
      </c>
      <c r="G122" s="17">
        <f>IF($A122="","",IF($B122=0,"eslesmedi",IF(ROUND($D122,2)=ROUND($C122,2),"eslesti",IF(ABS(ROUND($D122,2)-ROUND($C122,2))&lt;=toleransKurus,"tolerans_icinde","tutar_farki"))))</f>
        <v/>
      </c>
      <c r="H122" s="17">
        <f>IF($A122="","",IF($B122&gt;0,"BIRINCIL",IF(COUNTIF(tblAnahtarB[IkincilB],'ANAHTAR'!$D122)&gt;0,"IKINCIL","YOK")))</f>
        <v/>
      </c>
      <c r="I122" s="17">
        <f>IF($A122="","",'ANAHTAR'!$F122)</f>
        <v/>
      </c>
      <c r="J122" s="17">
        <f>IF(OR($A122="",$D122=0),0,$F122/ABS($D122))</f>
        <v/>
      </c>
      <c r="K122" s="17">
        <f>IF($A122="","",ROUND($D122,2))</f>
        <v/>
      </c>
      <c r="L122" s="17">
        <f>IF($A122="","",ROUND($C122,2))</f>
        <v/>
      </c>
      <c r="M122" s="17">
        <f>IF($A122="","",IF($F122&lt;=toleransKurus,1,0))</f>
        <v/>
      </c>
      <c r="N122" s="17">
        <f>IF($A122="","",IF($F122&gt;tyk_esikFark,1,0))</f>
        <v/>
      </c>
      <c r="O122" s="17">
        <f>IF($A122="","",IFERROR(SUMIF(tblMotor[A_Norm],$A122,tblMotor[NetKar]),0))</f>
        <v/>
      </c>
      <c r="P122" s="17">
        <f>IF($A122="","",$B122+$M122+$N122)</f>
        <v/>
      </c>
    </row>
    <row r="123">
      <c r="A123" s="17">
        <f>IF('ANAHTAR'!$B123="","",'ANAHTAR'!$B123)</f>
        <v/>
      </c>
      <c r="B123" s="17">
        <f>IF($A123="","",COUNTIF(tblAnahtarB[NormB],$A123))</f>
        <v/>
      </c>
      <c r="C123" s="17">
        <f>IF($A123="","",IFERROR(SUMIF(tblAnahtarB[NormB],$A123,tblHakedis[GercekHakedis]),0))</f>
        <v/>
      </c>
      <c r="D123" s="17">
        <f>IF($A123="","",IFERROR(SUMIF(tblMotor[A_Norm],$A123,tblMotor[BeklenenHakedis]),0))</f>
        <v/>
      </c>
      <c r="E123" s="17">
        <f>IF($A123="","",ROUND($D123,2)-ROUND($C123,2))</f>
        <v/>
      </c>
      <c r="F123" s="17">
        <f>IF($A123="","",ABS($E123))</f>
        <v/>
      </c>
      <c r="G123" s="17">
        <f>IF($A123="","",IF($B123=0,"eslesmedi",IF(ROUND($D123,2)=ROUND($C123,2),"eslesti",IF(ABS(ROUND($D123,2)-ROUND($C123,2))&lt;=toleransKurus,"tolerans_icinde","tutar_farki"))))</f>
        <v/>
      </c>
      <c r="H123" s="17">
        <f>IF($A123="","",IF($B123&gt;0,"BIRINCIL",IF(COUNTIF(tblAnahtarB[IkincilB],'ANAHTAR'!$D123)&gt;0,"IKINCIL","YOK")))</f>
        <v/>
      </c>
      <c r="I123" s="17">
        <f>IF($A123="","",'ANAHTAR'!$F123)</f>
        <v/>
      </c>
      <c r="J123" s="17">
        <f>IF(OR($A123="",$D123=0),0,$F123/ABS($D123))</f>
        <v/>
      </c>
      <c r="K123" s="17">
        <f>IF($A123="","",ROUND($D123,2))</f>
        <v/>
      </c>
      <c r="L123" s="17">
        <f>IF($A123="","",ROUND($C123,2))</f>
        <v/>
      </c>
      <c r="M123" s="17">
        <f>IF($A123="","",IF($F123&lt;=toleransKurus,1,0))</f>
        <v/>
      </c>
      <c r="N123" s="17">
        <f>IF($A123="","",IF($F123&gt;tyk_esikFark,1,0))</f>
        <v/>
      </c>
      <c r="O123" s="17">
        <f>IF($A123="","",IFERROR(SUMIF(tblMotor[A_Norm],$A123,tblMotor[NetKar]),0))</f>
        <v/>
      </c>
      <c r="P123" s="17">
        <f>IF($A123="","",$B123+$M123+$N123)</f>
        <v/>
      </c>
    </row>
    <row r="124">
      <c r="A124" s="17">
        <f>IF('ANAHTAR'!$B124="","",'ANAHTAR'!$B124)</f>
        <v/>
      </c>
      <c r="B124" s="17">
        <f>IF($A124="","",COUNTIF(tblAnahtarB[NormB],$A124))</f>
        <v/>
      </c>
      <c r="C124" s="17">
        <f>IF($A124="","",IFERROR(SUMIF(tblAnahtarB[NormB],$A124,tblHakedis[GercekHakedis]),0))</f>
        <v/>
      </c>
      <c r="D124" s="17">
        <f>IF($A124="","",IFERROR(SUMIF(tblMotor[A_Norm],$A124,tblMotor[BeklenenHakedis]),0))</f>
        <v/>
      </c>
      <c r="E124" s="17">
        <f>IF($A124="","",ROUND($D124,2)-ROUND($C124,2))</f>
        <v/>
      </c>
      <c r="F124" s="17">
        <f>IF($A124="","",ABS($E124))</f>
        <v/>
      </c>
      <c r="G124" s="17">
        <f>IF($A124="","",IF($B124=0,"eslesmedi",IF(ROUND($D124,2)=ROUND($C124,2),"eslesti",IF(ABS(ROUND($D124,2)-ROUND($C124,2))&lt;=toleransKurus,"tolerans_icinde","tutar_farki"))))</f>
        <v/>
      </c>
      <c r="H124" s="17">
        <f>IF($A124="","",IF($B124&gt;0,"BIRINCIL",IF(COUNTIF(tblAnahtarB[IkincilB],'ANAHTAR'!$D124)&gt;0,"IKINCIL","YOK")))</f>
        <v/>
      </c>
      <c r="I124" s="17">
        <f>IF($A124="","",'ANAHTAR'!$F124)</f>
        <v/>
      </c>
      <c r="J124" s="17">
        <f>IF(OR($A124="",$D124=0),0,$F124/ABS($D124))</f>
        <v/>
      </c>
      <c r="K124" s="17">
        <f>IF($A124="","",ROUND($D124,2))</f>
        <v/>
      </c>
      <c r="L124" s="17">
        <f>IF($A124="","",ROUND($C124,2))</f>
        <v/>
      </c>
      <c r="M124" s="17">
        <f>IF($A124="","",IF($F124&lt;=toleransKurus,1,0))</f>
        <v/>
      </c>
      <c r="N124" s="17">
        <f>IF($A124="","",IF($F124&gt;tyk_esikFark,1,0))</f>
        <v/>
      </c>
      <c r="O124" s="17">
        <f>IF($A124="","",IFERROR(SUMIF(tblMotor[A_Norm],$A124,tblMotor[NetKar]),0))</f>
        <v/>
      </c>
      <c r="P124" s="17">
        <f>IF($A124="","",$B124+$M124+$N124)</f>
        <v/>
      </c>
    </row>
    <row r="125">
      <c r="A125" s="17">
        <f>IF('ANAHTAR'!$B125="","",'ANAHTAR'!$B125)</f>
        <v/>
      </c>
      <c r="B125" s="17">
        <f>IF($A125="","",COUNTIF(tblAnahtarB[NormB],$A125))</f>
        <v/>
      </c>
      <c r="C125" s="17">
        <f>IF($A125="","",IFERROR(SUMIF(tblAnahtarB[NormB],$A125,tblHakedis[GercekHakedis]),0))</f>
        <v/>
      </c>
      <c r="D125" s="17">
        <f>IF($A125="","",IFERROR(SUMIF(tblMotor[A_Norm],$A125,tblMotor[BeklenenHakedis]),0))</f>
        <v/>
      </c>
      <c r="E125" s="17">
        <f>IF($A125="","",ROUND($D125,2)-ROUND($C125,2))</f>
        <v/>
      </c>
      <c r="F125" s="17">
        <f>IF($A125="","",ABS($E125))</f>
        <v/>
      </c>
      <c r="G125" s="17">
        <f>IF($A125="","",IF($B125=0,"eslesmedi",IF(ROUND($D125,2)=ROUND($C125,2),"eslesti",IF(ABS(ROUND($D125,2)-ROUND($C125,2))&lt;=toleransKurus,"tolerans_icinde","tutar_farki"))))</f>
        <v/>
      </c>
      <c r="H125" s="17">
        <f>IF($A125="","",IF($B125&gt;0,"BIRINCIL",IF(COUNTIF(tblAnahtarB[IkincilB],'ANAHTAR'!$D125)&gt;0,"IKINCIL","YOK")))</f>
        <v/>
      </c>
      <c r="I125" s="17">
        <f>IF($A125="","",'ANAHTAR'!$F125)</f>
        <v/>
      </c>
      <c r="J125" s="17">
        <f>IF(OR($A125="",$D125=0),0,$F125/ABS($D125))</f>
        <v/>
      </c>
      <c r="K125" s="17">
        <f>IF($A125="","",ROUND($D125,2))</f>
        <v/>
      </c>
      <c r="L125" s="17">
        <f>IF($A125="","",ROUND($C125,2))</f>
        <v/>
      </c>
      <c r="M125" s="17">
        <f>IF($A125="","",IF($F125&lt;=toleransKurus,1,0))</f>
        <v/>
      </c>
      <c r="N125" s="17">
        <f>IF($A125="","",IF($F125&gt;tyk_esikFark,1,0))</f>
        <v/>
      </c>
      <c r="O125" s="17">
        <f>IF($A125="","",IFERROR(SUMIF(tblMotor[A_Norm],$A125,tblMotor[NetKar]),0))</f>
        <v/>
      </c>
      <c r="P125" s="17">
        <f>IF($A125="","",$B125+$M125+$N125)</f>
        <v/>
      </c>
    </row>
    <row r="126">
      <c r="A126" s="17">
        <f>IF('ANAHTAR'!$B126="","",'ANAHTAR'!$B126)</f>
        <v/>
      </c>
      <c r="B126" s="17">
        <f>IF($A126="","",COUNTIF(tblAnahtarB[NormB],$A126))</f>
        <v/>
      </c>
      <c r="C126" s="17">
        <f>IF($A126="","",IFERROR(SUMIF(tblAnahtarB[NormB],$A126,tblHakedis[GercekHakedis]),0))</f>
        <v/>
      </c>
      <c r="D126" s="17">
        <f>IF($A126="","",IFERROR(SUMIF(tblMotor[A_Norm],$A126,tblMotor[BeklenenHakedis]),0))</f>
        <v/>
      </c>
      <c r="E126" s="17">
        <f>IF($A126="","",ROUND($D126,2)-ROUND($C126,2))</f>
        <v/>
      </c>
      <c r="F126" s="17">
        <f>IF($A126="","",ABS($E126))</f>
        <v/>
      </c>
      <c r="G126" s="17">
        <f>IF($A126="","",IF($B126=0,"eslesmedi",IF(ROUND($D126,2)=ROUND($C126,2),"eslesti",IF(ABS(ROUND($D126,2)-ROUND($C126,2))&lt;=toleransKurus,"tolerans_icinde","tutar_farki"))))</f>
        <v/>
      </c>
      <c r="H126" s="17">
        <f>IF($A126="","",IF($B126&gt;0,"BIRINCIL",IF(COUNTIF(tblAnahtarB[IkincilB],'ANAHTAR'!$D126)&gt;0,"IKINCIL","YOK")))</f>
        <v/>
      </c>
      <c r="I126" s="17">
        <f>IF($A126="","",'ANAHTAR'!$F126)</f>
        <v/>
      </c>
      <c r="J126" s="17">
        <f>IF(OR($A126="",$D126=0),0,$F126/ABS($D126))</f>
        <v/>
      </c>
      <c r="K126" s="17">
        <f>IF($A126="","",ROUND($D126,2))</f>
        <v/>
      </c>
      <c r="L126" s="17">
        <f>IF($A126="","",ROUND($C126,2))</f>
        <v/>
      </c>
      <c r="M126" s="17">
        <f>IF($A126="","",IF($F126&lt;=toleransKurus,1,0))</f>
        <v/>
      </c>
      <c r="N126" s="17">
        <f>IF($A126="","",IF($F126&gt;tyk_esikFark,1,0))</f>
        <v/>
      </c>
      <c r="O126" s="17">
        <f>IF($A126="","",IFERROR(SUMIF(tblMotor[A_Norm],$A126,tblMotor[NetKar]),0))</f>
        <v/>
      </c>
      <c r="P126" s="17">
        <f>IF($A126="","",$B126+$M126+$N126)</f>
        <v/>
      </c>
    </row>
    <row r="127">
      <c r="A127" s="17">
        <f>IF('ANAHTAR'!$B127="","",'ANAHTAR'!$B127)</f>
        <v/>
      </c>
      <c r="B127" s="17">
        <f>IF($A127="","",COUNTIF(tblAnahtarB[NormB],$A127))</f>
        <v/>
      </c>
      <c r="C127" s="17">
        <f>IF($A127="","",IFERROR(SUMIF(tblAnahtarB[NormB],$A127,tblHakedis[GercekHakedis]),0))</f>
        <v/>
      </c>
      <c r="D127" s="17">
        <f>IF($A127="","",IFERROR(SUMIF(tblMotor[A_Norm],$A127,tblMotor[BeklenenHakedis]),0))</f>
        <v/>
      </c>
      <c r="E127" s="17">
        <f>IF($A127="","",ROUND($D127,2)-ROUND($C127,2))</f>
        <v/>
      </c>
      <c r="F127" s="17">
        <f>IF($A127="","",ABS($E127))</f>
        <v/>
      </c>
      <c r="G127" s="17">
        <f>IF($A127="","",IF($B127=0,"eslesmedi",IF(ROUND($D127,2)=ROUND($C127,2),"eslesti",IF(ABS(ROUND($D127,2)-ROUND($C127,2))&lt;=toleransKurus,"tolerans_icinde","tutar_farki"))))</f>
        <v/>
      </c>
      <c r="H127" s="17">
        <f>IF($A127="","",IF($B127&gt;0,"BIRINCIL",IF(COUNTIF(tblAnahtarB[IkincilB],'ANAHTAR'!$D127)&gt;0,"IKINCIL","YOK")))</f>
        <v/>
      </c>
      <c r="I127" s="17">
        <f>IF($A127="","",'ANAHTAR'!$F127)</f>
        <v/>
      </c>
      <c r="J127" s="17">
        <f>IF(OR($A127="",$D127=0),0,$F127/ABS($D127))</f>
        <v/>
      </c>
      <c r="K127" s="17">
        <f>IF($A127="","",ROUND($D127,2))</f>
        <v/>
      </c>
      <c r="L127" s="17">
        <f>IF($A127="","",ROUND($C127,2))</f>
        <v/>
      </c>
      <c r="M127" s="17">
        <f>IF($A127="","",IF($F127&lt;=toleransKurus,1,0))</f>
        <v/>
      </c>
      <c r="N127" s="17">
        <f>IF($A127="","",IF($F127&gt;tyk_esikFark,1,0))</f>
        <v/>
      </c>
      <c r="O127" s="17">
        <f>IF($A127="","",IFERROR(SUMIF(tblMotor[A_Norm],$A127,tblMotor[NetKar]),0))</f>
        <v/>
      </c>
      <c r="P127" s="17">
        <f>IF($A127="","",$B127+$M127+$N127)</f>
        <v/>
      </c>
    </row>
    <row r="128">
      <c r="A128" s="17">
        <f>IF('ANAHTAR'!$B128="","",'ANAHTAR'!$B128)</f>
        <v/>
      </c>
      <c r="B128" s="17">
        <f>IF($A128="","",COUNTIF(tblAnahtarB[NormB],$A128))</f>
        <v/>
      </c>
      <c r="C128" s="17">
        <f>IF($A128="","",IFERROR(SUMIF(tblAnahtarB[NormB],$A128,tblHakedis[GercekHakedis]),0))</f>
        <v/>
      </c>
      <c r="D128" s="17">
        <f>IF($A128="","",IFERROR(SUMIF(tblMotor[A_Norm],$A128,tblMotor[BeklenenHakedis]),0))</f>
        <v/>
      </c>
      <c r="E128" s="17">
        <f>IF($A128="","",ROUND($D128,2)-ROUND($C128,2))</f>
        <v/>
      </c>
      <c r="F128" s="17">
        <f>IF($A128="","",ABS($E128))</f>
        <v/>
      </c>
      <c r="G128" s="17">
        <f>IF($A128="","",IF($B128=0,"eslesmedi",IF(ROUND($D128,2)=ROUND($C128,2),"eslesti",IF(ABS(ROUND($D128,2)-ROUND($C128,2))&lt;=toleransKurus,"tolerans_icinde","tutar_farki"))))</f>
        <v/>
      </c>
      <c r="H128" s="17">
        <f>IF($A128="","",IF($B128&gt;0,"BIRINCIL",IF(COUNTIF(tblAnahtarB[IkincilB],'ANAHTAR'!$D128)&gt;0,"IKINCIL","YOK")))</f>
        <v/>
      </c>
      <c r="I128" s="17">
        <f>IF($A128="","",'ANAHTAR'!$F128)</f>
        <v/>
      </c>
      <c r="J128" s="17">
        <f>IF(OR($A128="",$D128=0),0,$F128/ABS($D128))</f>
        <v/>
      </c>
      <c r="K128" s="17">
        <f>IF($A128="","",ROUND($D128,2))</f>
        <v/>
      </c>
      <c r="L128" s="17">
        <f>IF($A128="","",ROUND($C128,2))</f>
        <v/>
      </c>
      <c r="M128" s="17">
        <f>IF($A128="","",IF($F128&lt;=toleransKurus,1,0))</f>
        <v/>
      </c>
      <c r="N128" s="17">
        <f>IF($A128="","",IF($F128&gt;tyk_esikFark,1,0))</f>
        <v/>
      </c>
      <c r="O128" s="17">
        <f>IF($A128="","",IFERROR(SUMIF(tblMotor[A_Norm],$A128,tblMotor[NetKar]),0))</f>
        <v/>
      </c>
      <c r="P128" s="17">
        <f>IF($A128="","",$B128+$M128+$N128)</f>
        <v/>
      </c>
    </row>
    <row r="129">
      <c r="A129" s="17">
        <f>IF('ANAHTAR'!$B129="","",'ANAHTAR'!$B129)</f>
        <v/>
      </c>
      <c r="B129" s="17">
        <f>IF($A129="","",COUNTIF(tblAnahtarB[NormB],$A129))</f>
        <v/>
      </c>
      <c r="C129" s="17">
        <f>IF($A129="","",IFERROR(SUMIF(tblAnahtarB[NormB],$A129,tblHakedis[GercekHakedis]),0))</f>
        <v/>
      </c>
      <c r="D129" s="17">
        <f>IF($A129="","",IFERROR(SUMIF(tblMotor[A_Norm],$A129,tblMotor[BeklenenHakedis]),0))</f>
        <v/>
      </c>
      <c r="E129" s="17">
        <f>IF($A129="","",ROUND($D129,2)-ROUND($C129,2))</f>
        <v/>
      </c>
      <c r="F129" s="17">
        <f>IF($A129="","",ABS($E129))</f>
        <v/>
      </c>
      <c r="G129" s="17">
        <f>IF($A129="","",IF($B129=0,"eslesmedi",IF(ROUND($D129,2)=ROUND($C129,2),"eslesti",IF(ABS(ROUND($D129,2)-ROUND($C129,2))&lt;=toleransKurus,"tolerans_icinde","tutar_farki"))))</f>
        <v/>
      </c>
      <c r="H129" s="17">
        <f>IF($A129="","",IF($B129&gt;0,"BIRINCIL",IF(COUNTIF(tblAnahtarB[IkincilB],'ANAHTAR'!$D129)&gt;0,"IKINCIL","YOK")))</f>
        <v/>
      </c>
      <c r="I129" s="17">
        <f>IF($A129="","",'ANAHTAR'!$F129)</f>
        <v/>
      </c>
      <c r="J129" s="17">
        <f>IF(OR($A129="",$D129=0),0,$F129/ABS($D129))</f>
        <v/>
      </c>
      <c r="K129" s="17">
        <f>IF($A129="","",ROUND($D129,2))</f>
        <v/>
      </c>
      <c r="L129" s="17">
        <f>IF($A129="","",ROUND($C129,2))</f>
        <v/>
      </c>
      <c r="M129" s="17">
        <f>IF($A129="","",IF($F129&lt;=toleransKurus,1,0))</f>
        <v/>
      </c>
      <c r="N129" s="17">
        <f>IF($A129="","",IF($F129&gt;tyk_esikFark,1,0))</f>
        <v/>
      </c>
      <c r="O129" s="17">
        <f>IF($A129="","",IFERROR(SUMIF(tblMotor[A_Norm],$A129,tblMotor[NetKar]),0))</f>
        <v/>
      </c>
      <c r="P129" s="17">
        <f>IF($A129="","",$B129+$M129+$N129)</f>
        <v/>
      </c>
    </row>
    <row r="130">
      <c r="A130" s="17">
        <f>IF('ANAHTAR'!$B130="","",'ANAHTAR'!$B130)</f>
        <v/>
      </c>
      <c r="B130" s="17">
        <f>IF($A130="","",COUNTIF(tblAnahtarB[NormB],$A130))</f>
        <v/>
      </c>
      <c r="C130" s="17">
        <f>IF($A130="","",IFERROR(SUMIF(tblAnahtarB[NormB],$A130,tblHakedis[GercekHakedis]),0))</f>
        <v/>
      </c>
      <c r="D130" s="17">
        <f>IF($A130="","",IFERROR(SUMIF(tblMotor[A_Norm],$A130,tblMotor[BeklenenHakedis]),0))</f>
        <v/>
      </c>
      <c r="E130" s="17">
        <f>IF($A130="","",ROUND($D130,2)-ROUND($C130,2))</f>
        <v/>
      </c>
      <c r="F130" s="17">
        <f>IF($A130="","",ABS($E130))</f>
        <v/>
      </c>
      <c r="G130" s="17">
        <f>IF($A130="","",IF($B130=0,"eslesmedi",IF(ROUND($D130,2)=ROUND($C130,2),"eslesti",IF(ABS(ROUND($D130,2)-ROUND($C130,2))&lt;=toleransKurus,"tolerans_icinde","tutar_farki"))))</f>
        <v/>
      </c>
      <c r="H130" s="17">
        <f>IF($A130="","",IF($B130&gt;0,"BIRINCIL",IF(COUNTIF(tblAnahtarB[IkincilB],'ANAHTAR'!$D130)&gt;0,"IKINCIL","YOK")))</f>
        <v/>
      </c>
      <c r="I130" s="17">
        <f>IF($A130="","",'ANAHTAR'!$F130)</f>
        <v/>
      </c>
      <c r="J130" s="17">
        <f>IF(OR($A130="",$D130=0),0,$F130/ABS($D130))</f>
        <v/>
      </c>
      <c r="K130" s="17">
        <f>IF($A130="","",ROUND($D130,2))</f>
        <v/>
      </c>
      <c r="L130" s="17">
        <f>IF($A130="","",ROUND($C130,2))</f>
        <v/>
      </c>
      <c r="M130" s="17">
        <f>IF($A130="","",IF($F130&lt;=toleransKurus,1,0))</f>
        <v/>
      </c>
      <c r="N130" s="17">
        <f>IF($A130="","",IF($F130&gt;tyk_esikFark,1,0))</f>
        <v/>
      </c>
      <c r="O130" s="17">
        <f>IF($A130="","",IFERROR(SUMIF(tblMotor[A_Norm],$A130,tblMotor[NetKar]),0))</f>
        <v/>
      </c>
      <c r="P130" s="17">
        <f>IF($A130="","",$B130+$M130+$N130)</f>
        <v/>
      </c>
    </row>
    <row r="131">
      <c r="A131" s="17">
        <f>IF('ANAHTAR'!$B131="","",'ANAHTAR'!$B131)</f>
        <v/>
      </c>
      <c r="B131" s="17">
        <f>IF($A131="","",COUNTIF(tblAnahtarB[NormB],$A131))</f>
        <v/>
      </c>
      <c r="C131" s="17">
        <f>IF($A131="","",IFERROR(SUMIF(tblAnahtarB[NormB],$A131,tblHakedis[GercekHakedis]),0))</f>
        <v/>
      </c>
      <c r="D131" s="17">
        <f>IF($A131="","",IFERROR(SUMIF(tblMotor[A_Norm],$A131,tblMotor[BeklenenHakedis]),0))</f>
        <v/>
      </c>
      <c r="E131" s="17">
        <f>IF($A131="","",ROUND($D131,2)-ROUND($C131,2))</f>
        <v/>
      </c>
      <c r="F131" s="17">
        <f>IF($A131="","",ABS($E131))</f>
        <v/>
      </c>
      <c r="G131" s="17">
        <f>IF($A131="","",IF($B131=0,"eslesmedi",IF(ROUND($D131,2)=ROUND($C131,2),"eslesti",IF(ABS(ROUND($D131,2)-ROUND($C131,2))&lt;=toleransKurus,"tolerans_icinde","tutar_farki"))))</f>
        <v/>
      </c>
      <c r="H131" s="17">
        <f>IF($A131="","",IF($B131&gt;0,"BIRINCIL",IF(COUNTIF(tblAnahtarB[IkincilB],'ANAHTAR'!$D131)&gt;0,"IKINCIL","YOK")))</f>
        <v/>
      </c>
      <c r="I131" s="17">
        <f>IF($A131="","",'ANAHTAR'!$F131)</f>
        <v/>
      </c>
      <c r="J131" s="17">
        <f>IF(OR($A131="",$D131=0),0,$F131/ABS($D131))</f>
        <v/>
      </c>
      <c r="K131" s="17">
        <f>IF($A131="","",ROUND($D131,2))</f>
        <v/>
      </c>
      <c r="L131" s="17">
        <f>IF($A131="","",ROUND($C131,2))</f>
        <v/>
      </c>
      <c r="M131" s="17">
        <f>IF($A131="","",IF($F131&lt;=toleransKurus,1,0))</f>
        <v/>
      </c>
      <c r="N131" s="17">
        <f>IF($A131="","",IF($F131&gt;tyk_esikFark,1,0))</f>
        <v/>
      </c>
      <c r="O131" s="17">
        <f>IF($A131="","",IFERROR(SUMIF(tblMotor[A_Norm],$A131,tblMotor[NetKar]),0))</f>
        <v/>
      </c>
      <c r="P131" s="17">
        <f>IF($A131="","",$B131+$M131+$N131)</f>
        <v/>
      </c>
    </row>
    <row r="132">
      <c r="A132" s="17">
        <f>IF('ANAHTAR'!$B132="","",'ANAHTAR'!$B132)</f>
        <v/>
      </c>
      <c r="B132" s="17">
        <f>IF($A132="","",COUNTIF(tblAnahtarB[NormB],$A132))</f>
        <v/>
      </c>
      <c r="C132" s="17">
        <f>IF($A132="","",IFERROR(SUMIF(tblAnahtarB[NormB],$A132,tblHakedis[GercekHakedis]),0))</f>
        <v/>
      </c>
      <c r="D132" s="17">
        <f>IF($A132="","",IFERROR(SUMIF(tblMotor[A_Norm],$A132,tblMotor[BeklenenHakedis]),0))</f>
        <v/>
      </c>
      <c r="E132" s="17">
        <f>IF($A132="","",ROUND($D132,2)-ROUND($C132,2))</f>
        <v/>
      </c>
      <c r="F132" s="17">
        <f>IF($A132="","",ABS($E132))</f>
        <v/>
      </c>
      <c r="G132" s="17">
        <f>IF($A132="","",IF($B132=0,"eslesmedi",IF(ROUND($D132,2)=ROUND($C132,2),"eslesti",IF(ABS(ROUND($D132,2)-ROUND($C132,2))&lt;=toleransKurus,"tolerans_icinde","tutar_farki"))))</f>
        <v/>
      </c>
      <c r="H132" s="17">
        <f>IF($A132="","",IF($B132&gt;0,"BIRINCIL",IF(COUNTIF(tblAnahtarB[IkincilB],'ANAHTAR'!$D132)&gt;0,"IKINCIL","YOK")))</f>
        <v/>
      </c>
      <c r="I132" s="17">
        <f>IF($A132="","",'ANAHTAR'!$F132)</f>
        <v/>
      </c>
      <c r="J132" s="17">
        <f>IF(OR($A132="",$D132=0),0,$F132/ABS($D132))</f>
        <v/>
      </c>
      <c r="K132" s="17">
        <f>IF($A132="","",ROUND($D132,2))</f>
        <v/>
      </c>
      <c r="L132" s="17">
        <f>IF($A132="","",ROUND($C132,2))</f>
        <v/>
      </c>
      <c r="M132" s="17">
        <f>IF($A132="","",IF($F132&lt;=toleransKurus,1,0))</f>
        <v/>
      </c>
      <c r="N132" s="17">
        <f>IF($A132="","",IF($F132&gt;tyk_esikFark,1,0))</f>
        <v/>
      </c>
      <c r="O132" s="17">
        <f>IF($A132="","",IFERROR(SUMIF(tblMotor[A_Norm],$A132,tblMotor[NetKar]),0))</f>
        <v/>
      </c>
      <c r="P132" s="17">
        <f>IF($A132="","",$B132+$M132+$N132)</f>
        <v/>
      </c>
    </row>
    <row r="133">
      <c r="A133" s="17">
        <f>IF('ANAHTAR'!$B133="","",'ANAHTAR'!$B133)</f>
        <v/>
      </c>
      <c r="B133" s="17">
        <f>IF($A133="","",COUNTIF(tblAnahtarB[NormB],$A133))</f>
        <v/>
      </c>
      <c r="C133" s="17">
        <f>IF($A133="","",IFERROR(SUMIF(tblAnahtarB[NormB],$A133,tblHakedis[GercekHakedis]),0))</f>
        <v/>
      </c>
      <c r="D133" s="17">
        <f>IF($A133="","",IFERROR(SUMIF(tblMotor[A_Norm],$A133,tblMotor[BeklenenHakedis]),0))</f>
        <v/>
      </c>
      <c r="E133" s="17">
        <f>IF($A133="","",ROUND($D133,2)-ROUND($C133,2))</f>
        <v/>
      </c>
      <c r="F133" s="17">
        <f>IF($A133="","",ABS($E133))</f>
        <v/>
      </c>
      <c r="G133" s="17">
        <f>IF($A133="","",IF($B133=0,"eslesmedi",IF(ROUND($D133,2)=ROUND($C133,2),"eslesti",IF(ABS(ROUND($D133,2)-ROUND($C133,2))&lt;=toleransKurus,"tolerans_icinde","tutar_farki"))))</f>
        <v/>
      </c>
      <c r="H133" s="17">
        <f>IF($A133="","",IF($B133&gt;0,"BIRINCIL",IF(COUNTIF(tblAnahtarB[IkincilB],'ANAHTAR'!$D133)&gt;0,"IKINCIL","YOK")))</f>
        <v/>
      </c>
      <c r="I133" s="17">
        <f>IF($A133="","",'ANAHTAR'!$F133)</f>
        <v/>
      </c>
      <c r="J133" s="17">
        <f>IF(OR($A133="",$D133=0),0,$F133/ABS($D133))</f>
        <v/>
      </c>
      <c r="K133" s="17">
        <f>IF($A133="","",ROUND($D133,2))</f>
        <v/>
      </c>
      <c r="L133" s="17">
        <f>IF($A133="","",ROUND($C133,2))</f>
        <v/>
      </c>
      <c r="M133" s="17">
        <f>IF($A133="","",IF($F133&lt;=toleransKurus,1,0))</f>
        <v/>
      </c>
      <c r="N133" s="17">
        <f>IF($A133="","",IF($F133&gt;tyk_esikFark,1,0))</f>
        <v/>
      </c>
      <c r="O133" s="17">
        <f>IF($A133="","",IFERROR(SUMIF(tblMotor[A_Norm],$A133,tblMotor[NetKar]),0))</f>
        <v/>
      </c>
      <c r="P133" s="17">
        <f>IF($A133="","",$B133+$M133+$N133)</f>
        <v/>
      </c>
    </row>
    <row r="134">
      <c r="A134" s="17">
        <f>IF('ANAHTAR'!$B134="","",'ANAHTAR'!$B134)</f>
        <v/>
      </c>
      <c r="B134" s="17">
        <f>IF($A134="","",COUNTIF(tblAnahtarB[NormB],$A134))</f>
        <v/>
      </c>
      <c r="C134" s="17">
        <f>IF($A134="","",IFERROR(SUMIF(tblAnahtarB[NormB],$A134,tblHakedis[GercekHakedis]),0))</f>
        <v/>
      </c>
      <c r="D134" s="17">
        <f>IF($A134="","",IFERROR(SUMIF(tblMotor[A_Norm],$A134,tblMotor[BeklenenHakedis]),0))</f>
        <v/>
      </c>
      <c r="E134" s="17">
        <f>IF($A134="","",ROUND($D134,2)-ROUND($C134,2))</f>
        <v/>
      </c>
      <c r="F134" s="17">
        <f>IF($A134="","",ABS($E134))</f>
        <v/>
      </c>
      <c r="G134" s="17">
        <f>IF($A134="","",IF($B134=0,"eslesmedi",IF(ROUND($D134,2)=ROUND($C134,2),"eslesti",IF(ABS(ROUND($D134,2)-ROUND($C134,2))&lt;=toleransKurus,"tolerans_icinde","tutar_farki"))))</f>
        <v/>
      </c>
      <c r="H134" s="17">
        <f>IF($A134="","",IF($B134&gt;0,"BIRINCIL",IF(COUNTIF(tblAnahtarB[IkincilB],'ANAHTAR'!$D134)&gt;0,"IKINCIL","YOK")))</f>
        <v/>
      </c>
      <c r="I134" s="17">
        <f>IF($A134="","",'ANAHTAR'!$F134)</f>
        <v/>
      </c>
      <c r="J134" s="17">
        <f>IF(OR($A134="",$D134=0),0,$F134/ABS($D134))</f>
        <v/>
      </c>
      <c r="K134" s="17">
        <f>IF($A134="","",ROUND($D134,2))</f>
        <v/>
      </c>
      <c r="L134" s="17">
        <f>IF($A134="","",ROUND($C134,2))</f>
        <v/>
      </c>
      <c r="M134" s="17">
        <f>IF($A134="","",IF($F134&lt;=toleransKurus,1,0))</f>
        <v/>
      </c>
      <c r="N134" s="17">
        <f>IF($A134="","",IF($F134&gt;tyk_esikFark,1,0))</f>
        <v/>
      </c>
      <c r="O134" s="17">
        <f>IF($A134="","",IFERROR(SUMIF(tblMotor[A_Norm],$A134,tblMotor[NetKar]),0))</f>
        <v/>
      </c>
      <c r="P134" s="17">
        <f>IF($A134="","",$B134+$M134+$N134)</f>
        <v/>
      </c>
    </row>
    <row r="135">
      <c r="A135" s="17">
        <f>IF('ANAHTAR'!$B135="","",'ANAHTAR'!$B135)</f>
        <v/>
      </c>
      <c r="B135" s="17">
        <f>IF($A135="","",COUNTIF(tblAnahtarB[NormB],$A135))</f>
        <v/>
      </c>
      <c r="C135" s="17">
        <f>IF($A135="","",IFERROR(SUMIF(tblAnahtarB[NormB],$A135,tblHakedis[GercekHakedis]),0))</f>
        <v/>
      </c>
      <c r="D135" s="17">
        <f>IF($A135="","",IFERROR(SUMIF(tblMotor[A_Norm],$A135,tblMotor[BeklenenHakedis]),0))</f>
        <v/>
      </c>
      <c r="E135" s="17">
        <f>IF($A135="","",ROUND($D135,2)-ROUND($C135,2))</f>
        <v/>
      </c>
      <c r="F135" s="17">
        <f>IF($A135="","",ABS($E135))</f>
        <v/>
      </c>
      <c r="G135" s="17">
        <f>IF($A135="","",IF($B135=0,"eslesmedi",IF(ROUND($D135,2)=ROUND($C135,2),"eslesti",IF(ABS(ROUND($D135,2)-ROUND($C135,2))&lt;=toleransKurus,"tolerans_icinde","tutar_farki"))))</f>
        <v/>
      </c>
      <c r="H135" s="17">
        <f>IF($A135="","",IF($B135&gt;0,"BIRINCIL",IF(COUNTIF(tblAnahtarB[IkincilB],'ANAHTAR'!$D135)&gt;0,"IKINCIL","YOK")))</f>
        <v/>
      </c>
      <c r="I135" s="17">
        <f>IF($A135="","",'ANAHTAR'!$F135)</f>
        <v/>
      </c>
      <c r="J135" s="17">
        <f>IF(OR($A135="",$D135=0),0,$F135/ABS($D135))</f>
        <v/>
      </c>
      <c r="K135" s="17">
        <f>IF($A135="","",ROUND($D135,2))</f>
        <v/>
      </c>
      <c r="L135" s="17">
        <f>IF($A135="","",ROUND($C135,2))</f>
        <v/>
      </c>
      <c r="M135" s="17">
        <f>IF($A135="","",IF($F135&lt;=toleransKurus,1,0))</f>
        <v/>
      </c>
      <c r="N135" s="17">
        <f>IF($A135="","",IF($F135&gt;tyk_esikFark,1,0))</f>
        <v/>
      </c>
      <c r="O135" s="17">
        <f>IF($A135="","",IFERROR(SUMIF(tblMotor[A_Norm],$A135,tblMotor[NetKar]),0))</f>
        <v/>
      </c>
      <c r="P135" s="17">
        <f>IF($A135="","",$B135+$M135+$N135)</f>
        <v/>
      </c>
    </row>
    <row r="136">
      <c r="A136" s="17">
        <f>IF('ANAHTAR'!$B136="","",'ANAHTAR'!$B136)</f>
        <v/>
      </c>
      <c r="B136" s="17">
        <f>IF($A136="","",COUNTIF(tblAnahtarB[NormB],$A136))</f>
        <v/>
      </c>
      <c r="C136" s="17">
        <f>IF($A136="","",IFERROR(SUMIF(tblAnahtarB[NormB],$A136,tblHakedis[GercekHakedis]),0))</f>
        <v/>
      </c>
      <c r="D136" s="17">
        <f>IF($A136="","",IFERROR(SUMIF(tblMotor[A_Norm],$A136,tblMotor[BeklenenHakedis]),0))</f>
        <v/>
      </c>
      <c r="E136" s="17">
        <f>IF($A136="","",ROUND($D136,2)-ROUND($C136,2))</f>
        <v/>
      </c>
      <c r="F136" s="17">
        <f>IF($A136="","",ABS($E136))</f>
        <v/>
      </c>
      <c r="G136" s="17">
        <f>IF($A136="","",IF($B136=0,"eslesmedi",IF(ROUND($D136,2)=ROUND($C136,2),"eslesti",IF(ABS(ROUND($D136,2)-ROUND($C136,2))&lt;=toleransKurus,"tolerans_icinde","tutar_farki"))))</f>
        <v/>
      </c>
      <c r="H136" s="17">
        <f>IF($A136="","",IF($B136&gt;0,"BIRINCIL",IF(COUNTIF(tblAnahtarB[IkincilB],'ANAHTAR'!$D136)&gt;0,"IKINCIL","YOK")))</f>
        <v/>
      </c>
      <c r="I136" s="17">
        <f>IF($A136="","",'ANAHTAR'!$F136)</f>
        <v/>
      </c>
      <c r="J136" s="17">
        <f>IF(OR($A136="",$D136=0),0,$F136/ABS($D136))</f>
        <v/>
      </c>
      <c r="K136" s="17">
        <f>IF($A136="","",ROUND($D136,2))</f>
        <v/>
      </c>
      <c r="L136" s="17">
        <f>IF($A136="","",ROUND($C136,2))</f>
        <v/>
      </c>
      <c r="M136" s="17">
        <f>IF($A136="","",IF($F136&lt;=toleransKurus,1,0))</f>
        <v/>
      </c>
      <c r="N136" s="17">
        <f>IF($A136="","",IF($F136&gt;tyk_esikFark,1,0))</f>
        <v/>
      </c>
      <c r="O136" s="17">
        <f>IF($A136="","",IFERROR(SUMIF(tblMotor[A_Norm],$A136,tblMotor[NetKar]),0))</f>
        <v/>
      </c>
      <c r="P136" s="17">
        <f>IF($A136="","",$B136+$M136+$N136)</f>
        <v/>
      </c>
    </row>
    <row r="137">
      <c r="A137" s="17">
        <f>IF('ANAHTAR'!$B137="","",'ANAHTAR'!$B137)</f>
        <v/>
      </c>
      <c r="B137" s="17">
        <f>IF($A137="","",COUNTIF(tblAnahtarB[NormB],$A137))</f>
        <v/>
      </c>
      <c r="C137" s="17">
        <f>IF($A137="","",IFERROR(SUMIF(tblAnahtarB[NormB],$A137,tblHakedis[GercekHakedis]),0))</f>
        <v/>
      </c>
      <c r="D137" s="17">
        <f>IF($A137="","",IFERROR(SUMIF(tblMotor[A_Norm],$A137,tblMotor[BeklenenHakedis]),0))</f>
        <v/>
      </c>
      <c r="E137" s="17">
        <f>IF($A137="","",ROUND($D137,2)-ROUND($C137,2))</f>
        <v/>
      </c>
      <c r="F137" s="17">
        <f>IF($A137="","",ABS($E137))</f>
        <v/>
      </c>
      <c r="G137" s="17">
        <f>IF($A137="","",IF($B137=0,"eslesmedi",IF(ROUND($D137,2)=ROUND($C137,2),"eslesti",IF(ABS(ROUND($D137,2)-ROUND($C137,2))&lt;=toleransKurus,"tolerans_icinde","tutar_farki"))))</f>
        <v/>
      </c>
      <c r="H137" s="17">
        <f>IF($A137="","",IF($B137&gt;0,"BIRINCIL",IF(COUNTIF(tblAnahtarB[IkincilB],'ANAHTAR'!$D137)&gt;0,"IKINCIL","YOK")))</f>
        <v/>
      </c>
      <c r="I137" s="17">
        <f>IF($A137="","",'ANAHTAR'!$F137)</f>
        <v/>
      </c>
      <c r="J137" s="17">
        <f>IF(OR($A137="",$D137=0),0,$F137/ABS($D137))</f>
        <v/>
      </c>
      <c r="K137" s="17">
        <f>IF($A137="","",ROUND($D137,2))</f>
        <v/>
      </c>
      <c r="L137" s="17">
        <f>IF($A137="","",ROUND($C137,2))</f>
        <v/>
      </c>
      <c r="M137" s="17">
        <f>IF($A137="","",IF($F137&lt;=toleransKurus,1,0))</f>
        <v/>
      </c>
      <c r="N137" s="17">
        <f>IF($A137="","",IF($F137&gt;tyk_esikFark,1,0))</f>
        <v/>
      </c>
      <c r="O137" s="17">
        <f>IF($A137="","",IFERROR(SUMIF(tblMotor[A_Norm],$A137,tblMotor[NetKar]),0))</f>
        <v/>
      </c>
      <c r="P137" s="17">
        <f>IF($A137="","",$B137+$M137+$N137)</f>
        <v/>
      </c>
    </row>
    <row r="138">
      <c r="A138" s="17">
        <f>IF('ANAHTAR'!$B138="","",'ANAHTAR'!$B138)</f>
        <v/>
      </c>
      <c r="B138" s="17">
        <f>IF($A138="","",COUNTIF(tblAnahtarB[NormB],$A138))</f>
        <v/>
      </c>
      <c r="C138" s="17">
        <f>IF($A138="","",IFERROR(SUMIF(tblAnahtarB[NormB],$A138,tblHakedis[GercekHakedis]),0))</f>
        <v/>
      </c>
      <c r="D138" s="17">
        <f>IF($A138="","",IFERROR(SUMIF(tblMotor[A_Norm],$A138,tblMotor[BeklenenHakedis]),0))</f>
        <v/>
      </c>
      <c r="E138" s="17">
        <f>IF($A138="","",ROUND($D138,2)-ROUND($C138,2))</f>
        <v/>
      </c>
      <c r="F138" s="17">
        <f>IF($A138="","",ABS($E138))</f>
        <v/>
      </c>
      <c r="G138" s="17">
        <f>IF($A138="","",IF($B138=0,"eslesmedi",IF(ROUND($D138,2)=ROUND($C138,2),"eslesti",IF(ABS(ROUND($D138,2)-ROUND($C138,2))&lt;=toleransKurus,"tolerans_icinde","tutar_farki"))))</f>
        <v/>
      </c>
      <c r="H138" s="17">
        <f>IF($A138="","",IF($B138&gt;0,"BIRINCIL",IF(COUNTIF(tblAnahtarB[IkincilB],'ANAHTAR'!$D138)&gt;0,"IKINCIL","YOK")))</f>
        <v/>
      </c>
      <c r="I138" s="17">
        <f>IF($A138="","",'ANAHTAR'!$F138)</f>
        <v/>
      </c>
      <c r="J138" s="17">
        <f>IF(OR($A138="",$D138=0),0,$F138/ABS($D138))</f>
        <v/>
      </c>
      <c r="K138" s="17">
        <f>IF($A138="","",ROUND($D138,2))</f>
        <v/>
      </c>
      <c r="L138" s="17">
        <f>IF($A138="","",ROUND($C138,2))</f>
        <v/>
      </c>
      <c r="M138" s="17">
        <f>IF($A138="","",IF($F138&lt;=toleransKurus,1,0))</f>
        <v/>
      </c>
      <c r="N138" s="17">
        <f>IF($A138="","",IF($F138&gt;tyk_esikFark,1,0))</f>
        <v/>
      </c>
      <c r="O138" s="17">
        <f>IF($A138="","",IFERROR(SUMIF(tblMotor[A_Norm],$A138,tblMotor[NetKar]),0))</f>
        <v/>
      </c>
      <c r="P138" s="17">
        <f>IF($A138="","",$B138+$M138+$N138)</f>
        <v/>
      </c>
    </row>
    <row r="139">
      <c r="A139" s="17">
        <f>IF('ANAHTAR'!$B139="","",'ANAHTAR'!$B139)</f>
        <v/>
      </c>
      <c r="B139" s="17">
        <f>IF($A139="","",COUNTIF(tblAnahtarB[NormB],$A139))</f>
        <v/>
      </c>
      <c r="C139" s="17">
        <f>IF($A139="","",IFERROR(SUMIF(tblAnahtarB[NormB],$A139,tblHakedis[GercekHakedis]),0))</f>
        <v/>
      </c>
      <c r="D139" s="17">
        <f>IF($A139="","",IFERROR(SUMIF(tblMotor[A_Norm],$A139,tblMotor[BeklenenHakedis]),0))</f>
        <v/>
      </c>
      <c r="E139" s="17">
        <f>IF($A139="","",ROUND($D139,2)-ROUND($C139,2))</f>
        <v/>
      </c>
      <c r="F139" s="17">
        <f>IF($A139="","",ABS($E139))</f>
        <v/>
      </c>
      <c r="G139" s="17">
        <f>IF($A139="","",IF($B139=0,"eslesmedi",IF(ROUND($D139,2)=ROUND($C139,2),"eslesti",IF(ABS(ROUND($D139,2)-ROUND($C139,2))&lt;=toleransKurus,"tolerans_icinde","tutar_farki"))))</f>
        <v/>
      </c>
      <c r="H139" s="17">
        <f>IF($A139="","",IF($B139&gt;0,"BIRINCIL",IF(COUNTIF(tblAnahtarB[IkincilB],'ANAHTAR'!$D139)&gt;0,"IKINCIL","YOK")))</f>
        <v/>
      </c>
      <c r="I139" s="17">
        <f>IF($A139="","",'ANAHTAR'!$F139)</f>
        <v/>
      </c>
      <c r="J139" s="17">
        <f>IF(OR($A139="",$D139=0),0,$F139/ABS($D139))</f>
        <v/>
      </c>
      <c r="K139" s="17">
        <f>IF($A139="","",ROUND($D139,2))</f>
        <v/>
      </c>
      <c r="L139" s="17">
        <f>IF($A139="","",ROUND($C139,2))</f>
        <v/>
      </c>
      <c r="M139" s="17">
        <f>IF($A139="","",IF($F139&lt;=toleransKurus,1,0))</f>
        <v/>
      </c>
      <c r="N139" s="17">
        <f>IF($A139="","",IF($F139&gt;tyk_esikFark,1,0))</f>
        <v/>
      </c>
      <c r="O139" s="17">
        <f>IF($A139="","",IFERROR(SUMIF(tblMotor[A_Norm],$A139,tblMotor[NetKar]),0))</f>
        <v/>
      </c>
      <c r="P139" s="17">
        <f>IF($A139="","",$B139+$M139+$N139)</f>
        <v/>
      </c>
    </row>
    <row r="140">
      <c r="A140" s="17">
        <f>IF('ANAHTAR'!$B140="","",'ANAHTAR'!$B140)</f>
        <v/>
      </c>
      <c r="B140" s="17">
        <f>IF($A140="","",COUNTIF(tblAnahtarB[NormB],$A140))</f>
        <v/>
      </c>
      <c r="C140" s="17">
        <f>IF($A140="","",IFERROR(SUMIF(tblAnahtarB[NormB],$A140,tblHakedis[GercekHakedis]),0))</f>
        <v/>
      </c>
      <c r="D140" s="17">
        <f>IF($A140="","",IFERROR(SUMIF(tblMotor[A_Norm],$A140,tblMotor[BeklenenHakedis]),0))</f>
        <v/>
      </c>
      <c r="E140" s="17">
        <f>IF($A140="","",ROUND($D140,2)-ROUND($C140,2))</f>
        <v/>
      </c>
      <c r="F140" s="17">
        <f>IF($A140="","",ABS($E140))</f>
        <v/>
      </c>
      <c r="G140" s="17">
        <f>IF($A140="","",IF($B140=0,"eslesmedi",IF(ROUND($D140,2)=ROUND($C140,2),"eslesti",IF(ABS(ROUND($D140,2)-ROUND($C140,2))&lt;=toleransKurus,"tolerans_icinde","tutar_farki"))))</f>
        <v/>
      </c>
      <c r="H140" s="17">
        <f>IF($A140="","",IF($B140&gt;0,"BIRINCIL",IF(COUNTIF(tblAnahtarB[IkincilB],'ANAHTAR'!$D140)&gt;0,"IKINCIL","YOK")))</f>
        <v/>
      </c>
      <c r="I140" s="17">
        <f>IF($A140="","",'ANAHTAR'!$F140)</f>
        <v/>
      </c>
      <c r="J140" s="17">
        <f>IF(OR($A140="",$D140=0),0,$F140/ABS($D140))</f>
        <v/>
      </c>
      <c r="K140" s="17">
        <f>IF($A140="","",ROUND($D140,2))</f>
        <v/>
      </c>
      <c r="L140" s="17">
        <f>IF($A140="","",ROUND($C140,2))</f>
        <v/>
      </c>
      <c r="M140" s="17">
        <f>IF($A140="","",IF($F140&lt;=toleransKurus,1,0))</f>
        <v/>
      </c>
      <c r="N140" s="17">
        <f>IF($A140="","",IF($F140&gt;tyk_esikFark,1,0))</f>
        <v/>
      </c>
      <c r="O140" s="17">
        <f>IF($A140="","",IFERROR(SUMIF(tblMotor[A_Norm],$A140,tblMotor[NetKar]),0))</f>
        <v/>
      </c>
      <c r="P140" s="17">
        <f>IF($A140="","",$B140+$M140+$N140)</f>
        <v/>
      </c>
    </row>
    <row r="141">
      <c r="A141" s="17">
        <f>IF('ANAHTAR'!$B141="","",'ANAHTAR'!$B141)</f>
        <v/>
      </c>
      <c r="B141" s="17">
        <f>IF($A141="","",COUNTIF(tblAnahtarB[NormB],$A141))</f>
        <v/>
      </c>
      <c r="C141" s="17">
        <f>IF($A141="","",IFERROR(SUMIF(tblAnahtarB[NormB],$A141,tblHakedis[GercekHakedis]),0))</f>
        <v/>
      </c>
      <c r="D141" s="17">
        <f>IF($A141="","",IFERROR(SUMIF(tblMotor[A_Norm],$A141,tblMotor[BeklenenHakedis]),0))</f>
        <v/>
      </c>
      <c r="E141" s="17">
        <f>IF($A141="","",ROUND($D141,2)-ROUND($C141,2))</f>
        <v/>
      </c>
      <c r="F141" s="17">
        <f>IF($A141="","",ABS($E141))</f>
        <v/>
      </c>
      <c r="G141" s="17">
        <f>IF($A141="","",IF($B141=0,"eslesmedi",IF(ROUND($D141,2)=ROUND($C141,2),"eslesti",IF(ABS(ROUND($D141,2)-ROUND($C141,2))&lt;=toleransKurus,"tolerans_icinde","tutar_farki"))))</f>
        <v/>
      </c>
      <c r="H141" s="17">
        <f>IF($A141="","",IF($B141&gt;0,"BIRINCIL",IF(COUNTIF(tblAnahtarB[IkincilB],'ANAHTAR'!$D141)&gt;0,"IKINCIL","YOK")))</f>
        <v/>
      </c>
      <c r="I141" s="17">
        <f>IF($A141="","",'ANAHTAR'!$F141)</f>
        <v/>
      </c>
      <c r="J141" s="17">
        <f>IF(OR($A141="",$D141=0),0,$F141/ABS($D141))</f>
        <v/>
      </c>
      <c r="K141" s="17">
        <f>IF($A141="","",ROUND($D141,2))</f>
        <v/>
      </c>
      <c r="L141" s="17">
        <f>IF($A141="","",ROUND($C141,2))</f>
        <v/>
      </c>
      <c r="M141" s="17">
        <f>IF($A141="","",IF($F141&lt;=toleransKurus,1,0))</f>
        <v/>
      </c>
      <c r="N141" s="17">
        <f>IF($A141="","",IF($F141&gt;tyk_esikFark,1,0))</f>
        <v/>
      </c>
      <c r="O141" s="17">
        <f>IF($A141="","",IFERROR(SUMIF(tblMotor[A_Norm],$A141,tblMotor[NetKar]),0))</f>
        <v/>
      </c>
      <c r="P141" s="17">
        <f>IF($A141="","",$B141+$M141+$N141)</f>
        <v/>
      </c>
    </row>
    <row r="142">
      <c r="A142" s="17">
        <f>IF('ANAHTAR'!$B142="","",'ANAHTAR'!$B142)</f>
        <v/>
      </c>
      <c r="B142" s="17">
        <f>IF($A142="","",COUNTIF(tblAnahtarB[NormB],$A142))</f>
        <v/>
      </c>
      <c r="C142" s="17">
        <f>IF($A142="","",IFERROR(SUMIF(tblAnahtarB[NormB],$A142,tblHakedis[GercekHakedis]),0))</f>
        <v/>
      </c>
      <c r="D142" s="17">
        <f>IF($A142="","",IFERROR(SUMIF(tblMotor[A_Norm],$A142,tblMotor[BeklenenHakedis]),0))</f>
        <v/>
      </c>
      <c r="E142" s="17">
        <f>IF($A142="","",ROUND($D142,2)-ROUND($C142,2))</f>
        <v/>
      </c>
      <c r="F142" s="17">
        <f>IF($A142="","",ABS($E142))</f>
        <v/>
      </c>
      <c r="G142" s="17">
        <f>IF($A142="","",IF($B142=0,"eslesmedi",IF(ROUND($D142,2)=ROUND($C142,2),"eslesti",IF(ABS(ROUND($D142,2)-ROUND($C142,2))&lt;=toleransKurus,"tolerans_icinde","tutar_farki"))))</f>
        <v/>
      </c>
      <c r="H142" s="17">
        <f>IF($A142="","",IF($B142&gt;0,"BIRINCIL",IF(COUNTIF(tblAnahtarB[IkincilB],'ANAHTAR'!$D142)&gt;0,"IKINCIL","YOK")))</f>
        <v/>
      </c>
      <c r="I142" s="17">
        <f>IF($A142="","",'ANAHTAR'!$F142)</f>
        <v/>
      </c>
      <c r="J142" s="17">
        <f>IF(OR($A142="",$D142=0),0,$F142/ABS($D142))</f>
        <v/>
      </c>
      <c r="K142" s="17">
        <f>IF($A142="","",ROUND($D142,2))</f>
        <v/>
      </c>
      <c r="L142" s="17">
        <f>IF($A142="","",ROUND($C142,2))</f>
        <v/>
      </c>
      <c r="M142" s="17">
        <f>IF($A142="","",IF($F142&lt;=toleransKurus,1,0))</f>
        <v/>
      </c>
      <c r="N142" s="17">
        <f>IF($A142="","",IF($F142&gt;tyk_esikFark,1,0))</f>
        <v/>
      </c>
      <c r="O142" s="17">
        <f>IF($A142="","",IFERROR(SUMIF(tblMotor[A_Norm],$A142,tblMotor[NetKar]),0))</f>
        <v/>
      </c>
      <c r="P142" s="17">
        <f>IF($A142="","",$B142+$M142+$N142)</f>
        <v/>
      </c>
    </row>
    <row r="143">
      <c r="A143" s="17">
        <f>IF('ANAHTAR'!$B143="","",'ANAHTAR'!$B143)</f>
        <v/>
      </c>
      <c r="B143" s="17">
        <f>IF($A143="","",COUNTIF(tblAnahtarB[NormB],$A143))</f>
        <v/>
      </c>
      <c r="C143" s="17">
        <f>IF($A143="","",IFERROR(SUMIF(tblAnahtarB[NormB],$A143,tblHakedis[GercekHakedis]),0))</f>
        <v/>
      </c>
      <c r="D143" s="17">
        <f>IF($A143="","",IFERROR(SUMIF(tblMotor[A_Norm],$A143,tblMotor[BeklenenHakedis]),0))</f>
        <v/>
      </c>
      <c r="E143" s="17">
        <f>IF($A143="","",ROUND($D143,2)-ROUND($C143,2))</f>
        <v/>
      </c>
      <c r="F143" s="17">
        <f>IF($A143="","",ABS($E143))</f>
        <v/>
      </c>
      <c r="G143" s="17">
        <f>IF($A143="","",IF($B143=0,"eslesmedi",IF(ROUND($D143,2)=ROUND($C143,2),"eslesti",IF(ABS(ROUND($D143,2)-ROUND($C143,2))&lt;=toleransKurus,"tolerans_icinde","tutar_farki"))))</f>
        <v/>
      </c>
      <c r="H143" s="17">
        <f>IF($A143="","",IF($B143&gt;0,"BIRINCIL",IF(COUNTIF(tblAnahtarB[IkincilB],'ANAHTAR'!$D143)&gt;0,"IKINCIL","YOK")))</f>
        <v/>
      </c>
      <c r="I143" s="17">
        <f>IF($A143="","",'ANAHTAR'!$F143)</f>
        <v/>
      </c>
      <c r="J143" s="17">
        <f>IF(OR($A143="",$D143=0),0,$F143/ABS($D143))</f>
        <v/>
      </c>
      <c r="K143" s="17">
        <f>IF($A143="","",ROUND($D143,2))</f>
        <v/>
      </c>
      <c r="L143" s="17">
        <f>IF($A143="","",ROUND($C143,2))</f>
        <v/>
      </c>
      <c r="M143" s="17">
        <f>IF($A143="","",IF($F143&lt;=toleransKurus,1,0))</f>
        <v/>
      </c>
      <c r="N143" s="17">
        <f>IF($A143="","",IF($F143&gt;tyk_esikFark,1,0))</f>
        <v/>
      </c>
      <c r="O143" s="17">
        <f>IF($A143="","",IFERROR(SUMIF(tblMotor[A_Norm],$A143,tblMotor[NetKar]),0))</f>
        <v/>
      </c>
      <c r="P143" s="17">
        <f>IF($A143="","",$B143+$M143+$N143)</f>
        <v/>
      </c>
    </row>
    <row r="144">
      <c r="A144" s="17">
        <f>IF('ANAHTAR'!$B144="","",'ANAHTAR'!$B144)</f>
        <v/>
      </c>
      <c r="B144" s="17">
        <f>IF($A144="","",COUNTIF(tblAnahtarB[NormB],$A144))</f>
        <v/>
      </c>
      <c r="C144" s="17">
        <f>IF($A144="","",IFERROR(SUMIF(tblAnahtarB[NormB],$A144,tblHakedis[GercekHakedis]),0))</f>
        <v/>
      </c>
      <c r="D144" s="17">
        <f>IF($A144="","",IFERROR(SUMIF(tblMotor[A_Norm],$A144,tblMotor[BeklenenHakedis]),0))</f>
        <v/>
      </c>
      <c r="E144" s="17">
        <f>IF($A144="","",ROUND($D144,2)-ROUND($C144,2))</f>
        <v/>
      </c>
      <c r="F144" s="17">
        <f>IF($A144="","",ABS($E144))</f>
        <v/>
      </c>
      <c r="G144" s="17">
        <f>IF($A144="","",IF($B144=0,"eslesmedi",IF(ROUND($D144,2)=ROUND($C144,2),"eslesti",IF(ABS(ROUND($D144,2)-ROUND($C144,2))&lt;=toleransKurus,"tolerans_icinde","tutar_farki"))))</f>
        <v/>
      </c>
      <c r="H144" s="17">
        <f>IF($A144="","",IF($B144&gt;0,"BIRINCIL",IF(COUNTIF(tblAnahtarB[IkincilB],'ANAHTAR'!$D144)&gt;0,"IKINCIL","YOK")))</f>
        <v/>
      </c>
      <c r="I144" s="17">
        <f>IF($A144="","",'ANAHTAR'!$F144)</f>
        <v/>
      </c>
      <c r="J144" s="17">
        <f>IF(OR($A144="",$D144=0),0,$F144/ABS($D144))</f>
        <v/>
      </c>
      <c r="K144" s="17">
        <f>IF($A144="","",ROUND($D144,2))</f>
        <v/>
      </c>
      <c r="L144" s="17">
        <f>IF($A144="","",ROUND($C144,2))</f>
        <v/>
      </c>
      <c r="M144" s="17">
        <f>IF($A144="","",IF($F144&lt;=toleransKurus,1,0))</f>
        <v/>
      </c>
      <c r="N144" s="17">
        <f>IF($A144="","",IF($F144&gt;tyk_esikFark,1,0))</f>
        <v/>
      </c>
      <c r="O144" s="17">
        <f>IF($A144="","",IFERROR(SUMIF(tblMotor[A_Norm],$A144,tblMotor[NetKar]),0))</f>
        <v/>
      </c>
      <c r="P144" s="17">
        <f>IF($A144="","",$B144+$M144+$N144)</f>
        <v/>
      </c>
    </row>
    <row r="145">
      <c r="A145" s="17">
        <f>IF('ANAHTAR'!$B145="","",'ANAHTAR'!$B145)</f>
        <v/>
      </c>
      <c r="B145" s="17">
        <f>IF($A145="","",COUNTIF(tblAnahtarB[NormB],$A145))</f>
        <v/>
      </c>
      <c r="C145" s="17">
        <f>IF($A145="","",IFERROR(SUMIF(tblAnahtarB[NormB],$A145,tblHakedis[GercekHakedis]),0))</f>
        <v/>
      </c>
      <c r="D145" s="17">
        <f>IF($A145="","",IFERROR(SUMIF(tblMotor[A_Norm],$A145,tblMotor[BeklenenHakedis]),0))</f>
        <v/>
      </c>
      <c r="E145" s="17">
        <f>IF($A145="","",ROUND($D145,2)-ROUND($C145,2))</f>
        <v/>
      </c>
      <c r="F145" s="17">
        <f>IF($A145="","",ABS($E145))</f>
        <v/>
      </c>
      <c r="G145" s="17">
        <f>IF($A145="","",IF($B145=0,"eslesmedi",IF(ROUND($D145,2)=ROUND($C145,2),"eslesti",IF(ABS(ROUND($D145,2)-ROUND($C145,2))&lt;=toleransKurus,"tolerans_icinde","tutar_farki"))))</f>
        <v/>
      </c>
      <c r="H145" s="17">
        <f>IF($A145="","",IF($B145&gt;0,"BIRINCIL",IF(COUNTIF(tblAnahtarB[IkincilB],'ANAHTAR'!$D145)&gt;0,"IKINCIL","YOK")))</f>
        <v/>
      </c>
      <c r="I145" s="17">
        <f>IF($A145="","",'ANAHTAR'!$F145)</f>
        <v/>
      </c>
      <c r="J145" s="17">
        <f>IF(OR($A145="",$D145=0),0,$F145/ABS($D145))</f>
        <v/>
      </c>
      <c r="K145" s="17">
        <f>IF($A145="","",ROUND($D145,2))</f>
        <v/>
      </c>
      <c r="L145" s="17">
        <f>IF($A145="","",ROUND($C145,2))</f>
        <v/>
      </c>
      <c r="M145" s="17">
        <f>IF($A145="","",IF($F145&lt;=toleransKurus,1,0))</f>
        <v/>
      </c>
      <c r="N145" s="17">
        <f>IF($A145="","",IF($F145&gt;tyk_esikFark,1,0))</f>
        <v/>
      </c>
      <c r="O145" s="17">
        <f>IF($A145="","",IFERROR(SUMIF(tblMotor[A_Norm],$A145,tblMotor[NetKar]),0))</f>
        <v/>
      </c>
      <c r="P145" s="17">
        <f>IF($A145="","",$B145+$M145+$N145)</f>
        <v/>
      </c>
    </row>
    <row r="146">
      <c r="A146" s="17">
        <f>IF('ANAHTAR'!$B146="","",'ANAHTAR'!$B146)</f>
        <v/>
      </c>
      <c r="B146" s="17">
        <f>IF($A146="","",COUNTIF(tblAnahtarB[NormB],$A146))</f>
        <v/>
      </c>
      <c r="C146" s="17">
        <f>IF($A146="","",IFERROR(SUMIF(tblAnahtarB[NormB],$A146,tblHakedis[GercekHakedis]),0))</f>
        <v/>
      </c>
      <c r="D146" s="17">
        <f>IF($A146="","",IFERROR(SUMIF(tblMotor[A_Norm],$A146,tblMotor[BeklenenHakedis]),0))</f>
        <v/>
      </c>
      <c r="E146" s="17">
        <f>IF($A146="","",ROUND($D146,2)-ROUND($C146,2))</f>
        <v/>
      </c>
      <c r="F146" s="17">
        <f>IF($A146="","",ABS($E146))</f>
        <v/>
      </c>
      <c r="G146" s="17">
        <f>IF($A146="","",IF($B146=0,"eslesmedi",IF(ROUND($D146,2)=ROUND($C146,2),"eslesti",IF(ABS(ROUND($D146,2)-ROUND($C146,2))&lt;=toleransKurus,"tolerans_icinde","tutar_farki"))))</f>
        <v/>
      </c>
      <c r="H146" s="17">
        <f>IF($A146="","",IF($B146&gt;0,"BIRINCIL",IF(COUNTIF(tblAnahtarB[IkincilB],'ANAHTAR'!$D146)&gt;0,"IKINCIL","YOK")))</f>
        <v/>
      </c>
      <c r="I146" s="17">
        <f>IF($A146="","",'ANAHTAR'!$F146)</f>
        <v/>
      </c>
      <c r="J146" s="17">
        <f>IF(OR($A146="",$D146=0),0,$F146/ABS($D146))</f>
        <v/>
      </c>
      <c r="K146" s="17">
        <f>IF($A146="","",ROUND($D146,2))</f>
        <v/>
      </c>
      <c r="L146" s="17">
        <f>IF($A146="","",ROUND($C146,2))</f>
        <v/>
      </c>
      <c r="M146" s="17">
        <f>IF($A146="","",IF($F146&lt;=toleransKurus,1,0))</f>
        <v/>
      </c>
      <c r="N146" s="17">
        <f>IF($A146="","",IF($F146&gt;tyk_esikFark,1,0))</f>
        <v/>
      </c>
      <c r="O146" s="17">
        <f>IF($A146="","",IFERROR(SUMIF(tblMotor[A_Norm],$A146,tblMotor[NetKar]),0))</f>
        <v/>
      </c>
      <c r="P146" s="17">
        <f>IF($A146="","",$B146+$M146+$N146)</f>
        <v/>
      </c>
    </row>
    <row r="147">
      <c r="A147" s="17">
        <f>IF('ANAHTAR'!$B147="","",'ANAHTAR'!$B147)</f>
        <v/>
      </c>
      <c r="B147" s="17">
        <f>IF($A147="","",COUNTIF(tblAnahtarB[NormB],$A147))</f>
        <v/>
      </c>
      <c r="C147" s="17">
        <f>IF($A147="","",IFERROR(SUMIF(tblAnahtarB[NormB],$A147,tblHakedis[GercekHakedis]),0))</f>
        <v/>
      </c>
      <c r="D147" s="17">
        <f>IF($A147="","",IFERROR(SUMIF(tblMotor[A_Norm],$A147,tblMotor[BeklenenHakedis]),0))</f>
        <v/>
      </c>
      <c r="E147" s="17">
        <f>IF($A147="","",ROUND($D147,2)-ROUND($C147,2))</f>
        <v/>
      </c>
      <c r="F147" s="17">
        <f>IF($A147="","",ABS($E147))</f>
        <v/>
      </c>
      <c r="G147" s="17">
        <f>IF($A147="","",IF($B147=0,"eslesmedi",IF(ROUND($D147,2)=ROUND($C147,2),"eslesti",IF(ABS(ROUND($D147,2)-ROUND($C147,2))&lt;=toleransKurus,"tolerans_icinde","tutar_farki"))))</f>
        <v/>
      </c>
      <c r="H147" s="17">
        <f>IF($A147="","",IF($B147&gt;0,"BIRINCIL",IF(COUNTIF(tblAnahtarB[IkincilB],'ANAHTAR'!$D147)&gt;0,"IKINCIL","YOK")))</f>
        <v/>
      </c>
      <c r="I147" s="17">
        <f>IF($A147="","",'ANAHTAR'!$F147)</f>
        <v/>
      </c>
      <c r="J147" s="17">
        <f>IF(OR($A147="",$D147=0),0,$F147/ABS($D147))</f>
        <v/>
      </c>
      <c r="K147" s="17">
        <f>IF($A147="","",ROUND($D147,2))</f>
        <v/>
      </c>
      <c r="L147" s="17">
        <f>IF($A147="","",ROUND($C147,2))</f>
        <v/>
      </c>
      <c r="M147" s="17">
        <f>IF($A147="","",IF($F147&lt;=toleransKurus,1,0))</f>
        <v/>
      </c>
      <c r="N147" s="17">
        <f>IF($A147="","",IF($F147&gt;tyk_esikFark,1,0))</f>
        <v/>
      </c>
      <c r="O147" s="17">
        <f>IF($A147="","",IFERROR(SUMIF(tblMotor[A_Norm],$A147,tblMotor[NetKar]),0))</f>
        <v/>
      </c>
      <c r="P147" s="17">
        <f>IF($A147="","",$B147+$M147+$N147)</f>
        <v/>
      </c>
    </row>
    <row r="148">
      <c r="A148" s="17">
        <f>IF('ANAHTAR'!$B148="","",'ANAHTAR'!$B148)</f>
        <v/>
      </c>
      <c r="B148" s="17">
        <f>IF($A148="","",COUNTIF(tblAnahtarB[NormB],$A148))</f>
        <v/>
      </c>
      <c r="C148" s="17">
        <f>IF($A148="","",IFERROR(SUMIF(tblAnahtarB[NormB],$A148,tblHakedis[GercekHakedis]),0))</f>
        <v/>
      </c>
      <c r="D148" s="17">
        <f>IF($A148="","",IFERROR(SUMIF(tblMotor[A_Norm],$A148,tblMotor[BeklenenHakedis]),0))</f>
        <v/>
      </c>
      <c r="E148" s="17">
        <f>IF($A148="","",ROUND($D148,2)-ROUND($C148,2))</f>
        <v/>
      </c>
      <c r="F148" s="17">
        <f>IF($A148="","",ABS($E148))</f>
        <v/>
      </c>
      <c r="G148" s="17">
        <f>IF($A148="","",IF($B148=0,"eslesmedi",IF(ROUND($D148,2)=ROUND($C148,2),"eslesti",IF(ABS(ROUND($D148,2)-ROUND($C148,2))&lt;=toleransKurus,"tolerans_icinde","tutar_farki"))))</f>
        <v/>
      </c>
      <c r="H148" s="17">
        <f>IF($A148="","",IF($B148&gt;0,"BIRINCIL",IF(COUNTIF(tblAnahtarB[IkincilB],'ANAHTAR'!$D148)&gt;0,"IKINCIL","YOK")))</f>
        <v/>
      </c>
      <c r="I148" s="17">
        <f>IF($A148="","",'ANAHTAR'!$F148)</f>
        <v/>
      </c>
      <c r="J148" s="17">
        <f>IF(OR($A148="",$D148=0),0,$F148/ABS($D148))</f>
        <v/>
      </c>
      <c r="K148" s="17">
        <f>IF($A148="","",ROUND($D148,2))</f>
        <v/>
      </c>
      <c r="L148" s="17">
        <f>IF($A148="","",ROUND($C148,2))</f>
        <v/>
      </c>
      <c r="M148" s="17">
        <f>IF($A148="","",IF($F148&lt;=toleransKurus,1,0))</f>
        <v/>
      </c>
      <c r="N148" s="17">
        <f>IF($A148="","",IF($F148&gt;tyk_esikFark,1,0))</f>
        <v/>
      </c>
      <c r="O148" s="17">
        <f>IF($A148="","",IFERROR(SUMIF(tblMotor[A_Norm],$A148,tblMotor[NetKar]),0))</f>
        <v/>
      </c>
      <c r="P148" s="17">
        <f>IF($A148="","",$B148+$M148+$N148)</f>
        <v/>
      </c>
    </row>
    <row r="149">
      <c r="A149" s="17">
        <f>IF('ANAHTAR'!$B149="","",'ANAHTAR'!$B149)</f>
        <v/>
      </c>
      <c r="B149" s="17">
        <f>IF($A149="","",COUNTIF(tblAnahtarB[NormB],$A149))</f>
        <v/>
      </c>
      <c r="C149" s="17">
        <f>IF($A149="","",IFERROR(SUMIF(tblAnahtarB[NormB],$A149,tblHakedis[GercekHakedis]),0))</f>
        <v/>
      </c>
      <c r="D149" s="17">
        <f>IF($A149="","",IFERROR(SUMIF(tblMotor[A_Norm],$A149,tblMotor[BeklenenHakedis]),0))</f>
        <v/>
      </c>
      <c r="E149" s="17">
        <f>IF($A149="","",ROUND($D149,2)-ROUND($C149,2))</f>
        <v/>
      </c>
      <c r="F149" s="17">
        <f>IF($A149="","",ABS($E149))</f>
        <v/>
      </c>
      <c r="G149" s="17">
        <f>IF($A149="","",IF($B149=0,"eslesmedi",IF(ROUND($D149,2)=ROUND($C149,2),"eslesti",IF(ABS(ROUND($D149,2)-ROUND($C149,2))&lt;=toleransKurus,"tolerans_icinde","tutar_farki"))))</f>
        <v/>
      </c>
      <c r="H149" s="17">
        <f>IF($A149="","",IF($B149&gt;0,"BIRINCIL",IF(COUNTIF(tblAnahtarB[IkincilB],'ANAHTAR'!$D149)&gt;0,"IKINCIL","YOK")))</f>
        <v/>
      </c>
      <c r="I149" s="17">
        <f>IF($A149="","",'ANAHTAR'!$F149)</f>
        <v/>
      </c>
      <c r="J149" s="17">
        <f>IF(OR($A149="",$D149=0),0,$F149/ABS($D149))</f>
        <v/>
      </c>
      <c r="K149" s="17">
        <f>IF($A149="","",ROUND($D149,2))</f>
        <v/>
      </c>
      <c r="L149" s="17">
        <f>IF($A149="","",ROUND($C149,2))</f>
        <v/>
      </c>
      <c r="M149" s="17">
        <f>IF($A149="","",IF($F149&lt;=toleransKurus,1,0))</f>
        <v/>
      </c>
      <c r="N149" s="17">
        <f>IF($A149="","",IF($F149&gt;tyk_esikFark,1,0))</f>
        <v/>
      </c>
      <c r="O149" s="17">
        <f>IF($A149="","",IFERROR(SUMIF(tblMotor[A_Norm],$A149,tblMotor[NetKar]),0))</f>
        <v/>
      </c>
      <c r="P149" s="17">
        <f>IF($A149="","",$B149+$M149+$N149)</f>
        <v/>
      </c>
    </row>
    <row r="150">
      <c r="A150" s="17">
        <f>IF('ANAHTAR'!$B150="","",'ANAHTAR'!$B150)</f>
        <v/>
      </c>
      <c r="B150" s="17">
        <f>IF($A150="","",COUNTIF(tblAnahtarB[NormB],$A150))</f>
        <v/>
      </c>
      <c r="C150" s="17">
        <f>IF($A150="","",IFERROR(SUMIF(tblAnahtarB[NormB],$A150,tblHakedis[GercekHakedis]),0))</f>
        <v/>
      </c>
      <c r="D150" s="17">
        <f>IF($A150="","",IFERROR(SUMIF(tblMotor[A_Norm],$A150,tblMotor[BeklenenHakedis]),0))</f>
        <v/>
      </c>
      <c r="E150" s="17">
        <f>IF($A150="","",ROUND($D150,2)-ROUND($C150,2))</f>
        <v/>
      </c>
      <c r="F150" s="17">
        <f>IF($A150="","",ABS($E150))</f>
        <v/>
      </c>
      <c r="G150" s="17">
        <f>IF($A150="","",IF($B150=0,"eslesmedi",IF(ROUND($D150,2)=ROUND($C150,2),"eslesti",IF(ABS(ROUND($D150,2)-ROUND($C150,2))&lt;=toleransKurus,"tolerans_icinde","tutar_farki"))))</f>
        <v/>
      </c>
      <c r="H150" s="17">
        <f>IF($A150="","",IF($B150&gt;0,"BIRINCIL",IF(COUNTIF(tblAnahtarB[IkincilB],'ANAHTAR'!$D150)&gt;0,"IKINCIL","YOK")))</f>
        <v/>
      </c>
      <c r="I150" s="17">
        <f>IF($A150="","",'ANAHTAR'!$F150)</f>
        <v/>
      </c>
      <c r="J150" s="17">
        <f>IF(OR($A150="",$D150=0),0,$F150/ABS($D150))</f>
        <v/>
      </c>
      <c r="K150" s="17">
        <f>IF($A150="","",ROUND($D150,2))</f>
        <v/>
      </c>
      <c r="L150" s="17">
        <f>IF($A150="","",ROUND($C150,2))</f>
        <v/>
      </c>
      <c r="M150" s="17">
        <f>IF($A150="","",IF($F150&lt;=toleransKurus,1,0))</f>
        <v/>
      </c>
      <c r="N150" s="17">
        <f>IF($A150="","",IF($F150&gt;tyk_esikFark,1,0))</f>
        <v/>
      </c>
      <c r="O150" s="17">
        <f>IF($A150="","",IFERROR(SUMIF(tblMotor[A_Norm],$A150,tblMotor[NetKar]),0))</f>
        <v/>
      </c>
      <c r="P150" s="17">
        <f>IF($A150="","",$B150+$M150+$N150)</f>
        <v/>
      </c>
    </row>
    <row r="151">
      <c r="A151" s="17">
        <f>IF('ANAHTAR'!$B151="","",'ANAHTAR'!$B151)</f>
        <v/>
      </c>
      <c r="B151" s="17">
        <f>IF($A151="","",COUNTIF(tblAnahtarB[NormB],$A151))</f>
        <v/>
      </c>
      <c r="C151" s="17">
        <f>IF($A151="","",IFERROR(SUMIF(tblAnahtarB[NormB],$A151,tblHakedis[GercekHakedis]),0))</f>
        <v/>
      </c>
      <c r="D151" s="17">
        <f>IF($A151="","",IFERROR(SUMIF(tblMotor[A_Norm],$A151,tblMotor[BeklenenHakedis]),0))</f>
        <v/>
      </c>
      <c r="E151" s="17">
        <f>IF($A151="","",ROUND($D151,2)-ROUND($C151,2))</f>
        <v/>
      </c>
      <c r="F151" s="17">
        <f>IF($A151="","",ABS($E151))</f>
        <v/>
      </c>
      <c r="G151" s="17">
        <f>IF($A151="","",IF($B151=0,"eslesmedi",IF(ROUND($D151,2)=ROUND($C151,2),"eslesti",IF(ABS(ROUND($D151,2)-ROUND($C151,2))&lt;=toleransKurus,"tolerans_icinde","tutar_farki"))))</f>
        <v/>
      </c>
      <c r="H151" s="17">
        <f>IF($A151="","",IF($B151&gt;0,"BIRINCIL",IF(COUNTIF(tblAnahtarB[IkincilB],'ANAHTAR'!$D151)&gt;0,"IKINCIL","YOK")))</f>
        <v/>
      </c>
      <c r="I151" s="17">
        <f>IF($A151="","",'ANAHTAR'!$F151)</f>
        <v/>
      </c>
      <c r="J151" s="17">
        <f>IF(OR($A151="",$D151=0),0,$F151/ABS($D151))</f>
        <v/>
      </c>
      <c r="K151" s="17">
        <f>IF($A151="","",ROUND($D151,2))</f>
        <v/>
      </c>
      <c r="L151" s="17">
        <f>IF($A151="","",ROUND($C151,2))</f>
        <v/>
      </c>
      <c r="M151" s="17">
        <f>IF($A151="","",IF($F151&lt;=toleransKurus,1,0))</f>
        <v/>
      </c>
      <c r="N151" s="17">
        <f>IF($A151="","",IF($F151&gt;tyk_esikFark,1,0))</f>
        <v/>
      </c>
      <c r="O151" s="17">
        <f>IF($A151="","",IFERROR(SUMIF(tblMotor[A_Norm],$A151,tblMotor[NetKar]),0))</f>
        <v/>
      </c>
      <c r="P151" s="17">
        <f>IF($A151="","",$B151+$M151+$N151)</f>
        <v/>
      </c>
    </row>
    <row r="152">
      <c r="A152" s="17">
        <f>IF('ANAHTAR'!$B152="","",'ANAHTAR'!$B152)</f>
        <v/>
      </c>
      <c r="B152" s="17">
        <f>IF($A152="","",COUNTIF(tblAnahtarB[NormB],$A152))</f>
        <v/>
      </c>
      <c r="C152" s="17">
        <f>IF($A152="","",IFERROR(SUMIF(tblAnahtarB[NormB],$A152,tblHakedis[GercekHakedis]),0))</f>
        <v/>
      </c>
      <c r="D152" s="17">
        <f>IF($A152="","",IFERROR(SUMIF(tblMotor[A_Norm],$A152,tblMotor[BeklenenHakedis]),0))</f>
        <v/>
      </c>
      <c r="E152" s="17">
        <f>IF($A152="","",ROUND($D152,2)-ROUND($C152,2))</f>
        <v/>
      </c>
      <c r="F152" s="17">
        <f>IF($A152="","",ABS($E152))</f>
        <v/>
      </c>
      <c r="G152" s="17">
        <f>IF($A152="","",IF($B152=0,"eslesmedi",IF(ROUND($D152,2)=ROUND($C152,2),"eslesti",IF(ABS(ROUND($D152,2)-ROUND($C152,2))&lt;=toleransKurus,"tolerans_icinde","tutar_farki"))))</f>
        <v/>
      </c>
      <c r="H152" s="17">
        <f>IF($A152="","",IF($B152&gt;0,"BIRINCIL",IF(COUNTIF(tblAnahtarB[IkincilB],'ANAHTAR'!$D152)&gt;0,"IKINCIL","YOK")))</f>
        <v/>
      </c>
      <c r="I152" s="17">
        <f>IF($A152="","",'ANAHTAR'!$F152)</f>
        <v/>
      </c>
      <c r="J152" s="17">
        <f>IF(OR($A152="",$D152=0),0,$F152/ABS($D152))</f>
        <v/>
      </c>
      <c r="K152" s="17">
        <f>IF($A152="","",ROUND($D152,2))</f>
        <v/>
      </c>
      <c r="L152" s="17">
        <f>IF($A152="","",ROUND($C152,2))</f>
        <v/>
      </c>
      <c r="M152" s="17">
        <f>IF($A152="","",IF($F152&lt;=toleransKurus,1,0))</f>
        <v/>
      </c>
      <c r="N152" s="17">
        <f>IF($A152="","",IF($F152&gt;tyk_esikFark,1,0))</f>
        <v/>
      </c>
      <c r="O152" s="17">
        <f>IF($A152="","",IFERROR(SUMIF(tblMotor[A_Norm],$A152,tblMotor[NetKar]),0))</f>
        <v/>
      </c>
      <c r="P152" s="17">
        <f>IF($A152="","",$B152+$M152+$N152)</f>
        <v/>
      </c>
    </row>
    <row r="153">
      <c r="A153" s="17">
        <f>IF('ANAHTAR'!$B153="","",'ANAHTAR'!$B153)</f>
        <v/>
      </c>
      <c r="B153" s="17">
        <f>IF($A153="","",COUNTIF(tblAnahtarB[NormB],$A153))</f>
        <v/>
      </c>
      <c r="C153" s="17">
        <f>IF($A153="","",IFERROR(SUMIF(tblAnahtarB[NormB],$A153,tblHakedis[GercekHakedis]),0))</f>
        <v/>
      </c>
      <c r="D153" s="17">
        <f>IF($A153="","",IFERROR(SUMIF(tblMotor[A_Norm],$A153,tblMotor[BeklenenHakedis]),0))</f>
        <v/>
      </c>
      <c r="E153" s="17">
        <f>IF($A153="","",ROUND($D153,2)-ROUND($C153,2))</f>
        <v/>
      </c>
      <c r="F153" s="17">
        <f>IF($A153="","",ABS($E153))</f>
        <v/>
      </c>
      <c r="G153" s="17">
        <f>IF($A153="","",IF($B153=0,"eslesmedi",IF(ROUND($D153,2)=ROUND($C153,2),"eslesti",IF(ABS(ROUND($D153,2)-ROUND($C153,2))&lt;=toleransKurus,"tolerans_icinde","tutar_farki"))))</f>
        <v/>
      </c>
      <c r="H153" s="17">
        <f>IF($A153="","",IF($B153&gt;0,"BIRINCIL",IF(COUNTIF(tblAnahtarB[IkincilB],'ANAHTAR'!$D153)&gt;0,"IKINCIL","YOK")))</f>
        <v/>
      </c>
      <c r="I153" s="17">
        <f>IF($A153="","",'ANAHTAR'!$F153)</f>
        <v/>
      </c>
      <c r="J153" s="17">
        <f>IF(OR($A153="",$D153=0),0,$F153/ABS($D153))</f>
        <v/>
      </c>
      <c r="K153" s="17">
        <f>IF($A153="","",ROUND($D153,2))</f>
        <v/>
      </c>
      <c r="L153" s="17">
        <f>IF($A153="","",ROUND($C153,2))</f>
        <v/>
      </c>
      <c r="M153" s="17">
        <f>IF($A153="","",IF($F153&lt;=toleransKurus,1,0))</f>
        <v/>
      </c>
      <c r="N153" s="17">
        <f>IF($A153="","",IF($F153&gt;tyk_esikFark,1,0))</f>
        <v/>
      </c>
      <c r="O153" s="17">
        <f>IF($A153="","",IFERROR(SUMIF(tblMotor[A_Norm],$A153,tblMotor[NetKar]),0))</f>
        <v/>
      </c>
      <c r="P153" s="17">
        <f>IF($A153="","",$B153+$M153+$N153)</f>
        <v/>
      </c>
    </row>
    <row r="154">
      <c r="A154" s="17">
        <f>IF('ANAHTAR'!$B154="","",'ANAHTAR'!$B154)</f>
        <v/>
      </c>
      <c r="B154" s="17">
        <f>IF($A154="","",COUNTIF(tblAnahtarB[NormB],$A154))</f>
        <v/>
      </c>
      <c r="C154" s="17">
        <f>IF($A154="","",IFERROR(SUMIF(tblAnahtarB[NormB],$A154,tblHakedis[GercekHakedis]),0))</f>
        <v/>
      </c>
      <c r="D154" s="17">
        <f>IF($A154="","",IFERROR(SUMIF(tblMotor[A_Norm],$A154,tblMotor[BeklenenHakedis]),0))</f>
        <v/>
      </c>
      <c r="E154" s="17">
        <f>IF($A154="","",ROUND($D154,2)-ROUND($C154,2))</f>
        <v/>
      </c>
      <c r="F154" s="17">
        <f>IF($A154="","",ABS($E154))</f>
        <v/>
      </c>
      <c r="G154" s="17">
        <f>IF($A154="","",IF($B154=0,"eslesmedi",IF(ROUND($D154,2)=ROUND($C154,2),"eslesti",IF(ABS(ROUND($D154,2)-ROUND($C154,2))&lt;=toleransKurus,"tolerans_icinde","tutar_farki"))))</f>
        <v/>
      </c>
      <c r="H154" s="17">
        <f>IF($A154="","",IF($B154&gt;0,"BIRINCIL",IF(COUNTIF(tblAnahtarB[IkincilB],'ANAHTAR'!$D154)&gt;0,"IKINCIL","YOK")))</f>
        <v/>
      </c>
      <c r="I154" s="17">
        <f>IF($A154="","",'ANAHTAR'!$F154)</f>
        <v/>
      </c>
      <c r="J154" s="17">
        <f>IF(OR($A154="",$D154=0),0,$F154/ABS($D154))</f>
        <v/>
      </c>
      <c r="K154" s="17">
        <f>IF($A154="","",ROUND($D154,2))</f>
        <v/>
      </c>
      <c r="L154" s="17">
        <f>IF($A154="","",ROUND($C154,2))</f>
        <v/>
      </c>
      <c r="M154" s="17">
        <f>IF($A154="","",IF($F154&lt;=toleransKurus,1,0))</f>
        <v/>
      </c>
      <c r="N154" s="17">
        <f>IF($A154="","",IF($F154&gt;tyk_esikFark,1,0))</f>
        <v/>
      </c>
      <c r="O154" s="17">
        <f>IF($A154="","",IFERROR(SUMIF(tblMotor[A_Norm],$A154,tblMotor[NetKar]),0))</f>
        <v/>
      </c>
      <c r="P154" s="17">
        <f>IF($A154="","",$B154+$M154+$N154)</f>
        <v/>
      </c>
    </row>
    <row r="155">
      <c r="A155" s="17">
        <f>IF('ANAHTAR'!$B155="","",'ANAHTAR'!$B155)</f>
        <v/>
      </c>
      <c r="B155" s="17">
        <f>IF($A155="","",COUNTIF(tblAnahtarB[NormB],$A155))</f>
        <v/>
      </c>
      <c r="C155" s="17">
        <f>IF($A155="","",IFERROR(SUMIF(tblAnahtarB[NormB],$A155,tblHakedis[GercekHakedis]),0))</f>
        <v/>
      </c>
      <c r="D155" s="17">
        <f>IF($A155="","",IFERROR(SUMIF(tblMotor[A_Norm],$A155,tblMotor[BeklenenHakedis]),0))</f>
        <v/>
      </c>
      <c r="E155" s="17">
        <f>IF($A155="","",ROUND($D155,2)-ROUND($C155,2))</f>
        <v/>
      </c>
      <c r="F155" s="17">
        <f>IF($A155="","",ABS($E155))</f>
        <v/>
      </c>
      <c r="G155" s="17">
        <f>IF($A155="","",IF($B155=0,"eslesmedi",IF(ROUND($D155,2)=ROUND($C155,2),"eslesti",IF(ABS(ROUND($D155,2)-ROUND($C155,2))&lt;=toleransKurus,"tolerans_icinde","tutar_farki"))))</f>
        <v/>
      </c>
      <c r="H155" s="17">
        <f>IF($A155="","",IF($B155&gt;0,"BIRINCIL",IF(COUNTIF(tblAnahtarB[IkincilB],'ANAHTAR'!$D155)&gt;0,"IKINCIL","YOK")))</f>
        <v/>
      </c>
      <c r="I155" s="17">
        <f>IF($A155="","",'ANAHTAR'!$F155)</f>
        <v/>
      </c>
      <c r="J155" s="17">
        <f>IF(OR($A155="",$D155=0),0,$F155/ABS($D155))</f>
        <v/>
      </c>
      <c r="K155" s="17">
        <f>IF($A155="","",ROUND($D155,2))</f>
        <v/>
      </c>
      <c r="L155" s="17">
        <f>IF($A155="","",ROUND($C155,2))</f>
        <v/>
      </c>
      <c r="M155" s="17">
        <f>IF($A155="","",IF($F155&lt;=toleransKurus,1,0))</f>
        <v/>
      </c>
      <c r="N155" s="17">
        <f>IF($A155="","",IF($F155&gt;tyk_esikFark,1,0))</f>
        <v/>
      </c>
      <c r="O155" s="17">
        <f>IF($A155="","",IFERROR(SUMIF(tblMotor[A_Norm],$A155,tblMotor[NetKar]),0))</f>
        <v/>
      </c>
      <c r="P155" s="17">
        <f>IF($A155="","",$B155+$M155+$N155)</f>
        <v/>
      </c>
    </row>
    <row r="156">
      <c r="A156" s="17">
        <f>IF('ANAHTAR'!$B156="","",'ANAHTAR'!$B156)</f>
        <v/>
      </c>
      <c r="B156" s="17">
        <f>IF($A156="","",COUNTIF(tblAnahtarB[NormB],$A156))</f>
        <v/>
      </c>
      <c r="C156" s="17">
        <f>IF($A156="","",IFERROR(SUMIF(tblAnahtarB[NormB],$A156,tblHakedis[GercekHakedis]),0))</f>
        <v/>
      </c>
      <c r="D156" s="17">
        <f>IF($A156="","",IFERROR(SUMIF(tblMotor[A_Norm],$A156,tblMotor[BeklenenHakedis]),0))</f>
        <v/>
      </c>
      <c r="E156" s="17">
        <f>IF($A156="","",ROUND($D156,2)-ROUND($C156,2))</f>
        <v/>
      </c>
      <c r="F156" s="17">
        <f>IF($A156="","",ABS($E156))</f>
        <v/>
      </c>
      <c r="G156" s="17">
        <f>IF($A156="","",IF($B156=0,"eslesmedi",IF(ROUND($D156,2)=ROUND($C156,2),"eslesti",IF(ABS(ROUND($D156,2)-ROUND($C156,2))&lt;=toleransKurus,"tolerans_icinde","tutar_farki"))))</f>
        <v/>
      </c>
      <c r="H156" s="17">
        <f>IF($A156="","",IF($B156&gt;0,"BIRINCIL",IF(COUNTIF(tblAnahtarB[IkincilB],'ANAHTAR'!$D156)&gt;0,"IKINCIL","YOK")))</f>
        <v/>
      </c>
      <c r="I156" s="17">
        <f>IF($A156="","",'ANAHTAR'!$F156)</f>
        <v/>
      </c>
      <c r="J156" s="17">
        <f>IF(OR($A156="",$D156=0),0,$F156/ABS($D156))</f>
        <v/>
      </c>
      <c r="K156" s="17">
        <f>IF($A156="","",ROUND($D156,2))</f>
        <v/>
      </c>
      <c r="L156" s="17">
        <f>IF($A156="","",ROUND($C156,2))</f>
        <v/>
      </c>
      <c r="M156" s="17">
        <f>IF($A156="","",IF($F156&lt;=toleransKurus,1,0))</f>
        <v/>
      </c>
      <c r="N156" s="17">
        <f>IF($A156="","",IF($F156&gt;tyk_esikFark,1,0))</f>
        <v/>
      </c>
      <c r="O156" s="17">
        <f>IF($A156="","",IFERROR(SUMIF(tblMotor[A_Norm],$A156,tblMotor[NetKar]),0))</f>
        <v/>
      </c>
      <c r="P156" s="17">
        <f>IF($A156="","",$B156+$M156+$N156)</f>
        <v/>
      </c>
    </row>
    <row r="157">
      <c r="A157" s="17">
        <f>IF('ANAHTAR'!$B157="","",'ANAHTAR'!$B157)</f>
        <v/>
      </c>
      <c r="B157" s="17">
        <f>IF($A157="","",COUNTIF(tblAnahtarB[NormB],$A157))</f>
        <v/>
      </c>
      <c r="C157" s="17">
        <f>IF($A157="","",IFERROR(SUMIF(tblAnahtarB[NormB],$A157,tblHakedis[GercekHakedis]),0))</f>
        <v/>
      </c>
      <c r="D157" s="17">
        <f>IF($A157="","",IFERROR(SUMIF(tblMotor[A_Norm],$A157,tblMotor[BeklenenHakedis]),0))</f>
        <v/>
      </c>
      <c r="E157" s="17">
        <f>IF($A157="","",ROUND($D157,2)-ROUND($C157,2))</f>
        <v/>
      </c>
      <c r="F157" s="17">
        <f>IF($A157="","",ABS($E157))</f>
        <v/>
      </c>
      <c r="G157" s="17">
        <f>IF($A157="","",IF($B157=0,"eslesmedi",IF(ROUND($D157,2)=ROUND($C157,2),"eslesti",IF(ABS(ROUND($D157,2)-ROUND($C157,2))&lt;=toleransKurus,"tolerans_icinde","tutar_farki"))))</f>
        <v/>
      </c>
      <c r="H157" s="17">
        <f>IF($A157="","",IF($B157&gt;0,"BIRINCIL",IF(COUNTIF(tblAnahtarB[IkincilB],'ANAHTAR'!$D157)&gt;0,"IKINCIL","YOK")))</f>
        <v/>
      </c>
      <c r="I157" s="17">
        <f>IF($A157="","",'ANAHTAR'!$F157)</f>
        <v/>
      </c>
      <c r="J157" s="17">
        <f>IF(OR($A157="",$D157=0),0,$F157/ABS($D157))</f>
        <v/>
      </c>
      <c r="K157" s="17">
        <f>IF($A157="","",ROUND($D157,2))</f>
        <v/>
      </c>
      <c r="L157" s="17">
        <f>IF($A157="","",ROUND($C157,2))</f>
        <v/>
      </c>
      <c r="M157" s="17">
        <f>IF($A157="","",IF($F157&lt;=toleransKurus,1,0))</f>
        <v/>
      </c>
      <c r="N157" s="17">
        <f>IF($A157="","",IF($F157&gt;tyk_esikFark,1,0))</f>
        <v/>
      </c>
      <c r="O157" s="17">
        <f>IF($A157="","",IFERROR(SUMIF(tblMotor[A_Norm],$A157,tblMotor[NetKar]),0))</f>
        <v/>
      </c>
      <c r="P157" s="17">
        <f>IF($A157="","",$B157+$M157+$N157)</f>
        <v/>
      </c>
    </row>
    <row r="158">
      <c r="A158" s="17">
        <f>IF('ANAHTAR'!$B158="","",'ANAHTAR'!$B158)</f>
        <v/>
      </c>
      <c r="B158" s="17">
        <f>IF($A158="","",COUNTIF(tblAnahtarB[NormB],$A158))</f>
        <v/>
      </c>
      <c r="C158" s="17">
        <f>IF($A158="","",IFERROR(SUMIF(tblAnahtarB[NormB],$A158,tblHakedis[GercekHakedis]),0))</f>
        <v/>
      </c>
      <c r="D158" s="17">
        <f>IF($A158="","",IFERROR(SUMIF(tblMotor[A_Norm],$A158,tblMotor[BeklenenHakedis]),0))</f>
        <v/>
      </c>
      <c r="E158" s="17">
        <f>IF($A158="","",ROUND($D158,2)-ROUND($C158,2))</f>
        <v/>
      </c>
      <c r="F158" s="17">
        <f>IF($A158="","",ABS($E158))</f>
        <v/>
      </c>
      <c r="G158" s="17">
        <f>IF($A158="","",IF($B158=0,"eslesmedi",IF(ROUND($D158,2)=ROUND($C158,2),"eslesti",IF(ABS(ROUND($D158,2)-ROUND($C158,2))&lt;=toleransKurus,"tolerans_icinde","tutar_farki"))))</f>
        <v/>
      </c>
      <c r="H158" s="17">
        <f>IF($A158="","",IF($B158&gt;0,"BIRINCIL",IF(COUNTIF(tblAnahtarB[IkincilB],'ANAHTAR'!$D158)&gt;0,"IKINCIL","YOK")))</f>
        <v/>
      </c>
      <c r="I158" s="17">
        <f>IF($A158="","",'ANAHTAR'!$F158)</f>
        <v/>
      </c>
      <c r="J158" s="17">
        <f>IF(OR($A158="",$D158=0),0,$F158/ABS($D158))</f>
        <v/>
      </c>
      <c r="K158" s="17">
        <f>IF($A158="","",ROUND($D158,2))</f>
        <v/>
      </c>
      <c r="L158" s="17">
        <f>IF($A158="","",ROUND($C158,2))</f>
        <v/>
      </c>
      <c r="M158" s="17">
        <f>IF($A158="","",IF($F158&lt;=toleransKurus,1,0))</f>
        <v/>
      </c>
      <c r="N158" s="17">
        <f>IF($A158="","",IF($F158&gt;tyk_esikFark,1,0))</f>
        <v/>
      </c>
      <c r="O158" s="17">
        <f>IF($A158="","",IFERROR(SUMIF(tblMotor[A_Norm],$A158,tblMotor[NetKar]),0))</f>
        <v/>
      </c>
      <c r="P158" s="17">
        <f>IF($A158="","",$B158+$M158+$N158)</f>
        <v/>
      </c>
    </row>
    <row r="159">
      <c r="A159" s="17">
        <f>IF('ANAHTAR'!$B159="","",'ANAHTAR'!$B159)</f>
        <v/>
      </c>
      <c r="B159" s="17">
        <f>IF($A159="","",COUNTIF(tblAnahtarB[NormB],$A159))</f>
        <v/>
      </c>
      <c r="C159" s="17">
        <f>IF($A159="","",IFERROR(SUMIF(tblAnahtarB[NormB],$A159,tblHakedis[GercekHakedis]),0))</f>
        <v/>
      </c>
      <c r="D159" s="17">
        <f>IF($A159="","",IFERROR(SUMIF(tblMotor[A_Norm],$A159,tblMotor[BeklenenHakedis]),0))</f>
        <v/>
      </c>
      <c r="E159" s="17">
        <f>IF($A159="","",ROUND($D159,2)-ROUND($C159,2))</f>
        <v/>
      </c>
      <c r="F159" s="17">
        <f>IF($A159="","",ABS($E159))</f>
        <v/>
      </c>
      <c r="G159" s="17">
        <f>IF($A159="","",IF($B159=0,"eslesmedi",IF(ROUND($D159,2)=ROUND($C159,2),"eslesti",IF(ABS(ROUND($D159,2)-ROUND($C159,2))&lt;=toleransKurus,"tolerans_icinde","tutar_farki"))))</f>
        <v/>
      </c>
      <c r="H159" s="17">
        <f>IF($A159="","",IF($B159&gt;0,"BIRINCIL",IF(COUNTIF(tblAnahtarB[IkincilB],'ANAHTAR'!$D159)&gt;0,"IKINCIL","YOK")))</f>
        <v/>
      </c>
      <c r="I159" s="17">
        <f>IF($A159="","",'ANAHTAR'!$F159)</f>
        <v/>
      </c>
      <c r="J159" s="17">
        <f>IF(OR($A159="",$D159=0),0,$F159/ABS($D159))</f>
        <v/>
      </c>
      <c r="K159" s="17">
        <f>IF($A159="","",ROUND($D159,2))</f>
        <v/>
      </c>
      <c r="L159" s="17">
        <f>IF($A159="","",ROUND($C159,2))</f>
        <v/>
      </c>
      <c r="M159" s="17">
        <f>IF($A159="","",IF($F159&lt;=toleransKurus,1,0))</f>
        <v/>
      </c>
      <c r="N159" s="17">
        <f>IF($A159="","",IF($F159&gt;tyk_esikFark,1,0))</f>
        <v/>
      </c>
      <c r="O159" s="17">
        <f>IF($A159="","",IFERROR(SUMIF(tblMotor[A_Norm],$A159,tblMotor[NetKar]),0))</f>
        <v/>
      </c>
      <c r="P159" s="17">
        <f>IF($A159="","",$B159+$M159+$N159)</f>
        <v/>
      </c>
    </row>
    <row r="160">
      <c r="A160" s="17">
        <f>IF('ANAHTAR'!$B160="","",'ANAHTAR'!$B160)</f>
        <v/>
      </c>
      <c r="B160" s="17">
        <f>IF($A160="","",COUNTIF(tblAnahtarB[NormB],$A160))</f>
        <v/>
      </c>
      <c r="C160" s="17">
        <f>IF($A160="","",IFERROR(SUMIF(tblAnahtarB[NormB],$A160,tblHakedis[GercekHakedis]),0))</f>
        <v/>
      </c>
      <c r="D160" s="17">
        <f>IF($A160="","",IFERROR(SUMIF(tblMotor[A_Norm],$A160,tblMotor[BeklenenHakedis]),0))</f>
        <v/>
      </c>
      <c r="E160" s="17">
        <f>IF($A160="","",ROUND($D160,2)-ROUND($C160,2))</f>
        <v/>
      </c>
      <c r="F160" s="17">
        <f>IF($A160="","",ABS($E160))</f>
        <v/>
      </c>
      <c r="G160" s="17">
        <f>IF($A160="","",IF($B160=0,"eslesmedi",IF(ROUND($D160,2)=ROUND($C160,2),"eslesti",IF(ABS(ROUND($D160,2)-ROUND($C160,2))&lt;=toleransKurus,"tolerans_icinde","tutar_farki"))))</f>
        <v/>
      </c>
      <c r="H160" s="17">
        <f>IF($A160="","",IF($B160&gt;0,"BIRINCIL",IF(COUNTIF(tblAnahtarB[IkincilB],'ANAHTAR'!$D160)&gt;0,"IKINCIL","YOK")))</f>
        <v/>
      </c>
      <c r="I160" s="17">
        <f>IF($A160="","",'ANAHTAR'!$F160)</f>
        <v/>
      </c>
      <c r="J160" s="17">
        <f>IF(OR($A160="",$D160=0),0,$F160/ABS($D160))</f>
        <v/>
      </c>
      <c r="K160" s="17">
        <f>IF($A160="","",ROUND($D160,2))</f>
        <v/>
      </c>
      <c r="L160" s="17">
        <f>IF($A160="","",ROUND($C160,2))</f>
        <v/>
      </c>
      <c r="M160" s="17">
        <f>IF($A160="","",IF($F160&lt;=toleransKurus,1,0))</f>
        <v/>
      </c>
      <c r="N160" s="17">
        <f>IF($A160="","",IF($F160&gt;tyk_esikFark,1,0))</f>
        <v/>
      </c>
      <c r="O160" s="17">
        <f>IF($A160="","",IFERROR(SUMIF(tblMotor[A_Norm],$A160,tblMotor[NetKar]),0))</f>
        <v/>
      </c>
      <c r="P160" s="17">
        <f>IF($A160="","",$B160+$M160+$N160)</f>
        <v/>
      </c>
    </row>
    <row r="161">
      <c r="A161" s="17">
        <f>IF('ANAHTAR'!$B161="","",'ANAHTAR'!$B161)</f>
        <v/>
      </c>
      <c r="B161" s="17">
        <f>IF($A161="","",COUNTIF(tblAnahtarB[NormB],$A161))</f>
        <v/>
      </c>
      <c r="C161" s="17">
        <f>IF($A161="","",IFERROR(SUMIF(tblAnahtarB[NormB],$A161,tblHakedis[GercekHakedis]),0))</f>
        <v/>
      </c>
      <c r="D161" s="17">
        <f>IF($A161="","",IFERROR(SUMIF(tblMotor[A_Norm],$A161,tblMotor[BeklenenHakedis]),0))</f>
        <v/>
      </c>
      <c r="E161" s="17">
        <f>IF($A161="","",ROUND($D161,2)-ROUND($C161,2))</f>
        <v/>
      </c>
      <c r="F161" s="17">
        <f>IF($A161="","",ABS($E161))</f>
        <v/>
      </c>
      <c r="G161" s="17">
        <f>IF($A161="","",IF($B161=0,"eslesmedi",IF(ROUND($D161,2)=ROUND($C161,2),"eslesti",IF(ABS(ROUND($D161,2)-ROUND($C161,2))&lt;=toleransKurus,"tolerans_icinde","tutar_farki"))))</f>
        <v/>
      </c>
      <c r="H161" s="17">
        <f>IF($A161="","",IF($B161&gt;0,"BIRINCIL",IF(COUNTIF(tblAnahtarB[IkincilB],'ANAHTAR'!$D161)&gt;0,"IKINCIL","YOK")))</f>
        <v/>
      </c>
      <c r="I161" s="17">
        <f>IF($A161="","",'ANAHTAR'!$F161)</f>
        <v/>
      </c>
      <c r="J161" s="17">
        <f>IF(OR($A161="",$D161=0),0,$F161/ABS($D161))</f>
        <v/>
      </c>
      <c r="K161" s="17">
        <f>IF($A161="","",ROUND($D161,2))</f>
        <v/>
      </c>
      <c r="L161" s="17">
        <f>IF($A161="","",ROUND($C161,2))</f>
        <v/>
      </c>
      <c r="M161" s="17">
        <f>IF($A161="","",IF($F161&lt;=toleransKurus,1,0))</f>
        <v/>
      </c>
      <c r="N161" s="17">
        <f>IF($A161="","",IF($F161&gt;tyk_esikFark,1,0))</f>
        <v/>
      </c>
      <c r="O161" s="17">
        <f>IF($A161="","",IFERROR(SUMIF(tblMotor[A_Norm],$A161,tblMotor[NetKar]),0))</f>
        <v/>
      </c>
      <c r="P161" s="17">
        <f>IF($A161="","",$B161+$M161+$N161)</f>
        <v/>
      </c>
    </row>
    <row r="162">
      <c r="A162" s="17">
        <f>IF('ANAHTAR'!$B162="","",'ANAHTAR'!$B162)</f>
        <v/>
      </c>
      <c r="B162" s="17">
        <f>IF($A162="","",COUNTIF(tblAnahtarB[NormB],$A162))</f>
        <v/>
      </c>
      <c r="C162" s="17">
        <f>IF($A162="","",IFERROR(SUMIF(tblAnahtarB[NormB],$A162,tblHakedis[GercekHakedis]),0))</f>
        <v/>
      </c>
      <c r="D162" s="17">
        <f>IF($A162="","",IFERROR(SUMIF(tblMotor[A_Norm],$A162,tblMotor[BeklenenHakedis]),0))</f>
        <v/>
      </c>
      <c r="E162" s="17">
        <f>IF($A162="","",ROUND($D162,2)-ROUND($C162,2))</f>
        <v/>
      </c>
      <c r="F162" s="17">
        <f>IF($A162="","",ABS($E162))</f>
        <v/>
      </c>
      <c r="G162" s="17">
        <f>IF($A162="","",IF($B162=0,"eslesmedi",IF(ROUND($D162,2)=ROUND($C162,2),"eslesti",IF(ABS(ROUND($D162,2)-ROUND($C162,2))&lt;=toleransKurus,"tolerans_icinde","tutar_farki"))))</f>
        <v/>
      </c>
      <c r="H162" s="17">
        <f>IF($A162="","",IF($B162&gt;0,"BIRINCIL",IF(COUNTIF(tblAnahtarB[IkincilB],'ANAHTAR'!$D162)&gt;0,"IKINCIL","YOK")))</f>
        <v/>
      </c>
      <c r="I162" s="17">
        <f>IF($A162="","",'ANAHTAR'!$F162)</f>
        <v/>
      </c>
      <c r="J162" s="17">
        <f>IF(OR($A162="",$D162=0),0,$F162/ABS($D162))</f>
        <v/>
      </c>
      <c r="K162" s="17">
        <f>IF($A162="","",ROUND($D162,2))</f>
        <v/>
      </c>
      <c r="L162" s="17">
        <f>IF($A162="","",ROUND($C162,2))</f>
        <v/>
      </c>
      <c r="M162" s="17">
        <f>IF($A162="","",IF($F162&lt;=toleransKurus,1,0))</f>
        <v/>
      </c>
      <c r="N162" s="17">
        <f>IF($A162="","",IF($F162&gt;tyk_esikFark,1,0))</f>
        <v/>
      </c>
      <c r="O162" s="17">
        <f>IF($A162="","",IFERROR(SUMIF(tblMotor[A_Norm],$A162,tblMotor[NetKar]),0))</f>
        <v/>
      </c>
      <c r="P162" s="17">
        <f>IF($A162="","",$B162+$M162+$N162)</f>
        <v/>
      </c>
    </row>
    <row r="163">
      <c r="A163" s="17">
        <f>IF('ANAHTAR'!$B163="","",'ANAHTAR'!$B163)</f>
        <v/>
      </c>
      <c r="B163" s="17">
        <f>IF($A163="","",COUNTIF(tblAnahtarB[NormB],$A163))</f>
        <v/>
      </c>
      <c r="C163" s="17">
        <f>IF($A163="","",IFERROR(SUMIF(tblAnahtarB[NormB],$A163,tblHakedis[GercekHakedis]),0))</f>
        <v/>
      </c>
      <c r="D163" s="17">
        <f>IF($A163="","",IFERROR(SUMIF(tblMotor[A_Norm],$A163,tblMotor[BeklenenHakedis]),0))</f>
        <v/>
      </c>
      <c r="E163" s="17">
        <f>IF($A163="","",ROUND($D163,2)-ROUND($C163,2))</f>
        <v/>
      </c>
      <c r="F163" s="17">
        <f>IF($A163="","",ABS($E163))</f>
        <v/>
      </c>
      <c r="G163" s="17">
        <f>IF($A163="","",IF($B163=0,"eslesmedi",IF(ROUND($D163,2)=ROUND($C163,2),"eslesti",IF(ABS(ROUND($D163,2)-ROUND($C163,2))&lt;=toleransKurus,"tolerans_icinde","tutar_farki"))))</f>
        <v/>
      </c>
      <c r="H163" s="17">
        <f>IF($A163="","",IF($B163&gt;0,"BIRINCIL",IF(COUNTIF(tblAnahtarB[IkincilB],'ANAHTAR'!$D163)&gt;0,"IKINCIL","YOK")))</f>
        <v/>
      </c>
      <c r="I163" s="17">
        <f>IF($A163="","",'ANAHTAR'!$F163)</f>
        <v/>
      </c>
      <c r="J163" s="17">
        <f>IF(OR($A163="",$D163=0),0,$F163/ABS($D163))</f>
        <v/>
      </c>
      <c r="K163" s="17">
        <f>IF($A163="","",ROUND($D163,2))</f>
        <v/>
      </c>
      <c r="L163" s="17">
        <f>IF($A163="","",ROUND($C163,2))</f>
        <v/>
      </c>
      <c r="M163" s="17">
        <f>IF($A163="","",IF($F163&lt;=toleransKurus,1,0))</f>
        <v/>
      </c>
      <c r="N163" s="17">
        <f>IF($A163="","",IF($F163&gt;tyk_esikFark,1,0))</f>
        <v/>
      </c>
      <c r="O163" s="17">
        <f>IF($A163="","",IFERROR(SUMIF(tblMotor[A_Norm],$A163,tblMotor[NetKar]),0))</f>
        <v/>
      </c>
      <c r="P163" s="17">
        <f>IF($A163="","",$B163+$M163+$N163)</f>
        <v/>
      </c>
    </row>
    <row r="164">
      <c r="A164" s="17">
        <f>IF('ANAHTAR'!$B164="","",'ANAHTAR'!$B164)</f>
        <v/>
      </c>
      <c r="B164" s="17">
        <f>IF($A164="","",COUNTIF(tblAnahtarB[NormB],$A164))</f>
        <v/>
      </c>
      <c r="C164" s="17">
        <f>IF($A164="","",IFERROR(SUMIF(tblAnahtarB[NormB],$A164,tblHakedis[GercekHakedis]),0))</f>
        <v/>
      </c>
      <c r="D164" s="17">
        <f>IF($A164="","",IFERROR(SUMIF(tblMotor[A_Norm],$A164,tblMotor[BeklenenHakedis]),0))</f>
        <v/>
      </c>
      <c r="E164" s="17">
        <f>IF($A164="","",ROUND($D164,2)-ROUND($C164,2))</f>
        <v/>
      </c>
      <c r="F164" s="17">
        <f>IF($A164="","",ABS($E164))</f>
        <v/>
      </c>
      <c r="G164" s="17">
        <f>IF($A164="","",IF($B164=0,"eslesmedi",IF(ROUND($D164,2)=ROUND($C164,2),"eslesti",IF(ABS(ROUND($D164,2)-ROUND($C164,2))&lt;=toleransKurus,"tolerans_icinde","tutar_farki"))))</f>
        <v/>
      </c>
      <c r="H164" s="17">
        <f>IF($A164="","",IF($B164&gt;0,"BIRINCIL",IF(COUNTIF(tblAnahtarB[IkincilB],'ANAHTAR'!$D164)&gt;0,"IKINCIL","YOK")))</f>
        <v/>
      </c>
      <c r="I164" s="17">
        <f>IF($A164="","",'ANAHTAR'!$F164)</f>
        <v/>
      </c>
      <c r="J164" s="17">
        <f>IF(OR($A164="",$D164=0),0,$F164/ABS($D164))</f>
        <v/>
      </c>
      <c r="K164" s="17">
        <f>IF($A164="","",ROUND($D164,2))</f>
        <v/>
      </c>
      <c r="L164" s="17">
        <f>IF($A164="","",ROUND($C164,2))</f>
        <v/>
      </c>
      <c r="M164" s="17">
        <f>IF($A164="","",IF($F164&lt;=toleransKurus,1,0))</f>
        <v/>
      </c>
      <c r="N164" s="17">
        <f>IF($A164="","",IF($F164&gt;tyk_esikFark,1,0))</f>
        <v/>
      </c>
      <c r="O164" s="17">
        <f>IF($A164="","",IFERROR(SUMIF(tblMotor[A_Norm],$A164,tblMotor[NetKar]),0))</f>
        <v/>
      </c>
      <c r="P164" s="17">
        <f>IF($A164="","",$B164+$M164+$N164)</f>
        <v/>
      </c>
    </row>
    <row r="165">
      <c r="A165" s="17">
        <f>IF('ANAHTAR'!$B165="","",'ANAHTAR'!$B165)</f>
        <v/>
      </c>
      <c r="B165" s="17">
        <f>IF($A165="","",COUNTIF(tblAnahtarB[NormB],$A165))</f>
        <v/>
      </c>
      <c r="C165" s="17">
        <f>IF($A165="","",IFERROR(SUMIF(tblAnahtarB[NormB],$A165,tblHakedis[GercekHakedis]),0))</f>
        <v/>
      </c>
      <c r="D165" s="17">
        <f>IF($A165="","",IFERROR(SUMIF(tblMotor[A_Norm],$A165,tblMotor[BeklenenHakedis]),0))</f>
        <v/>
      </c>
      <c r="E165" s="17">
        <f>IF($A165="","",ROUND($D165,2)-ROUND($C165,2))</f>
        <v/>
      </c>
      <c r="F165" s="17">
        <f>IF($A165="","",ABS($E165))</f>
        <v/>
      </c>
      <c r="G165" s="17">
        <f>IF($A165="","",IF($B165=0,"eslesmedi",IF(ROUND($D165,2)=ROUND($C165,2),"eslesti",IF(ABS(ROUND($D165,2)-ROUND($C165,2))&lt;=toleransKurus,"tolerans_icinde","tutar_farki"))))</f>
        <v/>
      </c>
      <c r="H165" s="17">
        <f>IF($A165="","",IF($B165&gt;0,"BIRINCIL",IF(COUNTIF(tblAnahtarB[IkincilB],'ANAHTAR'!$D165)&gt;0,"IKINCIL","YOK")))</f>
        <v/>
      </c>
      <c r="I165" s="17">
        <f>IF($A165="","",'ANAHTAR'!$F165)</f>
        <v/>
      </c>
      <c r="J165" s="17">
        <f>IF(OR($A165="",$D165=0),0,$F165/ABS($D165))</f>
        <v/>
      </c>
      <c r="K165" s="17">
        <f>IF($A165="","",ROUND($D165,2))</f>
        <v/>
      </c>
      <c r="L165" s="17">
        <f>IF($A165="","",ROUND($C165,2))</f>
        <v/>
      </c>
      <c r="M165" s="17">
        <f>IF($A165="","",IF($F165&lt;=toleransKurus,1,0))</f>
        <v/>
      </c>
      <c r="N165" s="17">
        <f>IF($A165="","",IF($F165&gt;tyk_esikFark,1,0))</f>
        <v/>
      </c>
      <c r="O165" s="17">
        <f>IF($A165="","",IFERROR(SUMIF(tblMotor[A_Norm],$A165,tblMotor[NetKar]),0))</f>
        <v/>
      </c>
      <c r="P165" s="17">
        <f>IF($A165="","",$B165+$M165+$N165)</f>
        <v/>
      </c>
    </row>
    <row r="166">
      <c r="A166" s="17">
        <f>IF('ANAHTAR'!$B166="","",'ANAHTAR'!$B166)</f>
        <v/>
      </c>
      <c r="B166" s="17">
        <f>IF($A166="","",COUNTIF(tblAnahtarB[NormB],$A166))</f>
        <v/>
      </c>
      <c r="C166" s="17">
        <f>IF($A166="","",IFERROR(SUMIF(tblAnahtarB[NormB],$A166,tblHakedis[GercekHakedis]),0))</f>
        <v/>
      </c>
      <c r="D166" s="17">
        <f>IF($A166="","",IFERROR(SUMIF(tblMotor[A_Norm],$A166,tblMotor[BeklenenHakedis]),0))</f>
        <v/>
      </c>
      <c r="E166" s="17">
        <f>IF($A166="","",ROUND($D166,2)-ROUND($C166,2))</f>
        <v/>
      </c>
      <c r="F166" s="17">
        <f>IF($A166="","",ABS($E166))</f>
        <v/>
      </c>
      <c r="G166" s="17">
        <f>IF($A166="","",IF($B166=0,"eslesmedi",IF(ROUND($D166,2)=ROUND($C166,2),"eslesti",IF(ABS(ROUND($D166,2)-ROUND($C166,2))&lt;=toleransKurus,"tolerans_icinde","tutar_farki"))))</f>
        <v/>
      </c>
      <c r="H166" s="17">
        <f>IF($A166="","",IF($B166&gt;0,"BIRINCIL",IF(COUNTIF(tblAnahtarB[IkincilB],'ANAHTAR'!$D166)&gt;0,"IKINCIL","YOK")))</f>
        <v/>
      </c>
      <c r="I166" s="17">
        <f>IF($A166="","",'ANAHTAR'!$F166)</f>
        <v/>
      </c>
      <c r="J166" s="17">
        <f>IF(OR($A166="",$D166=0),0,$F166/ABS($D166))</f>
        <v/>
      </c>
      <c r="K166" s="17">
        <f>IF($A166="","",ROUND($D166,2))</f>
        <v/>
      </c>
      <c r="L166" s="17">
        <f>IF($A166="","",ROUND($C166,2))</f>
        <v/>
      </c>
      <c r="M166" s="17">
        <f>IF($A166="","",IF($F166&lt;=toleransKurus,1,0))</f>
        <v/>
      </c>
      <c r="N166" s="17">
        <f>IF($A166="","",IF($F166&gt;tyk_esikFark,1,0))</f>
        <v/>
      </c>
      <c r="O166" s="17">
        <f>IF($A166="","",IFERROR(SUMIF(tblMotor[A_Norm],$A166,tblMotor[NetKar]),0))</f>
        <v/>
      </c>
      <c r="P166" s="17">
        <f>IF($A166="","",$B166+$M166+$N166)</f>
        <v/>
      </c>
    </row>
    <row r="167">
      <c r="A167" s="17">
        <f>IF('ANAHTAR'!$B167="","",'ANAHTAR'!$B167)</f>
        <v/>
      </c>
      <c r="B167" s="17">
        <f>IF($A167="","",COUNTIF(tblAnahtarB[NormB],$A167))</f>
        <v/>
      </c>
      <c r="C167" s="17">
        <f>IF($A167="","",IFERROR(SUMIF(tblAnahtarB[NormB],$A167,tblHakedis[GercekHakedis]),0))</f>
        <v/>
      </c>
      <c r="D167" s="17">
        <f>IF($A167="","",IFERROR(SUMIF(tblMotor[A_Norm],$A167,tblMotor[BeklenenHakedis]),0))</f>
        <v/>
      </c>
      <c r="E167" s="17">
        <f>IF($A167="","",ROUND($D167,2)-ROUND($C167,2))</f>
        <v/>
      </c>
      <c r="F167" s="17">
        <f>IF($A167="","",ABS($E167))</f>
        <v/>
      </c>
      <c r="G167" s="17">
        <f>IF($A167="","",IF($B167=0,"eslesmedi",IF(ROUND($D167,2)=ROUND($C167,2),"eslesti",IF(ABS(ROUND($D167,2)-ROUND($C167,2))&lt;=toleransKurus,"tolerans_icinde","tutar_farki"))))</f>
        <v/>
      </c>
      <c r="H167" s="17">
        <f>IF($A167="","",IF($B167&gt;0,"BIRINCIL",IF(COUNTIF(tblAnahtarB[IkincilB],'ANAHTAR'!$D167)&gt;0,"IKINCIL","YOK")))</f>
        <v/>
      </c>
      <c r="I167" s="17">
        <f>IF($A167="","",'ANAHTAR'!$F167)</f>
        <v/>
      </c>
      <c r="J167" s="17">
        <f>IF(OR($A167="",$D167=0),0,$F167/ABS($D167))</f>
        <v/>
      </c>
      <c r="K167" s="17">
        <f>IF($A167="","",ROUND($D167,2))</f>
        <v/>
      </c>
      <c r="L167" s="17">
        <f>IF($A167="","",ROUND($C167,2))</f>
        <v/>
      </c>
      <c r="M167" s="17">
        <f>IF($A167="","",IF($F167&lt;=toleransKurus,1,0))</f>
        <v/>
      </c>
      <c r="N167" s="17">
        <f>IF($A167="","",IF($F167&gt;tyk_esikFark,1,0))</f>
        <v/>
      </c>
      <c r="O167" s="17">
        <f>IF($A167="","",IFERROR(SUMIF(tblMotor[A_Norm],$A167,tblMotor[NetKar]),0))</f>
        <v/>
      </c>
      <c r="P167" s="17">
        <f>IF($A167="","",$B167+$M167+$N167)</f>
        <v/>
      </c>
    </row>
    <row r="168">
      <c r="A168" s="17">
        <f>IF('ANAHTAR'!$B168="","",'ANAHTAR'!$B168)</f>
        <v/>
      </c>
      <c r="B168" s="17">
        <f>IF($A168="","",COUNTIF(tblAnahtarB[NormB],$A168))</f>
        <v/>
      </c>
      <c r="C168" s="17">
        <f>IF($A168="","",IFERROR(SUMIF(tblAnahtarB[NormB],$A168,tblHakedis[GercekHakedis]),0))</f>
        <v/>
      </c>
      <c r="D168" s="17">
        <f>IF($A168="","",IFERROR(SUMIF(tblMotor[A_Norm],$A168,tblMotor[BeklenenHakedis]),0))</f>
        <v/>
      </c>
      <c r="E168" s="17">
        <f>IF($A168="","",ROUND($D168,2)-ROUND($C168,2))</f>
        <v/>
      </c>
      <c r="F168" s="17">
        <f>IF($A168="","",ABS($E168))</f>
        <v/>
      </c>
      <c r="G168" s="17">
        <f>IF($A168="","",IF($B168=0,"eslesmedi",IF(ROUND($D168,2)=ROUND($C168,2),"eslesti",IF(ABS(ROUND($D168,2)-ROUND($C168,2))&lt;=toleransKurus,"tolerans_icinde","tutar_farki"))))</f>
        <v/>
      </c>
      <c r="H168" s="17">
        <f>IF($A168="","",IF($B168&gt;0,"BIRINCIL",IF(COUNTIF(tblAnahtarB[IkincilB],'ANAHTAR'!$D168)&gt;0,"IKINCIL","YOK")))</f>
        <v/>
      </c>
      <c r="I168" s="17">
        <f>IF($A168="","",'ANAHTAR'!$F168)</f>
        <v/>
      </c>
      <c r="J168" s="17">
        <f>IF(OR($A168="",$D168=0),0,$F168/ABS($D168))</f>
        <v/>
      </c>
      <c r="K168" s="17">
        <f>IF($A168="","",ROUND($D168,2))</f>
        <v/>
      </c>
      <c r="L168" s="17">
        <f>IF($A168="","",ROUND($C168,2))</f>
        <v/>
      </c>
      <c r="M168" s="17">
        <f>IF($A168="","",IF($F168&lt;=toleransKurus,1,0))</f>
        <v/>
      </c>
      <c r="N168" s="17">
        <f>IF($A168="","",IF($F168&gt;tyk_esikFark,1,0))</f>
        <v/>
      </c>
      <c r="O168" s="17">
        <f>IF($A168="","",IFERROR(SUMIF(tblMotor[A_Norm],$A168,tblMotor[NetKar]),0))</f>
        <v/>
      </c>
      <c r="P168" s="17">
        <f>IF($A168="","",$B168+$M168+$N168)</f>
        <v/>
      </c>
    </row>
    <row r="169">
      <c r="A169" s="17">
        <f>IF('ANAHTAR'!$B169="","",'ANAHTAR'!$B169)</f>
        <v/>
      </c>
      <c r="B169" s="17">
        <f>IF($A169="","",COUNTIF(tblAnahtarB[NormB],$A169))</f>
        <v/>
      </c>
      <c r="C169" s="17">
        <f>IF($A169="","",IFERROR(SUMIF(tblAnahtarB[NormB],$A169,tblHakedis[GercekHakedis]),0))</f>
        <v/>
      </c>
      <c r="D169" s="17">
        <f>IF($A169="","",IFERROR(SUMIF(tblMotor[A_Norm],$A169,tblMotor[BeklenenHakedis]),0))</f>
        <v/>
      </c>
      <c r="E169" s="17">
        <f>IF($A169="","",ROUND($D169,2)-ROUND($C169,2))</f>
        <v/>
      </c>
      <c r="F169" s="17">
        <f>IF($A169="","",ABS($E169))</f>
        <v/>
      </c>
      <c r="G169" s="17">
        <f>IF($A169="","",IF($B169=0,"eslesmedi",IF(ROUND($D169,2)=ROUND($C169,2),"eslesti",IF(ABS(ROUND($D169,2)-ROUND($C169,2))&lt;=toleransKurus,"tolerans_icinde","tutar_farki"))))</f>
        <v/>
      </c>
      <c r="H169" s="17">
        <f>IF($A169="","",IF($B169&gt;0,"BIRINCIL",IF(COUNTIF(tblAnahtarB[IkincilB],'ANAHTAR'!$D169)&gt;0,"IKINCIL","YOK")))</f>
        <v/>
      </c>
      <c r="I169" s="17">
        <f>IF($A169="","",'ANAHTAR'!$F169)</f>
        <v/>
      </c>
      <c r="J169" s="17">
        <f>IF(OR($A169="",$D169=0),0,$F169/ABS($D169))</f>
        <v/>
      </c>
      <c r="K169" s="17">
        <f>IF($A169="","",ROUND($D169,2))</f>
        <v/>
      </c>
      <c r="L169" s="17">
        <f>IF($A169="","",ROUND($C169,2))</f>
        <v/>
      </c>
      <c r="M169" s="17">
        <f>IF($A169="","",IF($F169&lt;=toleransKurus,1,0))</f>
        <v/>
      </c>
      <c r="N169" s="17">
        <f>IF($A169="","",IF($F169&gt;tyk_esikFark,1,0))</f>
        <v/>
      </c>
      <c r="O169" s="17">
        <f>IF($A169="","",IFERROR(SUMIF(tblMotor[A_Norm],$A169,tblMotor[NetKar]),0))</f>
        <v/>
      </c>
      <c r="P169" s="17">
        <f>IF($A169="","",$B169+$M169+$N169)</f>
        <v/>
      </c>
    </row>
    <row r="170">
      <c r="A170" s="17">
        <f>IF('ANAHTAR'!$B170="","",'ANAHTAR'!$B170)</f>
        <v/>
      </c>
      <c r="B170" s="17">
        <f>IF($A170="","",COUNTIF(tblAnahtarB[NormB],$A170))</f>
        <v/>
      </c>
      <c r="C170" s="17">
        <f>IF($A170="","",IFERROR(SUMIF(tblAnahtarB[NormB],$A170,tblHakedis[GercekHakedis]),0))</f>
        <v/>
      </c>
      <c r="D170" s="17">
        <f>IF($A170="","",IFERROR(SUMIF(tblMotor[A_Norm],$A170,tblMotor[BeklenenHakedis]),0))</f>
        <v/>
      </c>
      <c r="E170" s="17">
        <f>IF($A170="","",ROUND($D170,2)-ROUND($C170,2))</f>
        <v/>
      </c>
      <c r="F170" s="17">
        <f>IF($A170="","",ABS($E170))</f>
        <v/>
      </c>
      <c r="G170" s="17">
        <f>IF($A170="","",IF($B170=0,"eslesmedi",IF(ROUND($D170,2)=ROUND($C170,2),"eslesti",IF(ABS(ROUND($D170,2)-ROUND($C170,2))&lt;=toleransKurus,"tolerans_icinde","tutar_farki"))))</f>
        <v/>
      </c>
      <c r="H170" s="17">
        <f>IF($A170="","",IF($B170&gt;0,"BIRINCIL",IF(COUNTIF(tblAnahtarB[IkincilB],'ANAHTAR'!$D170)&gt;0,"IKINCIL","YOK")))</f>
        <v/>
      </c>
      <c r="I170" s="17">
        <f>IF($A170="","",'ANAHTAR'!$F170)</f>
        <v/>
      </c>
      <c r="J170" s="17">
        <f>IF(OR($A170="",$D170=0),0,$F170/ABS($D170))</f>
        <v/>
      </c>
      <c r="K170" s="17">
        <f>IF($A170="","",ROUND($D170,2))</f>
        <v/>
      </c>
      <c r="L170" s="17">
        <f>IF($A170="","",ROUND($C170,2))</f>
        <v/>
      </c>
      <c r="M170" s="17">
        <f>IF($A170="","",IF($F170&lt;=toleransKurus,1,0))</f>
        <v/>
      </c>
      <c r="N170" s="17">
        <f>IF($A170="","",IF($F170&gt;tyk_esikFark,1,0))</f>
        <v/>
      </c>
      <c r="O170" s="17">
        <f>IF($A170="","",IFERROR(SUMIF(tblMotor[A_Norm],$A170,tblMotor[NetKar]),0))</f>
        <v/>
      </c>
      <c r="P170" s="17">
        <f>IF($A170="","",$B170+$M170+$N170)</f>
        <v/>
      </c>
    </row>
    <row r="171">
      <c r="A171" s="17">
        <f>IF('ANAHTAR'!$B171="","",'ANAHTAR'!$B171)</f>
        <v/>
      </c>
      <c r="B171" s="17">
        <f>IF($A171="","",COUNTIF(tblAnahtarB[NormB],$A171))</f>
        <v/>
      </c>
      <c r="C171" s="17">
        <f>IF($A171="","",IFERROR(SUMIF(tblAnahtarB[NormB],$A171,tblHakedis[GercekHakedis]),0))</f>
        <v/>
      </c>
      <c r="D171" s="17">
        <f>IF($A171="","",IFERROR(SUMIF(tblMotor[A_Norm],$A171,tblMotor[BeklenenHakedis]),0))</f>
        <v/>
      </c>
      <c r="E171" s="17">
        <f>IF($A171="","",ROUND($D171,2)-ROUND($C171,2))</f>
        <v/>
      </c>
      <c r="F171" s="17">
        <f>IF($A171="","",ABS($E171))</f>
        <v/>
      </c>
      <c r="G171" s="17">
        <f>IF($A171="","",IF($B171=0,"eslesmedi",IF(ROUND($D171,2)=ROUND($C171,2),"eslesti",IF(ABS(ROUND($D171,2)-ROUND($C171,2))&lt;=toleransKurus,"tolerans_icinde","tutar_farki"))))</f>
        <v/>
      </c>
      <c r="H171" s="17">
        <f>IF($A171="","",IF($B171&gt;0,"BIRINCIL",IF(COUNTIF(tblAnahtarB[IkincilB],'ANAHTAR'!$D171)&gt;0,"IKINCIL","YOK")))</f>
        <v/>
      </c>
      <c r="I171" s="17">
        <f>IF($A171="","",'ANAHTAR'!$F171)</f>
        <v/>
      </c>
      <c r="J171" s="17">
        <f>IF(OR($A171="",$D171=0),0,$F171/ABS($D171))</f>
        <v/>
      </c>
      <c r="K171" s="17">
        <f>IF($A171="","",ROUND($D171,2))</f>
        <v/>
      </c>
      <c r="L171" s="17">
        <f>IF($A171="","",ROUND($C171,2))</f>
        <v/>
      </c>
      <c r="M171" s="17">
        <f>IF($A171="","",IF($F171&lt;=toleransKurus,1,0))</f>
        <v/>
      </c>
      <c r="N171" s="17">
        <f>IF($A171="","",IF($F171&gt;tyk_esikFark,1,0))</f>
        <v/>
      </c>
      <c r="O171" s="17">
        <f>IF($A171="","",IFERROR(SUMIF(tblMotor[A_Norm],$A171,tblMotor[NetKar]),0))</f>
        <v/>
      </c>
      <c r="P171" s="17">
        <f>IF($A171="","",$B171+$M171+$N171)</f>
        <v/>
      </c>
    </row>
    <row r="172">
      <c r="A172" s="17">
        <f>IF('ANAHTAR'!$B172="","",'ANAHTAR'!$B172)</f>
        <v/>
      </c>
      <c r="B172" s="17">
        <f>IF($A172="","",COUNTIF(tblAnahtarB[NormB],$A172))</f>
        <v/>
      </c>
      <c r="C172" s="17">
        <f>IF($A172="","",IFERROR(SUMIF(tblAnahtarB[NormB],$A172,tblHakedis[GercekHakedis]),0))</f>
        <v/>
      </c>
      <c r="D172" s="17">
        <f>IF($A172="","",IFERROR(SUMIF(tblMotor[A_Norm],$A172,tblMotor[BeklenenHakedis]),0))</f>
        <v/>
      </c>
      <c r="E172" s="17">
        <f>IF($A172="","",ROUND($D172,2)-ROUND($C172,2))</f>
        <v/>
      </c>
      <c r="F172" s="17">
        <f>IF($A172="","",ABS($E172))</f>
        <v/>
      </c>
      <c r="G172" s="17">
        <f>IF($A172="","",IF($B172=0,"eslesmedi",IF(ROUND($D172,2)=ROUND($C172,2),"eslesti",IF(ABS(ROUND($D172,2)-ROUND($C172,2))&lt;=toleransKurus,"tolerans_icinde","tutar_farki"))))</f>
        <v/>
      </c>
      <c r="H172" s="17">
        <f>IF($A172="","",IF($B172&gt;0,"BIRINCIL",IF(COUNTIF(tblAnahtarB[IkincilB],'ANAHTAR'!$D172)&gt;0,"IKINCIL","YOK")))</f>
        <v/>
      </c>
      <c r="I172" s="17">
        <f>IF($A172="","",'ANAHTAR'!$F172)</f>
        <v/>
      </c>
      <c r="J172" s="17">
        <f>IF(OR($A172="",$D172=0),0,$F172/ABS($D172))</f>
        <v/>
      </c>
      <c r="K172" s="17">
        <f>IF($A172="","",ROUND($D172,2))</f>
        <v/>
      </c>
      <c r="L172" s="17">
        <f>IF($A172="","",ROUND($C172,2))</f>
        <v/>
      </c>
      <c r="M172" s="17">
        <f>IF($A172="","",IF($F172&lt;=toleransKurus,1,0))</f>
        <v/>
      </c>
      <c r="N172" s="17">
        <f>IF($A172="","",IF($F172&gt;tyk_esikFark,1,0))</f>
        <v/>
      </c>
      <c r="O172" s="17">
        <f>IF($A172="","",IFERROR(SUMIF(tblMotor[A_Norm],$A172,tblMotor[NetKar]),0))</f>
        <v/>
      </c>
      <c r="P172" s="17">
        <f>IF($A172="","",$B172+$M172+$N172)</f>
        <v/>
      </c>
    </row>
    <row r="173">
      <c r="A173" s="17">
        <f>IF('ANAHTAR'!$B173="","",'ANAHTAR'!$B173)</f>
        <v/>
      </c>
      <c r="B173" s="17">
        <f>IF($A173="","",COUNTIF(tblAnahtarB[NormB],$A173))</f>
        <v/>
      </c>
      <c r="C173" s="17">
        <f>IF($A173="","",IFERROR(SUMIF(tblAnahtarB[NormB],$A173,tblHakedis[GercekHakedis]),0))</f>
        <v/>
      </c>
      <c r="D173" s="17">
        <f>IF($A173="","",IFERROR(SUMIF(tblMotor[A_Norm],$A173,tblMotor[BeklenenHakedis]),0))</f>
        <v/>
      </c>
      <c r="E173" s="17">
        <f>IF($A173="","",ROUND($D173,2)-ROUND($C173,2))</f>
        <v/>
      </c>
      <c r="F173" s="17">
        <f>IF($A173="","",ABS($E173))</f>
        <v/>
      </c>
      <c r="G173" s="17">
        <f>IF($A173="","",IF($B173=0,"eslesmedi",IF(ROUND($D173,2)=ROUND($C173,2),"eslesti",IF(ABS(ROUND($D173,2)-ROUND($C173,2))&lt;=toleransKurus,"tolerans_icinde","tutar_farki"))))</f>
        <v/>
      </c>
      <c r="H173" s="17">
        <f>IF($A173="","",IF($B173&gt;0,"BIRINCIL",IF(COUNTIF(tblAnahtarB[IkincilB],'ANAHTAR'!$D173)&gt;0,"IKINCIL","YOK")))</f>
        <v/>
      </c>
      <c r="I173" s="17">
        <f>IF($A173="","",'ANAHTAR'!$F173)</f>
        <v/>
      </c>
      <c r="J173" s="17">
        <f>IF(OR($A173="",$D173=0),0,$F173/ABS($D173))</f>
        <v/>
      </c>
      <c r="K173" s="17">
        <f>IF($A173="","",ROUND($D173,2))</f>
        <v/>
      </c>
      <c r="L173" s="17">
        <f>IF($A173="","",ROUND($C173,2))</f>
        <v/>
      </c>
      <c r="M173" s="17">
        <f>IF($A173="","",IF($F173&lt;=toleransKurus,1,0))</f>
        <v/>
      </c>
      <c r="N173" s="17">
        <f>IF($A173="","",IF($F173&gt;tyk_esikFark,1,0))</f>
        <v/>
      </c>
      <c r="O173" s="17">
        <f>IF($A173="","",IFERROR(SUMIF(tblMotor[A_Norm],$A173,tblMotor[NetKar]),0))</f>
        <v/>
      </c>
      <c r="P173" s="17">
        <f>IF($A173="","",$B173+$M173+$N173)</f>
        <v/>
      </c>
    </row>
    <row r="174">
      <c r="A174" s="17">
        <f>IF('ANAHTAR'!$B174="","",'ANAHTAR'!$B174)</f>
        <v/>
      </c>
      <c r="B174" s="17">
        <f>IF($A174="","",COUNTIF(tblAnahtarB[NormB],$A174))</f>
        <v/>
      </c>
      <c r="C174" s="17">
        <f>IF($A174="","",IFERROR(SUMIF(tblAnahtarB[NormB],$A174,tblHakedis[GercekHakedis]),0))</f>
        <v/>
      </c>
      <c r="D174" s="17">
        <f>IF($A174="","",IFERROR(SUMIF(tblMotor[A_Norm],$A174,tblMotor[BeklenenHakedis]),0))</f>
        <v/>
      </c>
      <c r="E174" s="17">
        <f>IF($A174="","",ROUND($D174,2)-ROUND($C174,2))</f>
        <v/>
      </c>
      <c r="F174" s="17">
        <f>IF($A174="","",ABS($E174))</f>
        <v/>
      </c>
      <c r="G174" s="17">
        <f>IF($A174="","",IF($B174=0,"eslesmedi",IF(ROUND($D174,2)=ROUND($C174,2),"eslesti",IF(ABS(ROUND($D174,2)-ROUND($C174,2))&lt;=toleransKurus,"tolerans_icinde","tutar_farki"))))</f>
        <v/>
      </c>
      <c r="H174" s="17">
        <f>IF($A174="","",IF($B174&gt;0,"BIRINCIL",IF(COUNTIF(tblAnahtarB[IkincilB],'ANAHTAR'!$D174)&gt;0,"IKINCIL","YOK")))</f>
        <v/>
      </c>
      <c r="I174" s="17">
        <f>IF($A174="","",'ANAHTAR'!$F174)</f>
        <v/>
      </c>
      <c r="J174" s="17">
        <f>IF(OR($A174="",$D174=0),0,$F174/ABS($D174))</f>
        <v/>
      </c>
      <c r="K174" s="17">
        <f>IF($A174="","",ROUND($D174,2))</f>
        <v/>
      </c>
      <c r="L174" s="17">
        <f>IF($A174="","",ROUND($C174,2))</f>
        <v/>
      </c>
      <c r="M174" s="17">
        <f>IF($A174="","",IF($F174&lt;=toleransKurus,1,0))</f>
        <v/>
      </c>
      <c r="N174" s="17">
        <f>IF($A174="","",IF($F174&gt;tyk_esikFark,1,0))</f>
        <v/>
      </c>
      <c r="O174" s="17">
        <f>IF($A174="","",IFERROR(SUMIF(tblMotor[A_Norm],$A174,tblMotor[NetKar]),0))</f>
        <v/>
      </c>
      <c r="P174" s="17">
        <f>IF($A174="","",$B174+$M174+$N174)</f>
        <v/>
      </c>
    </row>
    <row r="175">
      <c r="A175" s="17">
        <f>IF('ANAHTAR'!$B175="","",'ANAHTAR'!$B175)</f>
        <v/>
      </c>
      <c r="B175" s="17">
        <f>IF($A175="","",COUNTIF(tblAnahtarB[NormB],$A175))</f>
        <v/>
      </c>
      <c r="C175" s="17">
        <f>IF($A175="","",IFERROR(SUMIF(tblAnahtarB[NormB],$A175,tblHakedis[GercekHakedis]),0))</f>
        <v/>
      </c>
      <c r="D175" s="17">
        <f>IF($A175="","",IFERROR(SUMIF(tblMotor[A_Norm],$A175,tblMotor[BeklenenHakedis]),0))</f>
        <v/>
      </c>
      <c r="E175" s="17">
        <f>IF($A175="","",ROUND($D175,2)-ROUND($C175,2))</f>
        <v/>
      </c>
      <c r="F175" s="17">
        <f>IF($A175="","",ABS($E175))</f>
        <v/>
      </c>
      <c r="G175" s="17">
        <f>IF($A175="","",IF($B175=0,"eslesmedi",IF(ROUND($D175,2)=ROUND($C175,2),"eslesti",IF(ABS(ROUND($D175,2)-ROUND($C175,2))&lt;=toleransKurus,"tolerans_icinde","tutar_farki"))))</f>
        <v/>
      </c>
      <c r="H175" s="17">
        <f>IF($A175="","",IF($B175&gt;0,"BIRINCIL",IF(COUNTIF(tblAnahtarB[IkincilB],'ANAHTAR'!$D175)&gt;0,"IKINCIL","YOK")))</f>
        <v/>
      </c>
      <c r="I175" s="17">
        <f>IF($A175="","",'ANAHTAR'!$F175)</f>
        <v/>
      </c>
      <c r="J175" s="17">
        <f>IF(OR($A175="",$D175=0),0,$F175/ABS($D175))</f>
        <v/>
      </c>
      <c r="K175" s="17">
        <f>IF($A175="","",ROUND($D175,2))</f>
        <v/>
      </c>
      <c r="L175" s="17">
        <f>IF($A175="","",ROUND($C175,2))</f>
        <v/>
      </c>
      <c r="M175" s="17">
        <f>IF($A175="","",IF($F175&lt;=toleransKurus,1,0))</f>
        <v/>
      </c>
      <c r="N175" s="17">
        <f>IF($A175="","",IF($F175&gt;tyk_esikFark,1,0))</f>
        <v/>
      </c>
      <c r="O175" s="17">
        <f>IF($A175="","",IFERROR(SUMIF(tblMotor[A_Norm],$A175,tblMotor[NetKar]),0))</f>
        <v/>
      </c>
      <c r="P175" s="17">
        <f>IF($A175="","",$B175+$M175+$N175)</f>
        <v/>
      </c>
    </row>
    <row r="176">
      <c r="A176" s="17">
        <f>IF('ANAHTAR'!$B176="","",'ANAHTAR'!$B176)</f>
        <v/>
      </c>
      <c r="B176" s="17">
        <f>IF($A176="","",COUNTIF(tblAnahtarB[NormB],$A176))</f>
        <v/>
      </c>
      <c r="C176" s="17">
        <f>IF($A176="","",IFERROR(SUMIF(tblAnahtarB[NormB],$A176,tblHakedis[GercekHakedis]),0))</f>
        <v/>
      </c>
      <c r="D176" s="17">
        <f>IF($A176="","",IFERROR(SUMIF(tblMotor[A_Norm],$A176,tblMotor[BeklenenHakedis]),0))</f>
        <v/>
      </c>
      <c r="E176" s="17">
        <f>IF($A176="","",ROUND($D176,2)-ROUND($C176,2))</f>
        <v/>
      </c>
      <c r="F176" s="17">
        <f>IF($A176="","",ABS($E176))</f>
        <v/>
      </c>
      <c r="G176" s="17">
        <f>IF($A176="","",IF($B176=0,"eslesmedi",IF(ROUND($D176,2)=ROUND($C176,2),"eslesti",IF(ABS(ROUND($D176,2)-ROUND($C176,2))&lt;=toleransKurus,"tolerans_icinde","tutar_farki"))))</f>
        <v/>
      </c>
      <c r="H176" s="17">
        <f>IF($A176="","",IF($B176&gt;0,"BIRINCIL",IF(COUNTIF(tblAnahtarB[IkincilB],'ANAHTAR'!$D176)&gt;0,"IKINCIL","YOK")))</f>
        <v/>
      </c>
      <c r="I176" s="17">
        <f>IF($A176="","",'ANAHTAR'!$F176)</f>
        <v/>
      </c>
      <c r="J176" s="17">
        <f>IF(OR($A176="",$D176=0),0,$F176/ABS($D176))</f>
        <v/>
      </c>
      <c r="K176" s="17">
        <f>IF($A176="","",ROUND($D176,2))</f>
        <v/>
      </c>
      <c r="L176" s="17">
        <f>IF($A176="","",ROUND($C176,2))</f>
        <v/>
      </c>
      <c r="M176" s="17">
        <f>IF($A176="","",IF($F176&lt;=toleransKurus,1,0))</f>
        <v/>
      </c>
      <c r="N176" s="17">
        <f>IF($A176="","",IF($F176&gt;tyk_esikFark,1,0))</f>
        <v/>
      </c>
      <c r="O176" s="17">
        <f>IF($A176="","",IFERROR(SUMIF(tblMotor[A_Norm],$A176,tblMotor[NetKar]),0))</f>
        <v/>
      </c>
      <c r="P176" s="17">
        <f>IF($A176="","",$B176+$M176+$N176)</f>
        <v/>
      </c>
    </row>
    <row r="177">
      <c r="A177" s="17">
        <f>IF('ANAHTAR'!$B177="","",'ANAHTAR'!$B177)</f>
        <v/>
      </c>
      <c r="B177" s="17">
        <f>IF($A177="","",COUNTIF(tblAnahtarB[NormB],$A177))</f>
        <v/>
      </c>
      <c r="C177" s="17">
        <f>IF($A177="","",IFERROR(SUMIF(tblAnahtarB[NormB],$A177,tblHakedis[GercekHakedis]),0))</f>
        <v/>
      </c>
      <c r="D177" s="17">
        <f>IF($A177="","",IFERROR(SUMIF(tblMotor[A_Norm],$A177,tblMotor[BeklenenHakedis]),0))</f>
        <v/>
      </c>
      <c r="E177" s="17">
        <f>IF($A177="","",ROUND($D177,2)-ROUND($C177,2))</f>
        <v/>
      </c>
      <c r="F177" s="17">
        <f>IF($A177="","",ABS($E177))</f>
        <v/>
      </c>
      <c r="G177" s="17">
        <f>IF($A177="","",IF($B177=0,"eslesmedi",IF(ROUND($D177,2)=ROUND($C177,2),"eslesti",IF(ABS(ROUND($D177,2)-ROUND($C177,2))&lt;=toleransKurus,"tolerans_icinde","tutar_farki"))))</f>
        <v/>
      </c>
      <c r="H177" s="17">
        <f>IF($A177="","",IF($B177&gt;0,"BIRINCIL",IF(COUNTIF(tblAnahtarB[IkincilB],'ANAHTAR'!$D177)&gt;0,"IKINCIL","YOK")))</f>
        <v/>
      </c>
      <c r="I177" s="17">
        <f>IF($A177="","",'ANAHTAR'!$F177)</f>
        <v/>
      </c>
      <c r="J177" s="17">
        <f>IF(OR($A177="",$D177=0),0,$F177/ABS($D177))</f>
        <v/>
      </c>
      <c r="K177" s="17">
        <f>IF($A177="","",ROUND($D177,2))</f>
        <v/>
      </c>
      <c r="L177" s="17">
        <f>IF($A177="","",ROUND($C177,2))</f>
        <v/>
      </c>
      <c r="M177" s="17">
        <f>IF($A177="","",IF($F177&lt;=toleransKurus,1,0))</f>
        <v/>
      </c>
      <c r="N177" s="17">
        <f>IF($A177="","",IF($F177&gt;tyk_esikFark,1,0))</f>
        <v/>
      </c>
      <c r="O177" s="17">
        <f>IF($A177="","",IFERROR(SUMIF(tblMotor[A_Norm],$A177,tblMotor[NetKar]),0))</f>
        <v/>
      </c>
      <c r="P177" s="17">
        <f>IF($A177="","",$B177+$M177+$N177)</f>
        <v/>
      </c>
    </row>
    <row r="178">
      <c r="A178" s="17">
        <f>IF('ANAHTAR'!$B178="","",'ANAHTAR'!$B178)</f>
        <v/>
      </c>
      <c r="B178" s="17">
        <f>IF($A178="","",COUNTIF(tblAnahtarB[NormB],$A178))</f>
        <v/>
      </c>
      <c r="C178" s="17">
        <f>IF($A178="","",IFERROR(SUMIF(tblAnahtarB[NormB],$A178,tblHakedis[GercekHakedis]),0))</f>
        <v/>
      </c>
      <c r="D178" s="17">
        <f>IF($A178="","",IFERROR(SUMIF(tblMotor[A_Norm],$A178,tblMotor[BeklenenHakedis]),0))</f>
        <v/>
      </c>
      <c r="E178" s="17">
        <f>IF($A178="","",ROUND($D178,2)-ROUND($C178,2))</f>
        <v/>
      </c>
      <c r="F178" s="17">
        <f>IF($A178="","",ABS($E178))</f>
        <v/>
      </c>
      <c r="G178" s="17">
        <f>IF($A178="","",IF($B178=0,"eslesmedi",IF(ROUND($D178,2)=ROUND($C178,2),"eslesti",IF(ABS(ROUND($D178,2)-ROUND($C178,2))&lt;=toleransKurus,"tolerans_icinde","tutar_farki"))))</f>
        <v/>
      </c>
      <c r="H178" s="17">
        <f>IF($A178="","",IF($B178&gt;0,"BIRINCIL",IF(COUNTIF(tblAnahtarB[IkincilB],'ANAHTAR'!$D178)&gt;0,"IKINCIL","YOK")))</f>
        <v/>
      </c>
      <c r="I178" s="17">
        <f>IF($A178="","",'ANAHTAR'!$F178)</f>
        <v/>
      </c>
      <c r="J178" s="17">
        <f>IF(OR($A178="",$D178=0),0,$F178/ABS($D178))</f>
        <v/>
      </c>
      <c r="K178" s="17">
        <f>IF($A178="","",ROUND($D178,2))</f>
        <v/>
      </c>
      <c r="L178" s="17">
        <f>IF($A178="","",ROUND($C178,2))</f>
        <v/>
      </c>
      <c r="M178" s="17">
        <f>IF($A178="","",IF($F178&lt;=toleransKurus,1,0))</f>
        <v/>
      </c>
      <c r="N178" s="17">
        <f>IF($A178="","",IF($F178&gt;tyk_esikFark,1,0))</f>
        <v/>
      </c>
      <c r="O178" s="17">
        <f>IF($A178="","",IFERROR(SUMIF(tblMotor[A_Norm],$A178,tblMotor[NetKar]),0))</f>
        <v/>
      </c>
      <c r="P178" s="17">
        <f>IF($A178="","",$B178+$M178+$N178)</f>
        <v/>
      </c>
    </row>
    <row r="179">
      <c r="A179" s="17">
        <f>IF('ANAHTAR'!$B179="","",'ANAHTAR'!$B179)</f>
        <v/>
      </c>
      <c r="B179" s="17">
        <f>IF($A179="","",COUNTIF(tblAnahtarB[NormB],$A179))</f>
        <v/>
      </c>
      <c r="C179" s="17">
        <f>IF($A179="","",IFERROR(SUMIF(tblAnahtarB[NormB],$A179,tblHakedis[GercekHakedis]),0))</f>
        <v/>
      </c>
      <c r="D179" s="17">
        <f>IF($A179="","",IFERROR(SUMIF(tblMotor[A_Norm],$A179,tblMotor[BeklenenHakedis]),0))</f>
        <v/>
      </c>
      <c r="E179" s="17">
        <f>IF($A179="","",ROUND($D179,2)-ROUND($C179,2))</f>
        <v/>
      </c>
      <c r="F179" s="17">
        <f>IF($A179="","",ABS($E179))</f>
        <v/>
      </c>
      <c r="G179" s="17">
        <f>IF($A179="","",IF($B179=0,"eslesmedi",IF(ROUND($D179,2)=ROUND($C179,2),"eslesti",IF(ABS(ROUND($D179,2)-ROUND($C179,2))&lt;=toleransKurus,"tolerans_icinde","tutar_farki"))))</f>
        <v/>
      </c>
      <c r="H179" s="17">
        <f>IF($A179="","",IF($B179&gt;0,"BIRINCIL",IF(COUNTIF(tblAnahtarB[IkincilB],'ANAHTAR'!$D179)&gt;0,"IKINCIL","YOK")))</f>
        <v/>
      </c>
      <c r="I179" s="17">
        <f>IF($A179="","",'ANAHTAR'!$F179)</f>
        <v/>
      </c>
      <c r="J179" s="17">
        <f>IF(OR($A179="",$D179=0),0,$F179/ABS($D179))</f>
        <v/>
      </c>
      <c r="K179" s="17">
        <f>IF($A179="","",ROUND($D179,2))</f>
        <v/>
      </c>
      <c r="L179" s="17">
        <f>IF($A179="","",ROUND($C179,2))</f>
        <v/>
      </c>
      <c r="M179" s="17">
        <f>IF($A179="","",IF($F179&lt;=toleransKurus,1,0))</f>
        <v/>
      </c>
      <c r="N179" s="17">
        <f>IF($A179="","",IF($F179&gt;tyk_esikFark,1,0))</f>
        <v/>
      </c>
      <c r="O179" s="17">
        <f>IF($A179="","",IFERROR(SUMIF(tblMotor[A_Norm],$A179,tblMotor[NetKar]),0))</f>
        <v/>
      </c>
      <c r="P179" s="17">
        <f>IF($A179="","",$B179+$M179+$N179)</f>
        <v/>
      </c>
    </row>
    <row r="180">
      <c r="A180" s="17">
        <f>IF('ANAHTAR'!$B180="","",'ANAHTAR'!$B180)</f>
        <v/>
      </c>
      <c r="B180" s="17">
        <f>IF($A180="","",COUNTIF(tblAnahtarB[NormB],$A180))</f>
        <v/>
      </c>
      <c r="C180" s="17">
        <f>IF($A180="","",IFERROR(SUMIF(tblAnahtarB[NormB],$A180,tblHakedis[GercekHakedis]),0))</f>
        <v/>
      </c>
      <c r="D180" s="17">
        <f>IF($A180="","",IFERROR(SUMIF(tblMotor[A_Norm],$A180,tblMotor[BeklenenHakedis]),0))</f>
        <v/>
      </c>
      <c r="E180" s="17">
        <f>IF($A180="","",ROUND($D180,2)-ROUND($C180,2))</f>
        <v/>
      </c>
      <c r="F180" s="17">
        <f>IF($A180="","",ABS($E180))</f>
        <v/>
      </c>
      <c r="G180" s="17">
        <f>IF($A180="","",IF($B180=0,"eslesmedi",IF(ROUND($D180,2)=ROUND($C180,2),"eslesti",IF(ABS(ROUND($D180,2)-ROUND($C180,2))&lt;=toleransKurus,"tolerans_icinde","tutar_farki"))))</f>
        <v/>
      </c>
      <c r="H180" s="17">
        <f>IF($A180="","",IF($B180&gt;0,"BIRINCIL",IF(COUNTIF(tblAnahtarB[IkincilB],'ANAHTAR'!$D180)&gt;0,"IKINCIL","YOK")))</f>
        <v/>
      </c>
      <c r="I180" s="17">
        <f>IF($A180="","",'ANAHTAR'!$F180)</f>
        <v/>
      </c>
      <c r="J180" s="17">
        <f>IF(OR($A180="",$D180=0),0,$F180/ABS($D180))</f>
        <v/>
      </c>
      <c r="K180" s="17">
        <f>IF($A180="","",ROUND($D180,2))</f>
        <v/>
      </c>
      <c r="L180" s="17">
        <f>IF($A180="","",ROUND($C180,2))</f>
        <v/>
      </c>
      <c r="M180" s="17">
        <f>IF($A180="","",IF($F180&lt;=toleransKurus,1,0))</f>
        <v/>
      </c>
      <c r="N180" s="17">
        <f>IF($A180="","",IF($F180&gt;tyk_esikFark,1,0))</f>
        <v/>
      </c>
      <c r="O180" s="17">
        <f>IF($A180="","",IFERROR(SUMIF(tblMotor[A_Norm],$A180,tblMotor[NetKar]),0))</f>
        <v/>
      </c>
      <c r="P180" s="17">
        <f>IF($A180="","",$B180+$M180+$N180)</f>
        <v/>
      </c>
    </row>
    <row r="181">
      <c r="A181" s="17">
        <f>IF('ANAHTAR'!$B181="","",'ANAHTAR'!$B181)</f>
        <v/>
      </c>
      <c r="B181" s="17">
        <f>IF($A181="","",COUNTIF(tblAnahtarB[NormB],$A181))</f>
        <v/>
      </c>
      <c r="C181" s="17">
        <f>IF($A181="","",IFERROR(SUMIF(tblAnahtarB[NormB],$A181,tblHakedis[GercekHakedis]),0))</f>
        <v/>
      </c>
      <c r="D181" s="17">
        <f>IF($A181="","",IFERROR(SUMIF(tblMotor[A_Norm],$A181,tblMotor[BeklenenHakedis]),0))</f>
        <v/>
      </c>
      <c r="E181" s="17">
        <f>IF($A181="","",ROUND($D181,2)-ROUND($C181,2))</f>
        <v/>
      </c>
      <c r="F181" s="17">
        <f>IF($A181="","",ABS($E181))</f>
        <v/>
      </c>
      <c r="G181" s="17">
        <f>IF($A181="","",IF($B181=0,"eslesmedi",IF(ROUND($D181,2)=ROUND($C181,2),"eslesti",IF(ABS(ROUND($D181,2)-ROUND($C181,2))&lt;=toleransKurus,"tolerans_icinde","tutar_farki"))))</f>
        <v/>
      </c>
      <c r="H181" s="17">
        <f>IF($A181="","",IF($B181&gt;0,"BIRINCIL",IF(COUNTIF(tblAnahtarB[IkincilB],'ANAHTAR'!$D181)&gt;0,"IKINCIL","YOK")))</f>
        <v/>
      </c>
      <c r="I181" s="17">
        <f>IF($A181="","",'ANAHTAR'!$F181)</f>
        <v/>
      </c>
      <c r="J181" s="17">
        <f>IF(OR($A181="",$D181=0),0,$F181/ABS($D181))</f>
        <v/>
      </c>
      <c r="K181" s="17">
        <f>IF($A181="","",ROUND($D181,2))</f>
        <v/>
      </c>
      <c r="L181" s="17">
        <f>IF($A181="","",ROUND($C181,2))</f>
        <v/>
      </c>
      <c r="M181" s="17">
        <f>IF($A181="","",IF($F181&lt;=toleransKurus,1,0))</f>
        <v/>
      </c>
      <c r="N181" s="17">
        <f>IF($A181="","",IF($F181&gt;tyk_esikFark,1,0))</f>
        <v/>
      </c>
      <c r="O181" s="17">
        <f>IF($A181="","",IFERROR(SUMIF(tblMotor[A_Norm],$A181,tblMotor[NetKar]),0))</f>
        <v/>
      </c>
      <c r="P181" s="17">
        <f>IF($A181="","",$B181+$M181+$N181)</f>
        <v/>
      </c>
    </row>
    <row r="182">
      <c r="A182" s="17">
        <f>IF('ANAHTAR'!$B182="","",'ANAHTAR'!$B182)</f>
        <v/>
      </c>
      <c r="B182" s="17">
        <f>IF($A182="","",COUNTIF(tblAnahtarB[NormB],$A182))</f>
        <v/>
      </c>
      <c r="C182" s="17">
        <f>IF($A182="","",IFERROR(SUMIF(tblAnahtarB[NormB],$A182,tblHakedis[GercekHakedis]),0))</f>
        <v/>
      </c>
      <c r="D182" s="17">
        <f>IF($A182="","",IFERROR(SUMIF(tblMotor[A_Norm],$A182,tblMotor[BeklenenHakedis]),0))</f>
        <v/>
      </c>
      <c r="E182" s="17">
        <f>IF($A182="","",ROUND($D182,2)-ROUND($C182,2))</f>
        <v/>
      </c>
      <c r="F182" s="17">
        <f>IF($A182="","",ABS($E182))</f>
        <v/>
      </c>
      <c r="G182" s="17">
        <f>IF($A182="","",IF($B182=0,"eslesmedi",IF(ROUND($D182,2)=ROUND($C182,2),"eslesti",IF(ABS(ROUND($D182,2)-ROUND($C182,2))&lt;=toleransKurus,"tolerans_icinde","tutar_farki"))))</f>
        <v/>
      </c>
      <c r="H182" s="17">
        <f>IF($A182="","",IF($B182&gt;0,"BIRINCIL",IF(COUNTIF(tblAnahtarB[IkincilB],'ANAHTAR'!$D182)&gt;0,"IKINCIL","YOK")))</f>
        <v/>
      </c>
      <c r="I182" s="17">
        <f>IF($A182="","",'ANAHTAR'!$F182)</f>
        <v/>
      </c>
      <c r="J182" s="17">
        <f>IF(OR($A182="",$D182=0),0,$F182/ABS($D182))</f>
        <v/>
      </c>
      <c r="K182" s="17">
        <f>IF($A182="","",ROUND($D182,2))</f>
        <v/>
      </c>
      <c r="L182" s="17">
        <f>IF($A182="","",ROUND($C182,2))</f>
        <v/>
      </c>
      <c r="M182" s="17">
        <f>IF($A182="","",IF($F182&lt;=toleransKurus,1,0))</f>
        <v/>
      </c>
      <c r="N182" s="17">
        <f>IF($A182="","",IF($F182&gt;tyk_esikFark,1,0))</f>
        <v/>
      </c>
      <c r="O182" s="17">
        <f>IF($A182="","",IFERROR(SUMIF(tblMotor[A_Norm],$A182,tblMotor[NetKar]),0))</f>
        <v/>
      </c>
      <c r="P182" s="17">
        <f>IF($A182="","",$B182+$M182+$N182)</f>
        <v/>
      </c>
    </row>
    <row r="183">
      <c r="A183" s="17">
        <f>IF('ANAHTAR'!$B183="","",'ANAHTAR'!$B183)</f>
        <v/>
      </c>
      <c r="B183" s="17">
        <f>IF($A183="","",COUNTIF(tblAnahtarB[NormB],$A183))</f>
        <v/>
      </c>
      <c r="C183" s="17">
        <f>IF($A183="","",IFERROR(SUMIF(tblAnahtarB[NormB],$A183,tblHakedis[GercekHakedis]),0))</f>
        <v/>
      </c>
      <c r="D183" s="17">
        <f>IF($A183="","",IFERROR(SUMIF(tblMotor[A_Norm],$A183,tblMotor[BeklenenHakedis]),0))</f>
        <v/>
      </c>
      <c r="E183" s="17">
        <f>IF($A183="","",ROUND($D183,2)-ROUND($C183,2))</f>
        <v/>
      </c>
      <c r="F183" s="17">
        <f>IF($A183="","",ABS($E183))</f>
        <v/>
      </c>
      <c r="G183" s="17">
        <f>IF($A183="","",IF($B183=0,"eslesmedi",IF(ROUND($D183,2)=ROUND($C183,2),"eslesti",IF(ABS(ROUND($D183,2)-ROUND($C183,2))&lt;=toleransKurus,"tolerans_icinde","tutar_farki"))))</f>
        <v/>
      </c>
      <c r="H183" s="17">
        <f>IF($A183="","",IF($B183&gt;0,"BIRINCIL",IF(COUNTIF(tblAnahtarB[IkincilB],'ANAHTAR'!$D183)&gt;0,"IKINCIL","YOK")))</f>
        <v/>
      </c>
      <c r="I183" s="17">
        <f>IF($A183="","",'ANAHTAR'!$F183)</f>
        <v/>
      </c>
      <c r="J183" s="17">
        <f>IF(OR($A183="",$D183=0),0,$F183/ABS($D183))</f>
        <v/>
      </c>
      <c r="K183" s="17">
        <f>IF($A183="","",ROUND($D183,2))</f>
        <v/>
      </c>
      <c r="L183" s="17">
        <f>IF($A183="","",ROUND($C183,2))</f>
        <v/>
      </c>
      <c r="M183" s="17">
        <f>IF($A183="","",IF($F183&lt;=toleransKurus,1,0))</f>
        <v/>
      </c>
      <c r="N183" s="17">
        <f>IF($A183="","",IF($F183&gt;tyk_esikFark,1,0))</f>
        <v/>
      </c>
      <c r="O183" s="17">
        <f>IF($A183="","",IFERROR(SUMIF(tblMotor[A_Norm],$A183,tblMotor[NetKar]),0))</f>
        <v/>
      </c>
      <c r="P183" s="17">
        <f>IF($A183="","",$B183+$M183+$N183)</f>
        <v/>
      </c>
    </row>
    <row r="184">
      <c r="A184" s="17">
        <f>IF('ANAHTAR'!$B184="","",'ANAHTAR'!$B184)</f>
        <v/>
      </c>
      <c r="B184" s="17">
        <f>IF($A184="","",COUNTIF(tblAnahtarB[NormB],$A184))</f>
        <v/>
      </c>
      <c r="C184" s="17">
        <f>IF($A184="","",IFERROR(SUMIF(tblAnahtarB[NormB],$A184,tblHakedis[GercekHakedis]),0))</f>
        <v/>
      </c>
      <c r="D184" s="17">
        <f>IF($A184="","",IFERROR(SUMIF(tblMotor[A_Norm],$A184,tblMotor[BeklenenHakedis]),0))</f>
        <v/>
      </c>
      <c r="E184" s="17">
        <f>IF($A184="","",ROUND($D184,2)-ROUND($C184,2))</f>
        <v/>
      </c>
      <c r="F184" s="17">
        <f>IF($A184="","",ABS($E184))</f>
        <v/>
      </c>
      <c r="G184" s="17">
        <f>IF($A184="","",IF($B184=0,"eslesmedi",IF(ROUND($D184,2)=ROUND($C184,2),"eslesti",IF(ABS(ROUND($D184,2)-ROUND($C184,2))&lt;=toleransKurus,"tolerans_icinde","tutar_farki"))))</f>
        <v/>
      </c>
      <c r="H184" s="17">
        <f>IF($A184="","",IF($B184&gt;0,"BIRINCIL",IF(COUNTIF(tblAnahtarB[IkincilB],'ANAHTAR'!$D184)&gt;0,"IKINCIL","YOK")))</f>
        <v/>
      </c>
      <c r="I184" s="17">
        <f>IF($A184="","",'ANAHTAR'!$F184)</f>
        <v/>
      </c>
      <c r="J184" s="17">
        <f>IF(OR($A184="",$D184=0),0,$F184/ABS($D184))</f>
        <v/>
      </c>
      <c r="K184" s="17">
        <f>IF($A184="","",ROUND($D184,2))</f>
        <v/>
      </c>
      <c r="L184" s="17">
        <f>IF($A184="","",ROUND($C184,2))</f>
        <v/>
      </c>
      <c r="M184" s="17">
        <f>IF($A184="","",IF($F184&lt;=toleransKurus,1,0))</f>
        <v/>
      </c>
      <c r="N184" s="17">
        <f>IF($A184="","",IF($F184&gt;tyk_esikFark,1,0))</f>
        <v/>
      </c>
      <c r="O184" s="17">
        <f>IF($A184="","",IFERROR(SUMIF(tblMotor[A_Norm],$A184,tblMotor[NetKar]),0))</f>
        <v/>
      </c>
      <c r="P184" s="17">
        <f>IF($A184="","",$B184+$M184+$N184)</f>
        <v/>
      </c>
    </row>
    <row r="185">
      <c r="A185" s="17">
        <f>IF('ANAHTAR'!$B185="","",'ANAHTAR'!$B185)</f>
        <v/>
      </c>
      <c r="B185" s="17">
        <f>IF($A185="","",COUNTIF(tblAnahtarB[NormB],$A185))</f>
        <v/>
      </c>
      <c r="C185" s="17">
        <f>IF($A185="","",IFERROR(SUMIF(tblAnahtarB[NormB],$A185,tblHakedis[GercekHakedis]),0))</f>
        <v/>
      </c>
      <c r="D185" s="17">
        <f>IF($A185="","",IFERROR(SUMIF(tblMotor[A_Norm],$A185,tblMotor[BeklenenHakedis]),0))</f>
        <v/>
      </c>
      <c r="E185" s="17">
        <f>IF($A185="","",ROUND($D185,2)-ROUND($C185,2))</f>
        <v/>
      </c>
      <c r="F185" s="17">
        <f>IF($A185="","",ABS($E185))</f>
        <v/>
      </c>
      <c r="G185" s="17">
        <f>IF($A185="","",IF($B185=0,"eslesmedi",IF(ROUND($D185,2)=ROUND($C185,2),"eslesti",IF(ABS(ROUND($D185,2)-ROUND($C185,2))&lt;=toleransKurus,"tolerans_icinde","tutar_farki"))))</f>
        <v/>
      </c>
      <c r="H185" s="17">
        <f>IF($A185="","",IF($B185&gt;0,"BIRINCIL",IF(COUNTIF(tblAnahtarB[IkincilB],'ANAHTAR'!$D185)&gt;0,"IKINCIL","YOK")))</f>
        <v/>
      </c>
      <c r="I185" s="17">
        <f>IF($A185="","",'ANAHTAR'!$F185)</f>
        <v/>
      </c>
      <c r="J185" s="17">
        <f>IF(OR($A185="",$D185=0),0,$F185/ABS($D185))</f>
        <v/>
      </c>
      <c r="K185" s="17">
        <f>IF($A185="","",ROUND($D185,2))</f>
        <v/>
      </c>
      <c r="L185" s="17">
        <f>IF($A185="","",ROUND($C185,2))</f>
        <v/>
      </c>
      <c r="M185" s="17">
        <f>IF($A185="","",IF($F185&lt;=toleransKurus,1,0))</f>
        <v/>
      </c>
      <c r="N185" s="17">
        <f>IF($A185="","",IF($F185&gt;tyk_esikFark,1,0))</f>
        <v/>
      </c>
      <c r="O185" s="17">
        <f>IF($A185="","",IFERROR(SUMIF(tblMotor[A_Norm],$A185,tblMotor[NetKar]),0))</f>
        <v/>
      </c>
      <c r="P185" s="17">
        <f>IF($A185="","",$B185+$M185+$N185)</f>
        <v/>
      </c>
    </row>
    <row r="186">
      <c r="A186" s="17">
        <f>IF('ANAHTAR'!$B186="","",'ANAHTAR'!$B186)</f>
        <v/>
      </c>
      <c r="B186" s="17">
        <f>IF($A186="","",COUNTIF(tblAnahtarB[NormB],$A186))</f>
        <v/>
      </c>
      <c r="C186" s="17">
        <f>IF($A186="","",IFERROR(SUMIF(tblAnahtarB[NormB],$A186,tblHakedis[GercekHakedis]),0))</f>
        <v/>
      </c>
      <c r="D186" s="17">
        <f>IF($A186="","",IFERROR(SUMIF(tblMotor[A_Norm],$A186,tblMotor[BeklenenHakedis]),0))</f>
        <v/>
      </c>
      <c r="E186" s="17">
        <f>IF($A186="","",ROUND($D186,2)-ROUND($C186,2))</f>
        <v/>
      </c>
      <c r="F186" s="17">
        <f>IF($A186="","",ABS($E186))</f>
        <v/>
      </c>
      <c r="G186" s="17">
        <f>IF($A186="","",IF($B186=0,"eslesmedi",IF(ROUND($D186,2)=ROUND($C186,2),"eslesti",IF(ABS(ROUND($D186,2)-ROUND($C186,2))&lt;=toleransKurus,"tolerans_icinde","tutar_farki"))))</f>
        <v/>
      </c>
      <c r="H186" s="17">
        <f>IF($A186="","",IF($B186&gt;0,"BIRINCIL",IF(COUNTIF(tblAnahtarB[IkincilB],'ANAHTAR'!$D186)&gt;0,"IKINCIL","YOK")))</f>
        <v/>
      </c>
      <c r="I186" s="17">
        <f>IF($A186="","",'ANAHTAR'!$F186)</f>
        <v/>
      </c>
      <c r="J186" s="17">
        <f>IF(OR($A186="",$D186=0),0,$F186/ABS($D186))</f>
        <v/>
      </c>
      <c r="K186" s="17">
        <f>IF($A186="","",ROUND($D186,2))</f>
        <v/>
      </c>
      <c r="L186" s="17">
        <f>IF($A186="","",ROUND($C186,2))</f>
        <v/>
      </c>
      <c r="M186" s="17">
        <f>IF($A186="","",IF($F186&lt;=toleransKurus,1,0))</f>
        <v/>
      </c>
      <c r="N186" s="17">
        <f>IF($A186="","",IF($F186&gt;tyk_esikFark,1,0))</f>
        <v/>
      </c>
      <c r="O186" s="17">
        <f>IF($A186="","",IFERROR(SUMIF(tblMotor[A_Norm],$A186,tblMotor[NetKar]),0))</f>
        <v/>
      </c>
      <c r="P186" s="17">
        <f>IF($A186="","",$B186+$M186+$N186)</f>
        <v/>
      </c>
    </row>
    <row r="187">
      <c r="A187" s="17">
        <f>IF('ANAHTAR'!$B187="","",'ANAHTAR'!$B187)</f>
        <v/>
      </c>
      <c r="B187" s="17">
        <f>IF($A187="","",COUNTIF(tblAnahtarB[NormB],$A187))</f>
        <v/>
      </c>
      <c r="C187" s="17">
        <f>IF($A187="","",IFERROR(SUMIF(tblAnahtarB[NormB],$A187,tblHakedis[GercekHakedis]),0))</f>
        <v/>
      </c>
      <c r="D187" s="17">
        <f>IF($A187="","",IFERROR(SUMIF(tblMotor[A_Norm],$A187,tblMotor[BeklenenHakedis]),0))</f>
        <v/>
      </c>
      <c r="E187" s="17">
        <f>IF($A187="","",ROUND($D187,2)-ROUND($C187,2))</f>
        <v/>
      </c>
      <c r="F187" s="17">
        <f>IF($A187="","",ABS($E187))</f>
        <v/>
      </c>
      <c r="G187" s="17">
        <f>IF($A187="","",IF($B187=0,"eslesmedi",IF(ROUND($D187,2)=ROUND($C187,2),"eslesti",IF(ABS(ROUND($D187,2)-ROUND($C187,2))&lt;=toleransKurus,"tolerans_icinde","tutar_farki"))))</f>
        <v/>
      </c>
      <c r="H187" s="17">
        <f>IF($A187="","",IF($B187&gt;0,"BIRINCIL",IF(COUNTIF(tblAnahtarB[IkincilB],'ANAHTAR'!$D187)&gt;0,"IKINCIL","YOK")))</f>
        <v/>
      </c>
      <c r="I187" s="17">
        <f>IF($A187="","",'ANAHTAR'!$F187)</f>
        <v/>
      </c>
      <c r="J187" s="17">
        <f>IF(OR($A187="",$D187=0),0,$F187/ABS($D187))</f>
        <v/>
      </c>
      <c r="K187" s="17">
        <f>IF($A187="","",ROUND($D187,2))</f>
        <v/>
      </c>
      <c r="L187" s="17">
        <f>IF($A187="","",ROUND($C187,2))</f>
        <v/>
      </c>
      <c r="M187" s="17">
        <f>IF($A187="","",IF($F187&lt;=toleransKurus,1,0))</f>
        <v/>
      </c>
      <c r="N187" s="17">
        <f>IF($A187="","",IF($F187&gt;tyk_esikFark,1,0))</f>
        <v/>
      </c>
      <c r="O187" s="17">
        <f>IF($A187="","",IFERROR(SUMIF(tblMotor[A_Norm],$A187,tblMotor[NetKar]),0))</f>
        <v/>
      </c>
      <c r="P187" s="17">
        <f>IF($A187="","",$B187+$M187+$N187)</f>
        <v/>
      </c>
    </row>
    <row r="188">
      <c r="A188" s="17">
        <f>IF('ANAHTAR'!$B188="","",'ANAHTAR'!$B188)</f>
        <v/>
      </c>
      <c r="B188" s="17">
        <f>IF($A188="","",COUNTIF(tblAnahtarB[NormB],$A188))</f>
        <v/>
      </c>
      <c r="C188" s="17">
        <f>IF($A188="","",IFERROR(SUMIF(tblAnahtarB[NormB],$A188,tblHakedis[GercekHakedis]),0))</f>
        <v/>
      </c>
      <c r="D188" s="17">
        <f>IF($A188="","",IFERROR(SUMIF(tblMotor[A_Norm],$A188,tblMotor[BeklenenHakedis]),0))</f>
        <v/>
      </c>
      <c r="E188" s="17">
        <f>IF($A188="","",ROUND($D188,2)-ROUND($C188,2))</f>
        <v/>
      </c>
      <c r="F188" s="17">
        <f>IF($A188="","",ABS($E188))</f>
        <v/>
      </c>
      <c r="G188" s="17">
        <f>IF($A188="","",IF($B188=0,"eslesmedi",IF(ROUND($D188,2)=ROUND($C188,2),"eslesti",IF(ABS(ROUND($D188,2)-ROUND($C188,2))&lt;=toleransKurus,"tolerans_icinde","tutar_farki"))))</f>
        <v/>
      </c>
      <c r="H188" s="17">
        <f>IF($A188="","",IF($B188&gt;0,"BIRINCIL",IF(COUNTIF(tblAnahtarB[IkincilB],'ANAHTAR'!$D188)&gt;0,"IKINCIL","YOK")))</f>
        <v/>
      </c>
      <c r="I188" s="17">
        <f>IF($A188="","",'ANAHTAR'!$F188)</f>
        <v/>
      </c>
      <c r="J188" s="17">
        <f>IF(OR($A188="",$D188=0),0,$F188/ABS($D188))</f>
        <v/>
      </c>
      <c r="K188" s="17">
        <f>IF($A188="","",ROUND($D188,2))</f>
        <v/>
      </c>
      <c r="L188" s="17">
        <f>IF($A188="","",ROUND($C188,2))</f>
        <v/>
      </c>
      <c r="M188" s="17">
        <f>IF($A188="","",IF($F188&lt;=toleransKurus,1,0))</f>
        <v/>
      </c>
      <c r="N188" s="17">
        <f>IF($A188="","",IF($F188&gt;tyk_esikFark,1,0))</f>
        <v/>
      </c>
      <c r="O188" s="17">
        <f>IF($A188="","",IFERROR(SUMIF(tblMotor[A_Norm],$A188,tblMotor[NetKar]),0))</f>
        <v/>
      </c>
      <c r="P188" s="17">
        <f>IF($A188="","",$B188+$M188+$N188)</f>
        <v/>
      </c>
    </row>
    <row r="189">
      <c r="A189" s="17">
        <f>IF('ANAHTAR'!$B189="","",'ANAHTAR'!$B189)</f>
        <v/>
      </c>
      <c r="B189" s="17">
        <f>IF($A189="","",COUNTIF(tblAnahtarB[NormB],$A189))</f>
        <v/>
      </c>
      <c r="C189" s="17">
        <f>IF($A189="","",IFERROR(SUMIF(tblAnahtarB[NormB],$A189,tblHakedis[GercekHakedis]),0))</f>
        <v/>
      </c>
      <c r="D189" s="17">
        <f>IF($A189="","",IFERROR(SUMIF(tblMotor[A_Norm],$A189,tblMotor[BeklenenHakedis]),0))</f>
        <v/>
      </c>
      <c r="E189" s="17">
        <f>IF($A189="","",ROUND($D189,2)-ROUND($C189,2))</f>
        <v/>
      </c>
      <c r="F189" s="17">
        <f>IF($A189="","",ABS($E189))</f>
        <v/>
      </c>
      <c r="G189" s="17">
        <f>IF($A189="","",IF($B189=0,"eslesmedi",IF(ROUND($D189,2)=ROUND($C189,2),"eslesti",IF(ABS(ROUND($D189,2)-ROUND($C189,2))&lt;=toleransKurus,"tolerans_icinde","tutar_farki"))))</f>
        <v/>
      </c>
      <c r="H189" s="17">
        <f>IF($A189="","",IF($B189&gt;0,"BIRINCIL",IF(COUNTIF(tblAnahtarB[IkincilB],'ANAHTAR'!$D189)&gt;0,"IKINCIL","YOK")))</f>
        <v/>
      </c>
      <c r="I189" s="17">
        <f>IF($A189="","",'ANAHTAR'!$F189)</f>
        <v/>
      </c>
      <c r="J189" s="17">
        <f>IF(OR($A189="",$D189=0),0,$F189/ABS($D189))</f>
        <v/>
      </c>
      <c r="K189" s="17">
        <f>IF($A189="","",ROUND($D189,2))</f>
        <v/>
      </c>
      <c r="L189" s="17">
        <f>IF($A189="","",ROUND($C189,2))</f>
        <v/>
      </c>
      <c r="M189" s="17">
        <f>IF($A189="","",IF($F189&lt;=toleransKurus,1,0))</f>
        <v/>
      </c>
      <c r="N189" s="17">
        <f>IF($A189="","",IF($F189&gt;tyk_esikFark,1,0))</f>
        <v/>
      </c>
      <c r="O189" s="17">
        <f>IF($A189="","",IFERROR(SUMIF(tblMotor[A_Norm],$A189,tblMotor[NetKar]),0))</f>
        <v/>
      </c>
      <c r="P189" s="17">
        <f>IF($A189="","",$B189+$M189+$N189)</f>
        <v/>
      </c>
    </row>
    <row r="190">
      <c r="A190" s="17">
        <f>IF('ANAHTAR'!$B190="","",'ANAHTAR'!$B190)</f>
        <v/>
      </c>
      <c r="B190" s="17">
        <f>IF($A190="","",COUNTIF(tblAnahtarB[NormB],$A190))</f>
        <v/>
      </c>
      <c r="C190" s="17">
        <f>IF($A190="","",IFERROR(SUMIF(tblAnahtarB[NormB],$A190,tblHakedis[GercekHakedis]),0))</f>
        <v/>
      </c>
      <c r="D190" s="17">
        <f>IF($A190="","",IFERROR(SUMIF(tblMotor[A_Norm],$A190,tblMotor[BeklenenHakedis]),0))</f>
        <v/>
      </c>
      <c r="E190" s="17">
        <f>IF($A190="","",ROUND($D190,2)-ROUND($C190,2))</f>
        <v/>
      </c>
      <c r="F190" s="17">
        <f>IF($A190="","",ABS($E190))</f>
        <v/>
      </c>
      <c r="G190" s="17">
        <f>IF($A190="","",IF($B190=0,"eslesmedi",IF(ROUND($D190,2)=ROUND($C190,2),"eslesti",IF(ABS(ROUND($D190,2)-ROUND($C190,2))&lt;=toleransKurus,"tolerans_icinde","tutar_farki"))))</f>
        <v/>
      </c>
      <c r="H190" s="17">
        <f>IF($A190="","",IF($B190&gt;0,"BIRINCIL",IF(COUNTIF(tblAnahtarB[IkincilB],'ANAHTAR'!$D190)&gt;0,"IKINCIL","YOK")))</f>
        <v/>
      </c>
      <c r="I190" s="17">
        <f>IF($A190="","",'ANAHTAR'!$F190)</f>
        <v/>
      </c>
      <c r="J190" s="17">
        <f>IF(OR($A190="",$D190=0),0,$F190/ABS($D190))</f>
        <v/>
      </c>
      <c r="K190" s="17">
        <f>IF($A190="","",ROUND($D190,2))</f>
        <v/>
      </c>
      <c r="L190" s="17">
        <f>IF($A190="","",ROUND($C190,2))</f>
        <v/>
      </c>
      <c r="M190" s="17">
        <f>IF($A190="","",IF($F190&lt;=toleransKurus,1,0))</f>
        <v/>
      </c>
      <c r="N190" s="17">
        <f>IF($A190="","",IF($F190&gt;tyk_esikFark,1,0))</f>
        <v/>
      </c>
      <c r="O190" s="17">
        <f>IF($A190="","",IFERROR(SUMIF(tblMotor[A_Norm],$A190,tblMotor[NetKar]),0))</f>
        <v/>
      </c>
      <c r="P190" s="17">
        <f>IF($A190="","",$B190+$M190+$N190)</f>
        <v/>
      </c>
    </row>
    <row r="191">
      <c r="A191" s="17">
        <f>IF('ANAHTAR'!$B191="","",'ANAHTAR'!$B191)</f>
        <v/>
      </c>
      <c r="B191" s="17">
        <f>IF($A191="","",COUNTIF(tblAnahtarB[NormB],$A191))</f>
        <v/>
      </c>
      <c r="C191" s="17">
        <f>IF($A191="","",IFERROR(SUMIF(tblAnahtarB[NormB],$A191,tblHakedis[GercekHakedis]),0))</f>
        <v/>
      </c>
      <c r="D191" s="17">
        <f>IF($A191="","",IFERROR(SUMIF(tblMotor[A_Norm],$A191,tblMotor[BeklenenHakedis]),0))</f>
        <v/>
      </c>
      <c r="E191" s="17">
        <f>IF($A191="","",ROUND($D191,2)-ROUND($C191,2))</f>
        <v/>
      </c>
      <c r="F191" s="17">
        <f>IF($A191="","",ABS($E191))</f>
        <v/>
      </c>
      <c r="G191" s="17">
        <f>IF($A191="","",IF($B191=0,"eslesmedi",IF(ROUND($D191,2)=ROUND($C191,2),"eslesti",IF(ABS(ROUND($D191,2)-ROUND($C191,2))&lt;=toleransKurus,"tolerans_icinde","tutar_farki"))))</f>
        <v/>
      </c>
      <c r="H191" s="17">
        <f>IF($A191="","",IF($B191&gt;0,"BIRINCIL",IF(COUNTIF(tblAnahtarB[IkincilB],'ANAHTAR'!$D191)&gt;0,"IKINCIL","YOK")))</f>
        <v/>
      </c>
      <c r="I191" s="17">
        <f>IF($A191="","",'ANAHTAR'!$F191)</f>
        <v/>
      </c>
      <c r="J191" s="17">
        <f>IF(OR($A191="",$D191=0),0,$F191/ABS($D191))</f>
        <v/>
      </c>
      <c r="K191" s="17">
        <f>IF($A191="","",ROUND($D191,2))</f>
        <v/>
      </c>
      <c r="L191" s="17">
        <f>IF($A191="","",ROUND($C191,2))</f>
        <v/>
      </c>
      <c r="M191" s="17">
        <f>IF($A191="","",IF($F191&lt;=toleransKurus,1,0))</f>
        <v/>
      </c>
      <c r="N191" s="17">
        <f>IF($A191="","",IF($F191&gt;tyk_esikFark,1,0))</f>
        <v/>
      </c>
      <c r="O191" s="17">
        <f>IF($A191="","",IFERROR(SUMIF(tblMotor[A_Norm],$A191,tblMotor[NetKar]),0))</f>
        <v/>
      </c>
      <c r="P191" s="17">
        <f>IF($A191="","",$B191+$M191+$N191)</f>
        <v/>
      </c>
    </row>
    <row r="192">
      <c r="A192" s="17">
        <f>IF('ANAHTAR'!$B192="","",'ANAHTAR'!$B192)</f>
        <v/>
      </c>
      <c r="B192" s="17">
        <f>IF($A192="","",COUNTIF(tblAnahtarB[NormB],$A192))</f>
        <v/>
      </c>
      <c r="C192" s="17">
        <f>IF($A192="","",IFERROR(SUMIF(tblAnahtarB[NormB],$A192,tblHakedis[GercekHakedis]),0))</f>
        <v/>
      </c>
      <c r="D192" s="17">
        <f>IF($A192="","",IFERROR(SUMIF(tblMotor[A_Norm],$A192,tblMotor[BeklenenHakedis]),0))</f>
        <v/>
      </c>
      <c r="E192" s="17">
        <f>IF($A192="","",ROUND($D192,2)-ROUND($C192,2))</f>
        <v/>
      </c>
      <c r="F192" s="17">
        <f>IF($A192="","",ABS($E192))</f>
        <v/>
      </c>
      <c r="G192" s="17">
        <f>IF($A192="","",IF($B192=0,"eslesmedi",IF(ROUND($D192,2)=ROUND($C192,2),"eslesti",IF(ABS(ROUND($D192,2)-ROUND($C192,2))&lt;=toleransKurus,"tolerans_icinde","tutar_farki"))))</f>
        <v/>
      </c>
      <c r="H192" s="17">
        <f>IF($A192="","",IF($B192&gt;0,"BIRINCIL",IF(COUNTIF(tblAnahtarB[IkincilB],'ANAHTAR'!$D192)&gt;0,"IKINCIL","YOK")))</f>
        <v/>
      </c>
      <c r="I192" s="17">
        <f>IF($A192="","",'ANAHTAR'!$F192)</f>
        <v/>
      </c>
      <c r="J192" s="17">
        <f>IF(OR($A192="",$D192=0),0,$F192/ABS($D192))</f>
        <v/>
      </c>
      <c r="K192" s="17">
        <f>IF($A192="","",ROUND($D192,2))</f>
        <v/>
      </c>
      <c r="L192" s="17">
        <f>IF($A192="","",ROUND($C192,2))</f>
        <v/>
      </c>
      <c r="M192" s="17">
        <f>IF($A192="","",IF($F192&lt;=toleransKurus,1,0))</f>
        <v/>
      </c>
      <c r="N192" s="17">
        <f>IF($A192="","",IF($F192&gt;tyk_esikFark,1,0))</f>
        <v/>
      </c>
      <c r="O192" s="17">
        <f>IF($A192="","",IFERROR(SUMIF(tblMotor[A_Norm],$A192,tblMotor[NetKar]),0))</f>
        <v/>
      </c>
      <c r="P192" s="17">
        <f>IF($A192="","",$B192+$M192+$N192)</f>
        <v/>
      </c>
    </row>
    <row r="193">
      <c r="A193" s="17">
        <f>IF('ANAHTAR'!$B193="","",'ANAHTAR'!$B193)</f>
        <v/>
      </c>
      <c r="B193" s="17">
        <f>IF($A193="","",COUNTIF(tblAnahtarB[NormB],$A193))</f>
        <v/>
      </c>
      <c r="C193" s="17">
        <f>IF($A193="","",IFERROR(SUMIF(tblAnahtarB[NormB],$A193,tblHakedis[GercekHakedis]),0))</f>
        <v/>
      </c>
      <c r="D193" s="17">
        <f>IF($A193="","",IFERROR(SUMIF(tblMotor[A_Norm],$A193,tblMotor[BeklenenHakedis]),0))</f>
        <v/>
      </c>
      <c r="E193" s="17">
        <f>IF($A193="","",ROUND($D193,2)-ROUND($C193,2))</f>
        <v/>
      </c>
      <c r="F193" s="17">
        <f>IF($A193="","",ABS($E193))</f>
        <v/>
      </c>
      <c r="G193" s="17">
        <f>IF($A193="","",IF($B193=0,"eslesmedi",IF(ROUND($D193,2)=ROUND($C193,2),"eslesti",IF(ABS(ROUND($D193,2)-ROUND($C193,2))&lt;=toleransKurus,"tolerans_icinde","tutar_farki"))))</f>
        <v/>
      </c>
      <c r="H193" s="17">
        <f>IF($A193="","",IF($B193&gt;0,"BIRINCIL",IF(COUNTIF(tblAnahtarB[IkincilB],'ANAHTAR'!$D193)&gt;0,"IKINCIL","YOK")))</f>
        <v/>
      </c>
      <c r="I193" s="17">
        <f>IF($A193="","",'ANAHTAR'!$F193)</f>
        <v/>
      </c>
      <c r="J193" s="17">
        <f>IF(OR($A193="",$D193=0),0,$F193/ABS($D193))</f>
        <v/>
      </c>
      <c r="K193" s="17">
        <f>IF($A193="","",ROUND($D193,2))</f>
        <v/>
      </c>
      <c r="L193" s="17">
        <f>IF($A193="","",ROUND($C193,2))</f>
        <v/>
      </c>
      <c r="M193" s="17">
        <f>IF($A193="","",IF($F193&lt;=toleransKurus,1,0))</f>
        <v/>
      </c>
      <c r="N193" s="17">
        <f>IF($A193="","",IF($F193&gt;tyk_esikFark,1,0))</f>
        <v/>
      </c>
      <c r="O193" s="17">
        <f>IF($A193="","",IFERROR(SUMIF(tblMotor[A_Norm],$A193,tblMotor[NetKar]),0))</f>
        <v/>
      </c>
      <c r="P193" s="17">
        <f>IF($A193="","",$B193+$M193+$N193)</f>
        <v/>
      </c>
    </row>
    <row r="194">
      <c r="A194" s="17">
        <f>IF('ANAHTAR'!$B194="","",'ANAHTAR'!$B194)</f>
        <v/>
      </c>
      <c r="B194" s="17">
        <f>IF($A194="","",COUNTIF(tblAnahtarB[NormB],$A194))</f>
        <v/>
      </c>
      <c r="C194" s="17">
        <f>IF($A194="","",IFERROR(SUMIF(tblAnahtarB[NormB],$A194,tblHakedis[GercekHakedis]),0))</f>
        <v/>
      </c>
      <c r="D194" s="17">
        <f>IF($A194="","",IFERROR(SUMIF(tblMotor[A_Norm],$A194,tblMotor[BeklenenHakedis]),0))</f>
        <v/>
      </c>
      <c r="E194" s="17">
        <f>IF($A194="","",ROUND($D194,2)-ROUND($C194,2))</f>
        <v/>
      </c>
      <c r="F194" s="17">
        <f>IF($A194="","",ABS($E194))</f>
        <v/>
      </c>
      <c r="G194" s="17">
        <f>IF($A194="","",IF($B194=0,"eslesmedi",IF(ROUND($D194,2)=ROUND($C194,2),"eslesti",IF(ABS(ROUND($D194,2)-ROUND($C194,2))&lt;=toleransKurus,"tolerans_icinde","tutar_farki"))))</f>
        <v/>
      </c>
      <c r="H194" s="17">
        <f>IF($A194="","",IF($B194&gt;0,"BIRINCIL",IF(COUNTIF(tblAnahtarB[IkincilB],'ANAHTAR'!$D194)&gt;0,"IKINCIL","YOK")))</f>
        <v/>
      </c>
      <c r="I194" s="17">
        <f>IF($A194="","",'ANAHTAR'!$F194)</f>
        <v/>
      </c>
      <c r="J194" s="17">
        <f>IF(OR($A194="",$D194=0),0,$F194/ABS($D194))</f>
        <v/>
      </c>
      <c r="K194" s="17">
        <f>IF($A194="","",ROUND($D194,2))</f>
        <v/>
      </c>
      <c r="L194" s="17">
        <f>IF($A194="","",ROUND($C194,2))</f>
        <v/>
      </c>
      <c r="M194" s="17">
        <f>IF($A194="","",IF($F194&lt;=toleransKurus,1,0))</f>
        <v/>
      </c>
      <c r="N194" s="17">
        <f>IF($A194="","",IF($F194&gt;tyk_esikFark,1,0))</f>
        <v/>
      </c>
      <c r="O194" s="17">
        <f>IF($A194="","",IFERROR(SUMIF(tblMotor[A_Norm],$A194,tblMotor[NetKar]),0))</f>
        <v/>
      </c>
      <c r="P194" s="17">
        <f>IF($A194="","",$B194+$M194+$N194)</f>
        <v/>
      </c>
    </row>
    <row r="195">
      <c r="A195" s="17">
        <f>IF('ANAHTAR'!$B195="","",'ANAHTAR'!$B195)</f>
        <v/>
      </c>
      <c r="B195" s="17">
        <f>IF($A195="","",COUNTIF(tblAnahtarB[NormB],$A195))</f>
        <v/>
      </c>
      <c r="C195" s="17">
        <f>IF($A195="","",IFERROR(SUMIF(tblAnahtarB[NormB],$A195,tblHakedis[GercekHakedis]),0))</f>
        <v/>
      </c>
      <c r="D195" s="17">
        <f>IF($A195="","",IFERROR(SUMIF(tblMotor[A_Norm],$A195,tblMotor[BeklenenHakedis]),0))</f>
        <v/>
      </c>
      <c r="E195" s="17">
        <f>IF($A195="","",ROUND($D195,2)-ROUND($C195,2))</f>
        <v/>
      </c>
      <c r="F195" s="17">
        <f>IF($A195="","",ABS($E195))</f>
        <v/>
      </c>
      <c r="G195" s="17">
        <f>IF($A195="","",IF($B195=0,"eslesmedi",IF(ROUND($D195,2)=ROUND($C195,2),"eslesti",IF(ABS(ROUND($D195,2)-ROUND($C195,2))&lt;=toleransKurus,"tolerans_icinde","tutar_farki"))))</f>
        <v/>
      </c>
      <c r="H195" s="17">
        <f>IF($A195="","",IF($B195&gt;0,"BIRINCIL",IF(COUNTIF(tblAnahtarB[IkincilB],'ANAHTAR'!$D195)&gt;0,"IKINCIL","YOK")))</f>
        <v/>
      </c>
      <c r="I195" s="17">
        <f>IF($A195="","",'ANAHTAR'!$F195)</f>
        <v/>
      </c>
      <c r="J195" s="17">
        <f>IF(OR($A195="",$D195=0),0,$F195/ABS($D195))</f>
        <v/>
      </c>
      <c r="K195" s="17">
        <f>IF($A195="","",ROUND($D195,2))</f>
        <v/>
      </c>
      <c r="L195" s="17">
        <f>IF($A195="","",ROUND($C195,2))</f>
        <v/>
      </c>
      <c r="M195" s="17">
        <f>IF($A195="","",IF($F195&lt;=toleransKurus,1,0))</f>
        <v/>
      </c>
      <c r="N195" s="17">
        <f>IF($A195="","",IF($F195&gt;tyk_esikFark,1,0))</f>
        <v/>
      </c>
      <c r="O195" s="17">
        <f>IF($A195="","",IFERROR(SUMIF(tblMotor[A_Norm],$A195,tblMotor[NetKar]),0))</f>
        <v/>
      </c>
      <c r="P195" s="17">
        <f>IF($A195="","",$B195+$M195+$N195)</f>
        <v/>
      </c>
    </row>
    <row r="196">
      <c r="A196" s="17">
        <f>IF('ANAHTAR'!$B196="","",'ANAHTAR'!$B196)</f>
        <v/>
      </c>
      <c r="B196" s="17">
        <f>IF($A196="","",COUNTIF(tblAnahtarB[NormB],$A196))</f>
        <v/>
      </c>
      <c r="C196" s="17">
        <f>IF($A196="","",IFERROR(SUMIF(tblAnahtarB[NormB],$A196,tblHakedis[GercekHakedis]),0))</f>
        <v/>
      </c>
      <c r="D196" s="17">
        <f>IF($A196="","",IFERROR(SUMIF(tblMotor[A_Norm],$A196,tblMotor[BeklenenHakedis]),0))</f>
        <v/>
      </c>
      <c r="E196" s="17">
        <f>IF($A196="","",ROUND($D196,2)-ROUND($C196,2))</f>
        <v/>
      </c>
      <c r="F196" s="17">
        <f>IF($A196="","",ABS($E196))</f>
        <v/>
      </c>
      <c r="G196" s="17">
        <f>IF($A196="","",IF($B196=0,"eslesmedi",IF(ROUND($D196,2)=ROUND($C196,2),"eslesti",IF(ABS(ROUND($D196,2)-ROUND($C196,2))&lt;=toleransKurus,"tolerans_icinde","tutar_farki"))))</f>
        <v/>
      </c>
      <c r="H196" s="17">
        <f>IF($A196="","",IF($B196&gt;0,"BIRINCIL",IF(COUNTIF(tblAnahtarB[IkincilB],'ANAHTAR'!$D196)&gt;0,"IKINCIL","YOK")))</f>
        <v/>
      </c>
      <c r="I196" s="17">
        <f>IF($A196="","",'ANAHTAR'!$F196)</f>
        <v/>
      </c>
      <c r="J196" s="17">
        <f>IF(OR($A196="",$D196=0),0,$F196/ABS($D196))</f>
        <v/>
      </c>
      <c r="K196" s="17">
        <f>IF($A196="","",ROUND($D196,2))</f>
        <v/>
      </c>
      <c r="L196" s="17">
        <f>IF($A196="","",ROUND($C196,2))</f>
        <v/>
      </c>
      <c r="M196" s="17">
        <f>IF($A196="","",IF($F196&lt;=toleransKurus,1,0))</f>
        <v/>
      </c>
      <c r="N196" s="17">
        <f>IF($A196="","",IF($F196&gt;tyk_esikFark,1,0))</f>
        <v/>
      </c>
      <c r="O196" s="17">
        <f>IF($A196="","",IFERROR(SUMIF(tblMotor[A_Norm],$A196,tblMotor[NetKar]),0))</f>
        <v/>
      </c>
      <c r="P196" s="17">
        <f>IF($A196="","",$B196+$M196+$N196)</f>
        <v/>
      </c>
    </row>
    <row r="197">
      <c r="A197" s="17">
        <f>IF('ANAHTAR'!$B197="","",'ANAHTAR'!$B197)</f>
        <v/>
      </c>
      <c r="B197" s="17">
        <f>IF($A197="","",COUNTIF(tblAnahtarB[NormB],$A197))</f>
        <v/>
      </c>
      <c r="C197" s="17">
        <f>IF($A197="","",IFERROR(SUMIF(tblAnahtarB[NormB],$A197,tblHakedis[GercekHakedis]),0))</f>
        <v/>
      </c>
      <c r="D197" s="17">
        <f>IF($A197="","",IFERROR(SUMIF(tblMotor[A_Norm],$A197,tblMotor[BeklenenHakedis]),0))</f>
        <v/>
      </c>
      <c r="E197" s="17">
        <f>IF($A197="","",ROUND($D197,2)-ROUND($C197,2))</f>
        <v/>
      </c>
      <c r="F197" s="17">
        <f>IF($A197="","",ABS($E197))</f>
        <v/>
      </c>
      <c r="G197" s="17">
        <f>IF($A197="","",IF($B197=0,"eslesmedi",IF(ROUND($D197,2)=ROUND($C197,2),"eslesti",IF(ABS(ROUND($D197,2)-ROUND($C197,2))&lt;=toleransKurus,"tolerans_icinde","tutar_farki"))))</f>
        <v/>
      </c>
      <c r="H197" s="17">
        <f>IF($A197="","",IF($B197&gt;0,"BIRINCIL",IF(COUNTIF(tblAnahtarB[IkincilB],'ANAHTAR'!$D197)&gt;0,"IKINCIL","YOK")))</f>
        <v/>
      </c>
      <c r="I197" s="17">
        <f>IF($A197="","",'ANAHTAR'!$F197)</f>
        <v/>
      </c>
      <c r="J197" s="17">
        <f>IF(OR($A197="",$D197=0),0,$F197/ABS($D197))</f>
        <v/>
      </c>
      <c r="K197" s="17">
        <f>IF($A197="","",ROUND($D197,2))</f>
        <v/>
      </c>
      <c r="L197" s="17">
        <f>IF($A197="","",ROUND($C197,2))</f>
        <v/>
      </c>
      <c r="M197" s="17">
        <f>IF($A197="","",IF($F197&lt;=toleransKurus,1,0))</f>
        <v/>
      </c>
      <c r="N197" s="17">
        <f>IF($A197="","",IF($F197&gt;tyk_esikFark,1,0))</f>
        <v/>
      </c>
      <c r="O197" s="17">
        <f>IF($A197="","",IFERROR(SUMIF(tblMotor[A_Norm],$A197,tblMotor[NetKar]),0))</f>
        <v/>
      </c>
      <c r="P197" s="17">
        <f>IF($A197="","",$B197+$M197+$N197)</f>
        <v/>
      </c>
    </row>
    <row r="198">
      <c r="A198" s="17">
        <f>IF('ANAHTAR'!$B198="","",'ANAHTAR'!$B198)</f>
        <v/>
      </c>
      <c r="B198" s="17">
        <f>IF($A198="","",COUNTIF(tblAnahtarB[NormB],$A198))</f>
        <v/>
      </c>
      <c r="C198" s="17">
        <f>IF($A198="","",IFERROR(SUMIF(tblAnahtarB[NormB],$A198,tblHakedis[GercekHakedis]),0))</f>
        <v/>
      </c>
      <c r="D198" s="17">
        <f>IF($A198="","",IFERROR(SUMIF(tblMotor[A_Norm],$A198,tblMotor[BeklenenHakedis]),0))</f>
        <v/>
      </c>
      <c r="E198" s="17">
        <f>IF($A198="","",ROUND($D198,2)-ROUND($C198,2))</f>
        <v/>
      </c>
      <c r="F198" s="17">
        <f>IF($A198="","",ABS($E198))</f>
        <v/>
      </c>
      <c r="G198" s="17">
        <f>IF($A198="","",IF($B198=0,"eslesmedi",IF(ROUND($D198,2)=ROUND($C198,2),"eslesti",IF(ABS(ROUND($D198,2)-ROUND($C198,2))&lt;=toleransKurus,"tolerans_icinde","tutar_farki"))))</f>
        <v/>
      </c>
      <c r="H198" s="17">
        <f>IF($A198="","",IF($B198&gt;0,"BIRINCIL",IF(COUNTIF(tblAnahtarB[IkincilB],'ANAHTAR'!$D198)&gt;0,"IKINCIL","YOK")))</f>
        <v/>
      </c>
      <c r="I198" s="17">
        <f>IF($A198="","",'ANAHTAR'!$F198)</f>
        <v/>
      </c>
      <c r="J198" s="17">
        <f>IF(OR($A198="",$D198=0),0,$F198/ABS($D198))</f>
        <v/>
      </c>
      <c r="K198" s="17">
        <f>IF($A198="","",ROUND($D198,2))</f>
        <v/>
      </c>
      <c r="L198" s="17">
        <f>IF($A198="","",ROUND($C198,2))</f>
        <v/>
      </c>
      <c r="M198" s="17">
        <f>IF($A198="","",IF($F198&lt;=toleransKurus,1,0))</f>
        <v/>
      </c>
      <c r="N198" s="17">
        <f>IF($A198="","",IF($F198&gt;tyk_esikFark,1,0))</f>
        <v/>
      </c>
      <c r="O198" s="17">
        <f>IF($A198="","",IFERROR(SUMIF(tblMotor[A_Norm],$A198,tblMotor[NetKar]),0))</f>
        <v/>
      </c>
      <c r="P198" s="17">
        <f>IF($A198="","",$B198+$M198+$N198)</f>
        <v/>
      </c>
    </row>
    <row r="199">
      <c r="A199" s="17">
        <f>IF('ANAHTAR'!$B199="","",'ANAHTAR'!$B199)</f>
        <v/>
      </c>
      <c r="B199" s="17">
        <f>IF($A199="","",COUNTIF(tblAnahtarB[NormB],$A199))</f>
        <v/>
      </c>
      <c r="C199" s="17">
        <f>IF($A199="","",IFERROR(SUMIF(tblAnahtarB[NormB],$A199,tblHakedis[GercekHakedis]),0))</f>
        <v/>
      </c>
      <c r="D199" s="17">
        <f>IF($A199="","",IFERROR(SUMIF(tblMotor[A_Norm],$A199,tblMotor[BeklenenHakedis]),0))</f>
        <v/>
      </c>
      <c r="E199" s="17">
        <f>IF($A199="","",ROUND($D199,2)-ROUND($C199,2))</f>
        <v/>
      </c>
      <c r="F199" s="17">
        <f>IF($A199="","",ABS($E199))</f>
        <v/>
      </c>
      <c r="G199" s="17">
        <f>IF($A199="","",IF($B199=0,"eslesmedi",IF(ROUND($D199,2)=ROUND($C199,2),"eslesti",IF(ABS(ROUND($D199,2)-ROUND($C199,2))&lt;=toleransKurus,"tolerans_icinde","tutar_farki"))))</f>
        <v/>
      </c>
      <c r="H199" s="17">
        <f>IF($A199="","",IF($B199&gt;0,"BIRINCIL",IF(COUNTIF(tblAnahtarB[IkincilB],'ANAHTAR'!$D199)&gt;0,"IKINCIL","YOK")))</f>
        <v/>
      </c>
      <c r="I199" s="17">
        <f>IF($A199="","",'ANAHTAR'!$F199)</f>
        <v/>
      </c>
      <c r="J199" s="17">
        <f>IF(OR($A199="",$D199=0),0,$F199/ABS($D199))</f>
        <v/>
      </c>
      <c r="K199" s="17">
        <f>IF($A199="","",ROUND($D199,2))</f>
        <v/>
      </c>
      <c r="L199" s="17">
        <f>IF($A199="","",ROUND($C199,2))</f>
        <v/>
      </c>
      <c r="M199" s="17">
        <f>IF($A199="","",IF($F199&lt;=toleransKurus,1,0))</f>
        <v/>
      </c>
      <c r="N199" s="17">
        <f>IF($A199="","",IF($F199&gt;tyk_esikFark,1,0))</f>
        <v/>
      </c>
      <c r="O199" s="17">
        <f>IF($A199="","",IFERROR(SUMIF(tblMotor[A_Norm],$A199,tblMotor[NetKar]),0))</f>
        <v/>
      </c>
      <c r="P199" s="17">
        <f>IF($A199="","",$B199+$M199+$N199)</f>
        <v/>
      </c>
    </row>
    <row r="200">
      <c r="A200" s="17">
        <f>IF('ANAHTAR'!$B200="","",'ANAHTAR'!$B200)</f>
        <v/>
      </c>
      <c r="B200" s="17">
        <f>IF($A200="","",COUNTIF(tblAnahtarB[NormB],$A200))</f>
        <v/>
      </c>
      <c r="C200" s="17">
        <f>IF($A200="","",IFERROR(SUMIF(tblAnahtarB[NormB],$A200,tblHakedis[GercekHakedis]),0))</f>
        <v/>
      </c>
      <c r="D200" s="17">
        <f>IF($A200="","",IFERROR(SUMIF(tblMotor[A_Norm],$A200,tblMotor[BeklenenHakedis]),0))</f>
        <v/>
      </c>
      <c r="E200" s="17">
        <f>IF($A200="","",ROUND($D200,2)-ROUND($C200,2))</f>
        <v/>
      </c>
      <c r="F200" s="17">
        <f>IF($A200="","",ABS($E200))</f>
        <v/>
      </c>
      <c r="G200" s="17">
        <f>IF($A200="","",IF($B200=0,"eslesmedi",IF(ROUND($D200,2)=ROUND($C200,2),"eslesti",IF(ABS(ROUND($D200,2)-ROUND($C200,2))&lt;=toleransKurus,"tolerans_icinde","tutar_farki"))))</f>
        <v/>
      </c>
      <c r="H200" s="17">
        <f>IF($A200="","",IF($B200&gt;0,"BIRINCIL",IF(COUNTIF(tblAnahtarB[IkincilB],'ANAHTAR'!$D200)&gt;0,"IKINCIL","YOK")))</f>
        <v/>
      </c>
      <c r="I200" s="17">
        <f>IF($A200="","",'ANAHTAR'!$F200)</f>
        <v/>
      </c>
      <c r="J200" s="17">
        <f>IF(OR($A200="",$D200=0),0,$F200/ABS($D200))</f>
        <v/>
      </c>
      <c r="K200" s="17">
        <f>IF($A200="","",ROUND($D200,2))</f>
        <v/>
      </c>
      <c r="L200" s="17">
        <f>IF($A200="","",ROUND($C200,2))</f>
        <v/>
      </c>
      <c r="M200" s="17">
        <f>IF($A200="","",IF($F200&lt;=toleransKurus,1,0))</f>
        <v/>
      </c>
      <c r="N200" s="17">
        <f>IF($A200="","",IF($F200&gt;tyk_esikFark,1,0))</f>
        <v/>
      </c>
      <c r="O200" s="17">
        <f>IF($A200="","",IFERROR(SUMIF(tblMotor[A_Norm],$A200,tblMotor[NetKar]),0))</f>
        <v/>
      </c>
      <c r="P200" s="17">
        <f>IF($A200="","",$B200+$M200+$N200)</f>
        <v/>
      </c>
    </row>
    <row r="201">
      <c r="A201" s="17">
        <f>IF('ANAHTAR'!$B201="","",'ANAHTAR'!$B201)</f>
        <v/>
      </c>
      <c r="B201" s="17">
        <f>IF($A201="","",COUNTIF(tblAnahtarB[NormB],$A201))</f>
        <v/>
      </c>
      <c r="C201" s="17">
        <f>IF($A201="","",IFERROR(SUMIF(tblAnahtarB[NormB],$A201,tblHakedis[GercekHakedis]),0))</f>
        <v/>
      </c>
      <c r="D201" s="17">
        <f>IF($A201="","",IFERROR(SUMIF(tblMotor[A_Norm],$A201,tblMotor[BeklenenHakedis]),0))</f>
        <v/>
      </c>
      <c r="E201" s="17">
        <f>IF($A201="","",ROUND($D201,2)-ROUND($C201,2))</f>
        <v/>
      </c>
      <c r="F201" s="17">
        <f>IF($A201="","",ABS($E201))</f>
        <v/>
      </c>
      <c r="G201" s="17">
        <f>IF($A201="","",IF($B201=0,"eslesmedi",IF(ROUND($D201,2)=ROUND($C201,2),"eslesti",IF(ABS(ROUND($D201,2)-ROUND($C201,2))&lt;=toleransKurus,"tolerans_icinde","tutar_farki"))))</f>
        <v/>
      </c>
      <c r="H201" s="17">
        <f>IF($A201="","",IF($B201&gt;0,"BIRINCIL",IF(COUNTIF(tblAnahtarB[IkincilB],'ANAHTAR'!$D201)&gt;0,"IKINCIL","YOK")))</f>
        <v/>
      </c>
      <c r="I201" s="17">
        <f>IF($A201="","",'ANAHTAR'!$F201)</f>
        <v/>
      </c>
      <c r="J201" s="17">
        <f>IF(OR($A201="",$D201=0),0,$F201/ABS($D201))</f>
        <v/>
      </c>
      <c r="K201" s="17">
        <f>IF($A201="","",ROUND($D201,2))</f>
        <v/>
      </c>
      <c r="L201" s="17">
        <f>IF($A201="","",ROUND($C201,2))</f>
        <v/>
      </c>
      <c r="M201" s="17">
        <f>IF($A201="","",IF($F201&lt;=toleransKurus,1,0))</f>
        <v/>
      </c>
      <c r="N201" s="17">
        <f>IF($A201="","",IF($F201&gt;tyk_esikFark,1,0))</f>
        <v/>
      </c>
      <c r="O201" s="17">
        <f>IF($A201="","",IFERROR(SUMIF(tblMotor[A_Norm],$A201,tblMotor[NetKar]),0))</f>
        <v/>
      </c>
      <c r="P201" s="17">
        <f>IF($A201="","",$B201+$M201+$N201)</f>
        <v/>
      </c>
    </row>
    <row r="202">
      <c r="A202" s="17">
        <f>IF('ANAHTAR'!$B202="","",'ANAHTAR'!$B202)</f>
        <v/>
      </c>
      <c r="B202" s="17">
        <f>IF($A202="","",COUNTIF(tblAnahtarB[NormB],$A202))</f>
        <v/>
      </c>
      <c r="C202" s="17">
        <f>IF($A202="","",IFERROR(SUMIF(tblAnahtarB[NormB],$A202,tblHakedis[GercekHakedis]),0))</f>
        <v/>
      </c>
      <c r="D202" s="17">
        <f>IF($A202="","",IFERROR(SUMIF(tblMotor[A_Norm],$A202,tblMotor[BeklenenHakedis]),0))</f>
        <v/>
      </c>
      <c r="E202" s="17">
        <f>IF($A202="","",ROUND($D202,2)-ROUND($C202,2))</f>
        <v/>
      </c>
      <c r="F202" s="17">
        <f>IF($A202="","",ABS($E202))</f>
        <v/>
      </c>
      <c r="G202" s="17">
        <f>IF($A202="","",IF($B202=0,"eslesmedi",IF(ROUND($D202,2)=ROUND($C202,2),"eslesti",IF(ABS(ROUND($D202,2)-ROUND($C202,2))&lt;=toleransKurus,"tolerans_icinde","tutar_farki"))))</f>
        <v/>
      </c>
      <c r="H202" s="17">
        <f>IF($A202="","",IF($B202&gt;0,"BIRINCIL",IF(COUNTIF(tblAnahtarB[IkincilB],'ANAHTAR'!$D202)&gt;0,"IKINCIL","YOK")))</f>
        <v/>
      </c>
      <c r="I202" s="17">
        <f>IF($A202="","",'ANAHTAR'!$F202)</f>
        <v/>
      </c>
      <c r="J202" s="17">
        <f>IF(OR($A202="",$D202=0),0,$F202/ABS($D202))</f>
        <v/>
      </c>
      <c r="K202" s="17">
        <f>IF($A202="","",ROUND($D202,2))</f>
        <v/>
      </c>
      <c r="L202" s="17">
        <f>IF($A202="","",ROUND($C202,2))</f>
        <v/>
      </c>
      <c r="M202" s="17">
        <f>IF($A202="","",IF($F202&lt;=toleransKurus,1,0))</f>
        <v/>
      </c>
      <c r="N202" s="17">
        <f>IF($A202="","",IF($F202&gt;tyk_esikFark,1,0))</f>
        <v/>
      </c>
      <c r="O202" s="17">
        <f>IF($A202="","",IFERROR(SUMIF(tblMotor[A_Norm],$A202,tblMotor[NetKar]),0))</f>
        <v/>
      </c>
      <c r="P202" s="17">
        <f>IF($A202="","",$B202+$M202+$N202)</f>
        <v/>
      </c>
    </row>
    <row r="203">
      <c r="A203" s="17">
        <f>IF('ANAHTAR'!$B203="","",'ANAHTAR'!$B203)</f>
        <v/>
      </c>
      <c r="B203" s="17">
        <f>IF($A203="","",COUNTIF(tblAnahtarB[NormB],$A203))</f>
        <v/>
      </c>
      <c r="C203" s="17">
        <f>IF($A203="","",IFERROR(SUMIF(tblAnahtarB[NormB],$A203,tblHakedis[GercekHakedis]),0))</f>
        <v/>
      </c>
      <c r="D203" s="17">
        <f>IF($A203="","",IFERROR(SUMIF(tblMotor[A_Norm],$A203,tblMotor[BeklenenHakedis]),0))</f>
        <v/>
      </c>
      <c r="E203" s="17">
        <f>IF($A203="","",ROUND($D203,2)-ROUND($C203,2))</f>
        <v/>
      </c>
      <c r="F203" s="17">
        <f>IF($A203="","",ABS($E203))</f>
        <v/>
      </c>
      <c r="G203" s="17">
        <f>IF($A203="","",IF($B203=0,"eslesmedi",IF(ROUND($D203,2)=ROUND($C203,2),"eslesti",IF(ABS(ROUND($D203,2)-ROUND($C203,2))&lt;=toleransKurus,"tolerans_icinde","tutar_farki"))))</f>
        <v/>
      </c>
      <c r="H203" s="17">
        <f>IF($A203="","",IF($B203&gt;0,"BIRINCIL",IF(COUNTIF(tblAnahtarB[IkincilB],'ANAHTAR'!$D203)&gt;0,"IKINCIL","YOK")))</f>
        <v/>
      </c>
      <c r="I203" s="17">
        <f>IF($A203="","",'ANAHTAR'!$F203)</f>
        <v/>
      </c>
      <c r="J203" s="17">
        <f>IF(OR($A203="",$D203=0),0,$F203/ABS($D203))</f>
        <v/>
      </c>
      <c r="K203" s="17">
        <f>IF($A203="","",ROUND($D203,2))</f>
        <v/>
      </c>
      <c r="L203" s="17">
        <f>IF($A203="","",ROUND($C203,2))</f>
        <v/>
      </c>
      <c r="M203" s="17">
        <f>IF($A203="","",IF($F203&lt;=toleransKurus,1,0))</f>
        <v/>
      </c>
      <c r="N203" s="17">
        <f>IF($A203="","",IF($F203&gt;tyk_esikFark,1,0))</f>
        <v/>
      </c>
      <c r="O203" s="17">
        <f>IF($A203="","",IFERROR(SUMIF(tblMotor[A_Norm],$A203,tblMotor[NetKar]),0))</f>
        <v/>
      </c>
      <c r="P203" s="17">
        <f>IF($A203="","",$B203+$M203+$N203)</f>
        <v/>
      </c>
    </row>
    <row r="204">
      <c r="A204" s="17">
        <f>IF('ANAHTAR'!$B204="","",'ANAHTAR'!$B204)</f>
        <v/>
      </c>
      <c r="B204" s="17">
        <f>IF($A204="","",COUNTIF(tblAnahtarB[NormB],$A204))</f>
        <v/>
      </c>
      <c r="C204" s="17">
        <f>IF($A204="","",IFERROR(SUMIF(tblAnahtarB[NormB],$A204,tblHakedis[GercekHakedis]),0))</f>
        <v/>
      </c>
      <c r="D204" s="17">
        <f>IF($A204="","",IFERROR(SUMIF(tblMotor[A_Norm],$A204,tblMotor[BeklenenHakedis]),0))</f>
        <v/>
      </c>
      <c r="E204" s="17">
        <f>IF($A204="","",ROUND($D204,2)-ROUND($C204,2))</f>
        <v/>
      </c>
      <c r="F204" s="17">
        <f>IF($A204="","",ABS($E204))</f>
        <v/>
      </c>
      <c r="G204" s="17">
        <f>IF($A204="","",IF($B204=0,"eslesmedi",IF(ROUND($D204,2)=ROUND($C204,2),"eslesti",IF(ABS(ROUND($D204,2)-ROUND($C204,2))&lt;=toleransKurus,"tolerans_icinde","tutar_farki"))))</f>
        <v/>
      </c>
      <c r="H204" s="17">
        <f>IF($A204="","",IF($B204&gt;0,"BIRINCIL",IF(COUNTIF(tblAnahtarB[IkincilB],'ANAHTAR'!$D204)&gt;0,"IKINCIL","YOK")))</f>
        <v/>
      </c>
      <c r="I204" s="17">
        <f>IF($A204="","",'ANAHTAR'!$F204)</f>
        <v/>
      </c>
      <c r="J204" s="17">
        <f>IF(OR($A204="",$D204=0),0,$F204/ABS($D204))</f>
        <v/>
      </c>
      <c r="K204" s="17">
        <f>IF($A204="","",ROUND($D204,2))</f>
        <v/>
      </c>
      <c r="L204" s="17">
        <f>IF($A204="","",ROUND($C204,2))</f>
        <v/>
      </c>
      <c r="M204" s="17">
        <f>IF($A204="","",IF($F204&lt;=toleransKurus,1,0))</f>
        <v/>
      </c>
      <c r="N204" s="17">
        <f>IF($A204="","",IF($F204&gt;tyk_esikFark,1,0))</f>
        <v/>
      </c>
      <c r="O204" s="17">
        <f>IF($A204="","",IFERROR(SUMIF(tblMotor[A_Norm],$A204,tblMotor[NetKar]),0))</f>
        <v/>
      </c>
      <c r="P204" s="17">
        <f>IF($A204="","",$B204+$M204+$N204)</f>
        <v/>
      </c>
    </row>
    <row r="205">
      <c r="A205" s="17">
        <f>IF('ANAHTAR'!$B205="","",'ANAHTAR'!$B205)</f>
        <v/>
      </c>
      <c r="B205" s="17">
        <f>IF($A205="","",COUNTIF(tblAnahtarB[NormB],$A205))</f>
        <v/>
      </c>
      <c r="C205" s="17">
        <f>IF($A205="","",IFERROR(SUMIF(tblAnahtarB[NormB],$A205,tblHakedis[GercekHakedis]),0))</f>
        <v/>
      </c>
      <c r="D205" s="17">
        <f>IF($A205="","",IFERROR(SUMIF(tblMotor[A_Norm],$A205,tblMotor[BeklenenHakedis]),0))</f>
        <v/>
      </c>
      <c r="E205" s="17">
        <f>IF($A205="","",ROUND($D205,2)-ROUND($C205,2))</f>
        <v/>
      </c>
      <c r="F205" s="17">
        <f>IF($A205="","",ABS($E205))</f>
        <v/>
      </c>
      <c r="G205" s="17">
        <f>IF($A205="","",IF($B205=0,"eslesmedi",IF(ROUND($D205,2)=ROUND($C205,2),"eslesti",IF(ABS(ROUND($D205,2)-ROUND($C205,2))&lt;=toleransKurus,"tolerans_icinde","tutar_farki"))))</f>
        <v/>
      </c>
      <c r="H205" s="17">
        <f>IF($A205="","",IF($B205&gt;0,"BIRINCIL",IF(COUNTIF(tblAnahtarB[IkincilB],'ANAHTAR'!$D205)&gt;0,"IKINCIL","YOK")))</f>
        <v/>
      </c>
      <c r="I205" s="17">
        <f>IF($A205="","",'ANAHTAR'!$F205)</f>
        <v/>
      </c>
      <c r="J205" s="17">
        <f>IF(OR($A205="",$D205=0),0,$F205/ABS($D205))</f>
        <v/>
      </c>
      <c r="K205" s="17">
        <f>IF($A205="","",ROUND($D205,2))</f>
        <v/>
      </c>
      <c r="L205" s="17">
        <f>IF($A205="","",ROUND($C205,2))</f>
        <v/>
      </c>
      <c r="M205" s="17">
        <f>IF($A205="","",IF($F205&lt;=toleransKurus,1,0))</f>
        <v/>
      </c>
      <c r="N205" s="17">
        <f>IF($A205="","",IF($F205&gt;tyk_esikFark,1,0))</f>
        <v/>
      </c>
      <c r="O205" s="17">
        <f>IF($A205="","",IFERROR(SUMIF(tblMotor[A_Norm],$A205,tblMotor[NetKar]),0))</f>
        <v/>
      </c>
      <c r="P205" s="17">
        <f>IF($A205="","",$B205+$M205+$N205)</f>
        <v/>
      </c>
    </row>
    <row r="206">
      <c r="A206" s="17">
        <f>IF('ANAHTAR'!$B206="","",'ANAHTAR'!$B206)</f>
        <v/>
      </c>
      <c r="B206" s="17">
        <f>IF($A206="","",COUNTIF(tblAnahtarB[NormB],$A206))</f>
        <v/>
      </c>
      <c r="C206" s="17">
        <f>IF($A206="","",IFERROR(SUMIF(tblAnahtarB[NormB],$A206,tblHakedis[GercekHakedis]),0))</f>
        <v/>
      </c>
      <c r="D206" s="17">
        <f>IF($A206="","",IFERROR(SUMIF(tblMotor[A_Norm],$A206,tblMotor[BeklenenHakedis]),0))</f>
        <v/>
      </c>
      <c r="E206" s="17">
        <f>IF($A206="","",ROUND($D206,2)-ROUND($C206,2))</f>
        <v/>
      </c>
      <c r="F206" s="17">
        <f>IF($A206="","",ABS($E206))</f>
        <v/>
      </c>
      <c r="G206" s="17">
        <f>IF($A206="","",IF($B206=0,"eslesmedi",IF(ROUND($D206,2)=ROUND($C206,2),"eslesti",IF(ABS(ROUND($D206,2)-ROUND($C206,2))&lt;=toleransKurus,"tolerans_icinde","tutar_farki"))))</f>
        <v/>
      </c>
      <c r="H206" s="17">
        <f>IF($A206="","",IF($B206&gt;0,"BIRINCIL",IF(COUNTIF(tblAnahtarB[IkincilB],'ANAHTAR'!$D206)&gt;0,"IKINCIL","YOK")))</f>
        <v/>
      </c>
      <c r="I206" s="17">
        <f>IF($A206="","",'ANAHTAR'!$F206)</f>
        <v/>
      </c>
      <c r="J206" s="17">
        <f>IF(OR($A206="",$D206=0),0,$F206/ABS($D206))</f>
        <v/>
      </c>
      <c r="K206" s="17">
        <f>IF($A206="","",ROUND($D206,2))</f>
        <v/>
      </c>
      <c r="L206" s="17">
        <f>IF($A206="","",ROUND($C206,2))</f>
        <v/>
      </c>
      <c r="M206" s="17">
        <f>IF($A206="","",IF($F206&lt;=toleransKurus,1,0))</f>
        <v/>
      </c>
      <c r="N206" s="17">
        <f>IF($A206="","",IF($F206&gt;tyk_esikFark,1,0))</f>
        <v/>
      </c>
      <c r="O206" s="17">
        <f>IF($A206="","",IFERROR(SUMIF(tblMotor[A_Norm],$A206,tblMotor[NetKar]),0))</f>
        <v/>
      </c>
      <c r="P206" s="17">
        <f>IF($A206="","",$B206+$M206+$N206)</f>
        <v/>
      </c>
    </row>
    <row r="207">
      <c r="A207" s="17">
        <f>IF('ANAHTAR'!$B207="","",'ANAHTAR'!$B207)</f>
        <v/>
      </c>
      <c r="B207" s="17">
        <f>IF($A207="","",COUNTIF(tblAnahtarB[NormB],$A207))</f>
        <v/>
      </c>
      <c r="C207" s="17">
        <f>IF($A207="","",IFERROR(SUMIF(tblAnahtarB[NormB],$A207,tblHakedis[GercekHakedis]),0))</f>
        <v/>
      </c>
      <c r="D207" s="17">
        <f>IF($A207="","",IFERROR(SUMIF(tblMotor[A_Norm],$A207,tblMotor[BeklenenHakedis]),0))</f>
        <v/>
      </c>
      <c r="E207" s="17">
        <f>IF($A207="","",ROUND($D207,2)-ROUND($C207,2))</f>
        <v/>
      </c>
      <c r="F207" s="17">
        <f>IF($A207="","",ABS($E207))</f>
        <v/>
      </c>
      <c r="G207" s="17">
        <f>IF($A207="","",IF($B207=0,"eslesmedi",IF(ROUND($D207,2)=ROUND($C207,2),"eslesti",IF(ABS(ROUND($D207,2)-ROUND($C207,2))&lt;=toleransKurus,"tolerans_icinde","tutar_farki"))))</f>
        <v/>
      </c>
      <c r="H207" s="17">
        <f>IF($A207="","",IF($B207&gt;0,"BIRINCIL",IF(COUNTIF(tblAnahtarB[IkincilB],'ANAHTAR'!$D207)&gt;0,"IKINCIL","YOK")))</f>
        <v/>
      </c>
      <c r="I207" s="17">
        <f>IF($A207="","",'ANAHTAR'!$F207)</f>
        <v/>
      </c>
      <c r="J207" s="17">
        <f>IF(OR($A207="",$D207=0),0,$F207/ABS($D207))</f>
        <v/>
      </c>
      <c r="K207" s="17">
        <f>IF($A207="","",ROUND($D207,2))</f>
        <v/>
      </c>
      <c r="L207" s="17">
        <f>IF($A207="","",ROUND($C207,2))</f>
        <v/>
      </c>
      <c r="M207" s="17">
        <f>IF($A207="","",IF($F207&lt;=toleransKurus,1,0))</f>
        <v/>
      </c>
      <c r="N207" s="17">
        <f>IF($A207="","",IF($F207&gt;tyk_esikFark,1,0))</f>
        <v/>
      </c>
      <c r="O207" s="17">
        <f>IF($A207="","",IFERROR(SUMIF(tblMotor[A_Norm],$A207,tblMotor[NetKar]),0))</f>
        <v/>
      </c>
      <c r="P207" s="17">
        <f>IF($A207="","",$B207+$M207+$N207)</f>
        <v/>
      </c>
    </row>
    <row r="208">
      <c r="A208" s="17">
        <f>IF('ANAHTAR'!$B208="","",'ANAHTAR'!$B208)</f>
        <v/>
      </c>
      <c r="B208" s="17">
        <f>IF($A208="","",COUNTIF(tblAnahtarB[NormB],$A208))</f>
        <v/>
      </c>
      <c r="C208" s="17">
        <f>IF($A208="","",IFERROR(SUMIF(tblAnahtarB[NormB],$A208,tblHakedis[GercekHakedis]),0))</f>
        <v/>
      </c>
      <c r="D208" s="17">
        <f>IF($A208="","",IFERROR(SUMIF(tblMotor[A_Norm],$A208,tblMotor[BeklenenHakedis]),0))</f>
        <v/>
      </c>
      <c r="E208" s="17">
        <f>IF($A208="","",ROUND($D208,2)-ROUND($C208,2))</f>
        <v/>
      </c>
      <c r="F208" s="17">
        <f>IF($A208="","",ABS($E208))</f>
        <v/>
      </c>
      <c r="G208" s="17">
        <f>IF($A208="","",IF($B208=0,"eslesmedi",IF(ROUND($D208,2)=ROUND($C208,2),"eslesti",IF(ABS(ROUND($D208,2)-ROUND($C208,2))&lt;=toleransKurus,"tolerans_icinde","tutar_farki"))))</f>
        <v/>
      </c>
      <c r="H208" s="17">
        <f>IF($A208="","",IF($B208&gt;0,"BIRINCIL",IF(COUNTIF(tblAnahtarB[IkincilB],'ANAHTAR'!$D208)&gt;0,"IKINCIL","YOK")))</f>
        <v/>
      </c>
      <c r="I208" s="17">
        <f>IF($A208="","",'ANAHTAR'!$F208)</f>
        <v/>
      </c>
      <c r="J208" s="17">
        <f>IF(OR($A208="",$D208=0),0,$F208/ABS($D208))</f>
        <v/>
      </c>
      <c r="K208" s="17">
        <f>IF($A208="","",ROUND($D208,2))</f>
        <v/>
      </c>
      <c r="L208" s="17">
        <f>IF($A208="","",ROUND($C208,2))</f>
        <v/>
      </c>
      <c r="M208" s="17">
        <f>IF($A208="","",IF($F208&lt;=toleransKurus,1,0))</f>
        <v/>
      </c>
      <c r="N208" s="17">
        <f>IF($A208="","",IF($F208&gt;tyk_esikFark,1,0))</f>
        <v/>
      </c>
      <c r="O208" s="17">
        <f>IF($A208="","",IFERROR(SUMIF(tblMotor[A_Norm],$A208,tblMotor[NetKar]),0))</f>
        <v/>
      </c>
      <c r="P208" s="17">
        <f>IF($A208="","",$B208+$M208+$N208)</f>
        <v/>
      </c>
    </row>
    <row r="209">
      <c r="A209" s="17">
        <f>IF('ANAHTAR'!$B209="","",'ANAHTAR'!$B209)</f>
        <v/>
      </c>
      <c r="B209" s="17">
        <f>IF($A209="","",COUNTIF(tblAnahtarB[NormB],$A209))</f>
        <v/>
      </c>
      <c r="C209" s="17">
        <f>IF($A209="","",IFERROR(SUMIF(tblAnahtarB[NormB],$A209,tblHakedis[GercekHakedis]),0))</f>
        <v/>
      </c>
      <c r="D209" s="17">
        <f>IF($A209="","",IFERROR(SUMIF(tblMotor[A_Norm],$A209,tblMotor[BeklenenHakedis]),0))</f>
        <v/>
      </c>
      <c r="E209" s="17">
        <f>IF($A209="","",ROUND($D209,2)-ROUND($C209,2))</f>
        <v/>
      </c>
      <c r="F209" s="17">
        <f>IF($A209="","",ABS($E209))</f>
        <v/>
      </c>
      <c r="G209" s="17">
        <f>IF($A209="","",IF($B209=0,"eslesmedi",IF(ROUND($D209,2)=ROUND($C209,2),"eslesti",IF(ABS(ROUND($D209,2)-ROUND($C209,2))&lt;=toleransKurus,"tolerans_icinde","tutar_farki"))))</f>
        <v/>
      </c>
      <c r="H209" s="17">
        <f>IF($A209="","",IF($B209&gt;0,"BIRINCIL",IF(COUNTIF(tblAnahtarB[IkincilB],'ANAHTAR'!$D209)&gt;0,"IKINCIL","YOK")))</f>
        <v/>
      </c>
      <c r="I209" s="17">
        <f>IF($A209="","",'ANAHTAR'!$F209)</f>
        <v/>
      </c>
      <c r="J209" s="17">
        <f>IF(OR($A209="",$D209=0),0,$F209/ABS($D209))</f>
        <v/>
      </c>
      <c r="K209" s="17">
        <f>IF($A209="","",ROUND($D209,2))</f>
        <v/>
      </c>
      <c r="L209" s="17">
        <f>IF($A209="","",ROUND($C209,2))</f>
        <v/>
      </c>
      <c r="M209" s="17">
        <f>IF($A209="","",IF($F209&lt;=toleransKurus,1,0))</f>
        <v/>
      </c>
      <c r="N209" s="17">
        <f>IF($A209="","",IF($F209&gt;tyk_esikFark,1,0))</f>
        <v/>
      </c>
      <c r="O209" s="17">
        <f>IF($A209="","",IFERROR(SUMIF(tblMotor[A_Norm],$A209,tblMotor[NetKar]),0))</f>
        <v/>
      </c>
      <c r="P209" s="17">
        <f>IF($A209="","",$B209+$M209+$N209)</f>
        <v/>
      </c>
    </row>
    <row r="210">
      <c r="A210" s="17">
        <f>IF('ANAHTAR'!$B210="","",'ANAHTAR'!$B210)</f>
        <v/>
      </c>
      <c r="B210" s="17">
        <f>IF($A210="","",COUNTIF(tblAnahtarB[NormB],$A210))</f>
        <v/>
      </c>
      <c r="C210" s="17">
        <f>IF($A210="","",IFERROR(SUMIF(tblAnahtarB[NormB],$A210,tblHakedis[GercekHakedis]),0))</f>
        <v/>
      </c>
      <c r="D210" s="17">
        <f>IF($A210="","",IFERROR(SUMIF(tblMotor[A_Norm],$A210,tblMotor[BeklenenHakedis]),0))</f>
        <v/>
      </c>
      <c r="E210" s="17">
        <f>IF($A210="","",ROUND($D210,2)-ROUND($C210,2))</f>
        <v/>
      </c>
      <c r="F210" s="17">
        <f>IF($A210="","",ABS($E210))</f>
        <v/>
      </c>
      <c r="G210" s="17">
        <f>IF($A210="","",IF($B210=0,"eslesmedi",IF(ROUND($D210,2)=ROUND($C210,2),"eslesti",IF(ABS(ROUND($D210,2)-ROUND($C210,2))&lt;=toleransKurus,"tolerans_icinde","tutar_farki"))))</f>
        <v/>
      </c>
      <c r="H210" s="17">
        <f>IF($A210="","",IF($B210&gt;0,"BIRINCIL",IF(COUNTIF(tblAnahtarB[IkincilB],'ANAHTAR'!$D210)&gt;0,"IKINCIL","YOK")))</f>
        <v/>
      </c>
      <c r="I210" s="17">
        <f>IF($A210="","",'ANAHTAR'!$F210)</f>
        <v/>
      </c>
      <c r="J210" s="17">
        <f>IF(OR($A210="",$D210=0),0,$F210/ABS($D210))</f>
        <v/>
      </c>
      <c r="K210" s="17">
        <f>IF($A210="","",ROUND($D210,2))</f>
        <v/>
      </c>
      <c r="L210" s="17">
        <f>IF($A210="","",ROUND($C210,2))</f>
        <v/>
      </c>
      <c r="M210" s="17">
        <f>IF($A210="","",IF($F210&lt;=toleransKurus,1,0))</f>
        <v/>
      </c>
      <c r="N210" s="17">
        <f>IF($A210="","",IF($F210&gt;tyk_esikFark,1,0))</f>
        <v/>
      </c>
      <c r="O210" s="17">
        <f>IF($A210="","",IFERROR(SUMIF(tblMotor[A_Norm],$A210,tblMotor[NetKar]),0))</f>
        <v/>
      </c>
      <c r="P210" s="17">
        <f>IF($A210="","",$B210+$M210+$N210)</f>
        <v/>
      </c>
    </row>
    <row r="211">
      <c r="A211" s="17">
        <f>IF('ANAHTAR'!$B211="","",'ANAHTAR'!$B211)</f>
        <v/>
      </c>
      <c r="B211" s="17">
        <f>IF($A211="","",COUNTIF(tblAnahtarB[NormB],$A211))</f>
        <v/>
      </c>
      <c r="C211" s="17">
        <f>IF($A211="","",IFERROR(SUMIF(tblAnahtarB[NormB],$A211,tblHakedis[GercekHakedis]),0))</f>
        <v/>
      </c>
      <c r="D211" s="17">
        <f>IF($A211="","",IFERROR(SUMIF(tblMotor[A_Norm],$A211,tblMotor[BeklenenHakedis]),0))</f>
        <v/>
      </c>
      <c r="E211" s="17">
        <f>IF($A211="","",ROUND($D211,2)-ROUND($C211,2))</f>
        <v/>
      </c>
      <c r="F211" s="17">
        <f>IF($A211="","",ABS($E211))</f>
        <v/>
      </c>
      <c r="G211" s="17">
        <f>IF($A211="","",IF($B211=0,"eslesmedi",IF(ROUND($D211,2)=ROUND($C211,2),"eslesti",IF(ABS(ROUND($D211,2)-ROUND($C211,2))&lt;=toleransKurus,"tolerans_icinde","tutar_farki"))))</f>
        <v/>
      </c>
      <c r="H211" s="17">
        <f>IF($A211="","",IF($B211&gt;0,"BIRINCIL",IF(COUNTIF(tblAnahtarB[IkincilB],'ANAHTAR'!$D211)&gt;0,"IKINCIL","YOK")))</f>
        <v/>
      </c>
      <c r="I211" s="17">
        <f>IF($A211="","",'ANAHTAR'!$F211)</f>
        <v/>
      </c>
      <c r="J211" s="17">
        <f>IF(OR($A211="",$D211=0),0,$F211/ABS($D211))</f>
        <v/>
      </c>
      <c r="K211" s="17">
        <f>IF($A211="","",ROUND($D211,2))</f>
        <v/>
      </c>
      <c r="L211" s="17">
        <f>IF($A211="","",ROUND($C211,2))</f>
        <v/>
      </c>
      <c r="M211" s="17">
        <f>IF($A211="","",IF($F211&lt;=toleransKurus,1,0))</f>
        <v/>
      </c>
      <c r="N211" s="17">
        <f>IF($A211="","",IF($F211&gt;tyk_esikFark,1,0))</f>
        <v/>
      </c>
      <c r="O211" s="17">
        <f>IF($A211="","",IFERROR(SUMIF(tblMotor[A_Norm],$A211,tblMotor[NetKar]),0))</f>
        <v/>
      </c>
      <c r="P211" s="17">
        <f>IF($A211="","",$B211+$M211+$N211)</f>
        <v/>
      </c>
    </row>
    <row r="212">
      <c r="A212" s="17">
        <f>IF('ANAHTAR'!$B212="","",'ANAHTAR'!$B212)</f>
        <v/>
      </c>
      <c r="B212" s="17">
        <f>IF($A212="","",COUNTIF(tblAnahtarB[NormB],$A212))</f>
        <v/>
      </c>
      <c r="C212" s="17">
        <f>IF($A212="","",IFERROR(SUMIF(tblAnahtarB[NormB],$A212,tblHakedis[GercekHakedis]),0))</f>
        <v/>
      </c>
      <c r="D212" s="17">
        <f>IF($A212="","",IFERROR(SUMIF(tblMotor[A_Norm],$A212,tblMotor[BeklenenHakedis]),0))</f>
        <v/>
      </c>
      <c r="E212" s="17">
        <f>IF($A212="","",ROUND($D212,2)-ROUND($C212,2))</f>
        <v/>
      </c>
      <c r="F212" s="17">
        <f>IF($A212="","",ABS($E212))</f>
        <v/>
      </c>
      <c r="G212" s="17">
        <f>IF($A212="","",IF($B212=0,"eslesmedi",IF(ROUND($D212,2)=ROUND($C212,2),"eslesti",IF(ABS(ROUND($D212,2)-ROUND($C212,2))&lt;=toleransKurus,"tolerans_icinde","tutar_farki"))))</f>
        <v/>
      </c>
      <c r="H212" s="17">
        <f>IF($A212="","",IF($B212&gt;0,"BIRINCIL",IF(COUNTIF(tblAnahtarB[IkincilB],'ANAHTAR'!$D212)&gt;0,"IKINCIL","YOK")))</f>
        <v/>
      </c>
      <c r="I212" s="17">
        <f>IF($A212="","",'ANAHTAR'!$F212)</f>
        <v/>
      </c>
      <c r="J212" s="17">
        <f>IF(OR($A212="",$D212=0),0,$F212/ABS($D212))</f>
        <v/>
      </c>
      <c r="K212" s="17">
        <f>IF($A212="","",ROUND($D212,2))</f>
        <v/>
      </c>
      <c r="L212" s="17">
        <f>IF($A212="","",ROUND($C212,2))</f>
        <v/>
      </c>
      <c r="M212" s="17">
        <f>IF($A212="","",IF($F212&lt;=toleransKurus,1,0))</f>
        <v/>
      </c>
      <c r="N212" s="17">
        <f>IF($A212="","",IF($F212&gt;tyk_esikFark,1,0))</f>
        <v/>
      </c>
      <c r="O212" s="17">
        <f>IF($A212="","",IFERROR(SUMIF(tblMotor[A_Norm],$A212,tblMotor[NetKar]),0))</f>
        <v/>
      </c>
      <c r="P212" s="17">
        <f>IF($A212="","",$B212+$M212+$N212)</f>
        <v/>
      </c>
    </row>
    <row r="213">
      <c r="A213" s="17">
        <f>IF('ANAHTAR'!$B213="","",'ANAHTAR'!$B213)</f>
        <v/>
      </c>
      <c r="B213" s="17">
        <f>IF($A213="","",COUNTIF(tblAnahtarB[NormB],$A213))</f>
        <v/>
      </c>
      <c r="C213" s="17">
        <f>IF($A213="","",IFERROR(SUMIF(tblAnahtarB[NormB],$A213,tblHakedis[GercekHakedis]),0))</f>
        <v/>
      </c>
      <c r="D213" s="17">
        <f>IF($A213="","",IFERROR(SUMIF(tblMotor[A_Norm],$A213,tblMotor[BeklenenHakedis]),0))</f>
        <v/>
      </c>
      <c r="E213" s="17">
        <f>IF($A213="","",ROUND($D213,2)-ROUND($C213,2))</f>
        <v/>
      </c>
      <c r="F213" s="17">
        <f>IF($A213="","",ABS($E213))</f>
        <v/>
      </c>
      <c r="G213" s="17">
        <f>IF($A213="","",IF($B213=0,"eslesmedi",IF(ROUND($D213,2)=ROUND($C213,2),"eslesti",IF(ABS(ROUND($D213,2)-ROUND($C213,2))&lt;=toleransKurus,"tolerans_icinde","tutar_farki"))))</f>
        <v/>
      </c>
      <c r="H213" s="17">
        <f>IF($A213="","",IF($B213&gt;0,"BIRINCIL",IF(COUNTIF(tblAnahtarB[IkincilB],'ANAHTAR'!$D213)&gt;0,"IKINCIL","YOK")))</f>
        <v/>
      </c>
      <c r="I213" s="17">
        <f>IF($A213="","",'ANAHTAR'!$F213)</f>
        <v/>
      </c>
      <c r="J213" s="17">
        <f>IF(OR($A213="",$D213=0),0,$F213/ABS($D213))</f>
        <v/>
      </c>
      <c r="K213" s="17">
        <f>IF($A213="","",ROUND($D213,2))</f>
        <v/>
      </c>
      <c r="L213" s="17">
        <f>IF($A213="","",ROUND($C213,2))</f>
        <v/>
      </c>
      <c r="M213" s="17">
        <f>IF($A213="","",IF($F213&lt;=toleransKurus,1,0))</f>
        <v/>
      </c>
      <c r="N213" s="17">
        <f>IF($A213="","",IF($F213&gt;tyk_esikFark,1,0))</f>
        <v/>
      </c>
      <c r="O213" s="17">
        <f>IF($A213="","",IFERROR(SUMIF(tblMotor[A_Norm],$A213,tblMotor[NetKar]),0))</f>
        <v/>
      </c>
      <c r="P213" s="17">
        <f>IF($A213="","",$B213+$M213+$N213)</f>
        <v/>
      </c>
    </row>
    <row r="214">
      <c r="A214" s="17">
        <f>IF('ANAHTAR'!$B214="","",'ANAHTAR'!$B214)</f>
        <v/>
      </c>
      <c r="B214" s="17">
        <f>IF($A214="","",COUNTIF(tblAnahtarB[NormB],$A214))</f>
        <v/>
      </c>
      <c r="C214" s="17">
        <f>IF($A214="","",IFERROR(SUMIF(tblAnahtarB[NormB],$A214,tblHakedis[GercekHakedis]),0))</f>
        <v/>
      </c>
      <c r="D214" s="17">
        <f>IF($A214="","",IFERROR(SUMIF(tblMotor[A_Norm],$A214,tblMotor[BeklenenHakedis]),0))</f>
        <v/>
      </c>
      <c r="E214" s="17">
        <f>IF($A214="","",ROUND($D214,2)-ROUND($C214,2))</f>
        <v/>
      </c>
      <c r="F214" s="17">
        <f>IF($A214="","",ABS($E214))</f>
        <v/>
      </c>
      <c r="G214" s="17">
        <f>IF($A214="","",IF($B214=0,"eslesmedi",IF(ROUND($D214,2)=ROUND($C214,2),"eslesti",IF(ABS(ROUND($D214,2)-ROUND($C214,2))&lt;=toleransKurus,"tolerans_icinde","tutar_farki"))))</f>
        <v/>
      </c>
      <c r="H214" s="17">
        <f>IF($A214="","",IF($B214&gt;0,"BIRINCIL",IF(COUNTIF(tblAnahtarB[IkincilB],'ANAHTAR'!$D214)&gt;0,"IKINCIL","YOK")))</f>
        <v/>
      </c>
      <c r="I214" s="17">
        <f>IF($A214="","",'ANAHTAR'!$F214)</f>
        <v/>
      </c>
      <c r="J214" s="17">
        <f>IF(OR($A214="",$D214=0),0,$F214/ABS($D214))</f>
        <v/>
      </c>
      <c r="K214" s="17">
        <f>IF($A214="","",ROUND($D214,2))</f>
        <v/>
      </c>
      <c r="L214" s="17">
        <f>IF($A214="","",ROUND($C214,2))</f>
        <v/>
      </c>
      <c r="M214" s="17">
        <f>IF($A214="","",IF($F214&lt;=toleransKurus,1,0))</f>
        <v/>
      </c>
      <c r="N214" s="17">
        <f>IF($A214="","",IF($F214&gt;tyk_esikFark,1,0))</f>
        <v/>
      </c>
      <c r="O214" s="17">
        <f>IF($A214="","",IFERROR(SUMIF(tblMotor[A_Norm],$A214,tblMotor[NetKar]),0))</f>
        <v/>
      </c>
      <c r="P214" s="17">
        <f>IF($A214="","",$B214+$M214+$N214)</f>
        <v/>
      </c>
    </row>
    <row r="215">
      <c r="A215" s="17">
        <f>IF('ANAHTAR'!$B215="","",'ANAHTAR'!$B215)</f>
        <v/>
      </c>
      <c r="B215" s="17">
        <f>IF($A215="","",COUNTIF(tblAnahtarB[NormB],$A215))</f>
        <v/>
      </c>
      <c r="C215" s="17">
        <f>IF($A215="","",IFERROR(SUMIF(tblAnahtarB[NormB],$A215,tblHakedis[GercekHakedis]),0))</f>
        <v/>
      </c>
      <c r="D215" s="17">
        <f>IF($A215="","",IFERROR(SUMIF(tblMotor[A_Norm],$A215,tblMotor[BeklenenHakedis]),0))</f>
        <v/>
      </c>
      <c r="E215" s="17">
        <f>IF($A215="","",ROUND($D215,2)-ROUND($C215,2))</f>
        <v/>
      </c>
      <c r="F215" s="17">
        <f>IF($A215="","",ABS($E215))</f>
        <v/>
      </c>
      <c r="G215" s="17">
        <f>IF($A215="","",IF($B215=0,"eslesmedi",IF(ROUND($D215,2)=ROUND($C215,2),"eslesti",IF(ABS(ROUND($D215,2)-ROUND($C215,2))&lt;=toleransKurus,"tolerans_icinde","tutar_farki"))))</f>
        <v/>
      </c>
      <c r="H215" s="17">
        <f>IF($A215="","",IF($B215&gt;0,"BIRINCIL",IF(COUNTIF(tblAnahtarB[IkincilB],'ANAHTAR'!$D215)&gt;0,"IKINCIL","YOK")))</f>
        <v/>
      </c>
      <c r="I215" s="17">
        <f>IF($A215="","",'ANAHTAR'!$F215)</f>
        <v/>
      </c>
      <c r="J215" s="17">
        <f>IF(OR($A215="",$D215=0),0,$F215/ABS($D215))</f>
        <v/>
      </c>
      <c r="K215" s="17">
        <f>IF($A215="","",ROUND($D215,2))</f>
        <v/>
      </c>
      <c r="L215" s="17">
        <f>IF($A215="","",ROUND($C215,2))</f>
        <v/>
      </c>
      <c r="M215" s="17">
        <f>IF($A215="","",IF($F215&lt;=toleransKurus,1,0))</f>
        <v/>
      </c>
      <c r="N215" s="17">
        <f>IF($A215="","",IF($F215&gt;tyk_esikFark,1,0))</f>
        <v/>
      </c>
      <c r="O215" s="17">
        <f>IF($A215="","",IFERROR(SUMIF(tblMotor[A_Norm],$A215,tblMotor[NetKar]),0))</f>
        <v/>
      </c>
      <c r="P215" s="17">
        <f>IF($A215="","",$B215+$M215+$N215)</f>
        <v/>
      </c>
    </row>
    <row r="216">
      <c r="A216" s="17">
        <f>IF('ANAHTAR'!$B216="","",'ANAHTAR'!$B216)</f>
        <v/>
      </c>
      <c r="B216" s="17">
        <f>IF($A216="","",COUNTIF(tblAnahtarB[NormB],$A216))</f>
        <v/>
      </c>
      <c r="C216" s="17">
        <f>IF($A216="","",IFERROR(SUMIF(tblAnahtarB[NormB],$A216,tblHakedis[GercekHakedis]),0))</f>
        <v/>
      </c>
      <c r="D216" s="17">
        <f>IF($A216="","",IFERROR(SUMIF(tblMotor[A_Norm],$A216,tblMotor[BeklenenHakedis]),0))</f>
        <v/>
      </c>
      <c r="E216" s="17">
        <f>IF($A216="","",ROUND($D216,2)-ROUND($C216,2))</f>
        <v/>
      </c>
      <c r="F216" s="17">
        <f>IF($A216="","",ABS($E216))</f>
        <v/>
      </c>
      <c r="G216" s="17">
        <f>IF($A216="","",IF($B216=0,"eslesmedi",IF(ROUND($D216,2)=ROUND($C216,2),"eslesti",IF(ABS(ROUND($D216,2)-ROUND($C216,2))&lt;=toleransKurus,"tolerans_icinde","tutar_farki"))))</f>
        <v/>
      </c>
      <c r="H216" s="17">
        <f>IF($A216="","",IF($B216&gt;0,"BIRINCIL",IF(COUNTIF(tblAnahtarB[IkincilB],'ANAHTAR'!$D216)&gt;0,"IKINCIL","YOK")))</f>
        <v/>
      </c>
      <c r="I216" s="17">
        <f>IF($A216="","",'ANAHTAR'!$F216)</f>
        <v/>
      </c>
      <c r="J216" s="17">
        <f>IF(OR($A216="",$D216=0),0,$F216/ABS($D216))</f>
        <v/>
      </c>
      <c r="K216" s="17">
        <f>IF($A216="","",ROUND($D216,2))</f>
        <v/>
      </c>
      <c r="L216" s="17">
        <f>IF($A216="","",ROUND($C216,2))</f>
        <v/>
      </c>
      <c r="M216" s="17">
        <f>IF($A216="","",IF($F216&lt;=toleransKurus,1,0))</f>
        <v/>
      </c>
      <c r="N216" s="17">
        <f>IF($A216="","",IF($F216&gt;tyk_esikFark,1,0))</f>
        <v/>
      </c>
      <c r="O216" s="17">
        <f>IF($A216="","",IFERROR(SUMIF(tblMotor[A_Norm],$A216,tblMotor[NetKar]),0))</f>
        <v/>
      </c>
      <c r="P216" s="17">
        <f>IF($A216="","",$B216+$M216+$N216)</f>
        <v/>
      </c>
    </row>
    <row r="217">
      <c r="A217" s="17">
        <f>IF('ANAHTAR'!$B217="","",'ANAHTAR'!$B217)</f>
        <v/>
      </c>
      <c r="B217" s="17">
        <f>IF($A217="","",COUNTIF(tblAnahtarB[NormB],$A217))</f>
        <v/>
      </c>
      <c r="C217" s="17">
        <f>IF($A217="","",IFERROR(SUMIF(tblAnahtarB[NormB],$A217,tblHakedis[GercekHakedis]),0))</f>
        <v/>
      </c>
      <c r="D217" s="17">
        <f>IF($A217="","",IFERROR(SUMIF(tblMotor[A_Norm],$A217,tblMotor[BeklenenHakedis]),0))</f>
        <v/>
      </c>
      <c r="E217" s="17">
        <f>IF($A217="","",ROUND($D217,2)-ROUND($C217,2))</f>
        <v/>
      </c>
      <c r="F217" s="17">
        <f>IF($A217="","",ABS($E217))</f>
        <v/>
      </c>
      <c r="G217" s="17">
        <f>IF($A217="","",IF($B217=0,"eslesmedi",IF(ROUND($D217,2)=ROUND($C217,2),"eslesti",IF(ABS(ROUND($D217,2)-ROUND($C217,2))&lt;=toleransKurus,"tolerans_icinde","tutar_farki"))))</f>
        <v/>
      </c>
      <c r="H217" s="17">
        <f>IF($A217="","",IF($B217&gt;0,"BIRINCIL",IF(COUNTIF(tblAnahtarB[IkincilB],'ANAHTAR'!$D217)&gt;0,"IKINCIL","YOK")))</f>
        <v/>
      </c>
      <c r="I217" s="17">
        <f>IF($A217="","",'ANAHTAR'!$F217)</f>
        <v/>
      </c>
      <c r="J217" s="17">
        <f>IF(OR($A217="",$D217=0),0,$F217/ABS($D217))</f>
        <v/>
      </c>
      <c r="K217" s="17">
        <f>IF($A217="","",ROUND($D217,2))</f>
        <v/>
      </c>
      <c r="L217" s="17">
        <f>IF($A217="","",ROUND($C217,2))</f>
        <v/>
      </c>
      <c r="M217" s="17">
        <f>IF($A217="","",IF($F217&lt;=toleransKurus,1,0))</f>
        <v/>
      </c>
      <c r="N217" s="17">
        <f>IF($A217="","",IF($F217&gt;tyk_esikFark,1,0))</f>
        <v/>
      </c>
      <c r="O217" s="17">
        <f>IF($A217="","",IFERROR(SUMIF(tblMotor[A_Norm],$A217,tblMotor[NetKar]),0))</f>
        <v/>
      </c>
      <c r="P217" s="17">
        <f>IF($A217="","",$B217+$M217+$N217)</f>
        <v/>
      </c>
    </row>
    <row r="218">
      <c r="A218" s="17">
        <f>IF('ANAHTAR'!$B218="","",'ANAHTAR'!$B218)</f>
        <v/>
      </c>
      <c r="B218" s="17">
        <f>IF($A218="","",COUNTIF(tblAnahtarB[NormB],$A218))</f>
        <v/>
      </c>
      <c r="C218" s="17">
        <f>IF($A218="","",IFERROR(SUMIF(tblAnahtarB[NormB],$A218,tblHakedis[GercekHakedis]),0))</f>
        <v/>
      </c>
      <c r="D218" s="17">
        <f>IF($A218="","",IFERROR(SUMIF(tblMotor[A_Norm],$A218,tblMotor[BeklenenHakedis]),0))</f>
        <v/>
      </c>
      <c r="E218" s="17">
        <f>IF($A218="","",ROUND($D218,2)-ROUND($C218,2))</f>
        <v/>
      </c>
      <c r="F218" s="17">
        <f>IF($A218="","",ABS($E218))</f>
        <v/>
      </c>
      <c r="G218" s="17">
        <f>IF($A218="","",IF($B218=0,"eslesmedi",IF(ROUND($D218,2)=ROUND($C218,2),"eslesti",IF(ABS(ROUND($D218,2)-ROUND($C218,2))&lt;=toleransKurus,"tolerans_icinde","tutar_farki"))))</f>
        <v/>
      </c>
      <c r="H218" s="17">
        <f>IF($A218="","",IF($B218&gt;0,"BIRINCIL",IF(COUNTIF(tblAnahtarB[IkincilB],'ANAHTAR'!$D218)&gt;0,"IKINCIL","YOK")))</f>
        <v/>
      </c>
      <c r="I218" s="17">
        <f>IF($A218="","",'ANAHTAR'!$F218)</f>
        <v/>
      </c>
      <c r="J218" s="17">
        <f>IF(OR($A218="",$D218=0),0,$F218/ABS($D218))</f>
        <v/>
      </c>
      <c r="K218" s="17">
        <f>IF($A218="","",ROUND($D218,2))</f>
        <v/>
      </c>
      <c r="L218" s="17">
        <f>IF($A218="","",ROUND($C218,2))</f>
        <v/>
      </c>
      <c r="M218" s="17">
        <f>IF($A218="","",IF($F218&lt;=toleransKurus,1,0))</f>
        <v/>
      </c>
      <c r="N218" s="17">
        <f>IF($A218="","",IF($F218&gt;tyk_esikFark,1,0))</f>
        <v/>
      </c>
      <c r="O218" s="17">
        <f>IF($A218="","",IFERROR(SUMIF(tblMotor[A_Norm],$A218,tblMotor[NetKar]),0))</f>
        <v/>
      </c>
      <c r="P218" s="17">
        <f>IF($A218="","",$B218+$M218+$N218)</f>
        <v/>
      </c>
    </row>
    <row r="219">
      <c r="A219" s="17">
        <f>IF('ANAHTAR'!$B219="","",'ANAHTAR'!$B219)</f>
        <v/>
      </c>
      <c r="B219" s="17">
        <f>IF($A219="","",COUNTIF(tblAnahtarB[NormB],$A219))</f>
        <v/>
      </c>
      <c r="C219" s="17">
        <f>IF($A219="","",IFERROR(SUMIF(tblAnahtarB[NormB],$A219,tblHakedis[GercekHakedis]),0))</f>
        <v/>
      </c>
      <c r="D219" s="17">
        <f>IF($A219="","",IFERROR(SUMIF(tblMotor[A_Norm],$A219,tblMotor[BeklenenHakedis]),0))</f>
        <v/>
      </c>
      <c r="E219" s="17">
        <f>IF($A219="","",ROUND($D219,2)-ROUND($C219,2))</f>
        <v/>
      </c>
      <c r="F219" s="17">
        <f>IF($A219="","",ABS($E219))</f>
        <v/>
      </c>
      <c r="G219" s="17">
        <f>IF($A219="","",IF($B219=0,"eslesmedi",IF(ROUND($D219,2)=ROUND($C219,2),"eslesti",IF(ABS(ROUND($D219,2)-ROUND($C219,2))&lt;=toleransKurus,"tolerans_icinde","tutar_farki"))))</f>
        <v/>
      </c>
      <c r="H219" s="17">
        <f>IF($A219="","",IF($B219&gt;0,"BIRINCIL",IF(COUNTIF(tblAnahtarB[IkincilB],'ANAHTAR'!$D219)&gt;0,"IKINCIL","YOK")))</f>
        <v/>
      </c>
      <c r="I219" s="17">
        <f>IF($A219="","",'ANAHTAR'!$F219)</f>
        <v/>
      </c>
      <c r="J219" s="17">
        <f>IF(OR($A219="",$D219=0),0,$F219/ABS($D219))</f>
        <v/>
      </c>
      <c r="K219" s="17">
        <f>IF($A219="","",ROUND($D219,2))</f>
        <v/>
      </c>
      <c r="L219" s="17">
        <f>IF($A219="","",ROUND($C219,2))</f>
        <v/>
      </c>
      <c r="M219" s="17">
        <f>IF($A219="","",IF($F219&lt;=toleransKurus,1,0))</f>
        <v/>
      </c>
      <c r="N219" s="17">
        <f>IF($A219="","",IF($F219&gt;tyk_esikFark,1,0))</f>
        <v/>
      </c>
      <c r="O219" s="17">
        <f>IF($A219="","",IFERROR(SUMIF(tblMotor[A_Norm],$A219,tblMotor[NetKar]),0))</f>
        <v/>
      </c>
      <c r="P219" s="17">
        <f>IF($A219="","",$B219+$M219+$N219)</f>
        <v/>
      </c>
    </row>
    <row r="220">
      <c r="A220" s="17">
        <f>IF('ANAHTAR'!$B220="","",'ANAHTAR'!$B220)</f>
        <v/>
      </c>
      <c r="B220" s="17">
        <f>IF($A220="","",COUNTIF(tblAnahtarB[NormB],$A220))</f>
        <v/>
      </c>
      <c r="C220" s="17">
        <f>IF($A220="","",IFERROR(SUMIF(tblAnahtarB[NormB],$A220,tblHakedis[GercekHakedis]),0))</f>
        <v/>
      </c>
      <c r="D220" s="17">
        <f>IF($A220="","",IFERROR(SUMIF(tblMotor[A_Norm],$A220,tblMotor[BeklenenHakedis]),0))</f>
        <v/>
      </c>
      <c r="E220" s="17">
        <f>IF($A220="","",ROUND($D220,2)-ROUND($C220,2))</f>
        <v/>
      </c>
      <c r="F220" s="17">
        <f>IF($A220="","",ABS($E220))</f>
        <v/>
      </c>
      <c r="G220" s="17">
        <f>IF($A220="","",IF($B220=0,"eslesmedi",IF(ROUND($D220,2)=ROUND($C220,2),"eslesti",IF(ABS(ROUND($D220,2)-ROUND($C220,2))&lt;=toleransKurus,"tolerans_icinde","tutar_farki"))))</f>
        <v/>
      </c>
      <c r="H220" s="17">
        <f>IF($A220="","",IF($B220&gt;0,"BIRINCIL",IF(COUNTIF(tblAnahtarB[IkincilB],'ANAHTAR'!$D220)&gt;0,"IKINCIL","YOK")))</f>
        <v/>
      </c>
      <c r="I220" s="17">
        <f>IF($A220="","",'ANAHTAR'!$F220)</f>
        <v/>
      </c>
      <c r="J220" s="17">
        <f>IF(OR($A220="",$D220=0),0,$F220/ABS($D220))</f>
        <v/>
      </c>
      <c r="K220" s="17">
        <f>IF($A220="","",ROUND($D220,2))</f>
        <v/>
      </c>
      <c r="L220" s="17">
        <f>IF($A220="","",ROUND($C220,2))</f>
        <v/>
      </c>
      <c r="M220" s="17">
        <f>IF($A220="","",IF($F220&lt;=toleransKurus,1,0))</f>
        <v/>
      </c>
      <c r="N220" s="17">
        <f>IF($A220="","",IF($F220&gt;tyk_esikFark,1,0))</f>
        <v/>
      </c>
      <c r="O220" s="17">
        <f>IF($A220="","",IFERROR(SUMIF(tblMotor[A_Norm],$A220,tblMotor[NetKar]),0))</f>
        <v/>
      </c>
      <c r="P220" s="17">
        <f>IF($A220="","",$B220+$M220+$N220)</f>
        <v/>
      </c>
    </row>
    <row r="221">
      <c r="A221" s="17">
        <f>IF('ANAHTAR'!$B221="","",'ANAHTAR'!$B221)</f>
        <v/>
      </c>
      <c r="B221" s="17">
        <f>IF($A221="","",COUNTIF(tblAnahtarB[NormB],$A221))</f>
        <v/>
      </c>
      <c r="C221" s="17">
        <f>IF($A221="","",IFERROR(SUMIF(tblAnahtarB[NormB],$A221,tblHakedis[GercekHakedis]),0))</f>
        <v/>
      </c>
      <c r="D221" s="17">
        <f>IF($A221="","",IFERROR(SUMIF(tblMotor[A_Norm],$A221,tblMotor[BeklenenHakedis]),0))</f>
        <v/>
      </c>
      <c r="E221" s="17">
        <f>IF($A221="","",ROUND($D221,2)-ROUND($C221,2))</f>
        <v/>
      </c>
      <c r="F221" s="17">
        <f>IF($A221="","",ABS($E221))</f>
        <v/>
      </c>
      <c r="G221" s="17">
        <f>IF($A221="","",IF($B221=0,"eslesmedi",IF(ROUND($D221,2)=ROUND($C221,2),"eslesti",IF(ABS(ROUND($D221,2)-ROUND($C221,2))&lt;=toleransKurus,"tolerans_icinde","tutar_farki"))))</f>
        <v/>
      </c>
      <c r="H221" s="17">
        <f>IF($A221="","",IF($B221&gt;0,"BIRINCIL",IF(COUNTIF(tblAnahtarB[IkincilB],'ANAHTAR'!$D221)&gt;0,"IKINCIL","YOK")))</f>
        <v/>
      </c>
      <c r="I221" s="17">
        <f>IF($A221="","",'ANAHTAR'!$F221)</f>
        <v/>
      </c>
      <c r="J221" s="17">
        <f>IF(OR($A221="",$D221=0),0,$F221/ABS($D221))</f>
        <v/>
      </c>
      <c r="K221" s="17">
        <f>IF($A221="","",ROUND($D221,2))</f>
        <v/>
      </c>
      <c r="L221" s="17">
        <f>IF($A221="","",ROUND($C221,2))</f>
        <v/>
      </c>
      <c r="M221" s="17">
        <f>IF($A221="","",IF($F221&lt;=toleransKurus,1,0))</f>
        <v/>
      </c>
      <c r="N221" s="17">
        <f>IF($A221="","",IF($F221&gt;tyk_esikFark,1,0))</f>
        <v/>
      </c>
      <c r="O221" s="17">
        <f>IF($A221="","",IFERROR(SUMIF(tblMotor[A_Norm],$A221,tblMotor[NetKar]),0))</f>
        <v/>
      </c>
      <c r="P221" s="17">
        <f>IF($A221="","",$B221+$M221+$N221)</f>
        <v/>
      </c>
    </row>
    <row r="222">
      <c r="A222" s="17">
        <f>IF('ANAHTAR'!$B222="","",'ANAHTAR'!$B222)</f>
        <v/>
      </c>
      <c r="B222" s="17">
        <f>IF($A222="","",COUNTIF(tblAnahtarB[NormB],$A222))</f>
        <v/>
      </c>
      <c r="C222" s="17">
        <f>IF($A222="","",IFERROR(SUMIF(tblAnahtarB[NormB],$A222,tblHakedis[GercekHakedis]),0))</f>
        <v/>
      </c>
      <c r="D222" s="17">
        <f>IF($A222="","",IFERROR(SUMIF(tblMotor[A_Norm],$A222,tblMotor[BeklenenHakedis]),0))</f>
        <v/>
      </c>
      <c r="E222" s="17">
        <f>IF($A222="","",ROUND($D222,2)-ROUND($C222,2))</f>
        <v/>
      </c>
      <c r="F222" s="17">
        <f>IF($A222="","",ABS($E222))</f>
        <v/>
      </c>
      <c r="G222" s="17">
        <f>IF($A222="","",IF($B222=0,"eslesmedi",IF(ROUND($D222,2)=ROUND($C222,2),"eslesti",IF(ABS(ROUND($D222,2)-ROUND($C222,2))&lt;=toleransKurus,"tolerans_icinde","tutar_farki"))))</f>
        <v/>
      </c>
      <c r="H222" s="17">
        <f>IF($A222="","",IF($B222&gt;0,"BIRINCIL",IF(COUNTIF(tblAnahtarB[IkincilB],'ANAHTAR'!$D222)&gt;0,"IKINCIL","YOK")))</f>
        <v/>
      </c>
      <c r="I222" s="17">
        <f>IF($A222="","",'ANAHTAR'!$F222)</f>
        <v/>
      </c>
      <c r="J222" s="17">
        <f>IF(OR($A222="",$D222=0),0,$F222/ABS($D222))</f>
        <v/>
      </c>
      <c r="K222" s="17">
        <f>IF($A222="","",ROUND($D222,2))</f>
        <v/>
      </c>
      <c r="L222" s="17">
        <f>IF($A222="","",ROUND($C222,2))</f>
        <v/>
      </c>
      <c r="M222" s="17">
        <f>IF($A222="","",IF($F222&lt;=toleransKurus,1,0))</f>
        <v/>
      </c>
      <c r="N222" s="17">
        <f>IF($A222="","",IF($F222&gt;tyk_esikFark,1,0))</f>
        <v/>
      </c>
      <c r="O222" s="17">
        <f>IF($A222="","",IFERROR(SUMIF(tblMotor[A_Norm],$A222,tblMotor[NetKar]),0))</f>
        <v/>
      </c>
      <c r="P222" s="17">
        <f>IF($A222="","",$B222+$M222+$N222)</f>
        <v/>
      </c>
    </row>
    <row r="223">
      <c r="A223" s="17">
        <f>IF('ANAHTAR'!$B223="","",'ANAHTAR'!$B223)</f>
        <v/>
      </c>
      <c r="B223" s="17">
        <f>IF($A223="","",COUNTIF(tblAnahtarB[NormB],$A223))</f>
        <v/>
      </c>
      <c r="C223" s="17">
        <f>IF($A223="","",IFERROR(SUMIF(tblAnahtarB[NormB],$A223,tblHakedis[GercekHakedis]),0))</f>
        <v/>
      </c>
      <c r="D223" s="17">
        <f>IF($A223="","",IFERROR(SUMIF(tblMotor[A_Norm],$A223,tblMotor[BeklenenHakedis]),0))</f>
        <v/>
      </c>
      <c r="E223" s="17">
        <f>IF($A223="","",ROUND($D223,2)-ROUND($C223,2))</f>
        <v/>
      </c>
      <c r="F223" s="17">
        <f>IF($A223="","",ABS($E223))</f>
        <v/>
      </c>
      <c r="G223" s="17">
        <f>IF($A223="","",IF($B223=0,"eslesmedi",IF(ROUND($D223,2)=ROUND($C223,2),"eslesti",IF(ABS(ROUND($D223,2)-ROUND($C223,2))&lt;=toleransKurus,"tolerans_icinde","tutar_farki"))))</f>
        <v/>
      </c>
      <c r="H223" s="17">
        <f>IF($A223="","",IF($B223&gt;0,"BIRINCIL",IF(COUNTIF(tblAnahtarB[IkincilB],'ANAHTAR'!$D223)&gt;0,"IKINCIL","YOK")))</f>
        <v/>
      </c>
      <c r="I223" s="17">
        <f>IF($A223="","",'ANAHTAR'!$F223)</f>
        <v/>
      </c>
      <c r="J223" s="17">
        <f>IF(OR($A223="",$D223=0),0,$F223/ABS($D223))</f>
        <v/>
      </c>
      <c r="K223" s="17">
        <f>IF($A223="","",ROUND($D223,2))</f>
        <v/>
      </c>
      <c r="L223" s="17">
        <f>IF($A223="","",ROUND($C223,2))</f>
        <v/>
      </c>
      <c r="M223" s="17">
        <f>IF($A223="","",IF($F223&lt;=toleransKurus,1,0))</f>
        <v/>
      </c>
      <c r="N223" s="17">
        <f>IF($A223="","",IF($F223&gt;tyk_esikFark,1,0))</f>
        <v/>
      </c>
      <c r="O223" s="17">
        <f>IF($A223="","",IFERROR(SUMIF(tblMotor[A_Norm],$A223,tblMotor[NetKar]),0))</f>
        <v/>
      </c>
      <c r="P223" s="17">
        <f>IF($A223="","",$B223+$M223+$N223)</f>
        <v/>
      </c>
    </row>
    <row r="224">
      <c r="A224" s="17">
        <f>IF('ANAHTAR'!$B224="","",'ANAHTAR'!$B224)</f>
        <v/>
      </c>
      <c r="B224" s="17">
        <f>IF($A224="","",COUNTIF(tblAnahtarB[NormB],$A224))</f>
        <v/>
      </c>
      <c r="C224" s="17">
        <f>IF($A224="","",IFERROR(SUMIF(tblAnahtarB[NormB],$A224,tblHakedis[GercekHakedis]),0))</f>
        <v/>
      </c>
      <c r="D224" s="17">
        <f>IF($A224="","",IFERROR(SUMIF(tblMotor[A_Norm],$A224,tblMotor[BeklenenHakedis]),0))</f>
        <v/>
      </c>
      <c r="E224" s="17">
        <f>IF($A224="","",ROUND($D224,2)-ROUND($C224,2))</f>
        <v/>
      </c>
      <c r="F224" s="17">
        <f>IF($A224="","",ABS($E224))</f>
        <v/>
      </c>
      <c r="G224" s="17">
        <f>IF($A224="","",IF($B224=0,"eslesmedi",IF(ROUND($D224,2)=ROUND($C224,2),"eslesti",IF(ABS(ROUND($D224,2)-ROUND($C224,2))&lt;=toleransKurus,"tolerans_icinde","tutar_farki"))))</f>
        <v/>
      </c>
      <c r="H224" s="17">
        <f>IF($A224="","",IF($B224&gt;0,"BIRINCIL",IF(COUNTIF(tblAnahtarB[IkincilB],'ANAHTAR'!$D224)&gt;0,"IKINCIL","YOK")))</f>
        <v/>
      </c>
      <c r="I224" s="17">
        <f>IF($A224="","",'ANAHTAR'!$F224)</f>
        <v/>
      </c>
      <c r="J224" s="17">
        <f>IF(OR($A224="",$D224=0),0,$F224/ABS($D224))</f>
        <v/>
      </c>
      <c r="K224" s="17">
        <f>IF($A224="","",ROUND($D224,2))</f>
        <v/>
      </c>
      <c r="L224" s="17">
        <f>IF($A224="","",ROUND($C224,2))</f>
        <v/>
      </c>
      <c r="M224" s="17">
        <f>IF($A224="","",IF($F224&lt;=toleransKurus,1,0))</f>
        <v/>
      </c>
      <c r="N224" s="17">
        <f>IF($A224="","",IF($F224&gt;tyk_esikFark,1,0))</f>
        <v/>
      </c>
      <c r="O224" s="17">
        <f>IF($A224="","",IFERROR(SUMIF(tblMotor[A_Norm],$A224,tblMotor[NetKar]),0))</f>
        <v/>
      </c>
      <c r="P224" s="17">
        <f>IF($A224="","",$B224+$M224+$N224)</f>
        <v/>
      </c>
    </row>
    <row r="225">
      <c r="A225" s="17">
        <f>IF('ANAHTAR'!$B225="","",'ANAHTAR'!$B225)</f>
        <v/>
      </c>
      <c r="B225" s="17">
        <f>IF($A225="","",COUNTIF(tblAnahtarB[NormB],$A225))</f>
        <v/>
      </c>
      <c r="C225" s="17">
        <f>IF($A225="","",IFERROR(SUMIF(tblAnahtarB[NormB],$A225,tblHakedis[GercekHakedis]),0))</f>
        <v/>
      </c>
      <c r="D225" s="17">
        <f>IF($A225="","",IFERROR(SUMIF(tblMotor[A_Norm],$A225,tblMotor[BeklenenHakedis]),0))</f>
        <v/>
      </c>
      <c r="E225" s="17">
        <f>IF($A225="","",ROUND($D225,2)-ROUND($C225,2))</f>
        <v/>
      </c>
      <c r="F225" s="17">
        <f>IF($A225="","",ABS($E225))</f>
        <v/>
      </c>
      <c r="G225" s="17">
        <f>IF($A225="","",IF($B225=0,"eslesmedi",IF(ROUND($D225,2)=ROUND($C225,2),"eslesti",IF(ABS(ROUND($D225,2)-ROUND($C225,2))&lt;=toleransKurus,"tolerans_icinde","tutar_farki"))))</f>
        <v/>
      </c>
      <c r="H225" s="17">
        <f>IF($A225="","",IF($B225&gt;0,"BIRINCIL",IF(COUNTIF(tblAnahtarB[IkincilB],'ANAHTAR'!$D225)&gt;0,"IKINCIL","YOK")))</f>
        <v/>
      </c>
      <c r="I225" s="17">
        <f>IF($A225="","",'ANAHTAR'!$F225)</f>
        <v/>
      </c>
      <c r="J225" s="17">
        <f>IF(OR($A225="",$D225=0),0,$F225/ABS($D225))</f>
        <v/>
      </c>
      <c r="K225" s="17">
        <f>IF($A225="","",ROUND($D225,2))</f>
        <v/>
      </c>
      <c r="L225" s="17">
        <f>IF($A225="","",ROUND($C225,2))</f>
        <v/>
      </c>
      <c r="M225" s="17">
        <f>IF($A225="","",IF($F225&lt;=toleransKurus,1,0))</f>
        <v/>
      </c>
      <c r="N225" s="17">
        <f>IF($A225="","",IF($F225&gt;tyk_esikFark,1,0))</f>
        <v/>
      </c>
      <c r="O225" s="17">
        <f>IF($A225="","",IFERROR(SUMIF(tblMotor[A_Norm],$A225,tblMotor[NetKar]),0))</f>
        <v/>
      </c>
      <c r="P225" s="17">
        <f>IF($A225="","",$B225+$M225+$N225)</f>
        <v/>
      </c>
    </row>
    <row r="226">
      <c r="A226" s="17">
        <f>IF('ANAHTAR'!$B226="","",'ANAHTAR'!$B226)</f>
        <v/>
      </c>
      <c r="B226" s="17">
        <f>IF($A226="","",COUNTIF(tblAnahtarB[NormB],$A226))</f>
        <v/>
      </c>
      <c r="C226" s="17">
        <f>IF($A226="","",IFERROR(SUMIF(tblAnahtarB[NormB],$A226,tblHakedis[GercekHakedis]),0))</f>
        <v/>
      </c>
      <c r="D226" s="17">
        <f>IF($A226="","",IFERROR(SUMIF(tblMotor[A_Norm],$A226,tblMotor[BeklenenHakedis]),0))</f>
        <v/>
      </c>
      <c r="E226" s="17">
        <f>IF($A226="","",ROUND($D226,2)-ROUND($C226,2))</f>
        <v/>
      </c>
      <c r="F226" s="17">
        <f>IF($A226="","",ABS($E226))</f>
        <v/>
      </c>
      <c r="G226" s="17">
        <f>IF($A226="","",IF($B226=0,"eslesmedi",IF(ROUND($D226,2)=ROUND($C226,2),"eslesti",IF(ABS(ROUND($D226,2)-ROUND($C226,2))&lt;=toleransKurus,"tolerans_icinde","tutar_farki"))))</f>
        <v/>
      </c>
      <c r="H226" s="17">
        <f>IF($A226="","",IF($B226&gt;0,"BIRINCIL",IF(COUNTIF(tblAnahtarB[IkincilB],'ANAHTAR'!$D226)&gt;0,"IKINCIL","YOK")))</f>
        <v/>
      </c>
      <c r="I226" s="17">
        <f>IF($A226="","",'ANAHTAR'!$F226)</f>
        <v/>
      </c>
      <c r="J226" s="17">
        <f>IF(OR($A226="",$D226=0),0,$F226/ABS($D226))</f>
        <v/>
      </c>
      <c r="K226" s="17">
        <f>IF($A226="","",ROUND($D226,2))</f>
        <v/>
      </c>
      <c r="L226" s="17">
        <f>IF($A226="","",ROUND($C226,2))</f>
        <v/>
      </c>
      <c r="M226" s="17">
        <f>IF($A226="","",IF($F226&lt;=toleransKurus,1,0))</f>
        <v/>
      </c>
      <c r="N226" s="17">
        <f>IF($A226="","",IF($F226&gt;tyk_esikFark,1,0))</f>
        <v/>
      </c>
      <c r="O226" s="17">
        <f>IF($A226="","",IFERROR(SUMIF(tblMotor[A_Norm],$A226,tblMotor[NetKar]),0))</f>
        <v/>
      </c>
      <c r="P226" s="17">
        <f>IF($A226="","",$B226+$M226+$N226)</f>
        <v/>
      </c>
    </row>
    <row r="227">
      <c r="A227" s="17">
        <f>IF('ANAHTAR'!$B227="","",'ANAHTAR'!$B227)</f>
        <v/>
      </c>
      <c r="B227" s="17">
        <f>IF($A227="","",COUNTIF(tblAnahtarB[NormB],$A227))</f>
        <v/>
      </c>
      <c r="C227" s="17">
        <f>IF($A227="","",IFERROR(SUMIF(tblAnahtarB[NormB],$A227,tblHakedis[GercekHakedis]),0))</f>
        <v/>
      </c>
      <c r="D227" s="17">
        <f>IF($A227="","",IFERROR(SUMIF(tblMotor[A_Norm],$A227,tblMotor[BeklenenHakedis]),0))</f>
        <v/>
      </c>
      <c r="E227" s="17">
        <f>IF($A227="","",ROUND($D227,2)-ROUND($C227,2))</f>
        <v/>
      </c>
      <c r="F227" s="17">
        <f>IF($A227="","",ABS($E227))</f>
        <v/>
      </c>
      <c r="G227" s="17">
        <f>IF($A227="","",IF($B227=0,"eslesmedi",IF(ROUND($D227,2)=ROUND($C227,2),"eslesti",IF(ABS(ROUND($D227,2)-ROUND($C227,2))&lt;=toleransKurus,"tolerans_icinde","tutar_farki"))))</f>
        <v/>
      </c>
      <c r="H227" s="17">
        <f>IF($A227="","",IF($B227&gt;0,"BIRINCIL",IF(COUNTIF(tblAnahtarB[IkincilB],'ANAHTAR'!$D227)&gt;0,"IKINCIL","YOK")))</f>
        <v/>
      </c>
      <c r="I227" s="17">
        <f>IF($A227="","",'ANAHTAR'!$F227)</f>
        <v/>
      </c>
      <c r="J227" s="17">
        <f>IF(OR($A227="",$D227=0),0,$F227/ABS($D227))</f>
        <v/>
      </c>
      <c r="K227" s="17">
        <f>IF($A227="","",ROUND($D227,2))</f>
        <v/>
      </c>
      <c r="L227" s="17">
        <f>IF($A227="","",ROUND($C227,2))</f>
        <v/>
      </c>
      <c r="M227" s="17">
        <f>IF($A227="","",IF($F227&lt;=toleransKurus,1,0))</f>
        <v/>
      </c>
      <c r="N227" s="17">
        <f>IF($A227="","",IF($F227&gt;tyk_esikFark,1,0))</f>
        <v/>
      </c>
      <c r="O227" s="17">
        <f>IF($A227="","",IFERROR(SUMIF(tblMotor[A_Norm],$A227,tblMotor[NetKar]),0))</f>
        <v/>
      </c>
      <c r="P227" s="17">
        <f>IF($A227="","",$B227+$M227+$N227)</f>
        <v/>
      </c>
    </row>
    <row r="228">
      <c r="A228" s="17">
        <f>IF('ANAHTAR'!$B228="","",'ANAHTAR'!$B228)</f>
        <v/>
      </c>
      <c r="B228" s="17">
        <f>IF($A228="","",COUNTIF(tblAnahtarB[NormB],$A228))</f>
        <v/>
      </c>
      <c r="C228" s="17">
        <f>IF($A228="","",IFERROR(SUMIF(tblAnahtarB[NormB],$A228,tblHakedis[GercekHakedis]),0))</f>
        <v/>
      </c>
      <c r="D228" s="17">
        <f>IF($A228="","",IFERROR(SUMIF(tblMotor[A_Norm],$A228,tblMotor[BeklenenHakedis]),0))</f>
        <v/>
      </c>
      <c r="E228" s="17">
        <f>IF($A228="","",ROUND($D228,2)-ROUND($C228,2))</f>
        <v/>
      </c>
      <c r="F228" s="17">
        <f>IF($A228="","",ABS($E228))</f>
        <v/>
      </c>
      <c r="G228" s="17">
        <f>IF($A228="","",IF($B228=0,"eslesmedi",IF(ROUND($D228,2)=ROUND($C228,2),"eslesti",IF(ABS(ROUND($D228,2)-ROUND($C228,2))&lt;=toleransKurus,"tolerans_icinde","tutar_farki"))))</f>
        <v/>
      </c>
      <c r="H228" s="17">
        <f>IF($A228="","",IF($B228&gt;0,"BIRINCIL",IF(COUNTIF(tblAnahtarB[IkincilB],'ANAHTAR'!$D228)&gt;0,"IKINCIL","YOK")))</f>
        <v/>
      </c>
      <c r="I228" s="17">
        <f>IF($A228="","",'ANAHTAR'!$F228)</f>
        <v/>
      </c>
      <c r="J228" s="17">
        <f>IF(OR($A228="",$D228=0),0,$F228/ABS($D228))</f>
        <v/>
      </c>
      <c r="K228" s="17">
        <f>IF($A228="","",ROUND($D228,2))</f>
        <v/>
      </c>
      <c r="L228" s="17">
        <f>IF($A228="","",ROUND($C228,2))</f>
        <v/>
      </c>
      <c r="M228" s="17">
        <f>IF($A228="","",IF($F228&lt;=toleransKurus,1,0))</f>
        <v/>
      </c>
      <c r="N228" s="17">
        <f>IF($A228="","",IF($F228&gt;tyk_esikFark,1,0))</f>
        <v/>
      </c>
      <c r="O228" s="17">
        <f>IF($A228="","",IFERROR(SUMIF(tblMotor[A_Norm],$A228,tblMotor[NetKar]),0))</f>
        <v/>
      </c>
      <c r="P228" s="17">
        <f>IF($A228="","",$B228+$M228+$N228)</f>
        <v/>
      </c>
    </row>
    <row r="229">
      <c r="A229" s="17">
        <f>IF('ANAHTAR'!$B229="","",'ANAHTAR'!$B229)</f>
        <v/>
      </c>
      <c r="B229" s="17">
        <f>IF($A229="","",COUNTIF(tblAnahtarB[NormB],$A229))</f>
        <v/>
      </c>
      <c r="C229" s="17">
        <f>IF($A229="","",IFERROR(SUMIF(tblAnahtarB[NormB],$A229,tblHakedis[GercekHakedis]),0))</f>
        <v/>
      </c>
      <c r="D229" s="17">
        <f>IF($A229="","",IFERROR(SUMIF(tblMotor[A_Norm],$A229,tblMotor[BeklenenHakedis]),0))</f>
        <v/>
      </c>
      <c r="E229" s="17">
        <f>IF($A229="","",ROUND($D229,2)-ROUND($C229,2))</f>
        <v/>
      </c>
      <c r="F229" s="17">
        <f>IF($A229="","",ABS($E229))</f>
        <v/>
      </c>
      <c r="G229" s="17">
        <f>IF($A229="","",IF($B229=0,"eslesmedi",IF(ROUND($D229,2)=ROUND($C229,2),"eslesti",IF(ABS(ROUND($D229,2)-ROUND($C229,2))&lt;=toleransKurus,"tolerans_icinde","tutar_farki"))))</f>
        <v/>
      </c>
      <c r="H229" s="17">
        <f>IF($A229="","",IF($B229&gt;0,"BIRINCIL",IF(COUNTIF(tblAnahtarB[IkincilB],'ANAHTAR'!$D229)&gt;0,"IKINCIL","YOK")))</f>
        <v/>
      </c>
      <c r="I229" s="17">
        <f>IF($A229="","",'ANAHTAR'!$F229)</f>
        <v/>
      </c>
      <c r="J229" s="17">
        <f>IF(OR($A229="",$D229=0),0,$F229/ABS($D229))</f>
        <v/>
      </c>
      <c r="K229" s="17">
        <f>IF($A229="","",ROUND($D229,2))</f>
        <v/>
      </c>
      <c r="L229" s="17">
        <f>IF($A229="","",ROUND($C229,2))</f>
        <v/>
      </c>
      <c r="M229" s="17">
        <f>IF($A229="","",IF($F229&lt;=toleransKurus,1,0))</f>
        <v/>
      </c>
      <c r="N229" s="17">
        <f>IF($A229="","",IF($F229&gt;tyk_esikFark,1,0))</f>
        <v/>
      </c>
      <c r="O229" s="17">
        <f>IF($A229="","",IFERROR(SUMIF(tblMotor[A_Norm],$A229,tblMotor[NetKar]),0))</f>
        <v/>
      </c>
      <c r="P229" s="17">
        <f>IF($A229="","",$B229+$M229+$N229)</f>
        <v/>
      </c>
    </row>
    <row r="230">
      <c r="A230" s="17">
        <f>IF('ANAHTAR'!$B230="","",'ANAHTAR'!$B230)</f>
        <v/>
      </c>
      <c r="B230" s="17">
        <f>IF($A230="","",COUNTIF(tblAnahtarB[NormB],$A230))</f>
        <v/>
      </c>
      <c r="C230" s="17">
        <f>IF($A230="","",IFERROR(SUMIF(tblAnahtarB[NormB],$A230,tblHakedis[GercekHakedis]),0))</f>
        <v/>
      </c>
      <c r="D230" s="17">
        <f>IF($A230="","",IFERROR(SUMIF(tblMotor[A_Norm],$A230,tblMotor[BeklenenHakedis]),0))</f>
        <v/>
      </c>
      <c r="E230" s="17">
        <f>IF($A230="","",ROUND($D230,2)-ROUND($C230,2))</f>
        <v/>
      </c>
      <c r="F230" s="17">
        <f>IF($A230="","",ABS($E230))</f>
        <v/>
      </c>
      <c r="G230" s="17">
        <f>IF($A230="","",IF($B230=0,"eslesmedi",IF(ROUND($D230,2)=ROUND($C230,2),"eslesti",IF(ABS(ROUND($D230,2)-ROUND($C230,2))&lt;=toleransKurus,"tolerans_icinde","tutar_farki"))))</f>
        <v/>
      </c>
      <c r="H230" s="17">
        <f>IF($A230="","",IF($B230&gt;0,"BIRINCIL",IF(COUNTIF(tblAnahtarB[IkincilB],'ANAHTAR'!$D230)&gt;0,"IKINCIL","YOK")))</f>
        <v/>
      </c>
      <c r="I230" s="17">
        <f>IF($A230="","",'ANAHTAR'!$F230)</f>
        <v/>
      </c>
      <c r="J230" s="17">
        <f>IF(OR($A230="",$D230=0),0,$F230/ABS($D230))</f>
        <v/>
      </c>
      <c r="K230" s="17">
        <f>IF($A230="","",ROUND($D230,2))</f>
        <v/>
      </c>
      <c r="L230" s="17">
        <f>IF($A230="","",ROUND($C230,2))</f>
        <v/>
      </c>
      <c r="M230" s="17">
        <f>IF($A230="","",IF($F230&lt;=toleransKurus,1,0))</f>
        <v/>
      </c>
      <c r="N230" s="17">
        <f>IF($A230="","",IF($F230&gt;tyk_esikFark,1,0))</f>
        <v/>
      </c>
      <c r="O230" s="17">
        <f>IF($A230="","",IFERROR(SUMIF(tblMotor[A_Norm],$A230,tblMotor[NetKar]),0))</f>
        <v/>
      </c>
      <c r="P230" s="17">
        <f>IF($A230="","",$B230+$M230+$N230)</f>
        <v/>
      </c>
    </row>
    <row r="231">
      <c r="A231" s="17">
        <f>IF('ANAHTAR'!$B231="","",'ANAHTAR'!$B231)</f>
        <v/>
      </c>
      <c r="B231" s="17">
        <f>IF($A231="","",COUNTIF(tblAnahtarB[NormB],$A231))</f>
        <v/>
      </c>
      <c r="C231" s="17">
        <f>IF($A231="","",IFERROR(SUMIF(tblAnahtarB[NormB],$A231,tblHakedis[GercekHakedis]),0))</f>
        <v/>
      </c>
      <c r="D231" s="17">
        <f>IF($A231="","",IFERROR(SUMIF(tblMotor[A_Norm],$A231,tblMotor[BeklenenHakedis]),0))</f>
        <v/>
      </c>
      <c r="E231" s="17">
        <f>IF($A231="","",ROUND($D231,2)-ROUND($C231,2))</f>
        <v/>
      </c>
      <c r="F231" s="17">
        <f>IF($A231="","",ABS($E231))</f>
        <v/>
      </c>
      <c r="G231" s="17">
        <f>IF($A231="","",IF($B231=0,"eslesmedi",IF(ROUND($D231,2)=ROUND($C231,2),"eslesti",IF(ABS(ROUND($D231,2)-ROUND($C231,2))&lt;=toleransKurus,"tolerans_icinde","tutar_farki"))))</f>
        <v/>
      </c>
      <c r="H231" s="17">
        <f>IF($A231="","",IF($B231&gt;0,"BIRINCIL",IF(COUNTIF(tblAnahtarB[IkincilB],'ANAHTAR'!$D231)&gt;0,"IKINCIL","YOK")))</f>
        <v/>
      </c>
      <c r="I231" s="17">
        <f>IF($A231="","",'ANAHTAR'!$F231)</f>
        <v/>
      </c>
      <c r="J231" s="17">
        <f>IF(OR($A231="",$D231=0),0,$F231/ABS($D231))</f>
        <v/>
      </c>
      <c r="K231" s="17">
        <f>IF($A231="","",ROUND($D231,2))</f>
        <v/>
      </c>
      <c r="L231" s="17">
        <f>IF($A231="","",ROUND($C231,2))</f>
        <v/>
      </c>
      <c r="M231" s="17">
        <f>IF($A231="","",IF($F231&lt;=toleransKurus,1,0))</f>
        <v/>
      </c>
      <c r="N231" s="17">
        <f>IF($A231="","",IF($F231&gt;tyk_esikFark,1,0))</f>
        <v/>
      </c>
      <c r="O231" s="17">
        <f>IF($A231="","",IFERROR(SUMIF(tblMotor[A_Norm],$A231,tblMotor[NetKar]),0))</f>
        <v/>
      </c>
      <c r="P231" s="17">
        <f>IF($A231="","",$B231+$M231+$N231)</f>
        <v/>
      </c>
    </row>
    <row r="232">
      <c r="A232" s="17">
        <f>IF('ANAHTAR'!$B232="","",'ANAHTAR'!$B232)</f>
        <v/>
      </c>
      <c r="B232" s="17">
        <f>IF($A232="","",COUNTIF(tblAnahtarB[NormB],$A232))</f>
        <v/>
      </c>
      <c r="C232" s="17">
        <f>IF($A232="","",IFERROR(SUMIF(tblAnahtarB[NormB],$A232,tblHakedis[GercekHakedis]),0))</f>
        <v/>
      </c>
      <c r="D232" s="17">
        <f>IF($A232="","",IFERROR(SUMIF(tblMotor[A_Norm],$A232,tblMotor[BeklenenHakedis]),0))</f>
        <v/>
      </c>
      <c r="E232" s="17">
        <f>IF($A232="","",ROUND($D232,2)-ROUND($C232,2))</f>
        <v/>
      </c>
      <c r="F232" s="17">
        <f>IF($A232="","",ABS($E232))</f>
        <v/>
      </c>
      <c r="G232" s="17">
        <f>IF($A232="","",IF($B232=0,"eslesmedi",IF(ROUND($D232,2)=ROUND($C232,2),"eslesti",IF(ABS(ROUND($D232,2)-ROUND($C232,2))&lt;=toleransKurus,"tolerans_icinde","tutar_farki"))))</f>
        <v/>
      </c>
      <c r="H232" s="17">
        <f>IF($A232="","",IF($B232&gt;0,"BIRINCIL",IF(COUNTIF(tblAnahtarB[IkincilB],'ANAHTAR'!$D232)&gt;0,"IKINCIL","YOK")))</f>
        <v/>
      </c>
      <c r="I232" s="17">
        <f>IF($A232="","",'ANAHTAR'!$F232)</f>
        <v/>
      </c>
      <c r="J232" s="17">
        <f>IF(OR($A232="",$D232=0),0,$F232/ABS($D232))</f>
        <v/>
      </c>
      <c r="K232" s="17">
        <f>IF($A232="","",ROUND($D232,2))</f>
        <v/>
      </c>
      <c r="L232" s="17">
        <f>IF($A232="","",ROUND($C232,2))</f>
        <v/>
      </c>
      <c r="M232" s="17">
        <f>IF($A232="","",IF($F232&lt;=toleransKurus,1,0))</f>
        <v/>
      </c>
      <c r="N232" s="17">
        <f>IF($A232="","",IF($F232&gt;tyk_esikFark,1,0))</f>
        <v/>
      </c>
      <c r="O232" s="17">
        <f>IF($A232="","",IFERROR(SUMIF(tblMotor[A_Norm],$A232,tblMotor[NetKar]),0))</f>
        <v/>
      </c>
      <c r="P232" s="17">
        <f>IF($A232="","",$B232+$M232+$N232)</f>
        <v/>
      </c>
    </row>
    <row r="233">
      <c r="A233" s="17">
        <f>IF('ANAHTAR'!$B233="","",'ANAHTAR'!$B233)</f>
        <v/>
      </c>
      <c r="B233" s="17">
        <f>IF($A233="","",COUNTIF(tblAnahtarB[NormB],$A233))</f>
        <v/>
      </c>
      <c r="C233" s="17">
        <f>IF($A233="","",IFERROR(SUMIF(tblAnahtarB[NormB],$A233,tblHakedis[GercekHakedis]),0))</f>
        <v/>
      </c>
      <c r="D233" s="17">
        <f>IF($A233="","",IFERROR(SUMIF(tblMotor[A_Norm],$A233,tblMotor[BeklenenHakedis]),0))</f>
        <v/>
      </c>
      <c r="E233" s="17">
        <f>IF($A233="","",ROUND($D233,2)-ROUND($C233,2))</f>
        <v/>
      </c>
      <c r="F233" s="17">
        <f>IF($A233="","",ABS($E233))</f>
        <v/>
      </c>
      <c r="G233" s="17">
        <f>IF($A233="","",IF($B233=0,"eslesmedi",IF(ROUND($D233,2)=ROUND($C233,2),"eslesti",IF(ABS(ROUND($D233,2)-ROUND($C233,2))&lt;=toleransKurus,"tolerans_icinde","tutar_farki"))))</f>
        <v/>
      </c>
      <c r="H233" s="17">
        <f>IF($A233="","",IF($B233&gt;0,"BIRINCIL",IF(COUNTIF(tblAnahtarB[IkincilB],'ANAHTAR'!$D233)&gt;0,"IKINCIL","YOK")))</f>
        <v/>
      </c>
      <c r="I233" s="17">
        <f>IF($A233="","",'ANAHTAR'!$F233)</f>
        <v/>
      </c>
      <c r="J233" s="17">
        <f>IF(OR($A233="",$D233=0),0,$F233/ABS($D233))</f>
        <v/>
      </c>
      <c r="K233" s="17">
        <f>IF($A233="","",ROUND($D233,2))</f>
        <v/>
      </c>
      <c r="L233" s="17">
        <f>IF($A233="","",ROUND($C233,2))</f>
        <v/>
      </c>
      <c r="M233" s="17">
        <f>IF($A233="","",IF($F233&lt;=toleransKurus,1,0))</f>
        <v/>
      </c>
      <c r="N233" s="17">
        <f>IF($A233="","",IF($F233&gt;tyk_esikFark,1,0))</f>
        <v/>
      </c>
      <c r="O233" s="17">
        <f>IF($A233="","",IFERROR(SUMIF(tblMotor[A_Norm],$A233,tblMotor[NetKar]),0))</f>
        <v/>
      </c>
      <c r="P233" s="17">
        <f>IF($A233="","",$B233+$M233+$N233)</f>
        <v/>
      </c>
    </row>
    <row r="234">
      <c r="A234" s="17">
        <f>IF('ANAHTAR'!$B234="","",'ANAHTAR'!$B234)</f>
        <v/>
      </c>
      <c r="B234" s="17">
        <f>IF($A234="","",COUNTIF(tblAnahtarB[NormB],$A234))</f>
        <v/>
      </c>
      <c r="C234" s="17">
        <f>IF($A234="","",IFERROR(SUMIF(tblAnahtarB[NormB],$A234,tblHakedis[GercekHakedis]),0))</f>
        <v/>
      </c>
      <c r="D234" s="17">
        <f>IF($A234="","",IFERROR(SUMIF(tblMotor[A_Norm],$A234,tblMotor[BeklenenHakedis]),0))</f>
        <v/>
      </c>
      <c r="E234" s="17">
        <f>IF($A234="","",ROUND($D234,2)-ROUND($C234,2))</f>
        <v/>
      </c>
      <c r="F234" s="17">
        <f>IF($A234="","",ABS($E234))</f>
        <v/>
      </c>
      <c r="G234" s="17">
        <f>IF($A234="","",IF($B234=0,"eslesmedi",IF(ROUND($D234,2)=ROUND($C234,2),"eslesti",IF(ABS(ROUND($D234,2)-ROUND($C234,2))&lt;=toleransKurus,"tolerans_icinde","tutar_farki"))))</f>
        <v/>
      </c>
      <c r="H234" s="17">
        <f>IF($A234="","",IF($B234&gt;0,"BIRINCIL",IF(COUNTIF(tblAnahtarB[IkincilB],'ANAHTAR'!$D234)&gt;0,"IKINCIL","YOK")))</f>
        <v/>
      </c>
      <c r="I234" s="17">
        <f>IF($A234="","",'ANAHTAR'!$F234)</f>
        <v/>
      </c>
      <c r="J234" s="17">
        <f>IF(OR($A234="",$D234=0),0,$F234/ABS($D234))</f>
        <v/>
      </c>
      <c r="K234" s="17">
        <f>IF($A234="","",ROUND($D234,2))</f>
        <v/>
      </c>
      <c r="L234" s="17">
        <f>IF($A234="","",ROUND($C234,2))</f>
        <v/>
      </c>
      <c r="M234" s="17">
        <f>IF($A234="","",IF($F234&lt;=toleransKurus,1,0))</f>
        <v/>
      </c>
      <c r="N234" s="17">
        <f>IF($A234="","",IF($F234&gt;tyk_esikFark,1,0))</f>
        <v/>
      </c>
      <c r="O234" s="17">
        <f>IF($A234="","",IFERROR(SUMIF(tblMotor[A_Norm],$A234,tblMotor[NetKar]),0))</f>
        <v/>
      </c>
      <c r="P234" s="17">
        <f>IF($A234="","",$B234+$M234+$N234)</f>
        <v/>
      </c>
    </row>
    <row r="235">
      <c r="A235" s="17">
        <f>IF('ANAHTAR'!$B235="","",'ANAHTAR'!$B235)</f>
        <v/>
      </c>
      <c r="B235" s="17">
        <f>IF($A235="","",COUNTIF(tblAnahtarB[NormB],$A235))</f>
        <v/>
      </c>
      <c r="C235" s="17">
        <f>IF($A235="","",IFERROR(SUMIF(tblAnahtarB[NormB],$A235,tblHakedis[GercekHakedis]),0))</f>
        <v/>
      </c>
      <c r="D235" s="17">
        <f>IF($A235="","",IFERROR(SUMIF(tblMotor[A_Norm],$A235,tblMotor[BeklenenHakedis]),0))</f>
        <v/>
      </c>
      <c r="E235" s="17">
        <f>IF($A235="","",ROUND($D235,2)-ROUND($C235,2))</f>
        <v/>
      </c>
      <c r="F235" s="17">
        <f>IF($A235="","",ABS($E235))</f>
        <v/>
      </c>
      <c r="G235" s="17">
        <f>IF($A235="","",IF($B235=0,"eslesmedi",IF(ROUND($D235,2)=ROUND($C235,2),"eslesti",IF(ABS(ROUND($D235,2)-ROUND($C235,2))&lt;=toleransKurus,"tolerans_icinde","tutar_farki"))))</f>
        <v/>
      </c>
      <c r="H235" s="17">
        <f>IF($A235="","",IF($B235&gt;0,"BIRINCIL",IF(COUNTIF(tblAnahtarB[IkincilB],'ANAHTAR'!$D235)&gt;0,"IKINCIL","YOK")))</f>
        <v/>
      </c>
      <c r="I235" s="17">
        <f>IF($A235="","",'ANAHTAR'!$F235)</f>
        <v/>
      </c>
      <c r="J235" s="17">
        <f>IF(OR($A235="",$D235=0),0,$F235/ABS($D235))</f>
        <v/>
      </c>
      <c r="K235" s="17">
        <f>IF($A235="","",ROUND($D235,2))</f>
        <v/>
      </c>
      <c r="L235" s="17">
        <f>IF($A235="","",ROUND($C235,2))</f>
        <v/>
      </c>
      <c r="M235" s="17">
        <f>IF($A235="","",IF($F235&lt;=toleransKurus,1,0))</f>
        <v/>
      </c>
      <c r="N235" s="17">
        <f>IF($A235="","",IF($F235&gt;tyk_esikFark,1,0))</f>
        <v/>
      </c>
      <c r="O235" s="17">
        <f>IF($A235="","",IFERROR(SUMIF(tblMotor[A_Norm],$A235,tblMotor[NetKar]),0))</f>
        <v/>
      </c>
      <c r="P235" s="17">
        <f>IF($A235="","",$B235+$M235+$N235)</f>
        <v/>
      </c>
    </row>
    <row r="236">
      <c r="A236" s="17">
        <f>IF('ANAHTAR'!$B236="","",'ANAHTAR'!$B236)</f>
        <v/>
      </c>
      <c r="B236" s="17">
        <f>IF($A236="","",COUNTIF(tblAnahtarB[NormB],$A236))</f>
        <v/>
      </c>
      <c r="C236" s="17">
        <f>IF($A236="","",IFERROR(SUMIF(tblAnahtarB[NormB],$A236,tblHakedis[GercekHakedis]),0))</f>
        <v/>
      </c>
      <c r="D236" s="17">
        <f>IF($A236="","",IFERROR(SUMIF(tblMotor[A_Norm],$A236,tblMotor[BeklenenHakedis]),0))</f>
        <v/>
      </c>
      <c r="E236" s="17">
        <f>IF($A236="","",ROUND($D236,2)-ROUND($C236,2))</f>
        <v/>
      </c>
      <c r="F236" s="17">
        <f>IF($A236="","",ABS($E236))</f>
        <v/>
      </c>
      <c r="G236" s="17">
        <f>IF($A236="","",IF($B236=0,"eslesmedi",IF(ROUND($D236,2)=ROUND($C236,2),"eslesti",IF(ABS(ROUND($D236,2)-ROUND($C236,2))&lt;=toleransKurus,"tolerans_icinde","tutar_farki"))))</f>
        <v/>
      </c>
      <c r="H236" s="17">
        <f>IF($A236="","",IF($B236&gt;0,"BIRINCIL",IF(COUNTIF(tblAnahtarB[IkincilB],'ANAHTAR'!$D236)&gt;0,"IKINCIL","YOK")))</f>
        <v/>
      </c>
      <c r="I236" s="17">
        <f>IF($A236="","",'ANAHTAR'!$F236)</f>
        <v/>
      </c>
      <c r="J236" s="17">
        <f>IF(OR($A236="",$D236=0),0,$F236/ABS($D236))</f>
        <v/>
      </c>
      <c r="K236" s="17">
        <f>IF($A236="","",ROUND($D236,2))</f>
        <v/>
      </c>
      <c r="L236" s="17">
        <f>IF($A236="","",ROUND($C236,2))</f>
        <v/>
      </c>
      <c r="M236" s="17">
        <f>IF($A236="","",IF($F236&lt;=toleransKurus,1,0))</f>
        <v/>
      </c>
      <c r="N236" s="17">
        <f>IF($A236="","",IF($F236&gt;tyk_esikFark,1,0))</f>
        <v/>
      </c>
      <c r="O236" s="17">
        <f>IF($A236="","",IFERROR(SUMIF(tblMotor[A_Norm],$A236,tblMotor[NetKar]),0))</f>
        <v/>
      </c>
      <c r="P236" s="17">
        <f>IF($A236="","",$B236+$M236+$N236)</f>
        <v/>
      </c>
    </row>
    <row r="237">
      <c r="A237" s="17">
        <f>IF('ANAHTAR'!$B237="","",'ANAHTAR'!$B237)</f>
        <v/>
      </c>
      <c r="B237" s="17">
        <f>IF($A237="","",COUNTIF(tblAnahtarB[NormB],$A237))</f>
        <v/>
      </c>
      <c r="C237" s="17">
        <f>IF($A237="","",IFERROR(SUMIF(tblAnahtarB[NormB],$A237,tblHakedis[GercekHakedis]),0))</f>
        <v/>
      </c>
      <c r="D237" s="17">
        <f>IF($A237="","",IFERROR(SUMIF(tblMotor[A_Norm],$A237,tblMotor[BeklenenHakedis]),0))</f>
        <v/>
      </c>
      <c r="E237" s="17">
        <f>IF($A237="","",ROUND($D237,2)-ROUND($C237,2))</f>
        <v/>
      </c>
      <c r="F237" s="17">
        <f>IF($A237="","",ABS($E237))</f>
        <v/>
      </c>
      <c r="G237" s="17">
        <f>IF($A237="","",IF($B237=0,"eslesmedi",IF(ROUND($D237,2)=ROUND($C237,2),"eslesti",IF(ABS(ROUND($D237,2)-ROUND($C237,2))&lt;=toleransKurus,"tolerans_icinde","tutar_farki"))))</f>
        <v/>
      </c>
      <c r="H237" s="17">
        <f>IF($A237="","",IF($B237&gt;0,"BIRINCIL",IF(COUNTIF(tblAnahtarB[IkincilB],'ANAHTAR'!$D237)&gt;0,"IKINCIL","YOK")))</f>
        <v/>
      </c>
      <c r="I237" s="17">
        <f>IF($A237="","",'ANAHTAR'!$F237)</f>
        <v/>
      </c>
      <c r="J237" s="17">
        <f>IF(OR($A237="",$D237=0),0,$F237/ABS($D237))</f>
        <v/>
      </c>
      <c r="K237" s="17">
        <f>IF($A237="","",ROUND($D237,2))</f>
        <v/>
      </c>
      <c r="L237" s="17">
        <f>IF($A237="","",ROUND($C237,2))</f>
        <v/>
      </c>
      <c r="M237" s="17">
        <f>IF($A237="","",IF($F237&lt;=toleransKurus,1,0))</f>
        <v/>
      </c>
      <c r="N237" s="17">
        <f>IF($A237="","",IF($F237&gt;tyk_esikFark,1,0))</f>
        <v/>
      </c>
      <c r="O237" s="17">
        <f>IF($A237="","",IFERROR(SUMIF(tblMotor[A_Norm],$A237,tblMotor[NetKar]),0))</f>
        <v/>
      </c>
      <c r="P237" s="17">
        <f>IF($A237="","",$B237+$M237+$N237)</f>
        <v/>
      </c>
    </row>
    <row r="238">
      <c r="A238" s="17">
        <f>IF('ANAHTAR'!$B238="","",'ANAHTAR'!$B238)</f>
        <v/>
      </c>
      <c r="B238" s="17">
        <f>IF($A238="","",COUNTIF(tblAnahtarB[NormB],$A238))</f>
        <v/>
      </c>
      <c r="C238" s="17">
        <f>IF($A238="","",IFERROR(SUMIF(tblAnahtarB[NormB],$A238,tblHakedis[GercekHakedis]),0))</f>
        <v/>
      </c>
      <c r="D238" s="17">
        <f>IF($A238="","",IFERROR(SUMIF(tblMotor[A_Norm],$A238,tblMotor[BeklenenHakedis]),0))</f>
        <v/>
      </c>
      <c r="E238" s="17">
        <f>IF($A238="","",ROUND($D238,2)-ROUND($C238,2))</f>
        <v/>
      </c>
      <c r="F238" s="17">
        <f>IF($A238="","",ABS($E238))</f>
        <v/>
      </c>
      <c r="G238" s="17">
        <f>IF($A238="","",IF($B238=0,"eslesmedi",IF(ROUND($D238,2)=ROUND($C238,2),"eslesti",IF(ABS(ROUND($D238,2)-ROUND($C238,2))&lt;=toleransKurus,"tolerans_icinde","tutar_farki"))))</f>
        <v/>
      </c>
      <c r="H238" s="17">
        <f>IF($A238="","",IF($B238&gt;0,"BIRINCIL",IF(COUNTIF(tblAnahtarB[IkincilB],'ANAHTAR'!$D238)&gt;0,"IKINCIL","YOK")))</f>
        <v/>
      </c>
      <c r="I238" s="17">
        <f>IF($A238="","",'ANAHTAR'!$F238)</f>
        <v/>
      </c>
      <c r="J238" s="17">
        <f>IF(OR($A238="",$D238=0),0,$F238/ABS($D238))</f>
        <v/>
      </c>
      <c r="K238" s="17">
        <f>IF($A238="","",ROUND($D238,2))</f>
        <v/>
      </c>
      <c r="L238" s="17">
        <f>IF($A238="","",ROUND($C238,2))</f>
        <v/>
      </c>
      <c r="M238" s="17">
        <f>IF($A238="","",IF($F238&lt;=toleransKurus,1,0))</f>
        <v/>
      </c>
      <c r="N238" s="17">
        <f>IF($A238="","",IF($F238&gt;tyk_esikFark,1,0))</f>
        <v/>
      </c>
      <c r="O238" s="17">
        <f>IF($A238="","",IFERROR(SUMIF(tblMotor[A_Norm],$A238,tblMotor[NetKar]),0))</f>
        <v/>
      </c>
      <c r="P238" s="17">
        <f>IF($A238="","",$B238+$M238+$N238)</f>
        <v/>
      </c>
    </row>
    <row r="239">
      <c r="A239" s="17">
        <f>IF('ANAHTAR'!$B239="","",'ANAHTAR'!$B239)</f>
        <v/>
      </c>
      <c r="B239" s="17">
        <f>IF($A239="","",COUNTIF(tblAnahtarB[NormB],$A239))</f>
        <v/>
      </c>
      <c r="C239" s="17">
        <f>IF($A239="","",IFERROR(SUMIF(tblAnahtarB[NormB],$A239,tblHakedis[GercekHakedis]),0))</f>
        <v/>
      </c>
      <c r="D239" s="17">
        <f>IF($A239="","",IFERROR(SUMIF(tblMotor[A_Norm],$A239,tblMotor[BeklenenHakedis]),0))</f>
        <v/>
      </c>
      <c r="E239" s="17">
        <f>IF($A239="","",ROUND($D239,2)-ROUND($C239,2))</f>
        <v/>
      </c>
      <c r="F239" s="17">
        <f>IF($A239="","",ABS($E239))</f>
        <v/>
      </c>
      <c r="G239" s="17">
        <f>IF($A239="","",IF($B239=0,"eslesmedi",IF(ROUND($D239,2)=ROUND($C239,2),"eslesti",IF(ABS(ROUND($D239,2)-ROUND($C239,2))&lt;=toleransKurus,"tolerans_icinde","tutar_farki"))))</f>
        <v/>
      </c>
      <c r="H239" s="17">
        <f>IF($A239="","",IF($B239&gt;0,"BIRINCIL",IF(COUNTIF(tblAnahtarB[IkincilB],'ANAHTAR'!$D239)&gt;0,"IKINCIL","YOK")))</f>
        <v/>
      </c>
      <c r="I239" s="17">
        <f>IF($A239="","",'ANAHTAR'!$F239)</f>
        <v/>
      </c>
      <c r="J239" s="17">
        <f>IF(OR($A239="",$D239=0),0,$F239/ABS($D239))</f>
        <v/>
      </c>
      <c r="K239" s="17">
        <f>IF($A239="","",ROUND($D239,2))</f>
        <v/>
      </c>
      <c r="L239" s="17">
        <f>IF($A239="","",ROUND($C239,2))</f>
        <v/>
      </c>
      <c r="M239" s="17">
        <f>IF($A239="","",IF($F239&lt;=toleransKurus,1,0))</f>
        <v/>
      </c>
      <c r="N239" s="17">
        <f>IF($A239="","",IF($F239&gt;tyk_esikFark,1,0))</f>
        <v/>
      </c>
      <c r="O239" s="17">
        <f>IF($A239="","",IFERROR(SUMIF(tblMotor[A_Norm],$A239,tblMotor[NetKar]),0))</f>
        <v/>
      </c>
      <c r="P239" s="17">
        <f>IF($A239="","",$B239+$M239+$N239)</f>
        <v/>
      </c>
    </row>
    <row r="240">
      <c r="A240" s="17">
        <f>IF('ANAHTAR'!$B240="","",'ANAHTAR'!$B240)</f>
        <v/>
      </c>
      <c r="B240" s="17">
        <f>IF($A240="","",COUNTIF(tblAnahtarB[NormB],$A240))</f>
        <v/>
      </c>
      <c r="C240" s="17">
        <f>IF($A240="","",IFERROR(SUMIF(tblAnahtarB[NormB],$A240,tblHakedis[GercekHakedis]),0))</f>
        <v/>
      </c>
      <c r="D240" s="17">
        <f>IF($A240="","",IFERROR(SUMIF(tblMotor[A_Norm],$A240,tblMotor[BeklenenHakedis]),0))</f>
        <v/>
      </c>
      <c r="E240" s="17">
        <f>IF($A240="","",ROUND($D240,2)-ROUND($C240,2))</f>
        <v/>
      </c>
      <c r="F240" s="17">
        <f>IF($A240="","",ABS($E240))</f>
        <v/>
      </c>
      <c r="G240" s="17">
        <f>IF($A240="","",IF($B240=0,"eslesmedi",IF(ROUND($D240,2)=ROUND($C240,2),"eslesti",IF(ABS(ROUND($D240,2)-ROUND($C240,2))&lt;=toleransKurus,"tolerans_icinde","tutar_farki"))))</f>
        <v/>
      </c>
      <c r="H240" s="17">
        <f>IF($A240="","",IF($B240&gt;0,"BIRINCIL",IF(COUNTIF(tblAnahtarB[IkincilB],'ANAHTAR'!$D240)&gt;0,"IKINCIL","YOK")))</f>
        <v/>
      </c>
      <c r="I240" s="17">
        <f>IF($A240="","",'ANAHTAR'!$F240)</f>
        <v/>
      </c>
      <c r="J240" s="17">
        <f>IF(OR($A240="",$D240=0),0,$F240/ABS($D240))</f>
        <v/>
      </c>
      <c r="K240" s="17">
        <f>IF($A240="","",ROUND($D240,2))</f>
        <v/>
      </c>
      <c r="L240" s="17">
        <f>IF($A240="","",ROUND($C240,2))</f>
        <v/>
      </c>
      <c r="M240" s="17">
        <f>IF($A240="","",IF($F240&lt;=toleransKurus,1,0))</f>
        <v/>
      </c>
      <c r="N240" s="17">
        <f>IF($A240="","",IF($F240&gt;tyk_esikFark,1,0))</f>
        <v/>
      </c>
      <c r="O240" s="17">
        <f>IF($A240="","",IFERROR(SUMIF(tblMotor[A_Norm],$A240,tblMotor[NetKar]),0))</f>
        <v/>
      </c>
      <c r="P240" s="17">
        <f>IF($A240="","",$B240+$M240+$N240)</f>
        <v/>
      </c>
    </row>
    <row r="241">
      <c r="A241" s="17">
        <f>IF('ANAHTAR'!$B241="","",'ANAHTAR'!$B241)</f>
        <v/>
      </c>
      <c r="B241" s="17">
        <f>IF($A241="","",COUNTIF(tblAnahtarB[NormB],$A241))</f>
        <v/>
      </c>
      <c r="C241" s="17">
        <f>IF($A241="","",IFERROR(SUMIF(tblAnahtarB[NormB],$A241,tblHakedis[GercekHakedis]),0))</f>
        <v/>
      </c>
      <c r="D241" s="17">
        <f>IF($A241="","",IFERROR(SUMIF(tblMotor[A_Norm],$A241,tblMotor[BeklenenHakedis]),0))</f>
        <v/>
      </c>
      <c r="E241" s="17">
        <f>IF($A241="","",ROUND($D241,2)-ROUND($C241,2))</f>
        <v/>
      </c>
      <c r="F241" s="17">
        <f>IF($A241="","",ABS($E241))</f>
        <v/>
      </c>
      <c r="G241" s="17">
        <f>IF($A241="","",IF($B241=0,"eslesmedi",IF(ROUND($D241,2)=ROUND($C241,2),"eslesti",IF(ABS(ROUND($D241,2)-ROUND($C241,2))&lt;=toleransKurus,"tolerans_icinde","tutar_farki"))))</f>
        <v/>
      </c>
      <c r="H241" s="17">
        <f>IF($A241="","",IF($B241&gt;0,"BIRINCIL",IF(COUNTIF(tblAnahtarB[IkincilB],'ANAHTAR'!$D241)&gt;0,"IKINCIL","YOK")))</f>
        <v/>
      </c>
      <c r="I241" s="17">
        <f>IF($A241="","",'ANAHTAR'!$F241)</f>
        <v/>
      </c>
      <c r="J241" s="17">
        <f>IF(OR($A241="",$D241=0),0,$F241/ABS($D241))</f>
        <v/>
      </c>
      <c r="K241" s="17">
        <f>IF($A241="","",ROUND($D241,2))</f>
        <v/>
      </c>
      <c r="L241" s="17">
        <f>IF($A241="","",ROUND($C241,2))</f>
        <v/>
      </c>
      <c r="M241" s="17">
        <f>IF($A241="","",IF($F241&lt;=toleransKurus,1,0))</f>
        <v/>
      </c>
      <c r="N241" s="17">
        <f>IF($A241="","",IF($F241&gt;tyk_esikFark,1,0))</f>
        <v/>
      </c>
      <c r="O241" s="17">
        <f>IF($A241="","",IFERROR(SUMIF(tblMotor[A_Norm],$A241,tblMotor[NetKar]),0))</f>
        <v/>
      </c>
      <c r="P241" s="17">
        <f>IF($A241="","",$B241+$M241+$N241)</f>
        <v/>
      </c>
    </row>
    <row r="242">
      <c r="A242" s="17">
        <f>IF('ANAHTAR'!$B242="","",'ANAHTAR'!$B242)</f>
        <v/>
      </c>
      <c r="B242" s="17">
        <f>IF($A242="","",COUNTIF(tblAnahtarB[NormB],$A242))</f>
        <v/>
      </c>
      <c r="C242" s="17">
        <f>IF($A242="","",IFERROR(SUMIF(tblAnahtarB[NormB],$A242,tblHakedis[GercekHakedis]),0))</f>
        <v/>
      </c>
      <c r="D242" s="17">
        <f>IF($A242="","",IFERROR(SUMIF(tblMotor[A_Norm],$A242,tblMotor[BeklenenHakedis]),0))</f>
        <v/>
      </c>
      <c r="E242" s="17">
        <f>IF($A242="","",ROUND($D242,2)-ROUND($C242,2))</f>
        <v/>
      </c>
      <c r="F242" s="17">
        <f>IF($A242="","",ABS($E242))</f>
        <v/>
      </c>
      <c r="G242" s="17">
        <f>IF($A242="","",IF($B242=0,"eslesmedi",IF(ROUND($D242,2)=ROUND($C242,2),"eslesti",IF(ABS(ROUND($D242,2)-ROUND($C242,2))&lt;=toleransKurus,"tolerans_icinde","tutar_farki"))))</f>
        <v/>
      </c>
      <c r="H242" s="17">
        <f>IF($A242="","",IF($B242&gt;0,"BIRINCIL",IF(COUNTIF(tblAnahtarB[IkincilB],'ANAHTAR'!$D242)&gt;0,"IKINCIL","YOK")))</f>
        <v/>
      </c>
      <c r="I242" s="17">
        <f>IF($A242="","",'ANAHTAR'!$F242)</f>
        <v/>
      </c>
      <c r="J242" s="17">
        <f>IF(OR($A242="",$D242=0),0,$F242/ABS($D242))</f>
        <v/>
      </c>
      <c r="K242" s="17">
        <f>IF($A242="","",ROUND($D242,2))</f>
        <v/>
      </c>
      <c r="L242" s="17">
        <f>IF($A242="","",ROUND($C242,2))</f>
        <v/>
      </c>
      <c r="M242" s="17">
        <f>IF($A242="","",IF($F242&lt;=toleransKurus,1,0))</f>
        <v/>
      </c>
      <c r="N242" s="17">
        <f>IF($A242="","",IF($F242&gt;tyk_esikFark,1,0))</f>
        <v/>
      </c>
      <c r="O242" s="17">
        <f>IF($A242="","",IFERROR(SUMIF(tblMotor[A_Norm],$A242,tblMotor[NetKar]),0))</f>
        <v/>
      </c>
      <c r="P242" s="17">
        <f>IF($A242="","",$B242+$M242+$N242)</f>
        <v/>
      </c>
    </row>
    <row r="243">
      <c r="A243" s="17">
        <f>IF('ANAHTAR'!$B243="","",'ANAHTAR'!$B243)</f>
        <v/>
      </c>
      <c r="B243" s="17">
        <f>IF($A243="","",COUNTIF(tblAnahtarB[NormB],$A243))</f>
        <v/>
      </c>
      <c r="C243" s="17">
        <f>IF($A243="","",IFERROR(SUMIF(tblAnahtarB[NormB],$A243,tblHakedis[GercekHakedis]),0))</f>
        <v/>
      </c>
      <c r="D243" s="17">
        <f>IF($A243="","",IFERROR(SUMIF(tblMotor[A_Norm],$A243,tblMotor[BeklenenHakedis]),0))</f>
        <v/>
      </c>
      <c r="E243" s="17">
        <f>IF($A243="","",ROUND($D243,2)-ROUND($C243,2))</f>
        <v/>
      </c>
      <c r="F243" s="17">
        <f>IF($A243="","",ABS($E243))</f>
        <v/>
      </c>
      <c r="G243" s="17">
        <f>IF($A243="","",IF($B243=0,"eslesmedi",IF(ROUND($D243,2)=ROUND($C243,2),"eslesti",IF(ABS(ROUND($D243,2)-ROUND($C243,2))&lt;=toleransKurus,"tolerans_icinde","tutar_farki"))))</f>
        <v/>
      </c>
      <c r="H243" s="17">
        <f>IF($A243="","",IF($B243&gt;0,"BIRINCIL",IF(COUNTIF(tblAnahtarB[IkincilB],'ANAHTAR'!$D243)&gt;0,"IKINCIL","YOK")))</f>
        <v/>
      </c>
      <c r="I243" s="17">
        <f>IF($A243="","",'ANAHTAR'!$F243)</f>
        <v/>
      </c>
      <c r="J243" s="17">
        <f>IF(OR($A243="",$D243=0),0,$F243/ABS($D243))</f>
        <v/>
      </c>
      <c r="K243" s="17">
        <f>IF($A243="","",ROUND($D243,2))</f>
        <v/>
      </c>
      <c r="L243" s="17">
        <f>IF($A243="","",ROUND($C243,2))</f>
        <v/>
      </c>
      <c r="M243" s="17">
        <f>IF($A243="","",IF($F243&lt;=toleransKurus,1,0))</f>
        <v/>
      </c>
      <c r="N243" s="17">
        <f>IF($A243="","",IF($F243&gt;tyk_esikFark,1,0))</f>
        <v/>
      </c>
      <c r="O243" s="17">
        <f>IF($A243="","",IFERROR(SUMIF(tblMotor[A_Norm],$A243,tblMotor[NetKar]),0))</f>
        <v/>
      </c>
      <c r="P243" s="17">
        <f>IF($A243="","",$B243+$M243+$N243)</f>
        <v/>
      </c>
    </row>
    <row r="244">
      <c r="A244" s="17">
        <f>IF('ANAHTAR'!$B244="","",'ANAHTAR'!$B244)</f>
        <v/>
      </c>
      <c r="B244" s="17">
        <f>IF($A244="","",COUNTIF(tblAnahtarB[NormB],$A244))</f>
        <v/>
      </c>
      <c r="C244" s="17">
        <f>IF($A244="","",IFERROR(SUMIF(tblAnahtarB[NormB],$A244,tblHakedis[GercekHakedis]),0))</f>
        <v/>
      </c>
      <c r="D244" s="17">
        <f>IF($A244="","",IFERROR(SUMIF(tblMotor[A_Norm],$A244,tblMotor[BeklenenHakedis]),0))</f>
        <v/>
      </c>
      <c r="E244" s="17">
        <f>IF($A244="","",ROUND($D244,2)-ROUND($C244,2))</f>
        <v/>
      </c>
      <c r="F244" s="17">
        <f>IF($A244="","",ABS($E244))</f>
        <v/>
      </c>
      <c r="G244" s="17">
        <f>IF($A244="","",IF($B244=0,"eslesmedi",IF(ROUND($D244,2)=ROUND($C244,2),"eslesti",IF(ABS(ROUND($D244,2)-ROUND($C244,2))&lt;=toleransKurus,"tolerans_icinde","tutar_farki"))))</f>
        <v/>
      </c>
      <c r="H244" s="17">
        <f>IF($A244="","",IF($B244&gt;0,"BIRINCIL",IF(COUNTIF(tblAnahtarB[IkincilB],'ANAHTAR'!$D244)&gt;0,"IKINCIL","YOK")))</f>
        <v/>
      </c>
      <c r="I244" s="17">
        <f>IF($A244="","",'ANAHTAR'!$F244)</f>
        <v/>
      </c>
      <c r="J244" s="17">
        <f>IF(OR($A244="",$D244=0),0,$F244/ABS($D244))</f>
        <v/>
      </c>
      <c r="K244" s="17">
        <f>IF($A244="","",ROUND($D244,2))</f>
        <v/>
      </c>
      <c r="L244" s="17">
        <f>IF($A244="","",ROUND($C244,2))</f>
        <v/>
      </c>
      <c r="M244" s="17">
        <f>IF($A244="","",IF($F244&lt;=toleransKurus,1,0))</f>
        <v/>
      </c>
      <c r="N244" s="17">
        <f>IF($A244="","",IF($F244&gt;tyk_esikFark,1,0))</f>
        <v/>
      </c>
      <c r="O244" s="17">
        <f>IF($A244="","",IFERROR(SUMIF(tblMotor[A_Norm],$A244,tblMotor[NetKar]),0))</f>
        <v/>
      </c>
      <c r="P244" s="17">
        <f>IF($A244="","",$B244+$M244+$N244)</f>
        <v/>
      </c>
    </row>
    <row r="245">
      <c r="A245" s="17">
        <f>IF('ANAHTAR'!$B245="","",'ANAHTAR'!$B245)</f>
        <v/>
      </c>
      <c r="B245" s="17">
        <f>IF($A245="","",COUNTIF(tblAnahtarB[NormB],$A245))</f>
        <v/>
      </c>
      <c r="C245" s="17">
        <f>IF($A245="","",IFERROR(SUMIF(tblAnahtarB[NormB],$A245,tblHakedis[GercekHakedis]),0))</f>
        <v/>
      </c>
      <c r="D245" s="17">
        <f>IF($A245="","",IFERROR(SUMIF(tblMotor[A_Norm],$A245,tblMotor[BeklenenHakedis]),0))</f>
        <v/>
      </c>
      <c r="E245" s="17">
        <f>IF($A245="","",ROUND($D245,2)-ROUND($C245,2))</f>
        <v/>
      </c>
      <c r="F245" s="17">
        <f>IF($A245="","",ABS($E245))</f>
        <v/>
      </c>
      <c r="G245" s="17">
        <f>IF($A245="","",IF($B245=0,"eslesmedi",IF(ROUND($D245,2)=ROUND($C245,2),"eslesti",IF(ABS(ROUND($D245,2)-ROUND($C245,2))&lt;=toleransKurus,"tolerans_icinde","tutar_farki"))))</f>
        <v/>
      </c>
      <c r="H245" s="17">
        <f>IF($A245="","",IF($B245&gt;0,"BIRINCIL",IF(COUNTIF(tblAnahtarB[IkincilB],'ANAHTAR'!$D245)&gt;0,"IKINCIL","YOK")))</f>
        <v/>
      </c>
      <c r="I245" s="17">
        <f>IF($A245="","",'ANAHTAR'!$F245)</f>
        <v/>
      </c>
      <c r="J245" s="17">
        <f>IF(OR($A245="",$D245=0),0,$F245/ABS($D245))</f>
        <v/>
      </c>
      <c r="K245" s="17">
        <f>IF($A245="","",ROUND($D245,2))</f>
        <v/>
      </c>
      <c r="L245" s="17">
        <f>IF($A245="","",ROUND($C245,2))</f>
        <v/>
      </c>
      <c r="M245" s="17">
        <f>IF($A245="","",IF($F245&lt;=toleransKurus,1,0))</f>
        <v/>
      </c>
      <c r="N245" s="17">
        <f>IF($A245="","",IF($F245&gt;tyk_esikFark,1,0))</f>
        <v/>
      </c>
      <c r="O245" s="17">
        <f>IF($A245="","",IFERROR(SUMIF(tblMotor[A_Norm],$A245,tblMotor[NetKar]),0))</f>
        <v/>
      </c>
      <c r="P245" s="17">
        <f>IF($A245="","",$B245+$M245+$N245)</f>
        <v/>
      </c>
    </row>
    <row r="246">
      <c r="A246" s="17">
        <f>IF('ANAHTAR'!$B246="","",'ANAHTAR'!$B246)</f>
        <v/>
      </c>
      <c r="B246" s="17">
        <f>IF($A246="","",COUNTIF(tblAnahtarB[NormB],$A246))</f>
        <v/>
      </c>
      <c r="C246" s="17">
        <f>IF($A246="","",IFERROR(SUMIF(tblAnahtarB[NormB],$A246,tblHakedis[GercekHakedis]),0))</f>
        <v/>
      </c>
      <c r="D246" s="17">
        <f>IF($A246="","",IFERROR(SUMIF(tblMotor[A_Norm],$A246,tblMotor[BeklenenHakedis]),0))</f>
        <v/>
      </c>
      <c r="E246" s="17">
        <f>IF($A246="","",ROUND($D246,2)-ROUND($C246,2))</f>
        <v/>
      </c>
      <c r="F246" s="17">
        <f>IF($A246="","",ABS($E246))</f>
        <v/>
      </c>
      <c r="G246" s="17">
        <f>IF($A246="","",IF($B246=0,"eslesmedi",IF(ROUND($D246,2)=ROUND($C246,2),"eslesti",IF(ABS(ROUND($D246,2)-ROUND($C246,2))&lt;=toleransKurus,"tolerans_icinde","tutar_farki"))))</f>
        <v/>
      </c>
      <c r="H246" s="17">
        <f>IF($A246="","",IF($B246&gt;0,"BIRINCIL",IF(COUNTIF(tblAnahtarB[IkincilB],'ANAHTAR'!$D246)&gt;0,"IKINCIL","YOK")))</f>
        <v/>
      </c>
      <c r="I246" s="17">
        <f>IF($A246="","",'ANAHTAR'!$F246)</f>
        <v/>
      </c>
      <c r="J246" s="17">
        <f>IF(OR($A246="",$D246=0),0,$F246/ABS($D246))</f>
        <v/>
      </c>
      <c r="K246" s="17">
        <f>IF($A246="","",ROUND($D246,2))</f>
        <v/>
      </c>
      <c r="L246" s="17">
        <f>IF($A246="","",ROUND($C246,2))</f>
        <v/>
      </c>
      <c r="M246" s="17">
        <f>IF($A246="","",IF($F246&lt;=toleransKurus,1,0))</f>
        <v/>
      </c>
      <c r="N246" s="17">
        <f>IF($A246="","",IF($F246&gt;tyk_esikFark,1,0))</f>
        <v/>
      </c>
      <c r="O246" s="17">
        <f>IF($A246="","",IFERROR(SUMIF(tblMotor[A_Norm],$A246,tblMotor[NetKar]),0))</f>
        <v/>
      </c>
      <c r="P246" s="17">
        <f>IF($A246="","",$B246+$M246+$N246)</f>
        <v/>
      </c>
    </row>
    <row r="247">
      <c r="A247" s="17">
        <f>IF('ANAHTAR'!$B247="","",'ANAHTAR'!$B247)</f>
        <v/>
      </c>
      <c r="B247" s="17">
        <f>IF($A247="","",COUNTIF(tblAnahtarB[NormB],$A247))</f>
        <v/>
      </c>
      <c r="C247" s="17">
        <f>IF($A247="","",IFERROR(SUMIF(tblAnahtarB[NormB],$A247,tblHakedis[GercekHakedis]),0))</f>
        <v/>
      </c>
      <c r="D247" s="17">
        <f>IF($A247="","",IFERROR(SUMIF(tblMotor[A_Norm],$A247,tblMotor[BeklenenHakedis]),0))</f>
        <v/>
      </c>
      <c r="E247" s="17">
        <f>IF($A247="","",ROUND($D247,2)-ROUND($C247,2))</f>
        <v/>
      </c>
      <c r="F247" s="17">
        <f>IF($A247="","",ABS($E247))</f>
        <v/>
      </c>
      <c r="G247" s="17">
        <f>IF($A247="","",IF($B247=0,"eslesmedi",IF(ROUND($D247,2)=ROUND($C247,2),"eslesti",IF(ABS(ROUND($D247,2)-ROUND($C247,2))&lt;=toleransKurus,"tolerans_icinde","tutar_farki"))))</f>
        <v/>
      </c>
      <c r="H247" s="17">
        <f>IF($A247="","",IF($B247&gt;0,"BIRINCIL",IF(COUNTIF(tblAnahtarB[IkincilB],'ANAHTAR'!$D247)&gt;0,"IKINCIL","YOK")))</f>
        <v/>
      </c>
      <c r="I247" s="17">
        <f>IF($A247="","",'ANAHTAR'!$F247)</f>
        <v/>
      </c>
      <c r="J247" s="17">
        <f>IF(OR($A247="",$D247=0),0,$F247/ABS($D247))</f>
        <v/>
      </c>
      <c r="K247" s="17">
        <f>IF($A247="","",ROUND($D247,2))</f>
        <v/>
      </c>
      <c r="L247" s="17">
        <f>IF($A247="","",ROUND($C247,2))</f>
        <v/>
      </c>
      <c r="M247" s="17">
        <f>IF($A247="","",IF($F247&lt;=toleransKurus,1,0))</f>
        <v/>
      </c>
      <c r="N247" s="17">
        <f>IF($A247="","",IF($F247&gt;tyk_esikFark,1,0))</f>
        <v/>
      </c>
      <c r="O247" s="17">
        <f>IF($A247="","",IFERROR(SUMIF(tblMotor[A_Norm],$A247,tblMotor[NetKar]),0))</f>
        <v/>
      </c>
      <c r="P247" s="17">
        <f>IF($A247="","",$B247+$M247+$N247)</f>
        <v/>
      </c>
    </row>
    <row r="248">
      <c r="A248" s="17">
        <f>IF('ANAHTAR'!$B248="","",'ANAHTAR'!$B248)</f>
        <v/>
      </c>
      <c r="B248" s="17">
        <f>IF($A248="","",COUNTIF(tblAnahtarB[NormB],$A248))</f>
        <v/>
      </c>
      <c r="C248" s="17">
        <f>IF($A248="","",IFERROR(SUMIF(tblAnahtarB[NormB],$A248,tblHakedis[GercekHakedis]),0))</f>
        <v/>
      </c>
      <c r="D248" s="17">
        <f>IF($A248="","",IFERROR(SUMIF(tblMotor[A_Norm],$A248,tblMotor[BeklenenHakedis]),0))</f>
        <v/>
      </c>
      <c r="E248" s="17">
        <f>IF($A248="","",ROUND($D248,2)-ROUND($C248,2))</f>
        <v/>
      </c>
      <c r="F248" s="17">
        <f>IF($A248="","",ABS($E248))</f>
        <v/>
      </c>
      <c r="G248" s="17">
        <f>IF($A248="","",IF($B248=0,"eslesmedi",IF(ROUND($D248,2)=ROUND($C248,2),"eslesti",IF(ABS(ROUND($D248,2)-ROUND($C248,2))&lt;=toleransKurus,"tolerans_icinde","tutar_farki"))))</f>
        <v/>
      </c>
      <c r="H248" s="17">
        <f>IF($A248="","",IF($B248&gt;0,"BIRINCIL",IF(COUNTIF(tblAnahtarB[IkincilB],'ANAHTAR'!$D248)&gt;0,"IKINCIL","YOK")))</f>
        <v/>
      </c>
      <c r="I248" s="17">
        <f>IF($A248="","",'ANAHTAR'!$F248)</f>
        <v/>
      </c>
      <c r="J248" s="17">
        <f>IF(OR($A248="",$D248=0),0,$F248/ABS($D248))</f>
        <v/>
      </c>
      <c r="K248" s="17">
        <f>IF($A248="","",ROUND($D248,2))</f>
        <v/>
      </c>
      <c r="L248" s="17">
        <f>IF($A248="","",ROUND($C248,2))</f>
        <v/>
      </c>
      <c r="M248" s="17">
        <f>IF($A248="","",IF($F248&lt;=toleransKurus,1,0))</f>
        <v/>
      </c>
      <c r="N248" s="17">
        <f>IF($A248="","",IF($F248&gt;tyk_esikFark,1,0))</f>
        <v/>
      </c>
      <c r="O248" s="17">
        <f>IF($A248="","",IFERROR(SUMIF(tblMotor[A_Norm],$A248,tblMotor[NetKar]),0))</f>
        <v/>
      </c>
      <c r="P248" s="17">
        <f>IF($A248="","",$B248+$M248+$N248)</f>
        <v/>
      </c>
    </row>
    <row r="249">
      <c r="A249" s="17">
        <f>IF('ANAHTAR'!$B249="","",'ANAHTAR'!$B249)</f>
        <v/>
      </c>
      <c r="B249" s="17">
        <f>IF($A249="","",COUNTIF(tblAnahtarB[NormB],$A249))</f>
        <v/>
      </c>
      <c r="C249" s="17">
        <f>IF($A249="","",IFERROR(SUMIF(tblAnahtarB[NormB],$A249,tblHakedis[GercekHakedis]),0))</f>
        <v/>
      </c>
      <c r="D249" s="17">
        <f>IF($A249="","",IFERROR(SUMIF(tblMotor[A_Norm],$A249,tblMotor[BeklenenHakedis]),0))</f>
        <v/>
      </c>
      <c r="E249" s="17">
        <f>IF($A249="","",ROUND($D249,2)-ROUND($C249,2))</f>
        <v/>
      </c>
      <c r="F249" s="17">
        <f>IF($A249="","",ABS($E249))</f>
        <v/>
      </c>
      <c r="G249" s="17">
        <f>IF($A249="","",IF($B249=0,"eslesmedi",IF(ROUND($D249,2)=ROUND($C249,2),"eslesti",IF(ABS(ROUND($D249,2)-ROUND($C249,2))&lt;=toleransKurus,"tolerans_icinde","tutar_farki"))))</f>
        <v/>
      </c>
      <c r="H249" s="17">
        <f>IF($A249="","",IF($B249&gt;0,"BIRINCIL",IF(COUNTIF(tblAnahtarB[IkincilB],'ANAHTAR'!$D249)&gt;0,"IKINCIL","YOK")))</f>
        <v/>
      </c>
      <c r="I249" s="17">
        <f>IF($A249="","",'ANAHTAR'!$F249)</f>
        <v/>
      </c>
      <c r="J249" s="17">
        <f>IF(OR($A249="",$D249=0),0,$F249/ABS($D249))</f>
        <v/>
      </c>
      <c r="K249" s="17">
        <f>IF($A249="","",ROUND($D249,2))</f>
        <v/>
      </c>
      <c r="L249" s="17">
        <f>IF($A249="","",ROUND($C249,2))</f>
        <v/>
      </c>
      <c r="M249" s="17">
        <f>IF($A249="","",IF($F249&lt;=toleransKurus,1,0))</f>
        <v/>
      </c>
      <c r="N249" s="17">
        <f>IF($A249="","",IF($F249&gt;tyk_esikFark,1,0))</f>
        <v/>
      </c>
      <c r="O249" s="17">
        <f>IF($A249="","",IFERROR(SUMIF(tblMotor[A_Norm],$A249,tblMotor[NetKar]),0))</f>
        <v/>
      </c>
      <c r="P249" s="17">
        <f>IF($A249="","",$B249+$M249+$N249)</f>
        <v/>
      </c>
    </row>
    <row r="250">
      <c r="A250" s="17">
        <f>IF('ANAHTAR'!$B250="","",'ANAHTAR'!$B250)</f>
        <v/>
      </c>
      <c r="B250" s="17">
        <f>IF($A250="","",COUNTIF(tblAnahtarB[NormB],$A250))</f>
        <v/>
      </c>
      <c r="C250" s="17">
        <f>IF($A250="","",IFERROR(SUMIF(tblAnahtarB[NormB],$A250,tblHakedis[GercekHakedis]),0))</f>
        <v/>
      </c>
      <c r="D250" s="17">
        <f>IF($A250="","",IFERROR(SUMIF(tblMotor[A_Norm],$A250,tblMotor[BeklenenHakedis]),0))</f>
        <v/>
      </c>
      <c r="E250" s="17">
        <f>IF($A250="","",ROUND($D250,2)-ROUND($C250,2))</f>
        <v/>
      </c>
      <c r="F250" s="17">
        <f>IF($A250="","",ABS($E250))</f>
        <v/>
      </c>
      <c r="G250" s="17">
        <f>IF($A250="","",IF($B250=0,"eslesmedi",IF(ROUND($D250,2)=ROUND($C250,2),"eslesti",IF(ABS(ROUND($D250,2)-ROUND($C250,2))&lt;=toleransKurus,"tolerans_icinde","tutar_farki"))))</f>
        <v/>
      </c>
      <c r="H250" s="17">
        <f>IF($A250="","",IF($B250&gt;0,"BIRINCIL",IF(COUNTIF(tblAnahtarB[IkincilB],'ANAHTAR'!$D250)&gt;0,"IKINCIL","YOK")))</f>
        <v/>
      </c>
      <c r="I250" s="17">
        <f>IF($A250="","",'ANAHTAR'!$F250)</f>
        <v/>
      </c>
      <c r="J250" s="17">
        <f>IF(OR($A250="",$D250=0),0,$F250/ABS($D250))</f>
        <v/>
      </c>
      <c r="K250" s="17">
        <f>IF($A250="","",ROUND($D250,2))</f>
        <v/>
      </c>
      <c r="L250" s="17">
        <f>IF($A250="","",ROUND($C250,2))</f>
        <v/>
      </c>
      <c r="M250" s="17">
        <f>IF($A250="","",IF($F250&lt;=toleransKurus,1,0))</f>
        <v/>
      </c>
      <c r="N250" s="17">
        <f>IF($A250="","",IF($F250&gt;tyk_esikFark,1,0))</f>
        <v/>
      </c>
      <c r="O250" s="17">
        <f>IF($A250="","",IFERROR(SUMIF(tblMotor[A_Norm],$A250,tblMotor[NetKar]),0))</f>
        <v/>
      </c>
      <c r="P250" s="17">
        <f>IF($A250="","",$B250+$M250+$N250)</f>
        <v/>
      </c>
    </row>
    <row r="251">
      <c r="A251" s="17">
        <f>IF('ANAHTAR'!$B251="","",'ANAHTAR'!$B251)</f>
        <v/>
      </c>
      <c r="B251" s="17">
        <f>IF($A251="","",COUNTIF(tblAnahtarB[NormB],$A251))</f>
        <v/>
      </c>
      <c r="C251" s="17">
        <f>IF($A251="","",IFERROR(SUMIF(tblAnahtarB[NormB],$A251,tblHakedis[GercekHakedis]),0))</f>
        <v/>
      </c>
      <c r="D251" s="17">
        <f>IF($A251="","",IFERROR(SUMIF(tblMotor[A_Norm],$A251,tblMotor[BeklenenHakedis]),0))</f>
        <v/>
      </c>
      <c r="E251" s="17">
        <f>IF($A251="","",ROUND($D251,2)-ROUND($C251,2))</f>
        <v/>
      </c>
      <c r="F251" s="17">
        <f>IF($A251="","",ABS($E251))</f>
        <v/>
      </c>
      <c r="G251" s="17">
        <f>IF($A251="","",IF($B251=0,"eslesmedi",IF(ROUND($D251,2)=ROUND($C251,2),"eslesti",IF(ABS(ROUND($D251,2)-ROUND($C251,2))&lt;=toleransKurus,"tolerans_icinde","tutar_farki"))))</f>
        <v/>
      </c>
      <c r="H251" s="17">
        <f>IF($A251="","",IF($B251&gt;0,"BIRINCIL",IF(COUNTIF(tblAnahtarB[IkincilB],'ANAHTAR'!$D251)&gt;0,"IKINCIL","YOK")))</f>
        <v/>
      </c>
      <c r="I251" s="17">
        <f>IF($A251="","",'ANAHTAR'!$F251)</f>
        <v/>
      </c>
      <c r="J251" s="17">
        <f>IF(OR($A251="",$D251=0),0,$F251/ABS($D251))</f>
        <v/>
      </c>
      <c r="K251" s="17">
        <f>IF($A251="","",ROUND($D251,2))</f>
        <v/>
      </c>
      <c r="L251" s="17">
        <f>IF($A251="","",ROUND($C251,2))</f>
        <v/>
      </c>
      <c r="M251" s="17">
        <f>IF($A251="","",IF($F251&lt;=toleransKurus,1,0))</f>
        <v/>
      </c>
      <c r="N251" s="17">
        <f>IF($A251="","",IF($F251&gt;tyk_esikFark,1,0))</f>
        <v/>
      </c>
      <c r="O251" s="17">
        <f>IF($A251="","",IFERROR(SUMIF(tblMotor[A_Norm],$A251,tblMotor[NetKar]),0))</f>
        <v/>
      </c>
      <c r="P251" s="17">
        <f>IF($A251="","",$B251+$M251+$N251)</f>
        <v/>
      </c>
    </row>
    <row r="252">
      <c r="A252" s="17">
        <f>IF('ANAHTAR'!$B252="","",'ANAHTAR'!$B252)</f>
        <v/>
      </c>
      <c r="B252" s="17">
        <f>IF($A252="","",COUNTIF(tblAnahtarB[NormB],$A252))</f>
        <v/>
      </c>
      <c r="C252" s="17">
        <f>IF($A252="","",IFERROR(SUMIF(tblAnahtarB[NormB],$A252,tblHakedis[GercekHakedis]),0))</f>
        <v/>
      </c>
      <c r="D252" s="17">
        <f>IF($A252="","",IFERROR(SUMIF(tblMotor[A_Norm],$A252,tblMotor[BeklenenHakedis]),0))</f>
        <v/>
      </c>
      <c r="E252" s="17">
        <f>IF($A252="","",ROUND($D252,2)-ROUND($C252,2))</f>
        <v/>
      </c>
      <c r="F252" s="17">
        <f>IF($A252="","",ABS($E252))</f>
        <v/>
      </c>
      <c r="G252" s="17">
        <f>IF($A252="","",IF($B252=0,"eslesmedi",IF(ROUND($D252,2)=ROUND($C252,2),"eslesti",IF(ABS(ROUND($D252,2)-ROUND($C252,2))&lt;=toleransKurus,"tolerans_icinde","tutar_farki"))))</f>
        <v/>
      </c>
      <c r="H252" s="17">
        <f>IF($A252="","",IF($B252&gt;0,"BIRINCIL",IF(COUNTIF(tblAnahtarB[IkincilB],'ANAHTAR'!$D252)&gt;0,"IKINCIL","YOK")))</f>
        <v/>
      </c>
      <c r="I252" s="17">
        <f>IF($A252="","",'ANAHTAR'!$F252)</f>
        <v/>
      </c>
      <c r="J252" s="17">
        <f>IF(OR($A252="",$D252=0),0,$F252/ABS($D252))</f>
        <v/>
      </c>
      <c r="K252" s="17">
        <f>IF($A252="","",ROUND($D252,2))</f>
        <v/>
      </c>
      <c r="L252" s="17">
        <f>IF($A252="","",ROUND($C252,2))</f>
        <v/>
      </c>
      <c r="M252" s="17">
        <f>IF($A252="","",IF($F252&lt;=toleransKurus,1,0))</f>
        <v/>
      </c>
      <c r="N252" s="17">
        <f>IF($A252="","",IF($F252&gt;tyk_esikFark,1,0))</f>
        <v/>
      </c>
      <c r="O252" s="17">
        <f>IF($A252="","",IFERROR(SUMIF(tblMotor[A_Norm],$A252,tblMotor[NetKar]),0))</f>
        <v/>
      </c>
      <c r="P252" s="17">
        <f>IF($A252="","",$B252+$M252+$N252)</f>
        <v/>
      </c>
    </row>
    <row r="253">
      <c r="A253" s="17">
        <f>IF('ANAHTAR'!$B253="","",'ANAHTAR'!$B253)</f>
        <v/>
      </c>
      <c r="B253" s="17">
        <f>IF($A253="","",COUNTIF(tblAnahtarB[NormB],$A253))</f>
        <v/>
      </c>
      <c r="C253" s="17">
        <f>IF($A253="","",IFERROR(SUMIF(tblAnahtarB[NormB],$A253,tblHakedis[GercekHakedis]),0))</f>
        <v/>
      </c>
      <c r="D253" s="17">
        <f>IF($A253="","",IFERROR(SUMIF(tblMotor[A_Norm],$A253,tblMotor[BeklenenHakedis]),0))</f>
        <v/>
      </c>
      <c r="E253" s="17">
        <f>IF($A253="","",ROUND($D253,2)-ROUND($C253,2))</f>
        <v/>
      </c>
      <c r="F253" s="17">
        <f>IF($A253="","",ABS($E253))</f>
        <v/>
      </c>
      <c r="G253" s="17">
        <f>IF($A253="","",IF($B253=0,"eslesmedi",IF(ROUND($D253,2)=ROUND($C253,2),"eslesti",IF(ABS(ROUND($D253,2)-ROUND($C253,2))&lt;=toleransKurus,"tolerans_icinde","tutar_farki"))))</f>
        <v/>
      </c>
      <c r="H253" s="17">
        <f>IF($A253="","",IF($B253&gt;0,"BIRINCIL",IF(COUNTIF(tblAnahtarB[IkincilB],'ANAHTAR'!$D253)&gt;0,"IKINCIL","YOK")))</f>
        <v/>
      </c>
      <c r="I253" s="17">
        <f>IF($A253="","",'ANAHTAR'!$F253)</f>
        <v/>
      </c>
      <c r="J253" s="17">
        <f>IF(OR($A253="",$D253=0),0,$F253/ABS($D253))</f>
        <v/>
      </c>
      <c r="K253" s="17">
        <f>IF($A253="","",ROUND($D253,2))</f>
        <v/>
      </c>
      <c r="L253" s="17">
        <f>IF($A253="","",ROUND($C253,2))</f>
        <v/>
      </c>
      <c r="M253" s="17">
        <f>IF($A253="","",IF($F253&lt;=toleransKurus,1,0))</f>
        <v/>
      </c>
      <c r="N253" s="17">
        <f>IF($A253="","",IF($F253&gt;tyk_esikFark,1,0))</f>
        <v/>
      </c>
      <c r="O253" s="17">
        <f>IF($A253="","",IFERROR(SUMIF(tblMotor[A_Norm],$A253,tblMotor[NetKar]),0))</f>
        <v/>
      </c>
      <c r="P253" s="17">
        <f>IF($A253="","",$B253+$M253+$N253)</f>
        <v/>
      </c>
    </row>
    <row r="254">
      <c r="A254" s="17">
        <f>IF('ANAHTAR'!$B254="","",'ANAHTAR'!$B254)</f>
        <v/>
      </c>
      <c r="B254" s="17">
        <f>IF($A254="","",COUNTIF(tblAnahtarB[NormB],$A254))</f>
        <v/>
      </c>
      <c r="C254" s="17">
        <f>IF($A254="","",IFERROR(SUMIF(tblAnahtarB[NormB],$A254,tblHakedis[GercekHakedis]),0))</f>
        <v/>
      </c>
      <c r="D254" s="17">
        <f>IF($A254="","",IFERROR(SUMIF(tblMotor[A_Norm],$A254,tblMotor[BeklenenHakedis]),0))</f>
        <v/>
      </c>
      <c r="E254" s="17">
        <f>IF($A254="","",ROUND($D254,2)-ROUND($C254,2))</f>
        <v/>
      </c>
      <c r="F254" s="17">
        <f>IF($A254="","",ABS($E254))</f>
        <v/>
      </c>
      <c r="G254" s="17">
        <f>IF($A254="","",IF($B254=0,"eslesmedi",IF(ROUND($D254,2)=ROUND($C254,2),"eslesti",IF(ABS(ROUND($D254,2)-ROUND($C254,2))&lt;=toleransKurus,"tolerans_icinde","tutar_farki"))))</f>
        <v/>
      </c>
      <c r="H254" s="17">
        <f>IF($A254="","",IF($B254&gt;0,"BIRINCIL",IF(COUNTIF(tblAnahtarB[IkincilB],'ANAHTAR'!$D254)&gt;0,"IKINCIL","YOK")))</f>
        <v/>
      </c>
      <c r="I254" s="17">
        <f>IF($A254="","",'ANAHTAR'!$F254)</f>
        <v/>
      </c>
      <c r="J254" s="17">
        <f>IF(OR($A254="",$D254=0),0,$F254/ABS($D254))</f>
        <v/>
      </c>
      <c r="K254" s="17">
        <f>IF($A254="","",ROUND($D254,2))</f>
        <v/>
      </c>
      <c r="L254" s="17">
        <f>IF($A254="","",ROUND($C254,2))</f>
        <v/>
      </c>
      <c r="M254" s="17">
        <f>IF($A254="","",IF($F254&lt;=toleransKurus,1,0))</f>
        <v/>
      </c>
      <c r="N254" s="17">
        <f>IF($A254="","",IF($F254&gt;tyk_esikFark,1,0))</f>
        <v/>
      </c>
      <c r="O254" s="17">
        <f>IF($A254="","",IFERROR(SUMIF(tblMotor[A_Norm],$A254,tblMotor[NetKar]),0))</f>
        <v/>
      </c>
      <c r="P254" s="17">
        <f>IF($A254="","",$B254+$M254+$N254)</f>
        <v/>
      </c>
    </row>
    <row r="255">
      <c r="A255" s="17">
        <f>IF('ANAHTAR'!$B255="","",'ANAHTAR'!$B255)</f>
        <v/>
      </c>
      <c r="B255" s="17">
        <f>IF($A255="","",COUNTIF(tblAnahtarB[NormB],$A255))</f>
        <v/>
      </c>
      <c r="C255" s="17">
        <f>IF($A255="","",IFERROR(SUMIF(tblAnahtarB[NormB],$A255,tblHakedis[GercekHakedis]),0))</f>
        <v/>
      </c>
      <c r="D255" s="17">
        <f>IF($A255="","",IFERROR(SUMIF(tblMotor[A_Norm],$A255,tblMotor[BeklenenHakedis]),0))</f>
        <v/>
      </c>
      <c r="E255" s="17">
        <f>IF($A255="","",ROUND($D255,2)-ROUND($C255,2))</f>
        <v/>
      </c>
      <c r="F255" s="17">
        <f>IF($A255="","",ABS($E255))</f>
        <v/>
      </c>
      <c r="G255" s="17">
        <f>IF($A255="","",IF($B255=0,"eslesmedi",IF(ROUND($D255,2)=ROUND($C255,2),"eslesti",IF(ABS(ROUND($D255,2)-ROUND($C255,2))&lt;=toleransKurus,"tolerans_icinde","tutar_farki"))))</f>
        <v/>
      </c>
      <c r="H255" s="17">
        <f>IF($A255="","",IF($B255&gt;0,"BIRINCIL",IF(COUNTIF(tblAnahtarB[IkincilB],'ANAHTAR'!$D255)&gt;0,"IKINCIL","YOK")))</f>
        <v/>
      </c>
      <c r="I255" s="17">
        <f>IF($A255="","",'ANAHTAR'!$F255)</f>
        <v/>
      </c>
      <c r="J255" s="17">
        <f>IF(OR($A255="",$D255=0),0,$F255/ABS($D255))</f>
        <v/>
      </c>
      <c r="K255" s="17">
        <f>IF($A255="","",ROUND($D255,2))</f>
        <v/>
      </c>
      <c r="L255" s="17">
        <f>IF($A255="","",ROUND($C255,2))</f>
        <v/>
      </c>
      <c r="M255" s="17">
        <f>IF($A255="","",IF($F255&lt;=toleransKurus,1,0))</f>
        <v/>
      </c>
      <c r="N255" s="17">
        <f>IF($A255="","",IF($F255&gt;tyk_esikFark,1,0))</f>
        <v/>
      </c>
      <c r="O255" s="17">
        <f>IF($A255="","",IFERROR(SUMIF(tblMotor[A_Norm],$A255,tblMotor[NetKar]),0))</f>
        <v/>
      </c>
      <c r="P255" s="17">
        <f>IF($A255="","",$B255+$M255+$N255)</f>
        <v/>
      </c>
    </row>
    <row r="256">
      <c r="A256" s="17">
        <f>IF('ANAHTAR'!$B256="","",'ANAHTAR'!$B256)</f>
        <v/>
      </c>
      <c r="B256" s="17">
        <f>IF($A256="","",COUNTIF(tblAnahtarB[NormB],$A256))</f>
        <v/>
      </c>
      <c r="C256" s="17">
        <f>IF($A256="","",IFERROR(SUMIF(tblAnahtarB[NormB],$A256,tblHakedis[GercekHakedis]),0))</f>
        <v/>
      </c>
      <c r="D256" s="17">
        <f>IF($A256="","",IFERROR(SUMIF(tblMotor[A_Norm],$A256,tblMotor[BeklenenHakedis]),0))</f>
        <v/>
      </c>
      <c r="E256" s="17">
        <f>IF($A256="","",ROUND($D256,2)-ROUND($C256,2))</f>
        <v/>
      </c>
      <c r="F256" s="17">
        <f>IF($A256="","",ABS($E256))</f>
        <v/>
      </c>
      <c r="G256" s="17">
        <f>IF($A256="","",IF($B256=0,"eslesmedi",IF(ROUND($D256,2)=ROUND($C256,2),"eslesti",IF(ABS(ROUND($D256,2)-ROUND($C256,2))&lt;=toleransKurus,"tolerans_icinde","tutar_farki"))))</f>
        <v/>
      </c>
      <c r="H256" s="17">
        <f>IF($A256="","",IF($B256&gt;0,"BIRINCIL",IF(COUNTIF(tblAnahtarB[IkincilB],'ANAHTAR'!$D256)&gt;0,"IKINCIL","YOK")))</f>
        <v/>
      </c>
      <c r="I256" s="17">
        <f>IF($A256="","",'ANAHTAR'!$F256)</f>
        <v/>
      </c>
      <c r="J256" s="17">
        <f>IF(OR($A256="",$D256=0),0,$F256/ABS($D256))</f>
        <v/>
      </c>
      <c r="K256" s="17">
        <f>IF($A256="","",ROUND($D256,2))</f>
        <v/>
      </c>
      <c r="L256" s="17">
        <f>IF($A256="","",ROUND($C256,2))</f>
        <v/>
      </c>
      <c r="M256" s="17">
        <f>IF($A256="","",IF($F256&lt;=toleransKurus,1,0))</f>
        <v/>
      </c>
      <c r="N256" s="17">
        <f>IF($A256="","",IF($F256&gt;tyk_esikFark,1,0))</f>
        <v/>
      </c>
      <c r="O256" s="17">
        <f>IF($A256="","",IFERROR(SUMIF(tblMotor[A_Norm],$A256,tblMotor[NetKar]),0))</f>
        <v/>
      </c>
      <c r="P256" s="17">
        <f>IF($A256="","",$B256+$M256+$N256)</f>
        <v/>
      </c>
    </row>
    <row r="257">
      <c r="A257" s="17">
        <f>IF('ANAHTAR'!$B257="","",'ANAHTAR'!$B257)</f>
        <v/>
      </c>
      <c r="B257" s="17">
        <f>IF($A257="","",COUNTIF(tblAnahtarB[NormB],$A257))</f>
        <v/>
      </c>
      <c r="C257" s="17">
        <f>IF($A257="","",IFERROR(SUMIF(tblAnahtarB[NormB],$A257,tblHakedis[GercekHakedis]),0))</f>
        <v/>
      </c>
      <c r="D257" s="17">
        <f>IF($A257="","",IFERROR(SUMIF(tblMotor[A_Norm],$A257,tblMotor[BeklenenHakedis]),0))</f>
        <v/>
      </c>
      <c r="E257" s="17">
        <f>IF($A257="","",ROUND($D257,2)-ROUND($C257,2))</f>
        <v/>
      </c>
      <c r="F257" s="17">
        <f>IF($A257="","",ABS($E257))</f>
        <v/>
      </c>
      <c r="G257" s="17">
        <f>IF($A257="","",IF($B257=0,"eslesmedi",IF(ROUND($D257,2)=ROUND($C257,2),"eslesti",IF(ABS(ROUND($D257,2)-ROUND($C257,2))&lt;=toleransKurus,"tolerans_icinde","tutar_farki"))))</f>
        <v/>
      </c>
      <c r="H257" s="17">
        <f>IF($A257="","",IF($B257&gt;0,"BIRINCIL",IF(COUNTIF(tblAnahtarB[IkincilB],'ANAHTAR'!$D257)&gt;0,"IKINCIL","YOK")))</f>
        <v/>
      </c>
      <c r="I257" s="17">
        <f>IF($A257="","",'ANAHTAR'!$F257)</f>
        <v/>
      </c>
      <c r="J257" s="17">
        <f>IF(OR($A257="",$D257=0),0,$F257/ABS($D257))</f>
        <v/>
      </c>
      <c r="K257" s="17">
        <f>IF($A257="","",ROUND($D257,2))</f>
        <v/>
      </c>
      <c r="L257" s="17">
        <f>IF($A257="","",ROUND($C257,2))</f>
        <v/>
      </c>
      <c r="M257" s="17">
        <f>IF($A257="","",IF($F257&lt;=toleransKurus,1,0))</f>
        <v/>
      </c>
      <c r="N257" s="17">
        <f>IF($A257="","",IF($F257&gt;tyk_esikFark,1,0))</f>
        <v/>
      </c>
      <c r="O257" s="17">
        <f>IF($A257="","",IFERROR(SUMIF(tblMotor[A_Norm],$A257,tblMotor[NetKar]),0))</f>
        <v/>
      </c>
      <c r="P257" s="17">
        <f>IF($A257="","",$B257+$M257+$N257)</f>
        <v/>
      </c>
    </row>
    <row r="258">
      <c r="A258" s="17">
        <f>IF('ANAHTAR'!$B258="","",'ANAHTAR'!$B258)</f>
        <v/>
      </c>
      <c r="B258" s="17">
        <f>IF($A258="","",COUNTIF(tblAnahtarB[NormB],$A258))</f>
        <v/>
      </c>
      <c r="C258" s="17">
        <f>IF($A258="","",IFERROR(SUMIF(tblAnahtarB[NormB],$A258,tblHakedis[GercekHakedis]),0))</f>
        <v/>
      </c>
      <c r="D258" s="17">
        <f>IF($A258="","",IFERROR(SUMIF(tblMotor[A_Norm],$A258,tblMotor[BeklenenHakedis]),0))</f>
        <v/>
      </c>
      <c r="E258" s="17">
        <f>IF($A258="","",ROUND($D258,2)-ROUND($C258,2))</f>
        <v/>
      </c>
      <c r="F258" s="17">
        <f>IF($A258="","",ABS($E258))</f>
        <v/>
      </c>
      <c r="G258" s="17">
        <f>IF($A258="","",IF($B258=0,"eslesmedi",IF(ROUND($D258,2)=ROUND($C258,2),"eslesti",IF(ABS(ROUND($D258,2)-ROUND($C258,2))&lt;=toleransKurus,"tolerans_icinde","tutar_farki"))))</f>
        <v/>
      </c>
      <c r="H258" s="17">
        <f>IF($A258="","",IF($B258&gt;0,"BIRINCIL",IF(COUNTIF(tblAnahtarB[IkincilB],'ANAHTAR'!$D258)&gt;0,"IKINCIL","YOK")))</f>
        <v/>
      </c>
      <c r="I258" s="17">
        <f>IF($A258="","",'ANAHTAR'!$F258)</f>
        <v/>
      </c>
      <c r="J258" s="17">
        <f>IF(OR($A258="",$D258=0),0,$F258/ABS($D258))</f>
        <v/>
      </c>
      <c r="K258" s="17">
        <f>IF($A258="","",ROUND($D258,2))</f>
        <v/>
      </c>
      <c r="L258" s="17">
        <f>IF($A258="","",ROUND($C258,2))</f>
        <v/>
      </c>
      <c r="M258" s="17">
        <f>IF($A258="","",IF($F258&lt;=toleransKurus,1,0))</f>
        <v/>
      </c>
      <c r="N258" s="17">
        <f>IF($A258="","",IF($F258&gt;tyk_esikFark,1,0))</f>
        <v/>
      </c>
      <c r="O258" s="17">
        <f>IF($A258="","",IFERROR(SUMIF(tblMotor[A_Norm],$A258,tblMotor[NetKar]),0))</f>
        <v/>
      </c>
      <c r="P258" s="17">
        <f>IF($A258="","",$B258+$M258+$N258)</f>
        <v/>
      </c>
    </row>
    <row r="259">
      <c r="A259" s="17">
        <f>IF('ANAHTAR'!$B259="","",'ANAHTAR'!$B259)</f>
        <v/>
      </c>
      <c r="B259" s="17">
        <f>IF($A259="","",COUNTIF(tblAnahtarB[NormB],$A259))</f>
        <v/>
      </c>
      <c r="C259" s="17">
        <f>IF($A259="","",IFERROR(SUMIF(tblAnahtarB[NormB],$A259,tblHakedis[GercekHakedis]),0))</f>
        <v/>
      </c>
      <c r="D259" s="17">
        <f>IF($A259="","",IFERROR(SUMIF(tblMotor[A_Norm],$A259,tblMotor[BeklenenHakedis]),0))</f>
        <v/>
      </c>
      <c r="E259" s="17">
        <f>IF($A259="","",ROUND($D259,2)-ROUND($C259,2))</f>
        <v/>
      </c>
      <c r="F259" s="17">
        <f>IF($A259="","",ABS($E259))</f>
        <v/>
      </c>
      <c r="G259" s="17">
        <f>IF($A259="","",IF($B259=0,"eslesmedi",IF(ROUND($D259,2)=ROUND($C259,2),"eslesti",IF(ABS(ROUND($D259,2)-ROUND($C259,2))&lt;=toleransKurus,"tolerans_icinde","tutar_farki"))))</f>
        <v/>
      </c>
      <c r="H259" s="17">
        <f>IF($A259="","",IF($B259&gt;0,"BIRINCIL",IF(COUNTIF(tblAnahtarB[IkincilB],'ANAHTAR'!$D259)&gt;0,"IKINCIL","YOK")))</f>
        <v/>
      </c>
      <c r="I259" s="17">
        <f>IF($A259="","",'ANAHTAR'!$F259)</f>
        <v/>
      </c>
      <c r="J259" s="17">
        <f>IF(OR($A259="",$D259=0),0,$F259/ABS($D259))</f>
        <v/>
      </c>
      <c r="K259" s="17">
        <f>IF($A259="","",ROUND($D259,2))</f>
        <v/>
      </c>
      <c r="L259" s="17">
        <f>IF($A259="","",ROUND($C259,2))</f>
        <v/>
      </c>
      <c r="M259" s="17">
        <f>IF($A259="","",IF($F259&lt;=toleransKurus,1,0))</f>
        <v/>
      </c>
      <c r="N259" s="17">
        <f>IF($A259="","",IF($F259&gt;tyk_esikFark,1,0))</f>
        <v/>
      </c>
      <c r="O259" s="17">
        <f>IF($A259="","",IFERROR(SUMIF(tblMotor[A_Norm],$A259,tblMotor[NetKar]),0))</f>
        <v/>
      </c>
      <c r="P259" s="17">
        <f>IF($A259="","",$B259+$M259+$N259)</f>
        <v/>
      </c>
    </row>
    <row r="260">
      <c r="A260" s="17">
        <f>IF('ANAHTAR'!$B260="","",'ANAHTAR'!$B260)</f>
        <v/>
      </c>
      <c r="B260" s="17">
        <f>IF($A260="","",COUNTIF(tblAnahtarB[NormB],$A260))</f>
        <v/>
      </c>
      <c r="C260" s="17">
        <f>IF($A260="","",IFERROR(SUMIF(tblAnahtarB[NormB],$A260,tblHakedis[GercekHakedis]),0))</f>
        <v/>
      </c>
      <c r="D260" s="17">
        <f>IF($A260="","",IFERROR(SUMIF(tblMotor[A_Norm],$A260,tblMotor[BeklenenHakedis]),0))</f>
        <v/>
      </c>
      <c r="E260" s="17">
        <f>IF($A260="","",ROUND($D260,2)-ROUND($C260,2))</f>
        <v/>
      </c>
      <c r="F260" s="17">
        <f>IF($A260="","",ABS($E260))</f>
        <v/>
      </c>
      <c r="G260" s="17">
        <f>IF($A260="","",IF($B260=0,"eslesmedi",IF(ROUND($D260,2)=ROUND($C260,2),"eslesti",IF(ABS(ROUND($D260,2)-ROUND($C260,2))&lt;=toleransKurus,"tolerans_icinde","tutar_farki"))))</f>
        <v/>
      </c>
      <c r="H260" s="17">
        <f>IF($A260="","",IF($B260&gt;0,"BIRINCIL",IF(COUNTIF(tblAnahtarB[IkincilB],'ANAHTAR'!$D260)&gt;0,"IKINCIL","YOK")))</f>
        <v/>
      </c>
      <c r="I260" s="17">
        <f>IF($A260="","",'ANAHTAR'!$F260)</f>
        <v/>
      </c>
      <c r="J260" s="17">
        <f>IF(OR($A260="",$D260=0),0,$F260/ABS($D260))</f>
        <v/>
      </c>
      <c r="K260" s="17">
        <f>IF($A260="","",ROUND($D260,2))</f>
        <v/>
      </c>
      <c r="L260" s="17">
        <f>IF($A260="","",ROUND($C260,2))</f>
        <v/>
      </c>
      <c r="M260" s="17">
        <f>IF($A260="","",IF($F260&lt;=toleransKurus,1,0))</f>
        <v/>
      </c>
      <c r="N260" s="17">
        <f>IF($A260="","",IF($F260&gt;tyk_esikFark,1,0))</f>
        <v/>
      </c>
      <c r="O260" s="17">
        <f>IF($A260="","",IFERROR(SUMIF(tblMotor[A_Norm],$A260,tblMotor[NetKar]),0))</f>
        <v/>
      </c>
      <c r="P260" s="17">
        <f>IF($A260="","",$B260+$M260+$N260)</f>
        <v/>
      </c>
    </row>
    <row r="261">
      <c r="A261" s="17">
        <f>IF('ANAHTAR'!$B261="","",'ANAHTAR'!$B261)</f>
        <v/>
      </c>
      <c r="B261" s="17">
        <f>IF($A261="","",COUNTIF(tblAnahtarB[NormB],$A261))</f>
        <v/>
      </c>
      <c r="C261" s="17">
        <f>IF($A261="","",IFERROR(SUMIF(tblAnahtarB[NormB],$A261,tblHakedis[GercekHakedis]),0))</f>
        <v/>
      </c>
      <c r="D261" s="17">
        <f>IF($A261="","",IFERROR(SUMIF(tblMotor[A_Norm],$A261,tblMotor[BeklenenHakedis]),0))</f>
        <v/>
      </c>
      <c r="E261" s="17">
        <f>IF($A261="","",ROUND($D261,2)-ROUND($C261,2))</f>
        <v/>
      </c>
      <c r="F261" s="17">
        <f>IF($A261="","",ABS($E261))</f>
        <v/>
      </c>
      <c r="G261" s="17">
        <f>IF($A261="","",IF($B261=0,"eslesmedi",IF(ROUND($D261,2)=ROUND($C261,2),"eslesti",IF(ABS(ROUND($D261,2)-ROUND($C261,2))&lt;=toleransKurus,"tolerans_icinde","tutar_farki"))))</f>
        <v/>
      </c>
      <c r="H261" s="17">
        <f>IF($A261="","",IF($B261&gt;0,"BIRINCIL",IF(COUNTIF(tblAnahtarB[IkincilB],'ANAHTAR'!$D261)&gt;0,"IKINCIL","YOK")))</f>
        <v/>
      </c>
      <c r="I261" s="17">
        <f>IF($A261="","",'ANAHTAR'!$F261)</f>
        <v/>
      </c>
      <c r="J261" s="17">
        <f>IF(OR($A261="",$D261=0),0,$F261/ABS($D261))</f>
        <v/>
      </c>
      <c r="K261" s="17">
        <f>IF($A261="","",ROUND($D261,2))</f>
        <v/>
      </c>
      <c r="L261" s="17">
        <f>IF($A261="","",ROUND($C261,2))</f>
        <v/>
      </c>
      <c r="M261" s="17">
        <f>IF($A261="","",IF($F261&lt;=toleransKurus,1,0))</f>
        <v/>
      </c>
      <c r="N261" s="17">
        <f>IF($A261="","",IF($F261&gt;tyk_esikFark,1,0))</f>
        <v/>
      </c>
      <c r="O261" s="17">
        <f>IF($A261="","",IFERROR(SUMIF(tblMotor[A_Norm],$A261,tblMotor[NetKar]),0))</f>
        <v/>
      </c>
      <c r="P261" s="17">
        <f>IF($A261="","",$B261+$M261+$N261)</f>
        <v/>
      </c>
    </row>
    <row r="262">
      <c r="A262" s="17">
        <f>IF('ANAHTAR'!$B262="","",'ANAHTAR'!$B262)</f>
        <v/>
      </c>
      <c r="B262" s="17">
        <f>IF($A262="","",COUNTIF(tblAnahtarB[NormB],$A262))</f>
        <v/>
      </c>
      <c r="C262" s="17">
        <f>IF($A262="","",IFERROR(SUMIF(tblAnahtarB[NormB],$A262,tblHakedis[GercekHakedis]),0))</f>
        <v/>
      </c>
      <c r="D262" s="17">
        <f>IF($A262="","",IFERROR(SUMIF(tblMotor[A_Norm],$A262,tblMotor[BeklenenHakedis]),0))</f>
        <v/>
      </c>
      <c r="E262" s="17">
        <f>IF($A262="","",ROUND($D262,2)-ROUND($C262,2))</f>
        <v/>
      </c>
      <c r="F262" s="17">
        <f>IF($A262="","",ABS($E262))</f>
        <v/>
      </c>
      <c r="G262" s="17">
        <f>IF($A262="","",IF($B262=0,"eslesmedi",IF(ROUND($D262,2)=ROUND($C262,2),"eslesti",IF(ABS(ROUND($D262,2)-ROUND($C262,2))&lt;=toleransKurus,"tolerans_icinde","tutar_farki"))))</f>
        <v/>
      </c>
      <c r="H262" s="17">
        <f>IF($A262="","",IF($B262&gt;0,"BIRINCIL",IF(COUNTIF(tblAnahtarB[IkincilB],'ANAHTAR'!$D262)&gt;0,"IKINCIL","YOK")))</f>
        <v/>
      </c>
      <c r="I262" s="17">
        <f>IF($A262="","",'ANAHTAR'!$F262)</f>
        <v/>
      </c>
      <c r="J262" s="17">
        <f>IF(OR($A262="",$D262=0),0,$F262/ABS($D262))</f>
        <v/>
      </c>
      <c r="K262" s="17">
        <f>IF($A262="","",ROUND($D262,2))</f>
        <v/>
      </c>
      <c r="L262" s="17">
        <f>IF($A262="","",ROUND($C262,2))</f>
        <v/>
      </c>
      <c r="M262" s="17">
        <f>IF($A262="","",IF($F262&lt;=toleransKurus,1,0))</f>
        <v/>
      </c>
      <c r="N262" s="17">
        <f>IF($A262="","",IF($F262&gt;tyk_esikFark,1,0))</f>
        <v/>
      </c>
      <c r="O262" s="17">
        <f>IF($A262="","",IFERROR(SUMIF(tblMotor[A_Norm],$A262,tblMotor[NetKar]),0))</f>
        <v/>
      </c>
      <c r="P262" s="17">
        <f>IF($A262="","",$B262+$M262+$N262)</f>
        <v/>
      </c>
    </row>
    <row r="263">
      <c r="A263" s="17">
        <f>IF('ANAHTAR'!$B263="","",'ANAHTAR'!$B263)</f>
        <v/>
      </c>
      <c r="B263" s="17">
        <f>IF($A263="","",COUNTIF(tblAnahtarB[NormB],$A263))</f>
        <v/>
      </c>
      <c r="C263" s="17">
        <f>IF($A263="","",IFERROR(SUMIF(tblAnahtarB[NormB],$A263,tblHakedis[GercekHakedis]),0))</f>
        <v/>
      </c>
      <c r="D263" s="17">
        <f>IF($A263="","",IFERROR(SUMIF(tblMotor[A_Norm],$A263,tblMotor[BeklenenHakedis]),0))</f>
        <v/>
      </c>
      <c r="E263" s="17">
        <f>IF($A263="","",ROUND($D263,2)-ROUND($C263,2))</f>
        <v/>
      </c>
      <c r="F263" s="17">
        <f>IF($A263="","",ABS($E263))</f>
        <v/>
      </c>
      <c r="G263" s="17">
        <f>IF($A263="","",IF($B263=0,"eslesmedi",IF(ROUND($D263,2)=ROUND($C263,2),"eslesti",IF(ABS(ROUND($D263,2)-ROUND($C263,2))&lt;=toleransKurus,"tolerans_icinde","tutar_farki"))))</f>
        <v/>
      </c>
      <c r="H263" s="17">
        <f>IF($A263="","",IF($B263&gt;0,"BIRINCIL",IF(COUNTIF(tblAnahtarB[IkincilB],'ANAHTAR'!$D263)&gt;0,"IKINCIL","YOK")))</f>
        <v/>
      </c>
      <c r="I263" s="17">
        <f>IF($A263="","",'ANAHTAR'!$F263)</f>
        <v/>
      </c>
      <c r="J263" s="17">
        <f>IF(OR($A263="",$D263=0),0,$F263/ABS($D263))</f>
        <v/>
      </c>
      <c r="K263" s="17">
        <f>IF($A263="","",ROUND($D263,2))</f>
        <v/>
      </c>
      <c r="L263" s="17">
        <f>IF($A263="","",ROUND($C263,2))</f>
        <v/>
      </c>
      <c r="M263" s="17">
        <f>IF($A263="","",IF($F263&lt;=toleransKurus,1,0))</f>
        <v/>
      </c>
      <c r="N263" s="17">
        <f>IF($A263="","",IF($F263&gt;tyk_esikFark,1,0))</f>
        <v/>
      </c>
      <c r="O263" s="17">
        <f>IF($A263="","",IFERROR(SUMIF(tblMotor[A_Norm],$A263,tblMotor[NetKar]),0))</f>
        <v/>
      </c>
      <c r="P263" s="17">
        <f>IF($A263="","",$B263+$M263+$N263)</f>
        <v/>
      </c>
    </row>
    <row r="264">
      <c r="A264" s="17">
        <f>IF('ANAHTAR'!$B264="","",'ANAHTAR'!$B264)</f>
        <v/>
      </c>
      <c r="B264" s="17">
        <f>IF($A264="","",COUNTIF(tblAnahtarB[NormB],$A264))</f>
        <v/>
      </c>
      <c r="C264" s="17">
        <f>IF($A264="","",IFERROR(SUMIF(tblAnahtarB[NormB],$A264,tblHakedis[GercekHakedis]),0))</f>
        <v/>
      </c>
      <c r="D264" s="17">
        <f>IF($A264="","",IFERROR(SUMIF(tblMotor[A_Norm],$A264,tblMotor[BeklenenHakedis]),0))</f>
        <v/>
      </c>
      <c r="E264" s="17">
        <f>IF($A264="","",ROUND($D264,2)-ROUND($C264,2))</f>
        <v/>
      </c>
      <c r="F264" s="17">
        <f>IF($A264="","",ABS($E264))</f>
        <v/>
      </c>
      <c r="G264" s="17">
        <f>IF($A264="","",IF($B264=0,"eslesmedi",IF(ROUND($D264,2)=ROUND($C264,2),"eslesti",IF(ABS(ROUND($D264,2)-ROUND($C264,2))&lt;=toleransKurus,"tolerans_icinde","tutar_farki"))))</f>
        <v/>
      </c>
      <c r="H264" s="17">
        <f>IF($A264="","",IF($B264&gt;0,"BIRINCIL",IF(COUNTIF(tblAnahtarB[IkincilB],'ANAHTAR'!$D264)&gt;0,"IKINCIL","YOK")))</f>
        <v/>
      </c>
      <c r="I264" s="17">
        <f>IF($A264="","",'ANAHTAR'!$F264)</f>
        <v/>
      </c>
      <c r="J264" s="17">
        <f>IF(OR($A264="",$D264=0),0,$F264/ABS($D264))</f>
        <v/>
      </c>
      <c r="K264" s="17">
        <f>IF($A264="","",ROUND($D264,2))</f>
        <v/>
      </c>
      <c r="L264" s="17">
        <f>IF($A264="","",ROUND($C264,2))</f>
        <v/>
      </c>
      <c r="M264" s="17">
        <f>IF($A264="","",IF($F264&lt;=toleransKurus,1,0))</f>
        <v/>
      </c>
      <c r="N264" s="17">
        <f>IF($A264="","",IF($F264&gt;tyk_esikFark,1,0))</f>
        <v/>
      </c>
      <c r="O264" s="17">
        <f>IF($A264="","",IFERROR(SUMIF(tblMotor[A_Norm],$A264,tblMotor[NetKar]),0))</f>
        <v/>
      </c>
      <c r="P264" s="17">
        <f>IF($A264="","",$B264+$M264+$N264)</f>
        <v/>
      </c>
    </row>
    <row r="265">
      <c r="A265" s="17">
        <f>IF('ANAHTAR'!$B265="","",'ANAHTAR'!$B265)</f>
        <v/>
      </c>
      <c r="B265" s="17">
        <f>IF($A265="","",COUNTIF(tblAnahtarB[NormB],$A265))</f>
        <v/>
      </c>
      <c r="C265" s="17">
        <f>IF($A265="","",IFERROR(SUMIF(tblAnahtarB[NormB],$A265,tblHakedis[GercekHakedis]),0))</f>
        <v/>
      </c>
      <c r="D265" s="17">
        <f>IF($A265="","",IFERROR(SUMIF(tblMotor[A_Norm],$A265,tblMotor[BeklenenHakedis]),0))</f>
        <v/>
      </c>
      <c r="E265" s="17">
        <f>IF($A265="","",ROUND($D265,2)-ROUND($C265,2))</f>
        <v/>
      </c>
      <c r="F265" s="17">
        <f>IF($A265="","",ABS($E265))</f>
        <v/>
      </c>
      <c r="G265" s="17">
        <f>IF($A265="","",IF($B265=0,"eslesmedi",IF(ROUND($D265,2)=ROUND($C265,2),"eslesti",IF(ABS(ROUND($D265,2)-ROUND($C265,2))&lt;=toleransKurus,"tolerans_icinde","tutar_farki"))))</f>
        <v/>
      </c>
      <c r="H265" s="17">
        <f>IF($A265="","",IF($B265&gt;0,"BIRINCIL",IF(COUNTIF(tblAnahtarB[IkincilB],'ANAHTAR'!$D265)&gt;0,"IKINCIL","YOK")))</f>
        <v/>
      </c>
      <c r="I265" s="17">
        <f>IF($A265="","",'ANAHTAR'!$F265)</f>
        <v/>
      </c>
      <c r="J265" s="17">
        <f>IF(OR($A265="",$D265=0),0,$F265/ABS($D265))</f>
        <v/>
      </c>
      <c r="K265" s="17">
        <f>IF($A265="","",ROUND($D265,2))</f>
        <v/>
      </c>
      <c r="L265" s="17">
        <f>IF($A265="","",ROUND($C265,2))</f>
        <v/>
      </c>
      <c r="M265" s="17">
        <f>IF($A265="","",IF($F265&lt;=toleransKurus,1,0))</f>
        <v/>
      </c>
      <c r="N265" s="17">
        <f>IF($A265="","",IF($F265&gt;tyk_esikFark,1,0))</f>
        <v/>
      </c>
      <c r="O265" s="17">
        <f>IF($A265="","",IFERROR(SUMIF(tblMotor[A_Norm],$A265,tblMotor[NetKar]),0))</f>
        <v/>
      </c>
      <c r="P265" s="17">
        <f>IF($A265="","",$B265+$M265+$N265)</f>
        <v/>
      </c>
    </row>
    <row r="266">
      <c r="A266" s="17">
        <f>IF('ANAHTAR'!$B266="","",'ANAHTAR'!$B266)</f>
        <v/>
      </c>
      <c r="B266" s="17">
        <f>IF($A266="","",COUNTIF(tblAnahtarB[NormB],$A266))</f>
        <v/>
      </c>
      <c r="C266" s="17">
        <f>IF($A266="","",IFERROR(SUMIF(tblAnahtarB[NormB],$A266,tblHakedis[GercekHakedis]),0))</f>
        <v/>
      </c>
      <c r="D266" s="17">
        <f>IF($A266="","",IFERROR(SUMIF(tblMotor[A_Norm],$A266,tblMotor[BeklenenHakedis]),0))</f>
        <v/>
      </c>
      <c r="E266" s="17">
        <f>IF($A266="","",ROUND($D266,2)-ROUND($C266,2))</f>
        <v/>
      </c>
      <c r="F266" s="17">
        <f>IF($A266="","",ABS($E266))</f>
        <v/>
      </c>
      <c r="G266" s="17">
        <f>IF($A266="","",IF($B266=0,"eslesmedi",IF(ROUND($D266,2)=ROUND($C266,2),"eslesti",IF(ABS(ROUND($D266,2)-ROUND($C266,2))&lt;=toleransKurus,"tolerans_icinde","tutar_farki"))))</f>
        <v/>
      </c>
      <c r="H266" s="17">
        <f>IF($A266="","",IF($B266&gt;0,"BIRINCIL",IF(COUNTIF(tblAnahtarB[IkincilB],'ANAHTAR'!$D266)&gt;0,"IKINCIL","YOK")))</f>
        <v/>
      </c>
      <c r="I266" s="17">
        <f>IF($A266="","",'ANAHTAR'!$F266)</f>
        <v/>
      </c>
      <c r="J266" s="17">
        <f>IF(OR($A266="",$D266=0),0,$F266/ABS($D266))</f>
        <v/>
      </c>
      <c r="K266" s="17">
        <f>IF($A266="","",ROUND($D266,2))</f>
        <v/>
      </c>
      <c r="L266" s="17">
        <f>IF($A266="","",ROUND($C266,2))</f>
        <v/>
      </c>
      <c r="M266" s="17">
        <f>IF($A266="","",IF($F266&lt;=toleransKurus,1,0))</f>
        <v/>
      </c>
      <c r="N266" s="17">
        <f>IF($A266="","",IF($F266&gt;tyk_esikFark,1,0))</f>
        <v/>
      </c>
      <c r="O266" s="17">
        <f>IF($A266="","",IFERROR(SUMIF(tblMotor[A_Norm],$A266,tblMotor[NetKar]),0))</f>
        <v/>
      </c>
      <c r="P266" s="17">
        <f>IF($A266="","",$B266+$M266+$N266)</f>
        <v/>
      </c>
    </row>
    <row r="267">
      <c r="A267" s="17">
        <f>IF('ANAHTAR'!$B267="","",'ANAHTAR'!$B267)</f>
        <v/>
      </c>
      <c r="B267" s="17">
        <f>IF($A267="","",COUNTIF(tblAnahtarB[NormB],$A267))</f>
        <v/>
      </c>
      <c r="C267" s="17">
        <f>IF($A267="","",IFERROR(SUMIF(tblAnahtarB[NormB],$A267,tblHakedis[GercekHakedis]),0))</f>
        <v/>
      </c>
      <c r="D267" s="17">
        <f>IF($A267="","",IFERROR(SUMIF(tblMotor[A_Norm],$A267,tblMotor[BeklenenHakedis]),0))</f>
        <v/>
      </c>
      <c r="E267" s="17">
        <f>IF($A267="","",ROUND($D267,2)-ROUND($C267,2))</f>
        <v/>
      </c>
      <c r="F267" s="17">
        <f>IF($A267="","",ABS($E267))</f>
        <v/>
      </c>
      <c r="G267" s="17">
        <f>IF($A267="","",IF($B267=0,"eslesmedi",IF(ROUND($D267,2)=ROUND($C267,2),"eslesti",IF(ABS(ROUND($D267,2)-ROUND($C267,2))&lt;=toleransKurus,"tolerans_icinde","tutar_farki"))))</f>
        <v/>
      </c>
      <c r="H267" s="17">
        <f>IF($A267="","",IF($B267&gt;0,"BIRINCIL",IF(COUNTIF(tblAnahtarB[IkincilB],'ANAHTAR'!$D267)&gt;0,"IKINCIL","YOK")))</f>
        <v/>
      </c>
      <c r="I267" s="17">
        <f>IF($A267="","",'ANAHTAR'!$F267)</f>
        <v/>
      </c>
      <c r="J267" s="17">
        <f>IF(OR($A267="",$D267=0),0,$F267/ABS($D267))</f>
        <v/>
      </c>
      <c r="K267" s="17">
        <f>IF($A267="","",ROUND($D267,2))</f>
        <v/>
      </c>
      <c r="L267" s="17">
        <f>IF($A267="","",ROUND($C267,2))</f>
        <v/>
      </c>
      <c r="M267" s="17">
        <f>IF($A267="","",IF($F267&lt;=toleransKurus,1,0))</f>
        <v/>
      </c>
      <c r="N267" s="17">
        <f>IF($A267="","",IF($F267&gt;tyk_esikFark,1,0))</f>
        <v/>
      </c>
      <c r="O267" s="17">
        <f>IF($A267="","",IFERROR(SUMIF(tblMotor[A_Norm],$A267,tblMotor[NetKar]),0))</f>
        <v/>
      </c>
      <c r="P267" s="17">
        <f>IF($A267="","",$B267+$M267+$N267)</f>
        <v/>
      </c>
    </row>
    <row r="268">
      <c r="A268" s="17">
        <f>IF('ANAHTAR'!$B268="","",'ANAHTAR'!$B268)</f>
        <v/>
      </c>
      <c r="B268" s="17">
        <f>IF($A268="","",COUNTIF(tblAnahtarB[NormB],$A268))</f>
        <v/>
      </c>
      <c r="C268" s="17">
        <f>IF($A268="","",IFERROR(SUMIF(tblAnahtarB[NormB],$A268,tblHakedis[GercekHakedis]),0))</f>
        <v/>
      </c>
      <c r="D268" s="17">
        <f>IF($A268="","",IFERROR(SUMIF(tblMotor[A_Norm],$A268,tblMotor[BeklenenHakedis]),0))</f>
        <v/>
      </c>
      <c r="E268" s="17">
        <f>IF($A268="","",ROUND($D268,2)-ROUND($C268,2))</f>
        <v/>
      </c>
      <c r="F268" s="17">
        <f>IF($A268="","",ABS($E268))</f>
        <v/>
      </c>
      <c r="G268" s="17">
        <f>IF($A268="","",IF($B268=0,"eslesmedi",IF(ROUND($D268,2)=ROUND($C268,2),"eslesti",IF(ABS(ROUND($D268,2)-ROUND($C268,2))&lt;=toleransKurus,"tolerans_icinde","tutar_farki"))))</f>
        <v/>
      </c>
      <c r="H268" s="17">
        <f>IF($A268="","",IF($B268&gt;0,"BIRINCIL",IF(COUNTIF(tblAnahtarB[IkincilB],'ANAHTAR'!$D268)&gt;0,"IKINCIL","YOK")))</f>
        <v/>
      </c>
      <c r="I268" s="17">
        <f>IF($A268="","",'ANAHTAR'!$F268)</f>
        <v/>
      </c>
      <c r="J268" s="17">
        <f>IF(OR($A268="",$D268=0),0,$F268/ABS($D268))</f>
        <v/>
      </c>
      <c r="K268" s="17">
        <f>IF($A268="","",ROUND($D268,2))</f>
        <v/>
      </c>
      <c r="L268" s="17">
        <f>IF($A268="","",ROUND($C268,2))</f>
        <v/>
      </c>
      <c r="M268" s="17">
        <f>IF($A268="","",IF($F268&lt;=toleransKurus,1,0))</f>
        <v/>
      </c>
      <c r="N268" s="17">
        <f>IF($A268="","",IF($F268&gt;tyk_esikFark,1,0))</f>
        <v/>
      </c>
      <c r="O268" s="17">
        <f>IF($A268="","",IFERROR(SUMIF(tblMotor[A_Norm],$A268,tblMotor[NetKar]),0))</f>
        <v/>
      </c>
      <c r="P268" s="17">
        <f>IF($A268="","",$B268+$M268+$N268)</f>
        <v/>
      </c>
    </row>
    <row r="269">
      <c r="A269" s="17">
        <f>IF('ANAHTAR'!$B269="","",'ANAHTAR'!$B269)</f>
        <v/>
      </c>
      <c r="B269" s="17">
        <f>IF($A269="","",COUNTIF(tblAnahtarB[NormB],$A269))</f>
        <v/>
      </c>
      <c r="C269" s="17">
        <f>IF($A269="","",IFERROR(SUMIF(tblAnahtarB[NormB],$A269,tblHakedis[GercekHakedis]),0))</f>
        <v/>
      </c>
      <c r="D269" s="17">
        <f>IF($A269="","",IFERROR(SUMIF(tblMotor[A_Norm],$A269,tblMotor[BeklenenHakedis]),0))</f>
        <v/>
      </c>
      <c r="E269" s="17">
        <f>IF($A269="","",ROUND($D269,2)-ROUND($C269,2))</f>
        <v/>
      </c>
      <c r="F269" s="17">
        <f>IF($A269="","",ABS($E269))</f>
        <v/>
      </c>
      <c r="G269" s="17">
        <f>IF($A269="","",IF($B269=0,"eslesmedi",IF(ROUND($D269,2)=ROUND($C269,2),"eslesti",IF(ABS(ROUND($D269,2)-ROUND($C269,2))&lt;=toleransKurus,"tolerans_icinde","tutar_farki"))))</f>
        <v/>
      </c>
      <c r="H269" s="17">
        <f>IF($A269="","",IF($B269&gt;0,"BIRINCIL",IF(COUNTIF(tblAnahtarB[IkincilB],'ANAHTAR'!$D269)&gt;0,"IKINCIL","YOK")))</f>
        <v/>
      </c>
      <c r="I269" s="17">
        <f>IF($A269="","",'ANAHTAR'!$F269)</f>
        <v/>
      </c>
      <c r="J269" s="17">
        <f>IF(OR($A269="",$D269=0),0,$F269/ABS($D269))</f>
        <v/>
      </c>
      <c r="K269" s="17">
        <f>IF($A269="","",ROUND($D269,2))</f>
        <v/>
      </c>
      <c r="L269" s="17">
        <f>IF($A269="","",ROUND($C269,2))</f>
        <v/>
      </c>
      <c r="M269" s="17">
        <f>IF($A269="","",IF($F269&lt;=toleransKurus,1,0))</f>
        <v/>
      </c>
      <c r="N269" s="17">
        <f>IF($A269="","",IF($F269&gt;tyk_esikFark,1,0))</f>
        <v/>
      </c>
      <c r="O269" s="17">
        <f>IF($A269="","",IFERROR(SUMIF(tblMotor[A_Norm],$A269,tblMotor[NetKar]),0))</f>
        <v/>
      </c>
      <c r="P269" s="17">
        <f>IF($A269="","",$B269+$M269+$N269)</f>
        <v/>
      </c>
    </row>
    <row r="270">
      <c r="A270" s="17">
        <f>IF('ANAHTAR'!$B270="","",'ANAHTAR'!$B270)</f>
        <v/>
      </c>
      <c r="B270" s="17">
        <f>IF($A270="","",COUNTIF(tblAnahtarB[NormB],$A270))</f>
        <v/>
      </c>
      <c r="C270" s="17">
        <f>IF($A270="","",IFERROR(SUMIF(tblAnahtarB[NormB],$A270,tblHakedis[GercekHakedis]),0))</f>
        <v/>
      </c>
      <c r="D270" s="17">
        <f>IF($A270="","",IFERROR(SUMIF(tblMotor[A_Norm],$A270,tblMotor[BeklenenHakedis]),0))</f>
        <v/>
      </c>
      <c r="E270" s="17">
        <f>IF($A270="","",ROUND($D270,2)-ROUND($C270,2))</f>
        <v/>
      </c>
      <c r="F270" s="17">
        <f>IF($A270="","",ABS($E270))</f>
        <v/>
      </c>
      <c r="G270" s="17">
        <f>IF($A270="","",IF($B270=0,"eslesmedi",IF(ROUND($D270,2)=ROUND($C270,2),"eslesti",IF(ABS(ROUND($D270,2)-ROUND($C270,2))&lt;=toleransKurus,"tolerans_icinde","tutar_farki"))))</f>
        <v/>
      </c>
      <c r="H270" s="17">
        <f>IF($A270="","",IF($B270&gt;0,"BIRINCIL",IF(COUNTIF(tblAnahtarB[IkincilB],'ANAHTAR'!$D270)&gt;0,"IKINCIL","YOK")))</f>
        <v/>
      </c>
      <c r="I270" s="17">
        <f>IF($A270="","",'ANAHTAR'!$F270)</f>
        <v/>
      </c>
      <c r="J270" s="17">
        <f>IF(OR($A270="",$D270=0),0,$F270/ABS($D270))</f>
        <v/>
      </c>
      <c r="K270" s="17">
        <f>IF($A270="","",ROUND($D270,2))</f>
        <v/>
      </c>
      <c r="L270" s="17">
        <f>IF($A270="","",ROUND($C270,2))</f>
        <v/>
      </c>
      <c r="M270" s="17">
        <f>IF($A270="","",IF($F270&lt;=toleransKurus,1,0))</f>
        <v/>
      </c>
      <c r="N270" s="17">
        <f>IF($A270="","",IF($F270&gt;tyk_esikFark,1,0))</f>
        <v/>
      </c>
      <c r="O270" s="17">
        <f>IF($A270="","",IFERROR(SUMIF(tblMotor[A_Norm],$A270,tblMotor[NetKar]),0))</f>
        <v/>
      </c>
      <c r="P270" s="17">
        <f>IF($A270="","",$B270+$M270+$N270)</f>
        <v/>
      </c>
    </row>
    <row r="271">
      <c r="A271" s="17">
        <f>IF('ANAHTAR'!$B271="","",'ANAHTAR'!$B271)</f>
        <v/>
      </c>
      <c r="B271" s="17">
        <f>IF($A271="","",COUNTIF(tblAnahtarB[NormB],$A271))</f>
        <v/>
      </c>
      <c r="C271" s="17">
        <f>IF($A271="","",IFERROR(SUMIF(tblAnahtarB[NormB],$A271,tblHakedis[GercekHakedis]),0))</f>
        <v/>
      </c>
      <c r="D271" s="17">
        <f>IF($A271="","",IFERROR(SUMIF(tblMotor[A_Norm],$A271,tblMotor[BeklenenHakedis]),0))</f>
        <v/>
      </c>
      <c r="E271" s="17">
        <f>IF($A271="","",ROUND($D271,2)-ROUND($C271,2))</f>
        <v/>
      </c>
      <c r="F271" s="17">
        <f>IF($A271="","",ABS($E271))</f>
        <v/>
      </c>
      <c r="G271" s="17">
        <f>IF($A271="","",IF($B271=0,"eslesmedi",IF(ROUND($D271,2)=ROUND($C271,2),"eslesti",IF(ABS(ROUND($D271,2)-ROUND($C271,2))&lt;=toleransKurus,"tolerans_icinde","tutar_farki"))))</f>
        <v/>
      </c>
      <c r="H271" s="17">
        <f>IF($A271="","",IF($B271&gt;0,"BIRINCIL",IF(COUNTIF(tblAnahtarB[IkincilB],'ANAHTAR'!$D271)&gt;0,"IKINCIL","YOK")))</f>
        <v/>
      </c>
      <c r="I271" s="17">
        <f>IF($A271="","",'ANAHTAR'!$F271)</f>
        <v/>
      </c>
      <c r="J271" s="17">
        <f>IF(OR($A271="",$D271=0),0,$F271/ABS($D271))</f>
        <v/>
      </c>
      <c r="K271" s="17">
        <f>IF($A271="","",ROUND($D271,2))</f>
        <v/>
      </c>
      <c r="L271" s="17">
        <f>IF($A271="","",ROUND($C271,2))</f>
        <v/>
      </c>
      <c r="M271" s="17">
        <f>IF($A271="","",IF($F271&lt;=toleransKurus,1,0))</f>
        <v/>
      </c>
      <c r="N271" s="17">
        <f>IF($A271="","",IF($F271&gt;tyk_esikFark,1,0))</f>
        <v/>
      </c>
      <c r="O271" s="17">
        <f>IF($A271="","",IFERROR(SUMIF(tblMotor[A_Norm],$A271,tblMotor[NetKar]),0))</f>
        <v/>
      </c>
      <c r="P271" s="17">
        <f>IF($A271="","",$B271+$M271+$N271)</f>
        <v/>
      </c>
    </row>
    <row r="272">
      <c r="A272" s="17">
        <f>IF('ANAHTAR'!$B272="","",'ANAHTAR'!$B272)</f>
        <v/>
      </c>
      <c r="B272" s="17">
        <f>IF($A272="","",COUNTIF(tblAnahtarB[NormB],$A272))</f>
        <v/>
      </c>
      <c r="C272" s="17">
        <f>IF($A272="","",IFERROR(SUMIF(tblAnahtarB[NormB],$A272,tblHakedis[GercekHakedis]),0))</f>
        <v/>
      </c>
      <c r="D272" s="17">
        <f>IF($A272="","",IFERROR(SUMIF(tblMotor[A_Norm],$A272,tblMotor[BeklenenHakedis]),0))</f>
        <v/>
      </c>
      <c r="E272" s="17">
        <f>IF($A272="","",ROUND($D272,2)-ROUND($C272,2))</f>
        <v/>
      </c>
      <c r="F272" s="17">
        <f>IF($A272="","",ABS($E272))</f>
        <v/>
      </c>
      <c r="G272" s="17">
        <f>IF($A272="","",IF($B272=0,"eslesmedi",IF(ROUND($D272,2)=ROUND($C272,2),"eslesti",IF(ABS(ROUND($D272,2)-ROUND($C272,2))&lt;=toleransKurus,"tolerans_icinde","tutar_farki"))))</f>
        <v/>
      </c>
      <c r="H272" s="17">
        <f>IF($A272="","",IF($B272&gt;0,"BIRINCIL",IF(COUNTIF(tblAnahtarB[IkincilB],'ANAHTAR'!$D272)&gt;0,"IKINCIL","YOK")))</f>
        <v/>
      </c>
      <c r="I272" s="17">
        <f>IF($A272="","",'ANAHTAR'!$F272)</f>
        <v/>
      </c>
      <c r="J272" s="17">
        <f>IF(OR($A272="",$D272=0),0,$F272/ABS($D272))</f>
        <v/>
      </c>
      <c r="K272" s="17">
        <f>IF($A272="","",ROUND($D272,2))</f>
        <v/>
      </c>
      <c r="L272" s="17">
        <f>IF($A272="","",ROUND($C272,2))</f>
        <v/>
      </c>
      <c r="M272" s="17">
        <f>IF($A272="","",IF($F272&lt;=toleransKurus,1,0))</f>
        <v/>
      </c>
      <c r="N272" s="17">
        <f>IF($A272="","",IF($F272&gt;tyk_esikFark,1,0))</f>
        <v/>
      </c>
      <c r="O272" s="17">
        <f>IF($A272="","",IFERROR(SUMIF(tblMotor[A_Norm],$A272,tblMotor[NetKar]),0))</f>
        <v/>
      </c>
      <c r="P272" s="17">
        <f>IF($A272="","",$B272+$M272+$N272)</f>
        <v/>
      </c>
    </row>
    <row r="273">
      <c r="A273" s="17">
        <f>IF('ANAHTAR'!$B273="","",'ANAHTAR'!$B273)</f>
        <v/>
      </c>
      <c r="B273" s="17">
        <f>IF($A273="","",COUNTIF(tblAnahtarB[NormB],$A273))</f>
        <v/>
      </c>
      <c r="C273" s="17">
        <f>IF($A273="","",IFERROR(SUMIF(tblAnahtarB[NormB],$A273,tblHakedis[GercekHakedis]),0))</f>
        <v/>
      </c>
      <c r="D273" s="17">
        <f>IF($A273="","",IFERROR(SUMIF(tblMotor[A_Norm],$A273,tblMotor[BeklenenHakedis]),0))</f>
        <v/>
      </c>
      <c r="E273" s="17">
        <f>IF($A273="","",ROUND($D273,2)-ROUND($C273,2))</f>
        <v/>
      </c>
      <c r="F273" s="17">
        <f>IF($A273="","",ABS($E273))</f>
        <v/>
      </c>
      <c r="G273" s="17">
        <f>IF($A273="","",IF($B273=0,"eslesmedi",IF(ROUND($D273,2)=ROUND($C273,2),"eslesti",IF(ABS(ROUND($D273,2)-ROUND($C273,2))&lt;=toleransKurus,"tolerans_icinde","tutar_farki"))))</f>
        <v/>
      </c>
      <c r="H273" s="17">
        <f>IF($A273="","",IF($B273&gt;0,"BIRINCIL",IF(COUNTIF(tblAnahtarB[IkincilB],'ANAHTAR'!$D273)&gt;0,"IKINCIL","YOK")))</f>
        <v/>
      </c>
      <c r="I273" s="17">
        <f>IF($A273="","",'ANAHTAR'!$F273)</f>
        <v/>
      </c>
      <c r="J273" s="17">
        <f>IF(OR($A273="",$D273=0),0,$F273/ABS($D273))</f>
        <v/>
      </c>
      <c r="K273" s="17">
        <f>IF($A273="","",ROUND($D273,2))</f>
        <v/>
      </c>
      <c r="L273" s="17">
        <f>IF($A273="","",ROUND($C273,2))</f>
        <v/>
      </c>
      <c r="M273" s="17">
        <f>IF($A273="","",IF($F273&lt;=toleransKurus,1,0))</f>
        <v/>
      </c>
      <c r="N273" s="17">
        <f>IF($A273="","",IF($F273&gt;tyk_esikFark,1,0))</f>
        <v/>
      </c>
      <c r="O273" s="17">
        <f>IF($A273="","",IFERROR(SUMIF(tblMotor[A_Norm],$A273,tblMotor[NetKar]),0))</f>
        <v/>
      </c>
      <c r="P273" s="17">
        <f>IF($A273="","",$B273+$M273+$N273)</f>
        <v/>
      </c>
    </row>
    <row r="274">
      <c r="A274" s="17">
        <f>IF('ANAHTAR'!$B274="","",'ANAHTAR'!$B274)</f>
        <v/>
      </c>
      <c r="B274" s="17">
        <f>IF($A274="","",COUNTIF(tblAnahtarB[NormB],$A274))</f>
        <v/>
      </c>
      <c r="C274" s="17">
        <f>IF($A274="","",IFERROR(SUMIF(tblAnahtarB[NormB],$A274,tblHakedis[GercekHakedis]),0))</f>
        <v/>
      </c>
      <c r="D274" s="17">
        <f>IF($A274="","",IFERROR(SUMIF(tblMotor[A_Norm],$A274,tblMotor[BeklenenHakedis]),0))</f>
        <v/>
      </c>
      <c r="E274" s="17">
        <f>IF($A274="","",ROUND($D274,2)-ROUND($C274,2))</f>
        <v/>
      </c>
      <c r="F274" s="17">
        <f>IF($A274="","",ABS($E274))</f>
        <v/>
      </c>
      <c r="G274" s="17">
        <f>IF($A274="","",IF($B274=0,"eslesmedi",IF(ROUND($D274,2)=ROUND($C274,2),"eslesti",IF(ABS(ROUND($D274,2)-ROUND($C274,2))&lt;=toleransKurus,"tolerans_icinde","tutar_farki"))))</f>
        <v/>
      </c>
      <c r="H274" s="17">
        <f>IF($A274="","",IF($B274&gt;0,"BIRINCIL",IF(COUNTIF(tblAnahtarB[IkincilB],'ANAHTAR'!$D274)&gt;0,"IKINCIL","YOK")))</f>
        <v/>
      </c>
      <c r="I274" s="17">
        <f>IF($A274="","",'ANAHTAR'!$F274)</f>
        <v/>
      </c>
      <c r="J274" s="17">
        <f>IF(OR($A274="",$D274=0),0,$F274/ABS($D274))</f>
        <v/>
      </c>
      <c r="K274" s="17">
        <f>IF($A274="","",ROUND($D274,2))</f>
        <v/>
      </c>
      <c r="L274" s="17">
        <f>IF($A274="","",ROUND($C274,2))</f>
        <v/>
      </c>
      <c r="M274" s="17">
        <f>IF($A274="","",IF($F274&lt;=toleransKurus,1,0))</f>
        <v/>
      </c>
      <c r="N274" s="17">
        <f>IF($A274="","",IF($F274&gt;tyk_esikFark,1,0))</f>
        <v/>
      </c>
      <c r="O274" s="17">
        <f>IF($A274="","",IFERROR(SUMIF(tblMotor[A_Norm],$A274,tblMotor[NetKar]),0))</f>
        <v/>
      </c>
      <c r="P274" s="17">
        <f>IF($A274="","",$B274+$M274+$N274)</f>
        <v/>
      </c>
    </row>
    <row r="275">
      <c r="A275" s="17">
        <f>IF('ANAHTAR'!$B275="","",'ANAHTAR'!$B275)</f>
        <v/>
      </c>
      <c r="B275" s="17">
        <f>IF($A275="","",COUNTIF(tblAnahtarB[NormB],$A275))</f>
        <v/>
      </c>
      <c r="C275" s="17">
        <f>IF($A275="","",IFERROR(SUMIF(tblAnahtarB[NormB],$A275,tblHakedis[GercekHakedis]),0))</f>
        <v/>
      </c>
      <c r="D275" s="17">
        <f>IF($A275="","",IFERROR(SUMIF(tblMotor[A_Norm],$A275,tblMotor[BeklenenHakedis]),0))</f>
        <v/>
      </c>
      <c r="E275" s="17">
        <f>IF($A275="","",ROUND($D275,2)-ROUND($C275,2))</f>
        <v/>
      </c>
      <c r="F275" s="17">
        <f>IF($A275="","",ABS($E275))</f>
        <v/>
      </c>
      <c r="G275" s="17">
        <f>IF($A275="","",IF($B275=0,"eslesmedi",IF(ROUND($D275,2)=ROUND($C275,2),"eslesti",IF(ABS(ROUND($D275,2)-ROUND($C275,2))&lt;=toleransKurus,"tolerans_icinde","tutar_farki"))))</f>
        <v/>
      </c>
      <c r="H275" s="17">
        <f>IF($A275="","",IF($B275&gt;0,"BIRINCIL",IF(COUNTIF(tblAnahtarB[IkincilB],'ANAHTAR'!$D275)&gt;0,"IKINCIL","YOK")))</f>
        <v/>
      </c>
      <c r="I275" s="17">
        <f>IF($A275="","",'ANAHTAR'!$F275)</f>
        <v/>
      </c>
      <c r="J275" s="17">
        <f>IF(OR($A275="",$D275=0),0,$F275/ABS($D275))</f>
        <v/>
      </c>
      <c r="K275" s="17">
        <f>IF($A275="","",ROUND($D275,2))</f>
        <v/>
      </c>
      <c r="L275" s="17">
        <f>IF($A275="","",ROUND($C275,2))</f>
        <v/>
      </c>
      <c r="M275" s="17">
        <f>IF($A275="","",IF($F275&lt;=toleransKurus,1,0))</f>
        <v/>
      </c>
      <c r="N275" s="17">
        <f>IF($A275="","",IF($F275&gt;tyk_esikFark,1,0))</f>
        <v/>
      </c>
      <c r="O275" s="17">
        <f>IF($A275="","",IFERROR(SUMIF(tblMotor[A_Norm],$A275,tblMotor[NetKar]),0))</f>
        <v/>
      </c>
      <c r="P275" s="17">
        <f>IF($A275="","",$B275+$M275+$N275)</f>
        <v/>
      </c>
    </row>
    <row r="276">
      <c r="A276" s="17">
        <f>IF('ANAHTAR'!$B276="","",'ANAHTAR'!$B276)</f>
        <v/>
      </c>
      <c r="B276" s="17">
        <f>IF($A276="","",COUNTIF(tblAnahtarB[NormB],$A276))</f>
        <v/>
      </c>
      <c r="C276" s="17">
        <f>IF($A276="","",IFERROR(SUMIF(tblAnahtarB[NormB],$A276,tblHakedis[GercekHakedis]),0))</f>
        <v/>
      </c>
      <c r="D276" s="17">
        <f>IF($A276="","",IFERROR(SUMIF(tblMotor[A_Norm],$A276,tblMotor[BeklenenHakedis]),0))</f>
        <v/>
      </c>
      <c r="E276" s="17">
        <f>IF($A276="","",ROUND($D276,2)-ROUND($C276,2))</f>
        <v/>
      </c>
      <c r="F276" s="17">
        <f>IF($A276="","",ABS($E276))</f>
        <v/>
      </c>
      <c r="G276" s="17">
        <f>IF($A276="","",IF($B276=0,"eslesmedi",IF(ROUND($D276,2)=ROUND($C276,2),"eslesti",IF(ABS(ROUND($D276,2)-ROUND($C276,2))&lt;=toleransKurus,"tolerans_icinde","tutar_farki"))))</f>
        <v/>
      </c>
      <c r="H276" s="17">
        <f>IF($A276="","",IF($B276&gt;0,"BIRINCIL",IF(COUNTIF(tblAnahtarB[IkincilB],'ANAHTAR'!$D276)&gt;0,"IKINCIL","YOK")))</f>
        <v/>
      </c>
      <c r="I276" s="17">
        <f>IF($A276="","",'ANAHTAR'!$F276)</f>
        <v/>
      </c>
      <c r="J276" s="17">
        <f>IF(OR($A276="",$D276=0),0,$F276/ABS($D276))</f>
        <v/>
      </c>
      <c r="K276" s="17">
        <f>IF($A276="","",ROUND($D276,2))</f>
        <v/>
      </c>
      <c r="L276" s="17">
        <f>IF($A276="","",ROUND($C276,2))</f>
        <v/>
      </c>
      <c r="M276" s="17">
        <f>IF($A276="","",IF($F276&lt;=toleransKurus,1,0))</f>
        <v/>
      </c>
      <c r="N276" s="17">
        <f>IF($A276="","",IF($F276&gt;tyk_esikFark,1,0))</f>
        <v/>
      </c>
      <c r="O276" s="17">
        <f>IF($A276="","",IFERROR(SUMIF(tblMotor[A_Norm],$A276,tblMotor[NetKar]),0))</f>
        <v/>
      </c>
      <c r="P276" s="17">
        <f>IF($A276="","",$B276+$M276+$N276)</f>
        <v/>
      </c>
    </row>
    <row r="277">
      <c r="A277" s="17">
        <f>IF('ANAHTAR'!$B277="","",'ANAHTAR'!$B277)</f>
        <v/>
      </c>
      <c r="B277" s="17">
        <f>IF($A277="","",COUNTIF(tblAnahtarB[NormB],$A277))</f>
        <v/>
      </c>
      <c r="C277" s="17">
        <f>IF($A277="","",IFERROR(SUMIF(tblAnahtarB[NormB],$A277,tblHakedis[GercekHakedis]),0))</f>
        <v/>
      </c>
      <c r="D277" s="17">
        <f>IF($A277="","",IFERROR(SUMIF(tblMotor[A_Norm],$A277,tblMotor[BeklenenHakedis]),0))</f>
        <v/>
      </c>
      <c r="E277" s="17">
        <f>IF($A277="","",ROUND($D277,2)-ROUND($C277,2))</f>
        <v/>
      </c>
      <c r="F277" s="17">
        <f>IF($A277="","",ABS($E277))</f>
        <v/>
      </c>
      <c r="G277" s="17">
        <f>IF($A277="","",IF($B277=0,"eslesmedi",IF(ROUND($D277,2)=ROUND($C277,2),"eslesti",IF(ABS(ROUND($D277,2)-ROUND($C277,2))&lt;=toleransKurus,"tolerans_icinde","tutar_farki"))))</f>
        <v/>
      </c>
      <c r="H277" s="17">
        <f>IF($A277="","",IF($B277&gt;0,"BIRINCIL",IF(COUNTIF(tblAnahtarB[IkincilB],'ANAHTAR'!$D277)&gt;0,"IKINCIL","YOK")))</f>
        <v/>
      </c>
      <c r="I277" s="17">
        <f>IF($A277="","",'ANAHTAR'!$F277)</f>
        <v/>
      </c>
      <c r="J277" s="17">
        <f>IF(OR($A277="",$D277=0),0,$F277/ABS($D277))</f>
        <v/>
      </c>
      <c r="K277" s="17">
        <f>IF($A277="","",ROUND($D277,2))</f>
        <v/>
      </c>
      <c r="L277" s="17">
        <f>IF($A277="","",ROUND($C277,2))</f>
        <v/>
      </c>
      <c r="M277" s="17">
        <f>IF($A277="","",IF($F277&lt;=toleransKurus,1,0))</f>
        <v/>
      </c>
      <c r="N277" s="17">
        <f>IF($A277="","",IF($F277&gt;tyk_esikFark,1,0))</f>
        <v/>
      </c>
      <c r="O277" s="17">
        <f>IF($A277="","",IFERROR(SUMIF(tblMotor[A_Norm],$A277,tblMotor[NetKar]),0))</f>
        <v/>
      </c>
      <c r="P277" s="17">
        <f>IF($A277="","",$B277+$M277+$N277)</f>
        <v/>
      </c>
    </row>
    <row r="278">
      <c r="A278" s="17">
        <f>IF('ANAHTAR'!$B278="","",'ANAHTAR'!$B278)</f>
        <v/>
      </c>
      <c r="B278" s="17">
        <f>IF($A278="","",COUNTIF(tblAnahtarB[NormB],$A278))</f>
        <v/>
      </c>
      <c r="C278" s="17">
        <f>IF($A278="","",IFERROR(SUMIF(tblAnahtarB[NormB],$A278,tblHakedis[GercekHakedis]),0))</f>
        <v/>
      </c>
      <c r="D278" s="17">
        <f>IF($A278="","",IFERROR(SUMIF(tblMotor[A_Norm],$A278,tblMotor[BeklenenHakedis]),0))</f>
        <v/>
      </c>
      <c r="E278" s="17">
        <f>IF($A278="","",ROUND($D278,2)-ROUND($C278,2))</f>
        <v/>
      </c>
      <c r="F278" s="17">
        <f>IF($A278="","",ABS($E278))</f>
        <v/>
      </c>
      <c r="G278" s="17">
        <f>IF($A278="","",IF($B278=0,"eslesmedi",IF(ROUND($D278,2)=ROUND($C278,2),"eslesti",IF(ABS(ROUND($D278,2)-ROUND($C278,2))&lt;=toleransKurus,"tolerans_icinde","tutar_farki"))))</f>
        <v/>
      </c>
      <c r="H278" s="17">
        <f>IF($A278="","",IF($B278&gt;0,"BIRINCIL",IF(COUNTIF(tblAnahtarB[IkincilB],'ANAHTAR'!$D278)&gt;0,"IKINCIL","YOK")))</f>
        <v/>
      </c>
      <c r="I278" s="17">
        <f>IF($A278="","",'ANAHTAR'!$F278)</f>
        <v/>
      </c>
      <c r="J278" s="17">
        <f>IF(OR($A278="",$D278=0),0,$F278/ABS($D278))</f>
        <v/>
      </c>
      <c r="K278" s="17">
        <f>IF($A278="","",ROUND($D278,2))</f>
        <v/>
      </c>
      <c r="L278" s="17">
        <f>IF($A278="","",ROUND($C278,2))</f>
        <v/>
      </c>
      <c r="M278" s="17">
        <f>IF($A278="","",IF($F278&lt;=toleransKurus,1,0))</f>
        <v/>
      </c>
      <c r="N278" s="17">
        <f>IF($A278="","",IF($F278&gt;tyk_esikFark,1,0))</f>
        <v/>
      </c>
      <c r="O278" s="17">
        <f>IF($A278="","",IFERROR(SUMIF(tblMotor[A_Norm],$A278,tblMotor[NetKar]),0))</f>
        <v/>
      </c>
      <c r="P278" s="17">
        <f>IF($A278="","",$B278+$M278+$N278)</f>
        <v/>
      </c>
    </row>
    <row r="279">
      <c r="A279" s="17">
        <f>IF('ANAHTAR'!$B279="","",'ANAHTAR'!$B279)</f>
        <v/>
      </c>
      <c r="B279" s="17">
        <f>IF($A279="","",COUNTIF(tblAnahtarB[NormB],$A279))</f>
        <v/>
      </c>
      <c r="C279" s="17">
        <f>IF($A279="","",IFERROR(SUMIF(tblAnahtarB[NormB],$A279,tblHakedis[GercekHakedis]),0))</f>
        <v/>
      </c>
      <c r="D279" s="17">
        <f>IF($A279="","",IFERROR(SUMIF(tblMotor[A_Norm],$A279,tblMotor[BeklenenHakedis]),0))</f>
        <v/>
      </c>
      <c r="E279" s="17">
        <f>IF($A279="","",ROUND($D279,2)-ROUND($C279,2))</f>
        <v/>
      </c>
      <c r="F279" s="17">
        <f>IF($A279="","",ABS($E279))</f>
        <v/>
      </c>
      <c r="G279" s="17">
        <f>IF($A279="","",IF($B279=0,"eslesmedi",IF(ROUND($D279,2)=ROUND($C279,2),"eslesti",IF(ABS(ROUND($D279,2)-ROUND($C279,2))&lt;=toleransKurus,"tolerans_icinde","tutar_farki"))))</f>
        <v/>
      </c>
      <c r="H279" s="17">
        <f>IF($A279="","",IF($B279&gt;0,"BIRINCIL",IF(COUNTIF(tblAnahtarB[IkincilB],'ANAHTAR'!$D279)&gt;0,"IKINCIL","YOK")))</f>
        <v/>
      </c>
      <c r="I279" s="17">
        <f>IF($A279="","",'ANAHTAR'!$F279)</f>
        <v/>
      </c>
      <c r="J279" s="17">
        <f>IF(OR($A279="",$D279=0),0,$F279/ABS($D279))</f>
        <v/>
      </c>
      <c r="K279" s="17">
        <f>IF($A279="","",ROUND($D279,2))</f>
        <v/>
      </c>
      <c r="L279" s="17">
        <f>IF($A279="","",ROUND($C279,2))</f>
        <v/>
      </c>
      <c r="M279" s="17">
        <f>IF($A279="","",IF($F279&lt;=toleransKurus,1,0))</f>
        <v/>
      </c>
      <c r="N279" s="17">
        <f>IF($A279="","",IF($F279&gt;tyk_esikFark,1,0))</f>
        <v/>
      </c>
      <c r="O279" s="17">
        <f>IF($A279="","",IFERROR(SUMIF(tblMotor[A_Norm],$A279,tblMotor[NetKar]),0))</f>
        <v/>
      </c>
      <c r="P279" s="17">
        <f>IF($A279="","",$B279+$M279+$N279)</f>
        <v/>
      </c>
    </row>
    <row r="280">
      <c r="A280" s="17">
        <f>IF('ANAHTAR'!$B280="","",'ANAHTAR'!$B280)</f>
        <v/>
      </c>
      <c r="B280" s="17">
        <f>IF($A280="","",COUNTIF(tblAnahtarB[NormB],$A280))</f>
        <v/>
      </c>
      <c r="C280" s="17">
        <f>IF($A280="","",IFERROR(SUMIF(tblAnahtarB[NormB],$A280,tblHakedis[GercekHakedis]),0))</f>
        <v/>
      </c>
      <c r="D280" s="17">
        <f>IF($A280="","",IFERROR(SUMIF(tblMotor[A_Norm],$A280,tblMotor[BeklenenHakedis]),0))</f>
        <v/>
      </c>
      <c r="E280" s="17">
        <f>IF($A280="","",ROUND($D280,2)-ROUND($C280,2))</f>
        <v/>
      </c>
      <c r="F280" s="17">
        <f>IF($A280="","",ABS($E280))</f>
        <v/>
      </c>
      <c r="G280" s="17">
        <f>IF($A280="","",IF($B280=0,"eslesmedi",IF(ROUND($D280,2)=ROUND($C280,2),"eslesti",IF(ABS(ROUND($D280,2)-ROUND($C280,2))&lt;=toleransKurus,"tolerans_icinde","tutar_farki"))))</f>
        <v/>
      </c>
      <c r="H280" s="17">
        <f>IF($A280="","",IF($B280&gt;0,"BIRINCIL",IF(COUNTIF(tblAnahtarB[IkincilB],'ANAHTAR'!$D280)&gt;0,"IKINCIL","YOK")))</f>
        <v/>
      </c>
      <c r="I280" s="17">
        <f>IF($A280="","",'ANAHTAR'!$F280)</f>
        <v/>
      </c>
      <c r="J280" s="17">
        <f>IF(OR($A280="",$D280=0),0,$F280/ABS($D280))</f>
        <v/>
      </c>
      <c r="K280" s="17">
        <f>IF($A280="","",ROUND($D280,2))</f>
        <v/>
      </c>
      <c r="L280" s="17">
        <f>IF($A280="","",ROUND($C280,2))</f>
        <v/>
      </c>
      <c r="M280" s="17">
        <f>IF($A280="","",IF($F280&lt;=toleransKurus,1,0))</f>
        <v/>
      </c>
      <c r="N280" s="17">
        <f>IF($A280="","",IF($F280&gt;tyk_esikFark,1,0))</f>
        <v/>
      </c>
      <c r="O280" s="17">
        <f>IF($A280="","",IFERROR(SUMIF(tblMotor[A_Norm],$A280,tblMotor[NetKar]),0))</f>
        <v/>
      </c>
      <c r="P280" s="17">
        <f>IF($A280="","",$B280+$M280+$N280)</f>
        <v/>
      </c>
    </row>
    <row r="281">
      <c r="A281" s="17">
        <f>IF('ANAHTAR'!$B281="","",'ANAHTAR'!$B281)</f>
        <v/>
      </c>
      <c r="B281" s="17">
        <f>IF($A281="","",COUNTIF(tblAnahtarB[NormB],$A281))</f>
        <v/>
      </c>
      <c r="C281" s="17">
        <f>IF($A281="","",IFERROR(SUMIF(tblAnahtarB[NormB],$A281,tblHakedis[GercekHakedis]),0))</f>
        <v/>
      </c>
      <c r="D281" s="17">
        <f>IF($A281="","",IFERROR(SUMIF(tblMotor[A_Norm],$A281,tblMotor[BeklenenHakedis]),0))</f>
        <v/>
      </c>
      <c r="E281" s="17">
        <f>IF($A281="","",ROUND($D281,2)-ROUND($C281,2))</f>
        <v/>
      </c>
      <c r="F281" s="17">
        <f>IF($A281="","",ABS($E281))</f>
        <v/>
      </c>
      <c r="G281" s="17">
        <f>IF($A281="","",IF($B281=0,"eslesmedi",IF(ROUND($D281,2)=ROUND($C281,2),"eslesti",IF(ABS(ROUND($D281,2)-ROUND($C281,2))&lt;=toleransKurus,"tolerans_icinde","tutar_farki"))))</f>
        <v/>
      </c>
      <c r="H281" s="17">
        <f>IF($A281="","",IF($B281&gt;0,"BIRINCIL",IF(COUNTIF(tblAnahtarB[IkincilB],'ANAHTAR'!$D281)&gt;0,"IKINCIL","YOK")))</f>
        <v/>
      </c>
      <c r="I281" s="17">
        <f>IF($A281="","",'ANAHTAR'!$F281)</f>
        <v/>
      </c>
      <c r="J281" s="17">
        <f>IF(OR($A281="",$D281=0),0,$F281/ABS($D281))</f>
        <v/>
      </c>
      <c r="K281" s="17">
        <f>IF($A281="","",ROUND($D281,2))</f>
        <v/>
      </c>
      <c r="L281" s="17">
        <f>IF($A281="","",ROUND($C281,2))</f>
        <v/>
      </c>
      <c r="M281" s="17">
        <f>IF($A281="","",IF($F281&lt;=toleransKurus,1,0))</f>
        <v/>
      </c>
      <c r="N281" s="17">
        <f>IF($A281="","",IF($F281&gt;tyk_esikFark,1,0))</f>
        <v/>
      </c>
      <c r="O281" s="17">
        <f>IF($A281="","",IFERROR(SUMIF(tblMotor[A_Norm],$A281,tblMotor[NetKar]),0))</f>
        <v/>
      </c>
      <c r="P281" s="17">
        <f>IF($A281="","",$B281+$M281+$N281)</f>
        <v/>
      </c>
    </row>
    <row r="282">
      <c r="A282" s="17">
        <f>IF('ANAHTAR'!$B282="","",'ANAHTAR'!$B282)</f>
        <v/>
      </c>
      <c r="B282" s="17">
        <f>IF($A282="","",COUNTIF(tblAnahtarB[NormB],$A282))</f>
        <v/>
      </c>
      <c r="C282" s="17">
        <f>IF($A282="","",IFERROR(SUMIF(tblAnahtarB[NormB],$A282,tblHakedis[GercekHakedis]),0))</f>
        <v/>
      </c>
      <c r="D282" s="17">
        <f>IF($A282="","",IFERROR(SUMIF(tblMotor[A_Norm],$A282,tblMotor[BeklenenHakedis]),0))</f>
        <v/>
      </c>
      <c r="E282" s="17">
        <f>IF($A282="","",ROUND($D282,2)-ROUND($C282,2))</f>
        <v/>
      </c>
      <c r="F282" s="17">
        <f>IF($A282="","",ABS($E282))</f>
        <v/>
      </c>
      <c r="G282" s="17">
        <f>IF($A282="","",IF($B282=0,"eslesmedi",IF(ROUND($D282,2)=ROUND($C282,2),"eslesti",IF(ABS(ROUND($D282,2)-ROUND($C282,2))&lt;=toleransKurus,"tolerans_icinde","tutar_farki"))))</f>
        <v/>
      </c>
      <c r="H282" s="17">
        <f>IF($A282="","",IF($B282&gt;0,"BIRINCIL",IF(COUNTIF(tblAnahtarB[IkincilB],'ANAHTAR'!$D282)&gt;0,"IKINCIL","YOK")))</f>
        <v/>
      </c>
      <c r="I282" s="17">
        <f>IF($A282="","",'ANAHTAR'!$F282)</f>
        <v/>
      </c>
      <c r="J282" s="17">
        <f>IF(OR($A282="",$D282=0),0,$F282/ABS($D282))</f>
        <v/>
      </c>
      <c r="K282" s="17">
        <f>IF($A282="","",ROUND($D282,2))</f>
        <v/>
      </c>
      <c r="L282" s="17">
        <f>IF($A282="","",ROUND($C282,2))</f>
        <v/>
      </c>
      <c r="M282" s="17">
        <f>IF($A282="","",IF($F282&lt;=toleransKurus,1,0))</f>
        <v/>
      </c>
      <c r="N282" s="17">
        <f>IF($A282="","",IF($F282&gt;tyk_esikFark,1,0))</f>
        <v/>
      </c>
      <c r="O282" s="17">
        <f>IF($A282="","",IFERROR(SUMIF(tblMotor[A_Norm],$A282,tblMotor[NetKar]),0))</f>
        <v/>
      </c>
      <c r="P282" s="17">
        <f>IF($A282="","",$B282+$M282+$N282)</f>
        <v/>
      </c>
    </row>
    <row r="283">
      <c r="A283" s="17">
        <f>IF('ANAHTAR'!$B283="","",'ANAHTAR'!$B283)</f>
        <v/>
      </c>
      <c r="B283" s="17">
        <f>IF($A283="","",COUNTIF(tblAnahtarB[NormB],$A283))</f>
        <v/>
      </c>
      <c r="C283" s="17">
        <f>IF($A283="","",IFERROR(SUMIF(tblAnahtarB[NormB],$A283,tblHakedis[GercekHakedis]),0))</f>
        <v/>
      </c>
      <c r="D283" s="17">
        <f>IF($A283="","",IFERROR(SUMIF(tblMotor[A_Norm],$A283,tblMotor[BeklenenHakedis]),0))</f>
        <v/>
      </c>
      <c r="E283" s="17">
        <f>IF($A283="","",ROUND($D283,2)-ROUND($C283,2))</f>
        <v/>
      </c>
      <c r="F283" s="17">
        <f>IF($A283="","",ABS($E283))</f>
        <v/>
      </c>
      <c r="G283" s="17">
        <f>IF($A283="","",IF($B283=0,"eslesmedi",IF(ROUND($D283,2)=ROUND($C283,2),"eslesti",IF(ABS(ROUND($D283,2)-ROUND($C283,2))&lt;=toleransKurus,"tolerans_icinde","tutar_farki"))))</f>
        <v/>
      </c>
      <c r="H283" s="17">
        <f>IF($A283="","",IF($B283&gt;0,"BIRINCIL",IF(COUNTIF(tblAnahtarB[IkincilB],'ANAHTAR'!$D283)&gt;0,"IKINCIL","YOK")))</f>
        <v/>
      </c>
      <c r="I283" s="17">
        <f>IF($A283="","",'ANAHTAR'!$F283)</f>
        <v/>
      </c>
      <c r="J283" s="17">
        <f>IF(OR($A283="",$D283=0),0,$F283/ABS($D283))</f>
        <v/>
      </c>
      <c r="K283" s="17">
        <f>IF($A283="","",ROUND($D283,2))</f>
        <v/>
      </c>
      <c r="L283" s="17">
        <f>IF($A283="","",ROUND($C283,2))</f>
        <v/>
      </c>
      <c r="M283" s="17">
        <f>IF($A283="","",IF($F283&lt;=toleransKurus,1,0))</f>
        <v/>
      </c>
      <c r="N283" s="17">
        <f>IF($A283="","",IF($F283&gt;tyk_esikFark,1,0))</f>
        <v/>
      </c>
      <c r="O283" s="17">
        <f>IF($A283="","",IFERROR(SUMIF(tblMotor[A_Norm],$A283,tblMotor[NetKar]),0))</f>
        <v/>
      </c>
      <c r="P283" s="17">
        <f>IF($A283="","",$B283+$M283+$N283)</f>
        <v/>
      </c>
    </row>
    <row r="284">
      <c r="A284" s="17">
        <f>IF('ANAHTAR'!$B284="","",'ANAHTAR'!$B284)</f>
        <v/>
      </c>
      <c r="B284" s="17">
        <f>IF($A284="","",COUNTIF(tblAnahtarB[NormB],$A284))</f>
        <v/>
      </c>
      <c r="C284" s="17">
        <f>IF($A284="","",IFERROR(SUMIF(tblAnahtarB[NormB],$A284,tblHakedis[GercekHakedis]),0))</f>
        <v/>
      </c>
      <c r="D284" s="17">
        <f>IF($A284="","",IFERROR(SUMIF(tblMotor[A_Norm],$A284,tblMotor[BeklenenHakedis]),0))</f>
        <v/>
      </c>
      <c r="E284" s="17">
        <f>IF($A284="","",ROUND($D284,2)-ROUND($C284,2))</f>
        <v/>
      </c>
      <c r="F284" s="17">
        <f>IF($A284="","",ABS($E284))</f>
        <v/>
      </c>
      <c r="G284" s="17">
        <f>IF($A284="","",IF($B284=0,"eslesmedi",IF(ROUND($D284,2)=ROUND($C284,2),"eslesti",IF(ABS(ROUND($D284,2)-ROUND($C284,2))&lt;=toleransKurus,"tolerans_icinde","tutar_farki"))))</f>
        <v/>
      </c>
      <c r="H284" s="17">
        <f>IF($A284="","",IF($B284&gt;0,"BIRINCIL",IF(COUNTIF(tblAnahtarB[IkincilB],'ANAHTAR'!$D284)&gt;0,"IKINCIL","YOK")))</f>
        <v/>
      </c>
      <c r="I284" s="17">
        <f>IF($A284="","",'ANAHTAR'!$F284)</f>
        <v/>
      </c>
      <c r="J284" s="17">
        <f>IF(OR($A284="",$D284=0),0,$F284/ABS($D284))</f>
        <v/>
      </c>
      <c r="K284" s="17">
        <f>IF($A284="","",ROUND($D284,2))</f>
        <v/>
      </c>
      <c r="L284" s="17">
        <f>IF($A284="","",ROUND($C284,2))</f>
        <v/>
      </c>
      <c r="M284" s="17">
        <f>IF($A284="","",IF($F284&lt;=toleransKurus,1,0))</f>
        <v/>
      </c>
      <c r="N284" s="17">
        <f>IF($A284="","",IF($F284&gt;tyk_esikFark,1,0))</f>
        <v/>
      </c>
      <c r="O284" s="17">
        <f>IF($A284="","",IFERROR(SUMIF(tblMotor[A_Norm],$A284,tblMotor[NetKar]),0))</f>
        <v/>
      </c>
      <c r="P284" s="17">
        <f>IF($A284="","",$B284+$M284+$N284)</f>
        <v/>
      </c>
    </row>
    <row r="285">
      <c r="A285" s="17">
        <f>IF('ANAHTAR'!$B285="","",'ANAHTAR'!$B285)</f>
        <v/>
      </c>
      <c r="B285" s="17">
        <f>IF($A285="","",COUNTIF(tblAnahtarB[NormB],$A285))</f>
        <v/>
      </c>
      <c r="C285" s="17">
        <f>IF($A285="","",IFERROR(SUMIF(tblAnahtarB[NormB],$A285,tblHakedis[GercekHakedis]),0))</f>
        <v/>
      </c>
      <c r="D285" s="17">
        <f>IF($A285="","",IFERROR(SUMIF(tblMotor[A_Norm],$A285,tblMotor[BeklenenHakedis]),0))</f>
        <v/>
      </c>
      <c r="E285" s="17">
        <f>IF($A285="","",ROUND($D285,2)-ROUND($C285,2))</f>
        <v/>
      </c>
      <c r="F285" s="17">
        <f>IF($A285="","",ABS($E285))</f>
        <v/>
      </c>
      <c r="G285" s="17">
        <f>IF($A285="","",IF($B285=0,"eslesmedi",IF(ROUND($D285,2)=ROUND($C285,2),"eslesti",IF(ABS(ROUND($D285,2)-ROUND($C285,2))&lt;=toleransKurus,"tolerans_icinde","tutar_farki"))))</f>
        <v/>
      </c>
      <c r="H285" s="17">
        <f>IF($A285="","",IF($B285&gt;0,"BIRINCIL",IF(COUNTIF(tblAnahtarB[IkincilB],'ANAHTAR'!$D285)&gt;0,"IKINCIL","YOK")))</f>
        <v/>
      </c>
      <c r="I285" s="17">
        <f>IF($A285="","",'ANAHTAR'!$F285)</f>
        <v/>
      </c>
      <c r="J285" s="17">
        <f>IF(OR($A285="",$D285=0),0,$F285/ABS($D285))</f>
        <v/>
      </c>
      <c r="K285" s="17">
        <f>IF($A285="","",ROUND($D285,2))</f>
        <v/>
      </c>
      <c r="L285" s="17">
        <f>IF($A285="","",ROUND($C285,2))</f>
        <v/>
      </c>
      <c r="M285" s="17">
        <f>IF($A285="","",IF($F285&lt;=toleransKurus,1,0))</f>
        <v/>
      </c>
      <c r="N285" s="17">
        <f>IF($A285="","",IF($F285&gt;tyk_esikFark,1,0))</f>
        <v/>
      </c>
      <c r="O285" s="17">
        <f>IF($A285="","",IFERROR(SUMIF(tblMotor[A_Norm],$A285,tblMotor[NetKar]),0))</f>
        <v/>
      </c>
      <c r="P285" s="17">
        <f>IF($A285="","",$B285+$M285+$N285)</f>
        <v/>
      </c>
    </row>
    <row r="286">
      <c r="A286" s="17">
        <f>IF('ANAHTAR'!$B286="","",'ANAHTAR'!$B286)</f>
        <v/>
      </c>
      <c r="B286" s="17">
        <f>IF($A286="","",COUNTIF(tblAnahtarB[NormB],$A286))</f>
        <v/>
      </c>
      <c r="C286" s="17">
        <f>IF($A286="","",IFERROR(SUMIF(tblAnahtarB[NormB],$A286,tblHakedis[GercekHakedis]),0))</f>
        <v/>
      </c>
      <c r="D286" s="17">
        <f>IF($A286="","",IFERROR(SUMIF(tblMotor[A_Norm],$A286,tblMotor[BeklenenHakedis]),0))</f>
        <v/>
      </c>
      <c r="E286" s="17">
        <f>IF($A286="","",ROUND($D286,2)-ROUND($C286,2))</f>
        <v/>
      </c>
      <c r="F286" s="17">
        <f>IF($A286="","",ABS($E286))</f>
        <v/>
      </c>
      <c r="G286" s="17">
        <f>IF($A286="","",IF($B286=0,"eslesmedi",IF(ROUND($D286,2)=ROUND($C286,2),"eslesti",IF(ABS(ROUND($D286,2)-ROUND($C286,2))&lt;=toleransKurus,"tolerans_icinde","tutar_farki"))))</f>
        <v/>
      </c>
      <c r="H286" s="17">
        <f>IF($A286="","",IF($B286&gt;0,"BIRINCIL",IF(COUNTIF(tblAnahtarB[IkincilB],'ANAHTAR'!$D286)&gt;0,"IKINCIL","YOK")))</f>
        <v/>
      </c>
      <c r="I286" s="17">
        <f>IF($A286="","",'ANAHTAR'!$F286)</f>
        <v/>
      </c>
      <c r="J286" s="17">
        <f>IF(OR($A286="",$D286=0),0,$F286/ABS($D286))</f>
        <v/>
      </c>
      <c r="K286" s="17">
        <f>IF($A286="","",ROUND($D286,2))</f>
        <v/>
      </c>
      <c r="L286" s="17">
        <f>IF($A286="","",ROUND($C286,2))</f>
        <v/>
      </c>
      <c r="M286" s="17">
        <f>IF($A286="","",IF($F286&lt;=toleransKurus,1,0))</f>
        <v/>
      </c>
      <c r="N286" s="17">
        <f>IF($A286="","",IF($F286&gt;tyk_esikFark,1,0))</f>
        <v/>
      </c>
      <c r="O286" s="17">
        <f>IF($A286="","",IFERROR(SUMIF(tblMotor[A_Norm],$A286,tblMotor[NetKar]),0))</f>
        <v/>
      </c>
      <c r="P286" s="17">
        <f>IF($A286="","",$B286+$M286+$N286)</f>
        <v/>
      </c>
    </row>
    <row r="287">
      <c r="A287" s="17">
        <f>IF('ANAHTAR'!$B287="","",'ANAHTAR'!$B287)</f>
        <v/>
      </c>
      <c r="B287" s="17">
        <f>IF($A287="","",COUNTIF(tblAnahtarB[NormB],$A287))</f>
        <v/>
      </c>
      <c r="C287" s="17">
        <f>IF($A287="","",IFERROR(SUMIF(tblAnahtarB[NormB],$A287,tblHakedis[GercekHakedis]),0))</f>
        <v/>
      </c>
      <c r="D287" s="17">
        <f>IF($A287="","",IFERROR(SUMIF(tblMotor[A_Norm],$A287,tblMotor[BeklenenHakedis]),0))</f>
        <v/>
      </c>
      <c r="E287" s="17">
        <f>IF($A287="","",ROUND($D287,2)-ROUND($C287,2))</f>
        <v/>
      </c>
      <c r="F287" s="17">
        <f>IF($A287="","",ABS($E287))</f>
        <v/>
      </c>
      <c r="G287" s="17">
        <f>IF($A287="","",IF($B287=0,"eslesmedi",IF(ROUND($D287,2)=ROUND($C287,2),"eslesti",IF(ABS(ROUND($D287,2)-ROUND($C287,2))&lt;=toleransKurus,"tolerans_icinde","tutar_farki"))))</f>
        <v/>
      </c>
      <c r="H287" s="17">
        <f>IF($A287="","",IF($B287&gt;0,"BIRINCIL",IF(COUNTIF(tblAnahtarB[IkincilB],'ANAHTAR'!$D287)&gt;0,"IKINCIL","YOK")))</f>
        <v/>
      </c>
      <c r="I287" s="17">
        <f>IF($A287="","",'ANAHTAR'!$F287)</f>
        <v/>
      </c>
      <c r="J287" s="17">
        <f>IF(OR($A287="",$D287=0),0,$F287/ABS($D287))</f>
        <v/>
      </c>
      <c r="K287" s="17">
        <f>IF($A287="","",ROUND($D287,2))</f>
        <v/>
      </c>
      <c r="L287" s="17">
        <f>IF($A287="","",ROUND($C287,2))</f>
        <v/>
      </c>
      <c r="M287" s="17">
        <f>IF($A287="","",IF($F287&lt;=toleransKurus,1,0))</f>
        <v/>
      </c>
      <c r="N287" s="17">
        <f>IF($A287="","",IF($F287&gt;tyk_esikFark,1,0))</f>
        <v/>
      </c>
      <c r="O287" s="17">
        <f>IF($A287="","",IFERROR(SUMIF(tblMotor[A_Norm],$A287,tblMotor[NetKar]),0))</f>
        <v/>
      </c>
      <c r="P287" s="17">
        <f>IF($A287="","",$B287+$M287+$N287)</f>
        <v/>
      </c>
    </row>
    <row r="288">
      <c r="A288" s="17">
        <f>IF('ANAHTAR'!$B288="","",'ANAHTAR'!$B288)</f>
        <v/>
      </c>
      <c r="B288" s="17">
        <f>IF($A288="","",COUNTIF(tblAnahtarB[NormB],$A288))</f>
        <v/>
      </c>
      <c r="C288" s="17">
        <f>IF($A288="","",IFERROR(SUMIF(tblAnahtarB[NormB],$A288,tblHakedis[GercekHakedis]),0))</f>
        <v/>
      </c>
      <c r="D288" s="17">
        <f>IF($A288="","",IFERROR(SUMIF(tblMotor[A_Norm],$A288,tblMotor[BeklenenHakedis]),0))</f>
        <v/>
      </c>
      <c r="E288" s="17">
        <f>IF($A288="","",ROUND($D288,2)-ROUND($C288,2))</f>
        <v/>
      </c>
      <c r="F288" s="17">
        <f>IF($A288="","",ABS($E288))</f>
        <v/>
      </c>
      <c r="G288" s="17">
        <f>IF($A288="","",IF($B288=0,"eslesmedi",IF(ROUND($D288,2)=ROUND($C288,2),"eslesti",IF(ABS(ROUND($D288,2)-ROUND($C288,2))&lt;=toleransKurus,"tolerans_icinde","tutar_farki"))))</f>
        <v/>
      </c>
      <c r="H288" s="17">
        <f>IF($A288="","",IF($B288&gt;0,"BIRINCIL",IF(COUNTIF(tblAnahtarB[IkincilB],'ANAHTAR'!$D288)&gt;0,"IKINCIL","YOK")))</f>
        <v/>
      </c>
      <c r="I288" s="17">
        <f>IF($A288="","",'ANAHTAR'!$F288)</f>
        <v/>
      </c>
      <c r="J288" s="17">
        <f>IF(OR($A288="",$D288=0),0,$F288/ABS($D288))</f>
        <v/>
      </c>
      <c r="K288" s="17">
        <f>IF($A288="","",ROUND($D288,2))</f>
        <v/>
      </c>
      <c r="L288" s="17">
        <f>IF($A288="","",ROUND($C288,2))</f>
        <v/>
      </c>
      <c r="M288" s="17">
        <f>IF($A288="","",IF($F288&lt;=toleransKurus,1,0))</f>
        <v/>
      </c>
      <c r="N288" s="17">
        <f>IF($A288="","",IF($F288&gt;tyk_esikFark,1,0))</f>
        <v/>
      </c>
      <c r="O288" s="17">
        <f>IF($A288="","",IFERROR(SUMIF(tblMotor[A_Norm],$A288,tblMotor[NetKar]),0))</f>
        <v/>
      </c>
      <c r="P288" s="17">
        <f>IF($A288="","",$B288+$M288+$N288)</f>
        <v/>
      </c>
    </row>
    <row r="289">
      <c r="A289" s="17">
        <f>IF('ANAHTAR'!$B289="","",'ANAHTAR'!$B289)</f>
        <v/>
      </c>
      <c r="B289" s="17">
        <f>IF($A289="","",COUNTIF(tblAnahtarB[NormB],$A289))</f>
        <v/>
      </c>
      <c r="C289" s="17">
        <f>IF($A289="","",IFERROR(SUMIF(tblAnahtarB[NormB],$A289,tblHakedis[GercekHakedis]),0))</f>
        <v/>
      </c>
      <c r="D289" s="17">
        <f>IF($A289="","",IFERROR(SUMIF(tblMotor[A_Norm],$A289,tblMotor[BeklenenHakedis]),0))</f>
        <v/>
      </c>
      <c r="E289" s="17">
        <f>IF($A289="","",ROUND($D289,2)-ROUND($C289,2))</f>
        <v/>
      </c>
      <c r="F289" s="17">
        <f>IF($A289="","",ABS($E289))</f>
        <v/>
      </c>
      <c r="G289" s="17">
        <f>IF($A289="","",IF($B289=0,"eslesmedi",IF(ROUND($D289,2)=ROUND($C289,2),"eslesti",IF(ABS(ROUND($D289,2)-ROUND($C289,2))&lt;=toleransKurus,"tolerans_icinde","tutar_farki"))))</f>
        <v/>
      </c>
      <c r="H289" s="17">
        <f>IF($A289="","",IF($B289&gt;0,"BIRINCIL",IF(COUNTIF(tblAnahtarB[IkincilB],'ANAHTAR'!$D289)&gt;0,"IKINCIL","YOK")))</f>
        <v/>
      </c>
      <c r="I289" s="17">
        <f>IF($A289="","",'ANAHTAR'!$F289)</f>
        <v/>
      </c>
      <c r="J289" s="17">
        <f>IF(OR($A289="",$D289=0),0,$F289/ABS($D289))</f>
        <v/>
      </c>
      <c r="K289" s="17">
        <f>IF($A289="","",ROUND($D289,2))</f>
        <v/>
      </c>
      <c r="L289" s="17">
        <f>IF($A289="","",ROUND($C289,2))</f>
        <v/>
      </c>
      <c r="M289" s="17">
        <f>IF($A289="","",IF($F289&lt;=toleransKurus,1,0))</f>
        <v/>
      </c>
      <c r="N289" s="17">
        <f>IF($A289="","",IF($F289&gt;tyk_esikFark,1,0))</f>
        <v/>
      </c>
      <c r="O289" s="17">
        <f>IF($A289="","",IFERROR(SUMIF(tblMotor[A_Norm],$A289,tblMotor[NetKar]),0))</f>
        <v/>
      </c>
      <c r="P289" s="17">
        <f>IF($A289="","",$B289+$M289+$N289)</f>
        <v/>
      </c>
    </row>
    <row r="290">
      <c r="A290" s="17">
        <f>IF('ANAHTAR'!$B290="","",'ANAHTAR'!$B290)</f>
        <v/>
      </c>
      <c r="B290" s="17">
        <f>IF($A290="","",COUNTIF(tblAnahtarB[NormB],$A290))</f>
        <v/>
      </c>
      <c r="C290" s="17">
        <f>IF($A290="","",IFERROR(SUMIF(tblAnahtarB[NormB],$A290,tblHakedis[GercekHakedis]),0))</f>
        <v/>
      </c>
      <c r="D290" s="17">
        <f>IF($A290="","",IFERROR(SUMIF(tblMotor[A_Norm],$A290,tblMotor[BeklenenHakedis]),0))</f>
        <v/>
      </c>
      <c r="E290" s="17">
        <f>IF($A290="","",ROUND($D290,2)-ROUND($C290,2))</f>
        <v/>
      </c>
      <c r="F290" s="17">
        <f>IF($A290="","",ABS($E290))</f>
        <v/>
      </c>
      <c r="G290" s="17">
        <f>IF($A290="","",IF($B290=0,"eslesmedi",IF(ROUND($D290,2)=ROUND($C290,2),"eslesti",IF(ABS(ROUND($D290,2)-ROUND($C290,2))&lt;=toleransKurus,"tolerans_icinde","tutar_farki"))))</f>
        <v/>
      </c>
      <c r="H290" s="17">
        <f>IF($A290="","",IF($B290&gt;0,"BIRINCIL",IF(COUNTIF(tblAnahtarB[IkincilB],'ANAHTAR'!$D290)&gt;0,"IKINCIL","YOK")))</f>
        <v/>
      </c>
      <c r="I290" s="17">
        <f>IF($A290="","",'ANAHTAR'!$F290)</f>
        <v/>
      </c>
      <c r="J290" s="17">
        <f>IF(OR($A290="",$D290=0),0,$F290/ABS($D290))</f>
        <v/>
      </c>
      <c r="K290" s="17">
        <f>IF($A290="","",ROUND($D290,2))</f>
        <v/>
      </c>
      <c r="L290" s="17">
        <f>IF($A290="","",ROUND($C290,2))</f>
        <v/>
      </c>
      <c r="M290" s="17">
        <f>IF($A290="","",IF($F290&lt;=toleransKurus,1,0))</f>
        <v/>
      </c>
      <c r="N290" s="17">
        <f>IF($A290="","",IF($F290&gt;tyk_esikFark,1,0))</f>
        <v/>
      </c>
      <c r="O290" s="17">
        <f>IF($A290="","",IFERROR(SUMIF(tblMotor[A_Norm],$A290,tblMotor[NetKar]),0))</f>
        <v/>
      </c>
      <c r="P290" s="17">
        <f>IF($A290="","",$B290+$M290+$N290)</f>
        <v/>
      </c>
    </row>
    <row r="291">
      <c r="A291" s="17">
        <f>IF('ANAHTAR'!$B291="","",'ANAHTAR'!$B291)</f>
        <v/>
      </c>
      <c r="B291" s="17">
        <f>IF($A291="","",COUNTIF(tblAnahtarB[NormB],$A291))</f>
        <v/>
      </c>
      <c r="C291" s="17">
        <f>IF($A291="","",IFERROR(SUMIF(tblAnahtarB[NormB],$A291,tblHakedis[GercekHakedis]),0))</f>
        <v/>
      </c>
      <c r="D291" s="17">
        <f>IF($A291="","",IFERROR(SUMIF(tblMotor[A_Norm],$A291,tblMotor[BeklenenHakedis]),0))</f>
        <v/>
      </c>
      <c r="E291" s="17">
        <f>IF($A291="","",ROUND($D291,2)-ROUND($C291,2))</f>
        <v/>
      </c>
      <c r="F291" s="17">
        <f>IF($A291="","",ABS($E291))</f>
        <v/>
      </c>
      <c r="G291" s="17">
        <f>IF($A291="","",IF($B291=0,"eslesmedi",IF(ROUND($D291,2)=ROUND($C291,2),"eslesti",IF(ABS(ROUND($D291,2)-ROUND($C291,2))&lt;=toleransKurus,"tolerans_icinde","tutar_farki"))))</f>
        <v/>
      </c>
      <c r="H291" s="17">
        <f>IF($A291="","",IF($B291&gt;0,"BIRINCIL",IF(COUNTIF(tblAnahtarB[IkincilB],'ANAHTAR'!$D291)&gt;0,"IKINCIL","YOK")))</f>
        <v/>
      </c>
      <c r="I291" s="17">
        <f>IF($A291="","",'ANAHTAR'!$F291)</f>
        <v/>
      </c>
      <c r="J291" s="17">
        <f>IF(OR($A291="",$D291=0),0,$F291/ABS($D291))</f>
        <v/>
      </c>
      <c r="K291" s="17">
        <f>IF($A291="","",ROUND($D291,2))</f>
        <v/>
      </c>
      <c r="L291" s="17">
        <f>IF($A291="","",ROUND($C291,2))</f>
        <v/>
      </c>
      <c r="M291" s="17">
        <f>IF($A291="","",IF($F291&lt;=toleransKurus,1,0))</f>
        <v/>
      </c>
      <c r="N291" s="17">
        <f>IF($A291="","",IF($F291&gt;tyk_esikFark,1,0))</f>
        <v/>
      </c>
      <c r="O291" s="17">
        <f>IF($A291="","",IFERROR(SUMIF(tblMotor[A_Norm],$A291,tblMotor[NetKar]),0))</f>
        <v/>
      </c>
      <c r="P291" s="17">
        <f>IF($A291="","",$B291+$M291+$N291)</f>
        <v/>
      </c>
    </row>
    <row r="292">
      <c r="A292" s="17">
        <f>IF('ANAHTAR'!$B292="","",'ANAHTAR'!$B292)</f>
        <v/>
      </c>
      <c r="B292" s="17">
        <f>IF($A292="","",COUNTIF(tblAnahtarB[NormB],$A292))</f>
        <v/>
      </c>
      <c r="C292" s="17">
        <f>IF($A292="","",IFERROR(SUMIF(tblAnahtarB[NormB],$A292,tblHakedis[GercekHakedis]),0))</f>
        <v/>
      </c>
      <c r="D292" s="17">
        <f>IF($A292="","",IFERROR(SUMIF(tblMotor[A_Norm],$A292,tblMotor[BeklenenHakedis]),0))</f>
        <v/>
      </c>
      <c r="E292" s="17">
        <f>IF($A292="","",ROUND($D292,2)-ROUND($C292,2))</f>
        <v/>
      </c>
      <c r="F292" s="17">
        <f>IF($A292="","",ABS($E292))</f>
        <v/>
      </c>
      <c r="G292" s="17">
        <f>IF($A292="","",IF($B292=0,"eslesmedi",IF(ROUND($D292,2)=ROUND($C292,2),"eslesti",IF(ABS(ROUND($D292,2)-ROUND($C292,2))&lt;=toleransKurus,"tolerans_icinde","tutar_farki"))))</f>
        <v/>
      </c>
      <c r="H292" s="17">
        <f>IF($A292="","",IF($B292&gt;0,"BIRINCIL",IF(COUNTIF(tblAnahtarB[IkincilB],'ANAHTAR'!$D292)&gt;0,"IKINCIL","YOK")))</f>
        <v/>
      </c>
      <c r="I292" s="17">
        <f>IF($A292="","",'ANAHTAR'!$F292)</f>
        <v/>
      </c>
      <c r="J292" s="17">
        <f>IF(OR($A292="",$D292=0),0,$F292/ABS($D292))</f>
        <v/>
      </c>
      <c r="K292" s="17">
        <f>IF($A292="","",ROUND($D292,2))</f>
        <v/>
      </c>
      <c r="L292" s="17">
        <f>IF($A292="","",ROUND($C292,2))</f>
        <v/>
      </c>
      <c r="M292" s="17">
        <f>IF($A292="","",IF($F292&lt;=toleransKurus,1,0))</f>
        <v/>
      </c>
      <c r="N292" s="17">
        <f>IF($A292="","",IF($F292&gt;tyk_esikFark,1,0))</f>
        <v/>
      </c>
      <c r="O292" s="17">
        <f>IF($A292="","",IFERROR(SUMIF(tblMotor[A_Norm],$A292,tblMotor[NetKar]),0))</f>
        <v/>
      </c>
      <c r="P292" s="17">
        <f>IF($A292="","",$B292+$M292+$N292)</f>
        <v/>
      </c>
    </row>
    <row r="293">
      <c r="A293" s="17">
        <f>IF('ANAHTAR'!$B293="","",'ANAHTAR'!$B293)</f>
        <v/>
      </c>
      <c r="B293" s="17">
        <f>IF($A293="","",COUNTIF(tblAnahtarB[NormB],$A293))</f>
        <v/>
      </c>
      <c r="C293" s="17">
        <f>IF($A293="","",IFERROR(SUMIF(tblAnahtarB[NormB],$A293,tblHakedis[GercekHakedis]),0))</f>
        <v/>
      </c>
      <c r="D293" s="17">
        <f>IF($A293="","",IFERROR(SUMIF(tblMotor[A_Norm],$A293,tblMotor[BeklenenHakedis]),0))</f>
        <v/>
      </c>
      <c r="E293" s="17">
        <f>IF($A293="","",ROUND($D293,2)-ROUND($C293,2))</f>
        <v/>
      </c>
      <c r="F293" s="17">
        <f>IF($A293="","",ABS($E293))</f>
        <v/>
      </c>
      <c r="G293" s="17">
        <f>IF($A293="","",IF($B293=0,"eslesmedi",IF(ROUND($D293,2)=ROUND($C293,2),"eslesti",IF(ABS(ROUND($D293,2)-ROUND($C293,2))&lt;=toleransKurus,"tolerans_icinde","tutar_farki"))))</f>
        <v/>
      </c>
      <c r="H293" s="17">
        <f>IF($A293="","",IF($B293&gt;0,"BIRINCIL",IF(COUNTIF(tblAnahtarB[IkincilB],'ANAHTAR'!$D293)&gt;0,"IKINCIL","YOK")))</f>
        <v/>
      </c>
      <c r="I293" s="17">
        <f>IF($A293="","",'ANAHTAR'!$F293)</f>
        <v/>
      </c>
      <c r="J293" s="17">
        <f>IF(OR($A293="",$D293=0),0,$F293/ABS($D293))</f>
        <v/>
      </c>
      <c r="K293" s="17">
        <f>IF($A293="","",ROUND($D293,2))</f>
        <v/>
      </c>
      <c r="L293" s="17">
        <f>IF($A293="","",ROUND($C293,2))</f>
        <v/>
      </c>
      <c r="M293" s="17">
        <f>IF($A293="","",IF($F293&lt;=toleransKurus,1,0))</f>
        <v/>
      </c>
      <c r="N293" s="17">
        <f>IF($A293="","",IF($F293&gt;tyk_esikFark,1,0))</f>
        <v/>
      </c>
      <c r="O293" s="17">
        <f>IF($A293="","",IFERROR(SUMIF(tblMotor[A_Norm],$A293,tblMotor[NetKar]),0))</f>
        <v/>
      </c>
      <c r="P293" s="17">
        <f>IF($A293="","",$B293+$M293+$N293)</f>
        <v/>
      </c>
    </row>
    <row r="294">
      <c r="A294" s="17">
        <f>IF('ANAHTAR'!$B294="","",'ANAHTAR'!$B294)</f>
        <v/>
      </c>
      <c r="B294" s="17">
        <f>IF($A294="","",COUNTIF(tblAnahtarB[NormB],$A294))</f>
        <v/>
      </c>
      <c r="C294" s="17">
        <f>IF($A294="","",IFERROR(SUMIF(tblAnahtarB[NormB],$A294,tblHakedis[GercekHakedis]),0))</f>
        <v/>
      </c>
      <c r="D294" s="17">
        <f>IF($A294="","",IFERROR(SUMIF(tblMotor[A_Norm],$A294,tblMotor[BeklenenHakedis]),0))</f>
        <v/>
      </c>
      <c r="E294" s="17">
        <f>IF($A294="","",ROUND($D294,2)-ROUND($C294,2))</f>
        <v/>
      </c>
      <c r="F294" s="17">
        <f>IF($A294="","",ABS($E294))</f>
        <v/>
      </c>
      <c r="G294" s="17">
        <f>IF($A294="","",IF($B294=0,"eslesmedi",IF(ROUND($D294,2)=ROUND($C294,2),"eslesti",IF(ABS(ROUND($D294,2)-ROUND($C294,2))&lt;=toleransKurus,"tolerans_icinde","tutar_farki"))))</f>
        <v/>
      </c>
      <c r="H294" s="17">
        <f>IF($A294="","",IF($B294&gt;0,"BIRINCIL",IF(COUNTIF(tblAnahtarB[IkincilB],'ANAHTAR'!$D294)&gt;0,"IKINCIL","YOK")))</f>
        <v/>
      </c>
      <c r="I294" s="17">
        <f>IF($A294="","",'ANAHTAR'!$F294)</f>
        <v/>
      </c>
      <c r="J294" s="17">
        <f>IF(OR($A294="",$D294=0),0,$F294/ABS($D294))</f>
        <v/>
      </c>
      <c r="K294" s="17">
        <f>IF($A294="","",ROUND($D294,2))</f>
        <v/>
      </c>
      <c r="L294" s="17">
        <f>IF($A294="","",ROUND($C294,2))</f>
        <v/>
      </c>
      <c r="M294" s="17">
        <f>IF($A294="","",IF($F294&lt;=toleransKurus,1,0))</f>
        <v/>
      </c>
      <c r="N294" s="17">
        <f>IF($A294="","",IF($F294&gt;tyk_esikFark,1,0))</f>
        <v/>
      </c>
      <c r="O294" s="17">
        <f>IF($A294="","",IFERROR(SUMIF(tblMotor[A_Norm],$A294,tblMotor[NetKar]),0))</f>
        <v/>
      </c>
      <c r="P294" s="17">
        <f>IF($A294="","",$B294+$M294+$N294)</f>
        <v/>
      </c>
    </row>
    <row r="295">
      <c r="A295" s="17">
        <f>IF('ANAHTAR'!$B295="","",'ANAHTAR'!$B295)</f>
        <v/>
      </c>
      <c r="B295" s="17">
        <f>IF($A295="","",COUNTIF(tblAnahtarB[NormB],$A295))</f>
        <v/>
      </c>
      <c r="C295" s="17">
        <f>IF($A295="","",IFERROR(SUMIF(tblAnahtarB[NormB],$A295,tblHakedis[GercekHakedis]),0))</f>
        <v/>
      </c>
      <c r="D295" s="17">
        <f>IF($A295="","",IFERROR(SUMIF(tblMotor[A_Norm],$A295,tblMotor[BeklenenHakedis]),0))</f>
        <v/>
      </c>
      <c r="E295" s="17">
        <f>IF($A295="","",ROUND($D295,2)-ROUND($C295,2))</f>
        <v/>
      </c>
      <c r="F295" s="17">
        <f>IF($A295="","",ABS($E295))</f>
        <v/>
      </c>
      <c r="G295" s="17">
        <f>IF($A295="","",IF($B295=0,"eslesmedi",IF(ROUND($D295,2)=ROUND($C295,2),"eslesti",IF(ABS(ROUND($D295,2)-ROUND($C295,2))&lt;=toleransKurus,"tolerans_icinde","tutar_farki"))))</f>
        <v/>
      </c>
      <c r="H295" s="17">
        <f>IF($A295="","",IF($B295&gt;0,"BIRINCIL",IF(COUNTIF(tblAnahtarB[IkincilB],'ANAHTAR'!$D295)&gt;0,"IKINCIL","YOK")))</f>
        <v/>
      </c>
      <c r="I295" s="17">
        <f>IF($A295="","",'ANAHTAR'!$F295)</f>
        <v/>
      </c>
      <c r="J295" s="17">
        <f>IF(OR($A295="",$D295=0),0,$F295/ABS($D295))</f>
        <v/>
      </c>
      <c r="K295" s="17">
        <f>IF($A295="","",ROUND($D295,2))</f>
        <v/>
      </c>
      <c r="L295" s="17">
        <f>IF($A295="","",ROUND($C295,2))</f>
        <v/>
      </c>
      <c r="M295" s="17">
        <f>IF($A295="","",IF($F295&lt;=toleransKurus,1,0))</f>
        <v/>
      </c>
      <c r="N295" s="17">
        <f>IF($A295="","",IF($F295&gt;tyk_esikFark,1,0))</f>
        <v/>
      </c>
      <c r="O295" s="17">
        <f>IF($A295="","",IFERROR(SUMIF(tblMotor[A_Norm],$A295,tblMotor[NetKar]),0))</f>
        <v/>
      </c>
      <c r="P295" s="17">
        <f>IF($A295="","",$B295+$M295+$N295)</f>
        <v/>
      </c>
    </row>
    <row r="296">
      <c r="A296" s="17">
        <f>IF('ANAHTAR'!$B296="","",'ANAHTAR'!$B296)</f>
        <v/>
      </c>
      <c r="B296" s="17">
        <f>IF($A296="","",COUNTIF(tblAnahtarB[NormB],$A296))</f>
        <v/>
      </c>
      <c r="C296" s="17">
        <f>IF($A296="","",IFERROR(SUMIF(tblAnahtarB[NormB],$A296,tblHakedis[GercekHakedis]),0))</f>
        <v/>
      </c>
      <c r="D296" s="17">
        <f>IF($A296="","",IFERROR(SUMIF(tblMotor[A_Norm],$A296,tblMotor[BeklenenHakedis]),0))</f>
        <v/>
      </c>
      <c r="E296" s="17">
        <f>IF($A296="","",ROUND($D296,2)-ROUND($C296,2))</f>
        <v/>
      </c>
      <c r="F296" s="17">
        <f>IF($A296="","",ABS($E296))</f>
        <v/>
      </c>
      <c r="G296" s="17">
        <f>IF($A296="","",IF($B296=0,"eslesmedi",IF(ROUND($D296,2)=ROUND($C296,2),"eslesti",IF(ABS(ROUND($D296,2)-ROUND($C296,2))&lt;=toleransKurus,"tolerans_icinde","tutar_farki"))))</f>
        <v/>
      </c>
      <c r="H296" s="17">
        <f>IF($A296="","",IF($B296&gt;0,"BIRINCIL",IF(COUNTIF(tblAnahtarB[IkincilB],'ANAHTAR'!$D296)&gt;0,"IKINCIL","YOK")))</f>
        <v/>
      </c>
      <c r="I296" s="17">
        <f>IF($A296="","",'ANAHTAR'!$F296)</f>
        <v/>
      </c>
      <c r="J296" s="17">
        <f>IF(OR($A296="",$D296=0),0,$F296/ABS($D296))</f>
        <v/>
      </c>
      <c r="K296" s="17">
        <f>IF($A296="","",ROUND($D296,2))</f>
        <v/>
      </c>
      <c r="L296" s="17">
        <f>IF($A296="","",ROUND($C296,2))</f>
        <v/>
      </c>
      <c r="M296" s="17">
        <f>IF($A296="","",IF($F296&lt;=toleransKurus,1,0))</f>
        <v/>
      </c>
      <c r="N296" s="17">
        <f>IF($A296="","",IF($F296&gt;tyk_esikFark,1,0))</f>
        <v/>
      </c>
      <c r="O296" s="17">
        <f>IF($A296="","",IFERROR(SUMIF(tblMotor[A_Norm],$A296,tblMotor[NetKar]),0))</f>
        <v/>
      </c>
      <c r="P296" s="17">
        <f>IF($A296="","",$B296+$M296+$N296)</f>
        <v/>
      </c>
    </row>
    <row r="297">
      <c r="A297" s="17">
        <f>IF('ANAHTAR'!$B297="","",'ANAHTAR'!$B297)</f>
        <v/>
      </c>
      <c r="B297" s="17">
        <f>IF($A297="","",COUNTIF(tblAnahtarB[NormB],$A297))</f>
        <v/>
      </c>
      <c r="C297" s="17">
        <f>IF($A297="","",IFERROR(SUMIF(tblAnahtarB[NormB],$A297,tblHakedis[GercekHakedis]),0))</f>
        <v/>
      </c>
      <c r="D297" s="17">
        <f>IF($A297="","",IFERROR(SUMIF(tblMotor[A_Norm],$A297,tblMotor[BeklenenHakedis]),0))</f>
        <v/>
      </c>
      <c r="E297" s="17">
        <f>IF($A297="","",ROUND($D297,2)-ROUND($C297,2))</f>
        <v/>
      </c>
      <c r="F297" s="17">
        <f>IF($A297="","",ABS($E297))</f>
        <v/>
      </c>
      <c r="G297" s="17">
        <f>IF($A297="","",IF($B297=0,"eslesmedi",IF(ROUND($D297,2)=ROUND($C297,2),"eslesti",IF(ABS(ROUND($D297,2)-ROUND($C297,2))&lt;=toleransKurus,"tolerans_icinde","tutar_farki"))))</f>
        <v/>
      </c>
      <c r="H297" s="17">
        <f>IF($A297="","",IF($B297&gt;0,"BIRINCIL",IF(COUNTIF(tblAnahtarB[IkincilB],'ANAHTAR'!$D297)&gt;0,"IKINCIL","YOK")))</f>
        <v/>
      </c>
      <c r="I297" s="17">
        <f>IF($A297="","",'ANAHTAR'!$F297)</f>
        <v/>
      </c>
      <c r="J297" s="17">
        <f>IF(OR($A297="",$D297=0),0,$F297/ABS($D297))</f>
        <v/>
      </c>
      <c r="K297" s="17">
        <f>IF($A297="","",ROUND($D297,2))</f>
        <v/>
      </c>
      <c r="L297" s="17">
        <f>IF($A297="","",ROUND($C297,2))</f>
        <v/>
      </c>
      <c r="M297" s="17">
        <f>IF($A297="","",IF($F297&lt;=toleransKurus,1,0))</f>
        <v/>
      </c>
      <c r="N297" s="17">
        <f>IF($A297="","",IF($F297&gt;tyk_esikFark,1,0))</f>
        <v/>
      </c>
      <c r="O297" s="17">
        <f>IF($A297="","",IFERROR(SUMIF(tblMotor[A_Norm],$A297,tblMotor[NetKar]),0))</f>
        <v/>
      </c>
      <c r="P297" s="17">
        <f>IF($A297="","",$B297+$M297+$N297)</f>
        <v/>
      </c>
    </row>
    <row r="298">
      <c r="A298" s="17">
        <f>IF('ANAHTAR'!$B298="","",'ANAHTAR'!$B298)</f>
        <v/>
      </c>
      <c r="B298" s="17">
        <f>IF($A298="","",COUNTIF(tblAnahtarB[NormB],$A298))</f>
        <v/>
      </c>
      <c r="C298" s="17">
        <f>IF($A298="","",IFERROR(SUMIF(tblAnahtarB[NormB],$A298,tblHakedis[GercekHakedis]),0))</f>
        <v/>
      </c>
      <c r="D298" s="17">
        <f>IF($A298="","",IFERROR(SUMIF(tblMotor[A_Norm],$A298,tblMotor[BeklenenHakedis]),0))</f>
        <v/>
      </c>
      <c r="E298" s="17">
        <f>IF($A298="","",ROUND($D298,2)-ROUND($C298,2))</f>
        <v/>
      </c>
      <c r="F298" s="17">
        <f>IF($A298="","",ABS($E298))</f>
        <v/>
      </c>
      <c r="G298" s="17">
        <f>IF($A298="","",IF($B298=0,"eslesmedi",IF(ROUND($D298,2)=ROUND($C298,2),"eslesti",IF(ABS(ROUND($D298,2)-ROUND($C298,2))&lt;=toleransKurus,"tolerans_icinde","tutar_farki"))))</f>
        <v/>
      </c>
      <c r="H298" s="17">
        <f>IF($A298="","",IF($B298&gt;0,"BIRINCIL",IF(COUNTIF(tblAnahtarB[IkincilB],'ANAHTAR'!$D298)&gt;0,"IKINCIL","YOK")))</f>
        <v/>
      </c>
      <c r="I298" s="17">
        <f>IF($A298="","",'ANAHTAR'!$F298)</f>
        <v/>
      </c>
      <c r="J298" s="17">
        <f>IF(OR($A298="",$D298=0),0,$F298/ABS($D298))</f>
        <v/>
      </c>
      <c r="K298" s="17">
        <f>IF($A298="","",ROUND($D298,2))</f>
        <v/>
      </c>
      <c r="L298" s="17">
        <f>IF($A298="","",ROUND($C298,2))</f>
        <v/>
      </c>
      <c r="M298" s="17">
        <f>IF($A298="","",IF($F298&lt;=toleransKurus,1,0))</f>
        <v/>
      </c>
      <c r="N298" s="17">
        <f>IF($A298="","",IF($F298&gt;tyk_esikFark,1,0))</f>
        <v/>
      </c>
      <c r="O298" s="17">
        <f>IF($A298="","",IFERROR(SUMIF(tblMotor[A_Norm],$A298,tblMotor[NetKar]),0))</f>
        <v/>
      </c>
      <c r="P298" s="17">
        <f>IF($A298="","",$B298+$M298+$N298)</f>
        <v/>
      </c>
    </row>
    <row r="299">
      <c r="A299" s="17">
        <f>IF('ANAHTAR'!$B299="","",'ANAHTAR'!$B299)</f>
        <v/>
      </c>
      <c r="B299" s="17">
        <f>IF($A299="","",COUNTIF(tblAnahtarB[NormB],$A299))</f>
        <v/>
      </c>
      <c r="C299" s="17">
        <f>IF($A299="","",IFERROR(SUMIF(tblAnahtarB[NormB],$A299,tblHakedis[GercekHakedis]),0))</f>
        <v/>
      </c>
      <c r="D299" s="17">
        <f>IF($A299="","",IFERROR(SUMIF(tblMotor[A_Norm],$A299,tblMotor[BeklenenHakedis]),0))</f>
        <v/>
      </c>
      <c r="E299" s="17">
        <f>IF($A299="","",ROUND($D299,2)-ROUND($C299,2))</f>
        <v/>
      </c>
      <c r="F299" s="17">
        <f>IF($A299="","",ABS($E299))</f>
        <v/>
      </c>
      <c r="G299" s="17">
        <f>IF($A299="","",IF($B299=0,"eslesmedi",IF(ROUND($D299,2)=ROUND($C299,2),"eslesti",IF(ABS(ROUND($D299,2)-ROUND($C299,2))&lt;=toleransKurus,"tolerans_icinde","tutar_farki"))))</f>
        <v/>
      </c>
      <c r="H299" s="17">
        <f>IF($A299="","",IF($B299&gt;0,"BIRINCIL",IF(COUNTIF(tblAnahtarB[IkincilB],'ANAHTAR'!$D299)&gt;0,"IKINCIL","YOK")))</f>
        <v/>
      </c>
      <c r="I299" s="17">
        <f>IF($A299="","",'ANAHTAR'!$F299)</f>
        <v/>
      </c>
      <c r="J299" s="17">
        <f>IF(OR($A299="",$D299=0),0,$F299/ABS($D299))</f>
        <v/>
      </c>
      <c r="K299" s="17">
        <f>IF($A299="","",ROUND($D299,2))</f>
        <v/>
      </c>
      <c r="L299" s="17">
        <f>IF($A299="","",ROUND($C299,2))</f>
        <v/>
      </c>
      <c r="M299" s="17">
        <f>IF($A299="","",IF($F299&lt;=toleransKurus,1,0))</f>
        <v/>
      </c>
      <c r="N299" s="17">
        <f>IF($A299="","",IF($F299&gt;tyk_esikFark,1,0))</f>
        <v/>
      </c>
      <c r="O299" s="17">
        <f>IF($A299="","",IFERROR(SUMIF(tblMotor[A_Norm],$A299,tblMotor[NetKar]),0))</f>
        <v/>
      </c>
      <c r="P299" s="17">
        <f>IF($A299="","",$B299+$M299+$N299)</f>
        <v/>
      </c>
    </row>
    <row r="300">
      <c r="A300" s="17">
        <f>IF('ANAHTAR'!$B300="","",'ANAHTAR'!$B300)</f>
        <v/>
      </c>
      <c r="B300" s="17">
        <f>IF($A300="","",COUNTIF(tblAnahtarB[NormB],$A300))</f>
        <v/>
      </c>
      <c r="C300" s="17">
        <f>IF($A300="","",IFERROR(SUMIF(tblAnahtarB[NormB],$A300,tblHakedis[GercekHakedis]),0))</f>
        <v/>
      </c>
      <c r="D300" s="17">
        <f>IF($A300="","",IFERROR(SUMIF(tblMotor[A_Norm],$A300,tblMotor[BeklenenHakedis]),0))</f>
        <v/>
      </c>
      <c r="E300" s="17">
        <f>IF($A300="","",ROUND($D300,2)-ROUND($C300,2))</f>
        <v/>
      </c>
      <c r="F300" s="17">
        <f>IF($A300="","",ABS($E300))</f>
        <v/>
      </c>
      <c r="G300" s="17">
        <f>IF($A300="","",IF($B300=0,"eslesmedi",IF(ROUND($D300,2)=ROUND($C300,2),"eslesti",IF(ABS(ROUND($D300,2)-ROUND($C300,2))&lt;=toleransKurus,"tolerans_icinde","tutar_farki"))))</f>
        <v/>
      </c>
      <c r="H300" s="17">
        <f>IF($A300="","",IF($B300&gt;0,"BIRINCIL",IF(COUNTIF(tblAnahtarB[IkincilB],'ANAHTAR'!$D300)&gt;0,"IKINCIL","YOK")))</f>
        <v/>
      </c>
      <c r="I300" s="17">
        <f>IF($A300="","",'ANAHTAR'!$F300)</f>
        <v/>
      </c>
      <c r="J300" s="17">
        <f>IF(OR($A300="",$D300=0),0,$F300/ABS($D300))</f>
        <v/>
      </c>
      <c r="K300" s="17">
        <f>IF($A300="","",ROUND($D300,2))</f>
        <v/>
      </c>
      <c r="L300" s="17">
        <f>IF($A300="","",ROUND($C300,2))</f>
        <v/>
      </c>
      <c r="M300" s="17">
        <f>IF($A300="","",IF($F300&lt;=toleransKurus,1,0))</f>
        <v/>
      </c>
      <c r="N300" s="17">
        <f>IF($A300="","",IF($F300&gt;tyk_esikFark,1,0))</f>
        <v/>
      </c>
      <c r="O300" s="17">
        <f>IF($A300="","",IFERROR(SUMIF(tblMotor[A_Norm],$A300,tblMotor[NetKar]),0))</f>
        <v/>
      </c>
      <c r="P300" s="17">
        <f>IF($A300="","",$B300+$M300+$N300)</f>
        <v/>
      </c>
    </row>
    <row r="301">
      <c r="A301" s="17">
        <f>IF('ANAHTAR'!$B301="","",'ANAHTAR'!$B301)</f>
        <v/>
      </c>
      <c r="B301" s="17">
        <f>IF($A301="","",COUNTIF(tblAnahtarB[NormB],$A301))</f>
        <v/>
      </c>
      <c r="C301" s="17">
        <f>IF($A301="","",IFERROR(SUMIF(tblAnahtarB[NormB],$A301,tblHakedis[GercekHakedis]),0))</f>
        <v/>
      </c>
      <c r="D301" s="17">
        <f>IF($A301="","",IFERROR(SUMIF(tblMotor[A_Norm],$A301,tblMotor[BeklenenHakedis]),0))</f>
        <v/>
      </c>
      <c r="E301" s="17">
        <f>IF($A301="","",ROUND($D301,2)-ROUND($C301,2))</f>
        <v/>
      </c>
      <c r="F301" s="17">
        <f>IF($A301="","",ABS($E301))</f>
        <v/>
      </c>
      <c r="G301" s="17">
        <f>IF($A301="","",IF($B301=0,"eslesmedi",IF(ROUND($D301,2)=ROUND($C301,2),"eslesti",IF(ABS(ROUND($D301,2)-ROUND($C301,2))&lt;=toleransKurus,"tolerans_icinde","tutar_farki"))))</f>
        <v/>
      </c>
      <c r="H301" s="17">
        <f>IF($A301="","",IF($B301&gt;0,"BIRINCIL",IF(COUNTIF(tblAnahtarB[IkincilB],'ANAHTAR'!$D301)&gt;0,"IKINCIL","YOK")))</f>
        <v/>
      </c>
      <c r="I301" s="17">
        <f>IF($A301="","",'ANAHTAR'!$F301)</f>
        <v/>
      </c>
      <c r="J301" s="17">
        <f>IF(OR($A301="",$D301=0),0,$F301/ABS($D301))</f>
        <v/>
      </c>
      <c r="K301" s="17">
        <f>IF($A301="","",ROUND($D301,2))</f>
        <v/>
      </c>
      <c r="L301" s="17">
        <f>IF($A301="","",ROUND($C301,2))</f>
        <v/>
      </c>
      <c r="M301" s="17">
        <f>IF($A301="","",IF($F301&lt;=toleransKurus,1,0))</f>
        <v/>
      </c>
      <c r="N301" s="17">
        <f>IF($A301="","",IF($F301&gt;tyk_esikFark,1,0))</f>
        <v/>
      </c>
      <c r="O301" s="17">
        <f>IF($A301="","",IFERROR(SUMIF(tblMotor[A_Norm],$A301,tblMotor[NetKar]),0))</f>
        <v/>
      </c>
      <c r="P301" s="17">
        <f>IF($A301="","",$B301+$M301+$N301)</f>
        <v/>
      </c>
    </row>
    <row r="302">
      <c r="A302" s="17">
        <f>IF('ANAHTAR'!$B302="","",'ANAHTAR'!$B302)</f>
        <v/>
      </c>
      <c r="B302" s="17">
        <f>IF($A302="","",COUNTIF(tblAnahtarB[NormB],$A302))</f>
        <v/>
      </c>
      <c r="C302" s="17">
        <f>IF($A302="","",IFERROR(SUMIF(tblAnahtarB[NormB],$A302,tblHakedis[GercekHakedis]),0))</f>
        <v/>
      </c>
      <c r="D302" s="17">
        <f>IF($A302="","",IFERROR(SUMIF(tblMotor[A_Norm],$A302,tblMotor[BeklenenHakedis]),0))</f>
        <v/>
      </c>
      <c r="E302" s="17">
        <f>IF($A302="","",ROUND($D302,2)-ROUND($C302,2))</f>
        <v/>
      </c>
      <c r="F302" s="17">
        <f>IF($A302="","",ABS($E302))</f>
        <v/>
      </c>
      <c r="G302" s="17">
        <f>IF($A302="","",IF($B302=0,"eslesmedi",IF(ROUND($D302,2)=ROUND($C302,2),"eslesti",IF(ABS(ROUND($D302,2)-ROUND($C302,2))&lt;=toleransKurus,"tolerans_icinde","tutar_farki"))))</f>
        <v/>
      </c>
      <c r="H302" s="17">
        <f>IF($A302="","",IF($B302&gt;0,"BIRINCIL",IF(COUNTIF(tblAnahtarB[IkincilB],'ANAHTAR'!$D302)&gt;0,"IKINCIL","YOK")))</f>
        <v/>
      </c>
      <c r="I302" s="17">
        <f>IF($A302="","",'ANAHTAR'!$F302)</f>
        <v/>
      </c>
      <c r="J302" s="17">
        <f>IF(OR($A302="",$D302=0),0,$F302/ABS($D302))</f>
        <v/>
      </c>
      <c r="K302" s="17">
        <f>IF($A302="","",ROUND($D302,2))</f>
        <v/>
      </c>
      <c r="L302" s="17">
        <f>IF($A302="","",ROUND($C302,2))</f>
        <v/>
      </c>
      <c r="M302" s="17">
        <f>IF($A302="","",IF($F302&lt;=toleransKurus,1,0))</f>
        <v/>
      </c>
      <c r="N302" s="17">
        <f>IF($A302="","",IF($F302&gt;tyk_esikFark,1,0))</f>
        <v/>
      </c>
      <c r="O302" s="17">
        <f>IF($A302="","",IFERROR(SUMIF(tblMotor[A_Norm],$A302,tblMotor[NetKar]),0))</f>
        <v/>
      </c>
      <c r="P302" s="17">
        <f>IF($A302="","",$B302+$M302+$N302)</f>
        <v/>
      </c>
    </row>
    <row r="303">
      <c r="A303" s="17">
        <f>IF('ANAHTAR'!$B303="","",'ANAHTAR'!$B303)</f>
        <v/>
      </c>
      <c r="B303" s="17">
        <f>IF($A303="","",COUNTIF(tblAnahtarB[NormB],$A303))</f>
        <v/>
      </c>
      <c r="C303" s="17">
        <f>IF($A303="","",IFERROR(SUMIF(tblAnahtarB[NormB],$A303,tblHakedis[GercekHakedis]),0))</f>
        <v/>
      </c>
      <c r="D303" s="17">
        <f>IF($A303="","",IFERROR(SUMIF(tblMotor[A_Norm],$A303,tblMotor[BeklenenHakedis]),0))</f>
        <v/>
      </c>
      <c r="E303" s="17">
        <f>IF($A303="","",ROUND($D303,2)-ROUND($C303,2))</f>
        <v/>
      </c>
      <c r="F303" s="17">
        <f>IF($A303="","",ABS($E303))</f>
        <v/>
      </c>
      <c r="G303" s="17">
        <f>IF($A303="","",IF($B303=0,"eslesmedi",IF(ROUND($D303,2)=ROUND($C303,2),"eslesti",IF(ABS(ROUND($D303,2)-ROUND($C303,2))&lt;=toleransKurus,"tolerans_icinde","tutar_farki"))))</f>
        <v/>
      </c>
      <c r="H303" s="17">
        <f>IF($A303="","",IF($B303&gt;0,"BIRINCIL",IF(COUNTIF(tblAnahtarB[IkincilB],'ANAHTAR'!$D303)&gt;0,"IKINCIL","YOK")))</f>
        <v/>
      </c>
      <c r="I303" s="17">
        <f>IF($A303="","",'ANAHTAR'!$F303)</f>
        <v/>
      </c>
      <c r="J303" s="17">
        <f>IF(OR($A303="",$D303=0),0,$F303/ABS($D303))</f>
        <v/>
      </c>
      <c r="K303" s="17">
        <f>IF($A303="","",ROUND($D303,2))</f>
        <v/>
      </c>
      <c r="L303" s="17">
        <f>IF($A303="","",ROUND($C303,2))</f>
        <v/>
      </c>
      <c r="M303" s="17">
        <f>IF($A303="","",IF($F303&lt;=toleransKurus,1,0))</f>
        <v/>
      </c>
      <c r="N303" s="17">
        <f>IF($A303="","",IF($F303&gt;tyk_esikFark,1,0))</f>
        <v/>
      </c>
      <c r="O303" s="17">
        <f>IF($A303="","",IFERROR(SUMIF(tblMotor[A_Norm],$A303,tblMotor[NetKar]),0))</f>
        <v/>
      </c>
      <c r="P303" s="17">
        <f>IF($A303="","",$B303+$M303+$N303)</f>
        <v/>
      </c>
    </row>
    <row r="304">
      <c r="A304" s="17">
        <f>IF('ANAHTAR'!$B304="","",'ANAHTAR'!$B304)</f>
        <v/>
      </c>
      <c r="B304" s="17">
        <f>IF($A304="","",COUNTIF(tblAnahtarB[NormB],$A304))</f>
        <v/>
      </c>
      <c r="C304" s="17">
        <f>IF($A304="","",IFERROR(SUMIF(tblAnahtarB[NormB],$A304,tblHakedis[GercekHakedis]),0))</f>
        <v/>
      </c>
      <c r="D304" s="17">
        <f>IF($A304="","",IFERROR(SUMIF(tblMotor[A_Norm],$A304,tblMotor[BeklenenHakedis]),0))</f>
        <v/>
      </c>
      <c r="E304" s="17">
        <f>IF($A304="","",ROUND($D304,2)-ROUND($C304,2))</f>
        <v/>
      </c>
      <c r="F304" s="17">
        <f>IF($A304="","",ABS($E304))</f>
        <v/>
      </c>
      <c r="G304" s="17">
        <f>IF($A304="","",IF($B304=0,"eslesmedi",IF(ROUND($D304,2)=ROUND($C304,2),"eslesti",IF(ABS(ROUND($D304,2)-ROUND($C304,2))&lt;=toleransKurus,"tolerans_icinde","tutar_farki"))))</f>
        <v/>
      </c>
      <c r="H304" s="17">
        <f>IF($A304="","",IF($B304&gt;0,"BIRINCIL",IF(COUNTIF(tblAnahtarB[IkincilB],'ANAHTAR'!$D304)&gt;0,"IKINCIL","YOK")))</f>
        <v/>
      </c>
      <c r="I304" s="17">
        <f>IF($A304="","",'ANAHTAR'!$F304)</f>
        <v/>
      </c>
      <c r="J304" s="17">
        <f>IF(OR($A304="",$D304=0),0,$F304/ABS($D304))</f>
        <v/>
      </c>
      <c r="K304" s="17">
        <f>IF($A304="","",ROUND($D304,2))</f>
        <v/>
      </c>
      <c r="L304" s="17">
        <f>IF($A304="","",ROUND($C304,2))</f>
        <v/>
      </c>
      <c r="M304" s="17">
        <f>IF($A304="","",IF($F304&lt;=toleransKurus,1,0))</f>
        <v/>
      </c>
      <c r="N304" s="17">
        <f>IF($A304="","",IF($F304&gt;tyk_esikFark,1,0))</f>
        <v/>
      </c>
      <c r="O304" s="17">
        <f>IF($A304="","",IFERROR(SUMIF(tblMotor[A_Norm],$A304,tblMotor[NetKar]),0))</f>
        <v/>
      </c>
      <c r="P304" s="17">
        <f>IF($A304="","",$B304+$M304+$N304)</f>
        <v/>
      </c>
    </row>
    <row r="305">
      <c r="A305" s="17">
        <f>IF('ANAHTAR'!$B305="","",'ANAHTAR'!$B305)</f>
        <v/>
      </c>
      <c r="B305" s="17">
        <f>IF($A305="","",COUNTIF(tblAnahtarB[NormB],$A305))</f>
        <v/>
      </c>
      <c r="C305" s="17">
        <f>IF($A305="","",IFERROR(SUMIF(tblAnahtarB[NormB],$A305,tblHakedis[GercekHakedis]),0))</f>
        <v/>
      </c>
      <c r="D305" s="17">
        <f>IF($A305="","",IFERROR(SUMIF(tblMotor[A_Norm],$A305,tblMotor[BeklenenHakedis]),0))</f>
        <v/>
      </c>
      <c r="E305" s="17">
        <f>IF($A305="","",ROUND($D305,2)-ROUND($C305,2))</f>
        <v/>
      </c>
      <c r="F305" s="17">
        <f>IF($A305="","",ABS($E305))</f>
        <v/>
      </c>
      <c r="G305" s="17">
        <f>IF($A305="","",IF($B305=0,"eslesmedi",IF(ROUND($D305,2)=ROUND($C305,2),"eslesti",IF(ABS(ROUND($D305,2)-ROUND($C305,2))&lt;=toleransKurus,"tolerans_icinde","tutar_farki"))))</f>
        <v/>
      </c>
      <c r="H305" s="17">
        <f>IF($A305="","",IF($B305&gt;0,"BIRINCIL",IF(COUNTIF(tblAnahtarB[IkincilB],'ANAHTAR'!$D305)&gt;0,"IKINCIL","YOK")))</f>
        <v/>
      </c>
      <c r="I305" s="17">
        <f>IF($A305="","",'ANAHTAR'!$F305)</f>
        <v/>
      </c>
      <c r="J305" s="17">
        <f>IF(OR($A305="",$D305=0),0,$F305/ABS($D305))</f>
        <v/>
      </c>
      <c r="K305" s="17">
        <f>IF($A305="","",ROUND($D305,2))</f>
        <v/>
      </c>
      <c r="L305" s="17">
        <f>IF($A305="","",ROUND($C305,2))</f>
        <v/>
      </c>
      <c r="M305" s="17">
        <f>IF($A305="","",IF($F305&lt;=toleransKurus,1,0))</f>
        <v/>
      </c>
      <c r="N305" s="17">
        <f>IF($A305="","",IF($F305&gt;tyk_esikFark,1,0))</f>
        <v/>
      </c>
      <c r="O305" s="17">
        <f>IF($A305="","",IFERROR(SUMIF(tblMotor[A_Norm],$A305,tblMotor[NetKar]),0))</f>
        <v/>
      </c>
      <c r="P305" s="17">
        <f>IF($A305="","",$B305+$M305+$N305)</f>
        <v/>
      </c>
    </row>
    <row r="306">
      <c r="A306" s="17">
        <f>IF('ANAHTAR'!$B306="","",'ANAHTAR'!$B306)</f>
        <v/>
      </c>
      <c r="B306" s="17">
        <f>IF($A306="","",COUNTIF(tblAnahtarB[NormB],$A306))</f>
        <v/>
      </c>
      <c r="C306" s="17">
        <f>IF($A306="","",IFERROR(SUMIF(tblAnahtarB[NormB],$A306,tblHakedis[GercekHakedis]),0))</f>
        <v/>
      </c>
      <c r="D306" s="17">
        <f>IF($A306="","",IFERROR(SUMIF(tblMotor[A_Norm],$A306,tblMotor[BeklenenHakedis]),0))</f>
        <v/>
      </c>
      <c r="E306" s="17">
        <f>IF($A306="","",ROUND($D306,2)-ROUND($C306,2))</f>
        <v/>
      </c>
      <c r="F306" s="17">
        <f>IF($A306="","",ABS($E306))</f>
        <v/>
      </c>
      <c r="G306" s="17">
        <f>IF($A306="","",IF($B306=0,"eslesmedi",IF(ROUND($D306,2)=ROUND($C306,2),"eslesti",IF(ABS(ROUND($D306,2)-ROUND($C306,2))&lt;=toleransKurus,"tolerans_icinde","tutar_farki"))))</f>
        <v/>
      </c>
      <c r="H306" s="17">
        <f>IF($A306="","",IF($B306&gt;0,"BIRINCIL",IF(COUNTIF(tblAnahtarB[IkincilB],'ANAHTAR'!$D306)&gt;0,"IKINCIL","YOK")))</f>
        <v/>
      </c>
      <c r="I306" s="17">
        <f>IF($A306="","",'ANAHTAR'!$F306)</f>
        <v/>
      </c>
      <c r="J306" s="17">
        <f>IF(OR($A306="",$D306=0),0,$F306/ABS($D306))</f>
        <v/>
      </c>
      <c r="K306" s="17">
        <f>IF($A306="","",ROUND($D306,2))</f>
        <v/>
      </c>
      <c r="L306" s="17">
        <f>IF($A306="","",ROUND($C306,2))</f>
        <v/>
      </c>
      <c r="M306" s="17">
        <f>IF($A306="","",IF($F306&lt;=toleransKurus,1,0))</f>
        <v/>
      </c>
      <c r="N306" s="17">
        <f>IF($A306="","",IF($F306&gt;tyk_esikFark,1,0))</f>
        <v/>
      </c>
      <c r="O306" s="17">
        <f>IF($A306="","",IFERROR(SUMIF(tblMotor[A_Norm],$A306,tblMotor[NetKar]),0))</f>
        <v/>
      </c>
      <c r="P306" s="17">
        <f>IF($A306="","",$B306+$M306+$N306)</f>
        <v/>
      </c>
    </row>
    <row r="307">
      <c r="A307" s="17">
        <f>IF('ANAHTAR'!$B307="","",'ANAHTAR'!$B307)</f>
        <v/>
      </c>
      <c r="B307" s="17">
        <f>IF($A307="","",COUNTIF(tblAnahtarB[NormB],$A307))</f>
        <v/>
      </c>
      <c r="C307" s="17">
        <f>IF($A307="","",IFERROR(SUMIF(tblAnahtarB[NormB],$A307,tblHakedis[GercekHakedis]),0))</f>
        <v/>
      </c>
      <c r="D307" s="17">
        <f>IF($A307="","",IFERROR(SUMIF(tblMotor[A_Norm],$A307,tblMotor[BeklenenHakedis]),0))</f>
        <v/>
      </c>
      <c r="E307" s="17">
        <f>IF($A307="","",ROUND($D307,2)-ROUND($C307,2))</f>
        <v/>
      </c>
      <c r="F307" s="17">
        <f>IF($A307="","",ABS($E307))</f>
        <v/>
      </c>
      <c r="G307" s="17">
        <f>IF($A307="","",IF($B307=0,"eslesmedi",IF(ROUND($D307,2)=ROUND($C307,2),"eslesti",IF(ABS(ROUND($D307,2)-ROUND($C307,2))&lt;=toleransKurus,"tolerans_icinde","tutar_farki"))))</f>
        <v/>
      </c>
      <c r="H307" s="17">
        <f>IF($A307="","",IF($B307&gt;0,"BIRINCIL",IF(COUNTIF(tblAnahtarB[IkincilB],'ANAHTAR'!$D307)&gt;0,"IKINCIL","YOK")))</f>
        <v/>
      </c>
      <c r="I307" s="17">
        <f>IF($A307="","",'ANAHTAR'!$F307)</f>
        <v/>
      </c>
      <c r="J307" s="17">
        <f>IF(OR($A307="",$D307=0),0,$F307/ABS($D307))</f>
        <v/>
      </c>
      <c r="K307" s="17">
        <f>IF($A307="","",ROUND($D307,2))</f>
        <v/>
      </c>
      <c r="L307" s="17">
        <f>IF($A307="","",ROUND($C307,2))</f>
        <v/>
      </c>
      <c r="M307" s="17">
        <f>IF($A307="","",IF($F307&lt;=toleransKurus,1,0))</f>
        <v/>
      </c>
      <c r="N307" s="17">
        <f>IF($A307="","",IF($F307&gt;tyk_esikFark,1,0))</f>
        <v/>
      </c>
      <c r="O307" s="17">
        <f>IF($A307="","",IFERROR(SUMIF(tblMotor[A_Norm],$A307,tblMotor[NetKar]),0))</f>
        <v/>
      </c>
      <c r="P307" s="17">
        <f>IF($A307="","",$B307+$M307+$N307)</f>
        <v/>
      </c>
    </row>
    <row r="308">
      <c r="A308" s="17">
        <f>IF('ANAHTAR'!$B308="","",'ANAHTAR'!$B308)</f>
        <v/>
      </c>
      <c r="B308" s="17">
        <f>IF($A308="","",COUNTIF(tblAnahtarB[NormB],$A308))</f>
        <v/>
      </c>
      <c r="C308" s="17">
        <f>IF($A308="","",IFERROR(SUMIF(tblAnahtarB[NormB],$A308,tblHakedis[GercekHakedis]),0))</f>
        <v/>
      </c>
      <c r="D308" s="17">
        <f>IF($A308="","",IFERROR(SUMIF(tblMotor[A_Norm],$A308,tblMotor[BeklenenHakedis]),0))</f>
        <v/>
      </c>
      <c r="E308" s="17">
        <f>IF($A308="","",ROUND($D308,2)-ROUND($C308,2))</f>
        <v/>
      </c>
      <c r="F308" s="17">
        <f>IF($A308="","",ABS($E308))</f>
        <v/>
      </c>
      <c r="G308" s="17">
        <f>IF($A308="","",IF($B308=0,"eslesmedi",IF(ROUND($D308,2)=ROUND($C308,2),"eslesti",IF(ABS(ROUND($D308,2)-ROUND($C308,2))&lt;=toleransKurus,"tolerans_icinde","tutar_farki"))))</f>
        <v/>
      </c>
      <c r="H308" s="17">
        <f>IF($A308="","",IF($B308&gt;0,"BIRINCIL",IF(COUNTIF(tblAnahtarB[IkincilB],'ANAHTAR'!$D308)&gt;0,"IKINCIL","YOK")))</f>
        <v/>
      </c>
      <c r="I308" s="17">
        <f>IF($A308="","",'ANAHTAR'!$F308)</f>
        <v/>
      </c>
      <c r="J308" s="17">
        <f>IF(OR($A308="",$D308=0),0,$F308/ABS($D308))</f>
        <v/>
      </c>
      <c r="K308" s="17">
        <f>IF($A308="","",ROUND($D308,2))</f>
        <v/>
      </c>
      <c r="L308" s="17">
        <f>IF($A308="","",ROUND($C308,2))</f>
        <v/>
      </c>
      <c r="M308" s="17">
        <f>IF($A308="","",IF($F308&lt;=toleransKurus,1,0))</f>
        <v/>
      </c>
      <c r="N308" s="17">
        <f>IF($A308="","",IF($F308&gt;tyk_esikFark,1,0))</f>
        <v/>
      </c>
      <c r="O308" s="17">
        <f>IF($A308="","",IFERROR(SUMIF(tblMotor[A_Norm],$A308,tblMotor[NetKar]),0))</f>
        <v/>
      </c>
      <c r="P308" s="17">
        <f>IF($A308="","",$B308+$M308+$N308)</f>
        <v/>
      </c>
    </row>
    <row r="309">
      <c r="A309" s="17">
        <f>IF('ANAHTAR'!$B309="","",'ANAHTAR'!$B309)</f>
        <v/>
      </c>
      <c r="B309" s="17">
        <f>IF($A309="","",COUNTIF(tblAnahtarB[NormB],$A309))</f>
        <v/>
      </c>
      <c r="C309" s="17">
        <f>IF($A309="","",IFERROR(SUMIF(tblAnahtarB[NormB],$A309,tblHakedis[GercekHakedis]),0))</f>
        <v/>
      </c>
      <c r="D309" s="17">
        <f>IF($A309="","",IFERROR(SUMIF(tblMotor[A_Norm],$A309,tblMotor[BeklenenHakedis]),0))</f>
        <v/>
      </c>
      <c r="E309" s="17">
        <f>IF($A309="","",ROUND($D309,2)-ROUND($C309,2))</f>
        <v/>
      </c>
      <c r="F309" s="17">
        <f>IF($A309="","",ABS($E309))</f>
        <v/>
      </c>
      <c r="G309" s="17">
        <f>IF($A309="","",IF($B309=0,"eslesmedi",IF(ROUND($D309,2)=ROUND($C309,2),"eslesti",IF(ABS(ROUND($D309,2)-ROUND($C309,2))&lt;=toleransKurus,"tolerans_icinde","tutar_farki"))))</f>
        <v/>
      </c>
      <c r="H309" s="17">
        <f>IF($A309="","",IF($B309&gt;0,"BIRINCIL",IF(COUNTIF(tblAnahtarB[IkincilB],'ANAHTAR'!$D309)&gt;0,"IKINCIL","YOK")))</f>
        <v/>
      </c>
      <c r="I309" s="17">
        <f>IF($A309="","",'ANAHTAR'!$F309)</f>
        <v/>
      </c>
      <c r="J309" s="17">
        <f>IF(OR($A309="",$D309=0),0,$F309/ABS($D309))</f>
        <v/>
      </c>
      <c r="K309" s="17">
        <f>IF($A309="","",ROUND($D309,2))</f>
        <v/>
      </c>
      <c r="L309" s="17">
        <f>IF($A309="","",ROUND($C309,2))</f>
        <v/>
      </c>
      <c r="M309" s="17">
        <f>IF($A309="","",IF($F309&lt;=toleransKurus,1,0))</f>
        <v/>
      </c>
      <c r="N309" s="17">
        <f>IF($A309="","",IF($F309&gt;tyk_esikFark,1,0))</f>
        <v/>
      </c>
      <c r="O309" s="17">
        <f>IF($A309="","",IFERROR(SUMIF(tblMotor[A_Norm],$A309,tblMotor[NetKar]),0))</f>
        <v/>
      </c>
      <c r="P309" s="17">
        <f>IF($A309="","",$B309+$M309+$N309)</f>
        <v/>
      </c>
    </row>
    <row r="310">
      <c r="A310" s="17">
        <f>IF('ANAHTAR'!$B310="","",'ANAHTAR'!$B310)</f>
        <v/>
      </c>
      <c r="B310" s="17">
        <f>IF($A310="","",COUNTIF(tblAnahtarB[NormB],$A310))</f>
        <v/>
      </c>
      <c r="C310" s="17">
        <f>IF($A310="","",IFERROR(SUMIF(tblAnahtarB[NormB],$A310,tblHakedis[GercekHakedis]),0))</f>
        <v/>
      </c>
      <c r="D310" s="17">
        <f>IF($A310="","",IFERROR(SUMIF(tblMotor[A_Norm],$A310,tblMotor[BeklenenHakedis]),0))</f>
        <v/>
      </c>
      <c r="E310" s="17">
        <f>IF($A310="","",ROUND($D310,2)-ROUND($C310,2))</f>
        <v/>
      </c>
      <c r="F310" s="17">
        <f>IF($A310="","",ABS($E310))</f>
        <v/>
      </c>
      <c r="G310" s="17">
        <f>IF($A310="","",IF($B310=0,"eslesmedi",IF(ROUND($D310,2)=ROUND($C310,2),"eslesti",IF(ABS(ROUND($D310,2)-ROUND($C310,2))&lt;=toleransKurus,"tolerans_icinde","tutar_farki"))))</f>
        <v/>
      </c>
      <c r="H310" s="17">
        <f>IF($A310="","",IF($B310&gt;0,"BIRINCIL",IF(COUNTIF(tblAnahtarB[IkincilB],'ANAHTAR'!$D310)&gt;0,"IKINCIL","YOK")))</f>
        <v/>
      </c>
      <c r="I310" s="17">
        <f>IF($A310="","",'ANAHTAR'!$F310)</f>
        <v/>
      </c>
      <c r="J310" s="17">
        <f>IF(OR($A310="",$D310=0),0,$F310/ABS($D310))</f>
        <v/>
      </c>
      <c r="K310" s="17">
        <f>IF($A310="","",ROUND($D310,2))</f>
        <v/>
      </c>
      <c r="L310" s="17">
        <f>IF($A310="","",ROUND($C310,2))</f>
        <v/>
      </c>
      <c r="M310" s="17">
        <f>IF($A310="","",IF($F310&lt;=toleransKurus,1,0))</f>
        <v/>
      </c>
      <c r="N310" s="17">
        <f>IF($A310="","",IF($F310&gt;tyk_esikFark,1,0))</f>
        <v/>
      </c>
      <c r="O310" s="17">
        <f>IF($A310="","",IFERROR(SUMIF(tblMotor[A_Norm],$A310,tblMotor[NetKar]),0))</f>
        <v/>
      </c>
      <c r="P310" s="17">
        <f>IF($A310="","",$B310+$M310+$N310)</f>
        <v/>
      </c>
    </row>
    <row r="311">
      <c r="A311" s="17">
        <f>IF('ANAHTAR'!$B311="","",'ANAHTAR'!$B311)</f>
        <v/>
      </c>
      <c r="B311" s="17">
        <f>IF($A311="","",COUNTIF(tblAnahtarB[NormB],$A311))</f>
        <v/>
      </c>
      <c r="C311" s="17">
        <f>IF($A311="","",IFERROR(SUMIF(tblAnahtarB[NormB],$A311,tblHakedis[GercekHakedis]),0))</f>
        <v/>
      </c>
      <c r="D311" s="17">
        <f>IF($A311="","",IFERROR(SUMIF(tblMotor[A_Norm],$A311,tblMotor[BeklenenHakedis]),0))</f>
        <v/>
      </c>
      <c r="E311" s="17">
        <f>IF($A311="","",ROUND($D311,2)-ROUND($C311,2))</f>
        <v/>
      </c>
      <c r="F311" s="17">
        <f>IF($A311="","",ABS($E311))</f>
        <v/>
      </c>
      <c r="G311" s="17">
        <f>IF($A311="","",IF($B311=0,"eslesmedi",IF(ROUND($D311,2)=ROUND($C311,2),"eslesti",IF(ABS(ROUND($D311,2)-ROUND($C311,2))&lt;=toleransKurus,"tolerans_icinde","tutar_farki"))))</f>
        <v/>
      </c>
      <c r="H311" s="17">
        <f>IF($A311="","",IF($B311&gt;0,"BIRINCIL",IF(COUNTIF(tblAnahtarB[IkincilB],'ANAHTAR'!$D311)&gt;0,"IKINCIL","YOK")))</f>
        <v/>
      </c>
      <c r="I311" s="17">
        <f>IF($A311="","",'ANAHTAR'!$F311)</f>
        <v/>
      </c>
      <c r="J311" s="17">
        <f>IF(OR($A311="",$D311=0),0,$F311/ABS($D311))</f>
        <v/>
      </c>
      <c r="K311" s="17">
        <f>IF($A311="","",ROUND($D311,2))</f>
        <v/>
      </c>
      <c r="L311" s="17">
        <f>IF($A311="","",ROUND($C311,2))</f>
        <v/>
      </c>
      <c r="M311" s="17">
        <f>IF($A311="","",IF($F311&lt;=toleransKurus,1,0))</f>
        <v/>
      </c>
      <c r="N311" s="17">
        <f>IF($A311="","",IF($F311&gt;tyk_esikFark,1,0))</f>
        <v/>
      </c>
      <c r="O311" s="17">
        <f>IF($A311="","",IFERROR(SUMIF(tblMotor[A_Norm],$A311,tblMotor[NetKar]),0))</f>
        <v/>
      </c>
      <c r="P311" s="17">
        <f>IF($A311="","",$B311+$M311+$N311)</f>
        <v/>
      </c>
    </row>
    <row r="312">
      <c r="A312" s="17">
        <f>IF('ANAHTAR'!$B312="","",'ANAHTAR'!$B312)</f>
        <v/>
      </c>
      <c r="B312" s="17">
        <f>IF($A312="","",COUNTIF(tblAnahtarB[NormB],$A312))</f>
        <v/>
      </c>
      <c r="C312" s="17">
        <f>IF($A312="","",IFERROR(SUMIF(tblAnahtarB[NormB],$A312,tblHakedis[GercekHakedis]),0))</f>
        <v/>
      </c>
      <c r="D312" s="17">
        <f>IF($A312="","",IFERROR(SUMIF(tblMotor[A_Norm],$A312,tblMotor[BeklenenHakedis]),0))</f>
        <v/>
      </c>
      <c r="E312" s="17">
        <f>IF($A312="","",ROUND($D312,2)-ROUND($C312,2))</f>
        <v/>
      </c>
      <c r="F312" s="17">
        <f>IF($A312="","",ABS($E312))</f>
        <v/>
      </c>
      <c r="G312" s="17">
        <f>IF($A312="","",IF($B312=0,"eslesmedi",IF(ROUND($D312,2)=ROUND($C312,2),"eslesti",IF(ABS(ROUND($D312,2)-ROUND($C312,2))&lt;=toleransKurus,"tolerans_icinde","tutar_farki"))))</f>
        <v/>
      </c>
      <c r="H312" s="17">
        <f>IF($A312="","",IF($B312&gt;0,"BIRINCIL",IF(COUNTIF(tblAnahtarB[IkincilB],'ANAHTAR'!$D312)&gt;0,"IKINCIL","YOK")))</f>
        <v/>
      </c>
      <c r="I312" s="17">
        <f>IF($A312="","",'ANAHTAR'!$F312)</f>
        <v/>
      </c>
      <c r="J312" s="17">
        <f>IF(OR($A312="",$D312=0),0,$F312/ABS($D312))</f>
        <v/>
      </c>
      <c r="K312" s="17">
        <f>IF($A312="","",ROUND($D312,2))</f>
        <v/>
      </c>
      <c r="L312" s="17">
        <f>IF($A312="","",ROUND($C312,2))</f>
        <v/>
      </c>
      <c r="M312" s="17">
        <f>IF($A312="","",IF($F312&lt;=toleransKurus,1,0))</f>
        <v/>
      </c>
      <c r="N312" s="17">
        <f>IF($A312="","",IF($F312&gt;tyk_esikFark,1,0))</f>
        <v/>
      </c>
      <c r="O312" s="17">
        <f>IF($A312="","",IFERROR(SUMIF(tblMotor[A_Norm],$A312,tblMotor[NetKar]),0))</f>
        <v/>
      </c>
      <c r="P312" s="17">
        <f>IF($A312="","",$B312+$M312+$N312)</f>
        <v/>
      </c>
    </row>
    <row r="313">
      <c r="A313" s="17">
        <f>IF('ANAHTAR'!$B313="","",'ANAHTAR'!$B313)</f>
        <v/>
      </c>
      <c r="B313" s="17">
        <f>IF($A313="","",COUNTIF(tblAnahtarB[NormB],$A313))</f>
        <v/>
      </c>
      <c r="C313" s="17">
        <f>IF($A313="","",IFERROR(SUMIF(tblAnahtarB[NormB],$A313,tblHakedis[GercekHakedis]),0))</f>
        <v/>
      </c>
      <c r="D313" s="17">
        <f>IF($A313="","",IFERROR(SUMIF(tblMotor[A_Norm],$A313,tblMotor[BeklenenHakedis]),0))</f>
        <v/>
      </c>
      <c r="E313" s="17">
        <f>IF($A313="","",ROUND($D313,2)-ROUND($C313,2))</f>
        <v/>
      </c>
      <c r="F313" s="17">
        <f>IF($A313="","",ABS($E313))</f>
        <v/>
      </c>
      <c r="G313" s="17">
        <f>IF($A313="","",IF($B313=0,"eslesmedi",IF(ROUND($D313,2)=ROUND($C313,2),"eslesti",IF(ABS(ROUND($D313,2)-ROUND($C313,2))&lt;=toleransKurus,"tolerans_icinde","tutar_farki"))))</f>
        <v/>
      </c>
      <c r="H313" s="17">
        <f>IF($A313="","",IF($B313&gt;0,"BIRINCIL",IF(COUNTIF(tblAnahtarB[IkincilB],'ANAHTAR'!$D313)&gt;0,"IKINCIL","YOK")))</f>
        <v/>
      </c>
      <c r="I313" s="17">
        <f>IF($A313="","",'ANAHTAR'!$F313)</f>
        <v/>
      </c>
      <c r="J313" s="17">
        <f>IF(OR($A313="",$D313=0),0,$F313/ABS($D313))</f>
        <v/>
      </c>
      <c r="K313" s="17">
        <f>IF($A313="","",ROUND($D313,2))</f>
        <v/>
      </c>
      <c r="L313" s="17">
        <f>IF($A313="","",ROUND($C313,2))</f>
        <v/>
      </c>
      <c r="M313" s="17">
        <f>IF($A313="","",IF($F313&lt;=toleransKurus,1,0))</f>
        <v/>
      </c>
      <c r="N313" s="17">
        <f>IF($A313="","",IF($F313&gt;tyk_esikFark,1,0))</f>
        <v/>
      </c>
      <c r="O313" s="17">
        <f>IF($A313="","",IFERROR(SUMIF(tblMotor[A_Norm],$A313,tblMotor[NetKar]),0))</f>
        <v/>
      </c>
      <c r="P313" s="17">
        <f>IF($A313="","",$B313+$M313+$N313)</f>
        <v/>
      </c>
    </row>
    <row r="314">
      <c r="A314" s="17">
        <f>IF('ANAHTAR'!$B314="","",'ANAHTAR'!$B314)</f>
        <v/>
      </c>
      <c r="B314" s="17">
        <f>IF($A314="","",COUNTIF(tblAnahtarB[NormB],$A314))</f>
        <v/>
      </c>
      <c r="C314" s="17">
        <f>IF($A314="","",IFERROR(SUMIF(tblAnahtarB[NormB],$A314,tblHakedis[GercekHakedis]),0))</f>
        <v/>
      </c>
      <c r="D314" s="17">
        <f>IF($A314="","",IFERROR(SUMIF(tblMotor[A_Norm],$A314,tblMotor[BeklenenHakedis]),0))</f>
        <v/>
      </c>
      <c r="E314" s="17">
        <f>IF($A314="","",ROUND($D314,2)-ROUND($C314,2))</f>
        <v/>
      </c>
      <c r="F314" s="17">
        <f>IF($A314="","",ABS($E314))</f>
        <v/>
      </c>
      <c r="G314" s="17">
        <f>IF($A314="","",IF($B314=0,"eslesmedi",IF(ROUND($D314,2)=ROUND($C314,2),"eslesti",IF(ABS(ROUND($D314,2)-ROUND($C314,2))&lt;=toleransKurus,"tolerans_icinde","tutar_farki"))))</f>
        <v/>
      </c>
      <c r="H314" s="17">
        <f>IF($A314="","",IF($B314&gt;0,"BIRINCIL",IF(COUNTIF(tblAnahtarB[IkincilB],'ANAHTAR'!$D314)&gt;0,"IKINCIL","YOK")))</f>
        <v/>
      </c>
      <c r="I314" s="17">
        <f>IF($A314="","",'ANAHTAR'!$F314)</f>
        <v/>
      </c>
      <c r="J314" s="17">
        <f>IF(OR($A314="",$D314=0),0,$F314/ABS($D314))</f>
        <v/>
      </c>
      <c r="K314" s="17">
        <f>IF($A314="","",ROUND($D314,2))</f>
        <v/>
      </c>
      <c r="L314" s="17">
        <f>IF($A314="","",ROUND($C314,2))</f>
        <v/>
      </c>
      <c r="M314" s="17">
        <f>IF($A314="","",IF($F314&lt;=toleransKurus,1,0))</f>
        <v/>
      </c>
      <c r="N314" s="17">
        <f>IF($A314="","",IF($F314&gt;tyk_esikFark,1,0))</f>
        <v/>
      </c>
      <c r="O314" s="17">
        <f>IF($A314="","",IFERROR(SUMIF(tblMotor[A_Norm],$A314,tblMotor[NetKar]),0))</f>
        <v/>
      </c>
      <c r="P314" s="17">
        <f>IF($A314="","",$B314+$M314+$N314)</f>
        <v/>
      </c>
    </row>
    <row r="315">
      <c r="A315" s="17">
        <f>IF('ANAHTAR'!$B315="","",'ANAHTAR'!$B315)</f>
        <v/>
      </c>
      <c r="B315" s="17">
        <f>IF($A315="","",COUNTIF(tblAnahtarB[NormB],$A315))</f>
        <v/>
      </c>
      <c r="C315" s="17">
        <f>IF($A315="","",IFERROR(SUMIF(tblAnahtarB[NormB],$A315,tblHakedis[GercekHakedis]),0))</f>
        <v/>
      </c>
      <c r="D315" s="17">
        <f>IF($A315="","",IFERROR(SUMIF(tblMotor[A_Norm],$A315,tblMotor[BeklenenHakedis]),0))</f>
        <v/>
      </c>
      <c r="E315" s="17">
        <f>IF($A315="","",ROUND($D315,2)-ROUND($C315,2))</f>
        <v/>
      </c>
      <c r="F315" s="17">
        <f>IF($A315="","",ABS($E315))</f>
        <v/>
      </c>
      <c r="G315" s="17">
        <f>IF($A315="","",IF($B315=0,"eslesmedi",IF(ROUND($D315,2)=ROUND($C315,2),"eslesti",IF(ABS(ROUND($D315,2)-ROUND($C315,2))&lt;=toleransKurus,"tolerans_icinde","tutar_farki"))))</f>
        <v/>
      </c>
      <c r="H315" s="17">
        <f>IF($A315="","",IF($B315&gt;0,"BIRINCIL",IF(COUNTIF(tblAnahtarB[IkincilB],'ANAHTAR'!$D315)&gt;0,"IKINCIL","YOK")))</f>
        <v/>
      </c>
      <c r="I315" s="17">
        <f>IF($A315="","",'ANAHTAR'!$F315)</f>
        <v/>
      </c>
      <c r="J315" s="17">
        <f>IF(OR($A315="",$D315=0),0,$F315/ABS($D315))</f>
        <v/>
      </c>
      <c r="K315" s="17">
        <f>IF($A315="","",ROUND($D315,2))</f>
        <v/>
      </c>
      <c r="L315" s="17">
        <f>IF($A315="","",ROUND($C315,2))</f>
        <v/>
      </c>
      <c r="M315" s="17">
        <f>IF($A315="","",IF($F315&lt;=toleransKurus,1,0))</f>
        <v/>
      </c>
      <c r="N315" s="17">
        <f>IF($A315="","",IF($F315&gt;tyk_esikFark,1,0))</f>
        <v/>
      </c>
      <c r="O315" s="17">
        <f>IF($A315="","",IFERROR(SUMIF(tblMotor[A_Norm],$A315,tblMotor[NetKar]),0))</f>
        <v/>
      </c>
      <c r="P315" s="17">
        <f>IF($A315="","",$B315+$M315+$N315)</f>
        <v/>
      </c>
    </row>
    <row r="316">
      <c r="A316" s="17">
        <f>IF('ANAHTAR'!$B316="","",'ANAHTAR'!$B316)</f>
        <v/>
      </c>
      <c r="B316" s="17">
        <f>IF($A316="","",COUNTIF(tblAnahtarB[NormB],$A316))</f>
        <v/>
      </c>
      <c r="C316" s="17">
        <f>IF($A316="","",IFERROR(SUMIF(tblAnahtarB[NormB],$A316,tblHakedis[GercekHakedis]),0))</f>
        <v/>
      </c>
      <c r="D316" s="17">
        <f>IF($A316="","",IFERROR(SUMIF(tblMotor[A_Norm],$A316,tblMotor[BeklenenHakedis]),0))</f>
        <v/>
      </c>
      <c r="E316" s="17">
        <f>IF($A316="","",ROUND($D316,2)-ROUND($C316,2))</f>
        <v/>
      </c>
      <c r="F316" s="17">
        <f>IF($A316="","",ABS($E316))</f>
        <v/>
      </c>
      <c r="G316" s="17">
        <f>IF($A316="","",IF($B316=0,"eslesmedi",IF(ROUND($D316,2)=ROUND($C316,2),"eslesti",IF(ABS(ROUND($D316,2)-ROUND($C316,2))&lt;=toleransKurus,"tolerans_icinde","tutar_farki"))))</f>
        <v/>
      </c>
      <c r="H316" s="17">
        <f>IF($A316="","",IF($B316&gt;0,"BIRINCIL",IF(COUNTIF(tblAnahtarB[IkincilB],'ANAHTAR'!$D316)&gt;0,"IKINCIL","YOK")))</f>
        <v/>
      </c>
      <c r="I316" s="17">
        <f>IF($A316="","",'ANAHTAR'!$F316)</f>
        <v/>
      </c>
      <c r="J316" s="17">
        <f>IF(OR($A316="",$D316=0),0,$F316/ABS($D316))</f>
        <v/>
      </c>
      <c r="K316" s="17">
        <f>IF($A316="","",ROUND($D316,2))</f>
        <v/>
      </c>
      <c r="L316" s="17">
        <f>IF($A316="","",ROUND($C316,2))</f>
        <v/>
      </c>
      <c r="M316" s="17">
        <f>IF($A316="","",IF($F316&lt;=toleransKurus,1,0))</f>
        <v/>
      </c>
      <c r="N316" s="17">
        <f>IF($A316="","",IF($F316&gt;tyk_esikFark,1,0))</f>
        <v/>
      </c>
      <c r="O316" s="17">
        <f>IF($A316="","",IFERROR(SUMIF(tblMotor[A_Norm],$A316,tblMotor[NetKar]),0))</f>
        <v/>
      </c>
      <c r="P316" s="17">
        <f>IF($A316="","",$B316+$M316+$N316)</f>
        <v/>
      </c>
    </row>
    <row r="317">
      <c r="A317" s="17">
        <f>IF('ANAHTAR'!$B317="","",'ANAHTAR'!$B317)</f>
        <v/>
      </c>
      <c r="B317" s="17">
        <f>IF($A317="","",COUNTIF(tblAnahtarB[NormB],$A317))</f>
        <v/>
      </c>
      <c r="C317" s="17">
        <f>IF($A317="","",IFERROR(SUMIF(tblAnahtarB[NormB],$A317,tblHakedis[GercekHakedis]),0))</f>
        <v/>
      </c>
      <c r="D317" s="17">
        <f>IF($A317="","",IFERROR(SUMIF(tblMotor[A_Norm],$A317,tblMotor[BeklenenHakedis]),0))</f>
        <v/>
      </c>
      <c r="E317" s="17">
        <f>IF($A317="","",ROUND($D317,2)-ROUND($C317,2))</f>
        <v/>
      </c>
      <c r="F317" s="17">
        <f>IF($A317="","",ABS($E317))</f>
        <v/>
      </c>
      <c r="G317" s="17">
        <f>IF($A317="","",IF($B317=0,"eslesmedi",IF(ROUND($D317,2)=ROUND($C317,2),"eslesti",IF(ABS(ROUND($D317,2)-ROUND($C317,2))&lt;=toleransKurus,"tolerans_icinde","tutar_farki"))))</f>
        <v/>
      </c>
      <c r="H317" s="17">
        <f>IF($A317="","",IF($B317&gt;0,"BIRINCIL",IF(COUNTIF(tblAnahtarB[IkincilB],'ANAHTAR'!$D317)&gt;0,"IKINCIL","YOK")))</f>
        <v/>
      </c>
      <c r="I317" s="17">
        <f>IF($A317="","",'ANAHTAR'!$F317)</f>
        <v/>
      </c>
      <c r="J317" s="17">
        <f>IF(OR($A317="",$D317=0),0,$F317/ABS($D317))</f>
        <v/>
      </c>
      <c r="K317" s="17">
        <f>IF($A317="","",ROUND($D317,2))</f>
        <v/>
      </c>
      <c r="L317" s="17">
        <f>IF($A317="","",ROUND($C317,2))</f>
        <v/>
      </c>
      <c r="M317" s="17">
        <f>IF($A317="","",IF($F317&lt;=toleransKurus,1,0))</f>
        <v/>
      </c>
      <c r="N317" s="17">
        <f>IF($A317="","",IF($F317&gt;tyk_esikFark,1,0))</f>
        <v/>
      </c>
      <c r="O317" s="17">
        <f>IF($A317="","",IFERROR(SUMIF(tblMotor[A_Norm],$A317,tblMotor[NetKar]),0))</f>
        <v/>
      </c>
      <c r="P317" s="17">
        <f>IF($A317="","",$B317+$M317+$N317)</f>
        <v/>
      </c>
    </row>
    <row r="318">
      <c r="A318" s="17">
        <f>IF('ANAHTAR'!$B318="","",'ANAHTAR'!$B318)</f>
        <v/>
      </c>
      <c r="B318" s="17">
        <f>IF($A318="","",COUNTIF(tblAnahtarB[NormB],$A318))</f>
        <v/>
      </c>
      <c r="C318" s="17">
        <f>IF($A318="","",IFERROR(SUMIF(tblAnahtarB[NormB],$A318,tblHakedis[GercekHakedis]),0))</f>
        <v/>
      </c>
      <c r="D318" s="17">
        <f>IF($A318="","",IFERROR(SUMIF(tblMotor[A_Norm],$A318,tblMotor[BeklenenHakedis]),0))</f>
        <v/>
      </c>
      <c r="E318" s="17">
        <f>IF($A318="","",ROUND($D318,2)-ROUND($C318,2))</f>
        <v/>
      </c>
      <c r="F318" s="17">
        <f>IF($A318="","",ABS($E318))</f>
        <v/>
      </c>
      <c r="G318" s="17">
        <f>IF($A318="","",IF($B318=0,"eslesmedi",IF(ROUND($D318,2)=ROUND($C318,2),"eslesti",IF(ABS(ROUND($D318,2)-ROUND($C318,2))&lt;=toleransKurus,"tolerans_icinde","tutar_farki"))))</f>
        <v/>
      </c>
      <c r="H318" s="17">
        <f>IF($A318="","",IF($B318&gt;0,"BIRINCIL",IF(COUNTIF(tblAnahtarB[IkincilB],'ANAHTAR'!$D318)&gt;0,"IKINCIL","YOK")))</f>
        <v/>
      </c>
      <c r="I318" s="17">
        <f>IF($A318="","",'ANAHTAR'!$F318)</f>
        <v/>
      </c>
      <c r="J318" s="17">
        <f>IF(OR($A318="",$D318=0),0,$F318/ABS($D318))</f>
        <v/>
      </c>
      <c r="K318" s="17">
        <f>IF($A318="","",ROUND($D318,2))</f>
        <v/>
      </c>
      <c r="L318" s="17">
        <f>IF($A318="","",ROUND($C318,2))</f>
        <v/>
      </c>
      <c r="M318" s="17">
        <f>IF($A318="","",IF($F318&lt;=toleransKurus,1,0))</f>
        <v/>
      </c>
      <c r="N318" s="17">
        <f>IF($A318="","",IF($F318&gt;tyk_esikFark,1,0))</f>
        <v/>
      </c>
      <c r="O318" s="17">
        <f>IF($A318="","",IFERROR(SUMIF(tblMotor[A_Norm],$A318,tblMotor[NetKar]),0))</f>
        <v/>
      </c>
      <c r="P318" s="17">
        <f>IF($A318="","",$B318+$M318+$N318)</f>
        <v/>
      </c>
    </row>
    <row r="319">
      <c r="A319" s="17">
        <f>IF('ANAHTAR'!$B319="","",'ANAHTAR'!$B319)</f>
        <v/>
      </c>
      <c r="B319" s="17">
        <f>IF($A319="","",COUNTIF(tblAnahtarB[NormB],$A319))</f>
        <v/>
      </c>
      <c r="C319" s="17">
        <f>IF($A319="","",IFERROR(SUMIF(tblAnahtarB[NormB],$A319,tblHakedis[GercekHakedis]),0))</f>
        <v/>
      </c>
      <c r="D319" s="17">
        <f>IF($A319="","",IFERROR(SUMIF(tblMotor[A_Norm],$A319,tblMotor[BeklenenHakedis]),0))</f>
        <v/>
      </c>
      <c r="E319" s="17">
        <f>IF($A319="","",ROUND($D319,2)-ROUND($C319,2))</f>
        <v/>
      </c>
      <c r="F319" s="17">
        <f>IF($A319="","",ABS($E319))</f>
        <v/>
      </c>
      <c r="G319" s="17">
        <f>IF($A319="","",IF($B319=0,"eslesmedi",IF(ROUND($D319,2)=ROUND($C319,2),"eslesti",IF(ABS(ROUND($D319,2)-ROUND($C319,2))&lt;=toleransKurus,"tolerans_icinde","tutar_farki"))))</f>
        <v/>
      </c>
      <c r="H319" s="17">
        <f>IF($A319="","",IF($B319&gt;0,"BIRINCIL",IF(COUNTIF(tblAnahtarB[IkincilB],'ANAHTAR'!$D319)&gt;0,"IKINCIL","YOK")))</f>
        <v/>
      </c>
      <c r="I319" s="17">
        <f>IF($A319="","",'ANAHTAR'!$F319)</f>
        <v/>
      </c>
      <c r="J319" s="17">
        <f>IF(OR($A319="",$D319=0),0,$F319/ABS($D319))</f>
        <v/>
      </c>
      <c r="K319" s="17">
        <f>IF($A319="","",ROUND($D319,2))</f>
        <v/>
      </c>
      <c r="L319" s="17">
        <f>IF($A319="","",ROUND($C319,2))</f>
        <v/>
      </c>
      <c r="M319" s="17">
        <f>IF($A319="","",IF($F319&lt;=toleransKurus,1,0))</f>
        <v/>
      </c>
      <c r="N319" s="17">
        <f>IF($A319="","",IF($F319&gt;tyk_esikFark,1,0))</f>
        <v/>
      </c>
      <c r="O319" s="17">
        <f>IF($A319="","",IFERROR(SUMIF(tblMotor[A_Norm],$A319,tblMotor[NetKar]),0))</f>
        <v/>
      </c>
      <c r="P319" s="17">
        <f>IF($A319="","",$B319+$M319+$N319)</f>
        <v/>
      </c>
    </row>
    <row r="320">
      <c r="A320" s="17">
        <f>IF('ANAHTAR'!$B320="","",'ANAHTAR'!$B320)</f>
        <v/>
      </c>
      <c r="B320" s="17">
        <f>IF($A320="","",COUNTIF(tblAnahtarB[NormB],$A320))</f>
        <v/>
      </c>
      <c r="C320" s="17">
        <f>IF($A320="","",IFERROR(SUMIF(tblAnahtarB[NormB],$A320,tblHakedis[GercekHakedis]),0))</f>
        <v/>
      </c>
      <c r="D320" s="17">
        <f>IF($A320="","",IFERROR(SUMIF(tblMotor[A_Norm],$A320,tblMotor[BeklenenHakedis]),0))</f>
        <v/>
      </c>
      <c r="E320" s="17">
        <f>IF($A320="","",ROUND($D320,2)-ROUND($C320,2))</f>
        <v/>
      </c>
      <c r="F320" s="17">
        <f>IF($A320="","",ABS($E320))</f>
        <v/>
      </c>
      <c r="G320" s="17">
        <f>IF($A320="","",IF($B320=0,"eslesmedi",IF(ROUND($D320,2)=ROUND($C320,2),"eslesti",IF(ABS(ROUND($D320,2)-ROUND($C320,2))&lt;=toleransKurus,"tolerans_icinde","tutar_farki"))))</f>
        <v/>
      </c>
      <c r="H320" s="17">
        <f>IF($A320="","",IF($B320&gt;0,"BIRINCIL",IF(COUNTIF(tblAnahtarB[IkincilB],'ANAHTAR'!$D320)&gt;0,"IKINCIL","YOK")))</f>
        <v/>
      </c>
      <c r="I320" s="17">
        <f>IF($A320="","",'ANAHTAR'!$F320)</f>
        <v/>
      </c>
      <c r="J320" s="17">
        <f>IF(OR($A320="",$D320=0),0,$F320/ABS($D320))</f>
        <v/>
      </c>
      <c r="K320" s="17">
        <f>IF($A320="","",ROUND($D320,2))</f>
        <v/>
      </c>
      <c r="L320" s="17">
        <f>IF($A320="","",ROUND($C320,2))</f>
        <v/>
      </c>
      <c r="M320" s="17">
        <f>IF($A320="","",IF($F320&lt;=toleransKurus,1,0))</f>
        <v/>
      </c>
      <c r="N320" s="17">
        <f>IF($A320="","",IF($F320&gt;tyk_esikFark,1,0))</f>
        <v/>
      </c>
      <c r="O320" s="17">
        <f>IF($A320="","",IFERROR(SUMIF(tblMotor[A_Norm],$A320,tblMotor[NetKar]),0))</f>
        <v/>
      </c>
      <c r="P320" s="17">
        <f>IF($A320="","",$B320+$M320+$N320)</f>
        <v/>
      </c>
    </row>
    <row r="321">
      <c r="A321" s="17">
        <f>IF('ANAHTAR'!$B321="","",'ANAHTAR'!$B321)</f>
        <v/>
      </c>
      <c r="B321" s="17">
        <f>IF($A321="","",COUNTIF(tblAnahtarB[NormB],$A321))</f>
        <v/>
      </c>
      <c r="C321" s="17">
        <f>IF($A321="","",IFERROR(SUMIF(tblAnahtarB[NormB],$A321,tblHakedis[GercekHakedis]),0))</f>
        <v/>
      </c>
      <c r="D321" s="17">
        <f>IF($A321="","",IFERROR(SUMIF(tblMotor[A_Norm],$A321,tblMotor[BeklenenHakedis]),0))</f>
        <v/>
      </c>
      <c r="E321" s="17">
        <f>IF($A321="","",ROUND($D321,2)-ROUND($C321,2))</f>
        <v/>
      </c>
      <c r="F321" s="17">
        <f>IF($A321="","",ABS($E321))</f>
        <v/>
      </c>
      <c r="G321" s="17">
        <f>IF($A321="","",IF($B321=0,"eslesmedi",IF(ROUND($D321,2)=ROUND($C321,2),"eslesti",IF(ABS(ROUND($D321,2)-ROUND($C321,2))&lt;=toleransKurus,"tolerans_icinde","tutar_farki"))))</f>
        <v/>
      </c>
      <c r="H321" s="17">
        <f>IF($A321="","",IF($B321&gt;0,"BIRINCIL",IF(COUNTIF(tblAnahtarB[IkincilB],'ANAHTAR'!$D321)&gt;0,"IKINCIL","YOK")))</f>
        <v/>
      </c>
      <c r="I321" s="17">
        <f>IF($A321="","",'ANAHTAR'!$F321)</f>
        <v/>
      </c>
      <c r="J321" s="17">
        <f>IF(OR($A321="",$D321=0),0,$F321/ABS($D321))</f>
        <v/>
      </c>
      <c r="K321" s="17">
        <f>IF($A321="","",ROUND($D321,2))</f>
        <v/>
      </c>
      <c r="L321" s="17">
        <f>IF($A321="","",ROUND($C321,2))</f>
        <v/>
      </c>
      <c r="M321" s="17">
        <f>IF($A321="","",IF($F321&lt;=toleransKurus,1,0))</f>
        <v/>
      </c>
      <c r="N321" s="17">
        <f>IF($A321="","",IF($F321&gt;tyk_esikFark,1,0))</f>
        <v/>
      </c>
      <c r="O321" s="17">
        <f>IF($A321="","",IFERROR(SUMIF(tblMotor[A_Norm],$A321,tblMotor[NetKar]),0))</f>
        <v/>
      </c>
      <c r="P321" s="17">
        <f>IF($A321="","",$B321+$M321+$N321)</f>
        <v/>
      </c>
    </row>
    <row r="322">
      <c r="A322" s="17">
        <f>IF('ANAHTAR'!$B322="","",'ANAHTAR'!$B322)</f>
        <v/>
      </c>
      <c r="B322" s="17">
        <f>IF($A322="","",COUNTIF(tblAnahtarB[NormB],$A322))</f>
        <v/>
      </c>
      <c r="C322" s="17">
        <f>IF($A322="","",IFERROR(SUMIF(tblAnahtarB[NormB],$A322,tblHakedis[GercekHakedis]),0))</f>
        <v/>
      </c>
      <c r="D322" s="17">
        <f>IF($A322="","",IFERROR(SUMIF(tblMotor[A_Norm],$A322,tblMotor[BeklenenHakedis]),0))</f>
        <v/>
      </c>
      <c r="E322" s="17">
        <f>IF($A322="","",ROUND($D322,2)-ROUND($C322,2))</f>
        <v/>
      </c>
      <c r="F322" s="17">
        <f>IF($A322="","",ABS($E322))</f>
        <v/>
      </c>
      <c r="G322" s="17">
        <f>IF($A322="","",IF($B322=0,"eslesmedi",IF(ROUND($D322,2)=ROUND($C322,2),"eslesti",IF(ABS(ROUND($D322,2)-ROUND($C322,2))&lt;=toleransKurus,"tolerans_icinde","tutar_farki"))))</f>
        <v/>
      </c>
      <c r="H322" s="17">
        <f>IF($A322="","",IF($B322&gt;0,"BIRINCIL",IF(COUNTIF(tblAnahtarB[IkincilB],'ANAHTAR'!$D322)&gt;0,"IKINCIL","YOK")))</f>
        <v/>
      </c>
      <c r="I322" s="17">
        <f>IF($A322="","",'ANAHTAR'!$F322)</f>
        <v/>
      </c>
      <c r="J322" s="17">
        <f>IF(OR($A322="",$D322=0),0,$F322/ABS($D322))</f>
        <v/>
      </c>
      <c r="K322" s="17">
        <f>IF($A322="","",ROUND($D322,2))</f>
        <v/>
      </c>
      <c r="L322" s="17">
        <f>IF($A322="","",ROUND($C322,2))</f>
        <v/>
      </c>
      <c r="M322" s="17">
        <f>IF($A322="","",IF($F322&lt;=toleransKurus,1,0))</f>
        <v/>
      </c>
      <c r="N322" s="17">
        <f>IF($A322="","",IF($F322&gt;tyk_esikFark,1,0))</f>
        <v/>
      </c>
      <c r="O322" s="17">
        <f>IF($A322="","",IFERROR(SUMIF(tblMotor[A_Norm],$A322,tblMotor[NetKar]),0))</f>
        <v/>
      </c>
      <c r="P322" s="17">
        <f>IF($A322="","",$B322+$M322+$N322)</f>
        <v/>
      </c>
    </row>
    <row r="323">
      <c r="A323" s="17">
        <f>IF('ANAHTAR'!$B323="","",'ANAHTAR'!$B323)</f>
        <v/>
      </c>
      <c r="B323" s="17">
        <f>IF($A323="","",COUNTIF(tblAnahtarB[NormB],$A323))</f>
        <v/>
      </c>
      <c r="C323" s="17">
        <f>IF($A323="","",IFERROR(SUMIF(tblAnahtarB[NormB],$A323,tblHakedis[GercekHakedis]),0))</f>
        <v/>
      </c>
      <c r="D323" s="17">
        <f>IF($A323="","",IFERROR(SUMIF(tblMotor[A_Norm],$A323,tblMotor[BeklenenHakedis]),0))</f>
        <v/>
      </c>
      <c r="E323" s="17">
        <f>IF($A323="","",ROUND($D323,2)-ROUND($C323,2))</f>
        <v/>
      </c>
      <c r="F323" s="17">
        <f>IF($A323="","",ABS($E323))</f>
        <v/>
      </c>
      <c r="G323" s="17">
        <f>IF($A323="","",IF($B323=0,"eslesmedi",IF(ROUND($D323,2)=ROUND($C323,2),"eslesti",IF(ABS(ROUND($D323,2)-ROUND($C323,2))&lt;=toleransKurus,"tolerans_icinde","tutar_farki"))))</f>
        <v/>
      </c>
      <c r="H323" s="17">
        <f>IF($A323="","",IF($B323&gt;0,"BIRINCIL",IF(COUNTIF(tblAnahtarB[IkincilB],'ANAHTAR'!$D323)&gt;0,"IKINCIL","YOK")))</f>
        <v/>
      </c>
      <c r="I323" s="17">
        <f>IF($A323="","",'ANAHTAR'!$F323)</f>
        <v/>
      </c>
      <c r="J323" s="17">
        <f>IF(OR($A323="",$D323=0),0,$F323/ABS($D323))</f>
        <v/>
      </c>
      <c r="K323" s="17">
        <f>IF($A323="","",ROUND($D323,2))</f>
        <v/>
      </c>
      <c r="L323" s="17">
        <f>IF($A323="","",ROUND($C323,2))</f>
        <v/>
      </c>
      <c r="M323" s="17">
        <f>IF($A323="","",IF($F323&lt;=toleransKurus,1,0))</f>
        <v/>
      </c>
      <c r="N323" s="17">
        <f>IF($A323="","",IF($F323&gt;tyk_esikFark,1,0))</f>
        <v/>
      </c>
      <c r="O323" s="17">
        <f>IF($A323="","",IFERROR(SUMIF(tblMotor[A_Norm],$A323,tblMotor[NetKar]),0))</f>
        <v/>
      </c>
      <c r="P323" s="17">
        <f>IF($A323="","",$B323+$M323+$N323)</f>
        <v/>
      </c>
    </row>
    <row r="324">
      <c r="A324" s="17">
        <f>IF('ANAHTAR'!$B324="","",'ANAHTAR'!$B324)</f>
        <v/>
      </c>
      <c r="B324" s="17">
        <f>IF($A324="","",COUNTIF(tblAnahtarB[NormB],$A324))</f>
        <v/>
      </c>
      <c r="C324" s="17">
        <f>IF($A324="","",IFERROR(SUMIF(tblAnahtarB[NormB],$A324,tblHakedis[GercekHakedis]),0))</f>
        <v/>
      </c>
      <c r="D324" s="17">
        <f>IF($A324="","",IFERROR(SUMIF(tblMotor[A_Norm],$A324,tblMotor[BeklenenHakedis]),0))</f>
        <v/>
      </c>
      <c r="E324" s="17">
        <f>IF($A324="","",ROUND($D324,2)-ROUND($C324,2))</f>
        <v/>
      </c>
      <c r="F324" s="17">
        <f>IF($A324="","",ABS($E324))</f>
        <v/>
      </c>
      <c r="G324" s="17">
        <f>IF($A324="","",IF($B324=0,"eslesmedi",IF(ROUND($D324,2)=ROUND($C324,2),"eslesti",IF(ABS(ROUND($D324,2)-ROUND($C324,2))&lt;=toleransKurus,"tolerans_icinde","tutar_farki"))))</f>
        <v/>
      </c>
      <c r="H324" s="17">
        <f>IF($A324="","",IF($B324&gt;0,"BIRINCIL",IF(COUNTIF(tblAnahtarB[IkincilB],'ANAHTAR'!$D324)&gt;0,"IKINCIL","YOK")))</f>
        <v/>
      </c>
      <c r="I324" s="17">
        <f>IF($A324="","",'ANAHTAR'!$F324)</f>
        <v/>
      </c>
      <c r="J324" s="17">
        <f>IF(OR($A324="",$D324=0),0,$F324/ABS($D324))</f>
        <v/>
      </c>
      <c r="K324" s="17">
        <f>IF($A324="","",ROUND($D324,2))</f>
        <v/>
      </c>
      <c r="L324" s="17">
        <f>IF($A324="","",ROUND($C324,2))</f>
        <v/>
      </c>
      <c r="M324" s="17">
        <f>IF($A324="","",IF($F324&lt;=toleransKurus,1,0))</f>
        <v/>
      </c>
      <c r="N324" s="17">
        <f>IF($A324="","",IF($F324&gt;tyk_esikFark,1,0))</f>
        <v/>
      </c>
      <c r="O324" s="17">
        <f>IF($A324="","",IFERROR(SUMIF(tblMotor[A_Norm],$A324,tblMotor[NetKar]),0))</f>
        <v/>
      </c>
      <c r="P324" s="17">
        <f>IF($A324="","",$B324+$M324+$N324)</f>
        <v/>
      </c>
    </row>
    <row r="325">
      <c r="A325" s="17">
        <f>IF('ANAHTAR'!$B325="","",'ANAHTAR'!$B325)</f>
        <v/>
      </c>
      <c r="B325" s="17">
        <f>IF($A325="","",COUNTIF(tblAnahtarB[NormB],$A325))</f>
        <v/>
      </c>
      <c r="C325" s="17">
        <f>IF($A325="","",IFERROR(SUMIF(tblAnahtarB[NormB],$A325,tblHakedis[GercekHakedis]),0))</f>
        <v/>
      </c>
      <c r="D325" s="17">
        <f>IF($A325="","",IFERROR(SUMIF(tblMotor[A_Norm],$A325,tblMotor[BeklenenHakedis]),0))</f>
        <v/>
      </c>
      <c r="E325" s="17">
        <f>IF($A325="","",ROUND($D325,2)-ROUND($C325,2))</f>
        <v/>
      </c>
      <c r="F325" s="17">
        <f>IF($A325="","",ABS($E325))</f>
        <v/>
      </c>
      <c r="G325" s="17">
        <f>IF($A325="","",IF($B325=0,"eslesmedi",IF(ROUND($D325,2)=ROUND($C325,2),"eslesti",IF(ABS(ROUND($D325,2)-ROUND($C325,2))&lt;=toleransKurus,"tolerans_icinde","tutar_farki"))))</f>
        <v/>
      </c>
      <c r="H325" s="17">
        <f>IF($A325="","",IF($B325&gt;0,"BIRINCIL",IF(COUNTIF(tblAnahtarB[IkincilB],'ANAHTAR'!$D325)&gt;0,"IKINCIL","YOK")))</f>
        <v/>
      </c>
      <c r="I325" s="17">
        <f>IF($A325="","",'ANAHTAR'!$F325)</f>
        <v/>
      </c>
      <c r="J325" s="17">
        <f>IF(OR($A325="",$D325=0),0,$F325/ABS($D325))</f>
        <v/>
      </c>
      <c r="K325" s="17">
        <f>IF($A325="","",ROUND($D325,2))</f>
        <v/>
      </c>
      <c r="L325" s="17">
        <f>IF($A325="","",ROUND($C325,2))</f>
        <v/>
      </c>
      <c r="M325" s="17">
        <f>IF($A325="","",IF($F325&lt;=toleransKurus,1,0))</f>
        <v/>
      </c>
      <c r="N325" s="17">
        <f>IF($A325="","",IF($F325&gt;tyk_esikFark,1,0))</f>
        <v/>
      </c>
      <c r="O325" s="17">
        <f>IF($A325="","",IFERROR(SUMIF(tblMotor[A_Norm],$A325,tblMotor[NetKar]),0))</f>
        <v/>
      </c>
      <c r="P325" s="17">
        <f>IF($A325="","",$B325+$M325+$N325)</f>
        <v/>
      </c>
    </row>
    <row r="326">
      <c r="A326" s="17">
        <f>IF('ANAHTAR'!$B326="","",'ANAHTAR'!$B326)</f>
        <v/>
      </c>
      <c r="B326" s="17">
        <f>IF($A326="","",COUNTIF(tblAnahtarB[NormB],$A326))</f>
        <v/>
      </c>
      <c r="C326" s="17">
        <f>IF($A326="","",IFERROR(SUMIF(tblAnahtarB[NormB],$A326,tblHakedis[GercekHakedis]),0))</f>
        <v/>
      </c>
      <c r="D326" s="17">
        <f>IF($A326="","",IFERROR(SUMIF(tblMotor[A_Norm],$A326,tblMotor[BeklenenHakedis]),0))</f>
        <v/>
      </c>
      <c r="E326" s="17">
        <f>IF($A326="","",ROUND($D326,2)-ROUND($C326,2))</f>
        <v/>
      </c>
      <c r="F326" s="17">
        <f>IF($A326="","",ABS($E326))</f>
        <v/>
      </c>
      <c r="G326" s="17">
        <f>IF($A326="","",IF($B326=0,"eslesmedi",IF(ROUND($D326,2)=ROUND($C326,2),"eslesti",IF(ABS(ROUND($D326,2)-ROUND($C326,2))&lt;=toleransKurus,"tolerans_icinde","tutar_farki"))))</f>
        <v/>
      </c>
      <c r="H326" s="17">
        <f>IF($A326="","",IF($B326&gt;0,"BIRINCIL",IF(COUNTIF(tblAnahtarB[IkincilB],'ANAHTAR'!$D326)&gt;0,"IKINCIL","YOK")))</f>
        <v/>
      </c>
      <c r="I326" s="17">
        <f>IF($A326="","",'ANAHTAR'!$F326)</f>
        <v/>
      </c>
      <c r="J326" s="17">
        <f>IF(OR($A326="",$D326=0),0,$F326/ABS($D326))</f>
        <v/>
      </c>
      <c r="K326" s="17">
        <f>IF($A326="","",ROUND($D326,2))</f>
        <v/>
      </c>
      <c r="L326" s="17">
        <f>IF($A326="","",ROUND($C326,2))</f>
        <v/>
      </c>
      <c r="M326" s="17">
        <f>IF($A326="","",IF($F326&lt;=toleransKurus,1,0))</f>
        <v/>
      </c>
      <c r="N326" s="17">
        <f>IF($A326="","",IF($F326&gt;tyk_esikFark,1,0))</f>
        <v/>
      </c>
      <c r="O326" s="17">
        <f>IF($A326="","",IFERROR(SUMIF(tblMotor[A_Norm],$A326,tblMotor[NetKar]),0))</f>
        <v/>
      </c>
      <c r="P326" s="17">
        <f>IF($A326="","",$B326+$M326+$N326)</f>
        <v/>
      </c>
    </row>
    <row r="327">
      <c r="A327" s="17">
        <f>IF('ANAHTAR'!$B327="","",'ANAHTAR'!$B327)</f>
        <v/>
      </c>
      <c r="B327" s="17">
        <f>IF($A327="","",COUNTIF(tblAnahtarB[NormB],$A327))</f>
        <v/>
      </c>
      <c r="C327" s="17">
        <f>IF($A327="","",IFERROR(SUMIF(tblAnahtarB[NormB],$A327,tblHakedis[GercekHakedis]),0))</f>
        <v/>
      </c>
      <c r="D327" s="17">
        <f>IF($A327="","",IFERROR(SUMIF(tblMotor[A_Norm],$A327,tblMotor[BeklenenHakedis]),0))</f>
        <v/>
      </c>
      <c r="E327" s="17">
        <f>IF($A327="","",ROUND($D327,2)-ROUND($C327,2))</f>
        <v/>
      </c>
      <c r="F327" s="17">
        <f>IF($A327="","",ABS($E327))</f>
        <v/>
      </c>
      <c r="G327" s="17">
        <f>IF($A327="","",IF($B327=0,"eslesmedi",IF(ROUND($D327,2)=ROUND($C327,2),"eslesti",IF(ABS(ROUND($D327,2)-ROUND($C327,2))&lt;=toleransKurus,"tolerans_icinde","tutar_farki"))))</f>
        <v/>
      </c>
      <c r="H327" s="17">
        <f>IF($A327="","",IF($B327&gt;0,"BIRINCIL",IF(COUNTIF(tblAnahtarB[IkincilB],'ANAHTAR'!$D327)&gt;0,"IKINCIL","YOK")))</f>
        <v/>
      </c>
      <c r="I327" s="17">
        <f>IF($A327="","",'ANAHTAR'!$F327)</f>
        <v/>
      </c>
      <c r="J327" s="17">
        <f>IF(OR($A327="",$D327=0),0,$F327/ABS($D327))</f>
        <v/>
      </c>
      <c r="K327" s="17">
        <f>IF($A327="","",ROUND($D327,2))</f>
        <v/>
      </c>
      <c r="L327" s="17">
        <f>IF($A327="","",ROUND($C327,2))</f>
        <v/>
      </c>
      <c r="M327" s="17">
        <f>IF($A327="","",IF($F327&lt;=toleransKurus,1,0))</f>
        <v/>
      </c>
      <c r="N327" s="17">
        <f>IF($A327="","",IF($F327&gt;tyk_esikFark,1,0))</f>
        <v/>
      </c>
      <c r="O327" s="17">
        <f>IF($A327="","",IFERROR(SUMIF(tblMotor[A_Norm],$A327,tblMotor[NetKar]),0))</f>
        <v/>
      </c>
      <c r="P327" s="17">
        <f>IF($A327="","",$B327+$M327+$N327)</f>
        <v/>
      </c>
    </row>
    <row r="328">
      <c r="A328" s="17">
        <f>IF('ANAHTAR'!$B328="","",'ANAHTAR'!$B328)</f>
        <v/>
      </c>
      <c r="B328" s="17">
        <f>IF($A328="","",COUNTIF(tblAnahtarB[NormB],$A328))</f>
        <v/>
      </c>
      <c r="C328" s="17">
        <f>IF($A328="","",IFERROR(SUMIF(tblAnahtarB[NormB],$A328,tblHakedis[GercekHakedis]),0))</f>
        <v/>
      </c>
      <c r="D328" s="17">
        <f>IF($A328="","",IFERROR(SUMIF(tblMotor[A_Norm],$A328,tblMotor[BeklenenHakedis]),0))</f>
        <v/>
      </c>
      <c r="E328" s="17">
        <f>IF($A328="","",ROUND($D328,2)-ROUND($C328,2))</f>
        <v/>
      </c>
      <c r="F328" s="17">
        <f>IF($A328="","",ABS($E328))</f>
        <v/>
      </c>
      <c r="G328" s="17">
        <f>IF($A328="","",IF($B328=0,"eslesmedi",IF(ROUND($D328,2)=ROUND($C328,2),"eslesti",IF(ABS(ROUND($D328,2)-ROUND($C328,2))&lt;=toleransKurus,"tolerans_icinde","tutar_farki"))))</f>
        <v/>
      </c>
      <c r="H328" s="17">
        <f>IF($A328="","",IF($B328&gt;0,"BIRINCIL",IF(COUNTIF(tblAnahtarB[IkincilB],'ANAHTAR'!$D328)&gt;0,"IKINCIL","YOK")))</f>
        <v/>
      </c>
      <c r="I328" s="17">
        <f>IF($A328="","",'ANAHTAR'!$F328)</f>
        <v/>
      </c>
      <c r="J328" s="17">
        <f>IF(OR($A328="",$D328=0),0,$F328/ABS($D328))</f>
        <v/>
      </c>
      <c r="K328" s="17">
        <f>IF($A328="","",ROUND($D328,2))</f>
        <v/>
      </c>
      <c r="L328" s="17">
        <f>IF($A328="","",ROUND($C328,2))</f>
        <v/>
      </c>
      <c r="M328" s="17">
        <f>IF($A328="","",IF($F328&lt;=toleransKurus,1,0))</f>
        <v/>
      </c>
      <c r="N328" s="17">
        <f>IF($A328="","",IF($F328&gt;tyk_esikFark,1,0))</f>
        <v/>
      </c>
      <c r="O328" s="17">
        <f>IF($A328="","",IFERROR(SUMIF(tblMotor[A_Norm],$A328,tblMotor[NetKar]),0))</f>
        <v/>
      </c>
      <c r="P328" s="17">
        <f>IF($A328="","",$B328+$M328+$N328)</f>
        <v/>
      </c>
    </row>
    <row r="329">
      <c r="A329" s="17">
        <f>IF('ANAHTAR'!$B329="","",'ANAHTAR'!$B329)</f>
        <v/>
      </c>
      <c r="B329" s="17">
        <f>IF($A329="","",COUNTIF(tblAnahtarB[NormB],$A329))</f>
        <v/>
      </c>
      <c r="C329" s="17">
        <f>IF($A329="","",IFERROR(SUMIF(tblAnahtarB[NormB],$A329,tblHakedis[GercekHakedis]),0))</f>
        <v/>
      </c>
      <c r="D329" s="17">
        <f>IF($A329="","",IFERROR(SUMIF(tblMotor[A_Norm],$A329,tblMotor[BeklenenHakedis]),0))</f>
        <v/>
      </c>
      <c r="E329" s="17">
        <f>IF($A329="","",ROUND($D329,2)-ROUND($C329,2))</f>
        <v/>
      </c>
      <c r="F329" s="17">
        <f>IF($A329="","",ABS($E329))</f>
        <v/>
      </c>
      <c r="G329" s="17">
        <f>IF($A329="","",IF($B329=0,"eslesmedi",IF(ROUND($D329,2)=ROUND($C329,2),"eslesti",IF(ABS(ROUND($D329,2)-ROUND($C329,2))&lt;=toleransKurus,"tolerans_icinde","tutar_farki"))))</f>
        <v/>
      </c>
      <c r="H329" s="17">
        <f>IF($A329="","",IF($B329&gt;0,"BIRINCIL",IF(COUNTIF(tblAnahtarB[IkincilB],'ANAHTAR'!$D329)&gt;0,"IKINCIL","YOK")))</f>
        <v/>
      </c>
      <c r="I329" s="17">
        <f>IF($A329="","",'ANAHTAR'!$F329)</f>
        <v/>
      </c>
      <c r="J329" s="17">
        <f>IF(OR($A329="",$D329=0),0,$F329/ABS($D329))</f>
        <v/>
      </c>
      <c r="K329" s="17">
        <f>IF($A329="","",ROUND($D329,2))</f>
        <v/>
      </c>
      <c r="L329" s="17">
        <f>IF($A329="","",ROUND($C329,2))</f>
        <v/>
      </c>
      <c r="M329" s="17">
        <f>IF($A329="","",IF($F329&lt;=toleransKurus,1,0))</f>
        <v/>
      </c>
      <c r="N329" s="17">
        <f>IF($A329="","",IF($F329&gt;tyk_esikFark,1,0))</f>
        <v/>
      </c>
      <c r="O329" s="17">
        <f>IF($A329="","",IFERROR(SUMIF(tblMotor[A_Norm],$A329,tblMotor[NetKar]),0))</f>
        <v/>
      </c>
      <c r="P329" s="17">
        <f>IF($A329="","",$B329+$M329+$N329)</f>
        <v/>
      </c>
    </row>
    <row r="330">
      <c r="A330" s="17">
        <f>IF('ANAHTAR'!$B330="","",'ANAHTAR'!$B330)</f>
        <v/>
      </c>
      <c r="B330" s="17">
        <f>IF($A330="","",COUNTIF(tblAnahtarB[NormB],$A330))</f>
        <v/>
      </c>
      <c r="C330" s="17">
        <f>IF($A330="","",IFERROR(SUMIF(tblAnahtarB[NormB],$A330,tblHakedis[GercekHakedis]),0))</f>
        <v/>
      </c>
      <c r="D330" s="17">
        <f>IF($A330="","",IFERROR(SUMIF(tblMotor[A_Norm],$A330,tblMotor[BeklenenHakedis]),0))</f>
        <v/>
      </c>
      <c r="E330" s="17">
        <f>IF($A330="","",ROUND($D330,2)-ROUND($C330,2))</f>
        <v/>
      </c>
      <c r="F330" s="17">
        <f>IF($A330="","",ABS($E330))</f>
        <v/>
      </c>
      <c r="G330" s="17">
        <f>IF($A330="","",IF($B330=0,"eslesmedi",IF(ROUND($D330,2)=ROUND($C330,2),"eslesti",IF(ABS(ROUND($D330,2)-ROUND($C330,2))&lt;=toleransKurus,"tolerans_icinde","tutar_farki"))))</f>
        <v/>
      </c>
      <c r="H330" s="17">
        <f>IF($A330="","",IF($B330&gt;0,"BIRINCIL",IF(COUNTIF(tblAnahtarB[IkincilB],'ANAHTAR'!$D330)&gt;0,"IKINCIL","YOK")))</f>
        <v/>
      </c>
      <c r="I330" s="17">
        <f>IF($A330="","",'ANAHTAR'!$F330)</f>
        <v/>
      </c>
      <c r="J330" s="17">
        <f>IF(OR($A330="",$D330=0),0,$F330/ABS($D330))</f>
        <v/>
      </c>
      <c r="K330" s="17">
        <f>IF($A330="","",ROUND($D330,2))</f>
        <v/>
      </c>
      <c r="L330" s="17">
        <f>IF($A330="","",ROUND($C330,2))</f>
        <v/>
      </c>
      <c r="M330" s="17">
        <f>IF($A330="","",IF($F330&lt;=toleransKurus,1,0))</f>
        <v/>
      </c>
      <c r="N330" s="17">
        <f>IF($A330="","",IF($F330&gt;tyk_esikFark,1,0))</f>
        <v/>
      </c>
      <c r="O330" s="17">
        <f>IF($A330="","",IFERROR(SUMIF(tblMotor[A_Norm],$A330,tblMotor[NetKar]),0))</f>
        <v/>
      </c>
      <c r="P330" s="17">
        <f>IF($A330="","",$B330+$M330+$N330)</f>
        <v/>
      </c>
    </row>
    <row r="331">
      <c r="A331" s="17">
        <f>IF('ANAHTAR'!$B331="","",'ANAHTAR'!$B331)</f>
        <v/>
      </c>
      <c r="B331" s="17">
        <f>IF($A331="","",COUNTIF(tblAnahtarB[NormB],$A331))</f>
        <v/>
      </c>
      <c r="C331" s="17">
        <f>IF($A331="","",IFERROR(SUMIF(tblAnahtarB[NormB],$A331,tblHakedis[GercekHakedis]),0))</f>
        <v/>
      </c>
      <c r="D331" s="17">
        <f>IF($A331="","",IFERROR(SUMIF(tblMotor[A_Norm],$A331,tblMotor[BeklenenHakedis]),0))</f>
        <v/>
      </c>
      <c r="E331" s="17">
        <f>IF($A331="","",ROUND($D331,2)-ROUND($C331,2))</f>
        <v/>
      </c>
      <c r="F331" s="17">
        <f>IF($A331="","",ABS($E331))</f>
        <v/>
      </c>
      <c r="G331" s="17">
        <f>IF($A331="","",IF($B331=0,"eslesmedi",IF(ROUND($D331,2)=ROUND($C331,2),"eslesti",IF(ABS(ROUND($D331,2)-ROUND($C331,2))&lt;=toleransKurus,"tolerans_icinde","tutar_farki"))))</f>
        <v/>
      </c>
      <c r="H331" s="17">
        <f>IF($A331="","",IF($B331&gt;0,"BIRINCIL",IF(COUNTIF(tblAnahtarB[IkincilB],'ANAHTAR'!$D331)&gt;0,"IKINCIL","YOK")))</f>
        <v/>
      </c>
      <c r="I331" s="17">
        <f>IF($A331="","",'ANAHTAR'!$F331)</f>
        <v/>
      </c>
      <c r="J331" s="17">
        <f>IF(OR($A331="",$D331=0),0,$F331/ABS($D331))</f>
        <v/>
      </c>
      <c r="K331" s="17">
        <f>IF($A331="","",ROUND($D331,2))</f>
        <v/>
      </c>
      <c r="L331" s="17">
        <f>IF($A331="","",ROUND($C331,2))</f>
        <v/>
      </c>
      <c r="M331" s="17">
        <f>IF($A331="","",IF($F331&lt;=toleransKurus,1,0))</f>
        <v/>
      </c>
      <c r="N331" s="17">
        <f>IF($A331="","",IF($F331&gt;tyk_esikFark,1,0))</f>
        <v/>
      </c>
      <c r="O331" s="17">
        <f>IF($A331="","",IFERROR(SUMIF(tblMotor[A_Norm],$A331,tblMotor[NetKar]),0))</f>
        <v/>
      </c>
      <c r="P331" s="17">
        <f>IF($A331="","",$B331+$M331+$N331)</f>
        <v/>
      </c>
    </row>
    <row r="332">
      <c r="A332" s="17">
        <f>IF('ANAHTAR'!$B332="","",'ANAHTAR'!$B332)</f>
        <v/>
      </c>
      <c r="B332" s="17">
        <f>IF($A332="","",COUNTIF(tblAnahtarB[NormB],$A332))</f>
        <v/>
      </c>
      <c r="C332" s="17">
        <f>IF($A332="","",IFERROR(SUMIF(tblAnahtarB[NormB],$A332,tblHakedis[GercekHakedis]),0))</f>
        <v/>
      </c>
      <c r="D332" s="17">
        <f>IF($A332="","",IFERROR(SUMIF(tblMotor[A_Norm],$A332,tblMotor[BeklenenHakedis]),0))</f>
        <v/>
      </c>
      <c r="E332" s="17">
        <f>IF($A332="","",ROUND($D332,2)-ROUND($C332,2))</f>
        <v/>
      </c>
      <c r="F332" s="17">
        <f>IF($A332="","",ABS($E332))</f>
        <v/>
      </c>
      <c r="G332" s="17">
        <f>IF($A332="","",IF($B332=0,"eslesmedi",IF(ROUND($D332,2)=ROUND($C332,2),"eslesti",IF(ABS(ROUND($D332,2)-ROUND($C332,2))&lt;=toleransKurus,"tolerans_icinde","tutar_farki"))))</f>
        <v/>
      </c>
      <c r="H332" s="17">
        <f>IF($A332="","",IF($B332&gt;0,"BIRINCIL",IF(COUNTIF(tblAnahtarB[IkincilB],'ANAHTAR'!$D332)&gt;0,"IKINCIL","YOK")))</f>
        <v/>
      </c>
      <c r="I332" s="17">
        <f>IF($A332="","",'ANAHTAR'!$F332)</f>
        <v/>
      </c>
      <c r="J332" s="17">
        <f>IF(OR($A332="",$D332=0),0,$F332/ABS($D332))</f>
        <v/>
      </c>
      <c r="K332" s="17">
        <f>IF($A332="","",ROUND($D332,2))</f>
        <v/>
      </c>
      <c r="L332" s="17">
        <f>IF($A332="","",ROUND($C332,2))</f>
        <v/>
      </c>
      <c r="M332" s="17">
        <f>IF($A332="","",IF($F332&lt;=toleransKurus,1,0))</f>
        <v/>
      </c>
      <c r="N332" s="17">
        <f>IF($A332="","",IF($F332&gt;tyk_esikFark,1,0))</f>
        <v/>
      </c>
      <c r="O332" s="17">
        <f>IF($A332="","",IFERROR(SUMIF(tblMotor[A_Norm],$A332,tblMotor[NetKar]),0))</f>
        <v/>
      </c>
      <c r="P332" s="17">
        <f>IF($A332="","",$B332+$M332+$N332)</f>
        <v/>
      </c>
    </row>
    <row r="333">
      <c r="A333" s="17">
        <f>IF('ANAHTAR'!$B333="","",'ANAHTAR'!$B333)</f>
        <v/>
      </c>
      <c r="B333" s="17">
        <f>IF($A333="","",COUNTIF(tblAnahtarB[NormB],$A333))</f>
        <v/>
      </c>
      <c r="C333" s="17">
        <f>IF($A333="","",IFERROR(SUMIF(tblAnahtarB[NormB],$A333,tblHakedis[GercekHakedis]),0))</f>
        <v/>
      </c>
      <c r="D333" s="17">
        <f>IF($A333="","",IFERROR(SUMIF(tblMotor[A_Norm],$A333,tblMotor[BeklenenHakedis]),0))</f>
        <v/>
      </c>
      <c r="E333" s="17">
        <f>IF($A333="","",ROUND($D333,2)-ROUND($C333,2))</f>
        <v/>
      </c>
      <c r="F333" s="17">
        <f>IF($A333="","",ABS($E333))</f>
        <v/>
      </c>
      <c r="G333" s="17">
        <f>IF($A333="","",IF($B333=0,"eslesmedi",IF(ROUND($D333,2)=ROUND($C333,2),"eslesti",IF(ABS(ROUND($D333,2)-ROUND($C333,2))&lt;=toleransKurus,"tolerans_icinde","tutar_farki"))))</f>
        <v/>
      </c>
      <c r="H333" s="17">
        <f>IF($A333="","",IF($B333&gt;0,"BIRINCIL",IF(COUNTIF(tblAnahtarB[IkincilB],'ANAHTAR'!$D333)&gt;0,"IKINCIL","YOK")))</f>
        <v/>
      </c>
      <c r="I333" s="17">
        <f>IF($A333="","",'ANAHTAR'!$F333)</f>
        <v/>
      </c>
      <c r="J333" s="17">
        <f>IF(OR($A333="",$D333=0),0,$F333/ABS($D333))</f>
        <v/>
      </c>
      <c r="K333" s="17">
        <f>IF($A333="","",ROUND($D333,2))</f>
        <v/>
      </c>
      <c r="L333" s="17">
        <f>IF($A333="","",ROUND($C333,2))</f>
        <v/>
      </c>
      <c r="M333" s="17">
        <f>IF($A333="","",IF($F333&lt;=toleransKurus,1,0))</f>
        <v/>
      </c>
      <c r="N333" s="17">
        <f>IF($A333="","",IF($F333&gt;tyk_esikFark,1,0))</f>
        <v/>
      </c>
      <c r="O333" s="17">
        <f>IF($A333="","",IFERROR(SUMIF(tblMotor[A_Norm],$A333,tblMotor[NetKar]),0))</f>
        <v/>
      </c>
      <c r="P333" s="17">
        <f>IF($A333="","",$B333+$M333+$N333)</f>
        <v/>
      </c>
    </row>
    <row r="334">
      <c r="A334" s="17">
        <f>IF('ANAHTAR'!$B334="","",'ANAHTAR'!$B334)</f>
        <v/>
      </c>
      <c r="B334" s="17">
        <f>IF($A334="","",COUNTIF(tblAnahtarB[NormB],$A334))</f>
        <v/>
      </c>
      <c r="C334" s="17">
        <f>IF($A334="","",IFERROR(SUMIF(tblAnahtarB[NormB],$A334,tblHakedis[GercekHakedis]),0))</f>
        <v/>
      </c>
      <c r="D334" s="17">
        <f>IF($A334="","",IFERROR(SUMIF(tblMotor[A_Norm],$A334,tblMotor[BeklenenHakedis]),0))</f>
        <v/>
      </c>
      <c r="E334" s="17">
        <f>IF($A334="","",ROUND($D334,2)-ROUND($C334,2))</f>
        <v/>
      </c>
      <c r="F334" s="17">
        <f>IF($A334="","",ABS($E334))</f>
        <v/>
      </c>
      <c r="G334" s="17">
        <f>IF($A334="","",IF($B334=0,"eslesmedi",IF(ROUND($D334,2)=ROUND($C334,2),"eslesti",IF(ABS(ROUND($D334,2)-ROUND($C334,2))&lt;=toleransKurus,"tolerans_icinde","tutar_farki"))))</f>
        <v/>
      </c>
      <c r="H334" s="17">
        <f>IF($A334="","",IF($B334&gt;0,"BIRINCIL",IF(COUNTIF(tblAnahtarB[IkincilB],'ANAHTAR'!$D334)&gt;0,"IKINCIL","YOK")))</f>
        <v/>
      </c>
      <c r="I334" s="17">
        <f>IF($A334="","",'ANAHTAR'!$F334)</f>
        <v/>
      </c>
      <c r="J334" s="17">
        <f>IF(OR($A334="",$D334=0),0,$F334/ABS($D334))</f>
        <v/>
      </c>
      <c r="K334" s="17">
        <f>IF($A334="","",ROUND($D334,2))</f>
        <v/>
      </c>
      <c r="L334" s="17">
        <f>IF($A334="","",ROUND($C334,2))</f>
        <v/>
      </c>
      <c r="M334" s="17">
        <f>IF($A334="","",IF($F334&lt;=toleransKurus,1,0))</f>
        <v/>
      </c>
      <c r="N334" s="17">
        <f>IF($A334="","",IF($F334&gt;tyk_esikFark,1,0))</f>
        <v/>
      </c>
      <c r="O334" s="17">
        <f>IF($A334="","",IFERROR(SUMIF(tblMotor[A_Norm],$A334,tblMotor[NetKar]),0))</f>
        <v/>
      </c>
      <c r="P334" s="17">
        <f>IF($A334="","",$B334+$M334+$N334)</f>
        <v/>
      </c>
    </row>
    <row r="335">
      <c r="A335" s="17">
        <f>IF('ANAHTAR'!$B335="","",'ANAHTAR'!$B335)</f>
        <v/>
      </c>
      <c r="B335" s="17">
        <f>IF($A335="","",COUNTIF(tblAnahtarB[NormB],$A335))</f>
        <v/>
      </c>
      <c r="C335" s="17">
        <f>IF($A335="","",IFERROR(SUMIF(tblAnahtarB[NormB],$A335,tblHakedis[GercekHakedis]),0))</f>
        <v/>
      </c>
      <c r="D335" s="17">
        <f>IF($A335="","",IFERROR(SUMIF(tblMotor[A_Norm],$A335,tblMotor[BeklenenHakedis]),0))</f>
        <v/>
      </c>
      <c r="E335" s="17">
        <f>IF($A335="","",ROUND($D335,2)-ROUND($C335,2))</f>
        <v/>
      </c>
      <c r="F335" s="17">
        <f>IF($A335="","",ABS($E335))</f>
        <v/>
      </c>
      <c r="G335" s="17">
        <f>IF($A335="","",IF($B335=0,"eslesmedi",IF(ROUND($D335,2)=ROUND($C335,2),"eslesti",IF(ABS(ROUND($D335,2)-ROUND($C335,2))&lt;=toleransKurus,"tolerans_icinde","tutar_farki"))))</f>
        <v/>
      </c>
      <c r="H335" s="17">
        <f>IF($A335="","",IF($B335&gt;0,"BIRINCIL",IF(COUNTIF(tblAnahtarB[IkincilB],'ANAHTAR'!$D335)&gt;0,"IKINCIL","YOK")))</f>
        <v/>
      </c>
      <c r="I335" s="17">
        <f>IF($A335="","",'ANAHTAR'!$F335)</f>
        <v/>
      </c>
      <c r="J335" s="17">
        <f>IF(OR($A335="",$D335=0),0,$F335/ABS($D335))</f>
        <v/>
      </c>
      <c r="K335" s="17">
        <f>IF($A335="","",ROUND($D335,2))</f>
        <v/>
      </c>
      <c r="L335" s="17">
        <f>IF($A335="","",ROUND($C335,2))</f>
        <v/>
      </c>
      <c r="M335" s="17">
        <f>IF($A335="","",IF($F335&lt;=toleransKurus,1,0))</f>
        <v/>
      </c>
      <c r="N335" s="17">
        <f>IF($A335="","",IF($F335&gt;tyk_esikFark,1,0))</f>
        <v/>
      </c>
      <c r="O335" s="17">
        <f>IF($A335="","",IFERROR(SUMIF(tblMotor[A_Norm],$A335,tblMotor[NetKar]),0))</f>
        <v/>
      </c>
      <c r="P335" s="17">
        <f>IF($A335="","",$B335+$M335+$N335)</f>
        <v/>
      </c>
    </row>
    <row r="336">
      <c r="A336" s="17">
        <f>IF('ANAHTAR'!$B336="","",'ANAHTAR'!$B336)</f>
        <v/>
      </c>
      <c r="B336" s="17">
        <f>IF($A336="","",COUNTIF(tblAnahtarB[NormB],$A336))</f>
        <v/>
      </c>
      <c r="C336" s="17">
        <f>IF($A336="","",IFERROR(SUMIF(tblAnahtarB[NormB],$A336,tblHakedis[GercekHakedis]),0))</f>
        <v/>
      </c>
      <c r="D336" s="17">
        <f>IF($A336="","",IFERROR(SUMIF(tblMotor[A_Norm],$A336,tblMotor[BeklenenHakedis]),0))</f>
        <v/>
      </c>
      <c r="E336" s="17">
        <f>IF($A336="","",ROUND($D336,2)-ROUND($C336,2))</f>
        <v/>
      </c>
      <c r="F336" s="17">
        <f>IF($A336="","",ABS($E336))</f>
        <v/>
      </c>
      <c r="G336" s="17">
        <f>IF($A336="","",IF($B336=0,"eslesmedi",IF(ROUND($D336,2)=ROUND($C336,2),"eslesti",IF(ABS(ROUND($D336,2)-ROUND($C336,2))&lt;=toleransKurus,"tolerans_icinde","tutar_farki"))))</f>
        <v/>
      </c>
      <c r="H336" s="17">
        <f>IF($A336="","",IF($B336&gt;0,"BIRINCIL",IF(COUNTIF(tblAnahtarB[IkincilB],'ANAHTAR'!$D336)&gt;0,"IKINCIL","YOK")))</f>
        <v/>
      </c>
      <c r="I336" s="17">
        <f>IF($A336="","",'ANAHTAR'!$F336)</f>
        <v/>
      </c>
      <c r="J336" s="17">
        <f>IF(OR($A336="",$D336=0),0,$F336/ABS($D336))</f>
        <v/>
      </c>
      <c r="K336" s="17">
        <f>IF($A336="","",ROUND($D336,2))</f>
        <v/>
      </c>
      <c r="L336" s="17">
        <f>IF($A336="","",ROUND($C336,2))</f>
        <v/>
      </c>
      <c r="M336" s="17">
        <f>IF($A336="","",IF($F336&lt;=toleransKurus,1,0))</f>
        <v/>
      </c>
      <c r="N336" s="17">
        <f>IF($A336="","",IF($F336&gt;tyk_esikFark,1,0))</f>
        <v/>
      </c>
      <c r="O336" s="17">
        <f>IF($A336="","",IFERROR(SUMIF(tblMotor[A_Norm],$A336,tblMotor[NetKar]),0))</f>
        <v/>
      </c>
      <c r="P336" s="17">
        <f>IF($A336="","",$B336+$M336+$N336)</f>
        <v/>
      </c>
    </row>
    <row r="337">
      <c r="A337" s="17">
        <f>IF('ANAHTAR'!$B337="","",'ANAHTAR'!$B337)</f>
        <v/>
      </c>
      <c r="B337" s="17">
        <f>IF($A337="","",COUNTIF(tblAnahtarB[NormB],$A337))</f>
        <v/>
      </c>
      <c r="C337" s="17">
        <f>IF($A337="","",IFERROR(SUMIF(tblAnahtarB[NormB],$A337,tblHakedis[GercekHakedis]),0))</f>
        <v/>
      </c>
      <c r="D337" s="17">
        <f>IF($A337="","",IFERROR(SUMIF(tblMotor[A_Norm],$A337,tblMotor[BeklenenHakedis]),0))</f>
        <v/>
      </c>
      <c r="E337" s="17">
        <f>IF($A337="","",ROUND($D337,2)-ROUND($C337,2))</f>
        <v/>
      </c>
      <c r="F337" s="17">
        <f>IF($A337="","",ABS($E337))</f>
        <v/>
      </c>
      <c r="G337" s="17">
        <f>IF($A337="","",IF($B337=0,"eslesmedi",IF(ROUND($D337,2)=ROUND($C337,2),"eslesti",IF(ABS(ROUND($D337,2)-ROUND($C337,2))&lt;=toleransKurus,"tolerans_icinde","tutar_farki"))))</f>
        <v/>
      </c>
      <c r="H337" s="17">
        <f>IF($A337="","",IF($B337&gt;0,"BIRINCIL",IF(COUNTIF(tblAnahtarB[IkincilB],'ANAHTAR'!$D337)&gt;0,"IKINCIL","YOK")))</f>
        <v/>
      </c>
      <c r="I337" s="17">
        <f>IF($A337="","",'ANAHTAR'!$F337)</f>
        <v/>
      </c>
      <c r="J337" s="17">
        <f>IF(OR($A337="",$D337=0),0,$F337/ABS($D337))</f>
        <v/>
      </c>
      <c r="K337" s="17">
        <f>IF($A337="","",ROUND($D337,2))</f>
        <v/>
      </c>
      <c r="L337" s="17">
        <f>IF($A337="","",ROUND($C337,2))</f>
        <v/>
      </c>
      <c r="M337" s="17">
        <f>IF($A337="","",IF($F337&lt;=toleransKurus,1,0))</f>
        <v/>
      </c>
      <c r="N337" s="17">
        <f>IF($A337="","",IF($F337&gt;tyk_esikFark,1,0))</f>
        <v/>
      </c>
      <c r="O337" s="17">
        <f>IF($A337="","",IFERROR(SUMIF(tblMotor[A_Norm],$A337,tblMotor[NetKar]),0))</f>
        <v/>
      </c>
      <c r="P337" s="17">
        <f>IF($A337="","",$B337+$M337+$N337)</f>
        <v/>
      </c>
    </row>
    <row r="338">
      <c r="A338" s="17">
        <f>IF('ANAHTAR'!$B338="","",'ANAHTAR'!$B338)</f>
        <v/>
      </c>
      <c r="B338" s="17">
        <f>IF($A338="","",COUNTIF(tblAnahtarB[NormB],$A338))</f>
        <v/>
      </c>
      <c r="C338" s="17">
        <f>IF($A338="","",IFERROR(SUMIF(tblAnahtarB[NormB],$A338,tblHakedis[GercekHakedis]),0))</f>
        <v/>
      </c>
      <c r="D338" s="17">
        <f>IF($A338="","",IFERROR(SUMIF(tblMotor[A_Norm],$A338,tblMotor[BeklenenHakedis]),0))</f>
        <v/>
      </c>
      <c r="E338" s="17">
        <f>IF($A338="","",ROUND($D338,2)-ROUND($C338,2))</f>
        <v/>
      </c>
      <c r="F338" s="17">
        <f>IF($A338="","",ABS($E338))</f>
        <v/>
      </c>
      <c r="G338" s="17">
        <f>IF($A338="","",IF($B338=0,"eslesmedi",IF(ROUND($D338,2)=ROUND($C338,2),"eslesti",IF(ABS(ROUND($D338,2)-ROUND($C338,2))&lt;=toleransKurus,"tolerans_icinde","tutar_farki"))))</f>
        <v/>
      </c>
      <c r="H338" s="17">
        <f>IF($A338="","",IF($B338&gt;0,"BIRINCIL",IF(COUNTIF(tblAnahtarB[IkincilB],'ANAHTAR'!$D338)&gt;0,"IKINCIL","YOK")))</f>
        <v/>
      </c>
      <c r="I338" s="17">
        <f>IF($A338="","",'ANAHTAR'!$F338)</f>
        <v/>
      </c>
      <c r="J338" s="17">
        <f>IF(OR($A338="",$D338=0),0,$F338/ABS($D338))</f>
        <v/>
      </c>
      <c r="K338" s="17">
        <f>IF($A338="","",ROUND($D338,2))</f>
        <v/>
      </c>
      <c r="L338" s="17">
        <f>IF($A338="","",ROUND($C338,2))</f>
        <v/>
      </c>
      <c r="M338" s="17">
        <f>IF($A338="","",IF($F338&lt;=toleransKurus,1,0))</f>
        <v/>
      </c>
      <c r="N338" s="17">
        <f>IF($A338="","",IF($F338&gt;tyk_esikFark,1,0))</f>
        <v/>
      </c>
      <c r="O338" s="17">
        <f>IF($A338="","",IFERROR(SUMIF(tblMotor[A_Norm],$A338,tblMotor[NetKar]),0))</f>
        <v/>
      </c>
      <c r="P338" s="17">
        <f>IF($A338="","",$B338+$M338+$N338)</f>
        <v/>
      </c>
    </row>
    <row r="339">
      <c r="A339" s="17">
        <f>IF('ANAHTAR'!$B339="","",'ANAHTAR'!$B339)</f>
        <v/>
      </c>
      <c r="B339" s="17">
        <f>IF($A339="","",COUNTIF(tblAnahtarB[NormB],$A339))</f>
        <v/>
      </c>
      <c r="C339" s="17">
        <f>IF($A339="","",IFERROR(SUMIF(tblAnahtarB[NormB],$A339,tblHakedis[GercekHakedis]),0))</f>
        <v/>
      </c>
      <c r="D339" s="17">
        <f>IF($A339="","",IFERROR(SUMIF(tblMotor[A_Norm],$A339,tblMotor[BeklenenHakedis]),0))</f>
        <v/>
      </c>
      <c r="E339" s="17">
        <f>IF($A339="","",ROUND($D339,2)-ROUND($C339,2))</f>
        <v/>
      </c>
      <c r="F339" s="17">
        <f>IF($A339="","",ABS($E339))</f>
        <v/>
      </c>
      <c r="G339" s="17">
        <f>IF($A339="","",IF($B339=0,"eslesmedi",IF(ROUND($D339,2)=ROUND($C339,2),"eslesti",IF(ABS(ROUND($D339,2)-ROUND($C339,2))&lt;=toleransKurus,"tolerans_icinde","tutar_farki"))))</f>
        <v/>
      </c>
      <c r="H339" s="17">
        <f>IF($A339="","",IF($B339&gt;0,"BIRINCIL",IF(COUNTIF(tblAnahtarB[IkincilB],'ANAHTAR'!$D339)&gt;0,"IKINCIL","YOK")))</f>
        <v/>
      </c>
      <c r="I339" s="17">
        <f>IF($A339="","",'ANAHTAR'!$F339)</f>
        <v/>
      </c>
      <c r="J339" s="17">
        <f>IF(OR($A339="",$D339=0),0,$F339/ABS($D339))</f>
        <v/>
      </c>
      <c r="K339" s="17">
        <f>IF($A339="","",ROUND($D339,2))</f>
        <v/>
      </c>
      <c r="L339" s="17">
        <f>IF($A339="","",ROUND($C339,2))</f>
        <v/>
      </c>
      <c r="M339" s="17">
        <f>IF($A339="","",IF($F339&lt;=toleransKurus,1,0))</f>
        <v/>
      </c>
      <c r="N339" s="17">
        <f>IF($A339="","",IF($F339&gt;tyk_esikFark,1,0))</f>
        <v/>
      </c>
      <c r="O339" s="17">
        <f>IF($A339="","",IFERROR(SUMIF(tblMotor[A_Norm],$A339,tblMotor[NetKar]),0))</f>
        <v/>
      </c>
      <c r="P339" s="17">
        <f>IF($A339="","",$B339+$M339+$N339)</f>
        <v/>
      </c>
    </row>
    <row r="340">
      <c r="A340" s="17">
        <f>IF('ANAHTAR'!$B340="","",'ANAHTAR'!$B340)</f>
        <v/>
      </c>
      <c r="B340" s="17">
        <f>IF($A340="","",COUNTIF(tblAnahtarB[NormB],$A340))</f>
        <v/>
      </c>
      <c r="C340" s="17">
        <f>IF($A340="","",IFERROR(SUMIF(tblAnahtarB[NormB],$A340,tblHakedis[GercekHakedis]),0))</f>
        <v/>
      </c>
      <c r="D340" s="17">
        <f>IF($A340="","",IFERROR(SUMIF(tblMotor[A_Norm],$A340,tblMotor[BeklenenHakedis]),0))</f>
        <v/>
      </c>
      <c r="E340" s="17">
        <f>IF($A340="","",ROUND($D340,2)-ROUND($C340,2))</f>
        <v/>
      </c>
      <c r="F340" s="17">
        <f>IF($A340="","",ABS($E340))</f>
        <v/>
      </c>
      <c r="G340" s="17">
        <f>IF($A340="","",IF($B340=0,"eslesmedi",IF(ROUND($D340,2)=ROUND($C340,2),"eslesti",IF(ABS(ROUND($D340,2)-ROUND($C340,2))&lt;=toleransKurus,"tolerans_icinde","tutar_farki"))))</f>
        <v/>
      </c>
      <c r="H340" s="17">
        <f>IF($A340="","",IF($B340&gt;0,"BIRINCIL",IF(COUNTIF(tblAnahtarB[IkincilB],'ANAHTAR'!$D340)&gt;0,"IKINCIL","YOK")))</f>
        <v/>
      </c>
      <c r="I340" s="17">
        <f>IF($A340="","",'ANAHTAR'!$F340)</f>
        <v/>
      </c>
      <c r="J340" s="17">
        <f>IF(OR($A340="",$D340=0),0,$F340/ABS($D340))</f>
        <v/>
      </c>
      <c r="K340" s="17">
        <f>IF($A340="","",ROUND($D340,2))</f>
        <v/>
      </c>
      <c r="L340" s="17">
        <f>IF($A340="","",ROUND($C340,2))</f>
        <v/>
      </c>
      <c r="M340" s="17">
        <f>IF($A340="","",IF($F340&lt;=toleransKurus,1,0))</f>
        <v/>
      </c>
      <c r="N340" s="17">
        <f>IF($A340="","",IF($F340&gt;tyk_esikFark,1,0))</f>
        <v/>
      </c>
      <c r="O340" s="17">
        <f>IF($A340="","",IFERROR(SUMIF(tblMotor[A_Norm],$A340,tblMotor[NetKar]),0))</f>
        <v/>
      </c>
      <c r="P340" s="17">
        <f>IF($A340="","",$B340+$M340+$N340)</f>
        <v/>
      </c>
    </row>
    <row r="341">
      <c r="A341" s="17">
        <f>IF('ANAHTAR'!$B341="","",'ANAHTAR'!$B341)</f>
        <v/>
      </c>
      <c r="B341" s="17">
        <f>IF($A341="","",COUNTIF(tblAnahtarB[NormB],$A341))</f>
        <v/>
      </c>
      <c r="C341" s="17">
        <f>IF($A341="","",IFERROR(SUMIF(tblAnahtarB[NormB],$A341,tblHakedis[GercekHakedis]),0))</f>
        <v/>
      </c>
      <c r="D341" s="17">
        <f>IF($A341="","",IFERROR(SUMIF(tblMotor[A_Norm],$A341,tblMotor[BeklenenHakedis]),0))</f>
        <v/>
      </c>
      <c r="E341" s="17">
        <f>IF($A341="","",ROUND($D341,2)-ROUND($C341,2))</f>
        <v/>
      </c>
      <c r="F341" s="17">
        <f>IF($A341="","",ABS($E341))</f>
        <v/>
      </c>
      <c r="G341" s="17">
        <f>IF($A341="","",IF($B341=0,"eslesmedi",IF(ROUND($D341,2)=ROUND($C341,2),"eslesti",IF(ABS(ROUND($D341,2)-ROUND($C341,2))&lt;=toleransKurus,"tolerans_icinde","tutar_farki"))))</f>
        <v/>
      </c>
      <c r="H341" s="17">
        <f>IF($A341="","",IF($B341&gt;0,"BIRINCIL",IF(COUNTIF(tblAnahtarB[IkincilB],'ANAHTAR'!$D341)&gt;0,"IKINCIL","YOK")))</f>
        <v/>
      </c>
      <c r="I341" s="17">
        <f>IF($A341="","",'ANAHTAR'!$F341)</f>
        <v/>
      </c>
      <c r="J341" s="17">
        <f>IF(OR($A341="",$D341=0),0,$F341/ABS($D341))</f>
        <v/>
      </c>
      <c r="K341" s="17">
        <f>IF($A341="","",ROUND($D341,2))</f>
        <v/>
      </c>
      <c r="L341" s="17">
        <f>IF($A341="","",ROUND($C341,2))</f>
        <v/>
      </c>
      <c r="M341" s="17">
        <f>IF($A341="","",IF($F341&lt;=toleransKurus,1,0))</f>
        <v/>
      </c>
      <c r="N341" s="17">
        <f>IF($A341="","",IF($F341&gt;tyk_esikFark,1,0))</f>
        <v/>
      </c>
      <c r="O341" s="17">
        <f>IF($A341="","",IFERROR(SUMIF(tblMotor[A_Norm],$A341,tblMotor[NetKar]),0))</f>
        <v/>
      </c>
      <c r="P341" s="17">
        <f>IF($A341="","",$B341+$M341+$N341)</f>
        <v/>
      </c>
    </row>
    <row r="342">
      <c r="A342" s="17">
        <f>IF('ANAHTAR'!$B342="","",'ANAHTAR'!$B342)</f>
        <v/>
      </c>
      <c r="B342" s="17">
        <f>IF($A342="","",COUNTIF(tblAnahtarB[NormB],$A342))</f>
        <v/>
      </c>
      <c r="C342" s="17">
        <f>IF($A342="","",IFERROR(SUMIF(tblAnahtarB[NormB],$A342,tblHakedis[GercekHakedis]),0))</f>
        <v/>
      </c>
      <c r="D342" s="17">
        <f>IF($A342="","",IFERROR(SUMIF(tblMotor[A_Norm],$A342,tblMotor[BeklenenHakedis]),0))</f>
        <v/>
      </c>
      <c r="E342" s="17">
        <f>IF($A342="","",ROUND($D342,2)-ROUND($C342,2))</f>
        <v/>
      </c>
      <c r="F342" s="17">
        <f>IF($A342="","",ABS($E342))</f>
        <v/>
      </c>
      <c r="G342" s="17">
        <f>IF($A342="","",IF($B342=0,"eslesmedi",IF(ROUND($D342,2)=ROUND($C342,2),"eslesti",IF(ABS(ROUND($D342,2)-ROUND($C342,2))&lt;=toleransKurus,"tolerans_icinde","tutar_farki"))))</f>
        <v/>
      </c>
      <c r="H342" s="17">
        <f>IF($A342="","",IF($B342&gt;0,"BIRINCIL",IF(COUNTIF(tblAnahtarB[IkincilB],'ANAHTAR'!$D342)&gt;0,"IKINCIL","YOK")))</f>
        <v/>
      </c>
      <c r="I342" s="17">
        <f>IF($A342="","",'ANAHTAR'!$F342)</f>
        <v/>
      </c>
      <c r="J342" s="17">
        <f>IF(OR($A342="",$D342=0),0,$F342/ABS($D342))</f>
        <v/>
      </c>
      <c r="K342" s="17">
        <f>IF($A342="","",ROUND($D342,2))</f>
        <v/>
      </c>
      <c r="L342" s="17">
        <f>IF($A342="","",ROUND($C342,2))</f>
        <v/>
      </c>
      <c r="M342" s="17">
        <f>IF($A342="","",IF($F342&lt;=toleransKurus,1,0))</f>
        <v/>
      </c>
      <c r="N342" s="17">
        <f>IF($A342="","",IF($F342&gt;tyk_esikFark,1,0))</f>
        <v/>
      </c>
      <c r="O342" s="17">
        <f>IF($A342="","",IFERROR(SUMIF(tblMotor[A_Norm],$A342,tblMotor[NetKar]),0))</f>
        <v/>
      </c>
      <c r="P342" s="17">
        <f>IF($A342="","",$B342+$M342+$N342)</f>
        <v/>
      </c>
    </row>
    <row r="343">
      <c r="A343" s="17">
        <f>IF('ANAHTAR'!$B343="","",'ANAHTAR'!$B343)</f>
        <v/>
      </c>
      <c r="B343" s="17">
        <f>IF($A343="","",COUNTIF(tblAnahtarB[NormB],$A343))</f>
        <v/>
      </c>
      <c r="C343" s="17">
        <f>IF($A343="","",IFERROR(SUMIF(tblAnahtarB[NormB],$A343,tblHakedis[GercekHakedis]),0))</f>
        <v/>
      </c>
      <c r="D343" s="17">
        <f>IF($A343="","",IFERROR(SUMIF(tblMotor[A_Norm],$A343,tblMotor[BeklenenHakedis]),0))</f>
        <v/>
      </c>
      <c r="E343" s="17">
        <f>IF($A343="","",ROUND($D343,2)-ROUND($C343,2))</f>
        <v/>
      </c>
      <c r="F343" s="17">
        <f>IF($A343="","",ABS($E343))</f>
        <v/>
      </c>
      <c r="G343" s="17">
        <f>IF($A343="","",IF($B343=0,"eslesmedi",IF(ROUND($D343,2)=ROUND($C343,2),"eslesti",IF(ABS(ROUND($D343,2)-ROUND($C343,2))&lt;=toleransKurus,"tolerans_icinde","tutar_farki"))))</f>
        <v/>
      </c>
      <c r="H343" s="17">
        <f>IF($A343="","",IF($B343&gt;0,"BIRINCIL",IF(COUNTIF(tblAnahtarB[IkincilB],'ANAHTAR'!$D343)&gt;0,"IKINCIL","YOK")))</f>
        <v/>
      </c>
      <c r="I343" s="17">
        <f>IF($A343="","",'ANAHTAR'!$F343)</f>
        <v/>
      </c>
      <c r="J343" s="17">
        <f>IF(OR($A343="",$D343=0),0,$F343/ABS($D343))</f>
        <v/>
      </c>
      <c r="K343" s="17">
        <f>IF($A343="","",ROUND($D343,2))</f>
        <v/>
      </c>
      <c r="L343" s="17">
        <f>IF($A343="","",ROUND($C343,2))</f>
        <v/>
      </c>
      <c r="M343" s="17">
        <f>IF($A343="","",IF($F343&lt;=toleransKurus,1,0))</f>
        <v/>
      </c>
      <c r="N343" s="17">
        <f>IF($A343="","",IF($F343&gt;tyk_esikFark,1,0))</f>
        <v/>
      </c>
      <c r="O343" s="17">
        <f>IF($A343="","",IFERROR(SUMIF(tblMotor[A_Norm],$A343,tblMotor[NetKar]),0))</f>
        <v/>
      </c>
      <c r="P343" s="17">
        <f>IF($A343="","",$B343+$M343+$N343)</f>
        <v/>
      </c>
    </row>
    <row r="344">
      <c r="A344" s="17">
        <f>IF('ANAHTAR'!$B344="","",'ANAHTAR'!$B344)</f>
        <v/>
      </c>
      <c r="B344" s="17">
        <f>IF($A344="","",COUNTIF(tblAnahtarB[NormB],$A344))</f>
        <v/>
      </c>
      <c r="C344" s="17">
        <f>IF($A344="","",IFERROR(SUMIF(tblAnahtarB[NormB],$A344,tblHakedis[GercekHakedis]),0))</f>
        <v/>
      </c>
      <c r="D344" s="17">
        <f>IF($A344="","",IFERROR(SUMIF(tblMotor[A_Norm],$A344,tblMotor[BeklenenHakedis]),0))</f>
        <v/>
      </c>
      <c r="E344" s="17">
        <f>IF($A344="","",ROUND($D344,2)-ROUND($C344,2))</f>
        <v/>
      </c>
      <c r="F344" s="17">
        <f>IF($A344="","",ABS($E344))</f>
        <v/>
      </c>
      <c r="G344" s="17">
        <f>IF($A344="","",IF($B344=0,"eslesmedi",IF(ROUND($D344,2)=ROUND($C344,2),"eslesti",IF(ABS(ROUND($D344,2)-ROUND($C344,2))&lt;=toleransKurus,"tolerans_icinde","tutar_farki"))))</f>
        <v/>
      </c>
      <c r="H344" s="17">
        <f>IF($A344="","",IF($B344&gt;0,"BIRINCIL",IF(COUNTIF(tblAnahtarB[IkincilB],'ANAHTAR'!$D344)&gt;0,"IKINCIL","YOK")))</f>
        <v/>
      </c>
      <c r="I344" s="17">
        <f>IF($A344="","",'ANAHTAR'!$F344)</f>
        <v/>
      </c>
      <c r="J344" s="17">
        <f>IF(OR($A344="",$D344=0),0,$F344/ABS($D344))</f>
        <v/>
      </c>
      <c r="K344" s="17">
        <f>IF($A344="","",ROUND($D344,2))</f>
        <v/>
      </c>
      <c r="L344" s="17">
        <f>IF($A344="","",ROUND($C344,2))</f>
        <v/>
      </c>
      <c r="M344" s="17">
        <f>IF($A344="","",IF($F344&lt;=toleransKurus,1,0))</f>
        <v/>
      </c>
      <c r="N344" s="17">
        <f>IF($A344="","",IF($F344&gt;tyk_esikFark,1,0))</f>
        <v/>
      </c>
      <c r="O344" s="17">
        <f>IF($A344="","",IFERROR(SUMIF(tblMotor[A_Norm],$A344,tblMotor[NetKar]),0))</f>
        <v/>
      </c>
      <c r="P344" s="17">
        <f>IF($A344="","",$B344+$M344+$N344)</f>
        <v/>
      </c>
    </row>
    <row r="345">
      <c r="A345" s="17">
        <f>IF('ANAHTAR'!$B345="","",'ANAHTAR'!$B345)</f>
        <v/>
      </c>
      <c r="B345" s="17">
        <f>IF($A345="","",COUNTIF(tblAnahtarB[NormB],$A345))</f>
        <v/>
      </c>
      <c r="C345" s="17">
        <f>IF($A345="","",IFERROR(SUMIF(tblAnahtarB[NormB],$A345,tblHakedis[GercekHakedis]),0))</f>
        <v/>
      </c>
      <c r="D345" s="17">
        <f>IF($A345="","",IFERROR(SUMIF(tblMotor[A_Norm],$A345,tblMotor[BeklenenHakedis]),0))</f>
        <v/>
      </c>
      <c r="E345" s="17">
        <f>IF($A345="","",ROUND($D345,2)-ROUND($C345,2))</f>
        <v/>
      </c>
      <c r="F345" s="17">
        <f>IF($A345="","",ABS($E345))</f>
        <v/>
      </c>
      <c r="G345" s="17">
        <f>IF($A345="","",IF($B345=0,"eslesmedi",IF(ROUND($D345,2)=ROUND($C345,2),"eslesti",IF(ABS(ROUND($D345,2)-ROUND($C345,2))&lt;=toleransKurus,"tolerans_icinde","tutar_farki"))))</f>
        <v/>
      </c>
      <c r="H345" s="17">
        <f>IF($A345="","",IF($B345&gt;0,"BIRINCIL",IF(COUNTIF(tblAnahtarB[IkincilB],'ANAHTAR'!$D345)&gt;0,"IKINCIL","YOK")))</f>
        <v/>
      </c>
      <c r="I345" s="17">
        <f>IF($A345="","",'ANAHTAR'!$F345)</f>
        <v/>
      </c>
      <c r="J345" s="17">
        <f>IF(OR($A345="",$D345=0),0,$F345/ABS($D345))</f>
        <v/>
      </c>
      <c r="K345" s="17">
        <f>IF($A345="","",ROUND($D345,2))</f>
        <v/>
      </c>
      <c r="L345" s="17">
        <f>IF($A345="","",ROUND($C345,2))</f>
        <v/>
      </c>
      <c r="M345" s="17">
        <f>IF($A345="","",IF($F345&lt;=toleransKurus,1,0))</f>
        <v/>
      </c>
      <c r="N345" s="17">
        <f>IF($A345="","",IF($F345&gt;tyk_esikFark,1,0))</f>
        <v/>
      </c>
      <c r="O345" s="17">
        <f>IF($A345="","",IFERROR(SUMIF(tblMotor[A_Norm],$A345,tblMotor[NetKar]),0))</f>
        <v/>
      </c>
      <c r="P345" s="17">
        <f>IF($A345="","",$B345+$M345+$N345)</f>
        <v/>
      </c>
    </row>
    <row r="346">
      <c r="A346" s="17">
        <f>IF('ANAHTAR'!$B346="","",'ANAHTAR'!$B346)</f>
        <v/>
      </c>
      <c r="B346" s="17">
        <f>IF($A346="","",COUNTIF(tblAnahtarB[NormB],$A346))</f>
        <v/>
      </c>
      <c r="C346" s="17">
        <f>IF($A346="","",IFERROR(SUMIF(tblAnahtarB[NormB],$A346,tblHakedis[GercekHakedis]),0))</f>
        <v/>
      </c>
      <c r="D346" s="17">
        <f>IF($A346="","",IFERROR(SUMIF(tblMotor[A_Norm],$A346,tblMotor[BeklenenHakedis]),0))</f>
        <v/>
      </c>
      <c r="E346" s="17">
        <f>IF($A346="","",ROUND($D346,2)-ROUND($C346,2))</f>
        <v/>
      </c>
      <c r="F346" s="17">
        <f>IF($A346="","",ABS($E346))</f>
        <v/>
      </c>
      <c r="G346" s="17">
        <f>IF($A346="","",IF($B346=0,"eslesmedi",IF(ROUND($D346,2)=ROUND($C346,2),"eslesti",IF(ABS(ROUND($D346,2)-ROUND($C346,2))&lt;=toleransKurus,"tolerans_icinde","tutar_farki"))))</f>
        <v/>
      </c>
      <c r="H346" s="17">
        <f>IF($A346="","",IF($B346&gt;0,"BIRINCIL",IF(COUNTIF(tblAnahtarB[IkincilB],'ANAHTAR'!$D346)&gt;0,"IKINCIL","YOK")))</f>
        <v/>
      </c>
      <c r="I346" s="17">
        <f>IF($A346="","",'ANAHTAR'!$F346)</f>
        <v/>
      </c>
      <c r="J346" s="17">
        <f>IF(OR($A346="",$D346=0),0,$F346/ABS($D346))</f>
        <v/>
      </c>
      <c r="K346" s="17">
        <f>IF($A346="","",ROUND($D346,2))</f>
        <v/>
      </c>
      <c r="L346" s="17">
        <f>IF($A346="","",ROUND($C346,2))</f>
        <v/>
      </c>
      <c r="M346" s="17">
        <f>IF($A346="","",IF($F346&lt;=toleransKurus,1,0))</f>
        <v/>
      </c>
      <c r="N346" s="17">
        <f>IF($A346="","",IF($F346&gt;tyk_esikFark,1,0))</f>
        <v/>
      </c>
      <c r="O346" s="17">
        <f>IF($A346="","",IFERROR(SUMIF(tblMotor[A_Norm],$A346,tblMotor[NetKar]),0))</f>
        <v/>
      </c>
      <c r="P346" s="17">
        <f>IF($A346="","",$B346+$M346+$N346)</f>
        <v/>
      </c>
    </row>
    <row r="347">
      <c r="A347" s="17">
        <f>IF('ANAHTAR'!$B347="","",'ANAHTAR'!$B347)</f>
        <v/>
      </c>
      <c r="B347" s="17">
        <f>IF($A347="","",COUNTIF(tblAnahtarB[NormB],$A347))</f>
        <v/>
      </c>
      <c r="C347" s="17">
        <f>IF($A347="","",IFERROR(SUMIF(tblAnahtarB[NormB],$A347,tblHakedis[GercekHakedis]),0))</f>
        <v/>
      </c>
      <c r="D347" s="17">
        <f>IF($A347="","",IFERROR(SUMIF(tblMotor[A_Norm],$A347,tblMotor[BeklenenHakedis]),0))</f>
        <v/>
      </c>
      <c r="E347" s="17">
        <f>IF($A347="","",ROUND($D347,2)-ROUND($C347,2))</f>
        <v/>
      </c>
      <c r="F347" s="17">
        <f>IF($A347="","",ABS($E347))</f>
        <v/>
      </c>
      <c r="G347" s="17">
        <f>IF($A347="","",IF($B347=0,"eslesmedi",IF(ROUND($D347,2)=ROUND($C347,2),"eslesti",IF(ABS(ROUND($D347,2)-ROUND($C347,2))&lt;=toleransKurus,"tolerans_icinde","tutar_farki"))))</f>
        <v/>
      </c>
      <c r="H347" s="17">
        <f>IF($A347="","",IF($B347&gt;0,"BIRINCIL",IF(COUNTIF(tblAnahtarB[IkincilB],'ANAHTAR'!$D347)&gt;0,"IKINCIL","YOK")))</f>
        <v/>
      </c>
      <c r="I347" s="17">
        <f>IF($A347="","",'ANAHTAR'!$F347)</f>
        <v/>
      </c>
      <c r="J347" s="17">
        <f>IF(OR($A347="",$D347=0),0,$F347/ABS($D347))</f>
        <v/>
      </c>
      <c r="K347" s="17">
        <f>IF($A347="","",ROUND($D347,2))</f>
        <v/>
      </c>
      <c r="L347" s="17">
        <f>IF($A347="","",ROUND($C347,2))</f>
        <v/>
      </c>
      <c r="M347" s="17">
        <f>IF($A347="","",IF($F347&lt;=toleransKurus,1,0))</f>
        <v/>
      </c>
      <c r="N347" s="17">
        <f>IF($A347="","",IF($F347&gt;tyk_esikFark,1,0))</f>
        <v/>
      </c>
      <c r="O347" s="17">
        <f>IF($A347="","",IFERROR(SUMIF(tblMotor[A_Norm],$A347,tblMotor[NetKar]),0))</f>
        <v/>
      </c>
      <c r="P347" s="17">
        <f>IF($A347="","",$B347+$M347+$N347)</f>
        <v/>
      </c>
    </row>
    <row r="348">
      <c r="A348" s="17">
        <f>IF('ANAHTAR'!$B348="","",'ANAHTAR'!$B348)</f>
        <v/>
      </c>
      <c r="B348" s="17">
        <f>IF($A348="","",COUNTIF(tblAnahtarB[NormB],$A348))</f>
        <v/>
      </c>
      <c r="C348" s="17">
        <f>IF($A348="","",IFERROR(SUMIF(tblAnahtarB[NormB],$A348,tblHakedis[GercekHakedis]),0))</f>
        <v/>
      </c>
      <c r="D348" s="17">
        <f>IF($A348="","",IFERROR(SUMIF(tblMotor[A_Norm],$A348,tblMotor[BeklenenHakedis]),0))</f>
        <v/>
      </c>
      <c r="E348" s="17">
        <f>IF($A348="","",ROUND($D348,2)-ROUND($C348,2))</f>
        <v/>
      </c>
      <c r="F348" s="17">
        <f>IF($A348="","",ABS($E348))</f>
        <v/>
      </c>
      <c r="G348" s="17">
        <f>IF($A348="","",IF($B348=0,"eslesmedi",IF(ROUND($D348,2)=ROUND($C348,2),"eslesti",IF(ABS(ROUND($D348,2)-ROUND($C348,2))&lt;=toleransKurus,"tolerans_icinde","tutar_farki"))))</f>
        <v/>
      </c>
      <c r="H348" s="17">
        <f>IF($A348="","",IF($B348&gt;0,"BIRINCIL",IF(COUNTIF(tblAnahtarB[IkincilB],'ANAHTAR'!$D348)&gt;0,"IKINCIL","YOK")))</f>
        <v/>
      </c>
      <c r="I348" s="17">
        <f>IF($A348="","",'ANAHTAR'!$F348)</f>
        <v/>
      </c>
      <c r="J348" s="17">
        <f>IF(OR($A348="",$D348=0),0,$F348/ABS($D348))</f>
        <v/>
      </c>
      <c r="K348" s="17">
        <f>IF($A348="","",ROUND($D348,2))</f>
        <v/>
      </c>
      <c r="L348" s="17">
        <f>IF($A348="","",ROUND($C348,2))</f>
        <v/>
      </c>
      <c r="M348" s="17">
        <f>IF($A348="","",IF($F348&lt;=toleransKurus,1,0))</f>
        <v/>
      </c>
      <c r="N348" s="17">
        <f>IF($A348="","",IF($F348&gt;tyk_esikFark,1,0))</f>
        <v/>
      </c>
      <c r="O348" s="17">
        <f>IF($A348="","",IFERROR(SUMIF(tblMotor[A_Norm],$A348,tblMotor[NetKar]),0))</f>
        <v/>
      </c>
      <c r="P348" s="17">
        <f>IF($A348="","",$B348+$M348+$N348)</f>
        <v/>
      </c>
    </row>
    <row r="349">
      <c r="A349" s="17">
        <f>IF('ANAHTAR'!$B349="","",'ANAHTAR'!$B349)</f>
        <v/>
      </c>
      <c r="B349" s="17">
        <f>IF($A349="","",COUNTIF(tblAnahtarB[NormB],$A349))</f>
        <v/>
      </c>
      <c r="C349" s="17">
        <f>IF($A349="","",IFERROR(SUMIF(tblAnahtarB[NormB],$A349,tblHakedis[GercekHakedis]),0))</f>
        <v/>
      </c>
      <c r="D349" s="17">
        <f>IF($A349="","",IFERROR(SUMIF(tblMotor[A_Norm],$A349,tblMotor[BeklenenHakedis]),0))</f>
        <v/>
      </c>
      <c r="E349" s="17">
        <f>IF($A349="","",ROUND($D349,2)-ROUND($C349,2))</f>
        <v/>
      </c>
      <c r="F349" s="17">
        <f>IF($A349="","",ABS($E349))</f>
        <v/>
      </c>
      <c r="G349" s="17">
        <f>IF($A349="","",IF($B349=0,"eslesmedi",IF(ROUND($D349,2)=ROUND($C349,2),"eslesti",IF(ABS(ROUND($D349,2)-ROUND($C349,2))&lt;=toleransKurus,"tolerans_icinde","tutar_farki"))))</f>
        <v/>
      </c>
      <c r="H349" s="17">
        <f>IF($A349="","",IF($B349&gt;0,"BIRINCIL",IF(COUNTIF(tblAnahtarB[IkincilB],'ANAHTAR'!$D349)&gt;0,"IKINCIL","YOK")))</f>
        <v/>
      </c>
      <c r="I349" s="17">
        <f>IF($A349="","",'ANAHTAR'!$F349)</f>
        <v/>
      </c>
      <c r="J349" s="17">
        <f>IF(OR($A349="",$D349=0),0,$F349/ABS($D349))</f>
        <v/>
      </c>
      <c r="K349" s="17">
        <f>IF($A349="","",ROUND($D349,2))</f>
        <v/>
      </c>
      <c r="L349" s="17">
        <f>IF($A349="","",ROUND($C349,2))</f>
        <v/>
      </c>
      <c r="M349" s="17">
        <f>IF($A349="","",IF($F349&lt;=toleransKurus,1,0))</f>
        <v/>
      </c>
      <c r="N349" s="17">
        <f>IF($A349="","",IF($F349&gt;tyk_esikFark,1,0))</f>
        <v/>
      </c>
      <c r="O349" s="17">
        <f>IF($A349="","",IFERROR(SUMIF(tblMotor[A_Norm],$A349,tblMotor[NetKar]),0))</f>
        <v/>
      </c>
      <c r="P349" s="17">
        <f>IF($A349="","",$B349+$M349+$N349)</f>
        <v/>
      </c>
    </row>
    <row r="350">
      <c r="A350" s="17">
        <f>IF('ANAHTAR'!$B350="","",'ANAHTAR'!$B350)</f>
        <v/>
      </c>
      <c r="B350" s="17">
        <f>IF($A350="","",COUNTIF(tblAnahtarB[NormB],$A350))</f>
        <v/>
      </c>
      <c r="C350" s="17">
        <f>IF($A350="","",IFERROR(SUMIF(tblAnahtarB[NormB],$A350,tblHakedis[GercekHakedis]),0))</f>
        <v/>
      </c>
      <c r="D350" s="17">
        <f>IF($A350="","",IFERROR(SUMIF(tblMotor[A_Norm],$A350,tblMotor[BeklenenHakedis]),0))</f>
        <v/>
      </c>
      <c r="E350" s="17">
        <f>IF($A350="","",ROUND($D350,2)-ROUND($C350,2))</f>
        <v/>
      </c>
      <c r="F350" s="17">
        <f>IF($A350="","",ABS($E350))</f>
        <v/>
      </c>
      <c r="G350" s="17">
        <f>IF($A350="","",IF($B350=0,"eslesmedi",IF(ROUND($D350,2)=ROUND($C350,2),"eslesti",IF(ABS(ROUND($D350,2)-ROUND($C350,2))&lt;=toleransKurus,"tolerans_icinde","tutar_farki"))))</f>
        <v/>
      </c>
      <c r="H350" s="17">
        <f>IF($A350="","",IF($B350&gt;0,"BIRINCIL",IF(COUNTIF(tblAnahtarB[IkincilB],'ANAHTAR'!$D350)&gt;0,"IKINCIL","YOK")))</f>
        <v/>
      </c>
      <c r="I350" s="17">
        <f>IF($A350="","",'ANAHTAR'!$F350)</f>
        <v/>
      </c>
      <c r="J350" s="17">
        <f>IF(OR($A350="",$D350=0),0,$F350/ABS($D350))</f>
        <v/>
      </c>
      <c r="K350" s="17">
        <f>IF($A350="","",ROUND($D350,2))</f>
        <v/>
      </c>
      <c r="L350" s="17">
        <f>IF($A350="","",ROUND($C350,2))</f>
        <v/>
      </c>
      <c r="M350" s="17">
        <f>IF($A350="","",IF($F350&lt;=toleransKurus,1,0))</f>
        <v/>
      </c>
      <c r="N350" s="17">
        <f>IF($A350="","",IF($F350&gt;tyk_esikFark,1,0))</f>
        <v/>
      </c>
      <c r="O350" s="17">
        <f>IF($A350="","",IFERROR(SUMIF(tblMotor[A_Norm],$A350,tblMotor[NetKar]),0))</f>
        <v/>
      </c>
      <c r="P350" s="17">
        <f>IF($A350="","",$B350+$M350+$N350)</f>
        <v/>
      </c>
    </row>
    <row r="351">
      <c r="A351" s="17">
        <f>IF('ANAHTAR'!$B351="","",'ANAHTAR'!$B351)</f>
        <v/>
      </c>
      <c r="B351" s="17">
        <f>IF($A351="","",COUNTIF(tblAnahtarB[NormB],$A351))</f>
        <v/>
      </c>
      <c r="C351" s="17">
        <f>IF($A351="","",IFERROR(SUMIF(tblAnahtarB[NormB],$A351,tblHakedis[GercekHakedis]),0))</f>
        <v/>
      </c>
      <c r="D351" s="17">
        <f>IF($A351="","",IFERROR(SUMIF(tblMotor[A_Norm],$A351,tblMotor[BeklenenHakedis]),0))</f>
        <v/>
      </c>
      <c r="E351" s="17">
        <f>IF($A351="","",ROUND($D351,2)-ROUND($C351,2))</f>
        <v/>
      </c>
      <c r="F351" s="17">
        <f>IF($A351="","",ABS($E351))</f>
        <v/>
      </c>
      <c r="G351" s="17">
        <f>IF($A351="","",IF($B351=0,"eslesmedi",IF(ROUND($D351,2)=ROUND($C351,2),"eslesti",IF(ABS(ROUND($D351,2)-ROUND($C351,2))&lt;=toleransKurus,"tolerans_icinde","tutar_farki"))))</f>
        <v/>
      </c>
      <c r="H351" s="17">
        <f>IF($A351="","",IF($B351&gt;0,"BIRINCIL",IF(COUNTIF(tblAnahtarB[IkincilB],'ANAHTAR'!$D351)&gt;0,"IKINCIL","YOK")))</f>
        <v/>
      </c>
      <c r="I351" s="17">
        <f>IF($A351="","",'ANAHTAR'!$F351)</f>
        <v/>
      </c>
      <c r="J351" s="17">
        <f>IF(OR($A351="",$D351=0),0,$F351/ABS($D351))</f>
        <v/>
      </c>
      <c r="K351" s="17">
        <f>IF($A351="","",ROUND($D351,2))</f>
        <v/>
      </c>
      <c r="L351" s="17">
        <f>IF($A351="","",ROUND($C351,2))</f>
        <v/>
      </c>
      <c r="M351" s="17">
        <f>IF($A351="","",IF($F351&lt;=toleransKurus,1,0))</f>
        <v/>
      </c>
      <c r="N351" s="17">
        <f>IF($A351="","",IF($F351&gt;tyk_esikFark,1,0))</f>
        <v/>
      </c>
      <c r="O351" s="17">
        <f>IF($A351="","",IFERROR(SUMIF(tblMotor[A_Norm],$A351,tblMotor[NetKar]),0))</f>
        <v/>
      </c>
      <c r="P351" s="17">
        <f>IF($A351="","",$B351+$M351+$N351)</f>
        <v/>
      </c>
    </row>
    <row r="352">
      <c r="A352" s="17">
        <f>IF('ANAHTAR'!$B352="","",'ANAHTAR'!$B352)</f>
        <v/>
      </c>
      <c r="B352" s="17">
        <f>IF($A352="","",COUNTIF(tblAnahtarB[NormB],$A352))</f>
        <v/>
      </c>
      <c r="C352" s="17">
        <f>IF($A352="","",IFERROR(SUMIF(tblAnahtarB[NormB],$A352,tblHakedis[GercekHakedis]),0))</f>
        <v/>
      </c>
      <c r="D352" s="17">
        <f>IF($A352="","",IFERROR(SUMIF(tblMotor[A_Norm],$A352,tblMotor[BeklenenHakedis]),0))</f>
        <v/>
      </c>
      <c r="E352" s="17">
        <f>IF($A352="","",ROUND($D352,2)-ROUND($C352,2))</f>
        <v/>
      </c>
      <c r="F352" s="17">
        <f>IF($A352="","",ABS($E352))</f>
        <v/>
      </c>
      <c r="G352" s="17">
        <f>IF($A352="","",IF($B352=0,"eslesmedi",IF(ROUND($D352,2)=ROUND($C352,2),"eslesti",IF(ABS(ROUND($D352,2)-ROUND($C352,2))&lt;=toleransKurus,"tolerans_icinde","tutar_farki"))))</f>
        <v/>
      </c>
      <c r="H352" s="17">
        <f>IF($A352="","",IF($B352&gt;0,"BIRINCIL",IF(COUNTIF(tblAnahtarB[IkincilB],'ANAHTAR'!$D352)&gt;0,"IKINCIL","YOK")))</f>
        <v/>
      </c>
      <c r="I352" s="17">
        <f>IF($A352="","",'ANAHTAR'!$F352)</f>
        <v/>
      </c>
      <c r="J352" s="17">
        <f>IF(OR($A352="",$D352=0),0,$F352/ABS($D352))</f>
        <v/>
      </c>
      <c r="K352" s="17">
        <f>IF($A352="","",ROUND($D352,2))</f>
        <v/>
      </c>
      <c r="L352" s="17">
        <f>IF($A352="","",ROUND($C352,2))</f>
        <v/>
      </c>
      <c r="M352" s="17">
        <f>IF($A352="","",IF($F352&lt;=toleransKurus,1,0))</f>
        <v/>
      </c>
      <c r="N352" s="17">
        <f>IF($A352="","",IF($F352&gt;tyk_esikFark,1,0))</f>
        <v/>
      </c>
      <c r="O352" s="17">
        <f>IF($A352="","",IFERROR(SUMIF(tblMotor[A_Norm],$A352,tblMotor[NetKar]),0))</f>
        <v/>
      </c>
      <c r="P352" s="17">
        <f>IF($A352="","",$B352+$M352+$N352)</f>
        <v/>
      </c>
    </row>
    <row r="353">
      <c r="A353" s="17">
        <f>IF('ANAHTAR'!$B353="","",'ANAHTAR'!$B353)</f>
        <v/>
      </c>
      <c r="B353" s="17">
        <f>IF($A353="","",COUNTIF(tblAnahtarB[NormB],$A353))</f>
        <v/>
      </c>
      <c r="C353" s="17">
        <f>IF($A353="","",IFERROR(SUMIF(tblAnahtarB[NormB],$A353,tblHakedis[GercekHakedis]),0))</f>
        <v/>
      </c>
      <c r="D353" s="17">
        <f>IF($A353="","",IFERROR(SUMIF(tblMotor[A_Norm],$A353,tblMotor[BeklenenHakedis]),0))</f>
        <v/>
      </c>
      <c r="E353" s="17">
        <f>IF($A353="","",ROUND($D353,2)-ROUND($C353,2))</f>
        <v/>
      </c>
      <c r="F353" s="17">
        <f>IF($A353="","",ABS($E353))</f>
        <v/>
      </c>
      <c r="G353" s="17">
        <f>IF($A353="","",IF($B353=0,"eslesmedi",IF(ROUND($D353,2)=ROUND($C353,2),"eslesti",IF(ABS(ROUND($D353,2)-ROUND($C353,2))&lt;=toleransKurus,"tolerans_icinde","tutar_farki"))))</f>
        <v/>
      </c>
      <c r="H353" s="17">
        <f>IF($A353="","",IF($B353&gt;0,"BIRINCIL",IF(COUNTIF(tblAnahtarB[IkincilB],'ANAHTAR'!$D353)&gt;0,"IKINCIL","YOK")))</f>
        <v/>
      </c>
      <c r="I353" s="17">
        <f>IF($A353="","",'ANAHTAR'!$F353)</f>
        <v/>
      </c>
      <c r="J353" s="17">
        <f>IF(OR($A353="",$D353=0),0,$F353/ABS($D353))</f>
        <v/>
      </c>
      <c r="K353" s="17">
        <f>IF($A353="","",ROUND($D353,2))</f>
        <v/>
      </c>
      <c r="L353" s="17">
        <f>IF($A353="","",ROUND($C353,2))</f>
        <v/>
      </c>
      <c r="M353" s="17">
        <f>IF($A353="","",IF($F353&lt;=toleransKurus,1,0))</f>
        <v/>
      </c>
      <c r="N353" s="17">
        <f>IF($A353="","",IF($F353&gt;tyk_esikFark,1,0))</f>
        <v/>
      </c>
      <c r="O353" s="17">
        <f>IF($A353="","",IFERROR(SUMIF(tblMotor[A_Norm],$A353,tblMotor[NetKar]),0))</f>
        <v/>
      </c>
      <c r="P353" s="17">
        <f>IF($A353="","",$B353+$M353+$N353)</f>
        <v/>
      </c>
    </row>
    <row r="354">
      <c r="A354" s="17">
        <f>IF('ANAHTAR'!$B354="","",'ANAHTAR'!$B354)</f>
        <v/>
      </c>
      <c r="B354" s="17">
        <f>IF($A354="","",COUNTIF(tblAnahtarB[NormB],$A354))</f>
        <v/>
      </c>
      <c r="C354" s="17">
        <f>IF($A354="","",IFERROR(SUMIF(tblAnahtarB[NormB],$A354,tblHakedis[GercekHakedis]),0))</f>
        <v/>
      </c>
      <c r="D354" s="17">
        <f>IF($A354="","",IFERROR(SUMIF(tblMotor[A_Norm],$A354,tblMotor[BeklenenHakedis]),0))</f>
        <v/>
      </c>
      <c r="E354" s="17">
        <f>IF($A354="","",ROUND($D354,2)-ROUND($C354,2))</f>
        <v/>
      </c>
      <c r="F354" s="17">
        <f>IF($A354="","",ABS($E354))</f>
        <v/>
      </c>
      <c r="G354" s="17">
        <f>IF($A354="","",IF($B354=0,"eslesmedi",IF(ROUND($D354,2)=ROUND($C354,2),"eslesti",IF(ABS(ROUND($D354,2)-ROUND($C354,2))&lt;=toleransKurus,"tolerans_icinde","tutar_farki"))))</f>
        <v/>
      </c>
      <c r="H354" s="17">
        <f>IF($A354="","",IF($B354&gt;0,"BIRINCIL",IF(COUNTIF(tblAnahtarB[IkincilB],'ANAHTAR'!$D354)&gt;0,"IKINCIL","YOK")))</f>
        <v/>
      </c>
      <c r="I354" s="17">
        <f>IF($A354="","",'ANAHTAR'!$F354)</f>
        <v/>
      </c>
      <c r="J354" s="17">
        <f>IF(OR($A354="",$D354=0),0,$F354/ABS($D354))</f>
        <v/>
      </c>
      <c r="K354" s="17">
        <f>IF($A354="","",ROUND($D354,2))</f>
        <v/>
      </c>
      <c r="L354" s="17">
        <f>IF($A354="","",ROUND($C354,2))</f>
        <v/>
      </c>
      <c r="M354" s="17">
        <f>IF($A354="","",IF($F354&lt;=toleransKurus,1,0))</f>
        <v/>
      </c>
      <c r="N354" s="17">
        <f>IF($A354="","",IF($F354&gt;tyk_esikFark,1,0))</f>
        <v/>
      </c>
      <c r="O354" s="17">
        <f>IF($A354="","",IFERROR(SUMIF(tblMotor[A_Norm],$A354,tblMotor[NetKar]),0))</f>
        <v/>
      </c>
      <c r="P354" s="17">
        <f>IF($A354="","",$B354+$M354+$N354)</f>
        <v/>
      </c>
    </row>
    <row r="355">
      <c r="A355" s="17">
        <f>IF('ANAHTAR'!$B355="","",'ANAHTAR'!$B355)</f>
        <v/>
      </c>
      <c r="B355" s="17">
        <f>IF($A355="","",COUNTIF(tblAnahtarB[NormB],$A355))</f>
        <v/>
      </c>
      <c r="C355" s="17">
        <f>IF($A355="","",IFERROR(SUMIF(tblAnahtarB[NormB],$A355,tblHakedis[GercekHakedis]),0))</f>
        <v/>
      </c>
      <c r="D355" s="17">
        <f>IF($A355="","",IFERROR(SUMIF(tblMotor[A_Norm],$A355,tblMotor[BeklenenHakedis]),0))</f>
        <v/>
      </c>
      <c r="E355" s="17">
        <f>IF($A355="","",ROUND($D355,2)-ROUND($C355,2))</f>
        <v/>
      </c>
      <c r="F355" s="17">
        <f>IF($A355="","",ABS($E355))</f>
        <v/>
      </c>
      <c r="G355" s="17">
        <f>IF($A355="","",IF($B355=0,"eslesmedi",IF(ROUND($D355,2)=ROUND($C355,2),"eslesti",IF(ABS(ROUND($D355,2)-ROUND($C355,2))&lt;=toleransKurus,"tolerans_icinde","tutar_farki"))))</f>
        <v/>
      </c>
      <c r="H355" s="17">
        <f>IF($A355="","",IF($B355&gt;0,"BIRINCIL",IF(COUNTIF(tblAnahtarB[IkincilB],'ANAHTAR'!$D355)&gt;0,"IKINCIL","YOK")))</f>
        <v/>
      </c>
      <c r="I355" s="17">
        <f>IF($A355="","",'ANAHTAR'!$F355)</f>
        <v/>
      </c>
      <c r="J355" s="17">
        <f>IF(OR($A355="",$D355=0),0,$F355/ABS($D355))</f>
        <v/>
      </c>
      <c r="K355" s="17">
        <f>IF($A355="","",ROUND($D355,2))</f>
        <v/>
      </c>
      <c r="L355" s="17">
        <f>IF($A355="","",ROUND($C355,2))</f>
        <v/>
      </c>
      <c r="M355" s="17">
        <f>IF($A355="","",IF($F355&lt;=toleransKurus,1,0))</f>
        <v/>
      </c>
      <c r="N355" s="17">
        <f>IF($A355="","",IF($F355&gt;tyk_esikFark,1,0))</f>
        <v/>
      </c>
      <c r="O355" s="17">
        <f>IF($A355="","",IFERROR(SUMIF(tblMotor[A_Norm],$A355,tblMotor[NetKar]),0))</f>
        <v/>
      </c>
      <c r="P355" s="17">
        <f>IF($A355="","",$B355+$M355+$N355)</f>
        <v/>
      </c>
    </row>
    <row r="356">
      <c r="A356" s="17">
        <f>IF('ANAHTAR'!$B356="","",'ANAHTAR'!$B356)</f>
        <v/>
      </c>
      <c r="B356" s="17">
        <f>IF($A356="","",COUNTIF(tblAnahtarB[NormB],$A356))</f>
        <v/>
      </c>
      <c r="C356" s="17">
        <f>IF($A356="","",IFERROR(SUMIF(tblAnahtarB[NormB],$A356,tblHakedis[GercekHakedis]),0))</f>
        <v/>
      </c>
      <c r="D356" s="17">
        <f>IF($A356="","",IFERROR(SUMIF(tblMotor[A_Norm],$A356,tblMotor[BeklenenHakedis]),0))</f>
        <v/>
      </c>
      <c r="E356" s="17">
        <f>IF($A356="","",ROUND($D356,2)-ROUND($C356,2))</f>
        <v/>
      </c>
      <c r="F356" s="17">
        <f>IF($A356="","",ABS($E356))</f>
        <v/>
      </c>
      <c r="G356" s="17">
        <f>IF($A356="","",IF($B356=0,"eslesmedi",IF(ROUND($D356,2)=ROUND($C356,2),"eslesti",IF(ABS(ROUND($D356,2)-ROUND($C356,2))&lt;=toleransKurus,"tolerans_icinde","tutar_farki"))))</f>
        <v/>
      </c>
      <c r="H356" s="17">
        <f>IF($A356="","",IF($B356&gt;0,"BIRINCIL",IF(COUNTIF(tblAnahtarB[IkincilB],'ANAHTAR'!$D356)&gt;0,"IKINCIL","YOK")))</f>
        <v/>
      </c>
      <c r="I356" s="17">
        <f>IF($A356="","",'ANAHTAR'!$F356)</f>
        <v/>
      </c>
      <c r="J356" s="17">
        <f>IF(OR($A356="",$D356=0),0,$F356/ABS($D356))</f>
        <v/>
      </c>
      <c r="K356" s="17">
        <f>IF($A356="","",ROUND($D356,2))</f>
        <v/>
      </c>
      <c r="L356" s="17">
        <f>IF($A356="","",ROUND($C356,2))</f>
        <v/>
      </c>
      <c r="M356" s="17">
        <f>IF($A356="","",IF($F356&lt;=toleransKurus,1,0))</f>
        <v/>
      </c>
      <c r="N356" s="17">
        <f>IF($A356="","",IF($F356&gt;tyk_esikFark,1,0))</f>
        <v/>
      </c>
      <c r="O356" s="17">
        <f>IF($A356="","",IFERROR(SUMIF(tblMotor[A_Norm],$A356,tblMotor[NetKar]),0))</f>
        <v/>
      </c>
      <c r="P356" s="17">
        <f>IF($A356="","",$B356+$M356+$N356)</f>
        <v/>
      </c>
    </row>
    <row r="357">
      <c r="A357" s="17">
        <f>IF('ANAHTAR'!$B357="","",'ANAHTAR'!$B357)</f>
        <v/>
      </c>
      <c r="B357" s="17">
        <f>IF($A357="","",COUNTIF(tblAnahtarB[NormB],$A357))</f>
        <v/>
      </c>
      <c r="C357" s="17">
        <f>IF($A357="","",IFERROR(SUMIF(tblAnahtarB[NormB],$A357,tblHakedis[GercekHakedis]),0))</f>
        <v/>
      </c>
      <c r="D357" s="17">
        <f>IF($A357="","",IFERROR(SUMIF(tblMotor[A_Norm],$A357,tblMotor[BeklenenHakedis]),0))</f>
        <v/>
      </c>
      <c r="E357" s="17">
        <f>IF($A357="","",ROUND($D357,2)-ROUND($C357,2))</f>
        <v/>
      </c>
      <c r="F357" s="17">
        <f>IF($A357="","",ABS($E357))</f>
        <v/>
      </c>
      <c r="G357" s="17">
        <f>IF($A357="","",IF($B357=0,"eslesmedi",IF(ROUND($D357,2)=ROUND($C357,2),"eslesti",IF(ABS(ROUND($D357,2)-ROUND($C357,2))&lt;=toleransKurus,"tolerans_icinde","tutar_farki"))))</f>
        <v/>
      </c>
      <c r="H357" s="17">
        <f>IF($A357="","",IF($B357&gt;0,"BIRINCIL",IF(COUNTIF(tblAnahtarB[IkincilB],'ANAHTAR'!$D357)&gt;0,"IKINCIL","YOK")))</f>
        <v/>
      </c>
      <c r="I357" s="17">
        <f>IF($A357="","",'ANAHTAR'!$F357)</f>
        <v/>
      </c>
      <c r="J357" s="17">
        <f>IF(OR($A357="",$D357=0),0,$F357/ABS($D357))</f>
        <v/>
      </c>
      <c r="K357" s="17">
        <f>IF($A357="","",ROUND($D357,2))</f>
        <v/>
      </c>
      <c r="L357" s="17">
        <f>IF($A357="","",ROUND($C357,2))</f>
        <v/>
      </c>
      <c r="M357" s="17">
        <f>IF($A357="","",IF($F357&lt;=toleransKurus,1,0))</f>
        <v/>
      </c>
      <c r="N357" s="17">
        <f>IF($A357="","",IF($F357&gt;tyk_esikFark,1,0))</f>
        <v/>
      </c>
      <c r="O357" s="17">
        <f>IF($A357="","",IFERROR(SUMIF(tblMotor[A_Norm],$A357,tblMotor[NetKar]),0))</f>
        <v/>
      </c>
      <c r="P357" s="17">
        <f>IF($A357="","",$B357+$M357+$N357)</f>
        <v/>
      </c>
    </row>
    <row r="358">
      <c r="A358" s="17">
        <f>IF('ANAHTAR'!$B358="","",'ANAHTAR'!$B358)</f>
        <v/>
      </c>
      <c r="B358" s="17">
        <f>IF($A358="","",COUNTIF(tblAnahtarB[NormB],$A358))</f>
        <v/>
      </c>
      <c r="C358" s="17">
        <f>IF($A358="","",IFERROR(SUMIF(tblAnahtarB[NormB],$A358,tblHakedis[GercekHakedis]),0))</f>
        <v/>
      </c>
      <c r="D358" s="17">
        <f>IF($A358="","",IFERROR(SUMIF(tblMotor[A_Norm],$A358,tblMotor[BeklenenHakedis]),0))</f>
        <v/>
      </c>
      <c r="E358" s="17">
        <f>IF($A358="","",ROUND($D358,2)-ROUND($C358,2))</f>
        <v/>
      </c>
      <c r="F358" s="17">
        <f>IF($A358="","",ABS($E358))</f>
        <v/>
      </c>
      <c r="G358" s="17">
        <f>IF($A358="","",IF($B358=0,"eslesmedi",IF(ROUND($D358,2)=ROUND($C358,2),"eslesti",IF(ABS(ROUND($D358,2)-ROUND($C358,2))&lt;=toleransKurus,"tolerans_icinde","tutar_farki"))))</f>
        <v/>
      </c>
      <c r="H358" s="17">
        <f>IF($A358="","",IF($B358&gt;0,"BIRINCIL",IF(COUNTIF(tblAnahtarB[IkincilB],'ANAHTAR'!$D358)&gt;0,"IKINCIL","YOK")))</f>
        <v/>
      </c>
      <c r="I358" s="17">
        <f>IF($A358="","",'ANAHTAR'!$F358)</f>
        <v/>
      </c>
      <c r="J358" s="17">
        <f>IF(OR($A358="",$D358=0),0,$F358/ABS($D358))</f>
        <v/>
      </c>
      <c r="K358" s="17">
        <f>IF($A358="","",ROUND($D358,2))</f>
        <v/>
      </c>
      <c r="L358" s="17">
        <f>IF($A358="","",ROUND($C358,2))</f>
        <v/>
      </c>
      <c r="M358" s="17">
        <f>IF($A358="","",IF($F358&lt;=toleransKurus,1,0))</f>
        <v/>
      </c>
      <c r="N358" s="17">
        <f>IF($A358="","",IF($F358&gt;tyk_esikFark,1,0))</f>
        <v/>
      </c>
      <c r="O358" s="17">
        <f>IF($A358="","",IFERROR(SUMIF(tblMotor[A_Norm],$A358,tblMotor[NetKar]),0))</f>
        <v/>
      </c>
      <c r="P358" s="17">
        <f>IF($A358="","",$B358+$M358+$N358)</f>
        <v/>
      </c>
    </row>
    <row r="359">
      <c r="A359" s="17">
        <f>IF('ANAHTAR'!$B359="","",'ANAHTAR'!$B359)</f>
        <v/>
      </c>
      <c r="B359" s="17">
        <f>IF($A359="","",COUNTIF(tblAnahtarB[NormB],$A359))</f>
        <v/>
      </c>
      <c r="C359" s="17">
        <f>IF($A359="","",IFERROR(SUMIF(tblAnahtarB[NormB],$A359,tblHakedis[GercekHakedis]),0))</f>
        <v/>
      </c>
      <c r="D359" s="17">
        <f>IF($A359="","",IFERROR(SUMIF(tblMotor[A_Norm],$A359,tblMotor[BeklenenHakedis]),0))</f>
        <v/>
      </c>
      <c r="E359" s="17">
        <f>IF($A359="","",ROUND($D359,2)-ROUND($C359,2))</f>
        <v/>
      </c>
      <c r="F359" s="17">
        <f>IF($A359="","",ABS($E359))</f>
        <v/>
      </c>
      <c r="G359" s="17">
        <f>IF($A359="","",IF($B359=0,"eslesmedi",IF(ROUND($D359,2)=ROUND($C359,2),"eslesti",IF(ABS(ROUND($D359,2)-ROUND($C359,2))&lt;=toleransKurus,"tolerans_icinde","tutar_farki"))))</f>
        <v/>
      </c>
      <c r="H359" s="17">
        <f>IF($A359="","",IF($B359&gt;0,"BIRINCIL",IF(COUNTIF(tblAnahtarB[IkincilB],'ANAHTAR'!$D359)&gt;0,"IKINCIL","YOK")))</f>
        <v/>
      </c>
      <c r="I359" s="17">
        <f>IF($A359="","",'ANAHTAR'!$F359)</f>
        <v/>
      </c>
      <c r="J359" s="17">
        <f>IF(OR($A359="",$D359=0),0,$F359/ABS($D359))</f>
        <v/>
      </c>
      <c r="K359" s="17">
        <f>IF($A359="","",ROUND($D359,2))</f>
        <v/>
      </c>
      <c r="L359" s="17">
        <f>IF($A359="","",ROUND($C359,2))</f>
        <v/>
      </c>
      <c r="M359" s="17">
        <f>IF($A359="","",IF($F359&lt;=toleransKurus,1,0))</f>
        <v/>
      </c>
      <c r="N359" s="17">
        <f>IF($A359="","",IF($F359&gt;tyk_esikFark,1,0))</f>
        <v/>
      </c>
      <c r="O359" s="17">
        <f>IF($A359="","",IFERROR(SUMIF(tblMotor[A_Norm],$A359,tblMotor[NetKar]),0))</f>
        <v/>
      </c>
      <c r="P359" s="17">
        <f>IF($A359="","",$B359+$M359+$N359)</f>
        <v/>
      </c>
    </row>
    <row r="360">
      <c r="A360" s="17">
        <f>IF('ANAHTAR'!$B360="","",'ANAHTAR'!$B360)</f>
        <v/>
      </c>
      <c r="B360" s="17">
        <f>IF($A360="","",COUNTIF(tblAnahtarB[NormB],$A360))</f>
        <v/>
      </c>
      <c r="C360" s="17">
        <f>IF($A360="","",IFERROR(SUMIF(tblAnahtarB[NormB],$A360,tblHakedis[GercekHakedis]),0))</f>
        <v/>
      </c>
      <c r="D360" s="17">
        <f>IF($A360="","",IFERROR(SUMIF(tblMotor[A_Norm],$A360,tblMotor[BeklenenHakedis]),0))</f>
        <v/>
      </c>
      <c r="E360" s="17">
        <f>IF($A360="","",ROUND($D360,2)-ROUND($C360,2))</f>
        <v/>
      </c>
      <c r="F360" s="17">
        <f>IF($A360="","",ABS($E360))</f>
        <v/>
      </c>
      <c r="G360" s="17">
        <f>IF($A360="","",IF($B360=0,"eslesmedi",IF(ROUND($D360,2)=ROUND($C360,2),"eslesti",IF(ABS(ROUND($D360,2)-ROUND($C360,2))&lt;=toleransKurus,"tolerans_icinde","tutar_farki"))))</f>
        <v/>
      </c>
      <c r="H360" s="17">
        <f>IF($A360="","",IF($B360&gt;0,"BIRINCIL",IF(COUNTIF(tblAnahtarB[IkincilB],'ANAHTAR'!$D360)&gt;0,"IKINCIL","YOK")))</f>
        <v/>
      </c>
      <c r="I360" s="17">
        <f>IF($A360="","",'ANAHTAR'!$F360)</f>
        <v/>
      </c>
      <c r="J360" s="17">
        <f>IF(OR($A360="",$D360=0),0,$F360/ABS($D360))</f>
        <v/>
      </c>
      <c r="K360" s="17">
        <f>IF($A360="","",ROUND($D360,2))</f>
        <v/>
      </c>
      <c r="L360" s="17">
        <f>IF($A360="","",ROUND($C360,2))</f>
        <v/>
      </c>
      <c r="M360" s="17">
        <f>IF($A360="","",IF($F360&lt;=toleransKurus,1,0))</f>
        <v/>
      </c>
      <c r="N360" s="17">
        <f>IF($A360="","",IF($F360&gt;tyk_esikFark,1,0))</f>
        <v/>
      </c>
      <c r="O360" s="17">
        <f>IF($A360="","",IFERROR(SUMIF(tblMotor[A_Norm],$A360,tblMotor[NetKar]),0))</f>
        <v/>
      </c>
      <c r="P360" s="17">
        <f>IF($A360="","",$B360+$M360+$N360)</f>
        <v/>
      </c>
    </row>
    <row r="361">
      <c r="A361" s="17">
        <f>IF('ANAHTAR'!$B361="","",'ANAHTAR'!$B361)</f>
        <v/>
      </c>
      <c r="B361" s="17">
        <f>IF($A361="","",COUNTIF(tblAnahtarB[NormB],$A361))</f>
        <v/>
      </c>
      <c r="C361" s="17">
        <f>IF($A361="","",IFERROR(SUMIF(tblAnahtarB[NormB],$A361,tblHakedis[GercekHakedis]),0))</f>
        <v/>
      </c>
      <c r="D361" s="17">
        <f>IF($A361="","",IFERROR(SUMIF(tblMotor[A_Norm],$A361,tblMotor[BeklenenHakedis]),0))</f>
        <v/>
      </c>
      <c r="E361" s="17">
        <f>IF($A361="","",ROUND($D361,2)-ROUND($C361,2))</f>
        <v/>
      </c>
      <c r="F361" s="17">
        <f>IF($A361="","",ABS($E361))</f>
        <v/>
      </c>
      <c r="G361" s="17">
        <f>IF($A361="","",IF($B361=0,"eslesmedi",IF(ROUND($D361,2)=ROUND($C361,2),"eslesti",IF(ABS(ROUND($D361,2)-ROUND($C361,2))&lt;=toleransKurus,"tolerans_icinde","tutar_farki"))))</f>
        <v/>
      </c>
      <c r="H361" s="17">
        <f>IF($A361="","",IF($B361&gt;0,"BIRINCIL",IF(COUNTIF(tblAnahtarB[IkincilB],'ANAHTAR'!$D361)&gt;0,"IKINCIL","YOK")))</f>
        <v/>
      </c>
      <c r="I361" s="17">
        <f>IF($A361="","",'ANAHTAR'!$F361)</f>
        <v/>
      </c>
      <c r="J361" s="17">
        <f>IF(OR($A361="",$D361=0),0,$F361/ABS($D361))</f>
        <v/>
      </c>
      <c r="K361" s="17">
        <f>IF($A361="","",ROUND($D361,2))</f>
        <v/>
      </c>
      <c r="L361" s="17">
        <f>IF($A361="","",ROUND($C361,2))</f>
        <v/>
      </c>
      <c r="M361" s="17">
        <f>IF($A361="","",IF($F361&lt;=toleransKurus,1,0))</f>
        <v/>
      </c>
      <c r="N361" s="17">
        <f>IF($A361="","",IF($F361&gt;tyk_esikFark,1,0))</f>
        <v/>
      </c>
      <c r="O361" s="17">
        <f>IF($A361="","",IFERROR(SUMIF(tblMotor[A_Norm],$A361,tblMotor[NetKar]),0))</f>
        <v/>
      </c>
      <c r="P361" s="17">
        <f>IF($A361="","",$B361+$M361+$N361)</f>
        <v/>
      </c>
    </row>
    <row r="362">
      <c r="A362" s="17">
        <f>IF('ANAHTAR'!$B362="","",'ANAHTAR'!$B362)</f>
        <v/>
      </c>
      <c r="B362" s="17">
        <f>IF($A362="","",COUNTIF(tblAnahtarB[NormB],$A362))</f>
        <v/>
      </c>
      <c r="C362" s="17">
        <f>IF($A362="","",IFERROR(SUMIF(tblAnahtarB[NormB],$A362,tblHakedis[GercekHakedis]),0))</f>
        <v/>
      </c>
      <c r="D362" s="17">
        <f>IF($A362="","",IFERROR(SUMIF(tblMotor[A_Norm],$A362,tblMotor[BeklenenHakedis]),0))</f>
        <v/>
      </c>
      <c r="E362" s="17">
        <f>IF($A362="","",ROUND($D362,2)-ROUND($C362,2))</f>
        <v/>
      </c>
      <c r="F362" s="17">
        <f>IF($A362="","",ABS($E362))</f>
        <v/>
      </c>
      <c r="G362" s="17">
        <f>IF($A362="","",IF($B362=0,"eslesmedi",IF(ROUND($D362,2)=ROUND($C362,2),"eslesti",IF(ABS(ROUND($D362,2)-ROUND($C362,2))&lt;=toleransKurus,"tolerans_icinde","tutar_farki"))))</f>
        <v/>
      </c>
      <c r="H362" s="17">
        <f>IF($A362="","",IF($B362&gt;0,"BIRINCIL",IF(COUNTIF(tblAnahtarB[IkincilB],'ANAHTAR'!$D362)&gt;0,"IKINCIL","YOK")))</f>
        <v/>
      </c>
      <c r="I362" s="17">
        <f>IF($A362="","",'ANAHTAR'!$F362)</f>
        <v/>
      </c>
      <c r="J362" s="17">
        <f>IF(OR($A362="",$D362=0),0,$F362/ABS($D362))</f>
        <v/>
      </c>
      <c r="K362" s="17">
        <f>IF($A362="","",ROUND($D362,2))</f>
        <v/>
      </c>
      <c r="L362" s="17">
        <f>IF($A362="","",ROUND($C362,2))</f>
        <v/>
      </c>
      <c r="M362" s="17">
        <f>IF($A362="","",IF($F362&lt;=toleransKurus,1,0))</f>
        <v/>
      </c>
      <c r="N362" s="17">
        <f>IF($A362="","",IF($F362&gt;tyk_esikFark,1,0))</f>
        <v/>
      </c>
      <c r="O362" s="17">
        <f>IF($A362="","",IFERROR(SUMIF(tblMotor[A_Norm],$A362,tblMotor[NetKar]),0))</f>
        <v/>
      </c>
      <c r="P362" s="17">
        <f>IF($A362="","",$B362+$M362+$N362)</f>
        <v/>
      </c>
    </row>
    <row r="363">
      <c r="A363" s="17">
        <f>IF('ANAHTAR'!$B363="","",'ANAHTAR'!$B363)</f>
        <v/>
      </c>
      <c r="B363" s="17">
        <f>IF($A363="","",COUNTIF(tblAnahtarB[NormB],$A363))</f>
        <v/>
      </c>
      <c r="C363" s="17">
        <f>IF($A363="","",IFERROR(SUMIF(tblAnahtarB[NormB],$A363,tblHakedis[GercekHakedis]),0))</f>
        <v/>
      </c>
      <c r="D363" s="17">
        <f>IF($A363="","",IFERROR(SUMIF(tblMotor[A_Norm],$A363,tblMotor[BeklenenHakedis]),0))</f>
        <v/>
      </c>
      <c r="E363" s="17">
        <f>IF($A363="","",ROUND($D363,2)-ROUND($C363,2))</f>
        <v/>
      </c>
      <c r="F363" s="17">
        <f>IF($A363="","",ABS($E363))</f>
        <v/>
      </c>
      <c r="G363" s="17">
        <f>IF($A363="","",IF($B363=0,"eslesmedi",IF(ROUND($D363,2)=ROUND($C363,2),"eslesti",IF(ABS(ROUND($D363,2)-ROUND($C363,2))&lt;=toleransKurus,"tolerans_icinde","tutar_farki"))))</f>
        <v/>
      </c>
      <c r="H363" s="17">
        <f>IF($A363="","",IF($B363&gt;0,"BIRINCIL",IF(COUNTIF(tblAnahtarB[IkincilB],'ANAHTAR'!$D363)&gt;0,"IKINCIL","YOK")))</f>
        <v/>
      </c>
      <c r="I363" s="17">
        <f>IF($A363="","",'ANAHTAR'!$F363)</f>
        <v/>
      </c>
      <c r="J363" s="17">
        <f>IF(OR($A363="",$D363=0),0,$F363/ABS($D363))</f>
        <v/>
      </c>
      <c r="K363" s="17">
        <f>IF($A363="","",ROUND($D363,2))</f>
        <v/>
      </c>
      <c r="L363" s="17">
        <f>IF($A363="","",ROUND($C363,2))</f>
        <v/>
      </c>
      <c r="M363" s="17">
        <f>IF($A363="","",IF($F363&lt;=toleransKurus,1,0))</f>
        <v/>
      </c>
      <c r="N363" s="17">
        <f>IF($A363="","",IF($F363&gt;tyk_esikFark,1,0))</f>
        <v/>
      </c>
      <c r="O363" s="17">
        <f>IF($A363="","",IFERROR(SUMIF(tblMotor[A_Norm],$A363,tblMotor[NetKar]),0))</f>
        <v/>
      </c>
      <c r="P363" s="17">
        <f>IF($A363="","",$B363+$M363+$N363)</f>
        <v/>
      </c>
    </row>
    <row r="364">
      <c r="A364" s="17">
        <f>IF('ANAHTAR'!$B364="","",'ANAHTAR'!$B364)</f>
        <v/>
      </c>
      <c r="B364" s="17">
        <f>IF($A364="","",COUNTIF(tblAnahtarB[NormB],$A364))</f>
        <v/>
      </c>
      <c r="C364" s="17">
        <f>IF($A364="","",IFERROR(SUMIF(tblAnahtarB[NormB],$A364,tblHakedis[GercekHakedis]),0))</f>
        <v/>
      </c>
      <c r="D364" s="17">
        <f>IF($A364="","",IFERROR(SUMIF(tblMotor[A_Norm],$A364,tblMotor[BeklenenHakedis]),0))</f>
        <v/>
      </c>
      <c r="E364" s="17">
        <f>IF($A364="","",ROUND($D364,2)-ROUND($C364,2))</f>
        <v/>
      </c>
      <c r="F364" s="17">
        <f>IF($A364="","",ABS($E364))</f>
        <v/>
      </c>
      <c r="G364" s="17">
        <f>IF($A364="","",IF($B364=0,"eslesmedi",IF(ROUND($D364,2)=ROUND($C364,2),"eslesti",IF(ABS(ROUND($D364,2)-ROUND($C364,2))&lt;=toleransKurus,"tolerans_icinde","tutar_farki"))))</f>
        <v/>
      </c>
      <c r="H364" s="17">
        <f>IF($A364="","",IF($B364&gt;0,"BIRINCIL",IF(COUNTIF(tblAnahtarB[IkincilB],'ANAHTAR'!$D364)&gt;0,"IKINCIL","YOK")))</f>
        <v/>
      </c>
      <c r="I364" s="17">
        <f>IF($A364="","",'ANAHTAR'!$F364)</f>
        <v/>
      </c>
      <c r="J364" s="17">
        <f>IF(OR($A364="",$D364=0),0,$F364/ABS($D364))</f>
        <v/>
      </c>
      <c r="K364" s="17">
        <f>IF($A364="","",ROUND($D364,2))</f>
        <v/>
      </c>
      <c r="L364" s="17">
        <f>IF($A364="","",ROUND($C364,2))</f>
        <v/>
      </c>
      <c r="M364" s="17">
        <f>IF($A364="","",IF($F364&lt;=toleransKurus,1,0))</f>
        <v/>
      </c>
      <c r="N364" s="17">
        <f>IF($A364="","",IF($F364&gt;tyk_esikFark,1,0))</f>
        <v/>
      </c>
      <c r="O364" s="17">
        <f>IF($A364="","",IFERROR(SUMIF(tblMotor[A_Norm],$A364,tblMotor[NetKar]),0))</f>
        <v/>
      </c>
      <c r="P364" s="17">
        <f>IF($A364="","",$B364+$M364+$N364)</f>
        <v/>
      </c>
    </row>
    <row r="365">
      <c r="A365" s="17">
        <f>IF('ANAHTAR'!$B365="","",'ANAHTAR'!$B365)</f>
        <v/>
      </c>
      <c r="B365" s="17">
        <f>IF($A365="","",COUNTIF(tblAnahtarB[NormB],$A365))</f>
        <v/>
      </c>
      <c r="C365" s="17">
        <f>IF($A365="","",IFERROR(SUMIF(tblAnahtarB[NormB],$A365,tblHakedis[GercekHakedis]),0))</f>
        <v/>
      </c>
      <c r="D365" s="17">
        <f>IF($A365="","",IFERROR(SUMIF(tblMotor[A_Norm],$A365,tblMotor[BeklenenHakedis]),0))</f>
        <v/>
      </c>
      <c r="E365" s="17">
        <f>IF($A365="","",ROUND($D365,2)-ROUND($C365,2))</f>
        <v/>
      </c>
      <c r="F365" s="17">
        <f>IF($A365="","",ABS($E365))</f>
        <v/>
      </c>
      <c r="G365" s="17">
        <f>IF($A365="","",IF($B365=0,"eslesmedi",IF(ROUND($D365,2)=ROUND($C365,2),"eslesti",IF(ABS(ROUND($D365,2)-ROUND($C365,2))&lt;=toleransKurus,"tolerans_icinde","tutar_farki"))))</f>
        <v/>
      </c>
      <c r="H365" s="17">
        <f>IF($A365="","",IF($B365&gt;0,"BIRINCIL",IF(COUNTIF(tblAnahtarB[IkincilB],'ANAHTAR'!$D365)&gt;0,"IKINCIL","YOK")))</f>
        <v/>
      </c>
      <c r="I365" s="17">
        <f>IF($A365="","",'ANAHTAR'!$F365)</f>
        <v/>
      </c>
      <c r="J365" s="17">
        <f>IF(OR($A365="",$D365=0),0,$F365/ABS($D365))</f>
        <v/>
      </c>
      <c r="K365" s="17">
        <f>IF($A365="","",ROUND($D365,2))</f>
        <v/>
      </c>
      <c r="L365" s="17">
        <f>IF($A365="","",ROUND($C365,2))</f>
        <v/>
      </c>
      <c r="M365" s="17">
        <f>IF($A365="","",IF($F365&lt;=toleransKurus,1,0))</f>
        <v/>
      </c>
      <c r="N365" s="17">
        <f>IF($A365="","",IF($F365&gt;tyk_esikFark,1,0))</f>
        <v/>
      </c>
      <c r="O365" s="17">
        <f>IF($A365="","",IFERROR(SUMIF(tblMotor[A_Norm],$A365,tblMotor[NetKar]),0))</f>
        <v/>
      </c>
      <c r="P365" s="17">
        <f>IF($A365="","",$B365+$M365+$N365)</f>
        <v/>
      </c>
    </row>
    <row r="366">
      <c r="A366" s="17">
        <f>IF('ANAHTAR'!$B366="","",'ANAHTAR'!$B366)</f>
        <v/>
      </c>
      <c r="B366" s="17">
        <f>IF($A366="","",COUNTIF(tblAnahtarB[NormB],$A366))</f>
        <v/>
      </c>
      <c r="C366" s="17">
        <f>IF($A366="","",IFERROR(SUMIF(tblAnahtarB[NormB],$A366,tblHakedis[GercekHakedis]),0))</f>
        <v/>
      </c>
      <c r="D366" s="17">
        <f>IF($A366="","",IFERROR(SUMIF(tblMotor[A_Norm],$A366,tblMotor[BeklenenHakedis]),0))</f>
        <v/>
      </c>
      <c r="E366" s="17">
        <f>IF($A366="","",ROUND($D366,2)-ROUND($C366,2))</f>
        <v/>
      </c>
      <c r="F366" s="17">
        <f>IF($A366="","",ABS($E366))</f>
        <v/>
      </c>
      <c r="G366" s="17">
        <f>IF($A366="","",IF($B366=0,"eslesmedi",IF(ROUND($D366,2)=ROUND($C366,2),"eslesti",IF(ABS(ROUND($D366,2)-ROUND($C366,2))&lt;=toleransKurus,"tolerans_icinde","tutar_farki"))))</f>
        <v/>
      </c>
      <c r="H366" s="17">
        <f>IF($A366="","",IF($B366&gt;0,"BIRINCIL",IF(COUNTIF(tblAnahtarB[IkincilB],'ANAHTAR'!$D366)&gt;0,"IKINCIL","YOK")))</f>
        <v/>
      </c>
      <c r="I366" s="17">
        <f>IF($A366="","",'ANAHTAR'!$F366)</f>
        <v/>
      </c>
      <c r="J366" s="17">
        <f>IF(OR($A366="",$D366=0),0,$F366/ABS($D366))</f>
        <v/>
      </c>
      <c r="K366" s="17">
        <f>IF($A366="","",ROUND($D366,2))</f>
        <v/>
      </c>
      <c r="L366" s="17">
        <f>IF($A366="","",ROUND($C366,2))</f>
        <v/>
      </c>
      <c r="M366" s="17">
        <f>IF($A366="","",IF($F366&lt;=toleransKurus,1,0))</f>
        <v/>
      </c>
      <c r="N366" s="17">
        <f>IF($A366="","",IF($F366&gt;tyk_esikFark,1,0))</f>
        <v/>
      </c>
      <c r="O366" s="17">
        <f>IF($A366="","",IFERROR(SUMIF(tblMotor[A_Norm],$A366,tblMotor[NetKar]),0))</f>
        <v/>
      </c>
      <c r="P366" s="17">
        <f>IF($A366="","",$B366+$M366+$N366)</f>
        <v/>
      </c>
    </row>
    <row r="367">
      <c r="A367" s="17">
        <f>IF('ANAHTAR'!$B367="","",'ANAHTAR'!$B367)</f>
        <v/>
      </c>
      <c r="B367" s="17">
        <f>IF($A367="","",COUNTIF(tblAnahtarB[NormB],$A367))</f>
        <v/>
      </c>
      <c r="C367" s="17">
        <f>IF($A367="","",IFERROR(SUMIF(tblAnahtarB[NormB],$A367,tblHakedis[GercekHakedis]),0))</f>
        <v/>
      </c>
      <c r="D367" s="17">
        <f>IF($A367="","",IFERROR(SUMIF(tblMotor[A_Norm],$A367,tblMotor[BeklenenHakedis]),0))</f>
        <v/>
      </c>
      <c r="E367" s="17">
        <f>IF($A367="","",ROUND($D367,2)-ROUND($C367,2))</f>
        <v/>
      </c>
      <c r="F367" s="17">
        <f>IF($A367="","",ABS($E367))</f>
        <v/>
      </c>
      <c r="G367" s="17">
        <f>IF($A367="","",IF($B367=0,"eslesmedi",IF(ROUND($D367,2)=ROUND($C367,2),"eslesti",IF(ABS(ROUND($D367,2)-ROUND($C367,2))&lt;=toleransKurus,"tolerans_icinde","tutar_farki"))))</f>
        <v/>
      </c>
      <c r="H367" s="17">
        <f>IF($A367="","",IF($B367&gt;0,"BIRINCIL",IF(COUNTIF(tblAnahtarB[IkincilB],'ANAHTAR'!$D367)&gt;0,"IKINCIL","YOK")))</f>
        <v/>
      </c>
      <c r="I367" s="17">
        <f>IF($A367="","",'ANAHTAR'!$F367)</f>
        <v/>
      </c>
      <c r="J367" s="17">
        <f>IF(OR($A367="",$D367=0),0,$F367/ABS($D367))</f>
        <v/>
      </c>
      <c r="K367" s="17">
        <f>IF($A367="","",ROUND($D367,2))</f>
        <v/>
      </c>
      <c r="L367" s="17">
        <f>IF($A367="","",ROUND($C367,2))</f>
        <v/>
      </c>
      <c r="M367" s="17">
        <f>IF($A367="","",IF($F367&lt;=toleransKurus,1,0))</f>
        <v/>
      </c>
      <c r="N367" s="17">
        <f>IF($A367="","",IF($F367&gt;tyk_esikFark,1,0))</f>
        <v/>
      </c>
      <c r="O367" s="17">
        <f>IF($A367="","",IFERROR(SUMIF(tblMotor[A_Norm],$A367,tblMotor[NetKar]),0))</f>
        <v/>
      </c>
      <c r="P367" s="17">
        <f>IF($A367="","",$B367+$M367+$N367)</f>
        <v/>
      </c>
    </row>
    <row r="368">
      <c r="A368" s="17">
        <f>IF('ANAHTAR'!$B368="","",'ANAHTAR'!$B368)</f>
        <v/>
      </c>
      <c r="B368" s="17">
        <f>IF($A368="","",COUNTIF(tblAnahtarB[NormB],$A368))</f>
        <v/>
      </c>
      <c r="C368" s="17">
        <f>IF($A368="","",IFERROR(SUMIF(tblAnahtarB[NormB],$A368,tblHakedis[GercekHakedis]),0))</f>
        <v/>
      </c>
      <c r="D368" s="17">
        <f>IF($A368="","",IFERROR(SUMIF(tblMotor[A_Norm],$A368,tblMotor[BeklenenHakedis]),0))</f>
        <v/>
      </c>
      <c r="E368" s="17">
        <f>IF($A368="","",ROUND($D368,2)-ROUND($C368,2))</f>
        <v/>
      </c>
      <c r="F368" s="17">
        <f>IF($A368="","",ABS($E368))</f>
        <v/>
      </c>
      <c r="G368" s="17">
        <f>IF($A368="","",IF($B368=0,"eslesmedi",IF(ROUND($D368,2)=ROUND($C368,2),"eslesti",IF(ABS(ROUND($D368,2)-ROUND($C368,2))&lt;=toleransKurus,"tolerans_icinde","tutar_farki"))))</f>
        <v/>
      </c>
      <c r="H368" s="17">
        <f>IF($A368="","",IF($B368&gt;0,"BIRINCIL",IF(COUNTIF(tblAnahtarB[IkincilB],'ANAHTAR'!$D368)&gt;0,"IKINCIL","YOK")))</f>
        <v/>
      </c>
      <c r="I368" s="17">
        <f>IF($A368="","",'ANAHTAR'!$F368)</f>
        <v/>
      </c>
      <c r="J368" s="17">
        <f>IF(OR($A368="",$D368=0),0,$F368/ABS($D368))</f>
        <v/>
      </c>
      <c r="K368" s="17">
        <f>IF($A368="","",ROUND($D368,2))</f>
        <v/>
      </c>
      <c r="L368" s="17">
        <f>IF($A368="","",ROUND($C368,2))</f>
        <v/>
      </c>
      <c r="M368" s="17">
        <f>IF($A368="","",IF($F368&lt;=toleransKurus,1,0))</f>
        <v/>
      </c>
      <c r="N368" s="17">
        <f>IF($A368="","",IF($F368&gt;tyk_esikFark,1,0))</f>
        <v/>
      </c>
      <c r="O368" s="17">
        <f>IF($A368="","",IFERROR(SUMIF(tblMotor[A_Norm],$A368,tblMotor[NetKar]),0))</f>
        <v/>
      </c>
      <c r="P368" s="17">
        <f>IF($A368="","",$B368+$M368+$N368)</f>
        <v/>
      </c>
    </row>
    <row r="369">
      <c r="A369" s="17">
        <f>IF('ANAHTAR'!$B369="","",'ANAHTAR'!$B369)</f>
        <v/>
      </c>
      <c r="B369" s="17">
        <f>IF($A369="","",COUNTIF(tblAnahtarB[NormB],$A369))</f>
        <v/>
      </c>
      <c r="C369" s="17">
        <f>IF($A369="","",IFERROR(SUMIF(tblAnahtarB[NormB],$A369,tblHakedis[GercekHakedis]),0))</f>
        <v/>
      </c>
      <c r="D369" s="17">
        <f>IF($A369="","",IFERROR(SUMIF(tblMotor[A_Norm],$A369,tblMotor[BeklenenHakedis]),0))</f>
        <v/>
      </c>
      <c r="E369" s="17">
        <f>IF($A369="","",ROUND($D369,2)-ROUND($C369,2))</f>
        <v/>
      </c>
      <c r="F369" s="17">
        <f>IF($A369="","",ABS($E369))</f>
        <v/>
      </c>
      <c r="G369" s="17">
        <f>IF($A369="","",IF($B369=0,"eslesmedi",IF(ROUND($D369,2)=ROUND($C369,2),"eslesti",IF(ABS(ROUND($D369,2)-ROUND($C369,2))&lt;=toleransKurus,"tolerans_icinde","tutar_farki"))))</f>
        <v/>
      </c>
      <c r="H369" s="17">
        <f>IF($A369="","",IF($B369&gt;0,"BIRINCIL",IF(COUNTIF(tblAnahtarB[IkincilB],'ANAHTAR'!$D369)&gt;0,"IKINCIL","YOK")))</f>
        <v/>
      </c>
      <c r="I369" s="17">
        <f>IF($A369="","",'ANAHTAR'!$F369)</f>
        <v/>
      </c>
      <c r="J369" s="17">
        <f>IF(OR($A369="",$D369=0),0,$F369/ABS($D369))</f>
        <v/>
      </c>
      <c r="K369" s="17">
        <f>IF($A369="","",ROUND($D369,2))</f>
        <v/>
      </c>
      <c r="L369" s="17">
        <f>IF($A369="","",ROUND($C369,2))</f>
        <v/>
      </c>
      <c r="M369" s="17">
        <f>IF($A369="","",IF($F369&lt;=toleransKurus,1,0))</f>
        <v/>
      </c>
      <c r="N369" s="17">
        <f>IF($A369="","",IF($F369&gt;tyk_esikFark,1,0))</f>
        <v/>
      </c>
      <c r="O369" s="17">
        <f>IF($A369="","",IFERROR(SUMIF(tblMotor[A_Norm],$A369,tblMotor[NetKar]),0))</f>
        <v/>
      </c>
      <c r="P369" s="17">
        <f>IF($A369="","",$B369+$M369+$N369)</f>
        <v/>
      </c>
    </row>
    <row r="370">
      <c r="A370" s="17">
        <f>IF('ANAHTAR'!$B370="","",'ANAHTAR'!$B370)</f>
        <v/>
      </c>
      <c r="B370" s="17">
        <f>IF($A370="","",COUNTIF(tblAnahtarB[NormB],$A370))</f>
        <v/>
      </c>
      <c r="C370" s="17">
        <f>IF($A370="","",IFERROR(SUMIF(tblAnahtarB[NormB],$A370,tblHakedis[GercekHakedis]),0))</f>
        <v/>
      </c>
      <c r="D370" s="17">
        <f>IF($A370="","",IFERROR(SUMIF(tblMotor[A_Norm],$A370,tblMotor[BeklenenHakedis]),0))</f>
        <v/>
      </c>
      <c r="E370" s="17">
        <f>IF($A370="","",ROUND($D370,2)-ROUND($C370,2))</f>
        <v/>
      </c>
      <c r="F370" s="17">
        <f>IF($A370="","",ABS($E370))</f>
        <v/>
      </c>
      <c r="G370" s="17">
        <f>IF($A370="","",IF($B370=0,"eslesmedi",IF(ROUND($D370,2)=ROUND($C370,2),"eslesti",IF(ABS(ROUND($D370,2)-ROUND($C370,2))&lt;=toleransKurus,"tolerans_icinde","tutar_farki"))))</f>
        <v/>
      </c>
      <c r="H370" s="17">
        <f>IF($A370="","",IF($B370&gt;0,"BIRINCIL",IF(COUNTIF(tblAnahtarB[IkincilB],'ANAHTAR'!$D370)&gt;0,"IKINCIL","YOK")))</f>
        <v/>
      </c>
      <c r="I370" s="17">
        <f>IF($A370="","",'ANAHTAR'!$F370)</f>
        <v/>
      </c>
      <c r="J370" s="17">
        <f>IF(OR($A370="",$D370=0),0,$F370/ABS($D370))</f>
        <v/>
      </c>
      <c r="K370" s="17">
        <f>IF($A370="","",ROUND($D370,2))</f>
        <v/>
      </c>
      <c r="L370" s="17">
        <f>IF($A370="","",ROUND($C370,2))</f>
        <v/>
      </c>
      <c r="M370" s="17">
        <f>IF($A370="","",IF($F370&lt;=toleransKurus,1,0))</f>
        <v/>
      </c>
      <c r="N370" s="17">
        <f>IF($A370="","",IF($F370&gt;tyk_esikFark,1,0))</f>
        <v/>
      </c>
      <c r="O370" s="17">
        <f>IF($A370="","",IFERROR(SUMIF(tblMotor[A_Norm],$A370,tblMotor[NetKar]),0))</f>
        <v/>
      </c>
      <c r="P370" s="17">
        <f>IF($A370="","",$B370+$M370+$N370)</f>
        <v/>
      </c>
    </row>
    <row r="371">
      <c r="A371" s="17">
        <f>IF('ANAHTAR'!$B371="","",'ANAHTAR'!$B371)</f>
        <v/>
      </c>
      <c r="B371" s="17">
        <f>IF($A371="","",COUNTIF(tblAnahtarB[NormB],$A371))</f>
        <v/>
      </c>
      <c r="C371" s="17">
        <f>IF($A371="","",IFERROR(SUMIF(tblAnahtarB[NormB],$A371,tblHakedis[GercekHakedis]),0))</f>
        <v/>
      </c>
      <c r="D371" s="17">
        <f>IF($A371="","",IFERROR(SUMIF(tblMotor[A_Norm],$A371,tblMotor[BeklenenHakedis]),0))</f>
        <v/>
      </c>
      <c r="E371" s="17">
        <f>IF($A371="","",ROUND($D371,2)-ROUND($C371,2))</f>
        <v/>
      </c>
      <c r="F371" s="17">
        <f>IF($A371="","",ABS($E371))</f>
        <v/>
      </c>
      <c r="G371" s="17">
        <f>IF($A371="","",IF($B371=0,"eslesmedi",IF(ROUND($D371,2)=ROUND($C371,2),"eslesti",IF(ABS(ROUND($D371,2)-ROUND($C371,2))&lt;=toleransKurus,"tolerans_icinde","tutar_farki"))))</f>
        <v/>
      </c>
      <c r="H371" s="17">
        <f>IF($A371="","",IF($B371&gt;0,"BIRINCIL",IF(COUNTIF(tblAnahtarB[IkincilB],'ANAHTAR'!$D371)&gt;0,"IKINCIL","YOK")))</f>
        <v/>
      </c>
      <c r="I371" s="17">
        <f>IF($A371="","",'ANAHTAR'!$F371)</f>
        <v/>
      </c>
      <c r="J371" s="17">
        <f>IF(OR($A371="",$D371=0),0,$F371/ABS($D371))</f>
        <v/>
      </c>
      <c r="K371" s="17">
        <f>IF($A371="","",ROUND($D371,2))</f>
        <v/>
      </c>
      <c r="L371" s="17">
        <f>IF($A371="","",ROUND($C371,2))</f>
        <v/>
      </c>
      <c r="M371" s="17">
        <f>IF($A371="","",IF($F371&lt;=toleransKurus,1,0))</f>
        <v/>
      </c>
      <c r="N371" s="17">
        <f>IF($A371="","",IF($F371&gt;tyk_esikFark,1,0))</f>
        <v/>
      </c>
      <c r="O371" s="17">
        <f>IF($A371="","",IFERROR(SUMIF(tblMotor[A_Norm],$A371,tblMotor[NetKar]),0))</f>
        <v/>
      </c>
      <c r="P371" s="17">
        <f>IF($A371="","",$B371+$M371+$N371)</f>
        <v/>
      </c>
    </row>
    <row r="372">
      <c r="A372" s="17">
        <f>IF('ANAHTAR'!$B372="","",'ANAHTAR'!$B372)</f>
        <v/>
      </c>
      <c r="B372" s="17">
        <f>IF($A372="","",COUNTIF(tblAnahtarB[NormB],$A372))</f>
        <v/>
      </c>
      <c r="C372" s="17">
        <f>IF($A372="","",IFERROR(SUMIF(tblAnahtarB[NormB],$A372,tblHakedis[GercekHakedis]),0))</f>
        <v/>
      </c>
      <c r="D372" s="17">
        <f>IF($A372="","",IFERROR(SUMIF(tblMotor[A_Norm],$A372,tblMotor[BeklenenHakedis]),0))</f>
        <v/>
      </c>
      <c r="E372" s="17">
        <f>IF($A372="","",ROUND($D372,2)-ROUND($C372,2))</f>
        <v/>
      </c>
      <c r="F372" s="17">
        <f>IF($A372="","",ABS($E372))</f>
        <v/>
      </c>
      <c r="G372" s="17">
        <f>IF($A372="","",IF($B372=0,"eslesmedi",IF(ROUND($D372,2)=ROUND($C372,2),"eslesti",IF(ABS(ROUND($D372,2)-ROUND($C372,2))&lt;=toleransKurus,"tolerans_icinde","tutar_farki"))))</f>
        <v/>
      </c>
      <c r="H372" s="17">
        <f>IF($A372="","",IF($B372&gt;0,"BIRINCIL",IF(COUNTIF(tblAnahtarB[IkincilB],'ANAHTAR'!$D372)&gt;0,"IKINCIL","YOK")))</f>
        <v/>
      </c>
      <c r="I372" s="17">
        <f>IF($A372="","",'ANAHTAR'!$F372)</f>
        <v/>
      </c>
      <c r="J372" s="17">
        <f>IF(OR($A372="",$D372=0),0,$F372/ABS($D372))</f>
        <v/>
      </c>
      <c r="K372" s="17">
        <f>IF($A372="","",ROUND($D372,2))</f>
        <v/>
      </c>
      <c r="L372" s="17">
        <f>IF($A372="","",ROUND($C372,2))</f>
        <v/>
      </c>
      <c r="M372" s="17">
        <f>IF($A372="","",IF($F372&lt;=toleransKurus,1,0))</f>
        <v/>
      </c>
      <c r="N372" s="17">
        <f>IF($A372="","",IF($F372&gt;tyk_esikFark,1,0))</f>
        <v/>
      </c>
      <c r="O372" s="17">
        <f>IF($A372="","",IFERROR(SUMIF(tblMotor[A_Norm],$A372,tblMotor[NetKar]),0))</f>
        <v/>
      </c>
      <c r="P372" s="17">
        <f>IF($A372="","",$B372+$M372+$N372)</f>
        <v/>
      </c>
    </row>
    <row r="373">
      <c r="A373" s="17">
        <f>IF('ANAHTAR'!$B373="","",'ANAHTAR'!$B373)</f>
        <v/>
      </c>
      <c r="B373" s="17">
        <f>IF($A373="","",COUNTIF(tblAnahtarB[NormB],$A373))</f>
        <v/>
      </c>
      <c r="C373" s="17">
        <f>IF($A373="","",IFERROR(SUMIF(tblAnahtarB[NormB],$A373,tblHakedis[GercekHakedis]),0))</f>
        <v/>
      </c>
      <c r="D373" s="17">
        <f>IF($A373="","",IFERROR(SUMIF(tblMotor[A_Norm],$A373,tblMotor[BeklenenHakedis]),0))</f>
        <v/>
      </c>
      <c r="E373" s="17">
        <f>IF($A373="","",ROUND($D373,2)-ROUND($C373,2))</f>
        <v/>
      </c>
      <c r="F373" s="17">
        <f>IF($A373="","",ABS($E373))</f>
        <v/>
      </c>
      <c r="G373" s="17">
        <f>IF($A373="","",IF($B373=0,"eslesmedi",IF(ROUND($D373,2)=ROUND($C373,2),"eslesti",IF(ABS(ROUND($D373,2)-ROUND($C373,2))&lt;=toleransKurus,"tolerans_icinde","tutar_farki"))))</f>
        <v/>
      </c>
      <c r="H373" s="17">
        <f>IF($A373="","",IF($B373&gt;0,"BIRINCIL",IF(COUNTIF(tblAnahtarB[IkincilB],'ANAHTAR'!$D373)&gt;0,"IKINCIL","YOK")))</f>
        <v/>
      </c>
      <c r="I373" s="17">
        <f>IF($A373="","",'ANAHTAR'!$F373)</f>
        <v/>
      </c>
      <c r="J373" s="17">
        <f>IF(OR($A373="",$D373=0),0,$F373/ABS($D373))</f>
        <v/>
      </c>
      <c r="K373" s="17">
        <f>IF($A373="","",ROUND($D373,2))</f>
        <v/>
      </c>
      <c r="L373" s="17">
        <f>IF($A373="","",ROUND($C373,2))</f>
        <v/>
      </c>
      <c r="M373" s="17">
        <f>IF($A373="","",IF($F373&lt;=toleransKurus,1,0))</f>
        <v/>
      </c>
      <c r="N373" s="17">
        <f>IF($A373="","",IF($F373&gt;tyk_esikFark,1,0))</f>
        <v/>
      </c>
      <c r="O373" s="17">
        <f>IF($A373="","",IFERROR(SUMIF(tblMotor[A_Norm],$A373,tblMotor[NetKar]),0))</f>
        <v/>
      </c>
      <c r="P373" s="17">
        <f>IF($A373="","",$B373+$M373+$N373)</f>
        <v/>
      </c>
    </row>
    <row r="374">
      <c r="A374" s="17">
        <f>IF('ANAHTAR'!$B374="","",'ANAHTAR'!$B374)</f>
        <v/>
      </c>
      <c r="B374" s="17">
        <f>IF($A374="","",COUNTIF(tblAnahtarB[NormB],$A374))</f>
        <v/>
      </c>
      <c r="C374" s="17">
        <f>IF($A374="","",IFERROR(SUMIF(tblAnahtarB[NormB],$A374,tblHakedis[GercekHakedis]),0))</f>
        <v/>
      </c>
      <c r="D374" s="17">
        <f>IF($A374="","",IFERROR(SUMIF(tblMotor[A_Norm],$A374,tblMotor[BeklenenHakedis]),0))</f>
        <v/>
      </c>
      <c r="E374" s="17">
        <f>IF($A374="","",ROUND($D374,2)-ROUND($C374,2))</f>
        <v/>
      </c>
      <c r="F374" s="17">
        <f>IF($A374="","",ABS($E374))</f>
        <v/>
      </c>
      <c r="G374" s="17">
        <f>IF($A374="","",IF($B374=0,"eslesmedi",IF(ROUND($D374,2)=ROUND($C374,2),"eslesti",IF(ABS(ROUND($D374,2)-ROUND($C374,2))&lt;=toleransKurus,"tolerans_icinde","tutar_farki"))))</f>
        <v/>
      </c>
      <c r="H374" s="17">
        <f>IF($A374="","",IF($B374&gt;0,"BIRINCIL",IF(COUNTIF(tblAnahtarB[IkincilB],'ANAHTAR'!$D374)&gt;0,"IKINCIL","YOK")))</f>
        <v/>
      </c>
      <c r="I374" s="17">
        <f>IF($A374="","",'ANAHTAR'!$F374)</f>
        <v/>
      </c>
      <c r="J374" s="17">
        <f>IF(OR($A374="",$D374=0),0,$F374/ABS($D374))</f>
        <v/>
      </c>
      <c r="K374" s="17">
        <f>IF($A374="","",ROUND($D374,2))</f>
        <v/>
      </c>
      <c r="L374" s="17">
        <f>IF($A374="","",ROUND($C374,2))</f>
        <v/>
      </c>
      <c r="M374" s="17">
        <f>IF($A374="","",IF($F374&lt;=toleransKurus,1,0))</f>
        <v/>
      </c>
      <c r="N374" s="17">
        <f>IF($A374="","",IF($F374&gt;tyk_esikFark,1,0))</f>
        <v/>
      </c>
      <c r="O374" s="17">
        <f>IF($A374="","",IFERROR(SUMIF(tblMotor[A_Norm],$A374,tblMotor[NetKar]),0))</f>
        <v/>
      </c>
      <c r="P374" s="17">
        <f>IF($A374="","",$B374+$M374+$N374)</f>
        <v/>
      </c>
    </row>
    <row r="375">
      <c r="A375" s="17">
        <f>IF('ANAHTAR'!$B375="","",'ANAHTAR'!$B375)</f>
        <v/>
      </c>
      <c r="B375" s="17">
        <f>IF($A375="","",COUNTIF(tblAnahtarB[NormB],$A375))</f>
        <v/>
      </c>
      <c r="C375" s="17">
        <f>IF($A375="","",IFERROR(SUMIF(tblAnahtarB[NormB],$A375,tblHakedis[GercekHakedis]),0))</f>
        <v/>
      </c>
      <c r="D375" s="17">
        <f>IF($A375="","",IFERROR(SUMIF(tblMotor[A_Norm],$A375,tblMotor[BeklenenHakedis]),0))</f>
        <v/>
      </c>
      <c r="E375" s="17">
        <f>IF($A375="","",ROUND($D375,2)-ROUND($C375,2))</f>
        <v/>
      </c>
      <c r="F375" s="17">
        <f>IF($A375="","",ABS($E375))</f>
        <v/>
      </c>
      <c r="G375" s="17">
        <f>IF($A375="","",IF($B375=0,"eslesmedi",IF(ROUND($D375,2)=ROUND($C375,2),"eslesti",IF(ABS(ROUND($D375,2)-ROUND($C375,2))&lt;=toleransKurus,"tolerans_icinde","tutar_farki"))))</f>
        <v/>
      </c>
      <c r="H375" s="17">
        <f>IF($A375="","",IF($B375&gt;0,"BIRINCIL",IF(COUNTIF(tblAnahtarB[IkincilB],'ANAHTAR'!$D375)&gt;0,"IKINCIL","YOK")))</f>
        <v/>
      </c>
      <c r="I375" s="17">
        <f>IF($A375="","",'ANAHTAR'!$F375)</f>
        <v/>
      </c>
      <c r="J375" s="17">
        <f>IF(OR($A375="",$D375=0),0,$F375/ABS($D375))</f>
        <v/>
      </c>
      <c r="K375" s="17">
        <f>IF($A375="","",ROUND($D375,2))</f>
        <v/>
      </c>
      <c r="L375" s="17">
        <f>IF($A375="","",ROUND($C375,2))</f>
        <v/>
      </c>
      <c r="M375" s="17">
        <f>IF($A375="","",IF($F375&lt;=toleransKurus,1,0))</f>
        <v/>
      </c>
      <c r="N375" s="17">
        <f>IF($A375="","",IF($F375&gt;tyk_esikFark,1,0))</f>
        <v/>
      </c>
      <c r="O375" s="17">
        <f>IF($A375="","",IFERROR(SUMIF(tblMotor[A_Norm],$A375,tblMotor[NetKar]),0))</f>
        <v/>
      </c>
      <c r="P375" s="17">
        <f>IF($A375="","",$B375+$M375+$N375)</f>
        <v/>
      </c>
    </row>
    <row r="376">
      <c r="A376" s="17">
        <f>IF('ANAHTAR'!$B376="","",'ANAHTAR'!$B376)</f>
        <v/>
      </c>
      <c r="B376" s="17">
        <f>IF($A376="","",COUNTIF(tblAnahtarB[NormB],$A376))</f>
        <v/>
      </c>
      <c r="C376" s="17">
        <f>IF($A376="","",IFERROR(SUMIF(tblAnahtarB[NormB],$A376,tblHakedis[GercekHakedis]),0))</f>
        <v/>
      </c>
      <c r="D376" s="17">
        <f>IF($A376="","",IFERROR(SUMIF(tblMotor[A_Norm],$A376,tblMotor[BeklenenHakedis]),0))</f>
        <v/>
      </c>
      <c r="E376" s="17">
        <f>IF($A376="","",ROUND($D376,2)-ROUND($C376,2))</f>
        <v/>
      </c>
      <c r="F376" s="17">
        <f>IF($A376="","",ABS($E376))</f>
        <v/>
      </c>
      <c r="G376" s="17">
        <f>IF($A376="","",IF($B376=0,"eslesmedi",IF(ROUND($D376,2)=ROUND($C376,2),"eslesti",IF(ABS(ROUND($D376,2)-ROUND($C376,2))&lt;=toleransKurus,"tolerans_icinde","tutar_farki"))))</f>
        <v/>
      </c>
      <c r="H376" s="17">
        <f>IF($A376="","",IF($B376&gt;0,"BIRINCIL",IF(COUNTIF(tblAnahtarB[IkincilB],'ANAHTAR'!$D376)&gt;0,"IKINCIL","YOK")))</f>
        <v/>
      </c>
      <c r="I376" s="17">
        <f>IF($A376="","",'ANAHTAR'!$F376)</f>
        <v/>
      </c>
      <c r="J376" s="17">
        <f>IF(OR($A376="",$D376=0),0,$F376/ABS($D376))</f>
        <v/>
      </c>
      <c r="K376" s="17">
        <f>IF($A376="","",ROUND($D376,2))</f>
        <v/>
      </c>
      <c r="L376" s="17">
        <f>IF($A376="","",ROUND($C376,2))</f>
        <v/>
      </c>
      <c r="M376" s="17">
        <f>IF($A376="","",IF($F376&lt;=toleransKurus,1,0))</f>
        <v/>
      </c>
      <c r="N376" s="17">
        <f>IF($A376="","",IF($F376&gt;tyk_esikFark,1,0))</f>
        <v/>
      </c>
      <c r="O376" s="17">
        <f>IF($A376="","",IFERROR(SUMIF(tblMotor[A_Norm],$A376,tblMotor[NetKar]),0))</f>
        <v/>
      </c>
      <c r="P376" s="17">
        <f>IF($A376="","",$B376+$M376+$N376)</f>
        <v/>
      </c>
    </row>
    <row r="377">
      <c r="A377" s="17">
        <f>IF('ANAHTAR'!$B377="","",'ANAHTAR'!$B377)</f>
        <v/>
      </c>
      <c r="B377" s="17">
        <f>IF($A377="","",COUNTIF(tblAnahtarB[NormB],$A377))</f>
        <v/>
      </c>
      <c r="C377" s="17">
        <f>IF($A377="","",IFERROR(SUMIF(tblAnahtarB[NormB],$A377,tblHakedis[GercekHakedis]),0))</f>
        <v/>
      </c>
      <c r="D377" s="17">
        <f>IF($A377="","",IFERROR(SUMIF(tblMotor[A_Norm],$A377,tblMotor[BeklenenHakedis]),0))</f>
        <v/>
      </c>
      <c r="E377" s="17">
        <f>IF($A377="","",ROUND($D377,2)-ROUND($C377,2))</f>
        <v/>
      </c>
      <c r="F377" s="17">
        <f>IF($A377="","",ABS($E377))</f>
        <v/>
      </c>
      <c r="G377" s="17">
        <f>IF($A377="","",IF($B377=0,"eslesmedi",IF(ROUND($D377,2)=ROUND($C377,2),"eslesti",IF(ABS(ROUND($D377,2)-ROUND($C377,2))&lt;=toleransKurus,"tolerans_icinde","tutar_farki"))))</f>
        <v/>
      </c>
      <c r="H377" s="17">
        <f>IF($A377="","",IF($B377&gt;0,"BIRINCIL",IF(COUNTIF(tblAnahtarB[IkincilB],'ANAHTAR'!$D377)&gt;0,"IKINCIL","YOK")))</f>
        <v/>
      </c>
      <c r="I377" s="17">
        <f>IF($A377="","",'ANAHTAR'!$F377)</f>
        <v/>
      </c>
      <c r="J377" s="17">
        <f>IF(OR($A377="",$D377=0),0,$F377/ABS($D377))</f>
        <v/>
      </c>
      <c r="K377" s="17">
        <f>IF($A377="","",ROUND($D377,2))</f>
        <v/>
      </c>
      <c r="L377" s="17">
        <f>IF($A377="","",ROUND($C377,2))</f>
        <v/>
      </c>
      <c r="M377" s="17">
        <f>IF($A377="","",IF($F377&lt;=toleransKurus,1,0))</f>
        <v/>
      </c>
      <c r="N377" s="17">
        <f>IF($A377="","",IF($F377&gt;tyk_esikFark,1,0))</f>
        <v/>
      </c>
      <c r="O377" s="17">
        <f>IF($A377="","",IFERROR(SUMIF(tblMotor[A_Norm],$A377,tblMotor[NetKar]),0))</f>
        <v/>
      </c>
      <c r="P377" s="17">
        <f>IF($A377="","",$B377+$M377+$N377)</f>
        <v/>
      </c>
    </row>
    <row r="378">
      <c r="A378" s="17">
        <f>IF('ANAHTAR'!$B378="","",'ANAHTAR'!$B378)</f>
        <v/>
      </c>
      <c r="B378" s="17">
        <f>IF($A378="","",COUNTIF(tblAnahtarB[NormB],$A378))</f>
        <v/>
      </c>
      <c r="C378" s="17">
        <f>IF($A378="","",IFERROR(SUMIF(tblAnahtarB[NormB],$A378,tblHakedis[GercekHakedis]),0))</f>
        <v/>
      </c>
      <c r="D378" s="17">
        <f>IF($A378="","",IFERROR(SUMIF(tblMotor[A_Norm],$A378,tblMotor[BeklenenHakedis]),0))</f>
        <v/>
      </c>
      <c r="E378" s="17">
        <f>IF($A378="","",ROUND($D378,2)-ROUND($C378,2))</f>
        <v/>
      </c>
      <c r="F378" s="17">
        <f>IF($A378="","",ABS($E378))</f>
        <v/>
      </c>
      <c r="G378" s="17">
        <f>IF($A378="","",IF($B378=0,"eslesmedi",IF(ROUND($D378,2)=ROUND($C378,2),"eslesti",IF(ABS(ROUND($D378,2)-ROUND($C378,2))&lt;=toleransKurus,"tolerans_icinde","tutar_farki"))))</f>
        <v/>
      </c>
      <c r="H378" s="17">
        <f>IF($A378="","",IF($B378&gt;0,"BIRINCIL",IF(COUNTIF(tblAnahtarB[IkincilB],'ANAHTAR'!$D378)&gt;0,"IKINCIL","YOK")))</f>
        <v/>
      </c>
      <c r="I378" s="17">
        <f>IF($A378="","",'ANAHTAR'!$F378)</f>
        <v/>
      </c>
      <c r="J378" s="17">
        <f>IF(OR($A378="",$D378=0),0,$F378/ABS($D378))</f>
        <v/>
      </c>
      <c r="K378" s="17">
        <f>IF($A378="","",ROUND($D378,2))</f>
        <v/>
      </c>
      <c r="L378" s="17">
        <f>IF($A378="","",ROUND($C378,2))</f>
        <v/>
      </c>
      <c r="M378" s="17">
        <f>IF($A378="","",IF($F378&lt;=toleransKurus,1,0))</f>
        <v/>
      </c>
      <c r="N378" s="17">
        <f>IF($A378="","",IF($F378&gt;tyk_esikFark,1,0))</f>
        <v/>
      </c>
      <c r="O378" s="17">
        <f>IF($A378="","",IFERROR(SUMIF(tblMotor[A_Norm],$A378,tblMotor[NetKar]),0))</f>
        <v/>
      </c>
      <c r="P378" s="17">
        <f>IF($A378="","",$B378+$M378+$N378)</f>
        <v/>
      </c>
    </row>
    <row r="379">
      <c r="A379" s="17">
        <f>IF('ANAHTAR'!$B379="","",'ANAHTAR'!$B379)</f>
        <v/>
      </c>
      <c r="B379" s="17">
        <f>IF($A379="","",COUNTIF(tblAnahtarB[NormB],$A379))</f>
        <v/>
      </c>
      <c r="C379" s="17">
        <f>IF($A379="","",IFERROR(SUMIF(tblAnahtarB[NormB],$A379,tblHakedis[GercekHakedis]),0))</f>
        <v/>
      </c>
      <c r="D379" s="17">
        <f>IF($A379="","",IFERROR(SUMIF(tblMotor[A_Norm],$A379,tblMotor[BeklenenHakedis]),0))</f>
        <v/>
      </c>
      <c r="E379" s="17">
        <f>IF($A379="","",ROUND($D379,2)-ROUND($C379,2))</f>
        <v/>
      </c>
      <c r="F379" s="17">
        <f>IF($A379="","",ABS($E379))</f>
        <v/>
      </c>
      <c r="G379" s="17">
        <f>IF($A379="","",IF($B379=0,"eslesmedi",IF(ROUND($D379,2)=ROUND($C379,2),"eslesti",IF(ABS(ROUND($D379,2)-ROUND($C379,2))&lt;=toleransKurus,"tolerans_icinde","tutar_farki"))))</f>
        <v/>
      </c>
      <c r="H379" s="17">
        <f>IF($A379="","",IF($B379&gt;0,"BIRINCIL",IF(COUNTIF(tblAnahtarB[IkincilB],'ANAHTAR'!$D379)&gt;0,"IKINCIL","YOK")))</f>
        <v/>
      </c>
      <c r="I379" s="17">
        <f>IF($A379="","",'ANAHTAR'!$F379)</f>
        <v/>
      </c>
      <c r="J379" s="17">
        <f>IF(OR($A379="",$D379=0),0,$F379/ABS($D379))</f>
        <v/>
      </c>
      <c r="K379" s="17">
        <f>IF($A379="","",ROUND($D379,2))</f>
        <v/>
      </c>
      <c r="L379" s="17">
        <f>IF($A379="","",ROUND($C379,2))</f>
        <v/>
      </c>
      <c r="M379" s="17">
        <f>IF($A379="","",IF($F379&lt;=toleransKurus,1,0))</f>
        <v/>
      </c>
      <c r="N379" s="17">
        <f>IF($A379="","",IF($F379&gt;tyk_esikFark,1,0))</f>
        <v/>
      </c>
      <c r="O379" s="17">
        <f>IF($A379="","",IFERROR(SUMIF(tblMotor[A_Norm],$A379,tblMotor[NetKar]),0))</f>
        <v/>
      </c>
      <c r="P379" s="17">
        <f>IF($A379="","",$B379+$M379+$N379)</f>
        <v/>
      </c>
    </row>
    <row r="380">
      <c r="A380" s="17">
        <f>IF('ANAHTAR'!$B380="","",'ANAHTAR'!$B380)</f>
        <v/>
      </c>
      <c r="B380" s="17">
        <f>IF($A380="","",COUNTIF(tblAnahtarB[NormB],$A380))</f>
        <v/>
      </c>
      <c r="C380" s="17">
        <f>IF($A380="","",IFERROR(SUMIF(tblAnahtarB[NormB],$A380,tblHakedis[GercekHakedis]),0))</f>
        <v/>
      </c>
      <c r="D380" s="17">
        <f>IF($A380="","",IFERROR(SUMIF(tblMotor[A_Norm],$A380,tblMotor[BeklenenHakedis]),0))</f>
        <v/>
      </c>
      <c r="E380" s="17">
        <f>IF($A380="","",ROUND($D380,2)-ROUND($C380,2))</f>
        <v/>
      </c>
      <c r="F380" s="17">
        <f>IF($A380="","",ABS($E380))</f>
        <v/>
      </c>
      <c r="G380" s="17">
        <f>IF($A380="","",IF($B380=0,"eslesmedi",IF(ROUND($D380,2)=ROUND($C380,2),"eslesti",IF(ABS(ROUND($D380,2)-ROUND($C380,2))&lt;=toleransKurus,"tolerans_icinde","tutar_farki"))))</f>
        <v/>
      </c>
      <c r="H380" s="17">
        <f>IF($A380="","",IF($B380&gt;0,"BIRINCIL",IF(COUNTIF(tblAnahtarB[IkincilB],'ANAHTAR'!$D380)&gt;0,"IKINCIL","YOK")))</f>
        <v/>
      </c>
      <c r="I380" s="17">
        <f>IF($A380="","",'ANAHTAR'!$F380)</f>
        <v/>
      </c>
      <c r="J380" s="17">
        <f>IF(OR($A380="",$D380=0),0,$F380/ABS($D380))</f>
        <v/>
      </c>
      <c r="K380" s="17">
        <f>IF($A380="","",ROUND($D380,2))</f>
        <v/>
      </c>
      <c r="L380" s="17">
        <f>IF($A380="","",ROUND($C380,2))</f>
        <v/>
      </c>
      <c r="M380" s="17">
        <f>IF($A380="","",IF($F380&lt;=toleransKurus,1,0))</f>
        <v/>
      </c>
      <c r="N380" s="17">
        <f>IF($A380="","",IF($F380&gt;tyk_esikFark,1,0))</f>
        <v/>
      </c>
      <c r="O380" s="17">
        <f>IF($A380="","",IFERROR(SUMIF(tblMotor[A_Norm],$A380,tblMotor[NetKar]),0))</f>
        <v/>
      </c>
      <c r="P380" s="17">
        <f>IF($A380="","",$B380+$M380+$N380)</f>
        <v/>
      </c>
    </row>
    <row r="381">
      <c r="A381" s="17">
        <f>IF('ANAHTAR'!$B381="","",'ANAHTAR'!$B381)</f>
        <v/>
      </c>
      <c r="B381" s="17">
        <f>IF($A381="","",COUNTIF(tblAnahtarB[NormB],$A381))</f>
        <v/>
      </c>
      <c r="C381" s="17">
        <f>IF($A381="","",IFERROR(SUMIF(tblAnahtarB[NormB],$A381,tblHakedis[GercekHakedis]),0))</f>
        <v/>
      </c>
      <c r="D381" s="17">
        <f>IF($A381="","",IFERROR(SUMIF(tblMotor[A_Norm],$A381,tblMotor[BeklenenHakedis]),0))</f>
        <v/>
      </c>
      <c r="E381" s="17">
        <f>IF($A381="","",ROUND($D381,2)-ROUND($C381,2))</f>
        <v/>
      </c>
      <c r="F381" s="17">
        <f>IF($A381="","",ABS($E381))</f>
        <v/>
      </c>
      <c r="G381" s="17">
        <f>IF($A381="","",IF($B381=0,"eslesmedi",IF(ROUND($D381,2)=ROUND($C381,2),"eslesti",IF(ABS(ROUND($D381,2)-ROUND($C381,2))&lt;=toleransKurus,"tolerans_icinde","tutar_farki"))))</f>
        <v/>
      </c>
      <c r="H381" s="17">
        <f>IF($A381="","",IF($B381&gt;0,"BIRINCIL",IF(COUNTIF(tblAnahtarB[IkincilB],'ANAHTAR'!$D381)&gt;0,"IKINCIL","YOK")))</f>
        <v/>
      </c>
      <c r="I381" s="17">
        <f>IF($A381="","",'ANAHTAR'!$F381)</f>
        <v/>
      </c>
      <c r="J381" s="17">
        <f>IF(OR($A381="",$D381=0),0,$F381/ABS($D381))</f>
        <v/>
      </c>
      <c r="K381" s="17">
        <f>IF($A381="","",ROUND($D381,2))</f>
        <v/>
      </c>
      <c r="L381" s="17">
        <f>IF($A381="","",ROUND($C381,2))</f>
        <v/>
      </c>
      <c r="M381" s="17">
        <f>IF($A381="","",IF($F381&lt;=toleransKurus,1,0))</f>
        <v/>
      </c>
      <c r="N381" s="17">
        <f>IF($A381="","",IF($F381&gt;tyk_esikFark,1,0))</f>
        <v/>
      </c>
      <c r="O381" s="17">
        <f>IF($A381="","",IFERROR(SUMIF(tblMotor[A_Norm],$A381,tblMotor[NetKar]),0))</f>
        <v/>
      </c>
      <c r="P381" s="17">
        <f>IF($A381="","",$B381+$M381+$N381)</f>
        <v/>
      </c>
    </row>
    <row r="382">
      <c r="A382" s="17">
        <f>IF('ANAHTAR'!$B382="","",'ANAHTAR'!$B382)</f>
        <v/>
      </c>
      <c r="B382" s="17">
        <f>IF($A382="","",COUNTIF(tblAnahtarB[NormB],$A382))</f>
        <v/>
      </c>
      <c r="C382" s="17">
        <f>IF($A382="","",IFERROR(SUMIF(tblAnahtarB[NormB],$A382,tblHakedis[GercekHakedis]),0))</f>
        <v/>
      </c>
      <c r="D382" s="17">
        <f>IF($A382="","",IFERROR(SUMIF(tblMotor[A_Norm],$A382,tblMotor[BeklenenHakedis]),0))</f>
        <v/>
      </c>
      <c r="E382" s="17">
        <f>IF($A382="","",ROUND($D382,2)-ROUND($C382,2))</f>
        <v/>
      </c>
      <c r="F382" s="17">
        <f>IF($A382="","",ABS($E382))</f>
        <v/>
      </c>
      <c r="G382" s="17">
        <f>IF($A382="","",IF($B382=0,"eslesmedi",IF(ROUND($D382,2)=ROUND($C382,2),"eslesti",IF(ABS(ROUND($D382,2)-ROUND($C382,2))&lt;=toleransKurus,"tolerans_icinde","tutar_farki"))))</f>
        <v/>
      </c>
      <c r="H382" s="17">
        <f>IF($A382="","",IF($B382&gt;0,"BIRINCIL",IF(COUNTIF(tblAnahtarB[IkincilB],'ANAHTAR'!$D382)&gt;0,"IKINCIL","YOK")))</f>
        <v/>
      </c>
      <c r="I382" s="17">
        <f>IF($A382="","",'ANAHTAR'!$F382)</f>
        <v/>
      </c>
      <c r="J382" s="17">
        <f>IF(OR($A382="",$D382=0),0,$F382/ABS($D382))</f>
        <v/>
      </c>
      <c r="K382" s="17">
        <f>IF($A382="","",ROUND($D382,2))</f>
        <v/>
      </c>
      <c r="L382" s="17">
        <f>IF($A382="","",ROUND($C382,2))</f>
        <v/>
      </c>
      <c r="M382" s="17">
        <f>IF($A382="","",IF($F382&lt;=toleransKurus,1,0))</f>
        <v/>
      </c>
      <c r="N382" s="17">
        <f>IF($A382="","",IF($F382&gt;tyk_esikFark,1,0))</f>
        <v/>
      </c>
      <c r="O382" s="17">
        <f>IF($A382="","",IFERROR(SUMIF(tblMotor[A_Norm],$A382,tblMotor[NetKar]),0))</f>
        <v/>
      </c>
      <c r="P382" s="17">
        <f>IF($A382="","",$B382+$M382+$N382)</f>
        <v/>
      </c>
    </row>
    <row r="383">
      <c r="A383" s="17">
        <f>IF('ANAHTAR'!$B383="","",'ANAHTAR'!$B383)</f>
        <v/>
      </c>
      <c r="B383" s="17">
        <f>IF($A383="","",COUNTIF(tblAnahtarB[NormB],$A383))</f>
        <v/>
      </c>
      <c r="C383" s="17">
        <f>IF($A383="","",IFERROR(SUMIF(tblAnahtarB[NormB],$A383,tblHakedis[GercekHakedis]),0))</f>
        <v/>
      </c>
      <c r="D383" s="17">
        <f>IF($A383="","",IFERROR(SUMIF(tblMotor[A_Norm],$A383,tblMotor[BeklenenHakedis]),0))</f>
        <v/>
      </c>
      <c r="E383" s="17">
        <f>IF($A383="","",ROUND($D383,2)-ROUND($C383,2))</f>
        <v/>
      </c>
      <c r="F383" s="17">
        <f>IF($A383="","",ABS($E383))</f>
        <v/>
      </c>
      <c r="G383" s="17">
        <f>IF($A383="","",IF($B383=0,"eslesmedi",IF(ROUND($D383,2)=ROUND($C383,2),"eslesti",IF(ABS(ROUND($D383,2)-ROUND($C383,2))&lt;=toleransKurus,"tolerans_icinde","tutar_farki"))))</f>
        <v/>
      </c>
      <c r="H383" s="17">
        <f>IF($A383="","",IF($B383&gt;0,"BIRINCIL",IF(COUNTIF(tblAnahtarB[IkincilB],'ANAHTAR'!$D383)&gt;0,"IKINCIL","YOK")))</f>
        <v/>
      </c>
      <c r="I383" s="17">
        <f>IF($A383="","",'ANAHTAR'!$F383)</f>
        <v/>
      </c>
      <c r="J383" s="17">
        <f>IF(OR($A383="",$D383=0),0,$F383/ABS($D383))</f>
        <v/>
      </c>
      <c r="K383" s="17">
        <f>IF($A383="","",ROUND($D383,2))</f>
        <v/>
      </c>
      <c r="L383" s="17">
        <f>IF($A383="","",ROUND($C383,2))</f>
        <v/>
      </c>
      <c r="M383" s="17">
        <f>IF($A383="","",IF($F383&lt;=toleransKurus,1,0))</f>
        <v/>
      </c>
      <c r="N383" s="17">
        <f>IF($A383="","",IF($F383&gt;tyk_esikFark,1,0))</f>
        <v/>
      </c>
      <c r="O383" s="17">
        <f>IF($A383="","",IFERROR(SUMIF(tblMotor[A_Norm],$A383,tblMotor[NetKar]),0))</f>
        <v/>
      </c>
      <c r="P383" s="17">
        <f>IF($A383="","",$B383+$M383+$N383)</f>
        <v/>
      </c>
    </row>
    <row r="384">
      <c r="A384" s="17">
        <f>IF('ANAHTAR'!$B384="","",'ANAHTAR'!$B384)</f>
        <v/>
      </c>
      <c r="B384" s="17">
        <f>IF($A384="","",COUNTIF(tblAnahtarB[NormB],$A384))</f>
        <v/>
      </c>
      <c r="C384" s="17">
        <f>IF($A384="","",IFERROR(SUMIF(tblAnahtarB[NormB],$A384,tblHakedis[GercekHakedis]),0))</f>
        <v/>
      </c>
      <c r="D384" s="17">
        <f>IF($A384="","",IFERROR(SUMIF(tblMotor[A_Norm],$A384,tblMotor[BeklenenHakedis]),0))</f>
        <v/>
      </c>
      <c r="E384" s="17">
        <f>IF($A384="","",ROUND($D384,2)-ROUND($C384,2))</f>
        <v/>
      </c>
      <c r="F384" s="17">
        <f>IF($A384="","",ABS($E384))</f>
        <v/>
      </c>
      <c r="G384" s="17">
        <f>IF($A384="","",IF($B384=0,"eslesmedi",IF(ROUND($D384,2)=ROUND($C384,2),"eslesti",IF(ABS(ROUND($D384,2)-ROUND($C384,2))&lt;=toleransKurus,"tolerans_icinde","tutar_farki"))))</f>
        <v/>
      </c>
      <c r="H384" s="17">
        <f>IF($A384="","",IF($B384&gt;0,"BIRINCIL",IF(COUNTIF(tblAnahtarB[IkincilB],'ANAHTAR'!$D384)&gt;0,"IKINCIL","YOK")))</f>
        <v/>
      </c>
      <c r="I384" s="17">
        <f>IF($A384="","",'ANAHTAR'!$F384)</f>
        <v/>
      </c>
      <c r="J384" s="17">
        <f>IF(OR($A384="",$D384=0),0,$F384/ABS($D384))</f>
        <v/>
      </c>
      <c r="K384" s="17">
        <f>IF($A384="","",ROUND($D384,2))</f>
        <v/>
      </c>
      <c r="L384" s="17">
        <f>IF($A384="","",ROUND($C384,2))</f>
        <v/>
      </c>
      <c r="M384" s="17">
        <f>IF($A384="","",IF($F384&lt;=toleransKurus,1,0))</f>
        <v/>
      </c>
      <c r="N384" s="17">
        <f>IF($A384="","",IF($F384&gt;tyk_esikFark,1,0))</f>
        <v/>
      </c>
      <c r="O384" s="17">
        <f>IF($A384="","",IFERROR(SUMIF(tblMotor[A_Norm],$A384,tblMotor[NetKar]),0))</f>
        <v/>
      </c>
      <c r="P384" s="17">
        <f>IF($A384="","",$B384+$M384+$N384)</f>
        <v/>
      </c>
    </row>
    <row r="385">
      <c r="A385" s="17">
        <f>IF('ANAHTAR'!$B385="","",'ANAHTAR'!$B385)</f>
        <v/>
      </c>
      <c r="B385" s="17">
        <f>IF($A385="","",COUNTIF(tblAnahtarB[NormB],$A385))</f>
        <v/>
      </c>
      <c r="C385" s="17">
        <f>IF($A385="","",IFERROR(SUMIF(tblAnahtarB[NormB],$A385,tblHakedis[GercekHakedis]),0))</f>
        <v/>
      </c>
      <c r="D385" s="17">
        <f>IF($A385="","",IFERROR(SUMIF(tblMotor[A_Norm],$A385,tblMotor[BeklenenHakedis]),0))</f>
        <v/>
      </c>
      <c r="E385" s="17">
        <f>IF($A385="","",ROUND($D385,2)-ROUND($C385,2))</f>
        <v/>
      </c>
      <c r="F385" s="17">
        <f>IF($A385="","",ABS($E385))</f>
        <v/>
      </c>
      <c r="G385" s="17">
        <f>IF($A385="","",IF($B385=0,"eslesmedi",IF(ROUND($D385,2)=ROUND($C385,2),"eslesti",IF(ABS(ROUND($D385,2)-ROUND($C385,2))&lt;=toleransKurus,"tolerans_icinde","tutar_farki"))))</f>
        <v/>
      </c>
      <c r="H385" s="17">
        <f>IF($A385="","",IF($B385&gt;0,"BIRINCIL",IF(COUNTIF(tblAnahtarB[IkincilB],'ANAHTAR'!$D385)&gt;0,"IKINCIL","YOK")))</f>
        <v/>
      </c>
      <c r="I385" s="17">
        <f>IF($A385="","",'ANAHTAR'!$F385)</f>
        <v/>
      </c>
      <c r="J385" s="17">
        <f>IF(OR($A385="",$D385=0),0,$F385/ABS($D385))</f>
        <v/>
      </c>
      <c r="K385" s="17">
        <f>IF($A385="","",ROUND($D385,2))</f>
        <v/>
      </c>
      <c r="L385" s="17">
        <f>IF($A385="","",ROUND($C385,2))</f>
        <v/>
      </c>
      <c r="M385" s="17">
        <f>IF($A385="","",IF($F385&lt;=toleransKurus,1,0))</f>
        <v/>
      </c>
      <c r="N385" s="17">
        <f>IF($A385="","",IF($F385&gt;tyk_esikFark,1,0))</f>
        <v/>
      </c>
      <c r="O385" s="17">
        <f>IF($A385="","",IFERROR(SUMIF(tblMotor[A_Norm],$A385,tblMotor[NetKar]),0))</f>
        <v/>
      </c>
      <c r="P385" s="17">
        <f>IF($A385="","",$B385+$M385+$N385)</f>
        <v/>
      </c>
    </row>
    <row r="386">
      <c r="A386" s="17">
        <f>IF('ANAHTAR'!$B386="","",'ANAHTAR'!$B386)</f>
        <v/>
      </c>
      <c r="B386" s="17">
        <f>IF($A386="","",COUNTIF(tblAnahtarB[NormB],$A386))</f>
        <v/>
      </c>
      <c r="C386" s="17">
        <f>IF($A386="","",IFERROR(SUMIF(tblAnahtarB[NormB],$A386,tblHakedis[GercekHakedis]),0))</f>
        <v/>
      </c>
      <c r="D386" s="17">
        <f>IF($A386="","",IFERROR(SUMIF(tblMotor[A_Norm],$A386,tblMotor[BeklenenHakedis]),0))</f>
        <v/>
      </c>
      <c r="E386" s="17">
        <f>IF($A386="","",ROUND($D386,2)-ROUND($C386,2))</f>
        <v/>
      </c>
      <c r="F386" s="17">
        <f>IF($A386="","",ABS($E386))</f>
        <v/>
      </c>
      <c r="G386" s="17">
        <f>IF($A386="","",IF($B386=0,"eslesmedi",IF(ROUND($D386,2)=ROUND($C386,2),"eslesti",IF(ABS(ROUND($D386,2)-ROUND($C386,2))&lt;=toleransKurus,"tolerans_icinde","tutar_farki"))))</f>
        <v/>
      </c>
      <c r="H386" s="17">
        <f>IF($A386="","",IF($B386&gt;0,"BIRINCIL",IF(COUNTIF(tblAnahtarB[IkincilB],'ANAHTAR'!$D386)&gt;0,"IKINCIL","YOK")))</f>
        <v/>
      </c>
      <c r="I386" s="17">
        <f>IF($A386="","",'ANAHTAR'!$F386)</f>
        <v/>
      </c>
      <c r="J386" s="17">
        <f>IF(OR($A386="",$D386=0),0,$F386/ABS($D386))</f>
        <v/>
      </c>
      <c r="K386" s="17">
        <f>IF($A386="","",ROUND($D386,2))</f>
        <v/>
      </c>
      <c r="L386" s="17">
        <f>IF($A386="","",ROUND($C386,2))</f>
        <v/>
      </c>
      <c r="M386" s="17">
        <f>IF($A386="","",IF($F386&lt;=toleransKurus,1,0))</f>
        <v/>
      </c>
      <c r="N386" s="17">
        <f>IF($A386="","",IF($F386&gt;tyk_esikFark,1,0))</f>
        <v/>
      </c>
      <c r="O386" s="17">
        <f>IF($A386="","",IFERROR(SUMIF(tblMotor[A_Norm],$A386,tblMotor[NetKar]),0))</f>
        <v/>
      </c>
      <c r="P386" s="17">
        <f>IF($A386="","",$B386+$M386+$N386)</f>
        <v/>
      </c>
    </row>
    <row r="387">
      <c r="A387" s="17">
        <f>IF('ANAHTAR'!$B387="","",'ANAHTAR'!$B387)</f>
        <v/>
      </c>
      <c r="B387" s="17">
        <f>IF($A387="","",COUNTIF(tblAnahtarB[NormB],$A387))</f>
        <v/>
      </c>
      <c r="C387" s="17">
        <f>IF($A387="","",IFERROR(SUMIF(tblAnahtarB[NormB],$A387,tblHakedis[GercekHakedis]),0))</f>
        <v/>
      </c>
      <c r="D387" s="17">
        <f>IF($A387="","",IFERROR(SUMIF(tblMotor[A_Norm],$A387,tblMotor[BeklenenHakedis]),0))</f>
        <v/>
      </c>
      <c r="E387" s="17">
        <f>IF($A387="","",ROUND($D387,2)-ROUND($C387,2))</f>
        <v/>
      </c>
      <c r="F387" s="17">
        <f>IF($A387="","",ABS($E387))</f>
        <v/>
      </c>
      <c r="G387" s="17">
        <f>IF($A387="","",IF($B387=0,"eslesmedi",IF(ROUND($D387,2)=ROUND($C387,2),"eslesti",IF(ABS(ROUND($D387,2)-ROUND($C387,2))&lt;=toleransKurus,"tolerans_icinde","tutar_farki"))))</f>
        <v/>
      </c>
      <c r="H387" s="17">
        <f>IF($A387="","",IF($B387&gt;0,"BIRINCIL",IF(COUNTIF(tblAnahtarB[IkincilB],'ANAHTAR'!$D387)&gt;0,"IKINCIL","YOK")))</f>
        <v/>
      </c>
      <c r="I387" s="17">
        <f>IF($A387="","",'ANAHTAR'!$F387)</f>
        <v/>
      </c>
      <c r="J387" s="17">
        <f>IF(OR($A387="",$D387=0),0,$F387/ABS($D387))</f>
        <v/>
      </c>
      <c r="K387" s="17">
        <f>IF($A387="","",ROUND($D387,2))</f>
        <v/>
      </c>
      <c r="L387" s="17">
        <f>IF($A387="","",ROUND($C387,2))</f>
        <v/>
      </c>
      <c r="M387" s="17">
        <f>IF($A387="","",IF($F387&lt;=toleransKurus,1,0))</f>
        <v/>
      </c>
      <c r="N387" s="17">
        <f>IF($A387="","",IF($F387&gt;tyk_esikFark,1,0))</f>
        <v/>
      </c>
      <c r="O387" s="17">
        <f>IF($A387="","",IFERROR(SUMIF(tblMotor[A_Norm],$A387,tblMotor[NetKar]),0))</f>
        <v/>
      </c>
      <c r="P387" s="17">
        <f>IF($A387="","",$B387+$M387+$N387)</f>
        <v/>
      </c>
    </row>
    <row r="388">
      <c r="A388" s="17">
        <f>IF('ANAHTAR'!$B388="","",'ANAHTAR'!$B388)</f>
        <v/>
      </c>
      <c r="B388" s="17">
        <f>IF($A388="","",COUNTIF(tblAnahtarB[NormB],$A388))</f>
        <v/>
      </c>
      <c r="C388" s="17">
        <f>IF($A388="","",IFERROR(SUMIF(tblAnahtarB[NormB],$A388,tblHakedis[GercekHakedis]),0))</f>
        <v/>
      </c>
      <c r="D388" s="17">
        <f>IF($A388="","",IFERROR(SUMIF(tblMotor[A_Norm],$A388,tblMotor[BeklenenHakedis]),0))</f>
        <v/>
      </c>
      <c r="E388" s="17">
        <f>IF($A388="","",ROUND($D388,2)-ROUND($C388,2))</f>
        <v/>
      </c>
      <c r="F388" s="17">
        <f>IF($A388="","",ABS($E388))</f>
        <v/>
      </c>
      <c r="G388" s="17">
        <f>IF($A388="","",IF($B388=0,"eslesmedi",IF(ROUND($D388,2)=ROUND($C388,2),"eslesti",IF(ABS(ROUND($D388,2)-ROUND($C388,2))&lt;=toleransKurus,"tolerans_icinde","tutar_farki"))))</f>
        <v/>
      </c>
      <c r="H388" s="17">
        <f>IF($A388="","",IF($B388&gt;0,"BIRINCIL",IF(COUNTIF(tblAnahtarB[IkincilB],'ANAHTAR'!$D388)&gt;0,"IKINCIL","YOK")))</f>
        <v/>
      </c>
      <c r="I388" s="17">
        <f>IF($A388="","",'ANAHTAR'!$F388)</f>
        <v/>
      </c>
      <c r="J388" s="17">
        <f>IF(OR($A388="",$D388=0),0,$F388/ABS($D388))</f>
        <v/>
      </c>
      <c r="K388" s="17">
        <f>IF($A388="","",ROUND($D388,2))</f>
        <v/>
      </c>
      <c r="L388" s="17">
        <f>IF($A388="","",ROUND($C388,2))</f>
        <v/>
      </c>
      <c r="M388" s="17">
        <f>IF($A388="","",IF($F388&lt;=toleransKurus,1,0))</f>
        <v/>
      </c>
      <c r="N388" s="17">
        <f>IF($A388="","",IF($F388&gt;tyk_esikFark,1,0))</f>
        <v/>
      </c>
      <c r="O388" s="17">
        <f>IF($A388="","",IFERROR(SUMIF(tblMotor[A_Norm],$A388,tblMotor[NetKar]),0))</f>
        <v/>
      </c>
      <c r="P388" s="17">
        <f>IF($A388="","",$B388+$M388+$N388)</f>
        <v/>
      </c>
    </row>
    <row r="389">
      <c r="A389" s="17">
        <f>IF('ANAHTAR'!$B389="","",'ANAHTAR'!$B389)</f>
        <v/>
      </c>
      <c r="B389" s="17">
        <f>IF($A389="","",COUNTIF(tblAnahtarB[NormB],$A389))</f>
        <v/>
      </c>
      <c r="C389" s="17">
        <f>IF($A389="","",IFERROR(SUMIF(tblAnahtarB[NormB],$A389,tblHakedis[GercekHakedis]),0))</f>
        <v/>
      </c>
      <c r="D389" s="17">
        <f>IF($A389="","",IFERROR(SUMIF(tblMotor[A_Norm],$A389,tblMotor[BeklenenHakedis]),0))</f>
        <v/>
      </c>
      <c r="E389" s="17">
        <f>IF($A389="","",ROUND($D389,2)-ROUND($C389,2))</f>
        <v/>
      </c>
      <c r="F389" s="17">
        <f>IF($A389="","",ABS($E389))</f>
        <v/>
      </c>
      <c r="G389" s="17">
        <f>IF($A389="","",IF($B389=0,"eslesmedi",IF(ROUND($D389,2)=ROUND($C389,2),"eslesti",IF(ABS(ROUND($D389,2)-ROUND($C389,2))&lt;=toleransKurus,"tolerans_icinde","tutar_farki"))))</f>
        <v/>
      </c>
      <c r="H389" s="17">
        <f>IF($A389="","",IF($B389&gt;0,"BIRINCIL",IF(COUNTIF(tblAnahtarB[IkincilB],'ANAHTAR'!$D389)&gt;0,"IKINCIL","YOK")))</f>
        <v/>
      </c>
      <c r="I389" s="17">
        <f>IF($A389="","",'ANAHTAR'!$F389)</f>
        <v/>
      </c>
      <c r="J389" s="17">
        <f>IF(OR($A389="",$D389=0),0,$F389/ABS($D389))</f>
        <v/>
      </c>
      <c r="K389" s="17">
        <f>IF($A389="","",ROUND($D389,2))</f>
        <v/>
      </c>
      <c r="L389" s="17">
        <f>IF($A389="","",ROUND($C389,2))</f>
        <v/>
      </c>
      <c r="M389" s="17">
        <f>IF($A389="","",IF($F389&lt;=toleransKurus,1,0))</f>
        <v/>
      </c>
      <c r="N389" s="17">
        <f>IF($A389="","",IF($F389&gt;tyk_esikFark,1,0))</f>
        <v/>
      </c>
      <c r="O389" s="17">
        <f>IF($A389="","",IFERROR(SUMIF(tblMotor[A_Norm],$A389,tblMotor[NetKar]),0))</f>
        <v/>
      </c>
      <c r="P389" s="17">
        <f>IF($A389="","",$B389+$M389+$N389)</f>
        <v/>
      </c>
    </row>
    <row r="390">
      <c r="A390" s="17">
        <f>IF('ANAHTAR'!$B390="","",'ANAHTAR'!$B390)</f>
        <v/>
      </c>
      <c r="B390" s="17">
        <f>IF($A390="","",COUNTIF(tblAnahtarB[NormB],$A390))</f>
        <v/>
      </c>
      <c r="C390" s="17">
        <f>IF($A390="","",IFERROR(SUMIF(tblAnahtarB[NormB],$A390,tblHakedis[GercekHakedis]),0))</f>
        <v/>
      </c>
      <c r="D390" s="17">
        <f>IF($A390="","",IFERROR(SUMIF(tblMotor[A_Norm],$A390,tblMotor[BeklenenHakedis]),0))</f>
        <v/>
      </c>
      <c r="E390" s="17">
        <f>IF($A390="","",ROUND($D390,2)-ROUND($C390,2))</f>
        <v/>
      </c>
      <c r="F390" s="17">
        <f>IF($A390="","",ABS($E390))</f>
        <v/>
      </c>
      <c r="G390" s="17">
        <f>IF($A390="","",IF($B390=0,"eslesmedi",IF(ROUND($D390,2)=ROUND($C390,2),"eslesti",IF(ABS(ROUND($D390,2)-ROUND($C390,2))&lt;=toleransKurus,"tolerans_icinde","tutar_farki"))))</f>
        <v/>
      </c>
      <c r="H390" s="17">
        <f>IF($A390="","",IF($B390&gt;0,"BIRINCIL",IF(COUNTIF(tblAnahtarB[IkincilB],'ANAHTAR'!$D390)&gt;0,"IKINCIL","YOK")))</f>
        <v/>
      </c>
      <c r="I390" s="17">
        <f>IF($A390="","",'ANAHTAR'!$F390)</f>
        <v/>
      </c>
      <c r="J390" s="17">
        <f>IF(OR($A390="",$D390=0),0,$F390/ABS($D390))</f>
        <v/>
      </c>
      <c r="K390" s="17">
        <f>IF($A390="","",ROUND($D390,2))</f>
        <v/>
      </c>
      <c r="L390" s="17">
        <f>IF($A390="","",ROUND($C390,2))</f>
        <v/>
      </c>
      <c r="M390" s="17">
        <f>IF($A390="","",IF($F390&lt;=toleransKurus,1,0))</f>
        <v/>
      </c>
      <c r="N390" s="17">
        <f>IF($A390="","",IF($F390&gt;tyk_esikFark,1,0))</f>
        <v/>
      </c>
      <c r="O390" s="17">
        <f>IF($A390="","",IFERROR(SUMIF(tblMotor[A_Norm],$A390,tblMotor[NetKar]),0))</f>
        <v/>
      </c>
      <c r="P390" s="17">
        <f>IF($A390="","",$B390+$M390+$N390)</f>
        <v/>
      </c>
    </row>
    <row r="391">
      <c r="A391" s="17">
        <f>IF('ANAHTAR'!$B391="","",'ANAHTAR'!$B391)</f>
        <v/>
      </c>
      <c r="B391" s="17">
        <f>IF($A391="","",COUNTIF(tblAnahtarB[NormB],$A391))</f>
        <v/>
      </c>
      <c r="C391" s="17">
        <f>IF($A391="","",IFERROR(SUMIF(tblAnahtarB[NormB],$A391,tblHakedis[GercekHakedis]),0))</f>
        <v/>
      </c>
      <c r="D391" s="17">
        <f>IF($A391="","",IFERROR(SUMIF(tblMotor[A_Norm],$A391,tblMotor[BeklenenHakedis]),0))</f>
        <v/>
      </c>
      <c r="E391" s="17">
        <f>IF($A391="","",ROUND($D391,2)-ROUND($C391,2))</f>
        <v/>
      </c>
      <c r="F391" s="17">
        <f>IF($A391="","",ABS($E391))</f>
        <v/>
      </c>
      <c r="G391" s="17">
        <f>IF($A391="","",IF($B391=0,"eslesmedi",IF(ROUND($D391,2)=ROUND($C391,2),"eslesti",IF(ABS(ROUND($D391,2)-ROUND($C391,2))&lt;=toleransKurus,"tolerans_icinde","tutar_farki"))))</f>
        <v/>
      </c>
      <c r="H391" s="17">
        <f>IF($A391="","",IF($B391&gt;0,"BIRINCIL",IF(COUNTIF(tblAnahtarB[IkincilB],'ANAHTAR'!$D391)&gt;0,"IKINCIL","YOK")))</f>
        <v/>
      </c>
      <c r="I391" s="17">
        <f>IF($A391="","",'ANAHTAR'!$F391)</f>
        <v/>
      </c>
      <c r="J391" s="17">
        <f>IF(OR($A391="",$D391=0),0,$F391/ABS($D391))</f>
        <v/>
      </c>
      <c r="K391" s="17">
        <f>IF($A391="","",ROUND($D391,2))</f>
        <v/>
      </c>
      <c r="L391" s="17">
        <f>IF($A391="","",ROUND($C391,2))</f>
        <v/>
      </c>
      <c r="M391" s="17">
        <f>IF($A391="","",IF($F391&lt;=toleransKurus,1,0))</f>
        <v/>
      </c>
      <c r="N391" s="17">
        <f>IF($A391="","",IF($F391&gt;tyk_esikFark,1,0))</f>
        <v/>
      </c>
      <c r="O391" s="17">
        <f>IF($A391="","",IFERROR(SUMIF(tblMotor[A_Norm],$A391,tblMotor[NetKar]),0))</f>
        <v/>
      </c>
      <c r="P391" s="17">
        <f>IF($A391="","",$B391+$M391+$N391)</f>
        <v/>
      </c>
    </row>
    <row r="392">
      <c r="A392" s="17">
        <f>IF('ANAHTAR'!$B392="","",'ANAHTAR'!$B392)</f>
        <v/>
      </c>
      <c r="B392" s="17">
        <f>IF($A392="","",COUNTIF(tblAnahtarB[NormB],$A392))</f>
        <v/>
      </c>
      <c r="C392" s="17">
        <f>IF($A392="","",IFERROR(SUMIF(tblAnahtarB[NormB],$A392,tblHakedis[GercekHakedis]),0))</f>
        <v/>
      </c>
      <c r="D392" s="17">
        <f>IF($A392="","",IFERROR(SUMIF(tblMotor[A_Norm],$A392,tblMotor[BeklenenHakedis]),0))</f>
        <v/>
      </c>
      <c r="E392" s="17">
        <f>IF($A392="","",ROUND($D392,2)-ROUND($C392,2))</f>
        <v/>
      </c>
      <c r="F392" s="17">
        <f>IF($A392="","",ABS($E392))</f>
        <v/>
      </c>
      <c r="G392" s="17">
        <f>IF($A392="","",IF($B392=0,"eslesmedi",IF(ROUND($D392,2)=ROUND($C392,2),"eslesti",IF(ABS(ROUND($D392,2)-ROUND($C392,2))&lt;=toleransKurus,"tolerans_icinde","tutar_farki"))))</f>
        <v/>
      </c>
      <c r="H392" s="17">
        <f>IF($A392="","",IF($B392&gt;0,"BIRINCIL",IF(COUNTIF(tblAnahtarB[IkincilB],'ANAHTAR'!$D392)&gt;0,"IKINCIL","YOK")))</f>
        <v/>
      </c>
      <c r="I392" s="17">
        <f>IF($A392="","",'ANAHTAR'!$F392)</f>
        <v/>
      </c>
      <c r="J392" s="17">
        <f>IF(OR($A392="",$D392=0),0,$F392/ABS($D392))</f>
        <v/>
      </c>
      <c r="K392" s="17">
        <f>IF($A392="","",ROUND($D392,2))</f>
        <v/>
      </c>
      <c r="L392" s="17">
        <f>IF($A392="","",ROUND($C392,2))</f>
        <v/>
      </c>
      <c r="M392" s="17">
        <f>IF($A392="","",IF($F392&lt;=toleransKurus,1,0))</f>
        <v/>
      </c>
      <c r="N392" s="17">
        <f>IF($A392="","",IF($F392&gt;tyk_esikFark,1,0))</f>
        <v/>
      </c>
      <c r="O392" s="17">
        <f>IF($A392="","",IFERROR(SUMIF(tblMotor[A_Norm],$A392,tblMotor[NetKar]),0))</f>
        <v/>
      </c>
      <c r="P392" s="17">
        <f>IF($A392="","",$B392+$M392+$N392)</f>
        <v/>
      </c>
    </row>
    <row r="393">
      <c r="A393" s="17">
        <f>IF('ANAHTAR'!$B393="","",'ANAHTAR'!$B393)</f>
        <v/>
      </c>
      <c r="B393" s="17">
        <f>IF($A393="","",COUNTIF(tblAnahtarB[NormB],$A393))</f>
        <v/>
      </c>
      <c r="C393" s="17">
        <f>IF($A393="","",IFERROR(SUMIF(tblAnahtarB[NormB],$A393,tblHakedis[GercekHakedis]),0))</f>
        <v/>
      </c>
      <c r="D393" s="17">
        <f>IF($A393="","",IFERROR(SUMIF(tblMotor[A_Norm],$A393,tblMotor[BeklenenHakedis]),0))</f>
        <v/>
      </c>
      <c r="E393" s="17">
        <f>IF($A393="","",ROUND($D393,2)-ROUND($C393,2))</f>
        <v/>
      </c>
      <c r="F393" s="17">
        <f>IF($A393="","",ABS($E393))</f>
        <v/>
      </c>
      <c r="G393" s="17">
        <f>IF($A393="","",IF($B393=0,"eslesmedi",IF(ROUND($D393,2)=ROUND($C393,2),"eslesti",IF(ABS(ROUND($D393,2)-ROUND($C393,2))&lt;=toleransKurus,"tolerans_icinde","tutar_farki"))))</f>
        <v/>
      </c>
      <c r="H393" s="17">
        <f>IF($A393="","",IF($B393&gt;0,"BIRINCIL",IF(COUNTIF(tblAnahtarB[IkincilB],'ANAHTAR'!$D393)&gt;0,"IKINCIL","YOK")))</f>
        <v/>
      </c>
      <c r="I393" s="17">
        <f>IF($A393="","",'ANAHTAR'!$F393)</f>
        <v/>
      </c>
      <c r="J393" s="17">
        <f>IF(OR($A393="",$D393=0),0,$F393/ABS($D393))</f>
        <v/>
      </c>
      <c r="K393" s="17">
        <f>IF($A393="","",ROUND($D393,2))</f>
        <v/>
      </c>
      <c r="L393" s="17">
        <f>IF($A393="","",ROUND($C393,2))</f>
        <v/>
      </c>
      <c r="M393" s="17">
        <f>IF($A393="","",IF($F393&lt;=toleransKurus,1,0))</f>
        <v/>
      </c>
      <c r="N393" s="17">
        <f>IF($A393="","",IF($F393&gt;tyk_esikFark,1,0))</f>
        <v/>
      </c>
      <c r="O393" s="17">
        <f>IF($A393="","",IFERROR(SUMIF(tblMotor[A_Norm],$A393,tblMotor[NetKar]),0))</f>
        <v/>
      </c>
      <c r="P393" s="17">
        <f>IF($A393="","",$B393+$M393+$N393)</f>
        <v/>
      </c>
    </row>
    <row r="394">
      <c r="A394" s="17">
        <f>IF('ANAHTAR'!$B394="","",'ANAHTAR'!$B394)</f>
        <v/>
      </c>
      <c r="B394" s="17">
        <f>IF($A394="","",COUNTIF(tblAnahtarB[NormB],$A394))</f>
        <v/>
      </c>
      <c r="C394" s="17">
        <f>IF($A394="","",IFERROR(SUMIF(tblAnahtarB[NormB],$A394,tblHakedis[GercekHakedis]),0))</f>
        <v/>
      </c>
      <c r="D394" s="17">
        <f>IF($A394="","",IFERROR(SUMIF(tblMotor[A_Norm],$A394,tblMotor[BeklenenHakedis]),0))</f>
        <v/>
      </c>
      <c r="E394" s="17">
        <f>IF($A394="","",ROUND($D394,2)-ROUND($C394,2))</f>
        <v/>
      </c>
      <c r="F394" s="17">
        <f>IF($A394="","",ABS($E394))</f>
        <v/>
      </c>
      <c r="G394" s="17">
        <f>IF($A394="","",IF($B394=0,"eslesmedi",IF(ROUND($D394,2)=ROUND($C394,2),"eslesti",IF(ABS(ROUND($D394,2)-ROUND($C394,2))&lt;=toleransKurus,"tolerans_icinde","tutar_farki"))))</f>
        <v/>
      </c>
      <c r="H394" s="17">
        <f>IF($A394="","",IF($B394&gt;0,"BIRINCIL",IF(COUNTIF(tblAnahtarB[IkincilB],'ANAHTAR'!$D394)&gt;0,"IKINCIL","YOK")))</f>
        <v/>
      </c>
      <c r="I394" s="17">
        <f>IF($A394="","",'ANAHTAR'!$F394)</f>
        <v/>
      </c>
      <c r="J394" s="17">
        <f>IF(OR($A394="",$D394=0),0,$F394/ABS($D394))</f>
        <v/>
      </c>
      <c r="K394" s="17">
        <f>IF($A394="","",ROUND($D394,2))</f>
        <v/>
      </c>
      <c r="L394" s="17">
        <f>IF($A394="","",ROUND($C394,2))</f>
        <v/>
      </c>
      <c r="M394" s="17">
        <f>IF($A394="","",IF($F394&lt;=toleransKurus,1,0))</f>
        <v/>
      </c>
      <c r="N394" s="17">
        <f>IF($A394="","",IF($F394&gt;tyk_esikFark,1,0))</f>
        <v/>
      </c>
      <c r="O394" s="17">
        <f>IF($A394="","",IFERROR(SUMIF(tblMotor[A_Norm],$A394,tblMotor[NetKar]),0))</f>
        <v/>
      </c>
      <c r="P394" s="17">
        <f>IF($A394="","",$B394+$M394+$N394)</f>
        <v/>
      </c>
    </row>
    <row r="395">
      <c r="A395" s="17">
        <f>IF('ANAHTAR'!$B395="","",'ANAHTAR'!$B395)</f>
        <v/>
      </c>
      <c r="B395" s="17">
        <f>IF($A395="","",COUNTIF(tblAnahtarB[NormB],$A395))</f>
        <v/>
      </c>
      <c r="C395" s="17">
        <f>IF($A395="","",IFERROR(SUMIF(tblAnahtarB[NormB],$A395,tblHakedis[GercekHakedis]),0))</f>
        <v/>
      </c>
      <c r="D395" s="17">
        <f>IF($A395="","",IFERROR(SUMIF(tblMotor[A_Norm],$A395,tblMotor[BeklenenHakedis]),0))</f>
        <v/>
      </c>
      <c r="E395" s="17">
        <f>IF($A395="","",ROUND($D395,2)-ROUND($C395,2))</f>
        <v/>
      </c>
      <c r="F395" s="17">
        <f>IF($A395="","",ABS($E395))</f>
        <v/>
      </c>
      <c r="G395" s="17">
        <f>IF($A395="","",IF($B395=0,"eslesmedi",IF(ROUND($D395,2)=ROUND($C395,2),"eslesti",IF(ABS(ROUND($D395,2)-ROUND($C395,2))&lt;=toleransKurus,"tolerans_icinde","tutar_farki"))))</f>
        <v/>
      </c>
      <c r="H395" s="17">
        <f>IF($A395="","",IF($B395&gt;0,"BIRINCIL",IF(COUNTIF(tblAnahtarB[IkincilB],'ANAHTAR'!$D395)&gt;0,"IKINCIL","YOK")))</f>
        <v/>
      </c>
      <c r="I395" s="17">
        <f>IF($A395="","",'ANAHTAR'!$F395)</f>
        <v/>
      </c>
      <c r="J395" s="17">
        <f>IF(OR($A395="",$D395=0),0,$F395/ABS($D395))</f>
        <v/>
      </c>
      <c r="K395" s="17">
        <f>IF($A395="","",ROUND($D395,2))</f>
        <v/>
      </c>
      <c r="L395" s="17">
        <f>IF($A395="","",ROUND($C395,2))</f>
        <v/>
      </c>
      <c r="M395" s="17">
        <f>IF($A395="","",IF($F395&lt;=toleransKurus,1,0))</f>
        <v/>
      </c>
      <c r="N395" s="17">
        <f>IF($A395="","",IF($F395&gt;tyk_esikFark,1,0))</f>
        <v/>
      </c>
      <c r="O395" s="17">
        <f>IF($A395="","",IFERROR(SUMIF(tblMotor[A_Norm],$A395,tblMotor[NetKar]),0))</f>
        <v/>
      </c>
      <c r="P395" s="17">
        <f>IF($A395="","",$B395+$M395+$N395)</f>
        <v/>
      </c>
    </row>
    <row r="396">
      <c r="A396" s="17">
        <f>IF('ANAHTAR'!$B396="","",'ANAHTAR'!$B396)</f>
        <v/>
      </c>
      <c r="B396" s="17">
        <f>IF($A396="","",COUNTIF(tblAnahtarB[NormB],$A396))</f>
        <v/>
      </c>
      <c r="C396" s="17">
        <f>IF($A396="","",IFERROR(SUMIF(tblAnahtarB[NormB],$A396,tblHakedis[GercekHakedis]),0))</f>
        <v/>
      </c>
      <c r="D396" s="17">
        <f>IF($A396="","",IFERROR(SUMIF(tblMotor[A_Norm],$A396,tblMotor[BeklenenHakedis]),0))</f>
        <v/>
      </c>
      <c r="E396" s="17">
        <f>IF($A396="","",ROUND($D396,2)-ROUND($C396,2))</f>
        <v/>
      </c>
      <c r="F396" s="17">
        <f>IF($A396="","",ABS($E396))</f>
        <v/>
      </c>
      <c r="G396" s="17">
        <f>IF($A396="","",IF($B396=0,"eslesmedi",IF(ROUND($D396,2)=ROUND($C396,2),"eslesti",IF(ABS(ROUND($D396,2)-ROUND($C396,2))&lt;=toleransKurus,"tolerans_icinde","tutar_farki"))))</f>
        <v/>
      </c>
      <c r="H396" s="17">
        <f>IF($A396="","",IF($B396&gt;0,"BIRINCIL",IF(COUNTIF(tblAnahtarB[IkincilB],'ANAHTAR'!$D396)&gt;0,"IKINCIL","YOK")))</f>
        <v/>
      </c>
      <c r="I396" s="17">
        <f>IF($A396="","",'ANAHTAR'!$F396)</f>
        <v/>
      </c>
      <c r="J396" s="17">
        <f>IF(OR($A396="",$D396=0),0,$F396/ABS($D396))</f>
        <v/>
      </c>
      <c r="K396" s="17">
        <f>IF($A396="","",ROUND($D396,2))</f>
        <v/>
      </c>
      <c r="L396" s="17">
        <f>IF($A396="","",ROUND($C396,2))</f>
        <v/>
      </c>
      <c r="M396" s="17">
        <f>IF($A396="","",IF($F396&lt;=toleransKurus,1,0))</f>
        <v/>
      </c>
      <c r="N396" s="17">
        <f>IF($A396="","",IF($F396&gt;tyk_esikFark,1,0))</f>
        <v/>
      </c>
      <c r="O396" s="17">
        <f>IF($A396="","",IFERROR(SUMIF(tblMotor[A_Norm],$A396,tblMotor[NetKar]),0))</f>
        <v/>
      </c>
      <c r="P396" s="17">
        <f>IF($A396="","",$B396+$M396+$N396)</f>
        <v/>
      </c>
    </row>
    <row r="397">
      <c r="A397" s="17">
        <f>IF('ANAHTAR'!$B397="","",'ANAHTAR'!$B397)</f>
        <v/>
      </c>
      <c r="B397" s="17">
        <f>IF($A397="","",COUNTIF(tblAnahtarB[NormB],$A397))</f>
        <v/>
      </c>
      <c r="C397" s="17">
        <f>IF($A397="","",IFERROR(SUMIF(tblAnahtarB[NormB],$A397,tblHakedis[GercekHakedis]),0))</f>
        <v/>
      </c>
      <c r="D397" s="17">
        <f>IF($A397="","",IFERROR(SUMIF(tblMotor[A_Norm],$A397,tblMotor[BeklenenHakedis]),0))</f>
        <v/>
      </c>
      <c r="E397" s="17">
        <f>IF($A397="","",ROUND($D397,2)-ROUND($C397,2))</f>
        <v/>
      </c>
      <c r="F397" s="17">
        <f>IF($A397="","",ABS($E397))</f>
        <v/>
      </c>
      <c r="G397" s="17">
        <f>IF($A397="","",IF($B397=0,"eslesmedi",IF(ROUND($D397,2)=ROUND($C397,2),"eslesti",IF(ABS(ROUND($D397,2)-ROUND($C397,2))&lt;=toleransKurus,"tolerans_icinde","tutar_farki"))))</f>
        <v/>
      </c>
      <c r="H397" s="17">
        <f>IF($A397="","",IF($B397&gt;0,"BIRINCIL",IF(COUNTIF(tblAnahtarB[IkincilB],'ANAHTAR'!$D397)&gt;0,"IKINCIL","YOK")))</f>
        <v/>
      </c>
      <c r="I397" s="17">
        <f>IF($A397="","",'ANAHTAR'!$F397)</f>
        <v/>
      </c>
      <c r="J397" s="17">
        <f>IF(OR($A397="",$D397=0),0,$F397/ABS($D397))</f>
        <v/>
      </c>
      <c r="K397" s="17">
        <f>IF($A397="","",ROUND($D397,2))</f>
        <v/>
      </c>
      <c r="L397" s="17">
        <f>IF($A397="","",ROUND($C397,2))</f>
        <v/>
      </c>
      <c r="M397" s="17">
        <f>IF($A397="","",IF($F397&lt;=toleransKurus,1,0))</f>
        <v/>
      </c>
      <c r="N397" s="17">
        <f>IF($A397="","",IF($F397&gt;tyk_esikFark,1,0))</f>
        <v/>
      </c>
      <c r="O397" s="17">
        <f>IF($A397="","",IFERROR(SUMIF(tblMotor[A_Norm],$A397,tblMotor[NetKar]),0))</f>
        <v/>
      </c>
      <c r="P397" s="17">
        <f>IF($A397="","",$B397+$M397+$N397)</f>
        <v/>
      </c>
    </row>
    <row r="398">
      <c r="A398" s="17">
        <f>IF('ANAHTAR'!$B398="","",'ANAHTAR'!$B398)</f>
        <v/>
      </c>
      <c r="B398" s="17">
        <f>IF($A398="","",COUNTIF(tblAnahtarB[NormB],$A398))</f>
        <v/>
      </c>
      <c r="C398" s="17">
        <f>IF($A398="","",IFERROR(SUMIF(tblAnahtarB[NormB],$A398,tblHakedis[GercekHakedis]),0))</f>
        <v/>
      </c>
      <c r="D398" s="17">
        <f>IF($A398="","",IFERROR(SUMIF(tblMotor[A_Norm],$A398,tblMotor[BeklenenHakedis]),0))</f>
        <v/>
      </c>
      <c r="E398" s="17">
        <f>IF($A398="","",ROUND($D398,2)-ROUND($C398,2))</f>
        <v/>
      </c>
      <c r="F398" s="17">
        <f>IF($A398="","",ABS($E398))</f>
        <v/>
      </c>
      <c r="G398" s="17">
        <f>IF($A398="","",IF($B398=0,"eslesmedi",IF(ROUND($D398,2)=ROUND($C398,2),"eslesti",IF(ABS(ROUND($D398,2)-ROUND($C398,2))&lt;=toleransKurus,"tolerans_icinde","tutar_farki"))))</f>
        <v/>
      </c>
      <c r="H398" s="17">
        <f>IF($A398="","",IF($B398&gt;0,"BIRINCIL",IF(COUNTIF(tblAnahtarB[IkincilB],'ANAHTAR'!$D398)&gt;0,"IKINCIL","YOK")))</f>
        <v/>
      </c>
      <c r="I398" s="17">
        <f>IF($A398="","",'ANAHTAR'!$F398)</f>
        <v/>
      </c>
      <c r="J398" s="17">
        <f>IF(OR($A398="",$D398=0),0,$F398/ABS($D398))</f>
        <v/>
      </c>
      <c r="K398" s="17">
        <f>IF($A398="","",ROUND($D398,2))</f>
        <v/>
      </c>
      <c r="L398" s="17">
        <f>IF($A398="","",ROUND($C398,2))</f>
        <v/>
      </c>
      <c r="M398" s="17">
        <f>IF($A398="","",IF($F398&lt;=toleransKurus,1,0))</f>
        <v/>
      </c>
      <c r="N398" s="17">
        <f>IF($A398="","",IF($F398&gt;tyk_esikFark,1,0))</f>
        <v/>
      </c>
      <c r="O398" s="17">
        <f>IF($A398="","",IFERROR(SUMIF(tblMotor[A_Norm],$A398,tblMotor[NetKar]),0))</f>
        <v/>
      </c>
      <c r="P398" s="17">
        <f>IF($A398="","",$B398+$M398+$N398)</f>
        <v/>
      </c>
    </row>
    <row r="399">
      <c r="A399" s="17">
        <f>IF('ANAHTAR'!$B399="","",'ANAHTAR'!$B399)</f>
        <v/>
      </c>
      <c r="B399" s="17">
        <f>IF($A399="","",COUNTIF(tblAnahtarB[NormB],$A399))</f>
        <v/>
      </c>
      <c r="C399" s="17">
        <f>IF($A399="","",IFERROR(SUMIF(tblAnahtarB[NormB],$A399,tblHakedis[GercekHakedis]),0))</f>
        <v/>
      </c>
      <c r="D399" s="17">
        <f>IF($A399="","",IFERROR(SUMIF(tblMotor[A_Norm],$A399,tblMotor[BeklenenHakedis]),0))</f>
        <v/>
      </c>
      <c r="E399" s="17">
        <f>IF($A399="","",ROUND($D399,2)-ROUND($C399,2))</f>
        <v/>
      </c>
      <c r="F399" s="17">
        <f>IF($A399="","",ABS($E399))</f>
        <v/>
      </c>
      <c r="G399" s="17">
        <f>IF($A399="","",IF($B399=0,"eslesmedi",IF(ROUND($D399,2)=ROUND($C399,2),"eslesti",IF(ABS(ROUND($D399,2)-ROUND($C399,2))&lt;=toleransKurus,"tolerans_icinde","tutar_farki"))))</f>
        <v/>
      </c>
      <c r="H399" s="17">
        <f>IF($A399="","",IF($B399&gt;0,"BIRINCIL",IF(COUNTIF(tblAnahtarB[IkincilB],'ANAHTAR'!$D399)&gt;0,"IKINCIL","YOK")))</f>
        <v/>
      </c>
      <c r="I399" s="17">
        <f>IF($A399="","",'ANAHTAR'!$F399)</f>
        <v/>
      </c>
      <c r="J399" s="17">
        <f>IF(OR($A399="",$D399=0),0,$F399/ABS($D399))</f>
        <v/>
      </c>
      <c r="K399" s="17">
        <f>IF($A399="","",ROUND($D399,2))</f>
        <v/>
      </c>
      <c r="L399" s="17">
        <f>IF($A399="","",ROUND($C399,2))</f>
        <v/>
      </c>
      <c r="M399" s="17">
        <f>IF($A399="","",IF($F399&lt;=toleransKurus,1,0))</f>
        <v/>
      </c>
      <c r="N399" s="17">
        <f>IF($A399="","",IF($F399&gt;tyk_esikFark,1,0))</f>
        <v/>
      </c>
      <c r="O399" s="17">
        <f>IF($A399="","",IFERROR(SUMIF(tblMotor[A_Norm],$A399,tblMotor[NetKar]),0))</f>
        <v/>
      </c>
      <c r="P399" s="17">
        <f>IF($A399="","",$B399+$M399+$N399)</f>
        <v/>
      </c>
    </row>
    <row r="400">
      <c r="A400" s="17">
        <f>IF('ANAHTAR'!$B400="","",'ANAHTAR'!$B400)</f>
        <v/>
      </c>
      <c r="B400" s="17">
        <f>IF($A400="","",COUNTIF(tblAnahtarB[NormB],$A400))</f>
        <v/>
      </c>
      <c r="C400" s="17">
        <f>IF($A400="","",IFERROR(SUMIF(tblAnahtarB[NormB],$A400,tblHakedis[GercekHakedis]),0))</f>
        <v/>
      </c>
      <c r="D400" s="17">
        <f>IF($A400="","",IFERROR(SUMIF(tblMotor[A_Norm],$A400,tblMotor[BeklenenHakedis]),0))</f>
        <v/>
      </c>
      <c r="E400" s="17">
        <f>IF($A400="","",ROUND($D400,2)-ROUND($C400,2))</f>
        <v/>
      </c>
      <c r="F400" s="17">
        <f>IF($A400="","",ABS($E400))</f>
        <v/>
      </c>
      <c r="G400" s="17">
        <f>IF($A400="","",IF($B400=0,"eslesmedi",IF(ROUND($D400,2)=ROUND($C400,2),"eslesti",IF(ABS(ROUND($D400,2)-ROUND($C400,2))&lt;=toleransKurus,"tolerans_icinde","tutar_farki"))))</f>
        <v/>
      </c>
      <c r="H400" s="17">
        <f>IF($A400="","",IF($B400&gt;0,"BIRINCIL",IF(COUNTIF(tblAnahtarB[IkincilB],'ANAHTAR'!$D400)&gt;0,"IKINCIL","YOK")))</f>
        <v/>
      </c>
      <c r="I400" s="17">
        <f>IF($A400="","",'ANAHTAR'!$F400)</f>
        <v/>
      </c>
      <c r="J400" s="17">
        <f>IF(OR($A400="",$D400=0),0,$F400/ABS($D400))</f>
        <v/>
      </c>
      <c r="K400" s="17">
        <f>IF($A400="","",ROUND($D400,2))</f>
        <v/>
      </c>
      <c r="L400" s="17">
        <f>IF($A400="","",ROUND($C400,2))</f>
        <v/>
      </c>
      <c r="M400" s="17">
        <f>IF($A400="","",IF($F400&lt;=toleransKurus,1,0))</f>
        <v/>
      </c>
      <c r="N400" s="17">
        <f>IF($A400="","",IF($F400&gt;tyk_esikFark,1,0))</f>
        <v/>
      </c>
      <c r="O400" s="17">
        <f>IF($A400="","",IFERROR(SUMIF(tblMotor[A_Norm],$A400,tblMotor[NetKar]),0))</f>
        <v/>
      </c>
      <c r="P400" s="17">
        <f>IF($A400="","",$B400+$M400+$N400)</f>
        <v/>
      </c>
    </row>
    <row r="401">
      <c r="A401" s="17">
        <f>IF('ANAHTAR'!$B401="","",'ANAHTAR'!$B401)</f>
        <v/>
      </c>
      <c r="B401" s="17">
        <f>IF($A401="","",COUNTIF(tblAnahtarB[NormB],$A401))</f>
        <v/>
      </c>
      <c r="C401" s="17">
        <f>IF($A401="","",IFERROR(SUMIF(tblAnahtarB[NormB],$A401,tblHakedis[GercekHakedis]),0))</f>
        <v/>
      </c>
      <c r="D401" s="17">
        <f>IF($A401="","",IFERROR(SUMIF(tblMotor[A_Norm],$A401,tblMotor[BeklenenHakedis]),0))</f>
        <v/>
      </c>
      <c r="E401" s="17">
        <f>IF($A401="","",ROUND($D401,2)-ROUND($C401,2))</f>
        <v/>
      </c>
      <c r="F401" s="17">
        <f>IF($A401="","",ABS($E401))</f>
        <v/>
      </c>
      <c r="G401" s="17">
        <f>IF($A401="","",IF($B401=0,"eslesmedi",IF(ROUND($D401,2)=ROUND($C401,2),"eslesti",IF(ABS(ROUND($D401,2)-ROUND($C401,2))&lt;=toleransKurus,"tolerans_icinde","tutar_farki"))))</f>
        <v/>
      </c>
      <c r="H401" s="17">
        <f>IF($A401="","",IF($B401&gt;0,"BIRINCIL",IF(COUNTIF(tblAnahtarB[IkincilB],'ANAHTAR'!$D401)&gt;0,"IKINCIL","YOK")))</f>
        <v/>
      </c>
      <c r="I401" s="17">
        <f>IF($A401="","",'ANAHTAR'!$F401)</f>
        <v/>
      </c>
      <c r="J401" s="17">
        <f>IF(OR($A401="",$D401=0),0,$F401/ABS($D401))</f>
        <v/>
      </c>
      <c r="K401" s="17">
        <f>IF($A401="","",ROUND($D401,2))</f>
        <v/>
      </c>
      <c r="L401" s="17">
        <f>IF($A401="","",ROUND($C401,2))</f>
        <v/>
      </c>
      <c r="M401" s="17">
        <f>IF($A401="","",IF($F401&lt;=toleransKurus,1,0))</f>
        <v/>
      </c>
      <c r="N401" s="17">
        <f>IF($A401="","",IF($F401&gt;tyk_esikFark,1,0))</f>
        <v/>
      </c>
      <c r="O401" s="17">
        <f>IF($A401="","",IFERROR(SUMIF(tblMotor[A_Norm],$A401,tblMotor[NetKar]),0))</f>
        <v/>
      </c>
      <c r="P401" s="17">
        <f>IF($A401="","",$B401+$M401+$N401)</f>
        <v/>
      </c>
    </row>
    <row r="402">
      <c r="A402" s="17">
        <f>IF('ANAHTAR'!$B402="","",'ANAHTAR'!$B402)</f>
        <v/>
      </c>
      <c r="B402" s="17">
        <f>IF($A402="","",COUNTIF(tblAnahtarB[NormB],$A402))</f>
        <v/>
      </c>
      <c r="C402" s="17">
        <f>IF($A402="","",IFERROR(SUMIF(tblAnahtarB[NormB],$A402,tblHakedis[GercekHakedis]),0))</f>
        <v/>
      </c>
      <c r="D402" s="17">
        <f>IF($A402="","",IFERROR(SUMIF(tblMotor[A_Norm],$A402,tblMotor[BeklenenHakedis]),0))</f>
        <v/>
      </c>
      <c r="E402" s="17">
        <f>IF($A402="","",ROUND($D402,2)-ROUND($C402,2))</f>
        <v/>
      </c>
      <c r="F402" s="17">
        <f>IF($A402="","",ABS($E402))</f>
        <v/>
      </c>
      <c r="G402" s="17">
        <f>IF($A402="","",IF($B402=0,"eslesmedi",IF(ROUND($D402,2)=ROUND($C402,2),"eslesti",IF(ABS(ROUND($D402,2)-ROUND($C402,2))&lt;=toleransKurus,"tolerans_icinde","tutar_farki"))))</f>
        <v/>
      </c>
      <c r="H402" s="17">
        <f>IF($A402="","",IF($B402&gt;0,"BIRINCIL",IF(COUNTIF(tblAnahtarB[IkincilB],'ANAHTAR'!$D402)&gt;0,"IKINCIL","YOK")))</f>
        <v/>
      </c>
      <c r="I402" s="17">
        <f>IF($A402="","",'ANAHTAR'!$F402)</f>
        <v/>
      </c>
      <c r="J402" s="17">
        <f>IF(OR($A402="",$D402=0),0,$F402/ABS($D402))</f>
        <v/>
      </c>
      <c r="K402" s="17">
        <f>IF($A402="","",ROUND($D402,2))</f>
        <v/>
      </c>
      <c r="L402" s="17">
        <f>IF($A402="","",ROUND($C402,2))</f>
        <v/>
      </c>
      <c r="M402" s="17">
        <f>IF($A402="","",IF($F402&lt;=toleransKurus,1,0))</f>
        <v/>
      </c>
      <c r="N402" s="17">
        <f>IF($A402="","",IF($F402&gt;tyk_esikFark,1,0))</f>
        <v/>
      </c>
      <c r="O402" s="17">
        <f>IF($A402="","",IFERROR(SUMIF(tblMotor[A_Norm],$A402,tblMotor[NetKar]),0))</f>
        <v/>
      </c>
      <c r="P402" s="17">
        <f>IF($A402="","",$B402+$M402+$N402)</f>
        <v/>
      </c>
    </row>
    <row r="403">
      <c r="A403" s="17">
        <f>IF('ANAHTAR'!$B403="","",'ANAHTAR'!$B403)</f>
        <v/>
      </c>
      <c r="B403" s="17">
        <f>IF($A403="","",COUNTIF(tblAnahtarB[NormB],$A403))</f>
        <v/>
      </c>
      <c r="C403" s="17">
        <f>IF($A403="","",IFERROR(SUMIF(tblAnahtarB[NormB],$A403,tblHakedis[GercekHakedis]),0))</f>
        <v/>
      </c>
      <c r="D403" s="17">
        <f>IF($A403="","",IFERROR(SUMIF(tblMotor[A_Norm],$A403,tblMotor[BeklenenHakedis]),0))</f>
        <v/>
      </c>
      <c r="E403" s="17">
        <f>IF($A403="","",ROUND($D403,2)-ROUND($C403,2))</f>
        <v/>
      </c>
      <c r="F403" s="17">
        <f>IF($A403="","",ABS($E403))</f>
        <v/>
      </c>
      <c r="G403" s="17">
        <f>IF($A403="","",IF($B403=0,"eslesmedi",IF(ROUND($D403,2)=ROUND($C403,2),"eslesti",IF(ABS(ROUND($D403,2)-ROUND($C403,2))&lt;=toleransKurus,"tolerans_icinde","tutar_farki"))))</f>
        <v/>
      </c>
      <c r="H403" s="17">
        <f>IF($A403="","",IF($B403&gt;0,"BIRINCIL",IF(COUNTIF(tblAnahtarB[IkincilB],'ANAHTAR'!$D403)&gt;0,"IKINCIL","YOK")))</f>
        <v/>
      </c>
      <c r="I403" s="17">
        <f>IF($A403="","",'ANAHTAR'!$F403)</f>
        <v/>
      </c>
      <c r="J403" s="17">
        <f>IF(OR($A403="",$D403=0),0,$F403/ABS($D403))</f>
        <v/>
      </c>
      <c r="K403" s="17">
        <f>IF($A403="","",ROUND($D403,2))</f>
        <v/>
      </c>
      <c r="L403" s="17">
        <f>IF($A403="","",ROUND($C403,2))</f>
        <v/>
      </c>
      <c r="M403" s="17">
        <f>IF($A403="","",IF($F403&lt;=toleransKurus,1,0))</f>
        <v/>
      </c>
      <c r="N403" s="17">
        <f>IF($A403="","",IF($F403&gt;tyk_esikFark,1,0))</f>
        <v/>
      </c>
      <c r="O403" s="17">
        <f>IF($A403="","",IFERROR(SUMIF(tblMotor[A_Norm],$A403,tblMotor[NetKar]),0))</f>
        <v/>
      </c>
      <c r="P403" s="17">
        <f>IF($A403="","",$B403+$M403+$N403)</f>
        <v/>
      </c>
    </row>
    <row r="404">
      <c r="A404" s="17">
        <f>IF('ANAHTAR'!$B404="","",'ANAHTAR'!$B404)</f>
        <v/>
      </c>
      <c r="B404" s="17">
        <f>IF($A404="","",COUNTIF(tblAnahtarB[NormB],$A404))</f>
        <v/>
      </c>
      <c r="C404" s="17">
        <f>IF($A404="","",IFERROR(SUMIF(tblAnahtarB[NormB],$A404,tblHakedis[GercekHakedis]),0))</f>
        <v/>
      </c>
      <c r="D404" s="17">
        <f>IF($A404="","",IFERROR(SUMIF(tblMotor[A_Norm],$A404,tblMotor[BeklenenHakedis]),0))</f>
        <v/>
      </c>
      <c r="E404" s="17">
        <f>IF($A404="","",ROUND($D404,2)-ROUND($C404,2))</f>
        <v/>
      </c>
      <c r="F404" s="17">
        <f>IF($A404="","",ABS($E404))</f>
        <v/>
      </c>
      <c r="G404" s="17">
        <f>IF($A404="","",IF($B404=0,"eslesmedi",IF(ROUND($D404,2)=ROUND($C404,2),"eslesti",IF(ABS(ROUND($D404,2)-ROUND($C404,2))&lt;=toleransKurus,"tolerans_icinde","tutar_farki"))))</f>
        <v/>
      </c>
      <c r="H404" s="17">
        <f>IF($A404="","",IF($B404&gt;0,"BIRINCIL",IF(COUNTIF(tblAnahtarB[IkincilB],'ANAHTAR'!$D404)&gt;0,"IKINCIL","YOK")))</f>
        <v/>
      </c>
      <c r="I404" s="17">
        <f>IF($A404="","",'ANAHTAR'!$F404)</f>
        <v/>
      </c>
      <c r="J404" s="17">
        <f>IF(OR($A404="",$D404=0),0,$F404/ABS($D404))</f>
        <v/>
      </c>
      <c r="K404" s="17">
        <f>IF($A404="","",ROUND($D404,2))</f>
        <v/>
      </c>
      <c r="L404" s="17">
        <f>IF($A404="","",ROUND($C404,2))</f>
        <v/>
      </c>
      <c r="M404" s="17">
        <f>IF($A404="","",IF($F404&lt;=toleransKurus,1,0))</f>
        <v/>
      </c>
      <c r="N404" s="17">
        <f>IF($A404="","",IF($F404&gt;tyk_esikFark,1,0))</f>
        <v/>
      </c>
      <c r="O404" s="17">
        <f>IF($A404="","",IFERROR(SUMIF(tblMotor[A_Norm],$A404,tblMotor[NetKar]),0))</f>
        <v/>
      </c>
      <c r="P404" s="17">
        <f>IF($A404="","",$B404+$M404+$N404)</f>
        <v/>
      </c>
    </row>
    <row r="405">
      <c r="A405" s="17">
        <f>IF('ANAHTAR'!$B405="","",'ANAHTAR'!$B405)</f>
        <v/>
      </c>
      <c r="B405" s="17">
        <f>IF($A405="","",COUNTIF(tblAnahtarB[NormB],$A405))</f>
        <v/>
      </c>
      <c r="C405" s="17">
        <f>IF($A405="","",IFERROR(SUMIF(tblAnahtarB[NormB],$A405,tblHakedis[GercekHakedis]),0))</f>
        <v/>
      </c>
      <c r="D405" s="17">
        <f>IF($A405="","",IFERROR(SUMIF(tblMotor[A_Norm],$A405,tblMotor[BeklenenHakedis]),0))</f>
        <v/>
      </c>
      <c r="E405" s="17">
        <f>IF($A405="","",ROUND($D405,2)-ROUND($C405,2))</f>
        <v/>
      </c>
      <c r="F405" s="17">
        <f>IF($A405="","",ABS($E405))</f>
        <v/>
      </c>
      <c r="G405" s="17">
        <f>IF($A405="","",IF($B405=0,"eslesmedi",IF(ROUND($D405,2)=ROUND($C405,2),"eslesti",IF(ABS(ROUND($D405,2)-ROUND($C405,2))&lt;=toleransKurus,"tolerans_icinde","tutar_farki"))))</f>
        <v/>
      </c>
      <c r="H405" s="17">
        <f>IF($A405="","",IF($B405&gt;0,"BIRINCIL",IF(COUNTIF(tblAnahtarB[IkincilB],'ANAHTAR'!$D405)&gt;0,"IKINCIL","YOK")))</f>
        <v/>
      </c>
      <c r="I405" s="17">
        <f>IF($A405="","",'ANAHTAR'!$F405)</f>
        <v/>
      </c>
      <c r="J405" s="17">
        <f>IF(OR($A405="",$D405=0),0,$F405/ABS($D405))</f>
        <v/>
      </c>
      <c r="K405" s="17">
        <f>IF($A405="","",ROUND($D405,2))</f>
        <v/>
      </c>
      <c r="L405" s="17">
        <f>IF($A405="","",ROUND($C405,2))</f>
        <v/>
      </c>
      <c r="M405" s="17">
        <f>IF($A405="","",IF($F405&lt;=toleransKurus,1,0))</f>
        <v/>
      </c>
      <c r="N405" s="17">
        <f>IF($A405="","",IF($F405&gt;tyk_esikFark,1,0))</f>
        <v/>
      </c>
      <c r="O405" s="17">
        <f>IF($A405="","",IFERROR(SUMIF(tblMotor[A_Norm],$A405,tblMotor[NetKar]),0))</f>
        <v/>
      </c>
      <c r="P405" s="17">
        <f>IF($A405="","",$B405+$M405+$N405)</f>
        <v/>
      </c>
    </row>
    <row r="406">
      <c r="A406" s="17">
        <f>IF('ANAHTAR'!$B406="","",'ANAHTAR'!$B406)</f>
        <v/>
      </c>
      <c r="B406" s="17">
        <f>IF($A406="","",COUNTIF(tblAnahtarB[NormB],$A406))</f>
        <v/>
      </c>
      <c r="C406" s="17">
        <f>IF($A406="","",IFERROR(SUMIF(tblAnahtarB[NormB],$A406,tblHakedis[GercekHakedis]),0))</f>
        <v/>
      </c>
      <c r="D406" s="17">
        <f>IF($A406="","",IFERROR(SUMIF(tblMotor[A_Norm],$A406,tblMotor[BeklenenHakedis]),0))</f>
        <v/>
      </c>
      <c r="E406" s="17">
        <f>IF($A406="","",ROUND($D406,2)-ROUND($C406,2))</f>
        <v/>
      </c>
      <c r="F406" s="17">
        <f>IF($A406="","",ABS($E406))</f>
        <v/>
      </c>
      <c r="G406" s="17">
        <f>IF($A406="","",IF($B406=0,"eslesmedi",IF(ROUND($D406,2)=ROUND($C406,2),"eslesti",IF(ABS(ROUND($D406,2)-ROUND($C406,2))&lt;=toleransKurus,"tolerans_icinde","tutar_farki"))))</f>
        <v/>
      </c>
      <c r="H406" s="17">
        <f>IF($A406="","",IF($B406&gt;0,"BIRINCIL",IF(COUNTIF(tblAnahtarB[IkincilB],'ANAHTAR'!$D406)&gt;0,"IKINCIL","YOK")))</f>
        <v/>
      </c>
      <c r="I406" s="17">
        <f>IF($A406="","",'ANAHTAR'!$F406)</f>
        <v/>
      </c>
      <c r="J406" s="17">
        <f>IF(OR($A406="",$D406=0),0,$F406/ABS($D406))</f>
        <v/>
      </c>
      <c r="K406" s="17">
        <f>IF($A406="","",ROUND($D406,2))</f>
        <v/>
      </c>
      <c r="L406" s="17">
        <f>IF($A406="","",ROUND($C406,2))</f>
        <v/>
      </c>
      <c r="M406" s="17">
        <f>IF($A406="","",IF($F406&lt;=toleransKurus,1,0))</f>
        <v/>
      </c>
      <c r="N406" s="17">
        <f>IF($A406="","",IF($F406&gt;tyk_esikFark,1,0))</f>
        <v/>
      </c>
      <c r="O406" s="17">
        <f>IF($A406="","",IFERROR(SUMIF(tblMotor[A_Norm],$A406,tblMotor[NetKar]),0))</f>
        <v/>
      </c>
      <c r="P406" s="17">
        <f>IF($A406="","",$B406+$M406+$N406)</f>
        <v/>
      </c>
    </row>
    <row r="407">
      <c r="A407" s="17">
        <f>IF('ANAHTAR'!$B407="","",'ANAHTAR'!$B407)</f>
        <v/>
      </c>
      <c r="B407" s="17">
        <f>IF($A407="","",COUNTIF(tblAnahtarB[NormB],$A407))</f>
        <v/>
      </c>
      <c r="C407" s="17">
        <f>IF($A407="","",IFERROR(SUMIF(tblAnahtarB[NormB],$A407,tblHakedis[GercekHakedis]),0))</f>
        <v/>
      </c>
      <c r="D407" s="17">
        <f>IF($A407="","",IFERROR(SUMIF(tblMotor[A_Norm],$A407,tblMotor[BeklenenHakedis]),0))</f>
        <v/>
      </c>
      <c r="E407" s="17">
        <f>IF($A407="","",ROUND($D407,2)-ROUND($C407,2))</f>
        <v/>
      </c>
      <c r="F407" s="17">
        <f>IF($A407="","",ABS($E407))</f>
        <v/>
      </c>
      <c r="G407" s="17">
        <f>IF($A407="","",IF($B407=0,"eslesmedi",IF(ROUND($D407,2)=ROUND($C407,2),"eslesti",IF(ABS(ROUND($D407,2)-ROUND($C407,2))&lt;=toleransKurus,"tolerans_icinde","tutar_farki"))))</f>
        <v/>
      </c>
      <c r="H407" s="17">
        <f>IF($A407="","",IF($B407&gt;0,"BIRINCIL",IF(COUNTIF(tblAnahtarB[IkincilB],'ANAHTAR'!$D407)&gt;0,"IKINCIL","YOK")))</f>
        <v/>
      </c>
      <c r="I407" s="17">
        <f>IF($A407="","",'ANAHTAR'!$F407)</f>
        <v/>
      </c>
      <c r="J407" s="17">
        <f>IF(OR($A407="",$D407=0),0,$F407/ABS($D407))</f>
        <v/>
      </c>
      <c r="K407" s="17">
        <f>IF($A407="","",ROUND($D407,2))</f>
        <v/>
      </c>
      <c r="L407" s="17">
        <f>IF($A407="","",ROUND($C407,2))</f>
        <v/>
      </c>
      <c r="M407" s="17">
        <f>IF($A407="","",IF($F407&lt;=toleransKurus,1,0))</f>
        <v/>
      </c>
      <c r="N407" s="17">
        <f>IF($A407="","",IF($F407&gt;tyk_esikFark,1,0))</f>
        <v/>
      </c>
      <c r="O407" s="17">
        <f>IF($A407="","",IFERROR(SUMIF(tblMotor[A_Norm],$A407,tblMotor[NetKar]),0))</f>
        <v/>
      </c>
      <c r="P407" s="17">
        <f>IF($A407="","",$B407+$M407+$N407)</f>
        <v/>
      </c>
    </row>
    <row r="408">
      <c r="A408" s="17">
        <f>IF('ANAHTAR'!$B408="","",'ANAHTAR'!$B408)</f>
        <v/>
      </c>
      <c r="B408" s="17">
        <f>IF($A408="","",COUNTIF(tblAnahtarB[NormB],$A408))</f>
        <v/>
      </c>
      <c r="C408" s="17">
        <f>IF($A408="","",IFERROR(SUMIF(tblAnahtarB[NormB],$A408,tblHakedis[GercekHakedis]),0))</f>
        <v/>
      </c>
      <c r="D408" s="17">
        <f>IF($A408="","",IFERROR(SUMIF(tblMotor[A_Norm],$A408,tblMotor[BeklenenHakedis]),0))</f>
        <v/>
      </c>
      <c r="E408" s="17">
        <f>IF($A408="","",ROUND($D408,2)-ROUND($C408,2))</f>
        <v/>
      </c>
      <c r="F408" s="17">
        <f>IF($A408="","",ABS($E408))</f>
        <v/>
      </c>
      <c r="G408" s="17">
        <f>IF($A408="","",IF($B408=0,"eslesmedi",IF(ROUND($D408,2)=ROUND($C408,2),"eslesti",IF(ABS(ROUND($D408,2)-ROUND($C408,2))&lt;=toleransKurus,"tolerans_icinde","tutar_farki"))))</f>
        <v/>
      </c>
      <c r="H408" s="17">
        <f>IF($A408="","",IF($B408&gt;0,"BIRINCIL",IF(COUNTIF(tblAnahtarB[IkincilB],'ANAHTAR'!$D408)&gt;0,"IKINCIL","YOK")))</f>
        <v/>
      </c>
      <c r="I408" s="17">
        <f>IF($A408="","",'ANAHTAR'!$F408)</f>
        <v/>
      </c>
      <c r="J408" s="17">
        <f>IF(OR($A408="",$D408=0),0,$F408/ABS($D408))</f>
        <v/>
      </c>
      <c r="K408" s="17">
        <f>IF($A408="","",ROUND($D408,2))</f>
        <v/>
      </c>
      <c r="L408" s="17">
        <f>IF($A408="","",ROUND($C408,2))</f>
        <v/>
      </c>
      <c r="M408" s="17">
        <f>IF($A408="","",IF($F408&lt;=toleransKurus,1,0))</f>
        <v/>
      </c>
      <c r="N408" s="17">
        <f>IF($A408="","",IF($F408&gt;tyk_esikFark,1,0))</f>
        <v/>
      </c>
      <c r="O408" s="17">
        <f>IF($A408="","",IFERROR(SUMIF(tblMotor[A_Norm],$A408,tblMotor[NetKar]),0))</f>
        <v/>
      </c>
      <c r="P408" s="17">
        <f>IF($A408="","",$B408+$M408+$N408)</f>
        <v/>
      </c>
    </row>
    <row r="409">
      <c r="A409" s="17">
        <f>IF('ANAHTAR'!$B409="","",'ANAHTAR'!$B409)</f>
        <v/>
      </c>
      <c r="B409" s="17">
        <f>IF($A409="","",COUNTIF(tblAnahtarB[NormB],$A409))</f>
        <v/>
      </c>
      <c r="C409" s="17">
        <f>IF($A409="","",IFERROR(SUMIF(tblAnahtarB[NormB],$A409,tblHakedis[GercekHakedis]),0))</f>
        <v/>
      </c>
      <c r="D409" s="17">
        <f>IF($A409="","",IFERROR(SUMIF(tblMotor[A_Norm],$A409,tblMotor[BeklenenHakedis]),0))</f>
        <v/>
      </c>
      <c r="E409" s="17">
        <f>IF($A409="","",ROUND($D409,2)-ROUND($C409,2))</f>
        <v/>
      </c>
      <c r="F409" s="17">
        <f>IF($A409="","",ABS($E409))</f>
        <v/>
      </c>
      <c r="G409" s="17">
        <f>IF($A409="","",IF($B409=0,"eslesmedi",IF(ROUND($D409,2)=ROUND($C409,2),"eslesti",IF(ABS(ROUND($D409,2)-ROUND($C409,2))&lt;=toleransKurus,"tolerans_icinde","tutar_farki"))))</f>
        <v/>
      </c>
      <c r="H409" s="17">
        <f>IF($A409="","",IF($B409&gt;0,"BIRINCIL",IF(COUNTIF(tblAnahtarB[IkincilB],'ANAHTAR'!$D409)&gt;0,"IKINCIL","YOK")))</f>
        <v/>
      </c>
      <c r="I409" s="17">
        <f>IF($A409="","",'ANAHTAR'!$F409)</f>
        <v/>
      </c>
      <c r="J409" s="17">
        <f>IF(OR($A409="",$D409=0),0,$F409/ABS($D409))</f>
        <v/>
      </c>
      <c r="K409" s="17">
        <f>IF($A409="","",ROUND($D409,2))</f>
        <v/>
      </c>
      <c r="L409" s="17">
        <f>IF($A409="","",ROUND($C409,2))</f>
        <v/>
      </c>
      <c r="M409" s="17">
        <f>IF($A409="","",IF($F409&lt;=toleransKurus,1,0))</f>
        <v/>
      </c>
      <c r="N409" s="17">
        <f>IF($A409="","",IF($F409&gt;tyk_esikFark,1,0))</f>
        <v/>
      </c>
      <c r="O409" s="17">
        <f>IF($A409="","",IFERROR(SUMIF(tblMotor[A_Norm],$A409,tblMotor[NetKar]),0))</f>
        <v/>
      </c>
      <c r="P409" s="17">
        <f>IF($A409="","",$B409+$M409+$N409)</f>
        <v/>
      </c>
    </row>
    <row r="410">
      <c r="A410" s="17">
        <f>IF('ANAHTAR'!$B410="","",'ANAHTAR'!$B410)</f>
        <v/>
      </c>
      <c r="B410" s="17">
        <f>IF($A410="","",COUNTIF(tblAnahtarB[NormB],$A410))</f>
        <v/>
      </c>
      <c r="C410" s="17">
        <f>IF($A410="","",IFERROR(SUMIF(tblAnahtarB[NormB],$A410,tblHakedis[GercekHakedis]),0))</f>
        <v/>
      </c>
      <c r="D410" s="17">
        <f>IF($A410="","",IFERROR(SUMIF(tblMotor[A_Norm],$A410,tblMotor[BeklenenHakedis]),0))</f>
        <v/>
      </c>
      <c r="E410" s="17">
        <f>IF($A410="","",ROUND($D410,2)-ROUND($C410,2))</f>
        <v/>
      </c>
      <c r="F410" s="17">
        <f>IF($A410="","",ABS($E410))</f>
        <v/>
      </c>
      <c r="G410" s="17">
        <f>IF($A410="","",IF($B410=0,"eslesmedi",IF(ROUND($D410,2)=ROUND($C410,2),"eslesti",IF(ABS(ROUND($D410,2)-ROUND($C410,2))&lt;=toleransKurus,"tolerans_icinde","tutar_farki"))))</f>
        <v/>
      </c>
      <c r="H410" s="17">
        <f>IF($A410="","",IF($B410&gt;0,"BIRINCIL",IF(COUNTIF(tblAnahtarB[IkincilB],'ANAHTAR'!$D410)&gt;0,"IKINCIL","YOK")))</f>
        <v/>
      </c>
      <c r="I410" s="17">
        <f>IF($A410="","",'ANAHTAR'!$F410)</f>
        <v/>
      </c>
      <c r="J410" s="17">
        <f>IF(OR($A410="",$D410=0),0,$F410/ABS($D410))</f>
        <v/>
      </c>
      <c r="K410" s="17">
        <f>IF($A410="","",ROUND($D410,2))</f>
        <v/>
      </c>
      <c r="L410" s="17">
        <f>IF($A410="","",ROUND($C410,2))</f>
        <v/>
      </c>
      <c r="M410" s="17">
        <f>IF($A410="","",IF($F410&lt;=toleransKurus,1,0))</f>
        <v/>
      </c>
      <c r="N410" s="17">
        <f>IF($A410="","",IF($F410&gt;tyk_esikFark,1,0))</f>
        <v/>
      </c>
      <c r="O410" s="17">
        <f>IF($A410="","",IFERROR(SUMIF(tblMotor[A_Norm],$A410,tblMotor[NetKar]),0))</f>
        <v/>
      </c>
      <c r="P410" s="17">
        <f>IF($A410="","",$B410+$M410+$N410)</f>
        <v/>
      </c>
    </row>
    <row r="411">
      <c r="A411" s="17">
        <f>IF('ANAHTAR'!$B411="","",'ANAHTAR'!$B411)</f>
        <v/>
      </c>
      <c r="B411" s="17">
        <f>IF($A411="","",COUNTIF(tblAnahtarB[NormB],$A411))</f>
        <v/>
      </c>
      <c r="C411" s="17">
        <f>IF($A411="","",IFERROR(SUMIF(tblAnahtarB[NormB],$A411,tblHakedis[GercekHakedis]),0))</f>
        <v/>
      </c>
      <c r="D411" s="17">
        <f>IF($A411="","",IFERROR(SUMIF(tblMotor[A_Norm],$A411,tblMotor[BeklenenHakedis]),0))</f>
        <v/>
      </c>
      <c r="E411" s="17">
        <f>IF($A411="","",ROUND($D411,2)-ROUND($C411,2))</f>
        <v/>
      </c>
      <c r="F411" s="17">
        <f>IF($A411="","",ABS($E411))</f>
        <v/>
      </c>
      <c r="G411" s="17">
        <f>IF($A411="","",IF($B411=0,"eslesmedi",IF(ROUND($D411,2)=ROUND($C411,2),"eslesti",IF(ABS(ROUND($D411,2)-ROUND($C411,2))&lt;=toleransKurus,"tolerans_icinde","tutar_farki"))))</f>
        <v/>
      </c>
      <c r="H411" s="17">
        <f>IF($A411="","",IF($B411&gt;0,"BIRINCIL",IF(COUNTIF(tblAnahtarB[IkincilB],'ANAHTAR'!$D411)&gt;0,"IKINCIL","YOK")))</f>
        <v/>
      </c>
      <c r="I411" s="17">
        <f>IF($A411="","",'ANAHTAR'!$F411)</f>
        <v/>
      </c>
      <c r="J411" s="17">
        <f>IF(OR($A411="",$D411=0),0,$F411/ABS($D411))</f>
        <v/>
      </c>
      <c r="K411" s="17">
        <f>IF($A411="","",ROUND($D411,2))</f>
        <v/>
      </c>
      <c r="L411" s="17">
        <f>IF($A411="","",ROUND($C411,2))</f>
        <v/>
      </c>
      <c r="M411" s="17">
        <f>IF($A411="","",IF($F411&lt;=toleransKurus,1,0))</f>
        <v/>
      </c>
      <c r="N411" s="17">
        <f>IF($A411="","",IF($F411&gt;tyk_esikFark,1,0))</f>
        <v/>
      </c>
      <c r="O411" s="17">
        <f>IF($A411="","",IFERROR(SUMIF(tblMotor[A_Norm],$A411,tblMotor[NetKar]),0))</f>
        <v/>
      </c>
      <c r="P411" s="17">
        <f>IF($A411="","",$B411+$M411+$N411)</f>
        <v/>
      </c>
    </row>
    <row r="412">
      <c r="A412" s="17">
        <f>IF('ANAHTAR'!$B412="","",'ANAHTAR'!$B412)</f>
        <v/>
      </c>
      <c r="B412" s="17">
        <f>IF($A412="","",COUNTIF(tblAnahtarB[NormB],$A412))</f>
        <v/>
      </c>
      <c r="C412" s="17">
        <f>IF($A412="","",IFERROR(SUMIF(tblAnahtarB[NormB],$A412,tblHakedis[GercekHakedis]),0))</f>
        <v/>
      </c>
      <c r="D412" s="17">
        <f>IF($A412="","",IFERROR(SUMIF(tblMotor[A_Norm],$A412,tblMotor[BeklenenHakedis]),0))</f>
        <v/>
      </c>
      <c r="E412" s="17">
        <f>IF($A412="","",ROUND($D412,2)-ROUND($C412,2))</f>
        <v/>
      </c>
      <c r="F412" s="17">
        <f>IF($A412="","",ABS($E412))</f>
        <v/>
      </c>
      <c r="G412" s="17">
        <f>IF($A412="","",IF($B412=0,"eslesmedi",IF(ROUND($D412,2)=ROUND($C412,2),"eslesti",IF(ABS(ROUND($D412,2)-ROUND($C412,2))&lt;=toleransKurus,"tolerans_icinde","tutar_farki"))))</f>
        <v/>
      </c>
      <c r="H412" s="17">
        <f>IF($A412="","",IF($B412&gt;0,"BIRINCIL",IF(COUNTIF(tblAnahtarB[IkincilB],'ANAHTAR'!$D412)&gt;0,"IKINCIL","YOK")))</f>
        <v/>
      </c>
      <c r="I412" s="17">
        <f>IF($A412="","",'ANAHTAR'!$F412)</f>
        <v/>
      </c>
      <c r="J412" s="17">
        <f>IF(OR($A412="",$D412=0),0,$F412/ABS($D412))</f>
        <v/>
      </c>
      <c r="K412" s="17">
        <f>IF($A412="","",ROUND($D412,2))</f>
        <v/>
      </c>
      <c r="L412" s="17">
        <f>IF($A412="","",ROUND($C412,2))</f>
        <v/>
      </c>
      <c r="M412" s="17">
        <f>IF($A412="","",IF($F412&lt;=toleransKurus,1,0))</f>
        <v/>
      </c>
      <c r="N412" s="17">
        <f>IF($A412="","",IF($F412&gt;tyk_esikFark,1,0))</f>
        <v/>
      </c>
      <c r="O412" s="17">
        <f>IF($A412="","",IFERROR(SUMIF(tblMotor[A_Norm],$A412,tblMotor[NetKar]),0))</f>
        <v/>
      </c>
      <c r="P412" s="17">
        <f>IF($A412="","",$B412+$M412+$N412)</f>
        <v/>
      </c>
    </row>
    <row r="413">
      <c r="A413" s="17">
        <f>IF('ANAHTAR'!$B413="","",'ANAHTAR'!$B413)</f>
        <v/>
      </c>
      <c r="B413" s="17">
        <f>IF($A413="","",COUNTIF(tblAnahtarB[NormB],$A413))</f>
        <v/>
      </c>
      <c r="C413" s="17">
        <f>IF($A413="","",IFERROR(SUMIF(tblAnahtarB[NormB],$A413,tblHakedis[GercekHakedis]),0))</f>
        <v/>
      </c>
      <c r="D413" s="17">
        <f>IF($A413="","",IFERROR(SUMIF(tblMotor[A_Norm],$A413,tblMotor[BeklenenHakedis]),0))</f>
        <v/>
      </c>
      <c r="E413" s="17">
        <f>IF($A413="","",ROUND($D413,2)-ROUND($C413,2))</f>
        <v/>
      </c>
      <c r="F413" s="17">
        <f>IF($A413="","",ABS($E413))</f>
        <v/>
      </c>
      <c r="G413" s="17">
        <f>IF($A413="","",IF($B413=0,"eslesmedi",IF(ROUND($D413,2)=ROUND($C413,2),"eslesti",IF(ABS(ROUND($D413,2)-ROUND($C413,2))&lt;=toleransKurus,"tolerans_icinde","tutar_farki"))))</f>
        <v/>
      </c>
      <c r="H413" s="17">
        <f>IF($A413="","",IF($B413&gt;0,"BIRINCIL",IF(COUNTIF(tblAnahtarB[IkincilB],'ANAHTAR'!$D413)&gt;0,"IKINCIL","YOK")))</f>
        <v/>
      </c>
      <c r="I413" s="17">
        <f>IF($A413="","",'ANAHTAR'!$F413)</f>
        <v/>
      </c>
      <c r="J413" s="17">
        <f>IF(OR($A413="",$D413=0),0,$F413/ABS($D413))</f>
        <v/>
      </c>
      <c r="K413" s="17">
        <f>IF($A413="","",ROUND($D413,2))</f>
        <v/>
      </c>
      <c r="L413" s="17">
        <f>IF($A413="","",ROUND($C413,2))</f>
        <v/>
      </c>
      <c r="M413" s="17">
        <f>IF($A413="","",IF($F413&lt;=toleransKurus,1,0))</f>
        <v/>
      </c>
      <c r="N413" s="17">
        <f>IF($A413="","",IF($F413&gt;tyk_esikFark,1,0))</f>
        <v/>
      </c>
      <c r="O413" s="17">
        <f>IF($A413="","",IFERROR(SUMIF(tblMotor[A_Norm],$A413,tblMotor[NetKar]),0))</f>
        <v/>
      </c>
      <c r="P413" s="17">
        <f>IF($A413="","",$B413+$M413+$N413)</f>
        <v/>
      </c>
    </row>
    <row r="414">
      <c r="A414" s="17">
        <f>IF('ANAHTAR'!$B414="","",'ANAHTAR'!$B414)</f>
        <v/>
      </c>
      <c r="B414" s="17">
        <f>IF($A414="","",COUNTIF(tblAnahtarB[NormB],$A414))</f>
        <v/>
      </c>
      <c r="C414" s="17">
        <f>IF($A414="","",IFERROR(SUMIF(tblAnahtarB[NormB],$A414,tblHakedis[GercekHakedis]),0))</f>
        <v/>
      </c>
      <c r="D414" s="17">
        <f>IF($A414="","",IFERROR(SUMIF(tblMotor[A_Norm],$A414,tblMotor[BeklenenHakedis]),0))</f>
        <v/>
      </c>
      <c r="E414" s="17">
        <f>IF($A414="","",ROUND($D414,2)-ROUND($C414,2))</f>
        <v/>
      </c>
      <c r="F414" s="17">
        <f>IF($A414="","",ABS($E414))</f>
        <v/>
      </c>
      <c r="G414" s="17">
        <f>IF($A414="","",IF($B414=0,"eslesmedi",IF(ROUND($D414,2)=ROUND($C414,2),"eslesti",IF(ABS(ROUND($D414,2)-ROUND($C414,2))&lt;=toleransKurus,"tolerans_icinde","tutar_farki"))))</f>
        <v/>
      </c>
      <c r="H414" s="17">
        <f>IF($A414="","",IF($B414&gt;0,"BIRINCIL",IF(COUNTIF(tblAnahtarB[IkincilB],'ANAHTAR'!$D414)&gt;0,"IKINCIL","YOK")))</f>
        <v/>
      </c>
      <c r="I414" s="17">
        <f>IF($A414="","",'ANAHTAR'!$F414)</f>
        <v/>
      </c>
      <c r="J414" s="17">
        <f>IF(OR($A414="",$D414=0),0,$F414/ABS($D414))</f>
        <v/>
      </c>
      <c r="K414" s="17">
        <f>IF($A414="","",ROUND($D414,2))</f>
        <v/>
      </c>
      <c r="L414" s="17">
        <f>IF($A414="","",ROUND($C414,2))</f>
        <v/>
      </c>
      <c r="M414" s="17">
        <f>IF($A414="","",IF($F414&lt;=toleransKurus,1,0))</f>
        <v/>
      </c>
      <c r="N414" s="17">
        <f>IF($A414="","",IF($F414&gt;tyk_esikFark,1,0))</f>
        <v/>
      </c>
      <c r="O414" s="17">
        <f>IF($A414="","",IFERROR(SUMIF(tblMotor[A_Norm],$A414,tblMotor[NetKar]),0))</f>
        <v/>
      </c>
      <c r="P414" s="17">
        <f>IF($A414="","",$B414+$M414+$N414)</f>
        <v/>
      </c>
    </row>
    <row r="415">
      <c r="A415" s="17">
        <f>IF('ANAHTAR'!$B415="","",'ANAHTAR'!$B415)</f>
        <v/>
      </c>
      <c r="B415" s="17">
        <f>IF($A415="","",COUNTIF(tblAnahtarB[NormB],$A415))</f>
        <v/>
      </c>
      <c r="C415" s="17">
        <f>IF($A415="","",IFERROR(SUMIF(tblAnahtarB[NormB],$A415,tblHakedis[GercekHakedis]),0))</f>
        <v/>
      </c>
      <c r="D415" s="17">
        <f>IF($A415="","",IFERROR(SUMIF(tblMotor[A_Norm],$A415,tblMotor[BeklenenHakedis]),0))</f>
        <v/>
      </c>
      <c r="E415" s="17">
        <f>IF($A415="","",ROUND($D415,2)-ROUND($C415,2))</f>
        <v/>
      </c>
      <c r="F415" s="17">
        <f>IF($A415="","",ABS($E415))</f>
        <v/>
      </c>
      <c r="G415" s="17">
        <f>IF($A415="","",IF($B415=0,"eslesmedi",IF(ROUND($D415,2)=ROUND($C415,2),"eslesti",IF(ABS(ROUND($D415,2)-ROUND($C415,2))&lt;=toleransKurus,"tolerans_icinde","tutar_farki"))))</f>
        <v/>
      </c>
      <c r="H415" s="17">
        <f>IF($A415="","",IF($B415&gt;0,"BIRINCIL",IF(COUNTIF(tblAnahtarB[IkincilB],'ANAHTAR'!$D415)&gt;0,"IKINCIL","YOK")))</f>
        <v/>
      </c>
      <c r="I415" s="17">
        <f>IF($A415="","",'ANAHTAR'!$F415)</f>
        <v/>
      </c>
      <c r="J415" s="17">
        <f>IF(OR($A415="",$D415=0),0,$F415/ABS($D415))</f>
        <v/>
      </c>
      <c r="K415" s="17">
        <f>IF($A415="","",ROUND($D415,2))</f>
        <v/>
      </c>
      <c r="L415" s="17">
        <f>IF($A415="","",ROUND($C415,2))</f>
        <v/>
      </c>
      <c r="M415" s="17">
        <f>IF($A415="","",IF($F415&lt;=toleransKurus,1,0))</f>
        <v/>
      </c>
      <c r="N415" s="17">
        <f>IF($A415="","",IF($F415&gt;tyk_esikFark,1,0))</f>
        <v/>
      </c>
      <c r="O415" s="17">
        <f>IF($A415="","",IFERROR(SUMIF(tblMotor[A_Norm],$A415,tblMotor[NetKar]),0))</f>
        <v/>
      </c>
      <c r="P415" s="17">
        <f>IF($A415="","",$B415+$M415+$N415)</f>
        <v/>
      </c>
    </row>
    <row r="416">
      <c r="A416" s="17">
        <f>IF('ANAHTAR'!$B416="","",'ANAHTAR'!$B416)</f>
        <v/>
      </c>
      <c r="B416" s="17">
        <f>IF($A416="","",COUNTIF(tblAnahtarB[NormB],$A416))</f>
        <v/>
      </c>
      <c r="C416" s="17">
        <f>IF($A416="","",IFERROR(SUMIF(tblAnahtarB[NormB],$A416,tblHakedis[GercekHakedis]),0))</f>
        <v/>
      </c>
      <c r="D416" s="17">
        <f>IF($A416="","",IFERROR(SUMIF(tblMotor[A_Norm],$A416,tblMotor[BeklenenHakedis]),0))</f>
        <v/>
      </c>
      <c r="E416" s="17">
        <f>IF($A416="","",ROUND($D416,2)-ROUND($C416,2))</f>
        <v/>
      </c>
      <c r="F416" s="17">
        <f>IF($A416="","",ABS($E416))</f>
        <v/>
      </c>
      <c r="G416" s="17">
        <f>IF($A416="","",IF($B416=0,"eslesmedi",IF(ROUND($D416,2)=ROUND($C416,2),"eslesti",IF(ABS(ROUND($D416,2)-ROUND($C416,2))&lt;=toleransKurus,"tolerans_icinde","tutar_farki"))))</f>
        <v/>
      </c>
      <c r="H416" s="17">
        <f>IF($A416="","",IF($B416&gt;0,"BIRINCIL",IF(COUNTIF(tblAnahtarB[IkincilB],'ANAHTAR'!$D416)&gt;0,"IKINCIL","YOK")))</f>
        <v/>
      </c>
      <c r="I416" s="17">
        <f>IF($A416="","",'ANAHTAR'!$F416)</f>
        <v/>
      </c>
      <c r="J416" s="17">
        <f>IF(OR($A416="",$D416=0),0,$F416/ABS($D416))</f>
        <v/>
      </c>
      <c r="K416" s="17">
        <f>IF($A416="","",ROUND($D416,2))</f>
        <v/>
      </c>
      <c r="L416" s="17">
        <f>IF($A416="","",ROUND($C416,2))</f>
        <v/>
      </c>
      <c r="M416" s="17">
        <f>IF($A416="","",IF($F416&lt;=toleransKurus,1,0))</f>
        <v/>
      </c>
      <c r="N416" s="17">
        <f>IF($A416="","",IF($F416&gt;tyk_esikFark,1,0))</f>
        <v/>
      </c>
      <c r="O416" s="17">
        <f>IF($A416="","",IFERROR(SUMIF(tblMotor[A_Norm],$A416,tblMotor[NetKar]),0))</f>
        <v/>
      </c>
      <c r="P416" s="17">
        <f>IF($A416="","",$B416+$M416+$N416)</f>
        <v/>
      </c>
    </row>
    <row r="417">
      <c r="A417" s="17">
        <f>IF('ANAHTAR'!$B417="","",'ANAHTAR'!$B417)</f>
        <v/>
      </c>
      <c r="B417" s="17">
        <f>IF($A417="","",COUNTIF(tblAnahtarB[NormB],$A417))</f>
        <v/>
      </c>
      <c r="C417" s="17">
        <f>IF($A417="","",IFERROR(SUMIF(tblAnahtarB[NormB],$A417,tblHakedis[GercekHakedis]),0))</f>
        <v/>
      </c>
      <c r="D417" s="17">
        <f>IF($A417="","",IFERROR(SUMIF(tblMotor[A_Norm],$A417,tblMotor[BeklenenHakedis]),0))</f>
        <v/>
      </c>
      <c r="E417" s="17">
        <f>IF($A417="","",ROUND($D417,2)-ROUND($C417,2))</f>
        <v/>
      </c>
      <c r="F417" s="17">
        <f>IF($A417="","",ABS($E417))</f>
        <v/>
      </c>
      <c r="G417" s="17">
        <f>IF($A417="","",IF($B417=0,"eslesmedi",IF(ROUND($D417,2)=ROUND($C417,2),"eslesti",IF(ABS(ROUND($D417,2)-ROUND($C417,2))&lt;=toleransKurus,"tolerans_icinde","tutar_farki"))))</f>
        <v/>
      </c>
      <c r="H417" s="17">
        <f>IF($A417="","",IF($B417&gt;0,"BIRINCIL",IF(COUNTIF(tblAnahtarB[IkincilB],'ANAHTAR'!$D417)&gt;0,"IKINCIL","YOK")))</f>
        <v/>
      </c>
      <c r="I417" s="17">
        <f>IF($A417="","",'ANAHTAR'!$F417)</f>
        <v/>
      </c>
      <c r="J417" s="17">
        <f>IF(OR($A417="",$D417=0),0,$F417/ABS($D417))</f>
        <v/>
      </c>
      <c r="K417" s="17">
        <f>IF($A417="","",ROUND($D417,2))</f>
        <v/>
      </c>
      <c r="L417" s="17">
        <f>IF($A417="","",ROUND($C417,2))</f>
        <v/>
      </c>
      <c r="M417" s="17">
        <f>IF($A417="","",IF($F417&lt;=toleransKurus,1,0))</f>
        <v/>
      </c>
      <c r="N417" s="17">
        <f>IF($A417="","",IF($F417&gt;tyk_esikFark,1,0))</f>
        <v/>
      </c>
      <c r="O417" s="17">
        <f>IF($A417="","",IFERROR(SUMIF(tblMotor[A_Norm],$A417,tblMotor[NetKar]),0))</f>
        <v/>
      </c>
      <c r="P417" s="17">
        <f>IF($A417="","",$B417+$M417+$N417)</f>
        <v/>
      </c>
    </row>
    <row r="418">
      <c r="A418" s="17">
        <f>IF('ANAHTAR'!$B418="","",'ANAHTAR'!$B418)</f>
        <v/>
      </c>
      <c r="B418" s="17">
        <f>IF($A418="","",COUNTIF(tblAnahtarB[NormB],$A418))</f>
        <v/>
      </c>
      <c r="C418" s="17">
        <f>IF($A418="","",IFERROR(SUMIF(tblAnahtarB[NormB],$A418,tblHakedis[GercekHakedis]),0))</f>
        <v/>
      </c>
      <c r="D418" s="17">
        <f>IF($A418="","",IFERROR(SUMIF(tblMotor[A_Norm],$A418,tblMotor[BeklenenHakedis]),0))</f>
        <v/>
      </c>
      <c r="E418" s="17">
        <f>IF($A418="","",ROUND($D418,2)-ROUND($C418,2))</f>
        <v/>
      </c>
      <c r="F418" s="17">
        <f>IF($A418="","",ABS($E418))</f>
        <v/>
      </c>
      <c r="G418" s="17">
        <f>IF($A418="","",IF($B418=0,"eslesmedi",IF(ROUND($D418,2)=ROUND($C418,2),"eslesti",IF(ABS(ROUND($D418,2)-ROUND($C418,2))&lt;=toleransKurus,"tolerans_icinde","tutar_farki"))))</f>
        <v/>
      </c>
      <c r="H418" s="17">
        <f>IF($A418="","",IF($B418&gt;0,"BIRINCIL",IF(COUNTIF(tblAnahtarB[IkincilB],'ANAHTAR'!$D418)&gt;0,"IKINCIL","YOK")))</f>
        <v/>
      </c>
      <c r="I418" s="17">
        <f>IF($A418="","",'ANAHTAR'!$F418)</f>
        <v/>
      </c>
      <c r="J418" s="17">
        <f>IF(OR($A418="",$D418=0),0,$F418/ABS($D418))</f>
        <v/>
      </c>
      <c r="K418" s="17">
        <f>IF($A418="","",ROUND($D418,2))</f>
        <v/>
      </c>
      <c r="L418" s="17">
        <f>IF($A418="","",ROUND($C418,2))</f>
        <v/>
      </c>
      <c r="M418" s="17">
        <f>IF($A418="","",IF($F418&lt;=toleransKurus,1,0))</f>
        <v/>
      </c>
      <c r="N418" s="17">
        <f>IF($A418="","",IF($F418&gt;tyk_esikFark,1,0))</f>
        <v/>
      </c>
      <c r="O418" s="17">
        <f>IF($A418="","",IFERROR(SUMIF(tblMotor[A_Norm],$A418,tblMotor[NetKar]),0))</f>
        <v/>
      </c>
      <c r="P418" s="17">
        <f>IF($A418="","",$B418+$M418+$N418)</f>
        <v/>
      </c>
    </row>
    <row r="419">
      <c r="A419" s="17">
        <f>IF('ANAHTAR'!$B419="","",'ANAHTAR'!$B419)</f>
        <v/>
      </c>
      <c r="B419" s="17">
        <f>IF($A419="","",COUNTIF(tblAnahtarB[NormB],$A419))</f>
        <v/>
      </c>
      <c r="C419" s="17">
        <f>IF($A419="","",IFERROR(SUMIF(tblAnahtarB[NormB],$A419,tblHakedis[GercekHakedis]),0))</f>
        <v/>
      </c>
      <c r="D419" s="17">
        <f>IF($A419="","",IFERROR(SUMIF(tblMotor[A_Norm],$A419,tblMotor[BeklenenHakedis]),0))</f>
        <v/>
      </c>
      <c r="E419" s="17">
        <f>IF($A419="","",ROUND($D419,2)-ROUND($C419,2))</f>
        <v/>
      </c>
      <c r="F419" s="17">
        <f>IF($A419="","",ABS($E419))</f>
        <v/>
      </c>
      <c r="G419" s="17">
        <f>IF($A419="","",IF($B419=0,"eslesmedi",IF(ROUND($D419,2)=ROUND($C419,2),"eslesti",IF(ABS(ROUND($D419,2)-ROUND($C419,2))&lt;=toleransKurus,"tolerans_icinde","tutar_farki"))))</f>
        <v/>
      </c>
      <c r="H419" s="17">
        <f>IF($A419="","",IF($B419&gt;0,"BIRINCIL",IF(COUNTIF(tblAnahtarB[IkincilB],'ANAHTAR'!$D419)&gt;0,"IKINCIL","YOK")))</f>
        <v/>
      </c>
      <c r="I419" s="17">
        <f>IF($A419="","",'ANAHTAR'!$F419)</f>
        <v/>
      </c>
      <c r="J419" s="17">
        <f>IF(OR($A419="",$D419=0),0,$F419/ABS($D419))</f>
        <v/>
      </c>
      <c r="K419" s="17">
        <f>IF($A419="","",ROUND($D419,2))</f>
        <v/>
      </c>
      <c r="L419" s="17">
        <f>IF($A419="","",ROUND($C419,2))</f>
        <v/>
      </c>
      <c r="M419" s="17">
        <f>IF($A419="","",IF($F419&lt;=toleransKurus,1,0))</f>
        <v/>
      </c>
      <c r="N419" s="17">
        <f>IF($A419="","",IF($F419&gt;tyk_esikFark,1,0))</f>
        <v/>
      </c>
      <c r="O419" s="17">
        <f>IF($A419="","",IFERROR(SUMIF(tblMotor[A_Norm],$A419,tblMotor[NetKar]),0))</f>
        <v/>
      </c>
      <c r="P419" s="17">
        <f>IF($A419="","",$B419+$M419+$N419)</f>
        <v/>
      </c>
    </row>
    <row r="420">
      <c r="A420" s="17">
        <f>IF('ANAHTAR'!$B420="","",'ANAHTAR'!$B420)</f>
        <v/>
      </c>
      <c r="B420" s="17">
        <f>IF($A420="","",COUNTIF(tblAnahtarB[NormB],$A420))</f>
        <v/>
      </c>
      <c r="C420" s="17">
        <f>IF($A420="","",IFERROR(SUMIF(tblAnahtarB[NormB],$A420,tblHakedis[GercekHakedis]),0))</f>
        <v/>
      </c>
      <c r="D420" s="17">
        <f>IF($A420="","",IFERROR(SUMIF(tblMotor[A_Norm],$A420,tblMotor[BeklenenHakedis]),0))</f>
        <v/>
      </c>
      <c r="E420" s="17">
        <f>IF($A420="","",ROUND($D420,2)-ROUND($C420,2))</f>
        <v/>
      </c>
      <c r="F420" s="17">
        <f>IF($A420="","",ABS($E420))</f>
        <v/>
      </c>
      <c r="G420" s="17">
        <f>IF($A420="","",IF($B420=0,"eslesmedi",IF(ROUND($D420,2)=ROUND($C420,2),"eslesti",IF(ABS(ROUND($D420,2)-ROUND($C420,2))&lt;=toleransKurus,"tolerans_icinde","tutar_farki"))))</f>
        <v/>
      </c>
      <c r="H420" s="17">
        <f>IF($A420="","",IF($B420&gt;0,"BIRINCIL",IF(COUNTIF(tblAnahtarB[IkincilB],'ANAHTAR'!$D420)&gt;0,"IKINCIL","YOK")))</f>
        <v/>
      </c>
      <c r="I420" s="17">
        <f>IF($A420="","",'ANAHTAR'!$F420)</f>
        <v/>
      </c>
      <c r="J420" s="17">
        <f>IF(OR($A420="",$D420=0),0,$F420/ABS($D420))</f>
        <v/>
      </c>
      <c r="K420" s="17">
        <f>IF($A420="","",ROUND($D420,2))</f>
        <v/>
      </c>
      <c r="L420" s="17">
        <f>IF($A420="","",ROUND($C420,2))</f>
        <v/>
      </c>
      <c r="M420" s="17">
        <f>IF($A420="","",IF($F420&lt;=toleransKurus,1,0))</f>
        <v/>
      </c>
      <c r="N420" s="17">
        <f>IF($A420="","",IF($F420&gt;tyk_esikFark,1,0))</f>
        <v/>
      </c>
      <c r="O420" s="17">
        <f>IF($A420="","",IFERROR(SUMIF(tblMotor[A_Norm],$A420,tblMotor[NetKar]),0))</f>
        <v/>
      </c>
      <c r="P420" s="17">
        <f>IF($A420="","",$B420+$M420+$N420)</f>
        <v/>
      </c>
    </row>
    <row r="421">
      <c r="A421" s="17">
        <f>IF('ANAHTAR'!$B421="","",'ANAHTAR'!$B421)</f>
        <v/>
      </c>
      <c r="B421" s="17">
        <f>IF($A421="","",COUNTIF(tblAnahtarB[NormB],$A421))</f>
        <v/>
      </c>
      <c r="C421" s="17">
        <f>IF($A421="","",IFERROR(SUMIF(tblAnahtarB[NormB],$A421,tblHakedis[GercekHakedis]),0))</f>
        <v/>
      </c>
      <c r="D421" s="17">
        <f>IF($A421="","",IFERROR(SUMIF(tblMotor[A_Norm],$A421,tblMotor[BeklenenHakedis]),0))</f>
        <v/>
      </c>
      <c r="E421" s="17">
        <f>IF($A421="","",ROUND($D421,2)-ROUND($C421,2))</f>
        <v/>
      </c>
      <c r="F421" s="17">
        <f>IF($A421="","",ABS($E421))</f>
        <v/>
      </c>
      <c r="G421" s="17">
        <f>IF($A421="","",IF($B421=0,"eslesmedi",IF(ROUND($D421,2)=ROUND($C421,2),"eslesti",IF(ABS(ROUND($D421,2)-ROUND($C421,2))&lt;=toleransKurus,"tolerans_icinde","tutar_farki"))))</f>
        <v/>
      </c>
      <c r="H421" s="17">
        <f>IF($A421="","",IF($B421&gt;0,"BIRINCIL",IF(COUNTIF(tblAnahtarB[IkincilB],'ANAHTAR'!$D421)&gt;0,"IKINCIL","YOK")))</f>
        <v/>
      </c>
      <c r="I421" s="17">
        <f>IF($A421="","",'ANAHTAR'!$F421)</f>
        <v/>
      </c>
      <c r="J421" s="17">
        <f>IF(OR($A421="",$D421=0),0,$F421/ABS($D421))</f>
        <v/>
      </c>
      <c r="K421" s="17">
        <f>IF($A421="","",ROUND($D421,2))</f>
        <v/>
      </c>
      <c r="L421" s="17">
        <f>IF($A421="","",ROUND($C421,2))</f>
        <v/>
      </c>
      <c r="M421" s="17">
        <f>IF($A421="","",IF($F421&lt;=toleransKurus,1,0))</f>
        <v/>
      </c>
      <c r="N421" s="17">
        <f>IF($A421="","",IF($F421&gt;tyk_esikFark,1,0))</f>
        <v/>
      </c>
      <c r="O421" s="17">
        <f>IF($A421="","",IFERROR(SUMIF(tblMotor[A_Norm],$A421,tblMotor[NetKar]),0))</f>
        <v/>
      </c>
      <c r="P421" s="17">
        <f>IF($A421="","",$B421+$M421+$N421)</f>
        <v/>
      </c>
    </row>
    <row r="422">
      <c r="A422" s="17">
        <f>IF('ANAHTAR'!$B422="","",'ANAHTAR'!$B422)</f>
        <v/>
      </c>
      <c r="B422" s="17">
        <f>IF($A422="","",COUNTIF(tblAnahtarB[NormB],$A422))</f>
        <v/>
      </c>
      <c r="C422" s="17">
        <f>IF($A422="","",IFERROR(SUMIF(tblAnahtarB[NormB],$A422,tblHakedis[GercekHakedis]),0))</f>
        <v/>
      </c>
      <c r="D422" s="17">
        <f>IF($A422="","",IFERROR(SUMIF(tblMotor[A_Norm],$A422,tblMotor[BeklenenHakedis]),0))</f>
        <v/>
      </c>
      <c r="E422" s="17">
        <f>IF($A422="","",ROUND($D422,2)-ROUND($C422,2))</f>
        <v/>
      </c>
      <c r="F422" s="17">
        <f>IF($A422="","",ABS($E422))</f>
        <v/>
      </c>
      <c r="G422" s="17">
        <f>IF($A422="","",IF($B422=0,"eslesmedi",IF(ROUND($D422,2)=ROUND($C422,2),"eslesti",IF(ABS(ROUND($D422,2)-ROUND($C422,2))&lt;=toleransKurus,"tolerans_icinde","tutar_farki"))))</f>
        <v/>
      </c>
      <c r="H422" s="17">
        <f>IF($A422="","",IF($B422&gt;0,"BIRINCIL",IF(COUNTIF(tblAnahtarB[IkincilB],'ANAHTAR'!$D422)&gt;0,"IKINCIL","YOK")))</f>
        <v/>
      </c>
      <c r="I422" s="17">
        <f>IF($A422="","",'ANAHTAR'!$F422)</f>
        <v/>
      </c>
      <c r="J422" s="17">
        <f>IF(OR($A422="",$D422=0),0,$F422/ABS($D422))</f>
        <v/>
      </c>
      <c r="K422" s="17">
        <f>IF($A422="","",ROUND($D422,2))</f>
        <v/>
      </c>
      <c r="L422" s="17">
        <f>IF($A422="","",ROUND($C422,2))</f>
        <v/>
      </c>
      <c r="M422" s="17">
        <f>IF($A422="","",IF($F422&lt;=toleransKurus,1,0))</f>
        <v/>
      </c>
      <c r="N422" s="17">
        <f>IF($A422="","",IF($F422&gt;tyk_esikFark,1,0))</f>
        <v/>
      </c>
      <c r="O422" s="17">
        <f>IF($A422="","",IFERROR(SUMIF(tblMotor[A_Norm],$A422,tblMotor[NetKar]),0))</f>
        <v/>
      </c>
      <c r="P422" s="17">
        <f>IF($A422="","",$B422+$M422+$N422)</f>
        <v/>
      </c>
    </row>
    <row r="423">
      <c r="A423" s="17">
        <f>IF('ANAHTAR'!$B423="","",'ANAHTAR'!$B423)</f>
        <v/>
      </c>
      <c r="B423" s="17">
        <f>IF($A423="","",COUNTIF(tblAnahtarB[NormB],$A423))</f>
        <v/>
      </c>
      <c r="C423" s="17">
        <f>IF($A423="","",IFERROR(SUMIF(tblAnahtarB[NormB],$A423,tblHakedis[GercekHakedis]),0))</f>
        <v/>
      </c>
      <c r="D423" s="17">
        <f>IF($A423="","",IFERROR(SUMIF(tblMotor[A_Norm],$A423,tblMotor[BeklenenHakedis]),0))</f>
        <v/>
      </c>
      <c r="E423" s="17">
        <f>IF($A423="","",ROUND($D423,2)-ROUND($C423,2))</f>
        <v/>
      </c>
      <c r="F423" s="17">
        <f>IF($A423="","",ABS($E423))</f>
        <v/>
      </c>
      <c r="G423" s="17">
        <f>IF($A423="","",IF($B423=0,"eslesmedi",IF(ROUND($D423,2)=ROUND($C423,2),"eslesti",IF(ABS(ROUND($D423,2)-ROUND($C423,2))&lt;=toleransKurus,"tolerans_icinde","tutar_farki"))))</f>
        <v/>
      </c>
      <c r="H423" s="17">
        <f>IF($A423="","",IF($B423&gt;0,"BIRINCIL",IF(COUNTIF(tblAnahtarB[IkincilB],'ANAHTAR'!$D423)&gt;0,"IKINCIL","YOK")))</f>
        <v/>
      </c>
      <c r="I423" s="17">
        <f>IF($A423="","",'ANAHTAR'!$F423)</f>
        <v/>
      </c>
      <c r="J423" s="17">
        <f>IF(OR($A423="",$D423=0),0,$F423/ABS($D423))</f>
        <v/>
      </c>
      <c r="K423" s="17">
        <f>IF($A423="","",ROUND($D423,2))</f>
        <v/>
      </c>
      <c r="L423" s="17">
        <f>IF($A423="","",ROUND($C423,2))</f>
        <v/>
      </c>
      <c r="M423" s="17">
        <f>IF($A423="","",IF($F423&lt;=toleransKurus,1,0))</f>
        <v/>
      </c>
      <c r="N423" s="17">
        <f>IF($A423="","",IF($F423&gt;tyk_esikFark,1,0))</f>
        <v/>
      </c>
      <c r="O423" s="17">
        <f>IF($A423="","",IFERROR(SUMIF(tblMotor[A_Norm],$A423,tblMotor[NetKar]),0))</f>
        <v/>
      </c>
      <c r="P423" s="17">
        <f>IF($A423="","",$B423+$M423+$N423)</f>
        <v/>
      </c>
    </row>
    <row r="424">
      <c r="A424" s="17">
        <f>IF('ANAHTAR'!$B424="","",'ANAHTAR'!$B424)</f>
        <v/>
      </c>
      <c r="B424" s="17">
        <f>IF($A424="","",COUNTIF(tblAnahtarB[NormB],$A424))</f>
        <v/>
      </c>
      <c r="C424" s="17">
        <f>IF($A424="","",IFERROR(SUMIF(tblAnahtarB[NormB],$A424,tblHakedis[GercekHakedis]),0))</f>
        <v/>
      </c>
      <c r="D424" s="17">
        <f>IF($A424="","",IFERROR(SUMIF(tblMotor[A_Norm],$A424,tblMotor[BeklenenHakedis]),0))</f>
        <v/>
      </c>
      <c r="E424" s="17">
        <f>IF($A424="","",ROUND($D424,2)-ROUND($C424,2))</f>
        <v/>
      </c>
      <c r="F424" s="17">
        <f>IF($A424="","",ABS($E424))</f>
        <v/>
      </c>
      <c r="G424" s="17">
        <f>IF($A424="","",IF($B424=0,"eslesmedi",IF(ROUND($D424,2)=ROUND($C424,2),"eslesti",IF(ABS(ROUND($D424,2)-ROUND($C424,2))&lt;=toleransKurus,"tolerans_icinde","tutar_farki"))))</f>
        <v/>
      </c>
      <c r="H424" s="17">
        <f>IF($A424="","",IF($B424&gt;0,"BIRINCIL",IF(COUNTIF(tblAnahtarB[IkincilB],'ANAHTAR'!$D424)&gt;0,"IKINCIL","YOK")))</f>
        <v/>
      </c>
      <c r="I424" s="17">
        <f>IF($A424="","",'ANAHTAR'!$F424)</f>
        <v/>
      </c>
      <c r="J424" s="17">
        <f>IF(OR($A424="",$D424=0),0,$F424/ABS($D424))</f>
        <v/>
      </c>
      <c r="K424" s="17">
        <f>IF($A424="","",ROUND($D424,2))</f>
        <v/>
      </c>
      <c r="L424" s="17">
        <f>IF($A424="","",ROUND($C424,2))</f>
        <v/>
      </c>
      <c r="M424" s="17">
        <f>IF($A424="","",IF($F424&lt;=toleransKurus,1,0))</f>
        <v/>
      </c>
      <c r="N424" s="17">
        <f>IF($A424="","",IF($F424&gt;tyk_esikFark,1,0))</f>
        <v/>
      </c>
      <c r="O424" s="17">
        <f>IF($A424="","",IFERROR(SUMIF(tblMotor[A_Norm],$A424,tblMotor[NetKar]),0))</f>
        <v/>
      </c>
      <c r="P424" s="17">
        <f>IF($A424="","",$B424+$M424+$N424)</f>
        <v/>
      </c>
    </row>
    <row r="425">
      <c r="A425" s="17">
        <f>IF('ANAHTAR'!$B425="","",'ANAHTAR'!$B425)</f>
        <v/>
      </c>
      <c r="B425" s="17">
        <f>IF($A425="","",COUNTIF(tblAnahtarB[NormB],$A425))</f>
        <v/>
      </c>
      <c r="C425" s="17">
        <f>IF($A425="","",IFERROR(SUMIF(tblAnahtarB[NormB],$A425,tblHakedis[GercekHakedis]),0))</f>
        <v/>
      </c>
      <c r="D425" s="17">
        <f>IF($A425="","",IFERROR(SUMIF(tblMotor[A_Norm],$A425,tblMotor[BeklenenHakedis]),0))</f>
        <v/>
      </c>
      <c r="E425" s="17">
        <f>IF($A425="","",ROUND($D425,2)-ROUND($C425,2))</f>
        <v/>
      </c>
      <c r="F425" s="17">
        <f>IF($A425="","",ABS($E425))</f>
        <v/>
      </c>
      <c r="G425" s="17">
        <f>IF($A425="","",IF($B425=0,"eslesmedi",IF(ROUND($D425,2)=ROUND($C425,2),"eslesti",IF(ABS(ROUND($D425,2)-ROUND($C425,2))&lt;=toleransKurus,"tolerans_icinde","tutar_farki"))))</f>
        <v/>
      </c>
      <c r="H425" s="17">
        <f>IF($A425="","",IF($B425&gt;0,"BIRINCIL",IF(COUNTIF(tblAnahtarB[IkincilB],'ANAHTAR'!$D425)&gt;0,"IKINCIL","YOK")))</f>
        <v/>
      </c>
      <c r="I425" s="17">
        <f>IF($A425="","",'ANAHTAR'!$F425)</f>
        <v/>
      </c>
      <c r="J425" s="17">
        <f>IF(OR($A425="",$D425=0),0,$F425/ABS($D425))</f>
        <v/>
      </c>
      <c r="K425" s="17">
        <f>IF($A425="","",ROUND($D425,2))</f>
        <v/>
      </c>
      <c r="L425" s="17">
        <f>IF($A425="","",ROUND($C425,2))</f>
        <v/>
      </c>
      <c r="M425" s="17">
        <f>IF($A425="","",IF($F425&lt;=toleransKurus,1,0))</f>
        <v/>
      </c>
      <c r="N425" s="17">
        <f>IF($A425="","",IF($F425&gt;tyk_esikFark,1,0))</f>
        <v/>
      </c>
      <c r="O425" s="17">
        <f>IF($A425="","",IFERROR(SUMIF(tblMotor[A_Norm],$A425,tblMotor[NetKar]),0))</f>
        <v/>
      </c>
      <c r="P425" s="17">
        <f>IF($A425="","",$B425+$M425+$N425)</f>
        <v/>
      </c>
    </row>
    <row r="426">
      <c r="A426" s="17">
        <f>IF('ANAHTAR'!$B426="","",'ANAHTAR'!$B426)</f>
        <v/>
      </c>
      <c r="B426" s="17">
        <f>IF($A426="","",COUNTIF(tblAnahtarB[NormB],$A426))</f>
        <v/>
      </c>
      <c r="C426" s="17">
        <f>IF($A426="","",IFERROR(SUMIF(tblAnahtarB[NormB],$A426,tblHakedis[GercekHakedis]),0))</f>
        <v/>
      </c>
      <c r="D426" s="17">
        <f>IF($A426="","",IFERROR(SUMIF(tblMotor[A_Norm],$A426,tblMotor[BeklenenHakedis]),0))</f>
        <v/>
      </c>
      <c r="E426" s="17">
        <f>IF($A426="","",ROUND($D426,2)-ROUND($C426,2))</f>
        <v/>
      </c>
      <c r="F426" s="17">
        <f>IF($A426="","",ABS($E426))</f>
        <v/>
      </c>
      <c r="G426" s="17">
        <f>IF($A426="","",IF($B426=0,"eslesmedi",IF(ROUND($D426,2)=ROUND($C426,2),"eslesti",IF(ABS(ROUND($D426,2)-ROUND($C426,2))&lt;=toleransKurus,"tolerans_icinde","tutar_farki"))))</f>
        <v/>
      </c>
      <c r="H426" s="17">
        <f>IF($A426="","",IF($B426&gt;0,"BIRINCIL",IF(COUNTIF(tblAnahtarB[IkincilB],'ANAHTAR'!$D426)&gt;0,"IKINCIL","YOK")))</f>
        <v/>
      </c>
      <c r="I426" s="17">
        <f>IF($A426="","",'ANAHTAR'!$F426)</f>
        <v/>
      </c>
      <c r="J426" s="17">
        <f>IF(OR($A426="",$D426=0),0,$F426/ABS($D426))</f>
        <v/>
      </c>
      <c r="K426" s="17">
        <f>IF($A426="","",ROUND($D426,2))</f>
        <v/>
      </c>
      <c r="L426" s="17">
        <f>IF($A426="","",ROUND($C426,2))</f>
        <v/>
      </c>
      <c r="M426" s="17">
        <f>IF($A426="","",IF($F426&lt;=toleransKurus,1,0))</f>
        <v/>
      </c>
      <c r="N426" s="17">
        <f>IF($A426="","",IF($F426&gt;tyk_esikFark,1,0))</f>
        <v/>
      </c>
      <c r="O426" s="17">
        <f>IF($A426="","",IFERROR(SUMIF(tblMotor[A_Norm],$A426,tblMotor[NetKar]),0))</f>
        <v/>
      </c>
      <c r="P426" s="17">
        <f>IF($A426="","",$B426+$M426+$N426)</f>
        <v/>
      </c>
    </row>
    <row r="427">
      <c r="A427" s="17">
        <f>IF('ANAHTAR'!$B427="","",'ANAHTAR'!$B427)</f>
        <v/>
      </c>
      <c r="B427" s="17">
        <f>IF($A427="","",COUNTIF(tblAnahtarB[NormB],$A427))</f>
        <v/>
      </c>
      <c r="C427" s="17">
        <f>IF($A427="","",IFERROR(SUMIF(tblAnahtarB[NormB],$A427,tblHakedis[GercekHakedis]),0))</f>
        <v/>
      </c>
      <c r="D427" s="17">
        <f>IF($A427="","",IFERROR(SUMIF(tblMotor[A_Norm],$A427,tblMotor[BeklenenHakedis]),0))</f>
        <v/>
      </c>
      <c r="E427" s="17">
        <f>IF($A427="","",ROUND($D427,2)-ROUND($C427,2))</f>
        <v/>
      </c>
      <c r="F427" s="17">
        <f>IF($A427="","",ABS($E427))</f>
        <v/>
      </c>
      <c r="G427" s="17">
        <f>IF($A427="","",IF($B427=0,"eslesmedi",IF(ROUND($D427,2)=ROUND($C427,2),"eslesti",IF(ABS(ROUND($D427,2)-ROUND($C427,2))&lt;=toleransKurus,"tolerans_icinde","tutar_farki"))))</f>
        <v/>
      </c>
      <c r="H427" s="17">
        <f>IF($A427="","",IF($B427&gt;0,"BIRINCIL",IF(COUNTIF(tblAnahtarB[IkincilB],'ANAHTAR'!$D427)&gt;0,"IKINCIL","YOK")))</f>
        <v/>
      </c>
      <c r="I427" s="17">
        <f>IF($A427="","",'ANAHTAR'!$F427)</f>
        <v/>
      </c>
      <c r="J427" s="17">
        <f>IF(OR($A427="",$D427=0),0,$F427/ABS($D427))</f>
        <v/>
      </c>
      <c r="K427" s="17">
        <f>IF($A427="","",ROUND($D427,2))</f>
        <v/>
      </c>
      <c r="L427" s="17">
        <f>IF($A427="","",ROUND($C427,2))</f>
        <v/>
      </c>
      <c r="M427" s="17">
        <f>IF($A427="","",IF($F427&lt;=toleransKurus,1,0))</f>
        <v/>
      </c>
      <c r="N427" s="17">
        <f>IF($A427="","",IF($F427&gt;tyk_esikFark,1,0))</f>
        <v/>
      </c>
      <c r="O427" s="17">
        <f>IF($A427="","",IFERROR(SUMIF(tblMotor[A_Norm],$A427,tblMotor[NetKar]),0))</f>
        <v/>
      </c>
      <c r="P427" s="17">
        <f>IF($A427="","",$B427+$M427+$N427)</f>
        <v/>
      </c>
    </row>
    <row r="428">
      <c r="A428" s="17">
        <f>IF('ANAHTAR'!$B428="","",'ANAHTAR'!$B428)</f>
        <v/>
      </c>
      <c r="B428" s="17">
        <f>IF($A428="","",COUNTIF(tblAnahtarB[NormB],$A428))</f>
        <v/>
      </c>
      <c r="C428" s="17">
        <f>IF($A428="","",IFERROR(SUMIF(tblAnahtarB[NormB],$A428,tblHakedis[GercekHakedis]),0))</f>
        <v/>
      </c>
      <c r="D428" s="17">
        <f>IF($A428="","",IFERROR(SUMIF(tblMotor[A_Norm],$A428,tblMotor[BeklenenHakedis]),0))</f>
        <v/>
      </c>
      <c r="E428" s="17">
        <f>IF($A428="","",ROUND($D428,2)-ROUND($C428,2))</f>
        <v/>
      </c>
      <c r="F428" s="17">
        <f>IF($A428="","",ABS($E428))</f>
        <v/>
      </c>
      <c r="G428" s="17">
        <f>IF($A428="","",IF($B428=0,"eslesmedi",IF(ROUND($D428,2)=ROUND($C428,2),"eslesti",IF(ABS(ROUND($D428,2)-ROUND($C428,2))&lt;=toleransKurus,"tolerans_icinde","tutar_farki"))))</f>
        <v/>
      </c>
      <c r="H428" s="17">
        <f>IF($A428="","",IF($B428&gt;0,"BIRINCIL",IF(COUNTIF(tblAnahtarB[IkincilB],'ANAHTAR'!$D428)&gt;0,"IKINCIL","YOK")))</f>
        <v/>
      </c>
      <c r="I428" s="17">
        <f>IF($A428="","",'ANAHTAR'!$F428)</f>
        <v/>
      </c>
      <c r="J428" s="17">
        <f>IF(OR($A428="",$D428=0),0,$F428/ABS($D428))</f>
        <v/>
      </c>
      <c r="K428" s="17">
        <f>IF($A428="","",ROUND($D428,2))</f>
        <v/>
      </c>
      <c r="L428" s="17">
        <f>IF($A428="","",ROUND($C428,2))</f>
        <v/>
      </c>
      <c r="M428" s="17">
        <f>IF($A428="","",IF($F428&lt;=toleransKurus,1,0))</f>
        <v/>
      </c>
      <c r="N428" s="17">
        <f>IF($A428="","",IF($F428&gt;tyk_esikFark,1,0))</f>
        <v/>
      </c>
      <c r="O428" s="17">
        <f>IF($A428="","",IFERROR(SUMIF(tblMotor[A_Norm],$A428,tblMotor[NetKar]),0))</f>
        <v/>
      </c>
      <c r="P428" s="17">
        <f>IF($A428="","",$B428+$M428+$N428)</f>
        <v/>
      </c>
    </row>
    <row r="429">
      <c r="A429" s="17">
        <f>IF('ANAHTAR'!$B429="","",'ANAHTAR'!$B429)</f>
        <v/>
      </c>
      <c r="B429" s="17">
        <f>IF($A429="","",COUNTIF(tblAnahtarB[NormB],$A429))</f>
        <v/>
      </c>
      <c r="C429" s="17">
        <f>IF($A429="","",IFERROR(SUMIF(tblAnahtarB[NormB],$A429,tblHakedis[GercekHakedis]),0))</f>
        <v/>
      </c>
      <c r="D429" s="17">
        <f>IF($A429="","",IFERROR(SUMIF(tblMotor[A_Norm],$A429,tblMotor[BeklenenHakedis]),0))</f>
        <v/>
      </c>
      <c r="E429" s="17">
        <f>IF($A429="","",ROUND($D429,2)-ROUND($C429,2))</f>
        <v/>
      </c>
      <c r="F429" s="17">
        <f>IF($A429="","",ABS($E429))</f>
        <v/>
      </c>
      <c r="G429" s="17">
        <f>IF($A429="","",IF($B429=0,"eslesmedi",IF(ROUND($D429,2)=ROUND($C429,2),"eslesti",IF(ABS(ROUND($D429,2)-ROUND($C429,2))&lt;=toleransKurus,"tolerans_icinde","tutar_farki"))))</f>
        <v/>
      </c>
      <c r="H429" s="17">
        <f>IF($A429="","",IF($B429&gt;0,"BIRINCIL",IF(COUNTIF(tblAnahtarB[IkincilB],'ANAHTAR'!$D429)&gt;0,"IKINCIL","YOK")))</f>
        <v/>
      </c>
      <c r="I429" s="17">
        <f>IF($A429="","",'ANAHTAR'!$F429)</f>
        <v/>
      </c>
      <c r="J429" s="17">
        <f>IF(OR($A429="",$D429=0),0,$F429/ABS($D429))</f>
        <v/>
      </c>
      <c r="K429" s="17">
        <f>IF($A429="","",ROUND($D429,2))</f>
        <v/>
      </c>
      <c r="L429" s="17">
        <f>IF($A429="","",ROUND($C429,2))</f>
        <v/>
      </c>
      <c r="M429" s="17">
        <f>IF($A429="","",IF($F429&lt;=toleransKurus,1,0))</f>
        <v/>
      </c>
      <c r="N429" s="17">
        <f>IF($A429="","",IF($F429&gt;tyk_esikFark,1,0))</f>
        <v/>
      </c>
      <c r="O429" s="17">
        <f>IF($A429="","",IFERROR(SUMIF(tblMotor[A_Norm],$A429,tblMotor[NetKar]),0))</f>
        <v/>
      </c>
      <c r="P429" s="17">
        <f>IF($A429="","",$B429+$M429+$N429)</f>
        <v/>
      </c>
    </row>
    <row r="430">
      <c r="A430" s="17">
        <f>IF('ANAHTAR'!$B430="","",'ANAHTAR'!$B430)</f>
        <v/>
      </c>
      <c r="B430" s="17">
        <f>IF($A430="","",COUNTIF(tblAnahtarB[NormB],$A430))</f>
        <v/>
      </c>
      <c r="C430" s="17">
        <f>IF($A430="","",IFERROR(SUMIF(tblAnahtarB[NormB],$A430,tblHakedis[GercekHakedis]),0))</f>
        <v/>
      </c>
      <c r="D430" s="17">
        <f>IF($A430="","",IFERROR(SUMIF(tblMotor[A_Norm],$A430,tblMotor[BeklenenHakedis]),0))</f>
        <v/>
      </c>
      <c r="E430" s="17">
        <f>IF($A430="","",ROUND($D430,2)-ROUND($C430,2))</f>
        <v/>
      </c>
      <c r="F430" s="17">
        <f>IF($A430="","",ABS($E430))</f>
        <v/>
      </c>
      <c r="G430" s="17">
        <f>IF($A430="","",IF($B430=0,"eslesmedi",IF(ROUND($D430,2)=ROUND($C430,2),"eslesti",IF(ABS(ROUND($D430,2)-ROUND($C430,2))&lt;=toleransKurus,"tolerans_icinde","tutar_farki"))))</f>
        <v/>
      </c>
      <c r="H430" s="17">
        <f>IF($A430="","",IF($B430&gt;0,"BIRINCIL",IF(COUNTIF(tblAnahtarB[IkincilB],'ANAHTAR'!$D430)&gt;0,"IKINCIL","YOK")))</f>
        <v/>
      </c>
      <c r="I430" s="17">
        <f>IF($A430="","",'ANAHTAR'!$F430)</f>
        <v/>
      </c>
      <c r="J430" s="17">
        <f>IF(OR($A430="",$D430=0),0,$F430/ABS($D430))</f>
        <v/>
      </c>
      <c r="K430" s="17">
        <f>IF($A430="","",ROUND($D430,2))</f>
        <v/>
      </c>
      <c r="L430" s="17">
        <f>IF($A430="","",ROUND($C430,2))</f>
        <v/>
      </c>
      <c r="M430" s="17">
        <f>IF($A430="","",IF($F430&lt;=toleransKurus,1,0))</f>
        <v/>
      </c>
      <c r="N430" s="17">
        <f>IF($A430="","",IF($F430&gt;tyk_esikFark,1,0))</f>
        <v/>
      </c>
      <c r="O430" s="17">
        <f>IF($A430="","",IFERROR(SUMIF(tblMotor[A_Norm],$A430,tblMotor[NetKar]),0))</f>
        <v/>
      </c>
      <c r="P430" s="17">
        <f>IF($A430="","",$B430+$M430+$N430)</f>
        <v/>
      </c>
    </row>
    <row r="431">
      <c r="A431" s="17">
        <f>IF('ANAHTAR'!$B431="","",'ANAHTAR'!$B431)</f>
        <v/>
      </c>
      <c r="B431" s="17">
        <f>IF($A431="","",COUNTIF(tblAnahtarB[NormB],$A431))</f>
        <v/>
      </c>
      <c r="C431" s="17">
        <f>IF($A431="","",IFERROR(SUMIF(tblAnahtarB[NormB],$A431,tblHakedis[GercekHakedis]),0))</f>
        <v/>
      </c>
      <c r="D431" s="17">
        <f>IF($A431="","",IFERROR(SUMIF(tblMotor[A_Norm],$A431,tblMotor[BeklenenHakedis]),0))</f>
        <v/>
      </c>
      <c r="E431" s="17">
        <f>IF($A431="","",ROUND($D431,2)-ROUND($C431,2))</f>
        <v/>
      </c>
      <c r="F431" s="17">
        <f>IF($A431="","",ABS($E431))</f>
        <v/>
      </c>
      <c r="G431" s="17">
        <f>IF($A431="","",IF($B431=0,"eslesmedi",IF(ROUND($D431,2)=ROUND($C431,2),"eslesti",IF(ABS(ROUND($D431,2)-ROUND($C431,2))&lt;=toleransKurus,"tolerans_icinde","tutar_farki"))))</f>
        <v/>
      </c>
      <c r="H431" s="17">
        <f>IF($A431="","",IF($B431&gt;0,"BIRINCIL",IF(COUNTIF(tblAnahtarB[IkincilB],'ANAHTAR'!$D431)&gt;0,"IKINCIL","YOK")))</f>
        <v/>
      </c>
      <c r="I431" s="17">
        <f>IF($A431="","",'ANAHTAR'!$F431)</f>
        <v/>
      </c>
      <c r="J431" s="17">
        <f>IF(OR($A431="",$D431=0),0,$F431/ABS($D431))</f>
        <v/>
      </c>
      <c r="K431" s="17">
        <f>IF($A431="","",ROUND($D431,2))</f>
        <v/>
      </c>
      <c r="L431" s="17">
        <f>IF($A431="","",ROUND($C431,2))</f>
        <v/>
      </c>
      <c r="M431" s="17">
        <f>IF($A431="","",IF($F431&lt;=toleransKurus,1,0))</f>
        <v/>
      </c>
      <c r="N431" s="17">
        <f>IF($A431="","",IF($F431&gt;tyk_esikFark,1,0))</f>
        <v/>
      </c>
      <c r="O431" s="17">
        <f>IF($A431="","",IFERROR(SUMIF(tblMotor[A_Norm],$A431,tblMotor[NetKar]),0))</f>
        <v/>
      </c>
      <c r="P431" s="17">
        <f>IF($A431="","",$B431+$M431+$N431)</f>
        <v/>
      </c>
    </row>
    <row r="432">
      <c r="A432" s="17">
        <f>IF('ANAHTAR'!$B432="","",'ANAHTAR'!$B432)</f>
        <v/>
      </c>
      <c r="B432" s="17">
        <f>IF($A432="","",COUNTIF(tblAnahtarB[NormB],$A432))</f>
        <v/>
      </c>
      <c r="C432" s="17">
        <f>IF($A432="","",IFERROR(SUMIF(tblAnahtarB[NormB],$A432,tblHakedis[GercekHakedis]),0))</f>
        <v/>
      </c>
      <c r="D432" s="17">
        <f>IF($A432="","",IFERROR(SUMIF(tblMotor[A_Norm],$A432,tblMotor[BeklenenHakedis]),0))</f>
        <v/>
      </c>
      <c r="E432" s="17">
        <f>IF($A432="","",ROUND($D432,2)-ROUND($C432,2))</f>
        <v/>
      </c>
      <c r="F432" s="17">
        <f>IF($A432="","",ABS($E432))</f>
        <v/>
      </c>
      <c r="G432" s="17">
        <f>IF($A432="","",IF($B432=0,"eslesmedi",IF(ROUND($D432,2)=ROUND($C432,2),"eslesti",IF(ABS(ROUND($D432,2)-ROUND($C432,2))&lt;=toleransKurus,"tolerans_icinde","tutar_farki"))))</f>
        <v/>
      </c>
      <c r="H432" s="17">
        <f>IF($A432="","",IF($B432&gt;0,"BIRINCIL",IF(COUNTIF(tblAnahtarB[IkincilB],'ANAHTAR'!$D432)&gt;0,"IKINCIL","YOK")))</f>
        <v/>
      </c>
      <c r="I432" s="17">
        <f>IF($A432="","",'ANAHTAR'!$F432)</f>
        <v/>
      </c>
      <c r="J432" s="17">
        <f>IF(OR($A432="",$D432=0),0,$F432/ABS($D432))</f>
        <v/>
      </c>
      <c r="K432" s="17">
        <f>IF($A432="","",ROUND($D432,2))</f>
        <v/>
      </c>
      <c r="L432" s="17">
        <f>IF($A432="","",ROUND($C432,2))</f>
        <v/>
      </c>
      <c r="M432" s="17">
        <f>IF($A432="","",IF($F432&lt;=toleransKurus,1,0))</f>
        <v/>
      </c>
      <c r="N432" s="17">
        <f>IF($A432="","",IF($F432&gt;tyk_esikFark,1,0))</f>
        <v/>
      </c>
      <c r="O432" s="17">
        <f>IF($A432="","",IFERROR(SUMIF(tblMotor[A_Norm],$A432,tblMotor[NetKar]),0))</f>
        <v/>
      </c>
      <c r="P432" s="17">
        <f>IF($A432="","",$B432+$M432+$N432)</f>
        <v/>
      </c>
    </row>
    <row r="433">
      <c r="A433" s="17">
        <f>IF('ANAHTAR'!$B433="","",'ANAHTAR'!$B433)</f>
        <v/>
      </c>
      <c r="B433" s="17">
        <f>IF($A433="","",COUNTIF(tblAnahtarB[NormB],$A433))</f>
        <v/>
      </c>
      <c r="C433" s="17">
        <f>IF($A433="","",IFERROR(SUMIF(tblAnahtarB[NormB],$A433,tblHakedis[GercekHakedis]),0))</f>
        <v/>
      </c>
      <c r="D433" s="17">
        <f>IF($A433="","",IFERROR(SUMIF(tblMotor[A_Norm],$A433,tblMotor[BeklenenHakedis]),0))</f>
        <v/>
      </c>
      <c r="E433" s="17">
        <f>IF($A433="","",ROUND($D433,2)-ROUND($C433,2))</f>
        <v/>
      </c>
      <c r="F433" s="17">
        <f>IF($A433="","",ABS($E433))</f>
        <v/>
      </c>
      <c r="G433" s="17">
        <f>IF($A433="","",IF($B433=0,"eslesmedi",IF(ROUND($D433,2)=ROUND($C433,2),"eslesti",IF(ABS(ROUND($D433,2)-ROUND($C433,2))&lt;=toleransKurus,"tolerans_icinde","tutar_farki"))))</f>
        <v/>
      </c>
      <c r="H433" s="17">
        <f>IF($A433="","",IF($B433&gt;0,"BIRINCIL",IF(COUNTIF(tblAnahtarB[IkincilB],'ANAHTAR'!$D433)&gt;0,"IKINCIL","YOK")))</f>
        <v/>
      </c>
      <c r="I433" s="17">
        <f>IF($A433="","",'ANAHTAR'!$F433)</f>
        <v/>
      </c>
      <c r="J433" s="17">
        <f>IF(OR($A433="",$D433=0),0,$F433/ABS($D433))</f>
        <v/>
      </c>
      <c r="K433" s="17">
        <f>IF($A433="","",ROUND($D433,2))</f>
        <v/>
      </c>
      <c r="L433" s="17">
        <f>IF($A433="","",ROUND($C433,2))</f>
        <v/>
      </c>
      <c r="M433" s="17">
        <f>IF($A433="","",IF($F433&lt;=toleransKurus,1,0))</f>
        <v/>
      </c>
      <c r="N433" s="17">
        <f>IF($A433="","",IF($F433&gt;tyk_esikFark,1,0))</f>
        <v/>
      </c>
      <c r="O433" s="17">
        <f>IF($A433="","",IFERROR(SUMIF(tblMotor[A_Norm],$A433,tblMotor[NetKar]),0))</f>
        <v/>
      </c>
      <c r="P433" s="17">
        <f>IF($A433="","",$B433+$M433+$N433)</f>
        <v/>
      </c>
    </row>
    <row r="434">
      <c r="A434" s="17">
        <f>IF('ANAHTAR'!$B434="","",'ANAHTAR'!$B434)</f>
        <v/>
      </c>
      <c r="B434" s="17">
        <f>IF($A434="","",COUNTIF(tblAnahtarB[NormB],$A434))</f>
        <v/>
      </c>
      <c r="C434" s="17">
        <f>IF($A434="","",IFERROR(SUMIF(tblAnahtarB[NormB],$A434,tblHakedis[GercekHakedis]),0))</f>
        <v/>
      </c>
      <c r="D434" s="17">
        <f>IF($A434="","",IFERROR(SUMIF(tblMotor[A_Norm],$A434,tblMotor[BeklenenHakedis]),0))</f>
        <v/>
      </c>
      <c r="E434" s="17">
        <f>IF($A434="","",ROUND($D434,2)-ROUND($C434,2))</f>
        <v/>
      </c>
      <c r="F434" s="17">
        <f>IF($A434="","",ABS($E434))</f>
        <v/>
      </c>
      <c r="G434" s="17">
        <f>IF($A434="","",IF($B434=0,"eslesmedi",IF(ROUND($D434,2)=ROUND($C434,2),"eslesti",IF(ABS(ROUND($D434,2)-ROUND($C434,2))&lt;=toleransKurus,"tolerans_icinde","tutar_farki"))))</f>
        <v/>
      </c>
      <c r="H434" s="17">
        <f>IF($A434="","",IF($B434&gt;0,"BIRINCIL",IF(COUNTIF(tblAnahtarB[IkincilB],'ANAHTAR'!$D434)&gt;0,"IKINCIL","YOK")))</f>
        <v/>
      </c>
      <c r="I434" s="17">
        <f>IF($A434="","",'ANAHTAR'!$F434)</f>
        <v/>
      </c>
      <c r="J434" s="17">
        <f>IF(OR($A434="",$D434=0),0,$F434/ABS($D434))</f>
        <v/>
      </c>
      <c r="K434" s="17">
        <f>IF($A434="","",ROUND($D434,2))</f>
        <v/>
      </c>
      <c r="L434" s="17">
        <f>IF($A434="","",ROUND($C434,2))</f>
        <v/>
      </c>
      <c r="M434" s="17">
        <f>IF($A434="","",IF($F434&lt;=toleransKurus,1,0))</f>
        <v/>
      </c>
      <c r="N434" s="17">
        <f>IF($A434="","",IF($F434&gt;tyk_esikFark,1,0))</f>
        <v/>
      </c>
      <c r="O434" s="17">
        <f>IF($A434="","",IFERROR(SUMIF(tblMotor[A_Norm],$A434,tblMotor[NetKar]),0))</f>
        <v/>
      </c>
      <c r="P434" s="17">
        <f>IF($A434="","",$B434+$M434+$N434)</f>
        <v/>
      </c>
    </row>
    <row r="435">
      <c r="A435" s="17">
        <f>IF('ANAHTAR'!$B435="","",'ANAHTAR'!$B435)</f>
        <v/>
      </c>
      <c r="B435" s="17">
        <f>IF($A435="","",COUNTIF(tblAnahtarB[NormB],$A435))</f>
        <v/>
      </c>
      <c r="C435" s="17">
        <f>IF($A435="","",IFERROR(SUMIF(tblAnahtarB[NormB],$A435,tblHakedis[GercekHakedis]),0))</f>
        <v/>
      </c>
      <c r="D435" s="17">
        <f>IF($A435="","",IFERROR(SUMIF(tblMotor[A_Norm],$A435,tblMotor[BeklenenHakedis]),0))</f>
        <v/>
      </c>
      <c r="E435" s="17">
        <f>IF($A435="","",ROUND($D435,2)-ROUND($C435,2))</f>
        <v/>
      </c>
      <c r="F435" s="17">
        <f>IF($A435="","",ABS($E435))</f>
        <v/>
      </c>
      <c r="G435" s="17">
        <f>IF($A435="","",IF($B435=0,"eslesmedi",IF(ROUND($D435,2)=ROUND($C435,2),"eslesti",IF(ABS(ROUND($D435,2)-ROUND($C435,2))&lt;=toleransKurus,"tolerans_icinde","tutar_farki"))))</f>
        <v/>
      </c>
      <c r="H435" s="17">
        <f>IF($A435="","",IF($B435&gt;0,"BIRINCIL",IF(COUNTIF(tblAnahtarB[IkincilB],'ANAHTAR'!$D435)&gt;0,"IKINCIL","YOK")))</f>
        <v/>
      </c>
      <c r="I435" s="17">
        <f>IF($A435="","",'ANAHTAR'!$F435)</f>
        <v/>
      </c>
      <c r="J435" s="17">
        <f>IF(OR($A435="",$D435=0),0,$F435/ABS($D435))</f>
        <v/>
      </c>
      <c r="K435" s="17">
        <f>IF($A435="","",ROUND($D435,2))</f>
        <v/>
      </c>
      <c r="L435" s="17">
        <f>IF($A435="","",ROUND($C435,2))</f>
        <v/>
      </c>
      <c r="M435" s="17">
        <f>IF($A435="","",IF($F435&lt;=toleransKurus,1,0))</f>
        <v/>
      </c>
      <c r="N435" s="17">
        <f>IF($A435="","",IF($F435&gt;tyk_esikFark,1,0))</f>
        <v/>
      </c>
      <c r="O435" s="17">
        <f>IF($A435="","",IFERROR(SUMIF(tblMotor[A_Norm],$A435,tblMotor[NetKar]),0))</f>
        <v/>
      </c>
      <c r="P435" s="17">
        <f>IF($A435="","",$B435+$M435+$N435)</f>
        <v/>
      </c>
    </row>
    <row r="436">
      <c r="A436" s="17">
        <f>IF('ANAHTAR'!$B436="","",'ANAHTAR'!$B436)</f>
        <v/>
      </c>
      <c r="B436" s="17">
        <f>IF($A436="","",COUNTIF(tblAnahtarB[NormB],$A436))</f>
        <v/>
      </c>
      <c r="C436" s="17">
        <f>IF($A436="","",IFERROR(SUMIF(tblAnahtarB[NormB],$A436,tblHakedis[GercekHakedis]),0))</f>
        <v/>
      </c>
      <c r="D436" s="17">
        <f>IF($A436="","",IFERROR(SUMIF(tblMotor[A_Norm],$A436,tblMotor[BeklenenHakedis]),0))</f>
        <v/>
      </c>
      <c r="E436" s="17">
        <f>IF($A436="","",ROUND($D436,2)-ROUND($C436,2))</f>
        <v/>
      </c>
      <c r="F436" s="17">
        <f>IF($A436="","",ABS($E436))</f>
        <v/>
      </c>
      <c r="G436" s="17">
        <f>IF($A436="","",IF($B436=0,"eslesmedi",IF(ROUND($D436,2)=ROUND($C436,2),"eslesti",IF(ABS(ROUND($D436,2)-ROUND($C436,2))&lt;=toleransKurus,"tolerans_icinde","tutar_farki"))))</f>
        <v/>
      </c>
      <c r="H436" s="17">
        <f>IF($A436="","",IF($B436&gt;0,"BIRINCIL",IF(COUNTIF(tblAnahtarB[IkincilB],'ANAHTAR'!$D436)&gt;0,"IKINCIL","YOK")))</f>
        <v/>
      </c>
      <c r="I436" s="17">
        <f>IF($A436="","",'ANAHTAR'!$F436)</f>
        <v/>
      </c>
      <c r="J436" s="17">
        <f>IF(OR($A436="",$D436=0),0,$F436/ABS($D436))</f>
        <v/>
      </c>
      <c r="K436" s="17">
        <f>IF($A436="","",ROUND($D436,2))</f>
        <v/>
      </c>
      <c r="L436" s="17">
        <f>IF($A436="","",ROUND($C436,2))</f>
        <v/>
      </c>
      <c r="M436" s="17">
        <f>IF($A436="","",IF($F436&lt;=toleransKurus,1,0))</f>
        <v/>
      </c>
      <c r="N436" s="17">
        <f>IF($A436="","",IF($F436&gt;tyk_esikFark,1,0))</f>
        <v/>
      </c>
      <c r="O436" s="17">
        <f>IF($A436="","",IFERROR(SUMIF(tblMotor[A_Norm],$A436,tblMotor[NetKar]),0))</f>
        <v/>
      </c>
      <c r="P436" s="17">
        <f>IF($A436="","",$B436+$M436+$N436)</f>
        <v/>
      </c>
    </row>
    <row r="437">
      <c r="A437" s="17">
        <f>IF('ANAHTAR'!$B437="","",'ANAHTAR'!$B437)</f>
        <v/>
      </c>
      <c r="B437" s="17">
        <f>IF($A437="","",COUNTIF(tblAnahtarB[NormB],$A437))</f>
        <v/>
      </c>
      <c r="C437" s="17">
        <f>IF($A437="","",IFERROR(SUMIF(tblAnahtarB[NormB],$A437,tblHakedis[GercekHakedis]),0))</f>
        <v/>
      </c>
      <c r="D437" s="17">
        <f>IF($A437="","",IFERROR(SUMIF(tblMotor[A_Norm],$A437,tblMotor[BeklenenHakedis]),0))</f>
        <v/>
      </c>
      <c r="E437" s="17">
        <f>IF($A437="","",ROUND($D437,2)-ROUND($C437,2))</f>
        <v/>
      </c>
      <c r="F437" s="17">
        <f>IF($A437="","",ABS($E437))</f>
        <v/>
      </c>
      <c r="G437" s="17">
        <f>IF($A437="","",IF($B437=0,"eslesmedi",IF(ROUND($D437,2)=ROUND($C437,2),"eslesti",IF(ABS(ROUND($D437,2)-ROUND($C437,2))&lt;=toleransKurus,"tolerans_icinde","tutar_farki"))))</f>
        <v/>
      </c>
      <c r="H437" s="17">
        <f>IF($A437="","",IF($B437&gt;0,"BIRINCIL",IF(COUNTIF(tblAnahtarB[IkincilB],'ANAHTAR'!$D437)&gt;0,"IKINCIL","YOK")))</f>
        <v/>
      </c>
      <c r="I437" s="17">
        <f>IF($A437="","",'ANAHTAR'!$F437)</f>
        <v/>
      </c>
      <c r="J437" s="17">
        <f>IF(OR($A437="",$D437=0),0,$F437/ABS($D437))</f>
        <v/>
      </c>
      <c r="K437" s="17">
        <f>IF($A437="","",ROUND($D437,2))</f>
        <v/>
      </c>
      <c r="L437" s="17">
        <f>IF($A437="","",ROUND($C437,2))</f>
        <v/>
      </c>
      <c r="M437" s="17">
        <f>IF($A437="","",IF($F437&lt;=toleransKurus,1,0))</f>
        <v/>
      </c>
      <c r="N437" s="17">
        <f>IF($A437="","",IF($F437&gt;tyk_esikFark,1,0))</f>
        <v/>
      </c>
      <c r="O437" s="17">
        <f>IF($A437="","",IFERROR(SUMIF(tblMotor[A_Norm],$A437,tblMotor[NetKar]),0))</f>
        <v/>
      </c>
      <c r="P437" s="17">
        <f>IF($A437="","",$B437+$M437+$N437)</f>
        <v/>
      </c>
    </row>
    <row r="438">
      <c r="A438" s="17">
        <f>IF('ANAHTAR'!$B438="","",'ANAHTAR'!$B438)</f>
        <v/>
      </c>
      <c r="B438" s="17">
        <f>IF($A438="","",COUNTIF(tblAnahtarB[NormB],$A438))</f>
        <v/>
      </c>
      <c r="C438" s="17">
        <f>IF($A438="","",IFERROR(SUMIF(tblAnahtarB[NormB],$A438,tblHakedis[GercekHakedis]),0))</f>
        <v/>
      </c>
      <c r="D438" s="17">
        <f>IF($A438="","",IFERROR(SUMIF(tblMotor[A_Norm],$A438,tblMotor[BeklenenHakedis]),0))</f>
        <v/>
      </c>
      <c r="E438" s="17">
        <f>IF($A438="","",ROUND($D438,2)-ROUND($C438,2))</f>
        <v/>
      </c>
      <c r="F438" s="17">
        <f>IF($A438="","",ABS($E438))</f>
        <v/>
      </c>
      <c r="G438" s="17">
        <f>IF($A438="","",IF($B438=0,"eslesmedi",IF(ROUND($D438,2)=ROUND($C438,2),"eslesti",IF(ABS(ROUND($D438,2)-ROUND($C438,2))&lt;=toleransKurus,"tolerans_icinde","tutar_farki"))))</f>
        <v/>
      </c>
      <c r="H438" s="17">
        <f>IF($A438="","",IF($B438&gt;0,"BIRINCIL",IF(COUNTIF(tblAnahtarB[IkincilB],'ANAHTAR'!$D438)&gt;0,"IKINCIL","YOK")))</f>
        <v/>
      </c>
      <c r="I438" s="17">
        <f>IF($A438="","",'ANAHTAR'!$F438)</f>
        <v/>
      </c>
      <c r="J438" s="17">
        <f>IF(OR($A438="",$D438=0),0,$F438/ABS($D438))</f>
        <v/>
      </c>
      <c r="K438" s="17">
        <f>IF($A438="","",ROUND($D438,2))</f>
        <v/>
      </c>
      <c r="L438" s="17">
        <f>IF($A438="","",ROUND($C438,2))</f>
        <v/>
      </c>
      <c r="M438" s="17">
        <f>IF($A438="","",IF($F438&lt;=toleransKurus,1,0))</f>
        <v/>
      </c>
      <c r="N438" s="17">
        <f>IF($A438="","",IF($F438&gt;tyk_esikFark,1,0))</f>
        <v/>
      </c>
      <c r="O438" s="17">
        <f>IF($A438="","",IFERROR(SUMIF(tblMotor[A_Norm],$A438,tblMotor[NetKar]),0))</f>
        <v/>
      </c>
      <c r="P438" s="17">
        <f>IF($A438="","",$B438+$M438+$N438)</f>
        <v/>
      </c>
    </row>
    <row r="439">
      <c r="A439" s="17">
        <f>IF('ANAHTAR'!$B439="","",'ANAHTAR'!$B439)</f>
        <v/>
      </c>
      <c r="B439" s="17">
        <f>IF($A439="","",COUNTIF(tblAnahtarB[NormB],$A439))</f>
        <v/>
      </c>
      <c r="C439" s="17">
        <f>IF($A439="","",IFERROR(SUMIF(tblAnahtarB[NormB],$A439,tblHakedis[GercekHakedis]),0))</f>
        <v/>
      </c>
      <c r="D439" s="17">
        <f>IF($A439="","",IFERROR(SUMIF(tblMotor[A_Norm],$A439,tblMotor[BeklenenHakedis]),0))</f>
        <v/>
      </c>
      <c r="E439" s="17">
        <f>IF($A439="","",ROUND($D439,2)-ROUND($C439,2))</f>
        <v/>
      </c>
      <c r="F439" s="17">
        <f>IF($A439="","",ABS($E439))</f>
        <v/>
      </c>
      <c r="G439" s="17">
        <f>IF($A439="","",IF($B439=0,"eslesmedi",IF(ROUND($D439,2)=ROUND($C439,2),"eslesti",IF(ABS(ROUND($D439,2)-ROUND($C439,2))&lt;=toleransKurus,"tolerans_icinde","tutar_farki"))))</f>
        <v/>
      </c>
      <c r="H439" s="17">
        <f>IF($A439="","",IF($B439&gt;0,"BIRINCIL",IF(COUNTIF(tblAnahtarB[IkincilB],'ANAHTAR'!$D439)&gt;0,"IKINCIL","YOK")))</f>
        <v/>
      </c>
      <c r="I439" s="17">
        <f>IF($A439="","",'ANAHTAR'!$F439)</f>
        <v/>
      </c>
      <c r="J439" s="17">
        <f>IF(OR($A439="",$D439=0),0,$F439/ABS($D439))</f>
        <v/>
      </c>
      <c r="K439" s="17">
        <f>IF($A439="","",ROUND($D439,2))</f>
        <v/>
      </c>
      <c r="L439" s="17">
        <f>IF($A439="","",ROUND($C439,2))</f>
        <v/>
      </c>
      <c r="M439" s="17">
        <f>IF($A439="","",IF($F439&lt;=toleransKurus,1,0))</f>
        <v/>
      </c>
      <c r="N439" s="17">
        <f>IF($A439="","",IF($F439&gt;tyk_esikFark,1,0))</f>
        <v/>
      </c>
      <c r="O439" s="17">
        <f>IF($A439="","",IFERROR(SUMIF(tblMotor[A_Norm],$A439,tblMotor[NetKar]),0))</f>
        <v/>
      </c>
      <c r="P439" s="17">
        <f>IF($A439="","",$B439+$M439+$N439)</f>
        <v/>
      </c>
    </row>
    <row r="440">
      <c r="A440" s="17">
        <f>IF('ANAHTAR'!$B440="","",'ANAHTAR'!$B440)</f>
        <v/>
      </c>
      <c r="B440" s="17">
        <f>IF($A440="","",COUNTIF(tblAnahtarB[NormB],$A440))</f>
        <v/>
      </c>
      <c r="C440" s="17">
        <f>IF($A440="","",IFERROR(SUMIF(tblAnahtarB[NormB],$A440,tblHakedis[GercekHakedis]),0))</f>
        <v/>
      </c>
      <c r="D440" s="17">
        <f>IF($A440="","",IFERROR(SUMIF(tblMotor[A_Norm],$A440,tblMotor[BeklenenHakedis]),0))</f>
        <v/>
      </c>
      <c r="E440" s="17">
        <f>IF($A440="","",ROUND($D440,2)-ROUND($C440,2))</f>
        <v/>
      </c>
      <c r="F440" s="17">
        <f>IF($A440="","",ABS($E440))</f>
        <v/>
      </c>
      <c r="G440" s="17">
        <f>IF($A440="","",IF($B440=0,"eslesmedi",IF(ROUND($D440,2)=ROUND($C440,2),"eslesti",IF(ABS(ROUND($D440,2)-ROUND($C440,2))&lt;=toleransKurus,"tolerans_icinde","tutar_farki"))))</f>
        <v/>
      </c>
      <c r="H440" s="17">
        <f>IF($A440="","",IF($B440&gt;0,"BIRINCIL",IF(COUNTIF(tblAnahtarB[IkincilB],'ANAHTAR'!$D440)&gt;0,"IKINCIL","YOK")))</f>
        <v/>
      </c>
      <c r="I440" s="17">
        <f>IF($A440="","",'ANAHTAR'!$F440)</f>
        <v/>
      </c>
      <c r="J440" s="17">
        <f>IF(OR($A440="",$D440=0),0,$F440/ABS($D440))</f>
        <v/>
      </c>
      <c r="K440" s="17">
        <f>IF($A440="","",ROUND($D440,2))</f>
        <v/>
      </c>
      <c r="L440" s="17">
        <f>IF($A440="","",ROUND($C440,2))</f>
        <v/>
      </c>
      <c r="M440" s="17">
        <f>IF($A440="","",IF($F440&lt;=toleransKurus,1,0))</f>
        <v/>
      </c>
      <c r="N440" s="17">
        <f>IF($A440="","",IF($F440&gt;tyk_esikFark,1,0))</f>
        <v/>
      </c>
      <c r="O440" s="17">
        <f>IF($A440="","",IFERROR(SUMIF(tblMotor[A_Norm],$A440,tblMotor[NetKar]),0))</f>
        <v/>
      </c>
      <c r="P440" s="17">
        <f>IF($A440="","",$B440+$M440+$N440)</f>
        <v/>
      </c>
    </row>
    <row r="441">
      <c r="A441" s="17">
        <f>IF('ANAHTAR'!$B441="","",'ANAHTAR'!$B441)</f>
        <v/>
      </c>
      <c r="B441" s="17">
        <f>IF($A441="","",COUNTIF(tblAnahtarB[NormB],$A441))</f>
        <v/>
      </c>
      <c r="C441" s="17">
        <f>IF($A441="","",IFERROR(SUMIF(tblAnahtarB[NormB],$A441,tblHakedis[GercekHakedis]),0))</f>
        <v/>
      </c>
      <c r="D441" s="17">
        <f>IF($A441="","",IFERROR(SUMIF(tblMotor[A_Norm],$A441,tblMotor[BeklenenHakedis]),0))</f>
        <v/>
      </c>
      <c r="E441" s="17">
        <f>IF($A441="","",ROUND($D441,2)-ROUND($C441,2))</f>
        <v/>
      </c>
      <c r="F441" s="17">
        <f>IF($A441="","",ABS($E441))</f>
        <v/>
      </c>
      <c r="G441" s="17">
        <f>IF($A441="","",IF($B441=0,"eslesmedi",IF(ROUND($D441,2)=ROUND($C441,2),"eslesti",IF(ABS(ROUND($D441,2)-ROUND($C441,2))&lt;=toleransKurus,"tolerans_icinde","tutar_farki"))))</f>
        <v/>
      </c>
      <c r="H441" s="17">
        <f>IF($A441="","",IF($B441&gt;0,"BIRINCIL",IF(COUNTIF(tblAnahtarB[IkincilB],'ANAHTAR'!$D441)&gt;0,"IKINCIL","YOK")))</f>
        <v/>
      </c>
      <c r="I441" s="17">
        <f>IF($A441="","",'ANAHTAR'!$F441)</f>
        <v/>
      </c>
      <c r="J441" s="17">
        <f>IF(OR($A441="",$D441=0),0,$F441/ABS($D441))</f>
        <v/>
      </c>
      <c r="K441" s="17">
        <f>IF($A441="","",ROUND($D441,2))</f>
        <v/>
      </c>
      <c r="L441" s="17">
        <f>IF($A441="","",ROUND($C441,2))</f>
        <v/>
      </c>
      <c r="M441" s="17">
        <f>IF($A441="","",IF($F441&lt;=toleransKurus,1,0))</f>
        <v/>
      </c>
      <c r="N441" s="17">
        <f>IF($A441="","",IF($F441&gt;tyk_esikFark,1,0))</f>
        <v/>
      </c>
      <c r="O441" s="17">
        <f>IF($A441="","",IFERROR(SUMIF(tblMotor[A_Norm],$A441,tblMotor[NetKar]),0))</f>
        <v/>
      </c>
      <c r="P441" s="17">
        <f>IF($A441="","",$B441+$M441+$N441)</f>
        <v/>
      </c>
    </row>
    <row r="442">
      <c r="A442" s="17">
        <f>IF('ANAHTAR'!$B442="","",'ANAHTAR'!$B442)</f>
        <v/>
      </c>
      <c r="B442" s="17">
        <f>IF($A442="","",COUNTIF(tblAnahtarB[NormB],$A442))</f>
        <v/>
      </c>
      <c r="C442" s="17">
        <f>IF($A442="","",IFERROR(SUMIF(tblAnahtarB[NormB],$A442,tblHakedis[GercekHakedis]),0))</f>
        <v/>
      </c>
      <c r="D442" s="17">
        <f>IF($A442="","",IFERROR(SUMIF(tblMotor[A_Norm],$A442,tblMotor[BeklenenHakedis]),0))</f>
        <v/>
      </c>
      <c r="E442" s="17">
        <f>IF($A442="","",ROUND($D442,2)-ROUND($C442,2))</f>
        <v/>
      </c>
      <c r="F442" s="17">
        <f>IF($A442="","",ABS($E442))</f>
        <v/>
      </c>
      <c r="G442" s="17">
        <f>IF($A442="","",IF($B442=0,"eslesmedi",IF(ROUND($D442,2)=ROUND($C442,2),"eslesti",IF(ABS(ROUND($D442,2)-ROUND($C442,2))&lt;=toleransKurus,"tolerans_icinde","tutar_farki"))))</f>
        <v/>
      </c>
      <c r="H442" s="17">
        <f>IF($A442="","",IF($B442&gt;0,"BIRINCIL",IF(COUNTIF(tblAnahtarB[IkincilB],'ANAHTAR'!$D442)&gt;0,"IKINCIL","YOK")))</f>
        <v/>
      </c>
      <c r="I442" s="17">
        <f>IF($A442="","",'ANAHTAR'!$F442)</f>
        <v/>
      </c>
      <c r="J442" s="17">
        <f>IF(OR($A442="",$D442=0),0,$F442/ABS($D442))</f>
        <v/>
      </c>
      <c r="K442" s="17">
        <f>IF($A442="","",ROUND($D442,2))</f>
        <v/>
      </c>
      <c r="L442" s="17">
        <f>IF($A442="","",ROUND($C442,2))</f>
        <v/>
      </c>
      <c r="M442" s="17">
        <f>IF($A442="","",IF($F442&lt;=toleransKurus,1,0))</f>
        <v/>
      </c>
      <c r="N442" s="17">
        <f>IF($A442="","",IF($F442&gt;tyk_esikFark,1,0))</f>
        <v/>
      </c>
      <c r="O442" s="17">
        <f>IF($A442="","",IFERROR(SUMIF(tblMotor[A_Norm],$A442,tblMotor[NetKar]),0))</f>
        <v/>
      </c>
      <c r="P442" s="17">
        <f>IF($A442="","",$B442+$M442+$N442)</f>
        <v/>
      </c>
    </row>
    <row r="443">
      <c r="A443" s="17">
        <f>IF('ANAHTAR'!$B443="","",'ANAHTAR'!$B443)</f>
        <v/>
      </c>
      <c r="B443" s="17">
        <f>IF($A443="","",COUNTIF(tblAnahtarB[NormB],$A443))</f>
        <v/>
      </c>
      <c r="C443" s="17">
        <f>IF($A443="","",IFERROR(SUMIF(tblAnahtarB[NormB],$A443,tblHakedis[GercekHakedis]),0))</f>
        <v/>
      </c>
      <c r="D443" s="17">
        <f>IF($A443="","",IFERROR(SUMIF(tblMotor[A_Norm],$A443,tblMotor[BeklenenHakedis]),0))</f>
        <v/>
      </c>
      <c r="E443" s="17">
        <f>IF($A443="","",ROUND($D443,2)-ROUND($C443,2))</f>
        <v/>
      </c>
      <c r="F443" s="17">
        <f>IF($A443="","",ABS($E443))</f>
        <v/>
      </c>
      <c r="G443" s="17">
        <f>IF($A443="","",IF($B443=0,"eslesmedi",IF(ROUND($D443,2)=ROUND($C443,2),"eslesti",IF(ABS(ROUND($D443,2)-ROUND($C443,2))&lt;=toleransKurus,"tolerans_icinde","tutar_farki"))))</f>
        <v/>
      </c>
      <c r="H443" s="17">
        <f>IF($A443="","",IF($B443&gt;0,"BIRINCIL",IF(COUNTIF(tblAnahtarB[IkincilB],'ANAHTAR'!$D443)&gt;0,"IKINCIL","YOK")))</f>
        <v/>
      </c>
      <c r="I443" s="17">
        <f>IF($A443="","",'ANAHTAR'!$F443)</f>
        <v/>
      </c>
      <c r="J443" s="17">
        <f>IF(OR($A443="",$D443=0),0,$F443/ABS($D443))</f>
        <v/>
      </c>
      <c r="K443" s="17">
        <f>IF($A443="","",ROUND($D443,2))</f>
        <v/>
      </c>
      <c r="L443" s="17">
        <f>IF($A443="","",ROUND($C443,2))</f>
        <v/>
      </c>
      <c r="M443" s="17">
        <f>IF($A443="","",IF($F443&lt;=toleransKurus,1,0))</f>
        <v/>
      </c>
      <c r="N443" s="17">
        <f>IF($A443="","",IF($F443&gt;tyk_esikFark,1,0))</f>
        <v/>
      </c>
      <c r="O443" s="17">
        <f>IF($A443="","",IFERROR(SUMIF(tblMotor[A_Norm],$A443,tblMotor[NetKar]),0))</f>
        <v/>
      </c>
      <c r="P443" s="17">
        <f>IF($A443="","",$B443+$M443+$N443)</f>
        <v/>
      </c>
    </row>
    <row r="444">
      <c r="A444" s="17">
        <f>IF('ANAHTAR'!$B444="","",'ANAHTAR'!$B444)</f>
        <v/>
      </c>
      <c r="B444" s="17">
        <f>IF($A444="","",COUNTIF(tblAnahtarB[NormB],$A444))</f>
        <v/>
      </c>
      <c r="C444" s="17">
        <f>IF($A444="","",IFERROR(SUMIF(tblAnahtarB[NormB],$A444,tblHakedis[GercekHakedis]),0))</f>
        <v/>
      </c>
      <c r="D444" s="17">
        <f>IF($A444="","",IFERROR(SUMIF(tblMotor[A_Norm],$A444,tblMotor[BeklenenHakedis]),0))</f>
        <v/>
      </c>
      <c r="E444" s="17">
        <f>IF($A444="","",ROUND($D444,2)-ROUND($C444,2))</f>
        <v/>
      </c>
      <c r="F444" s="17">
        <f>IF($A444="","",ABS($E444))</f>
        <v/>
      </c>
      <c r="G444" s="17">
        <f>IF($A444="","",IF($B444=0,"eslesmedi",IF(ROUND($D444,2)=ROUND($C444,2),"eslesti",IF(ABS(ROUND($D444,2)-ROUND($C444,2))&lt;=toleransKurus,"tolerans_icinde","tutar_farki"))))</f>
        <v/>
      </c>
      <c r="H444" s="17">
        <f>IF($A444="","",IF($B444&gt;0,"BIRINCIL",IF(COUNTIF(tblAnahtarB[IkincilB],'ANAHTAR'!$D444)&gt;0,"IKINCIL","YOK")))</f>
        <v/>
      </c>
      <c r="I444" s="17">
        <f>IF($A444="","",'ANAHTAR'!$F444)</f>
        <v/>
      </c>
      <c r="J444" s="17">
        <f>IF(OR($A444="",$D444=0),0,$F444/ABS($D444))</f>
        <v/>
      </c>
      <c r="K444" s="17">
        <f>IF($A444="","",ROUND($D444,2))</f>
        <v/>
      </c>
      <c r="L444" s="17">
        <f>IF($A444="","",ROUND($C444,2))</f>
        <v/>
      </c>
      <c r="M444" s="17">
        <f>IF($A444="","",IF($F444&lt;=toleransKurus,1,0))</f>
        <v/>
      </c>
      <c r="N444" s="17">
        <f>IF($A444="","",IF($F444&gt;tyk_esikFark,1,0))</f>
        <v/>
      </c>
      <c r="O444" s="17">
        <f>IF($A444="","",IFERROR(SUMIF(tblMotor[A_Norm],$A444,tblMotor[NetKar]),0))</f>
        <v/>
      </c>
      <c r="P444" s="17">
        <f>IF($A444="","",$B444+$M444+$N444)</f>
        <v/>
      </c>
    </row>
    <row r="445">
      <c r="A445" s="17">
        <f>IF('ANAHTAR'!$B445="","",'ANAHTAR'!$B445)</f>
        <v/>
      </c>
      <c r="B445" s="17">
        <f>IF($A445="","",COUNTIF(tblAnahtarB[NormB],$A445))</f>
        <v/>
      </c>
      <c r="C445" s="17">
        <f>IF($A445="","",IFERROR(SUMIF(tblAnahtarB[NormB],$A445,tblHakedis[GercekHakedis]),0))</f>
        <v/>
      </c>
      <c r="D445" s="17">
        <f>IF($A445="","",IFERROR(SUMIF(tblMotor[A_Norm],$A445,tblMotor[BeklenenHakedis]),0))</f>
        <v/>
      </c>
      <c r="E445" s="17">
        <f>IF($A445="","",ROUND($D445,2)-ROUND($C445,2))</f>
        <v/>
      </c>
      <c r="F445" s="17">
        <f>IF($A445="","",ABS($E445))</f>
        <v/>
      </c>
      <c r="G445" s="17">
        <f>IF($A445="","",IF($B445=0,"eslesmedi",IF(ROUND($D445,2)=ROUND($C445,2),"eslesti",IF(ABS(ROUND($D445,2)-ROUND($C445,2))&lt;=toleransKurus,"tolerans_icinde","tutar_farki"))))</f>
        <v/>
      </c>
      <c r="H445" s="17">
        <f>IF($A445="","",IF($B445&gt;0,"BIRINCIL",IF(COUNTIF(tblAnahtarB[IkincilB],'ANAHTAR'!$D445)&gt;0,"IKINCIL","YOK")))</f>
        <v/>
      </c>
      <c r="I445" s="17">
        <f>IF($A445="","",'ANAHTAR'!$F445)</f>
        <v/>
      </c>
      <c r="J445" s="17">
        <f>IF(OR($A445="",$D445=0),0,$F445/ABS($D445))</f>
        <v/>
      </c>
      <c r="K445" s="17">
        <f>IF($A445="","",ROUND($D445,2))</f>
        <v/>
      </c>
      <c r="L445" s="17">
        <f>IF($A445="","",ROUND($C445,2))</f>
        <v/>
      </c>
      <c r="M445" s="17">
        <f>IF($A445="","",IF($F445&lt;=toleransKurus,1,0))</f>
        <v/>
      </c>
      <c r="N445" s="17">
        <f>IF($A445="","",IF($F445&gt;tyk_esikFark,1,0))</f>
        <v/>
      </c>
      <c r="O445" s="17">
        <f>IF($A445="","",IFERROR(SUMIF(tblMotor[A_Norm],$A445,tblMotor[NetKar]),0))</f>
        <v/>
      </c>
      <c r="P445" s="17">
        <f>IF($A445="","",$B445+$M445+$N445)</f>
        <v/>
      </c>
    </row>
    <row r="446">
      <c r="A446" s="17">
        <f>IF('ANAHTAR'!$B446="","",'ANAHTAR'!$B446)</f>
        <v/>
      </c>
      <c r="B446" s="17">
        <f>IF($A446="","",COUNTIF(tblAnahtarB[NormB],$A446))</f>
        <v/>
      </c>
      <c r="C446" s="17">
        <f>IF($A446="","",IFERROR(SUMIF(tblAnahtarB[NormB],$A446,tblHakedis[GercekHakedis]),0))</f>
        <v/>
      </c>
      <c r="D446" s="17">
        <f>IF($A446="","",IFERROR(SUMIF(tblMotor[A_Norm],$A446,tblMotor[BeklenenHakedis]),0))</f>
        <v/>
      </c>
      <c r="E446" s="17">
        <f>IF($A446="","",ROUND($D446,2)-ROUND($C446,2))</f>
        <v/>
      </c>
      <c r="F446" s="17">
        <f>IF($A446="","",ABS($E446))</f>
        <v/>
      </c>
      <c r="G446" s="17">
        <f>IF($A446="","",IF($B446=0,"eslesmedi",IF(ROUND($D446,2)=ROUND($C446,2),"eslesti",IF(ABS(ROUND($D446,2)-ROUND($C446,2))&lt;=toleransKurus,"tolerans_icinde","tutar_farki"))))</f>
        <v/>
      </c>
      <c r="H446" s="17">
        <f>IF($A446="","",IF($B446&gt;0,"BIRINCIL",IF(COUNTIF(tblAnahtarB[IkincilB],'ANAHTAR'!$D446)&gt;0,"IKINCIL","YOK")))</f>
        <v/>
      </c>
      <c r="I446" s="17">
        <f>IF($A446="","",'ANAHTAR'!$F446)</f>
        <v/>
      </c>
      <c r="J446" s="17">
        <f>IF(OR($A446="",$D446=0),0,$F446/ABS($D446))</f>
        <v/>
      </c>
      <c r="K446" s="17">
        <f>IF($A446="","",ROUND($D446,2))</f>
        <v/>
      </c>
      <c r="L446" s="17">
        <f>IF($A446="","",ROUND($C446,2))</f>
        <v/>
      </c>
      <c r="M446" s="17">
        <f>IF($A446="","",IF($F446&lt;=toleransKurus,1,0))</f>
        <v/>
      </c>
      <c r="N446" s="17">
        <f>IF($A446="","",IF($F446&gt;tyk_esikFark,1,0))</f>
        <v/>
      </c>
      <c r="O446" s="17">
        <f>IF($A446="","",IFERROR(SUMIF(tblMotor[A_Norm],$A446,tblMotor[NetKar]),0))</f>
        <v/>
      </c>
      <c r="P446" s="17">
        <f>IF($A446="","",$B446+$M446+$N446)</f>
        <v/>
      </c>
    </row>
    <row r="447">
      <c r="A447" s="17">
        <f>IF('ANAHTAR'!$B447="","",'ANAHTAR'!$B447)</f>
        <v/>
      </c>
      <c r="B447" s="17">
        <f>IF($A447="","",COUNTIF(tblAnahtarB[NormB],$A447))</f>
        <v/>
      </c>
      <c r="C447" s="17">
        <f>IF($A447="","",IFERROR(SUMIF(tblAnahtarB[NormB],$A447,tblHakedis[GercekHakedis]),0))</f>
        <v/>
      </c>
      <c r="D447" s="17">
        <f>IF($A447="","",IFERROR(SUMIF(tblMotor[A_Norm],$A447,tblMotor[BeklenenHakedis]),0))</f>
        <v/>
      </c>
      <c r="E447" s="17">
        <f>IF($A447="","",ROUND($D447,2)-ROUND($C447,2))</f>
        <v/>
      </c>
      <c r="F447" s="17">
        <f>IF($A447="","",ABS($E447))</f>
        <v/>
      </c>
      <c r="G447" s="17">
        <f>IF($A447="","",IF($B447=0,"eslesmedi",IF(ROUND($D447,2)=ROUND($C447,2),"eslesti",IF(ABS(ROUND($D447,2)-ROUND($C447,2))&lt;=toleransKurus,"tolerans_icinde","tutar_farki"))))</f>
        <v/>
      </c>
      <c r="H447" s="17">
        <f>IF($A447="","",IF($B447&gt;0,"BIRINCIL",IF(COUNTIF(tblAnahtarB[IkincilB],'ANAHTAR'!$D447)&gt;0,"IKINCIL","YOK")))</f>
        <v/>
      </c>
      <c r="I447" s="17">
        <f>IF($A447="","",'ANAHTAR'!$F447)</f>
        <v/>
      </c>
      <c r="J447" s="17">
        <f>IF(OR($A447="",$D447=0),0,$F447/ABS($D447))</f>
        <v/>
      </c>
      <c r="K447" s="17">
        <f>IF($A447="","",ROUND($D447,2))</f>
        <v/>
      </c>
      <c r="L447" s="17">
        <f>IF($A447="","",ROUND($C447,2))</f>
        <v/>
      </c>
      <c r="M447" s="17">
        <f>IF($A447="","",IF($F447&lt;=toleransKurus,1,0))</f>
        <v/>
      </c>
      <c r="N447" s="17">
        <f>IF($A447="","",IF($F447&gt;tyk_esikFark,1,0))</f>
        <v/>
      </c>
      <c r="O447" s="17">
        <f>IF($A447="","",IFERROR(SUMIF(tblMotor[A_Norm],$A447,tblMotor[NetKar]),0))</f>
        <v/>
      </c>
      <c r="P447" s="17">
        <f>IF($A447="","",$B447+$M447+$N447)</f>
        <v/>
      </c>
    </row>
    <row r="448">
      <c r="A448" s="17">
        <f>IF('ANAHTAR'!$B448="","",'ANAHTAR'!$B448)</f>
        <v/>
      </c>
      <c r="B448" s="17">
        <f>IF($A448="","",COUNTIF(tblAnahtarB[NormB],$A448))</f>
        <v/>
      </c>
      <c r="C448" s="17">
        <f>IF($A448="","",IFERROR(SUMIF(tblAnahtarB[NormB],$A448,tblHakedis[GercekHakedis]),0))</f>
        <v/>
      </c>
      <c r="D448" s="17">
        <f>IF($A448="","",IFERROR(SUMIF(tblMotor[A_Norm],$A448,tblMotor[BeklenenHakedis]),0))</f>
        <v/>
      </c>
      <c r="E448" s="17">
        <f>IF($A448="","",ROUND($D448,2)-ROUND($C448,2))</f>
        <v/>
      </c>
      <c r="F448" s="17">
        <f>IF($A448="","",ABS($E448))</f>
        <v/>
      </c>
      <c r="G448" s="17">
        <f>IF($A448="","",IF($B448=0,"eslesmedi",IF(ROUND($D448,2)=ROUND($C448,2),"eslesti",IF(ABS(ROUND($D448,2)-ROUND($C448,2))&lt;=toleransKurus,"tolerans_icinde","tutar_farki"))))</f>
        <v/>
      </c>
      <c r="H448" s="17">
        <f>IF($A448="","",IF($B448&gt;0,"BIRINCIL",IF(COUNTIF(tblAnahtarB[IkincilB],'ANAHTAR'!$D448)&gt;0,"IKINCIL","YOK")))</f>
        <v/>
      </c>
      <c r="I448" s="17">
        <f>IF($A448="","",'ANAHTAR'!$F448)</f>
        <v/>
      </c>
      <c r="J448" s="17">
        <f>IF(OR($A448="",$D448=0),0,$F448/ABS($D448))</f>
        <v/>
      </c>
      <c r="K448" s="17">
        <f>IF($A448="","",ROUND($D448,2))</f>
        <v/>
      </c>
      <c r="L448" s="17">
        <f>IF($A448="","",ROUND($C448,2))</f>
        <v/>
      </c>
      <c r="M448" s="17">
        <f>IF($A448="","",IF($F448&lt;=toleransKurus,1,0))</f>
        <v/>
      </c>
      <c r="N448" s="17">
        <f>IF($A448="","",IF($F448&gt;tyk_esikFark,1,0))</f>
        <v/>
      </c>
      <c r="O448" s="17">
        <f>IF($A448="","",IFERROR(SUMIF(tblMotor[A_Norm],$A448,tblMotor[NetKar]),0))</f>
        <v/>
      </c>
      <c r="P448" s="17">
        <f>IF($A448="","",$B448+$M448+$N448)</f>
        <v/>
      </c>
    </row>
    <row r="449">
      <c r="A449" s="17">
        <f>IF('ANAHTAR'!$B449="","",'ANAHTAR'!$B449)</f>
        <v/>
      </c>
      <c r="B449" s="17">
        <f>IF($A449="","",COUNTIF(tblAnahtarB[NormB],$A449))</f>
        <v/>
      </c>
      <c r="C449" s="17">
        <f>IF($A449="","",IFERROR(SUMIF(tblAnahtarB[NormB],$A449,tblHakedis[GercekHakedis]),0))</f>
        <v/>
      </c>
      <c r="D449" s="17">
        <f>IF($A449="","",IFERROR(SUMIF(tblMotor[A_Norm],$A449,tblMotor[BeklenenHakedis]),0))</f>
        <v/>
      </c>
      <c r="E449" s="17">
        <f>IF($A449="","",ROUND($D449,2)-ROUND($C449,2))</f>
        <v/>
      </c>
      <c r="F449" s="17">
        <f>IF($A449="","",ABS($E449))</f>
        <v/>
      </c>
      <c r="G449" s="17">
        <f>IF($A449="","",IF($B449=0,"eslesmedi",IF(ROUND($D449,2)=ROUND($C449,2),"eslesti",IF(ABS(ROUND($D449,2)-ROUND($C449,2))&lt;=toleransKurus,"tolerans_icinde","tutar_farki"))))</f>
        <v/>
      </c>
      <c r="H449" s="17">
        <f>IF($A449="","",IF($B449&gt;0,"BIRINCIL",IF(COUNTIF(tblAnahtarB[IkincilB],'ANAHTAR'!$D449)&gt;0,"IKINCIL","YOK")))</f>
        <v/>
      </c>
      <c r="I449" s="17">
        <f>IF($A449="","",'ANAHTAR'!$F449)</f>
        <v/>
      </c>
      <c r="J449" s="17">
        <f>IF(OR($A449="",$D449=0),0,$F449/ABS($D449))</f>
        <v/>
      </c>
      <c r="K449" s="17">
        <f>IF($A449="","",ROUND($D449,2))</f>
        <v/>
      </c>
      <c r="L449" s="17">
        <f>IF($A449="","",ROUND($C449,2))</f>
        <v/>
      </c>
      <c r="M449" s="17">
        <f>IF($A449="","",IF($F449&lt;=toleransKurus,1,0))</f>
        <v/>
      </c>
      <c r="N449" s="17">
        <f>IF($A449="","",IF($F449&gt;tyk_esikFark,1,0))</f>
        <v/>
      </c>
      <c r="O449" s="17">
        <f>IF($A449="","",IFERROR(SUMIF(tblMotor[A_Norm],$A449,tblMotor[NetKar]),0))</f>
        <v/>
      </c>
      <c r="P449" s="17">
        <f>IF($A449="","",$B449+$M449+$N449)</f>
        <v/>
      </c>
    </row>
    <row r="450">
      <c r="A450" s="17">
        <f>IF('ANAHTAR'!$B450="","",'ANAHTAR'!$B450)</f>
        <v/>
      </c>
      <c r="B450" s="17">
        <f>IF($A450="","",COUNTIF(tblAnahtarB[NormB],$A450))</f>
        <v/>
      </c>
      <c r="C450" s="17">
        <f>IF($A450="","",IFERROR(SUMIF(tblAnahtarB[NormB],$A450,tblHakedis[GercekHakedis]),0))</f>
        <v/>
      </c>
      <c r="D450" s="17">
        <f>IF($A450="","",IFERROR(SUMIF(tblMotor[A_Norm],$A450,tblMotor[BeklenenHakedis]),0))</f>
        <v/>
      </c>
      <c r="E450" s="17">
        <f>IF($A450="","",ROUND($D450,2)-ROUND($C450,2))</f>
        <v/>
      </c>
      <c r="F450" s="17">
        <f>IF($A450="","",ABS($E450))</f>
        <v/>
      </c>
      <c r="G450" s="17">
        <f>IF($A450="","",IF($B450=0,"eslesmedi",IF(ROUND($D450,2)=ROUND($C450,2),"eslesti",IF(ABS(ROUND($D450,2)-ROUND($C450,2))&lt;=toleransKurus,"tolerans_icinde","tutar_farki"))))</f>
        <v/>
      </c>
      <c r="H450" s="17">
        <f>IF($A450="","",IF($B450&gt;0,"BIRINCIL",IF(COUNTIF(tblAnahtarB[IkincilB],'ANAHTAR'!$D450)&gt;0,"IKINCIL","YOK")))</f>
        <v/>
      </c>
      <c r="I450" s="17">
        <f>IF($A450="","",'ANAHTAR'!$F450)</f>
        <v/>
      </c>
      <c r="J450" s="17">
        <f>IF(OR($A450="",$D450=0),0,$F450/ABS($D450))</f>
        <v/>
      </c>
      <c r="K450" s="17">
        <f>IF($A450="","",ROUND($D450,2))</f>
        <v/>
      </c>
      <c r="L450" s="17">
        <f>IF($A450="","",ROUND($C450,2))</f>
        <v/>
      </c>
      <c r="M450" s="17">
        <f>IF($A450="","",IF($F450&lt;=toleransKurus,1,0))</f>
        <v/>
      </c>
      <c r="N450" s="17">
        <f>IF($A450="","",IF($F450&gt;tyk_esikFark,1,0))</f>
        <v/>
      </c>
      <c r="O450" s="17">
        <f>IF($A450="","",IFERROR(SUMIF(tblMotor[A_Norm],$A450,tblMotor[NetKar]),0))</f>
        <v/>
      </c>
      <c r="P450" s="17">
        <f>IF($A450="","",$B450+$M450+$N450)</f>
        <v/>
      </c>
    </row>
    <row r="451">
      <c r="A451" s="17">
        <f>IF('ANAHTAR'!$B451="","",'ANAHTAR'!$B451)</f>
        <v/>
      </c>
      <c r="B451" s="17">
        <f>IF($A451="","",COUNTIF(tblAnahtarB[NormB],$A451))</f>
        <v/>
      </c>
      <c r="C451" s="17">
        <f>IF($A451="","",IFERROR(SUMIF(tblAnahtarB[NormB],$A451,tblHakedis[GercekHakedis]),0))</f>
        <v/>
      </c>
      <c r="D451" s="17">
        <f>IF($A451="","",IFERROR(SUMIF(tblMotor[A_Norm],$A451,tblMotor[BeklenenHakedis]),0))</f>
        <v/>
      </c>
      <c r="E451" s="17">
        <f>IF($A451="","",ROUND($D451,2)-ROUND($C451,2))</f>
        <v/>
      </c>
      <c r="F451" s="17">
        <f>IF($A451="","",ABS($E451))</f>
        <v/>
      </c>
      <c r="G451" s="17">
        <f>IF($A451="","",IF($B451=0,"eslesmedi",IF(ROUND($D451,2)=ROUND($C451,2),"eslesti",IF(ABS(ROUND($D451,2)-ROUND($C451,2))&lt;=toleransKurus,"tolerans_icinde","tutar_farki"))))</f>
        <v/>
      </c>
      <c r="H451" s="17">
        <f>IF($A451="","",IF($B451&gt;0,"BIRINCIL",IF(COUNTIF(tblAnahtarB[IkincilB],'ANAHTAR'!$D451)&gt;0,"IKINCIL","YOK")))</f>
        <v/>
      </c>
      <c r="I451" s="17">
        <f>IF($A451="","",'ANAHTAR'!$F451)</f>
        <v/>
      </c>
      <c r="J451" s="17">
        <f>IF(OR($A451="",$D451=0),0,$F451/ABS($D451))</f>
        <v/>
      </c>
      <c r="K451" s="17">
        <f>IF($A451="","",ROUND($D451,2))</f>
        <v/>
      </c>
      <c r="L451" s="17">
        <f>IF($A451="","",ROUND($C451,2))</f>
        <v/>
      </c>
      <c r="M451" s="17">
        <f>IF($A451="","",IF($F451&lt;=toleransKurus,1,0))</f>
        <v/>
      </c>
      <c r="N451" s="17">
        <f>IF($A451="","",IF($F451&gt;tyk_esikFark,1,0))</f>
        <v/>
      </c>
      <c r="O451" s="17">
        <f>IF($A451="","",IFERROR(SUMIF(tblMotor[A_Norm],$A451,tblMotor[NetKar]),0))</f>
        <v/>
      </c>
      <c r="P451" s="17">
        <f>IF($A451="","",$B451+$M451+$N451)</f>
        <v/>
      </c>
    </row>
    <row r="452">
      <c r="A452" s="17">
        <f>IF('ANAHTAR'!$B452="","",'ANAHTAR'!$B452)</f>
        <v/>
      </c>
      <c r="B452" s="17">
        <f>IF($A452="","",COUNTIF(tblAnahtarB[NormB],$A452))</f>
        <v/>
      </c>
      <c r="C452" s="17">
        <f>IF($A452="","",IFERROR(SUMIF(tblAnahtarB[NormB],$A452,tblHakedis[GercekHakedis]),0))</f>
        <v/>
      </c>
      <c r="D452" s="17">
        <f>IF($A452="","",IFERROR(SUMIF(tblMotor[A_Norm],$A452,tblMotor[BeklenenHakedis]),0))</f>
        <v/>
      </c>
      <c r="E452" s="17">
        <f>IF($A452="","",ROUND($D452,2)-ROUND($C452,2))</f>
        <v/>
      </c>
      <c r="F452" s="17">
        <f>IF($A452="","",ABS($E452))</f>
        <v/>
      </c>
      <c r="G452" s="17">
        <f>IF($A452="","",IF($B452=0,"eslesmedi",IF(ROUND($D452,2)=ROUND($C452,2),"eslesti",IF(ABS(ROUND($D452,2)-ROUND($C452,2))&lt;=toleransKurus,"tolerans_icinde","tutar_farki"))))</f>
        <v/>
      </c>
      <c r="H452" s="17">
        <f>IF($A452="","",IF($B452&gt;0,"BIRINCIL",IF(COUNTIF(tblAnahtarB[IkincilB],'ANAHTAR'!$D452)&gt;0,"IKINCIL","YOK")))</f>
        <v/>
      </c>
      <c r="I452" s="17">
        <f>IF($A452="","",'ANAHTAR'!$F452)</f>
        <v/>
      </c>
      <c r="J452" s="17">
        <f>IF(OR($A452="",$D452=0),0,$F452/ABS($D452))</f>
        <v/>
      </c>
      <c r="K452" s="17">
        <f>IF($A452="","",ROUND($D452,2))</f>
        <v/>
      </c>
      <c r="L452" s="17">
        <f>IF($A452="","",ROUND($C452,2))</f>
        <v/>
      </c>
      <c r="M452" s="17">
        <f>IF($A452="","",IF($F452&lt;=toleransKurus,1,0))</f>
        <v/>
      </c>
      <c r="N452" s="17">
        <f>IF($A452="","",IF($F452&gt;tyk_esikFark,1,0))</f>
        <v/>
      </c>
      <c r="O452" s="17">
        <f>IF($A452="","",IFERROR(SUMIF(tblMotor[A_Norm],$A452,tblMotor[NetKar]),0))</f>
        <v/>
      </c>
      <c r="P452" s="17">
        <f>IF($A452="","",$B452+$M452+$N452)</f>
        <v/>
      </c>
    </row>
    <row r="453">
      <c r="A453" s="17">
        <f>IF('ANAHTAR'!$B453="","",'ANAHTAR'!$B453)</f>
        <v/>
      </c>
      <c r="B453" s="17">
        <f>IF($A453="","",COUNTIF(tblAnahtarB[NormB],$A453))</f>
        <v/>
      </c>
      <c r="C453" s="17">
        <f>IF($A453="","",IFERROR(SUMIF(tblAnahtarB[NormB],$A453,tblHakedis[GercekHakedis]),0))</f>
        <v/>
      </c>
      <c r="D453" s="17">
        <f>IF($A453="","",IFERROR(SUMIF(tblMotor[A_Norm],$A453,tblMotor[BeklenenHakedis]),0))</f>
        <v/>
      </c>
      <c r="E453" s="17">
        <f>IF($A453="","",ROUND($D453,2)-ROUND($C453,2))</f>
        <v/>
      </c>
      <c r="F453" s="17">
        <f>IF($A453="","",ABS($E453))</f>
        <v/>
      </c>
      <c r="G453" s="17">
        <f>IF($A453="","",IF($B453=0,"eslesmedi",IF(ROUND($D453,2)=ROUND($C453,2),"eslesti",IF(ABS(ROUND($D453,2)-ROUND($C453,2))&lt;=toleransKurus,"tolerans_icinde","tutar_farki"))))</f>
        <v/>
      </c>
      <c r="H453" s="17">
        <f>IF($A453="","",IF($B453&gt;0,"BIRINCIL",IF(COUNTIF(tblAnahtarB[IkincilB],'ANAHTAR'!$D453)&gt;0,"IKINCIL","YOK")))</f>
        <v/>
      </c>
      <c r="I453" s="17">
        <f>IF($A453="","",'ANAHTAR'!$F453)</f>
        <v/>
      </c>
      <c r="J453" s="17">
        <f>IF(OR($A453="",$D453=0),0,$F453/ABS($D453))</f>
        <v/>
      </c>
      <c r="K453" s="17">
        <f>IF($A453="","",ROUND($D453,2))</f>
        <v/>
      </c>
      <c r="L453" s="17">
        <f>IF($A453="","",ROUND($C453,2))</f>
        <v/>
      </c>
      <c r="M453" s="17">
        <f>IF($A453="","",IF($F453&lt;=toleransKurus,1,0))</f>
        <v/>
      </c>
      <c r="N453" s="17">
        <f>IF($A453="","",IF($F453&gt;tyk_esikFark,1,0))</f>
        <v/>
      </c>
      <c r="O453" s="17">
        <f>IF($A453="","",IFERROR(SUMIF(tblMotor[A_Norm],$A453,tblMotor[NetKar]),0))</f>
        <v/>
      </c>
      <c r="P453" s="17">
        <f>IF($A453="","",$B453+$M453+$N453)</f>
        <v/>
      </c>
    </row>
    <row r="454">
      <c r="A454" s="17">
        <f>IF('ANAHTAR'!$B454="","",'ANAHTAR'!$B454)</f>
        <v/>
      </c>
      <c r="B454" s="17">
        <f>IF($A454="","",COUNTIF(tblAnahtarB[NormB],$A454))</f>
        <v/>
      </c>
      <c r="C454" s="17">
        <f>IF($A454="","",IFERROR(SUMIF(tblAnahtarB[NormB],$A454,tblHakedis[GercekHakedis]),0))</f>
        <v/>
      </c>
      <c r="D454" s="17">
        <f>IF($A454="","",IFERROR(SUMIF(tblMotor[A_Norm],$A454,tblMotor[BeklenenHakedis]),0))</f>
        <v/>
      </c>
      <c r="E454" s="17">
        <f>IF($A454="","",ROUND($D454,2)-ROUND($C454,2))</f>
        <v/>
      </c>
      <c r="F454" s="17">
        <f>IF($A454="","",ABS($E454))</f>
        <v/>
      </c>
      <c r="G454" s="17">
        <f>IF($A454="","",IF($B454=0,"eslesmedi",IF(ROUND($D454,2)=ROUND($C454,2),"eslesti",IF(ABS(ROUND($D454,2)-ROUND($C454,2))&lt;=toleransKurus,"tolerans_icinde","tutar_farki"))))</f>
        <v/>
      </c>
      <c r="H454" s="17">
        <f>IF($A454="","",IF($B454&gt;0,"BIRINCIL",IF(COUNTIF(tblAnahtarB[IkincilB],'ANAHTAR'!$D454)&gt;0,"IKINCIL","YOK")))</f>
        <v/>
      </c>
      <c r="I454" s="17">
        <f>IF($A454="","",'ANAHTAR'!$F454)</f>
        <v/>
      </c>
      <c r="J454" s="17">
        <f>IF(OR($A454="",$D454=0),0,$F454/ABS($D454))</f>
        <v/>
      </c>
      <c r="K454" s="17">
        <f>IF($A454="","",ROUND($D454,2))</f>
        <v/>
      </c>
      <c r="L454" s="17">
        <f>IF($A454="","",ROUND($C454,2))</f>
        <v/>
      </c>
      <c r="M454" s="17">
        <f>IF($A454="","",IF($F454&lt;=toleransKurus,1,0))</f>
        <v/>
      </c>
      <c r="N454" s="17">
        <f>IF($A454="","",IF($F454&gt;tyk_esikFark,1,0))</f>
        <v/>
      </c>
      <c r="O454" s="17">
        <f>IF($A454="","",IFERROR(SUMIF(tblMotor[A_Norm],$A454,tblMotor[NetKar]),0))</f>
        <v/>
      </c>
      <c r="P454" s="17">
        <f>IF($A454="","",$B454+$M454+$N454)</f>
        <v/>
      </c>
    </row>
    <row r="455">
      <c r="A455" s="17">
        <f>IF('ANAHTAR'!$B455="","",'ANAHTAR'!$B455)</f>
        <v/>
      </c>
      <c r="B455" s="17">
        <f>IF($A455="","",COUNTIF(tblAnahtarB[NormB],$A455))</f>
        <v/>
      </c>
      <c r="C455" s="17">
        <f>IF($A455="","",IFERROR(SUMIF(tblAnahtarB[NormB],$A455,tblHakedis[GercekHakedis]),0))</f>
        <v/>
      </c>
      <c r="D455" s="17">
        <f>IF($A455="","",IFERROR(SUMIF(tblMotor[A_Norm],$A455,tblMotor[BeklenenHakedis]),0))</f>
        <v/>
      </c>
      <c r="E455" s="17">
        <f>IF($A455="","",ROUND($D455,2)-ROUND($C455,2))</f>
        <v/>
      </c>
      <c r="F455" s="17">
        <f>IF($A455="","",ABS($E455))</f>
        <v/>
      </c>
      <c r="G455" s="17">
        <f>IF($A455="","",IF($B455=0,"eslesmedi",IF(ROUND($D455,2)=ROUND($C455,2),"eslesti",IF(ABS(ROUND($D455,2)-ROUND($C455,2))&lt;=toleransKurus,"tolerans_icinde","tutar_farki"))))</f>
        <v/>
      </c>
      <c r="H455" s="17">
        <f>IF($A455="","",IF($B455&gt;0,"BIRINCIL",IF(COUNTIF(tblAnahtarB[IkincilB],'ANAHTAR'!$D455)&gt;0,"IKINCIL","YOK")))</f>
        <v/>
      </c>
      <c r="I455" s="17">
        <f>IF($A455="","",'ANAHTAR'!$F455)</f>
        <v/>
      </c>
      <c r="J455" s="17">
        <f>IF(OR($A455="",$D455=0),0,$F455/ABS($D455))</f>
        <v/>
      </c>
      <c r="K455" s="17">
        <f>IF($A455="","",ROUND($D455,2))</f>
        <v/>
      </c>
      <c r="L455" s="17">
        <f>IF($A455="","",ROUND($C455,2))</f>
        <v/>
      </c>
      <c r="M455" s="17">
        <f>IF($A455="","",IF($F455&lt;=toleransKurus,1,0))</f>
        <v/>
      </c>
      <c r="N455" s="17">
        <f>IF($A455="","",IF($F455&gt;tyk_esikFark,1,0))</f>
        <v/>
      </c>
      <c r="O455" s="17">
        <f>IF($A455="","",IFERROR(SUMIF(tblMotor[A_Norm],$A455,tblMotor[NetKar]),0))</f>
        <v/>
      </c>
      <c r="P455" s="17">
        <f>IF($A455="","",$B455+$M455+$N455)</f>
        <v/>
      </c>
    </row>
    <row r="456">
      <c r="A456" s="17">
        <f>IF('ANAHTAR'!$B456="","",'ANAHTAR'!$B456)</f>
        <v/>
      </c>
      <c r="B456" s="17">
        <f>IF($A456="","",COUNTIF(tblAnahtarB[NormB],$A456))</f>
        <v/>
      </c>
      <c r="C456" s="17">
        <f>IF($A456="","",IFERROR(SUMIF(tblAnahtarB[NormB],$A456,tblHakedis[GercekHakedis]),0))</f>
        <v/>
      </c>
      <c r="D456" s="17">
        <f>IF($A456="","",IFERROR(SUMIF(tblMotor[A_Norm],$A456,tblMotor[BeklenenHakedis]),0))</f>
        <v/>
      </c>
      <c r="E456" s="17">
        <f>IF($A456="","",ROUND($D456,2)-ROUND($C456,2))</f>
        <v/>
      </c>
      <c r="F456" s="17">
        <f>IF($A456="","",ABS($E456))</f>
        <v/>
      </c>
      <c r="G456" s="17">
        <f>IF($A456="","",IF($B456=0,"eslesmedi",IF(ROUND($D456,2)=ROUND($C456,2),"eslesti",IF(ABS(ROUND($D456,2)-ROUND($C456,2))&lt;=toleransKurus,"tolerans_icinde","tutar_farki"))))</f>
        <v/>
      </c>
      <c r="H456" s="17">
        <f>IF($A456="","",IF($B456&gt;0,"BIRINCIL",IF(COUNTIF(tblAnahtarB[IkincilB],'ANAHTAR'!$D456)&gt;0,"IKINCIL","YOK")))</f>
        <v/>
      </c>
      <c r="I456" s="17">
        <f>IF($A456="","",'ANAHTAR'!$F456)</f>
        <v/>
      </c>
      <c r="J456" s="17">
        <f>IF(OR($A456="",$D456=0),0,$F456/ABS($D456))</f>
        <v/>
      </c>
      <c r="K456" s="17">
        <f>IF($A456="","",ROUND($D456,2))</f>
        <v/>
      </c>
      <c r="L456" s="17">
        <f>IF($A456="","",ROUND($C456,2))</f>
        <v/>
      </c>
      <c r="M456" s="17">
        <f>IF($A456="","",IF($F456&lt;=toleransKurus,1,0))</f>
        <v/>
      </c>
      <c r="N456" s="17">
        <f>IF($A456="","",IF($F456&gt;tyk_esikFark,1,0))</f>
        <v/>
      </c>
      <c r="O456" s="17">
        <f>IF($A456="","",IFERROR(SUMIF(tblMotor[A_Norm],$A456,tblMotor[NetKar]),0))</f>
        <v/>
      </c>
      <c r="P456" s="17">
        <f>IF($A456="","",$B456+$M456+$N456)</f>
        <v/>
      </c>
    </row>
    <row r="457">
      <c r="A457" s="17">
        <f>IF('ANAHTAR'!$B457="","",'ANAHTAR'!$B457)</f>
        <v/>
      </c>
      <c r="B457" s="17">
        <f>IF($A457="","",COUNTIF(tblAnahtarB[NormB],$A457))</f>
        <v/>
      </c>
      <c r="C457" s="17">
        <f>IF($A457="","",IFERROR(SUMIF(tblAnahtarB[NormB],$A457,tblHakedis[GercekHakedis]),0))</f>
        <v/>
      </c>
      <c r="D457" s="17">
        <f>IF($A457="","",IFERROR(SUMIF(tblMotor[A_Norm],$A457,tblMotor[BeklenenHakedis]),0))</f>
        <v/>
      </c>
      <c r="E457" s="17">
        <f>IF($A457="","",ROUND($D457,2)-ROUND($C457,2))</f>
        <v/>
      </c>
      <c r="F457" s="17">
        <f>IF($A457="","",ABS($E457))</f>
        <v/>
      </c>
      <c r="G457" s="17">
        <f>IF($A457="","",IF($B457=0,"eslesmedi",IF(ROUND($D457,2)=ROUND($C457,2),"eslesti",IF(ABS(ROUND($D457,2)-ROUND($C457,2))&lt;=toleransKurus,"tolerans_icinde","tutar_farki"))))</f>
        <v/>
      </c>
      <c r="H457" s="17">
        <f>IF($A457="","",IF($B457&gt;0,"BIRINCIL",IF(COUNTIF(tblAnahtarB[IkincilB],'ANAHTAR'!$D457)&gt;0,"IKINCIL","YOK")))</f>
        <v/>
      </c>
      <c r="I457" s="17">
        <f>IF($A457="","",'ANAHTAR'!$F457)</f>
        <v/>
      </c>
      <c r="J457" s="17">
        <f>IF(OR($A457="",$D457=0),0,$F457/ABS($D457))</f>
        <v/>
      </c>
      <c r="K457" s="17">
        <f>IF($A457="","",ROUND($D457,2))</f>
        <v/>
      </c>
      <c r="L457" s="17">
        <f>IF($A457="","",ROUND($C457,2))</f>
        <v/>
      </c>
      <c r="M457" s="17">
        <f>IF($A457="","",IF($F457&lt;=toleransKurus,1,0))</f>
        <v/>
      </c>
      <c r="N457" s="17">
        <f>IF($A457="","",IF($F457&gt;tyk_esikFark,1,0))</f>
        <v/>
      </c>
      <c r="O457" s="17">
        <f>IF($A457="","",IFERROR(SUMIF(tblMotor[A_Norm],$A457,tblMotor[NetKar]),0))</f>
        <v/>
      </c>
      <c r="P457" s="17">
        <f>IF($A457="","",$B457+$M457+$N457)</f>
        <v/>
      </c>
    </row>
    <row r="458">
      <c r="A458" s="17">
        <f>IF('ANAHTAR'!$B458="","",'ANAHTAR'!$B458)</f>
        <v/>
      </c>
      <c r="B458" s="17">
        <f>IF($A458="","",COUNTIF(tblAnahtarB[NormB],$A458))</f>
        <v/>
      </c>
      <c r="C458" s="17">
        <f>IF($A458="","",IFERROR(SUMIF(tblAnahtarB[NormB],$A458,tblHakedis[GercekHakedis]),0))</f>
        <v/>
      </c>
      <c r="D458" s="17">
        <f>IF($A458="","",IFERROR(SUMIF(tblMotor[A_Norm],$A458,tblMotor[BeklenenHakedis]),0))</f>
        <v/>
      </c>
      <c r="E458" s="17">
        <f>IF($A458="","",ROUND($D458,2)-ROUND($C458,2))</f>
        <v/>
      </c>
      <c r="F458" s="17">
        <f>IF($A458="","",ABS($E458))</f>
        <v/>
      </c>
      <c r="G458" s="17">
        <f>IF($A458="","",IF($B458=0,"eslesmedi",IF(ROUND($D458,2)=ROUND($C458,2),"eslesti",IF(ABS(ROUND($D458,2)-ROUND($C458,2))&lt;=toleransKurus,"tolerans_icinde","tutar_farki"))))</f>
        <v/>
      </c>
      <c r="H458" s="17">
        <f>IF($A458="","",IF($B458&gt;0,"BIRINCIL",IF(COUNTIF(tblAnahtarB[IkincilB],'ANAHTAR'!$D458)&gt;0,"IKINCIL","YOK")))</f>
        <v/>
      </c>
      <c r="I458" s="17">
        <f>IF($A458="","",'ANAHTAR'!$F458)</f>
        <v/>
      </c>
      <c r="J458" s="17">
        <f>IF(OR($A458="",$D458=0),0,$F458/ABS($D458))</f>
        <v/>
      </c>
      <c r="K458" s="17">
        <f>IF($A458="","",ROUND($D458,2))</f>
        <v/>
      </c>
      <c r="L458" s="17">
        <f>IF($A458="","",ROUND($C458,2))</f>
        <v/>
      </c>
      <c r="M458" s="17">
        <f>IF($A458="","",IF($F458&lt;=toleransKurus,1,0))</f>
        <v/>
      </c>
      <c r="N458" s="17">
        <f>IF($A458="","",IF($F458&gt;tyk_esikFark,1,0))</f>
        <v/>
      </c>
      <c r="O458" s="17">
        <f>IF($A458="","",IFERROR(SUMIF(tblMotor[A_Norm],$A458,tblMotor[NetKar]),0))</f>
        <v/>
      </c>
      <c r="P458" s="17">
        <f>IF($A458="","",$B458+$M458+$N458)</f>
        <v/>
      </c>
    </row>
    <row r="459">
      <c r="A459" s="17">
        <f>IF('ANAHTAR'!$B459="","",'ANAHTAR'!$B459)</f>
        <v/>
      </c>
      <c r="B459" s="17">
        <f>IF($A459="","",COUNTIF(tblAnahtarB[NormB],$A459))</f>
        <v/>
      </c>
      <c r="C459" s="17">
        <f>IF($A459="","",IFERROR(SUMIF(tblAnahtarB[NormB],$A459,tblHakedis[GercekHakedis]),0))</f>
        <v/>
      </c>
      <c r="D459" s="17">
        <f>IF($A459="","",IFERROR(SUMIF(tblMotor[A_Norm],$A459,tblMotor[BeklenenHakedis]),0))</f>
        <v/>
      </c>
      <c r="E459" s="17">
        <f>IF($A459="","",ROUND($D459,2)-ROUND($C459,2))</f>
        <v/>
      </c>
      <c r="F459" s="17">
        <f>IF($A459="","",ABS($E459))</f>
        <v/>
      </c>
      <c r="G459" s="17">
        <f>IF($A459="","",IF($B459=0,"eslesmedi",IF(ROUND($D459,2)=ROUND($C459,2),"eslesti",IF(ABS(ROUND($D459,2)-ROUND($C459,2))&lt;=toleransKurus,"tolerans_icinde","tutar_farki"))))</f>
        <v/>
      </c>
      <c r="H459" s="17">
        <f>IF($A459="","",IF($B459&gt;0,"BIRINCIL",IF(COUNTIF(tblAnahtarB[IkincilB],'ANAHTAR'!$D459)&gt;0,"IKINCIL","YOK")))</f>
        <v/>
      </c>
      <c r="I459" s="17">
        <f>IF($A459="","",'ANAHTAR'!$F459)</f>
        <v/>
      </c>
      <c r="J459" s="17">
        <f>IF(OR($A459="",$D459=0),0,$F459/ABS($D459))</f>
        <v/>
      </c>
      <c r="K459" s="17">
        <f>IF($A459="","",ROUND($D459,2))</f>
        <v/>
      </c>
      <c r="L459" s="17">
        <f>IF($A459="","",ROUND($C459,2))</f>
        <v/>
      </c>
      <c r="M459" s="17">
        <f>IF($A459="","",IF($F459&lt;=toleransKurus,1,0))</f>
        <v/>
      </c>
      <c r="N459" s="17">
        <f>IF($A459="","",IF($F459&gt;tyk_esikFark,1,0))</f>
        <v/>
      </c>
      <c r="O459" s="17">
        <f>IF($A459="","",IFERROR(SUMIF(tblMotor[A_Norm],$A459,tblMotor[NetKar]),0))</f>
        <v/>
      </c>
      <c r="P459" s="17">
        <f>IF($A459="","",$B459+$M459+$N459)</f>
        <v/>
      </c>
    </row>
    <row r="460">
      <c r="A460" s="17">
        <f>IF('ANAHTAR'!$B460="","",'ANAHTAR'!$B460)</f>
        <v/>
      </c>
      <c r="B460" s="17">
        <f>IF($A460="","",COUNTIF(tblAnahtarB[NormB],$A460))</f>
        <v/>
      </c>
      <c r="C460" s="17">
        <f>IF($A460="","",IFERROR(SUMIF(tblAnahtarB[NormB],$A460,tblHakedis[GercekHakedis]),0))</f>
        <v/>
      </c>
      <c r="D460" s="17">
        <f>IF($A460="","",IFERROR(SUMIF(tblMotor[A_Norm],$A460,tblMotor[BeklenenHakedis]),0))</f>
        <v/>
      </c>
      <c r="E460" s="17">
        <f>IF($A460="","",ROUND($D460,2)-ROUND($C460,2))</f>
        <v/>
      </c>
      <c r="F460" s="17">
        <f>IF($A460="","",ABS($E460))</f>
        <v/>
      </c>
      <c r="G460" s="17">
        <f>IF($A460="","",IF($B460=0,"eslesmedi",IF(ROUND($D460,2)=ROUND($C460,2),"eslesti",IF(ABS(ROUND($D460,2)-ROUND($C460,2))&lt;=toleransKurus,"tolerans_icinde","tutar_farki"))))</f>
        <v/>
      </c>
      <c r="H460" s="17">
        <f>IF($A460="","",IF($B460&gt;0,"BIRINCIL",IF(COUNTIF(tblAnahtarB[IkincilB],'ANAHTAR'!$D460)&gt;0,"IKINCIL","YOK")))</f>
        <v/>
      </c>
      <c r="I460" s="17">
        <f>IF($A460="","",'ANAHTAR'!$F460)</f>
        <v/>
      </c>
      <c r="J460" s="17">
        <f>IF(OR($A460="",$D460=0),0,$F460/ABS($D460))</f>
        <v/>
      </c>
      <c r="K460" s="17">
        <f>IF($A460="","",ROUND($D460,2))</f>
        <v/>
      </c>
      <c r="L460" s="17">
        <f>IF($A460="","",ROUND($C460,2))</f>
        <v/>
      </c>
      <c r="M460" s="17">
        <f>IF($A460="","",IF($F460&lt;=toleransKurus,1,0))</f>
        <v/>
      </c>
      <c r="N460" s="17">
        <f>IF($A460="","",IF($F460&gt;tyk_esikFark,1,0))</f>
        <v/>
      </c>
      <c r="O460" s="17">
        <f>IF($A460="","",IFERROR(SUMIF(tblMotor[A_Norm],$A460,tblMotor[NetKar]),0))</f>
        <v/>
      </c>
      <c r="P460" s="17">
        <f>IF($A460="","",$B460+$M460+$N460)</f>
        <v/>
      </c>
    </row>
    <row r="461">
      <c r="A461" s="17">
        <f>IF('ANAHTAR'!$B461="","",'ANAHTAR'!$B461)</f>
        <v/>
      </c>
      <c r="B461" s="17">
        <f>IF($A461="","",COUNTIF(tblAnahtarB[NormB],$A461))</f>
        <v/>
      </c>
      <c r="C461" s="17">
        <f>IF($A461="","",IFERROR(SUMIF(tblAnahtarB[NormB],$A461,tblHakedis[GercekHakedis]),0))</f>
        <v/>
      </c>
      <c r="D461" s="17">
        <f>IF($A461="","",IFERROR(SUMIF(tblMotor[A_Norm],$A461,tblMotor[BeklenenHakedis]),0))</f>
        <v/>
      </c>
      <c r="E461" s="17">
        <f>IF($A461="","",ROUND($D461,2)-ROUND($C461,2))</f>
        <v/>
      </c>
      <c r="F461" s="17">
        <f>IF($A461="","",ABS($E461))</f>
        <v/>
      </c>
      <c r="G461" s="17">
        <f>IF($A461="","",IF($B461=0,"eslesmedi",IF(ROUND($D461,2)=ROUND($C461,2),"eslesti",IF(ABS(ROUND($D461,2)-ROUND($C461,2))&lt;=toleransKurus,"tolerans_icinde","tutar_farki"))))</f>
        <v/>
      </c>
      <c r="H461" s="17">
        <f>IF($A461="","",IF($B461&gt;0,"BIRINCIL",IF(COUNTIF(tblAnahtarB[IkincilB],'ANAHTAR'!$D461)&gt;0,"IKINCIL","YOK")))</f>
        <v/>
      </c>
      <c r="I461" s="17">
        <f>IF($A461="","",'ANAHTAR'!$F461)</f>
        <v/>
      </c>
      <c r="J461" s="17">
        <f>IF(OR($A461="",$D461=0),0,$F461/ABS($D461))</f>
        <v/>
      </c>
      <c r="K461" s="17">
        <f>IF($A461="","",ROUND($D461,2))</f>
        <v/>
      </c>
      <c r="L461" s="17">
        <f>IF($A461="","",ROUND($C461,2))</f>
        <v/>
      </c>
      <c r="M461" s="17">
        <f>IF($A461="","",IF($F461&lt;=toleransKurus,1,0))</f>
        <v/>
      </c>
      <c r="N461" s="17">
        <f>IF($A461="","",IF($F461&gt;tyk_esikFark,1,0))</f>
        <v/>
      </c>
      <c r="O461" s="17">
        <f>IF($A461="","",IFERROR(SUMIF(tblMotor[A_Norm],$A461,tblMotor[NetKar]),0))</f>
        <v/>
      </c>
      <c r="P461" s="17">
        <f>IF($A461="","",$B461+$M461+$N461)</f>
        <v/>
      </c>
    </row>
    <row r="462">
      <c r="A462" s="17">
        <f>IF('ANAHTAR'!$B462="","",'ANAHTAR'!$B462)</f>
        <v/>
      </c>
      <c r="B462" s="17">
        <f>IF($A462="","",COUNTIF(tblAnahtarB[NormB],$A462))</f>
        <v/>
      </c>
      <c r="C462" s="17">
        <f>IF($A462="","",IFERROR(SUMIF(tblAnahtarB[NormB],$A462,tblHakedis[GercekHakedis]),0))</f>
        <v/>
      </c>
      <c r="D462" s="17">
        <f>IF($A462="","",IFERROR(SUMIF(tblMotor[A_Norm],$A462,tblMotor[BeklenenHakedis]),0))</f>
        <v/>
      </c>
      <c r="E462" s="17">
        <f>IF($A462="","",ROUND($D462,2)-ROUND($C462,2))</f>
        <v/>
      </c>
      <c r="F462" s="17">
        <f>IF($A462="","",ABS($E462))</f>
        <v/>
      </c>
      <c r="G462" s="17">
        <f>IF($A462="","",IF($B462=0,"eslesmedi",IF(ROUND($D462,2)=ROUND($C462,2),"eslesti",IF(ABS(ROUND($D462,2)-ROUND($C462,2))&lt;=toleransKurus,"tolerans_icinde","tutar_farki"))))</f>
        <v/>
      </c>
      <c r="H462" s="17">
        <f>IF($A462="","",IF($B462&gt;0,"BIRINCIL",IF(COUNTIF(tblAnahtarB[IkincilB],'ANAHTAR'!$D462)&gt;0,"IKINCIL","YOK")))</f>
        <v/>
      </c>
      <c r="I462" s="17">
        <f>IF($A462="","",'ANAHTAR'!$F462)</f>
        <v/>
      </c>
      <c r="J462" s="17">
        <f>IF(OR($A462="",$D462=0),0,$F462/ABS($D462))</f>
        <v/>
      </c>
      <c r="K462" s="17">
        <f>IF($A462="","",ROUND($D462,2))</f>
        <v/>
      </c>
      <c r="L462" s="17">
        <f>IF($A462="","",ROUND($C462,2))</f>
        <v/>
      </c>
      <c r="M462" s="17">
        <f>IF($A462="","",IF($F462&lt;=toleransKurus,1,0))</f>
        <v/>
      </c>
      <c r="N462" s="17">
        <f>IF($A462="","",IF($F462&gt;tyk_esikFark,1,0))</f>
        <v/>
      </c>
      <c r="O462" s="17">
        <f>IF($A462="","",IFERROR(SUMIF(tblMotor[A_Norm],$A462,tblMotor[NetKar]),0))</f>
        <v/>
      </c>
      <c r="P462" s="17">
        <f>IF($A462="","",$B462+$M462+$N462)</f>
        <v/>
      </c>
    </row>
    <row r="463">
      <c r="A463" s="17">
        <f>IF('ANAHTAR'!$B463="","",'ANAHTAR'!$B463)</f>
        <v/>
      </c>
      <c r="B463" s="17">
        <f>IF($A463="","",COUNTIF(tblAnahtarB[NormB],$A463))</f>
        <v/>
      </c>
      <c r="C463" s="17">
        <f>IF($A463="","",IFERROR(SUMIF(tblAnahtarB[NormB],$A463,tblHakedis[GercekHakedis]),0))</f>
        <v/>
      </c>
      <c r="D463" s="17">
        <f>IF($A463="","",IFERROR(SUMIF(tblMotor[A_Norm],$A463,tblMotor[BeklenenHakedis]),0))</f>
        <v/>
      </c>
      <c r="E463" s="17">
        <f>IF($A463="","",ROUND($D463,2)-ROUND($C463,2))</f>
        <v/>
      </c>
      <c r="F463" s="17">
        <f>IF($A463="","",ABS($E463))</f>
        <v/>
      </c>
      <c r="G463" s="17">
        <f>IF($A463="","",IF($B463=0,"eslesmedi",IF(ROUND($D463,2)=ROUND($C463,2),"eslesti",IF(ABS(ROUND($D463,2)-ROUND($C463,2))&lt;=toleransKurus,"tolerans_icinde","tutar_farki"))))</f>
        <v/>
      </c>
      <c r="H463" s="17">
        <f>IF($A463="","",IF($B463&gt;0,"BIRINCIL",IF(COUNTIF(tblAnahtarB[IkincilB],'ANAHTAR'!$D463)&gt;0,"IKINCIL","YOK")))</f>
        <v/>
      </c>
      <c r="I463" s="17">
        <f>IF($A463="","",'ANAHTAR'!$F463)</f>
        <v/>
      </c>
      <c r="J463" s="17">
        <f>IF(OR($A463="",$D463=0),0,$F463/ABS($D463))</f>
        <v/>
      </c>
      <c r="K463" s="17">
        <f>IF($A463="","",ROUND($D463,2))</f>
        <v/>
      </c>
      <c r="L463" s="17">
        <f>IF($A463="","",ROUND($C463,2))</f>
        <v/>
      </c>
      <c r="M463" s="17">
        <f>IF($A463="","",IF($F463&lt;=toleransKurus,1,0))</f>
        <v/>
      </c>
      <c r="N463" s="17">
        <f>IF($A463="","",IF($F463&gt;tyk_esikFark,1,0))</f>
        <v/>
      </c>
      <c r="O463" s="17">
        <f>IF($A463="","",IFERROR(SUMIF(tblMotor[A_Norm],$A463,tblMotor[NetKar]),0))</f>
        <v/>
      </c>
      <c r="P463" s="17">
        <f>IF($A463="","",$B463+$M463+$N463)</f>
        <v/>
      </c>
    </row>
    <row r="464">
      <c r="A464" s="17">
        <f>IF('ANAHTAR'!$B464="","",'ANAHTAR'!$B464)</f>
        <v/>
      </c>
      <c r="B464" s="17">
        <f>IF($A464="","",COUNTIF(tblAnahtarB[NormB],$A464))</f>
        <v/>
      </c>
      <c r="C464" s="17">
        <f>IF($A464="","",IFERROR(SUMIF(tblAnahtarB[NormB],$A464,tblHakedis[GercekHakedis]),0))</f>
        <v/>
      </c>
      <c r="D464" s="17">
        <f>IF($A464="","",IFERROR(SUMIF(tblMotor[A_Norm],$A464,tblMotor[BeklenenHakedis]),0))</f>
        <v/>
      </c>
      <c r="E464" s="17">
        <f>IF($A464="","",ROUND($D464,2)-ROUND($C464,2))</f>
        <v/>
      </c>
      <c r="F464" s="17">
        <f>IF($A464="","",ABS($E464))</f>
        <v/>
      </c>
      <c r="G464" s="17">
        <f>IF($A464="","",IF($B464=0,"eslesmedi",IF(ROUND($D464,2)=ROUND($C464,2),"eslesti",IF(ABS(ROUND($D464,2)-ROUND($C464,2))&lt;=toleransKurus,"tolerans_icinde","tutar_farki"))))</f>
        <v/>
      </c>
      <c r="H464" s="17">
        <f>IF($A464="","",IF($B464&gt;0,"BIRINCIL",IF(COUNTIF(tblAnahtarB[IkincilB],'ANAHTAR'!$D464)&gt;0,"IKINCIL","YOK")))</f>
        <v/>
      </c>
      <c r="I464" s="17">
        <f>IF($A464="","",'ANAHTAR'!$F464)</f>
        <v/>
      </c>
      <c r="J464" s="17">
        <f>IF(OR($A464="",$D464=0),0,$F464/ABS($D464))</f>
        <v/>
      </c>
      <c r="K464" s="17">
        <f>IF($A464="","",ROUND($D464,2))</f>
        <v/>
      </c>
      <c r="L464" s="17">
        <f>IF($A464="","",ROUND($C464,2))</f>
        <v/>
      </c>
      <c r="M464" s="17">
        <f>IF($A464="","",IF($F464&lt;=toleransKurus,1,0))</f>
        <v/>
      </c>
      <c r="N464" s="17">
        <f>IF($A464="","",IF($F464&gt;tyk_esikFark,1,0))</f>
        <v/>
      </c>
      <c r="O464" s="17">
        <f>IF($A464="","",IFERROR(SUMIF(tblMotor[A_Norm],$A464,tblMotor[NetKar]),0))</f>
        <v/>
      </c>
      <c r="P464" s="17">
        <f>IF($A464="","",$B464+$M464+$N464)</f>
        <v/>
      </c>
    </row>
    <row r="465">
      <c r="A465" s="17">
        <f>IF('ANAHTAR'!$B465="","",'ANAHTAR'!$B465)</f>
        <v/>
      </c>
      <c r="B465" s="17">
        <f>IF($A465="","",COUNTIF(tblAnahtarB[NormB],$A465))</f>
        <v/>
      </c>
      <c r="C465" s="17">
        <f>IF($A465="","",IFERROR(SUMIF(tblAnahtarB[NormB],$A465,tblHakedis[GercekHakedis]),0))</f>
        <v/>
      </c>
      <c r="D465" s="17">
        <f>IF($A465="","",IFERROR(SUMIF(tblMotor[A_Norm],$A465,tblMotor[BeklenenHakedis]),0))</f>
        <v/>
      </c>
      <c r="E465" s="17">
        <f>IF($A465="","",ROUND($D465,2)-ROUND($C465,2))</f>
        <v/>
      </c>
      <c r="F465" s="17">
        <f>IF($A465="","",ABS($E465))</f>
        <v/>
      </c>
      <c r="G465" s="17">
        <f>IF($A465="","",IF($B465=0,"eslesmedi",IF(ROUND($D465,2)=ROUND($C465,2),"eslesti",IF(ABS(ROUND($D465,2)-ROUND($C465,2))&lt;=toleransKurus,"tolerans_icinde","tutar_farki"))))</f>
        <v/>
      </c>
      <c r="H465" s="17">
        <f>IF($A465="","",IF($B465&gt;0,"BIRINCIL",IF(COUNTIF(tblAnahtarB[IkincilB],'ANAHTAR'!$D465)&gt;0,"IKINCIL","YOK")))</f>
        <v/>
      </c>
      <c r="I465" s="17">
        <f>IF($A465="","",'ANAHTAR'!$F465)</f>
        <v/>
      </c>
      <c r="J465" s="17">
        <f>IF(OR($A465="",$D465=0),0,$F465/ABS($D465))</f>
        <v/>
      </c>
      <c r="K465" s="17">
        <f>IF($A465="","",ROUND($D465,2))</f>
        <v/>
      </c>
      <c r="L465" s="17">
        <f>IF($A465="","",ROUND($C465,2))</f>
        <v/>
      </c>
      <c r="M465" s="17">
        <f>IF($A465="","",IF($F465&lt;=toleransKurus,1,0))</f>
        <v/>
      </c>
      <c r="N465" s="17">
        <f>IF($A465="","",IF($F465&gt;tyk_esikFark,1,0))</f>
        <v/>
      </c>
      <c r="O465" s="17">
        <f>IF($A465="","",IFERROR(SUMIF(tblMotor[A_Norm],$A465,tblMotor[NetKar]),0))</f>
        <v/>
      </c>
      <c r="P465" s="17">
        <f>IF($A465="","",$B465+$M465+$N465)</f>
        <v/>
      </c>
    </row>
    <row r="466">
      <c r="A466" s="17">
        <f>IF('ANAHTAR'!$B466="","",'ANAHTAR'!$B466)</f>
        <v/>
      </c>
      <c r="B466" s="17">
        <f>IF($A466="","",COUNTIF(tblAnahtarB[NormB],$A466))</f>
        <v/>
      </c>
      <c r="C466" s="17">
        <f>IF($A466="","",IFERROR(SUMIF(tblAnahtarB[NormB],$A466,tblHakedis[GercekHakedis]),0))</f>
        <v/>
      </c>
      <c r="D466" s="17">
        <f>IF($A466="","",IFERROR(SUMIF(tblMotor[A_Norm],$A466,tblMotor[BeklenenHakedis]),0))</f>
        <v/>
      </c>
      <c r="E466" s="17">
        <f>IF($A466="","",ROUND($D466,2)-ROUND($C466,2))</f>
        <v/>
      </c>
      <c r="F466" s="17">
        <f>IF($A466="","",ABS($E466))</f>
        <v/>
      </c>
      <c r="G466" s="17">
        <f>IF($A466="","",IF($B466=0,"eslesmedi",IF(ROUND($D466,2)=ROUND($C466,2),"eslesti",IF(ABS(ROUND($D466,2)-ROUND($C466,2))&lt;=toleransKurus,"tolerans_icinde","tutar_farki"))))</f>
        <v/>
      </c>
      <c r="H466" s="17">
        <f>IF($A466="","",IF($B466&gt;0,"BIRINCIL",IF(COUNTIF(tblAnahtarB[IkincilB],'ANAHTAR'!$D466)&gt;0,"IKINCIL","YOK")))</f>
        <v/>
      </c>
      <c r="I466" s="17">
        <f>IF($A466="","",'ANAHTAR'!$F466)</f>
        <v/>
      </c>
      <c r="J466" s="17">
        <f>IF(OR($A466="",$D466=0),0,$F466/ABS($D466))</f>
        <v/>
      </c>
      <c r="K466" s="17">
        <f>IF($A466="","",ROUND($D466,2))</f>
        <v/>
      </c>
      <c r="L466" s="17">
        <f>IF($A466="","",ROUND($C466,2))</f>
        <v/>
      </c>
      <c r="M466" s="17">
        <f>IF($A466="","",IF($F466&lt;=toleransKurus,1,0))</f>
        <v/>
      </c>
      <c r="N466" s="17">
        <f>IF($A466="","",IF($F466&gt;tyk_esikFark,1,0))</f>
        <v/>
      </c>
      <c r="O466" s="17">
        <f>IF($A466="","",IFERROR(SUMIF(tblMotor[A_Norm],$A466,tblMotor[NetKar]),0))</f>
        <v/>
      </c>
      <c r="P466" s="17">
        <f>IF($A466="","",$B466+$M466+$N466)</f>
        <v/>
      </c>
    </row>
    <row r="467">
      <c r="A467" s="17">
        <f>IF('ANAHTAR'!$B467="","",'ANAHTAR'!$B467)</f>
        <v/>
      </c>
      <c r="B467" s="17">
        <f>IF($A467="","",COUNTIF(tblAnahtarB[NormB],$A467))</f>
        <v/>
      </c>
      <c r="C467" s="17">
        <f>IF($A467="","",IFERROR(SUMIF(tblAnahtarB[NormB],$A467,tblHakedis[GercekHakedis]),0))</f>
        <v/>
      </c>
      <c r="D467" s="17">
        <f>IF($A467="","",IFERROR(SUMIF(tblMotor[A_Norm],$A467,tblMotor[BeklenenHakedis]),0))</f>
        <v/>
      </c>
      <c r="E467" s="17">
        <f>IF($A467="","",ROUND($D467,2)-ROUND($C467,2))</f>
        <v/>
      </c>
      <c r="F467" s="17">
        <f>IF($A467="","",ABS($E467))</f>
        <v/>
      </c>
      <c r="G467" s="17">
        <f>IF($A467="","",IF($B467=0,"eslesmedi",IF(ROUND($D467,2)=ROUND($C467,2),"eslesti",IF(ABS(ROUND($D467,2)-ROUND($C467,2))&lt;=toleransKurus,"tolerans_icinde","tutar_farki"))))</f>
        <v/>
      </c>
      <c r="H467" s="17">
        <f>IF($A467="","",IF($B467&gt;0,"BIRINCIL",IF(COUNTIF(tblAnahtarB[IkincilB],'ANAHTAR'!$D467)&gt;0,"IKINCIL","YOK")))</f>
        <v/>
      </c>
      <c r="I467" s="17">
        <f>IF($A467="","",'ANAHTAR'!$F467)</f>
        <v/>
      </c>
      <c r="J467" s="17">
        <f>IF(OR($A467="",$D467=0),0,$F467/ABS($D467))</f>
        <v/>
      </c>
      <c r="K467" s="17">
        <f>IF($A467="","",ROUND($D467,2))</f>
        <v/>
      </c>
      <c r="L467" s="17">
        <f>IF($A467="","",ROUND($C467,2))</f>
        <v/>
      </c>
      <c r="M467" s="17">
        <f>IF($A467="","",IF($F467&lt;=toleransKurus,1,0))</f>
        <v/>
      </c>
      <c r="N467" s="17">
        <f>IF($A467="","",IF($F467&gt;tyk_esikFark,1,0))</f>
        <v/>
      </c>
      <c r="O467" s="17">
        <f>IF($A467="","",IFERROR(SUMIF(tblMotor[A_Norm],$A467,tblMotor[NetKar]),0))</f>
        <v/>
      </c>
      <c r="P467" s="17">
        <f>IF($A467="","",$B467+$M467+$N467)</f>
        <v/>
      </c>
    </row>
    <row r="468">
      <c r="A468" s="17">
        <f>IF('ANAHTAR'!$B468="","",'ANAHTAR'!$B468)</f>
        <v/>
      </c>
      <c r="B468" s="17">
        <f>IF($A468="","",COUNTIF(tblAnahtarB[NormB],$A468))</f>
        <v/>
      </c>
      <c r="C468" s="17">
        <f>IF($A468="","",IFERROR(SUMIF(tblAnahtarB[NormB],$A468,tblHakedis[GercekHakedis]),0))</f>
        <v/>
      </c>
      <c r="D468" s="17">
        <f>IF($A468="","",IFERROR(SUMIF(tblMotor[A_Norm],$A468,tblMotor[BeklenenHakedis]),0))</f>
        <v/>
      </c>
      <c r="E468" s="17">
        <f>IF($A468="","",ROUND($D468,2)-ROUND($C468,2))</f>
        <v/>
      </c>
      <c r="F468" s="17">
        <f>IF($A468="","",ABS($E468))</f>
        <v/>
      </c>
      <c r="G468" s="17">
        <f>IF($A468="","",IF($B468=0,"eslesmedi",IF(ROUND($D468,2)=ROUND($C468,2),"eslesti",IF(ABS(ROUND($D468,2)-ROUND($C468,2))&lt;=toleransKurus,"tolerans_icinde","tutar_farki"))))</f>
        <v/>
      </c>
      <c r="H468" s="17">
        <f>IF($A468="","",IF($B468&gt;0,"BIRINCIL",IF(COUNTIF(tblAnahtarB[IkincilB],'ANAHTAR'!$D468)&gt;0,"IKINCIL","YOK")))</f>
        <v/>
      </c>
      <c r="I468" s="17">
        <f>IF($A468="","",'ANAHTAR'!$F468)</f>
        <v/>
      </c>
      <c r="J468" s="17">
        <f>IF(OR($A468="",$D468=0),0,$F468/ABS($D468))</f>
        <v/>
      </c>
      <c r="K468" s="17">
        <f>IF($A468="","",ROUND($D468,2))</f>
        <v/>
      </c>
      <c r="L468" s="17">
        <f>IF($A468="","",ROUND($C468,2))</f>
        <v/>
      </c>
      <c r="M468" s="17">
        <f>IF($A468="","",IF($F468&lt;=toleransKurus,1,0))</f>
        <v/>
      </c>
      <c r="N468" s="17">
        <f>IF($A468="","",IF($F468&gt;tyk_esikFark,1,0))</f>
        <v/>
      </c>
      <c r="O468" s="17">
        <f>IF($A468="","",IFERROR(SUMIF(tblMotor[A_Norm],$A468,tblMotor[NetKar]),0))</f>
        <v/>
      </c>
      <c r="P468" s="17">
        <f>IF($A468="","",$B468+$M468+$N468)</f>
        <v/>
      </c>
    </row>
    <row r="469">
      <c r="A469" s="17">
        <f>IF('ANAHTAR'!$B469="","",'ANAHTAR'!$B469)</f>
        <v/>
      </c>
      <c r="B469" s="17">
        <f>IF($A469="","",COUNTIF(tblAnahtarB[NormB],$A469))</f>
        <v/>
      </c>
      <c r="C469" s="17">
        <f>IF($A469="","",IFERROR(SUMIF(tblAnahtarB[NormB],$A469,tblHakedis[GercekHakedis]),0))</f>
        <v/>
      </c>
      <c r="D469" s="17">
        <f>IF($A469="","",IFERROR(SUMIF(tblMotor[A_Norm],$A469,tblMotor[BeklenenHakedis]),0))</f>
        <v/>
      </c>
      <c r="E469" s="17">
        <f>IF($A469="","",ROUND($D469,2)-ROUND($C469,2))</f>
        <v/>
      </c>
      <c r="F469" s="17">
        <f>IF($A469="","",ABS($E469))</f>
        <v/>
      </c>
      <c r="G469" s="17">
        <f>IF($A469="","",IF($B469=0,"eslesmedi",IF(ROUND($D469,2)=ROUND($C469,2),"eslesti",IF(ABS(ROUND($D469,2)-ROUND($C469,2))&lt;=toleransKurus,"tolerans_icinde","tutar_farki"))))</f>
        <v/>
      </c>
      <c r="H469" s="17">
        <f>IF($A469="","",IF($B469&gt;0,"BIRINCIL",IF(COUNTIF(tblAnahtarB[IkincilB],'ANAHTAR'!$D469)&gt;0,"IKINCIL","YOK")))</f>
        <v/>
      </c>
      <c r="I469" s="17">
        <f>IF($A469="","",'ANAHTAR'!$F469)</f>
        <v/>
      </c>
      <c r="J469" s="17">
        <f>IF(OR($A469="",$D469=0),0,$F469/ABS($D469))</f>
        <v/>
      </c>
      <c r="K469" s="17">
        <f>IF($A469="","",ROUND($D469,2))</f>
        <v/>
      </c>
      <c r="L469" s="17">
        <f>IF($A469="","",ROUND($C469,2))</f>
        <v/>
      </c>
      <c r="M469" s="17">
        <f>IF($A469="","",IF($F469&lt;=toleransKurus,1,0))</f>
        <v/>
      </c>
      <c r="N469" s="17">
        <f>IF($A469="","",IF($F469&gt;tyk_esikFark,1,0))</f>
        <v/>
      </c>
      <c r="O469" s="17">
        <f>IF($A469="","",IFERROR(SUMIF(tblMotor[A_Norm],$A469,tblMotor[NetKar]),0))</f>
        <v/>
      </c>
      <c r="P469" s="17">
        <f>IF($A469="","",$B469+$M469+$N469)</f>
        <v/>
      </c>
    </row>
    <row r="470">
      <c r="A470" s="17">
        <f>IF('ANAHTAR'!$B470="","",'ANAHTAR'!$B470)</f>
        <v/>
      </c>
      <c r="B470" s="17">
        <f>IF($A470="","",COUNTIF(tblAnahtarB[NormB],$A470))</f>
        <v/>
      </c>
      <c r="C470" s="17">
        <f>IF($A470="","",IFERROR(SUMIF(tblAnahtarB[NormB],$A470,tblHakedis[GercekHakedis]),0))</f>
        <v/>
      </c>
      <c r="D470" s="17">
        <f>IF($A470="","",IFERROR(SUMIF(tblMotor[A_Norm],$A470,tblMotor[BeklenenHakedis]),0))</f>
        <v/>
      </c>
      <c r="E470" s="17">
        <f>IF($A470="","",ROUND($D470,2)-ROUND($C470,2))</f>
        <v/>
      </c>
      <c r="F470" s="17">
        <f>IF($A470="","",ABS($E470))</f>
        <v/>
      </c>
      <c r="G470" s="17">
        <f>IF($A470="","",IF($B470=0,"eslesmedi",IF(ROUND($D470,2)=ROUND($C470,2),"eslesti",IF(ABS(ROUND($D470,2)-ROUND($C470,2))&lt;=toleransKurus,"tolerans_icinde","tutar_farki"))))</f>
        <v/>
      </c>
      <c r="H470" s="17">
        <f>IF($A470="","",IF($B470&gt;0,"BIRINCIL",IF(COUNTIF(tblAnahtarB[IkincilB],'ANAHTAR'!$D470)&gt;0,"IKINCIL","YOK")))</f>
        <v/>
      </c>
      <c r="I470" s="17">
        <f>IF($A470="","",'ANAHTAR'!$F470)</f>
        <v/>
      </c>
      <c r="J470" s="17">
        <f>IF(OR($A470="",$D470=0),0,$F470/ABS($D470))</f>
        <v/>
      </c>
      <c r="K470" s="17">
        <f>IF($A470="","",ROUND($D470,2))</f>
        <v/>
      </c>
      <c r="L470" s="17">
        <f>IF($A470="","",ROUND($C470,2))</f>
        <v/>
      </c>
      <c r="M470" s="17">
        <f>IF($A470="","",IF($F470&lt;=toleransKurus,1,0))</f>
        <v/>
      </c>
      <c r="N470" s="17">
        <f>IF($A470="","",IF($F470&gt;tyk_esikFark,1,0))</f>
        <v/>
      </c>
      <c r="O470" s="17">
        <f>IF($A470="","",IFERROR(SUMIF(tblMotor[A_Norm],$A470,tblMotor[NetKar]),0))</f>
        <v/>
      </c>
      <c r="P470" s="17">
        <f>IF($A470="","",$B470+$M470+$N470)</f>
        <v/>
      </c>
    </row>
    <row r="471">
      <c r="A471" s="17">
        <f>IF('ANAHTAR'!$B471="","",'ANAHTAR'!$B471)</f>
        <v/>
      </c>
      <c r="B471" s="17">
        <f>IF($A471="","",COUNTIF(tblAnahtarB[NormB],$A471))</f>
        <v/>
      </c>
      <c r="C471" s="17">
        <f>IF($A471="","",IFERROR(SUMIF(tblAnahtarB[NormB],$A471,tblHakedis[GercekHakedis]),0))</f>
        <v/>
      </c>
      <c r="D471" s="17">
        <f>IF($A471="","",IFERROR(SUMIF(tblMotor[A_Norm],$A471,tblMotor[BeklenenHakedis]),0))</f>
        <v/>
      </c>
      <c r="E471" s="17">
        <f>IF($A471="","",ROUND($D471,2)-ROUND($C471,2))</f>
        <v/>
      </c>
      <c r="F471" s="17">
        <f>IF($A471="","",ABS($E471))</f>
        <v/>
      </c>
      <c r="G471" s="17">
        <f>IF($A471="","",IF($B471=0,"eslesmedi",IF(ROUND($D471,2)=ROUND($C471,2),"eslesti",IF(ABS(ROUND($D471,2)-ROUND($C471,2))&lt;=toleransKurus,"tolerans_icinde","tutar_farki"))))</f>
        <v/>
      </c>
      <c r="H471" s="17">
        <f>IF($A471="","",IF($B471&gt;0,"BIRINCIL",IF(COUNTIF(tblAnahtarB[IkincilB],'ANAHTAR'!$D471)&gt;0,"IKINCIL","YOK")))</f>
        <v/>
      </c>
      <c r="I471" s="17">
        <f>IF($A471="","",'ANAHTAR'!$F471)</f>
        <v/>
      </c>
      <c r="J471" s="17">
        <f>IF(OR($A471="",$D471=0),0,$F471/ABS($D471))</f>
        <v/>
      </c>
      <c r="K471" s="17">
        <f>IF($A471="","",ROUND($D471,2))</f>
        <v/>
      </c>
      <c r="L471" s="17">
        <f>IF($A471="","",ROUND($C471,2))</f>
        <v/>
      </c>
      <c r="M471" s="17">
        <f>IF($A471="","",IF($F471&lt;=toleransKurus,1,0))</f>
        <v/>
      </c>
      <c r="N471" s="17">
        <f>IF($A471="","",IF($F471&gt;tyk_esikFark,1,0))</f>
        <v/>
      </c>
      <c r="O471" s="17">
        <f>IF($A471="","",IFERROR(SUMIF(tblMotor[A_Norm],$A471,tblMotor[NetKar]),0))</f>
        <v/>
      </c>
      <c r="P471" s="17">
        <f>IF($A471="","",$B471+$M471+$N471)</f>
        <v/>
      </c>
    </row>
    <row r="472">
      <c r="A472" s="17">
        <f>IF('ANAHTAR'!$B472="","",'ANAHTAR'!$B472)</f>
        <v/>
      </c>
      <c r="B472" s="17">
        <f>IF($A472="","",COUNTIF(tblAnahtarB[NormB],$A472))</f>
        <v/>
      </c>
      <c r="C472" s="17">
        <f>IF($A472="","",IFERROR(SUMIF(tblAnahtarB[NormB],$A472,tblHakedis[GercekHakedis]),0))</f>
        <v/>
      </c>
      <c r="D472" s="17">
        <f>IF($A472="","",IFERROR(SUMIF(tblMotor[A_Norm],$A472,tblMotor[BeklenenHakedis]),0))</f>
        <v/>
      </c>
      <c r="E472" s="17">
        <f>IF($A472="","",ROUND($D472,2)-ROUND($C472,2))</f>
        <v/>
      </c>
      <c r="F472" s="17">
        <f>IF($A472="","",ABS($E472))</f>
        <v/>
      </c>
      <c r="G472" s="17">
        <f>IF($A472="","",IF($B472=0,"eslesmedi",IF(ROUND($D472,2)=ROUND($C472,2),"eslesti",IF(ABS(ROUND($D472,2)-ROUND($C472,2))&lt;=toleransKurus,"tolerans_icinde","tutar_farki"))))</f>
        <v/>
      </c>
      <c r="H472" s="17">
        <f>IF($A472="","",IF($B472&gt;0,"BIRINCIL",IF(COUNTIF(tblAnahtarB[IkincilB],'ANAHTAR'!$D472)&gt;0,"IKINCIL","YOK")))</f>
        <v/>
      </c>
      <c r="I472" s="17">
        <f>IF($A472="","",'ANAHTAR'!$F472)</f>
        <v/>
      </c>
      <c r="J472" s="17">
        <f>IF(OR($A472="",$D472=0),0,$F472/ABS($D472))</f>
        <v/>
      </c>
      <c r="K472" s="17">
        <f>IF($A472="","",ROUND($D472,2))</f>
        <v/>
      </c>
      <c r="L472" s="17">
        <f>IF($A472="","",ROUND($C472,2))</f>
        <v/>
      </c>
      <c r="M472" s="17">
        <f>IF($A472="","",IF($F472&lt;=toleransKurus,1,0))</f>
        <v/>
      </c>
      <c r="N472" s="17">
        <f>IF($A472="","",IF($F472&gt;tyk_esikFark,1,0))</f>
        <v/>
      </c>
      <c r="O472" s="17">
        <f>IF($A472="","",IFERROR(SUMIF(tblMotor[A_Norm],$A472,tblMotor[NetKar]),0))</f>
        <v/>
      </c>
      <c r="P472" s="17">
        <f>IF($A472="","",$B472+$M472+$N472)</f>
        <v/>
      </c>
    </row>
    <row r="473">
      <c r="A473" s="17">
        <f>IF('ANAHTAR'!$B473="","",'ANAHTAR'!$B473)</f>
        <v/>
      </c>
      <c r="B473" s="17">
        <f>IF($A473="","",COUNTIF(tblAnahtarB[NormB],$A473))</f>
        <v/>
      </c>
      <c r="C473" s="17">
        <f>IF($A473="","",IFERROR(SUMIF(tblAnahtarB[NormB],$A473,tblHakedis[GercekHakedis]),0))</f>
        <v/>
      </c>
      <c r="D473" s="17">
        <f>IF($A473="","",IFERROR(SUMIF(tblMotor[A_Norm],$A473,tblMotor[BeklenenHakedis]),0))</f>
        <v/>
      </c>
      <c r="E473" s="17">
        <f>IF($A473="","",ROUND($D473,2)-ROUND($C473,2))</f>
        <v/>
      </c>
      <c r="F473" s="17">
        <f>IF($A473="","",ABS($E473))</f>
        <v/>
      </c>
      <c r="G473" s="17">
        <f>IF($A473="","",IF($B473=0,"eslesmedi",IF(ROUND($D473,2)=ROUND($C473,2),"eslesti",IF(ABS(ROUND($D473,2)-ROUND($C473,2))&lt;=toleransKurus,"tolerans_icinde","tutar_farki"))))</f>
        <v/>
      </c>
      <c r="H473" s="17">
        <f>IF($A473="","",IF($B473&gt;0,"BIRINCIL",IF(COUNTIF(tblAnahtarB[IkincilB],'ANAHTAR'!$D473)&gt;0,"IKINCIL","YOK")))</f>
        <v/>
      </c>
      <c r="I473" s="17">
        <f>IF($A473="","",'ANAHTAR'!$F473)</f>
        <v/>
      </c>
      <c r="J473" s="17">
        <f>IF(OR($A473="",$D473=0),0,$F473/ABS($D473))</f>
        <v/>
      </c>
      <c r="K473" s="17">
        <f>IF($A473="","",ROUND($D473,2))</f>
        <v/>
      </c>
      <c r="L473" s="17">
        <f>IF($A473="","",ROUND($C473,2))</f>
        <v/>
      </c>
      <c r="M473" s="17">
        <f>IF($A473="","",IF($F473&lt;=toleransKurus,1,0))</f>
        <v/>
      </c>
      <c r="N473" s="17">
        <f>IF($A473="","",IF($F473&gt;tyk_esikFark,1,0))</f>
        <v/>
      </c>
      <c r="O473" s="17">
        <f>IF($A473="","",IFERROR(SUMIF(tblMotor[A_Norm],$A473,tblMotor[NetKar]),0))</f>
        <v/>
      </c>
      <c r="P473" s="17">
        <f>IF($A473="","",$B473+$M473+$N473)</f>
        <v/>
      </c>
    </row>
    <row r="474">
      <c r="A474" s="17">
        <f>IF('ANAHTAR'!$B474="","",'ANAHTAR'!$B474)</f>
        <v/>
      </c>
      <c r="B474" s="17">
        <f>IF($A474="","",COUNTIF(tblAnahtarB[NormB],$A474))</f>
        <v/>
      </c>
      <c r="C474" s="17">
        <f>IF($A474="","",IFERROR(SUMIF(tblAnahtarB[NormB],$A474,tblHakedis[GercekHakedis]),0))</f>
        <v/>
      </c>
      <c r="D474" s="17">
        <f>IF($A474="","",IFERROR(SUMIF(tblMotor[A_Norm],$A474,tblMotor[BeklenenHakedis]),0))</f>
        <v/>
      </c>
      <c r="E474" s="17">
        <f>IF($A474="","",ROUND($D474,2)-ROUND($C474,2))</f>
        <v/>
      </c>
      <c r="F474" s="17">
        <f>IF($A474="","",ABS($E474))</f>
        <v/>
      </c>
      <c r="G474" s="17">
        <f>IF($A474="","",IF($B474=0,"eslesmedi",IF(ROUND($D474,2)=ROUND($C474,2),"eslesti",IF(ABS(ROUND($D474,2)-ROUND($C474,2))&lt;=toleransKurus,"tolerans_icinde","tutar_farki"))))</f>
        <v/>
      </c>
      <c r="H474" s="17">
        <f>IF($A474="","",IF($B474&gt;0,"BIRINCIL",IF(COUNTIF(tblAnahtarB[IkincilB],'ANAHTAR'!$D474)&gt;0,"IKINCIL","YOK")))</f>
        <v/>
      </c>
      <c r="I474" s="17">
        <f>IF($A474="","",'ANAHTAR'!$F474)</f>
        <v/>
      </c>
      <c r="J474" s="17">
        <f>IF(OR($A474="",$D474=0),0,$F474/ABS($D474))</f>
        <v/>
      </c>
      <c r="K474" s="17">
        <f>IF($A474="","",ROUND($D474,2))</f>
        <v/>
      </c>
      <c r="L474" s="17">
        <f>IF($A474="","",ROUND($C474,2))</f>
        <v/>
      </c>
      <c r="M474" s="17">
        <f>IF($A474="","",IF($F474&lt;=toleransKurus,1,0))</f>
        <v/>
      </c>
      <c r="N474" s="17">
        <f>IF($A474="","",IF($F474&gt;tyk_esikFark,1,0))</f>
        <v/>
      </c>
      <c r="O474" s="17">
        <f>IF($A474="","",IFERROR(SUMIF(tblMotor[A_Norm],$A474,tblMotor[NetKar]),0))</f>
        <v/>
      </c>
      <c r="P474" s="17">
        <f>IF($A474="","",$B474+$M474+$N474)</f>
        <v/>
      </c>
    </row>
    <row r="475">
      <c r="A475" s="17">
        <f>IF('ANAHTAR'!$B475="","",'ANAHTAR'!$B475)</f>
        <v/>
      </c>
      <c r="B475" s="17">
        <f>IF($A475="","",COUNTIF(tblAnahtarB[NormB],$A475))</f>
        <v/>
      </c>
      <c r="C475" s="17">
        <f>IF($A475="","",IFERROR(SUMIF(tblAnahtarB[NormB],$A475,tblHakedis[GercekHakedis]),0))</f>
        <v/>
      </c>
      <c r="D475" s="17">
        <f>IF($A475="","",IFERROR(SUMIF(tblMotor[A_Norm],$A475,tblMotor[BeklenenHakedis]),0))</f>
        <v/>
      </c>
      <c r="E475" s="17">
        <f>IF($A475="","",ROUND($D475,2)-ROUND($C475,2))</f>
        <v/>
      </c>
      <c r="F475" s="17">
        <f>IF($A475="","",ABS($E475))</f>
        <v/>
      </c>
      <c r="G475" s="17">
        <f>IF($A475="","",IF($B475=0,"eslesmedi",IF(ROUND($D475,2)=ROUND($C475,2),"eslesti",IF(ABS(ROUND($D475,2)-ROUND($C475,2))&lt;=toleransKurus,"tolerans_icinde","tutar_farki"))))</f>
        <v/>
      </c>
      <c r="H475" s="17">
        <f>IF($A475="","",IF($B475&gt;0,"BIRINCIL",IF(COUNTIF(tblAnahtarB[IkincilB],'ANAHTAR'!$D475)&gt;0,"IKINCIL","YOK")))</f>
        <v/>
      </c>
      <c r="I475" s="17">
        <f>IF($A475="","",'ANAHTAR'!$F475)</f>
        <v/>
      </c>
      <c r="J475" s="17">
        <f>IF(OR($A475="",$D475=0),0,$F475/ABS($D475))</f>
        <v/>
      </c>
      <c r="K475" s="17">
        <f>IF($A475="","",ROUND($D475,2))</f>
        <v/>
      </c>
      <c r="L475" s="17">
        <f>IF($A475="","",ROUND($C475,2))</f>
        <v/>
      </c>
      <c r="M475" s="17">
        <f>IF($A475="","",IF($F475&lt;=toleransKurus,1,0))</f>
        <v/>
      </c>
      <c r="N475" s="17">
        <f>IF($A475="","",IF($F475&gt;tyk_esikFark,1,0))</f>
        <v/>
      </c>
      <c r="O475" s="17">
        <f>IF($A475="","",IFERROR(SUMIF(tblMotor[A_Norm],$A475,tblMotor[NetKar]),0))</f>
        <v/>
      </c>
      <c r="P475" s="17">
        <f>IF($A475="","",$B475+$M475+$N475)</f>
        <v/>
      </c>
    </row>
    <row r="476">
      <c r="A476" s="17">
        <f>IF('ANAHTAR'!$B476="","",'ANAHTAR'!$B476)</f>
        <v/>
      </c>
      <c r="B476" s="17">
        <f>IF($A476="","",COUNTIF(tblAnahtarB[NormB],$A476))</f>
        <v/>
      </c>
      <c r="C476" s="17">
        <f>IF($A476="","",IFERROR(SUMIF(tblAnahtarB[NormB],$A476,tblHakedis[GercekHakedis]),0))</f>
        <v/>
      </c>
      <c r="D476" s="17">
        <f>IF($A476="","",IFERROR(SUMIF(tblMotor[A_Norm],$A476,tblMotor[BeklenenHakedis]),0))</f>
        <v/>
      </c>
      <c r="E476" s="17">
        <f>IF($A476="","",ROUND($D476,2)-ROUND($C476,2))</f>
        <v/>
      </c>
      <c r="F476" s="17">
        <f>IF($A476="","",ABS($E476))</f>
        <v/>
      </c>
      <c r="G476" s="17">
        <f>IF($A476="","",IF($B476=0,"eslesmedi",IF(ROUND($D476,2)=ROUND($C476,2),"eslesti",IF(ABS(ROUND($D476,2)-ROUND($C476,2))&lt;=toleransKurus,"tolerans_icinde","tutar_farki"))))</f>
        <v/>
      </c>
      <c r="H476" s="17">
        <f>IF($A476="","",IF($B476&gt;0,"BIRINCIL",IF(COUNTIF(tblAnahtarB[IkincilB],'ANAHTAR'!$D476)&gt;0,"IKINCIL","YOK")))</f>
        <v/>
      </c>
      <c r="I476" s="17">
        <f>IF($A476="","",'ANAHTAR'!$F476)</f>
        <v/>
      </c>
      <c r="J476" s="17">
        <f>IF(OR($A476="",$D476=0),0,$F476/ABS($D476))</f>
        <v/>
      </c>
      <c r="K476" s="17">
        <f>IF($A476="","",ROUND($D476,2))</f>
        <v/>
      </c>
      <c r="L476" s="17">
        <f>IF($A476="","",ROUND($C476,2))</f>
        <v/>
      </c>
      <c r="M476" s="17">
        <f>IF($A476="","",IF($F476&lt;=toleransKurus,1,0))</f>
        <v/>
      </c>
      <c r="N476" s="17">
        <f>IF($A476="","",IF($F476&gt;tyk_esikFark,1,0))</f>
        <v/>
      </c>
      <c r="O476" s="17">
        <f>IF($A476="","",IFERROR(SUMIF(tblMotor[A_Norm],$A476,tblMotor[NetKar]),0))</f>
        <v/>
      </c>
      <c r="P476" s="17">
        <f>IF($A476="","",$B476+$M476+$N476)</f>
        <v/>
      </c>
    </row>
    <row r="477">
      <c r="A477" s="17">
        <f>IF('ANAHTAR'!$B477="","",'ANAHTAR'!$B477)</f>
        <v/>
      </c>
      <c r="B477" s="17">
        <f>IF($A477="","",COUNTIF(tblAnahtarB[NormB],$A477))</f>
        <v/>
      </c>
      <c r="C477" s="17">
        <f>IF($A477="","",IFERROR(SUMIF(tblAnahtarB[NormB],$A477,tblHakedis[GercekHakedis]),0))</f>
        <v/>
      </c>
      <c r="D477" s="17">
        <f>IF($A477="","",IFERROR(SUMIF(tblMotor[A_Norm],$A477,tblMotor[BeklenenHakedis]),0))</f>
        <v/>
      </c>
      <c r="E477" s="17">
        <f>IF($A477="","",ROUND($D477,2)-ROUND($C477,2))</f>
        <v/>
      </c>
      <c r="F477" s="17">
        <f>IF($A477="","",ABS($E477))</f>
        <v/>
      </c>
      <c r="G477" s="17">
        <f>IF($A477="","",IF($B477=0,"eslesmedi",IF(ROUND($D477,2)=ROUND($C477,2),"eslesti",IF(ABS(ROUND($D477,2)-ROUND($C477,2))&lt;=toleransKurus,"tolerans_icinde","tutar_farki"))))</f>
        <v/>
      </c>
      <c r="H477" s="17">
        <f>IF($A477="","",IF($B477&gt;0,"BIRINCIL",IF(COUNTIF(tblAnahtarB[IkincilB],'ANAHTAR'!$D477)&gt;0,"IKINCIL","YOK")))</f>
        <v/>
      </c>
      <c r="I477" s="17">
        <f>IF($A477="","",'ANAHTAR'!$F477)</f>
        <v/>
      </c>
      <c r="J477" s="17">
        <f>IF(OR($A477="",$D477=0),0,$F477/ABS($D477))</f>
        <v/>
      </c>
      <c r="K477" s="17">
        <f>IF($A477="","",ROUND($D477,2))</f>
        <v/>
      </c>
      <c r="L477" s="17">
        <f>IF($A477="","",ROUND($C477,2))</f>
        <v/>
      </c>
      <c r="M477" s="17">
        <f>IF($A477="","",IF($F477&lt;=toleransKurus,1,0))</f>
        <v/>
      </c>
      <c r="N477" s="17">
        <f>IF($A477="","",IF($F477&gt;tyk_esikFark,1,0))</f>
        <v/>
      </c>
      <c r="O477" s="17">
        <f>IF($A477="","",IFERROR(SUMIF(tblMotor[A_Norm],$A477,tblMotor[NetKar]),0))</f>
        <v/>
      </c>
      <c r="P477" s="17">
        <f>IF($A477="","",$B477+$M477+$N477)</f>
        <v/>
      </c>
    </row>
    <row r="478">
      <c r="A478" s="17">
        <f>IF('ANAHTAR'!$B478="","",'ANAHTAR'!$B478)</f>
        <v/>
      </c>
      <c r="B478" s="17">
        <f>IF($A478="","",COUNTIF(tblAnahtarB[NormB],$A478))</f>
        <v/>
      </c>
      <c r="C478" s="17">
        <f>IF($A478="","",IFERROR(SUMIF(tblAnahtarB[NormB],$A478,tblHakedis[GercekHakedis]),0))</f>
        <v/>
      </c>
      <c r="D478" s="17">
        <f>IF($A478="","",IFERROR(SUMIF(tblMotor[A_Norm],$A478,tblMotor[BeklenenHakedis]),0))</f>
        <v/>
      </c>
      <c r="E478" s="17">
        <f>IF($A478="","",ROUND($D478,2)-ROUND($C478,2))</f>
        <v/>
      </c>
      <c r="F478" s="17">
        <f>IF($A478="","",ABS($E478))</f>
        <v/>
      </c>
      <c r="G478" s="17">
        <f>IF($A478="","",IF($B478=0,"eslesmedi",IF(ROUND($D478,2)=ROUND($C478,2),"eslesti",IF(ABS(ROUND($D478,2)-ROUND($C478,2))&lt;=toleransKurus,"tolerans_icinde","tutar_farki"))))</f>
        <v/>
      </c>
      <c r="H478" s="17">
        <f>IF($A478="","",IF($B478&gt;0,"BIRINCIL",IF(COUNTIF(tblAnahtarB[IkincilB],'ANAHTAR'!$D478)&gt;0,"IKINCIL","YOK")))</f>
        <v/>
      </c>
      <c r="I478" s="17">
        <f>IF($A478="","",'ANAHTAR'!$F478)</f>
        <v/>
      </c>
      <c r="J478" s="17">
        <f>IF(OR($A478="",$D478=0),0,$F478/ABS($D478))</f>
        <v/>
      </c>
      <c r="K478" s="17">
        <f>IF($A478="","",ROUND($D478,2))</f>
        <v/>
      </c>
      <c r="L478" s="17">
        <f>IF($A478="","",ROUND($C478,2))</f>
        <v/>
      </c>
      <c r="M478" s="17">
        <f>IF($A478="","",IF($F478&lt;=toleransKurus,1,0))</f>
        <v/>
      </c>
      <c r="N478" s="17">
        <f>IF($A478="","",IF($F478&gt;tyk_esikFark,1,0))</f>
        <v/>
      </c>
      <c r="O478" s="17">
        <f>IF($A478="","",IFERROR(SUMIF(tblMotor[A_Norm],$A478,tblMotor[NetKar]),0))</f>
        <v/>
      </c>
      <c r="P478" s="17">
        <f>IF($A478="","",$B478+$M478+$N478)</f>
        <v/>
      </c>
    </row>
    <row r="479">
      <c r="A479" s="17">
        <f>IF('ANAHTAR'!$B479="","",'ANAHTAR'!$B479)</f>
        <v/>
      </c>
      <c r="B479" s="17">
        <f>IF($A479="","",COUNTIF(tblAnahtarB[NormB],$A479))</f>
        <v/>
      </c>
      <c r="C479" s="17">
        <f>IF($A479="","",IFERROR(SUMIF(tblAnahtarB[NormB],$A479,tblHakedis[GercekHakedis]),0))</f>
        <v/>
      </c>
      <c r="D479" s="17">
        <f>IF($A479="","",IFERROR(SUMIF(tblMotor[A_Norm],$A479,tblMotor[BeklenenHakedis]),0))</f>
        <v/>
      </c>
      <c r="E479" s="17">
        <f>IF($A479="","",ROUND($D479,2)-ROUND($C479,2))</f>
        <v/>
      </c>
      <c r="F479" s="17">
        <f>IF($A479="","",ABS($E479))</f>
        <v/>
      </c>
      <c r="G479" s="17">
        <f>IF($A479="","",IF($B479=0,"eslesmedi",IF(ROUND($D479,2)=ROUND($C479,2),"eslesti",IF(ABS(ROUND($D479,2)-ROUND($C479,2))&lt;=toleransKurus,"tolerans_icinde","tutar_farki"))))</f>
        <v/>
      </c>
      <c r="H479" s="17">
        <f>IF($A479="","",IF($B479&gt;0,"BIRINCIL",IF(COUNTIF(tblAnahtarB[IkincilB],'ANAHTAR'!$D479)&gt;0,"IKINCIL","YOK")))</f>
        <v/>
      </c>
      <c r="I479" s="17">
        <f>IF($A479="","",'ANAHTAR'!$F479)</f>
        <v/>
      </c>
      <c r="J479" s="17">
        <f>IF(OR($A479="",$D479=0),0,$F479/ABS($D479))</f>
        <v/>
      </c>
      <c r="K479" s="17">
        <f>IF($A479="","",ROUND($D479,2))</f>
        <v/>
      </c>
      <c r="L479" s="17">
        <f>IF($A479="","",ROUND($C479,2))</f>
        <v/>
      </c>
      <c r="M479" s="17">
        <f>IF($A479="","",IF($F479&lt;=toleransKurus,1,0))</f>
        <v/>
      </c>
      <c r="N479" s="17">
        <f>IF($A479="","",IF($F479&gt;tyk_esikFark,1,0))</f>
        <v/>
      </c>
      <c r="O479" s="17">
        <f>IF($A479="","",IFERROR(SUMIF(tblMotor[A_Norm],$A479,tblMotor[NetKar]),0))</f>
        <v/>
      </c>
      <c r="P479" s="17">
        <f>IF($A479="","",$B479+$M479+$N479)</f>
        <v/>
      </c>
    </row>
    <row r="480">
      <c r="A480" s="17">
        <f>IF('ANAHTAR'!$B480="","",'ANAHTAR'!$B480)</f>
        <v/>
      </c>
      <c r="B480" s="17">
        <f>IF($A480="","",COUNTIF(tblAnahtarB[NormB],$A480))</f>
        <v/>
      </c>
      <c r="C480" s="17">
        <f>IF($A480="","",IFERROR(SUMIF(tblAnahtarB[NormB],$A480,tblHakedis[GercekHakedis]),0))</f>
        <v/>
      </c>
      <c r="D480" s="17">
        <f>IF($A480="","",IFERROR(SUMIF(tblMotor[A_Norm],$A480,tblMotor[BeklenenHakedis]),0))</f>
        <v/>
      </c>
      <c r="E480" s="17">
        <f>IF($A480="","",ROUND($D480,2)-ROUND($C480,2))</f>
        <v/>
      </c>
      <c r="F480" s="17">
        <f>IF($A480="","",ABS($E480))</f>
        <v/>
      </c>
      <c r="G480" s="17">
        <f>IF($A480="","",IF($B480=0,"eslesmedi",IF(ROUND($D480,2)=ROUND($C480,2),"eslesti",IF(ABS(ROUND($D480,2)-ROUND($C480,2))&lt;=toleransKurus,"tolerans_icinde","tutar_farki"))))</f>
        <v/>
      </c>
      <c r="H480" s="17">
        <f>IF($A480="","",IF($B480&gt;0,"BIRINCIL",IF(COUNTIF(tblAnahtarB[IkincilB],'ANAHTAR'!$D480)&gt;0,"IKINCIL","YOK")))</f>
        <v/>
      </c>
      <c r="I480" s="17">
        <f>IF($A480="","",'ANAHTAR'!$F480)</f>
        <v/>
      </c>
      <c r="J480" s="17">
        <f>IF(OR($A480="",$D480=0),0,$F480/ABS($D480))</f>
        <v/>
      </c>
      <c r="K480" s="17">
        <f>IF($A480="","",ROUND($D480,2))</f>
        <v/>
      </c>
      <c r="L480" s="17">
        <f>IF($A480="","",ROUND($C480,2))</f>
        <v/>
      </c>
      <c r="M480" s="17">
        <f>IF($A480="","",IF($F480&lt;=toleransKurus,1,0))</f>
        <v/>
      </c>
      <c r="N480" s="17">
        <f>IF($A480="","",IF($F480&gt;tyk_esikFark,1,0))</f>
        <v/>
      </c>
      <c r="O480" s="17">
        <f>IF($A480="","",IFERROR(SUMIF(tblMotor[A_Norm],$A480,tblMotor[NetKar]),0))</f>
        <v/>
      </c>
      <c r="P480" s="17">
        <f>IF($A480="","",$B480+$M480+$N480)</f>
        <v/>
      </c>
    </row>
    <row r="481">
      <c r="A481" s="17">
        <f>IF('ANAHTAR'!$B481="","",'ANAHTAR'!$B481)</f>
        <v/>
      </c>
      <c r="B481" s="17">
        <f>IF($A481="","",COUNTIF(tblAnahtarB[NormB],$A481))</f>
        <v/>
      </c>
      <c r="C481" s="17">
        <f>IF($A481="","",IFERROR(SUMIF(tblAnahtarB[NormB],$A481,tblHakedis[GercekHakedis]),0))</f>
        <v/>
      </c>
      <c r="D481" s="17">
        <f>IF($A481="","",IFERROR(SUMIF(tblMotor[A_Norm],$A481,tblMotor[BeklenenHakedis]),0))</f>
        <v/>
      </c>
      <c r="E481" s="17">
        <f>IF($A481="","",ROUND($D481,2)-ROUND($C481,2))</f>
        <v/>
      </c>
      <c r="F481" s="17">
        <f>IF($A481="","",ABS($E481))</f>
        <v/>
      </c>
      <c r="G481" s="17">
        <f>IF($A481="","",IF($B481=0,"eslesmedi",IF(ROUND($D481,2)=ROUND($C481,2),"eslesti",IF(ABS(ROUND($D481,2)-ROUND($C481,2))&lt;=toleransKurus,"tolerans_icinde","tutar_farki"))))</f>
        <v/>
      </c>
      <c r="H481" s="17">
        <f>IF($A481="","",IF($B481&gt;0,"BIRINCIL",IF(COUNTIF(tblAnahtarB[IkincilB],'ANAHTAR'!$D481)&gt;0,"IKINCIL","YOK")))</f>
        <v/>
      </c>
      <c r="I481" s="17">
        <f>IF($A481="","",'ANAHTAR'!$F481)</f>
        <v/>
      </c>
      <c r="J481" s="17">
        <f>IF(OR($A481="",$D481=0),0,$F481/ABS($D481))</f>
        <v/>
      </c>
      <c r="K481" s="17">
        <f>IF($A481="","",ROUND($D481,2))</f>
        <v/>
      </c>
      <c r="L481" s="17">
        <f>IF($A481="","",ROUND($C481,2))</f>
        <v/>
      </c>
      <c r="M481" s="17">
        <f>IF($A481="","",IF($F481&lt;=toleransKurus,1,0))</f>
        <v/>
      </c>
      <c r="N481" s="17">
        <f>IF($A481="","",IF($F481&gt;tyk_esikFark,1,0))</f>
        <v/>
      </c>
      <c r="O481" s="17">
        <f>IF($A481="","",IFERROR(SUMIF(tblMotor[A_Norm],$A481,tblMotor[NetKar]),0))</f>
        <v/>
      </c>
      <c r="P481" s="17">
        <f>IF($A481="","",$B481+$M481+$N481)</f>
        <v/>
      </c>
    </row>
    <row r="482">
      <c r="A482" s="17">
        <f>IF('ANAHTAR'!$B482="","",'ANAHTAR'!$B482)</f>
        <v/>
      </c>
      <c r="B482" s="17">
        <f>IF($A482="","",COUNTIF(tblAnahtarB[NormB],$A482))</f>
        <v/>
      </c>
      <c r="C482" s="17">
        <f>IF($A482="","",IFERROR(SUMIF(tblAnahtarB[NormB],$A482,tblHakedis[GercekHakedis]),0))</f>
        <v/>
      </c>
      <c r="D482" s="17">
        <f>IF($A482="","",IFERROR(SUMIF(tblMotor[A_Norm],$A482,tblMotor[BeklenenHakedis]),0))</f>
        <v/>
      </c>
      <c r="E482" s="17">
        <f>IF($A482="","",ROUND($D482,2)-ROUND($C482,2))</f>
        <v/>
      </c>
      <c r="F482" s="17">
        <f>IF($A482="","",ABS($E482))</f>
        <v/>
      </c>
      <c r="G482" s="17">
        <f>IF($A482="","",IF($B482=0,"eslesmedi",IF(ROUND($D482,2)=ROUND($C482,2),"eslesti",IF(ABS(ROUND($D482,2)-ROUND($C482,2))&lt;=toleransKurus,"tolerans_icinde","tutar_farki"))))</f>
        <v/>
      </c>
      <c r="H482" s="17">
        <f>IF($A482="","",IF($B482&gt;0,"BIRINCIL",IF(COUNTIF(tblAnahtarB[IkincilB],'ANAHTAR'!$D482)&gt;0,"IKINCIL","YOK")))</f>
        <v/>
      </c>
      <c r="I482" s="17">
        <f>IF($A482="","",'ANAHTAR'!$F482)</f>
        <v/>
      </c>
      <c r="J482" s="17">
        <f>IF(OR($A482="",$D482=0),0,$F482/ABS($D482))</f>
        <v/>
      </c>
      <c r="K482" s="17">
        <f>IF($A482="","",ROUND($D482,2))</f>
        <v/>
      </c>
      <c r="L482" s="17">
        <f>IF($A482="","",ROUND($C482,2))</f>
        <v/>
      </c>
      <c r="M482" s="17">
        <f>IF($A482="","",IF($F482&lt;=toleransKurus,1,0))</f>
        <v/>
      </c>
      <c r="N482" s="17">
        <f>IF($A482="","",IF($F482&gt;tyk_esikFark,1,0))</f>
        <v/>
      </c>
      <c r="O482" s="17">
        <f>IF($A482="","",IFERROR(SUMIF(tblMotor[A_Norm],$A482,tblMotor[NetKar]),0))</f>
        <v/>
      </c>
      <c r="P482" s="17">
        <f>IF($A482="","",$B482+$M482+$N482)</f>
        <v/>
      </c>
    </row>
    <row r="483">
      <c r="A483" s="17">
        <f>IF('ANAHTAR'!$B483="","",'ANAHTAR'!$B483)</f>
        <v/>
      </c>
      <c r="B483" s="17">
        <f>IF($A483="","",COUNTIF(tblAnahtarB[NormB],$A483))</f>
        <v/>
      </c>
      <c r="C483" s="17">
        <f>IF($A483="","",IFERROR(SUMIF(tblAnahtarB[NormB],$A483,tblHakedis[GercekHakedis]),0))</f>
        <v/>
      </c>
      <c r="D483" s="17">
        <f>IF($A483="","",IFERROR(SUMIF(tblMotor[A_Norm],$A483,tblMotor[BeklenenHakedis]),0))</f>
        <v/>
      </c>
      <c r="E483" s="17">
        <f>IF($A483="","",ROUND($D483,2)-ROUND($C483,2))</f>
        <v/>
      </c>
      <c r="F483" s="17">
        <f>IF($A483="","",ABS($E483))</f>
        <v/>
      </c>
      <c r="G483" s="17">
        <f>IF($A483="","",IF($B483=0,"eslesmedi",IF(ROUND($D483,2)=ROUND($C483,2),"eslesti",IF(ABS(ROUND($D483,2)-ROUND($C483,2))&lt;=toleransKurus,"tolerans_icinde","tutar_farki"))))</f>
        <v/>
      </c>
      <c r="H483" s="17">
        <f>IF($A483="","",IF($B483&gt;0,"BIRINCIL",IF(COUNTIF(tblAnahtarB[IkincilB],'ANAHTAR'!$D483)&gt;0,"IKINCIL","YOK")))</f>
        <v/>
      </c>
      <c r="I483" s="17">
        <f>IF($A483="","",'ANAHTAR'!$F483)</f>
        <v/>
      </c>
      <c r="J483" s="17">
        <f>IF(OR($A483="",$D483=0),0,$F483/ABS($D483))</f>
        <v/>
      </c>
      <c r="K483" s="17">
        <f>IF($A483="","",ROUND($D483,2))</f>
        <v/>
      </c>
      <c r="L483" s="17">
        <f>IF($A483="","",ROUND($C483,2))</f>
        <v/>
      </c>
      <c r="M483" s="17">
        <f>IF($A483="","",IF($F483&lt;=toleransKurus,1,0))</f>
        <v/>
      </c>
      <c r="N483" s="17">
        <f>IF($A483="","",IF($F483&gt;tyk_esikFark,1,0))</f>
        <v/>
      </c>
      <c r="O483" s="17">
        <f>IF($A483="","",IFERROR(SUMIF(tblMotor[A_Norm],$A483,tblMotor[NetKar]),0))</f>
        <v/>
      </c>
      <c r="P483" s="17">
        <f>IF($A483="","",$B483+$M483+$N483)</f>
        <v/>
      </c>
    </row>
    <row r="484">
      <c r="A484" s="17">
        <f>IF('ANAHTAR'!$B484="","",'ANAHTAR'!$B484)</f>
        <v/>
      </c>
      <c r="B484" s="17">
        <f>IF($A484="","",COUNTIF(tblAnahtarB[NormB],$A484))</f>
        <v/>
      </c>
      <c r="C484" s="17">
        <f>IF($A484="","",IFERROR(SUMIF(tblAnahtarB[NormB],$A484,tblHakedis[GercekHakedis]),0))</f>
        <v/>
      </c>
      <c r="D484" s="17">
        <f>IF($A484="","",IFERROR(SUMIF(tblMotor[A_Norm],$A484,tblMotor[BeklenenHakedis]),0))</f>
        <v/>
      </c>
      <c r="E484" s="17">
        <f>IF($A484="","",ROUND($D484,2)-ROUND($C484,2))</f>
        <v/>
      </c>
      <c r="F484" s="17">
        <f>IF($A484="","",ABS($E484))</f>
        <v/>
      </c>
      <c r="G484" s="17">
        <f>IF($A484="","",IF($B484=0,"eslesmedi",IF(ROUND($D484,2)=ROUND($C484,2),"eslesti",IF(ABS(ROUND($D484,2)-ROUND($C484,2))&lt;=toleransKurus,"tolerans_icinde","tutar_farki"))))</f>
        <v/>
      </c>
      <c r="H484" s="17">
        <f>IF($A484="","",IF($B484&gt;0,"BIRINCIL",IF(COUNTIF(tblAnahtarB[IkincilB],'ANAHTAR'!$D484)&gt;0,"IKINCIL","YOK")))</f>
        <v/>
      </c>
      <c r="I484" s="17">
        <f>IF($A484="","",'ANAHTAR'!$F484)</f>
        <v/>
      </c>
      <c r="J484" s="17">
        <f>IF(OR($A484="",$D484=0),0,$F484/ABS($D484))</f>
        <v/>
      </c>
      <c r="K484" s="17">
        <f>IF($A484="","",ROUND($D484,2))</f>
        <v/>
      </c>
      <c r="L484" s="17">
        <f>IF($A484="","",ROUND($C484,2))</f>
        <v/>
      </c>
      <c r="M484" s="17">
        <f>IF($A484="","",IF($F484&lt;=toleransKurus,1,0))</f>
        <v/>
      </c>
      <c r="N484" s="17">
        <f>IF($A484="","",IF($F484&gt;tyk_esikFark,1,0))</f>
        <v/>
      </c>
      <c r="O484" s="17">
        <f>IF($A484="","",IFERROR(SUMIF(tblMotor[A_Norm],$A484,tblMotor[NetKar]),0))</f>
        <v/>
      </c>
      <c r="P484" s="17">
        <f>IF($A484="","",$B484+$M484+$N484)</f>
        <v/>
      </c>
    </row>
    <row r="485">
      <c r="A485" s="17">
        <f>IF('ANAHTAR'!$B485="","",'ANAHTAR'!$B485)</f>
        <v/>
      </c>
      <c r="B485" s="17">
        <f>IF($A485="","",COUNTIF(tblAnahtarB[NormB],$A485))</f>
        <v/>
      </c>
      <c r="C485" s="17">
        <f>IF($A485="","",IFERROR(SUMIF(tblAnahtarB[NormB],$A485,tblHakedis[GercekHakedis]),0))</f>
        <v/>
      </c>
      <c r="D485" s="17">
        <f>IF($A485="","",IFERROR(SUMIF(tblMotor[A_Norm],$A485,tblMotor[BeklenenHakedis]),0))</f>
        <v/>
      </c>
      <c r="E485" s="17">
        <f>IF($A485="","",ROUND($D485,2)-ROUND($C485,2))</f>
        <v/>
      </c>
      <c r="F485" s="17">
        <f>IF($A485="","",ABS($E485))</f>
        <v/>
      </c>
      <c r="G485" s="17">
        <f>IF($A485="","",IF($B485=0,"eslesmedi",IF(ROUND($D485,2)=ROUND($C485,2),"eslesti",IF(ABS(ROUND($D485,2)-ROUND($C485,2))&lt;=toleransKurus,"tolerans_icinde","tutar_farki"))))</f>
        <v/>
      </c>
      <c r="H485" s="17">
        <f>IF($A485="","",IF($B485&gt;0,"BIRINCIL",IF(COUNTIF(tblAnahtarB[IkincilB],'ANAHTAR'!$D485)&gt;0,"IKINCIL","YOK")))</f>
        <v/>
      </c>
      <c r="I485" s="17">
        <f>IF($A485="","",'ANAHTAR'!$F485)</f>
        <v/>
      </c>
      <c r="J485" s="17">
        <f>IF(OR($A485="",$D485=0),0,$F485/ABS($D485))</f>
        <v/>
      </c>
      <c r="K485" s="17">
        <f>IF($A485="","",ROUND($D485,2))</f>
        <v/>
      </c>
      <c r="L485" s="17">
        <f>IF($A485="","",ROUND($C485,2))</f>
        <v/>
      </c>
      <c r="M485" s="17">
        <f>IF($A485="","",IF($F485&lt;=toleransKurus,1,0))</f>
        <v/>
      </c>
      <c r="N485" s="17">
        <f>IF($A485="","",IF($F485&gt;tyk_esikFark,1,0))</f>
        <v/>
      </c>
      <c r="O485" s="17">
        <f>IF($A485="","",IFERROR(SUMIF(tblMotor[A_Norm],$A485,tblMotor[NetKar]),0))</f>
        <v/>
      </c>
      <c r="P485" s="17">
        <f>IF($A485="","",$B485+$M485+$N485)</f>
        <v/>
      </c>
    </row>
    <row r="486">
      <c r="A486" s="17">
        <f>IF('ANAHTAR'!$B486="","",'ANAHTAR'!$B486)</f>
        <v/>
      </c>
      <c r="B486" s="17">
        <f>IF($A486="","",COUNTIF(tblAnahtarB[NormB],$A486))</f>
        <v/>
      </c>
      <c r="C486" s="17">
        <f>IF($A486="","",IFERROR(SUMIF(tblAnahtarB[NormB],$A486,tblHakedis[GercekHakedis]),0))</f>
        <v/>
      </c>
      <c r="D486" s="17">
        <f>IF($A486="","",IFERROR(SUMIF(tblMotor[A_Norm],$A486,tblMotor[BeklenenHakedis]),0))</f>
        <v/>
      </c>
      <c r="E486" s="17">
        <f>IF($A486="","",ROUND($D486,2)-ROUND($C486,2))</f>
        <v/>
      </c>
      <c r="F486" s="17">
        <f>IF($A486="","",ABS($E486))</f>
        <v/>
      </c>
      <c r="G486" s="17">
        <f>IF($A486="","",IF($B486=0,"eslesmedi",IF(ROUND($D486,2)=ROUND($C486,2),"eslesti",IF(ABS(ROUND($D486,2)-ROUND($C486,2))&lt;=toleransKurus,"tolerans_icinde","tutar_farki"))))</f>
        <v/>
      </c>
      <c r="H486" s="17">
        <f>IF($A486="","",IF($B486&gt;0,"BIRINCIL",IF(COUNTIF(tblAnahtarB[IkincilB],'ANAHTAR'!$D486)&gt;0,"IKINCIL","YOK")))</f>
        <v/>
      </c>
      <c r="I486" s="17">
        <f>IF($A486="","",'ANAHTAR'!$F486)</f>
        <v/>
      </c>
      <c r="J486" s="17">
        <f>IF(OR($A486="",$D486=0),0,$F486/ABS($D486))</f>
        <v/>
      </c>
      <c r="K486" s="17">
        <f>IF($A486="","",ROUND($D486,2))</f>
        <v/>
      </c>
      <c r="L486" s="17">
        <f>IF($A486="","",ROUND($C486,2))</f>
        <v/>
      </c>
      <c r="M486" s="17">
        <f>IF($A486="","",IF($F486&lt;=toleransKurus,1,0))</f>
        <v/>
      </c>
      <c r="N486" s="17">
        <f>IF($A486="","",IF($F486&gt;tyk_esikFark,1,0))</f>
        <v/>
      </c>
      <c r="O486" s="17">
        <f>IF($A486="","",IFERROR(SUMIF(tblMotor[A_Norm],$A486,tblMotor[NetKar]),0))</f>
        <v/>
      </c>
      <c r="P486" s="17">
        <f>IF($A486="","",$B486+$M486+$N486)</f>
        <v/>
      </c>
    </row>
    <row r="487">
      <c r="A487" s="17">
        <f>IF('ANAHTAR'!$B487="","",'ANAHTAR'!$B487)</f>
        <v/>
      </c>
      <c r="B487" s="17">
        <f>IF($A487="","",COUNTIF(tblAnahtarB[NormB],$A487))</f>
        <v/>
      </c>
      <c r="C487" s="17">
        <f>IF($A487="","",IFERROR(SUMIF(tblAnahtarB[NormB],$A487,tblHakedis[GercekHakedis]),0))</f>
        <v/>
      </c>
      <c r="D487" s="17">
        <f>IF($A487="","",IFERROR(SUMIF(tblMotor[A_Norm],$A487,tblMotor[BeklenenHakedis]),0))</f>
        <v/>
      </c>
      <c r="E487" s="17">
        <f>IF($A487="","",ROUND($D487,2)-ROUND($C487,2))</f>
        <v/>
      </c>
      <c r="F487" s="17">
        <f>IF($A487="","",ABS($E487))</f>
        <v/>
      </c>
      <c r="G487" s="17">
        <f>IF($A487="","",IF($B487=0,"eslesmedi",IF(ROUND($D487,2)=ROUND($C487,2),"eslesti",IF(ABS(ROUND($D487,2)-ROUND($C487,2))&lt;=toleransKurus,"tolerans_icinde","tutar_farki"))))</f>
        <v/>
      </c>
      <c r="H487" s="17">
        <f>IF($A487="","",IF($B487&gt;0,"BIRINCIL",IF(COUNTIF(tblAnahtarB[IkincilB],'ANAHTAR'!$D487)&gt;0,"IKINCIL","YOK")))</f>
        <v/>
      </c>
      <c r="I487" s="17">
        <f>IF($A487="","",'ANAHTAR'!$F487)</f>
        <v/>
      </c>
      <c r="J487" s="17">
        <f>IF(OR($A487="",$D487=0),0,$F487/ABS($D487))</f>
        <v/>
      </c>
      <c r="K487" s="17">
        <f>IF($A487="","",ROUND($D487,2))</f>
        <v/>
      </c>
      <c r="L487" s="17">
        <f>IF($A487="","",ROUND($C487,2))</f>
        <v/>
      </c>
      <c r="M487" s="17">
        <f>IF($A487="","",IF($F487&lt;=toleransKurus,1,0))</f>
        <v/>
      </c>
      <c r="N487" s="17">
        <f>IF($A487="","",IF($F487&gt;tyk_esikFark,1,0))</f>
        <v/>
      </c>
      <c r="O487" s="17">
        <f>IF($A487="","",IFERROR(SUMIF(tblMotor[A_Norm],$A487,tblMotor[NetKar]),0))</f>
        <v/>
      </c>
      <c r="P487" s="17">
        <f>IF($A487="","",$B487+$M487+$N487)</f>
        <v/>
      </c>
    </row>
    <row r="488">
      <c r="A488" s="17">
        <f>IF('ANAHTAR'!$B488="","",'ANAHTAR'!$B488)</f>
        <v/>
      </c>
      <c r="B488" s="17">
        <f>IF($A488="","",COUNTIF(tblAnahtarB[NormB],$A488))</f>
        <v/>
      </c>
      <c r="C488" s="17">
        <f>IF($A488="","",IFERROR(SUMIF(tblAnahtarB[NormB],$A488,tblHakedis[GercekHakedis]),0))</f>
        <v/>
      </c>
      <c r="D488" s="17">
        <f>IF($A488="","",IFERROR(SUMIF(tblMotor[A_Norm],$A488,tblMotor[BeklenenHakedis]),0))</f>
        <v/>
      </c>
      <c r="E488" s="17">
        <f>IF($A488="","",ROUND($D488,2)-ROUND($C488,2))</f>
        <v/>
      </c>
      <c r="F488" s="17">
        <f>IF($A488="","",ABS($E488))</f>
        <v/>
      </c>
      <c r="G488" s="17">
        <f>IF($A488="","",IF($B488=0,"eslesmedi",IF(ROUND($D488,2)=ROUND($C488,2),"eslesti",IF(ABS(ROUND($D488,2)-ROUND($C488,2))&lt;=toleransKurus,"tolerans_icinde","tutar_farki"))))</f>
        <v/>
      </c>
      <c r="H488" s="17">
        <f>IF($A488="","",IF($B488&gt;0,"BIRINCIL",IF(COUNTIF(tblAnahtarB[IkincilB],'ANAHTAR'!$D488)&gt;0,"IKINCIL","YOK")))</f>
        <v/>
      </c>
      <c r="I488" s="17">
        <f>IF($A488="","",'ANAHTAR'!$F488)</f>
        <v/>
      </c>
      <c r="J488" s="17">
        <f>IF(OR($A488="",$D488=0),0,$F488/ABS($D488))</f>
        <v/>
      </c>
      <c r="K488" s="17">
        <f>IF($A488="","",ROUND($D488,2))</f>
        <v/>
      </c>
      <c r="L488" s="17">
        <f>IF($A488="","",ROUND($C488,2))</f>
        <v/>
      </c>
      <c r="M488" s="17">
        <f>IF($A488="","",IF($F488&lt;=toleransKurus,1,0))</f>
        <v/>
      </c>
      <c r="N488" s="17">
        <f>IF($A488="","",IF($F488&gt;tyk_esikFark,1,0))</f>
        <v/>
      </c>
      <c r="O488" s="17">
        <f>IF($A488="","",IFERROR(SUMIF(tblMotor[A_Norm],$A488,tblMotor[NetKar]),0))</f>
        <v/>
      </c>
      <c r="P488" s="17">
        <f>IF($A488="","",$B488+$M488+$N488)</f>
        <v/>
      </c>
    </row>
    <row r="489">
      <c r="A489" s="17">
        <f>IF('ANAHTAR'!$B489="","",'ANAHTAR'!$B489)</f>
        <v/>
      </c>
      <c r="B489" s="17">
        <f>IF($A489="","",COUNTIF(tblAnahtarB[NormB],$A489))</f>
        <v/>
      </c>
      <c r="C489" s="17">
        <f>IF($A489="","",IFERROR(SUMIF(tblAnahtarB[NormB],$A489,tblHakedis[GercekHakedis]),0))</f>
        <v/>
      </c>
      <c r="D489" s="17">
        <f>IF($A489="","",IFERROR(SUMIF(tblMotor[A_Norm],$A489,tblMotor[BeklenenHakedis]),0))</f>
        <v/>
      </c>
      <c r="E489" s="17">
        <f>IF($A489="","",ROUND($D489,2)-ROUND($C489,2))</f>
        <v/>
      </c>
      <c r="F489" s="17">
        <f>IF($A489="","",ABS($E489))</f>
        <v/>
      </c>
      <c r="G489" s="17">
        <f>IF($A489="","",IF($B489=0,"eslesmedi",IF(ROUND($D489,2)=ROUND($C489,2),"eslesti",IF(ABS(ROUND($D489,2)-ROUND($C489,2))&lt;=toleransKurus,"tolerans_icinde","tutar_farki"))))</f>
        <v/>
      </c>
      <c r="H489" s="17">
        <f>IF($A489="","",IF($B489&gt;0,"BIRINCIL",IF(COUNTIF(tblAnahtarB[IkincilB],'ANAHTAR'!$D489)&gt;0,"IKINCIL","YOK")))</f>
        <v/>
      </c>
      <c r="I489" s="17">
        <f>IF($A489="","",'ANAHTAR'!$F489)</f>
        <v/>
      </c>
      <c r="J489" s="17">
        <f>IF(OR($A489="",$D489=0),0,$F489/ABS($D489))</f>
        <v/>
      </c>
      <c r="K489" s="17">
        <f>IF($A489="","",ROUND($D489,2))</f>
        <v/>
      </c>
      <c r="L489" s="17">
        <f>IF($A489="","",ROUND($C489,2))</f>
        <v/>
      </c>
      <c r="M489" s="17">
        <f>IF($A489="","",IF($F489&lt;=toleransKurus,1,0))</f>
        <v/>
      </c>
      <c r="N489" s="17">
        <f>IF($A489="","",IF($F489&gt;tyk_esikFark,1,0))</f>
        <v/>
      </c>
      <c r="O489" s="17">
        <f>IF($A489="","",IFERROR(SUMIF(tblMotor[A_Norm],$A489,tblMotor[NetKar]),0))</f>
        <v/>
      </c>
      <c r="P489" s="17">
        <f>IF($A489="","",$B489+$M489+$N489)</f>
        <v/>
      </c>
    </row>
    <row r="490">
      <c r="A490" s="17">
        <f>IF('ANAHTAR'!$B490="","",'ANAHTAR'!$B490)</f>
        <v/>
      </c>
      <c r="B490" s="17">
        <f>IF($A490="","",COUNTIF(tblAnahtarB[NormB],$A490))</f>
        <v/>
      </c>
      <c r="C490" s="17">
        <f>IF($A490="","",IFERROR(SUMIF(tblAnahtarB[NormB],$A490,tblHakedis[GercekHakedis]),0))</f>
        <v/>
      </c>
      <c r="D490" s="17">
        <f>IF($A490="","",IFERROR(SUMIF(tblMotor[A_Norm],$A490,tblMotor[BeklenenHakedis]),0))</f>
        <v/>
      </c>
      <c r="E490" s="17">
        <f>IF($A490="","",ROUND($D490,2)-ROUND($C490,2))</f>
        <v/>
      </c>
      <c r="F490" s="17">
        <f>IF($A490="","",ABS($E490))</f>
        <v/>
      </c>
      <c r="G490" s="17">
        <f>IF($A490="","",IF($B490=0,"eslesmedi",IF(ROUND($D490,2)=ROUND($C490,2),"eslesti",IF(ABS(ROUND($D490,2)-ROUND($C490,2))&lt;=toleransKurus,"tolerans_icinde","tutar_farki"))))</f>
        <v/>
      </c>
      <c r="H490" s="17">
        <f>IF($A490="","",IF($B490&gt;0,"BIRINCIL",IF(COUNTIF(tblAnahtarB[IkincilB],'ANAHTAR'!$D490)&gt;0,"IKINCIL","YOK")))</f>
        <v/>
      </c>
      <c r="I490" s="17">
        <f>IF($A490="","",'ANAHTAR'!$F490)</f>
        <v/>
      </c>
      <c r="J490" s="17">
        <f>IF(OR($A490="",$D490=0),0,$F490/ABS($D490))</f>
        <v/>
      </c>
      <c r="K490" s="17">
        <f>IF($A490="","",ROUND($D490,2))</f>
        <v/>
      </c>
      <c r="L490" s="17">
        <f>IF($A490="","",ROUND($C490,2))</f>
        <v/>
      </c>
      <c r="M490" s="17">
        <f>IF($A490="","",IF($F490&lt;=toleransKurus,1,0))</f>
        <v/>
      </c>
      <c r="N490" s="17">
        <f>IF($A490="","",IF($F490&gt;tyk_esikFark,1,0))</f>
        <v/>
      </c>
      <c r="O490" s="17">
        <f>IF($A490="","",IFERROR(SUMIF(tblMotor[A_Norm],$A490,tblMotor[NetKar]),0))</f>
        <v/>
      </c>
      <c r="P490" s="17">
        <f>IF($A490="","",$B490+$M490+$N490)</f>
        <v/>
      </c>
    </row>
    <row r="491">
      <c r="A491" s="17">
        <f>IF('ANAHTAR'!$B491="","",'ANAHTAR'!$B491)</f>
        <v/>
      </c>
      <c r="B491" s="17">
        <f>IF($A491="","",COUNTIF(tblAnahtarB[NormB],$A491))</f>
        <v/>
      </c>
      <c r="C491" s="17">
        <f>IF($A491="","",IFERROR(SUMIF(tblAnahtarB[NormB],$A491,tblHakedis[GercekHakedis]),0))</f>
        <v/>
      </c>
      <c r="D491" s="17">
        <f>IF($A491="","",IFERROR(SUMIF(tblMotor[A_Norm],$A491,tblMotor[BeklenenHakedis]),0))</f>
        <v/>
      </c>
      <c r="E491" s="17">
        <f>IF($A491="","",ROUND($D491,2)-ROUND($C491,2))</f>
        <v/>
      </c>
      <c r="F491" s="17">
        <f>IF($A491="","",ABS($E491))</f>
        <v/>
      </c>
      <c r="G491" s="17">
        <f>IF($A491="","",IF($B491=0,"eslesmedi",IF(ROUND($D491,2)=ROUND($C491,2),"eslesti",IF(ABS(ROUND($D491,2)-ROUND($C491,2))&lt;=toleransKurus,"tolerans_icinde","tutar_farki"))))</f>
        <v/>
      </c>
      <c r="H491" s="17">
        <f>IF($A491="","",IF($B491&gt;0,"BIRINCIL",IF(COUNTIF(tblAnahtarB[IkincilB],'ANAHTAR'!$D491)&gt;0,"IKINCIL","YOK")))</f>
        <v/>
      </c>
      <c r="I491" s="17">
        <f>IF($A491="","",'ANAHTAR'!$F491)</f>
        <v/>
      </c>
      <c r="J491" s="17">
        <f>IF(OR($A491="",$D491=0),0,$F491/ABS($D491))</f>
        <v/>
      </c>
      <c r="K491" s="17">
        <f>IF($A491="","",ROUND($D491,2))</f>
        <v/>
      </c>
      <c r="L491" s="17">
        <f>IF($A491="","",ROUND($C491,2))</f>
        <v/>
      </c>
      <c r="M491" s="17">
        <f>IF($A491="","",IF($F491&lt;=toleransKurus,1,0))</f>
        <v/>
      </c>
      <c r="N491" s="17">
        <f>IF($A491="","",IF($F491&gt;tyk_esikFark,1,0))</f>
        <v/>
      </c>
      <c r="O491" s="17">
        <f>IF($A491="","",IFERROR(SUMIF(tblMotor[A_Norm],$A491,tblMotor[NetKar]),0))</f>
        <v/>
      </c>
      <c r="P491" s="17">
        <f>IF($A491="","",$B491+$M491+$N491)</f>
        <v/>
      </c>
    </row>
    <row r="492">
      <c r="A492" s="17">
        <f>IF('ANAHTAR'!$B492="","",'ANAHTAR'!$B492)</f>
        <v/>
      </c>
      <c r="B492" s="17">
        <f>IF($A492="","",COUNTIF(tblAnahtarB[NormB],$A492))</f>
        <v/>
      </c>
      <c r="C492" s="17">
        <f>IF($A492="","",IFERROR(SUMIF(tblAnahtarB[NormB],$A492,tblHakedis[GercekHakedis]),0))</f>
        <v/>
      </c>
      <c r="D492" s="17">
        <f>IF($A492="","",IFERROR(SUMIF(tblMotor[A_Norm],$A492,tblMotor[BeklenenHakedis]),0))</f>
        <v/>
      </c>
      <c r="E492" s="17">
        <f>IF($A492="","",ROUND($D492,2)-ROUND($C492,2))</f>
        <v/>
      </c>
      <c r="F492" s="17">
        <f>IF($A492="","",ABS($E492))</f>
        <v/>
      </c>
      <c r="G492" s="17">
        <f>IF($A492="","",IF($B492=0,"eslesmedi",IF(ROUND($D492,2)=ROUND($C492,2),"eslesti",IF(ABS(ROUND($D492,2)-ROUND($C492,2))&lt;=toleransKurus,"tolerans_icinde","tutar_farki"))))</f>
        <v/>
      </c>
      <c r="H492" s="17">
        <f>IF($A492="","",IF($B492&gt;0,"BIRINCIL",IF(COUNTIF(tblAnahtarB[IkincilB],'ANAHTAR'!$D492)&gt;0,"IKINCIL","YOK")))</f>
        <v/>
      </c>
      <c r="I492" s="17">
        <f>IF($A492="","",'ANAHTAR'!$F492)</f>
        <v/>
      </c>
      <c r="J492" s="17">
        <f>IF(OR($A492="",$D492=0),0,$F492/ABS($D492))</f>
        <v/>
      </c>
      <c r="K492" s="17">
        <f>IF($A492="","",ROUND($D492,2))</f>
        <v/>
      </c>
      <c r="L492" s="17">
        <f>IF($A492="","",ROUND($C492,2))</f>
        <v/>
      </c>
      <c r="M492" s="17">
        <f>IF($A492="","",IF($F492&lt;=toleransKurus,1,0))</f>
        <v/>
      </c>
      <c r="N492" s="17">
        <f>IF($A492="","",IF($F492&gt;tyk_esikFark,1,0))</f>
        <v/>
      </c>
      <c r="O492" s="17">
        <f>IF($A492="","",IFERROR(SUMIF(tblMotor[A_Norm],$A492,tblMotor[NetKar]),0))</f>
        <v/>
      </c>
      <c r="P492" s="17">
        <f>IF($A492="","",$B492+$M492+$N492)</f>
        <v/>
      </c>
    </row>
    <row r="493">
      <c r="A493" s="17">
        <f>IF('ANAHTAR'!$B493="","",'ANAHTAR'!$B493)</f>
        <v/>
      </c>
      <c r="B493" s="17">
        <f>IF($A493="","",COUNTIF(tblAnahtarB[NormB],$A493))</f>
        <v/>
      </c>
      <c r="C493" s="17">
        <f>IF($A493="","",IFERROR(SUMIF(tblAnahtarB[NormB],$A493,tblHakedis[GercekHakedis]),0))</f>
        <v/>
      </c>
      <c r="D493" s="17">
        <f>IF($A493="","",IFERROR(SUMIF(tblMotor[A_Norm],$A493,tblMotor[BeklenenHakedis]),0))</f>
        <v/>
      </c>
      <c r="E493" s="17">
        <f>IF($A493="","",ROUND($D493,2)-ROUND($C493,2))</f>
        <v/>
      </c>
      <c r="F493" s="17">
        <f>IF($A493="","",ABS($E493))</f>
        <v/>
      </c>
      <c r="G493" s="17">
        <f>IF($A493="","",IF($B493=0,"eslesmedi",IF(ROUND($D493,2)=ROUND($C493,2),"eslesti",IF(ABS(ROUND($D493,2)-ROUND($C493,2))&lt;=toleransKurus,"tolerans_icinde","tutar_farki"))))</f>
        <v/>
      </c>
      <c r="H493" s="17">
        <f>IF($A493="","",IF($B493&gt;0,"BIRINCIL",IF(COUNTIF(tblAnahtarB[IkincilB],'ANAHTAR'!$D493)&gt;0,"IKINCIL","YOK")))</f>
        <v/>
      </c>
      <c r="I493" s="17">
        <f>IF($A493="","",'ANAHTAR'!$F493)</f>
        <v/>
      </c>
      <c r="J493" s="17">
        <f>IF(OR($A493="",$D493=0),0,$F493/ABS($D493))</f>
        <v/>
      </c>
      <c r="K493" s="17">
        <f>IF($A493="","",ROUND($D493,2))</f>
        <v/>
      </c>
      <c r="L493" s="17">
        <f>IF($A493="","",ROUND($C493,2))</f>
        <v/>
      </c>
      <c r="M493" s="17">
        <f>IF($A493="","",IF($F493&lt;=toleransKurus,1,0))</f>
        <v/>
      </c>
      <c r="N493" s="17">
        <f>IF($A493="","",IF($F493&gt;tyk_esikFark,1,0))</f>
        <v/>
      </c>
      <c r="O493" s="17">
        <f>IF($A493="","",IFERROR(SUMIF(tblMotor[A_Norm],$A493,tblMotor[NetKar]),0))</f>
        <v/>
      </c>
      <c r="P493" s="17">
        <f>IF($A493="","",$B493+$M493+$N493)</f>
        <v/>
      </c>
    </row>
    <row r="494">
      <c r="A494" s="17">
        <f>IF('ANAHTAR'!$B494="","",'ANAHTAR'!$B494)</f>
        <v/>
      </c>
      <c r="B494" s="17">
        <f>IF($A494="","",COUNTIF(tblAnahtarB[NormB],$A494))</f>
        <v/>
      </c>
      <c r="C494" s="17">
        <f>IF($A494="","",IFERROR(SUMIF(tblAnahtarB[NormB],$A494,tblHakedis[GercekHakedis]),0))</f>
        <v/>
      </c>
      <c r="D494" s="17">
        <f>IF($A494="","",IFERROR(SUMIF(tblMotor[A_Norm],$A494,tblMotor[BeklenenHakedis]),0))</f>
        <v/>
      </c>
      <c r="E494" s="17">
        <f>IF($A494="","",ROUND($D494,2)-ROUND($C494,2))</f>
        <v/>
      </c>
      <c r="F494" s="17">
        <f>IF($A494="","",ABS($E494))</f>
        <v/>
      </c>
      <c r="G494" s="17">
        <f>IF($A494="","",IF($B494=0,"eslesmedi",IF(ROUND($D494,2)=ROUND($C494,2),"eslesti",IF(ABS(ROUND($D494,2)-ROUND($C494,2))&lt;=toleransKurus,"tolerans_icinde","tutar_farki"))))</f>
        <v/>
      </c>
      <c r="H494" s="17">
        <f>IF($A494="","",IF($B494&gt;0,"BIRINCIL",IF(COUNTIF(tblAnahtarB[IkincilB],'ANAHTAR'!$D494)&gt;0,"IKINCIL","YOK")))</f>
        <v/>
      </c>
      <c r="I494" s="17">
        <f>IF($A494="","",'ANAHTAR'!$F494)</f>
        <v/>
      </c>
      <c r="J494" s="17">
        <f>IF(OR($A494="",$D494=0),0,$F494/ABS($D494))</f>
        <v/>
      </c>
      <c r="K494" s="17">
        <f>IF($A494="","",ROUND($D494,2))</f>
        <v/>
      </c>
      <c r="L494" s="17">
        <f>IF($A494="","",ROUND($C494,2))</f>
        <v/>
      </c>
      <c r="M494" s="17">
        <f>IF($A494="","",IF($F494&lt;=toleransKurus,1,0))</f>
        <v/>
      </c>
      <c r="N494" s="17">
        <f>IF($A494="","",IF($F494&gt;tyk_esikFark,1,0))</f>
        <v/>
      </c>
      <c r="O494" s="17">
        <f>IF($A494="","",IFERROR(SUMIF(tblMotor[A_Norm],$A494,tblMotor[NetKar]),0))</f>
        <v/>
      </c>
      <c r="P494" s="17">
        <f>IF($A494="","",$B494+$M494+$N494)</f>
        <v/>
      </c>
    </row>
    <row r="495">
      <c r="A495" s="17">
        <f>IF('ANAHTAR'!$B495="","",'ANAHTAR'!$B495)</f>
        <v/>
      </c>
      <c r="B495" s="17">
        <f>IF($A495="","",COUNTIF(tblAnahtarB[NormB],$A495))</f>
        <v/>
      </c>
      <c r="C495" s="17">
        <f>IF($A495="","",IFERROR(SUMIF(tblAnahtarB[NormB],$A495,tblHakedis[GercekHakedis]),0))</f>
        <v/>
      </c>
      <c r="D495" s="17">
        <f>IF($A495="","",IFERROR(SUMIF(tblMotor[A_Norm],$A495,tblMotor[BeklenenHakedis]),0))</f>
        <v/>
      </c>
      <c r="E495" s="17">
        <f>IF($A495="","",ROUND($D495,2)-ROUND($C495,2))</f>
        <v/>
      </c>
      <c r="F495" s="17">
        <f>IF($A495="","",ABS($E495))</f>
        <v/>
      </c>
      <c r="G495" s="17">
        <f>IF($A495="","",IF($B495=0,"eslesmedi",IF(ROUND($D495,2)=ROUND($C495,2),"eslesti",IF(ABS(ROUND($D495,2)-ROUND($C495,2))&lt;=toleransKurus,"tolerans_icinde","tutar_farki"))))</f>
        <v/>
      </c>
      <c r="H495" s="17">
        <f>IF($A495="","",IF($B495&gt;0,"BIRINCIL",IF(COUNTIF(tblAnahtarB[IkincilB],'ANAHTAR'!$D495)&gt;0,"IKINCIL","YOK")))</f>
        <v/>
      </c>
      <c r="I495" s="17">
        <f>IF($A495="","",'ANAHTAR'!$F495)</f>
        <v/>
      </c>
      <c r="J495" s="17">
        <f>IF(OR($A495="",$D495=0),0,$F495/ABS($D495))</f>
        <v/>
      </c>
      <c r="K495" s="17">
        <f>IF($A495="","",ROUND($D495,2))</f>
        <v/>
      </c>
      <c r="L495" s="17">
        <f>IF($A495="","",ROUND($C495,2))</f>
        <v/>
      </c>
      <c r="M495" s="17">
        <f>IF($A495="","",IF($F495&lt;=toleransKurus,1,0))</f>
        <v/>
      </c>
      <c r="N495" s="17">
        <f>IF($A495="","",IF($F495&gt;tyk_esikFark,1,0))</f>
        <v/>
      </c>
      <c r="O495" s="17">
        <f>IF($A495="","",IFERROR(SUMIF(tblMotor[A_Norm],$A495,tblMotor[NetKar]),0))</f>
        <v/>
      </c>
      <c r="P495" s="17">
        <f>IF($A495="","",$B495+$M495+$N495)</f>
        <v/>
      </c>
    </row>
    <row r="496">
      <c r="A496" s="17">
        <f>IF('ANAHTAR'!$B496="","",'ANAHTAR'!$B496)</f>
        <v/>
      </c>
      <c r="B496" s="17">
        <f>IF($A496="","",COUNTIF(tblAnahtarB[NormB],$A496))</f>
        <v/>
      </c>
      <c r="C496" s="17">
        <f>IF($A496="","",IFERROR(SUMIF(tblAnahtarB[NormB],$A496,tblHakedis[GercekHakedis]),0))</f>
        <v/>
      </c>
      <c r="D496" s="17">
        <f>IF($A496="","",IFERROR(SUMIF(tblMotor[A_Norm],$A496,tblMotor[BeklenenHakedis]),0))</f>
        <v/>
      </c>
      <c r="E496" s="17">
        <f>IF($A496="","",ROUND($D496,2)-ROUND($C496,2))</f>
        <v/>
      </c>
      <c r="F496" s="17">
        <f>IF($A496="","",ABS($E496))</f>
        <v/>
      </c>
      <c r="G496" s="17">
        <f>IF($A496="","",IF($B496=0,"eslesmedi",IF(ROUND($D496,2)=ROUND($C496,2),"eslesti",IF(ABS(ROUND($D496,2)-ROUND($C496,2))&lt;=toleransKurus,"tolerans_icinde","tutar_farki"))))</f>
        <v/>
      </c>
      <c r="H496" s="17">
        <f>IF($A496="","",IF($B496&gt;0,"BIRINCIL",IF(COUNTIF(tblAnahtarB[IkincilB],'ANAHTAR'!$D496)&gt;0,"IKINCIL","YOK")))</f>
        <v/>
      </c>
      <c r="I496" s="17">
        <f>IF($A496="","",'ANAHTAR'!$F496)</f>
        <v/>
      </c>
      <c r="J496" s="17">
        <f>IF(OR($A496="",$D496=0),0,$F496/ABS($D496))</f>
        <v/>
      </c>
      <c r="K496" s="17">
        <f>IF($A496="","",ROUND($D496,2))</f>
        <v/>
      </c>
      <c r="L496" s="17">
        <f>IF($A496="","",ROUND($C496,2))</f>
        <v/>
      </c>
      <c r="M496" s="17">
        <f>IF($A496="","",IF($F496&lt;=toleransKurus,1,0))</f>
        <v/>
      </c>
      <c r="N496" s="17">
        <f>IF($A496="","",IF($F496&gt;tyk_esikFark,1,0))</f>
        <v/>
      </c>
      <c r="O496" s="17">
        <f>IF($A496="","",IFERROR(SUMIF(tblMotor[A_Norm],$A496,tblMotor[NetKar]),0))</f>
        <v/>
      </c>
      <c r="P496" s="17">
        <f>IF($A496="","",$B496+$M496+$N496)</f>
        <v/>
      </c>
    </row>
    <row r="497">
      <c r="A497" s="17">
        <f>IF('ANAHTAR'!$B497="","",'ANAHTAR'!$B497)</f>
        <v/>
      </c>
      <c r="B497" s="17">
        <f>IF($A497="","",COUNTIF(tblAnahtarB[NormB],$A497))</f>
        <v/>
      </c>
      <c r="C497" s="17">
        <f>IF($A497="","",IFERROR(SUMIF(tblAnahtarB[NormB],$A497,tblHakedis[GercekHakedis]),0))</f>
        <v/>
      </c>
      <c r="D497" s="17">
        <f>IF($A497="","",IFERROR(SUMIF(tblMotor[A_Norm],$A497,tblMotor[BeklenenHakedis]),0))</f>
        <v/>
      </c>
      <c r="E497" s="17">
        <f>IF($A497="","",ROUND($D497,2)-ROUND($C497,2))</f>
        <v/>
      </c>
      <c r="F497" s="17">
        <f>IF($A497="","",ABS($E497))</f>
        <v/>
      </c>
      <c r="G497" s="17">
        <f>IF($A497="","",IF($B497=0,"eslesmedi",IF(ROUND($D497,2)=ROUND($C497,2),"eslesti",IF(ABS(ROUND($D497,2)-ROUND($C497,2))&lt;=toleransKurus,"tolerans_icinde","tutar_farki"))))</f>
        <v/>
      </c>
      <c r="H497" s="17">
        <f>IF($A497="","",IF($B497&gt;0,"BIRINCIL",IF(COUNTIF(tblAnahtarB[IkincilB],'ANAHTAR'!$D497)&gt;0,"IKINCIL","YOK")))</f>
        <v/>
      </c>
      <c r="I497" s="17">
        <f>IF($A497="","",'ANAHTAR'!$F497)</f>
        <v/>
      </c>
      <c r="J497" s="17">
        <f>IF(OR($A497="",$D497=0),0,$F497/ABS($D497))</f>
        <v/>
      </c>
      <c r="K497" s="17">
        <f>IF($A497="","",ROUND($D497,2))</f>
        <v/>
      </c>
      <c r="L497" s="17">
        <f>IF($A497="","",ROUND($C497,2))</f>
        <v/>
      </c>
      <c r="M497" s="17">
        <f>IF($A497="","",IF($F497&lt;=toleransKurus,1,0))</f>
        <v/>
      </c>
      <c r="N497" s="17">
        <f>IF($A497="","",IF($F497&gt;tyk_esikFark,1,0))</f>
        <v/>
      </c>
      <c r="O497" s="17">
        <f>IF($A497="","",IFERROR(SUMIF(tblMotor[A_Norm],$A497,tblMotor[NetKar]),0))</f>
        <v/>
      </c>
      <c r="P497" s="17">
        <f>IF($A497="","",$B497+$M497+$N497)</f>
        <v/>
      </c>
    </row>
    <row r="498">
      <c r="A498" s="17">
        <f>IF('ANAHTAR'!$B498="","",'ANAHTAR'!$B498)</f>
        <v/>
      </c>
      <c r="B498" s="17">
        <f>IF($A498="","",COUNTIF(tblAnahtarB[NormB],$A498))</f>
        <v/>
      </c>
      <c r="C498" s="17">
        <f>IF($A498="","",IFERROR(SUMIF(tblAnahtarB[NormB],$A498,tblHakedis[GercekHakedis]),0))</f>
        <v/>
      </c>
      <c r="D498" s="17">
        <f>IF($A498="","",IFERROR(SUMIF(tblMotor[A_Norm],$A498,tblMotor[BeklenenHakedis]),0))</f>
        <v/>
      </c>
      <c r="E498" s="17">
        <f>IF($A498="","",ROUND($D498,2)-ROUND($C498,2))</f>
        <v/>
      </c>
      <c r="F498" s="17">
        <f>IF($A498="","",ABS($E498))</f>
        <v/>
      </c>
      <c r="G498" s="17">
        <f>IF($A498="","",IF($B498=0,"eslesmedi",IF(ROUND($D498,2)=ROUND($C498,2),"eslesti",IF(ABS(ROUND($D498,2)-ROUND($C498,2))&lt;=toleransKurus,"tolerans_icinde","tutar_farki"))))</f>
        <v/>
      </c>
      <c r="H498" s="17">
        <f>IF($A498="","",IF($B498&gt;0,"BIRINCIL",IF(COUNTIF(tblAnahtarB[IkincilB],'ANAHTAR'!$D498)&gt;0,"IKINCIL","YOK")))</f>
        <v/>
      </c>
      <c r="I498" s="17">
        <f>IF($A498="","",'ANAHTAR'!$F498)</f>
        <v/>
      </c>
      <c r="J498" s="17">
        <f>IF(OR($A498="",$D498=0),0,$F498/ABS($D498))</f>
        <v/>
      </c>
      <c r="K498" s="17">
        <f>IF($A498="","",ROUND($D498,2))</f>
        <v/>
      </c>
      <c r="L498" s="17">
        <f>IF($A498="","",ROUND($C498,2))</f>
        <v/>
      </c>
      <c r="M498" s="17">
        <f>IF($A498="","",IF($F498&lt;=toleransKurus,1,0))</f>
        <v/>
      </c>
      <c r="N498" s="17">
        <f>IF($A498="","",IF($F498&gt;tyk_esikFark,1,0))</f>
        <v/>
      </c>
      <c r="O498" s="17">
        <f>IF($A498="","",IFERROR(SUMIF(tblMotor[A_Norm],$A498,tblMotor[NetKar]),0))</f>
        <v/>
      </c>
      <c r="P498" s="17">
        <f>IF($A498="","",$B498+$M498+$N498)</f>
        <v/>
      </c>
    </row>
    <row r="499">
      <c r="A499" s="17">
        <f>IF('ANAHTAR'!$B499="","",'ANAHTAR'!$B499)</f>
        <v/>
      </c>
      <c r="B499" s="17">
        <f>IF($A499="","",COUNTIF(tblAnahtarB[NormB],$A499))</f>
        <v/>
      </c>
      <c r="C499" s="17">
        <f>IF($A499="","",IFERROR(SUMIF(tblAnahtarB[NormB],$A499,tblHakedis[GercekHakedis]),0))</f>
        <v/>
      </c>
      <c r="D499" s="17">
        <f>IF($A499="","",IFERROR(SUMIF(tblMotor[A_Norm],$A499,tblMotor[BeklenenHakedis]),0))</f>
        <v/>
      </c>
      <c r="E499" s="17">
        <f>IF($A499="","",ROUND($D499,2)-ROUND($C499,2))</f>
        <v/>
      </c>
      <c r="F499" s="17">
        <f>IF($A499="","",ABS($E499))</f>
        <v/>
      </c>
      <c r="G499" s="17">
        <f>IF($A499="","",IF($B499=0,"eslesmedi",IF(ROUND($D499,2)=ROUND($C499,2),"eslesti",IF(ABS(ROUND($D499,2)-ROUND($C499,2))&lt;=toleransKurus,"tolerans_icinde","tutar_farki"))))</f>
        <v/>
      </c>
      <c r="H499" s="17">
        <f>IF($A499="","",IF($B499&gt;0,"BIRINCIL",IF(COUNTIF(tblAnahtarB[IkincilB],'ANAHTAR'!$D499)&gt;0,"IKINCIL","YOK")))</f>
        <v/>
      </c>
      <c r="I499" s="17">
        <f>IF($A499="","",'ANAHTAR'!$F499)</f>
        <v/>
      </c>
      <c r="J499" s="17">
        <f>IF(OR($A499="",$D499=0),0,$F499/ABS($D499))</f>
        <v/>
      </c>
      <c r="K499" s="17">
        <f>IF($A499="","",ROUND($D499,2))</f>
        <v/>
      </c>
      <c r="L499" s="17">
        <f>IF($A499="","",ROUND($C499,2))</f>
        <v/>
      </c>
      <c r="M499" s="17">
        <f>IF($A499="","",IF($F499&lt;=toleransKurus,1,0))</f>
        <v/>
      </c>
      <c r="N499" s="17">
        <f>IF($A499="","",IF($F499&gt;tyk_esikFark,1,0))</f>
        <v/>
      </c>
      <c r="O499" s="17">
        <f>IF($A499="","",IFERROR(SUMIF(tblMotor[A_Norm],$A499,tblMotor[NetKar]),0))</f>
        <v/>
      </c>
      <c r="P499" s="17">
        <f>IF($A499="","",$B499+$M499+$N499)</f>
        <v/>
      </c>
    </row>
    <row r="500">
      <c r="A500" s="17">
        <f>IF('ANAHTAR'!$B500="","",'ANAHTAR'!$B500)</f>
        <v/>
      </c>
      <c r="B500" s="17">
        <f>IF($A500="","",COUNTIF(tblAnahtarB[NormB],$A500))</f>
        <v/>
      </c>
      <c r="C500" s="17">
        <f>IF($A500="","",IFERROR(SUMIF(tblAnahtarB[NormB],$A500,tblHakedis[GercekHakedis]),0))</f>
        <v/>
      </c>
      <c r="D500" s="17">
        <f>IF($A500="","",IFERROR(SUMIF(tblMotor[A_Norm],$A500,tblMotor[BeklenenHakedis]),0))</f>
        <v/>
      </c>
      <c r="E500" s="17">
        <f>IF($A500="","",ROUND($D500,2)-ROUND($C500,2))</f>
        <v/>
      </c>
      <c r="F500" s="17">
        <f>IF($A500="","",ABS($E500))</f>
        <v/>
      </c>
      <c r="G500" s="17">
        <f>IF($A500="","",IF($B500=0,"eslesmedi",IF(ROUND($D500,2)=ROUND($C500,2),"eslesti",IF(ABS(ROUND($D500,2)-ROUND($C500,2))&lt;=toleransKurus,"tolerans_icinde","tutar_farki"))))</f>
        <v/>
      </c>
      <c r="H500" s="17">
        <f>IF($A500="","",IF($B500&gt;0,"BIRINCIL",IF(COUNTIF(tblAnahtarB[IkincilB],'ANAHTAR'!$D500)&gt;0,"IKINCIL","YOK")))</f>
        <v/>
      </c>
      <c r="I500" s="17">
        <f>IF($A500="","",'ANAHTAR'!$F500)</f>
        <v/>
      </c>
      <c r="J500" s="17">
        <f>IF(OR($A500="",$D500=0),0,$F500/ABS($D500))</f>
        <v/>
      </c>
      <c r="K500" s="17">
        <f>IF($A500="","",ROUND($D500,2))</f>
        <v/>
      </c>
      <c r="L500" s="17">
        <f>IF($A500="","",ROUND($C500,2))</f>
        <v/>
      </c>
      <c r="M500" s="17">
        <f>IF($A500="","",IF($F500&lt;=toleransKurus,1,0))</f>
        <v/>
      </c>
      <c r="N500" s="17">
        <f>IF($A500="","",IF($F500&gt;tyk_esikFark,1,0))</f>
        <v/>
      </c>
      <c r="O500" s="17">
        <f>IF($A500="","",IFERROR(SUMIF(tblMotor[A_Norm],$A500,tblMotor[NetKar]),0))</f>
        <v/>
      </c>
      <c r="P500" s="17">
        <f>IF($A500="","",$B500+$M500+$N500)</f>
        <v/>
      </c>
    </row>
    <row r="501">
      <c r="A501" s="17">
        <f>IF('ANAHTAR'!$B501="","",'ANAHTAR'!$B501)</f>
        <v/>
      </c>
      <c r="B501" s="17">
        <f>IF($A501="","",COUNTIF(tblAnahtarB[NormB],$A501))</f>
        <v/>
      </c>
      <c r="C501" s="17">
        <f>IF($A501="","",IFERROR(SUMIF(tblAnahtarB[NormB],$A501,tblHakedis[GercekHakedis]),0))</f>
        <v/>
      </c>
      <c r="D501" s="17">
        <f>IF($A501="","",IFERROR(SUMIF(tblMotor[A_Norm],$A501,tblMotor[BeklenenHakedis]),0))</f>
        <v/>
      </c>
      <c r="E501" s="17">
        <f>IF($A501="","",ROUND($D501,2)-ROUND($C501,2))</f>
        <v/>
      </c>
      <c r="F501" s="17">
        <f>IF($A501="","",ABS($E501))</f>
        <v/>
      </c>
      <c r="G501" s="17">
        <f>IF($A501="","",IF($B501=0,"eslesmedi",IF(ROUND($D501,2)=ROUND($C501,2),"eslesti",IF(ABS(ROUND($D501,2)-ROUND($C501,2))&lt;=toleransKurus,"tolerans_icinde","tutar_farki"))))</f>
        <v/>
      </c>
      <c r="H501" s="17">
        <f>IF($A501="","",IF($B501&gt;0,"BIRINCIL",IF(COUNTIF(tblAnahtarB[IkincilB],'ANAHTAR'!$D501)&gt;0,"IKINCIL","YOK")))</f>
        <v/>
      </c>
      <c r="I501" s="17">
        <f>IF($A501="","",'ANAHTAR'!$F501)</f>
        <v/>
      </c>
      <c r="J501" s="17">
        <f>IF(OR($A501="",$D501=0),0,$F501/ABS($D501))</f>
        <v/>
      </c>
      <c r="K501" s="17">
        <f>IF($A501="","",ROUND($D501,2))</f>
        <v/>
      </c>
      <c r="L501" s="17">
        <f>IF($A501="","",ROUND($C501,2))</f>
        <v/>
      </c>
      <c r="M501" s="17">
        <f>IF($A501="","",IF($F501&lt;=toleransKurus,1,0))</f>
        <v/>
      </c>
      <c r="N501" s="17">
        <f>IF($A501="","",IF($F501&gt;tyk_esikFark,1,0))</f>
        <v/>
      </c>
      <c r="O501" s="17">
        <f>IF($A501="","",IFERROR(SUMIF(tblMotor[A_Norm],$A501,tblMotor[NetKar]),0))</f>
        <v/>
      </c>
      <c r="P501" s="17">
        <f>IF($A501="","",$B501+$M501+$N501)</f>
        <v/>
      </c>
    </row>
    <row r="502">
      <c r="A502" s="17">
        <f>IF('ANAHTAR'!$B502="","",'ANAHTAR'!$B502)</f>
        <v/>
      </c>
      <c r="B502" s="17">
        <f>IF($A502="","",COUNTIF(tblAnahtarB[NormB],$A502))</f>
        <v/>
      </c>
      <c r="C502" s="17">
        <f>IF($A502="","",IFERROR(SUMIF(tblAnahtarB[NormB],$A502,tblHakedis[GercekHakedis]),0))</f>
        <v/>
      </c>
      <c r="D502" s="17">
        <f>IF($A502="","",IFERROR(SUMIF(tblMotor[A_Norm],$A502,tblMotor[BeklenenHakedis]),0))</f>
        <v/>
      </c>
      <c r="E502" s="17">
        <f>IF($A502="","",ROUND($D502,2)-ROUND($C502,2))</f>
        <v/>
      </c>
      <c r="F502" s="17">
        <f>IF($A502="","",ABS($E502))</f>
        <v/>
      </c>
      <c r="G502" s="17">
        <f>IF($A502="","",IF($B502=0,"eslesmedi",IF(ROUND($D502,2)=ROUND($C502,2),"eslesti",IF(ABS(ROUND($D502,2)-ROUND($C502,2))&lt;=toleransKurus,"tolerans_icinde","tutar_farki"))))</f>
        <v/>
      </c>
      <c r="H502" s="17">
        <f>IF($A502="","",IF($B502&gt;0,"BIRINCIL",IF(COUNTIF(tblAnahtarB[IkincilB],'ANAHTAR'!$D502)&gt;0,"IKINCIL","YOK")))</f>
        <v/>
      </c>
      <c r="I502" s="17">
        <f>IF($A502="","",'ANAHTAR'!$F502)</f>
        <v/>
      </c>
      <c r="J502" s="17">
        <f>IF(OR($A502="",$D502=0),0,$F502/ABS($D502))</f>
        <v/>
      </c>
      <c r="K502" s="17">
        <f>IF($A502="","",ROUND($D502,2))</f>
        <v/>
      </c>
      <c r="L502" s="17">
        <f>IF($A502="","",ROUND($C502,2))</f>
        <v/>
      </c>
      <c r="M502" s="17">
        <f>IF($A502="","",IF($F502&lt;=toleransKurus,1,0))</f>
        <v/>
      </c>
      <c r="N502" s="17">
        <f>IF($A502="","",IF($F502&gt;tyk_esikFark,1,0))</f>
        <v/>
      </c>
      <c r="O502" s="17">
        <f>IF($A502="","",IFERROR(SUMIF(tblMotor[A_Norm],$A502,tblMotor[NetKar]),0))</f>
        <v/>
      </c>
      <c r="P502" s="17">
        <f>IF($A502="","",$B502+$M502+$N502)</f>
        <v/>
      </c>
    </row>
    <row r="503">
      <c r="A503" s="17">
        <f>IF('ANAHTAR'!$B503="","",'ANAHTAR'!$B503)</f>
        <v/>
      </c>
      <c r="B503" s="17">
        <f>IF($A503="","",COUNTIF(tblAnahtarB[NormB],$A503))</f>
        <v/>
      </c>
      <c r="C503" s="17">
        <f>IF($A503="","",IFERROR(SUMIF(tblAnahtarB[NormB],$A503,tblHakedis[GercekHakedis]),0))</f>
        <v/>
      </c>
      <c r="D503" s="17">
        <f>IF($A503="","",IFERROR(SUMIF(tblMotor[A_Norm],$A503,tblMotor[BeklenenHakedis]),0))</f>
        <v/>
      </c>
      <c r="E503" s="17">
        <f>IF($A503="","",ROUND($D503,2)-ROUND($C503,2))</f>
        <v/>
      </c>
      <c r="F503" s="17">
        <f>IF($A503="","",ABS($E503))</f>
        <v/>
      </c>
      <c r="G503" s="17">
        <f>IF($A503="","",IF($B503=0,"eslesmedi",IF(ROUND($D503,2)=ROUND($C503,2),"eslesti",IF(ABS(ROUND($D503,2)-ROUND($C503,2))&lt;=toleransKurus,"tolerans_icinde","tutar_farki"))))</f>
        <v/>
      </c>
      <c r="H503" s="17">
        <f>IF($A503="","",IF($B503&gt;0,"BIRINCIL",IF(COUNTIF(tblAnahtarB[IkincilB],'ANAHTAR'!$D503)&gt;0,"IKINCIL","YOK")))</f>
        <v/>
      </c>
      <c r="I503" s="17">
        <f>IF($A503="","",'ANAHTAR'!$F503)</f>
        <v/>
      </c>
      <c r="J503" s="17">
        <f>IF(OR($A503="",$D503=0),0,$F503/ABS($D503))</f>
        <v/>
      </c>
      <c r="K503" s="17">
        <f>IF($A503="","",ROUND($D503,2))</f>
        <v/>
      </c>
      <c r="L503" s="17">
        <f>IF($A503="","",ROUND($C503,2))</f>
        <v/>
      </c>
      <c r="M503" s="17">
        <f>IF($A503="","",IF($F503&lt;=toleransKurus,1,0))</f>
        <v/>
      </c>
      <c r="N503" s="17">
        <f>IF($A503="","",IF($F503&gt;tyk_esikFark,1,0))</f>
        <v/>
      </c>
      <c r="O503" s="17">
        <f>IF($A503="","",IFERROR(SUMIF(tblMotor[A_Norm],$A503,tblMotor[NetKar]),0))</f>
        <v/>
      </c>
      <c r="P503" s="17">
        <f>IF($A503="","",$B503+$M503+$N503)</f>
        <v/>
      </c>
    </row>
    <row r="504">
      <c r="A504" s="17">
        <f>IF('ANAHTAR'!$B504="","",'ANAHTAR'!$B504)</f>
        <v/>
      </c>
      <c r="B504" s="17">
        <f>IF($A504="","",COUNTIF(tblAnahtarB[NormB],$A504))</f>
        <v/>
      </c>
      <c r="C504" s="17">
        <f>IF($A504="","",IFERROR(SUMIF(tblAnahtarB[NormB],$A504,tblHakedis[GercekHakedis]),0))</f>
        <v/>
      </c>
      <c r="D504" s="17">
        <f>IF($A504="","",IFERROR(SUMIF(tblMotor[A_Norm],$A504,tblMotor[BeklenenHakedis]),0))</f>
        <v/>
      </c>
      <c r="E504" s="17">
        <f>IF($A504="","",ROUND($D504,2)-ROUND($C504,2))</f>
        <v/>
      </c>
      <c r="F504" s="17">
        <f>IF($A504="","",ABS($E504))</f>
        <v/>
      </c>
      <c r="G504" s="17">
        <f>IF($A504="","",IF($B504=0,"eslesmedi",IF(ROUND($D504,2)=ROUND($C504,2),"eslesti",IF(ABS(ROUND($D504,2)-ROUND($C504,2))&lt;=toleransKurus,"tolerans_icinde","tutar_farki"))))</f>
        <v/>
      </c>
      <c r="H504" s="17">
        <f>IF($A504="","",IF($B504&gt;0,"BIRINCIL",IF(COUNTIF(tblAnahtarB[IkincilB],'ANAHTAR'!$D504)&gt;0,"IKINCIL","YOK")))</f>
        <v/>
      </c>
      <c r="I504" s="17">
        <f>IF($A504="","",'ANAHTAR'!$F504)</f>
        <v/>
      </c>
      <c r="J504" s="17">
        <f>IF(OR($A504="",$D504=0),0,$F504/ABS($D504))</f>
        <v/>
      </c>
      <c r="K504" s="17">
        <f>IF($A504="","",ROUND($D504,2))</f>
        <v/>
      </c>
      <c r="L504" s="17">
        <f>IF($A504="","",ROUND($C504,2))</f>
        <v/>
      </c>
      <c r="M504" s="17">
        <f>IF($A504="","",IF($F504&lt;=toleransKurus,1,0))</f>
        <v/>
      </c>
      <c r="N504" s="17">
        <f>IF($A504="","",IF($F504&gt;tyk_esikFark,1,0))</f>
        <v/>
      </c>
      <c r="O504" s="17">
        <f>IF($A504="","",IFERROR(SUMIF(tblMotor[A_Norm],$A504,tblMotor[NetKar]),0))</f>
        <v/>
      </c>
      <c r="P504" s="17">
        <f>IF($A504="","",$B504+$M504+$N504)</f>
        <v/>
      </c>
    </row>
    <row r="505">
      <c r="A505" s="17">
        <f>IF('ANAHTAR'!$B505="","",'ANAHTAR'!$B505)</f>
        <v/>
      </c>
      <c r="B505" s="17">
        <f>IF($A505="","",COUNTIF(tblAnahtarB[NormB],$A505))</f>
        <v/>
      </c>
      <c r="C505" s="17">
        <f>IF($A505="","",IFERROR(SUMIF(tblAnahtarB[NormB],$A505,tblHakedis[GercekHakedis]),0))</f>
        <v/>
      </c>
      <c r="D505" s="17">
        <f>IF($A505="","",IFERROR(SUMIF(tblMotor[A_Norm],$A505,tblMotor[BeklenenHakedis]),0))</f>
        <v/>
      </c>
      <c r="E505" s="17">
        <f>IF($A505="","",ROUND($D505,2)-ROUND($C505,2))</f>
        <v/>
      </c>
      <c r="F505" s="17">
        <f>IF($A505="","",ABS($E505))</f>
        <v/>
      </c>
      <c r="G505" s="17">
        <f>IF($A505="","",IF($B505=0,"eslesmedi",IF(ROUND($D505,2)=ROUND($C505,2),"eslesti",IF(ABS(ROUND($D505,2)-ROUND($C505,2))&lt;=toleransKurus,"tolerans_icinde","tutar_farki"))))</f>
        <v/>
      </c>
      <c r="H505" s="17">
        <f>IF($A505="","",IF($B505&gt;0,"BIRINCIL",IF(COUNTIF(tblAnahtarB[IkincilB],'ANAHTAR'!$D505)&gt;0,"IKINCIL","YOK")))</f>
        <v/>
      </c>
      <c r="I505" s="17">
        <f>IF($A505="","",'ANAHTAR'!$F505)</f>
        <v/>
      </c>
      <c r="J505" s="17">
        <f>IF(OR($A505="",$D505=0),0,$F505/ABS($D505))</f>
        <v/>
      </c>
      <c r="K505" s="17">
        <f>IF($A505="","",ROUND($D505,2))</f>
        <v/>
      </c>
      <c r="L505" s="17">
        <f>IF($A505="","",ROUND($C505,2))</f>
        <v/>
      </c>
      <c r="M505" s="17">
        <f>IF($A505="","",IF($F505&lt;=toleransKurus,1,0))</f>
        <v/>
      </c>
      <c r="N505" s="17">
        <f>IF($A505="","",IF($F505&gt;tyk_esikFark,1,0))</f>
        <v/>
      </c>
      <c r="O505" s="17">
        <f>IF($A505="","",IFERROR(SUMIF(tblMotor[A_Norm],$A505,tblMotor[NetKar]),0))</f>
        <v/>
      </c>
      <c r="P505" s="17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505">
    <cfRule type="cellIs" priority="1" operator="equal" dxfId="2">
      <formula>"eslesti"</formula>
    </cfRule>
    <cfRule type="cellIs" priority="2" operator="equal" dxfId="0">
      <formula>"tutar_farki"</formula>
    </cfRule>
    <cfRule type="cellIs" priority="3" operator="equal" dxfId="1">
      <formula>"eslesmedi"</formula>
    </cfRule>
    <cfRule type="cellIs" priority="4" operator="equal" dxfId="0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/>
  </sheetPr>
  <dimension ref="A1:N5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KOK NEDEN — Trendyol Komisyon Sonrası Net Kâr Hesaplama</t>
        </is>
      </c>
    </row>
    <row r="3" ht="20" customHeight="1">
      <c r="A3" s="10" t="inlineStr">
        <is>
          <t>TYK-001..005 kök neden — eşleşmeyen fark TANIMSIZ</t>
        </is>
      </c>
    </row>
    <row r="4">
      <c r="A4" s="19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20" t="n">
        <v>1</v>
      </c>
      <c r="B6" s="19" t="inlineStr">
        <is>
          <t>TYK-001</t>
        </is>
      </c>
      <c r="C6" s="8" t="inlineStr">
        <is>
          <t>ABS(fark-komisyon)&lt;=toleransKurus</t>
        </is>
      </c>
      <c r="D6" s="8" t="inlineStr">
        <is>
          <t>Kategori komisyon sapması</t>
        </is>
      </c>
    </row>
    <row r="7">
      <c r="A7" s="20" t="n">
        <v>2</v>
      </c>
      <c r="B7" s="19" t="inlineStr">
        <is>
          <t>TYK-002</t>
        </is>
      </c>
      <c r="C7" s="8" t="inlineStr">
        <is>
          <t>ABS(fark-typlus)&lt;=toleransKurus</t>
        </is>
      </c>
      <c r="D7" s="8" t="inlineStr">
        <is>
          <t>TY Plus kesintisi</t>
        </is>
      </c>
    </row>
    <row r="8">
      <c r="A8" s="20" t="n">
        <v>3</v>
      </c>
      <c r="B8" s="19" t="inlineStr">
        <is>
          <t>TYK-003</t>
        </is>
      </c>
      <c r="C8" s="8" t="inlineStr">
        <is>
          <t>ABS(fark-flas)&lt;=toleransKurus</t>
        </is>
      </c>
      <c r="D8" s="8" t="inlineStr">
        <is>
          <t>Flaş kampanya kesintisi</t>
        </is>
      </c>
    </row>
    <row r="9">
      <c r="A9" s="20" t="n">
        <v>4</v>
      </c>
      <c r="B9" s="19" t="inlineStr">
        <is>
          <t>TYK-004</t>
        </is>
      </c>
      <c r="C9" s="8" t="inlineStr">
        <is>
          <t>ABS(fark-reklam)&lt;=toleransKurus</t>
        </is>
      </c>
      <c r="D9" s="8" t="inlineStr">
        <is>
          <t>Ürün reklamı kesintisi</t>
        </is>
      </c>
    </row>
    <row r="10">
      <c r="A10" s="20" t="n">
        <v>5</v>
      </c>
      <c r="B10" s="19" t="inlineStr">
        <is>
          <t>TYK-005</t>
        </is>
      </c>
      <c r="C10" s="8" t="inlineStr">
        <is>
          <t>ABS(fark-desi)&lt;=toleransKurus</t>
        </is>
      </c>
      <c r="D10" s="8" t="inlineStr">
        <is>
          <t>Desi kargo kesintisi</t>
        </is>
      </c>
    </row>
    <row r="11">
      <c r="A11" s="20" t="n">
        <v>6</v>
      </c>
      <c r="B11" s="21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2" t="inlineStr">
        <is>
          <t>TANIMSIZ kovası görünür tutulur — zorla sınıflandırma yok. Elle inceleyin.</t>
        </is>
      </c>
    </row>
    <row r="14">
      <c r="A14" s="18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Komisyon</t>
        </is>
      </c>
      <c r="E15" s="12" t="inlineStr">
        <is>
          <t>TyPlus</t>
        </is>
      </c>
      <c r="F15" s="12" t="inlineStr">
        <is>
          <t>Flas</t>
        </is>
      </c>
      <c r="G15" s="12" t="inlineStr">
        <is>
          <t>Reklam</t>
        </is>
      </c>
      <c r="H15" s="12" t="inlineStr">
        <is>
          <t>Desi</t>
        </is>
      </c>
      <c r="I15" s="12" t="inlineStr">
        <is>
          <t>KokNeden</t>
        </is>
      </c>
    </row>
    <row r="16">
      <c r="A16" s="23">
        <f>IF('ESLESTIRME'!$A16="","",'ESLESTIRME'!$A16)</f>
        <v/>
      </c>
      <c r="B16" s="17">
        <f>IF($A16="","",IFERROR(INDEX(tblEslesme[Kova],MATCH($A16,tblEslesme[A_Norm],0)),""))</f>
        <v/>
      </c>
      <c r="C16" s="17">
        <f>IF($A16="","",IFERROR(INDEX(tblEslesme[AbsFark],MATCH($A16,tblEslesme[A_Norm],0)),0))</f>
        <v/>
      </c>
      <c r="D16" s="17">
        <f>IF($A16="","",IFERROR(SUMIF(tblMotor[A_Norm],$A16,tblMotor[KomisyonTutar]),0))</f>
        <v/>
      </c>
      <c r="E16" s="17">
        <f>IF($A16="","",IFERROR(SUMIF(tblMotor[A_Norm],$A16,tblMotor[TyPlus]),0))</f>
        <v/>
      </c>
      <c r="F16" s="17">
        <f>IF($A16="","",IFERROR(SUMIF(tblMotor[A_Norm],$A16,tblMotor[FlasKesinti]),0))</f>
        <v/>
      </c>
      <c r="G16" s="17">
        <f>IF($A16="","",IFERROR(SUMIF(tblMotor[A_Norm],$A16,tblMotor[UrunReklam]),0))</f>
        <v/>
      </c>
      <c r="H16" s="17">
        <f>IF($A16="","",IFERROR(SUMIF(tblMotor[A_Norm],$A16,tblMotor[DesiKargo]),0))</f>
        <v/>
      </c>
      <c r="I16" s="17">
        <f>IF(OR($A16="",$B16&lt;&gt;"tutar_farki"),"",IF(ABS($C16-$D16)&lt;=toleransKurus,"TYK-001",IF(ABS($C16-$E16)&lt;=toleransKurus,"TYK-002",IF(ABS($C16-$F16)&lt;=toleransKurus,"TYK-003",IF(ABS($C16-$G16)&lt;=toleransKurus,"TYK-004",IF(ABS($C16-$H16)&lt;=toleransKurus,"TYK-005","TANIMSIZ"))))))</f>
        <v/>
      </c>
    </row>
    <row r="17">
      <c r="A17" s="23">
        <f>IF('ESLESTIRME'!$A17="","",'ESLESTIRME'!$A17)</f>
        <v/>
      </c>
      <c r="B17" s="17">
        <f>IF($A17="","",IFERROR(INDEX(tblEslesme[Kova],MATCH($A17,tblEslesme[A_Norm],0)),""))</f>
        <v/>
      </c>
      <c r="C17" s="17">
        <f>IF($A17="","",IFERROR(INDEX(tblEslesme[AbsFark],MATCH($A17,tblEslesme[A_Norm],0)),0))</f>
        <v/>
      </c>
      <c r="D17" s="17">
        <f>IF($A17="","",IFERROR(SUMIF(tblMotor[A_Norm],$A17,tblMotor[KomisyonTutar]),0))</f>
        <v/>
      </c>
      <c r="E17" s="17">
        <f>IF($A17="","",IFERROR(SUMIF(tblMotor[A_Norm],$A17,tblMotor[TyPlus]),0))</f>
        <v/>
      </c>
      <c r="F17" s="17">
        <f>IF($A17="","",IFERROR(SUMIF(tblMotor[A_Norm],$A17,tblMotor[FlasKesinti]),0))</f>
        <v/>
      </c>
      <c r="G17" s="17">
        <f>IF($A17="","",IFERROR(SUMIF(tblMotor[A_Norm],$A17,tblMotor[UrunReklam]),0))</f>
        <v/>
      </c>
      <c r="H17" s="17">
        <f>IF($A17="","",IFERROR(SUMIF(tblMotor[A_Norm],$A17,tblMotor[DesiKargo]),0))</f>
        <v/>
      </c>
      <c r="I17" s="17">
        <f>IF(OR($A17="",$B17&lt;&gt;"tutar_farki"),"",IF(ABS($C17-$D17)&lt;=toleransKurus,"TYK-001",IF(ABS($C17-$E17)&lt;=toleransKurus,"TYK-002",IF(ABS($C17-$F17)&lt;=toleransKurus,"TYK-003",IF(ABS($C17-$G17)&lt;=toleransKurus,"TYK-004",IF(ABS($C17-$H17)&lt;=toleransKurus,"TYK-005","TANIMSIZ"))))))</f>
        <v/>
      </c>
    </row>
    <row r="18">
      <c r="A18" s="23">
        <f>IF('ESLESTIRME'!$A18="","",'ESLESTIRME'!$A18)</f>
        <v/>
      </c>
      <c r="B18" s="17">
        <f>IF($A18="","",IFERROR(INDEX(tblEslesme[Kova],MATCH($A18,tblEslesme[A_Norm],0)),""))</f>
        <v/>
      </c>
      <c r="C18" s="17">
        <f>IF($A18="","",IFERROR(INDEX(tblEslesme[AbsFark],MATCH($A18,tblEslesme[A_Norm],0)),0))</f>
        <v/>
      </c>
      <c r="D18" s="17">
        <f>IF($A18="","",IFERROR(SUMIF(tblMotor[A_Norm],$A18,tblMotor[KomisyonTutar]),0))</f>
        <v/>
      </c>
      <c r="E18" s="17">
        <f>IF($A18="","",IFERROR(SUMIF(tblMotor[A_Norm],$A18,tblMotor[TyPlus]),0))</f>
        <v/>
      </c>
      <c r="F18" s="17">
        <f>IF($A18="","",IFERROR(SUMIF(tblMotor[A_Norm],$A18,tblMotor[FlasKesinti]),0))</f>
        <v/>
      </c>
      <c r="G18" s="17">
        <f>IF($A18="","",IFERROR(SUMIF(tblMotor[A_Norm],$A18,tblMotor[UrunReklam]),0))</f>
        <v/>
      </c>
      <c r="H18" s="17">
        <f>IF($A18="","",IFERROR(SUMIF(tblMotor[A_Norm],$A18,tblMotor[DesiKargo]),0))</f>
        <v/>
      </c>
      <c r="I18" s="17">
        <f>IF(OR($A18="",$B18&lt;&gt;"tutar_farki"),"",IF(ABS($C18-$D18)&lt;=toleransKurus,"TYK-001",IF(ABS($C18-$E18)&lt;=toleransKurus,"TYK-002",IF(ABS($C18-$F18)&lt;=toleransKurus,"TYK-003",IF(ABS($C18-$G18)&lt;=toleransKurus,"TYK-004",IF(ABS($C18-$H18)&lt;=toleransKurus,"TYK-005","TANIMSIZ"))))))</f>
        <v/>
      </c>
    </row>
    <row r="19">
      <c r="A19" s="23">
        <f>IF('ESLESTIRME'!$A19="","",'ESLESTIRME'!$A19)</f>
        <v/>
      </c>
      <c r="B19" s="17">
        <f>IF($A19="","",IFERROR(INDEX(tblEslesme[Kova],MATCH($A19,tblEslesme[A_Norm],0)),""))</f>
        <v/>
      </c>
      <c r="C19" s="17">
        <f>IF($A19="","",IFERROR(INDEX(tblEslesme[AbsFark],MATCH($A19,tblEslesme[A_Norm],0)),0))</f>
        <v/>
      </c>
      <c r="D19" s="17">
        <f>IF($A19="","",IFERROR(SUMIF(tblMotor[A_Norm],$A19,tblMotor[KomisyonTutar]),0))</f>
        <v/>
      </c>
      <c r="E19" s="17">
        <f>IF($A19="","",IFERROR(SUMIF(tblMotor[A_Norm],$A19,tblMotor[TyPlus]),0))</f>
        <v/>
      </c>
      <c r="F19" s="17">
        <f>IF($A19="","",IFERROR(SUMIF(tblMotor[A_Norm],$A19,tblMotor[FlasKesinti]),0))</f>
        <v/>
      </c>
      <c r="G19" s="17">
        <f>IF($A19="","",IFERROR(SUMIF(tblMotor[A_Norm],$A19,tblMotor[UrunReklam]),0))</f>
        <v/>
      </c>
      <c r="H19" s="17">
        <f>IF($A19="","",IFERROR(SUMIF(tblMotor[A_Norm],$A19,tblMotor[DesiKargo]),0))</f>
        <v/>
      </c>
      <c r="I19" s="17">
        <f>IF(OR($A19="",$B19&lt;&gt;"tutar_farki"),"",IF(ABS($C19-$D19)&lt;=toleransKurus,"TYK-001",IF(ABS($C19-$E19)&lt;=toleransKurus,"TYK-002",IF(ABS($C19-$F19)&lt;=toleransKurus,"TYK-003",IF(ABS($C19-$G19)&lt;=toleransKurus,"TYK-004",IF(ABS($C19-$H19)&lt;=toleransKurus,"TYK-005","TANIMSIZ"))))))</f>
        <v/>
      </c>
    </row>
    <row r="20">
      <c r="A20" s="23">
        <f>IF('ESLESTIRME'!$A20="","",'ESLESTIRME'!$A20)</f>
        <v/>
      </c>
      <c r="B20" s="17">
        <f>IF($A20="","",IFERROR(INDEX(tblEslesme[Kova],MATCH($A20,tblEslesme[A_Norm],0)),""))</f>
        <v/>
      </c>
      <c r="C20" s="17">
        <f>IF($A20="","",IFERROR(INDEX(tblEslesme[AbsFark],MATCH($A20,tblEslesme[A_Norm],0)),0))</f>
        <v/>
      </c>
      <c r="D20" s="17">
        <f>IF($A20="","",IFERROR(SUMIF(tblMotor[A_Norm],$A20,tblMotor[KomisyonTutar]),0))</f>
        <v/>
      </c>
      <c r="E20" s="17">
        <f>IF($A20="","",IFERROR(SUMIF(tblMotor[A_Norm],$A20,tblMotor[TyPlus]),0))</f>
        <v/>
      </c>
      <c r="F20" s="17">
        <f>IF($A20="","",IFERROR(SUMIF(tblMotor[A_Norm],$A20,tblMotor[FlasKesinti]),0))</f>
        <v/>
      </c>
      <c r="G20" s="17">
        <f>IF($A20="","",IFERROR(SUMIF(tblMotor[A_Norm],$A20,tblMotor[UrunReklam]),0))</f>
        <v/>
      </c>
      <c r="H20" s="17">
        <f>IF($A20="","",IFERROR(SUMIF(tblMotor[A_Norm],$A20,tblMotor[DesiKargo]),0))</f>
        <v/>
      </c>
      <c r="I20" s="17">
        <f>IF(OR($A20="",$B20&lt;&gt;"tutar_farki"),"",IF(ABS($C20-$D20)&lt;=toleransKurus,"TYK-001",IF(ABS($C20-$E20)&lt;=toleransKurus,"TYK-002",IF(ABS($C20-$F20)&lt;=toleransKurus,"TYK-003",IF(ABS($C20-$G20)&lt;=toleransKurus,"TYK-004",IF(ABS($C20-$H20)&lt;=toleransKurus,"TYK-005","TANIMSIZ"))))))</f>
        <v/>
      </c>
    </row>
    <row r="21">
      <c r="A21" s="23">
        <f>IF('ESLESTIRME'!$A21="","",'ESLESTIRME'!$A21)</f>
        <v/>
      </c>
      <c r="B21" s="17">
        <f>IF($A21="","",IFERROR(INDEX(tblEslesme[Kova],MATCH($A21,tblEslesme[A_Norm],0)),""))</f>
        <v/>
      </c>
      <c r="C21" s="17">
        <f>IF($A21="","",IFERROR(INDEX(tblEslesme[AbsFark],MATCH($A21,tblEslesme[A_Norm],0)),0))</f>
        <v/>
      </c>
      <c r="D21" s="17">
        <f>IF($A21="","",IFERROR(SUMIF(tblMotor[A_Norm],$A21,tblMotor[KomisyonTutar]),0))</f>
        <v/>
      </c>
      <c r="E21" s="17">
        <f>IF($A21="","",IFERROR(SUMIF(tblMotor[A_Norm],$A21,tblMotor[TyPlus]),0))</f>
        <v/>
      </c>
      <c r="F21" s="17">
        <f>IF($A21="","",IFERROR(SUMIF(tblMotor[A_Norm],$A21,tblMotor[FlasKesinti]),0))</f>
        <v/>
      </c>
      <c r="G21" s="17">
        <f>IF($A21="","",IFERROR(SUMIF(tblMotor[A_Norm],$A21,tblMotor[UrunReklam]),0))</f>
        <v/>
      </c>
      <c r="H21" s="17">
        <f>IF($A21="","",IFERROR(SUMIF(tblMotor[A_Norm],$A21,tblMotor[DesiKargo]),0))</f>
        <v/>
      </c>
      <c r="I21" s="17">
        <f>IF(OR($A21="",$B21&lt;&gt;"tutar_farki"),"",IF(ABS($C21-$D21)&lt;=toleransKurus,"TYK-001",IF(ABS($C21-$E21)&lt;=toleransKurus,"TYK-002",IF(ABS($C21-$F21)&lt;=toleransKurus,"TYK-003",IF(ABS($C21-$G21)&lt;=toleransKurus,"TYK-004",IF(ABS($C21-$H21)&lt;=toleransKurus,"TYK-005","TANIMSIZ"))))))</f>
        <v/>
      </c>
    </row>
    <row r="22">
      <c r="A22" s="23">
        <f>IF('ESLESTIRME'!$A22="","",'ESLESTIRME'!$A22)</f>
        <v/>
      </c>
      <c r="B22" s="17">
        <f>IF($A22="","",IFERROR(INDEX(tblEslesme[Kova],MATCH($A22,tblEslesme[A_Norm],0)),""))</f>
        <v/>
      </c>
      <c r="C22" s="17">
        <f>IF($A22="","",IFERROR(INDEX(tblEslesme[AbsFark],MATCH($A22,tblEslesme[A_Norm],0)),0))</f>
        <v/>
      </c>
      <c r="D22" s="17">
        <f>IF($A22="","",IFERROR(SUMIF(tblMotor[A_Norm],$A22,tblMotor[KomisyonTutar]),0))</f>
        <v/>
      </c>
      <c r="E22" s="17">
        <f>IF($A22="","",IFERROR(SUMIF(tblMotor[A_Norm],$A22,tblMotor[TyPlus]),0))</f>
        <v/>
      </c>
      <c r="F22" s="17">
        <f>IF($A22="","",IFERROR(SUMIF(tblMotor[A_Norm],$A22,tblMotor[FlasKesinti]),0))</f>
        <v/>
      </c>
      <c r="G22" s="17">
        <f>IF($A22="","",IFERROR(SUMIF(tblMotor[A_Norm],$A22,tblMotor[UrunReklam]),0))</f>
        <v/>
      </c>
      <c r="H22" s="17">
        <f>IF($A22="","",IFERROR(SUMIF(tblMotor[A_Norm],$A22,tblMotor[DesiKargo]),0))</f>
        <v/>
      </c>
      <c r="I22" s="17">
        <f>IF(OR($A22="",$B22&lt;&gt;"tutar_farki"),"",IF(ABS($C22-$D22)&lt;=toleransKurus,"TYK-001",IF(ABS($C22-$E22)&lt;=toleransKurus,"TYK-002",IF(ABS($C22-$F22)&lt;=toleransKurus,"TYK-003",IF(ABS($C22-$G22)&lt;=toleransKurus,"TYK-004",IF(ABS($C22-$H22)&lt;=toleransKurus,"TYK-005","TANIMSIZ"))))))</f>
        <v/>
      </c>
    </row>
    <row r="23">
      <c r="A23" s="23">
        <f>IF('ESLESTIRME'!$A23="","",'ESLESTIRME'!$A23)</f>
        <v/>
      </c>
      <c r="B23" s="17">
        <f>IF($A23="","",IFERROR(INDEX(tblEslesme[Kova],MATCH($A23,tblEslesme[A_Norm],0)),""))</f>
        <v/>
      </c>
      <c r="C23" s="17">
        <f>IF($A23="","",IFERROR(INDEX(tblEslesme[AbsFark],MATCH($A23,tblEslesme[A_Norm],0)),0))</f>
        <v/>
      </c>
      <c r="D23" s="17">
        <f>IF($A23="","",IFERROR(SUMIF(tblMotor[A_Norm],$A23,tblMotor[KomisyonTutar]),0))</f>
        <v/>
      </c>
      <c r="E23" s="17">
        <f>IF($A23="","",IFERROR(SUMIF(tblMotor[A_Norm],$A23,tblMotor[TyPlus]),0))</f>
        <v/>
      </c>
      <c r="F23" s="17">
        <f>IF($A23="","",IFERROR(SUMIF(tblMotor[A_Norm],$A23,tblMotor[FlasKesinti]),0))</f>
        <v/>
      </c>
      <c r="G23" s="17">
        <f>IF($A23="","",IFERROR(SUMIF(tblMotor[A_Norm],$A23,tblMotor[UrunReklam]),0))</f>
        <v/>
      </c>
      <c r="H23" s="17">
        <f>IF($A23="","",IFERROR(SUMIF(tblMotor[A_Norm],$A23,tblMotor[DesiKargo]),0))</f>
        <v/>
      </c>
      <c r="I23" s="17">
        <f>IF(OR($A23="",$B23&lt;&gt;"tutar_farki"),"",IF(ABS($C23-$D23)&lt;=toleransKurus,"TYK-001",IF(ABS($C23-$E23)&lt;=toleransKurus,"TYK-002",IF(ABS($C23-$F23)&lt;=toleransKurus,"TYK-003",IF(ABS($C23-$G23)&lt;=toleransKurus,"TYK-004",IF(ABS($C23-$H23)&lt;=toleransKurus,"TYK-005","TANIMSIZ"))))))</f>
        <v/>
      </c>
    </row>
    <row r="24">
      <c r="A24" s="23">
        <f>IF('ESLESTIRME'!$A24="","",'ESLESTIRME'!$A24)</f>
        <v/>
      </c>
      <c r="B24" s="17">
        <f>IF($A24="","",IFERROR(INDEX(tblEslesme[Kova],MATCH($A24,tblEslesme[A_Norm],0)),""))</f>
        <v/>
      </c>
      <c r="C24" s="17">
        <f>IF($A24="","",IFERROR(INDEX(tblEslesme[AbsFark],MATCH($A24,tblEslesme[A_Norm],0)),0))</f>
        <v/>
      </c>
      <c r="D24" s="17">
        <f>IF($A24="","",IFERROR(SUMIF(tblMotor[A_Norm],$A24,tblMotor[KomisyonTutar]),0))</f>
        <v/>
      </c>
      <c r="E24" s="17">
        <f>IF($A24="","",IFERROR(SUMIF(tblMotor[A_Norm],$A24,tblMotor[TyPlus]),0))</f>
        <v/>
      </c>
      <c r="F24" s="17">
        <f>IF($A24="","",IFERROR(SUMIF(tblMotor[A_Norm],$A24,tblMotor[FlasKesinti]),0))</f>
        <v/>
      </c>
      <c r="G24" s="17">
        <f>IF($A24="","",IFERROR(SUMIF(tblMotor[A_Norm],$A24,tblMotor[UrunReklam]),0))</f>
        <v/>
      </c>
      <c r="H24" s="17">
        <f>IF($A24="","",IFERROR(SUMIF(tblMotor[A_Norm],$A24,tblMotor[DesiKargo]),0))</f>
        <v/>
      </c>
      <c r="I24" s="17">
        <f>IF(OR($A24="",$B24&lt;&gt;"tutar_farki"),"",IF(ABS($C24-$D24)&lt;=toleransKurus,"TYK-001",IF(ABS($C24-$E24)&lt;=toleransKurus,"TYK-002",IF(ABS($C24-$F24)&lt;=toleransKurus,"TYK-003",IF(ABS($C24-$G24)&lt;=toleransKurus,"TYK-004",IF(ABS($C24-$H24)&lt;=toleransKurus,"TYK-005","TANIMSIZ"))))))</f>
        <v/>
      </c>
    </row>
    <row r="25">
      <c r="A25" s="23">
        <f>IF('ESLESTIRME'!$A25="","",'ESLESTIRME'!$A25)</f>
        <v/>
      </c>
      <c r="B25" s="17">
        <f>IF($A25="","",IFERROR(INDEX(tblEslesme[Kova],MATCH($A25,tblEslesme[A_Norm],0)),""))</f>
        <v/>
      </c>
      <c r="C25" s="17">
        <f>IF($A25="","",IFERROR(INDEX(tblEslesme[AbsFark],MATCH($A25,tblEslesme[A_Norm],0)),0))</f>
        <v/>
      </c>
      <c r="D25" s="17">
        <f>IF($A25="","",IFERROR(SUMIF(tblMotor[A_Norm],$A25,tblMotor[KomisyonTutar]),0))</f>
        <v/>
      </c>
      <c r="E25" s="17">
        <f>IF($A25="","",IFERROR(SUMIF(tblMotor[A_Norm],$A25,tblMotor[TyPlus]),0))</f>
        <v/>
      </c>
      <c r="F25" s="17">
        <f>IF($A25="","",IFERROR(SUMIF(tblMotor[A_Norm],$A25,tblMotor[FlasKesinti]),0))</f>
        <v/>
      </c>
      <c r="G25" s="17">
        <f>IF($A25="","",IFERROR(SUMIF(tblMotor[A_Norm],$A25,tblMotor[UrunReklam]),0))</f>
        <v/>
      </c>
      <c r="H25" s="17">
        <f>IF($A25="","",IFERROR(SUMIF(tblMotor[A_Norm],$A25,tblMotor[DesiKargo]),0))</f>
        <v/>
      </c>
      <c r="I25" s="17">
        <f>IF(OR($A25="",$B25&lt;&gt;"tutar_farki"),"",IF(ABS($C25-$D25)&lt;=toleransKurus,"TYK-001",IF(ABS($C25-$E25)&lt;=toleransKurus,"TYK-002",IF(ABS($C25-$F25)&lt;=toleransKurus,"TYK-003",IF(ABS($C25-$G25)&lt;=toleransKurus,"TYK-004",IF(ABS($C25-$H25)&lt;=toleransKurus,"TYK-005","TANIMSIZ"))))))</f>
        <v/>
      </c>
    </row>
    <row r="26">
      <c r="A26" s="23">
        <f>IF('ESLESTIRME'!$A26="","",'ESLESTIRME'!$A26)</f>
        <v/>
      </c>
      <c r="B26" s="17">
        <f>IF($A26="","",IFERROR(INDEX(tblEslesme[Kova],MATCH($A26,tblEslesme[A_Norm],0)),""))</f>
        <v/>
      </c>
      <c r="C26" s="17">
        <f>IF($A26="","",IFERROR(INDEX(tblEslesme[AbsFark],MATCH($A26,tblEslesme[A_Norm],0)),0))</f>
        <v/>
      </c>
      <c r="D26" s="17">
        <f>IF($A26="","",IFERROR(SUMIF(tblMotor[A_Norm],$A26,tblMotor[KomisyonTutar]),0))</f>
        <v/>
      </c>
      <c r="E26" s="17">
        <f>IF($A26="","",IFERROR(SUMIF(tblMotor[A_Norm],$A26,tblMotor[TyPlus]),0))</f>
        <v/>
      </c>
      <c r="F26" s="17">
        <f>IF($A26="","",IFERROR(SUMIF(tblMotor[A_Norm],$A26,tblMotor[FlasKesinti]),0))</f>
        <v/>
      </c>
      <c r="G26" s="17">
        <f>IF($A26="","",IFERROR(SUMIF(tblMotor[A_Norm],$A26,tblMotor[UrunReklam]),0))</f>
        <v/>
      </c>
      <c r="H26" s="17">
        <f>IF($A26="","",IFERROR(SUMIF(tblMotor[A_Norm],$A26,tblMotor[DesiKargo]),0))</f>
        <v/>
      </c>
      <c r="I26" s="17">
        <f>IF(OR($A26="",$B26&lt;&gt;"tutar_farki"),"",IF(ABS($C26-$D26)&lt;=toleransKurus,"TYK-001",IF(ABS($C26-$E26)&lt;=toleransKurus,"TYK-002",IF(ABS($C26-$F26)&lt;=toleransKurus,"TYK-003",IF(ABS($C26-$G26)&lt;=toleransKurus,"TYK-004",IF(ABS($C26-$H26)&lt;=toleransKurus,"TYK-005","TANIMSIZ"))))))</f>
        <v/>
      </c>
    </row>
    <row r="27">
      <c r="A27" s="23">
        <f>IF('ESLESTIRME'!$A27="","",'ESLESTIRME'!$A27)</f>
        <v/>
      </c>
      <c r="B27" s="17">
        <f>IF($A27="","",IFERROR(INDEX(tblEslesme[Kova],MATCH($A27,tblEslesme[A_Norm],0)),""))</f>
        <v/>
      </c>
      <c r="C27" s="17">
        <f>IF($A27="","",IFERROR(INDEX(tblEslesme[AbsFark],MATCH($A27,tblEslesme[A_Norm],0)),0))</f>
        <v/>
      </c>
      <c r="D27" s="17">
        <f>IF($A27="","",IFERROR(SUMIF(tblMotor[A_Norm],$A27,tblMotor[KomisyonTutar]),0))</f>
        <v/>
      </c>
      <c r="E27" s="17">
        <f>IF($A27="","",IFERROR(SUMIF(tblMotor[A_Norm],$A27,tblMotor[TyPlus]),0))</f>
        <v/>
      </c>
      <c r="F27" s="17">
        <f>IF($A27="","",IFERROR(SUMIF(tblMotor[A_Norm],$A27,tblMotor[FlasKesinti]),0))</f>
        <v/>
      </c>
      <c r="G27" s="17">
        <f>IF($A27="","",IFERROR(SUMIF(tblMotor[A_Norm],$A27,tblMotor[UrunReklam]),0))</f>
        <v/>
      </c>
      <c r="H27" s="17">
        <f>IF($A27="","",IFERROR(SUMIF(tblMotor[A_Norm],$A27,tblMotor[DesiKargo]),0))</f>
        <v/>
      </c>
      <c r="I27" s="17">
        <f>IF(OR($A27="",$B27&lt;&gt;"tutar_farki"),"",IF(ABS($C27-$D27)&lt;=toleransKurus,"TYK-001",IF(ABS($C27-$E27)&lt;=toleransKurus,"TYK-002",IF(ABS($C27-$F27)&lt;=toleransKurus,"TYK-003",IF(ABS($C27-$G27)&lt;=toleransKurus,"TYK-004",IF(ABS($C27-$H27)&lt;=toleransKurus,"TYK-005","TANIMSIZ"))))))</f>
        <v/>
      </c>
    </row>
    <row r="28">
      <c r="A28" s="23">
        <f>IF('ESLESTIRME'!$A28="","",'ESLESTIRME'!$A28)</f>
        <v/>
      </c>
      <c r="B28" s="17">
        <f>IF($A28="","",IFERROR(INDEX(tblEslesme[Kova],MATCH($A28,tblEslesme[A_Norm],0)),""))</f>
        <v/>
      </c>
      <c r="C28" s="17">
        <f>IF($A28="","",IFERROR(INDEX(tblEslesme[AbsFark],MATCH($A28,tblEslesme[A_Norm],0)),0))</f>
        <v/>
      </c>
      <c r="D28" s="17">
        <f>IF($A28="","",IFERROR(SUMIF(tblMotor[A_Norm],$A28,tblMotor[KomisyonTutar]),0))</f>
        <v/>
      </c>
      <c r="E28" s="17">
        <f>IF($A28="","",IFERROR(SUMIF(tblMotor[A_Norm],$A28,tblMotor[TyPlus]),0))</f>
        <v/>
      </c>
      <c r="F28" s="17">
        <f>IF($A28="","",IFERROR(SUMIF(tblMotor[A_Norm],$A28,tblMotor[FlasKesinti]),0))</f>
        <v/>
      </c>
      <c r="G28" s="17">
        <f>IF($A28="","",IFERROR(SUMIF(tblMotor[A_Norm],$A28,tblMotor[UrunReklam]),0))</f>
        <v/>
      </c>
      <c r="H28" s="17">
        <f>IF($A28="","",IFERROR(SUMIF(tblMotor[A_Norm],$A28,tblMotor[DesiKargo]),0))</f>
        <v/>
      </c>
      <c r="I28" s="17">
        <f>IF(OR($A28="",$B28&lt;&gt;"tutar_farki"),"",IF(ABS($C28-$D28)&lt;=toleransKurus,"TYK-001",IF(ABS($C28-$E28)&lt;=toleransKurus,"TYK-002",IF(ABS($C28-$F28)&lt;=toleransKurus,"TYK-003",IF(ABS($C28-$G28)&lt;=toleransKurus,"TYK-004",IF(ABS($C28-$H28)&lt;=toleransKurus,"TYK-005","TANIMSIZ"))))))</f>
        <v/>
      </c>
    </row>
    <row r="29">
      <c r="A29" s="23">
        <f>IF('ESLESTIRME'!$A29="","",'ESLESTIRME'!$A29)</f>
        <v/>
      </c>
      <c r="B29" s="17">
        <f>IF($A29="","",IFERROR(INDEX(tblEslesme[Kova],MATCH($A29,tblEslesme[A_Norm],0)),""))</f>
        <v/>
      </c>
      <c r="C29" s="17">
        <f>IF($A29="","",IFERROR(INDEX(tblEslesme[AbsFark],MATCH($A29,tblEslesme[A_Norm],0)),0))</f>
        <v/>
      </c>
      <c r="D29" s="17">
        <f>IF($A29="","",IFERROR(SUMIF(tblMotor[A_Norm],$A29,tblMotor[KomisyonTutar]),0))</f>
        <v/>
      </c>
      <c r="E29" s="17">
        <f>IF($A29="","",IFERROR(SUMIF(tblMotor[A_Norm],$A29,tblMotor[TyPlus]),0))</f>
        <v/>
      </c>
      <c r="F29" s="17">
        <f>IF($A29="","",IFERROR(SUMIF(tblMotor[A_Norm],$A29,tblMotor[FlasKesinti]),0))</f>
        <v/>
      </c>
      <c r="G29" s="17">
        <f>IF($A29="","",IFERROR(SUMIF(tblMotor[A_Norm],$A29,tblMotor[UrunReklam]),0))</f>
        <v/>
      </c>
      <c r="H29" s="17">
        <f>IF($A29="","",IFERROR(SUMIF(tblMotor[A_Norm],$A29,tblMotor[DesiKargo]),0))</f>
        <v/>
      </c>
      <c r="I29" s="17">
        <f>IF(OR($A29="",$B29&lt;&gt;"tutar_farki"),"",IF(ABS($C29-$D29)&lt;=toleransKurus,"TYK-001",IF(ABS($C29-$E29)&lt;=toleransKurus,"TYK-002",IF(ABS($C29-$F29)&lt;=toleransKurus,"TYK-003",IF(ABS($C29-$G29)&lt;=toleransKurus,"TYK-004",IF(ABS($C29-$H29)&lt;=toleransKurus,"TYK-005","TANIMSIZ"))))))</f>
        <v/>
      </c>
    </row>
    <row r="30">
      <c r="A30" s="23">
        <f>IF('ESLESTIRME'!$A30="","",'ESLESTIRME'!$A30)</f>
        <v/>
      </c>
      <c r="B30" s="17">
        <f>IF($A30="","",IFERROR(INDEX(tblEslesme[Kova],MATCH($A30,tblEslesme[A_Norm],0)),""))</f>
        <v/>
      </c>
      <c r="C30" s="17">
        <f>IF($A30="","",IFERROR(INDEX(tblEslesme[AbsFark],MATCH($A30,tblEslesme[A_Norm],0)),0))</f>
        <v/>
      </c>
      <c r="D30" s="17">
        <f>IF($A30="","",IFERROR(SUMIF(tblMotor[A_Norm],$A30,tblMotor[KomisyonTutar]),0))</f>
        <v/>
      </c>
      <c r="E30" s="17">
        <f>IF($A30="","",IFERROR(SUMIF(tblMotor[A_Norm],$A30,tblMotor[TyPlus]),0))</f>
        <v/>
      </c>
      <c r="F30" s="17">
        <f>IF($A30="","",IFERROR(SUMIF(tblMotor[A_Norm],$A30,tblMotor[FlasKesinti]),0))</f>
        <v/>
      </c>
      <c r="G30" s="17">
        <f>IF($A30="","",IFERROR(SUMIF(tblMotor[A_Norm],$A30,tblMotor[UrunReklam]),0))</f>
        <v/>
      </c>
      <c r="H30" s="17">
        <f>IF($A30="","",IFERROR(SUMIF(tblMotor[A_Norm],$A30,tblMotor[DesiKargo]),0))</f>
        <v/>
      </c>
      <c r="I30" s="17">
        <f>IF(OR($A30="",$B30&lt;&gt;"tutar_farki"),"",IF(ABS($C30-$D30)&lt;=toleransKurus,"TYK-001",IF(ABS($C30-$E30)&lt;=toleransKurus,"TYK-002",IF(ABS($C30-$F30)&lt;=toleransKurus,"TYK-003",IF(ABS($C30-$G30)&lt;=toleransKurus,"TYK-004",IF(ABS($C30-$H30)&lt;=toleransKurus,"TYK-005","TANIMSIZ"))))))</f>
        <v/>
      </c>
    </row>
    <row r="31">
      <c r="A31" s="23">
        <f>IF('ESLESTIRME'!$A31="","",'ESLESTIRME'!$A31)</f>
        <v/>
      </c>
      <c r="B31" s="17">
        <f>IF($A31="","",IFERROR(INDEX(tblEslesme[Kova],MATCH($A31,tblEslesme[A_Norm],0)),""))</f>
        <v/>
      </c>
      <c r="C31" s="17">
        <f>IF($A31="","",IFERROR(INDEX(tblEslesme[AbsFark],MATCH($A31,tblEslesme[A_Norm],0)),0))</f>
        <v/>
      </c>
      <c r="D31" s="17">
        <f>IF($A31="","",IFERROR(SUMIF(tblMotor[A_Norm],$A31,tblMotor[KomisyonTutar]),0))</f>
        <v/>
      </c>
      <c r="E31" s="17">
        <f>IF($A31="","",IFERROR(SUMIF(tblMotor[A_Norm],$A31,tblMotor[TyPlus]),0))</f>
        <v/>
      </c>
      <c r="F31" s="17">
        <f>IF($A31="","",IFERROR(SUMIF(tblMotor[A_Norm],$A31,tblMotor[FlasKesinti]),0))</f>
        <v/>
      </c>
      <c r="G31" s="17">
        <f>IF($A31="","",IFERROR(SUMIF(tblMotor[A_Norm],$A31,tblMotor[UrunReklam]),0))</f>
        <v/>
      </c>
      <c r="H31" s="17">
        <f>IF($A31="","",IFERROR(SUMIF(tblMotor[A_Norm],$A31,tblMotor[DesiKargo]),0))</f>
        <v/>
      </c>
      <c r="I31" s="17">
        <f>IF(OR($A31="",$B31&lt;&gt;"tutar_farki"),"",IF(ABS($C31-$D31)&lt;=toleransKurus,"TYK-001",IF(ABS($C31-$E31)&lt;=toleransKurus,"TYK-002",IF(ABS($C31-$F31)&lt;=toleransKurus,"TYK-003",IF(ABS($C31-$G31)&lt;=toleransKurus,"TYK-004",IF(ABS($C31-$H31)&lt;=toleransKurus,"TYK-005","TANIMSIZ"))))))</f>
        <v/>
      </c>
    </row>
    <row r="32">
      <c r="A32" s="23">
        <f>IF('ESLESTIRME'!$A32="","",'ESLESTIRME'!$A32)</f>
        <v/>
      </c>
      <c r="B32" s="17">
        <f>IF($A32="","",IFERROR(INDEX(tblEslesme[Kova],MATCH($A32,tblEslesme[A_Norm],0)),""))</f>
        <v/>
      </c>
      <c r="C32" s="17">
        <f>IF($A32="","",IFERROR(INDEX(tblEslesme[AbsFark],MATCH($A32,tblEslesme[A_Norm],0)),0))</f>
        <v/>
      </c>
      <c r="D32" s="17">
        <f>IF($A32="","",IFERROR(SUMIF(tblMotor[A_Norm],$A32,tblMotor[KomisyonTutar]),0))</f>
        <v/>
      </c>
      <c r="E32" s="17">
        <f>IF($A32="","",IFERROR(SUMIF(tblMotor[A_Norm],$A32,tblMotor[TyPlus]),0))</f>
        <v/>
      </c>
      <c r="F32" s="17">
        <f>IF($A32="","",IFERROR(SUMIF(tblMotor[A_Norm],$A32,tblMotor[FlasKesinti]),0))</f>
        <v/>
      </c>
      <c r="G32" s="17">
        <f>IF($A32="","",IFERROR(SUMIF(tblMotor[A_Norm],$A32,tblMotor[UrunReklam]),0))</f>
        <v/>
      </c>
      <c r="H32" s="17">
        <f>IF($A32="","",IFERROR(SUMIF(tblMotor[A_Norm],$A32,tblMotor[DesiKargo]),0))</f>
        <v/>
      </c>
      <c r="I32" s="17">
        <f>IF(OR($A32="",$B32&lt;&gt;"tutar_farki"),"",IF(ABS($C32-$D32)&lt;=toleransKurus,"TYK-001",IF(ABS($C32-$E32)&lt;=toleransKurus,"TYK-002",IF(ABS($C32-$F32)&lt;=toleransKurus,"TYK-003",IF(ABS($C32-$G32)&lt;=toleransKurus,"TYK-004",IF(ABS($C32-$H32)&lt;=toleransKurus,"TYK-005","TANIMSIZ"))))))</f>
        <v/>
      </c>
    </row>
    <row r="33">
      <c r="A33" s="23">
        <f>IF('ESLESTIRME'!$A33="","",'ESLESTIRME'!$A33)</f>
        <v/>
      </c>
      <c r="B33" s="17">
        <f>IF($A33="","",IFERROR(INDEX(tblEslesme[Kova],MATCH($A33,tblEslesme[A_Norm],0)),""))</f>
        <v/>
      </c>
      <c r="C33" s="17">
        <f>IF($A33="","",IFERROR(INDEX(tblEslesme[AbsFark],MATCH($A33,tblEslesme[A_Norm],0)),0))</f>
        <v/>
      </c>
      <c r="D33" s="17">
        <f>IF($A33="","",IFERROR(SUMIF(tblMotor[A_Norm],$A33,tblMotor[KomisyonTutar]),0))</f>
        <v/>
      </c>
      <c r="E33" s="17">
        <f>IF($A33="","",IFERROR(SUMIF(tblMotor[A_Norm],$A33,tblMotor[TyPlus]),0))</f>
        <v/>
      </c>
      <c r="F33" s="17">
        <f>IF($A33="","",IFERROR(SUMIF(tblMotor[A_Norm],$A33,tblMotor[FlasKesinti]),0))</f>
        <v/>
      </c>
      <c r="G33" s="17">
        <f>IF($A33="","",IFERROR(SUMIF(tblMotor[A_Norm],$A33,tblMotor[UrunReklam]),0))</f>
        <v/>
      </c>
      <c r="H33" s="17">
        <f>IF($A33="","",IFERROR(SUMIF(tblMotor[A_Norm],$A33,tblMotor[DesiKargo]),0))</f>
        <v/>
      </c>
      <c r="I33" s="17">
        <f>IF(OR($A33="",$B33&lt;&gt;"tutar_farki"),"",IF(ABS($C33-$D33)&lt;=toleransKurus,"TYK-001",IF(ABS($C33-$E33)&lt;=toleransKurus,"TYK-002",IF(ABS($C33-$F33)&lt;=toleransKurus,"TYK-003",IF(ABS($C33-$G33)&lt;=toleransKurus,"TYK-004",IF(ABS($C33-$H33)&lt;=toleransKurus,"TYK-005","TANIMSIZ"))))))</f>
        <v/>
      </c>
    </row>
    <row r="34">
      <c r="A34" s="23">
        <f>IF('ESLESTIRME'!$A34="","",'ESLESTIRME'!$A34)</f>
        <v/>
      </c>
      <c r="B34" s="17">
        <f>IF($A34="","",IFERROR(INDEX(tblEslesme[Kova],MATCH($A34,tblEslesme[A_Norm],0)),""))</f>
        <v/>
      </c>
      <c r="C34" s="17">
        <f>IF($A34="","",IFERROR(INDEX(tblEslesme[AbsFark],MATCH($A34,tblEslesme[A_Norm],0)),0))</f>
        <v/>
      </c>
      <c r="D34" s="17">
        <f>IF($A34="","",IFERROR(SUMIF(tblMotor[A_Norm],$A34,tblMotor[KomisyonTutar]),0))</f>
        <v/>
      </c>
      <c r="E34" s="17">
        <f>IF($A34="","",IFERROR(SUMIF(tblMotor[A_Norm],$A34,tblMotor[TyPlus]),0))</f>
        <v/>
      </c>
      <c r="F34" s="17">
        <f>IF($A34="","",IFERROR(SUMIF(tblMotor[A_Norm],$A34,tblMotor[FlasKesinti]),0))</f>
        <v/>
      </c>
      <c r="G34" s="17">
        <f>IF($A34="","",IFERROR(SUMIF(tblMotor[A_Norm],$A34,tblMotor[UrunReklam]),0))</f>
        <v/>
      </c>
      <c r="H34" s="17">
        <f>IF($A34="","",IFERROR(SUMIF(tblMotor[A_Norm],$A34,tblMotor[DesiKargo]),0))</f>
        <v/>
      </c>
      <c r="I34" s="17">
        <f>IF(OR($A34="",$B34&lt;&gt;"tutar_farki"),"",IF(ABS($C34-$D34)&lt;=toleransKurus,"TYK-001",IF(ABS($C34-$E34)&lt;=toleransKurus,"TYK-002",IF(ABS($C34-$F34)&lt;=toleransKurus,"TYK-003",IF(ABS($C34-$G34)&lt;=toleransKurus,"TYK-004",IF(ABS($C34-$H34)&lt;=toleransKurus,"TYK-005","TANIMSIZ"))))))</f>
        <v/>
      </c>
    </row>
    <row r="35">
      <c r="A35" s="23">
        <f>IF('ESLESTIRME'!$A35="","",'ESLESTIRME'!$A35)</f>
        <v/>
      </c>
      <c r="B35" s="17">
        <f>IF($A35="","",IFERROR(INDEX(tblEslesme[Kova],MATCH($A35,tblEslesme[A_Norm],0)),""))</f>
        <v/>
      </c>
      <c r="C35" s="17">
        <f>IF($A35="","",IFERROR(INDEX(tblEslesme[AbsFark],MATCH($A35,tblEslesme[A_Norm],0)),0))</f>
        <v/>
      </c>
      <c r="D35" s="17">
        <f>IF($A35="","",IFERROR(SUMIF(tblMotor[A_Norm],$A35,tblMotor[KomisyonTutar]),0))</f>
        <v/>
      </c>
      <c r="E35" s="17">
        <f>IF($A35="","",IFERROR(SUMIF(tblMotor[A_Norm],$A35,tblMotor[TyPlus]),0))</f>
        <v/>
      </c>
      <c r="F35" s="17">
        <f>IF($A35="","",IFERROR(SUMIF(tblMotor[A_Norm],$A35,tblMotor[FlasKesinti]),0))</f>
        <v/>
      </c>
      <c r="G35" s="17">
        <f>IF($A35="","",IFERROR(SUMIF(tblMotor[A_Norm],$A35,tblMotor[UrunReklam]),0))</f>
        <v/>
      </c>
      <c r="H35" s="17">
        <f>IF($A35="","",IFERROR(SUMIF(tblMotor[A_Norm],$A35,tblMotor[DesiKargo]),0))</f>
        <v/>
      </c>
      <c r="I35" s="17">
        <f>IF(OR($A35="",$B35&lt;&gt;"tutar_farki"),"",IF(ABS($C35-$D35)&lt;=toleransKurus,"TYK-001",IF(ABS($C35-$E35)&lt;=toleransKurus,"TYK-002",IF(ABS($C35-$F35)&lt;=toleransKurus,"TYK-003",IF(ABS($C35-$G35)&lt;=toleransKurus,"TYK-004",IF(ABS($C35-$H35)&lt;=toleransKurus,"TYK-005","TANIMSIZ"))))))</f>
        <v/>
      </c>
    </row>
    <row r="36">
      <c r="A36" s="23">
        <f>IF('ESLESTIRME'!$A36="","",'ESLESTIRME'!$A36)</f>
        <v/>
      </c>
      <c r="B36" s="17">
        <f>IF($A36="","",IFERROR(INDEX(tblEslesme[Kova],MATCH($A36,tblEslesme[A_Norm],0)),""))</f>
        <v/>
      </c>
      <c r="C36" s="17">
        <f>IF($A36="","",IFERROR(INDEX(tblEslesme[AbsFark],MATCH($A36,tblEslesme[A_Norm],0)),0))</f>
        <v/>
      </c>
      <c r="D36" s="17">
        <f>IF($A36="","",IFERROR(SUMIF(tblMotor[A_Norm],$A36,tblMotor[KomisyonTutar]),0))</f>
        <v/>
      </c>
      <c r="E36" s="17">
        <f>IF($A36="","",IFERROR(SUMIF(tblMotor[A_Norm],$A36,tblMotor[TyPlus]),0))</f>
        <v/>
      </c>
      <c r="F36" s="17">
        <f>IF($A36="","",IFERROR(SUMIF(tblMotor[A_Norm],$A36,tblMotor[FlasKesinti]),0))</f>
        <v/>
      </c>
      <c r="G36" s="17">
        <f>IF($A36="","",IFERROR(SUMIF(tblMotor[A_Norm],$A36,tblMotor[UrunReklam]),0))</f>
        <v/>
      </c>
      <c r="H36" s="17">
        <f>IF($A36="","",IFERROR(SUMIF(tblMotor[A_Norm],$A36,tblMotor[DesiKargo]),0))</f>
        <v/>
      </c>
      <c r="I36" s="17">
        <f>IF(OR($A36="",$B36&lt;&gt;"tutar_farki"),"",IF(ABS($C36-$D36)&lt;=toleransKurus,"TYK-001",IF(ABS($C36-$E36)&lt;=toleransKurus,"TYK-002",IF(ABS($C36-$F36)&lt;=toleransKurus,"TYK-003",IF(ABS($C36-$G36)&lt;=toleransKurus,"TYK-004",IF(ABS($C36-$H36)&lt;=toleransKurus,"TYK-005","TANIMSIZ"))))))</f>
        <v/>
      </c>
    </row>
    <row r="37">
      <c r="A37" s="23">
        <f>IF('ESLESTIRME'!$A37="","",'ESLESTIRME'!$A37)</f>
        <v/>
      </c>
      <c r="B37" s="17">
        <f>IF($A37="","",IFERROR(INDEX(tblEslesme[Kova],MATCH($A37,tblEslesme[A_Norm],0)),""))</f>
        <v/>
      </c>
      <c r="C37" s="17">
        <f>IF($A37="","",IFERROR(INDEX(tblEslesme[AbsFark],MATCH($A37,tblEslesme[A_Norm],0)),0))</f>
        <v/>
      </c>
      <c r="D37" s="17">
        <f>IF($A37="","",IFERROR(SUMIF(tblMotor[A_Norm],$A37,tblMotor[KomisyonTutar]),0))</f>
        <v/>
      </c>
      <c r="E37" s="17">
        <f>IF($A37="","",IFERROR(SUMIF(tblMotor[A_Norm],$A37,tblMotor[TyPlus]),0))</f>
        <v/>
      </c>
      <c r="F37" s="17">
        <f>IF($A37="","",IFERROR(SUMIF(tblMotor[A_Norm],$A37,tblMotor[FlasKesinti]),0))</f>
        <v/>
      </c>
      <c r="G37" s="17">
        <f>IF($A37="","",IFERROR(SUMIF(tblMotor[A_Norm],$A37,tblMotor[UrunReklam]),0))</f>
        <v/>
      </c>
      <c r="H37" s="17">
        <f>IF($A37="","",IFERROR(SUMIF(tblMotor[A_Norm],$A37,tblMotor[DesiKargo]),0))</f>
        <v/>
      </c>
      <c r="I37" s="17">
        <f>IF(OR($A37="",$B37&lt;&gt;"tutar_farki"),"",IF(ABS($C37-$D37)&lt;=toleransKurus,"TYK-001",IF(ABS($C37-$E37)&lt;=toleransKurus,"TYK-002",IF(ABS($C37-$F37)&lt;=toleransKurus,"TYK-003",IF(ABS($C37-$G37)&lt;=toleransKurus,"TYK-004",IF(ABS($C37-$H37)&lt;=toleransKurus,"TYK-005","TANIMSIZ"))))))</f>
        <v/>
      </c>
    </row>
    <row r="38">
      <c r="A38" s="23">
        <f>IF('ESLESTIRME'!$A38="","",'ESLESTIRME'!$A38)</f>
        <v/>
      </c>
      <c r="B38" s="17">
        <f>IF($A38="","",IFERROR(INDEX(tblEslesme[Kova],MATCH($A38,tblEslesme[A_Norm],0)),""))</f>
        <v/>
      </c>
      <c r="C38" s="17">
        <f>IF($A38="","",IFERROR(INDEX(tblEslesme[AbsFark],MATCH($A38,tblEslesme[A_Norm],0)),0))</f>
        <v/>
      </c>
      <c r="D38" s="17">
        <f>IF($A38="","",IFERROR(SUMIF(tblMotor[A_Norm],$A38,tblMotor[KomisyonTutar]),0))</f>
        <v/>
      </c>
      <c r="E38" s="17">
        <f>IF($A38="","",IFERROR(SUMIF(tblMotor[A_Norm],$A38,tblMotor[TyPlus]),0))</f>
        <v/>
      </c>
      <c r="F38" s="17">
        <f>IF($A38="","",IFERROR(SUMIF(tblMotor[A_Norm],$A38,tblMotor[FlasKesinti]),0))</f>
        <v/>
      </c>
      <c r="G38" s="17">
        <f>IF($A38="","",IFERROR(SUMIF(tblMotor[A_Norm],$A38,tblMotor[UrunReklam]),0))</f>
        <v/>
      </c>
      <c r="H38" s="17">
        <f>IF($A38="","",IFERROR(SUMIF(tblMotor[A_Norm],$A38,tblMotor[DesiKargo]),0))</f>
        <v/>
      </c>
      <c r="I38" s="17">
        <f>IF(OR($A38="",$B38&lt;&gt;"tutar_farki"),"",IF(ABS($C38-$D38)&lt;=toleransKurus,"TYK-001",IF(ABS($C38-$E38)&lt;=toleransKurus,"TYK-002",IF(ABS($C38-$F38)&lt;=toleransKurus,"TYK-003",IF(ABS($C38-$G38)&lt;=toleransKurus,"TYK-004",IF(ABS($C38-$H38)&lt;=toleransKurus,"TYK-005","TANIMSIZ"))))))</f>
        <v/>
      </c>
    </row>
    <row r="39">
      <c r="A39" s="23">
        <f>IF('ESLESTIRME'!$A39="","",'ESLESTIRME'!$A39)</f>
        <v/>
      </c>
      <c r="B39" s="17">
        <f>IF($A39="","",IFERROR(INDEX(tblEslesme[Kova],MATCH($A39,tblEslesme[A_Norm],0)),""))</f>
        <v/>
      </c>
      <c r="C39" s="17">
        <f>IF($A39="","",IFERROR(INDEX(tblEslesme[AbsFark],MATCH($A39,tblEslesme[A_Norm],0)),0))</f>
        <v/>
      </c>
      <c r="D39" s="17">
        <f>IF($A39="","",IFERROR(SUMIF(tblMotor[A_Norm],$A39,tblMotor[KomisyonTutar]),0))</f>
        <v/>
      </c>
      <c r="E39" s="17">
        <f>IF($A39="","",IFERROR(SUMIF(tblMotor[A_Norm],$A39,tblMotor[TyPlus]),0))</f>
        <v/>
      </c>
      <c r="F39" s="17">
        <f>IF($A39="","",IFERROR(SUMIF(tblMotor[A_Norm],$A39,tblMotor[FlasKesinti]),0))</f>
        <v/>
      </c>
      <c r="G39" s="17">
        <f>IF($A39="","",IFERROR(SUMIF(tblMotor[A_Norm],$A39,tblMotor[UrunReklam]),0))</f>
        <v/>
      </c>
      <c r="H39" s="17">
        <f>IF($A39="","",IFERROR(SUMIF(tblMotor[A_Norm],$A39,tblMotor[DesiKargo]),0))</f>
        <v/>
      </c>
      <c r="I39" s="17">
        <f>IF(OR($A39="",$B39&lt;&gt;"tutar_farki"),"",IF(ABS($C39-$D39)&lt;=toleransKurus,"TYK-001",IF(ABS($C39-$E39)&lt;=toleransKurus,"TYK-002",IF(ABS($C39-$F39)&lt;=toleransKurus,"TYK-003",IF(ABS($C39-$G39)&lt;=toleransKurus,"TYK-004",IF(ABS($C39-$H39)&lt;=toleransKurus,"TYK-005","TANIMSIZ"))))))</f>
        <v/>
      </c>
    </row>
    <row r="40">
      <c r="A40" s="23">
        <f>IF('ESLESTIRME'!$A40="","",'ESLESTIRME'!$A40)</f>
        <v/>
      </c>
      <c r="B40" s="17">
        <f>IF($A40="","",IFERROR(INDEX(tblEslesme[Kova],MATCH($A40,tblEslesme[A_Norm],0)),""))</f>
        <v/>
      </c>
      <c r="C40" s="17">
        <f>IF($A40="","",IFERROR(INDEX(tblEslesme[AbsFark],MATCH($A40,tblEslesme[A_Norm],0)),0))</f>
        <v/>
      </c>
      <c r="D40" s="17">
        <f>IF($A40="","",IFERROR(SUMIF(tblMotor[A_Norm],$A40,tblMotor[KomisyonTutar]),0))</f>
        <v/>
      </c>
      <c r="E40" s="17">
        <f>IF($A40="","",IFERROR(SUMIF(tblMotor[A_Norm],$A40,tblMotor[TyPlus]),0))</f>
        <v/>
      </c>
      <c r="F40" s="17">
        <f>IF($A40="","",IFERROR(SUMIF(tblMotor[A_Norm],$A40,tblMotor[FlasKesinti]),0))</f>
        <v/>
      </c>
      <c r="G40" s="17">
        <f>IF($A40="","",IFERROR(SUMIF(tblMotor[A_Norm],$A40,tblMotor[UrunReklam]),0))</f>
        <v/>
      </c>
      <c r="H40" s="17">
        <f>IF($A40="","",IFERROR(SUMIF(tblMotor[A_Norm],$A40,tblMotor[DesiKargo]),0))</f>
        <v/>
      </c>
      <c r="I40" s="17">
        <f>IF(OR($A40="",$B40&lt;&gt;"tutar_farki"),"",IF(ABS($C40-$D40)&lt;=toleransKurus,"TYK-001",IF(ABS($C40-$E40)&lt;=toleransKurus,"TYK-002",IF(ABS($C40-$F40)&lt;=toleransKurus,"TYK-003",IF(ABS($C40-$G40)&lt;=toleransKurus,"TYK-004",IF(ABS($C40-$H40)&lt;=toleransKurus,"TYK-005","TANIMSIZ"))))))</f>
        <v/>
      </c>
    </row>
    <row r="41">
      <c r="A41" s="23">
        <f>IF('ESLESTIRME'!$A41="","",'ESLESTIRME'!$A41)</f>
        <v/>
      </c>
      <c r="B41" s="17">
        <f>IF($A41="","",IFERROR(INDEX(tblEslesme[Kova],MATCH($A41,tblEslesme[A_Norm],0)),""))</f>
        <v/>
      </c>
      <c r="C41" s="17">
        <f>IF($A41="","",IFERROR(INDEX(tblEslesme[AbsFark],MATCH($A41,tblEslesme[A_Norm],0)),0))</f>
        <v/>
      </c>
      <c r="D41" s="17">
        <f>IF($A41="","",IFERROR(SUMIF(tblMotor[A_Norm],$A41,tblMotor[KomisyonTutar]),0))</f>
        <v/>
      </c>
      <c r="E41" s="17">
        <f>IF($A41="","",IFERROR(SUMIF(tblMotor[A_Norm],$A41,tblMotor[TyPlus]),0))</f>
        <v/>
      </c>
      <c r="F41" s="17">
        <f>IF($A41="","",IFERROR(SUMIF(tblMotor[A_Norm],$A41,tblMotor[FlasKesinti]),0))</f>
        <v/>
      </c>
      <c r="G41" s="17">
        <f>IF($A41="","",IFERROR(SUMIF(tblMotor[A_Norm],$A41,tblMotor[UrunReklam]),0))</f>
        <v/>
      </c>
      <c r="H41" s="17">
        <f>IF($A41="","",IFERROR(SUMIF(tblMotor[A_Norm],$A41,tblMotor[DesiKargo]),0))</f>
        <v/>
      </c>
      <c r="I41" s="17">
        <f>IF(OR($A41="",$B41&lt;&gt;"tutar_farki"),"",IF(ABS($C41-$D41)&lt;=toleransKurus,"TYK-001",IF(ABS($C41-$E41)&lt;=toleransKurus,"TYK-002",IF(ABS($C41-$F41)&lt;=toleransKurus,"TYK-003",IF(ABS($C41-$G41)&lt;=toleransKurus,"TYK-004",IF(ABS($C41-$H41)&lt;=toleransKurus,"TYK-005","TANIMSIZ"))))))</f>
        <v/>
      </c>
    </row>
    <row r="42">
      <c r="A42" s="23">
        <f>IF('ESLESTIRME'!$A42="","",'ESLESTIRME'!$A42)</f>
        <v/>
      </c>
      <c r="B42" s="17">
        <f>IF($A42="","",IFERROR(INDEX(tblEslesme[Kova],MATCH($A42,tblEslesme[A_Norm],0)),""))</f>
        <v/>
      </c>
      <c r="C42" s="17">
        <f>IF($A42="","",IFERROR(INDEX(tblEslesme[AbsFark],MATCH($A42,tblEslesme[A_Norm],0)),0))</f>
        <v/>
      </c>
      <c r="D42" s="17">
        <f>IF($A42="","",IFERROR(SUMIF(tblMotor[A_Norm],$A42,tblMotor[KomisyonTutar]),0))</f>
        <v/>
      </c>
      <c r="E42" s="17">
        <f>IF($A42="","",IFERROR(SUMIF(tblMotor[A_Norm],$A42,tblMotor[TyPlus]),0))</f>
        <v/>
      </c>
      <c r="F42" s="17">
        <f>IF($A42="","",IFERROR(SUMIF(tblMotor[A_Norm],$A42,tblMotor[FlasKesinti]),0))</f>
        <v/>
      </c>
      <c r="G42" s="17">
        <f>IF($A42="","",IFERROR(SUMIF(tblMotor[A_Norm],$A42,tblMotor[UrunReklam]),0))</f>
        <v/>
      </c>
      <c r="H42" s="17">
        <f>IF($A42="","",IFERROR(SUMIF(tblMotor[A_Norm],$A42,tblMotor[DesiKargo]),0))</f>
        <v/>
      </c>
      <c r="I42" s="17">
        <f>IF(OR($A42="",$B42&lt;&gt;"tutar_farki"),"",IF(ABS($C42-$D42)&lt;=toleransKurus,"TYK-001",IF(ABS($C42-$E42)&lt;=toleransKurus,"TYK-002",IF(ABS($C42-$F42)&lt;=toleransKurus,"TYK-003",IF(ABS($C42-$G42)&lt;=toleransKurus,"TYK-004",IF(ABS($C42-$H42)&lt;=toleransKurus,"TYK-005","TANIMSIZ"))))))</f>
        <v/>
      </c>
    </row>
    <row r="43">
      <c r="A43" s="23">
        <f>IF('ESLESTIRME'!$A43="","",'ESLESTIRME'!$A43)</f>
        <v/>
      </c>
      <c r="B43" s="17">
        <f>IF($A43="","",IFERROR(INDEX(tblEslesme[Kova],MATCH($A43,tblEslesme[A_Norm],0)),""))</f>
        <v/>
      </c>
      <c r="C43" s="17">
        <f>IF($A43="","",IFERROR(INDEX(tblEslesme[AbsFark],MATCH($A43,tblEslesme[A_Norm],0)),0))</f>
        <v/>
      </c>
      <c r="D43" s="17">
        <f>IF($A43="","",IFERROR(SUMIF(tblMotor[A_Norm],$A43,tblMotor[KomisyonTutar]),0))</f>
        <v/>
      </c>
      <c r="E43" s="17">
        <f>IF($A43="","",IFERROR(SUMIF(tblMotor[A_Norm],$A43,tblMotor[TyPlus]),0))</f>
        <v/>
      </c>
      <c r="F43" s="17">
        <f>IF($A43="","",IFERROR(SUMIF(tblMotor[A_Norm],$A43,tblMotor[FlasKesinti]),0))</f>
        <v/>
      </c>
      <c r="G43" s="17">
        <f>IF($A43="","",IFERROR(SUMIF(tblMotor[A_Norm],$A43,tblMotor[UrunReklam]),0))</f>
        <v/>
      </c>
      <c r="H43" s="17">
        <f>IF($A43="","",IFERROR(SUMIF(tblMotor[A_Norm],$A43,tblMotor[DesiKargo]),0))</f>
        <v/>
      </c>
      <c r="I43" s="17">
        <f>IF(OR($A43="",$B43&lt;&gt;"tutar_farki"),"",IF(ABS($C43-$D43)&lt;=toleransKurus,"TYK-001",IF(ABS($C43-$E43)&lt;=toleransKurus,"TYK-002",IF(ABS($C43-$F43)&lt;=toleransKurus,"TYK-003",IF(ABS($C43-$G43)&lt;=toleransKurus,"TYK-004",IF(ABS($C43-$H43)&lt;=toleransKurus,"TYK-005","TANIMSIZ"))))))</f>
        <v/>
      </c>
    </row>
    <row r="44">
      <c r="A44" s="23">
        <f>IF('ESLESTIRME'!$A44="","",'ESLESTIRME'!$A44)</f>
        <v/>
      </c>
      <c r="B44" s="17">
        <f>IF($A44="","",IFERROR(INDEX(tblEslesme[Kova],MATCH($A44,tblEslesme[A_Norm],0)),""))</f>
        <v/>
      </c>
      <c r="C44" s="17">
        <f>IF($A44="","",IFERROR(INDEX(tblEslesme[AbsFark],MATCH($A44,tblEslesme[A_Norm],0)),0))</f>
        <v/>
      </c>
      <c r="D44" s="17">
        <f>IF($A44="","",IFERROR(SUMIF(tblMotor[A_Norm],$A44,tblMotor[KomisyonTutar]),0))</f>
        <v/>
      </c>
      <c r="E44" s="17">
        <f>IF($A44="","",IFERROR(SUMIF(tblMotor[A_Norm],$A44,tblMotor[TyPlus]),0))</f>
        <v/>
      </c>
      <c r="F44" s="17">
        <f>IF($A44="","",IFERROR(SUMIF(tblMotor[A_Norm],$A44,tblMotor[FlasKesinti]),0))</f>
        <v/>
      </c>
      <c r="G44" s="17">
        <f>IF($A44="","",IFERROR(SUMIF(tblMotor[A_Norm],$A44,tblMotor[UrunReklam]),0))</f>
        <v/>
      </c>
      <c r="H44" s="17">
        <f>IF($A44="","",IFERROR(SUMIF(tblMotor[A_Norm],$A44,tblMotor[DesiKargo]),0))</f>
        <v/>
      </c>
      <c r="I44" s="17">
        <f>IF(OR($A44="",$B44&lt;&gt;"tutar_farki"),"",IF(ABS($C44-$D44)&lt;=toleransKurus,"TYK-001",IF(ABS($C44-$E44)&lt;=toleransKurus,"TYK-002",IF(ABS($C44-$F44)&lt;=toleransKurus,"TYK-003",IF(ABS($C44-$G44)&lt;=toleransKurus,"TYK-004",IF(ABS($C44-$H44)&lt;=toleransKurus,"TYK-005","TANIMSIZ"))))))</f>
        <v/>
      </c>
    </row>
    <row r="45">
      <c r="A45" s="23">
        <f>IF('ESLESTIRME'!$A45="","",'ESLESTIRME'!$A45)</f>
        <v/>
      </c>
      <c r="B45" s="17">
        <f>IF($A45="","",IFERROR(INDEX(tblEslesme[Kova],MATCH($A45,tblEslesme[A_Norm],0)),""))</f>
        <v/>
      </c>
      <c r="C45" s="17">
        <f>IF($A45="","",IFERROR(INDEX(tblEslesme[AbsFark],MATCH($A45,tblEslesme[A_Norm],0)),0))</f>
        <v/>
      </c>
      <c r="D45" s="17">
        <f>IF($A45="","",IFERROR(SUMIF(tblMotor[A_Norm],$A45,tblMotor[KomisyonTutar]),0))</f>
        <v/>
      </c>
      <c r="E45" s="17">
        <f>IF($A45="","",IFERROR(SUMIF(tblMotor[A_Norm],$A45,tblMotor[TyPlus]),0))</f>
        <v/>
      </c>
      <c r="F45" s="17">
        <f>IF($A45="","",IFERROR(SUMIF(tblMotor[A_Norm],$A45,tblMotor[FlasKesinti]),0))</f>
        <v/>
      </c>
      <c r="G45" s="17">
        <f>IF($A45="","",IFERROR(SUMIF(tblMotor[A_Norm],$A45,tblMotor[UrunReklam]),0))</f>
        <v/>
      </c>
      <c r="H45" s="17">
        <f>IF($A45="","",IFERROR(SUMIF(tblMotor[A_Norm],$A45,tblMotor[DesiKargo]),0))</f>
        <v/>
      </c>
      <c r="I45" s="17">
        <f>IF(OR($A45="",$B45&lt;&gt;"tutar_farki"),"",IF(ABS($C45-$D45)&lt;=toleransKurus,"TYK-001",IF(ABS($C45-$E45)&lt;=toleransKurus,"TYK-002",IF(ABS($C45-$F45)&lt;=toleransKurus,"TYK-003",IF(ABS($C45-$G45)&lt;=toleransKurus,"TYK-004",IF(ABS($C45-$H45)&lt;=toleransKurus,"TYK-005","TANIMSIZ"))))))</f>
        <v/>
      </c>
    </row>
    <row r="46">
      <c r="A46" s="23">
        <f>IF('ESLESTIRME'!$A46="","",'ESLESTIRME'!$A46)</f>
        <v/>
      </c>
      <c r="B46" s="17">
        <f>IF($A46="","",IFERROR(INDEX(tblEslesme[Kova],MATCH($A46,tblEslesme[A_Norm],0)),""))</f>
        <v/>
      </c>
      <c r="C46" s="17">
        <f>IF($A46="","",IFERROR(INDEX(tblEslesme[AbsFark],MATCH($A46,tblEslesme[A_Norm],0)),0))</f>
        <v/>
      </c>
      <c r="D46" s="17">
        <f>IF($A46="","",IFERROR(SUMIF(tblMotor[A_Norm],$A46,tblMotor[KomisyonTutar]),0))</f>
        <v/>
      </c>
      <c r="E46" s="17">
        <f>IF($A46="","",IFERROR(SUMIF(tblMotor[A_Norm],$A46,tblMotor[TyPlus]),0))</f>
        <v/>
      </c>
      <c r="F46" s="17">
        <f>IF($A46="","",IFERROR(SUMIF(tblMotor[A_Norm],$A46,tblMotor[FlasKesinti]),0))</f>
        <v/>
      </c>
      <c r="G46" s="17">
        <f>IF($A46="","",IFERROR(SUMIF(tblMotor[A_Norm],$A46,tblMotor[UrunReklam]),0))</f>
        <v/>
      </c>
      <c r="H46" s="17">
        <f>IF($A46="","",IFERROR(SUMIF(tblMotor[A_Norm],$A46,tblMotor[DesiKargo]),0))</f>
        <v/>
      </c>
      <c r="I46" s="17">
        <f>IF(OR($A46="",$B46&lt;&gt;"tutar_farki"),"",IF(ABS($C46-$D46)&lt;=toleransKurus,"TYK-001",IF(ABS($C46-$E46)&lt;=toleransKurus,"TYK-002",IF(ABS($C46-$F46)&lt;=toleransKurus,"TYK-003",IF(ABS($C46-$G46)&lt;=toleransKurus,"TYK-004",IF(ABS($C46-$H46)&lt;=toleransKurus,"TYK-005","TANIMSIZ"))))))</f>
        <v/>
      </c>
    </row>
    <row r="47">
      <c r="A47" s="23">
        <f>IF('ESLESTIRME'!$A47="","",'ESLESTIRME'!$A47)</f>
        <v/>
      </c>
      <c r="B47" s="17">
        <f>IF($A47="","",IFERROR(INDEX(tblEslesme[Kova],MATCH($A47,tblEslesme[A_Norm],0)),""))</f>
        <v/>
      </c>
      <c r="C47" s="17">
        <f>IF($A47="","",IFERROR(INDEX(tblEslesme[AbsFark],MATCH($A47,tblEslesme[A_Norm],0)),0))</f>
        <v/>
      </c>
      <c r="D47" s="17">
        <f>IF($A47="","",IFERROR(SUMIF(tblMotor[A_Norm],$A47,tblMotor[KomisyonTutar]),0))</f>
        <v/>
      </c>
      <c r="E47" s="17">
        <f>IF($A47="","",IFERROR(SUMIF(tblMotor[A_Norm],$A47,tblMotor[TyPlus]),0))</f>
        <v/>
      </c>
      <c r="F47" s="17">
        <f>IF($A47="","",IFERROR(SUMIF(tblMotor[A_Norm],$A47,tblMotor[FlasKesinti]),0))</f>
        <v/>
      </c>
      <c r="G47" s="17">
        <f>IF($A47="","",IFERROR(SUMIF(tblMotor[A_Norm],$A47,tblMotor[UrunReklam]),0))</f>
        <v/>
      </c>
      <c r="H47" s="17">
        <f>IF($A47="","",IFERROR(SUMIF(tblMotor[A_Norm],$A47,tblMotor[DesiKargo]),0))</f>
        <v/>
      </c>
      <c r="I47" s="17">
        <f>IF(OR($A47="",$B47&lt;&gt;"tutar_farki"),"",IF(ABS($C47-$D47)&lt;=toleransKurus,"TYK-001",IF(ABS($C47-$E47)&lt;=toleransKurus,"TYK-002",IF(ABS($C47-$F47)&lt;=toleransKurus,"TYK-003",IF(ABS($C47-$G47)&lt;=toleransKurus,"TYK-004",IF(ABS($C47-$H47)&lt;=toleransKurus,"TYK-005","TANIMSIZ"))))))</f>
        <v/>
      </c>
    </row>
    <row r="48">
      <c r="A48" s="23">
        <f>IF('ESLESTIRME'!$A48="","",'ESLESTIRME'!$A48)</f>
        <v/>
      </c>
      <c r="B48" s="17">
        <f>IF($A48="","",IFERROR(INDEX(tblEslesme[Kova],MATCH($A48,tblEslesme[A_Norm],0)),""))</f>
        <v/>
      </c>
      <c r="C48" s="17">
        <f>IF($A48="","",IFERROR(INDEX(tblEslesme[AbsFark],MATCH($A48,tblEslesme[A_Norm],0)),0))</f>
        <v/>
      </c>
      <c r="D48" s="17">
        <f>IF($A48="","",IFERROR(SUMIF(tblMotor[A_Norm],$A48,tblMotor[KomisyonTutar]),0))</f>
        <v/>
      </c>
      <c r="E48" s="17">
        <f>IF($A48="","",IFERROR(SUMIF(tblMotor[A_Norm],$A48,tblMotor[TyPlus]),0))</f>
        <v/>
      </c>
      <c r="F48" s="17">
        <f>IF($A48="","",IFERROR(SUMIF(tblMotor[A_Norm],$A48,tblMotor[FlasKesinti]),0))</f>
        <v/>
      </c>
      <c r="G48" s="17">
        <f>IF($A48="","",IFERROR(SUMIF(tblMotor[A_Norm],$A48,tblMotor[UrunReklam]),0))</f>
        <v/>
      </c>
      <c r="H48" s="17">
        <f>IF($A48="","",IFERROR(SUMIF(tblMotor[A_Norm],$A48,tblMotor[DesiKargo]),0))</f>
        <v/>
      </c>
      <c r="I48" s="17">
        <f>IF(OR($A48="",$B48&lt;&gt;"tutar_farki"),"",IF(ABS($C48-$D48)&lt;=toleransKurus,"TYK-001",IF(ABS($C48-$E48)&lt;=toleransKurus,"TYK-002",IF(ABS($C48-$F48)&lt;=toleransKurus,"TYK-003",IF(ABS($C48-$G48)&lt;=toleransKurus,"TYK-004",IF(ABS($C48-$H48)&lt;=toleransKurus,"TYK-005","TANIMSIZ"))))))</f>
        <v/>
      </c>
    </row>
    <row r="49">
      <c r="A49" s="23">
        <f>IF('ESLESTIRME'!$A49="","",'ESLESTIRME'!$A49)</f>
        <v/>
      </c>
      <c r="B49" s="17">
        <f>IF($A49="","",IFERROR(INDEX(tblEslesme[Kova],MATCH($A49,tblEslesme[A_Norm],0)),""))</f>
        <v/>
      </c>
      <c r="C49" s="17">
        <f>IF($A49="","",IFERROR(INDEX(tblEslesme[AbsFark],MATCH($A49,tblEslesme[A_Norm],0)),0))</f>
        <v/>
      </c>
      <c r="D49" s="17">
        <f>IF($A49="","",IFERROR(SUMIF(tblMotor[A_Norm],$A49,tblMotor[KomisyonTutar]),0))</f>
        <v/>
      </c>
      <c r="E49" s="17">
        <f>IF($A49="","",IFERROR(SUMIF(tblMotor[A_Norm],$A49,tblMotor[TyPlus]),0))</f>
        <v/>
      </c>
      <c r="F49" s="17">
        <f>IF($A49="","",IFERROR(SUMIF(tblMotor[A_Norm],$A49,tblMotor[FlasKesinti]),0))</f>
        <v/>
      </c>
      <c r="G49" s="17">
        <f>IF($A49="","",IFERROR(SUMIF(tblMotor[A_Norm],$A49,tblMotor[UrunReklam]),0))</f>
        <v/>
      </c>
      <c r="H49" s="17">
        <f>IF($A49="","",IFERROR(SUMIF(tblMotor[A_Norm],$A49,tblMotor[DesiKargo]),0))</f>
        <v/>
      </c>
      <c r="I49" s="17">
        <f>IF(OR($A49="",$B49&lt;&gt;"tutar_farki"),"",IF(ABS($C49-$D49)&lt;=toleransKurus,"TYK-001",IF(ABS($C49-$E49)&lt;=toleransKurus,"TYK-002",IF(ABS($C49-$F49)&lt;=toleransKurus,"TYK-003",IF(ABS($C49-$G49)&lt;=toleransKurus,"TYK-004",IF(ABS($C49-$H49)&lt;=toleransKurus,"TYK-005","TANIMSIZ"))))))</f>
        <v/>
      </c>
    </row>
    <row r="50">
      <c r="A50" s="23">
        <f>IF('ESLESTIRME'!$A50="","",'ESLESTIRME'!$A50)</f>
        <v/>
      </c>
      <c r="B50" s="17">
        <f>IF($A50="","",IFERROR(INDEX(tblEslesme[Kova],MATCH($A50,tblEslesme[A_Norm],0)),""))</f>
        <v/>
      </c>
      <c r="C50" s="17">
        <f>IF($A50="","",IFERROR(INDEX(tblEslesme[AbsFark],MATCH($A50,tblEslesme[A_Norm],0)),0))</f>
        <v/>
      </c>
      <c r="D50" s="17">
        <f>IF($A50="","",IFERROR(SUMIF(tblMotor[A_Norm],$A50,tblMotor[KomisyonTutar]),0))</f>
        <v/>
      </c>
      <c r="E50" s="17">
        <f>IF($A50="","",IFERROR(SUMIF(tblMotor[A_Norm],$A50,tblMotor[TyPlus]),0))</f>
        <v/>
      </c>
      <c r="F50" s="17">
        <f>IF($A50="","",IFERROR(SUMIF(tblMotor[A_Norm],$A50,tblMotor[FlasKesinti]),0))</f>
        <v/>
      </c>
      <c r="G50" s="17">
        <f>IF($A50="","",IFERROR(SUMIF(tblMotor[A_Norm],$A50,tblMotor[UrunReklam]),0))</f>
        <v/>
      </c>
      <c r="H50" s="17">
        <f>IF($A50="","",IFERROR(SUMIF(tblMotor[A_Norm],$A50,tblMotor[DesiKargo]),0))</f>
        <v/>
      </c>
      <c r="I50" s="17">
        <f>IF(OR($A50="",$B50&lt;&gt;"tutar_farki"),"",IF(ABS($C50-$D50)&lt;=toleransKurus,"TYK-001",IF(ABS($C50-$E50)&lt;=toleransKurus,"TYK-002",IF(ABS($C50-$F50)&lt;=toleransKurus,"TYK-003",IF(ABS($C50-$G50)&lt;=toleransKurus,"TYK-004",IF(ABS($C50-$H50)&lt;=toleransKurus,"TYK-005","TANIMSIZ"))))))</f>
        <v/>
      </c>
    </row>
    <row r="51">
      <c r="A51" s="23">
        <f>IF('ESLESTIRME'!$A51="","",'ESLESTIRME'!$A51)</f>
        <v/>
      </c>
      <c r="B51" s="17">
        <f>IF($A51="","",IFERROR(INDEX(tblEslesme[Kova],MATCH($A51,tblEslesme[A_Norm],0)),""))</f>
        <v/>
      </c>
      <c r="C51" s="17">
        <f>IF($A51="","",IFERROR(INDEX(tblEslesme[AbsFark],MATCH($A51,tblEslesme[A_Norm],0)),0))</f>
        <v/>
      </c>
      <c r="D51" s="17">
        <f>IF($A51="","",IFERROR(SUMIF(tblMotor[A_Norm],$A51,tblMotor[KomisyonTutar]),0))</f>
        <v/>
      </c>
      <c r="E51" s="17">
        <f>IF($A51="","",IFERROR(SUMIF(tblMotor[A_Norm],$A51,tblMotor[TyPlus]),0))</f>
        <v/>
      </c>
      <c r="F51" s="17">
        <f>IF($A51="","",IFERROR(SUMIF(tblMotor[A_Norm],$A51,tblMotor[FlasKesinti]),0))</f>
        <v/>
      </c>
      <c r="G51" s="17">
        <f>IF($A51="","",IFERROR(SUMIF(tblMotor[A_Norm],$A51,tblMotor[UrunReklam]),0))</f>
        <v/>
      </c>
      <c r="H51" s="17">
        <f>IF($A51="","",IFERROR(SUMIF(tblMotor[A_Norm],$A51,tblMotor[DesiKargo]),0))</f>
        <v/>
      </c>
      <c r="I51" s="17">
        <f>IF(OR($A51="",$B51&lt;&gt;"tutar_farki"),"",IF(ABS($C51-$D51)&lt;=toleransKurus,"TYK-001",IF(ABS($C51-$E51)&lt;=toleransKurus,"TYK-002",IF(ABS($C51-$F51)&lt;=toleransKurus,"TYK-003",IF(ABS($C51-$G51)&lt;=toleransKurus,"TYK-004",IF(ABS($C51-$H51)&lt;=toleransKurus,"TYK-005","TANIMSIZ"))))))</f>
        <v/>
      </c>
    </row>
    <row r="52">
      <c r="A52" s="23">
        <f>IF('ESLESTIRME'!$A52="","",'ESLESTIRME'!$A52)</f>
        <v/>
      </c>
      <c r="B52" s="17">
        <f>IF($A52="","",IFERROR(INDEX(tblEslesme[Kova],MATCH($A52,tblEslesme[A_Norm],0)),""))</f>
        <v/>
      </c>
      <c r="C52" s="17">
        <f>IF($A52="","",IFERROR(INDEX(tblEslesme[AbsFark],MATCH($A52,tblEslesme[A_Norm],0)),0))</f>
        <v/>
      </c>
      <c r="D52" s="17">
        <f>IF($A52="","",IFERROR(SUMIF(tblMotor[A_Norm],$A52,tblMotor[KomisyonTutar]),0))</f>
        <v/>
      </c>
      <c r="E52" s="17">
        <f>IF($A52="","",IFERROR(SUMIF(tblMotor[A_Norm],$A52,tblMotor[TyPlus]),0))</f>
        <v/>
      </c>
      <c r="F52" s="17">
        <f>IF($A52="","",IFERROR(SUMIF(tblMotor[A_Norm],$A52,tblMotor[FlasKesinti]),0))</f>
        <v/>
      </c>
      <c r="G52" s="17">
        <f>IF($A52="","",IFERROR(SUMIF(tblMotor[A_Norm],$A52,tblMotor[UrunReklam]),0))</f>
        <v/>
      </c>
      <c r="H52" s="17">
        <f>IF($A52="","",IFERROR(SUMIF(tblMotor[A_Norm],$A52,tblMotor[DesiKargo]),0))</f>
        <v/>
      </c>
      <c r="I52" s="17">
        <f>IF(OR($A52="",$B52&lt;&gt;"tutar_farki"),"",IF(ABS($C52-$D52)&lt;=toleransKurus,"TYK-001",IF(ABS($C52-$E52)&lt;=toleransKurus,"TYK-002",IF(ABS($C52-$F52)&lt;=toleransKurus,"TYK-003",IF(ABS($C52-$G52)&lt;=toleransKurus,"TYK-004",IF(ABS($C52-$H52)&lt;=toleransKurus,"TYK-005","TANIMSIZ"))))))</f>
        <v/>
      </c>
    </row>
    <row r="53">
      <c r="A53" s="23">
        <f>IF('ESLESTIRME'!$A53="","",'ESLESTIRME'!$A53)</f>
        <v/>
      </c>
      <c r="B53" s="17">
        <f>IF($A53="","",IFERROR(INDEX(tblEslesme[Kova],MATCH($A53,tblEslesme[A_Norm],0)),""))</f>
        <v/>
      </c>
      <c r="C53" s="17">
        <f>IF($A53="","",IFERROR(INDEX(tblEslesme[AbsFark],MATCH($A53,tblEslesme[A_Norm],0)),0))</f>
        <v/>
      </c>
      <c r="D53" s="17">
        <f>IF($A53="","",IFERROR(SUMIF(tblMotor[A_Norm],$A53,tblMotor[KomisyonTutar]),0))</f>
        <v/>
      </c>
      <c r="E53" s="17">
        <f>IF($A53="","",IFERROR(SUMIF(tblMotor[A_Norm],$A53,tblMotor[TyPlus]),0))</f>
        <v/>
      </c>
      <c r="F53" s="17">
        <f>IF($A53="","",IFERROR(SUMIF(tblMotor[A_Norm],$A53,tblMotor[FlasKesinti]),0))</f>
        <v/>
      </c>
      <c r="G53" s="17">
        <f>IF($A53="","",IFERROR(SUMIF(tblMotor[A_Norm],$A53,tblMotor[UrunReklam]),0))</f>
        <v/>
      </c>
      <c r="H53" s="17">
        <f>IF($A53="","",IFERROR(SUMIF(tblMotor[A_Norm],$A53,tblMotor[DesiKargo]),0))</f>
        <v/>
      </c>
      <c r="I53" s="17">
        <f>IF(OR($A53="",$B53&lt;&gt;"tutar_farki"),"",IF(ABS($C53-$D53)&lt;=toleransKurus,"TYK-001",IF(ABS($C53-$E53)&lt;=toleransKurus,"TYK-002",IF(ABS($C53-$F53)&lt;=toleransKurus,"TYK-003",IF(ABS($C53-$G53)&lt;=toleransKurus,"TYK-004",IF(ABS($C53-$H53)&lt;=toleransKurus,"TYK-005","TANIMSIZ"))))))</f>
        <v/>
      </c>
    </row>
    <row r="54">
      <c r="A54" s="23">
        <f>IF('ESLESTIRME'!$A54="","",'ESLESTIRME'!$A54)</f>
        <v/>
      </c>
      <c r="B54" s="17">
        <f>IF($A54="","",IFERROR(INDEX(tblEslesme[Kova],MATCH($A54,tblEslesme[A_Norm],0)),""))</f>
        <v/>
      </c>
      <c r="C54" s="17">
        <f>IF($A54="","",IFERROR(INDEX(tblEslesme[AbsFark],MATCH($A54,tblEslesme[A_Norm],0)),0))</f>
        <v/>
      </c>
      <c r="D54" s="17">
        <f>IF($A54="","",IFERROR(SUMIF(tblMotor[A_Norm],$A54,tblMotor[KomisyonTutar]),0))</f>
        <v/>
      </c>
      <c r="E54" s="17">
        <f>IF($A54="","",IFERROR(SUMIF(tblMotor[A_Norm],$A54,tblMotor[TyPlus]),0))</f>
        <v/>
      </c>
      <c r="F54" s="17">
        <f>IF($A54="","",IFERROR(SUMIF(tblMotor[A_Norm],$A54,tblMotor[FlasKesinti]),0))</f>
        <v/>
      </c>
      <c r="G54" s="17">
        <f>IF($A54="","",IFERROR(SUMIF(tblMotor[A_Norm],$A54,tblMotor[UrunReklam]),0))</f>
        <v/>
      </c>
      <c r="H54" s="17">
        <f>IF($A54="","",IFERROR(SUMIF(tblMotor[A_Norm],$A54,tblMotor[DesiKargo]),0))</f>
        <v/>
      </c>
      <c r="I54" s="17">
        <f>IF(OR($A54="",$B54&lt;&gt;"tutar_farki"),"",IF(ABS($C54-$D54)&lt;=toleransKurus,"TYK-001",IF(ABS($C54-$E54)&lt;=toleransKurus,"TYK-002",IF(ABS($C54-$F54)&lt;=toleransKurus,"TYK-003",IF(ABS($C54-$G54)&lt;=toleransKurus,"TYK-004",IF(ABS($C54-$H54)&lt;=toleransKurus,"TYK-005","TANIMSIZ"))))))</f>
        <v/>
      </c>
    </row>
    <row r="55">
      <c r="A55" s="23">
        <f>IF('ESLESTIRME'!$A55="","",'ESLESTIRME'!$A55)</f>
        <v/>
      </c>
      <c r="B55" s="17">
        <f>IF($A55="","",IFERROR(INDEX(tblEslesme[Kova],MATCH($A55,tblEslesme[A_Norm],0)),""))</f>
        <v/>
      </c>
      <c r="C55" s="17">
        <f>IF($A55="","",IFERROR(INDEX(tblEslesme[AbsFark],MATCH($A55,tblEslesme[A_Norm],0)),0))</f>
        <v/>
      </c>
      <c r="D55" s="17">
        <f>IF($A55="","",IFERROR(SUMIF(tblMotor[A_Norm],$A55,tblMotor[KomisyonTutar]),0))</f>
        <v/>
      </c>
      <c r="E55" s="17">
        <f>IF($A55="","",IFERROR(SUMIF(tblMotor[A_Norm],$A55,tblMotor[TyPlus]),0))</f>
        <v/>
      </c>
      <c r="F55" s="17">
        <f>IF($A55="","",IFERROR(SUMIF(tblMotor[A_Norm],$A55,tblMotor[FlasKesinti]),0))</f>
        <v/>
      </c>
      <c r="G55" s="17">
        <f>IF($A55="","",IFERROR(SUMIF(tblMotor[A_Norm],$A55,tblMotor[UrunReklam]),0))</f>
        <v/>
      </c>
      <c r="H55" s="17">
        <f>IF($A55="","",IFERROR(SUMIF(tblMotor[A_Norm],$A55,tblMotor[DesiKargo]),0))</f>
        <v/>
      </c>
      <c r="I55" s="17">
        <f>IF(OR($A55="",$B55&lt;&gt;"tutar_farki"),"",IF(ABS($C55-$D55)&lt;=toleransKurus,"TYK-001",IF(ABS($C55-$E55)&lt;=toleransKurus,"TYK-002",IF(ABS($C55-$F55)&lt;=toleransKurus,"TYK-003",IF(ABS($C55-$G55)&lt;=toleransKurus,"TYK-004",IF(ABS($C55-$H55)&lt;=toleransKurus,"TYK-005","TANIMSIZ"))))))</f>
        <v/>
      </c>
    </row>
    <row r="56">
      <c r="A56" s="23">
        <f>IF('ESLESTIRME'!$A56="","",'ESLESTIRME'!$A56)</f>
        <v/>
      </c>
      <c r="B56" s="17">
        <f>IF($A56="","",IFERROR(INDEX(tblEslesme[Kova],MATCH($A56,tblEslesme[A_Norm],0)),""))</f>
        <v/>
      </c>
      <c r="C56" s="17">
        <f>IF($A56="","",IFERROR(INDEX(tblEslesme[AbsFark],MATCH($A56,tblEslesme[A_Norm],0)),0))</f>
        <v/>
      </c>
      <c r="D56" s="17">
        <f>IF($A56="","",IFERROR(SUMIF(tblMotor[A_Norm],$A56,tblMotor[KomisyonTutar]),0))</f>
        <v/>
      </c>
      <c r="E56" s="17">
        <f>IF($A56="","",IFERROR(SUMIF(tblMotor[A_Norm],$A56,tblMotor[TyPlus]),0))</f>
        <v/>
      </c>
      <c r="F56" s="17">
        <f>IF($A56="","",IFERROR(SUMIF(tblMotor[A_Norm],$A56,tblMotor[FlasKesinti]),0))</f>
        <v/>
      </c>
      <c r="G56" s="17">
        <f>IF($A56="","",IFERROR(SUMIF(tblMotor[A_Norm],$A56,tblMotor[UrunReklam]),0))</f>
        <v/>
      </c>
      <c r="H56" s="17">
        <f>IF($A56="","",IFERROR(SUMIF(tblMotor[A_Norm],$A56,tblMotor[DesiKargo]),0))</f>
        <v/>
      </c>
      <c r="I56" s="17">
        <f>IF(OR($A56="",$B56&lt;&gt;"tutar_farki"),"",IF(ABS($C56-$D56)&lt;=toleransKurus,"TYK-001",IF(ABS($C56-$E56)&lt;=toleransKurus,"TYK-002",IF(ABS($C56-$F56)&lt;=toleransKurus,"TYK-003",IF(ABS($C56-$G56)&lt;=toleransKurus,"TYK-004",IF(ABS($C56-$H56)&lt;=toleransKurus,"TYK-005","TANIMSIZ"))))))</f>
        <v/>
      </c>
    </row>
    <row r="57">
      <c r="A57" s="23">
        <f>IF('ESLESTIRME'!$A57="","",'ESLESTIRME'!$A57)</f>
        <v/>
      </c>
      <c r="B57" s="17">
        <f>IF($A57="","",IFERROR(INDEX(tblEslesme[Kova],MATCH($A57,tblEslesme[A_Norm],0)),""))</f>
        <v/>
      </c>
      <c r="C57" s="17">
        <f>IF($A57="","",IFERROR(INDEX(tblEslesme[AbsFark],MATCH($A57,tblEslesme[A_Norm],0)),0))</f>
        <v/>
      </c>
      <c r="D57" s="17">
        <f>IF($A57="","",IFERROR(SUMIF(tblMotor[A_Norm],$A57,tblMotor[KomisyonTutar]),0))</f>
        <v/>
      </c>
      <c r="E57" s="17">
        <f>IF($A57="","",IFERROR(SUMIF(tblMotor[A_Norm],$A57,tblMotor[TyPlus]),0))</f>
        <v/>
      </c>
      <c r="F57" s="17">
        <f>IF($A57="","",IFERROR(SUMIF(tblMotor[A_Norm],$A57,tblMotor[FlasKesinti]),0))</f>
        <v/>
      </c>
      <c r="G57" s="17">
        <f>IF($A57="","",IFERROR(SUMIF(tblMotor[A_Norm],$A57,tblMotor[UrunReklam]),0))</f>
        <v/>
      </c>
      <c r="H57" s="17">
        <f>IF($A57="","",IFERROR(SUMIF(tblMotor[A_Norm],$A57,tblMotor[DesiKargo]),0))</f>
        <v/>
      </c>
      <c r="I57" s="17">
        <f>IF(OR($A57="",$B57&lt;&gt;"tutar_farki"),"",IF(ABS($C57-$D57)&lt;=toleransKurus,"TYK-001",IF(ABS($C57-$E57)&lt;=toleransKurus,"TYK-002",IF(ABS($C57-$F57)&lt;=toleransKurus,"TYK-003",IF(ABS($C57-$G57)&lt;=toleransKurus,"TYK-004",IF(ABS($C57-$H57)&lt;=toleransKurus,"TYK-005","TANIMSIZ"))))))</f>
        <v/>
      </c>
    </row>
    <row r="58">
      <c r="A58" s="23">
        <f>IF('ESLESTIRME'!$A58="","",'ESLESTIRME'!$A58)</f>
        <v/>
      </c>
      <c r="B58" s="17">
        <f>IF($A58="","",IFERROR(INDEX(tblEslesme[Kova],MATCH($A58,tblEslesme[A_Norm],0)),""))</f>
        <v/>
      </c>
      <c r="C58" s="17">
        <f>IF($A58="","",IFERROR(INDEX(tblEslesme[AbsFark],MATCH($A58,tblEslesme[A_Norm],0)),0))</f>
        <v/>
      </c>
      <c r="D58" s="17">
        <f>IF($A58="","",IFERROR(SUMIF(tblMotor[A_Norm],$A58,tblMotor[KomisyonTutar]),0))</f>
        <v/>
      </c>
      <c r="E58" s="17">
        <f>IF($A58="","",IFERROR(SUMIF(tblMotor[A_Norm],$A58,tblMotor[TyPlus]),0))</f>
        <v/>
      </c>
      <c r="F58" s="17">
        <f>IF($A58="","",IFERROR(SUMIF(tblMotor[A_Norm],$A58,tblMotor[FlasKesinti]),0))</f>
        <v/>
      </c>
      <c r="G58" s="17">
        <f>IF($A58="","",IFERROR(SUMIF(tblMotor[A_Norm],$A58,tblMotor[UrunReklam]),0))</f>
        <v/>
      </c>
      <c r="H58" s="17">
        <f>IF($A58="","",IFERROR(SUMIF(tblMotor[A_Norm],$A58,tblMotor[DesiKargo]),0))</f>
        <v/>
      </c>
      <c r="I58" s="17">
        <f>IF(OR($A58="",$B58&lt;&gt;"tutar_farki"),"",IF(ABS($C58-$D58)&lt;=toleransKurus,"TYK-001",IF(ABS($C58-$E58)&lt;=toleransKurus,"TYK-002",IF(ABS($C58-$F58)&lt;=toleransKurus,"TYK-003",IF(ABS($C58-$G58)&lt;=toleransKurus,"TYK-004",IF(ABS($C58-$H58)&lt;=toleransKurus,"TYK-005","TANIMSIZ"))))))</f>
        <v/>
      </c>
    </row>
    <row r="59">
      <c r="A59" s="23">
        <f>IF('ESLESTIRME'!$A59="","",'ESLESTIRME'!$A59)</f>
        <v/>
      </c>
      <c r="B59" s="17">
        <f>IF($A59="","",IFERROR(INDEX(tblEslesme[Kova],MATCH($A59,tblEslesme[A_Norm],0)),""))</f>
        <v/>
      </c>
      <c r="C59" s="17">
        <f>IF($A59="","",IFERROR(INDEX(tblEslesme[AbsFark],MATCH($A59,tblEslesme[A_Norm],0)),0))</f>
        <v/>
      </c>
      <c r="D59" s="17">
        <f>IF($A59="","",IFERROR(SUMIF(tblMotor[A_Norm],$A59,tblMotor[KomisyonTutar]),0))</f>
        <v/>
      </c>
      <c r="E59" s="17">
        <f>IF($A59="","",IFERROR(SUMIF(tblMotor[A_Norm],$A59,tblMotor[TyPlus]),0))</f>
        <v/>
      </c>
      <c r="F59" s="17">
        <f>IF($A59="","",IFERROR(SUMIF(tblMotor[A_Norm],$A59,tblMotor[FlasKesinti]),0))</f>
        <v/>
      </c>
      <c r="G59" s="17">
        <f>IF($A59="","",IFERROR(SUMIF(tblMotor[A_Norm],$A59,tblMotor[UrunReklam]),0))</f>
        <v/>
      </c>
      <c r="H59" s="17">
        <f>IF($A59="","",IFERROR(SUMIF(tblMotor[A_Norm],$A59,tblMotor[DesiKargo]),0))</f>
        <v/>
      </c>
      <c r="I59" s="17">
        <f>IF(OR($A59="",$B59&lt;&gt;"tutar_farki"),"",IF(ABS($C59-$D59)&lt;=toleransKurus,"TYK-001",IF(ABS($C59-$E59)&lt;=toleransKurus,"TYK-002",IF(ABS($C59-$F59)&lt;=toleransKurus,"TYK-003",IF(ABS($C59-$G59)&lt;=toleransKurus,"TYK-004",IF(ABS($C59-$H59)&lt;=toleransKurus,"TYK-005","TANIMSIZ"))))))</f>
        <v/>
      </c>
    </row>
    <row r="60">
      <c r="A60" s="23">
        <f>IF('ESLESTIRME'!$A60="","",'ESLESTIRME'!$A60)</f>
        <v/>
      </c>
      <c r="B60" s="17">
        <f>IF($A60="","",IFERROR(INDEX(tblEslesme[Kova],MATCH($A60,tblEslesme[A_Norm],0)),""))</f>
        <v/>
      </c>
      <c r="C60" s="17">
        <f>IF($A60="","",IFERROR(INDEX(tblEslesme[AbsFark],MATCH($A60,tblEslesme[A_Norm],0)),0))</f>
        <v/>
      </c>
      <c r="D60" s="17">
        <f>IF($A60="","",IFERROR(SUMIF(tblMotor[A_Norm],$A60,tblMotor[KomisyonTutar]),0))</f>
        <v/>
      </c>
      <c r="E60" s="17">
        <f>IF($A60="","",IFERROR(SUMIF(tblMotor[A_Norm],$A60,tblMotor[TyPlus]),0))</f>
        <v/>
      </c>
      <c r="F60" s="17">
        <f>IF($A60="","",IFERROR(SUMIF(tblMotor[A_Norm],$A60,tblMotor[FlasKesinti]),0))</f>
        <v/>
      </c>
      <c r="G60" s="17">
        <f>IF($A60="","",IFERROR(SUMIF(tblMotor[A_Norm],$A60,tblMotor[UrunReklam]),0))</f>
        <v/>
      </c>
      <c r="H60" s="17">
        <f>IF($A60="","",IFERROR(SUMIF(tblMotor[A_Norm],$A60,tblMotor[DesiKargo]),0))</f>
        <v/>
      </c>
      <c r="I60" s="17">
        <f>IF(OR($A60="",$B60&lt;&gt;"tutar_farki"),"",IF(ABS($C60-$D60)&lt;=toleransKurus,"TYK-001",IF(ABS($C60-$E60)&lt;=toleransKurus,"TYK-002",IF(ABS($C60-$F60)&lt;=toleransKurus,"TYK-003",IF(ABS($C60-$G60)&lt;=toleransKurus,"TYK-004",IF(ABS($C60-$H60)&lt;=toleransKurus,"TYK-005","TANIMSIZ"))))))</f>
        <v/>
      </c>
    </row>
    <row r="61">
      <c r="A61" s="23">
        <f>IF('ESLESTIRME'!$A61="","",'ESLESTIRME'!$A61)</f>
        <v/>
      </c>
      <c r="B61" s="17">
        <f>IF($A61="","",IFERROR(INDEX(tblEslesme[Kova],MATCH($A61,tblEslesme[A_Norm],0)),""))</f>
        <v/>
      </c>
      <c r="C61" s="17">
        <f>IF($A61="","",IFERROR(INDEX(tblEslesme[AbsFark],MATCH($A61,tblEslesme[A_Norm],0)),0))</f>
        <v/>
      </c>
      <c r="D61" s="17">
        <f>IF($A61="","",IFERROR(SUMIF(tblMotor[A_Norm],$A61,tblMotor[KomisyonTutar]),0))</f>
        <v/>
      </c>
      <c r="E61" s="17">
        <f>IF($A61="","",IFERROR(SUMIF(tblMotor[A_Norm],$A61,tblMotor[TyPlus]),0))</f>
        <v/>
      </c>
      <c r="F61" s="17">
        <f>IF($A61="","",IFERROR(SUMIF(tblMotor[A_Norm],$A61,tblMotor[FlasKesinti]),0))</f>
        <v/>
      </c>
      <c r="G61" s="17">
        <f>IF($A61="","",IFERROR(SUMIF(tblMotor[A_Norm],$A61,tblMotor[UrunReklam]),0))</f>
        <v/>
      </c>
      <c r="H61" s="17">
        <f>IF($A61="","",IFERROR(SUMIF(tblMotor[A_Norm],$A61,tblMotor[DesiKargo]),0))</f>
        <v/>
      </c>
      <c r="I61" s="17">
        <f>IF(OR($A61="",$B61&lt;&gt;"tutar_farki"),"",IF(ABS($C61-$D61)&lt;=toleransKurus,"TYK-001",IF(ABS($C61-$E61)&lt;=toleransKurus,"TYK-002",IF(ABS($C61-$F61)&lt;=toleransKurus,"TYK-003",IF(ABS($C61-$G61)&lt;=toleransKurus,"TYK-004",IF(ABS($C61-$H61)&lt;=toleransKurus,"TYK-005","TANIMSIZ"))))))</f>
        <v/>
      </c>
    </row>
    <row r="62">
      <c r="A62" s="23">
        <f>IF('ESLESTIRME'!$A62="","",'ESLESTIRME'!$A62)</f>
        <v/>
      </c>
      <c r="B62" s="17">
        <f>IF($A62="","",IFERROR(INDEX(tblEslesme[Kova],MATCH($A62,tblEslesme[A_Norm],0)),""))</f>
        <v/>
      </c>
      <c r="C62" s="17">
        <f>IF($A62="","",IFERROR(INDEX(tblEslesme[AbsFark],MATCH($A62,tblEslesme[A_Norm],0)),0))</f>
        <v/>
      </c>
      <c r="D62" s="17">
        <f>IF($A62="","",IFERROR(SUMIF(tblMotor[A_Norm],$A62,tblMotor[KomisyonTutar]),0))</f>
        <v/>
      </c>
      <c r="E62" s="17">
        <f>IF($A62="","",IFERROR(SUMIF(tblMotor[A_Norm],$A62,tblMotor[TyPlus]),0))</f>
        <v/>
      </c>
      <c r="F62" s="17">
        <f>IF($A62="","",IFERROR(SUMIF(tblMotor[A_Norm],$A62,tblMotor[FlasKesinti]),0))</f>
        <v/>
      </c>
      <c r="G62" s="17">
        <f>IF($A62="","",IFERROR(SUMIF(tblMotor[A_Norm],$A62,tblMotor[UrunReklam]),0))</f>
        <v/>
      </c>
      <c r="H62" s="17">
        <f>IF($A62="","",IFERROR(SUMIF(tblMotor[A_Norm],$A62,tblMotor[DesiKargo]),0))</f>
        <v/>
      </c>
      <c r="I62" s="17">
        <f>IF(OR($A62="",$B62&lt;&gt;"tutar_farki"),"",IF(ABS($C62-$D62)&lt;=toleransKurus,"TYK-001",IF(ABS($C62-$E62)&lt;=toleransKurus,"TYK-002",IF(ABS($C62-$F62)&lt;=toleransKurus,"TYK-003",IF(ABS($C62-$G62)&lt;=toleransKurus,"TYK-004",IF(ABS($C62-$H62)&lt;=toleransKurus,"TYK-005","TANIMSIZ"))))))</f>
        <v/>
      </c>
    </row>
    <row r="63">
      <c r="A63" s="23">
        <f>IF('ESLESTIRME'!$A63="","",'ESLESTIRME'!$A63)</f>
        <v/>
      </c>
      <c r="B63" s="17">
        <f>IF($A63="","",IFERROR(INDEX(tblEslesme[Kova],MATCH($A63,tblEslesme[A_Norm],0)),""))</f>
        <v/>
      </c>
      <c r="C63" s="17">
        <f>IF($A63="","",IFERROR(INDEX(tblEslesme[AbsFark],MATCH($A63,tblEslesme[A_Norm],0)),0))</f>
        <v/>
      </c>
      <c r="D63" s="17">
        <f>IF($A63="","",IFERROR(SUMIF(tblMotor[A_Norm],$A63,tblMotor[KomisyonTutar]),0))</f>
        <v/>
      </c>
      <c r="E63" s="17">
        <f>IF($A63="","",IFERROR(SUMIF(tblMotor[A_Norm],$A63,tblMotor[TyPlus]),0))</f>
        <v/>
      </c>
      <c r="F63" s="17">
        <f>IF($A63="","",IFERROR(SUMIF(tblMotor[A_Norm],$A63,tblMotor[FlasKesinti]),0))</f>
        <v/>
      </c>
      <c r="G63" s="17">
        <f>IF($A63="","",IFERROR(SUMIF(tblMotor[A_Norm],$A63,tblMotor[UrunReklam]),0))</f>
        <v/>
      </c>
      <c r="H63" s="17">
        <f>IF($A63="","",IFERROR(SUMIF(tblMotor[A_Norm],$A63,tblMotor[DesiKargo]),0))</f>
        <v/>
      </c>
      <c r="I63" s="17">
        <f>IF(OR($A63="",$B63&lt;&gt;"tutar_farki"),"",IF(ABS($C63-$D63)&lt;=toleransKurus,"TYK-001",IF(ABS($C63-$E63)&lt;=toleransKurus,"TYK-002",IF(ABS($C63-$F63)&lt;=toleransKurus,"TYK-003",IF(ABS($C63-$G63)&lt;=toleransKurus,"TYK-004",IF(ABS($C63-$H63)&lt;=toleransKurus,"TYK-005","TANIMSIZ"))))))</f>
        <v/>
      </c>
    </row>
    <row r="64">
      <c r="A64" s="23">
        <f>IF('ESLESTIRME'!$A64="","",'ESLESTIRME'!$A64)</f>
        <v/>
      </c>
      <c r="B64" s="17">
        <f>IF($A64="","",IFERROR(INDEX(tblEslesme[Kova],MATCH($A64,tblEslesme[A_Norm],0)),""))</f>
        <v/>
      </c>
      <c r="C64" s="17">
        <f>IF($A64="","",IFERROR(INDEX(tblEslesme[AbsFark],MATCH($A64,tblEslesme[A_Norm],0)),0))</f>
        <v/>
      </c>
      <c r="D64" s="17">
        <f>IF($A64="","",IFERROR(SUMIF(tblMotor[A_Norm],$A64,tblMotor[KomisyonTutar]),0))</f>
        <v/>
      </c>
      <c r="E64" s="17">
        <f>IF($A64="","",IFERROR(SUMIF(tblMotor[A_Norm],$A64,tblMotor[TyPlus]),0))</f>
        <v/>
      </c>
      <c r="F64" s="17">
        <f>IF($A64="","",IFERROR(SUMIF(tblMotor[A_Norm],$A64,tblMotor[FlasKesinti]),0))</f>
        <v/>
      </c>
      <c r="G64" s="17">
        <f>IF($A64="","",IFERROR(SUMIF(tblMotor[A_Norm],$A64,tblMotor[UrunReklam]),0))</f>
        <v/>
      </c>
      <c r="H64" s="17">
        <f>IF($A64="","",IFERROR(SUMIF(tblMotor[A_Norm],$A64,tblMotor[DesiKargo]),0))</f>
        <v/>
      </c>
      <c r="I64" s="17">
        <f>IF(OR($A64="",$B64&lt;&gt;"tutar_farki"),"",IF(ABS($C64-$D64)&lt;=toleransKurus,"TYK-001",IF(ABS($C64-$E64)&lt;=toleransKurus,"TYK-002",IF(ABS($C64-$F64)&lt;=toleransKurus,"TYK-003",IF(ABS($C64-$G64)&lt;=toleransKurus,"TYK-004",IF(ABS($C64-$H64)&lt;=toleransKurus,"TYK-005","TANIMSIZ"))))))</f>
        <v/>
      </c>
    </row>
    <row r="65">
      <c r="A65" s="23">
        <f>IF('ESLESTIRME'!$A65="","",'ESLESTIRME'!$A65)</f>
        <v/>
      </c>
      <c r="B65" s="17">
        <f>IF($A65="","",IFERROR(INDEX(tblEslesme[Kova],MATCH($A65,tblEslesme[A_Norm],0)),""))</f>
        <v/>
      </c>
      <c r="C65" s="17">
        <f>IF($A65="","",IFERROR(INDEX(tblEslesme[AbsFark],MATCH($A65,tblEslesme[A_Norm],0)),0))</f>
        <v/>
      </c>
      <c r="D65" s="17">
        <f>IF($A65="","",IFERROR(SUMIF(tblMotor[A_Norm],$A65,tblMotor[KomisyonTutar]),0))</f>
        <v/>
      </c>
      <c r="E65" s="17">
        <f>IF($A65="","",IFERROR(SUMIF(tblMotor[A_Norm],$A65,tblMotor[TyPlus]),0))</f>
        <v/>
      </c>
      <c r="F65" s="17">
        <f>IF($A65="","",IFERROR(SUMIF(tblMotor[A_Norm],$A65,tblMotor[FlasKesinti]),0))</f>
        <v/>
      </c>
      <c r="G65" s="17">
        <f>IF($A65="","",IFERROR(SUMIF(tblMotor[A_Norm],$A65,tblMotor[UrunReklam]),0))</f>
        <v/>
      </c>
      <c r="H65" s="17">
        <f>IF($A65="","",IFERROR(SUMIF(tblMotor[A_Norm],$A65,tblMotor[DesiKargo]),0))</f>
        <v/>
      </c>
      <c r="I65" s="17">
        <f>IF(OR($A65="",$B65&lt;&gt;"tutar_farki"),"",IF(ABS($C65-$D65)&lt;=toleransKurus,"TYK-001",IF(ABS($C65-$E65)&lt;=toleransKurus,"TYK-002",IF(ABS($C65-$F65)&lt;=toleransKurus,"TYK-003",IF(ABS($C65-$G65)&lt;=toleransKurus,"TYK-004",IF(ABS($C65-$H65)&lt;=toleransKurus,"TYK-005","TANIMSIZ"))))))</f>
        <v/>
      </c>
    </row>
    <row r="66">
      <c r="A66" s="23">
        <f>IF('ESLESTIRME'!$A66="","",'ESLESTIRME'!$A66)</f>
        <v/>
      </c>
      <c r="B66" s="17">
        <f>IF($A66="","",IFERROR(INDEX(tblEslesme[Kova],MATCH($A66,tblEslesme[A_Norm],0)),""))</f>
        <v/>
      </c>
      <c r="C66" s="17">
        <f>IF($A66="","",IFERROR(INDEX(tblEslesme[AbsFark],MATCH($A66,tblEslesme[A_Norm],0)),0))</f>
        <v/>
      </c>
      <c r="D66" s="17">
        <f>IF($A66="","",IFERROR(SUMIF(tblMotor[A_Norm],$A66,tblMotor[KomisyonTutar]),0))</f>
        <v/>
      </c>
      <c r="E66" s="17">
        <f>IF($A66="","",IFERROR(SUMIF(tblMotor[A_Norm],$A66,tblMotor[TyPlus]),0))</f>
        <v/>
      </c>
      <c r="F66" s="17">
        <f>IF($A66="","",IFERROR(SUMIF(tblMotor[A_Norm],$A66,tblMotor[FlasKesinti]),0))</f>
        <v/>
      </c>
      <c r="G66" s="17">
        <f>IF($A66="","",IFERROR(SUMIF(tblMotor[A_Norm],$A66,tblMotor[UrunReklam]),0))</f>
        <v/>
      </c>
      <c r="H66" s="17">
        <f>IF($A66="","",IFERROR(SUMIF(tblMotor[A_Norm],$A66,tblMotor[DesiKargo]),0))</f>
        <v/>
      </c>
      <c r="I66" s="17">
        <f>IF(OR($A66="",$B66&lt;&gt;"tutar_farki"),"",IF(ABS($C66-$D66)&lt;=toleransKurus,"TYK-001",IF(ABS($C66-$E66)&lt;=toleransKurus,"TYK-002",IF(ABS($C66-$F66)&lt;=toleransKurus,"TYK-003",IF(ABS($C66-$G66)&lt;=toleransKurus,"TYK-004",IF(ABS($C66-$H66)&lt;=toleransKurus,"TYK-005","TANIMSIZ"))))))</f>
        <v/>
      </c>
    </row>
    <row r="67">
      <c r="A67" s="23">
        <f>IF('ESLESTIRME'!$A67="","",'ESLESTIRME'!$A67)</f>
        <v/>
      </c>
      <c r="B67" s="17">
        <f>IF($A67="","",IFERROR(INDEX(tblEslesme[Kova],MATCH($A67,tblEslesme[A_Norm],0)),""))</f>
        <v/>
      </c>
      <c r="C67" s="17">
        <f>IF($A67="","",IFERROR(INDEX(tblEslesme[AbsFark],MATCH($A67,tblEslesme[A_Norm],0)),0))</f>
        <v/>
      </c>
      <c r="D67" s="17">
        <f>IF($A67="","",IFERROR(SUMIF(tblMotor[A_Norm],$A67,tblMotor[KomisyonTutar]),0))</f>
        <v/>
      </c>
      <c r="E67" s="17">
        <f>IF($A67="","",IFERROR(SUMIF(tblMotor[A_Norm],$A67,tblMotor[TyPlus]),0))</f>
        <v/>
      </c>
      <c r="F67" s="17">
        <f>IF($A67="","",IFERROR(SUMIF(tblMotor[A_Norm],$A67,tblMotor[FlasKesinti]),0))</f>
        <v/>
      </c>
      <c r="G67" s="17">
        <f>IF($A67="","",IFERROR(SUMIF(tblMotor[A_Norm],$A67,tblMotor[UrunReklam]),0))</f>
        <v/>
      </c>
      <c r="H67" s="17">
        <f>IF($A67="","",IFERROR(SUMIF(tblMotor[A_Norm],$A67,tblMotor[DesiKargo]),0))</f>
        <v/>
      </c>
      <c r="I67" s="17">
        <f>IF(OR($A67="",$B67&lt;&gt;"tutar_farki"),"",IF(ABS($C67-$D67)&lt;=toleransKurus,"TYK-001",IF(ABS($C67-$E67)&lt;=toleransKurus,"TYK-002",IF(ABS($C67-$F67)&lt;=toleransKurus,"TYK-003",IF(ABS($C67-$G67)&lt;=toleransKurus,"TYK-004",IF(ABS($C67-$H67)&lt;=toleransKurus,"TYK-005","TANIMSIZ"))))))</f>
        <v/>
      </c>
    </row>
    <row r="68">
      <c r="A68" s="23">
        <f>IF('ESLESTIRME'!$A68="","",'ESLESTIRME'!$A68)</f>
        <v/>
      </c>
      <c r="B68" s="17">
        <f>IF($A68="","",IFERROR(INDEX(tblEslesme[Kova],MATCH($A68,tblEslesme[A_Norm],0)),""))</f>
        <v/>
      </c>
      <c r="C68" s="17">
        <f>IF($A68="","",IFERROR(INDEX(tblEslesme[AbsFark],MATCH($A68,tblEslesme[A_Norm],0)),0))</f>
        <v/>
      </c>
      <c r="D68" s="17">
        <f>IF($A68="","",IFERROR(SUMIF(tblMotor[A_Norm],$A68,tblMotor[KomisyonTutar]),0))</f>
        <v/>
      </c>
      <c r="E68" s="17">
        <f>IF($A68="","",IFERROR(SUMIF(tblMotor[A_Norm],$A68,tblMotor[TyPlus]),0))</f>
        <v/>
      </c>
      <c r="F68" s="17">
        <f>IF($A68="","",IFERROR(SUMIF(tblMotor[A_Norm],$A68,tblMotor[FlasKesinti]),0))</f>
        <v/>
      </c>
      <c r="G68" s="17">
        <f>IF($A68="","",IFERROR(SUMIF(tblMotor[A_Norm],$A68,tblMotor[UrunReklam]),0))</f>
        <v/>
      </c>
      <c r="H68" s="17">
        <f>IF($A68="","",IFERROR(SUMIF(tblMotor[A_Norm],$A68,tblMotor[DesiKargo]),0))</f>
        <v/>
      </c>
      <c r="I68" s="17">
        <f>IF(OR($A68="",$B68&lt;&gt;"tutar_farki"),"",IF(ABS($C68-$D68)&lt;=toleransKurus,"TYK-001",IF(ABS($C68-$E68)&lt;=toleransKurus,"TYK-002",IF(ABS($C68-$F68)&lt;=toleransKurus,"TYK-003",IF(ABS($C68-$G68)&lt;=toleransKurus,"TYK-004",IF(ABS($C68-$H68)&lt;=toleransKurus,"TYK-005","TANIMSIZ"))))))</f>
        <v/>
      </c>
    </row>
    <row r="69">
      <c r="A69" s="23">
        <f>IF('ESLESTIRME'!$A69="","",'ESLESTIRME'!$A69)</f>
        <v/>
      </c>
      <c r="B69" s="17">
        <f>IF($A69="","",IFERROR(INDEX(tblEslesme[Kova],MATCH($A69,tblEslesme[A_Norm],0)),""))</f>
        <v/>
      </c>
      <c r="C69" s="17">
        <f>IF($A69="","",IFERROR(INDEX(tblEslesme[AbsFark],MATCH($A69,tblEslesme[A_Norm],0)),0))</f>
        <v/>
      </c>
      <c r="D69" s="17">
        <f>IF($A69="","",IFERROR(SUMIF(tblMotor[A_Norm],$A69,tblMotor[KomisyonTutar]),0))</f>
        <v/>
      </c>
      <c r="E69" s="17">
        <f>IF($A69="","",IFERROR(SUMIF(tblMotor[A_Norm],$A69,tblMotor[TyPlus]),0))</f>
        <v/>
      </c>
      <c r="F69" s="17">
        <f>IF($A69="","",IFERROR(SUMIF(tblMotor[A_Norm],$A69,tblMotor[FlasKesinti]),0))</f>
        <v/>
      </c>
      <c r="G69" s="17">
        <f>IF($A69="","",IFERROR(SUMIF(tblMotor[A_Norm],$A69,tblMotor[UrunReklam]),0))</f>
        <v/>
      </c>
      <c r="H69" s="17">
        <f>IF($A69="","",IFERROR(SUMIF(tblMotor[A_Norm],$A69,tblMotor[DesiKargo]),0))</f>
        <v/>
      </c>
      <c r="I69" s="17">
        <f>IF(OR($A69="",$B69&lt;&gt;"tutar_farki"),"",IF(ABS($C69-$D69)&lt;=toleransKurus,"TYK-001",IF(ABS($C69-$E69)&lt;=toleransKurus,"TYK-002",IF(ABS($C69-$F69)&lt;=toleransKurus,"TYK-003",IF(ABS($C69-$G69)&lt;=toleransKurus,"TYK-004",IF(ABS($C69-$H69)&lt;=toleransKurus,"TYK-005","TANIMSIZ"))))))</f>
        <v/>
      </c>
    </row>
    <row r="70">
      <c r="A70" s="23">
        <f>IF('ESLESTIRME'!$A70="","",'ESLESTIRME'!$A70)</f>
        <v/>
      </c>
      <c r="B70" s="17">
        <f>IF($A70="","",IFERROR(INDEX(tblEslesme[Kova],MATCH($A70,tblEslesme[A_Norm],0)),""))</f>
        <v/>
      </c>
      <c r="C70" s="17">
        <f>IF($A70="","",IFERROR(INDEX(tblEslesme[AbsFark],MATCH($A70,tblEslesme[A_Norm],0)),0))</f>
        <v/>
      </c>
      <c r="D70" s="17">
        <f>IF($A70="","",IFERROR(SUMIF(tblMotor[A_Norm],$A70,tblMotor[KomisyonTutar]),0))</f>
        <v/>
      </c>
      <c r="E70" s="17">
        <f>IF($A70="","",IFERROR(SUMIF(tblMotor[A_Norm],$A70,tblMotor[TyPlus]),0))</f>
        <v/>
      </c>
      <c r="F70" s="17">
        <f>IF($A70="","",IFERROR(SUMIF(tblMotor[A_Norm],$A70,tblMotor[FlasKesinti]),0))</f>
        <v/>
      </c>
      <c r="G70" s="17">
        <f>IF($A70="","",IFERROR(SUMIF(tblMotor[A_Norm],$A70,tblMotor[UrunReklam]),0))</f>
        <v/>
      </c>
      <c r="H70" s="17">
        <f>IF($A70="","",IFERROR(SUMIF(tblMotor[A_Norm],$A70,tblMotor[DesiKargo]),0))</f>
        <v/>
      </c>
      <c r="I70" s="17">
        <f>IF(OR($A70="",$B70&lt;&gt;"tutar_farki"),"",IF(ABS($C70-$D70)&lt;=toleransKurus,"TYK-001",IF(ABS($C70-$E70)&lt;=toleransKurus,"TYK-002",IF(ABS($C70-$F70)&lt;=toleransKurus,"TYK-003",IF(ABS($C70-$G70)&lt;=toleransKurus,"TYK-004",IF(ABS($C70-$H70)&lt;=toleransKurus,"TYK-005","TANIMSIZ"))))))</f>
        <v/>
      </c>
    </row>
    <row r="71">
      <c r="A71" s="23">
        <f>IF('ESLESTIRME'!$A71="","",'ESLESTIRME'!$A71)</f>
        <v/>
      </c>
      <c r="B71" s="17">
        <f>IF($A71="","",IFERROR(INDEX(tblEslesme[Kova],MATCH($A71,tblEslesme[A_Norm],0)),""))</f>
        <v/>
      </c>
      <c r="C71" s="17">
        <f>IF($A71="","",IFERROR(INDEX(tblEslesme[AbsFark],MATCH($A71,tblEslesme[A_Norm],0)),0))</f>
        <v/>
      </c>
      <c r="D71" s="17">
        <f>IF($A71="","",IFERROR(SUMIF(tblMotor[A_Norm],$A71,tblMotor[KomisyonTutar]),0))</f>
        <v/>
      </c>
      <c r="E71" s="17">
        <f>IF($A71="","",IFERROR(SUMIF(tblMotor[A_Norm],$A71,tblMotor[TyPlus]),0))</f>
        <v/>
      </c>
      <c r="F71" s="17">
        <f>IF($A71="","",IFERROR(SUMIF(tblMotor[A_Norm],$A71,tblMotor[FlasKesinti]),0))</f>
        <v/>
      </c>
      <c r="G71" s="17">
        <f>IF($A71="","",IFERROR(SUMIF(tblMotor[A_Norm],$A71,tblMotor[UrunReklam]),0))</f>
        <v/>
      </c>
      <c r="H71" s="17">
        <f>IF($A71="","",IFERROR(SUMIF(tblMotor[A_Norm],$A71,tblMotor[DesiKargo]),0))</f>
        <v/>
      </c>
      <c r="I71" s="17">
        <f>IF(OR($A71="",$B71&lt;&gt;"tutar_farki"),"",IF(ABS($C71-$D71)&lt;=toleransKurus,"TYK-001",IF(ABS($C71-$E71)&lt;=toleransKurus,"TYK-002",IF(ABS($C71-$F71)&lt;=toleransKurus,"TYK-003",IF(ABS($C71-$G71)&lt;=toleransKurus,"TYK-004",IF(ABS($C71-$H71)&lt;=toleransKurus,"TYK-005","TANIMSIZ"))))))</f>
        <v/>
      </c>
    </row>
    <row r="72">
      <c r="A72" s="23">
        <f>IF('ESLESTIRME'!$A72="","",'ESLESTIRME'!$A72)</f>
        <v/>
      </c>
      <c r="B72" s="17">
        <f>IF($A72="","",IFERROR(INDEX(tblEslesme[Kova],MATCH($A72,tblEslesme[A_Norm],0)),""))</f>
        <v/>
      </c>
      <c r="C72" s="17">
        <f>IF($A72="","",IFERROR(INDEX(tblEslesme[AbsFark],MATCH($A72,tblEslesme[A_Norm],0)),0))</f>
        <v/>
      </c>
      <c r="D72" s="17">
        <f>IF($A72="","",IFERROR(SUMIF(tblMotor[A_Norm],$A72,tblMotor[KomisyonTutar]),0))</f>
        <v/>
      </c>
      <c r="E72" s="17">
        <f>IF($A72="","",IFERROR(SUMIF(tblMotor[A_Norm],$A72,tblMotor[TyPlus]),0))</f>
        <v/>
      </c>
      <c r="F72" s="17">
        <f>IF($A72="","",IFERROR(SUMIF(tblMotor[A_Norm],$A72,tblMotor[FlasKesinti]),0))</f>
        <v/>
      </c>
      <c r="G72" s="17">
        <f>IF($A72="","",IFERROR(SUMIF(tblMotor[A_Norm],$A72,tblMotor[UrunReklam]),0))</f>
        <v/>
      </c>
      <c r="H72" s="17">
        <f>IF($A72="","",IFERROR(SUMIF(tblMotor[A_Norm],$A72,tblMotor[DesiKargo]),0))</f>
        <v/>
      </c>
      <c r="I72" s="17">
        <f>IF(OR($A72="",$B72&lt;&gt;"tutar_farki"),"",IF(ABS($C72-$D72)&lt;=toleransKurus,"TYK-001",IF(ABS($C72-$E72)&lt;=toleransKurus,"TYK-002",IF(ABS($C72-$F72)&lt;=toleransKurus,"TYK-003",IF(ABS($C72-$G72)&lt;=toleransKurus,"TYK-004",IF(ABS($C72-$H72)&lt;=toleransKurus,"TYK-005","TANIMSIZ"))))))</f>
        <v/>
      </c>
    </row>
    <row r="73">
      <c r="A73" s="23">
        <f>IF('ESLESTIRME'!$A73="","",'ESLESTIRME'!$A73)</f>
        <v/>
      </c>
      <c r="B73" s="17">
        <f>IF($A73="","",IFERROR(INDEX(tblEslesme[Kova],MATCH($A73,tblEslesme[A_Norm],0)),""))</f>
        <v/>
      </c>
      <c r="C73" s="17">
        <f>IF($A73="","",IFERROR(INDEX(tblEslesme[AbsFark],MATCH($A73,tblEslesme[A_Norm],0)),0))</f>
        <v/>
      </c>
      <c r="D73" s="17">
        <f>IF($A73="","",IFERROR(SUMIF(tblMotor[A_Norm],$A73,tblMotor[KomisyonTutar]),0))</f>
        <v/>
      </c>
      <c r="E73" s="17">
        <f>IF($A73="","",IFERROR(SUMIF(tblMotor[A_Norm],$A73,tblMotor[TyPlus]),0))</f>
        <v/>
      </c>
      <c r="F73" s="17">
        <f>IF($A73="","",IFERROR(SUMIF(tblMotor[A_Norm],$A73,tblMotor[FlasKesinti]),0))</f>
        <v/>
      </c>
      <c r="G73" s="17">
        <f>IF($A73="","",IFERROR(SUMIF(tblMotor[A_Norm],$A73,tblMotor[UrunReklam]),0))</f>
        <v/>
      </c>
      <c r="H73" s="17">
        <f>IF($A73="","",IFERROR(SUMIF(tblMotor[A_Norm],$A73,tblMotor[DesiKargo]),0))</f>
        <v/>
      </c>
      <c r="I73" s="17">
        <f>IF(OR($A73="",$B73&lt;&gt;"tutar_farki"),"",IF(ABS($C73-$D73)&lt;=toleransKurus,"TYK-001",IF(ABS($C73-$E73)&lt;=toleransKurus,"TYK-002",IF(ABS($C73-$F73)&lt;=toleransKurus,"TYK-003",IF(ABS($C73-$G73)&lt;=toleransKurus,"TYK-004",IF(ABS($C73-$H73)&lt;=toleransKurus,"TYK-005","TANIMSIZ"))))))</f>
        <v/>
      </c>
    </row>
    <row r="74">
      <c r="A74" s="23">
        <f>IF('ESLESTIRME'!$A74="","",'ESLESTIRME'!$A74)</f>
        <v/>
      </c>
      <c r="B74" s="17">
        <f>IF($A74="","",IFERROR(INDEX(tblEslesme[Kova],MATCH($A74,tblEslesme[A_Norm],0)),""))</f>
        <v/>
      </c>
      <c r="C74" s="17">
        <f>IF($A74="","",IFERROR(INDEX(tblEslesme[AbsFark],MATCH($A74,tblEslesme[A_Norm],0)),0))</f>
        <v/>
      </c>
      <c r="D74" s="17">
        <f>IF($A74="","",IFERROR(SUMIF(tblMotor[A_Norm],$A74,tblMotor[KomisyonTutar]),0))</f>
        <v/>
      </c>
      <c r="E74" s="17">
        <f>IF($A74="","",IFERROR(SUMIF(tblMotor[A_Norm],$A74,tblMotor[TyPlus]),0))</f>
        <v/>
      </c>
      <c r="F74" s="17">
        <f>IF($A74="","",IFERROR(SUMIF(tblMotor[A_Norm],$A74,tblMotor[FlasKesinti]),0))</f>
        <v/>
      </c>
      <c r="G74" s="17">
        <f>IF($A74="","",IFERROR(SUMIF(tblMotor[A_Norm],$A74,tblMotor[UrunReklam]),0))</f>
        <v/>
      </c>
      <c r="H74" s="17">
        <f>IF($A74="","",IFERROR(SUMIF(tblMotor[A_Norm],$A74,tblMotor[DesiKargo]),0))</f>
        <v/>
      </c>
      <c r="I74" s="17">
        <f>IF(OR($A74="",$B74&lt;&gt;"tutar_farki"),"",IF(ABS($C74-$D74)&lt;=toleransKurus,"TYK-001",IF(ABS($C74-$E74)&lt;=toleransKurus,"TYK-002",IF(ABS($C74-$F74)&lt;=toleransKurus,"TYK-003",IF(ABS($C74-$G74)&lt;=toleransKurus,"TYK-004",IF(ABS($C74-$H74)&lt;=toleransKurus,"TYK-005","TANIMSIZ"))))))</f>
        <v/>
      </c>
    </row>
    <row r="75">
      <c r="A75" s="23">
        <f>IF('ESLESTIRME'!$A75="","",'ESLESTIRME'!$A75)</f>
        <v/>
      </c>
      <c r="B75" s="17">
        <f>IF($A75="","",IFERROR(INDEX(tblEslesme[Kova],MATCH($A75,tblEslesme[A_Norm],0)),""))</f>
        <v/>
      </c>
      <c r="C75" s="17">
        <f>IF($A75="","",IFERROR(INDEX(tblEslesme[AbsFark],MATCH($A75,tblEslesme[A_Norm],0)),0))</f>
        <v/>
      </c>
      <c r="D75" s="17">
        <f>IF($A75="","",IFERROR(SUMIF(tblMotor[A_Norm],$A75,tblMotor[KomisyonTutar]),0))</f>
        <v/>
      </c>
      <c r="E75" s="17">
        <f>IF($A75="","",IFERROR(SUMIF(tblMotor[A_Norm],$A75,tblMotor[TyPlus]),0))</f>
        <v/>
      </c>
      <c r="F75" s="17">
        <f>IF($A75="","",IFERROR(SUMIF(tblMotor[A_Norm],$A75,tblMotor[FlasKesinti]),0))</f>
        <v/>
      </c>
      <c r="G75" s="17">
        <f>IF($A75="","",IFERROR(SUMIF(tblMotor[A_Norm],$A75,tblMotor[UrunReklam]),0))</f>
        <v/>
      </c>
      <c r="H75" s="17">
        <f>IF($A75="","",IFERROR(SUMIF(tblMotor[A_Norm],$A75,tblMotor[DesiKargo]),0))</f>
        <v/>
      </c>
      <c r="I75" s="17">
        <f>IF(OR($A75="",$B75&lt;&gt;"tutar_farki"),"",IF(ABS($C75-$D75)&lt;=toleransKurus,"TYK-001",IF(ABS($C75-$E75)&lt;=toleransKurus,"TYK-002",IF(ABS($C75-$F75)&lt;=toleransKurus,"TYK-003",IF(ABS($C75-$G75)&lt;=toleransKurus,"TYK-004",IF(ABS($C75-$H75)&lt;=toleransKurus,"TYK-005","TANIMSIZ"))))))</f>
        <v/>
      </c>
    </row>
    <row r="76">
      <c r="A76" s="23">
        <f>IF('ESLESTIRME'!$A76="","",'ESLESTIRME'!$A76)</f>
        <v/>
      </c>
      <c r="B76" s="17">
        <f>IF($A76="","",IFERROR(INDEX(tblEslesme[Kova],MATCH($A76,tblEslesme[A_Norm],0)),""))</f>
        <v/>
      </c>
      <c r="C76" s="17">
        <f>IF($A76="","",IFERROR(INDEX(tblEslesme[AbsFark],MATCH($A76,tblEslesme[A_Norm],0)),0))</f>
        <v/>
      </c>
      <c r="D76" s="17">
        <f>IF($A76="","",IFERROR(SUMIF(tblMotor[A_Norm],$A76,tblMotor[KomisyonTutar]),0))</f>
        <v/>
      </c>
      <c r="E76" s="17">
        <f>IF($A76="","",IFERROR(SUMIF(tblMotor[A_Norm],$A76,tblMotor[TyPlus]),0))</f>
        <v/>
      </c>
      <c r="F76" s="17">
        <f>IF($A76="","",IFERROR(SUMIF(tblMotor[A_Norm],$A76,tblMotor[FlasKesinti]),0))</f>
        <v/>
      </c>
      <c r="G76" s="17">
        <f>IF($A76="","",IFERROR(SUMIF(tblMotor[A_Norm],$A76,tblMotor[UrunReklam]),0))</f>
        <v/>
      </c>
      <c r="H76" s="17">
        <f>IF($A76="","",IFERROR(SUMIF(tblMotor[A_Norm],$A76,tblMotor[DesiKargo]),0))</f>
        <v/>
      </c>
      <c r="I76" s="17">
        <f>IF(OR($A76="",$B76&lt;&gt;"tutar_farki"),"",IF(ABS($C76-$D76)&lt;=toleransKurus,"TYK-001",IF(ABS($C76-$E76)&lt;=toleransKurus,"TYK-002",IF(ABS($C76-$F76)&lt;=toleransKurus,"TYK-003",IF(ABS($C76-$G76)&lt;=toleransKurus,"TYK-004",IF(ABS($C76-$H76)&lt;=toleransKurus,"TYK-005","TANIMSIZ"))))))</f>
        <v/>
      </c>
    </row>
    <row r="77">
      <c r="A77" s="23">
        <f>IF('ESLESTIRME'!$A77="","",'ESLESTIRME'!$A77)</f>
        <v/>
      </c>
      <c r="B77" s="17">
        <f>IF($A77="","",IFERROR(INDEX(tblEslesme[Kova],MATCH($A77,tblEslesme[A_Norm],0)),""))</f>
        <v/>
      </c>
      <c r="C77" s="17">
        <f>IF($A77="","",IFERROR(INDEX(tblEslesme[AbsFark],MATCH($A77,tblEslesme[A_Norm],0)),0))</f>
        <v/>
      </c>
      <c r="D77" s="17">
        <f>IF($A77="","",IFERROR(SUMIF(tblMotor[A_Norm],$A77,tblMotor[KomisyonTutar]),0))</f>
        <v/>
      </c>
      <c r="E77" s="17">
        <f>IF($A77="","",IFERROR(SUMIF(tblMotor[A_Norm],$A77,tblMotor[TyPlus]),0))</f>
        <v/>
      </c>
      <c r="F77" s="17">
        <f>IF($A77="","",IFERROR(SUMIF(tblMotor[A_Norm],$A77,tblMotor[FlasKesinti]),0))</f>
        <v/>
      </c>
      <c r="G77" s="17">
        <f>IF($A77="","",IFERROR(SUMIF(tblMotor[A_Norm],$A77,tblMotor[UrunReklam]),0))</f>
        <v/>
      </c>
      <c r="H77" s="17">
        <f>IF($A77="","",IFERROR(SUMIF(tblMotor[A_Norm],$A77,tblMotor[DesiKargo]),0))</f>
        <v/>
      </c>
      <c r="I77" s="17">
        <f>IF(OR($A77="",$B77&lt;&gt;"tutar_farki"),"",IF(ABS($C77-$D77)&lt;=toleransKurus,"TYK-001",IF(ABS($C77-$E77)&lt;=toleransKurus,"TYK-002",IF(ABS($C77-$F77)&lt;=toleransKurus,"TYK-003",IF(ABS($C77-$G77)&lt;=toleransKurus,"TYK-004",IF(ABS($C77-$H77)&lt;=toleransKurus,"TYK-005","TANIMSIZ"))))))</f>
        <v/>
      </c>
    </row>
    <row r="78">
      <c r="A78" s="23">
        <f>IF('ESLESTIRME'!$A78="","",'ESLESTIRME'!$A78)</f>
        <v/>
      </c>
      <c r="B78" s="17">
        <f>IF($A78="","",IFERROR(INDEX(tblEslesme[Kova],MATCH($A78,tblEslesme[A_Norm],0)),""))</f>
        <v/>
      </c>
      <c r="C78" s="17">
        <f>IF($A78="","",IFERROR(INDEX(tblEslesme[AbsFark],MATCH($A78,tblEslesme[A_Norm],0)),0))</f>
        <v/>
      </c>
      <c r="D78" s="17">
        <f>IF($A78="","",IFERROR(SUMIF(tblMotor[A_Norm],$A78,tblMotor[KomisyonTutar]),0))</f>
        <v/>
      </c>
      <c r="E78" s="17">
        <f>IF($A78="","",IFERROR(SUMIF(tblMotor[A_Norm],$A78,tblMotor[TyPlus]),0))</f>
        <v/>
      </c>
      <c r="F78" s="17">
        <f>IF($A78="","",IFERROR(SUMIF(tblMotor[A_Norm],$A78,tblMotor[FlasKesinti]),0))</f>
        <v/>
      </c>
      <c r="G78" s="17">
        <f>IF($A78="","",IFERROR(SUMIF(tblMotor[A_Norm],$A78,tblMotor[UrunReklam]),0))</f>
        <v/>
      </c>
      <c r="H78" s="17">
        <f>IF($A78="","",IFERROR(SUMIF(tblMotor[A_Norm],$A78,tblMotor[DesiKargo]),0))</f>
        <v/>
      </c>
      <c r="I78" s="17">
        <f>IF(OR($A78="",$B78&lt;&gt;"tutar_farki"),"",IF(ABS($C78-$D78)&lt;=toleransKurus,"TYK-001",IF(ABS($C78-$E78)&lt;=toleransKurus,"TYK-002",IF(ABS($C78-$F78)&lt;=toleransKurus,"TYK-003",IF(ABS($C78-$G78)&lt;=toleransKurus,"TYK-004",IF(ABS($C78-$H78)&lt;=toleransKurus,"TYK-005","TANIMSIZ"))))))</f>
        <v/>
      </c>
    </row>
    <row r="79">
      <c r="A79" s="23">
        <f>IF('ESLESTIRME'!$A79="","",'ESLESTIRME'!$A79)</f>
        <v/>
      </c>
      <c r="B79" s="17">
        <f>IF($A79="","",IFERROR(INDEX(tblEslesme[Kova],MATCH($A79,tblEslesme[A_Norm],0)),""))</f>
        <v/>
      </c>
      <c r="C79" s="17">
        <f>IF($A79="","",IFERROR(INDEX(tblEslesme[AbsFark],MATCH($A79,tblEslesme[A_Norm],0)),0))</f>
        <v/>
      </c>
      <c r="D79" s="17">
        <f>IF($A79="","",IFERROR(SUMIF(tblMotor[A_Norm],$A79,tblMotor[KomisyonTutar]),0))</f>
        <v/>
      </c>
      <c r="E79" s="17">
        <f>IF($A79="","",IFERROR(SUMIF(tblMotor[A_Norm],$A79,tblMotor[TyPlus]),0))</f>
        <v/>
      </c>
      <c r="F79" s="17">
        <f>IF($A79="","",IFERROR(SUMIF(tblMotor[A_Norm],$A79,tblMotor[FlasKesinti]),0))</f>
        <v/>
      </c>
      <c r="G79" s="17">
        <f>IF($A79="","",IFERROR(SUMIF(tblMotor[A_Norm],$A79,tblMotor[UrunReklam]),0))</f>
        <v/>
      </c>
      <c r="H79" s="17">
        <f>IF($A79="","",IFERROR(SUMIF(tblMotor[A_Norm],$A79,tblMotor[DesiKargo]),0))</f>
        <v/>
      </c>
      <c r="I79" s="17">
        <f>IF(OR($A79="",$B79&lt;&gt;"tutar_farki"),"",IF(ABS($C79-$D79)&lt;=toleransKurus,"TYK-001",IF(ABS($C79-$E79)&lt;=toleransKurus,"TYK-002",IF(ABS($C79-$F79)&lt;=toleransKurus,"TYK-003",IF(ABS($C79-$G79)&lt;=toleransKurus,"TYK-004",IF(ABS($C79-$H79)&lt;=toleransKurus,"TYK-005","TANIMSIZ"))))))</f>
        <v/>
      </c>
    </row>
    <row r="80">
      <c r="A80" s="23">
        <f>IF('ESLESTIRME'!$A80="","",'ESLESTIRME'!$A80)</f>
        <v/>
      </c>
      <c r="B80" s="17">
        <f>IF($A80="","",IFERROR(INDEX(tblEslesme[Kova],MATCH($A80,tblEslesme[A_Norm],0)),""))</f>
        <v/>
      </c>
      <c r="C80" s="17">
        <f>IF($A80="","",IFERROR(INDEX(tblEslesme[AbsFark],MATCH($A80,tblEslesme[A_Norm],0)),0))</f>
        <v/>
      </c>
      <c r="D80" s="17">
        <f>IF($A80="","",IFERROR(SUMIF(tblMotor[A_Norm],$A80,tblMotor[KomisyonTutar]),0))</f>
        <v/>
      </c>
      <c r="E80" s="17">
        <f>IF($A80="","",IFERROR(SUMIF(tblMotor[A_Norm],$A80,tblMotor[TyPlus]),0))</f>
        <v/>
      </c>
      <c r="F80" s="17">
        <f>IF($A80="","",IFERROR(SUMIF(tblMotor[A_Norm],$A80,tblMotor[FlasKesinti]),0))</f>
        <v/>
      </c>
      <c r="G80" s="17">
        <f>IF($A80="","",IFERROR(SUMIF(tblMotor[A_Norm],$A80,tblMotor[UrunReklam]),0))</f>
        <v/>
      </c>
      <c r="H80" s="17">
        <f>IF($A80="","",IFERROR(SUMIF(tblMotor[A_Norm],$A80,tblMotor[DesiKargo]),0))</f>
        <v/>
      </c>
      <c r="I80" s="17">
        <f>IF(OR($A80="",$B80&lt;&gt;"tutar_farki"),"",IF(ABS($C80-$D80)&lt;=toleransKurus,"TYK-001",IF(ABS($C80-$E80)&lt;=toleransKurus,"TYK-002",IF(ABS($C80-$F80)&lt;=toleransKurus,"TYK-003",IF(ABS($C80-$G80)&lt;=toleransKurus,"TYK-004",IF(ABS($C80-$H80)&lt;=toleransKurus,"TYK-005","TANIMSIZ"))))))</f>
        <v/>
      </c>
    </row>
    <row r="81">
      <c r="A81" s="23">
        <f>IF('ESLESTIRME'!$A81="","",'ESLESTIRME'!$A81)</f>
        <v/>
      </c>
      <c r="B81" s="17">
        <f>IF($A81="","",IFERROR(INDEX(tblEslesme[Kova],MATCH($A81,tblEslesme[A_Norm],0)),""))</f>
        <v/>
      </c>
      <c r="C81" s="17">
        <f>IF($A81="","",IFERROR(INDEX(tblEslesme[AbsFark],MATCH($A81,tblEslesme[A_Norm],0)),0))</f>
        <v/>
      </c>
      <c r="D81" s="17">
        <f>IF($A81="","",IFERROR(SUMIF(tblMotor[A_Norm],$A81,tblMotor[KomisyonTutar]),0))</f>
        <v/>
      </c>
      <c r="E81" s="17">
        <f>IF($A81="","",IFERROR(SUMIF(tblMotor[A_Norm],$A81,tblMotor[TyPlus]),0))</f>
        <v/>
      </c>
      <c r="F81" s="17">
        <f>IF($A81="","",IFERROR(SUMIF(tblMotor[A_Norm],$A81,tblMotor[FlasKesinti]),0))</f>
        <v/>
      </c>
      <c r="G81" s="17">
        <f>IF($A81="","",IFERROR(SUMIF(tblMotor[A_Norm],$A81,tblMotor[UrunReklam]),0))</f>
        <v/>
      </c>
      <c r="H81" s="17">
        <f>IF($A81="","",IFERROR(SUMIF(tblMotor[A_Norm],$A81,tblMotor[DesiKargo]),0))</f>
        <v/>
      </c>
      <c r="I81" s="17">
        <f>IF(OR($A81="",$B81&lt;&gt;"tutar_farki"),"",IF(ABS($C81-$D81)&lt;=toleransKurus,"TYK-001",IF(ABS($C81-$E81)&lt;=toleransKurus,"TYK-002",IF(ABS($C81-$F81)&lt;=toleransKurus,"TYK-003",IF(ABS($C81-$G81)&lt;=toleransKurus,"TYK-004",IF(ABS($C81-$H81)&lt;=toleransKurus,"TYK-005","TANIMSIZ"))))))</f>
        <v/>
      </c>
    </row>
    <row r="82">
      <c r="A82" s="23">
        <f>IF('ESLESTIRME'!$A82="","",'ESLESTIRME'!$A82)</f>
        <v/>
      </c>
      <c r="B82" s="17">
        <f>IF($A82="","",IFERROR(INDEX(tblEslesme[Kova],MATCH($A82,tblEslesme[A_Norm],0)),""))</f>
        <v/>
      </c>
      <c r="C82" s="17">
        <f>IF($A82="","",IFERROR(INDEX(tblEslesme[AbsFark],MATCH($A82,tblEslesme[A_Norm],0)),0))</f>
        <v/>
      </c>
      <c r="D82" s="17">
        <f>IF($A82="","",IFERROR(SUMIF(tblMotor[A_Norm],$A82,tblMotor[KomisyonTutar]),0))</f>
        <v/>
      </c>
      <c r="E82" s="17">
        <f>IF($A82="","",IFERROR(SUMIF(tblMotor[A_Norm],$A82,tblMotor[TyPlus]),0))</f>
        <v/>
      </c>
      <c r="F82" s="17">
        <f>IF($A82="","",IFERROR(SUMIF(tblMotor[A_Norm],$A82,tblMotor[FlasKesinti]),0))</f>
        <v/>
      </c>
      <c r="G82" s="17">
        <f>IF($A82="","",IFERROR(SUMIF(tblMotor[A_Norm],$A82,tblMotor[UrunReklam]),0))</f>
        <v/>
      </c>
      <c r="H82" s="17">
        <f>IF($A82="","",IFERROR(SUMIF(tblMotor[A_Norm],$A82,tblMotor[DesiKargo]),0))</f>
        <v/>
      </c>
      <c r="I82" s="17">
        <f>IF(OR($A82="",$B82&lt;&gt;"tutar_farki"),"",IF(ABS($C82-$D82)&lt;=toleransKurus,"TYK-001",IF(ABS($C82-$E82)&lt;=toleransKurus,"TYK-002",IF(ABS($C82-$F82)&lt;=toleransKurus,"TYK-003",IF(ABS($C82-$G82)&lt;=toleransKurus,"TYK-004",IF(ABS($C82-$H82)&lt;=toleransKurus,"TYK-005","TANIMSIZ"))))))</f>
        <v/>
      </c>
    </row>
    <row r="83">
      <c r="A83" s="23">
        <f>IF('ESLESTIRME'!$A83="","",'ESLESTIRME'!$A83)</f>
        <v/>
      </c>
      <c r="B83" s="17">
        <f>IF($A83="","",IFERROR(INDEX(tblEslesme[Kova],MATCH($A83,tblEslesme[A_Norm],0)),""))</f>
        <v/>
      </c>
      <c r="C83" s="17">
        <f>IF($A83="","",IFERROR(INDEX(tblEslesme[AbsFark],MATCH($A83,tblEslesme[A_Norm],0)),0))</f>
        <v/>
      </c>
      <c r="D83" s="17">
        <f>IF($A83="","",IFERROR(SUMIF(tblMotor[A_Norm],$A83,tblMotor[KomisyonTutar]),0))</f>
        <v/>
      </c>
      <c r="E83" s="17">
        <f>IF($A83="","",IFERROR(SUMIF(tblMotor[A_Norm],$A83,tblMotor[TyPlus]),0))</f>
        <v/>
      </c>
      <c r="F83" s="17">
        <f>IF($A83="","",IFERROR(SUMIF(tblMotor[A_Norm],$A83,tblMotor[FlasKesinti]),0))</f>
        <v/>
      </c>
      <c r="G83" s="17">
        <f>IF($A83="","",IFERROR(SUMIF(tblMotor[A_Norm],$A83,tblMotor[UrunReklam]),0))</f>
        <v/>
      </c>
      <c r="H83" s="17">
        <f>IF($A83="","",IFERROR(SUMIF(tblMotor[A_Norm],$A83,tblMotor[DesiKargo]),0))</f>
        <v/>
      </c>
      <c r="I83" s="17">
        <f>IF(OR($A83="",$B83&lt;&gt;"tutar_farki"),"",IF(ABS($C83-$D83)&lt;=toleransKurus,"TYK-001",IF(ABS($C83-$E83)&lt;=toleransKurus,"TYK-002",IF(ABS($C83-$F83)&lt;=toleransKurus,"TYK-003",IF(ABS($C83-$G83)&lt;=toleransKurus,"TYK-004",IF(ABS($C83-$H83)&lt;=toleransKurus,"TYK-005","TANIMSIZ"))))))</f>
        <v/>
      </c>
    </row>
    <row r="84">
      <c r="A84" s="23">
        <f>IF('ESLESTIRME'!$A84="","",'ESLESTIRME'!$A84)</f>
        <v/>
      </c>
      <c r="B84" s="17">
        <f>IF($A84="","",IFERROR(INDEX(tblEslesme[Kova],MATCH($A84,tblEslesme[A_Norm],0)),""))</f>
        <v/>
      </c>
      <c r="C84" s="17">
        <f>IF($A84="","",IFERROR(INDEX(tblEslesme[AbsFark],MATCH($A84,tblEslesme[A_Norm],0)),0))</f>
        <v/>
      </c>
      <c r="D84" s="17">
        <f>IF($A84="","",IFERROR(SUMIF(tblMotor[A_Norm],$A84,tblMotor[KomisyonTutar]),0))</f>
        <v/>
      </c>
      <c r="E84" s="17">
        <f>IF($A84="","",IFERROR(SUMIF(tblMotor[A_Norm],$A84,tblMotor[TyPlus]),0))</f>
        <v/>
      </c>
      <c r="F84" s="17">
        <f>IF($A84="","",IFERROR(SUMIF(tblMotor[A_Norm],$A84,tblMotor[FlasKesinti]),0))</f>
        <v/>
      </c>
      <c r="G84" s="17">
        <f>IF($A84="","",IFERROR(SUMIF(tblMotor[A_Norm],$A84,tblMotor[UrunReklam]),0))</f>
        <v/>
      </c>
      <c r="H84" s="17">
        <f>IF($A84="","",IFERROR(SUMIF(tblMotor[A_Norm],$A84,tblMotor[DesiKargo]),0))</f>
        <v/>
      </c>
      <c r="I84" s="17">
        <f>IF(OR($A84="",$B84&lt;&gt;"tutar_farki"),"",IF(ABS($C84-$D84)&lt;=toleransKurus,"TYK-001",IF(ABS($C84-$E84)&lt;=toleransKurus,"TYK-002",IF(ABS($C84-$F84)&lt;=toleransKurus,"TYK-003",IF(ABS($C84-$G84)&lt;=toleransKurus,"TYK-004",IF(ABS($C84-$H84)&lt;=toleransKurus,"TYK-005","TANIMSIZ"))))))</f>
        <v/>
      </c>
    </row>
    <row r="85">
      <c r="A85" s="23">
        <f>IF('ESLESTIRME'!$A85="","",'ESLESTIRME'!$A85)</f>
        <v/>
      </c>
      <c r="B85" s="17">
        <f>IF($A85="","",IFERROR(INDEX(tblEslesme[Kova],MATCH($A85,tblEslesme[A_Norm],0)),""))</f>
        <v/>
      </c>
      <c r="C85" s="17">
        <f>IF($A85="","",IFERROR(INDEX(tblEslesme[AbsFark],MATCH($A85,tblEslesme[A_Norm],0)),0))</f>
        <v/>
      </c>
      <c r="D85" s="17">
        <f>IF($A85="","",IFERROR(SUMIF(tblMotor[A_Norm],$A85,tblMotor[KomisyonTutar]),0))</f>
        <v/>
      </c>
      <c r="E85" s="17">
        <f>IF($A85="","",IFERROR(SUMIF(tblMotor[A_Norm],$A85,tblMotor[TyPlus]),0))</f>
        <v/>
      </c>
      <c r="F85" s="17">
        <f>IF($A85="","",IFERROR(SUMIF(tblMotor[A_Norm],$A85,tblMotor[FlasKesinti]),0))</f>
        <v/>
      </c>
      <c r="G85" s="17">
        <f>IF($A85="","",IFERROR(SUMIF(tblMotor[A_Norm],$A85,tblMotor[UrunReklam]),0))</f>
        <v/>
      </c>
      <c r="H85" s="17">
        <f>IF($A85="","",IFERROR(SUMIF(tblMotor[A_Norm],$A85,tblMotor[DesiKargo]),0))</f>
        <v/>
      </c>
      <c r="I85" s="17">
        <f>IF(OR($A85="",$B85&lt;&gt;"tutar_farki"),"",IF(ABS($C85-$D85)&lt;=toleransKurus,"TYK-001",IF(ABS($C85-$E85)&lt;=toleransKurus,"TYK-002",IF(ABS($C85-$F85)&lt;=toleransKurus,"TYK-003",IF(ABS($C85-$G85)&lt;=toleransKurus,"TYK-004",IF(ABS($C85-$H85)&lt;=toleransKurus,"TYK-005","TANIMSIZ"))))))</f>
        <v/>
      </c>
    </row>
    <row r="86">
      <c r="A86" s="23">
        <f>IF('ESLESTIRME'!$A86="","",'ESLESTIRME'!$A86)</f>
        <v/>
      </c>
      <c r="B86" s="17">
        <f>IF($A86="","",IFERROR(INDEX(tblEslesme[Kova],MATCH($A86,tblEslesme[A_Norm],0)),""))</f>
        <v/>
      </c>
      <c r="C86" s="17">
        <f>IF($A86="","",IFERROR(INDEX(tblEslesme[AbsFark],MATCH($A86,tblEslesme[A_Norm],0)),0))</f>
        <v/>
      </c>
      <c r="D86" s="17">
        <f>IF($A86="","",IFERROR(SUMIF(tblMotor[A_Norm],$A86,tblMotor[KomisyonTutar]),0))</f>
        <v/>
      </c>
      <c r="E86" s="17">
        <f>IF($A86="","",IFERROR(SUMIF(tblMotor[A_Norm],$A86,tblMotor[TyPlus]),0))</f>
        <v/>
      </c>
      <c r="F86" s="17">
        <f>IF($A86="","",IFERROR(SUMIF(tblMotor[A_Norm],$A86,tblMotor[FlasKesinti]),0))</f>
        <v/>
      </c>
      <c r="G86" s="17">
        <f>IF($A86="","",IFERROR(SUMIF(tblMotor[A_Norm],$A86,tblMotor[UrunReklam]),0))</f>
        <v/>
      </c>
      <c r="H86" s="17">
        <f>IF($A86="","",IFERROR(SUMIF(tblMotor[A_Norm],$A86,tblMotor[DesiKargo]),0))</f>
        <v/>
      </c>
      <c r="I86" s="17">
        <f>IF(OR($A86="",$B86&lt;&gt;"tutar_farki"),"",IF(ABS($C86-$D86)&lt;=toleransKurus,"TYK-001",IF(ABS($C86-$E86)&lt;=toleransKurus,"TYK-002",IF(ABS($C86-$F86)&lt;=toleransKurus,"TYK-003",IF(ABS($C86-$G86)&lt;=toleransKurus,"TYK-004",IF(ABS($C86-$H86)&lt;=toleransKurus,"TYK-005","TANIMSIZ"))))))</f>
        <v/>
      </c>
    </row>
    <row r="87">
      <c r="A87" s="23">
        <f>IF('ESLESTIRME'!$A87="","",'ESLESTIRME'!$A87)</f>
        <v/>
      </c>
      <c r="B87" s="17">
        <f>IF($A87="","",IFERROR(INDEX(tblEslesme[Kova],MATCH($A87,tblEslesme[A_Norm],0)),""))</f>
        <v/>
      </c>
      <c r="C87" s="17">
        <f>IF($A87="","",IFERROR(INDEX(tblEslesme[AbsFark],MATCH($A87,tblEslesme[A_Norm],0)),0))</f>
        <v/>
      </c>
      <c r="D87" s="17">
        <f>IF($A87="","",IFERROR(SUMIF(tblMotor[A_Norm],$A87,tblMotor[KomisyonTutar]),0))</f>
        <v/>
      </c>
      <c r="E87" s="17">
        <f>IF($A87="","",IFERROR(SUMIF(tblMotor[A_Norm],$A87,tblMotor[TyPlus]),0))</f>
        <v/>
      </c>
      <c r="F87" s="17">
        <f>IF($A87="","",IFERROR(SUMIF(tblMotor[A_Norm],$A87,tblMotor[FlasKesinti]),0))</f>
        <v/>
      </c>
      <c r="G87" s="17">
        <f>IF($A87="","",IFERROR(SUMIF(tblMotor[A_Norm],$A87,tblMotor[UrunReklam]),0))</f>
        <v/>
      </c>
      <c r="H87" s="17">
        <f>IF($A87="","",IFERROR(SUMIF(tblMotor[A_Norm],$A87,tblMotor[DesiKargo]),0))</f>
        <v/>
      </c>
      <c r="I87" s="17">
        <f>IF(OR($A87="",$B87&lt;&gt;"tutar_farki"),"",IF(ABS($C87-$D87)&lt;=toleransKurus,"TYK-001",IF(ABS($C87-$E87)&lt;=toleransKurus,"TYK-002",IF(ABS($C87-$F87)&lt;=toleransKurus,"TYK-003",IF(ABS($C87-$G87)&lt;=toleransKurus,"TYK-004",IF(ABS($C87-$H87)&lt;=toleransKurus,"TYK-005","TANIMSIZ"))))))</f>
        <v/>
      </c>
    </row>
    <row r="88">
      <c r="A88" s="23">
        <f>IF('ESLESTIRME'!$A88="","",'ESLESTIRME'!$A88)</f>
        <v/>
      </c>
      <c r="B88" s="17">
        <f>IF($A88="","",IFERROR(INDEX(tblEslesme[Kova],MATCH($A88,tblEslesme[A_Norm],0)),""))</f>
        <v/>
      </c>
      <c r="C88" s="17">
        <f>IF($A88="","",IFERROR(INDEX(tblEslesme[AbsFark],MATCH($A88,tblEslesme[A_Norm],0)),0))</f>
        <v/>
      </c>
      <c r="D88" s="17">
        <f>IF($A88="","",IFERROR(SUMIF(tblMotor[A_Norm],$A88,tblMotor[KomisyonTutar]),0))</f>
        <v/>
      </c>
      <c r="E88" s="17">
        <f>IF($A88="","",IFERROR(SUMIF(tblMotor[A_Norm],$A88,tblMotor[TyPlus]),0))</f>
        <v/>
      </c>
      <c r="F88" s="17">
        <f>IF($A88="","",IFERROR(SUMIF(tblMotor[A_Norm],$A88,tblMotor[FlasKesinti]),0))</f>
        <v/>
      </c>
      <c r="G88" s="17">
        <f>IF($A88="","",IFERROR(SUMIF(tblMotor[A_Norm],$A88,tblMotor[UrunReklam]),0))</f>
        <v/>
      </c>
      <c r="H88" s="17">
        <f>IF($A88="","",IFERROR(SUMIF(tblMotor[A_Norm],$A88,tblMotor[DesiKargo]),0))</f>
        <v/>
      </c>
      <c r="I88" s="17">
        <f>IF(OR($A88="",$B88&lt;&gt;"tutar_farki"),"",IF(ABS($C88-$D88)&lt;=toleransKurus,"TYK-001",IF(ABS($C88-$E88)&lt;=toleransKurus,"TYK-002",IF(ABS($C88-$F88)&lt;=toleransKurus,"TYK-003",IF(ABS($C88-$G88)&lt;=toleransKurus,"TYK-004",IF(ABS($C88-$H88)&lt;=toleransKurus,"TYK-005","TANIMSIZ"))))))</f>
        <v/>
      </c>
    </row>
    <row r="89">
      <c r="A89" s="23">
        <f>IF('ESLESTIRME'!$A89="","",'ESLESTIRME'!$A89)</f>
        <v/>
      </c>
      <c r="B89" s="17">
        <f>IF($A89="","",IFERROR(INDEX(tblEslesme[Kova],MATCH($A89,tblEslesme[A_Norm],0)),""))</f>
        <v/>
      </c>
      <c r="C89" s="17">
        <f>IF($A89="","",IFERROR(INDEX(tblEslesme[AbsFark],MATCH($A89,tblEslesme[A_Norm],0)),0))</f>
        <v/>
      </c>
      <c r="D89" s="17">
        <f>IF($A89="","",IFERROR(SUMIF(tblMotor[A_Norm],$A89,tblMotor[KomisyonTutar]),0))</f>
        <v/>
      </c>
      <c r="E89" s="17">
        <f>IF($A89="","",IFERROR(SUMIF(tblMotor[A_Norm],$A89,tblMotor[TyPlus]),0))</f>
        <v/>
      </c>
      <c r="F89" s="17">
        <f>IF($A89="","",IFERROR(SUMIF(tblMotor[A_Norm],$A89,tblMotor[FlasKesinti]),0))</f>
        <v/>
      </c>
      <c r="G89" s="17">
        <f>IF($A89="","",IFERROR(SUMIF(tblMotor[A_Norm],$A89,tblMotor[UrunReklam]),0))</f>
        <v/>
      </c>
      <c r="H89" s="17">
        <f>IF($A89="","",IFERROR(SUMIF(tblMotor[A_Norm],$A89,tblMotor[DesiKargo]),0))</f>
        <v/>
      </c>
      <c r="I89" s="17">
        <f>IF(OR($A89="",$B89&lt;&gt;"tutar_farki"),"",IF(ABS($C89-$D89)&lt;=toleransKurus,"TYK-001",IF(ABS($C89-$E89)&lt;=toleransKurus,"TYK-002",IF(ABS($C89-$F89)&lt;=toleransKurus,"TYK-003",IF(ABS($C89-$G89)&lt;=toleransKurus,"TYK-004",IF(ABS($C89-$H89)&lt;=toleransKurus,"TYK-005","TANIMSIZ"))))))</f>
        <v/>
      </c>
    </row>
    <row r="90">
      <c r="A90" s="23">
        <f>IF('ESLESTIRME'!$A90="","",'ESLESTIRME'!$A90)</f>
        <v/>
      </c>
      <c r="B90" s="17">
        <f>IF($A90="","",IFERROR(INDEX(tblEslesme[Kova],MATCH($A90,tblEslesme[A_Norm],0)),""))</f>
        <v/>
      </c>
      <c r="C90" s="17">
        <f>IF($A90="","",IFERROR(INDEX(tblEslesme[AbsFark],MATCH($A90,tblEslesme[A_Norm],0)),0))</f>
        <v/>
      </c>
      <c r="D90" s="17">
        <f>IF($A90="","",IFERROR(SUMIF(tblMotor[A_Norm],$A90,tblMotor[KomisyonTutar]),0))</f>
        <v/>
      </c>
      <c r="E90" s="17">
        <f>IF($A90="","",IFERROR(SUMIF(tblMotor[A_Norm],$A90,tblMotor[TyPlus]),0))</f>
        <v/>
      </c>
      <c r="F90" s="17">
        <f>IF($A90="","",IFERROR(SUMIF(tblMotor[A_Norm],$A90,tblMotor[FlasKesinti]),0))</f>
        <v/>
      </c>
      <c r="G90" s="17">
        <f>IF($A90="","",IFERROR(SUMIF(tblMotor[A_Norm],$A90,tblMotor[UrunReklam]),0))</f>
        <v/>
      </c>
      <c r="H90" s="17">
        <f>IF($A90="","",IFERROR(SUMIF(tblMotor[A_Norm],$A90,tblMotor[DesiKargo]),0))</f>
        <v/>
      </c>
      <c r="I90" s="17">
        <f>IF(OR($A90="",$B90&lt;&gt;"tutar_farki"),"",IF(ABS($C90-$D90)&lt;=toleransKurus,"TYK-001",IF(ABS($C90-$E90)&lt;=toleransKurus,"TYK-002",IF(ABS($C90-$F90)&lt;=toleransKurus,"TYK-003",IF(ABS($C90-$G90)&lt;=toleransKurus,"TYK-004",IF(ABS($C90-$H90)&lt;=toleransKurus,"TYK-005","TANIMSIZ"))))))</f>
        <v/>
      </c>
    </row>
    <row r="91">
      <c r="A91" s="23">
        <f>IF('ESLESTIRME'!$A91="","",'ESLESTIRME'!$A91)</f>
        <v/>
      </c>
      <c r="B91" s="17">
        <f>IF($A91="","",IFERROR(INDEX(tblEslesme[Kova],MATCH($A91,tblEslesme[A_Norm],0)),""))</f>
        <v/>
      </c>
      <c r="C91" s="17">
        <f>IF($A91="","",IFERROR(INDEX(tblEslesme[AbsFark],MATCH($A91,tblEslesme[A_Norm],0)),0))</f>
        <v/>
      </c>
      <c r="D91" s="17">
        <f>IF($A91="","",IFERROR(SUMIF(tblMotor[A_Norm],$A91,tblMotor[KomisyonTutar]),0))</f>
        <v/>
      </c>
      <c r="E91" s="17">
        <f>IF($A91="","",IFERROR(SUMIF(tblMotor[A_Norm],$A91,tblMotor[TyPlus]),0))</f>
        <v/>
      </c>
      <c r="F91" s="17">
        <f>IF($A91="","",IFERROR(SUMIF(tblMotor[A_Norm],$A91,tblMotor[FlasKesinti]),0))</f>
        <v/>
      </c>
      <c r="G91" s="17">
        <f>IF($A91="","",IFERROR(SUMIF(tblMotor[A_Norm],$A91,tblMotor[UrunReklam]),0))</f>
        <v/>
      </c>
      <c r="H91" s="17">
        <f>IF($A91="","",IFERROR(SUMIF(tblMotor[A_Norm],$A91,tblMotor[DesiKargo]),0))</f>
        <v/>
      </c>
      <c r="I91" s="17">
        <f>IF(OR($A91="",$B91&lt;&gt;"tutar_farki"),"",IF(ABS($C91-$D91)&lt;=toleransKurus,"TYK-001",IF(ABS($C91-$E91)&lt;=toleransKurus,"TYK-002",IF(ABS($C91-$F91)&lt;=toleransKurus,"TYK-003",IF(ABS($C91-$G91)&lt;=toleransKurus,"TYK-004",IF(ABS($C91-$H91)&lt;=toleransKurus,"TYK-005","TANIMSIZ"))))))</f>
        <v/>
      </c>
    </row>
    <row r="92">
      <c r="A92" s="23">
        <f>IF('ESLESTIRME'!$A92="","",'ESLESTIRME'!$A92)</f>
        <v/>
      </c>
      <c r="B92" s="17">
        <f>IF($A92="","",IFERROR(INDEX(tblEslesme[Kova],MATCH($A92,tblEslesme[A_Norm],0)),""))</f>
        <v/>
      </c>
      <c r="C92" s="17">
        <f>IF($A92="","",IFERROR(INDEX(tblEslesme[AbsFark],MATCH($A92,tblEslesme[A_Norm],0)),0))</f>
        <v/>
      </c>
      <c r="D92" s="17">
        <f>IF($A92="","",IFERROR(SUMIF(tblMotor[A_Norm],$A92,tblMotor[KomisyonTutar]),0))</f>
        <v/>
      </c>
      <c r="E92" s="17">
        <f>IF($A92="","",IFERROR(SUMIF(tblMotor[A_Norm],$A92,tblMotor[TyPlus]),0))</f>
        <v/>
      </c>
      <c r="F92" s="17">
        <f>IF($A92="","",IFERROR(SUMIF(tblMotor[A_Norm],$A92,tblMotor[FlasKesinti]),0))</f>
        <v/>
      </c>
      <c r="G92" s="17">
        <f>IF($A92="","",IFERROR(SUMIF(tblMotor[A_Norm],$A92,tblMotor[UrunReklam]),0))</f>
        <v/>
      </c>
      <c r="H92" s="17">
        <f>IF($A92="","",IFERROR(SUMIF(tblMotor[A_Norm],$A92,tblMotor[DesiKargo]),0))</f>
        <v/>
      </c>
      <c r="I92" s="17">
        <f>IF(OR($A92="",$B92&lt;&gt;"tutar_farki"),"",IF(ABS($C92-$D92)&lt;=toleransKurus,"TYK-001",IF(ABS($C92-$E92)&lt;=toleransKurus,"TYK-002",IF(ABS($C92-$F92)&lt;=toleransKurus,"TYK-003",IF(ABS($C92-$G92)&lt;=toleransKurus,"TYK-004",IF(ABS($C92-$H92)&lt;=toleransKurus,"TYK-005","TANIMSIZ"))))))</f>
        <v/>
      </c>
    </row>
    <row r="93">
      <c r="A93" s="23">
        <f>IF('ESLESTIRME'!$A93="","",'ESLESTIRME'!$A93)</f>
        <v/>
      </c>
      <c r="B93" s="17">
        <f>IF($A93="","",IFERROR(INDEX(tblEslesme[Kova],MATCH($A93,tblEslesme[A_Norm],0)),""))</f>
        <v/>
      </c>
      <c r="C93" s="17">
        <f>IF($A93="","",IFERROR(INDEX(tblEslesme[AbsFark],MATCH($A93,tblEslesme[A_Norm],0)),0))</f>
        <v/>
      </c>
      <c r="D93" s="17">
        <f>IF($A93="","",IFERROR(SUMIF(tblMotor[A_Norm],$A93,tblMotor[KomisyonTutar]),0))</f>
        <v/>
      </c>
      <c r="E93" s="17">
        <f>IF($A93="","",IFERROR(SUMIF(tblMotor[A_Norm],$A93,tblMotor[TyPlus]),0))</f>
        <v/>
      </c>
      <c r="F93" s="17">
        <f>IF($A93="","",IFERROR(SUMIF(tblMotor[A_Norm],$A93,tblMotor[FlasKesinti]),0))</f>
        <v/>
      </c>
      <c r="G93" s="17">
        <f>IF($A93="","",IFERROR(SUMIF(tblMotor[A_Norm],$A93,tblMotor[UrunReklam]),0))</f>
        <v/>
      </c>
      <c r="H93" s="17">
        <f>IF($A93="","",IFERROR(SUMIF(tblMotor[A_Norm],$A93,tblMotor[DesiKargo]),0))</f>
        <v/>
      </c>
      <c r="I93" s="17">
        <f>IF(OR($A93="",$B93&lt;&gt;"tutar_farki"),"",IF(ABS($C93-$D93)&lt;=toleransKurus,"TYK-001",IF(ABS($C93-$E93)&lt;=toleransKurus,"TYK-002",IF(ABS($C93-$F93)&lt;=toleransKurus,"TYK-003",IF(ABS($C93-$G93)&lt;=toleransKurus,"TYK-004",IF(ABS($C93-$H93)&lt;=toleransKurus,"TYK-005","TANIMSIZ"))))))</f>
        <v/>
      </c>
    </row>
    <row r="94">
      <c r="A94" s="23">
        <f>IF('ESLESTIRME'!$A94="","",'ESLESTIRME'!$A94)</f>
        <v/>
      </c>
      <c r="B94" s="17">
        <f>IF($A94="","",IFERROR(INDEX(tblEslesme[Kova],MATCH($A94,tblEslesme[A_Norm],0)),""))</f>
        <v/>
      </c>
      <c r="C94" s="17">
        <f>IF($A94="","",IFERROR(INDEX(tblEslesme[AbsFark],MATCH($A94,tblEslesme[A_Norm],0)),0))</f>
        <v/>
      </c>
      <c r="D94" s="17">
        <f>IF($A94="","",IFERROR(SUMIF(tblMotor[A_Norm],$A94,tblMotor[KomisyonTutar]),0))</f>
        <v/>
      </c>
      <c r="E94" s="17">
        <f>IF($A94="","",IFERROR(SUMIF(tblMotor[A_Norm],$A94,tblMotor[TyPlus]),0))</f>
        <v/>
      </c>
      <c r="F94" s="17">
        <f>IF($A94="","",IFERROR(SUMIF(tblMotor[A_Norm],$A94,tblMotor[FlasKesinti]),0))</f>
        <v/>
      </c>
      <c r="G94" s="17">
        <f>IF($A94="","",IFERROR(SUMIF(tblMotor[A_Norm],$A94,tblMotor[UrunReklam]),0))</f>
        <v/>
      </c>
      <c r="H94" s="17">
        <f>IF($A94="","",IFERROR(SUMIF(tblMotor[A_Norm],$A94,tblMotor[DesiKargo]),0))</f>
        <v/>
      </c>
      <c r="I94" s="17">
        <f>IF(OR($A94="",$B94&lt;&gt;"tutar_farki"),"",IF(ABS($C94-$D94)&lt;=toleransKurus,"TYK-001",IF(ABS($C94-$E94)&lt;=toleransKurus,"TYK-002",IF(ABS($C94-$F94)&lt;=toleransKurus,"TYK-003",IF(ABS($C94-$G94)&lt;=toleransKurus,"TYK-004",IF(ABS($C94-$H94)&lt;=toleransKurus,"TYK-005","TANIMSIZ"))))))</f>
        <v/>
      </c>
    </row>
    <row r="95">
      <c r="A95" s="23">
        <f>IF('ESLESTIRME'!$A95="","",'ESLESTIRME'!$A95)</f>
        <v/>
      </c>
      <c r="B95" s="17">
        <f>IF($A95="","",IFERROR(INDEX(tblEslesme[Kova],MATCH($A95,tblEslesme[A_Norm],0)),""))</f>
        <v/>
      </c>
      <c r="C95" s="17">
        <f>IF($A95="","",IFERROR(INDEX(tblEslesme[AbsFark],MATCH($A95,tblEslesme[A_Norm],0)),0))</f>
        <v/>
      </c>
      <c r="D95" s="17">
        <f>IF($A95="","",IFERROR(SUMIF(tblMotor[A_Norm],$A95,tblMotor[KomisyonTutar]),0))</f>
        <v/>
      </c>
      <c r="E95" s="17">
        <f>IF($A95="","",IFERROR(SUMIF(tblMotor[A_Norm],$A95,tblMotor[TyPlus]),0))</f>
        <v/>
      </c>
      <c r="F95" s="17">
        <f>IF($A95="","",IFERROR(SUMIF(tblMotor[A_Norm],$A95,tblMotor[FlasKesinti]),0))</f>
        <v/>
      </c>
      <c r="G95" s="17">
        <f>IF($A95="","",IFERROR(SUMIF(tblMotor[A_Norm],$A95,tblMotor[UrunReklam]),0))</f>
        <v/>
      </c>
      <c r="H95" s="17">
        <f>IF($A95="","",IFERROR(SUMIF(tblMotor[A_Norm],$A95,tblMotor[DesiKargo]),0))</f>
        <v/>
      </c>
      <c r="I95" s="17">
        <f>IF(OR($A95="",$B95&lt;&gt;"tutar_farki"),"",IF(ABS($C95-$D95)&lt;=toleransKurus,"TYK-001",IF(ABS($C95-$E95)&lt;=toleransKurus,"TYK-002",IF(ABS($C95-$F95)&lt;=toleransKurus,"TYK-003",IF(ABS($C95-$G95)&lt;=toleransKurus,"TYK-004",IF(ABS($C95-$H95)&lt;=toleransKurus,"TYK-005","TANIMSIZ"))))))</f>
        <v/>
      </c>
    </row>
    <row r="96">
      <c r="A96" s="23">
        <f>IF('ESLESTIRME'!$A96="","",'ESLESTIRME'!$A96)</f>
        <v/>
      </c>
      <c r="B96" s="17">
        <f>IF($A96="","",IFERROR(INDEX(tblEslesme[Kova],MATCH($A96,tblEslesme[A_Norm],0)),""))</f>
        <v/>
      </c>
      <c r="C96" s="17">
        <f>IF($A96="","",IFERROR(INDEX(tblEslesme[AbsFark],MATCH($A96,tblEslesme[A_Norm],0)),0))</f>
        <v/>
      </c>
      <c r="D96" s="17">
        <f>IF($A96="","",IFERROR(SUMIF(tblMotor[A_Norm],$A96,tblMotor[KomisyonTutar]),0))</f>
        <v/>
      </c>
      <c r="E96" s="17">
        <f>IF($A96="","",IFERROR(SUMIF(tblMotor[A_Norm],$A96,tblMotor[TyPlus]),0))</f>
        <v/>
      </c>
      <c r="F96" s="17">
        <f>IF($A96="","",IFERROR(SUMIF(tblMotor[A_Norm],$A96,tblMotor[FlasKesinti]),0))</f>
        <v/>
      </c>
      <c r="G96" s="17">
        <f>IF($A96="","",IFERROR(SUMIF(tblMotor[A_Norm],$A96,tblMotor[UrunReklam]),0))</f>
        <v/>
      </c>
      <c r="H96" s="17">
        <f>IF($A96="","",IFERROR(SUMIF(tblMotor[A_Norm],$A96,tblMotor[DesiKargo]),0))</f>
        <v/>
      </c>
      <c r="I96" s="17">
        <f>IF(OR($A96="",$B96&lt;&gt;"tutar_farki"),"",IF(ABS($C96-$D96)&lt;=toleransKurus,"TYK-001",IF(ABS($C96-$E96)&lt;=toleransKurus,"TYK-002",IF(ABS($C96-$F96)&lt;=toleransKurus,"TYK-003",IF(ABS($C96-$G96)&lt;=toleransKurus,"TYK-004",IF(ABS($C96-$H96)&lt;=toleransKurus,"TYK-005","TANIMSIZ"))))))</f>
        <v/>
      </c>
    </row>
    <row r="97">
      <c r="A97" s="23">
        <f>IF('ESLESTIRME'!$A97="","",'ESLESTIRME'!$A97)</f>
        <v/>
      </c>
      <c r="B97" s="17">
        <f>IF($A97="","",IFERROR(INDEX(tblEslesme[Kova],MATCH($A97,tblEslesme[A_Norm],0)),""))</f>
        <v/>
      </c>
      <c r="C97" s="17">
        <f>IF($A97="","",IFERROR(INDEX(tblEslesme[AbsFark],MATCH($A97,tblEslesme[A_Norm],0)),0))</f>
        <v/>
      </c>
      <c r="D97" s="17">
        <f>IF($A97="","",IFERROR(SUMIF(tblMotor[A_Norm],$A97,tblMotor[KomisyonTutar]),0))</f>
        <v/>
      </c>
      <c r="E97" s="17">
        <f>IF($A97="","",IFERROR(SUMIF(tblMotor[A_Norm],$A97,tblMotor[TyPlus]),0))</f>
        <v/>
      </c>
      <c r="F97" s="17">
        <f>IF($A97="","",IFERROR(SUMIF(tblMotor[A_Norm],$A97,tblMotor[FlasKesinti]),0))</f>
        <v/>
      </c>
      <c r="G97" s="17">
        <f>IF($A97="","",IFERROR(SUMIF(tblMotor[A_Norm],$A97,tblMotor[UrunReklam]),0))</f>
        <v/>
      </c>
      <c r="H97" s="17">
        <f>IF($A97="","",IFERROR(SUMIF(tblMotor[A_Norm],$A97,tblMotor[DesiKargo]),0))</f>
        <v/>
      </c>
      <c r="I97" s="17">
        <f>IF(OR($A97="",$B97&lt;&gt;"tutar_farki"),"",IF(ABS($C97-$D97)&lt;=toleransKurus,"TYK-001",IF(ABS($C97-$E97)&lt;=toleransKurus,"TYK-002",IF(ABS($C97-$F97)&lt;=toleransKurus,"TYK-003",IF(ABS($C97-$G97)&lt;=toleransKurus,"TYK-004",IF(ABS($C97-$H97)&lt;=toleransKurus,"TYK-005","TANIMSIZ"))))))</f>
        <v/>
      </c>
    </row>
    <row r="98">
      <c r="A98" s="23">
        <f>IF('ESLESTIRME'!$A98="","",'ESLESTIRME'!$A98)</f>
        <v/>
      </c>
      <c r="B98" s="17">
        <f>IF($A98="","",IFERROR(INDEX(tblEslesme[Kova],MATCH($A98,tblEslesme[A_Norm],0)),""))</f>
        <v/>
      </c>
      <c r="C98" s="17">
        <f>IF($A98="","",IFERROR(INDEX(tblEslesme[AbsFark],MATCH($A98,tblEslesme[A_Norm],0)),0))</f>
        <v/>
      </c>
      <c r="D98" s="17">
        <f>IF($A98="","",IFERROR(SUMIF(tblMotor[A_Norm],$A98,tblMotor[KomisyonTutar]),0))</f>
        <v/>
      </c>
      <c r="E98" s="17">
        <f>IF($A98="","",IFERROR(SUMIF(tblMotor[A_Norm],$A98,tblMotor[TyPlus]),0))</f>
        <v/>
      </c>
      <c r="F98" s="17">
        <f>IF($A98="","",IFERROR(SUMIF(tblMotor[A_Norm],$A98,tblMotor[FlasKesinti]),0))</f>
        <v/>
      </c>
      <c r="G98" s="17">
        <f>IF($A98="","",IFERROR(SUMIF(tblMotor[A_Norm],$A98,tblMotor[UrunReklam]),0))</f>
        <v/>
      </c>
      <c r="H98" s="17">
        <f>IF($A98="","",IFERROR(SUMIF(tblMotor[A_Norm],$A98,tblMotor[DesiKargo]),0))</f>
        <v/>
      </c>
      <c r="I98" s="17">
        <f>IF(OR($A98="",$B98&lt;&gt;"tutar_farki"),"",IF(ABS($C98-$D98)&lt;=toleransKurus,"TYK-001",IF(ABS($C98-$E98)&lt;=toleransKurus,"TYK-002",IF(ABS($C98-$F98)&lt;=toleransKurus,"TYK-003",IF(ABS($C98-$G98)&lt;=toleransKurus,"TYK-004",IF(ABS($C98-$H98)&lt;=toleransKurus,"TYK-005","TANIMSIZ"))))))</f>
        <v/>
      </c>
    </row>
    <row r="99">
      <c r="A99" s="23">
        <f>IF('ESLESTIRME'!$A99="","",'ESLESTIRME'!$A99)</f>
        <v/>
      </c>
      <c r="B99" s="17">
        <f>IF($A99="","",IFERROR(INDEX(tblEslesme[Kova],MATCH($A99,tblEslesme[A_Norm],0)),""))</f>
        <v/>
      </c>
      <c r="C99" s="17">
        <f>IF($A99="","",IFERROR(INDEX(tblEslesme[AbsFark],MATCH($A99,tblEslesme[A_Norm],0)),0))</f>
        <v/>
      </c>
      <c r="D99" s="17">
        <f>IF($A99="","",IFERROR(SUMIF(tblMotor[A_Norm],$A99,tblMotor[KomisyonTutar]),0))</f>
        <v/>
      </c>
      <c r="E99" s="17">
        <f>IF($A99="","",IFERROR(SUMIF(tblMotor[A_Norm],$A99,tblMotor[TyPlus]),0))</f>
        <v/>
      </c>
      <c r="F99" s="17">
        <f>IF($A99="","",IFERROR(SUMIF(tblMotor[A_Norm],$A99,tblMotor[FlasKesinti]),0))</f>
        <v/>
      </c>
      <c r="G99" s="17">
        <f>IF($A99="","",IFERROR(SUMIF(tblMotor[A_Norm],$A99,tblMotor[UrunReklam]),0))</f>
        <v/>
      </c>
      <c r="H99" s="17">
        <f>IF($A99="","",IFERROR(SUMIF(tblMotor[A_Norm],$A99,tblMotor[DesiKargo]),0))</f>
        <v/>
      </c>
      <c r="I99" s="17">
        <f>IF(OR($A99="",$B99&lt;&gt;"tutar_farki"),"",IF(ABS($C99-$D99)&lt;=toleransKurus,"TYK-001",IF(ABS($C99-$E99)&lt;=toleransKurus,"TYK-002",IF(ABS($C99-$F99)&lt;=toleransKurus,"TYK-003",IF(ABS($C99-$G99)&lt;=toleransKurus,"TYK-004",IF(ABS($C99-$H99)&lt;=toleransKurus,"TYK-005","TANIMSIZ"))))))</f>
        <v/>
      </c>
    </row>
    <row r="100">
      <c r="A100" s="23">
        <f>IF('ESLESTIRME'!$A100="","",'ESLESTIRME'!$A100)</f>
        <v/>
      </c>
      <c r="B100" s="17">
        <f>IF($A100="","",IFERROR(INDEX(tblEslesme[Kova],MATCH($A100,tblEslesme[A_Norm],0)),""))</f>
        <v/>
      </c>
      <c r="C100" s="17">
        <f>IF($A100="","",IFERROR(INDEX(tblEslesme[AbsFark],MATCH($A100,tblEslesme[A_Norm],0)),0))</f>
        <v/>
      </c>
      <c r="D100" s="17">
        <f>IF($A100="","",IFERROR(SUMIF(tblMotor[A_Norm],$A100,tblMotor[KomisyonTutar]),0))</f>
        <v/>
      </c>
      <c r="E100" s="17">
        <f>IF($A100="","",IFERROR(SUMIF(tblMotor[A_Norm],$A100,tblMotor[TyPlus]),0))</f>
        <v/>
      </c>
      <c r="F100" s="17">
        <f>IF($A100="","",IFERROR(SUMIF(tblMotor[A_Norm],$A100,tblMotor[FlasKesinti]),0))</f>
        <v/>
      </c>
      <c r="G100" s="17">
        <f>IF($A100="","",IFERROR(SUMIF(tblMotor[A_Norm],$A100,tblMotor[UrunReklam]),0))</f>
        <v/>
      </c>
      <c r="H100" s="17">
        <f>IF($A100="","",IFERROR(SUMIF(tblMotor[A_Norm],$A100,tblMotor[DesiKargo]),0))</f>
        <v/>
      </c>
      <c r="I100" s="17">
        <f>IF(OR($A100="",$B100&lt;&gt;"tutar_farki"),"",IF(ABS($C100-$D100)&lt;=toleransKurus,"TYK-001",IF(ABS($C100-$E100)&lt;=toleransKurus,"TYK-002",IF(ABS($C100-$F100)&lt;=toleransKurus,"TYK-003",IF(ABS($C100-$G100)&lt;=toleransKurus,"TYK-004",IF(ABS($C100-$H100)&lt;=toleransKurus,"TYK-005","TANIMSIZ"))))))</f>
        <v/>
      </c>
    </row>
    <row r="101">
      <c r="A101" s="23">
        <f>IF('ESLESTIRME'!$A101="","",'ESLESTIRME'!$A101)</f>
        <v/>
      </c>
      <c r="B101" s="17">
        <f>IF($A101="","",IFERROR(INDEX(tblEslesme[Kova],MATCH($A101,tblEslesme[A_Norm],0)),""))</f>
        <v/>
      </c>
      <c r="C101" s="17">
        <f>IF($A101="","",IFERROR(INDEX(tblEslesme[AbsFark],MATCH($A101,tblEslesme[A_Norm],0)),0))</f>
        <v/>
      </c>
      <c r="D101" s="17">
        <f>IF($A101="","",IFERROR(SUMIF(tblMotor[A_Norm],$A101,tblMotor[KomisyonTutar]),0))</f>
        <v/>
      </c>
      <c r="E101" s="17">
        <f>IF($A101="","",IFERROR(SUMIF(tblMotor[A_Norm],$A101,tblMotor[TyPlus]),0))</f>
        <v/>
      </c>
      <c r="F101" s="17">
        <f>IF($A101="","",IFERROR(SUMIF(tblMotor[A_Norm],$A101,tblMotor[FlasKesinti]),0))</f>
        <v/>
      </c>
      <c r="G101" s="17">
        <f>IF($A101="","",IFERROR(SUMIF(tblMotor[A_Norm],$A101,tblMotor[UrunReklam]),0))</f>
        <v/>
      </c>
      <c r="H101" s="17">
        <f>IF($A101="","",IFERROR(SUMIF(tblMotor[A_Norm],$A101,tblMotor[DesiKargo]),0))</f>
        <v/>
      </c>
      <c r="I101" s="17">
        <f>IF(OR($A101="",$B101&lt;&gt;"tutar_farki"),"",IF(ABS($C101-$D101)&lt;=toleransKurus,"TYK-001",IF(ABS($C101-$E101)&lt;=toleransKurus,"TYK-002",IF(ABS($C101-$F101)&lt;=toleransKurus,"TYK-003",IF(ABS($C101-$G101)&lt;=toleransKurus,"TYK-004",IF(ABS($C101-$H101)&lt;=toleransKurus,"TYK-005","TANIMSIZ"))))))</f>
        <v/>
      </c>
    </row>
    <row r="102">
      <c r="A102" s="23">
        <f>IF('ESLESTIRME'!$A102="","",'ESLESTIRME'!$A102)</f>
        <v/>
      </c>
      <c r="B102" s="17">
        <f>IF($A102="","",IFERROR(INDEX(tblEslesme[Kova],MATCH($A102,tblEslesme[A_Norm],0)),""))</f>
        <v/>
      </c>
      <c r="C102" s="17">
        <f>IF($A102="","",IFERROR(INDEX(tblEslesme[AbsFark],MATCH($A102,tblEslesme[A_Norm],0)),0))</f>
        <v/>
      </c>
      <c r="D102" s="17">
        <f>IF($A102="","",IFERROR(SUMIF(tblMotor[A_Norm],$A102,tblMotor[KomisyonTutar]),0))</f>
        <v/>
      </c>
      <c r="E102" s="17">
        <f>IF($A102="","",IFERROR(SUMIF(tblMotor[A_Norm],$A102,tblMotor[TyPlus]),0))</f>
        <v/>
      </c>
      <c r="F102" s="17">
        <f>IF($A102="","",IFERROR(SUMIF(tblMotor[A_Norm],$A102,tblMotor[FlasKesinti]),0))</f>
        <v/>
      </c>
      <c r="G102" s="17">
        <f>IF($A102="","",IFERROR(SUMIF(tblMotor[A_Norm],$A102,tblMotor[UrunReklam]),0))</f>
        <v/>
      </c>
      <c r="H102" s="17">
        <f>IF($A102="","",IFERROR(SUMIF(tblMotor[A_Norm],$A102,tblMotor[DesiKargo]),0))</f>
        <v/>
      </c>
      <c r="I102" s="17">
        <f>IF(OR($A102="",$B102&lt;&gt;"tutar_farki"),"",IF(ABS($C102-$D102)&lt;=toleransKurus,"TYK-001",IF(ABS($C102-$E102)&lt;=toleransKurus,"TYK-002",IF(ABS($C102-$F102)&lt;=toleransKurus,"TYK-003",IF(ABS($C102-$G102)&lt;=toleransKurus,"TYK-004",IF(ABS($C102-$H102)&lt;=toleransKurus,"TYK-005","TANIMSIZ"))))))</f>
        <v/>
      </c>
    </row>
    <row r="103">
      <c r="A103" s="23">
        <f>IF('ESLESTIRME'!$A103="","",'ESLESTIRME'!$A103)</f>
        <v/>
      </c>
      <c r="B103" s="17">
        <f>IF($A103="","",IFERROR(INDEX(tblEslesme[Kova],MATCH($A103,tblEslesme[A_Norm],0)),""))</f>
        <v/>
      </c>
      <c r="C103" s="17">
        <f>IF($A103="","",IFERROR(INDEX(tblEslesme[AbsFark],MATCH($A103,tblEslesme[A_Norm],0)),0))</f>
        <v/>
      </c>
      <c r="D103" s="17">
        <f>IF($A103="","",IFERROR(SUMIF(tblMotor[A_Norm],$A103,tblMotor[KomisyonTutar]),0))</f>
        <v/>
      </c>
      <c r="E103" s="17">
        <f>IF($A103="","",IFERROR(SUMIF(tblMotor[A_Norm],$A103,tblMotor[TyPlus]),0))</f>
        <v/>
      </c>
      <c r="F103" s="17">
        <f>IF($A103="","",IFERROR(SUMIF(tblMotor[A_Norm],$A103,tblMotor[FlasKesinti]),0))</f>
        <v/>
      </c>
      <c r="G103" s="17">
        <f>IF($A103="","",IFERROR(SUMIF(tblMotor[A_Norm],$A103,tblMotor[UrunReklam]),0))</f>
        <v/>
      </c>
      <c r="H103" s="17">
        <f>IF($A103="","",IFERROR(SUMIF(tblMotor[A_Norm],$A103,tblMotor[DesiKargo]),0))</f>
        <v/>
      </c>
      <c r="I103" s="17">
        <f>IF(OR($A103="",$B103&lt;&gt;"tutar_farki"),"",IF(ABS($C103-$D103)&lt;=toleransKurus,"TYK-001",IF(ABS($C103-$E103)&lt;=toleransKurus,"TYK-002",IF(ABS($C103-$F103)&lt;=toleransKurus,"TYK-003",IF(ABS($C103-$G103)&lt;=toleransKurus,"TYK-004",IF(ABS($C103-$H103)&lt;=toleransKurus,"TYK-005","TANIMSIZ"))))))</f>
        <v/>
      </c>
    </row>
    <row r="104">
      <c r="A104" s="23">
        <f>IF('ESLESTIRME'!$A104="","",'ESLESTIRME'!$A104)</f>
        <v/>
      </c>
      <c r="B104" s="17">
        <f>IF($A104="","",IFERROR(INDEX(tblEslesme[Kova],MATCH($A104,tblEslesme[A_Norm],0)),""))</f>
        <v/>
      </c>
      <c r="C104" s="17">
        <f>IF($A104="","",IFERROR(INDEX(tblEslesme[AbsFark],MATCH($A104,tblEslesme[A_Norm],0)),0))</f>
        <v/>
      </c>
      <c r="D104" s="17">
        <f>IF($A104="","",IFERROR(SUMIF(tblMotor[A_Norm],$A104,tblMotor[KomisyonTutar]),0))</f>
        <v/>
      </c>
      <c r="E104" s="17">
        <f>IF($A104="","",IFERROR(SUMIF(tblMotor[A_Norm],$A104,tblMotor[TyPlus]),0))</f>
        <v/>
      </c>
      <c r="F104" s="17">
        <f>IF($A104="","",IFERROR(SUMIF(tblMotor[A_Norm],$A104,tblMotor[FlasKesinti]),0))</f>
        <v/>
      </c>
      <c r="G104" s="17">
        <f>IF($A104="","",IFERROR(SUMIF(tblMotor[A_Norm],$A104,tblMotor[UrunReklam]),0))</f>
        <v/>
      </c>
      <c r="H104" s="17">
        <f>IF($A104="","",IFERROR(SUMIF(tblMotor[A_Norm],$A104,tblMotor[DesiKargo]),0))</f>
        <v/>
      </c>
      <c r="I104" s="17">
        <f>IF(OR($A104="",$B104&lt;&gt;"tutar_farki"),"",IF(ABS($C104-$D104)&lt;=toleransKurus,"TYK-001",IF(ABS($C104-$E104)&lt;=toleransKurus,"TYK-002",IF(ABS($C104-$F104)&lt;=toleransKurus,"TYK-003",IF(ABS($C104-$G104)&lt;=toleransKurus,"TYK-004",IF(ABS($C104-$H104)&lt;=toleransKurus,"TYK-005","TANIMSIZ"))))))</f>
        <v/>
      </c>
    </row>
    <row r="105">
      <c r="A105" s="23">
        <f>IF('ESLESTIRME'!$A105="","",'ESLESTIRME'!$A105)</f>
        <v/>
      </c>
      <c r="B105" s="17">
        <f>IF($A105="","",IFERROR(INDEX(tblEslesme[Kova],MATCH($A105,tblEslesme[A_Norm],0)),""))</f>
        <v/>
      </c>
      <c r="C105" s="17">
        <f>IF($A105="","",IFERROR(INDEX(tblEslesme[AbsFark],MATCH($A105,tblEslesme[A_Norm],0)),0))</f>
        <v/>
      </c>
      <c r="D105" s="17">
        <f>IF($A105="","",IFERROR(SUMIF(tblMotor[A_Norm],$A105,tblMotor[KomisyonTutar]),0))</f>
        <v/>
      </c>
      <c r="E105" s="17">
        <f>IF($A105="","",IFERROR(SUMIF(tblMotor[A_Norm],$A105,tblMotor[TyPlus]),0))</f>
        <v/>
      </c>
      <c r="F105" s="17">
        <f>IF($A105="","",IFERROR(SUMIF(tblMotor[A_Norm],$A105,tblMotor[FlasKesinti]),0))</f>
        <v/>
      </c>
      <c r="G105" s="17">
        <f>IF($A105="","",IFERROR(SUMIF(tblMotor[A_Norm],$A105,tblMotor[UrunReklam]),0))</f>
        <v/>
      </c>
      <c r="H105" s="17">
        <f>IF($A105="","",IFERROR(SUMIF(tblMotor[A_Norm],$A105,tblMotor[DesiKargo]),0))</f>
        <v/>
      </c>
      <c r="I105" s="17">
        <f>IF(OR($A105="",$B105&lt;&gt;"tutar_farki"),"",IF(ABS($C105-$D105)&lt;=toleransKurus,"TYK-001",IF(ABS($C105-$E105)&lt;=toleransKurus,"TYK-002",IF(ABS($C105-$F105)&lt;=toleransKurus,"TYK-003",IF(ABS($C105-$G105)&lt;=toleransKurus,"TYK-004",IF(ABS($C105-$H105)&lt;=toleransKurus,"TYK-005","TANIMSIZ"))))))</f>
        <v/>
      </c>
    </row>
    <row r="106">
      <c r="A106" s="23">
        <f>IF('ESLESTIRME'!$A106="","",'ESLESTIRME'!$A106)</f>
        <v/>
      </c>
      <c r="B106" s="17">
        <f>IF($A106="","",IFERROR(INDEX(tblEslesme[Kova],MATCH($A106,tblEslesme[A_Norm],0)),""))</f>
        <v/>
      </c>
      <c r="C106" s="17">
        <f>IF($A106="","",IFERROR(INDEX(tblEslesme[AbsFark],MATCH($A106,tblEslesme[A_Norm],0)),0))</f>
        <v/>
      </c>
      <c r="D106" s="17">
        <f>IF($A106="","",IFERROR(SUMIF(tblMotor[A_Norm],$A106,tblMotor[KomisyonTutar]),0))</f>
        <v/>
      </c>
      <c r="E106" s="17">
        <f>IF($A106="","",IFERROR(SUMIF(tblMotor[A_Norm],$A106,tblMotor[TyPlus]),0))</f>
        <v/>
      </c>
      <c r="F106" s="17">
        <f>IF($A106="","",IFERROR(SUMIF(tblMotor[A_Norm],$A106,tblMotor[FlasKesinti]),0))</f>
        <v/>
      </c>
      <c r="G106" s="17">
        <f>IF($A106="","",IFERROR(SUMIF(tblMotor[A_Norm],$A106,tblMotor[UrunReklam]),0))</f>
        <v/>
      </c>
      <c r="H106" s="17">
        <f>IF($A106="","",IFERROR(SUMIF(tblMotor[A_Norm],$A106,tblMotor[DesiKargo]),0))</f>
        <v/>
      </c>
      <c r="I106" s="17">
        <f>IF(OR($A106="",$B106&lt;&gt;"tutar_farki"),"",IF(ABS($C106-$D106)&lt;=toleransKurus,"TYK-001",IF(ABS($C106-$E106)&lt;=toleransKurus,"TYK-002",IF(ABS($C106-$F106)&lt;=toleransKurus,"TYK-003",IF(ABS($C106-$G106)&lt;=toleransKurus,"TYK-004",IF(ABS($C106-$H106)&lt;=toleransKurus,"TYK-005","TANIMSIZ"))))))</f>
        <v/>
      </c>
    </row>
    <row r="107">
      <c r="A107" s="23">
        <f>IF('ESLESTIRME'!$A107="","",'ESLESTIRME'!$A107)</f>
        <v/>
      </c>
      <c r="B107" s="17">
        <f>IF($A107="","",IFERROR(INDEX(tblEslesme[Kova],MATCH($A107,tblEslesme[A_Norm],0)),""))</f>
        <v/>
      </c>
      <c r="C107" s="17">
        <f>IF($A107="","",IFERROR(INDEX(tblEslesme[AbsFark],MATCH($A107,tblEslesme[A_Norm],0)),0))</f>
        <v/>
      </c>
      <c r="D107" s="17">
        <f>IF($A107="","",IFERROR(SUMIF(tblMotor[A_Norm],$A107,tblMotor[KomisyonTutar]),0))</f>
        <v/>
      </c>
      <c r="E107" s="17">
        <f>IF($A107="","",IFERROR(SUMIF(tblMotor[A_Norm],$A107,tblMotor[TyPlus]),0))</f>
        <v/>
      </c>
      <c r="F107" s="17">
        <f>IF($A107="","",IFERROR(SUMIF(tblMotor[A_Norm],$A107,tblMotor[FlasKesinti]),0))</f>
        <v/>
      </c>
      <c r="G107" s="17">
        <f>IF($A107="","",IFERROR(SUMIF(tblMotor[A_Norm],$A107,tblMotor[UrunReklam]),0))</f>
        <v/>
      </c>
      <c r="H107" s="17">
        <f>IF($A107="","",IFERROR(SUMIF(tblMotor[A_Norm],$A107,tblMotor[DesiKargo]),0))</f>
        <v/>
      </c>
      <c r="I107" s="17">
        <f>IF(OR($A107="",$B107&lt;&gt;"tutar_farki"),"",IF(ABS($C107-$D107)&lt;=toleransKurus,"TYK-001",IF(ABS($C107-$E107)&lt;=toleransKurus,"TYK-002",IF(ABS($C107-$F107)&lt;=toleransKurus,"TYK-003",IF(ABS($C107-$G107)&lt;=toleransKurus,"TYK-004",IF(ABS($C107-$H107)&lt;=toleransKurus,"TYK-005","TANIMSIZ"))))))</f>
        <v/>
      </c>
    </row>
    <row r="108">
      <c r="A108" s="23">
        <f>IF('ESLESTIRME'!$A108="","",'ESLESTIRME'!$A108)</f>
        <v/>
      </c>
      <c r="B108" s="17">
        <f>IF($A108="","",IFERROR(INDEX(tblEslesme[Kova],MATCH($A108,tblEslesme[A_Norm],0)),""))</f>
        <v/>
      </c>
      <c r="C108" s="17">
        <f>IF($A108="","",IFERROR(INDEX(tblEslesme[AbsFark],MATCH($A108,tblEslesme[A_Norm],0)),0))</f>
        <v/>
      </c>
      <c r="D108" s="17">
        <f>IF($A108="","",IFERROR(SUMIF(tblMotor[A_Norm],$A108,tblMotor[KomisyonTutar]),0))</f>
        <v/>
      </c>
      <c r="E108" s="17">
        <f>IF($A108="","",IFERROR(SUMIF(tblMotor[A_Norm],$A108,tblMotor[TyPlus]),0))</f>
        <v/>
      </c>
      <c r="F108" s="17">
        <f>IF($A108="","",IFERROR(SUMIF(tblMotor[A_Norm],$A108,tblMotor[FlasKesinti]),0))</f>
        <v/>
      </c>
      <c r="G108" s="17">
        <f>IF($A108="","",IFERROR(SUMIF(tblMotor[A_Norm],$A108,tblMotor[UrunReklam]),0))</f>
        <v/>
      </c>
      <c r="H108" s="17">
        <f>IF($A108="","",IFERROR(SUMIF(tblMotor[A_Norm],$A108,tblMotor[DesiKargo]),0))</f>
        <v/>
      </c>
      <c r="I108" s="17">
        <f>IF(OR($A108="",$B108&lt;&gt;"tutar_farki"),"",IF(ABS($C108-$D108)&lt;=toleransKurus,"TYK-001",IF(ABS($C108-$E108)&lt;=toleransKurus,"TYK-002",IF(ABS($C108-$F108)&lt;=toleransKurus,"TYK-003",IF(ABS($C108-$G108)&lt;=toleransKurus,"TYK-004",IF(ABS($C108-$H108)&lt;=toleransKurus,"TYK-005","TANIMSIZ"))))))</f>
        <v/>
      </c>
    </row>
    <row r="109">
      <c r="A109" s="23">
        <f>IF('ESLESTIRME'!$A109="","",'ESLESTIRME'!$A109)</f>
        <v/>
      </c>
      <c r="B109" s="17">
        <f>IF($A109="","",IFERROR(INDEX(tblEslesme[Kova],MATCH($A109,tblEslesme[A_Norm],0)),""))</f>
        <v/>
      </c>
      <c r="C109" s="17">
        <f>IF($A109="","",IFERROR(INDEX(tblEslesme[AbsFark],MATCH($A109,tblEslesme[A_Norm],0)),0))</f>
        <v/>
      </c>
      <c r="D109" s="17">
        <f>IF($A109="","",IFERROR(SUMIF(tblMotor[A_Norm],$A109,tblMotor[KomisyonTutar]),0))</f>
        <v/>
      </c>
      <c r="E109" s="17">
        <f>IF($A109="","",IFERROR(SUMIF(tblMotor[A_Norm],$A109,tblMotor[TyPlus]),0))</f>
        <v/>
      </c>
      <c r="F109" s="17">
        <f>IF($A109="","",IFERROR(SUMIF(tblMotor[A_Norm],$A109,tblMotor[FlasKesinti]),0))</f>
        <v/>
      </c>
      <c r="G109" s="17">
        <f>IF($A109="","",IFERROR(SUMIF(tblMotor[A_Norm],$A109,tblMotor[UrunReklam]),0))</f>
        <v/>
      </c>
      <c r="H109" s="17">
        <f>IF($A109="","",IFERROR(SUMIF(tblMotor[A_Norm],$A109,tblMotor[DesiKargo]),0))</f>
        <v/>
      </c>
      <c r="I109" s="17">
        <f>IF(OR($A109="",$B109&lt;&gt;"tutar_farki"),"",IF(ABS($C109-$D109)&lt;=toleransKurus,"TYK-001",IF(ABS($C109-$E109)&lt;=toleransKurus,"TYK-002",IF(ABS($C109-$F109)&lt;=toleransKurus,"TYK-003",IF(ABS($C109-$G109)&lt;=toleransKurus,"TYK-004",IF(ABS($C109-$H109)&lt;=toleransKurus,"TYK-005","TANIMSIZ"))))))</f>
        <v/>
      </c>
    </row>
    <row r="110">
      <c r="A110" s="23">
        <f>IF('ESLESTIRME'!$A110="","",'ESLESTIRME'!$A110)</f>
        <v/>
      </c>
      <c r="B110" s="17">
        <f>IF($A110="","",IFERROR(INDEX(tblEslesme[Kova],MATCH($A110,tblEslesme[A_Norm],0)),""))</f>
        <v/>
      </c>
      <c r="C110" s="17">
        <f>IF($A110="","",IFERROR(INDEX(tblEslesme[AbsFark],MATCH($A110,tblEslesme[A_Norm],0)),0))</f>
        <v/>
      </c>
      <c r="D110" s="17">
        <f>IF($A110="","",IFERROR(SUMIF(tblMotor[A_Norm],$A110,tblMotor[KomisyonTutar]),0))</f>
        <v/>
      </c>
      <c r="E110" s="17">
        <f>IF($A110="","",IFERROR(SUMIF(tblMotor[A_Norm],$A110,tblMotor[TyPlus]),0))</f>
        <v/>
      </c>
      <c r="F110" s="17">
        <f>IF($A110="","",IFERROR(SUMIF(tblMotor[A_Norm],$A110,tblMotor[FlasKesinti]),0))</f>
        <v/>
      </c>
      <c r="G110" s="17">
        <f>IF($A110="","",IFERROR(SUMIF(tblMotor[A_Norm],$A110,tblMotor[UrunReklam]),0))</f>
        <v/>
      </c>
      <c r="H110" s="17">
        <f>IF($A110="","",IFERROR(SUMIF(tblMotor[A_Norm],$A110,tblMotor[DesiKargo]),0))</f>
        <v/>
      </c>
      <c r="I110" s="17">
        <f>IF(OR($A110="",$B110&lt;&gt;"tutar_farki"),"",IF(ABS($C110-$D110)&lt;=toleransKurus,"TYK-001",IF(ABS($C110-$E110)&lt;=toleransKurus,"TYK-002",IF(ABS($C110-$F110)&lt;=toleransKurus,"TYK-003",IF(ABS($C110-$G110)&lt;=toleransKurus,"TYK-004",IF(ABS($C110-$H110)&lt;=toleransKurus,"TYK-005","TANIMSIZ"))))))</f>
        <v/>
      </c>
    </row>
    <row r="111">
      <c r="A111" s="23">
        <f>IF('ESLESTIRME'!$A111="","",'ESLESTIRME'!$A111)</f>
        <v/>
      </c>
      <c r="B111" s="17">
        <f>IF($A111="","",IFERROR(INDEX(tblEslesme[Kova],MATCH($A111,tblEslesme[A_Norm],0)),""))</f>
        <v/>
      </c>
      <c r="C111" s="17">
        <f>IF($A111="","",IFERROR(INDEX(tblEslesme[AbsFark],MATCH($A111,tblEslesme[A_Norm],0)),0))</f>
        <v/>
      </c>
      <c r="D111" s="17">
        <f>IF($A111="","",IFERROR(SUMIF(tblMotor[A_Norm],$A111,tblMotor[KomisyonTutar]),0))</f>
        <v/>
      </c>
      <c r="E111" s="17">
        <f>IF($A111="","",IFERROR(SUMIF(tblMotor[A_Norm],$A111,tblMotor[TyPlus]),0))</f>
        <v/>
      </c>
      <c r="F111" s="17">
        <f>IF($A111="","",IFERROR(SUMIF(tblMotor[A_Norm],$A111,tblMotor[FlasKesinti]),0))</f>
        <v/>
      </c>
      <c r="G111" s="17">
        <f>IF($A111="","",IFERROR(SUMIF(tblMotor[A_Norm],$A111,tblMotor[UrunReklam]),0))</f>
        <v/>
      </c>
      <c r="H111" s="17">
        <f>IF($A111="","",IFERROR(SUMIF(tblMotor[A_Norm],$A111,tblMotor[DesiKargo]),0))</f>
        <v/>
      </c>
      <c r="I111" s="17">
        <f>IF(OR($A111="",$B111&lt;&gt;"tutar_farki"),"",IF(ABS($C111-$D111)&lt;=toleransKurus,"TYK-001",IF(ABS($C111-$E111)&lt;=toleransKurus,"TYK-002",IF(ABS($C111-$F111)&lt;=toleransKurus,"TYK-003",IF(ABS($C111-$G111)&lt;=toleransKurus,"TYK-004",IF(ABS($C111-$H111)&lt;=toleransKurus,"TYK-005","TANIMSIZ"))))))</f>
        <v/>
      </c>
    </row>
    <row r="112">
      <c r="A112" s="23">
        <f>IF('ESLESTIRME'!$A112="","",'ESLESTIRME'!$A112)</f>
        <v/>
      </c>
      <c r="B112" s="17">
        <f>IF($A112="","",IFERROR(INDEX(tblEslesme[Kova],MATCH($A112,tblEslesme[A_Norm],0)),""))</f>
        <v/>
      </c>
      <c r="C112" s="17">
        <f>IF($A112="","",IFERROR(INDEX(tblEslesme[AbsFark],MATCH($A112,tblEslesme[A_Norm],0)),0))</f>
        <v/>
      </c>
      <c r="D112" s="17">
        <f>IF($A112="","",IFERROR(SUMIF(tblMotor[A_Norm],$A112,tblMotor[KomisyonTutar]),0))</f>
        <v/>
      </c>
      <c r="E112" s="17">
        <f>IF($A112="","",IFERROR(SUMIF(tblMotor[A_Norm],$A112,tblMotor[TyPlus]),0))</f>
        <v/>
      </c>
      <c r="F112" s="17">
        <f>IF($A112="","",IFERROR(SUMIF(tblMotor[A_Norm],$A112,tblMotor[FlasKesinti]),0))</f>
        <v/>
      </c>
      <c r="G112" s="17">
        <f>IF($A112="","",IFERROR(SUMIF(tblMotor[A_Norm],$A112,tblMotor[UrunReklam]),0))</f>
        <v/>
      </c>
      <c r="H112" s="17">
        <f>IF($A112="","",IFERROR(SUMIF(tblMotor[A_Norm],$A112,tblMotor[DesiKargo]),0))</f>
        <v/>
      </c>
      <c r="I112" s="17">
        <f>IF(OR($A112="",$B112&lt;&gt;"tutar_farki"),"",IF(ABS($C112-$D112)&lt;=toleransKurus,"TYK-001",IF(ABS($C112-$E112)&lt;=toleransKurus,"TYK-002",IF(ABS($C112-$F112)&lt;=toleransKurus,"TYK-003",IF(ABS($C112-$G112)&lt;=toleransKurus,"TYK-004",IF(ABS($C112-$H112)&lt;=toleransKurus,"TYK-005","TANIMSIZ"))))))</f>
        <v/>
      </c>
    </row>
    <row r="113">
      <c r="A113" s="23">
        <f>IF('ESLESTIRME'!$A113="","",'ESLESTIRME'!$A113)</f>
        <v/>
      </c>
      <c r="B113" s="17">
        <f>IF($A113="","",IFERROR(INDEX(tblEslesme[Kova],MATCH($A113,tblEslesme[A_Norm],0)),""))</f>
        <v/>
      </c>
      <c r="C113" s="17">
        <f>IF($A113="","",IFERROR(INDEX(tblEslesme[AbsFark],MATCH($A113,tblEslesme[A_Norm],0)),0))</f>
        <v/>
      </c>
      <c r="D113" s="17">
        <f>IF($A113="","",IFERROR(SUMIF(tblMotor[A_Norm],$A113,tblMotor[KomisyonTutar]),0))</f>
        <v/>
      </c>
      <c r="E113" s="17">
        <f>IF($A113="","",IFERROR(SUMIF(tblMotor[A_Norm],$A113,tblMotor[TyPlus]),0))</f>
        <v/>
      </c>
      <c r="F113" s="17">
        <f>IF($A113="","",IFERROR(SUMIF(tblMotor[A_Norm],$A113,tblMotor[FlasKesinti]),0))</f>
        <v/>
      </c>
      <c r="G113" s="17">
        <f>IF($A113="","",IFERROR(SUMIF(tblMotor[A_Norm],$A113,tblMotor[UrunReklam]),0))</f>
        <v/>
      </c>
      <c r="H113" s="17">
        <f>IF($A113="","",IFERROR(SUMIF(tblMotor[A_Norm],$A113,tblMotor[DesiKargo]),0))</f>
        <v/>
      </c>
      <c r="I113" s="17">
        <f>IF(OR($A113="",$B113&lt;&gt;"tutar_farki"),"",IF(ABS($C113-$D113)&lt;=toleransKurus,"TYK-001",IF(ABS($C113-$E113)&lt;=toleransKurus,"TYK-002",IF(ABS($C113-$F113)&lt;=toleransKurus,"TYK-003",IF(ABS($C113-$G113)&lt;=toleransKurus,"TYK-004",IF(ABS($C113-$H113)&lt;=toleransKurus,"TYK-005","TANIMSIZ"))))))</f>
        <v/>
      </c>
    </row>
    <row r="114">
      <c r="A114" s="23">
        <f>IF('ESLESTIRME'!$A114="","",'ESLESTIRME'!$A114)</f>
        <v/>
      </c>
      <c r="B114" s="17">
        <f>IF($A114="","",IFERROR(INDEX(tblEslesme[Kova],MATCH($A114,tblEslesme[A_Norm],0)),""))</f>
        <v/>
      </c>
      <c r="C114" s="17">
        <f>IF($A114="","",IFERROR(INDEX(tblEslesme[AbsFark],MATCH($A114,tblEslesme[A_Norm],0)),0))</f>
        <v/>
      </c>
      <c r="D114" s="17">
        <f>IF($A114="","",IFERROR(SUMIF(tblMotor[A_Norm],$A114,tblMotor[KomisyonTutar]),0))</f>
        <v/>
      </c>
      <c r="E114" s="17">
        <f>IF($A114="","",IFERROR(SUMIF(tblMotor[A_Norm],$A114,tblMotor[TyPlus]),0))</f>
        <v/>
      </c>
      <c r="F114" s="17">
        <f>IF($A114="","",IFERROR(SUMIF(tblMotor[A_Norm],$A114,tblMotor[FlasKesinti]),0))</f>
        <v/>
      </c>
      <c r="G114" s="17">
        <f>IF($A114="","",IFERROR(SUMIF(tblMotor[A_Norm],$A114,tblMotor[UrunReklam]),0))</f>
        <v/>
      </c>
      <c r="H114" s="17">
        <f>IF($A114="","",IFERROR(SUMIF(tblMotor[A_Norm],$A114,tblMotor[DesiKargo]),0))</f>
        <v/>
      </c>
      <c r="I114" s="17">
        <f>IF(OR($A114="",$B114&lt;&gt;"tutar_farki"),"",IF(ABS($C114-$D114)&lt;=toleransKurus,"TYK-001",IF(ABS($C114-$E114)&lt;=toleransKurus,"TYK-002",IF(ABS($C114-$F114)&lt;=toleransKurus,"TYK-003",IF(ABS($C114-$G114)&lt;=toleransKurus,"TYK-004",IF(ABS($C114-$H114)&lt;=toleransKurus,"TYK-005","TANIMSIZ"))))))</f>
        <v/>
      </c>
    </row>
    <row r="115">
      <c r="A115" s="23">
        <f>IF('ESLESTIRME'!$A115="","",'ESLESTIRME'!$A115)</f>
        <v/>
      </c>
      <c r="B115" s="17">
        <f>IF($A115="","",IFERROR(INDEX(tblEslesme[Kova],MATCH($A115,tblEslesme[A_Norm],0)),""))</f>
        <v/>
      </c>
      <c r="C115" s="17">
        <f>IF($A115="","",IFERROR(INDEX(tblEslesme[AbsFark],MATCH($A115,tblEslesme[A_Norm],0)),0))</f>
        <v/>
      </c>
      <c r="D115" s="17">
        <f>IF($A115="","",IFERROR(SUMIF(tblMotor[A_Norm],$A115,tblMotor[KomisyonTutar]),0))</f>
        <v/>
      </c>
      <c r="E115" s="17">
        <f>IF($A115="","",IFERROR(SUMIF(tblMotor[A_Norm],$A115,tblMotor[TyPlus]),0))</f>
        <v/>
      </c>
      <c r="F115" s="17">
        <f>IF($A115="","",IFERROR(SUMIF(tblMotor[A_Norm],$A115,tblMotor[FlasKesinti]),0))</f>
        <v/>
      </c>
      <c r="G115" s="17">
        <f>IF($A115="","",IFERROR(SUMIF(tblMotor[A_Norm],$A115,tblMotor[UrunReklam]),0))</f>
        <v/>
      </c>
      <c r="H115" s="17">
        <f>IF($A115="","",IFERROR(SUMIF(tblMotor[A_Norm],$A115,tblMotor[DesiKargo]),0))</f>
        <v/>
      </c>
      <c r="I115" s="17">
        <f>IF(OR($A115="",$B115&lt;&gt;"tutar_farki"),"",IF(ABS($C115-$D115)&lt;=toleransKurus,"TYK-001",IF(ABS($C115-$E115)&lt;=toleransKurus,"TYK-002",IF(ABS($C115-$F115)&lt;=toleransKurus,"TYK-003",IF(ABS($C115-$G115)&lt;=toleransKurus,"TYK-004",IF(ABS($C115-$H115)&lt;=toleransKurus,"TYK-005","TANIMSIZ"))))))</f>
        <v/>
      </c>
    </row>
    <row r="116">
      <c r="A116" s="23">
        <f>IF('ESLESTIRME'!$A116="","",'ESLESTIRME'!$A116)</f>
        <v/>
      </c>
      <c r="B116" s="17">
        <f>IF($A116="","",IFERROR(INDEX(tblEslesme[Kova],MATCH($A116,tblEslesme[A_Norm],0)),""))</f>
        <v/>
      </c>
      <c r="C116" s="17">
        <f>IF($A116="","",IFERROR(INDEX(tblEslesme[AbsFark],MATCH($A116,tblEslesme[A_Norm],0)),0))</f>
        <v/>
      </c>
      <c r="D116" s="17">
        <f>IF($A116="","",IFERROR(SUMIF(tblMotor[A_Norm],$A116,tblMotor[KomisyonTutar]),0))</f>
        <v/>
      </c>
      <c r="E116" s="17">
        <f>IF($A116="","",IFERROR(SUMIF(tblMotor[A_Norm],$A116,tblMotor[TyPlus]),0))</f>
        <v/>
      </c>
      <c r="F116" s="17">
        <f>IF($A116="","",IFERROR(SUMIF(tblMotor[A_Norm],$A116,tblMotor[FlasKesinti]),0))</f>
        <v/>
      </c>
      <c r="G116" s="17">
        <f>IF($A116="","",IFERROR(SUMIF(tblMotor[A_Norm],$A116,tblMotor[UrunReklam]),0))</f>
        <v/>
      </c>
      <c r="H116" s="17">
        <f>IF($A116="","",IFERROR(SUMIF(tblMotor[A_Norm],$A116,tblMotor[DesiKargo]),0))</f>
        <v/>
      </c>
      <c r="I116" s="17">
        <f>IF(OR($A116="",$B116&lt;&gt;"tutar_farki"),"",IF(ABS($C116-$D116)&lt;=toleransKurus,"TYK-001",IF(ABS($C116-$E116)&lt;=toleransKurus,"TYK-002",IF(ABS($C116-$F116)&lt;=toleransKurus,"TYK-003",IF(ABS($C116-$G116)&lt;=toleransKurus,"TYK-004",IF(ABS($C116-$H116)&lt;=toleransKurus,"TYK-005","TANIMSIZ"))))))</f>
        <v/>
      </c>
    </row>
    <row r="117">
      <c r="A117" s="23">
        <f>IF('ESLESTIRME'!$A117="","",'ESLESTIRME'!$A117)</f>
        <v/>
      </c>
      <c r="B117" s="17">
        <f>IF($A117="","",IFERROR(INDEX(tblEslesme[Kova],MATCH($A117,tblEslesme[A_Norm],0)),""))</f>
        <v/>
      </c>
      <c r="C117" s="17">
        <f>IF($A117="","",IFERROR(INDEX(tblEslesme[AbsFark],MATCH($A117,tblEslesme[A_Norm],0)),0))</f>
        <v/>
      </c>
      <c r="D117" s="17">
        <f>IF($A117="","",IFERROR(SUMIF(tblMotor[A_Norm],$A117,tblMotor[KomisyonTutar]),0))</f>
        <v/>
      </c>
      <c r="E117" s="17">
        <f>IF($A117="","",IFERROR(SUMIF(tblMotor[A_Norm],$A117,tblMotor[TyPlus]),0))</f>
        <v/>
      </c>
      <c r="F117" s="17">
        <f>IF($A117="","",IFERROR(SUMIF(tblMotor[A_Norm],$A117,tblMotor[FlasKesinti]),0))</f>
        <v/>
      </c>
      <c r="G117" s="17">
        <f>IF($A117="","",IFERROR(SUMIF(tblMotor[A_Norm],$A117,tblMotor[UrunReklam]),0))</f>
        <v/>
      </c>
      <c r="H117" s="17">
        <f>IF($A117="","",IFERROR(SUMIF(tblMotor[A_Norm],$A117,tblMotor[DesiKargo]),0))</f>
        <v/>
      </c>
      <c r="I117" s="17">
        <f>IF(OR($A117="",$B117&lt;&gt;"tutar_farki"),"",IF(ABS($C117-$D117)&lt;=toleransKurus,"TYK-001",IF(ABS($C117-$E117)&lt;=toleransKurus,"TYK-002",IF(ABS($C117-$F117)&lt;=toleransKurus,"TYK-003",IF(ABS($C117-$G117)&lt;=toleransKurus,"TYK-004",IF(ABS($C117-$H117)&lt;=toleransKurus,"TYK-005","TANIMSIZ"))))))</f>
        <v/>
      </c>
    </row>
    <row r="118">
      <c r="A118" s="23">
        <f>IF('ESLESTIRME'!$A118="","",'ESLESTIRME'!$A118)</f>
        <v/>
      </c>
      <c r="B118" s="17">
        <f>IF($A118="","",IFERROR(INDEX(tblEslesme[Kova],MATCH($A118,tblEslesme[A_Norm],0)),""))</f>
        <v/>
      </c>
      <c r="C118" s="17">
        <f>IF($A118="","",IFERROR(INDEX(tblEslesme[AbsFark],MATCH($A118,tblEslesme[A_Norm],0)),0))</f>
        <v/>
      </c>
      <c r="D118" s="17">
        <f>IF($A118="","",IFERROR(SUMIF(tblMotor[A_Norm],$A118,tblMotor[KomisyonTutar]),0))</f>
        <v/>
      </c>
      <c r="E118" s="17">
        <f>IF($A118="","",IFERROR(SUMIF(tblMotor[A_Norm],$A118,tblMotor[TyPlus]),0))</f>
        <v/>
      </c>
      <c r="F118" s="17">
        <f>IF($A118="","",IFERROR(SUMIF(tblMotor[A_Norm],$A118,tblMotor[FlasKesinti]),0))</f>
        <v/>
      </c>
      <c r="G118" s="17">
        <f>IF($A118="","",IFERROR(SUMIF(tblMotor[A_Norm],$A118,tblMotor[UrunReklam]),0))</f>
        <v/>
      </c>
      <c r="H118" s="17">
        <f>IF($A118="","",IFERROR(SUMIF(tblMotor[A_Norm],$A118,tblMotor[DesiKargo]),0))</f>
        <v/>
      </c>
      <c r="I118" s="17">
        <f>IF(OR($A118="",$B118&lt;&gt;"tutar_farki"),"",IF(ABS($C118-$D118)&lt;=toleransKurus,"TYK-001",IF(ABS($C118-$E118)&lt;=toleransKurus,"TYK-002",IF(ABS($C118-$F118)&lt;=toleransKurus,"TYK-003",IF(ABS($C118-$G118)&lt;=toleransKurus,"TYK-004",IF(ABS($C118-$H118)&lt;=toleransKurus,"TYK-005","TANIMSIZ"))))))</f>
        <v/>
      </c>
    </row>
    <row r="119">
      <c r="A119" s="23">
        <f>IF('ESLESTIRME'!$A119="","",'ESLESTIRME'!$A119)</f>
        <v/>
      </c>
      <c r="B119" s="17">
        <f>IF($A119="","",IFERROR(INDEX(tblEslesme[Kova],MATCH($A119,tblEslesme[A_Norm],0)),""))</f>
        <v/>
      </c>
      <c r="C119" s="17">
        <f>IF($A119="","",IFERROR(INDEX(tblEslesme[AbsFark],MATCH($A119,tblEslesme[A_Norm],0)),0))</f>
        <v/>
      </c>
      <c r="D119" s="17">
        <f>IF($A119="","",IFERROR(SUMIF(tblMotor[A_Norm],$A119,tblMotor[KomisyonTutar]),0))</f>
        <v/>
      </c>
      <c r="E119" s="17">
        <f>IF($A119="","",IFERROR(SUMIF(tblMotor[A_Norm],$A119,tblMotor[TyPlus]),0))</f>
        <v/>
      </c>
      <c r="F119" s="17">
        <f>IF($A119="","",IFERROR(SUMIF(tblMotor[A_Norm],$A119,tblMotor[FlasKesinti]),0))</f>
        <v/>
      </c>
      <c r="G119" s="17">
        <f>IF($A119="","",IFERROR(SUMIF(tblMotor[A_Norm],$A119,tblMotor[UrunReklam]),0))</f>
        <v/>
      </c>
      <c r="H119" s="17">
        <f>IF($A119="","",IFERROR(SUMIF(tblMotor[A_Norm],$A119,tblMotor[DesiKargo]),0))</f>
        <v/>
      </c>
      <c r="I119" s="17">
        <f>IF(OR($A119="",$B119&lt;&gt;"tutar_farki"),"",IF(ABS($C119-$D119)&lt;=toleransKurus,"TYK-001",IF(ABS($C119-$E119)&lt;=toleransKurus,"TYK-002",IF(ABS($C119-$F119)&lt;=toleransKurus,"TYK-003",IF(ABS($C119-$G119)&lt;=toleransKurus,"TYK-004",IF(ABS($C119-$H119)&lt;=toleransKurus,"TYK-005","TANIMSIZ"))))))</f>
        <v/>
      </c>
    </row>
    <row r="120">
      <c r="A120" s="23">
        <f>IF('ESLESTIRME'!$A120="","",'ESLESTIRME'!$A120)</f>
        <v/>
      </c>
      <c r="B120" s="17">
        <f>IF($A120="","",IFERROR(INDEX(tblEslesme[Kova],MATCH($A120,tblEslesme[A_Norm],0)),""))</f>
        <v/>
      </c>
      <c r="C120" s="17">
        <f>IF($A120="","",IFERROR(INDEX(tblEslesme[AbsFark],MATCH($A120,tblEslesme[A_Norm],0)),0))</f>
        <v/>
      </c>
      <c r="D120" s="17">
        <f>IF($A120="","",IFERROR(SUMIF(tblMotor[A_Norm],$A120,tblMotor[KomisyonTutar]),0))</f>
        <v/>
      </c>
      <c r="E120" s="17">
        <f>IF($A120="","",IFERROR(SUMIF(tblMotor[A_Norm],$A120,tblMotor[TyPlus]),0))</f>
        <v/>
      </c>
      <c r="F120" s="17">
        <f>IF($A120="","",IFERROR(SUMIF(tblMotor[A_Norm],$A120,tblMotor[FlasKesinti]),0))</f>
        <v/>
      </c>
      <c r="G120" s="17">
        <f>IF($A120="","",IFERROR(SUMIF(tblMotor[A_Norm],$A120,tblMotor[UrunReklam]),0))</f>
        <v/>
      </c>
      <c r="H120" s="17">
        <f>IF($A120="","",IFERROR(SUMIF(tblMotor[A_Norm],$A120,tblMotor[DesiKargo]),0))</f>
        <v/>
      </c>
      <c r="I120" s="17">
        <f>IF(OR($A120="",$B120&lt;&gt;"tutar_farki"),"",IF(ABS($C120-$D120)&lt;=toleransKurus,"TYK-001",IF(ABS($C120-$E120)&lt;=toleransKurus,"TYK-002",IF(ABS($C120-$F120)&lt;=toleransKurus,"TYK-003",IF(ABS($C120-$G120)&lt;=toleransKurus,"TYK-004",IF(ABS($C120-$H120)&lt;=toleransKurus,"TYK-005","TANIMSIZ"))))))</f>
        <v/>
      </c>
    </row>
    <row r="121">
      <c r="A121" s="23">
        <f>IF('ESLESTIRME'!$A121="","",'ESLESTIRME'!$A121)</f>
        <v/>
      </c>
      <c r="B121" s="17">
        <f>IF($A121="","",IFERROR(INDEX(tblEslesme[Kova],MATCH($A121,tblEslesme[A_Norm],0)),""))</f>
        <v/>
      </c>
      <c r="C121" s="17">
        <f>IF($A121="","",IFERROR(INDEX(tblEslesme[AbsFark],MATCH($A121,tblEslesme[A_Norm],0)),0))</f>
        <v/>
      </c>
      <c r="D121" s="17">
        <f>IF($A121="","",IFERROR(SUMIF(tblMotor[A_Norm],$A121,tblMotor[KomisyonTutar]),0))</f>
        <v/>
      </c>
      <c r="E121" s="17">
        <f>IF($A121="","",IFERROR(SUMIF(tblMotor[A_Norm],$A121,tblMotor[TyPlus]),0))</f>
        <v/>
      </c>
      <c r="F121" s="17">
        <f>IF($A121="","",IFERROR(SUMIF(tblMotor[A_Norm],$A121,tblMotor[FlasKesinti]),0))</f>
        <v/>
      </c>
      <c r="G121" s="17">
        <f>IF($A121="","",IFERROR(SUMIF(tblMotor[A_Norm],$A121,tblMotor[UrunReklam]),0))</f>
        <v/>
      </c>
      <c r="H121" s="17">
        <f>IF($A121="","",IFERROR(SUMIF(tblMotor[A_Norm],$A121,tblMotor[DesiKargo]),0))</f>
        <v/>
      </c>
      <c r="I121" s="17">
        <f>IF(OR($A121="",$B121&lt;&gt;"tutar_farki"),"",IF(ABS($C121-$D121)&lt;=toleransKurus,"TYK-001",IF(ABS($C121-$E121)&lt;=toleransKurus,"TYK-002",IF(ABS($C121-$F121)&lt;=toleransKurus,"TYK-003",IF(ABS($C121-$G121)&lt;=toleransKurus,"TYK-004",IF(ABS($C121-$H121)&lt;=toleransKurus,"TYK-005","TANIMSIZ"))))))</f>
        <v/>
      </c>
    </row>
    <row r="122">
      <c r="A122" s="23">
        <f>IF('ESLESTIRME'!$A122="","",'ESLESTIRME'!$A122)</f>
        <v/>
      </c>
      <c r="B122" s="17">
        <f>IF($A122="","",IFERROR(INDEX(tblEslesme[Kova],MATCH($A122,tblEslesme[A_Norm],0)),""))</f>
        <v/>
      </c>
      <c r="C122" s="17">
        <f>IF($A122="","",IFERROR(INDEX(tblEslesme[AbsFark],MATCH($A122,tblEslesme[A_Norm],0)),0))</f>
        <v/>
      </c>
      <c r="D122" s="17">
        <f>IF($A122="","",IFERROR(SUMIF(tblMotor[A_Norm],$A122,tblMotor[KomisyonTutar]),0))</f>
        <v/>
      </c>
      <c r="E122" s="17">
        <f>IF($A122="","",IFERROR(SUMIF(tblMotor[A_Norm],$A122,tblMotor[TyPlus]),0))</f>
        <v/>
      </c>
      <c r="F122" s="17">
        <f>IF($A122="","",IFERROR(SUMIF(tblMotor[A_Norm],$A122,tblMotor[FlasKesinti]),0))</f>
        <v/>
      </c>
      <c r="G122" s="17">
        <f>IF($A122="","",IFERROR(SUMIF(tblMotor[A_Norm],$A122,tblMotor[UrunReklam]),0))</f>
        <v/>
      </c>
      <c r="H122" s="17">
        <f>IF($A122="","",IFERROR(SUMIF(tblMotor[A_Norm],$A122,tblMotor[DesiKargo]),0))</f>
        <v/>
      </c>
      <c r="I122" s="17">
        <f>IF(OR($A122="",$B122&lt;&gt;"tutar_farki"),"",IF(ABS($C122-$D122)&lt;=toleransKurus,"TYK-001",IF(ABS($C122-$E122)&lt;=toleransKurus,"TYK-002",IF(ABS($C122-$F122)&lt;=toleransKurus,"TYK-003",IF(ABS($C122-$G122)&lt;=toleransKurus,"TYK-004",IF(ABS($C122-$H122)&lt;=toleransKurus,"TYK-005","TANIMSIZ"))))))</f>
        <v/>
      </c>
    </row>
    <row r="123">
      <c r="A123" s="23">
        <f>IF('ESLESTIRME'!$A123="","",'ESLESTIRME'!$A123)</f>
        <v/>
      </c>
      <c r="B123" s="17">
        <f>IF($A123="","",IFERROR(INDEX(tblEslesme[Kova],MATCH($A123,tblEslesme[A_Norm],0)),""))</f>
        <v/>
      </c>
      <c r="C123" s="17">
        <f>IF($A123="","",IFERROR(INDEX(tblEslesme[AbsFark],MATCH($A123,tblEslesme[A_Norm],0)),0))</f>
        <v/>
      </c>
      <c r="D123" s="17">
        <f>IF($A123="","",IFERROR(SUMIF(tblMotor[A_Norm],$A123,tblMotor[KomisyonTutar]),0))</f>
        <v/>
      </c>
      <c r="E123" s="17">
        <f>IF($A123="","",IFERROR(SUMIF(tblMotor[A_Norm],$A123,tblMotor[TyPlus]),0))</f>
        <v/>
      </c>
      <c r="F123" s="17">
        <f>IF($A123="","",IFERROR(SUMIF(tblMotor[A_Norm],$A123,tblMotor[FlasKesinti]),0))</f>
        <v/>
      </c>
      <c r="G123" s="17">
        <f>IF($A123="","",IFERROR(SUMIF(tblMotor[A_Norm],$A123,tblMotor[UrunReklam]),0))</f>
        <v/>
      </c>
      <c r="H123" s="17">
        <f>IF($A123="","",IFERROR(SUMIF(tblMotor[A_Norm],$A123,tblMotor[DesiKargo]),0))</f>
        <v/>
      </c>
      <c r="I123" s="17">
        <f>IF(OR($A123="",$B123&lt;&gt;"tutar_farki"),"",IF(ABS($C123-$D123)&lt;=toleransKurus,"TYK-001",IF(ABS($C123-$E123)&lt;=toleransKurus,"TYK-002",IF(ABS($C123-$F123)&lt;=toleransKurus,"TYK-003",IF(ABS($C123-$G123)&lt;=toleransKurus,"TYK-004",IF(ABS($C123-$H123)&lt;=toleransKurus,"TYK-005","TANIMSIZ"))))))</f>
        <v/>
      </c>
    </row>
    <row r="124">
      <c r="A124" s="23">
        <f>IF('ESLESTIRME'!$A124="","",'ESLESTIRME'!$A124)</f>
        <v/>
      </c>
      <c r="B124" s="17">
        <f>IF($A124="","",IFERROR(INDEX(tblEslesme[Kova],MATCH($A124,tblEslesme[A_Norm],0)),""))</f>
        <v/>
      </c>
      <c r="C124" s="17">
        <f>IF($A124="","",IFERROR(INDEX(tblEslesme[AbsFark],MATCH($A124,tblEslesme[A_Norm],0)),0))</f>
        <v/>
      </c>
      <c r="D124" s="17">
        <f>IF($A124="","",IFERROR(SUMIF(tblMotor[A_Norm],$A124,tblMotor[KomisyonTutar]),0))</f>
        <v/>
      </c>
      <c r="E124" s="17">
        <f>IF($A124="","",IFERROR(SUMIF(tblMotor[A_Norm],$A124,tblMotor[TyPlus]),0))</f>
        <v/>
      </c>
      <c r="F124" s="17">
        <f>IF($A124="","",IFERROR(SUMIF(tblMotor[A_Norm],$A124,tblMotor[FlasKesinti]),0))</f>
        <v/>
      </c>
      <c r="G124" s="17">
        <f>IF($A124="","",IFERROR(SUMIF(tblMotor[A_Norm],$A124,tblMotor[UrunReklam]),0))</f>
        <v/>
      </c>
      <c r="H124" s="17">
        <f>IF($A124="","",IFERROR(SUMIF(tblMotor[A_Norm],$A124,tblMotor[DesiKargo]),0))</f>
        <v/>
      </c>
      <c r="I124" s="17">
        <f>IF(OR($A124="",$B124&lt;&gt;"tutar_farki"),"",IF(ABS($C124-$D124)&lt;=toleransKurus,"TYK-001",IF(ABS($C124-$E124)&lt;=toleransKurus,"TYK-002",IF(ABS($C124-$F124)&lt;=toleransKurus,"TYK-003",IF(ABS($C124-$G124)&lt;=toleransKurus,"TYK-004",IF(ABS($C124-$H124)&lt;=toleransKurus,"TYK-005","TANIMSIZ"))))))</f>
        <v/>
      </c>
    </row>
    <row r="125">
      <c r="A125" s="23">
        <f>IF('ESLESTIRME'!$A125="","",'ESLESTIRME'!$A125)</f>
        <v/>
      </c>
      <c r="B125" s="17">
        <f>IF($A125="","",IFERROR(INDEX(tblEslesme[Kova],MATCH($A125,tblEslesme[A_Norm],0)),""))</f>
        <v/>
      </c>
      <c r="C125" s="17">
        <f>IF($A125="","",IFERROR(INDEX(tblEslesme[AbsFark],MATCH($A125,tblEslesme[A_Norm],0)),0))</f>
        <v/>
      </c>
      <c r="D125" s="17">
        <f>IF($A125="","",IFERROR(SUMIF(tblMotor[A_Norm],$A125,tblMotor[KomisyonTutar]),0))</f>
        <v/>
      </c>
      <c r="E125" s="17">
        <f>IF($A125="","",IFERROR(SUMIF(tblMotor[A_Norm],$A125,tblMotor[TyPlus]),0))</f>
        <v/>
      </c>
      <c r="F125" s="17">
        <f>IF($A125="","",IFERROR(SUMIF(tblMotor[A_Norm],$A125,tblMotor[FlasKesinti]),0))</f>
        <v/>
      </c>
      <c r="G125" s="17">
        <f>IF($A125="","",IFERROR(SUMIF(tblMotor[A_Norm],$A125,tblMotor[UrunReklam]),0))</f>
        <v/>
      </c>
      <c r="H125" s="17">
        <f>IF($A125="","",IFERROR(SUMIF(tblMotor[A_Norm],$A125,tblMotor[DesiKargo]),0))</f>
        <v/>
      </c>
      <c r="I125" s="17">
        <f>IF(OR($A125="",$B125&lt;&gt;"tutar_farki"),"",IF(ABS($C125-$D125)&lt;=toleransKurus,"TYK-001",IF(ABS($C125-$E125)&lt;=toleransKurus,"TYK-002",IF(ABS($C125-$F125)&lt;=toleransKurus,"TYK-003",IF(ABS($C125-$G125)&lt;=toleransKurus,"TYK-004",IF(ABS($C125-$H125)&lt;=toleransKurus,"TYK-005","TANIMSIZ"))))))</f>
        <v/>
      </c>
    </row>
    <row r="126">
      <c r="A126" s="23">
        <f>IF('ESLESTIRME'!$A126="","",'ESLESTIRME'!$A126)</f>
        <v/>
      </c>
      <c r="B126" s="17">
        <f>IF($A126="","",IFERROR(INDEX(tblEslesme[Kova],MATCH($A126,tblEslesme[A_Norm],0)),""))</f>
        <v/>
      </c>
      <c r="C126" s="17">
        <f>IF($A126="","",IFERROR(INDEX(tblEslesme[AbsFark],MATCH($A126,tblEslesme[A_Norm],0)),0))</f>
        <v/>
      </c>
      <c r="D126" s="17">
        <f>IF($A126="","",IFERROR(SUMIF(tblMotor[A_Norm],$A126,tblMotor[KomisyonTutar]),0))</f>
        <v/>
      </c>
      <c r="E126" s="17">
        <f>IF($A126="","",IFERROR(SUMIF(tblMotor[A_Norm],$A126,tblMotor[TyPlus]),0))</f>
        <v/>
      </c>
      <c r="F126" s="17">
        <f>IF($A126="","",IFERROR(SUMIF(tblMotor[A_Norm],$A126,tblMotor[FlasKesinti]),0))</f>
        <v/>
      </c>
      <c r="G126" s="17">
        <f>IF($A126="","",IFERROR(SUMIF(tblMotor[A_Norm],$A126,tblMotor[UrunReklam]),0))</f>
        <v/>
      </c>
      <c r="H126" s="17">
        <f>IF($A126="","",IFERROR(SUMIF(tblMotor[A_Norm],$A126,tblMotor[DesiKargo]),0))</f>
        <v/>
      </c>
      <c r="I126" s="17">
        <f>IF(OR($A126="",$B126&lt;&gt;"tutar_farki"),"",IF(ABS($C126-$D126)&lt;=toleransKurus,"TYK-001",IF(ABS($C126-$E126)&lt;=toleransKurus,"TYK-002",IF(ABS($C126-$F126)&lt;=toleransKurus,"TYK-003",IF(ABS($C126-$G126)&lt;=toleransKurus,"TYK-004",IF(ABS($C126-$H126)&lt;=toleransKurus,"TYK-005","TANIMSIZ"))))))</f>
        <v/>
      </c>
    </row>
    <row r="127">
      <c r="A127" s="23">
        <f>IF('ESLESTIRME'!$A127="","",'ESLESTIRME'!$A127)</f>
        <v/>
      </c>
      <c r="B127" s="17">
        <f>IF($A127="","",IFERROR(INDEX(tblEslesme[Kova],MATCH($A127,tblEslesme[A_Norm],0)),""))</f>
        <v/>
      </c>
      <c r="C127" s="17">
        <f>IF($A127="","",IFERROR(INDEX(tblEslesme[AbsFark],MATCH($A127,tblEslesme[A_Norm],0)),0))</f>
        <v/>
      </c>
      <c r="D127" s="17">
        <f>IF($A127="","",IFERROR(SUMIF(tblMotor[A_Norm],$A127,tblMotor[KomisyonTutar]),0))</f>
        <v/>
      </c>
      <c r="E127" s="17">
        <f>IF($A127="","",IFERROR(SUMIF(tblMotor[A_Norm],$A127,tblMotor[TyPlus]),0))</f>
        <v/>
      </c>
      <c r="F127" s="17">
        <f>IF($A127="","",IFERROR(SUMIF(tblMotor[A_Norm],$A127,tblMotor[FlasKesinti]),0))</f>
        <v/>
      </c>
      <c r="G127" s="17">
        <f>IF($A127="","",IFERROR(SUMIF(tblMotor[A_Norm],$A127,tblMotor[UrunReklam]),0))</f>
        <v/>
      </c>
      <c r="H127" s="17">
        <f>IF($A127="","",IFERROR(SUMIF(tblMotor[A_Norm],$A127,tblMotor[DesiKargo]),0))</f>
        <v/>
      </c>
      <c r="I127" s="17">
        <f>IF(OR($A127="",$B127&lt;&gt;"tutar_farki"),"",IF(ABS($C127-$D127)&lt;=toleransKurus,"TYK-001",IF(ABS($C127-$E127)&lt;=toleransKurus,"TYK-002",IF(ABS($C127-$F127)&lt;=toleransKurus,"TYK-003",IF(ABS($C127-$G127)&lt;=toleransKurus,"TYK-004",IF(ABS($C127-$H127)&lt;=toleransKurus,"TYK-005","TANIMSIZ"))))))</f>
        <v/>
      </c>
    </row>
    <row r="128">
      <c r="A128" s="23">
        <f>IF('ESLESTIRME'!$A128="","",'ESLESTIRME'!$A128)</f>
        <v/>
      </c>
      <c r="B128" s="17">
        <f>IF($A128="","",IFERROR(INDEX(tblEslesme[Kova],MATCH($A128,tblEslesme[A_Norm],0)),""))</f>
        <v/>
      </c>
      <c r="C128" s="17">
        <f>IF($A128="","",IFERROR(INDEX(tblEslesme[AbsFark],MATCH($A128,tblEslesme[A_Norm],0)),0))</f>
        <v/>
      </c>
      <c r="D128" s="17">
        <f>IF($A128="","",IFERROR(SUMIF(tblMotor[A_Norm],$A128,tblMotor[KomisyonTutar]),0))</f>
        <v/>
      </c>
      <c r="E128" s="17">
        <f>IF($A128="","",IFERROR(SUMIF(tblMotor[A_Norm],$A128,tblMotor[TyPlus]),0))</f>
        <v/>
      </c>
      <c r="F128" s="17">
        <f>IF($A128="","",IFERROR(SUMIF(tblMotor[A_Norm],$A128,tblMotor[FlasKesinti]),0))</f>
        <v/>
      </c>
      <c r="G128" s="17">
        <f>IF($A128="","",IFERROR(SUMIF(tblMotor[A_Norm],$A128,tblMotor[UrunReklam]),0))</f>
        <v/>
      </c>
      <c r="H128" s="17">
        <f>IF($A128="","",IFERROR(SUMIF(tblMotor[A_Norm],$A128,tblMotor[DesiKargo]),0))</f>
        <v/>
      </c>
      <c r="I128" s="17">
        <f>IF(OR($A128="",$B128&lt;&gt;"tutar_farki"),"",IF(ABS($C128-$D128)&lt;=toleransKurus,"TYK-001",IF(ABS($C128-$E128)&lt;=toleransKurus,"TYK-002",IF(ABS($C128-$F128)&lt;=toleransKurus,"TYK-003",IF(ABS($C128-$G128)&lt;=toleransKurus,"TYK-004",IF(ABS($C128-$H128)&lt;=toleransKurus,"TYK-005","TANIMSIZ"))))))</f>
        <v/>
      </c>
    </row>
    <row r="129">
      <c r="A129" s="23">
        <f>IF('ESLESTIRME'!$A129="","",'ESLESTIRME'!$A129)</f>
        <v/>
      </c>
      <c r="B129" s="17">
        <f>IF($A129="","",IFERROR(INDEX(tblEslesme[Kova],MATCH($A129,tblEslesme[A_Norm],0)),""))</f>
        <v/>
      </c>
      <c r="C129" s="17">
        <f>IF($A129="","",IFERROR(INDEX(tblEslesme[AbsFark],MATCH($A129,tblEslesme[A_Norm],0)),0))</f>
        <v/>
      </c>
      <c r="D129" s="17">
        <f>IF($A129="","",IFERROR(SUMIF(tblMotor[A_Norm],$A129,tblMotor[KomisyonTutar]),0))</f>
        <v/>
      </c>
      <c r="E129" s="17">
        <f>IF($A129="","",IFERROR(SUMIF(tblMotor[A_Norm],$A129,tblMotor[TyPlus]),0))</f>
        <v/>
      </c>
      <c r="F129" s="17">
        <f>IF($A129="","",IFERROR(SUMIF(tblMotor[A_Norm],$A129,tblMotor[FlasKesinti]),0))</f>
        <v/>
      </c>
      <c r="G129" s="17">
        <f>IF($A129="","",IFERROR(SUMIF(tblMotor[A_Norm],$A129,tblMotor[UrunReklam]),0))</f>
        <v/>
      </c>
      <c r="H129" s="17">
        <f>IF($A129="","",IFERROR(SUMIF(tblMotor[A_Norm],$A129,tblMotor[DesiKargo]),0))</f>
        <v/>
      </c>
      <c r="I129" s="17">
        <f>IF(OR($A129="",$B129&lt;&gt;"tutar_farki"),"",IF(ABS($C129-$D129)&lt;=toleransKurus,"TYK-001",IF(ABS($C129-$E129)&lt;=toleransKurus,"TYK-002",IF(ABS($C129-$F129)&lt;=toleransKurus,"TYK-003",IF(ABS($C129-$G129)&lt;=toleransKurus,"TYK-004",IF(ABS($C129-$H129)&lt;=toleransKurus,"TYK-005","TANIMSIZ"))))))</f>
        <v/>
      </c>
    </row>
    <row r="130">
      <c r="A130" s="23">
        <f>IF('ESLESTIRME'!$A130="","",'ESLESTIRME'!$A130)</f>
        <v/>
      </c>
      <c r="B130" s="17">
        <f>IF($A130="","",IFERROR(INDEX(tblEslesme[Kova],MATCH($A130,tblEslesme[A_Norm],0)),""))</f>
        <v/>
      </c>
      <c r="C130" s="17">
        <f>IF($A130="","",IFERROR(INDEX(tblEslesme[AbsFark],MATCH($A130,tblEslesme[A_Norm],0)),0))</f>
        <v/>
      </c>
      <c r="D130" s="17">
        <f>IF($A130="","",IFERROR(SUMIF(tblMotor[A_Norm],$A130,tblMotor[KomisyonTutar]),0))</f>
        <v/>
      </c>
      <c r="E130" s="17">
        <f>IF($A130="","",IFERROR(SUMIF(tblMotor[A_Norm],$A130,tblMotor[TyPlus]),0))</f>
        <v/>
      </c>
      <c r="F130" s="17">
        <f>IF($A130="","",IFERROR(SUMIF(tblMotor[A_Norm],$A130,tblMotor[FlasKesinti]),0))</f>
        <v/>
      </c>
      <c r="G130" s="17">
        <f>IF($A130="","",IFERROR(SUMIF(tblMotor[A_Norm],$A130,tblMotor[UrunReklam]),0))</f>
        <v/>
      </c>
      <c r="H130" s="17">
        <f>IF($A130="","",IFERROR(SUMIF(tblMotor[A_Norm],$A130,tblMotor[DesiKargo]),0))</f>
        <v/>
      </c>
      <c r="I130" s="17">
        <f>IF(OR($A130="",$B130&lt;&gt;"tutar_farki"),"",IF(ABS($C130-$D130)&lt;=toleransKurus,"TYK-001",IF(ABS($C130-$E130)&lt;=toleransKurus,"TYK-002",IF(ABS($C130-$F130)&lt;=toleransKurus,"TYK-003",IF(ABS($C130-$G130)&lt;=toleransKurus,"TYK-004",IF(ABS($C130-$H130)&lt;=toleransKurus,"TYK-005","TANIMSIZ"))))))</f>
        <v/>
      </c>
    </row>
    <row r="131">
      <c r="A131" s="23">
        <f>IF('ESLESTIRME'!$A131="","",'ESLESTIRME'!$A131)</f>
        <v/>
      </c>
      <c r="B131" s="17">
        <f>IF($A131="","",IFERROR(INDEX(tblEslesme[Kova],MATCH($A131,tblEslesme[A_Norm],0)),""))</f>
        <v/>
      </c>
      <c r="C131" s="17">
        <f>IF($A131="","",IFERROR(INDEX(tblEslesme[AbsFark],MATCH($A131,tblEslesme[A_Norm],0)),0))</f>
        <v/>
      </c>
      <c r="D131" s="17">
        <f>IF($A131="","",IFERROR(SUMIF(tblMotor[A_Norm],$A131,tblMotor[KomisyonTutar]),0))</f>
        <v/>
      </c>
      <c r="E131" s="17">
        <f>IF($A131="","",IFERROR(SUMIF(tblMotor[A_Norm],$A131,tblMotor[TyPlus]),0))</f>
        <v/>
      </c>
      <c r="F131" s="17">
        <f>IF($A131="","",IFERROR(SUMIF(tblMotor[A_Norm],$A131,tblMotor[FlasKesinti]),0))</f>
        <v/>
      </c>
      <c r="G131" s="17">
        <f>IF($A131="","",IFERROR(SUMIF(tblMotor[A_Norm],$A131,tblMotor[UrunReklam]),0))</f>
        <v/>
      </c>
      <c r="H131" s="17">
        <f>IF($A131="","",IFERROR(SUMIF(tblMotor[A_Norm],$A131,tblMotor[DesiKargo]),0))</f>
        <v/>
      </c>
      <c r="I131" s="17">
        <f>IF(OR($A131="",$B131&lt;&gt;"tutar_farki"),"",IF(ABS($C131-$D131)&lt;=toleransKurus,"TYK-001",IF(ABS($C131-$E131)&lt;=toleransKurus,"TYK-002",IF(ABS($C131-$F131)&lt;=toleransKurus,"TYK-003",IF(ABS($C131-$G131)&lt;=toleransKurus,"TYK-004",IF(ABS($C131-$H131)&lt;=toleransKurus,"TYK-005","TANIMSIZ"))))))</f>
        <v/>
      </c>
    </row>
    <row r="132">
      <c r="A132" s="23">
        <f>IF('ESLESTIRME'!$A132="","",'ESLESTIRME'!$A132)</f>
        <v/>
      </c>
      <c r="B132" s="17">
        <f>IF($A132="","",IFERROR(INDEX(tblEslesme[Kova],MATCH($A132,tblEslesme[A_Norm],0)),""))</f>
        <v/>
      </c>
      <c r="C132" s="17">
        <f>IF($A132="","",IFERROR(INDEX(tblEslesme[AbsFark],MATCH($A132,tblEslesme[A_Norm],0)),0))</f>
        <v/>
      </c>
      <c r="D132" s="17">
        <f>IF($A132="","",IFERROR(SUMIF(tblMotor[A_Norm],$A132,tblMotor[KomisyonTutar]),0))</f>
        <v/>
      </c>
      <c r="E132" s="17">
        <f>IF($A132="","",IFERROR(SUMIF(tblMotor[A_Norm],$A132,tblMotor[TyPlus]),0))</f>
        <v/>
      </c>
      <c r="F132" s="17">
        <f>IF($A132="","",IFERROR(SUMIF(tblMotor[A_Norm],$A132,tblMotor[FlasKesinti]),0))</f>
        <v/>
      </c>
      <c r="G132" s="17">
        <f>IF($A132="","",IFERROR(SUMIF(tblMotor[A_Norm],$A132,tblMotor[UrunReklam]),0))</f>
        <v/>
      </c>
      <c r="H132" s="17">
        <f>IF($A132="","",IFERROR(SUMIF(tblMotor[A_Norm],$A132,tblMotor[DesiKargo]),0))</f>
        <v/>
      </c>
      <c r="I132" s="17">
        <f>IF(OR($A132="",$B132&lt;&gt;"tutar_farki"),"",IF(ABS($C132-$D132)&lt;=toleransKurus,"TYK-001",IF(ABS($C132-$E132)&lt;=toleransKurus,"TYK-002",IF(ABS($C132-$F132)&lt;=toleransKurus,"TYK-003",IF(ABS($C132-$G132)&lt;=toleransKurus,"TYK-004",IF(ABS($C132-$H132)&lt;=toleransKurus,"TYK-005","TANIMSIZ"))))))</f>
        <v/>
      </c>
    </row>
    <row r="133">
      <c r="A133" s="23">
        <f>IF('ESLESTIRME'!$A133="","",'ESLESTIRME'!$A133)</f>
        <v/>
      </c>
      <c r="B133" s="17">
        <f>IF($A133="","",IFERROR(INDEX(tblEslesme[Kova],MATCH($A133,tblEslesme[A_Norm],0)),""))</f>
        <v/>
      </c>
      <c r="C133" s="17">
        <f>IF($A133="","",IFERROR(INDEX(tblEslesme[AbsFark],MATCH($A133,tblEslesme[A_Norm],0)),0))</f>
        <v/>
      </c>
      <c r="D133" s="17">
        <f>IF($A133="","",IFERROR(SUMIF(tblMotor[A_Norm],$A133,tblMotor[KomisyonTutar]),0))</f>
        <v/>
      </c>
      <c r="E133" s="17">
        <f>IF($A133="","",IFERROR(SUMIF(tblMotor[A_Norm],$A133,tblMotor[TyPlus]),0))</f>
        <v/>
      </c>
      <c r="F133" s="17">
        <f>IF($A133="","",IFERROR(SUMIF(tblMotor[A_Norm],$A133,tblMotor[FlasKesinti]),0))</f>
        <v/>
      </c>
      <c r="G133" s="17">
        <f>IF($A133="","",IFERROR(SUMIF(tblMotor[A_Norm],$A133,tblMotor[UrunReklam]),0))</f>
        <v/>
      </c>
      <c r="H133" s="17">
        <f>IF($A133="","",IFERROR(SUMIF(tblMotor[A_Norm],$A133,tblMotor[DesiKargo]),0))</f>
        <v/>
      </c>
      <c r="I133" s="17">
        <f>IF(OR($A133="",$B133&lt;&gt;"tutar_farki"),"",IF(ABS($C133-$D133)&lt;=toleransKurus,"TYK-001",IF(ABS($C133-$E133)&lt;=toleransKurus,"TYK-002",IF(ABS($C133-$F133)&lt;=toleransKurus,"TYK-003",IF(ABS($C133-$G133)&lt;=toleransKurus,"TYK-004",IF(ABS($C133-$H133)&lt;=toleransKurus,"TYK-005","TANIMSIZ"))))))</f>
        <v/>
      </c>
    </row>
    <row r="134">
      <c r="A134" s="23">
        <f>IF('ESLESTIRME'!$A134="","",'ESLESTIRME'!$A134)</f>
        <v/>
      </c>
      <c r="B134" s="17">
        <f>IF($A134="","",IFERROR(INDEX(tblEslesme[Kova],MATCH($A134,tblEslesme[A_Norm],0)),""))</f>
        <v/>
      </c>
      <c r="C134" s="17">
        <f>IF($A134="","",IFERROR(INDEX(tblEslesme[AbsFark],MATCH($A134,tblEslesme[A_Norm],0)),0))</f>
        <v/>
      </c>
      <c r="D134" s="17">
        <f>IF($A134="","",IFERROR(SUMIF(tblMotor[A_Norm],$A134,tblMotor[KomisyonTutar]),0))</f>
        <v/>
      </c>
      <c r="E134" s="17">
        <f>IF($A134="","",IFERROR(SUMIF(tblMotor[A_Norm],$A134,tblMotor[TyPlus]),0))</f>
        <v/>
      </c>
      <c r="F134" s="17">
        <f>IF($A134="","",IFERROR(SUMIF(tblMotor[A_Norm],$A134,tblMotor[FlasKesinti]),0))</f>
        <v/>
      </c>
      <c r="G134" s="17">
        <f>IF($A134="","",IFERROR(SUMIF(tblMotor[A_Norm],$A134,tblMotor[UrunReklam]),0))</f>
        <v/>
      </c>
      <c r="H134" s="17">
        <f>IF($A134="","",IFERROR(SUMIF(tblMotor[A_Norm],$A134,tblMotor[DesiKargo]),0))</f>
        <v/>
      </c>
      <c r="I134" s="17">
        <f>IF(OR($A134="",$B134&lt;&gt;"tutar_farki"),"",IF(ABS($C134-$D134)&lt;=toleransKurus,"TYK-001",IF(ABS($C134-$E134)&lt;=toleransKurus,"TYK-002",IF(ABS($C134-$F134)&lt;=toleransKurus,"TYK-003",IF(ABS($C134-$G134)&lt;=toleransKurus,"TYK-004",IF(ABS($C134-$H134)&lt;=toleransKurus,"TYK-005","TANIMSIZ"))))))</f>
        <v/>
      </c>
    </row>
    <row r="135">
      <c r="A135" s="23">
        <f>IF('ESLESTIRME'!$A135="","",'ESLESTIRME'!$A135)</f>
        <v/>
      </c>
      <c r="B135" s="17">
        <f>IF($A135="","",IFERROR(INDEX(tblEslesme[Kova],MATCH($A135,tblEslesme[A_Norm],0)),""))</f>
        <v/>
      </c>
      <c r="C135" s="17">
        <f>IF($A135="","",IFERROR(INDEX(tblEslesme[AbsFark],MATCH($A135,tblEslesme[A_Norm],0)),0))</f>
        <v/>
      </c>
      <c r="D135" s="17">
        <f>IF($A135="","",IFERROR(SUMIF(tblMotor[A_Norm],$A135,tblMotor[KomisyonTutar]),0))</f>
        <v/>
      </c>
      <c r="E135" s="17">
        <f>IF($A135="","",IFERROR(SUMIF(tblMotor[A_Norm],$A135,tblMotor[TyPlus]),0))</f>
        <v/>
      </c>
      <c r="F135" s="17">
        <f>IF($A135="","",IFERROR(SUMIF(tblMotor[A_Norm],$A135,tblMotor[FlasKesinti]),0))</f>
        <v/>
      </c>
      <c r="G135" s="17">
        <f>IF($A135="","",IFERROR(SUMIF(tblMotor[A_Norm],$A135,tblMotor[UrunReklam]),0))</f>
        <v/>
      </c>
      <c r="H135" s="17">
        <f>IF($A135="","",IFERROR(SUMIF(tblMotor[A_Norm],$A135,tblMotor[DesiKargo]),0))</f>
        <v/>
      </c>
      <c r="I135" s="17">
        <f>IF(OR($A135="",$B135&lt;&gt;"tutar_farki"),"",IF(ABS($C135-$D135)&lt;=toleransKurus,"TYK-001",IF(ABS($C135-$E135)&lt;=toleransKurus,"TYK-002",IF(ABS($C135-$F135)&lt;=toleransKurus,"TYK-003",IF(ABS($C135-$G135)&lt;=toleransKurus,"TYK-004",IF(ABS($C135-$H135)&lt;=toleransKurus,"TYK-005","TANIMSIZ"))))))</f>
        <v/>
      </c>
    </row>
    <row r="136">
      <c r="A136" s="23">
        <f>IF('ESLESTIRME'!$A136="","",'ESLESTIRME'!$A136)</f>
        <v/>
      </c>
      <c r="B136" s="17">
        <f>IF($A136="","",IFERROR(INDEX(tblEslesme[Kova],MATCH($A136,tblEslesme[A_Norm],0)),""))</f>
        <v/>
      </c>
      <c r="C136" s="17">
        <f>IF($A136="","",IFERROR(INDEX(tblEslesme[AbsFark],MATCH($A136,tblEslesme[A_Norm],0)),0))</f>
        <v/>
      </c>
      <c r="D136" s="17">
        <f>IF($A136="","",IFERROR(SUMIF(tblMotor[A_Norm],$A136,tblMotor[KomisyonTutar]),0))</f>
        <v/>
      </c>
      <c r="E136" s="17">
        <f>IF($A136="","",IFERROR(SUMIF(tblMotor[A_Norm],$A136,tblMotor[TyPlus]),0))</f>
        <v/>
      </c>
      <c r="F136" s="17">
        <f>IF($A136="","",IFERROR(SUMIF(tblMotor[A_Norm],$A136,tblMotor[FlasKesinti]),0))</f>
        <v/>
      </c>
      <c r="G136" s="17">
        <f>IF($A136="","",IFERROR(SUMIF(tblMotor[A_Norm],$A136,tblMotor[UrunReklam]),0))</f>
        <v/>
      </c>
      <c r="H136" s="17">
        <f>IF($A136="","",IFERROR(SUMIF(tblMotor[A_Norm],$A136,tblMotor[DesiKargo]),0))</f>
        <v/>
      </c>
      <c r="I136" s="17">
        <f>IF(OR($A136="",$B136&lt;&gt;"tutar_farki"),"",IF(ABS($C136-$D136)&lt;=toleransKurus,"TYK-001",IF(ABS($C136-$E136)&lt;=toleransKurus,"TYK-002",IF(ABS($C136-$F136)&lt;=toleransKurus,"TYK-003",IF(ABS($C136-$G136)&lt;=toleransKurus,"TYK-004",IF(ABS($C136-$H136)&lt;=toleransKurus,"TYK-005","TANIMSIZ"))))))</f>
        <v/>
      </c>
    </row>
    <row r="137">
      <c r="A137" s="23">
        <f>IF('ESLESTIRME'!$A137="","",'ESLESTIRME'!$A137)</f>
        <v/>
      </c>
      <c r="B137" s="17">
        <f>IF($A137="","",IFERROR(INDEX(tblEslesme[Kova],MATCH($A137,tblEslesme[A_Norm],0)),""))</f>
        <v/>
      </c>
      <c r="C137" s="17">
        <f>IF($A137="","",IFERROR(INDEX(tblEslesme[AbsFark],MATCH($A137,tblEslesme[A_Norm],0)),0))</f>
        <v/>
      </c>
      <c r="D137" s="17">
        <f>IF($A137="","",IFERROR(SUMIF(tblMotor[A_Norm],$A137,tblMotor[KomisyonTutar]),0))</f>
        <v/>
      </c>
      <c r="E137" s="17">
        <f>IF($A137="","",IFERROR(SUMIF(tblMotor[A_Norm],$A137,tblMotor[TyPlus]),0))</f>
        <v/>
      </c>
      <c r="F137" s="17">
        <f>IF($A137="","",IFERROR(SUMIF(tblMotor[A_Norm],$A137,tblMotor[FlasKesinti]),0))</f>
        <v/>
      </c>
      <c r="G137" s="17">
        <f>IF($A137="","",IFERROR(SUMIF(tblMotor[A_Norm],$A137,tblMotor[UrunReklam]),0))</f>
        <v/>
      </c>
      <c r="H137" s="17">
        <f>IF($A137="","",IFERROR(SUMIF(tblMotor[A_Norm],$A137,tblMotor[DesiKargo]),0))</f>
        <v/>
      </c>
      <c r="I137" s="17">
        <f>IF(OR($A137="",$B137&lt;&gt;"tutar_farki"),"",IF(ABS($C137-$D137)&lt;=toleransKurus,"TYK-001",IF(ABS($C137-$E137)&lt;=toleransKurus,"TYK-002",IF(ABS($C137-$F137)&lt;=toleransKurus,"TYK-003",IF(ABS($C137-$G137)&lt;=toleransKurus,"TYK-004",IF(ABS($C137-$H137)&lt;=toleransKurus,"TYK-005","TANIMSIZ"))))))</f>
        <v/>
      </c>
    </row>
    <row r="138">
      <c r="A138" s="23">
        <f>IF('ESLESTIRME'!$A138="","",'ESLESTIRME'!$A138)</f>
        <v/>
      </c>
      <c r="B138" s="17">
        <f>IF($A138="","",IFERROR(INDEX(tblEslesme[Kova],MATCH($A138,tblEslesme[A_Norm],0)),""))</f>
        <v/>
      </c>
      <c r="C138" s="17">
        <f>IF($A138="","",IFERROR(INDEX(tblEslesme[AbsFark],MATCH($A138,tblEslesme[A_Norm],0)),0))</f>
        <v/>
      </c>
      <c r="D138" s="17">
        <f>IF($A138="","",IFERROR(SUMIF(tblMotor[A_Norm],$A138,tblMotor[KomisyonTutar]),0))</f>
        <v/>
      </c>
      <c r="E138" s="17">
        <f>IF($A138="","",IFERROR(SUMIF(tblMotor[A_Norm],$A138,tblMotor[TyPlus]),0))</f>
        <v/>
      </c>
      <c r="F138" s="17">
        <f>IF($A138="","",IFERROR(SUMIF(tblMotor[A_Norm],$A138,tblMotor[FlasKesinti]),0))</f>
        <v/>
      </c>
      <c r="G138" s="17">
        <f>IF($A138="","",IFERROR(SUMIF(tblMotor[A_Norm],$A138,tblMotor[UrunReklam]),0))</f>
        <v/>
      </c>
      <c r="H138" s="17">
        <f>IF($A138="","",IFERROR(SUMIF(tblMotor[A_Norm],$A138,tblMotor[DesiKargo]),0))</f>
        <v/>
      </c>
      <c r="I138" s="17">
        <f>IF(OR($A138="",$B138&lt;&gt;"tutar_farki"),"",IF(ABS($C138-$D138)&lt;=toleransKurus,"TYK-001",IF(ABS($C138-$E138)&lt;=toleransKurus,"TYK-002",IF(ABS($C138-$F138)&lt;=toleransKurus,"TYK-003",IF(ABS($C138-$G138)&lt;=toleransKurus,"TYK-004",IF(ABS($C138-$H138)&lt;=toleransKurus,"TYK-005","TANIMSIZ"))))))</f>
        <v/>
      </c>
    </row>
    <row r="139">
      <c r="A139" s="23">
        <f>IF('ESLESTIRME'!$A139="","",'ESLESTIRME'!$A139)</f>
        <v/>
      </c>
      <c r="B139" s="17">
        <f>IF($A139="","",IFERROR(INDEX(tblEslesme[Kova],MATCH($A139,tblEslesme[A_Norm],0)),""))</f>
        <v/>
      </c>
      <c r="C139" s="17">
        <f>IF($A139="","",IFERROR(INDEX(tblEslesme[AbsFark],MATCH($A139,tblEslesme[A_Norm],0)),0))</f>
        <v/>
      </c>
      <c r="D139" s="17">
        <f>IF($A139="","",IFERROR(SUMIF(tblMotor[A_Norm],$A139,tblMotor[KomisyonTutar]),0))</f>
        <v/>
      </c>
      <c r="E139" s="17">
        <f>IF($A139="","",IFERROR(SUMIF(tblMotor[A_Norm],$A139,tblMotor[TyPlus]),0))</f>
        <v/>
      </c>
      <c r="F139" s="17">
        <f>IF($A139="","",IFERROR(SUMIF(tblMotor[A_Norm],$A139,tblMotor[FlasKesinti]),0))</f>
        <v/>
      </c>
      <c r="G139" s="17">
        <f>IF($A139="","",IFERROR(SUMIF(tblMotor[A_Norm],$A139,tblMotor[UrunReklam]),0))</f>
        <v/>
      </c>
      <c r="H139" s="17">
        <f>IF($A139="","",IFERROR(SUMIF(tblMotor[A_Norm],$A139,tblMotor[DesiKargo]),0))</f>
        <v/>
      </c>
      <c r="I139" s="17">
        <f>IF(OR($A139="",$B139&lt;&gt;"tutar_farki"),"",IF(ABS($C139-$D139)&lt;=toleransKurus,"TYK-001",IF(ABS($C139-$E139)&lt;=toleransKurus,"TYK-002",IF(ABS($C139-$F139)&lt;=toleransKurus,"TYK-003",IF(ABS($C139-$G139)&lt;=toleransKurus,"TYK-004",IF(ABS($C139-$H139)&lt;=toleransKurus,"TYK-005","TANIMSIZ"))))))</f>
        <v/>
      </c>
    </row>
    <row r="140">
      <c r="A140" s="23">
        <f>IF('ESLESTIRME'!$A140="","",'ESLESTIRME'!$A140)</f>
        <v/>
      </c>
      <c r="B140" s="17">
        <f>IF($A140="","",IFERROR(INDEX(tblEslesme[Kova],MATCH($A140,tblEslesme[A_Norm],0)),""))</f>
        <v/>
      </c>
      <c r="C140" s="17">
        <f>IF($A140="","",IFERROR(INDEX(tblEslesme[AbsFark],MATCH($A140,tblEslesme[A_Norm],0)),0))</f>
        <v/>
      </c>
      <c r="D140" s="17">
        <f>IF($A140="","",IFERROR(SUMIF(tblMotor[A_Norm],$A140,tblMotor[KomisyonTutar]),0))</f>
        <v/>
      </c>
      <c r="E140" s="17">
        <f>IF($A140="","",IFERROR(SUMIF(tblMotor[A_Norm],$A140,tblMotor[TyPlus]),0))</f>
        <v/>
      </c>
      <c r="F140" s="17">
        <f>IF($A140="","",IFERROR(SUMIF(tblMotor[A_Norm],$A140,tblMotor[FlasKesinti]),0))</f>
        <v/>
      </c>
      <c r="G140" s="17">
        <f>IF($A140="","",IFERROR(SUMIF(tblMotor[A_Norm],$A140,tblMotor[UrunReklam]),0))</f>
        <v/>
      </c>
      <c r="H140" s="17">
        <f>IF($A140="","",IFERROR(SUMIF(tblMotor[A_Norm],$A140,tblMotor[DesiKargo]),0))</f>
        <v/>
      </c>
      <c r="I140" s="17">
        <f>IF(OR($A140="",$B140&lt;&gt;"tutar_farki"),"",IF(ABS($C140-$D140)&lt;=toleransKurus,"TYK-001",IF(ABS($C140-$E140)&lt;=toleransKurus,"TYK-002",IF(ABS($C140-$F140)&lt;=toleransKurus,"TYK-003",IF(ABS($C140-$G140)&lt;=toleransKurus,"TYK-004",IF(ABS($C140-$H140)&lt;=toleransKurus,"TYK-005","TANIMSIZ"))))))</f>
        <v/>
      </c>
    </row>
    <row r="141">
      <c r="A141" s="23">
        <f>IF('ESLESTIRME'!$A141="","",'ESLESTIRME'!$A141)</f>
        <v/>
      </c>
      <c r="B141" s="17">
        <f>IF($A141="","",IFERROR(INDEX(tblEslesme[Kova],MATCH($A141,tblEslesme[A_Norm],0)),""))</f>
        <v/>
      </c>
      <c r="C141" s="17">
        <f>IF($A141="","",IFERROR(INDEX(tblEslesme[AbsFark],MATCH($A141,tblEslesme[A_Norm],0)),0))</f>
        <v/>
      </c>
      <c r="D141" s="17">
        <f>IF($A141="","",IFERROR(SUMIF(tblMotor[A_Norm],$A141,tblMotor[KomisyonTutar]),0))</f>
        <v/>
      </c>
      <c r="E141" s="17">
        <f>IF($A141="","",IFERROR(SUMIF(tblMotor[A_Norm],$A141,tblMotor[TyPlus]),0))</f>
        <v/>
      </c>
      <c r="F141" s="17">
        <f>IF($A141="","",IFERROR(SUMIF(tblMotor[A_Norm],$A141,tblMotor[FlasKesinti]),0))</f>
        <v/>
      </c>
      <c r="G141" s="17">
        <f>IF($A141="","",IFERROR(SUMIF(tblMotor[A_Norm],$A141,tblMotor[UrunReklam]),0))</f>
        <v/>
      </c>
      <c r="H141" s="17">
        <f>IF($A141="","",IFERROR(SUMIF(tblMotor[A_Norm],$A141,tblMotor[DesiKargo]),0))</f>
        <v/>
      </c>
      <c r="I141" s="17">
        <f>IF(OR($A141="",$B141&lt;&gt;"tutar_farki"),"",IF(ABS($C141-$D141)&lt;=toleransKurus,"TYK-001",IF(ABS($C141-$E141)&lt;=toleransKurus,"TYK-002",IF(ABS($C141-$F141)&lt;=toleransKurus,"TYK-003",IF(ABS($C141-$G141)&lt;=toleransKurus,"TYK-004",IF(ABS($C141-$H141)&lt;=toleransKurus,"TYK-005","TANIMSIZ"))))))</f>
        <v/>
      </c>
    </row>
    <row r="142">
      <c r="A142" s="23">
        <f>IF('ESLESTIRME'!$A142="","",'ESLESTIRME'!$A142)</f>
        <v/>
      </c>
      <c r="B142" s="17">
        <f>IF($A142="","",IFERROR(INDEX(tblEslesme[Kova],MATCH($A142,tblEslesme[A_Norm],0)),""))</f>
        <v/>
      </c>
      <c r="C142" s="17">
        <f>IF($A142="","",IFERROR(INDEX(tblEslesme[AbsFark],MATCH($A142,tblEslesme[A_Norm],0)),0))</f>
        <v/>
      </c>
      <c r="D142" s="17">
        <f>IF($A142="","",IFERROR(SUMIF(tblMotor[A_Norm],$A142,tblMotor[KomisyonTutar]),0))</f>
        <v/>
      </c>
      <c r="E142" s="17">
        <f>IF($A142="","",IFERROR(SUMIF(tblMotor[A_Norm],$A142,tblMotor[TyPlus]),0))</f>
        <v/>
      </c>
      <c r="F142" s="17">
        <f>IF($A142="","",IFERROR(SUMIF(tblMotor[A_Norm],$A142,tblMotor[FlasKesinti]),0))</f>
        <v/>
      </c>
      <c r="G142" s="17">
        <f>IF($A142="","",IFERROR(SUMIF(tblMotor[A_Norm],$A142,tblMotor[UrunReklam]),0))</f>
        <v/>
      </c>
      <c r="H142" s="17">
        <f>IF($A142="","",IFERROR(SUMIF(tblMotor[A_Norm],$A142,tblMotor[DesiKargo]),0))</f>
        <v/>
      </c>
      <c r="I142" s="17">
        <f>IF(OR($A142="",$B142&lt;&gt;"tutar_farki"),"",IF(ABS($C142-$D142)&lt;=toleransKurus,"TYK-001",IF(ABS($C142-$E142)&lt;=toleransKurus,"TYK-002",IF(ABS($C142-$F142)&lt;=toleransKurus,"TYK-003",IF(ABS($C142-$G142)&lt;=toleransKurus,"TYK-004",IF(ABS($C142-$H142)&lt;=toleransKurus,"TYK-005","TANIMSIZ"))))))</f>
        <v/>
      </c>
    </row>
    <row r="143">
      <c r="A143" s="23">
        <f>IF('ESLESTIRME'!$A143="","",'ESLESTIRME'!$A143)</f>
        <v/>
      </c>
      <c r="B143" s="17">
        <f>IF($A143="","",IFERROR(INDEX(tblEslesme[Kova],MATCH($A143,tblEslesme[A_Norm],0)),""))</f>
        <v/>
      </c>
      <c r="C143" s="17">
        <f>IF($A143="","",IFERROR(INDEX(tblEslesme[AbsFark],MATCH($A143,tblEslesme[A_Norm],0)),0))</f>
        <v/>
      </c>
      <c r="D143" s="17">
        <f>IF($A143="","",IFERROR(SUMIF(tblMotor[A_Norm],$A143,tblMotor[KomisyonTutar]),0))</f>
        <v/>
      </c>
      <c r="E143" s="17">
        <f>IF($A143="","",IFERROR(SUMIF(tblMotor[A_Norm],$A143,tblMotor[TyPlus]),0))</f>
        <v/>
      </c>
      <c r="F143" s="17">
        <f>IF($A143="","",IFERROR(SUMIF(tblMotor[A_Norm],$A143,tblMotor[FlasKesinti]),0))</f>
        <v/>
      </c>
      <c r="G143" s="17">
        <f>IF($A143="","",IFERROR(SUMIF(tblMotor[A_Norm],$A143,tblMotor[UrunReklam]),0))</f>
        <v/>
      </c>
      <c r="H143" s="17">
        <f>IF($A143="","",IFERROR(SUMIF(tblMotor[A_Norm],$A143,tblMotor[DesiKargo]),0))</f>
        <v/>
      </c>
      <c r="I143" s="17">
        <f>IF(OR($A143="",$B143&lt;&gt;"tutar_farki"),"",IF(ABS($C143-$D143)&lt;=toleransKurus,"TYK-001",IF(ABS($C143-$E143)&lt;=toleransKurus,"TYK-002",IF(ABS($C143-$F143)&lt;=toleransKurus,"TYK-003",IF(ABS($C143-$G143)&lt;=toleransKurus,"TYK-004",IF(ABS($C143-$H143)&lt;=toleransKurus,"TYK-005","TANIMSIZ"))))))</f>
        <v/>
      </c>
    </row>
    <row r="144">
      <c r="A144" s="23">
        <f>IF('ESLESTIRME'!$A144="","",'ESLESTIRME'!$A144)</f>
        <v/>
      </c>
      <c r="B144" s="17">
        <f>IF($A144="","",IFERROR(INDEX(tblEslesme[Kova],MATCH($A144,tblEslesme[A_Norm],0)),""))</f>
        <v/>
      </c>
      <c r="C144" s="17">
        <f>IF($A144="","",IFERROR(INDEX(tblEslesme[AbsFark],MATCH($A144,tblEslesme[A_Norm],0)),0))</f>
        <v/>
      </c>
      <c r="D144" s="17">
        <f>IF($A144="","",IFERROR(SUMIF(tblMotor[A_Norm],$A144,tblMotor[KomisyonTutar]),0))</f>
        <v/>
      </c>
      <c r="E144" s="17">
        <f>IF($A144="","",IFERROR(SUMIF(tblMotor[A_Norm],$A144,tblMotor[TyPlus]),0))</f>
        <v/>
      </c>
      <c r="F144" s="17">
        <f>IF($A144="","",IFERROR(SUMIF(tblMotor[A_Norm],$A144,tblMotor[FlasKesinti]),0))</f>
        <v/>
      </c>
      <c r="G144" s="17">
        <f>IF($A144="","",IFERROR(SUMIF(tblMotor[A_Norm],$A144,tblMotor[UrunReklam]),0))</f>
        <v/>
      </c>
      <c r="H144" s="17">
        <f>IF($A144="","",IFERROR(SUMIF(tblMotor[A_Norm],$A144,tblMotor[DesiKargo]),0))</f>
        <v/>
      </c>
      <c r="I144" s="17">
        <f>IF(OR($A144="",$B144&lt;&gt;"tutar_farki"),"",IF(ABS($C144-$D144)&lt;=toleransKurus,"TYK-001",IF(ABS($C144-$E144)&lt;=toleransKurus,"TYK-002",IF(ABS($C144-$F144)&lt;=toleransKurus,"TYK-003",IF(ABS($C144-$G144)&lt;=toleransKurus,"TYK-004",IF(ABS($C144-$H144)&lt;=toleransKurus,"TYK-005","TANIMSIZ"))))))</f>
        <v/>
      </c>
    </row>
    <row r="145">
      <c r="A145" s="23">
        <f>IF('ESLESTIRME'!$A145="","",'ESLESTIRME'!$A145)</f>
        <v/>
      </c>
      <c r="B145" s="17">
        <f>IF($A145="","",IFERROR(INDEX(tblEslesme[Kova],MATCH($A145,tblEslesme[A_Norm],0)),""))</f>
        <v/>
      </c>
      <c r="C145" s="17">
        <f>IF($A145="","",IFERROR(INDEX(tblEslesme[AbsFark],MATCH($A145,tblEslesme[A_Norm],0)),0))</f>
        <v/>
      </c>
      <c r="D145" s="17">
        <f>IF($A145="","",IFERROR(SUMIF(tblMotor[A_Norm],$A145,tblMotor[KomisyonTutar]),0))</f>
        <v/>
      </c>
      <c r="E145" s="17">
        <f>IF($A145="","",IFERROR(SUMIF(tblMotor[A_Norm],$A145,tblMotor[TyPlus]),0))</f>
        <v/>
      </c>
      <c r="F145" s="17">
        <f>IF($A145="","",IFERROR(SUMIF(tblMotor[A_Norm],$A145,tblMotor[FlasKesinti]),0))</f>
        <v/>
      </c>
      <c r="G145" s="17">
        <f>IF($A145="","",IFERROR(SUMIF(tblMotor[A_Norm],$A145,tblMotor[UrunReklam]),0))</f>
        <v/>
      </c>
      <c r="H145" s="17">
        <f>IF($A145="","",IFERROR(SUMIF(tblMotor[A_Norm],$A145,tblMotor[DesiKargo]),0))</f>
        <v/>
      </c>
      <c r="I145" s="17">
        <f>IF(OR($A145="",$B145&lt;&gt;"tutar_farki"),"",IF(ABS($C145-$D145)&lt;=toleransKurus,"TYK-001",IF(ABS($C145-$E145)&lt;=toleransKurus,"TYK-002",IF(ABS($C145-$F145)&lt;=toleransKurus,"TYK-003",IF(ABS($C145-$G145)&lt;=toleransKurus,"TYK-004",IF(ABS($C145-$H145)&lt;=toleransKurus,"TYK-005","TANIMSIZ"))))))</f>
        <v/>
      </c>
    </row>
    <row r="146">
      <c r="A146" s="23">
        <f>IF('ESLESTIRME'!$A146="","",'ESLESTIRME'!$A146)</f>
        <v/>
      </c>
      <c r="B146" s="17">
        <f>IF($A146="","",IFERROR(INDEX(tblEslesme[Kova],MATCH($A146,tblEslesme[A_Norm],0)),""))</f>
        <v/>
      </c>
      <c r="C146" s="17">
        <f>IF($A146="","",IFERROR(INDEX(tblEslesme[AbsFark],MATCH($A146,tblEslesme[A_Norm],0)),0))</f>
        <v/>
      </c>
      <c r="D146" s="17">
        <f>IF($A146="","",IFERROR(SUMIF(tblMotor[A_Norm],$A146,tblMotor[KomisyonTutar]),0))</f>
        <v/>
      </c>
      <c r="E146" s="17">
        <f>IF($A146="","",IFERROR(SUMIF(tblMotor[A_Norm],$A146,tblMotor[TyPlus]),0))</f>
        <v/>
      </c>
      <c r="F146" s="17">
        <f>IF($A146="","",IFERROR(SUMIF(tblMotor[A_Norm],$A146,tblMotor[FlasKesinti]),0))</f>
        <v/>
      </c>
      <c r="G146" s="17">
        <f>IF($A146="","",IFERROR(SUMIF(tblMotor[A_Norm],$A146,tblMotor[UrunReklam]),0))</f>
        <v/>
      </c>
      <c r="H146" s="17">
        <f>IF($A146="","",IFERROR(SUMIF(tblMotor[A_Norm],$A146,tblMotor[DesiKargo]),0))</f>
        <v/>
      </c>
      <c r="I146" s="17">
        <f>IF(OR($A146="",$B146&lt;&gt;"tutar_farki"),"",IF(ABS($C146-$D146)&lt;=toleransKurus,"TYK-001",IF(ABS($C146-$E146)&lt;=toleransKurus,"TYK-002",IF(ABS($C146-$F146)&lt;=toleransKurus,"TYK-003",IF(ABS($C146-$G146)&lt;=toleransKurus,"TYK-004",IF(ABS($C146-$H146)&lt;=toleransKurus,"TYK-005","TANIMSIZ"))))))</f>
        <v/>
      </c>
    </row>
    <row r="147">
      <c r="A147" s="23">
        <f>IF('ESLESTIRME'!$A147="","",'ESLESTIRME'!$A147)</f>
        <v/>
      </c>
      <c r="B147" s="17">
        <f>IF($A147="","",IFERROR(INDEX(tblEslesme[Kova],MATCH($A147,tblEslesme[A_Norm],0)),""))</f>
        <v/>
      </c>
      <c r="C147" s="17">
        <f>IF($A147="","",IFERROR(INDEX(tblEslesme[AbsFark],MATCH($A147,tblEslesme[A_Norm],0)),0))</f>
        <v/>
      </c>
      <c r="D147" s="17">
        <f>IF($A147="","",IFERROR(SUMIF(tblMotor[A_Norm],$A147,tblMotor[KomisyonTutar]),0))</f>
        <v/>
      </c>
      <c r="E147" s="17">
        <f>IF($A147="","",IFERROR(SUMIF(tblMotor[A_Norm],$A147,tblMotor[TyPlus]),0))</f>
        <v/>
      </c>
      <c r="F147" s="17">
        <f>IF($A147="","",IFERROR(SUMIF(tblMotor[A_Norm],$A147,tblMotor[FlasKesinti]),0))</f>
        <v/>
      </c>
      <c r="G147" s="17">
        <f>IF($A147="","",IFERROR(SUMIF(tblMotor[A_Norm],$A147,tblMotor[UrunReklam]),0))</f>
        <v/>
      </c>
      <c r="H147" s="17">
        <f>IF($A147="","",IFERROR(SUMIF(tblMotor[A_Norm],$A147,tblMotor[DesiKargo]),0))</f>
        <v/>
      </c>
      <c r="I147" s="17">
        <f>IF(OR($A147="",$B147&lt;&gt;"tutar_farki"),"",IF(ABS($C147-$D147)&lt;=toleransKurus,"TYK-001",IF(ABS($C147-$E147)&lt;=toleransKurus,"TYK-002",IF(ABS($C147-$F147)&lt;=toleransKurus,"TYK-003",IF(ABS($C147-$G147)&lt;=toleransKurus,"TYK-004",IF(ABS($C147-$H147)&lt;=toleransKurus,"TYK-005","TANIMSIZ"))))))</f>
        <v/>
      </c>
    </row>
    <row r="148">
      <c r="A148" s="23">
        <f>IF('ESLESTIRME'!$A148="","",'ESLESTIRME'!$A148)</f>
        <v/>
      </c>
      <c r="B148" s="17">
        <f>IF($A148="","",IFERROR(INDEX(tblEslesme[Kova],MATCH($A148,tblEslesme[A_Norm],0)),""))</f>
        <v/>
      </c>
      <c r="C148" s="17">
        <f>IF($A148="","",IFERROR(INDEX(tblEslesme[AbsFark],MATCH($A148,tblEslesme[A_Norm],0)),0))</f>
        <v/>
      </c>
      <c r="D148" s="17">
        <f>IF($A148="","",IFERROR(SUMIF(tblMotor[A_Norm],$A148,tblMotor[KomisyonTutar]),0))</f>
        <v/>
      </c>
      <c r="E148" s="17">
        <f>IF($A148="","",IFERROR(SUMIF(tblMotor[A_Norm],$A148,tblMotor[TyPlus]),0))</f>
        <v/>
      </c>
      <c r="F148" s="17">
        <f>IF($A148="","",IFERROR(SUMIF(tblMotor[A_Norm],$A148,tblMotor[FlasKesinti]),0))</f>
        <v/>
      </c>
      <c r="G148" s="17">
        <f>IF($A148="","",IFERROR(SUMIF(tblMotor[A_Norm],$A148,tblMotor[UrunReklam]),0))</f>
        <v/>
      </c>
      <c r="H148" s="17">
        <f>IF($A148="","",IFERROR(SUMIF(tblMotor[A_Norm],$A148,tblMotor[DesiKargo]),0))</f>
        <v/>
      </c>
      <c r="I148" s="17">
        <f>IF(OR($A148="",$B148&lt;&gt;"tutar_farki"),"",IF(ABS($C148-$D148)&lt;=toleransKurus,"TYK-001",IF(ABS($C148-$E148)&lt;=toleransKurus,"TYK-002",IF(ABS($C148-$F148)&lt;=toleransKurus,"TYK-003",IF(ABS($C148-$G148)&lt;=toleransKurus,"TYK-004",IF(ABS($C148-$H148)&lt;=toleransKurus,"TYK-005","TANIMSIZ"))))))</f>
        <v/>
      </c>
    </row>
    <row r="149">
      <c r="A149" s="23">
        <f>IF('ESLESTIRME'!$A149="","",'ESLESTIRME'!$A149)</f>
        <v/>
      </c>
      <c r="B149" s="17">
        <f>IF($A149="","",IFERROR(INDEX(tblEslesme[Kova],MATCH($A149,tblEslesme[A_Norm],0)),""))</f>
        <v/>
      </c>
      <c r="C149" s="17">
        <f>IF($A149="","",IFERROR(INDEX(tblEslesme[AbsFark],MATCH($A149,tblEslesme[A_Norm],0)),0))</f>
        <v/>
      </c>
      <c r="D149" s="17">
        <f>IF($A149="","",IFERROR(SUMIF(tblMotor[A_Norm],$A149,tblMotor[KomisyonTutar]),0))</f>
        <v/>
      </c>
      <c r="E149" s="17">
        <f>IF($A149="","",IFERROR(SUMIF(tblMotor[A_Norm],$A149,tblMotor[TyPlus]),0))</f>
        <v/>
      </c>
      <c r="F149" s="17">
        <f>IF($A149="","",IFERROR(SUMIF(tblMotor[A_Norm],$A149,tblMotor[FlasKesinti]),0))</f>
        <v/>
      </c>
      <c r="G149" s="17">
        <f>IF($A149="","",IFERROR(SUMIF(tblMotor[A_Norm],$A149,tblMotor[UrunReklam]),0))</f>
        <v/>
      </c>
      <c r="H149" s="17">
        <f>IF($A149="","",IFERROR(SUMIF(tblMotor[A_Norm],$A149,tblMotor[DesiKargo]),0))</f>
        <v/>
      </c>
      <c r="I149" s="17">
        <f>IF(OR($A149="",$B149&lt;&gt;"tutar_farki"),"",IF(ABS($C149-$D149)&lt;=toleransKurus,"TYK-001",IF(ABS($C149-$E149)&lt;=toleransKurus,"TYK-002",IF(ABS($C149-$F149)&lt;=toleransKurus,"TYK-003",IF(ABS($C149-$G149)&lt;=toleransKurus,"TYK-004",IF(ABS($C149-$H149)&lt;=toleransKurus,"TYK-005","TANIMSIZ"))))))</f>
        <v/>
      </c>
    </row>
    <row r="150">
      <c r="A150" s="23">
        <f>IF('ESLESTIRME'!$A150="","",'ESLESTIRME'!$A150)</f>
        <v/>
      </c>
      <c r="B150" s="17">
        <f>IF($A150="","",IFERROR(INDEX(tblEslesme[Kova],MATCH($A150,tblEslesme[A_Norm],0)),""))</f>
        <v/>
      </c>
      <c r="C150" s="17">
        <f>IF($A150="","",IFERROR(INDEX(tblEslesme[AbsFark],MATCH($A150,tblEslesme[A_Norm],0)),0))</f>
        <v/>
      </c>
      <c r="D150" s="17">
        <f>IF($A150="","",IFERROR(SUMIF(tblMotor[A_Norm],$A150,tblMotor[KomisyonTutar]),0))</f>
        <v/>
      </c>
      <c r="E150" s="17">
        <f>IF($A150="","",IFERROR(SUMIF(tblMotor[A_Norm],$A150,tblMotor[TyPlus]),0))</f>
        <v/>
      </c>
      <c r="F150" s="17">
        <f>IF($A150="","",IFERROR(SUMIF(tblMotor[A_Norm],$A150,tblMotor[FlasKesinti]),0))</f>
        <v/>
      </c>
      <c r="G150" s="17">
        <f>IF($A150="","",IFERROR(SUMIF(tblMotor[A_Norm],$A150,tblMotor[UrunReklam]),0))</f>
        <v/>
      </c>
      <c r="H150" s="17">
        <f>IF($A150="","",IFERROR(SUMIF(tblMotor[A_Norm],$A150,tblMotor[DesiKargo]),0))</f>
        <v/>
      </c>
      <c r="I150" s="17">
        <f>IF(OR($A150="",$B150&lt;&gt;"tutar_farki"),"",IF(ABS($C150-$D150)&lt;=toleransKurus,"TYK-001",IF(ABS($C150-$E150)&lt;=toleransKurus,"TYK-002",IF(ABS($C150-$F150)&lt;=toleransKurus,"TYK-003",IF(ABS($C150-$G150)&lt;=toleransKurus,"TYK-004",IF(ABS($C150-$H150)&lt;=toleransKurus,"TYK-005","TANIMSIZ"))))))</f>
        <v/>
      </c>
    </row>
    <row r="151">
      <c r="A151" s="23">
        <f>IF('ESLESTIRME'!$A151="","",'ESLESTIRME'!$A151)</f>
        <v/>
      </c>
      <c r="B151" s="17">
        <f>IF($A151="","",IFERROR(INDEX(tblEslesme[Kova],MATCH($A151,tblEslesme[A_Norm],0)),""))</f>
        <v/>
      </c>
      <c r="C151" s="17">
        <f>IF($A151="","",IFERROR(INDEX(tblEslesme[AbsFark],MATCH($A151,tblEslesme[A_Norm],0)),0))</f>
        <v/>
      </c>
      <c r="D151" s="17">
        <f>IF($A151="","",IFERROR(SUMIF(tblMotor[A_Norm],$A151,tblMotor[KomisyonTutar]),0))</f>
        <v/>
      </c>
      <c r="E151" s="17">
        <f>IF($A151="","",IFERROR(SUMIF(tblMotor[A_Norm],$A151,tblMotor[TyPlus]),0))</f>
        <v/>
      </c>
      <c r="F151" s="17">
        <f>IF($A151="","",IFERROR(SUMIF(tblMotor[A_Norm],$A151,tblMotor[FlasKesinti]),0))</f>
        <v/>
      </c>
      <c r="G151" s="17">
        <f>IF($A151="","",IFERROR(SUMIF(tblMotor[A_Norm],$A151,tblMotor[UrunReklam]),0))</f>
        <v/>
      </c>
      <c r="H151" s="17">
        <f>IF($A151="","",IFERROR(SUMIF(tblMotor[A_Norm],$A151,tblMotor[DesiKargo]),0))</f>
        <v/>
      </c>
      <c r="I151" s="17">
        <f>IF(OR($A151="",$B151&lt;&gt;"tutar_farki"),"",IF(ABS($C151-$D151)&lt;=toleransKurus,"TYK-001",IF(ABS($C151-$E151)&lt;=toleransKurus,"TYK-002",IF(ABS($C151-$F151)&lt;=toleransKurus,"TYK-003",IF(ABS($C151-$G151)&lt;=toleransKurus,"TYK-004",IF(ABS($C151-$H151)&lt;=toleransKurus,"TYK-005","TANIMSIZ"))))))</f>
        <v/>
      </c>
    </row>
    <row r="152">
      <c r="A152" s="23">
        <f>IF('ESLESTIRME'!$A152="","",'ESLESTIRME'!$A152)</f>
        <v/>
      </c>
      <c r="B152" s="17">
        <f>IF($A152="","",IFERROR(INDEX(tblEslesme[Kova],MATCH($A152,tblEslesme[A_Norm],0)),""))</f>
        <v/>
      </c>
      <c r="C152" s="17">
        <f>IF($A152="","",IFERROR(INDEX(tblEslesme[AbsFark],MATCH($A152,tblEslesme[A_Norm],0)),0))</f>
        <v/>
      </c>
      <c r="D152" s="17">
        <f>IF($A152="","",IFERROR(SUMIF(tblMotor[A_Norm],$A152,tblMotor[KomisyonTutar]),0))</f>
        <v/>
      </c>
      <c r="E152" s="17">
        <f>IF($A152="","",IFERROR(SUMIF(tblMotor[A_Norm],$A152,tblMotor[TyPlus]),0))</f>
        <v/>
      </c>
      <c r="F152" s="17">
        <f>IF($A152="","",IFERROR(SUMIF(tblMotor[A_Norm],$A152,tblMotor[FlasKesinti]),0))</f>
        <v/>
      </c>
      <c r="G152" s="17">
        <f>IF($A152="","",IFERROR(SUMIF(tblMotor[A_Norm],$A152,tblMotor[UrunReklam]),0))</f>
        <v/>
      </c>
      <c r="H152" s="17">
        <f>IF($A152="","",IFERROR(SUMIF(tblMotor[A_Norm],$A152,tblMotor[DesiKargo]),0))</f>
        <v/>
      </c>
      <c r="I152" s="17">
        <f>IF(OR($A152="",$B152&lt;&gt;"tutar_farki"),"",IF(ABS($C152-$D152)&lt;=toleransKurus,"TYK-001",IF(ABS($C152-$E152)&lt;=toleransKurus,"TYK-002",IF(ABS($C152-$F152)&lt;=toleransKurus,"TYK-003",IF(ABS($C152-$G152)&lt;=toleransKurus,"TYK-004",IF(ABS($C152-$H152)&lt;=toleransKurus,"TYK-005","TANIMSIZ"))))))</f>
        <v/>
      </c>
    </row>
    <row r="153">
      <c r="A153" s="23">
        <f>IF('ESLESTIRME'!$A153="","",'ESLESTIRME'!$A153)</f>
        <v/>
      </c>
      <c r="B153" s="17">
        <f>IF($A153="","",IFERROR(INDEX(tblEslesme[Kova],MATCH($A153,tblEslesme[A_Norm],0)),""))</f>
        <v/>
      </c>
      <c r="C153" s="17">
        <f>IF($A153="","",IFERROR(INDEX(tblEslesme[AbsFark],MATCH($A153,tblEslesme[A_Norm],0)),0))</f>
        <v/>
      </c>
      <c r="D153" s="17">
        <f>IF($A153="","",IFERROR(SUMIF(tblMotor[A_Norm],$A153,tblMotor[KomisyonTutar]),0))</f>
        <v/>
      </c>
      <c r="E153" s="17">
        <f>IF($A153="","",IFERROR(SUMIF(tblMotor[A_Norm],$A153,tblMotor[TyPlus]),0))</f>
        <v/>
      </c>
      <c r="F153" s="17">
        <f>IF($A153="","",IFERROR(SUMIF(tblMotor[A_Norm],$A153,tblMotor[FlasKesinti]),0))</f>
        <v/>
      </c>
      <c r="G153" s="17">
        <f>IF($A153="","",IFERROR(SUMIF(tblMotor[A_Norm],$A153,tblMotor[UrunReklam]),0))</f>
        <v/>
      </c>
      <c r="H153" s="17">
        <f>IF($A153="","",IFERROR(SUMIF(tblMotor[A_Norm],$A153,tblMotor[DesiKargo]),0))</f>
        <v/>
      </c>
      <c r="I153" s="17">
        <f>IF(OR($A153="",$B153&lt;&gt;"tutar_farki"),"",IF(ABS($C153-$D153)&lt;=toleransKurus,"TYK-001",IF(ABS($C153-$E153)&lt;=toleransKurus,"TYK-002",IF(ABS($C153-$F153)&lt;=toleransKurus,"TYK-003",IF(ABS($C153-$G153)&lt;=toleransKurus,"TYK-004",IF(ABS($C153-$H153)&lt;=toleransKurus,"TYK-005","TANIMSIZ"))))))</f>
        <v/>
      </c>
    </row>
    <row r="154">
      <c r="A154" s="23">
        <f>IF('ESLESTIRME'!$A154="","",'ESLESTIRME'!$A154)</f>
        <v/>
      </c>
      <c r="B154" s="17">
        <f>IF($A154="","",IFERROR(INDEX(tblEslesme[Kova],MATCH($A154,tblEslesme[A_Norm],0)),""))</f>
        <v/>
      </c>
      <c r="C154" s="17">
        <f>IF($A154="","",IFERROR(INDEX(tblEslesme[AbsFark],MATCH($A154,tblEslesme[A_Norm],0)),0))</f>
        <v/>
      </c>
      <c r="D154" s="17">
        <f>IF($A154="","",IFERROR(SUMIF(tblMotor[A_Norm],$A154,tblMotor[KomisyonTutar]),0))</f>
        <v/>
      </c>
      <c r="E154" s="17">
        <f>IF($A154="","",IFERROR(SUMIF(tblMotor[A_Norm],$A154,tblMotor[TyPlus]),0))</f>
        <v/>
      </c>
      <c r="F154" s="17">
        <f>IF($A154="","",IFERROR(SUMIF(tblMotor[A_Norm],$A154,tblMotor[FlasKesinti]),0))</f>
        <v/>
      </c>
      <c r="G154" s="17">
        <f>IF($A154="","",IFERROR(SUMIF(tblMotor[A_Norm],$A154,tblMotor[UrunReklam]),0))</f>
        <v/>
      </c>
      <c r="H154" s="17">
        <f>IF($A154="","",IFERROR(SUMIF(tblMotor[A_Norm],$A154,tblMotor[DesiKargo]),0))</f>
        <v/>
      </c>
      <c r="I154" s="17">
        <f>IF(OR($A154="",$B154&lt;&gt;"tutar_farki"),"",IF(ABS($C154-$D154)&lt;=toleransKurus,"TYK-001",IF(ABS($C154-$E154)&lt;=toleransKurus,"TYK-002",IF(ABS($C154-$F154)&lt;=toleransKurus,"TYK-003",IF(ABS($C154-$G154)&lt;=toleransKurus,"TYK-004",IF(ABS($C154-$H154)&lt;=toleransKurus,"TYK-005","TANIMSIZ"))))))</f>
        <v/>
      </c>
    </row>
    <row r="155">
      <c r="A155" s="23">
        <f>IF('ESLESTIRME'!$A155="","",'ESLESTIRME'!$A155)</f>
        <v/>
      </c>
      <c r="B155" s="17">
        <f>IF($A155="","",IFERROR(INDEX(tblEslesme[Kova],MATCH($A155,tblEslesme[A_Norm],0)),""))</f>
        <v/>
      </c>
      <c r="C155" s="17">
        <f>IF($A155="","",IFERROR(INDEX(tblEslesme[AbsFark],MATCH($A155,tblEslesme[A_Norm],0)),0))</f>
        <v/>
      </c>
      <c r="D155" s="17">
        <f>IF($A155="","",IFERROR(SUMIF(tblMotor[A_Norm],$A155,tblMotor[KomisyonTutar]),0))</f>
        <v/>
      </c>
      <c r="E155" s="17">
        <f>IF($A155="","",IFERROR(SUMIF(tblMotor[A_Norm],$A155,tblMotor[TyPlus]),0))</f>
        <v/>
      </c>
      <c r="F155" s="17">
        <f>IF($A155="","",IFERROR(SUMIF(tblMotor[A_Norm],$A155,tblMotor[FlasKesinti]),0))</f>
        <v/>
      </c>
      <c r="G155" s="17">
        <f>IF($A155="","",IFERROR(SUMIF(tblMotor[A_Norm],$A155,tblMotor[UrunReklam]),0))</f>
        <v/>
      </c>
      <c r="H155" s="17">
        <f>IF($A155="","",IFERROR(SUMIF(tblMotor[A_Norm],$A155,tblMotor[DesiKargo]),0))</f>
        <v/>
      </c>
      <c r="I155" s="17">
        <f>IF(OR($A155="",$B155&lt;&gt;"tutar_farki"),"",IF(ABS($C155-$D155)&lt;=toleransKurus,"TYK-001",IF(ABS($C155-$E155)&lt;=toleransKurus,"TYK-002",IF(ABS($C155-$F155)&lt;=toleransKurus,"TYK-003",IF(ABS($C155-$G155)&lt;=toleransKurus,"TYK-004",IF(ABS($C155-$H155)&lt;=toleransKurus,"TYK-005","TANIMSIZ"))))))</f>
        <v/>
      </c>
    </row>
    <row r="156">
      <c r="A156" s="23">
        <f>IF('ESLESTIRME'!$A156="","",'ESLESTIRME'!$A156)</f>
        <v/>
      </c>
      <c r="B156" s="17">
        <f>IF($A156="","",IFERROR(INDEX(tblEslesme[Kova],MATCH($A156,tblEslesme[A_Norm],0)),""))</f>
        <v/>
      </c>
      <c r="C156" s="17">
        <f>IF($A156="","",IFERROR(INDEX(tblEslesme[AbsFark],MATCH($A156,tblEslesme[A_Norm],0)),0))</f>
        <v/>
      </c>
      <c r="D156" s="17">
        <f>IF($A156="","",IFERROR(SUMIF(tblMotor[A_Norm],$A156,tblMotor[KomisyonTutar]),0))</f>
        <v/>
      </c>
      <c r="E156" s="17">
        <f>IF($A156="","",IFERROR(SUMIF(tblMotor[A_Norm],$A156,tblMotor[TyPlus]),0))</f>
        <v/>
      </c>
      <c r="F156" s="17">
        <f>IF($A156="","",IFERROR(SUMIF(tblMotor[A_Norm],$A156,tblMotor[FlasKesinti]),0))</f>
        <v/>
      </c>
      <c r="G156" s="17">
        <f>IF($A156="","",IFERROR(SUMIF(tblMotor[A_Norm],$A156,tblMotor[UrunReklam]),0))</f>
        <v/>
      </c>
      <c r="H156" s="17">
        <f>IF($A156="","",IFERROR(SUMIF(tblMotor[A_Norm],$A156,tblMotor[DesiKargo]),0))</f>
        <v/>
      </c>
      <c r="I156" s="17">
        <f>IF(OR($A156="",$B156&lt;&gt;"tutar_farki"),"",IF(ABS($C156-$D156)&lt;=toleransKurus,"TYK-001",IF(ABS($C156-$E156)&lt;=toleransKurus,"TYK-002",IF(ABS($C156-$F156)&lt;=toleransKurus,"TYK-003",IF(ABS($C156-$G156)&lt;=toleransKurus,"TYK-004",IF(ABS($C156-$H156)&lt;=toleransKurus,"TYK-005","TANIMSIZ"))))))</f>
        <v/>
      </c>
    </row>
    <row r="157">
      <c r="A157" s="23">
        <f>IF('ESLESTIRME'!$A157="","",'ESLESTIRME'!$A157)</f>
        <v/>
      </c>
      <c r="B157" s="17">
        <f>IF($A157="","",IFERROR(INDEX(tblEslesme[Kova],MATCH($A157,tblEslesme[A_Norm],0)),""))</f>
        <v/>
      </c>
      <c r="C157" s="17">
        <f>IF($A157="","",IFERROR(INDEX(tblEslesme[AbsFark],MATCH($A157,tblEslesme[A_Norm],0)),0))</f>
        <v/>
      </c>
      <c r="D157" s="17">
        <f>IF($A157="","",IFERROR(SUMIF(tblMotor[A_Norm],$A157,tblMotor[KomisyonTutar]),0))</f>
        <v/>
      </c>
      <c r="E157" s="17">
        <f>IF($A157="","",IFERROR(SUMIF(tblMotor[A_Norm],$A157,tblMotor[TyPlus]),0))</f>
        <v/>
      </c>
      <c r="F157" s="17">
        <f>IF($A157="","",IFERROR(SUMIF(tblMotor[A_Norm],$A157,tblMotor[FlasKesinti]),0))</f>
        <v/>
      </c>
      <c r="G157" s="17">
        <f>IF($A157="","",IFERROR(SUMIF(tblMotor[A_Norm],$A157,tblMotor[UrunReklam]),0))</f>
        <v/>
      </c>
      <c r="H157" s="17">
        <f>IF($A157="","",IFERROR(SUMIF(tblMotor[A_Norm],$A157,tblMotor[DesiKargo]),0))</f>
        <v/>
      </c>
      <c r="I157" s="17">
        <f>IF(OR($A157="",$B157&lt;&gt;"tutar_farki"),"",IF(ABS($C157-$D157)&lt;=toleransKurus,"TYK-001",IF(ABS($C157-$E157)&lt;=toleransKurus,"TYK-002",IF(ABS($C157-$F157)&lt;=toleransKurus,"TYK-003",IF(ABS($C157-$G157)&lt;=toleransKurus,"TYK-004",IF(ABS($C157-$H157)&lt;=toleransKurus,"TYK-005","TANIMSIZ"))))))</f>
        <v/>
      </c>
    </row>
    <row r="158">
      <c r="A158" s="23">
        <f>IF('ESLESTIRME'!$A158="","",'ESLESTIRME'!$A158)</f>
        <v/>
      </c>
      <c r="B158" s="17">
        <f>IF($A158="","",IFERROR(INDEX(tblEslesme[Kova],MATCH($A158,tblEslesme[A_Norm],0)),""))</f>
        <v/>
      </c>
      <c r="C158" s="17">
        <f>IF($A158="","",IFERROR(INDEX(tblEslesme[AbsFark],MATCH($A158,tblEslesme[A_Norm],0)),0))</f>
        <v/>
      </c>
      <c r="D158" s="17">
        <f>IF($A158="","",IFERROR(SUMIF(tblMotor[A_Norm],$A158,tblMotor[KomisyonTutar]),0))</f>
        <v/>
      </c>
      <c r="E158" s="17">
        <f>IF($A158="","",IFERROR(SUMIF(tblMotor[A_Norm],$A158,tblMotor[TyPlus]),0))</f>
        <v/>
      </c>
      <c r="F158" s="17">
        <f>IF($A158="","",IFERROR(SUMIF(tblMotor[A_Norm],$A158,tblMotor[FlasKesinti]),0))</f>
        <v/>
      </c>
      <c r="G158" s="17">
        <f>IF($A158="","",IFERROR(SUMIF(tblMotor[A_Norm],$A158,tblMotor[UrunReklam]),0))</f>
        <v/>
      </c>
      <c r="H158" s="17">
        <f>IF($A158="","",IFERROR(SUMIF(tblMotor[A_Norm],$A158,tblMotor[DesiKargo]),0))</f>
        <v/>
      </c>
      <c r="I158" s="17">
        <f>IF(OR($A158="",$B158&lt;&gt;"tutar_farki"),"",IF(ABS($C158-$D158)&lt;=toleransKurus,"TYK-001",IF(ABS($C158-$E158)&lt;=toleransKurus,"TYK-002",IF(ABS($C158-$F158)&lt;=toleransKurus,"TYK-003",IF(ABS($C158-$G158)&lt;=toleransKurus,"TYK-004",IF(ABS($C158-$H158)&lt;=toleransKurus,"TYK-005","TANIMSIZ"))))))</f>
        <v/>
      </c>
    </row>
    <row r="159">
      <c r="A159" s="23">
        <f>IF('ESLESTIRME'!$A159="","",'ESLESTIRME'!$A159)</f>
        <v/>
      </c>
      <c r="B159" s="17">
        <f>IF($A159="","",IFERROR(INDEX(tblEslesme[Kova],MATCH($A159,tblEslesme[A_Norm],0)),""))</f>
        <v/>
      </c>
      <c r="C159" s="17">
        <f>IF($A159="","",IFERROR(INDEX(tblEslesme[AbsFark],MATCH($A159,tblEslesme[A_Norm],0)),0))</f>
        <v/>
      </c>
      <c r="D159" s="17">
        <f>IF($A159="","",IFERROR(SUMIF(tblMotor[A_Norm],$A159,tblMotor[KomisyonTutar]),0))</f>
        <v/>
      </c>
      <c r="E159" s="17">
        <f>IF($A159="","",IFERROR(SUMIF(tblMotor[A_Norm],$A159,tblMotor[TyPlus]),0))</f>
        <v/>
      </c>
      <c r="F159" s="17">
        <f>IF($A159="","",IFERROR(SUMIF(tblMotor[A_Norm],$A159,tblMotor[FlasKesinti]),0))</f>
        <v/>
      </c>
      <c r="G159" s="17">
        <f>IF($A159="","",IFERROR(SUMIF(tblMotor[A_Norm],$A159,tblMotor[UrunReklam]),0))</f>
        <v/>
      </c>
      <c r="H159" s="17">
        <f>IF($A159="","",IFERROR(SUMIF(tblMotor[A_Norm],$A159,tblMotor[DesiKargo]),0))</f>
        <v/>
      </c>
      <c r="I159" s="17">
        <f>IF(OR($A159="",$B159&lt;&gt;"tutar_farki"),"",IF(ABS($C159-$D159)&lt;=toleransKurus,"TYK-001",IF(ABS($C159-$E159)&lt;=toleransKurus,"TYK-002",IF(ABS($C159-$F159)&lt;=toleransKurus,"TYK-003",IF(ABS($C159-$G159)&lt;=toleransKurus,"TYK-004",IF(ABS($C159-$H159)&lt;=toleransKurus,"TYK-005","TANIMSIZ"))))))</f>
        <v/>
      </c>
    </row>
    <row r="160">
      <c r="A160" s="23">
        <f>IF('ESLESTIRME'!$A160="","",'ESLESTIRME'!$A160)</f>
        <v/>
      </c>
      <c r="B160" s="17">
        <f>IF($A160="","",IFERROR(INDEX(tblEslesme[Kova],MATCH($A160,tblEslesme[A_Norm],0)),""))</f>
        <v/>
      </c>
      <c r="C160" s="17">
        <f>IF($A160="","",IFERROR(INDEX(tblEslesme[AbsFark],MATCH($A160,tblEslesme[A_Norm],0)),0))</f>
        <v/>
      </c>
      <c r="D160" s="17">
        <f>IF($A160="","",IFERROR(SUMIF(tblMotor[A_Norm],$A160,tblMotor[KomisyonTutar]),0))</f>
        <v/>
      </c>
      <c r="E160" s="17">
        <f>IF($A160="","",IFERROR(SUMIF(tblMotor[A_Norm],$A160,tblMotor[TyPlus]),0))</f>
        <v/>
      </c>
      <c r="F160" s="17">
        <f>IF($A160="","",IFERROR(SUMIF(tblMotor[A_Norm],$A160,tblMotor[FlasKesinti]),0))</f>
        <v/>
      </c>
      <c r="G160" s="17">
        <f>IF($A160="","",IFERROR(SUMIF(tblMotor[A_Norm],$A160,tblMotor[UrunReklam]),0))</f>
        <v/>
      </c>
      <c r="H160" s="17">
        <f>IF($A160="","",IFERROR(SUMIF(tblMotor[A_Norm],$A160,tblMotor[DesiKargo]),0))</f>
        <v/>
      </c>
      <c r="I160" s="17">
        <f>IF(OR($A160="",$B160&lt;&gt;"tutar_farki"),"",IF(ABS($C160-$D160)&lt;=toleransKurus,"TYK-001",IF(ABS($C160-$E160)&lt;=toleransKurus,"TYK-002",IF(ABS($C160-$F160)&lt;=toleransKurus,"TYK-003",IF(ABS($C160-$G160)&lt;=toleransKurus,"TYK-004",IF(ABS($C160-$H160)&lt;=toleransKurus,"TYK-005","TANIMSIZ"))))))</f>
        <v/>
      </c>
    </row>
    <row r="161">
      <c r="A161" s="23">
        <f>IF('ESLESTIRME'!$A161="","",'ESLESTIRME'!$A161)</f>
        <v/>
      </c>
      <c r="B161" s="17">
        <f>IF($A161="","",IFERROR(INDEX(tblEslesme[Kova],MATCH($A161,tblEslesme[A_Norm],0)),""))</f>
        <v/>
      </c>
      <c r="C161" s="17">
        <f>IF($A161="","",IFERROR(INDEX(tblEslesme[AbsFark],MATCH($A161,tblEslesme[A_Norm],0)),0))</f>
        <v/>
      </c>
      <c r="D161" s="17">
        <f>IF($A161="","",IFERROR(SUMIF(tblMotor[A_Norm],$A161,tblMotor[KomisyonTutar]),0))</f>
        <v/>
      </c>
      <c r="E161" s="17">
        <f>IF($A161="","",IFERROR(SUMIF(tblMotor[A_Norm],$A161,tblMotor[TyPlus]),0))</f>
        <v/>
      </c>
      <c r="F161" s="17">
        <f>IF($A161="","",IFERROR(SUMIF(tblMotor[A_Norm],$A161,tblMotor[FlasKesinti]),0))</f>
        <v/>
      </c>
      <c r="G161" s="17">
        <f>IF($A161="","",IFERROR(SUMIF(tblMotor[A_Norm],$A161,tblMotor[UrunReklam]),0))</f>
        <v/>
      </c>
      <c r="H161" s="17">
        <f>IF($A161="","",IFERROR(SUMIF(tblMotor[A_Norm],$A161,tblMotor[DesiKargo]),0))</f>
        <v/>
      </c>
      <c r="I161" s="17">
        <f>IF(OR($A161="",$B161&lt;&gt;"tutar_farki"),"",IF(ABS($C161-$D161)&lt;=toleransKurus,"TYK-001",IF(ABS($C161-$E161)&lt;=toleransKurus,"TYK-002",IF(ABS($C161-$F161)&lt;=toleransKurus,"TYK-003",IF(ABS($C161-$G161)&lt;=toleransKurus,"TYK-004",IF(ABS($C161-$H161)&lt;=toleransKurus,"TYK-005","TANIMSIZ"))))))</f>
        <v/>
      </c>
    </row>
    <row r="162">
      <c r="A162" s="23">
        <f>IF('ESLESTIRME'!$A162="","",'ESLESTIRME'!$A162)</f>
        <v/>
      </c>
      <c r="B162" s="17">
        <f>IF($A162="","",IFERROR(INDEX(tblEslesme[Kova],MATCH($A162,tblEslesme[A_Norm],0)),""))</f>
        <v/>
      </c>
      <c r="C162" s="17">
        <f>IF($A162="","",IFERROR(INDEX(tblEslesme[AbsFark],MATCH($A162,tblEslesme[A_Norm],0)),0))</f>
        <v/>
      </c>
      <c r="D162" s="17">
        <f>IF($A162="","",IFERROR(SUMIF(tblMotor[A_Norm],$A162,tblMotor[KomisyonTutar]),0))</f>
        <v/>
      </c>
      <c r="E162" s="17">
        <f>IF($A162="","",IFERROR(SUMIF(tblMotor[A_Norm],$A162,tblMotor[TyPlus]),0))</f>
        <v/>
      </c>
      <c r="F162" s="17">
        <f>IF($A162="","",IFERROR(SUMIF(tblMotor[A_Norm],$A162,tblMotor[FlasKesinti]),0))</f>
        <v/>
      </c>
      <c r="G162" s="17">
        <f>IF($A162="","",IFERROR(SUMIF(tblMotor[A_Norm],$A162,tblMotor[UrunReklam]),0))</f>
        <v/>
      </c>
      <c r="H162" s="17">
        <f>IF($A162="","",IFERROR(SUMIF(tblMotor[A_Norm],$A162,tblMotor[DesiKargo]),0))</f>
        <v/>
      </c>
      <c r="I162" s="17">
        <f>IF(OR($A162="",$B162&lt;&gt;"tutar_farki"),"",IF(ABS($C162-$D162)&lt;=toleransKurus,"TYK-001",IF(ABS($C162-$E162)&lt;=toleransKurus,"TYK-002",IF(ABS($C162-$F162)&lt;=toleransKurus,"TYK-003",IF(ABS($C162-$G162)&lt;=toleransKurus,"TYK-004",IF(ABS($C162-$H162)&lt;=toleransKurus,"TYK-005","TANIMSIZ"))))))</f>
        <v/>
      </c>
    </row>
    <row r="163">
      <c r="A163" s="23">
        <f>IF('ESLESTIRME'!$A163="","",'ESLESTIRME'!$A163)</f>
        <v/>
      </c>
      <c r="B163" s="17">
        <f>IF($A163="","",IFERROR(INDEX(tblEslesme[Kova],MATCH($A163,tblEslesme[A_Norm],0)),""))</f>
        <v/>
      </c>
      <c r="C163" s="17">
        <f>IF($A163="","",IFERROR(INDEX(tblEslesme[AbsFark],MATCH($A163,tblEslesme[A_Norm],0)),0))</f>
        <v/>
      </c>
      <c r="D163" s="17">
        <f>IF($A163="","",IFERROR(SUMIF(tblMotor[A_Norm],$A163,tblMotor[KomisyonTutar]),0))</f>
        <v/>
      </c>
      <c r="E163" s="17">
        <f>IF($A163="","",IFERROR(SUMIF(tblMotor[A_Norm],$A163,tblMotor[TyPlus]),0))</f>
        <v/>
      </c>
      <c r="F163" s="17">
        <f>IF($A163="","",IFERROR(SUMIF(tblMotor[A_Norm],$A163,tblMotor[FlasKesinti]),0))</f>
        <v/>
      </c>
      <c r="G163" s="17">
        <f>IF($A163="","",IFERROR(SUMIF(tblMotor[A_Norm],$A163,tblMotor[UrunReklam]),0))</f>
        <v/>
      </c>
      <c r="H163" s="17">
        <f>IF($A163="","",IFERROR(SUMIF(tblMotor[A_Norm],$A163,tblMotor[DesiKargo]),0))</f>
        <v/>
      </c>
      <c r="I163" s="17">
        <f>IF(OR($A163="",$B163&lt;&gt;"tutar_farki"),"",IF(ABS($C163-$D163)&lt;=toleransKurus,"TYK-001",IF(ABS($C163-$E163)&lt;=toleransKurus,"TYK-002",IF(ABS($C163-$F163)&lt;=toleransKurus,"TYK-003",IF(ABS($C163-$G163)&lt;=toleransKurus,"TYK-004",IF(ABS($C163-$H163)&lt;=toleransKurus,"TYK-005","TANIMSIZ"))))))</f>
        <v/>
      </c>
    </row>
    <row r="164">
      <c r="A164" s="23">
        <f>IF('ESLESTIRME'!$A164="","",'ESLESTIRME'!$A164)</f>
        <v/>
      </c>
      <c r="B164" s="17">
        <f>IF($A164="","",IFERROR(INDEX(tblEslesme[Kova],MATCH($A164,tblEslesme[A_Norm],0)),""))</f>
        <v/>
      </c>
      <c r="C164" s="17">
        <f>IF($A164="","",IFERROR(INDEX(tblEslesme[AbsFark],MATCH($A164,tblEslesme[A_Norm],0)),0))</f>
        <v/>
      </c>
      <c r="D164" s="17">
        <f>IF($A164="","",IFERROR(SUMIF(tblMotor[A_Norm],$A164,tblMotor[KomisyonTutar]),0))</f>
        <v/>
      </c>
      <c r="E164" s="17">
        <f>IF($A164="","",IFERROR(SUMIF(tblMotor[A_Norm],$A164,tblMotor[TyPlus]),0))</f>
        <v/>
      </c>
      <c r="F164" s="17">
        <f>IF($A164="","",IFERROR(SUMIF(tblMotor[A_Norm],$A164,tblMotor[FlasKesinti]),0))</f>
        <v/>
      </c>
      <c r="G164" s="17">
        <f>IF($A164="","",IFERROR(SUMIF(tblMotor[A_Norm],$A164,tblMotor[UrunReklam]),0))</f>
        <v/>
      </c>
      <c r="H164" s="17">
        <f>IF($A164="","",IFERROR(SUMIF(tblMotor[A_Norm],$A164,tblMotor[DesiKargo]),0))</f>
        <v/>
      </c>
      <c r="I164" s="17">
        <f>IF(OR($A164="",$B164&lt;&gt;"tutar_farki"),"",IF(ABS($C164-$D164)&lt;=toleransKurus,"TYK-001",IF(ABS($C164-$E164)&lt;=toleransKurus,"TYK-002",IF(ABS($C164-$F164)&lt;=toleransKurus,"TYK-003",IF(ABS($C164-$G164)&lt;=toleransKurus,"TYK-004",IF(ABS($C164-$H164)&lt;=toleransKurus,"TYK-005","TANIMSIZ"))))))</f>
        <v/>
      </c>
    </row>
    <row r="165">
      <c r="A165" s="23">
        <f>IF('ESLESTIRME'!$A165="","",'ESLESTIRME'!$A165)</f>
        <v/>
      </c>
      <c r="B165" s="17">
        <f>IF($A165="","",IFERROR(INDEX(tblEslesme[Kova],MATCH($A165,tblEslesme[A_Norm],0)),""))</f>
        <v/>
      </c>
      <c r="C165" s="17">
        <f>IF($A165="","",IFERROR(INDEX(tblEslesme[AbsFark],MATCH($A165,tblEslesme[A_Norm],0)),0))</f>
        <v/>
      </c>
      <c r="D165" s="17">
        <f>IF($A165="","",IFERROR(SUMIF(tblMotor[A_Norm],$A165,tblMotor[KomisyonTutar]),0))</f>
        <v/>
      </c>
      <c r="E165" s="17">
        <f>IF($A165="","",IFERROR(SUMIF(tblMotor[A_Norm],$A165,tblMotor[TyPlus]),0))</f>
        <v/>
      </c>
      <c r="F165" s="17">
        <f>IF($A165="","",IFERROR(SUMIF(tblMotor[A_Norm],$A165,tblMotor[FlasKesinti]),0))</f>
        <v/>
      </c>
      <c r="G165" s="17">
        <f>IF($A165="","",IFERROR(SUMIF(tblMotor[A_Norm],$A165,tblMotor[UrunReklam]),0))</f>
        <v/>
      </c>
      <c r="H165" s="17">
        <f>IF($A165="","",IFERROR(SUMIF(tblMotor[A_Norm],$A165,tblMotor[DesiKargo]),0))</f>
        <v/>
      </c>
      <c r="I165" s="17">
        <f>IF(OR($A165="",$B165&lt;&gt;"tutar_farki"),"",IF(ABS($C165-$D165)&lt;=toleransKurus,"TYK-001",IF(ABS($C165-$E165)&lt;=toleransKurus,"TYK-002",IF(ABS($C165-$F165)&lt;=toleransKurus,"TYK-003",IF(ABS($C165-$G165)&lt;=toleransKurus,"TYK-004",IF(ABS($C165-$H165)&lt;=toleransKurus,"TYK-005","TANIMSIZ"))))))</f>
        <v/>
      </c>
    </row>
    <row r="166">
      <c r="A166" s="23">
        <f>IF('ESLESTIRME'!$A166="","",'ESLESTIRME'!$A166)</f>
        <v/>
      </c>
      <c r="B166" s="17">
        <f>IF($A166="","",IFERROR(INDEX(tblEslesme[Kova],MATCH($A166,tblEslesme[A_Norm],0)),""))</f>
        <v/>
      </c>
      <c r="C166" s="17">
        <f>IF($A166="","",IFERROR(INDEX(tblEslesme[AbsFark],MATCH($A166,tblEslesme[A_Norm],0)),0))</f>
        <v/>
      </c>
      <c r="D166" s="17">
        <f>IF($A166="","",IFERROR(SUMIF(tblMotor[A_Norm],$A166,tblMotor[KomisyonTutar]),0))</f>
        <v/>
      </c>
      <c r="E166" s="17">
        <f>IF($A166="","",IFERROR(SUMIF(tblMotor[A_Norm],$A166,tblMotor[TyPlus]),0))</f>
        <v/>
      </c>
      <c r="F166" s="17">
        <f>IF($A166="","",IFERROR(SUMIF(tblMotor[A_Norm],$A166,tblMotor[FlasKesinti]),0))</f>
        <v/>
      </c>
      <c r="G166" s="17">
        <f>IF($A166="","",IFERROR(SUMIF(tblMotor[A_Norm],$A166,tblMotor[UrunReklam]),0))</f>
        <v/>
      </c>
      <c r="H166" s="17">
        <f>IF($A166="","",IFERROR(SUMIF(tblMotor[A_Norm],$A166,tblMotor[DesiKargo]),0))</f>
        <v/>
      </c>
      <c r="I166" s="17">
        <f>IF(OR($A166="",$B166&lt;&gt;"tutar_farki"),"",IF(ABS($C166-$D166)&lt;=toleransKurus,"TYK-001",IF(ABS($C166-$E166)&lt;=toleransKurus,"TYK-002",IF(ABS($C166-$F166)&lt;=toleransKurus,"TYK-003",IF(ABS($C166-$G166)&lt;=toleransKurus,"TYK-004",IF(ABS($C166-$H166)&lt;=toleransKurus,"TYK-005","TANIMSIZ"))))))</f>
        <v/>
      </c>
    </row>
    <row r="167">
      <c r="A167" s="23">
        <f>IF('ESLESTIRME'!$A167="","",'ESLESTIRME'!$A167)</f>
        <v/>
      </c>
      <c r="B167" s="17">
        <f>IF($A167="","",IFERROR(INDEX(tblEslesme[Kova],MATCH($A167,tblEslesme[A_Norm],0)),""))</f>
        <v/>
      </c>
      <c r="C167" s="17">
        <f>IF($A167="","",IFERROR(INDEX(tblEslesme[AbsFark],MATCH($A167,tblEslesme[A_Norm],0)),0))</f>
        <v/>
      </c>
      <c r="D167" s="17">
        <f>IF($A167="","",IFERROR(SUMIF(tblMotor[A_Norm],$A167,tblMotor[KomisyonTutar]),0))</f>
        <v/>
      </c>
      <c r="E167" s="17">
        <f>IF($A167="","",IFERROR(SUMIF(tblMotor[A_Norm],$A167,tblMotor[TyPlus]),0))</f>
        <v/>
      </c>
      <c r="F167" s="17">
        <f>IF($A167="","",IFERROR(SUMIF(tblMotor[A_Norm],$A167,tblMotor[FlasKesinti]),0))</f>
        <v/>
      </c>
      <c r="G167" s="17">
        <f>IF($A167="","",IFERROR(SUMIF(tblMotor[A_Norm],$A167,tblMotor[UrunReklam]),0))</f>
        <v/>
      </c>
      <c r="H167" s="17">
        <f>IF($A167="","",IFERROR(SUMIF(tblMotor[A_Norm],$A167,tblMotor[DesiKargo]),0))</f>
        <v/>
      </c>
      <c r="I167" s="17">
        <f>IF(OR($A167="",$B167&lt;&gt;"tutar_farki"),"",IF(ABS($C167-$D167)&lt;=toleransKurus,"TYK-001",IF(ABS($C167-$E167)&lt;=toleransKurus,"TYK-002",IF(ABS($C167-$F167)&lt;=toleransKurus,"TYK-003",IF(ABS($C167-$G167)&lt;=toleransKurus,"TYK-004",IF(ABS($C167-$H167)&lt;=toleransKurus,"TYK-005","TANIMSIZ"))))))</f>
        <v/>
      </c>
    </row>
    <row r="168">
      <c r="A168" s="23">
        <f>IF('ESLESTIRME'!$A168="","",'ESLESTIRME'!$A168)</f>
        <v/>
      </c>
      <c r="B168" s="17">
        <f>IF($A168="","",IFERROR(INDEX(tblEslesme[Kova],MATCH($A168,tblEslesme[A_Norm],0)),""))</f>
        <v/>
      </c>
      <c r="C168" s="17">
        <f>IF($A168="","",IFERROR(INDEX(tblEslesme[AbsFark],MATCH($A168,tblEslesme[A_Norm],0)),0))</f>
        <v/>
      </c>
      <c r="D168" s="17">
        <f>IF($A168="","",IFERROR(SUMIF(tblMotor[A_Norm],$A168,tblMotor[KomisyonTutar]),0))</f>
        <v/>
      </c>
      <c r="E168" s="17">
        <f>IF($A168="","",IFERROR(SUMIF(tblMotor[A_Norm],$A168,tblMotor[TyPlus]),0))</f>
        <v/>
      </c>
      <c r="F168" s="17">
        <f>IF($A168="","",IFERROR(SUMIF(tblMotor[A_Norm],$A168,tblMotor[FlasKesinti]),0))</f>
        <v/>
      </c>
      <c r="G168" s="17">
        <f>IF($A168="","",IFERROR(SUMIF(tblMotor[A_Norm],$A168,tblMotor[UrunReklam]),0))</f>
        <v/>
      </c>
      <c r="H168" s="17">
        <f>IF($A168="","",IFERROR(SUMIF(tblMotor[A_Norm],$A168,tblMotor[DesiKargo]),0))</f>
        <v/>
      </c>
      <c r="I168" s="17">
        <f>IF(OR($A168="",$B168&lt;&gt;"tutar_farki"),"",IF(ABS($C168-$D168)&lt;=toleransKurus,"TYK-001",IF(ABS($C168-$E168)&lt;=toleransKurus,"TYK-002",IF(ABS($C168-$F168)&lt;=toleransKurus,"TYK-003",IF(ABS($C168-$G168)&lt;=toleransKurus,"TYK-004",IF(ABS($C168-$H168)&lt;=toleransKurus,"TYK-005","TANIMSIZ"))))))</f>
        <v/>
      </c>
    </row>
    <row r="169">
      <c r="A169" s="23">
        <f>IF('ESLESTIRME'!$A169="","",'ESLESTIRME'!$A169)</f>
        <v/>
      </c>
      <c r="B169" s="17">
        <f>IF($A169="","",IFERROR(INDEX(tblEslesme[Kova],MATCH($A169,tblEslesme[A_Norm],0)),""))</f>
        <v/>
      </c>
      <c r="C169" s="17">
        <f>IF($A169="","",IFERROR(INDEX(tblEslesme[AbsFark],MATCH($A169,tblEslesme[A_Norm],0)),0))</f>
        <v/>
      </c>
      <c r="D169" s="17">
        <f>IF($A169="","",IFERROR(SUMIF(tblMotor[A_Norm],$A169,tblMotor[KomisyonTutar]),0))</f>
        <v/>
      </c>
      <c r="E169" s="17">
        <f>IF($A169="","",IFERROR(SUMIF(tblMotor[A_Norm],$A169,tblMotor[TyPlus]),0))</f>
        <v/>
      </c>
      <c r="F169" s="17">
        <f>IF($A169="","",IFERROR(SUMIF(tblMotor[A_Norm],$A169,tblMotor[FlasKesinti]),0))</f>
        <v/>
      </c>
      <c r="G169" s="17">
        <f>IF($A169="","",IFERROR(SUMIF(tblMotor[A_Norm],$A169,tblMotor[UrunReklam]),0))</f>
        <v/>
      </c>
      <c r="H169" s="17">
        <f>IF($A169="","",IFERROR(SUMIF(tblMotor[A_Norm],$A169,tblMotor[DesiKargo]),0))</f>
        <v/>
      </c>
      <c r="I169" s="17">
        <f>IF(OR($A169="",$B169&lt;&gt;"tutar_farki"),"",IF(ABS($C169-$D169)&lt;=toleransKurus,"TYK-001",IF(ABS($C169-$E169)&lt;=toleransKurus,"TYK-002",IF(ABS($C169-$F169)&lt;=toleransKurus,"TYK-003",IF(ABS($C169-$G169)&lt;=toleransKurus,"TYK-004",IF(ABS($C169-$H169)&lt;=toleransKurus,"TYK-005","TANIMSIZ"))))))</f>
        <v/>
      </c>
    </row>
    <row r="170">
      <c r="A170" s="23">
        <f>IF('ESLESTIRME'!$A170="","",'ESLESTIRME'!$A170)</f>
        <v/>
      </c>
      <c r="B170" s="17">
        <f>IF($A170="","",IFERROR(INDEX(tblEslesme[Kova],MATCH($A170,tblEslesme[A_Norm],0)),""))</f>
        <v/>
      </c>
      <c r="C170" s="17">
        <f>IF($A170="","",IFERROR(INDEX(tblEslesme[AbsFark],MATCH($A170,tblEslesme[A_Norm],0)),0))</f>
        <v/>
      </c>
      <c r="D170" s="17">
        <f>IF($A170="","",IFERROR(SUMIF(tblMotor[A_Norm],$A170,tblMotor[KomisyonTutar]),0))</f>
        <v/>
      </c>
      <c r="E170" s="17">
        <f>IF($A170="","",IFERROR(SUMIF(tblMotor[A_Norm],$A170,tblMotor[TyPlus]),0))</f>
        <v/>
      </c>
      <c r="F170" s="17">
        <f>IF($A170="","",IFERROR(SUMIF(tblMotor[A_Norm],$A170,tblMotor[FlasKesinti]),0))</f>
        <v/>
      </c>
      <c r="G170" s="17">
        <f>IF($A170="","",IFERROR(SUMIF(tblMotor[A_Norm],$A170,tblMotor[UrunReklam]),0))</f>
        <v/>
      </c>
      <c r="H170" s="17">
        <f>IF($A170="","",IFERROR(SUMIF(tblMotor[A_Norm],$A170,tblMotor[DesiKargo]),0))</f>
        <v/>
      </c>
      <c r="I170" s="17">
        <f>IF(OR($A170="",$B170&lt;&gt;"tutar_farki"),"",IF(ABS($C170-$D170)&lt;=toleransKurus,"TYK-001",IF(ABS($C170-$E170)&lt;=toleransKurus,"TYK-002",IF(ABS($C170-$F170)&lt;=toleransKurus,"TYK-003",IF(ABS($C170-$G170)&lt;=toleransKurus,"TYK-004",IF(ABS($C170-$H170)&lt;=toleransKurus,"TYK-005","TANIMSIZ"))))))</f>
        <v/>
      </c>
    </row>
    <row r="171">
      <c r="A171" s="23">
        <f>IF('ESLESTIRME'!$A171="","",'ESLESTIRME'!$A171)</f>
        <v/>
      </c>
      <c r="B171" s="17">
        <f>IF($A171="","",IFERROR(INDEX(tblEslesme[Kova],MATCH($A171,tblEslesme[A_Norm],0)),""))</f>
        <v/>
      </c>
      <c r="C171" s="17">
        <f>IF($A171="","",IFERROR(INDEX(tblEslesme[AbsFark],MATCH($A171,tblEslesme[A_Norm],0)),0))</f>
        <v/>
      </c>
      <c r="D171" s="17">
        <f>IF($A171="","",IFERROR(SUMIF(tblMotor[A_Norm],$A171,tblMotor[KomisyonTutar]),0))</f>
        <v/>
      </c>
      <c r="E171" s="17">
        <f>IF($A171="","",IFERROR(SUMIF(tblMotor[A_Norm],$A171,tblMotor[TyPlus]),0))</f>
        <v/>
      </c>
      <c r="F171" s="17">
        <f>IF($A171="","",IFERROR(SUMIF(tblMotor[A_Norm],$A171,tblMotor[FlasKesinti]),0))</f>
        <v/>
      </c>
      <c r="G171" s="17">
        <f>IF($A171="","",IFERROR(SUMIF(tblMotor[A_Norm],$A171,tblMotor[UrunReklam]),0))</f>
        <v/>
      </c>
      <c r="H171" s="17">
        <f>IF($A171="","",IFERROR(SUMIF(tblMotor[A_Norm],$A171,tblMotor[DesiKargo]),0))</f>
        <v/>
      </c>
      <c r="I171" s="17">
        <f>IF(OR($A171="",$B171&lt;&gt;"tutar_farki"),"",IF(ABS($C171-$D171)&lt;=toleransKurus,"TYK-001",IF(ABS($C171-$E171)&lt;=toleransKurus,"TYK-002",IF(ABS($C171-$F171)&lt;=toleransKurus,"TYK-003",IF(ABS($C171-$G171)&lt;=toleransKurus,"TYK-004",IF(ABS($C171-$H171)&lt;=toleransKurus,"TYK-005","TANIMSIZ"))))))</f>
        <v/>
      </c>
    </row>
    <row r="172">
      <c r="A172" s="23">
        <f>IF('ESLESTIRME'!$A172="","",'ESLESTIRME'!$A172)</f>
        <v/>
      </c>
      <c r="B172" s="17">
        <f>IF($A172="","",IFERROR(INDEX(tblEslesme[Kova],MATCH($A172,tblEslesme[A_Norm],0)),""))</f>
        <v/>
      </c>
      <c r="C172" s="17">
        <f>IF($A172="","",IFERROR(INDEX(tblEslesme[AbsFark],MATCH($A172,tblEslesme[A_Norm],0)),0))</f>
        <v/>
      </c>
      <c r="D172" s="17">
        <f>IF($A172="","",IFERROR(SUMIF(tblMotor[A_Norm],$A172,tblMotor[KomisyonTutar]),0))</f>
        <v/>
      </c>
      <c r="E172" s="17">
        <f>IF($A172="","",IFERROR(SUMIF(tblMotor[A_Norm],$A172,tblMotor[TyPlus]),0))</f>
        <v/>
      </c>
      <c r="F172" s="17">
        <f>IF($A172="","",IFERROR(SUMIF(tblMotor[A_Norm],$A172,tblMotor[FlasKesinti]),0))</f>
        <v/>
      </c>
      <c r="G172" s="17">
        <f>IF($A172="","",IFERROR(SUMIF(tblMotor[A_Norm],$A172,tblMotor[UrunReklam]),0))</f>
        <v/>
      </c>
      <c r="H172" s="17">
        <f>IF($A172="","",IFERROR(SUMIF(tblMotor[A_Norm],$A172,tblMotor[DesiKargo]),0))</f>
        <v/>
      </c>
      <c r="I172" s="17">
        <f>IF(OR($A172="",$B172&lt;&gt;"tutar_farki"),"",IF(ABS($C172-$D172)&lt;=toleransKurus,"TYK-001",IF(ABS($C172-$E172)&lt;=toleransKurus,"TYK-002",IF(ABS($C172-$F172)&lt;=toleransKurus,"TYK-003",IF(ABS($C172-$G172)&lt;=toleransKurus,"TYK-004",IF(ABS($C172-$H172)&lt;=toleransKurus,"TYK-005","TANIMSIZ"))))))</f>
        <v/>
      </c>
    </row>
    <row r="173">
      <c r="A173" s="23">
        <f>IF('ESLESTIRME'!$A173="","",'ESLESTIRME'!$A173)</f>
        <v/>
      </c>
      <c r="B173" s="17">
        <f>IF($A173="","",IFERROR(INDEX(tblEslesme[Kova],MATCH($A173,tblEslesme[A_Norm],0)),""))</f>
        <v/>
      </c>
      <c r="C173" s="17">
        <f>IF($A173="","",IFERROR(INDEX(tblEslesme[AbsFark],MATCH($A173,tblEslesme[A_Norm],0)),0))</f>
        <v/>
      </c>
      <c r="D173" s="17">
        <f>IF($A173="","",IFERROR(SUMIF(tblMotor[A_Norm],$A173,tblMotor[KomisyonTutar]),0))</f>
        <v/>
      </c>
      <c r="E173" s="17">
        <f>IF($A173="","",IFERROR(SUMIF(tblMotor[A_Norm],$A173,tblMotor[TyPlus]),0))</f>
        <v/>
      </c>
      <c r="F173" s="17">
        <f>IF($A173="","",IFERROR(SUMIF(tblMotor[A_Norm],$A173,tblMotor[FlasKesinti]),0))</f>
        <v/>
      </c>
      <c r="G173" s="17">
        <f>IF($A173="","",IFERROR(SUMIF(tblMotor[A_Norm],$A173,tblMotor[UrunReklam]),0))</f>
        <v/>
      </c>
      <c r="H173" s="17">
        <f>IF($A173="","",IFERROR(SUMIF(tblMotor[A_Norm],$A173,tblMotor[DesiKargo]),0))</f>
        <v/>
      </c>
      <c r="I173" s="17">
        <f>IF(OR($A173="",$B173&lt;&gt;"tutar_farki"),"",IF(ABS($C173-$D173)&lt;=toleransKurus,"TYK-001",IF(ABS($C173-$E173)&lt;=toleransKurus,"TYK-002",IF(ABS($C173-$F173)&lt;=toleransKurus,"TYK-003",IF(ABS($C173-$G173)&lt;=toleransKurus,"TYK-004",IF(ABS($C173-$H173)&lt;=toleransKurus,"TYK-005","TANIMSIZ"))))))</f>
        <v/>
      </c>
    </row>
    <row r="174">
      <c r="A174" s="23">
        <f>IF('ESLESTIRME'!$A174="","",'ESLESTIRME'!$A174)</f>
        <v/>
      </c>
      <c r="B174" s="17">
        <f>IF($A174="","",IFERROR(INDEX(tblEslesme[Kova],MATCH($A174,tblEslesme[A_Norm],0)),""))</f>
        <v/>
      </c>
      <c r="C174" s="17">
        <f>IF($A174="","",IFERROR(INDEX(tblEslesme[AbsFark],MATCH($A174,tblEslesme[A_Norm],0)),0))</f>
        <v/>
      </c>
      <c r="D174" s="17">
        <f>IF($A174="","",IFERROR(SUMIF(tblMotor[A_Norm],$A174,tblMotor[KomisyonTutar]),0))</f>
        <v/>
      </c>
      <c r="E174" s="17">
        <f>IF($A174="","",IFERROR(SUMIF(tblMotor[A_Norm],$A174,tblMotor[TyPlus]),0))</f>
        <v/>
      </c>
      <c r="F174" s="17">
        <f>IF($A174="","",IFERROR(SUMIF(tblMotor[A_Norm],$A174,tblMotor[FlasKesinti]),0))</f>
        <v/>
      </c>
      <c r="G174" s="17">
        <f>IF($A174="","",IFERROR(SUMIF(tblMotor[A_Norm],$A174,tblMotor[UrunReklam]),0))</f>
        <v/>
      </c>
      <c r="H174" s="17">
        <f>IF($A174="","",IFERROR(SUMIF(tblMotor[A_Norm],$A174,tblMotor[DesiKargo]),0))</f>
        <v/>
      </c>
      <c r="I174" s="17">
        <f>IF(OR($A174="",$B174&lt;&gt;"tutar_farki"),"",IF(ABS($C174-$D174)&lt;=toleransKurus,"TYK-001",IF(ABS($C174-$E174)&lt;=toleransKurus,"TYK-002",IF(ABS($C174-$F174)&lt;=toleransKurus,"TYK-003",IF(ABS($C174-$G174)&lt;=toleransKurus,"TYK-004",IF(ABS($C174-$H174)&lt;=toleransKurus,"TYK-005","TANIMSIZ"))))))</f>
        <v/>
      </c>
    </row>
    <row r="175">
      <c r="A175" s="23">
        <f>IF('ESLESTIRME'!$A175="","",'ESLESTIRME'!$A175)</f>
        <v/>
      </c>
      <c r="B175" s="17">
        <f>IF($A175="","",IFERROR(INDEX(tblEslesme[Kova],MATCH($A175,tblEslesme[A_Norm],0)),""))</f>
        <v/>
      </c>
      <c r="C175" s="17">
        <f>IF($A175="","",IFERROR(INDEX(tblEslesme[AbsFark],MATCH($A175,tblEslesme[A_Norm],0)),0))</f>
        <v/>
      </c>
      <c r="D175" s="17">
        <f>IF($A175="","",IFERROR(SUMIF(tblMotor[A_Norm],$A175,tblMotor[KomisyonTutar]),0))</f>
        <v/>
      </c>
      <c r="E175" s="17">
        <f>IF($A175="","",IFERROR(SUMIF(tblMotor[A_Norm],$A175,tblMotor[TyPlus]),0))</f>
        <v/>
      </c>
      <c r="F175" s="17">
        <f>IF($A175="","",IFERROR(SUMIF(tblMotor[A_Norm],$A175,tblMotor[FlasKesinti]),0))</f>
        <v/>
      </c>
      <c r="G175" s="17">
        <f>IF($A175="","",IFERROR(SUMIF(tblMotor[A_Norm],$A175,tblMotor[UrunReklam]),0))</f>
        <v/>
      </c>
      <c r="H175" s="17">
        <f>IF($A175="","",IFERROR(SUMIF(tblMotor[A_Norm],$A175,tblMotor[DesiKargo]),0))</f>
        <v/>
      </c>
      <c r="I175" s="17">
        <f>IF(OR($A175="",$B175&lt;&gt;"tutar_farki"),"",IF(ABS($C175-$D175)&lt;=toleransKurus,"TYK-001",IF(ABS($C175-$E175)&lt;=toleransKurus,"TYK-002",IF(ABS($C175-$F175)&lt;=toleransKurus,"TYK-003",IF(ABS($C175-$G175)&lt;=toleransKurus,"TYK-004",IF(ABS($C175-$H175)&lt;=toleransKurus,"TYK-005","TANIMSIZ"))))))</f>
        <v/>
      </c>
    </row>
    <row r="176">
      <c r="A176" s="23">
        <f>IF('ESLESTIRME'!$A176="","",'ESLESTIRME'!$A176)</f>
        <v/>
      </c>
      <c r="B176" s="17">
        <f>IF($A176="","",IFERROR(INDEX(tblEslesme[Kova],MATCH($A176,tblEslesme[A_Norm],0)),""))</f>
        <v/>
      </c>
      <c r="C176" s="17">
        <f>IF($A176="","",IFERROR(INDEX(tblEslesme[AbsFark],MATCH($A176,tblEslesme[A_Norm],0)),0))</f>
        <v/>
      </c>
      <c r="D176" s="17">
        <f>IF($A176="","",IFERROR(SUMIF(tblMotor[A_Norm],$A176,tblMotor[KomisyonTutar]),0))</f>
        <v/>
      </c>
      <c r="E176" s="17">
        <f>IF($A176="","",IFERROR(SUMIF(tblMotor[A_Norm],$A176,tblMotor[TyPlus]),0))</f>
        <v/>
      </c>
      <c r="F176" s="17">
        <f>IF($A176="","",IFERROR(SUMIF(tblMotor[A_Norm],$A176,tblMotor[FlasKesinti]),0))</f>
        <v/>
      </c>
      <c r="G176" s="17">
        <f>IF($A176="","",IFERROR(SUMIF(tblMotor[A_Norm],$A176,tblMotor[UrunReklam]),0))</f>
        <v/>
      </c>
      <c r="H176" s="17">
        <f>IF($A176="","",IFERROR(SUMIF(tblMotor[A_Norm],$A176,tblMotor[DesiKargo]),0))</f>
        <v/>
      </c>
      <c r="I176" s="17">
        <f>IF(OR($A176="",$B176&lt;&gt;"tutar_farki"),"",IF(ABS($C176-$D176)&lt;=toleransKurus,"TYK-001",IF(ABS($C176-$E176)&lt;=toleransKurus,"TYK-002",IF(ABS($C176-$F176)&lt;=toleransKurus,"TYK-003",IF(ABS($C176-$G176)&lt;=toleransKurus,"TYK-004",IF(ABS($C176-$H176)&lt;=toleransKurus,"TYK-005","TANIMSIZ"))))))</f>
        <v/>
      </c>
    </row>
    <row r="177">
      <c r="A177" s="23">
        <f>IF('ESLESTIRME'!$A177="","",'ESLESTIRME'!$A177)</f>
        <v/>
      </c>
      <c r="B177" s="17">
        <f>IF($A177="","",IFERROR(INDEX(tblEslesme[Kova],MATCH($A177,tblEslesme[A_Norm],0)),""))</f>
        <v/>
      </c>
      <c r="C177" s="17">
        <f>IF($A177="","",IFERROR(INDEX(tblEslesme[AbsFark],MATCH($A177,tblEslesme[A_Norm],0)),0))</f>
        <v/>
      </c>
      <c r="D177" s="17">
        <f>IF($A177="","",IFERROR(SUMIF(tblMotor[A_Norm],$A177,tblMotor[KomisyonTutar]),0))</f>
        <v/>
      </c>
      <c r="E177" s="17">
        <f>IF($A177="","",IFERROR(SUMIF(tblMotor[A_Norm],$A177,tblMotor[TyPlus]),0))</f>
        <v/>
      </c>
      <c r="F177" s="17">
        <f>IF($A177="","",IFERROR(SUMIF(tblMotor[A_Norm],$A177,tblMotor[FlasKesinti]),0))</f>
        <v/>
      </c>
      <c r="G177" s="17">
        <f>IF($A177="","",IFERROR(SUMIF(tblMotor[A_Norm],$A177,tblMotor[UrunReklam]),0))</f>
        <v/>
      </c>
      <c r="H177" s="17">
        <f>IF($A177="","",IFERROR(SUMIF(tblMotor[A_Norm],$A177,tblMotor[DesiKargo]),0))</f>
        <v/>
      </c>
      <c r="I177" s="17">
        <f>IF(OR($A177="",$B177&lt;&gt;"tutar_farki"),"",IF(ABS($C177-$D177)&lt;=toleransKurus,"TYK-001",IF(ABS($C177-$E177)&lt;=toleransKurus,"TYK-002",IF(ABS($C177-$F177)&lt;=toleransKurus,"TYK-003",IF(ABS($C177-$G177)&lt;=toleransKurus,"TYK-004",IF(ABS($C177-$H177)&lt;=toleransKurus,"TYK-005","TANIMSIZ"))))))</f>
        <v/>
      </c>
    </row>
    <row r="178">
      <c r="A178" s="23">
        <f>IF('ESLESTIRME'!$A178="","",'ESLESTIRME'!$A178)</f>
        <v/>
      </c>
      <c r="B178" s="17">
        <f>IF($A178="","",IFERROR(INDEX(tblEslesme[Kova],MATCH($A178,tblEslesme[A_Norm],0)),""))</f>
        <v/>
      </c>
      <c r="C178" s="17">
        <f>IF($A178="","",IFERROR(INDEX(tblEslesme[AbsFark],MATCH($A178,tblEslesme[A_Norm],0)),0))</f>
        <v/>
      </c>
      <c r="D178" s="17">
        <f>IF($A178="","",IFERROR(SUMIF(tblMotor[A_Norm],$A178,tblMotor[KomisyonTutar]),0))</f>
        <v/>
      </c>
      <c r="E178" s="17">
        <f>IF($A178="","",IFERROR(SUMIF(tblMotor[A_Norm],$A178,tblMotor[TyPlus]),0))</f>
        <v/>
      </c>
      <c r="F178" s="17">
        <f>IF($A178="","",IFERROR(SUMIF(tblMotor[A_Norm],$A178,tblMotor[FlasKesinti]),0))</f>
        <v/>
      </c>
      <c r="G178" s="17">
        <f>IF($A178="","",IFERROR(SUMIF(tblMotor[A_Norm],$A178,tblMotor[UrunReklam]),0))</f>
        <v/>
      </c>
      <c r="H178" s="17">
        <f>IF($A178="","",IFERROR(SUMIF(tblMotor[A_Norm],$A178,tblMotor[DesiKargo]),0))</f>
        <v/>
      </c>
      <c r="I178" s="17">
        <f>IF(OR($A178="",$B178&lt;&gt;"tutar_farki"),"",IF(ABS($C178-$D178)&lt;=toleransKurus,"TYK-001",IF(ABS($C178-$E178)&lt;=toleransKurus,"TYK-002",IF(ABS($C178-$F178)&lt;=toleransKurus,"TYK-003",IF(ABS($C178-$G178)&lt;=toleransKurus,"TYK-004",IF(ABS($C178-$H178)&lt;=toleransKurus,"TYK-005","TANIMSIZ"))))))</f>
        <v/>
      </c>
    </row>
    <row r="179">
      <c r="A179" s="23">
        <f>IF('ESLESTIRME'!$A179="","",'ESLESTIRME'!$A179)</f>
        <v/>
      </c>
      <c r="B179" s="17">
        <f>IF($A179="","",IFERROR(INDEX(tblEslesme[Kova],MATCH($A179,tblEslesme[A_Norm],0)),""))</f>
        <v/>
      </c>
      <c r="C179" s="17">
        <f>IF($A179="","",IFERROR(INDEX(tblEslesme[AbsFark],MATCH($A179,tblEslesme[A_Norm],0)),0))</f>
        <v/>
      </c>
      <c r="D179" s="17">
        <f>IF($A179="","",IFERROR(SUMIF(tblMotor[A_Norm],$A179,tblMotor[KomisyonTutar]),0))</f>
        <v/>
      </c>
      <c r="E179" s="17">
        <f>IF($A179="","",IFERROR(SUMIF(tblMotor[A_Norm],$A179,tblMotor[TyPlus]),0))</f>
        <v/>
      </c>
      <c r="F179" s="17">
        <f>IF($A179="","",IFERROR(SUMIF(tblMotor[A_Norm],$A179,tblMotor[FlasKesinti]),0))</f>
        <v/>
      </c>
      <c r="G179" s="17">
        <f>IF($A179="","",IFERROR(SUMIF(tblMotor[A_Norm],$A179,tblMotor[UrunReklam]),0))</f>
        <v/>
      </c>
      <c r="H179" s="17">
        <f>IF($A179="","",IFERROR(SUMIF(tblMotor[A_Norm],$A179,tblMotor[DesiKargo]),0))</f>
        <v/>
      </c>
      <c r="I179" s="17">
        <f>IF(OR($A179="",$B179&lt;&gt;"tutar_farki"),"",IF(ABS($C179-$D179)&lt;=toleransKurus,"TYK-001",IF(ABS($C179-$E179)&lt;=toleransKurus,"TYK-002",IF(ABS($C179-$F179)&lt;=toleransKurus,"TYK-003",IF(ABS($C179-$G179)&lt;=toleransKurus,"TYK-004",IF(ABS($C179-$H179)&lt;=toleransKurus,"TYK-005","TANIMSIZ"))))))</f>
        <v/>
      </c>
    </row>
    <row r="180">
      <c r="A180" s="23">
        <f>IF('ESLESTIRME'!$A180="","",'ESLESTIRME'!$A180)</f>
        <v/>
      </c>
      <c r="B180" s="17">
        <f>IF($A180="","",IFERROR(INDEX(tblEslesme[Kova],MATCH($A180,tblEslesme[A_Norm],0)),""))</f>
        <v/>
      </c>
      <c r="C180" s="17">
        <f>IF($A180="","",IFERROR(INDEX(tblEslesme[AbsFark],MATCH($A180,tblEslesme[A_Norm],0)),0))</f>
        <v/>
      </c>
      <c r="D180" s="17">
        <f>IF($A180="","",IFERROR(SUMIF(tblMotor[A_Norm],$A180,tblMotor[KomisyonTutar]),0))</f>
        <v/>
      </c>
      <c r="E180" s="17">
        <f>IF($A180="","",IFERROR(SUMIF(tblMotor[A_Norm],$A180,tblMotor[TyPlus]),0))</f>
        <v/>
      </c>
      <c r="F180" s="17">
        <f>IF($A180="","",IFERROR(SUMIF(tblMotor[A_Norm],$A180,tblMotor[FlasKesinti]),0))</f>
        <v/>
      </c>
      <c r="G180" s="17">
        <f>IF($A180="","",IFERROR(SUMIF(tblMotor[A_Norm],$A180,tblMotor[UrunReklam]),0))</f>
        <v/>
      </c>
      <c r="H180" s="17">
        <f>IF($A180="","",IFERROR(SUMIF(tblMotor[A_Norm],$A180,tblMotor[DesiKargo]),0))</f>
        <v/>
      </c>
      <c r="I180" s="17">
        <f>IF(OR($A180="",$B180&lt;&gt;"tutar_farki"),"",IF(ABS($C180-$D180)&lt;=toleransKurus,"TYK-001",IF(ABS($C180-$E180)&lt;=toleransKurus,"TYK-002",IF(ABS($C180-$F180)&lt;=toleransKurus,"TYK-003",IF(ABS($C180-$G180)&lt;=toleransKurus,"TYK-004",IF(ABS($C180-$H180)&lt;=toleransKurus,"TYK-005","TANIMSIZ"))))))</f>
        <v/>
      </c>
    </row>
    <row r="181">
      <c r="A181" s="23">
        <f>IF('ESLESTIRME'!$A181="","",'ESLESTIRME'!$A181)</f>
        <v/>
      </c>
      <c r="B181" s="17">
        <f>IF($A181="","",IFERROR(INDEX(tblEslesme[Kova],MATCH($A181,tblEslesme[A_Norm],0)),""))</f>
        <v/>
      </c>
      <c r="C181" s="17">
        <f>IF($A181="","",IFERROR(INDEX(tblEslesme[AbsFark],MATCH($A181,tblEslesme[A_Norm],0)),0))</f>
        <v/>
      </c>
      <c r="D181" s="17">
        <f>IF($A181="","",IFERROR(SUMIF(tblMotor[A_Norm],$A181,tblMotor[KomisyonTutar]),0))</f>
        <v/>
      </c>
      <c r="E181" s="17">
        <f>IF($A181="","",IFERROR(SUMIF(tblMotor[A_Norm],$A181,tblMotor[TyPlus]),0))</f>
        <v/>
      </c>
      <c r="F181" s="17">
        <f>IF($A181="","",IFERROR(SUMIF(tblMotor[A_Norm],$A181,tblMotor[FlasKesinti]),0))</f>
        <v/>
      </c>
      <c r="G181" s="17">
        <f>IF($A181="","",IFERROR(SUMIF(tblMotor[A_Norm],$A181,tblMotor[UrunReklam]),0))</f>
        <v/>
      </c>
      <c r="H181" s="17">
        <f>IF($A181="","",IFERROR(SUMIF(tblMotor[A_Norm],$A181,tblMotor[DesiKargo]),0))</f>
        <v/>
      </c>
      <c r="I181" s="17">
        <f>IF(OR($A181="",$B181&lt;&gt;"tutar_farki"),"",IF(ABS($C181-$D181)&lt;=toleransKurus,"TYK-001",IF(ABS($C181-$E181)&lt;=toleransKurus,"TYK-002",IF(ABS($C181-$F181)&lt;=toleransKurus,"TYK-003",IF(ABS($C181-$G181)&lt;=toleransKurus,"TYK-004",IF(ABS($C181-$H181)&lt;=toleransKurus,"TYK-005","TANIMSIZ"))))))</f>
        <v/>
      </c>
    </row>
    <row r="182">
      <c r="A182" s="23">
        <f>IF('ESLESTIRME'!$A182="","",'ESLESTIRME'!$A182)</f>
        <v/>
      </c>
      <c r="B182" s="17">
        <f>IF($A182="","",IFERROR(INDEX(tblEslesme[Kova],MATCH($A182,tblEslesme[A_Norm],0)),""))</f>
        <v/>
      </c>
      <c r="C182" s="17">
        <f>IF($A182="","",IFERROR(INDEX(tblEslesme[AbsFark],MATCH($A182,tblEslesme[A_Norm],0)),0))</f>
        <v/>
      </c>
      <c r="D182" s="17">
        <f>IF($A182="","",IFERROR(SUMIF(tblMotor[A_Norm],$A182,tblMotor[KomisyonTutar]),0))</f>
        <v/>
      </c>
      <c r="E182" s="17">
        <f>IF($A182="","",IFERROR(SUMIF(tblMotor[A_Norm],$A182,tblMotor[TyPlus]),0))</f>
        <v/>
      </c>
      <c r="F182" s="17">
        <f>IF($A182="","",IFERROR(SUMIF(tblMotor[A_Norm],$A182,tblMotor[FlasKesinti]),0))</f>
        <v/>
      </c>
      <c r="G182" s="17">
        <f>IF($A182="","",IFERROR(SUMIF(tblMotor[A_Norm],$A182,tblMotor[UrunReklam]),0))</f>
        <v/>
      </c>
      <c r="H182" s="17">
        <f>IF($A182="","",IFERROR(SUMIF(tblMotor[A_Norm],$A182,tblMotor[DesiKargo]),0))</f>
        <v/>
      </c>
      <c r="I182" s="17">
        <f>IF(OR($A182="",$B182&lt;&gt;"tutar_farki"),"",IF(ABS($C182-$D182)&lt;=toleransKurus,"TYK-001",IF(ABS($C182-$E182)&lt;=toleransKurus,"TYK-002",IF(ABS($C182-$F182)&lt;=toleransKurus,"TYK-003",IF(ABS($C182-$G182)&lt;=toleransKurus,"TYK-004",IF(ABS($C182-$H182)&lt;=toleransKurus,"TYK-005","TANIMSIZ"))))))</f>
        <v/>
      </c>
    </row>
    <row r="183">
      <c r="A183" s="23">
        <f>IF('ESLESTIRME'!$A183="","",'ESLESTIRME'!$A183)</f>
        <v/>
      </c>
      <c r="B183" s="17">
        <f>IF($A183="","",IFERROR(INDEX(tblEslesme[Kova],MATCH($A183,tblEslesme[A_Norm],0)),""))</f>
        <v/>
      </c>
      <c r="C183" s="17">
        <f>IF($A183="","",IFERROR(INDEX(tblEslesme[AbsFark],MATCH($A183,tblEslesme[A_Norm],0)),0))</f>
        <v/>
      </c>
      <c r="D183" s="17">
        <f>IF($A183="","",IFERROR(SUMIF(tblMotor[A_Norm],$A183,tblMotor[KomisyonTutar]),0))</f>
        <v/>
      </c>
      <c r="E183" s="17">
        <f>IF($A183="","",IFERROR(SUMIF(tblMotor[A_Norm],$A183,tblMotor[TyPlus]),0))</f>
        <v/>
      </c>
      <c r="F183" s="17">
        <f>IF($A183="","",IFERROR(SUMIF(tblMotor[A_Norm],$A183,tblMotor[FlasKesinti]),0))</f>
        <v/>
      </c>
      <c r="G183" s="17">
        <f>IF($A183="","",IFERROR(SUMIF(tblMotor[A_Norm],$A183,tblMotor[UrunReklam]),0))</f>
        <v/>
      </c>
      <c r="H183" s="17">
        <f>IF($A183="","",IFERROR(SUMIF(tblMotor[A_Norm],$A183,tblMotor[DesiKargo]),0))</f>
        <v/>
      </c>
      <c r="I183" s="17">
        <f>IF(OR($A183="",$B183&lt;&gt;"tutar_farki"),"",IF(ABS($C183-$D183)&lt;=toleransKurus,"TYK-001",IF(ABS($C183-$E183)&lt;=toleransKurus,"TYK-002",IF(ABS($C183-$F183)&lt;=toleransKurus,"TYK-003",IF(ABS($C183-$G183)&lt;=toleransKurus,"TYK-004",IF(ABS($C183-$H183)&lt;=toleransKurus,"TYK-005","TANIMSIZ"))))))</f>
        <v/>
      </c>
    </row>
    <row r="184">
      <c r="A184" s="23">
        <f>IF('ESLESTIRME'!$A184="","",'ESLESTIRME'!$A184)</f>
        <v/>
      </c>
      <c r="B184" s="17">
        <f>IF($A184="","",IFERROR(INDEX(tblEslesme[Kova],MATCH($A184,tblEslesme[A_Norm],0)),""))</f>
        <v/>
      </c>
      <c r="C184" s="17">
        <f>IF($A184="","",IFERROR(INDEX(tblEslesme[AbsFark],MATCH($A184,tblEslesme[A_Norm],0)),0))</f>
        <v/>
      </c>
      <c r="D184" s="17">
        <f>IF($A184="","",IFERROR(SUMIF(tblMotor[A_Norm],$A184,tblMotor[KomisyonTutar]),0))</f>
        <v/>
      </c>
      <c r="E184" s="17">
        <f>IF($A184="","",IFERROR(SUMIF(tblMotor[A_Norm],$A184,tblMotor[TyPlus]),0))</f>
        <v/>
      </c>
      <c r="F184" s="17">
        <f>IF($A184="","",IFERROR(SUMIF(tblMotor[A_Norm],$A184,tblMotor[FlasKesinti]),0))</f>
        <v/>
      </c>
      <c r="G184" s="17">
        <f>IF($A184="","",IFERROR(SUMIF(tblMotor[A_Norm],$A184,tblMotor[UrunReklam]),0))</f>
        <v/>
      </c>
      <c r="H184" s="17">
        <f>IF($A184="","",IFERROR(SUMIF(tblMotor[A_Norm],$A184,tblMotor[DesiKargo]),0))</f>
        <v/>
      </c>
      <c r="I184" s="17">
        <f>IF(OR($A184="",$B184&lt;&gt;"tutar_farki"),"",IF(ABS($C184-$D184)&lt;=toleransKurus,"TYK-001",IF(ABS($C184-$E184)&lt;=toleransKurus,"TYK-002",IF(ABS($C184-$F184)&lt;=toleransKurus,"TYK-003",IF(ABS($C184-$G184)&lt;=toleransKurus,"TYK-004",IF(ABS($C184-$H184)&lt;=toleransKurus,"TYK-005","TANIMSIZ"))))))</f>
        <v/>
      </c>
    </row>
    <row r="185">
      <c r="A185" s="23">
        <f>IF('ESLESTIRME'!$A185="","",'ESLESTIRME'!$A185)</f>
        <v/>
      </c>
      <c r="B185" s="17">
        <f>IF($A185="","",IFERROR(INDEX(tblEslesme[Kova],MATCH($A185,tblEslesme[A_Norm],0)),""))</f>
        <v/>
      </c>
      <c r="C185" s="17">
        <f>IF($A185="","",IFERROR(INDEX(tblEslesme[AbsFark],MATCH($A185,tblEslesme[A_Norm],0)),0))</f>
        <v/>
      </c>
      <c r="D185" s="17">
        <f>IF($A185="","",IFERROR(SUMIF(tblMotor[A_Norm],$A185,tblMotor[KomisyonTutar]),0))</f>
        <v/>
      </c>
      <c r="E185" s="17">
        <f>IF($A185="","",IFERROR(SUMIF(tblMotor[A_Norm],$A185,tblMotor[TyPlus]),0))</f>
        <v/>
      </c>
      <c r="F185" s="17">
        <f>IF($A185="","",IFERROR(SUMIF(tblMotor[A_Norm],$A185,tblMotor[FlasKesinti]),0))</f>
        <v/>
      </c>
      <c r="G185" s="17">
        <f>IF($A185="","",IFERROR(SUMIF(tblMotor[A_Norm],$A185,tblMotor[UrunReklam]),0))</f>
        <v/>
      </c>
      <c r="H185" s="17">
        <f>IF($A185="","",IFERROR(SUMIF(tblMotor[A_Norm],$A185,tblMotor[DesiKargo]),0))</f>
        <v/>
      </c>
      <c r="I185" s="17">
        <f>IF(OR($A185="",$B185&lt;&gt;"tutar_farki"),"",IF(ABS($C185-$D185)&lt;=toleransKurus,"TYK-001",IF(ABS($C185-$E185)&lt;=toleransKurus,"TYK-002",IF(ABS($C185-$F185)&lt;=toleransKurus,"TYK-003",IF(ABS($C185-$G185)&lt;=toleransKurus,"TYK-004",IF(ABS($C185-$H185)&lt;=toleransKurus,"TYK-005","TANIMSIZ"))))))</f>
        <v/>
      </c>
    </row>
    <row r="186">
      <c r="A186" s="23">
        <f>IF('ESLESTIRME'!$A186="","",'ESLESTIRME'!$A186)</f>
        <v/>
      </c>
      <c r="B186" s="17">
        <f>IF($A186="","",IFERROR(INDEX(tblEslesme[Kova],MATCH($A186,tblEslesme[A_Norm],0)),""))</f>
        <v/>
      </c>
      <c r="C186" s="17">
        <f>IF($A186="","",IFERROR(INDEX(tblEslesme[AbsFark],MATCH($A186,tblEslesme[A_Norm],0)),0))</f>
        <v/>
      </c>
      <c r="D186" s="17">
        <f>IF($A186="","",IFERROR(SUMIF(tblMotor[A_Norm],$A186,tblMotor[KomisyonTutar]),0))</f>
        <v/>
      </c>
      <c r="E186" s="17">
        <f>IF($A186="","",IFERROR(SUMIF(tblMotor[A_Norm],$A186,tblMotor[TyPlus]),0))</f>
        <v/>
      </c>
      <c r="F186" s="17">
        <f>IF($A186="","",IFERROR(SUMIF(tblMotor[A_Norm],$A186,tblMotor[FlasKesinti]),0))</f>
        <v/>
      </c>
      <c r="G186" s="17">
        <f>IF($A186="","",IFERROR(SUMIF(tblMotor[A_Norm],$A186,tblMotor[UrunReklam]),0))</f>
        <v/>
      </c>
      <c r="H186" s="17">
        <f>IF($A186="","",IFERROR(SUMIF(tblMotor[A_Norm],$A186,tblMotor[DesiKargo]),0))</f>
        <v/>
      </c>
      <c r="I186" s="17">
        <f>IF(OR($A186="",$B186&lt;&gt;"tutar_farki"),"",IF(ABS($C186-$D186)&lt;=toleransKurus,"TYK-001",IF(ABS($C186-$E186)&lt;=toleransKurus,"TYK-002",IF(ABS($C186-$F186)&lt;=toleransKurus,"TYK-003",IF(ABS($C186-$G186)&lt;=toleransKurus,"TYK-004",IF(ABS($C186-$H186)&lt;=toleransKurus,"TYK-005","TANIMSIZ"))))))</f>
        <v/>
      </c>
    </row>
    <row r="187">
      <c r="A187" s="23">
        <f>IF('ESLESTIRME'!$A187="","",'ESLESTIRME'!$A187)</f>
        <v/>
      </c>
      <c r="B187" s="17">
        <f>IF($A187="","",IFERROR(INDEX(tblEslesme[Kova],MATCH($A187,tblEslesme[A_Norm],0)),""))</f>
        <v/>
      </c>
      <c r="C187" s="17">
        <f>IF($A187="","",IFERROR(INDEX(tblEslesme[AbsFark],MATCH($A187,tblEslesme[A_Norm],0)),0))</f>
        <v/>
      </c>
      <c r="D187" s="17">
        <f>IF($A187="","",IFERROR(SUMIF(tblMotor[A_Norm],$A187,tblMotor[KomisyonTutar]),0))</f>
        <v/>
      </c>
      <c r="E187" s="17">
        <f>IF($A187="","",IFERROR(SUMIF(tblMotor[A_Norm],$A187,tblMotor[TyPlus]),0))</f>
        <v/>
      </c>
      <c r="F187" s="17">
        <f>IF($A187="","",IFERROR(SUMIF(tblMotor[A_Norm],$A187,tblMotor[FlasKesinti]),0))</f>
        <v/>
      </c>
      <c r="G187" s="17">
        <f>IF($A187="","",IFERROR(SUMIF(tblMotor[A_Norm],$A187,tblMotor[UrunReklam]),0))</f>
        <v/>
      </c>
      <c r="H187" s="17">
        <f>IF($A187="","",IFERROR(SUMIF(tblMotor[A_Norm],$A187,tblMotor[DesiKargo]),0))</f>
        <v/>
      </c>
      <c r="I187" s="17">
        <f>IF(OR($A187="",$B187&lt;&gt;"tutar_farki"),"",IF(ABS($C187-$D187)&lt;=toleransKurus,"TYK-001",IF(ABS($C187-$E187)&lt;=toleransKurus,"TYK-002",IF(ABS($C187-$F187)&lt;=toleransKurus,"TYK-003",IF(ABS($C187-$G187)&lt;=toleransKurus,"TYK-004",IF(ABS($C187-$H187)&lt;=toleransKurus,"TYK-005","TANIMSIZ"))))))</f>
        <v/>
      </c>
    </row>
    <row r="188">
      <c r="A188" s="23">
        <f>IF('ESLESTIRME'!$A188="","",'ESLESTIRME'!$A188)</f>
        <v/>
      </c>
      <c r="B188" s="17">
        <f>IF($A188="","",IFERROR(INDEX(tblEslesme[Kova],MATCH($A188,tblEslesme[A_Norm],0)),""))</f>
        <v/>
      </c>
      <c r="C188" s="17">
        <f>IF($A188="","",IFERROR(INDEX(tblEslesme[AbsFark],MATCH($A188,tblEslesme[A_Norm],0)),0))</f>
        <v/>
      </c>
      <c r="D188" s="17">
        <f>IF($A188="","",IFERROR(SUMIF(tblMotor[A_Norm],$A188,tblMotor[KomisyonTutar]),0))</f>
        <v/>
      </c>
      <c r="E188" s="17">
        <f>IF($A188="","",IFERROR(SUMIF(tblMotor[A_Norm],$A188,tblMotor[TyPlus]),0))</f>
        <v/>
      </c>
      <c r="F188" s="17">
        <f>IF($A188="","",IFERROR(SUMIF(tblMotor[A_Norm],$A188,tblMotor[FlasKesinti]),0))</f>
        <v/>
      </c>
      <c r="G188" s="17">
        <f>IF($A188="","",IFERROR(SUMIF(tblMotor[A_Norm],$A188,tblMotor[UrunReklam]),0))</f>
        <v/>
      </c>
      <c r="H188" s="17">
        <f>IF($A188="","",IFERROR(SUMIF(tblMotor[A_Norm],$A188,tblMotor[DesiKargo]),0))</f>
        <v/>
      </c>
      <c r="I188" s="17">
        <f>IF(OR($A188="",$B188&lt;&gt;"tutar_farki"),"",IF(ABS($C188-$D188)&lt;=toleransKurus,"TYK-001",IF(ABS($C188-$E188)&lt;=toleransKurus,"TYK-002",IF(ABS($C188-$F188)&lt;=toleransKurus,"TYK-003",IF(ABS($C188-$G188)&lt;=toleransKurus,"TYK-004",IF(ABS($C188-$H188)&lt;=toleransKurus,"TYK-005","TANIMSIZ"))))))</f>
        <v/>
      </c>
    </row>
    <row r="189">
      <c r="A189" s="23">
        <f>IF('ESLESTIRME'!$A189="","",'ESLESTIRME'!$A189)</f>
        <v/>
      </c>
      <c r="B189" s="17">
        <f>IF($A189="","",IFERROR(INDEX(tblEslesme[Kova],MATCH($A189,tblEslesme[A_Norm],0)),""))</f>
        <v/>
      </c>
      <c r="C189" s="17">
        <f>IF($A189="","",IFERROR(INDEX(tblEslesme[AbsFark],MATCH($A189,tblEslesme[A_Norm],0)),0))</f>
        <v/>
      </c>
      <c r="D189" s="17">
        <f>IF($A189="","",IFERROR(SUMIF(tblMotor[A_Norm],$A189,tblMotor[KomisyonTutar]),0))</f>
        <v/>
      </c>
      <c r="E189" s="17">
        <f>IF($A189="","",IFERROR(SUMIF(tblMotor[A_Norm],$A189,tblMotor[TyPlus]),0))</f>
        <v/>
      </c>
      <c r="F189" s="17">
        <f>IF($A189="","",IFERROR(SUMIF(tblMotor[A_Norm],$A189,tblMotor[FlasKesinti]),0))</f>
        <v/>
      </c>
      <c r="G189" s="17">
        <f>IF($A189="","",IFERROR(SUMIF(tblMotor[A_Norm],$A189,tblMotor[UrunReklam]),0))</f>
        <v/>
      </c>
      <c r="H189" s="17">
        <f>IF($A189="","",IFERROR(SUMIF(tblMotor[A_Norm],$A189,tblMotor[DesiKargo]),0))</f>
        <v/>
      </c>
      <c r="I189" s="17">
        <f>IF(OR($A189="",$B189&lt;&gt;"tutar_farki"),"",IF(ABS($C189-$D189)&lt;=toleransKurus,"TYK-001",IF(ABS($C189-$E189)&lt;=toleransKurus,"TYK-002",IF(ABS($C189-$F189)&lt;=toleransKurus,"TYK-003",IF(ABS($C189-$G189)&lt;=toleransKurus,"TYK-004",IF(ABS($C189-$H189)&lt;=toleransKurus,"TYK-005","TANIMSIZ"))))))</f>
        <v/>
      </c>
    </row>
    <row r="190">
      <c r="A190" s="23">
        <f>IF('ESLESTIRME'!$A190="","",'ESLESTIRME'!$A190)</f>
        <v/>
      </c>
      <c r="B190" s="17">
        <f>IF($A190="","",IFERROR(INDEX(tblEslesme[Kova],MATCH($A190,tblEslesme[A_Norm],0)),""))</f>
        <v/>
      </c>
      <c r="C190" s="17">
        <f>IF($A190="","",IFERROR(INDEX(tblEslesme[AbsFark],MATCH($A190,tblEslesme[A_Norm],0)),0))</f>
        <v/>
      </c>
      <c r="D190" s="17">
        <f>IF($A190="","",IFERROR(SUMIF(tblMotor[A_Norm],$A190,tblMotor[KomisyonTutar]),0))</f>
        <v/>
      </c>
      <c r="E190" s="17">
        <f>IF($A190="","",IFERROR(SUMIF(tblMotor[A_Norm],$A190,tblMotor[TyPlus]),0))</f>
        <v/>
      </c>
      <c r="F190" s="17">
        <f>IF($A190="","",IFERROR(SUMIF(tblMotor[A_Norm],$A190,tblMotor[FlasKesinti]),0))</f>
        <v/>
      </c>
      <c r="G190" s="17">
        <f>IF($A190="","",IFERROR(SUMIF(tblMotor[A_Norm],$A190,tblMotor[UrunReklam]),0))</f>
        <v/>
      </c>
      <c r="H190" s="17">
        <f>IF($A190="","",IFERROR(SUMIF(tblMotor[A_Norm],$A190,tblMotor[DesiKargo]),0))</f>
        <v/>
      </c>
      <c r="I190" s="17">
        <f>IF(OR($A190="",$B190&lt;&gt;"tutar_farki"),"",IF(ABS($C190-$D190)&lt;=toleransKurus,"TYK-001",IF(ABS($C190-$E190)&lt;=toleransKurus,"TYK-002",IF(ABS($C190-$F190)&lt;=toleransKurus,"TYK-003",IF(ABS($C190-$G190)&lt;=toleransKurus,"TYK-004",IF(ABS($C190-$H190)&lt;=toleransKurus,"TYK-005","TANIMSIZ"))))))</f>
        <v/>
      </c>
    </row>
    <row r="191">
      <c r="A191" s="23">
        <f>IF('ESLESTIRME'!$A191="","",'ESLESTIRME'!$A191)</f>
        <v/>
      </c>
      <c r="B191" s="17">
        <f>IF($A191="","",IFERROR(INDEX(tblEslesme[Kova],MATCH($A191,tblEslesme[A_Norm],0)),""))</f>
        <v/>
      </c>
      <c r="C191" s="17">
        <f>IF($A191="","",IFERROR(INDEX(tblEslesme[AbsFark],MATCH($A191,tblEslesme[A_Norm],0)),0))</f>
        <v/>
      </c>
      <c r="D191" s="17">
        <f>IF($A191="","",IFERROR(SUMIF(tblMotor[A_Norm],$A191,tblMotor[KomisyonTutar]),0))</f>
        <v/>
      </c>
      <c r="E191" s="17">
        <f>IF($A191="","",IFERROR(SUMIF(tblMotor[A_Norm],$A191,tblMotor[TyPlus]),0))</f>
        <v/>
      </c>
      <c r="F191" s="17">
        <f>IF($A191="","",IFERROR(SUMIF(tblMotor[A_Norm],$A191,tblMotor[FlasKesinti]),0))</f>
        <v/>
      </c>
      <c r="G191" s="17">
        <f>IF($A191="","",IFERROR(SUMIF(tblMotor[A_Norm],$A191,tblMotor[UrunReklam]),0))</f>
        <v/>
      </c>
      <c r="H191" s="17">
        <f>IF($A191="","",IFERROR(SUMIF(tblMotor[A_Norm],$A191,tblMotor[DesiKargo]),0))</f>
        <v/>
      </c>
      <c r="I191" s="17">
        <f>IF(OR($A191="",$B191&lt;&gt;"tutar_farki"),"",IF(ABS($C191-$D191)&lt;=toleransKurus,"TYK-001",IF(ABS($C191-$E191)&lt;=toleransKurus,"TYK-002",IF(ABS($C191-$F191)&lt;=toleransKurus,"TYK-003",IF(ABS($C191-$G191)&lt;=toleransKurus,"TYK-004",IF(ABS($C191-$H191)&lt;=toleransKurus,"TYK-005","TANIMSIZ"))))))</f>
        <v/>
      </c>
    </row>
    <row r="192">
      <c r="A192" s="23">
        <f>IF('ESLESTIRME'!$A192="","",'ESLESTIRME'!$A192)</f>
        <v/>
      </c>
      <c r="B192" s="17">
        <f>IF($A192="","",IFERROR(INDEX(tblEslesme[Kova],MATCH($A192,tblEslesme[A_Norm],0)),""))</f>
        <v/>
      </c>
      <c r="C192" s="17">
        <f>IF($A192="","",IFERROR(INDEX(tblEslesme[AbsFark],MATCH($A192,tblEslesme[A_Norm],0)),0))</f>
        <v/>
      </c>
      <c r="D192" s="17">
        <f>IF($A192="","",IFERROR(SUMIF(tblMotor[A_Norm],$A192,tblMotor[KomisyonTutar]),0))</f>
        <v/>
      </c>
      <c r="E192" s="17">
        <f>IF($A192="","",IFERROR(SUMIF(tblMotor[A_Norm],$A192,tblMotor[TyPlus]),0))</f>
        <v/>
      </c>
      <c r="F192" s="17">
        <f>IF($A192="","",IFERROR(SUMIF(tblMotor[A_Norm],$A192,tblMotor[FlasKesinti]),0))</f>
        <v/>
      </c>
      <c r="G192" s="17">
        <f>IF($A192="","",IFERROR(SUMIF(tblMotor[A_Norm],$A192,tblMotor[UrunReklam]),0))</f>
        <v/>
      </c>
      <c r="H192" s="17">
        <f>IF($A192="","",IFERROR(SUMIF(tblMotor[A_Norm],$A192,tblMotor[DesiKargo]),0))</f>
        <v/>
      </c>
      <c r="I192" s="17">
        <f>IF(OR($A192="",$B192&lt;&gt;"tutar_farki"),"",IF(ABS($C192-$D192)&lt;=toleransKurus,"TYK-001",IF(ABS($C192-$E192)&lt;=toleransKurus,"TYK-002",IF(ABS($C192-$F192)&lt;=toleransKurus,"TYK-003",IF(ABS($C192-$G192)&lt;=toleransKurus,"TYK-004",IF(ABS($C192-$H192)&lt;=toleransKurus,"TYK-005","TANIMSIZ"))))))</f>
        <v/>
      </c>
    </row>
    <row r="193">
      <c r="A193" s="23">
        <f>IF('ESLESTIRME'!$A193="","",'ESLESTIRME'!$A193)</f>
        <v/>
      </c>
      <c r="B193" s="17">
        <f>IF($A193="","",IFERROR(INDEX(tblEslesme[Kova],MATCH($A193,tblEslesme[A_Norm],0)),""))</f>
        <v/>
      </c>
      <c r="C193" s="17">
        <f>IF($A193="","",IFERROR(INDEX(tblEslesme[AbsFark],MATCH($A193,tblEslesme[A_Norm],0)),0))</f>
        <v/>
      </c>
      <c r="D193" s="17">
        <f>IF($A193="","",IFERROR(SUMIF(tblMotor[A_Norm],$A193,tblMotor[KomisyonTutar]),0))</f>
        <v/>
      </c>
      <c r="E193" s="17">
        <f>IF($A193="","",IFERROR(SUMIF(tblMotor[A_Norm],$A193,tblMotor[TyPlus]),0))</f>
        <v/>
      </c>
      <c r="F193" s="17">
        <f>IF($A193="","",IFERROR(SUMIF(tblMotor[A_Norm],$A193,tblMotor[FlasKesinti]),0))</f>
        <v/>
      </c>
      <c r="G193" s="17">
        <f>IF($A193="","",IFERROR(SUMIF(tblMotor[A_Norm],$A193,tblMotor[UrunReklam]),0))</f>
        <v/>
      </c>
      <c r="H193" s="17">
        <f>IF($A193="","",IFERROR(SUMIF(tblMotor[A_Norm],$A193,tblMotor[DesiKargo]),0))</f>
        <v/>
      </c>
      <c r="I193" s="17">
        <f>IF(OR($A193="",$B193&lt;&gt;"tutar_farki"),"",IF(ABS($C193-$D193)&lt;=toleransKurus,"TYK-001",IF(ABS($C193-$E193)&lt;=toleransKurus,"TYK-002",IF(ABS($C193-$F193)&lt;=toleransKurus,"TYK-003",IF(ABS($C193-$G193)&lt;=toleransKurus,"TYK-004",IF(ABS($C193-$H193)&lt;=toleransKurus,"TYK-005","TANIMSIZ"))))))</f>
        <v/>
      </c>
    </row>
    <row r="194">
      <c r="A194" s="23">
        <f>IF('ESLESTIRME'!$A194="","",'ESLESTIRME'!$A194)</f>
        <v/>
      </c>
      <c r="B194" s="17">
        <f>IF($A194="","",IFERROR(INDEX(tblEslesme[Kova],MATCH($A194,tblEslesme[A_Norm],0)),""))</f>
        <v/>
      </c>
      <c r="C194" s="17">
        <f>IF($A194="","",IFERROR(INDEX(tblEslesme[AbsFark],MATCH($A194,tblEslesme[A_Norm],0)),0))</f>
        <v/>
      </c>
      <c r="D194" s="17">
        <f>IF($A194="","",IFERROR(SUMIF(tblMotor[A_Norm],$A194,tblMotor[KomisyonTutar]),0))</f>
        <v/>
      </c>
      <c r="E194" s="17">
        <f>IF($A194="","",IFERROR(SUMIF(tblMotor[A_Norm],$A194,tblMotor[TyPlus]),0))</f>
        <v/>
      </c>
      <c r="F194" s="17">
        <f>IF($A194="","",IFERROR(SUMIF(tblMotor[A_Norm],$A194,tblMotor[FlasKesinti]),0))</f>
        <v/>
      </c>
      <c r="G194" s="17">
        <f>IF($A194="","",IFERROR(SUMIF(tblMotor[A_Norm],$A194,tblMotor[UrunReklam]),0))</f>
        <v/>
      </c>
      <c r="H194" s="17">
        <f>IF($A194="","",IFERROR(SUMIF(tblMotor[A_Norm],$A194,tblMotor[DesiKargo]),0))</f>
        <v/>
      </c>
      <c r="I194" s="17">
        <f>IF(OR($A194="",$B194&lt;&gt;"tutar_farki"),"",IF(ABS($C194-$D194)&lt;=toleransKurus,"TYK-001",IF(ABS($C194-$E194)&lt;=toleransKurus,"TYK-002",IF(ABS($C194-$F194)&lt;=toleransKurus,"TYK-003",IF(ABS($C194-$G194)&lt;=toleransKurus,"TYK-004",IF(ABS($C194-$H194)&lt;=toleransKurus,"TYK-005","TANIMSIZ"))))))</f>
        <v/>
      </c>
    </row>
    <row r="195">
      <c r="A195" s="23">
        <f>IF('ESLESTIRME'!$A195="","",'ESLESTIRME'!$A195)</f>
        <v/>
      </c>
      <c r="B195" s="17">
        <f>IF($A195="","",IFERROR(INDEX(tblEslesme[Kova],MATCH($A195,tblEslesme[A_Norm],0)),""))</f>
        <v/>
      </c>
      <c r="C195" s="17">
        <f>IF($A195="","",IFERROR(INDEX(tblEslesme[AbsFark],MATCH($A195,tblEslesme[A_Norm],0)),0))</f>
        <v/>
      </c>
      <c r="D195" s="17">
        <f>IF($A195="","",IFERROR(SUMIF(tblMotor[A_Norm],$A195,tblMotor[KomisyonTutar]),0))</f>
        <v/>
      </c>
      <c r="E195" s="17">
        <f>IF($A195="","",IFERROR(SUMIF(tblMotor[A_Norm],$A195,tblMotor[TyPlus]),0))</f>
        <v/>
      </c>
      <c r="F195" s="17">
        <f>IF($A195="","",IFERROR(SUMIF(tblMotor[A_Norm],$A195,tblMotor[FlasKesinti]),0))</f>
        <v/>
      </c>
      <c r="G195" s="17">
        <f>IF($A195="","",IFERROR(SUMIF(tblMotor[A_Norm],$A195,tblMotor[UrunReklam]),0))</f>
        <v/>
      </c>
      <c r="H195" s="17">
        <f>IF($A195="","",IFERROR(SUMIF(tblMotor[A_Norm],$A195,tblMotor[DesiKargo]),0))</f>
        <v/>
      </c>
      <c r="I195" s="17">
        <f>IF(OR($A195="",$B195&lt;&gt;"tutar_farki"),"",IF(ABS($C195-$D195)&lt;=toleransKurus,"TYK-001",IF(ABS($C195-$E195)&lt;=toleransKurus,"TYK-002",IF(ABS($C195-$F195)&lt;=toleransKurus,"TYK-003",IF(ABS($C195-$G195)&lt;=toleransKurus,"TYK-004",IF(ABS($C195-$H195)&lt;=toleransKurus,"TYK-005","TANIMSIZ"))))))</f>
        <v/>
      </c>
    </row>
    <row r="196">
      <c r="A196" s="23">
        <f>IF('ESLESTIRME'!$A196="","",'ESLESTIRME'!$A196)</f>
        <v/>
      </c>
      <c r="B196" s="17">
        <f>IF($A196="","",IFERROR(INDEX(tblEslesme[Kova],MATCH($A196,tblEslesme[A_Norm],0)),""))</f>
        <v/>
      </c>
      <c r="C196" s="17">
        <f>IF($A196="","",IFERROR(INDEX(tblEslesme[AbsFark],MATCH($A196,tblEslesme[A_Norm],0)),0))</f>
        <v/>
      </c>
      <c r="D196" s="17">
        <f>IF($A196="","",IFERROR(SUMIF(tblMotor[A_Norm],$A196,tblMotor[KomisyonTutar]),0))</f>
        <v/>
      </c>
      <c r="E196" s="17">
        <f>IF($A196="","",IFERROR(SUMIF(tblMotor[A_Norm],$A196,tblMotor[TyPlus]),0))</f>
        <v/>
      </c>
      <c r="F196" s="17">
        <f>IF($A196="","",IFERROR(SUMIF(tblMotor[A_Norm],$A196,tblMotor[FlasKesinti]),0))</f>
        <v/>
      </c>
      <c r="G196" s="17">
        <f>IF($A196="","",IFERROR(SUMIF(tblMotor[A_Norm],$A196,tblMotor[UrunReklam]),0))</f>
        <v/>
      </c>
      <c r="H196" s="17">
        <f>IF($A196="","",IFERROR(SUMIF(tblMotor[A_Norm],$A196,tblMotor[DesiKargo]),0))</f>
        <v/>
      </c>
      <c r="I196" s="17">
        <f>IF(OR($A196="",$B196&lt;&gt;"tutar_farki"),"",IF(ABS($C196-$D196)&lt;=toleransKurus,"TYK-001",IF(ABS($C196-$E196)&lt;=toleransKurus,"TYK-002",IF(ABS($C196-$F196)&lt;=toleransKurus,"TYK-003",IF(ABS($C196-$G196)&lt;=toleransKurus,"TYK-004",IF(ABS($C196-$H196)&lt;=toleransKurus,"TYK-005","TANIMSIZ"))))))</f>
        <v/>
      </c>
    </row>
    <row r="197">
      <c r="A197" s="23">
        <f>IF('ESLESTIRME'!$A197="","",'ESLESTIRME'!$A197)</f>
        <v/>
      </c>
      <c r="B197" s="17">
        <f>IF($A197="","",IFERROR(INDEX(tblEslesme[Kova],MATCH($A197,tblEslesme[A_Norm],0)),""))</f>
        <v/>
      </c>
      <c r="C197" s="17">
        <f>IF($A197="","",IFERROR(INDEX(tblEslesme[AbsFark],MATCH($A197,tblEslesme[A_Norm],0)),0))</f>
        <v/>
      </c>
      <c r="D197" s="17">
        <f>IF($A197="","",IFERROR(SUMIF(tblMotor[A_Norm],$A197,tblMotor[KomisyonTutar]),0))</f>
        <v/>
      </c>
      <c r="E197" s="17">
        <f>IF($A197="","",IFERROR(SUMIF(tblMotor[A_Norm],$A197,tblMotor[TyPlus]),0))</f>
        <v/>
      </c>
      <c r="F197" s="17">
        <f>IF($A197="","",IFERROR(SUMIF(tblMotor[A_Norm],$A197,tblMotor[FlasKesinti]),0))</f>
        <v/>
      </c>
      <c r="G197" s="17">
        <f>IF($A197="","",IFERROR(SUMIF(tblMotor[A_Norm],$A197,tblMotor[UrunReklam]),0))</f>
        <v/>
      </c>
      <c r="H197" s="17">
        <f>IF($A197="","",IFERROR(SUMIF(tblMotor[A_Norm],$A197,tblMotor[DesiKargo]),0))</f>
        <v/>
      </c>
      <c r="I197" s="17">
        <f>IF(OR($A197="",$B197&lt;&gt;"tutar_farki"),"",IF(ABS($C197-$D197)&lt;=toleransKurus,"TYK-001",IF(ABS($C197-$E197)&lt;=toleransKurus,"TYK-002",IF(ABS($C197-$F197)&lt;=toleransKurus,"TYK-003",IF(ABS($C197-$G197)&lt;=toleransKurus,"TYK-004",IF(ABS($C197-$H197)&lt;=toleransKurus,"TYK-005","TANIMSIZ"))))))</f>
        <v/>
      </c>
    </row>
    <row r="198">
      <c r="A198" s="23">
        <f>IF('ESLESTIRME'!$A198="","",'ESLESTIRME'!$A198)</f>
        <v/>
      </c>
      <c r="B198" s="17">
        <f>IF($A198="","",IFERROR(INDEX(tblEslesme[Kova],MATCH($A198,tblEslesme[A_Norm],0)),""))</f>
        <v/>
      </c>
      <c r="C198" s="17">
        <f>IF($A198="","",IFERROR(INDEX(tblEslesme[AbsFark],MATCH($A198,tblEslesme[A_Norm],0)),0))</f>
        <v/>
      </c>
      <c r="D198" s="17">
        <f>IF($A198="","",IFERROR(SUMIF(tblMotor[A_Norm],$A198,tblMotor[KomisyonTutar]),0))</f>
        <v/>
      </c>
      <c r="E198" s="17">
        <f>IF($A198="","",IFERROR(SUMIF(tblMotor[A_Norm],$A198,tblMotor[TyPlus]),0))</f>
        <v/>
      </c>
      <c r="F198" s="17">
        <f>IF($A198="","",IFERROR(SUMIF(tblMotor[A_Norm],$A198,tblMotor[FlasKesinti]),0))</f>
        <v/>
      </c>
      <c r="G198" s="17">
        <f>IF($A198="","",IFERROR(SUMIF(tblMotor[A_Norm],$A198,tblMotor[UrunReklam]),0))</f>
        <v/>
      </c>
      <c r="H198" s="17">
        <f>IF($A198="","",IFERROR(SUMIF(tblMotor[A_Norm],$A198,tblMotor[DesiKargo]),0))</f>
        <v/>
      </c>
      <c r="I198" s="17">
        <f>IF(OR($A198="",$B198&lt;&gt;"tutar_farki"),"",IF(ABS($C198-$D198)&lt;=toleransKurus,"TYK-001",IF(ABS($C198-$E198)&lt;=toleransKurus,"TYK-002",IF(ABS($C198-$F198)&lt;=toleransKurus,"TYK-003",IF(ABS($C198-$G198)&lt;=toleransKurus,"TYK-004",IF(ABS($C198-$H198)&lt;=toleransKurus,"TYK-005","TANIMSIZ"))))))</f>
        <v/>
      </c>
    </row>
    <row r="199">
      <c r="A199" s="23">
        <f>IF('ESLESTIRME'!$A199="","",'ESLESTIRME'!$A199)</f>
        <v/>
      </c>
      <c r="B199" s="17">
        <f>IF($A199="","",IFERROR(INDEX(tblEslesme[Kova],MATCH($A199,tblEslesme[A_Norm],0)),""))</f>
        <v/>
      </c>
      <c r="C199" s="17">
        <f>IF($A199="","",IFERROR(INDEX(tblEslesme[AbsFark],MATCH($A199,tblEslesme[A_Norm],0)),0))</f>
        <v/>
      </c>
      <c r="D199" s="17">
        <f>IF($A199="","",IFERROR(SUMIF(tblMotor[A_Norm],$A199,tblMotor[KomisyonTutar]),0))</f>
        <v/>
      </c>
      <c r="E199" s="17">
        <f>IF($A199="","",IFERROR(SUMIF(tblMotor[A_Norm],$A199,tblMotor[TyPlus]),0))</f>
        <v/>
      </c>
      <c r="F199" s="17">
        <f>IF($A199="","",IFERROR(SUMIF(tblMotor[A_Norm],$A199,tblMotor[FlasKesinti]),0))</f>
        <v/>
      </c>
      <c r="G199" s="17">
        <f>IF($A199="","",IFERROR(SUMIF(tblMotor[A_Norm],$A199,tblMotor[UrunReklam]),0))</f>
        <v/>
      </c>
      <c r="H199" s="17">
        <f>IF($A199="","",IFERROR(SUMIF(tblMotor[A_Norm],$A199,tblMotor[DesiKargo]),0))</f>
        <v/>
      </c>
      <c r="I199" s="17">
        <f>IF(OR($A199="",$B199&lt;&gt;"tutar_farki"),"",IF(ABS($C199-$D199)&lt;=toleransKurus,"TYK-001",IF(ABS($C199-$E199)&lt;=toleransKurus,"TYK-002",IF(ABS($C199-$F199)&lt;=toleransKurus,"TYK-003",IF(ABS($C199-$G199)&lt;=toleransKurus,"TYK-004",IF(ABS($C199-$H199)&lt;=toleransKurus,"TYK-005","TANIMSIZ"))))))</f>
        <v/>
      </c>
    </row>
    <row r="200">
      <c r="A200" s="23">
        <f>IF('ESLESTIRME'!$A200="","",'ESLESTIRME'!$A200)</f>
        <v/>
      </c>
      <c r="B200" s="17">
        <f>IF($A200="","",IFERROR(INDEX(tblEslesme[Kova],MATCH($A200,tblEslesme[A_Norm],0)),""))</f>
        <v/>
      </c>
      <c r="C200" s="17">
        <f>IF($A200="","",IFERROR(INDEX(tblEslesme[AbsFark],MATCH($A200,tblEslesme[A_Norm],0)),0))</f>
        <v/>
      </c>
      <c r="D200" s="17">
        <f>IF($A200="","",IFERROR(SUMIF(tblMotor[A_Norm],$A200,tblMotor[KomisyonTutar]),0))</f>
        <v/>
      </c>
      <c r="E200" s="17">
        <f>IF($A200="","",IFERROR(SUMIF(tblMotor[A_Norm],$A200,tblMotor[TyPlus]),0))</f>
        <v/>
      </c>
      <c r="F200" s="17">
        <f>IF($A200="","",IFERROR(SUMIF(tblMotor[A_Norm],$A200,tblMotor[FlasKesinti]),0))</f>
        <v/>
      </c>
      <c r="G200" s="17">
        <f>IF($A200="","",IFERROR(SUMIF(tblMotor[A_Norm],$A200,tblMotor[UrunReklam]),0))</f>
        <v/>
      </c>
      <c r="H200" s="17">
        <f>IF($A200="","",IFERROR(SUMIF(tblMotor[A_Norm],$A200,tblMotor[DesiKargo]),0))</f>
        <v/>
      </c>
      <c r="I200" s="17">
        <f>IF(OR($A200="",$B200&lt;&gt;"tutar_farki"),"",IF(ABS($C200-$D200)&lt;=toleransKurus,"TYK-001",IF(ABS($C200-$E200)&lt;=toleransKurus,"TYK-002",IF(ABS($C200-$F200)&lt;=toleransKurus,"TYK-003",IF(ABS($C200-$G200)&lt;=toleransKurus,"TYK-004",IF(ABS($C200-$H200)&lt;=toleransKurus,"TYK-005","TANIMSIZ"))))))</f>
        <v/>
      </c>
    </row>
    <row r="201">
      <c r="A201" s="23">
        <f>IF('ESLESTIRME'!$A201="","",'ESLESTIRME'!$A201)</f>
        <v/>
      </c>
      <c r="B201" s="17">
        <f>IF($A201="","",IFERROR(INDEX(tblEslesme[Kova],MATCH($A201,tblEslesme[A_Norm],0)),""))</f>
        <v/>
      </c>
      <c r="C201" s="17">
        <f>IF($A201="","",IFERROR(INDEX(tblEslesme[AbsFark],MATCH($A201,tblEslesme[A_Norm],0)),0))</f>
        <v/>
      </c>
      <c r="D201" s="17">
        <f>IF($A201="","",IFERROR(SUMIF(tblMotor[A_Norm],$A201,tblMotor[KomisyonTutar]),0))</f>
        <v/>
      </c>
      <c r="E201" s="17">
        <f>IF($A201="","",IFERROR(SUMIF(tblMotor[A_Norm],$A201,tblMotor[TyPlus]),0))</f>
        <v/>
      </c>
      <c r="F201" s="17">
        <f>IF($A201="","",IFERROR(SUMIF(tblMotor[A_Norm],$A201,tblMotor[FlasKesinti]),0))</f>
        <v/>
      </c>
      <c r="G201" s="17">
        <f>IF($A201="","",IFERROR(SUMIF(tblMotor[A_Norm],$A201,tblMotor[UrunReklam]),0))</f>
        <v/>
      </c>
      <c r="H201" s="17">
        <f>IF($A201="","",IFERROR(SUMIF(tblMotor[A_Norm],$A201,tblMotor[DesiKargo]),0))</f>
        <v/>
      </c>
      <c r="I201" s="17">
        <f>IF(OR($A201="",$B201&lt;&gt;"tutar_farki"),"",IF(ABS($C201-$D201)&lt;=toleransKurus,"TYK-001",IF(ABS($C201-$E201)&lt;=toleransKurus,"TYK-002",IF(ABS($C201-$F201)&lt;=toleransKurus,"TYK-003",IF(ABS($C201-$G201)&lt;=toleransKurus,"TYK-004",IF(ABS($C201-$H201)&lt;=toleransKurus,"TYK-005","TANIMSIZ"))))))</f>
        <v/>
      </c>
    </row>
    <row r="202">
      <c r="A202" s="23">
        <f>IF('ESLESTIRME'!$A202="","",'ESLESTIRME'!$A202)</f>
        <v/>
      </c>
      <c r="B202" s="17">
        <f>IF($A202="","",IFERROR(INDEX(tblEslesme[Kova],MATCH($A202,tblEslesme[A_Norm],0)),""))</f>
        <v/>
      </c>
      <c r="C202" s="17">
        <f>IF($A202="","",IFERROR(INDEX(tblEslesme[AbsFark],MATCH($A202,tblEslesme[A_Norm],0)),0))</f>
        <v/>
      </c>
      <c r="D202" s="17">
        <f>IF($A202="","",IFERROR(SUMIF(tblMotor[A_Norm],$A202,tblMotor[KomisyonTutar]),0))</f>
        <v/>
      </c>
      <c r="E202" s="17">
        <f>IF($A202="","",IFERROR(SUMIF(tblMotor[A_Norm],$A202,tblMotor[TyPlus]),0))</f>
        <v/>
      </c>
      <c r="F202" s="17">
        <f>IF($A202="","",IFERROR(SUMIF(tblMotor[A_Norm],$A202,tblMotor[FlasKesinti]),0))</f>
        <v/>
      </c>
      <c r="G202" s="17">
        <f>IF($A202="","",IFERROR(SUMIF(tblMotor[A_Norm],$A202,tblMotor[UrunReklam]),0))</f>
        <v/>
      </c>
      <c r="H202" s="17">
        <f>IF($A202="","",IFERROR(SUMIF(tblMotor[A_Norm],$A202,tblMotor[DesiKargo]),0))</f>
        <v/>
      </c>
      <c r="I202" s="17">
        <f>IF(OR($A202="",$B202&lt;&gt;"tutar_farki"),"",IF(ABS($C202-$D202)&lt;=toleransKurus,"TYK-001",IF(ABS($C202-$E202)&lt;=toleransKurus,"TYK-002",IF(ABS($C202-$F202)&lt;=toleransKurus,"TYK-003",IF(ABS($C202-$G202)&lt;=toleransKurus,"TYK-004",IF(ABS($C202-$H202)&lt;=toleransKurus,"TYK-005","TANIMSIZ"))))))</f>
        <v/>
      </c>
    </row>
    <row r="203">
      <c r="A203" s="23">
        <f>IF('ESLESTIRME'!$A203="","",'ESLESTIRME'!$A203)</f>
        <v/>
      </c>
      <c r="B203" s="17">
        <f>IF($A203="","",IFERROR(INDEX(tblEslesme[Kova],MATCH($A203,tblEslesme[A_Norm],0)),""))</f>
        <v/>
      </c>
      <c r="C203" s="17">
        <f>IF($A203="","",IFERROR(INDEX(tblEslesme[AbsFark],MATCH($A203,tblEslesme[A_Norm],0)),0))</f>
        <v/>
      </c>
      <c r="D203" s="17">
        <f>IF($A203="","",IFERROR(SUMIF(tblMotor[A_Norm],$A203,tblMotor[KomisyonTutar]),0))</f>
        <v/>
      </c>
      <c r="E203" s="17">
        <f>IF($A203="","",IFERROR(SUMIF(tblMotor[A_Norm],$A203,tblMotor[TyPlus]),0))</f>
        <v/>
      </c>
      <c r="F203" s="17">
        <f>IF($A203="","",IFERROR(SUMIF(tblMotor[A_Norm],$A203,tblMotor[FlasKesinti]),0))</f>
        <v/>
      </c>
      <c r="G203" s="17">
        <f>IF($A203="","",IFERROR(SUMIF(tblMotor[A_Norm],$A203,tblMotor[UrunReklam]),0))</f>
        <v/>
      </c>
      <c r="H203" s="17">
        <f>IF($A203="","",IFERROR(SUMIF(tblMotor[A_Norm],$A203,tblMotor[DesiKargo]),0))</f>
        <v/>
      </c>
      <c r="I203" s="17">
        <f>IF(OR($A203="",$B203&lt;&gt;"tutar_farki"),"",IF(ABS($C203-$D203)&lt;=toleransKurus,"TYK-001",IF(ABS($C203-$E203)&lt;=toleransKurus,"TYK-002",IF(ABS($C203-$F203)&lt;=toleransKurus,"TYK-003",IF(ABS($C203-$G203)&lt;=toleransKurus,"TYK-004",IF(ABS($C203-$H203)&lt;=toleransKurus,"TYK-005","TANIMSIZ"))))))</f>
        <v/>
      </c>
    </row>
    <row r="204">
      <c r="A204" s="23">
        <f>IF('ESLESTIRME'!$A204="","",'ESLESTIRME'!$A204)</f>
        <v/>
      </c>
      <c r="B204" s="17">
        <f>IF($A204="","",IFERROR(INDEX(tblEslesme[Kova],MATCH($A204,tblEslesme[A_Norm],0)),""))</f>
        <v/>
      </c>
      <c r="C204" s="17">
        <f>IF($A204="","",IFERROR(INDEX(tblEslesme[AbsFark],MATCH($A204,tblEslesme[A_Norm],0)),0))</f>
        <v/>
      </c>
      <c r="D204" s="17">
        <f>IF($A204="","",IFERROR(SUMIF(tblMotor[A_Norm],$A204,tblMotor[KomisyonTutar]),0))</f>
        <v/>
      </c>
      <c r="E204" s="17">
        <f>IF($A204="","",IFERROR(SUMIF(tblMotor[A_Norm],$A204,tblMotor[TyPlus]),0))</f>
        <v/>
      </c>
      <c r="F204" s="17">
        <f>IF($A204="","",IFERROR(SUMIF(tblMotor[A_Norm],$A204,tblMotor[FlasKesinti]),0))</f>
        <v/>
      </c>
      <c r="G204" s="17">
        <f>IF($A204="","",IFERROR(SUMIF(tblMotor[A_Norm],$A204,tblMotor[UrunReklam]),0))</f>
        <v/>
      </c>
      <c r="H204" s="17">
        <f>IF($A204="","",IFERROR(SUMIF(tblMotor[A_Norm],$A204,tblMotor[DesiKargo]),0))</f>
        <v/>
      </c>
      <c r="I204" s="17">
        <f>IF(OR($A204="",$B204&lt;&gt;"tutar_farki"),"",IF(ABS($C204-$D204)&lt;=toleransKurus,"TYK-001",IF(ABS($C204-$E204)&lt;=toleransKurus,"TYK-002",IF(ABS($C204-$F204)&lt;=toleransKurus,"TYK-003",IF(ABS($C204-$G204)&lt;=toleransKurus,"TYK-004",IF(ABS($C204-$H204)&lt;=toleransKurus,"TYK-005","TANIMSIZ"))))))</f>
        <v/>
      </c>
    </row>
    <row r="205">
      <c r="A205" s="23">
        <f>IF('ESLESTIRME'!$A205="","",'ESLESTIRME'!$A205)</f>
        <v/>
      </c>
      <c r="B205" s="17">
        <f>IF($A205="","",IFERROR(INDEX(tblEslesme[Kova],MATCH($A205,tblEslesme[A_Norm],0)),""))</f>
        <v/>
      </c>
      <c r="C205" s="17">
        <f>IF($A205="","",IFERROR(INDEX(tblEslesme[AbsFark],MATCH($A205,tblEslesme[A_Norm],0)),0))</f>
        <v/>
      </c>
      <c r="D205" s="17">
        <f>IF($A205="","",IFERROR(SUMIF(tblMotor[A_Norm],$A205,tblMotor[KomisyonTutar]),0))</f>
        <v/>
      </c>
      <c r="E205" s="17">
        <f>IF($A205="","",IFERROR(SUMIF(tblMotor[A_Norm],$A205,tblMotor[TyPlus]),0))</f>
        <v/>
      </c>
      <c r="F205" s="17">
        <f>IF($A205="","",IFERROR(SUMIF(tblMotor[A_Norm],$A205,tblMotor[FlasKesinti]),0))</f>
        <v/>
      </c>
      <c r="G205" s="17">
        <f>IF($A205="","",IFERROR(SUMIF(tblMotor[A_Norm],$A205,tblMotor[UrunReklam]),0))</f>
        <v/>
      </c>
      <c r="H205" s="17">
        <f>IF($A205="","",IFERROR(SUMIF(tblMotor[A_Norm],$A205,tblMotor[DesiKargo]),0))</f>
        <v/>
      </c>
      <c r="I205" s="17">
        <f>IF(OR($A205="",$B205&lt;&gt;"tutar_farki"),"",IF(ABS($C205-$D205)&lt;=toleransKurus,"TYK-001",IF(ABS($C205-$E205)&lt;=toleransKurus,"TYK-002",IF(ABS($C205-$F205)&lt;=toleransKurus,"TYK-003",IF(ABS($C205-$G205)&lt;=toleransKurus,"TYK-004",IF(ABS($C205-$H205)&lt;=toleransKurus,"TYK-005","TANIMSIZ"))))))</f>
        <v/>
      </c>
    </row>
    <row r="206">
      <c r="A206" s="23">
        <f>IF('ESLESTIRME'!$A206="","",'ESLESTIRME'!$A206)</f>
        <v/>
      </c>
      <c r="B206" s="17">
        <f>IF($A206="","",IFERROR(INDEX(tblEslesme[Kova],MATCH($A206,tblEslesme[A_Norm],0)),""))</f>
        <v/>
      </c>
      <c r="C206" s="17">
        <f>IF($A206="","",IFERROR(INDEX(tblEslesme[AbsFark],MATCH($A206,tblEslesme[A_Norm],0)),0))</f>
        <v/>
      </c>
      <c r="D206" s="17">
        <f>IF($A206="","",IFERROR(SUMIF(tblMotor[A_Norm],$A206,tblMotor[KomisyonTutar]),0))</f>
        <v/>
      </c>
      <c r="E206" s="17">
        <f>IF($A206="","",IFERROR(SUMIF(tblMotor[A_Norm],$A206,tblMotor[TyPlus]),0))</f>
        <v/>
      </c>
      <c r="F206" s="17">
        <f>IF($A206="","",IFERROR(SUMIF(tblMotor[A_Norm],$A206,tblMotor[FlasKesinti]),0))</f>
        <v/>
      </c>
      <c r="G206" s="17">
        <f>IF($A206="","",IFERROR(SUMIF(tblMotor[A_Norm],$A206,tblMotor[UrunReklam]),0))</f>
        <v/>
      </c>
      <c r="H206" s="17">
        <f>IF($A206="","",IFERROR(SUMIF(tblMotor[A_Norm],$A206,tblMotor[DesiKargo]),0))</f>
        <v/>
      </c>
      <c r="I206" s="17">
        <f>IF(OR($A206="",$B206&lt;&gt;"tutar_farki"),"",IF(ABS($C206-$D206)&lt;=toleransKurus,"TYK-001",IF(ABS($C206-$E206)&lt;=toleransKurus,"TYK-002",IF(ABS($C206-$F206)&lt;=toleransKurus,"TYK-003",IF(ABS($C206-$G206)&lt;=toleransKurus,"TYK-004",IF(ABS($C206-$H206)&lt;=toleransKurus,"TYK-005","TANIMSIZ"))))))</f>
        <v/>
      </c>
    </row>
    <row r="207">
      <c r="A207" s="23">
        <f>IF('ESLESTIRME'!$A207="","",'ESLESTIRME'!$A207)</f>
        <v/>
      </c>
      <c r="B207" s="17">
        <f>IF($A207="","",IFERROR(INDEX(tblEslesme[Kova],MATCH($A207,tblEslesme[A_Norm],0)),""))</f>
        <v/>
      </c>
      <c r="C207" s="17">
        <f>IF($A207="","",IFERROR(INDEX(tblEslesme[AbsFark],MATCH($A207,tblEslesme[A_Norm],0)),0))</f>
        <v/>
      </c>
      <c r="D207" s="17">
        <f>IF($A207="","",IFERROR(SUMIF(tblMotor[A_Norm],$A207,tblMotor[KomisyonTutar]),0))</f>
        <v/>
      </c>
      <c r="E207" s="17">
        <f>IF($A207="","",IFERROR(SUMIF(tblMotor[A_Norm],$A207,tblMotor[TyPlus]),0))</f>
        <v/>
      </c>
      <c r="F207" s="17">
        <f>IF($A207="","",IFERROR(SUMIF(tblMotor[A_Norm],$A207,tblMotor[FlasKesinti]),0))</f>
        <v/>
      </c>
      <c r="G207" s="17">
        <f>IF($A207="","",IFERROR(SUMIF(tblMotor[A_Norm],$A207,tblMotor[UrunReklam]),0))</f>
        <v/>
      </c>
      <c r="H207" s="17">
        <f>IF($A207="","",IFERROR(SUMIF(tblMotor[A_Norm],$A207,tblMotor[DesiKargo]),0))</f>
        <v/>
      </c>
      <c r="I207" s="17">
        <f>IF(OR($A207="",$B207&lt;&gt;"tutar_farki"),"",IF(ABS($C207-$D207)&lt;=toleransKurus,"TYK-001",IF(ABS($C207-$E207)&lt;=toleransKurus,"TYK-002",IF(ABS($C207-$F207)&lt;=toleransKurus,"TYK-003",IF(ABS($C207-$G207)&lt;=toleransKurus,"TYK-004",IF(ABS($C207-$H207)&lt;=toleransKurus,"TYK-005","TANIMSIZ"))))))</f>
        <v/>
      </c>
    </row>
    <row r="208">
      <c r="A208" s="23">
        <f>IF('ESLESTIRME'!$A208="","",'ESLESTIRME'!$A208)</f>
        <v/>
      </c>
      <c r="B208" s="17">
        <f>IF($A208="","",IFERROR(INDEX(tblEslesme[Kova],MATCH($A208,tblEslesme[A_Norm],0)),""))</f>
        <v/>
      </c>
      <c r="C208" s="17">
        <f>IF($A208="","",IFERROR(INDEX(tblEslesme[AbsFark],MATCH($A208,tblEslesme[A_Norm],0)),0))</f>
        <v/>
      </c>
      <c r="D208" s="17">
        <f>IF($A208="","",IFERROR(SUMIF(tblMotor[A_Norm],$A208,tblMotor[KomisyonTutar]),0))</f>
        <v/>
      </c>
      <c r="E208" s="17">
        <f>IF($A208="","",IFERROR(SUMIF(tblMotor[A_Norm],$A208,tblMotor[TyPlus]),0))</f>
        <v/>
      </c>
      <c r="F208" s="17">
        <f>IF($A208="","",IFERROR(SUMIF(tblMotor[A_Norm],$A208,tblMotor[FlasKesinti]),0))</f>
        <v/>
      </c>
      <c r="G208" s="17">
        <f>IF($A208="","",IFERROR(SUMIF(tblMotor[A_Norm],$A208,tblMotor[UrunReklam]),0))</f>
        <v/>
      </c>
      <c r="H208" s="17">
        <f>IF($A208="","",IFERROR(SUMIF(tblMotor[A_Norm],$A208,tblMotor[DesiKargo]),0))</f>
        <v/>
      </c>
      <c r="I208" s="17">
        <f>IF(OR($A208="",$B208&lt;&gt;"tutar_farki"),"",IF(ABS($C208-$D208)&lt;=toleransKurus,"TYK-001",IF(ABS($C208-$E208)&lt;=toleransKurus,"TYK-002",IF(ABS($C208-$F208)&lt;=toleransKurus,"TYK-003",IF(ABS($C208-$G208)&lt;=toleransKurus,"TYK-004",IF(ABS($C208-$H208)&lt;=toleransKurus,"TYK-005","TANIMSIZ"))))))</f>
        <v/>
      </c>
    </row>
    <row r="209">
      <c r="A209" s="23">
        <f>IF('ESLESTIRME'!$A209="","",'ESLESTIRME'!$A209)</f>
        <v/>
      </c>
      <c r="B209" s="17">
        <f>IF($A209="","",IFERROR(INDEX(tblEslesme[Kova],MATCH($A209,tblEslesme[A_Norm],0)),""))</f>
        <v/>
      </c>
      <c r="C209" s="17">
        <f>IF($A209="","",IFERROR(INDEX(tblEslesme[AbsFark],MATCH($A209,tblEslesme[A_Norm],0)),0))</f>
        <v/>
      </c>
      <c r="D209" s="17">
        <f>IF($A209="","",IFERROR(SUMIF(tblMotor[A_Norm],$A209,tblMotor[KomisyonTutar]),0))</f>
        <v/>
      </c>
      <c r="E209" s="17">
        <f>IF($A209="","",IFERROR(SUMIF(tblMotor[A_Norm],$A209,tblMotor[TyPlus]),0))</f>
        <v/>
      </c>
      <c r="F209" s="17">
        <f>IF($A209="","",IFERROR(SUMIF(tblMotor[A_Norm],$A209,tblMotor[FlasKesinti]),0))</f>
        <v/>
      </c>
      <c r="G209" s="17">
        <f>IF($A209="","",IFERROR(SUMIF(tblMotor[A_Norm],$A209,tblMotor[UrunReklam]),0))</f>
        <v/>
      </c>
      <c r="H209" s="17">
        <f>IF($A209="","",IFERROR(SUMIF(tblMotor[A_Norm],$A209,tblMotor[DesiKargo]),0))</f>
        <v/>
      </c>
      <c r="I209" s="17">
        <f>IF(OR($A209="",$B209&lt;&gt;"tutar_farki"),"",IF(ABS($C209-$D209)&lt;=toleransKurus,"TYK-001",IF(ABS($C209-$E209)&lt;=toleransKurus,"TYK-002",IF(ABS($C209-$F209)&lt;=toleransKurus,"TYK-003",IF(ABS($C209-$G209)&lt;=toleransKurus,"TYK-004",IF(ABS($C209-$H209)&lt;=toleransKurus,"TYK-005","TANIMSIZ"))))))</f>
        <v/>
      </c>
    </row>
    <row r="210">
      <c r="A210" s="23">
        <f>IF('ESLESTIRME'!$A210="","",'ESLESTIRME'!$A210)</f>
        <v/>
      </c>
      <c r="B210" s="17">
        <f>IF($A210="","",IFERROR(INDEX(tblEslesme[Kova],MATCH($A210,tblEslesme[A_Norm],0)),""))</f>
        <v/>
      </c>
      <c r="C210" s="17">
        <f>IF($A210="","",IFERROR(INDEX(tblEslesme[AbsFark],MATCH($A210,tblEslesme[A_Norm],0)),0))</f>
        <v/>
      </c>
      <c r="D210" s="17">
        <f>IF($A210="","",IFERROR(SUMIF(tblMotor[A_Norm],$A210,tblMotor[KomisyonTutar]),0))</f>
        <v/>
      </c>
      <c r="E210" s="17">
        <f>IF($A210="","",IFERROR(SUMIF(tblMotor[A_Norm],$A210,tblMotor[TyPlus]),0))</f>
        <v/>
      </c>
      <c r="F210" s="17">
        <f>IF($A210="","",IFERROR(SUMIF(tblMotor[A_Norm],$A210,tblMotor[FlasKesinti]),0))</f>
        <v/>
      </c>
      <c r="G210" s="17">
        <f>IF($A210="","",IFERROR(SUMIF(tblMotor[A_Norm],$A210,tblMotor[UrunReklam]),0))</f>
        <v/>
      </c>
      <c r="H210" s="17">
        <f>IF($A210="","",IFERROR(SUMIF(tblMotor[A_Norm],$A210,tblMotor[DesiKargo]),0))</f>
        <v/>
      </c>
      <c r="I210" s="17">
        <f>IF(OR($A210="",$B210&lt;&gt;"tutar_farki"),"",IF(ABS($C210-$D210)&lt;=toleransKurus,"TYK-001",IF(ABS($C210-$E210)&lt;=toleransKurus,"TYK-002",IF(ABS($C210-$F210)&lt;=toleransKurus,"TYK-003",IF(ABS($C210-$G210)&lt;=toleransKurus,"TYK-004",IF(ABS($C210-$H210)&lt;=toleransKurus,"TYK-005","TANIMSIZ"))))))</f>
        <v/>
      </c>
    </row>
    <row r="211">
      <c r="A211" s="23">
        <f>IF('ESLESTIRME'!$A211="","",'ESLESTIRME'!$A211)</f>
        <v/>
      </c>
      <c r="B211" s="17">
        <f>IF($A211="","",IFERROR(INDEX(tblEslesme[Kova],MATCH($A211,tblEslesme[A_Norm],0)),""))</f>
        <v/>
      </c>
      <c r="C211" s="17">
        <f>IF($A211="","",IFERROR(INDEX(tblEslesme[AbsFark],MATCH($A211,tblEslesme[A_Norm],0)),0))</f>
        <v/>
      </c>
      <c r="D211" s="17">
        <f>IF($A211="","",IFERROR(SUMIF(tblMotor[A_Norm],$A211,tblMotor[KomisyonTutar]),0))</f>
        <v/>
      </c>
      <c r="E211" s="17">
        <f>IF($A211="","",IFERROR(SUMIF(tblMotor[A_Norm],$A211,tblMotor[TyPlus]),0))</f>
        <v/>
      </c>
      <c r="F211" s="17">
        <f>IF($A211="","",IFERROR(SUMIF(tblMotor[A_Norm],$A211,tblMotor[FlasKesinti]),0))</f>
        <v/>
      </c>
      <c r="G211" s="17">
        <f>IF($A211="","",IFERROR(SUMIF(tblMotor[A_Norm],$A211,tblMotor[UrunReklam]),0))</f>
        <v/>
      </c>
      <c r="H211" s="17">
        <f>IF($A211="","",IFERROR(SUMIF(tblMotor[A_Norm],$A211,tblMotor[DesiKargo]),0))</f>
        <v/>
      </c>
      <c r="I211" s="17">
        <f>IF(OR($A211="",$B211&lt;&gt;"tutar_farki"),"",IF(ABS($C211-$D211)&lt;=toleransKurus,"TYK-001",IF(ABS($C211-$E211)&lt;=toleransKurus,"TYK-002",IF(ABS($C211-$F211)&lt;=toleransKurus,"TYK-003",IF(ABS($C211-$G211)&lt;=toleransKurus,"TYK-004",IF(ABS($C211-$H211)&lt;=toleransKurus,"TYK-005","TANIMSIZ"))))))</f>
        <v/>
      </c>
    </row>
    <row r="212">
      <c r="A212" s="23">
        <f>IF('ESLESTIRME'!$A212="","",'ESLESTIRME'!$A212)</f>
        <v/>
      </c>
      <c r="B212" s="17">
        <f>IF($A212="","",IFERROR(INDEX(tblEslesme[Kova],MATCH($A212,tblEslesme[A_Norm],0)),""))</f>
        <v/>
      </c>
      <c r="C212" s="17">
        <f>IF($A212="","",IFERROR(INDEX(tblEslesme[AbsFark],MATCH($A212,tblEslesme[A_Norm],0)),0))</f>
        <v/>
      </c>
      <c r="D212" s="17">
        <f>IF($A212="","",IFERROR(SUMIF(tblMotor[A_Norm],$A212,tblMotor[KomisyonTutar]),0))</f>
        <v/>
      </c>
      <c r="E212" s="17">
        <f>IF($A212="","",IFERROR(SUMIF(tblMotor[A_Norm],$A212,tblMotor[TyPlus]),0))</f>
        <v/>
      </c>
      <c r="F212" s="17">
        <f>IF($A212="","",IFERROR(SUMIF(tblMotor[A_Norm],$A212,tblMotor[FlasKesinti]),0))</f>
        <v/>
      </c>
      <c r="G212" s="17">
        <f>IF($A212="","",IFERROR(SUMIF(tblMotor[A_Norm],$A212,tblMotor[UrunReklam]),0))</f>
        <v/>
      </c>
      <c r="H212" s="17">
        <f>IF($A212="","",IFERROR(SUMIF(tblMotor[A_Norm],$A212,tblMotor[DesiKargo]),0))</f>
        <v/>
      </c>
      <c r="I212" s="17">
        <f>IF(OR($A212="",$B212&lt;&gt;"tutar_farki"),"",IF(ABS($C212-$D212)&lt;=toleransKurus,"TYK-001",IF(ABS($C212-$E212)&lt;=toleransKurus,"TYK-002",IF(ABS($C212-$F212)&lt;=toleransKurus,"TYK-003",IF(ABS($C212-$G212)&lt;=toleransKurus,"TYK-004",IF(ABS($C212-$H212)&lt;=toleransKurus,"TYK-005","TANIMSIZ"))))))</f>
        <v/>
      </c>
    </row>
    <row r="213">
      <c r="A213" s="23">
        <f>IF('ESLESTIRME'!$A213="","",'ESLESTIRME'!$A213)</f>
        <v/>
      </c>
      <c r="B213" s="17">
        <f>IF($A213="","",IFERROR(INDEX(tblEslesme[Kova],MATCH($A213,tblEslesme[A_Norm],0)),""))</f>
        <v/>
      </c>
      <c r="C213" s="17">
        <f>IF($A213="","",IFERROR(INDEX(tblEslesme[AbsFark],MATCH($A213,tblEslesme[A_Norm],0)),0))</f>
        <v/>
      </c>
      <c r="D213" s="17">
        <f>IF($A213="","",IFERROR(SUMIF(tblMotor[A_Norm],$A213,tblMotor[KomisyonTutar]),0))</f>
        <v/>
      </c>
      <c r="E213" s="17">
        <f>IF($A213="","",IFERROR(SUMIF(tblMotor[A_Norm],$A213,tblMotor[TyPlus]),0))</f>
        <v/>
      </c>
      <c r="F213" s="17">
        <f>IF($A213="","",IFERROR(SUMIF(tblMotor[A_Norm],$A213,tblMotor[FlasKesinti]),0))</f>
        <v/>
      </c>
      <c r="G213" s="17">
        <f>IF($A213="","",IFERROR(SUMIF(tblMotor[A_Norm],$A213,tblMotor[UrunReklam]),0))</f>
        <v/>
      </c>
      <c r="H213" s="17">
        <f>IF($A213="","",IFERROR(SUMIF(tblMotor[A_Norm],$A213,tblMotor[DesiKargo]),0))</f>
        <v/>
      </c>
      <c r="I213" s="17">
        <f>IF(OR($A213="",$B213&lt;&gt;"tutar_farki"),"",IF(ABS($C213-$D213)&lt;=toleransKurus,"TYK-001",IF(ABS($C213-$E213)&lt;=toleransKurus,"TYK-002",IF(ABS($C213-$F213)&lt;=toleransKurus,"TYK-003",IF(ABS($C213-$G213)&lt;=toleransKurus,"TYK-004",IF(ABS($C213-$H213)&lt;=toleransKurus,"TYK-005","TANIMSIZ"))))))</f>
        <v/>
      </c>
    </row>
    <row r="214">
      <c r="A214" s="23">
        <f>IF('ESLESTIRME'!$A214="","",'ESLESTIRME'!$A214)</f>
        <v/>
      </c>
      <c r="B214" s="17">
        <f>IF($A214="","",IFERROR(INDEX(tblEslesme[Kova],MATCH($A214,tblEslesme[A_Norm],0)),""))</f>
        <v/>
      </c>
      <c r="C214" s="17">
        <f>IF($A214="","",IFERROR(INDEX(tblEslesme[AbsFark],MATCH($A214,tblEslesme[A_Norm],0)),0))</f>
        <v/>
      </c>
      <c r="D214" s="17">
        <f>IF($A214="","",IFERROR(SUMIF(tblMotor[A_Norm],$A214,tblMotor[KomisyonTutar]),0))</f>
        <v/>
      </c>
      <c r="E214" s="17">
        <f>IF($A214="","",IFERROR(SUMIF(tblMotor[A_Norm],$A214,tblMotor[TyPlus]),0))</f>
        <v/>
      </c>
      <c r="F214" s="17">
        <f>IF($A214="","",IFERROR(SUMIF(tblMotor[A_Norm],$A214,tblMotor[FlasKesinti]),0))</f>
        <v/>
      </c>
      <c r="G214" s="17">
        <f>IF($A214="","",IFERROR(SUMIF(tblMotor[A_Norm],$A214,tblMotor[UrunReklam]),0))</f>
        <v/>
      </c>
      <c r="H214" s="17">
        <f>IF($A214="","",IFERROR(SUMIF(tblMotor[A_Norm],$A214,tblMotor[DesiKargo]),0))</f>
        <v/>
      </c>
      <c r="I214" s="17">
        <f>IF(OR($A214="",$B214&lt;&gt;"tutar_farki"),"",IF(ABS($C214-$D214)&lt;=toleransKurus,"TYK-001",IF(ABS($C214-$E214)&lt;=toleransKurus,"TYK-002",IF(ABS($C214-$F214)&lt;=toleransKurus,"TYK-003",IF(ABS($C214-$G214)&lt;=toleransKurus,"TYK-004",IF(ABS($C214-$H214)&lt;=toleransKurus,"TYK-005","TANIMSIZ"))))))</f>
        <v/>
      </c>
    </row>
    <row r="215">
      <c r="A215" s="23">
        <f>IF('ESLESTIRME'!$A215="","",'ESLESTIRME'!$A215)</f>
        <v/>
      </c>
      <c r="B215" s="17">
        <f>IF($A215="","",IFERROR(INDEX(tblEslesme[Kova],MATCH($A215,tblEslesme[A_Norm],0)),""))</f>
        <v/>
      </c>
      <c r="C215" s="17">
        <f>IF($A215="","",IFERROR(INDEX(tblEslesme[AbsFark],MATCH($A215,tblEslesme[A_Norm],0)),0))</f>
        <v/>
      </c>
      <c r="D215" s="17">
        <f>IF($A215="","",IFERROR(SUMIF(tblMotor[A_Norm],$A215,tblMotor[KomisyonTutar]),0))</f>
        <v/>
      </c>
      <c r="E215" s="17">
        <f>IF($A215="","",IFERROR(SUMIF(tblMotor[A_Norm],$A215,tblMotor[TyPlus]),0))</f>
        <v/>
      </c>
      <c r="F215" s="17">
        <f>IF($A215="","",IFERROR(SUMIF(tblMotor[A_Norm],$A215,tblMotor[FlasKesinti]),0))</f>
        <v/>
      </c>
      <c r="G215" s="17">
        <f>IF($A215="","",IFERROR(SUMIF(tblMotor[A_Norm],$A215,tblMotor[UrunReklam]),0))</f>
        <v/>
      </c>
      <c r="H215" s="17">
        <f>IF($A215="","",IFERROR(SUMIF(tblMotor[A_Norm],$A215,tblMotor[DesiKargo]),0))</f>
        <v/>
      </c>
      <c r="I215" s="17">
        <f>IF(OR($A215="",$B215&lt;&gt;"tutar_farki"),"",IF(ABS($C215-$D215)&lt;=toleransKurus,"TYK-001",IF(ABS($C215-$E215)&lt;=toleransKurus,"TYK-002",IF(ABS($C215-$F215)&lt;=toleransKurus,"TYK-003",IF(ABS($C215-$G215)&lt;=toleransKurus,"TYK-004",IF(ABS($C215-$H215)&lt;=toleransKurus,"TYK-005","TANIMSIZ"))))))</f>
        <v/>
      </c>
    </row>
    <row r="216">
      <c r="A216" s="23">
        <f>IF('ESLESTIRME'!$A216="","",'ESLESTIRME'!$A216)</f>
        <v/>
      </c>
      <c r="B216" s="17">
        <f>IF($A216="","",IFERROR(INDEX(tblEslesme[Kova],MATCH($A216,tblEslesme[A_Norm],0)),""))</f>
        <v/>
      </c>
      <c r="C216" s="17">
        <f>IF($A216="","",IFERROR(INDEX(tblEslesme[AbsFark],MATCH($A216,tblEslesme[A_Norm],0)),0))</f>
        <v/>
      </c>
      <c r="D216" s="17">
        <f>IF($A216="","",IFERROR(SUMIF(tblMotor[A_Norm],$A216,tblMotor[KomisyonTutar]),0))</f>
        <v/>
      </c>
      <c r="E216" s="17">
        <f>IF($A216="","",IFERROR(SUMIF(tblMotor[A_Norm],$A216,tblMotor[TyPlus]),0))</f>
        <v/>
      </c>
      <c r="F216" s="17">
        <f>IF($A216="","",IFERROR(SUMIF(tblMotor[A_Norm],$A216,tblMotor[FlasKesinti]),0))</f>
        <v/>
      </c>
      <c r="G216" s="17">
        <f>IF($A216="","",IFERROR(SUMIF(tblMotor[A_Norm],$A216,tblMotor[UrunReklam]),0))</f>
        <v/>
      </c>
      <c r="H216" s="17">
        <f>IF($A216="","",IFERROR(SUMIF(tblMotor[A_Norm],$A216,tblMotor[DesiKargo]),0))</f>
        <v/>
      </c>
      <c r="I216" s="17">
        <f>IF(OR($A216="",$B216&lt;&gt;"tutar_farki"),"",IF(ABS($C216-$D216)&lt;=toleransKurus,"TYK-001",IF(ABS($C216-$E216)&lt;=toleransKurus,"TYK-002",IF(ABS($C216-$F216)&lt;=toleransKurus,"TYK-003",IF(ABS($C216-$G216)&lt;=toleransKurus,"TYK-004",IF(ABS($C216-$H216)&lt;=toleransKurus,"TYK-005","TANIMSIZ"))))))</f>
        <v/>
      </c>
    </row>
    <row r="217">
      <c r="A217" s="23">
        <f>IF('ESLESTIRME'!$A217="","",'ESLESTIRME'!$A217)</f>
        <v/>
      </c>
      <c r="B217" s="17">
        <f>IF($A217="","",IFERROR(INDEX(tblEslesme[Kova],MATCH($A217,tblEslesme[A_Norm],0)),""))</f>
        <v/>
      </c>
      <c r="C217" s="17">
        <f>IF($A217="","",IFERROR(INDEX(tblEslesme[AbsFark],MATCH($A217,tblEslesme[A_Norm],0)),0))</f>
        <v/>
      </c>
      <c r="D217" s="17">
        <f>IF($A217="","",IFERROR(SUMIF(tblMotor[A_Norm],$A217,tblMotor[KomisyonTutar]),0))</f>
        <v/>
      </c>
      <c r="E217" s="17">
        <f>IF($A217="","",IFERROR(SUMIF(tblMotor[A_Norm],$A217,tblMotor[TyPlus]),0))</f>
        <v/>
      </c>
      <c r="F217" s="17">
        <f>IF($A217="","",IFERROR(SUMIF(tblMotor[A_Norm],$A217,tblMotor[FlasKesinti]),0))</f>
        <v/>
      </c>
      <c r="G217" s="17">
        <f>IF($A217="","",IFERROR(SUMIF(tblMotor[A_Norm],$A217,tblMotor[UrunReklam]),0))</f>
        <v/>
      </c>
      <c r="H217" s="17">
        <f>IF($A217="","",IFERROR(SUMIF(tblMotor[A_Norm],$A217,tblMotor[DesiKargo]),0))</f>
        <v/>
      </c>
      <c r="I217" s="17">
        <f>IF(OR($A217="",$B217&lt;&gt;"tutar_farki"),"",IF(ABS($C217-$D217)&lt;=toleransKurus,"TYK-001",IF(ABS($C217-$E217)&lt;=toleransKurus,"TYK-002",IF(ABS($C217-$F217)&lt;=toleransKurus,"TYK-003",IF(ABS($C217-$G217)&lt;=toleransKurus,"TYK-004",IF(ABS($C217-$H217)&lt;=toleransKurus,"TYK-005","TANIMSIZ"))))))</f>
        <v/>
      </c>
    </row>
    <row r="218">
      <c r="A218" s="23">
        <f>IF('ESLESTIRME'!$A218="","",'ESLESTIRME'!$A218)</f>
        <v/>
      </c>
      <c r="B218" s="17">
        <f>IF($A218="","",IFERROR(INDEX(tblEslesme[Kova],MATCH($A218,tblEslesme[A_Norm],0)),""))</f>
        <v/>
      </c>
      <c r="C218" s="17">
        <f>IF($A218="","",IFERROR(INDEX(tblEslesme[AbsFark],MATCH($A218,tblEslesme[A_Norm],0)),0))</f>
        <v/>
      </c>
      <c r="D218" s="17">
        <f>IF($A218="","",IFERROR(SUMIF(tblMotor[A_Norm],$A218,tblMotor[KomisyonTutar]),0))</f>
        <v/>
      </c>
      <c r="E218" s="17">
        <f>IF($A218="","",IFERROR(SUMIF(tblMotor[A_Norm],$A218,tblMotor[TyPlus]),0))</f>
        <v/>
      </c>
      <c r="F218" s="17">
        <f>IF($A218="","",IFERROR(SUMIF(tblMotor[A_Norm],$A218,tblMotor[FlasKesinti]),0))</f>
        <v/>
      </c>
      <c r="G218" s="17">
        <f>IF($A218="","",IFERROR(SUMIF(tblMotor[A_Norm],$A218,tblMotor[UrunReklam]),0))</f>
        <v/>
      </c>
      <c r="H218" s="17">
        <f>IF($A218="","",IFERROR(SUMIF(tblMotor[A_Norm],$A218,tblMotor[DesiKargo]),0))</f>
        <v/>
      </c>
      <c r="I218" s="17">
        <f>IF(OR($A218="",$B218&lt;&gt;"tutar_farki"),"",IF(ABS($C218-$D218)&lt;=toleransKurus,"TYK-001",IF(ABS($C218-$E218)&lt;=toleransKurus,"TYK-002",IF(ABS($C218-$F218)&lt;=toleransKurus,"TYK-003",IF(ABS($C218-$G218)&lt;=toleransKurus,"TYK-004",IF(ABS($C218-$H218)&lt;=toleransKurus,"TYK-005","TANIMSIZ"))))))</f>
        <v/>
      </c>
    </row>
    <row r="219">
      <c r="A219" s="23">
        <f>IF('ESLESTIRME'!$A219="","",'ESLESTIRME'!$A219)</f>
        <v/>
      </c>
      <c r="B219" s="17">
        <f>IF($A219="","",IFERROR(INDEX(tblEslesme[Kova],MATCH($A219,tblEslesme[A_Norm],0)),""))</f>
        <v/>
      </c>
      <c r="C219" s="17">
        <f>IF($A219="","",IFERROR(INDEX(tblEslesme[AbsFark],MATCH($A219,tblEslesme[A_Norm],0)),0))</f>
        <v/>
      </c>
      <c r="D219" s="17">
        <f>IF($A219="","",IFERROR(SUMIF(tblMotor[A_Norm],$A219,tblMotor[KomisyonTutar]),0))</f>
        <v/>
      </c>
      <c r="E219" s="17">
        <f>IF($A219="","",IFERROR(SUMIF(tblMotor[A_Norm],$A219,tblMotor[TyPlus]),0))</f>
        <v/>
      </c>
      <c r="F219" s="17">
        <f>IF($A219="","",IFERROR(SUMIF(tblMotor[A_Norm],$A219,tblMotor[FlasKesinti]),0))</f>
        <v/>
      </c>
      <c r="G219" s="17">
        <f>IF($A219="","",IFERROR(SUMIF(tblMotor[A_Norm],$A219,tblMotor[UrunReklam]),0))</f>
        <v/>
      </c>
      <c r="H219" s="17">
        <f>IF($A219="","",IFERROR(SUMIF(tblMotor[A_Norm],$A219,tblMotor[DesiKargo]),0))</f>
        <v/>
      </c>
      <c r="I219" s="17">
        <f>IF(OR($A219="",$B219&lt;&gt;"tutar_farki"),"",IF(ABS($C219-$D219)&lt;=toleransKurus,"TYK-001",IF(ABS($C219-$E219)&lt;=toleransKurus,"TYK-002",IF(ABS($C219-$F219)&lt;=toleransKurus,"TYK-003",IF(ABS($C219-$G219)&lt;=toleransKurus,"TYK-004",IF(ABS($C219-$H219)&lt;=toleransKurus,"TYK-005","TANIMSIZ"))))))</f>
        <v/>
      </c>
    </row>
    <row r="220">
      <c r="A220" s="23">
        <f>IF('ESLESTIRME'!$A220="","",'ESLESTIRME'!$A220)</f>
        <v/>
      </c>
      <c r="B220" s="17">
        <f>IF($A220="","",IFERROR(INDEX(tblEslesme[Kova],MATCH($A220,tblEslesme[A_Norm],0)),""))</f>
        <v/>
      </c>
      <c r="C220" s="17">
        <f>IF($A220="","",IFERROR(INDEX(tblEslesme[AbsFark],MATCH($A220,tblEslesme[A_Norm],0)),0))</f>
        <v/>
      </c>
      <c r="D220" s="17">
        <f>IF($A220="","",IFERROR(SUMIF(tblMotor[A_Norm],$A220,tblMotor[KomisyonTutar]),0))</f>
        <v/>
      </c>
      <c r="E220" s="17">
        <f>IF($A220="","",IFERROR(SUMIF(tblMotor[A_Norm],$A220,tblMotor[TyPlus]),0))</f>
        <v/>
      </c>
      <c r="F220" s="17">
        <f>IF($A220="","",IFERROR(SUMIF(tblMotor[A_Norm],$A220,tblMotor[FlasKesinti]),0))</f>
        <v/>
      </c>
      <c r="G220" s="17">
        <f>IF($A220="","",IFERROR(SUMIF(tblMotor[A_Norm],$A220,tblMotor[UrunReklam]),0))</f>
        <v/>
      </c>
      <c r="H220" s="17">
        <f>IF($A220="","",IFERROR(SUMIF(tblMotor[A_Norm],$A220,tblMotor[DesiKargo]),0))</f>
        <v/>
      </c>
      <c r="I220" s="17">
        <f>IF(OR($A220="",$B220&lt;&gt;"tutar_farki"),"",IF(ABS($C220-$D220)&lt;=toleransKurus,"TYK-001",IF(ABS($C220-$E220)&lt;=toleransKurus,"TYK-002",IF(ABS($C220-$F220)&lt;=toleransKurus,"TYK-003",IF(ABS($C220-$G220)&lt;=toleransKurus,"TYK-004",IF(ABS($C220-$H220)&lt;=toleransKurus,"TYK-005","TANIMSIZ"))))))</f>
        <v/>
      </c>
    </row>
    <row r="221">
      <c r="A221" s="23">
        <f>IF('ESLESTIRME'!$A221="","",'ESLESTIRME'!$A221)</f>
        <v/>
      </c>
      <c r="B221" s="17">
        <f>IF($A221="","",IFERROR(INDEX(tblEslesme[Kova],MATCH($A221,tblEslesme[A_Norm],0)),""))</f>
        <v/>
      </c>
      <c r="C221" s="17">
        <f>IF($A221="","",IFERROR(INDEX(tblEslesme[AbsFark],MATCH($A221,tblEslesme[A_Norm],0)),0))</f>
        <v/>
      </c>
      <c r="D221" s="17">
        <f>IF($A221="","",IFERROR(SUMIF(tblMotor[A_Norm],$A221,tblMotor[KomisyonTutar]),0))</f>
        <v/>
      </c>
      <c r="E221" s="17">
        <f>IF($A221="","",IFERROR(SUMIF(tblMotor[A_Norm],$A221,tblMotor[TyPlus]),0))</f>
        <v/>
      </c>
      <c r="F221" s="17">
        <f>IF($A221="","",IFERROR(SUMIF(tblMotor[A_Norm],$A221,tblMotor[FlasKesinti]),0))</f>
        <v/>
      </c>
      <c r="G221" s="17">
        <f>IF($A221="","",IFERROR(SUMIF(tblMotor[A_Norm],$A221,tblMotor[UrunReklam]),0))</f>
        <v/>
      </c>
      <c r="H221" s="17">
        <f>IF($A221="","",IFERROR(SUMIF(tblMotor[A_Norm],$A221,tblMotor[DesiKargo]),0))</f>
        <v/>
      </c>
      <c r="I221" s="17">
        <f>IF(OR($A221="",$B221&lt;&gt;"tutar_farki"),"",IF(ABS($C221-$D221)&lt;=toleransKurus,"TYK-001",IF(ABS($C221-$E221)&lt;=toleransKurus,"TYK-002",IF(ABS($C221-$F221)&lt;=toleransKurus,"TYK-003",IF(ABS($C221-$G221)&lt;=toleransKurus,"TYK-004",IF(ABS($C221-$H221)&lt;=toleransKurus,"TYK-005","TANIMSIZ"))))))</f>
        <v/>
      </c>
    </row>
    <row r="222">
      <c r="A222" s="23">
        <f>IF('ESLESTIRME'!$A222="","",'ESLESTIRME'!$A222)</f>
        <v/>
      </c>
      <c r="B222" s="17">
        <f>IF($A222="","",IFERROR(INDEX(tblEslesme[Kova],MATCH($A222,tblEslesme[A_Norm],0)),""))</f>
        <v/>
      </c>
      <c r="C222" s="17">
        <f>IF($A222="","",IFERROR(INDEX(tblEslesme[AbsFark],MATCH($A222,tblEslesme[A_Norm],0)),0))</f>
        <v/>
      </c>
      <c r="D222" s="17">
        <f>IF($A222="","",IFERROR(SUMIF(tblMotor[A_Norm],$A222,tblMotor[KomisyonTutar]),0))</f>
        <v/>
      </c>
      <c r="E222" s="17">
        <f>IF($A222="","",IFERROR(SUMIF(tblMotor[A_Norm],$A222,tblMotor[TyPlus]),0))</f>
        <v/>
      </c>
      <c r="F222" s="17">
        <f>IF($A222="","",IFERROR(SUMIF(tblMotor[A_Norm],$A222,tblMotor[FlasKesinti]),0))</f>
        <v/>
      </c>
      <c r="G222" s="17">
        <f>IF($A222="","",IFERROR(SUMIF(tblMotor[A_Norm],$A222,tblMotor[UrunReklam]),0))</f>
        <v/>
      </c>
      <c r="H222" s="17">
        <f>IF($A222="","",IFERROR(SUMIF(tblMotor[A_Norm],$A222,tblMotor[DesiKargo]),0))</f>
        <v/>
      </c>
      <c r="I222" s="17">
        <f>IF(OR($A222="",$B222&lt;&gt;"tutar_farki"),"",IF(ABS($C222-$D222)&lt;=toleransKurus,"TYK-001",IF(ABS($C222-$E222)&lt;=toleransKurus,"TYK-002",IF(ABS($C222-$F222)&lt;=toleransKurus,"TYK-003",IF(ABS($C222-$G222)&lt;=toleransKurus,"TYK-004",IF(ABS($C222-$H222)&lt;=toleransKurus,"TYK-005","TANIMSIZ"))))))</f>
        <v/>
      </c>
    </row>
    <row r="223">
      <c r="A223" s="23">
        <f>IF('ESLESTIRME'!$A223="","",'ESLESTIRME'!$A223)</f>
        <v/>
      </c>
      <c r="B223" s="17">
        <f>IF($A223="","",IFERROR(INDEX(tblEslesme[Kova],MATCH($A223,tblEslesme[A_Norm],0)),""))</f>
        <v/>
      </c>
      <c r="C223" s="17">
        <f>IF($A223="","",IFERROR(INDEX(tblEslesme[AbsFark],MATCH($A223,tblEslesme[A_Norm],0)),0))</f>
        <v/>
      </c>
      <c r="D223" s="17">
        <f>IF($A223="","",IFERROR(SUMIF(tblMotor[A_Norm],$A223,tblMotor[KomisyonTutar]),0))</f>
        <v/>
      </c>
      <c r="E223" s="17">
        <f>IF($A223="","",IFERROR(SUMIF(tblMotor[A_Norm],$A223,tblMotor[TyPlus]),0))</f>
        <v/>
      </c>
      <c r="F223" s="17">
        <f>IF($A223="","",IFERROR(SUMIF(tblMotor[A_Norm],$A223,tblMotor[FlasKesinti]),0))</f>
        <v/>
      </c>
      <c r="G223" s="17">
        <f>IF($A223="","",IFERROR(SUMIF(tblMotor[A_Norm],$A223,tblMotor[UrunReklam]),0))</f>
        <v/>
      </c>
      <c r="H223" s="17">
        <f>IF($A223="","",IFERROR(SUMIF(tblMotor[A_Norm],$A223,tblMotor[DesiKargo]),0))</f>
        <v/>
      </c>
      <c r="I223" s="17">
        <f>IF(OR($A223="",$B223&lt;&gt;"tutar_farki"),"",IF(ABS($C223-$D223)&lt;=toleransKurus,"TYK-001",IF(ABS($C223-$E223)&lt;=toleransKurus,"TYK-002",IF(ABS($C223-$F223)&lt;=toleransKurus,"TYK-003",IF(ABS($C223-$G223)&lt;=toleransKurus,"TYK-004",IF(ABS($C223-$H223)&lt;=toleransKurus,"TYK-005","TANIMSIZ"))))))</f>
        <v/>
      </c>
    </row>
    <row r="224">
      <c r="A224" s="23">
        <f>IF('ESLESTIRME'!$A224="","",'ESLESTIRME'!$A224)</f>
        <v/>
      </c>
      <c r="B224" s="17">
        <f>IF($A224="","",IFERROR(INDEX(tblEslesme[Kova],MATCH($A224,tblEslesme[A_Norm],0)),""))</f>
        <v/>
      </c>
      <c r="C224" s="17">
        <f>IF($A224="","",IFERROR(INDEX(tblEslesme[AbsFark],MATCH($A224,tblEslesme[A_Norm],0)),0))</f>
        <v/>
      </c>
      <c r="D224" s="17">
        <f>IF($A224="","",IFERROR(SUMIF(tblMotor[A_Norm],$A224,tblMotor[KomisyonTutar]),0))</f>
        <v/>
      </c>
      <c r="E224" s="17">
        <f>IF($A224="","",IFERROR(SUMIF(tblMotor[A_Norm],$A224,tblMotor[TyPlus]),0))</f>
        <v/>
      </c>
      <c r="F224" s="17">
        <f>IF($A224="","",IFERROR(SUMIF(tblMotor[A_Norm],$A224,tblMotor[FlasKesinti]),0))</f>
        <v/>
      </c>
      <c r="G224" s="17">
        <f>IF($A224="","",IFERROR(SUMIF(tblMotor[A_Norm],$A224,tblMotor[UrunReklam]),0))</f>
        <v/>
      </c>
      <c r="H224" s="17">
        <f>IF($A224="","",IFERROR(SUMIF(tblMotor[A_Norm],$A224,tblMotor[DesiKargo]),0))</f>
        <v/>
      </c>
      <c r="I224" s="17">
        <f>IF(OR($A224="",$B224&lt;&gt;"tutar_farki"),"",IF(ABS($C224-$D224)&lt;=toleransKurus,"TYK-001",IF(ABS($C224-$E224)&lt;=toleransKurus,"TYK-002",IF(ABS($C224-$F224)&lt;=toleransKurus,"TYK-003",IF(ABS($C224-$G224)&lt;=toleransKurus,"TYK-004",IF(ABS($C224-$H224)&lt;=toleransKurus,"TYK-005","TANIMSIZ"))))))</f>
        <v/>
      </c>
    </row>
    <row r="225">
      <c r="A225" s="23">
        <f>IF('ESLESTIRME'!$A225="","",'ESLESTIRME'!$A225)</f>
        <v/>
      </c>
      <c r="B225" s="17">
        <f>IF($A225="","",IFERROR(INDEX(tblEslesme[Kova],MATCH($A225,tblEslesme[A_Norm],0)),""))</f>
        <v/>
      </c>
      <c r="C225" s="17">
        <f>IF($A225="","",IFERROR(INDEX(tblEslesme[AbsFark],MATCH($A225,tblEslesme[A_Norm],0)),0))</f>
        <v/>
      </c>
      <c r="D225" s="17">
        <f>IF($A225="","",IFERROR(SUMIF(tblMotor[A_Norm],$A225,tblMotor[KomisyonTutar]),0))</f>
        <v/>
      </c>
      <c r="E225" s="17">
        <f>IF($A225="","",IFERROR(SUMIF(tblMotor[A_Norm],$A225,tblMotor[TyPlus]),0))</f>
        <v/>
      </c>
      <c r="F225" s="17">
        <f>IF($A225="","",IFERROR(SUMIF(tblMotor[A_Norm],$A225,tblMotor[FlasKesinti]),0))</f>
        <v/>
      </c>
      <c r="G225" s="17">
        <f>IF($A225="","",IFERROR(SUMIF(tblMotor[A_Norm],$A225,tblMotor[UrunReklam]),0))</f>
        <v/>
      </c>
      <c r="H225" s="17">
        <f>IF($A225="","",IFERROR(SUMIF(tblMotor[A_Norm],$A225,tblMotor[DesiKargo]),0))</f>
        <v/>
      </c>
      <c r="I225" s="17">
        <f>IF(OR($A225="",$B225&lt;&gt;"tutar_farki"),"",IF(ABS($C225-$D225)&lt;=toleransKurus,"TYK-001",IF(ABS($C225-$E225)&lt;=toleransKurus,"TYK-002",IF(ABS($C225-$F225)&lt;=toleransKurus,"TYK-003",IF(ABS($C225-$G225)&lt;=toleransKurus,"TYK-004",IF(ABS($C225-$H225)&lt;=toleransKurus,"TYK-005","TANIMSIZ"))))))</f>
        <v/>
      </c>
    </row>
    <row r="226">
      <c r="A226" s="23">
        <f>IF('ESLESTIRME'!$A226="","",'ESLESTIRME'!$A226)</f>
        <v/>
      </c>
      <c r="B226" s="17">
        <f>IF($A226="","",IFERROR(INDEX(tblEslesme[Kova],MATCH($A226,tblEslesme[A_Norm],0)),""))</f>
        <v/>
      </c>
      <c r="C226" s="17">
        <f>IF($A226="","",IFERROR(INDEX(tblEslesme[AbsFark],MATCH($A226,tblEslesme[A_Norm],0)),0))</f>
        <v/>
      </c>
      <c r="D226" s="17">
        <f>IF($A226="","",IFERROR(SUMIF(tblMotor[A_Norm],$A226,tblMotor[KomisyonTutar]),0))</f>
        <v/>
      </c>
      <c r="E226" s="17">
        <f>IF($A226="","",IFERROR(SUMIF(tblMotor[A_Norm],$A226,tblMotor[TyPlus]),0))</f>
        <v/>
      </c>
      <c r="F226" s="17">
        <f>IF($A226="","",IFERROR(SUMIF(tblMotor[A_Norm],$A226,tblMotor[FlasKesinti]),0))</f>
        <v/>
      </c>
      <c r="G226" s="17">
        <f>IF($A226="","",IFERROR(SUMIF(tblMotor[A_Norm],$A226,tblMotor[UrunReklam]),0))</f>
        <v/>
      </c>
      <c r="H226" s="17">
        <f>IF($A226="","",IFERROR(SUMIF(tblMotor[A_Norm],$A226,tblMotor[DesiKargo]),0))</f>
        <v/>
      </c>
      <c r="I226" s="17">
        <f>IF(OR($A226="",$B226&lt;&gt;"tutar_farki"),"",IF(ABS($C226-$D226)&lt;=toleransKurus,"TYK-001",IF(ABS($C226-$E226)&lt;=toleransKurus,"TYK-002",IF(ABS($C226-$F226)&lt;=toleransKurus,"TYK-003",IF(ABS($C226-$G226)&lt;=toleransKurus,"TYK-004",IF(ABS($C226-$H226)&lt;=toleransKurus,"TYK-005","TANIMSIZ"))))))</f>
        <v/>
      </c>
    </row>
    <row r="227">
      <c r="A227" s="23">
        <f>IF('ESLESTIRME'!$A227="","",'ESLESTIRME'!$A227)</f>
        <v/>
      </c>
      <c r="B227" s="17">
        <f>IF($A227="","",IFERROR(INDEX(tblEslesme[Kova],MATCH($A227,tblEslesme[A_Norm],0)),""))</f>
        <v/>
      </c>
      <c r="C227" s="17">
        <f>IF($A227="","",IFERROR(INDEX(tblEslesme[AbsFark],MATCH($A227,tblEslesme[A_Norm],0)),0))</f>
        <v/>
      </c>
      <c r="D227" s="17">
        <f>IF($A227="","",IFERROR(SUMIF(tblMotor[A_Norm],$A227,tblMotor[KomisyonTutar]),0))</f>
        <v/>
      </c>
      <c r="E227" s="17">
        <f>IF($A227="","",IFERROR(SUMIF(tblMotor[A_Norm],$A227,tblMotor[TyPlus]),0))</f>
        <v/>
      </c>
      <c r="F227" s="17">
        <f>IF($A227="","",IFERROR(SUMIF(tblMotor[A_Norm],$A227,tblMotor[FlasKesinti]),0))</f>
        <v/>
      </c>
      <c r="G227" s="17">
        <f>IF($A227="","",IFERROR(SUMIF(tblMotor[A_Norm],$A227,tblMotor[UrunReklam]),0))</f>
        <v/>
      </c>
      <c r="H227" s="17">
        <f>IF($A227="","",IFERROR(SUMIF(tblMotor[A_Norm],$A227,tblMotor[DesiKargo]),0))</f>
        <v/>
      </c>
      <c r="I227" s="17">
        <f>IF(OR($A227="",$B227&lt;&gt;"tutar_farki"),"",IF(ABS($C227-$D227)&lt;=toleransKurus,"TYK-001",IF(ABS($C227-$E227)&lt;=toleransKurus,"TYK-002",IF(ABS($C227-$F227)&lt;=toleransKurus,"TYK-003",IF(ABS($C227-$G227)&lt;=toleransKurus,"TYK-004",IF(ABS($C227-$H227)&lt;=toleransKurus,"TYK-005","TANIMSIZ"))))))</f>
        <v/>
      </c>
    </row>
    <row r="228">
      <c r="A228" s="23">
        <f>IF('ESLESTIRME'!$A228="","",'ESLESTIRME'!$A228)</f>
        <v/>
      </c>
      <c r="B228" s="17">
        <f>IF($A228="","",IFERROR(INDEX(tblEslesme[Kova],MATCH($A228,tblEslesme[A_Norm],0)),""))</f>
        <v/>
      </c>
      <c r="C228" s="17">
        <f>IF($A228="","",IFERROR(INDEX(tblEslesme[AbsFark],MATCH($A228,tblEslesme[A_Norm],0)),0))</f>
        <v/>
      </c>
      <c r="D228" s="17">
        <f>IF($A228="","",IFERROR(SUMIF(tblMotor[A_Norm],$A228,tblMotor[KomisyonTutar]),0))</f>
        <v/>
      </c>
      <c r="E228" s="17">
        <f>IF($A228="","",IFERROR(SUMIF(tblMotor[A_Norm],$A228,tblMotor[TyPlus]),0))</f>
        <v/>
      </c>
      <c r="F228" s="17">
        <f>IF($A228="","",IFERROR(SUMIF(tblMotor[A_Norm],$A228,tblMotor[FlasKesinti]),0))</f>
        <v/>
      </c>
      <c r="G228" s="17">
        <f>IF($A228="","",IFERROR(SUMIF(tblMotor[A_Norm],$A228,tblMotor[UrunReklam]),0))</f>
        <v/>
      </c>
      <c r="H228" s="17">
        <f>IF($A228="","",IFERROR(SUMIF(tblMotor[A_Norm],$A228,tblMotor[DesiKargo]),0))</f>
        <v/>
      </c>
      <c r="I228" s="17">
        <f>IF(OR($A228="",$B228&lt;&gt;"tutar_farki"),"",IF(ABS($C228-$D228)&lt;=toleransKurus,"TYK-001",IF(ABS($C228-$E228)&lt;=toleransKurus,"TYK-002",IF(ABS($C228-$F228)&lt;=toleransKurus,"TYK-003",IF(ABS($C228-$G228)&lt;=toleransKurus,"TYK-004",IF(ABS($C228-$H228)&lt;=toleransKurus,"TYK-005","TANIMSIZ"))))))</f>
        <v/>
      </c>
    </row>
    <row r="229">
      <c r="A229" s="23">
        <f>IF('ESLESTIRME'!$A229="","",'ESLESTIRME'!$A229)</f>
        <v/>
      </c>
      <c r="B229" s="17">
        <f>IF($A229="","",IFERROR(INDEX(tblEslesme[Kova],MATCH($A229,tblEslesme[A_Norm],0)),""))</f>
        <v/>
      </c>
      <c r="C229" s="17">
        <f>IF($A229="","",IFERROR(INDEX(tblEslesme[AbsFark],MATCH($A229,tblEslesme[A_Norm],0)),0))</f>
        <v/>
      </c>
      <c r="D229" s="17">
        <f>IF($A229="","",IFERROR(SUMIF(tblMotor[A_Norm],$A229,tblMotor[KomisyonTutar]),0))</f>
        <v/>
      </c>
      <c r="E229" s="17">
        <f>IF($A229="","",IFERROR(SUMIF(tblMotor[A_Norm],$A229,tblMotor[TyPlus]),0))</f>
        <v/>
      </c>
      <c r="F229" s="17">
        <f>IF($A229="","",IFERROR(SUMIF(tblMotor[A_Norm],$A229,tblMotor[FlasKesinti]),0))</f>
        <v/>
      </c>
      <c r="G229" s="17">
        <f>IF($A229="","",IFERROR(SUMIF(tblMotor[A_Norm],$A229,tblMotor[UrunReklam]),0))</f>
        <v/>
      </c>
      <c r="H229" s="17">
        <f>IF($A229="","",IFERROR(SUMIF(tblMotor[A_Norm],$A229,tblMotor[DesiKargo]),0))</f>
        <v/>
      </c>
      <c r="I229" s="17">
        <f>IF(OR($A229="",$B229&lt;&gt;"tutar_farki"),"",IF(ABS($C229-$D229)&lt;=toleransKurus,"TYK-001",IF(ABS($C229-$E229)&lt;=toleransKurus,"TYK-002",IF(ABS($C229-$F229)&lt;=toleransKurus,"TYK-003",IF(ABS($C229-$G229)&lt;=toleransKurus,"TYK-004",IF(ABS($C229-$H229)&lt;=toleransKurus,"TYK-005","TANIMSIZ"))))))</f>
        <v/>
      </c>
    </row>
    <row r="230">
      <c r="A230" s="23">
        <f>IF('ESLESTIRME'!$A230="","",'ESLESTIRME'!$A230)</f>
        <v/>
      </c>
      <c r="B230" s="17">
        <f>IF($A230="","",IFERROR(INDEX(tblEslesme[Kova],MATCH($A230,tblEslesme[A_Norm],0)),""))</f>
        <v/>
      </c>
      <c r="C230" s="17">
        <f>IF($A230="","",IFERROR(INDEX(tblEslesme[AbsFark],MATCH($A230,tblEslesme[A_Norm],0)),0))</f>
        <v/>
      </c>
      <c r="D230" s="17">
        <f>IF($A230="","",IFERROR(SUMIF(tblMotor[A_Norm],$A230,tblMotor[KomisyonTutar]),0))</f>
        <v/>
      </c>
      <c r="E230" s="17">
        <f>IF($A230="","",IFERROR(SUMIF(tblMotor[A_Norm],$A230,tblMotor[TyPlus]),0))</f>
        <v/>
      </c>
      <c r="F230" s="17">
        <f>IF($A230="","",IFERROR(SUMIF(tblMotor[A_Norm],$A230,tblMotor[FlasKesinti]),0))</f>
        <v/>
      </c>
      <c r="G230" s="17">
        <f>IF($A230="","",IFERROR(SUMIF(tblMotor[A_Norm],$A230,tblMotor[UrunReklam]),0))</f>
        <v/>
      </c>
      <c r="H230" s="17">
        <f>IF($A230="","",IFERROR(SUMIF(tblMotor[A_Norm],$A230,tblMotor[DesiKargo]),0))</f>
        <v/>
      </c>
      <c r="I230" s="17">
        <f>IF(OR($A230="",$B230&lt;&gt;"tutar_farki"),"",IF(ABS($C230-$D230)&lt;=toleransKurus,"TYK-001",IF(ABS($C230-$E230)&lt;=toleransKurus,"TYK-002",IF(ABS($C230-$F230)&lt;=toleransKurus,"TYK-003",IF(ABS($C230-$G230)&lt;=toleransKurus,"TYK-004",IF(ABS($C230-$H230)&lt;=toleransKurus,"TYK-005","TANIMSIZ"))))))</f>
        <v/>
      </c>
    </row>
    <row r="231">
      <c r="A231" s="23">
        <f>IF('ESLESTIRME'!$A231="","",'ESLESTIRME'!$A231)</f>
        <v/>
      </c>
      <c r="B231" s="17">
        <f>IF($A231="","",IFERROR(INDEX(tblEslesme[Kova],MATCH($A231,tblEslesme[A_Norm],0)),""))</f>
        <v/>
      </c>
      <c r="C231" s="17">
        <f>IF($A231="","",IFERROR(INDEX(tblEslesme[AbsFark],MATCH($A231,tblEslesme[A_Norm],0)),0))</f>
        <v/>
      </c>
      <c r="D231" s="17">
        <f>IF($A231="","",IFERROR(SUMIF(tblMotor[A_Norm],$A231,tblMotor[KomisyonTutar]),0))</f>
        <v/>
      </c>
      <c r="E231" s="17">
        <f>IF($A231="","",IFERROR(SUMIF(tblMotor[A_Norm],$A231,tblMotor[TyPlus]),0))</f>
        <v/>
      </c>
      <c r="F231" s="17">
        <f>IF($A231="","",IFERROR(SUMIF(tblMotor[A_Norm],$A231,tblMotor[FlasKesinti]),0))</f>
        <v/>
      </c>
      <c r="G231" s="17">
        <f>IF($A231="","",IFERROR(SUMIF(tblMotor[A_Norm],$A231,tblMotor[UrunReklam]),0))</f>
        <v/>
      </c>
      <c r="H231" s="17">
        <f>IF($A231="","",IFERROR(SUMIF(tblMotor[A_Norm],$A231,tblMotor[DesiKargo]),0))</f>
        <v/>
      </c>
      <c r="I231" s="17">
        <f>IF(OR($A231="",$B231&lt;&gt;"tutar_farki"),"",IF(ABS($C231-$D231)&lt;=toleransKurus,"TYK-001",IF(ABS($C231-$E231)&lt;=toleransKurus,"TYK-002",IF(ABS($C231-$F231)&lt;=toleransKurus,"TYK-003",IF(ABS($C231-$G231)&lt;=toleransKurus,"TYK-004",IF(ABS($C231-$H231)&lt;=toleransKurus,"TYK-005","TANIMSIZ"))))))</f>
        <v/>
      </c>
    </row>
    <row r="232">
      <c r="A232" s="23">
        <f>IF('ESLESTIRME'!$A232="","",'ESLESTIRME'!$A232)</f>
        <v/>
      </c>
      <c r="B232" s="17">
        <f>IF($A232="","",IFERROR(INDEX(tblEslesme[Kova],MATCH($A232,tblEslesme[A_Norm],0)),""))</f>
        <v/>
      </c>
      <c r="C232" s="17">
        <f>IF($A232="","",IFERROR(INDEX(tblEslesme[AbsFark],MATCH($A232,tblEslesme[A_Norm],0)),0))</f>
        <v/>
      </c>
      <c r="D232" s="17">
        <f>IF($A232="","",IFERROR(SUMIF(tblMotor[A_Norm],$A232,tblMotor[KomisyonTutar]),0))</f>
        <v/>
      </c>
      <c r="E232" s="17">
        <f>IF($A232="","",IFERROR(SUMIF(tblMotor[A_Norm],$A232,tblMotor[TyPlus]),0))</f>
        <v/>
      </c>
      <c r="F232" s="17">
        <f>IF($A232="","",IFERROR(SUMIF(tblMotor[A_Norm],$A232,tblMotor[FlasKesinti]),0))</f>
        <v/>
      </c>
      <c r="G232" s="17">
        <f>IF($A232="","",IFERROR(SUMIF(tblMotor[A_Norm],$A232,tblMotor[UrunReklam]),0))</f>
        <v/>
      </c>
      <c r="H232" s="17">
        <f>IF($A232="","",IFERROR(SUMIF(tblMotor[A_Norm],$A232,tblMotor[DesiKargo]),0))</f>
        <v/>
      </c>
      <c r="I232" s="17">
        <f>IF(OR($A232="",$B232&lt;&gt;"tutar_farki"),"",IF(ABS($C232-$D232)&lt;=toleransKurus,"TYK-001",IF(ABS($C232-$E232)&lt;=toleransKurus,"TYK-002",IF(ABS($C232-$F232)&lt;=toleransKurus,"TYK-003",IF(ABS($C232-$G232)&lt;=toleransKurus,"TYK-004",IF(ABS($C232-$H232)&lt;=toleransKurus,"TYK-005","TANIMSIZ"))))))</f>
        <v/>
      </c>
    </row>
    <row r="233">
      <c r="A233" s="23">
        <f>IF('ESLESTIRME'!$A233="","",'ESLESTIRME'!$A233)</f>
        <v/>
      </c>
      <c r="B233" s="17">
        <f>IF($A233="","",IFERROR(INDEX(tblEslesme[Kova],MATCH($A233,tblEslesme[A_Norm],0)),""))</f>
        <v/>
      </c>
      <c r="C233" s="17">
        <f>IF($A233="","",IFERROR(INDEX(tblEslesme[AbsFark],MATCH($A233,tblEslesme[A_Norm],0)),0))</f>
        <v/>
      </c>
      <c r="D233" s="17">
        <f>IF($A233="","",IFERROR(SUMIF(tblMotor[A_Norm],$A233,tblMotor[KomisyonTutar]),0))</f>
        <v/>
      </c>
      <c r="E233" s="17">
        <f>IF($A233="","",IFERROR(SUMIF(tblMotor[A_Norm],$A233,tblMotor[TyPlus]),0))</f>
        <v/>
      </c>
      <c r="F233" s="17">
        <f>IF($A233="","",IFERROR(SUMIF(tblMotor[A_Norm],$A233,tblMotor[FlasKesinti]),0))</f>
        <v/>
      </c>
      <c r="G233" s="17">
        <f>IF($A233="","",IFERROR(SUMIF(tblMotor[A_Norm],$A233,tblMotor[UrunReklam]),0))</f>
        <v/>
      </c>
      <c r="H233" s="17">
        <f>IF($A233="","",IFERROR(SUMIF(tblMotor[A_Norm],$A233,tblMotor[DesiKargo]),0))</f>
        <v/>
      </c>
      <c r="I233" s="17">
        <f>IF(OR($A233="",$B233&lt;&gt;"tutar_farki"),"",IF(ABS($C233-$D233)&lt;=toleransKurus,"TYK-001",IF(ABS($C233-$E233)&lt;=toleransKurus,"TYK-002",IF(ABS($C233-$F233)&lt;=toleransKurus,"TYK-003",IF(ABS($C233-$G233)&lt;=toleransKurus,"TYK-004",IF(ABS($C233-$H233)&lt;=toleransKurus,"TYK-005","TANIMSIZ"))))))</f>
        <v/>
      </c>
    </row>
    <row r="234">
      <c r="A234" s="23">
        <f>IF('ESLESTIRME'!$A234="","",'ESLESTIRME'!$A234)</f>
        <v/>
      </c>
      <c r="B234" s="17">
        <f>IF($A234="","",IFERROR(INDEX(tblEslesme[Kova],MATCH($A234,tblEslesme[A_Norm],0)),""))</f>
        <v/>
      </c>
      <c r="C234" s="17">
        <f>IF($A234="","",IFERROR(INDEX(tblEslesme[AbsFark],MATCH($A234,tblEslesme[A_Norm],0)),0))</f>
        <v/>
      </c>
      <c r="D234" s="17">
        <f>IF($A234="","",IFERROR(SUMIF(tblMotor[A_Norm],$A234,tblMotor[KomisyonTutar]),0))</f>
        <v/>
      </c>
      <c r="E234" s="17">
        <f>IF($A234="","",IFERROR(SUMIF(tblMotor[A_Norm],$A234,tblMotor[TyPlus]),0))</f>
        <v/>
      </c>
      <c r="F234" s="17">
        <f>IF($A234="","",IFERROR(SUMIF(tblMotor[A_Norm],$A234,tblMotor[FlasKesinti]),0))</f>
        <v/>
      </c>
      <c r="G234" s="17">
        <f>IF($A234="","",IFERROR(SUMIF(tblMotor[A_Norm],$A234,tblMotor[UrunReklam]),0))</f>
        <v/>
      </c>
      <c r="H234" s="17">
        <f>IF($A234="","",IFERROR(SUMIF(tblMotor[A_Norm],$A234,tblMotor[DesiKargo]),0))</f>
        <v/>
      </c>
      <c r="I234" s="17">
        <f>IF(OR($A234="",$B234&lt;&gt;"tutar_farki"),"",IF(ABS($C234-$D234)&lt;=toleransKurus,"TYK-001",IF(ABS($C234-$E234)&lt;=toleransKurus,"TYK-002",IF(ABS($C234-$F234)&lt;=toleransKurus,"TYK-003",IF(ABS($C234-$G234)&lt;=toleransKurus,"TYK-004",IF(ABS($C234-$H234)&lt;=toleransKurus,"TYK-005","TANIMSIZ"))))))</f>
        <v/>
      </c>
    </row>
    <row r="235">
      <c r="A235" s="23">
        <f>IF('ESLESTIRME'!$A235="","",'ESLESTIRME'!$A235)</f>
        <v/>
      </c>
      <c r="B235" s="17">
        <f>IF($A235="","",IFERROR(INDEX(tblEslesme[Kova],MATCH($A235,tblEslesme[A_Norm],0)),""))</f>
        <v/>
      </c>
      <c r="C235" s="17">
        <f>IF($A235="","",IFERROR(INDEX(tblEslesme[AbsFark],MATCH($A235,tblEslesme[A_Norm],0)),0))</f>
        <v/>
      </c>
      <c r="D235" s="17">
        <f>IF($A235="","",IFERROR(SUMIF(tblMotor[A_Norm],$A235,tblMotor[KomisyonTutar]),0))</f>
        <v/>
      </c>
      <c r="E235" s="17">
        <f>IF($A235="","",IFERROR(SUMIF(tblMotor[A_Norm],$A235,tblMotor[TyPlus]),0))</f>
        <v/>
      </c>
      <c r="F235" s="17">
        <f>IF($A235="","",IFERROR(SUMIF(tblMotor[A_Norm],$A235,tblMotor[FlasKesinti]),0))</f>
        <v/>
      </c>
      <c r="G235" s="17">
        <f>IF($A235="","",IFERROR(SUMIF(tblMotor[A_Norm],$A235,tblMotor[UrunReklam]),0))</f>
        <v/>
      </c>
      <c r="H235" s="17">
        <f>IF($A235="","",IFERROR(SUMIF(tblMotor[A_Norm],$A235,tblMotor[DesiKargo]),0))</f>
        <v/>
      </c>
      <c r="I235" s="17">
        <f>IF(OR($A235="",$B235&lt;&gt;"tutar_farki"),"",IF(ABS($C235-$D235)&lt;=toleransKurus,"TYK-001",IF(ABS($C235-$E235)&lt;=toleransKurus,"TYK-002",IF(ABS($C235-$F235)&lt;=toleransKurus,"TYK-003",IF(ABS($C235-$G235)&lt;=toleransKurus,"TYK-004",IF(ABS($C235-$H235)&lt;=toleransKurus,"TYK-005","TANIMSIZ"))))))</f>
        <v/>
      </c>
    </row>
    <row r="236">
      <c r="A236" s="23">
        <f>IF('ESLESTIRME'!$A236="","",'ESLESTIRME'!$A236)</f>
        <v/>
      </c>
      <c r="B236" s="17">
        <f>IF($A236="","",IFERROR(INDEX(tblEslesme[Kova],MATCH($A236,tblEslesme[A_Norm],0)),""))</f>
        <v/>
      </c>
      <c r="C236" s="17">
        <f>IF($A236="","",IFERROR(INDEX(tblEslesme[AbsFark],MATCH($A236,tblEslesme[A_Norm],0)),0))</f>
        <v/>
      </c>
      <c r="D236" s="17">
        <f>IF($A236="","",IFERROR(SUMIF(tblMotor[A_Norm],$A236,tblMotor[KomisyonTutar]),0))</f>
        <v/>
      </c>
      <c r="E236" s="17">
        <f>IF($A236="","",IFERROR(SUMIF(tblMotor[A_Norm],$A236,tblMotor[TyPlus]),0))</f>
        <v/>
      </c>
      <c r="F236" s="17">
        <f>IF($A236="","",IFERROR(SUMIF(tblMotor[A_Norm],$A236,tblMotor[FlasKesinti]),0))</f>
        <v/>
      </c>
      <c r="G236" s="17">
        <f>IF($A236="","",IFERROR(SUMIF(tblMotor[A_Norm],$A236,tblMotor[UrunReklam]),0))</f>
        <v/>
      </c>
      <c r="H236" s="17">
        <f>IF($A236="","",IFERROR(SUMIF(tblMotor[A_Norm],$A236,tblMotor[DesiKargo]),0))</f>
        <v/>
      </c>
      <c r="I236" s="17">
        <f>IF(OR($A236="",$B236&lt;&gt;"tutar_farki"),"",IF(ABS($C236-$D236)&lt;=toleransKurus,"TYK-001",IF(ABS($C236-$E236)&lt;=toleransKurus,"TYK-002",IF(ABS($C236-$F236)&lt;=toleransKurus,"TYK-003",IF(ABS($C236-$G236)&lt;=toleransKurus,"TYK-004",IF(ABS($C236-$H236)&lt;=toleransKurus,"TYK-005","TANIMSIZ"))))))</f>
        <v/>
      </c>
    </row>
    <row r="237">
      <c r="A237" s="23">
        <f>IF('ESLESTIRME'!$A237="","",'ESLESTIRME'!$A237)</f>
        <v/>
      </c>
      <c r="B237" s="17">
        <f>IF($A237="","",IFERROR(INDEX(tblEslesme[Kova],MATCH($A237,tblEslesme[A_Norm],0)),""))</f>
        <v/>
      </c>
      <c r="C237" s="17">
        <f>IF($A237="","",IFERROR(INDEX(tblEslesme[AbsFark],MATCH($A237,tblEslesme[A_Norm],0)),0))</f>
        <v/>
      </c>
      <c r="D237" s="17">
        <f>IF($A237="","",IFERROR(SUMIF(tblMotor[A_Norm],$A237,tblMotor[KomisyonTutar]),0))</f>
        <v/>
      </c>
      <c r="E237" s="17">
        <f>IF($A237="","",IFERROR(SUMIF(tblMotor[A_Norm],$A237,tblMotor[TyPlus]),0))</f>
        <v/>
      </c>
      <c r="F237" s="17">
        <f>IF($A237="","",IFERROR(SUMIF(tblMotor[A_Norm],$A237,tblMotor[FlasKesinti]),0))</f>
        <v/>
      </c>
      <c r="G237" s="17">
        <f>IF($A237="","",IFERROR(SUMIF(tblMotor[A_Norm],$A237,tblMotor[UrunReklam]),0))</f>
        <v/>
      </c>
      <c r="H237" s="17">
        <f>IF($A237="","",IFERROR(SUMIF(tblMotor[A_Norm],$A237,tblMotor[DesiKargo]),0))</f>
        <v/>
      </c>
      <c r="I237" s="17">
        <f>IF(OR($A237="",$B237&lt;&gt;"tutar_farki"),"",IF(ABS($C237-$D237)&lt;=toleransKurus,"TYK-001",IF(ABS($C237-$E237)&lt;=toleransKurus,"TYK-002",IF(ABS($C237-$F237)&lt;=toleransKurus,"TYK-003",IF(ABS($C237-$G237)&lt;=toleransKurus,"TYK-004",IF(ABS($C237-$H237)&lt;=toleransKurus,"TYK-005","TANIMSIZ"))))))</f>
        <v/>
      </c>
    </row>
    <row r="238">
      <c r="A238" s="23">
        <f>IF('ESLESTIRME'!$A238="","",'ESLESTIRME'!$A238)</f>
        <v/>
      </c>
      <c r="B238" s="17">
        <f>IF($A238="","",IFERROR(INDEX(tblEslesme[Kova],MATCH($A238,tblEslesme[A_Norm],0)),""))</f>
        <v/>
      </c>
      <c r="C238" s="17">
        <f>IF($A238="","",IFERROR(INDEX(tblEslesme[AbsFark],MATCH($A238,tblEslesme[A_Norm],0)),0))</f>
        <v/>
      </c>
      <c r="D238" s="17">
        <f>IF($A238="","",IFERROR(SUMIF(tblMotor[A_Norm],$A238,tblMotor[KomisyonTutar]),0))</f>
        <v/>
      </c>
      <c r="E238" s="17">
        <f>IF($A238="","",IFERROR(SUMIF(tblMotor[A_Norm],$A238,tblMotor[TyPlus]),0))</f>
        <v/>
      </c>
      <c r="F238" s="17">
        <f>IF($A238="","",IFERROR(SUMIF(tblMotor[A_Norm],$A238,tblMotor[FlasKesinti]),0))</f>
        <v/>
      </c>
      <c r="G238" s="17">
        <f>IF($A238="","",IFERROR(SUMIF(tblMotor[A_Norm],$A238,tblMotor[UrunReklam]),0))</f>
        <v/>
      </c>
      <c r="H238" s="17">
        <f>IF($A238="","",IFERROR(SUMIF(tblMotor[A_Norm],$A238,tblMotor[DesiKargo]),0))</f>
        <v/>
      </c>
      <c r="I238" s="17">
        <f>IF(OR($A238="",$B238&lt;&gt;"tutar_farki"),"",IF(ABS($C238-$D238)&lt;=toleransKurus,"TYK-001",IF(ABS($C238-$E238)&lt;=toleransKurus,"TYK-002",IF(ABS($C238-$F238)&lt;=toleransKurus,"TYK-003",IF(ABS($C238-$G238)&lt;=toleransKurus,"TYK-004",IF(ABS($C238-$H238)&lt;=toleransKurus,"TYK-005","TANIMSIZ"))))))</f>
        <v/>
      </c>
    </row>
    <row r="239">
      <c r="A239" s="23">
        <f>IF('ESLESTIRME'!$A239="","",'ESLESTIRME'!$A239)</f>
        <v/>
      </c>
      <c r="B239" s="17">
        <f>IF($A239="","",IFERROR(INDEX(tblEslesme[Kova],MATCH($A239,tblEslesme[A_Norm],0)),""))</f>
        <v/>
      </c>
      <c r="C239" s="17">
        <f>IF($A239="","",IFERROR(INDEX(tblEslesme[AbsFark],MATCH($A239,tblEslesme[A_Norm],0)),0))</f>
        <v/>
      </c>
      <c r="D239" s="17">
        <f>IF($A239="","",IFERROR(SUMIF(tblMotor[A_Norm],$A239,tblMotor[KomisyonTutar]),0))</f>
        <v/>
      </c>
      <c r="E239" s="17">
        <f>IF($A239="","",IFERROR(SUMIF(tblMotor[A_Norm],$A239,tblMotor[TyPlus]),0))</f>
        <v/>
      </c>
      <c r="F239" s="17">
        <f>IF($A239="","",IFERROR(SUMIF(tblMotor[A_Norm],$A239,tblMotor[FlasKesinti]),0))</f>
        <v/>
      </c>
      <c r="G239" s="17">
        <f>IF($A239="","",IFERROR(SUMIF(tblMotor[A_Norm],$A239,tblMotor[UrunReklam]),0))</f>
        <v/>
      </c>
      <c r="H239" s="17">
        <f>IF($A239="","",IFERROR(SUMIF(tblMotor[A_Norm],$A239,tblMotor[DesiKargo]),0))</f>
        <v/>
      </c>
      <c r="I239" s="17">
        <f>IF(OR($A239="",$B239&lt;&gt;"tutar_farki"),"",IF(ABS($C239-$D239)&lt;=toleransKurus,"TYK-001",IF(ABS($C239-$E239)&lt;=toleransKurus,"TYK-002",IF(ABS($C239-$F239)&lt;=toleransKurus,"TYK-003",IF(ABS($C239-$G239)&lt;=toleransKurus,"TYK-004",IF(ABS($C239-$H239)&lt;=toleransKurus,"TYK-005","TANIMSIZ"))))))</f>
        <v/>
      </c>
    </row>
    <row r="240">
      <c r="A240" s="23">
        <f>IF('ESLESTIRME'!$A240="","",'ESLESTIRME'!$A240)</f>
        <v/>
      </c>
      <c r="B240" s="17">
        <f>IF($A240="","",IFERROR(INDEX(tblEslesme[Kova],MATCH($A240,tblEslesme[A_Norm],0)),""))</f>
        <v/>
      </c>
      <c r="C240" s="17">
        <f>IF($A240="","",IFERROR(INDEX(tblEslesme[AbsFark],MATCH($A240,tblEslesme[A_Norm],0)),0))</f>
        <v/>
      </c>
      <c r="D240" s="17">
        <f>IF($A240="","",IFERROR(SUMIF(tblMotor[A_Norm],$A240,tblMotor[KomisyonTutar]),0))</f>
        <v/>
      </c>
      <c r="E240" s="17">
        <f>IF($A240="","",IFERROR(SUMIF(tblMotor[A_Norm],$A240,tblMotor[TyPlus]),0))</f>
        <v/>
      </c>
      <c r="F240" s="17">
        <f>IF($A240="","",IFERROR(SUMIF(tblMotor[A_Norm],$A240,tblMotor[FlasKesinti]),0))</f>
        <v/>
      </c>
      <c r="G240" s="17">
        <f>IF($A240="","",IFERROR(SUMIF(tblMotor[A_Norm],$A240,tblMotor[UrunReklam]),0))</f>
        <v/>
      </c>
      <c r="H240" s="17">
        <f>IF($A240="","",IFERROR(SUMIF(tblMotor[A_Norm],$A240,tblMotor[DesiKargo]),0))</f>
        <v/>
      </c>
      <c r="I240" s="17">
        <f>IF(OR($A240="",$B240&lt;&gt;"tutar_farki"),"",IF(ABS($C240-$D240)&lt;=toleransKurus,"TYK-001",IF(ABS($C240-$E240)&lt;=toleransKurus,"TYK-002",IF(ABS($C240-$F240)&lt;=toleransKurus,"TYK-003",IF(ABS($C240-$G240)&lt;=toleransKurus,"TYK-004",IF(ABS($C240-$H240)&lt;=toleransKurus,"TYK-005","TANIMSIZ"))))))</f>
        <v/>
      </c>
    </row>
    <row r="241">
      <c r="A241" s="23">
        <f>IF('ESLESTIRME'!$A241="","",'ESLESTIRME'!$A241)</f>
        <v/>
      </c>
      <c r="B241" s="17">
        <f>IF($A241="","",IFERROR(INDEX(tblEslesme[Kova],MATCH($A241,tblEslesme[A_Norm],0)),""))</f>
        <v/>
      </c>
      <c r="C241" s="17">
        <f>IF($A241="","",IFERROR(INDEX(tblEslesme[AbsFark],MATCH($A241,tblEslesme[A_Norm],0)),0))</f>
        <v/>
      </c>
      <c r="D241" s="17">
        <f>IF($A241="","",IFERROR(SUMIF(tblMotor[A_Norm],$A241,tblMotor[KomisyonTutar]),0))</f>
        <v/>
      </c>
      <c r="E241" s="17">
        <f>IF($A241="","",IFERROR(SUMIF(tblMotor[A_Norm],$A241,tblMotor[TyPlus]),0))</f>
        <v/>
      </c>
      <c r="F241" s="17">
        <f>IF($A241="","",IFERROR(SUMIF(tblMotor[A_Norm],$A241,tblMotor[FlasKesinti]),0))</f>
        <v/>
      </c>
      <c r="G241" s="17">
        <f>IF($A241="","",IFERROR(SUMIF(tblMotor[A_Norm],$A241,tblMotor[UrunReklam]),0))</f>
        <v/>
      </c>
      <c r="H241" s="17">
        <f>IF($A241="","",IFERROR(SUMIF(tblMotor[A_Norm],$A241,tblMotor[DesiKargo]),0))</f>
        <v/>
      </c>
      <c r="I241" s="17">
        <f>IF(OR($A241="",$B241&lt;&gt;"tutar_farki"),"",IF(ABS($C241-$D241)&lt;=toleransKurus,"TYK-001",IF(ABS($C241-$E241)&lt;=toleransKurus,"TYK-002",IF(ABS($C241-$F241)&lt;=toleransKurus,"TYK-003",IF(ABS($C241-$G241)&lt;=toleransKurus,"TYK-004",IF(ABS($C241-$H241)&lt;=toleransKurus,"TYK-005","TANIMSIZ"))))))</f>
        <v/>
      </c>
    </row>
    <row r="242">
      <c r="A242" s="23">
        <f>IF('ESLESTIRME'!$A242="","",'ESLESTIRME'!$A242)</f>
        <v/>
      </c>
      <c r="B242" s="17">
        <f>IF($A242="","",IFERROR(INDEX(tblEslesme[Kova],MATCH($A242,tblEslesme[A_Norm],0)),""))</f>
        <v/>
      </c>
      <c r="C242" s="17">
        <f>IF($A242="","",IFERROR(INDEX(tblEslesme[AbsFark],MATCH($A242,tblEslesme[A_Norm],0)),0))</f>
        <v/>
      </c>
      <c r="D242" s="17">
        <f>IF($A242="","",IFERROR(SUMIF(tblMotor[A_Norm],$A242,tblMotor[KomisyonTutar]),0))</f>
        <v/>
      </c>
      <c r="E242" s="17">
        <f>IF($A242="","",IFERROR(SUMIF(tblMotor[A_Norm],$A242,tblMotor[TyPlus]),0))</f>
        <v/>
      </c>
      <c r="F242" s="17">
        <f>IF($A242="","",IFERROR(SUMIF(tblMotor[A_Norm],$A242,tblMotor[FlasKesinti]),0))</f>
        <v/>
      </c>
      <c r="G242" s="17">
        <f>IF($A242="","",IFERROR(SUMIF(tblMotor[A_Norm],$A242,tblMotor[UrunReklam]),0))</f>
        <v/>
      </c>
      <c r="H242" s="17">
        <f>IF($A242="","",IFERROR(SUMIF(tblMotor[A_Norm],$A242,tblMotor[DesiKargo]),0))</f>
        <v/>
      </c>
      <c r="I242" s="17">
        <f>IF(OR($A242="",$B242&lt;&gt;"tutar_farki"),"",IF(ABS($C242-$D242)&lt;=toleransKurus,"TYK-001",IF(ABS($C242-$E242)&lt;=toleransKurus,"TYK-002",IF(ABS($C242-$F242)&lt;=toleransKurus,"TYK-003",IF(ABS($C242-$G242)&lt;=toleransKurus,"TYK-004",IF(ABS($C242-$H242)&lt;=toleransKurus,"TYK-005","TANIMSIZ"))))))</f>
        <v/>
      </c>
    </row>
    <row r="243">
      <c r="A243" s="23">
        <f>IF('ESLESTIRME'!$A243="","",'ESLESTIRME'!$A243)</f>
        <v/>
      </c>
      <c r="B243" s="17">
        <f>IF($A243="","",IFERROR(INDEX(tblEslesme[Kova],MATCH($A243,tblEslesme[A_Norm],0)),""))</f>
        <v/>
      </c>
      <c r="C243" s="17">
        <f>IF($A243="","",IFERROR(INDEX(tblEslesme[AbsFark],MATCH($A243,tblEslesme[A_Norm],0)),0))</f>
        <v/>
      </c>
      <c r="D243" s="17">
        <f>IF($A243="","",IFERROR(SUMIF(tblMotor[A_Norm],$A243,tblMotor[KomisyonTutar]),0))</f>
        <v/>
      </c>
      <c r="E243" s="17">
        <f>IF($A243="","",IFERROR(SUMIF(tblMotor[A_Norm],$A243,tblMotor[TyPlus]),0))</f>
        <v/>
      </c>
      <c r="F243" s="17">
        <f>IF($A243="","",IFERROR(SUMIF(tblMotor[A_Norm],$A243,tblMotor[FlasKesinti]),0))</f>
        <v/>
      </c>
      <c r="G243" s="17">
        <f>IF($A243="","",IFERROR(SUMIF(tblMotor[A_Norm],$A243,tblMotor[UrunReklam]),0))</f>
        <v/>
      </c>
      <c r="H243" s="17">
        <f>IF($A243="","",IFERROR(SUMIF(tblMotor[A_Norm],$A243,tblMotor[DesiKargo]),0))</f>
        <v/>
      </c>
      <c r="I243" s="17">
        <f>IF(OR($A243="",$B243&lt;&gt;"tutar_farki"),"",IF(ABS($C243-$D243)&lt;=toleransKurus,"TYK-001",IF(ABS($C243-$E243)&lt;=toleransKurus,"TYK-002",IF(ABS($C243-$F243)&lt;=toleransKurus,"TYK-003",IF(ABS($C243-$G243)&lt;=toleransKurus,"TYK-004",IF(ABS($C243-$H243)&lt;=toleransKurus,"TYK-005","TANIMSIZ"))))))</f>
        <v/>
      </c>
    </row>
    <row r="244">
      <c r="A244" s="23">
        <f>IF('ESLESTIRME'!$A244="","",'ESLESTIRME'!$A244)</f>
        <v/>
      </c>
      <c r="B244" s="17">
        <f>IF($A244="","",IFERROR(INDEX(tblEslesme[Kova],MATCH($A244,tblEslesme[A_Norm],0)),""))</f>
        <v/>
      </c>
      <c r="C244" s="17">
        <f>IF($A244="","",IFERROR(INDEX(tblEslesme[AbsFark],MATCH($A244,tblEslesme[A_Norm],0)),0))</f>
        <v/>
      </c>
      <c r="D244" s="17">
        <f>IF($A244="","",IFERROR(SUMIF(tblMotor[A_Norm],$A244,tblMotor[KomisyonTutar]),0))</f>
        <v/>
      </c>
      <c r="E244" s="17">
        <f>IF($A244="","",IFERROR(SUMIF(tblMotor[A_Norm],$A244,tblMotor[TyPlus]),0))</f>
        <v/>
      </c>
      <c r="F244" s="17">
        <f>IF($A244="","",IFERROR(SUMIF(tblMotor[A_Norm],$A244,tblMotor[FlasKesinti]),0))</f>
        <v/>
      </c>
      <c r="G244" s="17">
        <f>IF($A244="","",IFERROR(SUMIF(tblMotor[A_Norm],$A244,tblMotor[UrunReklam]),0))</f>
        <v/>
      </c>
      <c r="H244" s="17">
        <f>IF($A244="","",IFERROR(SUMIF(tblMotor[A_Norm],$A244,tblMotor[DesiKargo]),0))</f>
        <v/>
      </c>
      <c r="I244" s="17">
        <f>IF(OR($A244="",$B244&lt;&gt;"tutar_farki"),"",IF(ABS($C244-$D244)&lt;=toleransKurus,"TYK-001",IF(ABS($C244-$E244)&lt;=toleransKurus,"TYK-002",IF(ABS($C244-$F244)&lt;=toleransKurus,"TYK-003",IF(ABS($C244-$G244)&lt;=toleransKurus,"TYK-004",IF(ABS($C244-$H244)&lt;=toleransKurus,"TYK-005","TANIMSIZ"))))))</f>
        <v/>
      </c>
    </row>
    <row r="245">
      <c r="A245" s="23">
        <f>IF('ESLESTIRME'!$A245="","",'ESLESTIRME'!$A245)</f>
        <v/>
      </c>
      <c r="B245" s="17">
        <f>IF($A245="","",IFERROR(INDEX(tblEslesme[Kova],MATCH($A245,tblEslesme[A_Norm],0)),""))</f>
        <v/>
      </c>
      <c r="C245" s="17">
        <f>IF($A245="","",IFERROR(INDEX(tblEslesme[AbsFark],MATCH($A245,tblEslesme[A_Norm],0)),0))</f>
        <v/>
      </c>
      <c r="D245" s="17">
        <f>IF($A245="","",IFERROR(SUMIF(tblMotor[A_Norm],$A245,tblMotor[KomisyonTutar]),0))</f>
        <v/>
      </c>
      <c r="E245" s="17">
        <f>IF($A245="","",IFERROR(SUMIF(tblMotor[A_Norm],$A245,tblMotor[TyPlus]),0))</f>
        <v/>
      </c>
      <c r="F245" s="17">
        <f>IF($A245="","",IFERROR(SUMIF(tblMotor[A_Norm],$A245,tblMotor[FlasKesinti]),0))</f>
        <v/>
      </c>
      <c r="G245" s="17">
        <f>IF($A245="","",IFERROR(SUMIF(tblMotor[A_Norm],$A245,tblMotor[UrunReklam]),0))</f>
        <v/>
      </c>
      <c r="H245" s="17">
        <f>IF($A245="","",IFERROR(SUMIF(tblMotor[A_Norm],$A245,tblMotor[DesiKargo]),0))</f>
        <v/>
      </c>
      <c r="I245" s="17">
        <f>IF(OR($A245="",$B245&lt;&gt;"tutar_farki"),"",IF(ABS($C245-$D245)&lt;=toleransKurus,"TYK-001",IF(ABS($C245-$E245)&lt;=toleransKurus,"TYK-002",IF(ABS($C245-$F245)&lt;=toleransKurus,"TYK-003",IF(ABS($C245-$G245)&lt;=toleransKurus,"TYK-004",IF(ABS($C245-$H245)&lt;=toleransKurus,"TYK-005","TANIMSIZ"))))))</f>
        <v/>
      </c>
    </row>
    <row r="246">
      <c r="A246" s="23">
        <f>IF('ESLESTIRME'!$A246="","",'ESLESTIRME'!$A246)</f>
        <v/>
      </c>
      <c r="B246" s="17">
        <f>IF($A246="","",IFERROR(INDEX(tblEslesme[Kova],MATCH($A246,tblEslesme[A_Norm],0)),""))</f>
        <v/>
      </c>
      <c r="C246" s="17">
        <f>IF($A246="","",IFERROR(INDEX(tblEslesme[AbsFark],MATCH($A246,tblEslesme[A_Norm],0)),0))</f>
        <v/>
      </c>
      <c r="D246" s="17">
        <f>IF($A246="","",IFERROR(SUMIF(tblMotor[A_Norm],$A246,tblMotor[KomisyonTutar]),0))</f>
        <v/>
      </c>
      <c r="E246" s="17">
        <f>IF($A246="","",IFERROR(SUMIF(tblMotor[A_Norm],$A246,tblMotor[TyPlus]),0))</f>
        <v/>
      </c>
      <c r="F246" s="17">
        <f>IF($A246="","",IFERROR(SUMIF(tblMotor[A_Norm],$A246,tblMotor[FlasKesinti]),0))</f>
        <v/>
      </c>
      <c r="G246" s="17">
        <f>IF($A246="","",IFERROR(SUMIF(tblMotor[A_Norm],$A246,tblMotor[UrunReklam]),0))</f>
        <v/>
      </c>
      <c r="H246" s="17">
        <f>IF($A246="","",IFERROR(SUMIF(tblMotor[A_Norm],$A246,tblMotor[DesiKargo]),0))</f>
        <v/>
      </c>
      <c r="I246" s="17">
        <f>IF(OR($A246="",$B246&lt;&gt;"tutar_farki"),"",IF(ABS($C246-$D246)&lt;=toleransKurus,"TYK-001",IF(ABS($C246-$E246)&lt;=toleransKurus,"TYK-002",IF(ABS($C246-$F246)&lt;=toleransKurus,"TYK-003",IF(ABS($C246-$G246)&lt;=toleransKurus,"TYK-004",IF(ABS($C246-$H246)&lt;=toleransKurus,"TYK-005","TANIMSIZ"))))))</f>
        <v/>
      </c>
    </row>
    <row r="247">
      <c r="A247" s="23">
        <f>IF('ESLESTIRME'!$A247="","",'ESLESTIRME'!$A247)</f>
        <v/>
      </c>
      <c r="B247" s="17">
        <f>IF($A247="","",IFERROR(INDEX(tblEslesme[Kova],MATCH($A247,tblEslesme[A_Norm],0)),""))</f>
        <v/>
      </c>
      <c r="C247" s="17">
        <f>IF($A247="","",IFERROR(INDEX(tblEslesme[AbsFark],MATCH($A247,tblEslesme[A_Norm],0)),0))</f>
        <v/>
      </c>
      <c r="D247" s="17">
        <f>IF($A247="","",IFERROR(SUMIF(tblMotor[A_Norm],$A247,tblMotor[KomisyonTutar]),0))</f>
        <v/>
      </c>
      <c r="E247" s="17">
        <f>IF($A247="","",IFERROR(SUMIF(tblMotor[A_Norm],$A247,tblMotor[TyPlus]),0))</f>
        <v/>
      </c>
      <c r="F247" s="17">
        <f>IF($A247="","",IFERROR(SUMIF(tblMotor[A_Norm],$A247,tblMotor[FlasKesinti]),0))</f>
        <v/>
      </c>
      <c r="G247" s="17">
        <f>IF($A247="","",IFERROR(SUMIF(tblMotor[A_Norm],$A247,tblMotor[UrunReklam]),0))</f>
        <v/>
      </c>
      <c r="H247" s="17">
        <f>IF($A247="","",IFERROR(SUMIF(tblMotor[A_Norm],$A247,tblMotor[DesiKargo]),0))</f>
        <v/>
      </c>
      <c r="I247" s="17">
        <f>IF(OR($A247="",$B247&lt;&gt;"tutar_farki"),"",IF(ABS($C247-$D247)&lt;=toleransKurus,"TYK-001",IF(ABS($C247-$E247)&lt;=toleransKurus,"TYK-002",IF(ABS($C247-$F247)&lt;=toleransKurus,"TYK-003",IF(ABS($C247-$G247)&lt;=toleransKurus,"TYK-004",IF(ABS($C247-$H247)&lt;=toleransKurus,"TYK-005","TANIMSIZ"))))))</f>
        <v/>
      </c>
    </row>
    <row r="248">
      <c r="A248" s="23">
        <f>IF('ESLESTIRME'!$A248="","",'ESLESTIRME'!$A248)</f>
        <v/>
      </c>
      <c r="B248" s="17">
        <f>IF($A248="","",IFERROR(INDEX(tblEslesme[Kova],MATCH($A248,tblEslesme[A_Norm],0)),""))</f>
        <v/>
      </c>
      <c r="C248" s="17">
        <f>IF($A248="","",IFERROR(INDEX(tblEslesme[AbsFark],MATCH($A248,tblEslesme[A_Norm],0)),0))</f>
        <v/>
      </c>
      <c r="D248" s="17">
        <f>IF($A248="","",IFERROR(SUMIF(tblMotor[A_Norm],$A248,tblMotor[KomisyonTutar]),0))</f>
        <v/>
      </c>
      <c r="E248" s="17">
        <f>IF($A248="","",IFERROR(SUMIF(tblMotor[A_Norm],$A248,tblMotor[TyPlus]),0))</f>
        <v/>
      </c>
      <c r="F248" s="17">
        <f>IF($A248="","",IFERROR(SUMIF(tblMotor[A_Norm],$A248,tblMotor[FlasKesinti]),0))</f>
        <v/>
      </c>
      <c r="G248" s="17">
        <f>IF($A248="","",IFERROR(SUMIF(tblMotor[A_Norm],$A248,tblMotor[UrunReklam]),0))</f>
        <v/>
      </c>
      <c r="H248" s="17">
        <f>IF($A248="","",IFERROR(SUMIF(tblMotor[A_Norm],$A248,tblMotor[DesiKargo]),0))</f>
        <v/>
      </c>
      <c r="I248" s="17">
        <f>IF(OR($A248="",$B248&lt;&gt;"tutar_farki"),"",IF(ABS($C248-$D248)&lt;=toleransKurus,"TYK-001",IF(ABS($C248-$E248)&lt;=toleransKurus,"TYK-002",IF(ABS($C248-$F248)&lt;=toleransKurus,"TYK-003",IF(ABS($C248-$G248)&lt;=toleransKurus,"TYK-004",IF(ABS($C248-$H248)&lt;=toleransKurus,"TYK-005","TANIMSIZ"))))))</f>
        <v/>
      </c>
    </row>
    <row r="249">
      <c r="A249" s="23">
        <f>IF('ESLESTIRME'!$A249="","",'ESLESTIRME'!$A249)</f>
        <v/>
      </c>
      <c r="B249" s="17">
        <f>IF($A249="","",IFERROR(INDEX(tblEslesme[Kova],MATCH($A249,tblEslesme[A_Norm],0)),""))</f>
        <v/>
      </c>
      <c r="C249" s="17">
        <f>IF($A249="","",IFERROR(INDEX(tblEslesme[AbsFark],MATCH($A249,tblEslesme[A_Norm],0)),0))</f>
        <v/>
      </c>
      <c r="D249" s="17">
        <f>IF($A249="","",IFERROR(SUMIF(tblMotor[A_Norm],$A249,tblMotor[KomisyonTutar]),0))</f>
        <v/>
      </c>
      <c r="E249" s="17">
        <f>IF($A249="","",IFERROR(SUMIF(tblMotor[A_Norm],$A249,tblMotor[TyPlus]),0))</f>
        <v/>
      </c>
      <c r="F249" s="17">
        <f>IF($A249="","",IFERROR(SUMIF(tblMotor[A_Norm],$A249,tblMotor[FlasKesinti]),0))</f>
        <v/>
      </c>
      <c r="G249" s="17">
        <f>IF($A249="","",IFERROR(SUMIF(tblMotor[A_Norm],$A249,tblMotor[UrunReklam]),0))</f>
        <v/>
      </c>
      <c r="H249" s="17">
        <f>IF($A249="","",IFERROR(SUMIF(tblMotor[A_Norm],$A249,tblMotor[DesiKargo]),0))</f>
        <v/>
      </c>
      <c r="I249" s="17">
        <f>IF(OR($A249="",$B249&lt;&gt;"tutar_farki"),"",IF(ABS($C249-$D249)&lt;=toleransKurus,"TYK-001",IF(ABS($C249-$E249)&lt;=toleransKurus,"TYK-002",IF(ABS($C249-$F249)&lt;=toleransKurus,"TYK-003",IF(ABS($C249-$G249)&lt;=toleransKurus,"TYK-004",IF(ABS($C249-$H249)&lt;=toleransKurus,"TYK-005","TANIMSIZ"))))))</f>
        <v/>
      </c>
    </row>
    <row r="250">
      <c r="A250" s="23">
        <f>IF('ESLESTIRME'!$A250="","",'ESLESTIRME'!$A250)</f>
        <v/>
      </c>
      <c r="B250" s="17">
        <f>IF($A250="","",IFERROR(INDEX(tblEslesme[Kova],MATCH($A250,tblEslesme[A_Norm],0)),""))</f>
        <v/>
      </c>
      <c r="C250" s="17">
        <f>IF($A250="","",IFERROR(INDEX(tblEslesme[AbsFark],MATCH($A250,tblEslesme[A_Norm],0)),0))</f>
        <v/>
      </c>
      <c r="D250" s="17">
        <f>IF($A250="","",IFERROR(SUMIF(tblMotor[A_Norm],$A250,tblMotor[KomisyonTutar]),0))</f>
        <v/>
      </c>
      <c r="E250" s="17">
        <f>IF($A250="","",IFERROR(SUMIF(tblMotor[A_Norm],$A250,tblMotor[TyPlus]),0))</f>
        <v/>
      </c>
      <c r="F250" s="17">
        <f>IF($A250="","",IFERROR(SUMIF(tblMotor[A_Norm],$A250,tblMotor[FlasKesinti]),0))</f>
        <v/>
      </c>
      <c r="G250" s="17">
        <f>IF($A250="","",IFERROR(SUMIF(tblMotor[A_Norm],$A250,tblMotor[UrunReklam]),0))</f>
        <v/>
      </c>
      <c r="H250" s="17">
        <f>IF($A250="","",IFERROR(SUMIF(tblMotor[A_Norm],$A250,tblMotor[DesiKargo]),0))</f>
        <v/>
      </c>
      <c r="I250" s="17">
        <f>IF(OR($A250="",$B250&lt;&gt;"tutar_farki"),"",IF(ABS($C250-$D250)&lt;=toleransKurus,"TYK-001",IF(ABS($C250-$E250)&lt;=toleransKurus,"TYK-002",IF(ABS($C250-$F250)&lt;=toleransKurus,"TYK-003",IF(ABS($C250-$G250)&lt;=toleransKurus,"TYK-004",IF(ABS($C250-$H250)&lt;=toleransKurus,"TYK-005","TANIMSIZ"))))))</f>
        <v/>
      </c>
    </row>
    <row r="251">
      <c r="A251" s="23">
        <f>IF('ESLESTIRME'!$A251="","",'ESLESTIRME'!$A251)</f>
        <v/>
      </c>
      <c r="B251" s="17">
        <f>IF($A251="","",IFERROR(INDEX(tblEslesme[Kova],MATCH($A251,tblEslesme[A_Norm],0)),""))</f>
        <v/>
      </c>
      <c r="C251" s="17">
        <f>IF($A251="","",IFERROR(INDEX(tblEslesme[AbsFark],MATCH($A251,tblEslesme[A_Norm],0)),0))</f>
        <v/>
      </c>
      <c r="D251" s="17">
        <f>IF($A251="","",IFERROR(SUMIF(tblMotor[A_Norm],$A251,tblMotor[KomisyonTutar]),0))</f>
        <v/>
      </c>
      <c r="E251" s="17">
        <f>IF($A251="","",IFERROR(SUMIF(tblMotor[A_Norm],$A251,tblMotor[TyPlus]),0))</f>
        <v/>
      </c>
      <c r="F251" s="17">
        <f>IF($A251="","",IFERROR(SUMIF(tblMotor[A_Norm],$A251,tblMotor[FlasKesinti]),0))</f>
        <v/>
      </c>
      <c r="G251" s="17">
        <f>IF($A251="","",IFERROR(SUMIF(tblMotor[A_Norm],$A251,tblMotor[UrunReklam]),0))</f>
        <v/>
      </c>
      <c r="H251" s="17">
        <f>IF($A251="","",IFERROR(SUMIF(tblMotor[A_Norm],$A251,tblMotor[DesiKargo]),0))</f>
        <v/>
      </c>
      <c r="I251" s="17">
        <f>IF(OR($A251="",$B251&lt;&gt;"tutar_farki"),"",IF(ABS($C251-$D251)&lt;=toleransKurus,"TYK-001",IF(ABS($C251-$E251)&lt;=toleransKurus,"TYK-002",IF(ABS($C251-$F251)&lt;=toleransKurus,"TYK-003",IF(ABS($C251-$G251)&lt;=toleransKurus,"TYK-004",IF(ABS($C251-$H251)&lt;=toleransKurus,"TYK-005","TANIMSIZ"))))))</f>
        <v/>
      </c>
    </row>
    <row r="252">
      <c r="A252" s="23">
        <f>IF('ESLESTIRME'!$A252="","",'ESLESTIRME'!$A252)</f>
        <v/>
      </c>
      <c r="B252" s="17">
        <f>IF($A252="","",IFERROR(INDEX(tblEslesme[Kova],MATCH($A252,tblEslesme[A_Norm],0)),""))</f>
        <v/>
      </c>
      <c r="C252" s="17">
        <f>IF($A252="","",IFERROR(INDEX(tblEslesme[AbsFark],MATCH($A252,tblEslesme[A_Norm],0)),0))</f>
        <v/>
      </c>
      <c r="D252" s="17">
        <f>IF($A252="","",IFERROR(SUMIF(tblMotor[A_Norm],$A252,tblMotor[KomisyonTutar]),0))</f>
        <v/>
      </c>
      <c r="E252" s="17">
        <f>IF($A252="","",IFERROR(SUMIF(tblMotor[A_Norm],$A252,tblMotor[TyPlus]),0))</f>
        <v/>
      </c>
      <c r="F252" s="17">
        <f>IF($A252="","",IFERROR(SUMIF(tblMotor[A_Norm],$A252,tblMotor[FlasKesinti]),0))</f>
        <v/>
      </c>
      <c r="G252" s="17">
        <f>IF($A252="","",IFERROR(SUMIF(tblMotor[A_Norm],$A252,tblMotor[UrunReklam]),0))</f>
        <v/>
      </c>
      <c r="H252" s="17">
        <f>IF($A252="","",IFERROR(SUMIF(tblMotor[A_Norm],$A252,tblMotor[DesiKargo]),0))</f>
        <v/>
      </c>
      <c r="I252" s="17">
        <f>IF(OR($A252="",$B252&lt;&gt;"tutar_farki"),"",IF(ABS($C252-$D252)&lt;=toleransKurus,"TYK-001",IF(ABS($C252-$E252)&lt;=toleransKurus,"TYK-002",IF(ABS($C252-$F252)&lt;=toleransKurus,"TYK-003",IF(ABS($C252-$G252)&lt;=toleransKurus,"TYK-004",IF(ABS($C252-$H252)&lt;=toleransKurus,"TYK-005","TANIMSIZ"))))))</f>
        <v/>
      </c>
    </row>
    <row r="253">
      <c r="A253" s="23">
        <f>IF('ESLESTIRME'!$A253="","",'ESLESTIRME'!$A253)</f>
        <v/>
      </c>
      <c r="B253" s="17">
        <f>IF($A253="","",IFERROR(INDEX(tblEslesme[Kova],MATCH($A253,tblEslesme[A_Norm],0)),""))</f>
        <v/>
      </c>
      <c r="C253" s="17">
        <f>IF($A253="","",IFERROR(INDEX(tblEslesme[AbsFark],MATCH($A253,tblEslesme[A_Norm],0)),0))</f>
        <v/>
      </c>
      <c r="D253" s="17">
        <f>IF($A253="","",IFERROR(SUMIF(tblMotor[A_Norm],$A253,tblMotor[KomisyonTutar]),0))</f>
        <v/>
      </c>
      <c r="E253" s="17">
        <f>IF($A253="","",IFERROR(SUMIF(tblMotor[A_Norm],$A253,tblMotor[TyPlus]),0))</f>
        <v/>
      </c>
      <c r="F253" s="17">
        <f>IF($A253="","",IFERROR(SUMIF(tblMotor[A_Norm],$A253,tblMotor[FlasKesinti]),0))</f>
        <v/>
      </c>
      <c r="G253" s="17">
        <f>IF($A253="","",IFERROR(SUMIF(tblMotor[A_Norm],$A253,tblMotor[UrunReklam]),0))</f>
        <v/>
      </c>
      <c r="H253" s="17">
        <f>IF($A253="","",IFERROR(SUMIF(tblMotor[A_Norm],$A253,tblMotor[DesiKargo]),0))</f>
        <v/>
      </c>
      <c r="I253" s="17">
        <f>IF(OR($A253="",$B253&lt;&gt;"tutar_farki"),"",IF(ABS($C253-$D253)&lt;=toleransKurus,"TYK-001",IF(ABS($C253-$E253)&lt;=toleransKurus,"TYK-002",IF(ABS($C253-$F253)&lt;=toleransKurus,"TYK-003",IF(ABS($C253-$G253)&lt;=toleransKurus,"TYK-004",IF(ABS($C253-$H253)&lt;=toleransKurus,"TYK-005","TANIMSIZ"))))))</f>
        <v/>
      </c>
    </row>
    <row r="254">
      <c r="A254" s="23">
        <f>IF('ESLESTIRME'!$A254="","",'ESLESTIRME'!$A254)</f>
        <v/>
      </c>
      <c r="B254" s="17">
        <f>IF($A254="","",IFERROR(INDEX(tblEslesme[Kova],MATCH($A254,tblEslesme[A_Norm],0)),""))</f>
        <v/>
      </c>
      <c r="C254" s="17">
        <f>IF($A254="","",IFERROR(INDEX(tblEslesme[AbsFark],MATCH($A254,tblEslesme[A_Norm],0)),0))</f>
        <v/>
      </c>
      <c r="D254" s="17">
        <f>IF($A254="","",IFERROR(SUMIF(tblMotor[A_Norm],$A254,tblMotor[KomisyonTutar]),0))</f>
        <v/>
      </c>
      <c r="E254" s="17">
        <f>IF($A254="","",IFERROR(SUMIF(tblMotor[A_Norm],$A254,tblMotor[TyPlus]),0))</f>
        <v/>
      </c>
      <c r="F254" s="17">
        <f>IF($A254="","",IFERROR(SUMIF(tblMotor[A_Norm],$A254,tblMotor[FlasKesinti]),0))</f>
        <v/>
      </c>
      <c r="G254" s="17">
        <f>IF($A254="","",IFERROR(SUMIF(tblMotor[A_Norm],$A254,tblMotor[UrunReklam]),0))</f>
        <v/>
      </c>
      <c r="H254" s="17">
        <f>IF($A254="","",IFERROR(SUMIF(tblMotor[A_Norm],$A254,tblMotor[DesiKargo]),0))</f>
        <v/>
      </c>
      <c r="I254" s="17">
        <f>IF(OR($A254="",$B254&lt;&gt;"tutar_farki"),"",IF(ABS($C254-$D254)&lt;=toleransKurus,"TYK-001",IF(ABS($C254-$E254)&lt;=toleransKurus,"TYK-002",IF(ABS($C254-$F254)&lt;=toleransKurus,"TYK-003",IF(ABS($C254-$G254)&lt;=toleransKurus,"TYK-004",IF(ABS($C254-$H254)&lt;=toleransKurus,"TYK-005","TANIMSIZ"))))))</f>
        <v/>
      </c>
    </row>
    <row r="255">
      <c r="A255" s="23">
        <f>IF('ESLESTIRME'!$A255="","",'ESLESTIRME'!$A255)</f>
        <v/>
      </c>
      <c r="B255" s="17">
        <f>IF($A255="","",IFERROR(INDEX(tblEslesme[Kova],MATCH($A255,tblEslesme[A_Norm],0)),""))</f>
        <v/>
      </c>
      <c r="C255" s="17">
        <f>IF($A255="","",IFERROR(INDEX(tblEslesme[AbsFark],MATCH($A255,tblEslesme[A_Norm],0)),0))</f>
        <v/>
      </c>
      <c r="D255" s="17">
        <f>IF($A255="","",IFERROR(SUMIF(tblMotor[A_Norm],$A255,tblMotor[KomisyonTutar]),0))</f>
        <v/>
      </c>
      <c r="E255" s="17">
        <f>IF($A255="","",IFERROR(SUMIF(tblMotor[A_Norm],$A255,tblMotor[TyPlus]),0))</f>
        <v/>
      </c>
      <c r="F255" s="17">
        <f>IF($A255="","",IFERROR(SUMIF(tblMotor[A_Norm],$A255,tblMotor[FlasKesinti]),0))</f>
        <v/>
      </c>
      <c r="G255" s="17">
        <f>IF($A255="","",IFERROR(SUMIF(tblMotor[A_Norm],$A255,tblMotor[UrunReklam]),0))</f>
        <v/>
      </c>
      <c r="H255" s="17">
        <f>IF($A255="","",IFERROR(SUMIF(tblMotor[A_Norm],$A255,tblMotor[DesiKargo]),0))</f>
        <v/>
      </c>
      <c r="I255" s="17">
        <f>IF(OR($A255="",$B255&lt;&gt;"tutar_farki"),"",IF(ABS($C255-$D255)&lt;=toleransKurus,"TYK-001",IF(ABS($C255-$E255)&lt;=toleransKurus,"TYK-002",IF(ABS($C255-$F255)&lt;=toleransKurus,"TYK-003",IF(ABS($C255-$G255)&lt;=toleransKurus,"TYK-004",IF(ABS($C255-$H255)&lt;=toleransKurus,"TYK-005","TANIMSIZ"))))))</f>
        <v/>
      </c>
    </row>
    <row r="256">
      <c r="A256" s="23">
        <f>IF('ESLESTIRME'!$A256="","",'ESLESTIRME'!$A256)</f>
        <v/>
      </c>
      <c r="B256" s="17">
        <f>IF($A256="","",IFERROR(INDEX(tblEslesme[Kova],MATCH($A256,tblEslesme[A_Norm],0)),""))</f>
        <v/>
      </c>
      <c r="C256" s="17">
        <f>IF($A256="","",IFERROR(INDEX(tblEslesme[AbsFark],MATCH($A256,tblEslesme[A_Norm],0)),0))</f>
        <v/>
      </c>
      <c r="D256" s="17">
        <f>IF($A256="","",IFERROR(SUMIF(tblMotor[A_Norm],$A256,tblMotor[KomisyonTutar]),0))</f>
        <v/>
      </c>
      <c r="E256" s="17">
        <f>IF($A256="","",IFERROR(SUMIF(tblMotor[A_Norm],$A256,tblMotor[TyPlus]),0))</f>
        <v/>
      </c>
      <c r="F256" s="17">
        <f>IF($A256="","",IFERROR(SUMIF(tblMotor[A_Norm],$A256,tblMotor[FlasKesinti]),0))</f>
        <v/>
      </c>
      <c r="G256" s="17">
        <f>IF($A256="","",IFERROR(SUMIF(tblMotor[A_Norm],$A256,tblMotor[UrunReklam]),0))</f>
        <v/>
      </c>
      <c r="H256" s="17">
        <f>IF($A256="","",IFERROR(SUMIF(tblMotor[A_Norm],$A256,tblMotor[DesiKargo]),0))</f>
        <v/>
      </c>
      <c r="I256" s="17">
        <f>IF(OR($A256="",$B256&lt;&gt;"tutar_farki"),"",IF(ABS($C256-$D256)&lt;=toleransKurus,"TYK-001",IF(ABS($C256-$E256)&lt;=toleransKurus,"TYK-002",IF(ABS($C256-$F256)&lt;=toleransKurus,"TYK-003",IF(ABS($C256-$G256)&lt;=toleransKurus,"TYK-004",IF(ABS($C256-$H256)&lt;=toleransKurus,"TYK-005","TANIMSIZ"))))))</f>
        <v/>
      </c>
    </row>
    <row r="257">
      <c r="A257" s="23">
        <f>IF('ESLESTIRME'!$A257="","",'ESLESTIRME'!$A257)</f>
        <v/>
      </c>
      <c r="B257" s="17">
        <f>IF($A257="","",IFERROR(INDEX(tblEslesme[Kova],MATCH($A257,tblEslesme[A_Norm],0)),""))</f>
        <v/>
      </c>
      <c r="C257" s="17">
        <f>IF($A257="","",IFERROR(INDEX(tblEslesme[AbsFark],MATCH($A257,tblEslesme[A_Norm],0)),0))</f>
        <v/>
      </c>
      <c r="D257" s="17">
        <f>IF($A257="","",IFERROR(SUMIF(tblMotor[A_Norm],$A257,tblMotor[KomisyonTutar]),0))</f>
        <v/>
      </c>
      <c r="E257" s="17">
        <f>IF($A257="","",IFERROR(SUMIF(tblMotor[A_Norm],$A257,tblMotor[TyPlus]),0))</f>
        <v/>
      </c>
      <c r="F257" s="17">
        <f>IF($A257="","",IFERROR(SUMIF(tblMotor[A_Norm],$A257,tblMotor[FlasKesinti]),0))</f>
        <v/>
      </c>
      <c r="G257" s="17">
        <f>IF($A257="","",IFERROR(SUMIF(tblMotor[A_Norm],$A257,tblMotor[UrunReklam]),0))</f>
        <v/>
      </c>
      <c r="H257" s="17">
        <f>IF($A257="","",IFERROR(SUMIF(tblMotor[A_Norm],$A257,tblMotor[DesiKargo]),0))</f>
        <v/>
      </c>
      <c r="I257" s="17">
        <f>IF(OR($A257="",$B257&lt;&gt;"tutar_farki"),"",IF(ABS($C257-$D257)&lt;=toleransKurus,"TYK-001",IF(ABS($C257-$E257)&lt;=toleransKurus,"TYK-002",IF(ABS($C257-$F257)&lt;=toleransKurus,"TYK-003",IF(ABS($C257-$G257)&lt;=toleransKurus,"TYK-004",IF(ABS($C257-$H257)&lt;=toleransKurus,"TYK-005","TANIMSIZ"))))))</f>
        <v/>
      </c>
    </row>
    <row r="258">
      <c r="A258" s="23">
        <f>IF('ESLESTIRME'!$A258="","",'ESLESTIRME'!$A258)</f>
        <v/>
      </c>
      <c r="B258" s="17">
        <f>IF($A258="","",IFERROR(INDEX(tblEslesme[Kova],MATCH($A258,tblEslesme[A_Norm],0)),""))</f>
        <v/>
      </c>
      <c r="C258" s="17">
        <f>IF($A258="","",IFERROR(INDEX(tblEslesme[AbsFark],MATCH($A258,tblEslesme[A_Norm],0)),0))</f>
        <v/>
      </c>
      <c r="D258" s="17">
        <f>IF($A258="","",IFERROR(SUMIF(tblMotor[A_Norm],$A258,tblMotor[KomisyonTutar]),0))</f>
        <v/>
      </c>
      <c r="E258" s="17">
        <f>IF($A258="","",IFERROR(SUMIF(tblMotor[A_Norm],$A258,tblMotor[TyPlus]),0))</f>
        <v/>
      </c>
      <c r="F258" s="17">
        <f>IF($A258="","",IFERROR(SUMIF(tblMotor[A_Norm],$A258,tblMotor[FlasKesinti]),0))</f>
        <v/>
      </c>
      <c r="G258" s="17">
        <f>IF($A258="","",IFERROR(SUMIF(tblMotor[A_Norm],$A258,tblMotor[UrunReklam]),0))</f>
        <v/>
      </c>
      <c r="H258" s="17">
        <f>IF($A258="","",IFERROR(SUMIF(tblMotor[A_Norm],$A258,tblMotor[DesiKargo]),0))</f>
        <v/>
      </c>
      <c r="I258" s="17">
        <f>IF(OR($A258="",$B258&lt;&gt;"tutar_farki"),"",IF(ABS($C258-$D258)&lt;=toleransKurus,"TYK-001",IF(ABS($C258-$E258)&lt;=toleransKurus,"TYK-002",IF(ABS($C258-$F258)&lt;=toleransKurus,"TYK-003",IF(ABS($C258-$G258)&lt;=toleransKurus,"TYK-004",IF(ABS($C258-$H258)&lt;=toleransKurus,"TYK-005","TANIMSIZ"))))))</f>
        <v/>
      </c>
    </row>
    <row r="259">
      <c r="A259" s="23">
        <f>IF('ESLESTIRME'!$A259="","",'ESLESTIRME'!$A259)</f>
        <v/>
      </c>
      <c r="B259" s="17">
        <f>IF($A259="","",IFERROR(INDEX(tblEslesme[Kova],MATCH($A259,tblEslesme[A_Norm],0)),""))</f>
        <v/>
      </c>
      <c r="C259" s="17">
        <f>IF($A259="","",IFERROR(INDEX(tblEslesme[AbsFark],MATCH($A259,tblEslesme[A_Norm],0)),0))</f>
        <v/>
      </c>
      <c r="D259" s="17">
        <f>IF($A259="","",IFERROR(SUMIF(tblMotor[A_Norm],$A259,tblMotor[KomisyonTutar]),0))</f>
        <v/>
      </c>
      <c r="E259" s="17">
        <f>IF($A259="","",IFERROR(SUMIF(tblMotor[A_Norm],$A259,tblMotor[TyPlus]),0))</f>
        <v/>
      </c>
      <c r="F259" s="17">
        <f>IF($A259="","",IFERROR(SUMIF(tblMotor[A_Norm],$A259,tblMotor[FlasKesinti]),0))</f>
        <v/>
      </c>
      <c r="G259" s="17">
        <f>IF($A259="","",IFERROR(SUMIF(tblMotor[A_Norm],$A259,tblMotor[UrunReklam]),0))</f>
        <v/>
      </c>
      <c r="H259" s="17">
        <f>IF($A259="","",IFERROR(SUMIF(tblMotor[A_Norm],$A259,tblMotor[DesiKargo]),0))</f>
        <v/>
      </c>
      <c r="I259" s="17">
        <f>IF(OR($A259="",$B259&lt;&gt;"tutar_farki"),"",IF(ABS($C259-$D259)&lt;=toleransKurus,"TYK-001",IF(ABS($C259-$E259)&lt;=toleransKurus,"TYK-002",IF(ABS($C259-$F259)&lt;=toleransKurus,"TYK-003",IF(ABS($C259-$G259)&lt;=toleransKurus,"TYK-004",IF(ABS($C259-$H259)&lt;=toleransKurus,"TYK-005","TANIMSIZ"))))))</f>
        <v/>
      </c>
    </row>
    <row r="260">
      <c r="A260" s="23">
        <f>IF('ESLESTIRME'!$A260="","",'ESLESTIRME'!$A260)</f>
        <v/>
      </c>
      <c r="B260" s="17">
        <f>IF($A260="","",IFERROR(INDEX(tblEslesme[Kova],MATCH($A260,tblEslesme[A_Norm],0)),""))</f>
        <v/>
      </c>
      <c r="C260" s="17">
        <f>IF($A260="","",IFERROR(INDEX(tblEslesme[AbsFark],MATCH($A260,tblEslesme[A_Norm],0)),0))</f>
        <v/>
      </c>
      <c r="D260" s="17">
        <f>IF($A260="","",IFERROR(SUMIF(tblMotor[A_Norm],$A260,tblMotor[KomisyonTutar]),0))</f>
        <v/>
      </c>
      <c r="E260" s="17">
        <f>IF($A260="","",IFERROR(SUMIF(tblMotor[A_Norm],$A260,tblMotor[TyPlus]),0))</f>
        <v/>
      </c>
      <c r="F260" s="17">
        <f>IF($A260="","",IFERROR(SUMIF(tblMotor[A_Norm],$A260,tblMotor[FlasKesinti]),0))</f>
        <v/>
      </c>
      <c r="G260" s="17">
        <f>IF($A260="","",IFERROR(SUMIF(tblMotor[A_Norm],$A260,tblMotor[UrunReklam]),0))</f>
        <v/>
      </c>
      <c r="H260" s="17">
        <f>IF($A260="","",IFERROR(SUMIF(tblMotor[A_Norm],$A260,tblMotor[DesiKargo]),0))</f>
        <v/>
      </c>
      <c r="I260" s="17">
        <f>IF(OR($A260="",$B260&lt;&gt;"tutar_farki"),"",IF(ABS($C260-$D260)&lt;=toleransKurus,"TYK-001",IF(ABS($C260-$E260)&lt;=toleransKurus,"TYK-002",IF(ABS($C260-$F260)&lt;=toleransKurus,"TYK-003",IF(ABS($C260-$G260)&lt;=toleransKurus,"TYK-004",IF(ABS($C260-$H260)&lt;=toleransKurus,"TYK-005","TANIMSIZ"))))))</f>
        <v/>
      </c>
    </row>
    <row r="261">
      <c r="A261" s="23">
        <f>IF('ESLESTIRME'!$A261="","",'ESLESTIRME'!$A261)</f>
        <v/>
      </c>
      <c r="B261" s="17">
        <f>IF($A261="","",IFERROR(INDEX(tblEslesme[Kova],MATCH($A261,tblEslesme[A_Norm],0)),""))</f>
        <v/>
      </c>
      <c r="C261" s="17">
        <f>IF($A261="","",IFERROR(INDEX(tblEslesme[AbsFark],MATCH($A261,tblEslesme[A_Norm],0)),0))</f>
        <v/>
      </c>
      <c r="D261" s="17">
        <f>IF($A261="","",IFERROR(SUMIF(tblMotor[A_Norm],$A261,tblMotor[KomisyonTutar]),0))</f>
        <v/>
      </c>
      <c r="E261" s="17">
        <f>IF($A261="","",IFERROR(SUMIF(tblMotor[A_Norm],$A261,tblMotor[TyPlus]),0))</f>
        <v/>
      </c>
      <c r="F261" s="17">
        <f>IF($A261="","",IFERROR(SUMIF(tblMotor[A_Norm],$A261,tblMotor[FlasKesinti]),0))</f>
        <v/>
      </c>
      <c r="G261" s="17">
        <f>IF($A261="","",IFERROR(SUMIF(tblMotor[A_Norm],$A261,tblMotor[UrunReklam]),0))</f>
        <v/>
      </c>
      <c r="H261" s="17">
        <f>IF($A261="","",IFERROR(SUMIF(tblMotor[A_Norm],$A261,tblMotor[DesiKargo]),0))</f>
        <v/>
      </c>
      <c r="I261" s="17">
        <f>IF(OR($A261="",$B261&lt;&gt;"tutar_farki"),"",IF(ABS($C261-$D261)&lt;=toleransKurus,"TYK-001",IF(ABS($C261-$E261)&lt;=toleransKurus,"TYK-002",IF(ABS($C261-$F261)&lt;=toleransKurus,"TYK-003",IF(ABS($C261-$G261)&lt;=toleransKurus,"TYK-004",IF(ABS($C261-$H261)&lt;=toleransKurus,"TYK-005","TANIMSIZ"))))))</f>
        <v/>
      </c>
    </row>
    <row r="262">
      <c r="A262" s="23">
        <f>IF('ESLESTIRME'!$A262="","",'ESLESTIRME'!$A262)</f>
        <v/>
      </c>
      <c r="B262" s="17">
        <f>IF($A262="","",IFERROR(INDEX(tblEslesme[Kova],MATCH($A262,tblEslesme[A_Norm],0)),""))</f>
        <v/>
      </c>
      <c r="C262" s="17">
        <f>IF($A262="","",IFERROR(INDEX(tblEslesme[AbsFark],MATCH($A262,tblEslesme[A_Norm],0)),0))</f>
        <v/>
      </c>
      <c r="D262" s="17">
        <f>IF($A262="","",IFERROR(SUMIF(tblMotor[A_Norm],$A262,tblMotor[KomisyonTutar]),0))</f>
        <v/>
      </c>
      <c r="E262" s="17">
        <f>IF($A262="","",IFERROR(SUMIF(tblMotor[A_Norm],$A262,tblMotor[TyPlus]),0))</f>
        <v/>
      </c>
      <c r="F262" s="17">
        <f>IF($A262="","",IFERROR(SUMIF(tblMotor[A_Norm],$A262,tblMotor[FlasKesinti]),0))</f>
        <v/>
      </c>
      <c r="G262" s="17">
        <f>IF($A262="","",IFERROR(SUMIF(tblMotor[A_Norm],$A262,tblMotor[UrunReklam]),0))</f>
        <v/>
      </c>
      <c r="H262" s="17">
        <f>IF($A262="","",IFERROR(SUMIF(tblMotor[A_Norm],$A262,tblMotor[DesiKargo]),0))</f>
        <v/>
      </c>
      <c r="I262" s="17">
        <f>IF(OR($A262="",$B262&lt;&gt;"tutar_farki"),"",IF(ABS($C262-$D262)&lt;=toleransKurus,"TYK-001",IF(ABS($C262-$E262)&lt;=toleransKurus,"TYK-002",IF(ABS($C262-$F262)&lt;=toleransKurus,"TYK-003",IF(ABS($C262-$G262)&lt;=toleransKurus,"TYK-004",IF(ABS($C262-$H262)&lt;=toleransKurus,"TYK-005","TANIMSIZ"))))))</f>
        <v/>
      </c>
    </row>
    <row r="263">
      <c r="A263" s="23">
        <f>IF('ESLESTIRME'!$A263="","",'ESLESTIRME'!$A263)</f>
        <v/>
      </c>
      <c r="B263" s="17">
        <f>IF($A263="","",IFERROR(INDEX(tblEslesme[Kova],MATCH($A263,tblEslesme[A_Norm],0)),""))</f>
        <v/>
      </c>
      <c r="C263" s="17">
        <f>IF($A263="","",IFERROR(INDEX(tblEslesme[AbsFark],MATCH($A263,tblEslesme[A_Norm],0)),0))</f>
        <v/>
      </c>
      <c r="D263" s="17">
        <f>IF($A263="","",IFERROR(SUMIF(tblMotor[A_Norm],$A263,tblMotor[KomisyonTutar]),0))</f>
        <v/>
      </c>
      <c r="E263" s="17">
        <f>IF($A263="","",IFERROR(SUMIF(tblMotor[A_Norm],$A263,tblMotor[TyPlus]),0))</f>
        <v/>
      </c>
      <c r="F263" s="17">
        <f>IF($A263="","",IFERROR(SUMIF(tblMotor[A_Norm],$A263,tblMotor[FlasKesinti]),0))</f>
        <v/>
      </c>
      <c r="G263" s="17">
        <f>IF($A263="","",IFERROR(SUMIF(tblMotor[A_Norm],$A263,tblMotor[UrunReklam]),0))</f>
        <v/>
      </c>
      <c r="H263" s="17">
        <f>IF($A263="","",IFERROR(SUMIF(tblMotor[A_Norm],$A263,tblMotor[DesiKargo]),0))</f>
        <v/>
      </c>
      <c r="I263" s="17">
        <f>IF(OR($A263="",$B263&lt;&gt;"tutar_farki"),"",IF(ABS($C263-$D263)&lt;=toleransKurus,"TYK-001",IF(ABS($C263-$E263)&lt;=toleransKurus,"TYK-002",IF(ABS($C263-$F263)&lt;=toleransKurus,"TYK-003",IF(ABS($C263-$G263)&lt;=toleransKurus,"TYK-004",IF(ABS($C263-$H263)&lt;=toleransKurus,"TYK-005","TANIMSIZ"))))))</f>
        <v/>
      </c>
    </row>
    <row r="264">
      <c r="A264" s="23">
        <f>IF('ESLESTIRME'!$A264="","",'ESLESTIRME'!$A264)</f>
        <v/>
      </c>
      <c r="B264" s="17">
        <f>IF($A264="","",IFERROR(INDEX(tblEslesme[Kova],MATCH($A264,tblEslesme[A_Norm],0)),""))</f>
        <v/>
      </c>
      <c r="C264" s="17">
        <f>IF($A264="","",IFERROR(INDEX(tblEslesme[AbsFark],MATCH($A264,tblEslesme[A_Norm],0)),0))</f>
        <v/>
      </c>
      <c r="D264" s="17">
        <f>IF($A264="","",IFERROR(SUMIF(tblMotor[A_Norm],$A264,tblMotor[KomisyonTutar]),0))</f>
        <v/>
      </c>
      <c r="E264" s="17">
        <f>IF($A264="","",IFERROR(SUMIF(tblMotor[A_Norm],$A264,tblMotor[TyPlus]),0))</f>
        <v/>
      </c>
      <c r="F264" s="17">
        <f>IF($A264="","",IFERROR(SUMIF(tblMotor[A_Norm],$A264,tblMotor[FlasKesinti]),0))</f>
        <v/>
      </c>
      <c r="G264" s="17">
        <f>IF($A264="","",IFERROR(SUMIF(tblMotor[A_Norm],$A264,tblMotor[UrunReklam]),0))</f>
        <v/>
      </c>
      <c r="H264" s="17">
        <f>IF($A264="","",IFERROR(SUMIF(tblMotor[A_Norm],$A264,tblMotor[DesiKargo]),0))</f>
        <v/>
      </c>
      <c r="I264" s="17">
        <f>IF(OR($A264="",$B264&lt;&gt;"tutar_farki"),"",IF(ABS($C264-$D264)&lt;=toleransKurus,"TYK-001",IF(ABS($C264-$E264)&lt;=toleransKurus,"TYK-002",IF(ABS($C264-$F264)&lt;=toleransKurus,"TYK-003",IF(ABS($C264-$G264)&lt;=toleransKurus,"TYK-004",IF(ABS($C264-$H264)&lt;=toleransKurus,"TYK-005","TANIMSIZ"))))))</f>
        <v/>
      </c>
    </row>
    <row r="265">
      <c r="A265" s="23">
        <f>IF('ESLESTIRME'!$A265="","",'ESLESTIRME'!$A265)</f>
        <v/>
      </c>
      <c r="B265" s="17">
        <f>IF($A265="","",IFERROR(INDEX(tblEslesme[Kova],MATCH($A265,tblEslesme[A_Norm],0)),""))</f>
        <v/>
      </c>
      <c r="C265" s="17">
        <f>IF($A265="","",IFERROR(INDEX(tblEslesme[AbsFark],MATCH($A265,tblEslesme[A_Norm],0)),0))</f>
        <v/>
      </c>
      <c r="D265" s="17">
        <f>IF($A265="","",IFERROR(SUMIF(tblMotor[A_Norm],$A265,tblMotor[KomisyonTutar]),0))</f>
        <v/>
      </c>
      <c r="E265" s="17">
        <f>IF($A265="","",IFERROR(SUMIF(tblMotor[A_Norm],$A265,tblMotor[TyPlus]),0))</f>
        <v/>
      </c>
      <c r="F265" s="17">
        <f>IF($A265="","",IFERROR(SUMIF(tblMotor[A_Norm],$A265,tblMotor[FlasKesinti]),0))</f>
        <v/>
      </c>
      <c r="G265" s="17">
        <f>IF($A265="","",IFERROR(SUMIF(tblMotor[A_Norm],$A265,tblMotor[UrunReklam]),0))</f>
        <v/>
      </c>
      <c r="H265" s="17">
        <f>IF($A265="","",IFERROR(SUMIF(tblMotor[A_Norm],$A265,tblMotor[DesiKargo]),0))</f>
        <v/>
      </c>
      <c r="I265" s="17">
        <f>IF(OR($A265="",$B265&lt;&gt;"tutar_farki"),"",IF(ABS($C265-$D265)&lt;=toleransKurus,"TYK-001",IF(ABS($C265-$E265)&lt;=toleransKurus,"TYK-002",IF(ABS($C265-$F265)&lt;=toleransKurus,"TYK-003",IF(ABS($C265-$G265)&lt;=toleransKurus,"TYK-004",IF(ABS($C265-$H265)&lt;=toleransKurus,"TYK-005","TANIMSIZ"))))))</f>
        <v/>
      </c>
    </row>
    <row r="266">
      <c r="A266" s="23">
        <f>IF('ESLESTIRME'!$A266="","",'ESLESTIRME'!$A266)</f>
        <v/>
      </c>
      <c r="B266" s="17">
        <f>IF($A266="","",IFERROR(INDEX(tblEslesme[Kova],MATCH($A266,tblEslesme[A_Norm],0)),""))</f>
        <v/>
      </c>
      <c r="C266" s="17">
        <f>IF($A266="","",IFERROR(INDEX(tblEslesme[AbsFark],MATCH($A266,tblEslesme[A_Norm],0)),0))</f>
        <v/>
      </c>
      <c r="D266" s="17">
        <f>IF($A266="","",IFERROR(SUMIF(tblMotor[A_Norm],$A266,tblMotor[KomisyonTutar]),0))</f>
        <v/>
      </c>
      <c r="E266" s="17">
        <f>IF($A266="","",IFERROR(SUMIF(tblMotor[A_Norm],$A266,tblMotor[TyPlus]),0))</f>
        <v/>
      </c>
      <c r="F266" s="17">
        <f>IF($A266="","",IFERROR(SUMIF(tblMotor[A_Norm],$A266,tblMotor[FlasKesinti]),0))</f>
        <v/>
      </c>
      <c r="G266" s="17">
        <f>IF($A266="","",IFERROR(SUMIF(tblMotor[A_Norm],$A266,tblMotor[UrunReklam]),0))</f>
        <v/>
      </c>
      <c r="H266" s="17">
        <f>IF($A266="","",IFERROR(SUMIF(tblMotor[A_Norm],$A266,tblMotor[DesiKargo]),0))</f>
        <v/>
      </c>
      <c r="I266" s="17">
        <f>IF(OR($A266="",$B266&lt;&gt;"tutar_farki"),"",IF(ABS($C266-$D266)&lt;=toleransKurus,"TYK-001",IF(ABS($C266-$E266)&lt;=toleransKurus,"TYK-002",IF(ABS($C266-$F266)&lt;=toleransKurus,"TYK-003",IF(ABS($C266-$G266)&lt;=toleransKurus,"TYK-004",IF(ABS($C266-$H266)&lt;=toleransKurus,"TYK-005","TANIMSIZ"))))))</f>
        <v/>
      </c>
    </row>
    <row r="267">
      <c r="A267" s="23">
        <f>IF('ESLESTIRME'!$A267="","",'ESLESTIRME'!$A267)</f>
        <v/>
      </c>
      <c r="B267" s="17">
        <f>IF($A267="","",IFERROR(INDEX(tblEslesme[Kova],MATCH($A267,tblEslesme[A_Norm],0)),""))</f>
        <v/>
      </c>
      <c r="C267" s="17">
        <f>IF($A267="","",IFERROR(INDEX(tblEslesme[AbsFark],MATCH($A267,tblEslesme[A_Norm],0)),0))</f>
        <v/>
      </c>
      <c r="D267" s="17">
        <f>IF($A267="","",IFERROR(SUMIF(tblMotor[A_Norm],$A267,tblMotor[KomisyonTutar]),0))</f>
        <v/>
      </c>
      <c r="E267" s="17">
        <f>IF($A267="","",IFERROR(SUMIF(tblMotor[A_Norm],$A267,tblMotor[TyPlus]),0))</f>
        <v/>
      </c>
      <c r="F267" s="17">
        <f>IF($A267="","",IFERROR(SUMIF(tblMotor[A_Norm],$A267,tblMotor[FlasKesinti]),0))</f>
        <v/>
      </c>
      <c r="G267" s="17">
        <f>IF($A267="","",IFERROR(SUMIF(tblMotor[A_Norm],$A267,tblMotor[UrunReklam]),0))</f>
        <v/>
      </c>
      <c r="H267" s="17">
        <f>IF($A267="","",IFERROR(SUMIF(tblMotor[A_Norm],$A267,tblMotor[DesiKargo]),0))</f>
        <v/>
      </c>
      <c r="I267" s="17">
        <f>IF(OR($A267="",$B267&lt;&gt;"tutar_farki"),"",IF(ABS($C267-$D267)&lt;=toleransKurus,"TYK-001",IF(ABS($C267-$E267)&lt;=toleransKurus,"TYK-002",IF(ABS($C267-$F267)&lt;=toleransKurus,"TYK-003",IF(ABS($C267-$G267)&lt;=toleransKurus,"TYK-004",IF(ABS($C267-$H267)&lt;=toleransKurus,"TYK-005","TANIMSIZ"))))))</f>
        <v/>
      </c>
    </row>
    <row r="268">
      <c r="A268" s="23">
        <f>IF('ESLESTIRME'!$A268="","",'ESLESTIRME'!$A268)</f>
        <v/>
      </c>
      <c r="B268" s="17">
        <f>IF($A268="","",IFERROR(INDEX(tblEslesme[Kova],MATCH($A268,tblEslesme[A_Norm],0)),""))</f>
        <v/>
      </c>
      <c r="C268" s="17">
        <f>IF($A268="","",IFERROR(INDEX(tblEslesme[AbsFark],MATCH($A268,tblEslesme[A_Norm],0)),0))</f>
        <v/>
      </c>
      <c r="D268" s="17">
        <f>IF($A268="","",IFERROR(SUMIF(tblMotor[A_Norm],$A268,tblMotor[KomisyonTutar]),0))</f>
        <v/>
      </c>
      <c r="E268" s="17">
        <f>IF($A268="","",IFERROR(SUMIF(tblMotor[A_Norm],$A268,tblMotor[TyPlus]),0))</f>
        <v/>
      </c>
      <c r="F268" s="17">
        <f>IF($A268="","",IFERROR(SUMIF(tblMotor[A_Norm],$A268,tblMotor[FlasKesinti]),0))</f>
        <v/>
      </c>
      <c r="G268" s="17">
        <f>IF($A268="","",IFERROR(SUMIF(tblMotor[A_Norm],$A268,tblMotor[UrunReklam]),0))</f>
        <v/>
      </c>
      <c r="H268" s="17">
        <f>IF($A268="","",IFERROR(SUMIF(tblMotor[A_Norm],$A268,tblMotor[DesiKargo]),0))</f>
        <v/>
      </c>
      <c r="I268" s="17">
        <f>IF(OR($A268="",$B268&lt;&gt;"tutar_farki"),"",IF(ABS($C268-$D268)&lt;=toleransKurus,"TYK-001",IF(ABS($C268-$E268)&lt;=toleransKurus,"TYK-002",IF(ABS($C268-$F268)&lt;=toleransKurus,"TYK-003",IF(ABS($C268-$G268)&lt;=toleransKurus,"TYK-004",IF(ABS($C268-$H268)&lt;=toleransKurus,"TYK-005","TANIMSIZ"))))))</f>
        <v/>
      </c>
    </row>
    <row r="269">
      <c r="A269" s="23">
        <f>IF('ESLESTIRME'!$A269="","",'ESLESTIRME'!$A269)</f>
        <v/>
      </c>
      <c r="B269" s="17">
        <f>IF($A269="","",IFERROR(INDEX(tblEslesme[Kova],MATCH($A269,tblEslesme[A_Norm],0)),""))</f>
        <v/>
      </c>
      <c r="C269" s="17">
        <f>IF($A269="","",IFERROR(INDEX(tblEslesme[AbsFark],MATCH($A269,tblEslesme[A_Norm],0)),0))</f>
        <v/>
      </c>
      <c r="D269" s="17">
        <f>IF($A269="","",IFERROR(SUMIF(tblMotor[A_Norm],$A269,tblMotor[KomisyonTutar]),0))</f>
        <v/>
      </c>
      <c r="E269" s="17">
        <f>IF($A269="","",IFERROR(SUMIF(tblMotor[A_Norm],$A269,tblMotor[TyPlus]),0))</f>
        <v/>
      </c>
      <c r="F269" s="17">
        <f>IF($A269="","",IFERROR(SUMIF(tblMotor[A_Norm],$A269,tblMotor[FlasKesinti]),0))</f>
        <v/>
      </c>
      <c r="G269" s="17">
        <f>IF($A269="","",IFERROR(SUMIF(tblMotor[A_Norm],$A269,tblMotor[UrunReklam]),0))</f>
        <v/>
      </c>
      <c r="H269" s="17">
        <f>IF($A269="","",IFERROR(SUMIF(tblMotor[A_Norm],$A269,tblMotor[DesiKargo]),0))</f>
        <v/>
      </c>
      <c r="I269" s="17">
        <f>IF(OR($A269="",$B269&lt;&gt;"tutar_farki"),"",IF(ABS($C269-$D269)&lt;=toleransKurus,"TYK-001",IF(ABS($C269-$E269)&lt;=toleransKurus,"TYK-002",IF(ABS($C269-$F269)&lt;=toleransKurus,"TYK-003",IF(ABS($C269-$G269)&lt;=toleransKurus,"TYK-004",IF(ABS($C269-$H269)&lt;=toleransKurus,"TYK-005","TANIMSIZ"))))))</f>
        <v/>
      </c>
    </row>
    <row r="270">
      <c r="A270" s="23">
        <f>IF('ESLESTIRME'!$A270="","",'ESLESTIRME'!$A270)</f>
        <v/>
      </c>
      <c r="B270" s="17">
        <f>IF($A270="","",IFERROR(INDEX(tblEslesme[Kova],MATCH($A270,tblEslesme[A_Norm],0)),""))</f>
        <v/>
      </c>
      <c r="C270" s="17">
        <f>IF($A270="","",IFERROR(INDEX(tblEslesme[AbsFark],MATCH($A270,tblEslesme[A_Norm],0)),0))</f>
        <v/>
      </c>
      <c r="D270" s="17">
        <f>IF($A270="","",IFERROR(SUMIF(tblMotor[A_Norm],$A270,tblMotor[KomisyonTutar]),0))</f>
        <v/>
      </c>
      <c r="E270" s="17">
        <f>IF($A270="","",IFERROR(SUMIF(tblMotor[A_Norm],$A270,tblMotor[TyPlus]),0))</f>
        <v/>
      </c>
      <c r="F270" s="17">
        <f>IF($A270="","",IFERROR(SUMIF(tblMotor[A_Norm],$A270,tblMotor[FlasKesinti]),0))</f>
        <v/>
      </c>
      <c r="G270" s="17">
        <f>IF($A270="","",IFERROR(SUMIF(tblMotor[A_Norm],$A270,tblMotor[UrunReklam]),0))</f>
        <v/>
      </c>
      <c r="H270" s="17">
        <f>IF($A270="","",IFERROR(SUMIF(tblMotor[A_Norm],$A270,tblMotor[DesiKargo]),0))</f>
        <v/>
      </c>
      <c r="I270" s="17">
        <f>IF(OR($A270="",$B270&lt;&gt;"tutar_farki"),"",IF(ABS($C270-$D270)&lt;=toleransKurus,"TYK-001",IF(ABS($C270-$E270)&lt;=toleransKurus,"TYK-002",IF(ABS($C270-$F270)&lt;=toleransKurus,"TYK-003",IF(ABS($C270-$G270)&lt;=toleransKurus,"TYK-004",IF(ABS($C270-$H270)&lt;=toleransKurus,"TYK-005","TANIMSIZ"))))))</f>
        <v/>
      </c>
    </row>
    <row r="271">
      <c r="A271" s="23">
        <f>IF('ESLESTIRME'!$A271="","",'ESLESTIRME'!$A271)</f>
        <v/>
      </c>
      <c r="B271" s="17">
        <f>IF($A271="","",IFERROR(INDEX(tblEslesme[Kova],MATCH($A271,tblEslesme[A_Norm],0)),""))</f>
        <v/>
      </c>
      <c r="C271" s="17">
        <f>IF($A271="","",IFERROR(INDEX(tblEslesme[AbsFark],MATCH($A271,tblEslesme[A_Norm],0)),0))</f>
        <v/>
      </c>
      <c r="D271" s="17">
        <f>IF($A271="","",IFERROR(SUMIF(tblMotor[A_Norm],$A271,tblMotor[KomisyonTutar]),0))</f>
        <v/>
      </c>
      <c r="E271" s="17">
        <f>IF($A271="","",IFERROR(SUMIF(tblMotor[A_Norm],$A271,tblMotor[TyPlus]),0))</f>
        <v/>
      </c>
      <c r="F271" s="17">
        <f>IF($A271="","",IFERROR(SUMIF(tblMotor[A_Norm],$A271,tblMotor[FlasKesinti]),0))</f>
        <v/>
      </c>
      <c r="G271" s="17">
        <f>IF($A271="","",IFERROR(SUMIF(tblMotor[A_Norm],$A271,tblMotor[UrunReklam]),0))</f>
        <v/>
      </c>
      <c r="H271" s="17">
        <f>IF($A271="","",IFERROR(SUMIF(tblMotor[A_Norm],$A271,tblMotor[DesiKargo]),0))</f>
        <v/>
      </c>
      <c r="I271" s="17">
        <f>IF(OR($A271="",$B271&lt;&gt;"tutar_farki"),"",IF(ABS($C271-$D271)&lt;=toleransKurus,"TYK-001",IF(ABS($C271-$E271)&lt;=toleransKurus,"TYK-002",IF(ABS($C271-$F271)&lt;=toleransKurus,"TYK-003",IF(ABS($C271-$G271)&lt;=toleransKurus,"TYK-004",IF(ABS($C271-$H271)&lt;=toleransKurus,"TYK-005","TANIMSIZ"))))))</f>
        <v/>
      </c>
    </row>
    <row r="272">
      <c r="A272" s="23">
        <f>IF('ESLESTIRME'!$A272="","",'ESLESTIRME'!$A272)</f>
        <v/>
      </c>
      <c r="B272" s="17">
        <f>IF($A272="","",IFERROR(INDEX(tblEslesme[Kova],MATCH($A272,tblEslesme[A_Norm],0)),""))</f>
        <v/>
      </c>
      <c r="C272" s="17">
        <f>IF($A272="","",IFERROR(INDEX(tblEslesme[AbsFark],MATCH($A272,tblEslesme[A_Norm],0)),0))</f>
        <v/>
      </c>
      <c r="D272" s="17">
        <f>IF($A272="","",IFERROR(SUMIF(tblMotor[A_Norm],$A272,tblMotor[KomisyonTutar]),0))</f>
        <v/>
      </c>
      <c r="E272" s="17">
        <f>IF($A272="","",IFERROR(SUMIF(tblMotor[A_Norm],$A272,tblMotor[TyPlus]),0))</f>
        <v/>
      </c>
      <c r="F272" s="17">
        <f>IF($A272="","",IFERROR(SUMIF(tblMotor[A_Norm],$A272,tblMotor[FlasKesinti]),0))</f>
        <v/>
      </c>
      <c r="G272" s="17">
        <f>IF($A272="","",IFERROR(SUMIF(tblMotor[A_Norm],$A272,tblMotor[UrunReklam]),0))</f>
        <v/>
      </c>
      <c r="H272" s="17">
        <f>IF($A272="","",IFERROR(SUMIF(tblMotor[A_Norm],$A272,tblMotor[DesiKargo]),0))</f>
        <v/>
      </c>
      <c r="I272" s="17">
        <f>IF(OR($A272="",$B272&lt;&gt;"tutar_farki"),"",IF(ABS($C272-$D272)&lt;=toleransKurus,"TYK-001",IF(ABS($C272-$E272)&lt;=toleransKurus,"TYK-002",IF(ABS($C272-$F272)&lt;=toleransKurus,"TYK-003",IF(ABS($C272-$G272)&lt;=toleransKurus,"TYK-004",IF(ABS($C272-$H272)&lt;=toleransKurus,"TYK-005","TANIMSIZ"))))))</f>
        <v/>
      </c>
    </row>
    <row r="273">
      <c r="A273" s="23">
        <f>IF('ESLESTIRME'!$A273="","",'ESLESTIRME'!$A273)</f>
        <v/>
      </c>
      <c r="B273" s="17">
        <f>IF($A273="","",IFERROR(INDEX(tblEslesme[Kova],MATCH($A273,tblEslesme[A_Norm],0)),""))</f>
        <v/>
      </c>
      <c r="C273" s="17">
        <f>IF($A273="","",IFERROR(INDEX(tblEslesme[AbsFark],MATCH($A273,tblEslesme[A_Norm],0)),0))</f>
        <v/>
      </c>
      <c r="D273" s="17">
        <f>IF($A273="","",IFERROR(SUMIF(tblMotor[A_Norm],$A273,tblMotor[KomisyonTutar]),0))</f>
        <v/>
      </c>
      <c r="E273" s="17">
        <f>IF($A273="","",IFERROR(SUMIF(tblMotor[A_Norm],$A273,tblMotor[TyPlus]),0))</f>
        <v/>
      </c>
      <c r="F273" s="17">
        <f>IF($A273="","",IFERROR(SUMIF(tblMotor[A_Norm],$A273,tblMotor[FlasKesinti]),0))</f>
        <v/>
      </c>
      <c r="G273" s="17">
        <f>IF($A273="","",IFERROR(SUMIF(tblMotor[A_Norm],$A273,tblMotor[UrunReklam]),0))</f>
        <v/>
      </c>
      <c r="H273" s="17">
        <f>IF($A273="","",IFERROR(SUMIF(tblMotor[A_Norm],$A273,tblMotor[DesiKargo]),0))</f>
        <v/>
      </c>
      <c r="I273" s="17">
        <f>IF(OR($A273="",$B273&lt;&gt;"tutar_farki"),"",IF(ABS($C273-$D273)&lt;=toleransKurus,"TYK-001",IF(ABS($C273-$E273)&lt;=toleransKurus,"TYK-002",IF(ABS($C273-$F273)&lt;=toleransKurus,"TYK-003",IF(ABS($C273-$G273)&lt;=toleransKurus,"TYK-004",IF(ABS($C273-$H273)&lt;=toleransKurus,"TYK-005","TANIMSIZ"))))))</f>
        <v/>
      </c>
    </row>
    <row r="274">
      <c r="A274" s="23">
        <f>IF('ESLESTIRME'!$A274="","",'ESLESTIRME'!$A274)</f>
        <v/>
      </c>
      <c r="B274" s="17">
        <f>IF($A274="","",IFERROR(INDEX(tblEslesme[Kova],MATCH($A274,tblEslesme[A_Norm],0)),""))</f>
        <v/>
      </c>
      <c r="C274" s="17">
        <f>IF($A274="","",IFERROR(INDEX(tblEslesme[AbsFark],MATCH($A274,tblEslesme[A_Norm],0)),0))</f>
        <v/>
      </c>
      <c r="D274" s="17">
        <f>IF($A274="","",IFERROR(SUMIF(tblMotor[A_Norm],$A274,tblMotor[KomisyonTutar]),0))</f>
        <v/>
      </c>
      <c r="E274" s="17">
        <f>IF($A274="","",IFERROR(SUMIF(tblMotor[A_Norm],$A274,tblMotor[TyPlus]),0))</f>
        <v/>
      </c>
      <c r="F274" s="17">
        <f>IF($A274="","",IFERROR(SUMIF(tblMotor[A_Norm],$A274,tblMotor[FlasKesinti]),0))</f>
        <v/>
      </c>
      <c r="G274" s="17">
        <f>IF($A274="","",IFERROR(SUMIF(tblMotor[A_Norm],$A274,tblMotor[UrunReklam]),0))</f>
        <v/>
      </c>
      <c r="H274" s="17">
        <f>IF($A274="","",IFERROR(SUMIF(tblMotor[A_Norm],$A274,tblMotor[DesiKargo]),0))</f>
        <v/>
      </c>
      <c r="I274" s="17">
        <f>IF(OR($A274="",$B274&lt;&gt;"tutar_farki"),"",IF(ABS($C274-$D274)&lt;=toleransKurus,"TYK-001",IF(ABS($C274-$E274)&lt;=toleransKurus,"TYK-002",IF(ABS($C274-$F274)&lt;=toleransKurus,"TYK-003",IF(ABS($C274-$G274)&lt;=toleransKurus,"TYK-004",IF(ABS($C274-$H274)&lt;=toleransKurus,"TYK-005","TANIMSIZ"))))))</f>
        <v/>
      </c>
    </row>
    <row r="275">
      <c r="A275" s="23">
        <f>IF('ESLESTIRME'!$A275="","",'ESLESTIRME'!$A275)</f>
        <v/>
      </c>
      <c r="B275" s="17">
        <f>IF($A275="","",IFERROR(INDEX(tblEslesme[Kova],MATCH($A275,tblEslesme[A_Norm],0)),""))</f>
        <v/>
      </c>
      <c r="C275" s="17">
        <f>IF($A275="","",IFERROR(INDEX(tblEslesme[AbsFark],MATCH($A275,tblEslesme[A_Norm],0)),0))</f>
        <v/>
      </c>
      <c r="D275" s="17">
        <f>IF($A275="","",IFERROR(SUMIF(tblMotor[A_Norm],$A275,tblMotor[KomisyonTutar]),0))</f>
        <v/>
      </c>
      <c r="E275" s="17">
        <f>IF($A275="","",IFERROR(SUMIF(tblMotor[A_Norm],$A275,tblMotor[TyPlus]),0))</f>
        <v/>
      </c>
      <c r="F275" s="17">
        <f>IF($A275="","",IFERROR(SUMIF(tblMotor[A_Norm],$A275,tblMotor[FlasKesinti]),0))</f>
        <v/>
      </c>
      <c r="G275" s="17">
        <f>IF($A275="","",IFERROR(SUMIF(tblMotor[A_Norm],$A275,tblMotor[UrunReklam]),0))</f>
        <v/>
      </c>
      <c r="H275" s="17">
        <f>IF($A275="","",IFERROR(SUMIF(tblMotor[A_Norm],$A275,tblMotor[DesiKargo]),0))</f>
        <v/>
      </c>
      <c r="I275" s="17">
        <f>IF(OR($A275="",$B275&lt;&gt;"tutar_farki"),"",IF(ABS($C275-$D275)&lt;=toleransKurus,"TYK-001",IF(ABS($C275-$E275)&lt;=toleransKurus,"TYK-002",IF(ABS($C275-$F275)&lt;=toleransKurus,"TYK-003",IF(ABS($C275-$G275)&lt;=toleransKurus,"TYK-004",IF(ABS($C275-$H275)&lt;=toleransKurus,"TYK-005","TANIMSIZ"))))))</f>
        <v/>
      </c>
    </row>
    <row r="276">
      <c r="A276" s="23">
        <f>IF('ESLESTIRME'!$A276="","",'ESLESTIRME'!$A276)</f>
        <v/>
      </c>
      <c r="B276" s="17">
        <f>IF($A276="","",IFERROR(INDEX(tblEslesme[Kova],MATCH($A276,tblEslesme[A_Norm],0)),""))</f>
        <v/>
      </c>
      <c r="C276" s="17">
        <f>IF($A276="","",IFERROR(INDEX(tblEslesme[AbsFark],MATCH($A276,tblEslesme[A_Norm],0)),0))</f>
        <v/>
      </c>
      <c r="D276" s="17">
        <f>IF($A276="","",IFERROR(SUMIF(tblMotor[A_Norm],$A276,tblMotor[KomisyonTutar]),0))</f>
        <v/>
      </c>
      <c r="E276" s="17">
        <f>IF($A276="","",IFERROR(SUMIF(tblMotor[A_Norm],$A276,tblMotor[TyPlus]),0))</f>
        <v/>
      </c>
      <c r="F276" s="17">
        <f>IF($A276="","",IFERROR(SUMIF(tblMotor[A_Norm],$A276,tblMotor[FlasKesinti]),0))</f>
        <v/>
      </c>
      <c r="G276" s="17">
        <f>IF($A276="","",IFERROR(SUMIF(tblMotor[A_Norm],$A276,tblMotor[UrunReklam]),0))</f>
        <v/>
      </c>
      <c r="H276" s="17">
        <f>IF($A276="","",IFERROR(SUMIF(tblMotor[A_Norm],$A276,tblMotor[DesiKargo]),0))</f>
        <v/>
      </c>
      <c r="I276" s="17">
        <f>IF(OR($A276="",$B276&lt;&gt;"tutar_farki"),"",IF(ABS($C276-$D276)&lt;=toleransKurus,"TYK-001",IF(ABS($C276-$E276)&lt;=toleransKurus,"TYK-002",IF(ABS($C276-$F276)&lt;=toleransKurus,"TYK-003",IF(ABS($C276-$G276)&lt;=toleransKurus,"TYK-004",IF(ABS($C276-$H276)&lt;=toleransKurus,"TYK-005","TANIMSIZ"))))))</f>
        <v/>
      </c>
    </row>
    <row r="277">
      <c r="A277" s="23">
        <f>IF('ESLESTIRME'!$A277="","",'ESLESTIRME'!$A277)</f>
        <v/>
      </c>
      <c r="B277" s="17">
        <f>IF($A277="","",IFERROR(INDEX(tblEslesme[Kova],MATCH($A277,tblEslesme[A_Norm],0)),""))</f>
        <v/>
      </c>
      <c r="C277" s="17">
        <f>IF($A277="","",IFERROR(INDEX(tblEslesme[AbsFark],MATCH($A277,tblEslesme[A_Norm],0)),0))</f>
        <v/>
      </c>
      <c r="D277" s="17">
        <f>IF($A277="","",IFERROR(SUMIF(tblMotor[A_Norm],$A277,tblMotor[KomisyonTutar]),0))</f>
        <v/>
      </c>
      <c r="E277" s="17">
        <f>IF($A277="","",IFERROR(SUMIF(tblMotor[A_Norm],$A277,tblMotor[TyPlus]),0))</f>
        <v/>
      </c>
      <c r="F277" s="17">
        <f>IF($A277="","",IFERROR(SUMIF(tblMotor[A_Norm],$A277,tblMotor[FlasKesinti]),0))</f>
        <v/>
      </c>
      <c r="G277" s="17">
        <f>IF($A277="","",IFERROR(SUMIF(tblMotor[A_Norm],$A277,tblMotor[UrunReklam]),0))</f>
        <v/>
      </c>
      <c r="H277" s="17">
        <f>IF($A277="","",IFERROR(SUMIF(tblMotor[A_Norm],$A277,tblMotor[DesiKargo]),0))</f>
        <v/>
      </c>
      <c r="I277" s="17">
        <f>IF(OR($A277="",$B277&lt;&gt;"tutar_farki"),"",IF(ABS($C277-$D277)&lt;=toleransKurus,"TYK-001",IF(ABS($C277-$E277)&lt;=toleransKurus,"TYK-002",IF(ABS($C277-$F277)&lt;=toleransKurus,"TYK-003",IF(ABS($C277-$G277)&lt;=toleransKurus,"TYK-004",IF(ABS($C277-$H277)&lt;=toleransKurus,"TYK-005","TANIMSIZ"))))))</f>
        <v/>
      </c>
    </row>
    <row r="278">
      <c r="A278" s="23">
        <f>IF('ESLESTIRME'!$A278="","",'ESLESTIRME'!$A278)</f>
        <v/>
      </c>
      <c r="B278" s="17">
        <f>IF($A278="","",IFERROR(INDEX(tblEslesme[Kova],MATCH($A278,tblEslesme[A_Norm],0)),""))</f>
        <v/>
      </c>
      <c r="C278" s="17">
        <f>IF($A278="","",IFERROR(INDEX(tblEslesme[AbsFark],MATCH($A278,tblEslesme[A_Norm],0)),0))</f>
        <v/>
      </c>
      <c r="D278" s="17">
        <f>IF($A278="","",IFERROR(SUMIF(tblMotor[A_Norm],$A278,tblMotor[KomisyonTutar]),0))</f>
        <v/>
      </c>
      <c r="E278" s="17">
        <f>IF($A278="","",IFERROR(SUMIF(tblMotor[A_Norm],$A278,tblMotor[TyPlus]),0))</f>
        <v/>
      </c>
      <c r="F278" s="17">
        <f>IF($A278="","",IFERROR(SUMIF(tblMotor[A_Norm],$A278,tblMotor[FlasKesinti]),0))</f>
        <v/>
      </c>
      <c r="G278" s="17">
        <f>IF($A278="","",IFERROR(SUMIF(tblMotor[A_Norm],$A278,tblMotor[UrunReklam]),0))</f>
        <v/>
      </c>
      <c r="H278" s="17">
        <f>IF($A278="","",IFERROR(SUMIF(tblMotor[A_Norm],$A278,tblMotor[DesiKargo]),0))</f>
        <v/>
      </c>
      <c r="I278" s="17">
        <f>IF(OR($A278="",$B278&lt;&gt;"tutar_farki"),"",IF(ABS($C278-$D278)&lt;=toleransKurus,"TYK-001",IF(ABS($C278-$E278)&lt;=toleransKurus,"TYK-002",IF(ABS($C278-$F278)&lt;=toleransKurus,"TYK-003",IF(ABS($C278-$G278)&lt;=toleransKurus,"TYK-004",IF(ABS($C278-$H278)&lt;=toleransKurus,"TYK-005","TANIMSIZ"))))))</f>
        <v/>
      </c>
    </row>
    <row r="279">
      <c r="A279" s="23">
        <f>IF('ESLESTIRME'!$A279="","",'ESLESTIRME'!$A279)</f>
        <v/>
      </c>
      <c r="B279" s="17">
        <f>IF($A279="","",IFERROR(INDEX(tblEslesme[Kova],MATCH($A279,tblEslesme[A_Norm],0)),""))</f>
        <v/>
      </c>
      <c r="C279" s="17">
        <f>IF($A279="","",IFERROR(INDEX(tblEslesme[AbsFark],MATCH($A279,tblEslesme[A_Norm],0)),0))</f>
        <v/>
      </c>
      <c r="D279" s="17">
        <f>IF($A279="","",IFERROR(SUMIF(tblMotor[A_Norm],$A279,tblMotor[KomisyonTutar]),0))</f>
        <v/>
      </c>
      <c r="E279" s="17">
        <f>IF($A279="","",IFERROR(SUMIF(tblMotor[A_Norm],$A279,tblMotor[TyPlus]),0))</f>
        <v/>
      </c>
      <c r="F279" s="17">
        <f>IF($A279="","",IFERROR(SUMIF(tblMotor[A_Norm],$A279,tblMotor[FlasKesinti]),0))</f>
        <v/>
      </c>
      <c r="G279" s="17">
        <f>IF($A279="","",IFERROR(SUMIF(tblMotor[A_Norm],$A279,tblMotor[UrunReklam]),0))</f>
        <v/>
      </c>
      <c r="H279" s="17">
        <f>IF($A279="","",IFERROR(SUMIF(tblMotor[A_Norm],$A279,tblMotor[DesiKargo]),0))</f>
        <v/>
      </c>
      <c r="I279" s="17">
        <f>IF(OR($A279="",$B279&lt;&gt;"tutar_farki"),"",IF(ABS($C279-$D279)&lt;=toleransKurus,"TYK-001",IF(ABS($C279-$E279)&lt;=toleransKurus,"TYK-002",IF(ABS($C279-$F279)&lt;=toleransKurus,"TYK-003",IF(ABS($C279-$G279)&lt;=toleransKurus,"TYK-004",IF(ABS($C279-$H279)&lt;=toleransKurus,"TYK-005","TANIMSIZ"))))))</f>
        <v/>
      </c>
    </row>
    <row r="280">
      <c r="A280" s="23">
        <f>IF('ESLESTIRME'!$A280="","",'ESLESTIRME'!$A280)</f>
        <v/>
      </c>
      <c r="B280" s="17">
        <f>IF($A280="","",IFERROR(INDEX(tblEslesme[Kova],MATCH($A280,tblEslesme[A_Norm],0)),""))</f>
        <v/>
      </c>
      <c r="C280" s="17">
        <f>IF($A280="","",IFERROR(INDEX(tblEslesme[AbsFark],MATCH($A280,tblEslesme[A_Norm],0)),0))</f>
        <v/>
      </c>
      <c r="D280" s="17">
        <f>IF($A280="","",IFERROR(SUMIF(tblMotor[A_Norm],$A280,tblMotor[KomisyonTutar]),0))</f>
        <v/>
      </c>
      <c r="E280" s="17">
        <f>IF($A280="","",IFERROR(SUMIF(tblMotor[A_Norm],$A280,tblMotor[TyPlus]),0))</f>
        <v/>
      </c>
      <c r="F280" s="17">
        <f>IF($A280="","",IFERROR(SUMIF(tblMotor[A_Norm],$A280,tblMotor[FlasKesinti]),0))</f>
        <v/>
      </c>
      <c r="G280" s="17">
        <f>IF($A280="","",IFERROR(SUMIF(tblMotor[A_Norm],$A280,tblMotor[UrunReklam]),0))</f>
        <v/>
      </c>
      <c r="H280" s="17">
        <f>IF($A280="","",IFERROR(SUMIF(tblMotor[A_Norm],$A280,tblMotor[DesiKargo]),0))</f>
        <v/>
      </c>
      <c r="I280" s="17">
        <f>IF(OR($A280="",$B280&lt;&gt;"tutar_farki"),"",IF(ABS($C280-$D280)&lt;=toleransKurus,"TYK-001",IF(ABS($C280-$E280)&lt;=toleransKurus,"TYK-002",IF(ABS($C280-$F280)&lt;=toleransKurus,"TYK-003",IF(ABS($C280-$G280)&lt;=toleransKurus,"TYK-004",IF(ABS($C280-$H280)&lt;=toleransKurus,"TYK-005","TANIMSIZ"))))))</f>
        <v/>
      </c>
    </row>
    <row r="281">
      <c r="A281" s="23">
        <f>IF('ESLESTIRME'!$A281="","",'ESLESTIRME'!$A281)</f>
        <v/>
      </c>
      <c r="B281" s="17">
        <f>IF($A281="","",IFERROR(INDEX(tblEslesme[Kova],MATCH($A281,tblEslesme[A_Norm],0)),""))</f>
        <v/>
      </c>
      <c r="C281" s="17">
        <f>IF($A281="","",IFERROR(INDEX(tblEslesme[AbsFark],MATCH($A281,tblEslesme[A_Norm],0)),0))</f>
        <v/>
      </c>
      <c r="D281" s="17">
        <f>IF($A281="","",IFERROR(SUMIF(tblMotor[A_Norm],$A281,tblMotor[KomisyonTutar]),0))</f>
        <v/>
      </c>
      <c r="E281" s="17">
        <f>IF($A281="","",IFERROR(SUMIF(tblMotor[A_Norm],$A281,tblMotor[TyPlus]),0))</f>
        <v/>
      </c>
      <c r="F281" s="17">
        <f>IF($A281="","",IFERROR(SUMIF(tblMotor[A_Norm],$A281,tblMotor[FlasKesinti]),0))</f>
        <v/>
      </c>
      <c r="G281" s="17">
        <f>IF($A281="","",IFERROR(SUMIF(tblMotor[A_Norm],$A281,tblMotor[UrunReklam]),0))</f>
        <v/>
      </c>
      <c r="H281" s="17">
        <f>IF($A281="","",IFERROR(SUMIF(tblMotor[A_Norm],$A281,tblMotor[DesiKargo]),0))</f>
        <v/>
      </c>
      <c r="I281" s="17">
        <f>IF(OR($A281="",$B281&lt;&gt;"tutar_farki"),"",IF(ABS($C281-$D281)&lt;=toleransKurus,"TYK-001",IF(ABS($C281-$E281)&lt;=toleransKurus,"TYK-002",IF(ABS($C281-$F281)&lt;=toleransKurus,"TYK-003",IF(ABS($C281-$G281)&lt;=toleransKurus,"TYK-004",IF(ABS($C281-$H281)&lt;=toleransKurus,"TYK-005","TANIMSIZ"))))))</f>
        <v/>
      </c>
    </row>
    <row r="282">
      <c r="A282" s="23">
        <f>IF('ESLESTIRME'!$A282="","",'ESLESTIRME'!$A282)</f>
        <v/>
      </c>
      <c r="B282" s="17">
        <f>IF($A282="","",IFERROR(INDEX(tblEslesme[Kova],MATCH($A282,tblEslesme[A_Norm],0)),""))</f>
        <v/>
      </c>
      <c r="C282" s="17">
        <f>IF($A282="","",IFERROR(INDEX(tblEslesme[AbsFark],MATCH($A282,tblEslesme[A_Norm],0)),0))</f>
        <v/>
      </c>
      <c r="D282" s="17">
        <f>IF($A282="","",IFERROR(SUMIF(tblMotor[A_Norm],$A282,tblMotor[KomisyonTutar]),0))</f>
        <v/>
      </c>
      <c r="E282" s="17">
        <f>IF($A282="","",IFERROR(SUMIF(tblMotor[A_Norm],$A282,tblMotor[TyPlus]),0))</f>
        <v/>
      </c>
      <c r="F282" s="17">
        <f>IF($A282="","",IFERROR(SUMIF(tblMotor[A_Norm],$A282,tblMotor[FlasKesinti]),0))</f>
        <v/>
      </c>
      <c r="G282" s="17">
        <f>IF($A282="","",IFERROR(SUMIF(tblMotor[A_Norm],$A282,tblMotor[UrunReklam]),0))</f>
        <v/>
      </c>
      <c r="H282" s="17">
        <f>IF($A282="","",IFERROR(SUMIF(tblMotor[A_Norm],$A282,tblMotor[DesiKargo]),0))</f>
        <v/>
      </c>
      <c r="I282" s="17">
        <f>IF(OR($A282="",$B282&lt;&gt;"tutar_farki"),"",IF(ABS($C282-$D282)&lt;=toleransKurus,"TYK-001",IF(ABS($C282-$E282)&lt;=toleransKurus,"TYK-002",IF(ABS($C282-$F282)&lt;=toleransKurus,"TYK-003",IF(ABS($C282-$G282)&lt;=toleransKurus,"TYK-004",IF(ABS($C282-$H282)&lt;=toleransKurus,"TYK-005","TANIMSIZ"))))))</f>
        <v/>
      </c>
    </row>
    <row r="283">
      <c r="A283" s="23">
        <f>IF('ESLESTIRME'!$A283="","",'ESLESTIRME'!$A283)</f>
        <v/>
      </c>
      <c r="B283" s="17">
        <f>IF($A283="","",IFERROR(INDEX(tblEslesme[Kova],MATCH($A283,tblEslesme[A_Norm],0)),""))</f>
        <v/>
      </c>
      <c r="C283" s="17">
        <f>IF($A283="","",IFERROR(INDEX(tblEslesme[AbsFark],MATCH($A283,tblEslesme[A_Norm],0)),0))</f>
        <v/>
      </c>
      <c r="D283" s="17">
        <f>IF($A283="","",IFERROR(SUMIF(tblMotor[A_Norm],$A283,tblMotor[KomisyonTutar]),0))</f>
        <v/>
      </c>
      <c r="E283" s="17">
        <f>IF($A283="","",IFERROR(SUMIF(tblMotor[A_Norm],$A283,tblMotor[TyPlus]),0))</f>
        <v/>
      </c>
      <c r="F283" s="17">
        <f>IF($A283="","",IFERROR(SUMIF(tblMotor[A_Norm],$A283,tblMotor[FlasKesinti]),0))</f>
        <v/>
      </c>
      <c r="G283" s="17">
        <f>IF($A283="","",IFERROR(SUMIF(tblMotor[A_Norm],$A283,tblMotor[UrunReklam]),0))</f>
        <v/>
      </c>
      <c r="H283" s="17">
        <f>IF($A283="","",IFERROR(SUMIF(tblMotor[A_Norm],$A283,tblMotor[DesiKargo]),0))</f>
        <v/>
      </c>
      <c r="I283" s="17">
        <f>IF(OR($A283="",$B283&lt;&gt;"tutar_farki"),"",IF(ABS($C283-$D283)&lt;=toleransKurus,"TYK-001",IF(ABS($C283-$E283)&lt;=toleransKurus,"TYK-002",IF(ABS($C283-$F283)&lt;=toleransKurus,"TYK-003",IF(ABS($C283-$G283)&lt;=toleransKurus,"TYK-004",IF(ABS($C283-$H283)&lt;=toleransKurus,"TYK-005","TANIMSIZ"))))))</f>
        <v/>
      </c>
    </row>
    <row r="284">
      <c r="A284" s="23">
        <f>IF('ESLESTIRME'!$A284="","",'ESLESTIRME'!$A284)</f>
        <v/>
      </c>
      <c r="B284" s="17">
        <f>IF($A284="","",IFERROR(INDEX(tblEslesme[Kova],MATCH($A284,tblEslesme[A_Norm],0)),""))</f>
        <v/>
      </c>
      <c r="C284" s="17">
        <f>IF($A284="","",IFERROR(INDEX(tblEslesme[AbsFark],MATCH($A284,tblEslesme[A_Norm],0)),0))</f>
        <v/>
      </c>
      <c r="D284" s="17">
        <f>IF($A284="","",IFERROR(SUMIF(tblMotor[A_Norm],$A284,tblMotor[KomisyonTutar]),0))</f>
        <v/>
      </c>
      <c r="E284" s="17">
        <f>IF($A284="","",IFERROR(SUMIF(tblMotor[A_Norm],$A284,tblMotor[TyPlus]),0))</f>
        <v/>
      </c>
      <c r="F284" s="17">
        <f>IF($A284="","",IFERROR(SUMIF(tblMotor[A_Norm],$A284,tblMotor[FlasKesinti]),0))</f>
        <v/>
      </c>
      <c r="G284" s="17">
        <f>IF($A284="","",IFERROR(SUMIF(tblMotor[A_Norm],$A284,tblMotor[UrunReklam]),0))</f>
        <v/>
      </c>
      <c r="H284" s="17">
        <f>IF($A284="","",IFERROR(SUMIF(tblMotor[A_Norm],$A284,tblMotor[DesiKargo]),0))</f>
        <v/>
      </c>
      <c r="I284" s="17">
        <f>IF(OR($A284="",$B284&lt;&gt;"tutar_farki"),"",IF(ABS($C284-$D284)&lt;=toleransKurus,"TYK-001",IF(ABS($C284-$E284)&lt;=toleransKurus,"TYK-002",IF(ABS($C284-$F284)&lt;=toleransKurus,"TYK-003",IF(ABS($C284-$G284)&lt;=toleransKurus,"TYK-004",IF(ABS($C284-$H284)&lt;=toleransKurus,"TYK-005","TANIMSIZ"))))))</f>
        <v/>
      </c>
    </row>
    <row r="285">
      <c r="A285" s="23">
        <f>IF('ESLESTIRME'!$A285="","",'ESLESTIRME'!$A285)</f>
        <v/>
      </c>
      <c r="B285" s="17">
        <f>IF($A285="","",IFERROR(INDEX(tblEslesme[Kova],MATCH($A285,tblEslesme[A_Norm],0)),""))</f>
        <v/>
      </c>
      <c r="C285" s="17">
        <f>IF($A285="","",IFERROR(INDEX(tblEslesme[AbsFark],MATCH($A285,tblEslesme[A_Norm],0)),0))</f>
        <v/>
      </c>
      <c r="D285" s="17">
        <f>IF($A285="","",IFERROR(SUMIF(tblMotor[A_Norm],$A285,tblMotor[KomisyonTutar]),0))</f>
        <v/>
      </c>
      <c r="E285" s="17">
        <f>IF($A285="","",IFERROR(SUMIF(tblMotor[A_Norm],$A285,tblMotor[TyPlus]),0))</f>
        <v/>
      </c>
      <c r="F285" s="17">
        <f>IF($A285="","",IFERROR(SUMIF(tblMotor[A_Norm],$A285,tblMotor[FlasKesinti]),0))</f>
        <v/>
      </c>
      <c r="G285" s="17">
        <f>IF($A285="","",IFERROR(SUMIF(tblMotor[A_Norm],$A285,tblMotor[UrunReklam]),0))</f>
        <v/>
      </c>
      <c r="H285" s="17">
        <f>IF($A285="","",IFERROR(SUMIF(tblMotor[A_Norm],$A285,tblMotor[DesiKargo]),0))</f>
        <v/>
      </c>
      <c r="I285" s="17">
        <f>IF(OR($A285="",$B285&lt;&gt;"tutar_farki"),"",IF(ABS($C285-$D285)&lt;=toleransKurus,"TYK-001",IF(ABS($C285-$E285)&lt;=toleransKurus,"TYK-002",IF(ABS($C285-$F285)&lt;=toleransKurus,"TYK-003",IF(ABS($C285-$G285)&lt;=toleransKurus,"TYK-004",IF(ABS($C285-$H285)&lt;=toleransKurus,"TYK-005","TANIMSIZ"))))))</f>
        <v/>
      </c>
    </row>
    <row r="286">
      <c r="A286" s="23">
        <f>IF('ESLESTIRME'!$A286="","",'ESLESTIRME'!$A286)</f>
        <v/>
      </c>
      <c r="B286" s="17">
        <f>IF($A286="","",IFERROR(INDEX(tblEslesme[Kova],MATCH($A286,tblEslesme[A_Norm],0)),""))</f>
        <v/>
      </c>
      <c r="C286" s="17">
        <f>IF($A286="","",IFERROR(INDEX(tblEslesme[AbsFark],MATCH($A286,tblEslesme[A_Norm],0)),0))</f>
        <v/>
      </c>
      <c r="D286" s="17">
        <f>IF($A286="","",IFERROR(SUMIF(tblMotor[A_Norm],$A286,tblMotor[KomisyonTutar]),0))</f>
        <v/>
      </c>
      <c r="E286" s="17">
        <f>IF($A286="","",IFERROR(SUMIF(tblMotor[A_Norm],$A286,tblMotor[TyPlus]),0))</f>
        <v/>
      </c>
      <c r="F286" s="17">
        <f>IF($A286="","",IFERROR(SUMIF(tblMotor[A_Norm],$A286,tblMotor[FlasKesinti]),0))</f>
        <v/>
      </c>
      <c r="G286" s="17">
        <f>IF($A286="","",IFERROR(SUMIF(tblMotor[A_Norm],$A286,tblMotor[UrunReklam]),0))</f>
        <v/>
      </c>
      <c r="H286" s="17">
        <f>IF($A286="","",IFERROR(SUMIF(tblMotor[A_Norm],$A286,tblMotor[DesiKargo]),0))</f>
        <v/>
      </c>
      <c r="I286" s="17">
        <f>IF(OR($A286="",$B286&lt;&gt;"tutar_farki"),"",IF(ABS($C286-$D286)&lt;=toleransKurus,"TYK-001",IF(ABS($C286-$E286)&lt;=toleransKurus,"TYK-002",IF(ABS($C286-$F286)&lt;=toleransKurus,"TYK-003",IF(ABS($C286-$G286)&lt;=toleransKurus,"TYK-004",IF(ABS($C286-$H286)&lt;=toleransKurus,"TYK-005","TANIMSIZ"))))))</f>
        <v/>
      </c>
    </row>
    <row r="287">
      <c r="A287" s="23">
        <f>IF('ESLESTIRME'!$A287="","",'ESLESTIRME'!$A287)</f>
        <v/>
      </c>
      <c r="B287" s="17">
        <f>IF($A287="","",IFERROR(INDEX(tblEslesme[Kova],MATCH($A287,tblEslesme[A_Norm],0)),""))</f>
        <v/>
      </c>
      <c r="C287" s="17">
        <f>IF($A287="","",IFERROR(INDEX(tblEslesme[AbsFark],MATCH($A287,tblEslesme[A_Norm],0)),0))</f>
        <v/>
      </c>
      <c r="D287" s="17">
        <f>IF($A287="","",IFERROR(SUMIF(tblMotor[A_Norm],$A287,tblMotor[KomisyonTutar]),0))</f>
        <v/>
      </c>
      <c r="E287" s="17">
        <f>IF($A287="","",IFERROR(SUMIF(tblMotor[A_Norm],$A287,tblMotor[TyPlus]),0))</f>
        <v/>
      </c>
      <c r="F287" s="17">
        <f>IF($A287="","",IFERROR(SUMIF(tblMotor[A_Norm],$A287,tblMotor[FlasKesinti]),0))</f>
        <v/>
      </c>
      <c r="G287" s="17">
        <f>IF($A287="","",IFERROR(SUMIF(tblMotor[A_Norm],$A287,tblMotor[UrunReklam]),0))</f>
        <v/>
      </c>
      <c r="H287" s="17">
        <f>IF($A287="","",IFERROR(SUMIF(tblMotor[A_Norm],$A287,tblMotor[DesiKargo]),0))</f>
        <v/>
      </c>
      <c r="I287" s="17">
        <f>IF(OR($A287="",$B287&lt;&gt;"tutar_farki"),"",IF(ABS($C287-$D287)&lt;=toleransKurus,"TYK-001",IF(ABS($C287-$E287)&lt;=toleransKurus,"TYK-002",IF(ABS($C287-$F287)&lt;=toleransKurus,"TYK-003",IF(ABS($C287-$G287)&lt;=toleransKurus,"TYK-004",IF(ABS($C287-$H287)&lt;=toleransKurus,"TYK-005","TANIMSIZ"))))))</f>
        <v/>
      </c>
    </row>
    <row r="288">
      <c r="A288" s="23">
        <f>IF('ESLESTIRME'!$A288="","",'ESLESTIRME'!$A288)</f>
        <v/>
      </c>
      <c r="B288" s="17">
        <f>IF($A288="","",IFERROR(INDEX(tblEslesme[Kova],MATCH($A288,tblEslesme[A_Norm],0)),""))</f>
        <v/>
      </c>
      <c r="C288" s="17">
        <f>IF($A288="","",IFERROR(INDEX(tblEslesme[AbsFark],MATCH($A288,tblEslesme[A_Norm],0)),0))</f>
        <v/>
      </c>
      <c r="D288" s="17">
        <f>IF($A288="","",IFERROR(SUMIF(tblMotor[A_Norm],$A288,tblMotor[KomisyonTutar]),0))</f>
        <v/>
      </c>
      <c r="E288" s="17">
        <f>IF($A288="","",IFERROR(SUMIF(tblMotor[A_Norm],$A288,tblMotor[TyPlus]),0))</f>
        <v/>
      </c>
      <c r="F288" s="17">
        <f>IF($A288="","",IFERROR(SUMIF(tblMotor[A_Norm],$A288,tblMotor[FlasKesinti]),0))</f>
        <v/>
      </c>
      <c r="G288" s="17">
        <f>IF($A288="","",IFERROR(SUMIF(tblMotor[A_Norm],$A288,tblMotor[UrunReklam]),0))</f>
        <v/>
      </c>
      <c r="H288" s="17">
        <f>IF($A288="","",IFERROR(SUMIF(tblMotor[A_Norm],$A288,tblMotor[DesiKargo]),0))</f>
        <v/>
      </c>
      <c r="I288" s="17">
        <f>IF(OR($A288="",$B288&lt;&gt;"tutar_farki"),"",IF(ABS($C288-$D288)&lt;=toleransKurus,"TYK-001",IF(ABS($C288-$E288)&lt;=toleransKurus,"TYK-002",IF(ABS($C288-$F288)&lt;=toleransKurus,"TYK-003",IF(ABS($C288-$G288)&lt;=toleransKurus,"TYK-004",IF(ABS($C288-$H288)&lt;=toleransKurus,"TYK-005","TANIMSIZ"))))))</f>
        <v/>
      </c>
    </row>
    <row r="289">
      <c r="A289" s="23">
        <f>IF('ESLESTIRME'!$A289="","",'ESLESTIRME'!$A289)</f>
        <v/>
      </c>
      <c r="B289" s="17">
        <f>IF($A289="","",IFERROR(INDEX(tblEslesme[Kova],MATCH($A289,tblEslesme[A_Norm],0)),""))</f>
        <v/>
      </c>
      <c r="C289" s="17">
        <f>IF($A289="","",IFERROR(INDEX(tblEslesme[AbsFark],MATCH($A289,tblEslesme[A_Norm],0)),0))</f>
        <v/>
      </c>
      <c r="D289" s="17">
        <f>IF($A289="","",IFERROR(SUMIF(tblMotor[A_Norm],$A289,tblMotor[KomisyonTutar]),0))</f>
        <v/>
      </c>
      <c r="E289" s="17">
        <f>IF($A289="","",IFERROR(SUMIF(tblMotor[A_Norm],$A289,tblMotor[TyPlus]),0))</f>
        <v/>
      </c>
      <c r="F289" s="17">
        <f>IF($A289="","",IFERROR(SUMIF(tblMotor[A_Norm],$A289,tblMotor[FlasKesinti]),0))</f>
        <v/>
      </c>
      <c r="G289" s="17">
        <f>IF($A289="","",IFERROR(SUMIF(tblMotor[A_Norm],$A289,tblMotor[UrunReklam]),0))</f>
        <v/>
      </c>
      <c r="H289" s="17">
        <f>IF($A289="","",IFERROR(SUMIF(tblMotor[A_Norm],$A289,tblMotor[DesiKargo]),0))</f>
        <v/>
      </c>
      <c r="I289" s="17">
        <f>IF(OR($A289="",$B289&lt;&gt;"tutar_farki"),"",IF(ABS($C289-$D289)&lt;=toleransKurus,"TYK-001",IF(ABS($C289-$E289)&lt;=toleransKurus,"TYK-002",IF(ABS($C289-$F289)&lt;=toleransKurus,"TYK-003",IF(ABS($C289-$G289)&lt;=toleransKurus,"TYK-004",IF(ABS($C289-$H289)&lt;=toleransKurus,"TYK-005","TANIMSIZ"))))))</f>
        <v/>
      </c>
    </row>
    <row r="290">
      <c r="A290" s="23">
        <f>IF('ESLESTIRME'!$A290="","",'ESLESTIRME'!$A290)</f>
        <v/>
      </c>
      <c r="B290" s="17">
        <f>IF($A290="","",IFERROR(INDEX(tblEslesme[Kova],MATCH($A290,tblEslesme[A_Norm],0)),""))</f>
        <v/>
      </c>
      <c r="C290" s="17">
        <f>IF($A290="","",IFERROR(INDEX(tblEslesme[AbsFark],MATCH($A290,tblEslesme[A_Norm],0)),0))</f>
        <v/>
      </c>
      <c r="D290" s="17">
        <f>IF($A290="","",IFERROR(SUMIF(tblMotor[A_Norm],$A290,tblMotor[KomisyonTutar]),0))</f>
        <v/>
      </c>
      <c r="E290" s="17">
        <f>IF($A290="","",IFERROR(SUMIF(tblMotor[A_Norm],$A290,tblMotor[TyPlus]),0))</f>
        <v/>
      </c>
      <c r="F290" s="17">
        <f>IF($A290="","",IFERROR(SUMIF(tblMotor[A_Norm],$A290,tblMotor[FlasKesinti]),0))</f>
        <v/>
      </c>
      <c r="G290" s="17">
        <f>IF($A290="","",IFERROR(SUMIF(tblMotor[A_Norm],$A290,tblMotor[UrunReklam]),0))</f>
        <v/>
      </c>
      <c r="H290" s="17">
        <f>IF($A290="","",IFERROR(SUMIF(tblMotor[A_Norm],$A290,tblMotor[DesiKargo]),0))</f>
        <v/>
      </c>
      <c r="I290" s="17">
        <f>IF(OR($A290="",$B290&lt;&gt;"tutar_farki"),"",IF(ABS($C290-$D290)&lt;=toleransKurus,"TYK-001",IF(ABS($C290-$E290)&lt;=toleransKurus,"TYK-002",IF(ABS($C290-$F290)&lt;=toleransKurus,"TYK-003",IF(ABS($C290-$G290)&lt;=toleransKurus,"TYK-004",IF(ABS($C290-$H290)&lt;=toleransKurus,"TYK-005","TANIMSIZ"))))))</f>
        <v/>
      </c>
    </row>
    <row r="291">
      <c r="A291" s="23">
        <f>IF('ESLESTIRME'!$A291="","",'ESLESTIRME'!$A291)</f>
        <v/>
      </c>
      <c r="B291" s="17">
        <f>IF($A291="","",IFERROR(INDEX(tblEslesme[Kova],MATCH($A291,tblEslesme[A_Norm],0)),""))</f>
        <v/>
      </c>
      <c r="C291" s="17">
        <f>IF($A291="","",IFERROR(INDEX(tblEslesme[AbsFark],MATCH($A291,tblEslesme[A_Norm],0)),0))</f>
        <v/>
      </c>
      <c r="D291" s="17">
        <f>IF($A291="","",IFERROR(SUMIF(tblMotor[A_Norm],$A291,tblMotor[KomisyonTutar]),0))</f>
        <v/>
      </c>
      <c r="E291" s="17">
        <f>IF($A291="","",IFERROR(SUMIF(tblMotor[A_Norm],$A291,tblMotor[TyPlus]),0))</f>
        <v/>
      </c>
      <c r="F291" s="17">
        <f>IF($A291="","",IFERROR(SUMIF(tblMotor[A_Norm],$A291,tblMotor[FlasKesinti]),0))</f>
        <v/>
      </c>
      <c r="G291" s="17">
        <f>IF($A291="","",IFERROR(SUMIF(tblMotor[A_Norm],$A291,tblMotor[UrunReklam]),0))</f>
        <v/>
      </c>
      <c r="H291" s="17">
        <f>IF($A291="","",IFERROR(SUMIF(tblMotor[A_Norm],$A291,tblMotor[DesiKargo]),0))</f>
        <v/>
      </c>
      <c r="I291" s="17">
        <f>IF(OR($A291="",$B291&lt;&gt;"tutar_farki"),"",IF(ABS($C291-$D291)&lt;=toleransKurus,"TYK-001",IF(ABS($C291-$E291)&lt;=toleransKurus,"TYK-002",IF(ABS($C291-$F291)&lt;=toleransKurus,"TYK-003",IF(ABS($C291-$G291)&lt;=toleransKurus,"TYK-004",IF(ABS($C291-$H291)&lt;=toleransKurus,"TYK-005","TANIMSIZ"))))))</f>
        <v/>
      </c>
    </row>
    <row r="292">
      <c r="A292" s="23">
        <f>IF('ESLESTIRME'!$A292="","",'ESLESTIRME'!$A292)</f>
        <v/>
      </c>
      <c r="B292" s="17">
        <f>IF($A292="","",IFERROR(INDEX(tblEslesme[Kova],MATCH($A292,tblEslesme[A_Norm],0)),""))</f>
        <v/>
      </c>
      <c r="C292" s="17">
        <f>IF($A292="","",IFERROR(INDEX(tblEslesme[AbsFark],MATCH($A292,tblEslesme[A_Norm],0)),0))</f>
        <v/>
      </c>
      <c r="D292" s="17">
        <f>IF($A292="","",IFERROR(SUMIF(tblMotor[A_Norm],$A292,tblMotor[KomisyonTutar]),0))</f>
        <v/>
      </c>
      <c r="E292" s="17">
        <f>IF($A292="","",IFERROR(SUMIF(tblMotor[A_Norm],$A292,tblMotor[TyPlus]),0))</f>
        <v/>
      </c>
      <c r="F292" s="17">
        <f>IF($A292="","",IFERROR(SUMIF(tblMotor[A_Norm],$A292,tblMotor[FlasKesinti]),0))</f>
        <v/>
      </c>
      <c r="G292" s="17">
        <f>IF($A292="","",IFERROR(SUMIF(tblMotor[A_Norm],$A292,tblMotor[UrunReklam]),0))</f>
        <v/>
      </c>
      <c r="H292" s="17">
        <f>IF($A292="","",IFERROR(SUMIF(tblMotor[A_Norm],$A292,tblMotor[DesiKargo]),0))</f>
        <v/>
      </c>
      <c r="I292" s="17">
        <f>IF(OR($A292="",$B292&lt;&gt;"tutar_farki"),"",IF(ABS($C292-$D292)&lt;=toleransKurus,"TYK-001",IF(ABS($C292-$E292)&lt;=toleransKurus,"TYK-002",IF(ABS($C292-$F292)&lt;=toleransKurus,"TYK-003",IF(ABS($C292-$G292)&lt;=toleransKurus,"TYK-004",IF(ABS($C292-$H292)&lt;=toleransKurus,"TYK-005","TANIMSIZ"))))))</f>
        <v/>
      </c>
    </row>
    <row r="293">
      <c r="A293" s="23">
        <f>IF('ESLESTIRME'!$A293="","",'ESLESTIRME'!$A293)</f>
        <v/>
      </c>
      <c r="B293" s="17">
        <f>IF($A293="","",IFERROR(INDEX(tblEslesme[Kova],MATCH($A293,tblEslesme[A_Norm],0)),""))</f>
        <v/>
      </c>
      <c r="C293" s="17">
        <f>IF($A293="","",IFERROR(INDEX(tblEslesme[AbsFark],MATCH($A293,tblEslesme[A_Norm],0)),0))</f>
        <v/>
      </c>
      <c r="D293" s="17">
        <f>IF($A293="","",IFERROR(SUMIF(tblMotor[A_Norm],$A293,tblMotor[KomisyonTutar]),0))</f>
        <v/>
      </c>
      <c r="E293" s="17">
        <f>IF($A293="","",IFERROR(SUMIF(tblMotor[A_Norm],$A293,tblMotor[TyPlus]),0))</f>
        <v/>
      </c>
      <c r="F293" s="17">
        <f>IF($A293="","",IFERROR(SUMIF(tblMotor[A_Norm],$A293,tblMotor[FlasKesinti]),0))</f>
        <v/>
      </c>
      <c r="G293" s="17">
        <f>IF($A293="","",IFERROR(SUMIF(tblMotor[A_Norm],$A293,tblMotor[UrunReklam]),0))</f>
        <v/>
      </c>
      <c r="H293" s="17">
        <f>IF($A293="","",IFERROR(SUMIF(tblMotor[A_Norm],$A293,tblMotor[DesiKargo]),0))</f>
        <v/>
      </c>
      <c r="I293" s="17">
        <f>IF(OR($A293="",$B293&lt;&gt;"tutar_farki"),"",IF(ABS($C293-$D293)&lt;=toleransKurus,"TYK-001",IF(ABS($C293-$E293)&lt;=toleransKurus,"TYK-002",IF(ABS($C293-$F293)&lt;=toleransKurus,"TYK-003",IF(ABS($C293-$G293)&lt;=toleransKurus,"TYK-004",IF(ABS($C293-$H293)&lt;=toleransKurus,"TYK-005","TANIMSIZ"))))))</f>
        <v/>
      </c>
    </row>
    <row r="294">
      <c r="A294" s="23">
        <f>IF('ESLESTIRME'!$A294="","",'ESLESTIRME'!$A294)</f>
        <v/>
      </c>
      <c r="B294" s="17">
        <f>IF($A294="","",IFERROR(INDEX(tblEslesme[Kova],MATCH($A294,tblEslesme[A_Norm],0)),""))</f>
        <v/>
      </c>
      <c r="C294" s="17">
        <f>IF($A294="","",IFERROR(INDEX(tblEslesme[AbsFark],MATCH($A294,tblEslesme[A_Norm],0)),0))</f>
        <v/>
      </c>
      <c r="D294" s="17">
        <f>IF($A294="","",IFERROR(SUMIF(tblMotor[A_Norm],$A294,tblMotor[KomisyonTutar]),0))</f>
        <v/>
      </c>
      <c r="E294" s="17">
        <f>IF($A294="","",IFERROR(SUMIF(tblMotor[A_Norm],$A294,tblMotor[TyPlus]),0))</f>
        <v/>
      </c>
      <c r="F294" s="17">
        <f>IF($A294="","",IFERROR(SUMIF(tblMotor[A_Norm],$A294,tblMotor[FlasKesinti]),0))</f>
        <v/>
      </c>
      <c r="G294" s="17">
        <f>IF($A294="","",IFERROR(SUMIF(tblMotor[A_Norm],$A294,tblMotor[UrunReklam]),0))</f>
        <v/>
      </c>
      <c r="H294" s="17">
        <f>IF($A294="","",IFERROR(SUMIF(tblMotor[A_Norm],$A294,tblMotor[DesiKargo]),0))</f>
        <v/>
      </c>
      <c r="I294" s="17">
        <f>IF(OR($A294="",$B294&lt;&gt;"tutar_farki"),"",IF(ABS($C294-$D294)&lt;=toleransKurus,"TYK-001",IF(ABS($C294-$E294)&lt;=toleransKurus,"TYK-002",IF(ABS($C294-$F294)&lt;=toleransKurus,"TYK-003",IF(ABS($C294-$G294)&lt;=toleransKurus,"TYK-004",IF(ABS($C294-$H294)&lt;=toleransKurus,"TYK-005","TANIMSIZ"))))))</f>
        <v/>
      </c>
    </row>
    <row r="295">
      <c r="A295" s="23">
        <f>IF('ESLESTIRME'!$A295="","",'ESLESTIRME'!$A295)</f>
        <v/>
      </c>
      <c r="B295" s="17">
        <f>IF($A295="","",IFERROR(INDEX(tblEslesme[Kova],MATCH($A295,tblEslesme[A_Norm],0)),""))</f>
        <v/>
      </c>
      <c r="C295" s="17">
        <f>IF($A295="","",IFERROR(INDEX(tblEslesme[AbsFark],MATCH($A295,tblEslesme[A_Norm],0)),0))</f>
        <v/>
      </c>
      <c r="D295" s="17">
        <f>IF($A295="","",IFERROR(SUMIF(tblMotor[A_Norm],$A295,tblMotor[KomisyonTutar]),0))</f>
        <v/>
      </c>
      <c r="E295" s="17">
        <f>IF($A295="","",IFERROR(SUMIF(tblMotor[A_Norm],$A295,tblMotor[TyPlus]),0))</f>
        <v/>
      </c>
      <c r="F295" s="17">
        <f>IF($A295="","",IFERROR(SUMIF(tblMotor[A_Norm],$A295,tblMotor[FlasKesinti]),0))</f>
        <v/>
      </c>
      <c r="G295" s="17">
        <f>IF($A295="","",IFERROR(SUMIF(tblMotor[A_Norm],$A295,tblMotor[UrunReklam]),0))</f>
        <v/>
      </c>
      <c r="H295" s="17">
        <f>IF($A295="","",IFERROR(SUMIF(tblMotor[A_Norm],$A295,tblMotor[DesiKargo]),0))</f>
        <v/>
      </c>
      <c r="I295" s="17">
        <f>IF(OR($A295="",$B295&lt;&gt;"tutar_farki"),"",IF(ABS($C295-$D295)&lt;=toleransKurus,"TYK-001",IF(ABS($C295-$E295)&lt;=toleransKurus,"TYK-002",IF(ABS($C295-$F295)&lt;=toleransKurus,"TYK-003",IF(ABS($C295-$G295)&lt;=toleransKurus,"TYK-004",IF(ABS($C295-$H295)&lt;=toleransKurus,"TYK-005","TANIMSIZ"))))))</f>
        <v/>
      </c>
    </row>
    <row r="296">
      <c r="A296" s="23">
        <f>IF('ESLESTIRME'!$A296="","",'ESLESTIRME'!$A296)</f>
        <v/>
      </c>
      <c r="B296" s="17">
        <f>IF($A296="","",IFERROR(INDEX(tblEslesme[Kova],MATCH($A296,tblEslesme[A_Norm],0)),""))</f>
        <v/>
      </c>
      <c r="C296" s="17">
        <f>IF($A296="","",IFERROR(INDEX(tblEslesme[AbsFark],MATCH($A296,tblEslesme[A_Norm],0)),0))</f>
        <v/>
      </c>
      <c r="D296" s="17">
        <f>IF($A296="","",IFERROR(SUMIF(tblMotor[A_Norm],$A296,tblMotor[KomisyonTutar]),0))</f>
        <v/>
      </c>
      <c r="E296" s="17">
        <f>IF($A296="","",IFERROR(SUMIF(tblMotor[A_Norm],$A296,tblMotor[TyPlus]),0))</f>
        <v/>
      </c>
      <c r="F296" s="17">
        <f>IF($A296="","",IFERROR(SUMIF(tblMotor[A_Norm],$A296,tblMotor[FlasKesinti]),0))</f>
        <v/>
      </c>
      <c r="G296" s="17">
        <f>IF($A296="","",IFERROR(SUMIF(tblMotor[A_Norm],$A296,tblMotor[UrunReklam]),0))</f>
        <v/>
      </c>
      <c r="H296" s="17">
        <f>IF($A296="","",IFERROR(SUMIF(tblMotor[A_Norm],$A296,tblMotor[DesiKargo]),0))</f>
        <v/>
      </c>
      <c r="I296" s="17">
        <f>IF(OR($A296="",$B296&lt;&gt;"tutar_farki"),"",IF(ABS($C296-$D296)&lt;=toleransKurus,"TYK-001",IF(ABS($C296-$E296)&lt;=toleransKurus,"TYK-002",IF(ABS($C296-$F296)&lt;=toleransKurus,"TYK-003",IF(ABS($C296-$G296)&lt;=toleransKurus,"TYK-004",IF(ABS($C296-$H296)&lt;=toleransKurus,"TYK-005","TANIMSIZ"))))))</f>
        <v/>
      </c>
    </row>
    <row r="297">
      <c r="A297" s="23">
        <f>IF('ESLESTIRME'!$A297="","",'ESLESTIRME'!$A297)</f>
        <v/>
      </c>
      <c r="B297" s="17">
        <f>IF($A297="","",IFERROR(INDEX(tblEslesme[Kova],MATCH($A297,tblEslesme[A_Norm],0)),""))</f>
        <v/>
      </c>
      <c r="C297" s="17">
        <f>IF($A297="","",IFERROR(INDEX(tblEslesme[AbsFark],MATCH($A297,tblEslesme[A_Norm],0)),0))</f>
        <v/>
      </c>
      <c r="D297" s="17">
        <f>IF($A297="","",IFERROR(SUMIF(tblMotor[A_Norm],$A297,tblMotor[KomisyonTutar]),0))</f>
        <v/>
      </c>
      <c r="E297" s="17">
        <f>IF($A297="","",IFERROR(SUMIF(tblMotor[A_Norm],$A297,tblMotor[TyPlus]),0))</f>
        <v/>
      </c>
      <c r="F297" s="17">
        <f>IF($A297="","",IFERROR(SUMIF(tblMotor[A_Norm],$A297,tblMotor[FlasKesinti]),0))</f>
        <v/>
      </c>
      <c r="G297" s="17">
        <f>IF($A297="","",IFERROR(SUMIF(tblMotor[A_Norm],$A297,tblMotor[UrunReklam]),0))</f>
        <v/>
      </c>
      <c r="H297" s="17">
        <f>IF($A297="","",IFERROR(SUMIF(tblMotor[A_Norm],$A297,tblMotor[DesiKargo]),0))</f>
        <v/>
      </c>
      <c r="I297" s="17">
        <f>IF(OR($A297="",$B297&lt;&gt;"tutar_farki"),"",IF(ABS($C297-$D297)&lt;=toleransKurus,"TYK-001",IF(ABS($C297-$E297)&lt;=toleransKurus,"TYK-002",IF(ABS($C297-$F297)&lt;=toleransKurus,"TYK-003",IF(ABS($C297-$G297)&lt;=toleransKurus,"TYK-004",IF(ABS($C297-$H297)&lt;=toleransKurus,"TYK-005","TANIMSIZ"))))))</f>
        <v/>
      </c>
    </row>
    <row r="298">
      <c r="A298" s="23">
        <f>IF('ESLESTIRME'!$A298="","",'ESLESTIRME'!$A298)</f>
        <v/>
      </c>
      <c r="B298" s="17">
        <f>IF($A298="","",IFERROR(INDEX(tblEslesme[Kova],MATCH($A298,tblEslesme[A_Norm],0)),""))</f>
        <v/>
      </c>
      <c r="C298" s="17">
        <f>IF($A298="","",IFERROR(INDEX(tblEslesme[AbsFark],MATCH($A298,tblEslesme[A_Norm],0)),0))</f>
        <v/>
      </c>
      <c r="D298" s="17">
        <f>IF($A298="","",IFERROR(SUMIF(tblMotor[A_Norm],$A298,tblMotor[KomisyonTutar]),0))</f>
        <v/>
      </c>
      <c r="E298" s="17">
        <f>IF($A298="","",IFERROR(SUMIF(tblMotor[A_Norm],$A298,tblMotor[TyPlus]),0))</f>
        <v/>
      </c>
      <c r="F298" s="17">
        <f>IF($A298="","",IFERROR(SUMIF(tblMotor[A_Norm],$A298,tblMotor[FlasKesinti]),0))</f>
        <v/>
      </c>
      <c r="G298" s="17">
        <f>IF($A298="","",IFERROR(SUMIF(tblMotor[A_Norm],$A298,tblMotor[UrunReklam]),0))</f>
        <v/>
      </c>
      <c r="H298" s="17">
        <f>IF($A298="","",IFERROR(SUMIF(tblMotor[A_Norm],$A298,tblMotor[DesiKargo]),0))</f>
        <v/>
      </c>
      <c r="I298" s="17">
        <f>IF(OR($A298="",$B298&lt;&gt;"tutar_farki"),"",IF(ABS($C298-$D298)&lt;=toleransKurus,"TYK-001",IF(ABS($C298-$E298)&lt;=toleransKurus,"TYK-002",IF(ABS($C298-$F298)&lt;=toleransKurus,"TYK-003",IF(ABS($C298-$G298)&lt;=toleransKurus,"TYK-004",IF(ABS($C298-$H298)&lt;=toleransKurus,"TYK-005","TANIMSIZ"))))))</f>
        <v/>
      </c>
    </row>
    <row r="299">
      <c r="A299" s="23">
        <f>IF('ESLESTIRME'!$A299="","",'ESLESTIRME'!$A299)</f>
        <v/>
      </c>
      <c r="B299" s="17">
        <f>IF($A299="","",IFERROR(INDEX(tblEslesme[Kova],MATCH($A299,tblEslesme[A_Norm],0)),""))</f>
        <v/>
      </c>
      <c r="C299" s="17">
        <f>IF($A299="","",IFERROR(INDEX(tblEslesme[AbsFark],MATCH($A299,tblEslesme[A_Norm],0)),0))</f>
        <v/>
      </c>
      <c r="D299" s="17">
        <f>IF($A299="","",IFERROR(SUMIF(tblMotor[A_Norm],$A299,tblMotor[KomisyonTutar]),0))</f>
        <v/>
      </c>
      <c r="E299" s="17">
        <f>IF($A299="","",IFERROR(SUMIF(tblMotor[A_Norm],$A299,tblMotor[TyPlus]),0))</f>
        <v/>
      </c>
      <c r="F299" s="17">
        <f>IF($A299="","",IFERROR(SUMIF(tblMotor[A_Norm],$A299,tblMotor[FlasKesinti]),0))</f>
        <v/>
      </c>
      <c r="G299" s="17">
        <f>IF($A299="","",IFERROR(SUMIF(tblMotor[A_Norm],$A299,tblMotor[UrunReklam]),0))</f>
        <v/>
      </c>
      <c r="H299" s="17">
        <f>IF($A299="","",IFERROR(SUMIF(tblMotor[A_Norm],$A299,tblMotor[DesiKargo]),0))</f>
        <v/>
      </c>
      <c r="I299" s="17">
        <f>IF(OR($A299="",$B299&lt;&gt;"tutar_farki"),"",IF(ABS($C299-$D299)&lt;=toleransKurus,"TYK-001",IF(ABS($C299-$E299)&lt;=toleransKurus,"TYK-002",IF(ABS($C299-$F299)&lt;=toleransKurus,"TYK-003",IF(ABS($C299-$G299)&lt;=toleransKurus,"TYK-004",IF(ABS($C299-$H299)&lt;=toleransKurus,"TYK-005","TANIMSIZ"))))))</f>
        <v/>
      </c>
    </row>
    <row r="300">
      <c r="A300" s="23">
        <f>IF('ESLESTIRME'!$A300="","",'ESLESTIRME'!$A300)</f>
        <v/>
      </c>
      <c r="B300" s="17">
        <f>IF($A300="","",IFERROR(INDEX(tblEslesme[Kova],MATCH($A300,tblEslesme[A_Norm],0)),""))</f>
        <v/>
      </c>
      <c r="C300" s="17">
        <f>IF($A300="","",IFERROR(INDEX(tblEslesme[AbsFark],MATCH($A300,tblEslesme[A_Norm],0)),0))</f>
        <v/>
      </c>
      <c r="D300" s="17">
        <f>IF($A300="","",IFERROR(SUMIF(tblMotor[A_Norm],$A300,tblMotor[KomisyonTutar]),0))</f>
        <v/>
      </c>
      <c r="E300" s="17">
        <f>IF($A300="","",IFERROR(SUMIF(tblMotor[A_Norm],$A300,tblMotor[TyPlus]),0))</f>
        <v/>
      </c>
      <c r="F300" s="17">
        <f>IF($A300="","",IFERROR(SUMIF(tblMotor[A_Norm],$A300,tblMotor[FlasKesinti]),0))</f>
        <v/>
      </c>
      <c r="G300" s="17">
        <f>IF($A300="","",IFERROR(SUMIF(tblMotor[A_Norm],$A300,tblMotor[UrunReklam]),0))</f>
        <v/>
      </c>
      <c r="H300" s="17">
        <f>IF($A300="","",IFERROR(SUMIF(tblMotor[A_Norm],$A300,tblMotor[DesiKargo]),0))</f>
        <v/>
      </c>
      <c r="I300" s="17">
        <f>IF(OR($A300="",$B300&lt;&gt;"tutar_farki"),"",IF(ABS($C300-$D300)&lt;=toleransKurus,"TYK-001",IF(ABS($C300-$E300)&lt;=toleransKurus,"TYK-002",IF(ABS($C300-$F300)&lt;=toleransKurus,"TYK-003",IF(ABS($C300-$G300)&lt;=toleransKurus,"TYK-004",IF(ABS($C300-$H300)&lt;=toleransKurus,"TYK-005","TANIMSIZ"))))))</f>
        <v/>
      </c>
    </row>
    <row r="301">
      <c r="A301" s="23">
        <f>IF('ESLESTIRME'!$A301="","",'ESLESTIRME'!$A301)</f>
        <v/>
      </c>
      <c r="B301" s="17">
        <f>IF($A301="","",IFERROR(INDEX(tblEslesme[Kova],MATCH($A301,tblEslesme[A_Norm],0)),""))</f>
        <v/>
      </c>
      <c r="C301" s="17">
        <f>IF($A301="","",IFERROR(INDEX(tblEslesme[AbsFark],MATCH($A301,tblEslesme[A_Norm],0)),0))</f>
        <v/>
      </c>
      <c r="D301" s="17">
        <f>IF($A301="","",IFERROR(SUMIF(tblMotor[A_Norm],$A301,tblMotor[KomisyonTutar]),0))</f>
        <v/>
      </c>
      <c r="E301" s="17">
        <f>IF($A301="","",IFERROR(SUMIF(tblMotor[A_Norm],$A301,tblMotor[TyPlus]),0))</f>
        <v/>
      </c>
      <c r="F301" s="17">
        <f>IF($A301="","",IFERROR(SUMIF(tblMotor[A_Norm],$A301,tblMotor[FlasKesinti]),0))</f>
        <v/>
      </c>
      <c r="G301" s="17">
        <f>IF($A301="","",IFERROR(SUMIF(tblMotor[A_Norm],$A301,tblMotor[UrunReklam]),0))</f>
        <v/>
      </c>
      <c r="H301" s="17">
        <f>IF($A301="","",IFERROR(SUMIF(tblMotor[A_Norm],$A301,tblMotor[DesiKargo]),0))</f>
        <v/>
      </c>
      <c r="I301" s="17">
        <f>IF(OR($A301="",$B301&lt;&gt;"tutar_farki"),"",IF(ABS($C301-$D301)&lt;=toleransKurus,"TYK-001",IF(ABS($C301-$E301)&lt;=toleransKurus,"TYK-002",IF(ABS($C301-$F301)&lt;=toleransKurus,"TYK-003",IF(ABS($C301-$G301)&lt;=toleransKurus,"TYK-004",IF(ABS($C301-$H301)&lt;=toleransKurus,"TYK-005","TANIMSIZ"))))))</f>
        <v/>
      </c>
    </row>
    <row r="302">
      <c r="A302" s="23">
        <f>IF('ESLESTIRME'!$A302="","",'ESLESTIRME'!$A302)</f>
        <v/>
      </c>
      <c r="B302" s="17">
        <f>IF($A302="","",IFERROR(INDEX(tblEslesme[Kova],MATCH($A302,tblEslesme[A_Norm],0)),""))</f>
        <v/>
      </c>
      <c r="C302" s="17">
        <f>IF($A302="","",IFERROR(INDEX(tblEslesme[AbsFark],MATCH($A302,tblEslesme[A_Norm],0)),0))</f>
        <v/>
      </c>
      <c r="D302" s="17">
        <f>IF($A302="","",IFERROR(SUMIF(tblMotor[A_Norm],$A302,tblMotor[KomisyonTutar]),0))</f>
        <v/>
      </c>
      <c r="E302" s="17">
        <f>IF($A302="","",IFERROR(SUMIF(tblMotor[A_Norm],$A302,tblMotor[TyPlus]),0))</f>
        <v/>
      </c>
      <c r="F302" s="17">
        <f>IF($A302="","",IFERROR(SUMIF(tblMotor[A_Norm],$A302,tblMotor[FlasKesinti]),0))</f>
        <v/>
      </c>
      <c r="G302" s="17">
        <f>IF($A302="","",IFERROR(SUMIF(tblMotor[A_Norm],$A302,tblMotor[UrunReklam]),0))</f>
        <v/>
      </c>
      <c r="H302" s="17">
        <f>IF($A302="","",IFERROR(SUMIF(tblMotor[A_Norm],$A302,tblMotor[DesiKargo]),0))</f>
        <v/>
      </c>
      <c r="I302" s="17">
        <f>IF(OR($A302="",$B302&lt;&gt;"tutar_farki"),"",IF(ABS($C302-$D302)&lt;=toleransKurus,"TYK-001",IF(ABS($C302-$E302)&lt;=toleransKurus,"TYK-002",IF(ABS($C302-$F302)&lt;=toleransKurus,"TYK-003",IF(ABS($C302-$G302)&lt;=toleransKurus,"TYK-004",IF(ABS($C302-$H302)&lt;=toleransKurus,"TYK-005","TANIMSIZ"))))))</f>
        <v/>
      </c>
    </row>
    <row r="303">
      <c r="A303" s="23">
        <f>IF('ESLESTIRME'!$A303="","",'ESLESTIRME'!$A303)</f>
        <v/>
      </c>
      <c r="B303" s="17">
        <f>IF($A303="","",IFERROR(INDEX(tblEslesme[Kova],MATCH($A303,tblEslesme[A_Norm],0)),""))</f>
        <v/>
      </c>
      <c r="C303" s="17">
        <f>IF($A303="","",IFERROR(INDEX(tblEslesme[AbsFark],MATCH($A303,tblEslesme[A_Norm],0)),0))</f>
        <v/>
      </c>
      <c r="D303" s="17">
        <f>IF($A303="","",IFERROR(SUMIF(tblMotor[A_Norm],$A303,tblMotor[KomisyonTutar]),0))</f>
        <v/>
      </c>
      <c r="E303" s="17">
        <f>IF($A303="","",IFERROR(SUMIF(tblMotor[A_Norm],$A303,tblMotor[TyPlus]),0))</f>
        <v/>
      </c>
      <c r="F303" s="17">
        <f>IF($A303="","",IFERROR(SUMIF(tblMotor[A_Norm],$A303,tblMotor[FlasKesinti]),0))</f>
        <v/>
      </c>
      <c r="G303" s="17">
        <f>IF($A303="","",IFERROR(SUMIF(tblMotor[A_Norm],$A303,tblMotor[UrunReklam]),0))</f>
        <v/>
      </c>
      <c r="H303" s="17">
        <f>IF($A303="","",IFERROR(SUMIF(tblMotor[A_Norm],$A303,tblMotor[DesiKargo]),0))</f>
        <v/>
      </c>
      <c r="I303" s="17">
        <f>IF(OR($A303="",$B303&lt;&gt;"tutar_farki"),"",IF(ABS($C303-$D303)&lt;=toleransKurus,"TYK-001",IF(ABS($C303-$E303)&lt;=toleransKurus,"TYK-002",IF(ABS($C303-$F303)&lt;=toleransKurus,"TYK-003",IF(ABS($C303-$G303)&lt;=toleransKurus,"TYK-004",IF(ABS($C303-$H303)&lt;=toleransKurus,"TYK-005","TANIMSIZ"))))))</f>
        <v/>
      </c>
    </row>
    <row r="304">
      <c r="A304" s="23">
        <f>IF('ESLESTIRME'!$A304="","",'ESLESTIRME'!$A304)</f>
        <v/>
      </c>
      <c r="B304" s="17">
        <f>IF($A304="","",IFERROR(INDEX(tblEslesme[Kova],MATCH($A304,tblEslesme[A_Norm],0)),""))</f>
        <v/>
      </c>
      <c r="C304" s="17">
        <f>IF($A304="","",IFERROR(INDEX(tblEslesme[AbsFark],MATCH($A304,tblEslesme[A_Norm],0)),0))</f>
        <v/>
      </c>
      <c r="D304" s="17">
        <f>IF($A304="","",IFERROR(SUMIF(tblMotor[A_Norm],$A304,tblMotor[KomisyonTutar]),0))</f>
        <v/>
      </c>
      <c r="E304" s="17">
        <f>IF($A304="","",IFERROR(SUMIF(tblMotor[A_Norm],$A304,tblMotor[TyPlus]),0))</f>
        <v/>
      </c>
      <c r="F304" s="17">
        <f>IF($A304="","",IFERROR(SUMIF(tblMotor[A_Norm],$A304,tblMotor[FlasKesinti]),0))</f>
        <v/>
      </c>
      <c r="G304" s="17">
        <f>IF($A304="","",IFERROR(SUMIF(tblMotor[A_Norm],$A304,tblMotor[UrunReklam]),0))</f>
        <v/>
      </c>
      <c r="H304" s="17">
        <f>IF($A304="","",IFERROR(SUMIF(tblMotor[A_Norm],$A304,tblMotor[DesiKargo]),0))</f>
        <v/>
      </c>
      <c r="I304" s="17">
        <f>IF(OR($A304="",$B304&lt;&gt;"tutar_farki"),"",IF(ABS($C304-$D304)&lt;=toleransKurus,"TYK-001",IF(ABS($C304-$E304)&lt;=toleransKurus,"TYK-002",IF(ABS($C304-$F304)&lt;=toleransKurus,"TYK-003",IF(ABS($C304-$G304)&lt;=toleransKurus,"TYK-004",IF(ABS($C304-$H304)&lt;=toleransKurus,"TYK-005","TANIMSIZ"))))))</f>
        <v/>
      </c>
    </row>
    <row r="305">
      <c r="A305" s="23">
        <f>IF('ESLESTIRME'!$A305="","",'ESLESTIRME'!$A305)</f>
        <v/>
      </c>
      <c r="B305" s="17">
        <f>IF($A305="","",IFERROR(INDEX(tblEslesme[Kova],MATCH($A305,tblEslesme[A_Norm],0)),""))</f>
        <v/>
      </c>
      <c r="C305" s="17">
        <f>IF($A305="","",IFERROR(INDEX(tblEslesme[AbsFark],MATCH($A305,tblEslesme[A_Norm],0)),0))</f>
        <v/>
      </c>
      <c r="D305" s="17">
        <f>IF($A305="","",IFERROR(SUMIF(tblMotor[A_Norm],$A305,tblMotor[KomisyonTutar]),0))</f>
        <v/>
      </c>
      <c r="E305" s="17">
        <f>IF($A305="","",IFERROR(SUMIF(tblMotor[A_Norm],$A305,tblMotor[TyPlus]),0))</f>
        <v/>
      </c>
      <c r="F305" s="17">
        <f>IF($A305="","",IFERROR(SUMIF(tblMotor[A_Norm],$A305,tblMotor[FlasKesinti]),0))</f>
        <v/>
      </c>
      <c r="G305" s="17">
        <f>IF($A305="","",IFERROR(SUMIF(tblMotor[A_Norm],$A305,tblMotor[UrunReklam]),0))</f>
        <v/>
      </c>
      <c r="H305" s="17">
        <f>IF($A305="","",IFERROR(SUMIF(tblMotor[A_Norm],$A305,tblMotor[DesiKargo]),0))</f>
        <v/>
      </c>
      <c r="I305" s="17">
        <f>IF(OR($A305="",$B305&lt;&gt;"tutar_farki"),"",IF(ABS($C305-$D305)&lt;=toleransKurus,"TYK-001",IF(ABS($C305-$E305)&lt;=toleransKurus,"TYK-002",IF(ABS($C305-$F305)&lt;=toleransKurus,"TYK-003",IF(ABS($C305-$G305)&lt;=toleransKurus,"TYK-004",IF(ABS($C305-$H305)&lt;=toleransKurus,"TYK-005","TANIMSIZ"))))))</f>
        <v/>
      </c>
    </row>
    <row r="306">
      <c r="A306" s="23">
        <f>IF('ESLESTIRME'!$A306="","",'ESLESTIRME'!$A306)</f>
        <v/>
      </c>
      <c r="B306" s="17">
        <f>IF($A306="","",IFERROR(INDEX(tblEslesme[Kova],MATCH($A306,tblEslesme[A_Norm],0)),""))</f>
        <v/>
      </c>
      <c r="C306" s="17">
        <f>IF($A306="","",IFERROR(INDEX(tblEslesme[AbsFark],MATCH($A306,tblEslesme[A_Norm],0)),0))</f>
        <v/>
      </c>
      <c r="D306" s="17">
        <f>IF($A306="","",IFERROR(SUMIF(tblMotor[A_Norm],$A306,tblMotor[KomisyonTutar]),0))</f>
        <v/>
      </c>
      <c r="E306" s="17">
        <f>IF($A306="","",IFERROR(SUMIF(tblMotor[A_Norm],$A306,tblMotor[TyPlus]),0))</f>
        <v/>
      </c>
      <c r="F306" s="17">
        <f>IF($A306="","",IFERROR(SUMIF(tblMotor[A_Norm],$A306,tblMotor[FlasKesinti]),0))</f>
        <v/>
      </c>
      <c r="G306" s="17">
        <f>IF($A306="","",IFERROR(SUMIF(tblMotor[A_Norm],$A306,tblMotor[UrunReklam]),0))</f>
        <v/>
      </c>
      <c r="H306" s="17">
        <f>IF($A306="","",IFERROR(SUMIF(tblMotor[A_Norm],$A306,tblMotor[DesiKargo]),0))</f>
        <v/>
      </c>
      <c r="I306" s="17">
        <f>IF(OR($A306="",$B306&lt;&gt;"tutar_farki"),"",IF(ABS($C306-$D306)&lt;=toleransKurus,"TYK-001",IF(ABS($C306-$E306)&lt;=toleransKurus,"TYK-002",IF(ABS($C306-$F306)&lt;=toleransKurus,"TYK-003",IF(ABS($C306-$G306)&lt;=toleransKurus,"TYK-004",IF(ABS($C306-$H306)&lt;=toleransKurus,"TYK-005","TANIMSIZ"))))))</f>
        <v/>
      </c>
    </row>
    <row r="307">
      <c r="A307" s="23">
        <f>IF('ESLESTIRME'!$A307="","",'ESLESTIRME'!$A307)</f>
        <v/>
      </c>
      <c r="B307" s="17">
        <f>IF($A307="","",IFERROR(INDEX(tblEslesme[Kova],MATCH($A307,tblEslesme[A_Norm],0)),""))</f>
        <v/>
      </c>
      <c r="C307" s="17">
        <f>IF($A307="","",IFERROR(INDEX(tblEslesme[AbsFark],MATCH($A307,tblEslesme[A_Norm],0)),0))</f>
        <v/>
      </c>
      <c r="D307" s="17">
        <f>IF($A307="","",IFERROR(SUMIF(tblMotor[A_Norm],$A307,tblMotor[KomisyonTutar]),0))</f>
        <v/>
      </c>
      <c r="E307" s="17">
        <f>IF($A307="","",IFERROR(SUMIF(tblMotor[A_Norm],$A307,tblMotor[TyPlus]),0))</f>
        <v/>
      </c>
      <c r="F307" s="17">
        <f>IF($A307="","",IFERROR(SUMIF(tblMotor[A_Norm],$A307,tblMotor[FlasKesinti]),0))</f>
        <v/>
      </c>
      <c r="G307" s="17">
        <f>IF($A307="","",IFERROR(SUMIF(tblMotor[A_Norm],$A307,tblMotor[UrunReklam]),0))</f>
        <v/>
      </c>
      <c r="H307" s="17">
        <f>IF($A307="","",IFERROR(SUMIF(tblMotor[A_Norm],$A307,tblMotor[DesiKargo]),0))</f>
        <v/>
      </c>
      <c r="I307" s="17">
        <f>IF(OR($A307="",$B307&lt;&gt;"tutar_farki"),"",IF(ABS($C307-$D307)&lt;=toleransKurus,"TYK-001",IF(ABS($C307-$E307)&lt;=toleransKurus,"TYK-002",IF(ABS($C307-$F307)&lt;=toleransKurus,"TYK-003",IF(ABS($C307-$G307)&lt;=toleransKurus,"TYK-004",IF(ABS($C307-$H307)&lt;=toleransKurus,"TYK-005","TANIMSIZ"))))))</f>
        <v/>
      </c>
    </row>
    <row r="308">
      <c r="A308" s="23">
        <f>IF('ESLESTIRME'!$A308="","",'ESLESTIRME'!$A308)</f>
        <v/>
      </c>
      <c r="B308" s="17">
        <f>IF($A308="","",IFERROR(INDEX(tblEslesme[Kova],MATCH($A308,tblEslesme[A_Norm],0)),""))</f>
        <v/>
      </c>
      <c r="C308" s="17">
        <f>IF($A308="","",IFERROR(INDEX(tblEslesme[AbsFark],MATCH($A308,tblEslesme[A_Norm],0)),0))</f>
        <v/>
      </c>
      <c r="D308" s="17">
        <f>IF($A308="","",IFERROR(SUMIF(tblMotor[A_Norm],$A308,tblMotor[KomisyonTutar]),0))</f>
        <v/>
      </c>
      <c r="E308" s="17">
        <f>IF($A308="","",IFERROR(SUMIF(tblMotor[A_Norm],$A308,tblMotor[TyPlus]),0))</f>
        <v/>
      </c>
      <c r="F308" s="17">
        <f>IF($A308="","",IFERROR(SUMIF(tblMotor[A_Norm],$A308,tblMotor[FlasKesinti]),0))</f>
        <v/>
      </c>
      <c r="G308" s="17">
        <f>IF($A308="","",IFERROR(SUMIF(tblMotor[A_Norm],$A308,tblMotor[UrunReklam]),0))</f>
        <v/>
      </c>
      <c r="H308" s="17">
        <f>IF($A308="","",IFERROR(SUMIF(tblMotor[A_Norm],$A308,tblMotor[DesiKargo]),0))</f>
        <v/>
      </c>
      <c r="I308" s="17">
        <f>IF(OR($A308="",$B308&lt;&gt;"tutar_farki"),"",IF(ABS($C308-$D308)&lt;=toleransKurus,"TYK-001",IF(ABS($C308-$E308)&lt;=toleransKurus,"TYK-002",IF(ABS($C308-$F308)&lt;=toleransKurus,"TYK-003",IF(ABS($C308-$G308)&lt;=toleransKurus,"TYK-004",IF(ABS($C308-$H308)&lt;=toleransKurus,"TYK-005","TANIMSIZ"))))))</f>
        <v/>
      </c>
    </row>
    <row r="309">
      <c r="A309" s="23">
        <f>IF('ESLESTIRME'!$A309="","",'ESLESTIRME'!$A309)</f>
        <v/>
      </c>
      <c r="B309" s="17">
        <f>IF($A309="","",IFERROR(INDEX(tblEslesme[Kova],MATCH($A309,tblEslesme[A_Norm],0)),""))</f>
        <v/>
      </c>
      <c r="C309" s="17">
        <f>IF($A309="","",IFERROR(INDEX(tblEslesme[AbsFark],MATCH($A309,tblEslesme[A_Norm],0)),0))</f>
        <v/>
      </c>
      <c r="D309" s="17">
        <f>IF($A309="","",IFERROR(SUMIF(tblMotor[A_Norm],$A309,tblMotor[KomisyonTutar]),0))</f>
        <v/>
      </c>
      <c r="E309" s="17">
        <f>IF($A309="","",IFERROR(SUMIF(tblMotor[A_Norm],$A309,tblMotor[TyPlus]),0))</f>
        <v/>
      </c>
      <c r="F309" s="17">
        <f>IF($A309="","",IFERROR(SUMIF(tblMotor[A_Norm],$A309,tblMotor[FlasKesinti]),0))</f>
        <v/>
      </c>
      <c r="G309" s="17">
        <f>IF($A309="","",IFERROR(SUMIF(tblMotor[A_Norm],$A309,tblMotor[UrunReklam]),0))</f>
        <v/>
      </c>
      <c r="H309" s="17">
        <f>IF($A309="","",IFERROR(SUMIF(tblMotor[A_Norm],$A309,tblMotor[DesiKargo]),0))</f>
        <v/>
      </c>
      <c r="I309" s="17">
        <f>IF(OR($A309="",$B309&lt;&gt;"tutar_farki"),"",IF(ABS($C309-$D309)&lt;=toleransKurus,"TYK-001",IF(ABS($C309-$E309)&lt;=toleransKurus,"TYK-002",IF(ABS($C309-$F309)&lt;=toleransKurus,"TYK-003",IF(ABS($C309-$G309)&lt;=toleransKurus,"TYK-004",IF(ABS($C309-$H309)&lt;=toleransKurus,"TYK-005","TANIMSIZ"))))))</f>
        <v/>
      </c>
    </row>
    <row r="310">
      <c r="A310" s="23">
        <f>IF('ESLESTIRME'!$A310="","",'ESLESTIRME'!$A310)</f>
        <v/>
      </c>
      <c r="B310" s="17">
        <f>IF($A310="","",IFERROR(INDEX(tblEslesme[Kova],MATCH($A310,tblEslesme[A_Norm],0)),""))</f>
        <v/>
      </c>
      <c r="C310" s="17">
        <f>IF($A310="","",IFERROR(INDEX(tblEslesme[AbsFark],MATCH($A310,tblEslesme[A_Norm],0)),0))</f>
        <v/>
      </c>
      <c r="D310" s="17">
        <f>IF($A310="","",IFERROR(SUMIF(tblMotor[A_Norm],$A310,tblMotor[KomisyonTutar]),0))</f>
        <v/>
      </c>
      <c r="E310" s="17">
        <f>IF($A310="","",IFERROR(SUMIF(tblMotor[A_Norm],$A310,tblMotor[TyPlus]),0))</f>
        <v/>
      </c>
      <c r="F310" s="17">
        <f>IF($A310="","",IFERROR(SUMIF(tblMotor[A_Norm],$A310,tblMotor[FlasKesinti]),0))</f>
        <v/>
      </c>
      <c r="G310" s="17">
        <f>IF($A310="","",IFERROR(SUMIF(tblMotor[A_Norm],$A310,tblMotor[UrunReklam]),0))</f>
        <v/>
      </c>
      <c r="H310" s="17">
        <f>IF($A310="","",IFERROR(SUMIF(tblMotor[A_Norm],$A310,tblMotor[DesiKargo]),0))</f>
        <v/>
      </c>
      <c r="I310" s="17">
        <f>IF(OR($A310="",$B310&lt;&gt;"tutar_farki"),"",IF(ABS($C310-$D310)&lt;=toleransKurus,"TYK-001",IF(ABS($C310-$E310)&lt;=toleransKurus,"TYK-002",IF(ABS($C310-$F310)&lt;=toleransKurus,"TYK-003",IF(ABS($C310-$G310)&lt;=toleransKurus,"TYK-004",IF(ABS($C310-$H310)&lt;=toleransKurus,"TYK-005","TANIMSIZ"))))))</f>
        <v/>
      </c>
    </row>
    <row r="311">
      <c r="A311" s="23">
        <f>IF('ESLESTIRME'!$A311="","",'ESLESTIRME'!$A311)</f>
        <v/>
      </c>
      <c r="B311" s="17">
        <f>IF($A311="","",IFERROR(INDEX(tblEslesme[Kova],MATCH($A311,tblEslesme[A_Norm],0)),""))</f>
        <v/>
      </c>
      <c r="C311" s="17">
        <f>IF($A311="","",IFERROR(INDEX(tblEslesme[AbsFark],MATCH($A311,tblEslesme[A_Norm],0)),0))</f>
        <v/>
      </c>
      <c r="D311" s="17">
        <f>IF($A311="","",IFERROR(SUMIF(tblMotor[A_Norm],$A311,tblMotor[KomisyonTutar]),0))</f>
        <v/>
      </c>
      <c r="E311" s="17">
        <f>IF($A311="","",IFERROR(SUMIF(tblMotor[A_Norm],$A311,tblMotor[TyPlus]),0))</f>
        <v/>
      </c>
      <c r="F311" s="17">
        <f>IF($A311="","",IFERROR(SUMIF(tblMotor[A_Norm],$A311,tblMotor[FlasKesinti]),0))</f>
        <v/>
      </c>
      <c r="G311" s="17">
        <f>IF($A311="","",IFERROR(SUMIF(tblMotor[A_Norm],$A311,tblMotor[UrunReklam]),0))</f>
        <v/>
      </c>
      <c r="H311" s="17">
        <f>IF($A311="","",IFERROR(SUMIF(tblMotor[A_Norm],$A311,tblMotor[DesiKargo]),0))</f>
        <v/>
      </c>
      <c r="I311" s="17">
        <f>IF(OR($A311="",$B311&lt;&gt;"tutar_farki"),"",IF(ABS($C311-$D311)&lt;=toleransKurus,"TYK-001",IF(ABS($C311-$E311)&lt;=toleransKurus,"TYK-002",IF(ABS($C311-$F311)&lt;=toleransKurus,"TYK-003",IF(ABS($C311-$G311)&lt;=toleransKurus,"TYK-004",IF(ABS($C311-$H311)&lt;=toleransKurus,"TYK-005","TANIMSIZ"))))))</f>
        <v/>
      </c>
    </row>
    <row r="312">
      <c r="A312" s="23">
        <f>IF('ESLESTIRME'!$A312="","",'ESLESTIRME'!$A312)</f>
        <v/>
      </c>
      <c r="B312" s="17">
        <f>IF($A312="","",IFERROR(INDEX(tblEslesme[Kova],MATCH($A312,tblEslesme[A_Norm],0)),""))</f>
        <v/>
      </c>
      <c r="C312" s="17">
        <f>IF($A312="","",IFERROR(INDEX(tblEslesme[AbsFark],MATCH($A312,tblEslesme[A_Norm],0)),0))</f>
        <v/>
      </c>
      <c r="D312" s="17">
        <f>IF($A312="","",IFERROR(SUMIF(tblMotor[A_Norm],$A312,tblMotor[KomisyonTutar]),0))</f>
        <v/>
      </c>
      <c r="E312" s="17">
        <f>IF($A312="","",IFERROR(SUMIF(tblMotor[A_Norm],$A312,tblMotor[TyPlus]),0))</f>
        <v/>
      </c>
      <c r="F312" s="17">
        <f>IF($A312="","",IFERROR(SUMIF(tblMotor[A_Norm],$A312,tblMotor[FlasKesinti]),0))</f>
        <v/>
      </c>
      <c r="G312" s="17">
        <f>IF($A312="","",IFERROR(SUMIF(tblMotor[A_Norm],$A312,tblMotor[UrunReklam]),0))</f>
        <v/>
      </c>
      <c r="H312" s="17">
        <f>IF($A312="","",IFERROR(SUMIF(tblMotor[A_Norm],$A312,tblMotor[DesiKargo]),0))</f>
        <v/>
      </c>
      <c r="I312" s="17">
        <f>IF(OR($A312="",$B312&lt;&gt;"tutar_farki"),"",IF(ABS($C312-$D312)&lt;=toleransKurus,"TYK-001",IF(ABS($C312-$E312)&lt;=toleransKurus,"TYK-002",IF(ABS($C312-$F312)&lt;=toleransKurus,"TYK-003",IF(ABS($C312-$G312)&lt;=toleransKurus,"TYK-004",IF(ABS($C312-$H312)&lt;=toleransKurus,"TYK-005","TANIMSIZ"))))))</f>
        <v/>
      </c>
    </row>
    <row r="313">
      <c r="A313" s="23">
        <f>IF('ESLESTIRME'!$A313="","",'ESLESTIRME'!$A313)</f>
        <v/>
      </c>
      <c r="B313" s="17">
        <f>IF($A313="","",IFERROR(INDEX(tblEslesme[Kova],MATCH($A313,tblEslesme[A_Norm],0)),""))</f>
        <v/>
      </c>
      <c r="C313" s="17">
        <f>IF($A313="","",IFERROR(INDEX(tblEslesme[AbsFark],MATCH($A313,tblEslesme[A_Norm],0)),0))</f>
        <v/>
      </c>
      <c r="D313" s="17">
        <f>IF($A313="","",IFERROR(SUMIF(tblMotor[A_Norm],$A313,tblMotor[KomisyonTutar]),0))</f>
        <v/>
      </c>
      <c r="E313" s="17">
        <f>IF($A313="","",IFERROR(SUMIF(tblMotor[A_Norm],$A313,tblMotor[TyPlus]),0))</f>
        <v/>
      </c>
      <c r="F313" s="17">
        <f>IF($A313="","",IFERROR(SUMIF(tblMotor[A_Norm],$A313,tblMotor[FlasKesinti]),0))</f>
        <v/>
      </c>
      <c r="G313" s="17">
        <f>IF($A313="","",IFERROR(SUMIF(tblMotor[A_Norm],$A313,tblMotor[UrunReklam]),0))</f>
        <v/>
      </c>
      <c r="H313" s="17">
        <f>IF($A313="","",IFERROR(SUMIF(tblMotor[A_Norm],$A313,tblMotor[DesiKargo]),0))</f>
        <v/>
      </c>
      <c r="I313" s="17">
        <f>IF(OR($A313="",$B313&lt;&gt;"tutar_farki"),"",IF(ABS($C313-$D313)&lt;=toleransKurus,"TYK-001",IF(ABS($C313-$E313)&lt;=toleransKurus,"TYK-002",IF(ABS($C313-$F313)&lt;=toleransKurus,"TYK-003",IF(ABS($C313-$G313)&lt;=toleransKurus,"TYK-004",IF(ABS($C313-$H313)&lt;=toleransKurus,"TYK-005","TANIMSIZ"))))))</f>
        <v/>
      </c>
    </row>
    <row r="314">
      <c r="A314" s="23">
        <f>IF('ESLESTIRME'!$A314="","",'ESLESTIRME'!$A314)</f>
        <v/>
      </c>
      <c r="B314" s="17">
        <f>IF($A314="","",IFERROR(INDEX(tblEslesme[Kova],MATCH($A314,tblEslesme[A_Norm],0)),""))</f>
        <v/>
      </c>
      <c r="C314" s="17">
        <f>IF($A314="","",IFERROR(INDEX(tblEslesme[AbsFark],MATCH($A314,tblEslesme[A_Norm],0)),0))</f>
        <v/>
      </c>
      <c r="D314" s="17">
        <f>IF($A314="","",IFERROR(SUMIF(tblMotor[A_Norm],$A314,tblMotor[KomisyonTutar]),0))</f>
        <v/>
      </c>
      <c r="E314" s="17">
        <f>IF($A314="","",IFERROR(SUMIF(tblMotor[A_Norm],$A314,tblMotor[TyPlus]),0))</f>
        <v/>
      </c>
      <c r="F314" s="17">
        <f>IF($A314="","",IFERROR(SUMIF(tblMotor[A_Norm],$A314,tblMotor[FlasKesinti]),0))</f>
        <v/>
      </c>
      <c r="G314" s="17">
        <f>IF($A314="","",IFERROR(SUMIF(tblMotor[A_Norm],$A314,tblMotor[UrunReklam]),0))</f>
        <v/>
      </c>
      <c r="H314" s="17">
        <f>IF($A314="","",IFERROR(SUMIF(tblMotor[A_Norm],$A314,tblMotor[DesiKargo]),0))</f>
        <v/>
      </c>
      <c r="I314" s="17">
        <f>IF(OR($A314="",$B314&lt;&gt;"tutar_farki"),"",IF(ABS($C314-$D314)&lt;=toleransKurus,"TYK-001",IF(ABS($C314-$E314)&lt;=toleransKurus,"TYK-002",IF(ABS($C314-$F314)&lt;=toleransKurus,"TYK-003",IF(ABS($C314-$G314)&lt;=toleransKurus,"TYK-004",IF(ABS($C314-$H314)&lt;=toleransKurus,"TYK-005","TANIMSIZ"))))))</f>
        <v/>
      </c>
    </row>
    <row r="315">
      <c r="A315" s="23">
        <f>IF('ESLESTIRME'!$A315="","",'ESLESTIRME'!$A315)</f>
        <v/>
      </c>
      <c r="B315" s="17">
        <f>IF($A315="","",IFERROR(INDEX(tblEslesme[Kova],MATCH($A315,tblEslesme[A_Norm],0)),""))</f>
        <v/>
      </c>
      <c r="C315" s="17">
        <f>IF($A315="","",IFERROR(INDEX(tblEslesme[AbsFark],MATCH($A315,tblEslesme[A_Norm],0)),0))</f>
        <v/>
      </c>
      <c r="D315" s="17">
        <f>IF($A315="","",IFERROR(SUMIF(tblMotor[A_Norm],$A315,tblMotor[KomisyonTutar]),0))</f>
        <v/>
      </c>
      <c r="E315" s="17">
        <f>IF($A315="","",IFERROR(SUMIF(tblMotor[A_Norm],$A315,tblMotor[TyPlus]),0))</f>
        <v/>
      </c>
      <c r="F315" s="17">
        <f>IF($A315="","",IFERROR(SUMIF(tblMotor[A_Norm],$A315,tblMotor[FlasKesinti]),0))</f>
        <v/>
      </c>
      <c r="G315" s="17">
        <f>IF($A315="","",IFERROR(SUMIF(tblMotor[A_Norm],$A315,tblMotor[UrunReklam]),0))</f>
        <v/>
      </c>
      <c r="H315" s="17">
        <f>IF($A315="","",IFERROR(SUMIF(tblMotor[A_Norm],$A315,tblMotor[DesiKargo]),0))</f>
        <v/>
      </c>
      <c r="I315" s="17">
        <f>IF(OR($A315="",$B315&lt;&gt;"tutar_farki"),"",IF(ABS($C315-$D315)&lt;=toleransKurus,"TYK-001",IF(ABS($C315-$E315)&lt;=toleransKurus,"TYK-002",IF(ABS($C315-$F315)&lt;=toleransKurus,"TYK-003",IF(ABS($C315-$G315)&lt;=toleransKurus,"TYK-004",IF(ABS($C315-$H315)&lt;=toleransKurus,"TYK-005","TANIMSIZ"))))))</f>
        <v/>
      </c>
    </row>
    <row r="316">
      <c r="A316" s="23">
        <f>IF('ESLESTIRME'!$A316="","",'ESLESTIRME'!$A316)</f>
        <v/>
      </c>
      <c r="B316" s="17">
        <f>IF($A316="","",IFERROR(INDEX(tblEslesme[Kova],MATCH($A316,tblEslesme[A_Norm],0)),""))</f>
        <v/>
      </c>
      <c r="C316" s="17">
        <f>IF($A316="","",IFERROR(INDEX(tblEslesme[AbsFark],MATCH($A316,tblEslesme[A_Norm],0)),0))</f>
        <v/>
      </c>
      <c r="D316" s="17">
        <f>IF($A316="","",IFERROR(SUMIF(tblMotor[A_Norm],$A316,tblMotor[KomisyonTutar]),0))</f>
        <v/>
      </c>
      <c r="E316" s="17">
        <f>IF($A316="","",IFERROR(SUMIF(tblMotor[A_Norm],$A316,tblMotor[TyPlus]),0))</f>
        <v/>
      </c>
      <c r="F316" s="17">
        <f>IF($A316="","",IFERROR(SUMIF(tblMotor[A_Norm],$A316,tblMotor[FlasKesinti]),0))</f>
        <v/>
      </c>
      <c r="G316" s="17">
        <f>IF($A316="","",IFERROR(SUMIF(tblMotor[A_Norm],$A316,tblMotor[UrunReklam]),0))</f>
        <v/>
      </c>
      <c r="H316" s="17">
        <f>IF($A316="","",IFERROR(SUMIF(tblMotor[A_Norm],$A316,tblMotor[DesiKargo]),0))</f>
        <v/>
      </c>
      <c r="I316" s="17">
        <f>IF(OR($A316="",$B316&lt;&gt;"tutar_farki"),"",IF(ABS($C316-$D316)&lt;=toleransKurus,"TYK-001",IF(ABS($C316-$E316)&lt;=toleransKurus,"TYK-002",IF(ABS($C316-$F316)&lt;=toleransKurus,"TYK-003",IF(ABS($C316-$G316)&lt;=toleransKurus,"TYK-004",IF(ABS($C316-$H316)&lt;=toleransKurus,"TYK-005","TANIMSIZ"))))))</f>
        <v/>
      </c>
    </row>
    <row r="317">
      <c r="A317" s="23">
        <f>IF('ESLESTIRME'!$A317="","",'ESLESTIRME'!$A317)</f>
        <v/>
      </c>
      <c r="B317" s="17">
        <f>IF($A317="","",IFERROR(INDEX(tblEslesme[Kova],MATCH($A317,tblEslesme[A_Norm],0)),""))</f>
        <v/>
      </c>
      <c r="C317" s="17">
        <f>IF($A317="","",IFERROR(INDEX(tblEslesme[AbsFark],MATCH($A317,tblEslesme[A_Norm],0)),0))</f>
        <v/>
      </c>
      <c r="D317" s="17">
        <f>IF($A317="","",IFERROR(SUMIF(tblMotor[A_Norm],$A317,tblMotor[KomisyonTutar]),0))</f>
        <v/>
      </c>
      <c r="E317" s="17">
        <f>IF($A317="","",IFERROR(SUMIF(tblMotor[A_Norm],$A317,tblMotor[TyPlus]),0))</f>
        <v/>
      </c>
      <c r="F317" s="17">
        <f>IF($A317="","",IFERROR(SUMIF(tblMotor[A_Norm],$A317,tblMotor[FlasKesinti]),0))</f>
        <v/>
      </c>
      <c r="G317" s="17">
        <f>IF($A317="","",IFERROR(SUMIF(tblMotor[A_Norm],$A317,tblMotor[UrunReklam]),0))</f>
        <v/>
      </c>
      <c r="H317" s="17">
        <f>IF($A317="","",IFERROR(SUMIF(tblMotor[A_Norm],$A317,tblMotor[DesiKargo]),0))</f>
        <v/>
      </c>
      <c r="I317" s="17">
        <f>IF(OR($A317="",$B317&lt;&gt;"tutar_farki"),"",IF(ABS($C317-$D317)&lt;=toleransKurus,"TYK-001",IF(ABS($C317-$E317)&lt;=toleransKurus,"TYK-002",IF(ABS($C317-$F317)&lt;=toleransKurus,"TYK-003",IF(ABS($C317-$G317)&lt;=toleransKurus,"TYK-004",IF(ABS($C317-$H317)&lt;=toleransKurus,"TYK-005","TANIMSIZ"))))))</f>
        <v/>
      </c>
    </row>
    <row r="318">
      <c r="A318" s="23">
        <f>IF('ESLESTIRME'!$A318="","",'ESLESTIRME'!$A318)</f>
        <v/>
      </c>
      <c r="B318" s="17">
        <f>IF($A318="","",IFERROR(INDEX(tblEslesme[Kova],MATCH($A318,tblEslesme[A_Norm],0)),""))</f>
        <v/>
      </c>
      <c r="C318" s="17">
        <f>IF($A318="","",IFERROR(INDEX(tblEslesme[AbsFark],MATCH($A318,tblEslesme[A_Norm],0)),0))</f>
        <v/>
      </c>
      <c r="D318" s="17">
        <f>IF($A318="","",IFERROR(SUMIF(tblMotor[A_Norm],$A318,tblMotor[KomisyonTutar]),0))</f>
        <v/>
      </c>
      <c r="E318" s="17">
        <f>IF($A318="","",IFERROR(SUMIF(tblMotor[A_Norm],$A318,tblMotor[TyPlus]),0))</f>
        <v/>
      </c>
      <c r="F318" s="17">
        <f>IF($A318="","",IFERROR(SUMIF(tblMotor[A_Norm],$A318,tblMotor[FlasKesinti]),0))</f>
        <v/>
      </c>
      <c r="G318" s="17">
        <f>IF($A318="","",IFERROR(SUMIF(tblMotor[A_Norm],$A318,tblMotor[UrunReklam]),0))</f>
        <v/>
      </c>
      <c r="H318" s="17">
        <f>IF($A318="","",IFERROR(SUMIF(tblMotor[A_Norm],$A318,tblMotor[DesiKargo]),0))</f>
        <v/>
      </c>
      <c r="I318" s="17">
        <f>IF(OR($A318="",$B318&lt;&gt;"tutar_farki"),"",IF(ABS($C318-$D318)&lt;=toleransKurus,"TYK-001",IF(ABS($C318-$E318)&lt;=toleransKurus,"TYK-002",IF(ABS($C318-$F318)&lt;=toleransKurus,"TYK-003",IF(ABS($C318-$G318)&lt;=toleransKurus,"TYK-004",IF(ABS($C318-$H318)&lt;=toleransKurus,"TYK-005","TANIMSIZ"))))))</f>
        <v/>
      </c>
    </row>
    <row r="319">
      <c r="A319" s="23">
        <f>IF('ESLESTIRME'!$A319="","",'ESLESTIRME'!$A319)</f>
        <v/>
      </c>
      <c r="B319" s="17">
        <f>IF($A319="","",IFERROR(INDEX(tblEslesme[Kova],MATCH($A319,tblEslesme[A_Norm],0)),""))</f>
        <v/>
      </c>
      <c r="C319" s="17">
        <f>IF($A319="","",IFERROR(INDEX(tblEslesme[AbsFark],MATCH($A319,tblEslesme[A_Norm],0)),0))</f>
        <v/>
      </c>
      <c r="D319" s="17">
        <f>IF($A319="","",IFERROR(SUMIF(tblMotor[A_Norm],$A319,tblMotor[KomisyonTutar]),0))</f>
        <v/>
      </c>
      <c r="E319" s="17">
        <f>IF($A319="","",IFERROR(SUMIF(tblMotor[A_Norm],$A319,tblMotor[TyPlus]),0))</f>
        <v/>
      </c>
      <c r="F319" s="17">
        <f>IF($A319="","",IFERROR(SUMIF(tblMotor[A_Norm],$A319,tblMotor[FlasKesinti]),0))</f>
        <v/>
      </c>
      <c r="G319" s="17">
        <f>IF($A319="","",IFERROR(SUMIF(tblMotor[A_Norm],$A319,tblMotor[UrunReklam]),0))</f>
        <v/>
      </c>
      <c r="H319" s="17">
        <f>IF($A319="","",IFERROR(SUMIF(tblMotor[A_Norm],$A319,tblMotor[DesiKargo]),0))</f>
        <v/>
      </c>
      <c r="I319" s="17">
        <f>IF(OR($A319="",$B319&lt;&gt;"tutar_farki"),"",IF(ABS($C319-$D319)&lt;=toleransKurus,"TYK-001",IF(ABS($C319-$E319)&lt;=toleransKurus,"TYK-002",IF(ABS($C319-$F319)&lt;=toleransKurus,"TYK-003",IF(ABS($C319-$G319)&lt;=toleransKurus,"TYK-004",IF(ABS($C319-$H319)&lt;=toleransKurus,"TYK-005","TANIMSIZ"))))))</f>
        <v/>
      </c>
    </row>
    <row r="320">
      <c r="A320" s="23">
        <f>IF('ESLESTIRME'!$A320="","",'ESLESTIRME'!$A320)</f>
        <v/>
      </c>
      <c r="B320" s="17">
        <f>IF($A320="","",IFERROR(INDEX(tblEslesme[Kova],MATCH($A320,tblEslesme[A_Norm],0)),""))</f>
        <v/>
      </c>
      <c r="C320" s="17">
        <f>IF($A320="","",IFERROR(INDEX(tblEslesme[AbsFark],MATCH($A320,tblEslesme[A_Norm],0)),0))</f>
        <v/>
      </c>
      <c r="D320" s="17">
        <f>IF($A320="","",IFERROR(SUMIF(tblMotor[A_Norm],$A320,tblMotor[KomisyonTutar]),0))</f>
        <v/>
      </c>
      <c r="E320" s="17">
        <f>IF($A320="","",IFERROR(SUMIF(tblMotor[A_Norm],$A320,tblMotor[TyPlus]),0))</f>
        <v/>
      </c>
      <c r="F320" s="17">
        <f>IF($A320="","",IFERROR(SUMIF(tblMotor[A_Norm],$A320,tblMotor[FlasKesinti]),0))</f>
        <v/>
      </c>
      <c r="G320" s="17">
        <f>IF($A320="","",IFERROR(SUMIF(tblMotor[A_Norm],$A320,tblMotor[UrunReklam]),0))</f>
        <v/>
      </c>
      <c r="H320" s="17">
        <f>IF($A320="","",IFERROR(SUMIF(tblMotor[A_Norm],$A320,tblMotor[DesiKargo]),0))</f>
        <v/>
      </c>
      <c r="I320" s="17">
        <f>IF(OR($A320="",$B320&lt;&gt;"tutar_farki"),"",IF(ABS($C320-$D320)&lt;=toleransKurus,"TYK-001",IF(ABS($C320-$E320)&lt;=toleransKurus,"TYK-002",IF(ABS($C320-$F320)&lt;=toleransKurus,"TYK-003",IF(ABS($C320-$G320)&lt;=toleransKurus,"TYK-004",IF(ABS($C320-$H320)&lt;=toleransKurus,"TYK-005","TANIMSIZ"))))))</f>
        <v/>
      </c>
    </row>
    <row r="321">
      <c r="A321" s="23">
        <f>IF('ESLESTIRME'!$A321="","",'ESLESTIRME'!$A321)</f>
        <v/>
      </c>
      <c r="B321" s="17">
        <f>IF($A321="","",IFERROR(INDEX(tblEslesme[Kova],MATCH($A321,tblEslesme[A_Norm],0)),""))</f>
        <v/>
      </c>
      <c r="C321" s="17">
        <f>IF($A321="","",IFERROR(INDEX(tblEslesme[AbsFark],MATCH($A321,tblEslesme[A_Norm],0)),0))</f>
        <v/>
      </c>
      <c r="D321" s="17">
        <f>IF($A321="","",IFERROR(SUMIF(tblMotor[A_Norm],$A321,tblMotor[KomisyonTutar]),0))</f>
        <v/>
      </c>
      <c r="E321" s="17">
        <f>IF($A321="","",IFERROR(SUMIF(tblMotor[A_Norm],$A321,tblMotor[TyPlus]),0))</f>
        <v/>
      </c>
      <c r="F321" s="17">
        <f>IF($A321="","",IFERROR(SUMIF(tblMotor[A_Norm],$A321,tblMotor[FlasKesinti]),0))</f>
        <v/>
      </c>
      <c r="G321" s="17">
        <f>IF($A321="","",IFERROR(SUMIF(tblMotor[A_Norm],$A321,tblMotor[UrunReklam]),0))</f>
        <v/>
      </c>
      <c r="H321" s="17">
        <f>IF($A321="","",IFERROR(SUMIF(tblMotor[A_Norm],$A321,tblMotor[DesiKargo]),0))</f>
        <v/>
      </c>
      <c r="I321" s="17">
        <f>IF(OR($A321="",$B321&lt;&gt;"tutar_farki"),"",IF(ABS($C321-$D321)&lt;=toleransKurus,"TYK-001",IF(ABS($C321-$E321)&lt;=toleransKurus,"TYK-002",IF(ABS($C321-$F321)&lt;=toleransKurus,"TYK-003",IF(ABS($C321-$G321)&lt;=toleransKurus,"TYK-004",IF(ABS($C321-$H321)&lt;=toleransKurus,"TYK-005","TANIMSIZ"))))))</f>
        <v/>
      </c>
    </row>
    <row r="322">
      <c r="A322" s="23">
        <f>IF('ESLESTIRME'!$A322="","",'ESLESTIRME'!$A322)</f>
        <v/>
      </c>
      <c r="B322" s="17">
        <f>IF($A322="","",IFERROR(INDEX(tblEslesme[Kova],MATCH($A322,tblEslesme[A_Norm],0)),""))</f>
        <v/>
      </c>
      <c r="C322" s="17">
        <f>IF($A322="","",IFERROR(INDEX(tblEslesme[AbsFark],MATCH($A322,tblEslesme[A_Norm],0)),0))</f>
        <v/>
      </c>
      <c r="D322" s="17">
        <f>IF($A322="","",IFERROR(SUMIF(tblMotor[A_Norm],$A322,tblMotor[KomisyonTutar]),0))</f>
        <v/>
      </c>
      <c r="E322" s="17">
        <f>IF($A322="","",IFERROR(SUMIF(tblMotor[A_Norm],$A322,tblMotor[TyPlus]),0))</f>
        <v/>
      </c>
      <c r="F322" s="17">
        <f>IF($A322="","",IFERROR(SUMIF(tblMotor[A_Norm],$A322,tblMotor[FlasKesinti]),0))</f>
        <v/>
      </c>
      <c r="G322" s="17">
        <f>IF($A322="","",IFERROR(SUMIF(tblMotor[A_Norm],$A322,tblMotor[UrunReklam]),0))</f>
        <v/>
      </c>
      <c r="H322" s="17">
        <f>IF($A322="","",IFERROR(SUMIF(tblMotor[A_Norm],$A322,tblMotor[DesiKargo]),0))</f>
        <v/>
      </c>
      <c r="I322" s="17">
        <f>IF(OR($A322="",$B322&lt;&gt;"tutar_farki"),"",IF(ABS($C322-$D322)&lt;=toleransKurus,"TYK-001",IF(ABS($C322-$E322)&lt;=toleransKurus,"TYK-002",IF(ABS($C322-$F322)&lt;=toleransKurus,"TYK-003",IF(ABS($C322-$G322)&lt;=toleransKurus,"TYK-004",IF(ABS($C322-$H322)&lt;=toleransKurus,"TYK-005","TANIMSIZ"))))))</f>
        <v/>
      </c>
    </row>
    <row r="323">
      <c r="A323" s="23">
        <f>IF('ESLESTIRME'!$A323="","",'ESLESTIRME'!$A323)</f>
        <v/>
      </c>
      <c r="B323" s="17">
        <f>IF($A323="","",IFERROR(INDEX(tblEslesme[Kova],MATCH($A323,tblEslesme[A_Norm],0)),""))</f>
        <v/>
      </c>
      <c r="C323" s="17">
        <f>IF($A323="","",IFERROR(INDEX(tblEslesme[AbsFark],MATCH($A323,tblEslesme[A_Norm],0)),0))</f>
        <v/>
      </c>
      <c r="D323" s="17">
        <f>IF($A323="","",IFERROR(SUMIF(tblMotor[A_Norm],$A323,tblMotor[KomisyonTutar]),0))</f>
        <v/>
      </c>
      <c r="E323" s="17">
        <f>IF($A323="","",IFERROR(SUMIF(tblMotor[A_Norm],$A323,tblMotor[TyPlus]),0))</f>
        <v/>
      </c>
      <c r="F323" s="17">
        <f>IF($A323="","",IFERROR(SUMIF(tblMotor[A_Norm],$A323,tblMotor[FlasKesinti]),0))</f>
        <v/>
      </c>
      <c r="G323" s="17">
        <f>IF($A323="","",IFERROR(SUMIF(tblMotor[A_Norm],$A323,tblMotor[UrunReklam]),0))</f>
        <v/>
      </c>
      <c r="H323" s="17">
        <f>IF($A323="","",IFERROR(SUMIF(tblMotor[A_Norm],$A323,tblMotor[DesiKargo]),0))</f>
        <v/>
      </c>
      <c r="I323" s="17">
        <f>IF(OR($A323="",$B323&lt;&gt;"tutar_farki"),"",IF(ABS($C323-$D323)&lt;=toleransKurus,"TYK-001",IF(ABS($C323-$E323)&lt;=toleransKurus,"TYK-002",IF(ABS($C323-$F323)&lt;=toleransKurus,"TYK-003",IF(ABS($C323-$G323)&lt;=toleransKurus,"TYK-004",IF(ABS($C323-$H323)&lt;=toleransKurus,"TYK-005","TANIMSIZ"))))))</f>
        <v/>
      </c>
    </row>
    <row r="324">
      <c r="A324" s="23">
        <f>IF('ESLESTIRME'!$A324="","",'ESLESTIRME'!$A324)</f>
        <v/>
      </c>
      <c r="B324" s="17">
        <f>IF($A324="","",IFERROR(INDEX(tblEslesme[Kova],MATCH($A324,tblEslesme[A_Norm],0)),""))</f>
        <v/>
      </c>
      <c r="C324" s="17">
        <f>IF($A324="","",IFERROR(INDEX(tblEslesme[AbsFark],MATCH($A324,tblEslesme[A_Norm],0)),0))</f>
        <v/>
      </c>
      <c r="D324" s="17">
        <f>IF($A324="","",IFERROR(SUMIF(tblMotor[A_Norm],$A324,tblMotor[KomisyonTutar]),0))</f>
        <v/>
      </c>
      <c r="E324" s="17">
        <f>IF($A324="","",IFERROR(SUMIF(tblMotor[A_Norm],$A324,tblMotor[TyPlus]),0))</f>
        <v/>
      </c>
      <c r="F324" s="17">
        <f>IF($A324="","",IFERROR(SUMIF(tblMotor[A_Norm],$A324,tblMotor[FlasKesinti]),0))</f>
        <v/>
      </c>
      <c r="G324" s="17">
        <f>IF($A324="","",IFERROR(SUMIF(tblMotor[A_Norm],$A324,tblMotor[UrunReklam]),0))</f>
        <v/>
      </c>
      <c r="H324" s="17">
        <f>IF($A324="","",IFERROR(SUMIF(tblMotor[A_Norm],$A324,tblMotor[DesiKargo]),0))</f>
        <v/>
      </c>
      <c r="I324" s="17">
        <f>IF(OR($A324="",$B324&lt;&gt;"tutar_farki"),"",IF(ABS($C324-$D324)&lt;=toleransKurus,"TYK-001",IF(ABS($C324-$E324)&lt;=toleransKurus,"TYK-002",IF(ABS($C324-$F324)&lt;=toleransKurus,"TYK-003",IF(ABS($C324-$G324)&lt;=toleransKurus,"TYK-004",IF(ABS($C324-$H324)&lt;=toleransKurus,"TYK-005","TANIMSIZ"))))))</f>
        <v/>
      </c>
    </row>
    <row r="325">
      <c r="A325" s="23">
        <f>IF('ESLESTIRME'!$A325="","",'ESLESTIRME'!$A325)</f>
        <v/>
      </c>
      <c r="B325" s="17">
        <f>IF($A325="","",IFERROR(INDEX(tblEslesme[Kova],MATCH($A325,tblEslesme[A_Norm],0)),""))</f>
        <v/>
      </c>
      <c r="C325" s="17">
        <f>IF($A325="","",IFERROR(INDEX(tblEslesme[AbsFark],MATCH($A325,tblEslesme[A_Norm],0)),0))</f>
        <v/>
      </c>
      <c r="D325" s="17">
        <f>IF($A325="","",IFERROR(SUMIF(tblMotor[A_Norm],$A325,tblMotor[KomisyonTutar]),0))</f>
        <v/>
      </c>
      <c r="E325" s="17">
        <f>IF($A325="","",IFERROR(SUMIF(tblMotor[A_Norm],$A325,tblMotor[TyPlus]),0))</f>
        <v/>
      </c>
      <c r="F325" s="17">
        <f>IF($A325="","",IFERROR(SUMIF(tblMotor[A_Norm],$A325,tblMotor[FlasKesinti]),0))</f>
        <v/>
      </c>
      <c r="G325" s="17">
        <f>IF($A325="","",IFERROR(SUMIF(tblMotor[A_Norm],$A325,tblMotor[UrunReklam]),0))</f>
        <v/>
      </c>
      <c r="H325" s="17">
        <f>IF($A325="","",IFERROR(SUMIF(tblMotor[A_Norm],$A325,tblMotor[DesiKargo]),0))</f>
        <v/>
      </c>
      <c r="I325" s="17">
        <f>IF(OR($A325="",$B325&lt;&gt;"tutar_farki"),"",IF(ABS($C325-$D325)&lt;=toleransKurus,"TYK-001",IF(ABS($C325-$E325)&lt;=toleransKurus,"TYK-002",IF(ABS($C325-$F325)&lt;=toleransKurus,"TYK-003",IF(ABS($C325-$G325)&lt;=toleransKurus,"TYK-004",IF(ABS($C325-$H325)&lt;=toleransKurus,"TYK-005","TANIMSIZ"))))))</f>
        <v/>
      </c>
    </row>
    <row r="326">
      <c r="A326" s="23">
        <f>IF('ESLESTIRME'!$A326="","",'ESLESTIRME'!$A326)</f>
        <v/>
      </c>
      <c r="B326" s="17">
        <f>IF($A326="","",IFERROR(INDEX(tblEslesme[Kova],MATCH($A326,tblEslesme[A_Norm],0)),""))</f>
        <v/>
      </c>
      <c r="C326" s="17">
        <f>IF($A326="","",IFERROR(INDEX(tblEslesme[AbsFark],MATCH($A326,tblEslesme[A_Norm],0)),0))</f>
        <v/>
      </c>
      <c r="D326" s="17">
        <f>IF($A326="","",IFERROR(SUMIF(tblMotor[A_Norm],$A326,tblMotor[KomisyonTutar]),0))</f>
        <v/>
      </c>
      <c r="E326" s="17">
        <f>IF($A326="","",IFERROR(SUMIF(tblMotor[A_Norm],$A326,tblMotor[TyPlus]),0))</f>
        <v/>
      </c>
      <c r="F326" s="17">
        <f>IF($A326="","",IFERROR(SUMIF(tblMotor[A_Norm],$A326,tblMotor[FlasKesinti]),0))</f>
        <v/>
      </c>
      <c r="G326" s="17">
        <f>IF($A326="","",IFERROR(SUMIF(tblMotor[A_Norm],$A326,tblMotor[UrunReklam]),0))</f>
        <v/>
      </c>
      <c r="H326" s="17">
        <f>IF($A326="","",IFERROR(SUMIF(tblMotor[A_Norm],$A326,tblMotor[DesiKargo]),0))</f>
        <v/>
      </c>
      <c r="I326" s="17">
        <f>IF(OR($A326="",$B326&lt;&gt;"tutar_farki"),"",IF(ABS($C326-$D326)&lt;=toleransKurus,"TYK-001",IF(ABS($C326-$E326)&lt;=toleransKurus,"TYK-002",IF(ABS($C326-$F326)&lt;=toleransKurus,"TYK-003",IF(ABS($C326-$G326)&lt;=toleransKurus,"TYK-004",IF(ABS($C326-$H326)&lt;=toleransKurus,"TYK-005","TANIMSIZ"))))))</f>
        <v/>
      </c>
    </row>
    <row r="327">
      <c r="A327" s="23">
        <f>IF('ESLESTIRME'!$A327="","",'ESLESTIRME'!$A327)</f>
        <v/>
      </c>
      <c r="B327" s="17">
        <f>IF($A327="","",IFERROR(INDEX(tblEslesme[Kova],MATCH($A327,tblEslesme[A_Norm],0)),""))</f>
        <v/>
      </c>
      <c r="C327" s="17">
        <f>IF($A327="","",IFERROR(INDEX(tblEslesme[AbsFark],MATCH($A327,tblEslesme[A_Norm],0)),0))</f>
        <v/>
      </c>
      <c r="D327" s="17">
        <f>IF($A327="","",IFERROR(SUMIF(tblMotor[A_Norm],$A327,tblMotor[KomisyonTutar]),0))</f>
        <v/>
      </c>
      <c r="E327" s="17">
        <f>IF($A327="","",IFERROR(SUMIF(tblMotor[A_Norm],$A327,tblMotor[TyPlus]),0))</f>
        <v/>
      </c>
      <c r="F327" s="17">
        <f>IF($A327="","",IFERROR(SUMIF(tblMotor[A_Norm],$A327,tblMotor[FlasKesinti]),0))</f>
        <v/>
      </c>
      <c r="G327" s="17">
        <f>IF($A327="","",IFERROR(SUMIF(tblMotor[A_Norm],$A327,tblMotor[UrunReklam]),0))</f>
        <v/>
      </c>
      <c r="H327" s="17">
        <f>IF($A327="","",IFERROR(SUMIF(tblMotor[A_Norm],$A327,tblMotor[DesiKargo]),0))</f>
        <v/>
      </c>
      <c r="I327" s="17">
        <f>IF(OR($A327="",$B327&lt;&gt;"tutar_farki"),"",IF(ABS($C327-$D327)&lt;=toleransKurus,"TYK-001",IF(ABS($C327-$E327)&lt;=toleransKurus,"TYK-002",IF(ABS($C327-$F327)&lt;=toleransKurus,"TYK-003",IF(ABS($C327-$G327)&lt;=toleransKurus,"TYK-004",IF(ABS($C327-$H327)&lt;=toleransKurus,"TYK-005","TANIMSIZ"))))))</f>
        <v/>
      </c>
    </row>
    <row r="328">
      <c r="A328" s="23">
        <f>IF('ESLESTIRME'!$A328="","",'ESLESTIRME'!$A328)</f>
        <v/>
      </c>
      <c r="B328" s="17">
        <f>IF($A328="","",IFERROR(INDEX(tblEslesme[Kova],MATCH($A328,tblEslesme[A_Norm],0)),""))</f>
        <v/>
      </c>
      <c r="C328" s="17">
        <f>IF($A328="","",IFERROR(INDEX(tblEslesme[AbsFark],MATCH($A328,tblEslesme[A_Norm],0)),0))</f>
        <v/>
      </c>
      <c r="D328" s="17">
        <f>IF($A328="","",IFERROR(SUMIF(tblMotor[A_Norm],$A328,tblMotor[KomisyonTutar]),0))</f>
        <v/>
      </c>
      <c r="E328" s="17">
        <f>IF($A328="","",IFERROR(SUMIF(tblMotor[A_Norm],$A328,tblMotor[TyPlus]),0))</f>
        <v/>
      </c>
      <c r="F328" s="17">
        <f>IF($A328="","",IFERROR(SUMIF(tblMotor[A_Norm],$A328,tblMotor[FlasKesinti]),0))</f>
        <v/>
      </c>
      <c r="G328" s="17">
        <f>IF($A328="","",IFERROR(SUMIF(tblMotor[A_Norm],$A328,tblMotor[UrunReklam]),0))</f>
        <v/>
      </c>
      <c r="H328" s="17">
        <f>IF($A328="","",IFERROR(SUMIF(tblMotor[A_Norm],$A328,tblMotor[DesiKargo]),0))</f>
        <v/>
      </c>
      <c r="I328" s="17">
        <f>IF(OR($A328="",$B328&lt;&gt;"tutar_farki"),"",IF(ABS($C328-$D328)&lt;=toleransKurus,"TYK-001",IF(ABS($C328-$E328)&lt;=toleransKurus,"TYK-002",IF(ABS($C328-$F328)&lt;=toleransKurus,"TYK-003",IF(ABS($C328-$G328)&lt;=toleransKurus,"TYK-004",IF(ABS($C328-$H328)&lt;=toleransKurus,"TYK-005","TANIMSIZ"))))))</f>
        <v/>
      </c>
    </row>
    <row r="329">
      <c r="A329" s="23">
        <f>IF('ESLESTIRME'!$A329="","",'ESLESTIRME'!$A329)</f>
        <v/>
      </c>
      <c r="B329" s="17">
        <f>IF($A329="","",IFERROR(INDEX(tblEslesme[Kova],MATCH($A329,tblEslesme[A_Norm],0)),""))</f>
        <v/>
      </c>
      <c r="C329" s="17">
        <f>IF($A329="","",IFERROR(INDEX(tblEslesme[AbsFark],MATCH($A329,tblEslesme[A_Norm],0)),0))</f>
        <v/>
      </c>
      <c r="D329" s="17">
        <f>IF($A329="","",IFERROR(SUMIF(tblMotor[A_Norm],$A329,tblMotor[KomisyonTutar]),0))</f>
        <v/>
      </c>
      <c r="E329" s="17">
        <f>IF($A329="","",IFERROR(SUMIF(tblMotor[A_Norm],$A329,tblMotor[TyPlus]),0))</f>
        <v/>
      </c>
      <c r="F329" s="17">
        <f>IF($A329="","",IFERROR(SUMIF(tblMotor[A_Norm],$A329,tblMotor[FlasKesinti]),0))</f>
        <v/>
      </c>
      <c r="G329" s="17">
        <f>IF($A329="","",IFERROR(SUMIF(tblMotor[A_Norm],$A329,tblMotor[UrunReklam]),0))</f>
        <v/>
      </c>
      <c r="H329" s="17">
        <f>IF($A329="","",IFERROR(SUMIF(tblMotor[A_Norm],$A329,tblMotor[DesiKargo]),0))</f>
        <v/>
      </c>
      <c r="I329" s="17">
        <f>IF(OR($A329="",$B329&lt;&gt;"tutar_farki"),"",IF(ABS($C329-$D329)&lt;=toleransKurus,"TYK-001",IF(ABS($C329-$E329)&lt;=toleransKurus,"TYK-002",IF(ABS($C329-$F329)&lt;=toleransKurus,"TYK-003",IF(ABS($C329-$G329)&lt;=toleransKurus,"TYK-004",IF(ABS($C329-$H329)&lt;=toleransKurus,"TYK-005","TANIMSIZ"))))))</f>
        <v/>
      </c>
    </row>
    <row r="330">
      <c r="A330" s="23">
        <f>IF('ESLESTIRME'!$A330="","",'ESLESTIRME'!$A330)</f>
        <v/>
      </c>
      <c r="B330" s="17">
        <f>IF($A330="","",IFERROR(INDEX(tblEslesme[Kova],MATCH($A330,tblEslesme[A_Norm],0)),""))</f>
        <v/>
      </c>
      <c r="C330" s="17">
        <f>IF($A330="","",IFERROR(INDEX(tblEslesme[AbsFark],MATCH($A330,tblEslesme[A_Norm],0)),0))</f>
        <v/>
      </c>
      <c r="D330" s="17">
        <f>IF($A330="","",IFERROR(SUMIF(tblMotor[A_Norm],$A330,tblMotor[KomisyonTutar]),0))</f>
        <v/>
      </c>
      <c r="E330" s="17">
        <f>IF($A330="","",IFERROR(SUMIF(tblMotor[A_Norm],$A330,tblMotor[TyPlus]),0))</f>
        <v/>
      </c>
      <c r="F330" s="17">
        <f>IF($A330="","",IFERROR(SUMIF(tblMotor[A_Norm],$A330,tblMotor[FlasKesinti]),0))</f>
        <v/>
      </c>
      <c r="G330" s="17">
        <f>IF($A330="","",IFERROR(SUMIF(tblMotor[A_Norm],$A330,tblMotor[UrunReklam]),0))</f>
        <v/>
      </c>
      <c r="H330" s="17">
        <f>IF($A330="","",IFERROR(SUMIF(tblMotor[A_Norm],$A330,tblMotor[DesiKargo]),0))</f>
        <v/>
      </c>
      <c r="I330" s="17">
        <f>IF(OR($A330="",$B330&lt;&gt;"tutar_farki"),"",IF(ABS($C330-$D330)&lt;=toleransKurus,"TYK-001",IF(ABS($C330-$E330)&lt;=toleransKurus,"TYK-002",IF(ABS($C330-$F330)&lt;=toleransKurus,"TYK-003",IF(ABS($C330-$G330)&lt;=toleransKurus,"TYK-004",IF(ABS($C330-$H330)&lt;=toleransKurus,"TYK-005","TANIMSIZ"))))))</f>
        <v/>
      </c>
    </row>
    <row r="331">
      <c r="A331" s="23">
        <f>IF('ESLESTIRME'!$A331="","",'ESLESTIRME'!$A331)</f>
        <v/>
      </c>
      <c r="B331" s="17">
        <f>IF($A331="","",IFERROR(INDEX(tblEslesme[Kova],MATCH($A331,tblEslesme[A_Norm],0)),""))</f>
        <v/>
      </c>
      <c r="C331" s="17">
        <f>IF($A331="","",IFERROR(INDEX(tblEslesme[AbsFark],MATCH($A331,tblEslesme[A_Norm],0)),0))</f>
        <v/>
      </c>
      <c r="D331" s="17">
        <f>IF($A331="","",IFERROR(SUMIF(tblMotor[A_Norm],$A331,tblMotor[KomisyonTutar]),0))</f>
        <v/>
      </c>
      <c r="E331" s="17">
        <f>IF($A331="","",IFERROR(SUMIF(tblMotor[A_Norm],$A331,tblMotor[TyPlus]),0))</f>
        <v/>
      </c>
      <c r="F331" s="17">
        <f>IF($A331="","",IFERROR(SUMIF(tblMotor[A_Norm],$A331,tblMotor[FlasKesinti]),0))</f>
        <v/>
      </c>
      <c r="G331" s="17">
        <f>IF($A331="","",IFERROR(SUMIF(tblMotor[A_Norm],$A331,tblMotor[UrunReklam]),0))</f>
        <v/>
      </c>
      <c r="H331" s="17">
        <f>IF($A331="","",IFERROR(SUMIF(tblMotor[A_Norm],$A331,tblMotor[DesiKargo]),0))</f>
        <v/>
      </c>
      <c r="I331" s="17">
        <f>IF(OR($A331="",$B331&lt;&gt;"tutar_farki"),"",IF(ABS($C331-$D331)&lt;=toleransKurus,"TYK-001",IF(ABS($C331-$E331)&lt;=toleransKurus,"TYK-002",IF(ABS($C331-$F331)&lt;=toleransKurus,"TYK-003",IF(ABS($C331-$G331)&lt;=toleransKurus,"TYK-004",IF(ABS($C331-$H331)&lt;=toleransKurus,"TYK-005","TANIMSIZ"))))))</f>
        <v/>
      </c>
    </row>
    <row r="332">
      <c r="A332" s="23">
        <f>IF('ESLESTIRME'!$A332="","",'ESLESTIRME'!$A332)</f>
        <v/>
      </c>
      <c r="B332" s="17">
        <f>IF($A332="","",IFERROR(INDEX(tblEslesme[Kova],MATCH($A332,tblEslesme[A_Norm],0)),""))</f>
        <v/>
      </c>
      <c r="C332" s="17">
        <f>IF($A332="","",IFERROR(INDEX(tblEslesme[AbsFark],MATCH($A332,tblEslesme[A_Norm],0)),0))</f>
        <v/>
      </c>
      <c r="D332" s="17">
        <f>IF($A332="","",IFERROR(SUMIF(tblMotor[A_Norm],$A332,tblMotor[KomisyonTutar]),0))</f>
        <v/>
      </c>
      <c r="E332" s="17">
        <f>IF($A332="","",IFERROR(SUMIF(tblMotor[A_Norm],$A332,tblMotor[TyPlus]),0))</f>
        <v/>
      </c>
      <c r="F332" s="17">
        <f>IF($A332="","",IFERROR(SUMIF(tblMotor[A_Norm],$A332,tblMotor[FlasKesinti]),0))</f>
        <v/>
      </c>
      <c r="G332" s="17">
        <f>IF($A332="","",IFERROR(SUMIF(tblMotor[A_Norm],$A332,tblMotor[UrunReklam]),0))</f>
        <v/>
      </c>
      <c r="H332" s="17">
        <f>IF($A332="","",IFERROR(SUMIF(tblMotor[A_Norm],$A332,tblMotor[DesiKargo]),0))</f>
        <v/>
      </c>
      <c r="I332" s="17">
        <f>IF(OR($A332="",$B332&lt;&gt;"tutar_farki"),"",IF(ABS($C332-$D332)&lt;=toleransKurus,"TYK-001",IF(ABS($C332-$E332)&lt;=toleransKurus,"TYK-002",IF(ABS($C332-$F332)&lt;=toleransKurus,"TYK-003",IF(ABS($C332-$G332)&lt;=toleransKurus,"TYK-004",IF(ABS($C332-$H332)&lt;=toleransKurus,"TYK-005","TANIMSIZ"))))))</f>
        <v/>
      </c>
    </row>
    <row r="333">
      <c r="A333" s="23">
        <f>IF('ESLESTIRME'!$A333="","",'ESLESTIRME'!$A333)</f>
        <v/>
      </c>
      <c r="B333" s="17">
        <f>IF($A333="","",IFERROR(INDEX(tblEslesme[Kova],MATCH($A333,tblEslesme[A_Norm],0)),""))</f>
        <v/>
      </c>
      <c r="C333" s="17">
        <f>IF($A333="","",IFERROR(INDEX(tblEslesme[AbsFark],MATCH($A333,tblEslesme[A_Norm],0)),0))</f>
        <v/>
      </c>
      <c r="D333" s="17">
        <f>IF($A333="","",IFERROR(SUMIF(tblMotor[A_Norm],$A333,tblMotor[KomisyonTutar]),0))</f>
        <v/>
      </c>
      <c r="E333" s="17">
        <f>IF($A333="","",IFERROR(SUMIF(tblMotor[A_Norm],$A333,tblMotor[TyPlus]),0))</f>
        <v/>
      </c>
      <c r="F333" s="17">
        <f>IF($A333="","",IFERROR(SUMIF(tblMotor[A_Norm],$A333,tblMotor[FlasKesinti]),0))</f>
        <v/>
      </c>
      <c r="G333" s="17">
        <f>IF($A333="","",IFERROR(SUMIF(tblMotor[A_Norm],$A333,tblMotor[UrunReklam]),0))</f>
        <v/>
      </c>
      <c r="H333" s="17">
        <f>IF($A333="","",IFERROR(SUMIF(tblMotor[A_Norm],$A333,tblMotor[DesiKargo]),0))</f>
        <v/>
      </c>
      <c r="I333" s="17">
        <f>IF(OR($A333="",$B333&lt;&gt;"tutar_farki"),"",IF(ABS($C333-$D333)&lt;=toleransKurus,"TYK-001",IF(ABS($C333-$E333)&lt;=toleransKurus,"TYK-002",IF(ABS($C333-$F333)&lt;=toleransKurus,"TYK-003",IF(ABS($C333-$G333)&lt;=toleransKurus,"TYK-004",IF(ABS($C333-$H333)&lt;=toleransKurus,"TYK-005","TANIMSIZ"))))))</f>
        <v/>
      </c>
    </row>
    <row r="334">
      <c r="A334" s="23">
        <f>IF('ESLESTIRME'!$A334="","",'ESLESTIRME'!$A334)</f>
        <v/>
      </c>
      <c r="B334" s="17">
        <f>IF($A334="","",IFERROR(INDEX(tblEslesme[Kova],MATCH($A334,tblEslesme[A_Norm],0)),""))</f>
        <v/>
      </c>
      <c r="C334" s="17">
        <f>IF($A334="","",IFERROR(INDEX(tblEslesme[AbsFark],MATCH($A334,tblEslesme[A_Norm],0)),0))</f>
        <v/>
      </c>
      <c r="D334" s="17">
        <f>IF($A334="","",IFERROR(SUMIF(tblMotor[A_Norm],$A334,tblMotor[KomisyonTutar]),0))</f>
        <v/>
      </c>
      <c r="E334" s="17">
        <f>IF($A334="","",IFERROR(SUMIF(tblMotor[A_Norm],$A334,tblMotor[TyPlus]),0))</f>
        <v/>
      </c>
      <c r="F334" s="17">
        <f>IF($A334="","",IFERROR(SUMIF(tblMotor[A_Norm],$A334,tblMotor[FlasKesinti]),0))</f>
        <v/>
      </c>
      <c r="G334" s="17">
        <f>IF($A334="","",IFERROR(SUMIF(tblMotor[A_Norm],$A334,tblMotor[UrunReklam]),0))</f>
        <v/>
      </c>
      <c r="H334" s="17">
        <f>IF($A334="","",IFERROR(SUMIF(tblMotor[A_Norm],$A334,tblMotor[DesiKargo]),0))</f>
        <v/>
      </c>
      <c r="I334" s="17">
        <f>IF(OR($A334="",$B334&lt;&gt;"tutar_farki"),"",IF(ABS($C334-$D334)&lt;=toleransKurus,"TYK-001",IF(ABS($C334-$E334)&lt;=toleransKurus,"TYK-002",IF(ABS($C334-$F334)&lt;=toleransKurus,"TYK-003",IF(ABS($C334-$G334)&lt;=toleransKurus,"TYK-004",IF(ABS($C334-$H334)&lt;=toleransKurus,"TYK-005","TANIMSIZ"))))))</f>
        <v/>
      </c>
    </row>
    <row r="335">
      <c r="A335" s="23">
        <f>IF('ESLESTIRME'!$A335="","",'ESLESTIRME'!$A335)</f>
        <v/>
      </c>
      <c r="B335" s="17">
        <f>IF($A335="","",IFERROR(INDEX(tblEslesme[Kova],MATCH($A335,tblEslesme[A_Norm],0)),""))</f>
        <v/>
      </c>
      <c r="C335" s="17">
        <f>IF($A335="","",IFERROR(INDEX(tblEslesme[AbsFark],MATCH($A335,tblEslesme[A_Norm],0)),0))</f>
        <v/>
      </c>
      <c r="D335" s="17">
        <f>IF($A335="","",IFERROR(SUMIF(tblMotor[A_Norm],$A335,tblMotor[KomisyonTutar]),0))</f>
        <v/>
      </c>
      <c r="E335" s="17">
        <f>IF($A335="","",IFERROR(SUMIF(tblMotor[A_Norm],$A335,tblMotor[TyPlus]),0))</f>
        <v/>
      </c>
      <c r="F335" s="17">
        <f>IF($A335="","",IFERROR(SUMIF(tblMotor[A_Norm],$A335,tblMotor[FlasKesinti]),0))</f>
        <v/>
      </c>
      <c r="G335" s="17">
        <f>IF($A335="","",IFERROR(SUMIF(tblMotor[A_Norm],$A335,tblMotor[UrunReklam]),0))</f>
        <v/>
      </c>
      <c r="H335" s="17">
        <f>IF($A335="","",IFERROR(SUMIF(tblMotor[A_Norm],$A335,tblMotor[DesiKargo]),0))</f>
        <v/>
      </c>
      <c r="I335" s="17">
        <f>IF(OR($A335="",$B335&lt;&gt;"tutar_farki"),"",IF(ABS($C335-$D335)&lt;=toleransKurus,"TYK-001",IF(ABS($C335-$E335)&lt;=toleransKurus,"TYK-002",IF(ABS($C335-$F335)&lt;=toleransKurus,"TYK-003",IF(ABS($C335-$G335)&lt;=toleransKurus,"TYK-004",IF(ABS($C335-$H335)&lt;=toleransKurus,"TYK-005","TANIMSIZ"))))))</f>
        <v/>
      </c>
    </row>
    <row r="336">
      <c r="A336" s="23">
        <f>IF('ESLESTIRME'!$A336="","",'ESLESTIRME'!$A336)</f>
        <v/>
      </c>
      <c r="B336" s="17">
        <f>IF($A336="","",IFERROR(INDEX(tblEslesme[Kova],MATCH($A336,tblEslesme[A_Norm],0)),""))</f>
        <v/>
      </c>
      <c r="C336" s="17">
        <f>IF($A336="","",IFERROR(INDEX(tblEslesme[AbsFark],MATCH($A336,tblEslesme[A_Norm],0)),0))</f>
        <v/>
      </c>
      <c r="D336" s="17">
        <f>IF($A336="","",IFERROR(SUMIF(tblMotor[A_Norm],$A336,tblMotor[KomisyonTutar]),0))</f>
        <v/>
      </c>
      <c r="E336" s="17">
        <f>IF($A336="","",IFERROR(SUMIF(tblMotor[A_Norm],$A336,tblMotor[TyPlus]),0))</f>
        <v/>
      </c>
      <c r="F336" s="17">
        <f>IF($A336="","",IFERROR(SUMIF(tblMotor[A_Norm],$A336,tblMotor[FlasKesinti]),0))</f>
        <v/>
      </c>
      <c r="G336" s="17">
        <f>IF($A336="","",IFERROR(SUMIF(tblMotor[A_Norm],$A336,tblMotor[UrunReklam]),0))</f>
        <v/>
      </c>
      <c r="H336" s="17">
        <f>IF($A336="","",IFERROR(SUMIF(tblMotor[A_Norm],$A336,tblMotor[DesiKargo]),0))</f>
        <v/>
      </c>
      <c r="I336" s="17">
        <f>IF(OR($A336="",$B336&lt;&gt;"tutar_farki"),"",IF(ABS($C336-$D336)&lt;=toleransKurus,"TYK-001",IF(ABS($C336-$E336)&lt;=toleransKurus,"TYK-002",IF(ABS($C336-$F336)&lt;=toleransKurus,"TYK-003",IF(ABS($C336-$G336)&lt;=toleransKurus,"TYK-004",IF(ABS($C336-$H336)&lt;=toleransKurus,"TYK-005","TANIMSIZ"))))))</f>
        <v/>
      </c>
    </row>
    <row r="337">
      <c r="A337" s="23">
        <f>IF('ESLESTIRME'!$A337="","",'ESLESTIRME'!$A337)</f>
        <v/>
      </c>
      <c r="B337" s="17">
        <f>IF($A337="","",IFERROR(INDEX(tblEslesme[Kova],MATCH($A337,tblEslesme[A_Norm],0)),""))</f>
        <v/>
      </c>
      <c r="C337" s="17">
        <f>IF($A337="","",IFERROR(INDEX(tblEslesme[AbsFark],MATCH($A337,tblEslesme[A_Norm],0)),0))</f>
        <v/>
      </c>
      <c r="D337" s="17">
        <f>IF($A337="","",IFERROR(SUMIF(tblMotor[A_Norm],$A337,tblMotor[KomisyonTutar]),0))</f>
        <v/>
      </c>
      <c r="E337" s="17">
        <f>IF($A337="","",IFERROR(SUMIF(tblMotor[A_Norm],$A337,tblMotor[TyPlus]),0))</f>
        <v/>
      </c>
      <c r="F337" s="17">
        <f>IF($A337="","",IFERROR(SUMIF(tblMotor[A_Norm],$A337,tblMotor[FlasKesinti]),0))</f>
        <v/>
      </c>
      <c r="G337" s="17">
        <f>IF($A337="","",IFERROR(SUMIF(tblMotor[A_Norm],$A337,tblMotor[UrunReklam]),0))</f>
        <v/>
      </c>
      <c r="H337" s="17">
        <f>IF($A337="","",IFERROR(SUMIF(tblMotor[A_Norm],$A337,tblMotor[DesiKargo]),0))</f>
        <v/>
      </c>
      <c r="I337" s="17">
        <f>IF(OR($A337="",$B337&lt;&gt;"tutar_farki"),"",IF(ABS($C337-$D337)&lt;=toleransKurus,"TYK-001",IF(ABS($C337-$E337)&lt;=toleransKurus,"TYK-002",IF(ABS($C337-$F337)&lt;=toleransKurus,"TYK-003",IF(ABS($C337-$G337)&lt;=toleransKurus,"TYK-004",IF(ABS($C337-$H337)&lt;=toleransKurus,"TYK-005","TANIMSIZ"))))))</f>
        <v/>
      </c>
    </row>
    <row r="338">
      <c r="A338" s="23">
        <f>IF('ESLESTIRME'!$A338="","",'ESLESTIRME'!$A338)</f>
        <v/>
      </c>
      <c r="B338" s="17">
        <f>IF($A338="","",IFERROR(INDEX(tblEslesme[Kova],MATCH($A338,tblEslesme[A_Norm],0)),""))</f>
        <v/>
      </c>
      <c r="C338" s="17">
        <f>IF($A338="","",IFERROR(INDEX(tblEslesme[AbsFark],MATCH($A338,tblEslesme[A_Norm],0)),0))</f>
        <v/>
      </c>
      <c r="D338" s="17">
        <f>IF($A338="","",IFERROR(SUMIF(tblMotor[A_Norm],$A338,tblMotor[KomisyonTutar]),0))</f>
        <v/>
      </c>
      <c r="E338" s="17">
        <f>IF($A338="","",IFERROR(SUMIF(tblMotor[A_Norm],$A338,tblMotor[TyPlus]),0))</f>
        <v/>
      </c>
      <c r="F338" s="17">
        <f>IF($A338="","",IFERROR(SUMIF(tblMotor[A_Norm],$A338,tblMotor[FlasKesinti]),0))</f>
        <v/>
      </c>
      <c r="G338" s="17">
        <f>IF($A338="","",IFERROR(SUMIF(tblMotor[A_Norm],$A338,tblMotor[UrunReklam]),0))</f>
        <v/>
      </c>
      <c r="H338" s="17">
        <f>IF($A338="","",IFERROR(SUMIF(tblMotor[A_Norm],$A338,tblMotor[DesiKargo]),0))</f>
        <v/>
      </c>
      <c r="I338" s="17">
        <f>IF(OR($A338="",$B338&lt;&gt;"tutar_farki"),"",IF(ABS($C338-$D338)&lt;=toleransKurus,"TYK-001",IF(ABS($C338-$E338)&lt;=toleransKurus,"TYK-002",IF(ABS($C338-$F338)&lt;=toleransKurus,"TYK-003",IF(ABS($C338-$G338)&lt;=toleransKurus,"TYK-004",IF(ABS($C338-$H338)&lt;=toleransKurus,"TYK-005","TANIMSIZ"))))))</f>
        <v/>
      </c>
    </row>
    <row r="339">
      <c r="A339" s="23">
        <f>IF('ESLESTIRME'!$A339="","",'ESLESTIRME'!$A339)</f>
        <v/>
      </c>
      <c r="B339" s="17">
        <f>IF($A339="","",IFERROR(INDEX(tblEslesme[Kova],MATCH($A339,tblEslesme[A_Norm],0)),""))</f>
        <v/>
      </c>
      <c r="C339" s="17">
        <f>IF($A339="","",IFERROR(INDEX(tblEslesme[AbsFark],MATCH($A339,tblEslesme[A_Norm],0)),0))</f>
        <v/>
      </c>
      <c r="D339" s="17">
        <f>IF($A339="","",IFERROR(SUMIF(tblMotor[A_Norm],$A339,tblMotor[KomisyonTutar]),0))</f>
        <v/>
      </c>
      <c r="E339" s="17">
        <f>IF($A339="","",IFERROR(SUMIF(tblMotor[A_Norm],$A339,tblMotor[TyPlus]),0))</f>
        <v/>
      </c>
      <c r="F339" s="17">
        <f>IF($A339="","",IFERROR(SUMIF(tblMotor[A_Norm],$A339,tblMotor[FlasKesinti]),0))</f>
        <v/>
      </c>
      <c r="G339" s="17">
        <f>IF($A339="","",IFERROR(SUMIF(tblMotor[A_Norm],$A339,tblMotor[UrunReklam]),0))</f>
        <v/>
      </c>
      <c r="H339" s="17">
        <f>IF($A339="","",IFERROR(SUMIF(tblMotor[A_Norm],$A339,tblMotor[DesiKargo]),0))</f>
        <v/>
      </c>
      <c r="I339" s="17">
        <f>IF(OR($A339="",$B339&lt;&gt;"tutar_farki"),"",IF(ABS($C339-$D339)&lt;=toleransKurus,"TYK-001",IF(ABS($C339-$E339)&lt;=toleransKurus,"TYK-002",IF(ABS($C339-$F339)&lt;=toleransKurus,"TYK-003",IF(ABS($C339-$G339)&lt;=toleransKurus,"TYK-004",IF(ABS($C339-$H339)&lt;=toleransKurus,"TYK-005","TANIMSIZ"))))))</f>
        <v/>
      </c>
    </row>
    <row r="340">
      <c r="A340" s="23">
        <f>IF('ESLESTIRME'!$A340="","",'ESLESTIRME'!$A340)</f>
        <v/>
      </c>
      <c r="B340" s="17">
        <f>IF($A340="","",IFERROR(INDEX(tblEslesme[Kova],MATCH($A340,tblEslesme[A_Norm],0)),""))</f>
        <v/>
      </c>
      <c r="C340" s="17">
        <f>IF($A340="","",IFERROR(INDEX(tblEslesme[AbsFark],MATCH($A340,tblEslesme[A_Norm],0)),0))</f>
        <v/>
      </c>
      <c r="D340" s="17">
        <f>IF($A340="","",IFERROR(SUMIF(tblMotor[A_Norm],$A340,tblMotor[KomisyonTutar]),0))</f>
        <v/>
      </c>
      <c r="E340" s="17">
        <f>IF($A340="","",IFERROR(SUMIF(tblMotor[A_Norm],$A340,tblMotor[TyPlus]),0))</f>
        <v/>
      </c>
      <c r="F340" s="17">
        <f>IF($A340="","",IFERROR(SUMIF(tblMotor[A_Norm],$A340,tblMotor[FlasKesinti]),0))</f>
        <v/>
      </c>
      <c r="G340" s="17">
        <f>IF($A340="","",IFERROR(SUMIF(tblMotor[A_Norm],$A340,tblMotor[UrunReklam]),0))</f>
        <v/>
      </c>
      <c r="H340" s="17">
        <f>IF($A340="","",IFERROR(SUMIF(tblMotor[A_Norm],$A340,tblMotor[DesiKargo]),0))</f>
        <v/>
      </c>
      <c r="I340" s="17">
        <f>IF(OR($A340="",$B340&lt;&gt;"tutar_farki"),"",IF(ABS($C340-$D340)&lt;=toleransKurus,"TYK-001",IF(ABS($C340-$E340)&lt;=toleransKurus,"TYK-002",IF(ABS($C340-$F340)&lt;=toleransKurus,"TYK-003",IF(ABS($C340-$G340)&lt;=toleransKurus,"TYK-004",IF(ABS($C340-$H340)&lt;=toleransKurus,"TYK-005","TANIMSIZ"))))))</f>
        <v/>
      </c>
    </row>
    <row r="341">
      <c r="A341" s="23">
        <f>IF('ESLESTIRME'!$A341="","",'ESLESTIRME'!$A341)</f>
        <v/>
      </c>
      <c r="B341" s="17">
        <f>IF($A341="","",IFERROR(INDEX(tblEslesme[Kova],MATCH($A341,tblEslesme[A_Norm],0)),""))</f>
        <v/>
      </c>
      <c r="C341" s="17">
        <f>IF($A341="","",IFERROR(INDEX(tblEslesme[AbsFark],MATCH($A341,tblEslesme[A_Norm],0)),0))</f>
        <v/>
      </c>
      <c r="D341" s="17">
        <f>IF($A341="","",IFERROR(SUMIF(tblMotor[A_Norm],$A341,tblMotor[KomisyonTutar]),0))</f>
        <v/>
      </c>
      <c r="E341" s="17">
        <f>IF($A341="","",IFERROR(SUMIF(tblMotor[A_Norm],$A341,tblMotor[TyPlus]),0))</f>
        <v/>
      </c>
      <c r="F341" s="17">
        <f>IF($A341="","",IFERROR(SUMIF(tblMotor[A_Norm],$A341,tblMotor[FlasKesinti]),0))</f>
        <v/>
      </c>
      <c r="G341" s="17">
        <f>IF($A341="","",IFERROR(SUMIF(tblMotor[A_Norm],$A341,tblMotor[UrunReklam]),0))</f>
        <v/>
      </c>
      <c r="H341" s="17">
        <f>IF($A341="","",IFERROR(SUMIF(tblMotor[A_Norm],$A341,tblMotor[DesiKargo]),0))</f>
        <v/>
      </c>
      <c r="I341" s="17">
        <f>IF(OR($A341="",$B341&lt;&gt;"tutar_farki"),"",IF(ABS($C341-$D341)&lt;=toleransKurus,"TYK-001",IF(ABS($C341-$E341)&lt;=toleransKurus,"TYK-002",IF(ABS($C341-$F341)&lt;=toleransKurus,"TYK-003",IF(ABS($C341-$G341)&lt;=toleransKurus,"TYK-004",IF(ABS($C341-$H341)&lt;=toleransKurus,"TYK-005","TANIMSIZ"))))))</f>
        <v/>
      </c>
    </row>
    <row r="342">
      <c r="A342" s="23">
        <f>IF('ESLESTIRME'!$A342="","",'ESLESTIRME'!$A342)</f>
        <v/>
      </c>
      <c r="B342" s="17">
        <f>IF($A342="","",IFERROR(INDEX(tblEslesme[Kova],MATCH($A342,tblEslesme[A_Norm],0)),""))</f>
        <v/>
      </c>
      <c r="C342" s="17">
        <f>IF($A342="","",IFERROR(INDEX(tblEslesme[AbsFark],MATCH($A342,tblEslesme[A_Norm],0)),0))</f>
        <v/>
      </c>
      <c r="D342" s="17">
        <f>IF($A342="","",IFERROR(SUMIF(tblMotor[A_Norm],$A342,tblMotor[KomisyonTutar]),0))</f>
        <v/>
      </c>
      <c r="E342" s="17">
        <f>IF($A342="","",IFERROR(SUMIF(tblMotor[A_Norm],$A342,tblMotor[TyPlus]),0))</f>
        <v/>
      </c>
      <c r="F342" s="17">
        <f>IF($A342="","",IFERROR(SUMIF(tblMotor[A_Norm],$A342,tblMotor[FlasKesinti]),0))</f>
        <v/>
      </c>
      <c r="G342" s="17">
        <f>IF($A342="","",IFERROR(SUMIF(tblMotor[A_Norm],$A342,tblMotor[UrunReklam]),0))</f>
        <v/>
      </c>
      <c r="H342" s="17">
        <f>IF($A342="","",IFERROR(SUMIF(tblMotor[A_Norm],$A342,tblMotor[DesiKargo]),0))</f>
        <v/>
      </c>
      <c r="I342" s="17">
        <f>IF(OR($A342="",$B342&lt;&gt;"tutar_farki"),"",IF(ABS($C342-$D342)&lt;=toleransKurus,"TYK-001",IF(ABS($C342-$E342)&lt;=toleransKurus,"TYK-002",IF(ABS($C342-$F342)&lt;=toleransKurus,"TYK-003",IF(ABS($C342-$G342)&lt;=toleransKurus,"TYK-004",IF(ABS($C342-$H342)&lt;=toleransKurus,"TYK-005","TANIMSIZ"))))))</f>
        <v/>
      </c>
    </row>
    <row r="343">
      <c r="A343" s="23">
        <f>IF('ESLESTIRME'!$A343="","",'ESLESTIRME'!$A343)</f>
        <v/>
      </c>
      <c r="B343" s="17">
        <f>IF($A343="","",IFERROR(INDEX(tblEslesme[Kova],MATCH($A343,tblEslesme[A_Norm],0)),""))</f>
        <v/>
      </c>
      <c r="C343" s="17">
        <f>IF($A343="","",IFERROR(INDEX(tblEslesme[AbsFark],MATCH($A343,tblEslesme[A_Norm],0)),0))</f>
        <v/>
      </c>
      <c r="D343" s="17">
        <f>IF($A343="","",IFERROR(SUMIF(tblMotor[A_Norm],$A343,tblMotor[KomisyonTutar]),0))</f>
        <v/>
      </c>
      <c r="E343" s="17">
        <f>IF($A343="","",IFERROR(SUMIF(tblMotor[A_Norm],$A343,tblMotor[TyPlus]),0))</f>
        <v/>
      </c>
      <c r="F343" s="17">
        <f>IF($A343="","",IFERROR(SUMIF(tblMotor[A_Norm],$A343,tblMotor[FlasKesinti]),0))</f>
        <v/>
      </c>
      <c r="G343" s="17">
        <f>IF($A343="","",IFERROR(SUMIF(tblMotor[A_Norm],$A343,tblMotor[UrunReklam]),0))</f>
        <v/>
      </c>
      <c r="H343" s="17">
        <f>IF($A343="","",IFERROR(SUMIF(tblMotor[A_Norm],$A343,tblMotor[DesiKargo]),0))</f>
        <v/>
      </c>
      <c r="I343" s="17">
        <f>IF(OR($A343="",$B343&lt;&gt;"tutar_farki"),"",IF(ABS($C343-$D343)&lt;=toleransKurus,"TYK-001",IF(ABS($C343-$E343)&lt;=toleransKurus,"TYK-002",IF(ABS($C343-$F343)&lt;=toleransKurus,"TYK-003",IF(ABS($C343-$G343)&lt;=toleransKurus,"TYK-004",IF(ABS($C343-$H343)&lt;=toleransKurus,"TYK-005","TANIMSIZ"))))))</f>
        <v/>
      </c>
    </row>
    <row r="344">
      <c r="A344" s="23">
        <f>IF('ESLESTIRME'!$A344="","",'ESLESTIRME'!$A344)</f>
        <v/>
      </c>
      <c r="B344" s="17">
        <f>IF($A344="","",IFERROR(INDEX(tblEslesme[Kova],MATCH($A344,tblEslesme[A_Norm],0)),""))</f>
        <v/>
      </c>
      <c r="C344" s="17">
        <f>IF($A344="","",IFERROR(INDEX(tblEslesme[AbsFark],MATCH($A344,tblEslesme[A_Norm],0)),0))</f>
        <v/>
      </c>
      <c r="D344" s="17">
        <f>IF($A344="","",IFERROR(SUMIF(tblMotor[A_Norm],$A344,tblMotor[KomisyonTutar]),0))</f>
        <v/>
      </c>
      <c r="E344" s="17">
        <f>IF($A344="","",IFERROR(SUMIF(tblMotor[A_Norm],$A344,tblMotor[TyPlus]),0))</f>
        <v/>
      </c>
      <c r="F344" s="17">
        <f>IF($A344="","",IFERROR(SUMIF(tblMotor[A_Norm],$A344,tblMotor[FlasKesinti]),0))</f>
        <v/>
      </c>
      <c r="G344" s="17">
        <f>IF($A344="","",IFERROR(SUMIF(tblMotor[A_Norm],$A344,tblMotor[UrunReklam]),0))</f>
        <v/>
      </c>
      <c r="H344" s="17">
        <f>IF($A344="","",IFERROR(SUMIF(tblMotor[A_Norm],$A344,tblMotor[DesiKargo]),0))</f>
        <v/>
      </c>
      <c r="I344" s="17">
        <f>IF(OR($A344="",$B344&lt;&gt;"tutar_farki"),"",IF(ABS($C344-$D344)&lt;=toleransKurus,"TYK-001",IF(ABS($C344-$E344)&lt;=toleransKurus,"TYK-002",IF(ABS($C344-$F344)&lt;=toleransKurus,"TYK-003",IF(ABS($C344-$G344)&lt;=toleransKurus,"TYK-004",IF(ABS($C344-$H344)&lt;=toleransKurus,"TYK-005","TANIMSIZ"))))))</f>
        <v/>
      </c>
    </row>
    <row r="345">
      <c r="A345" s="23">
        <f>IF('ESLESTIRME'!$A345="","",'ESLESTIRME'!$A345)</f>
        <v/>
      </c>
      <c r="B345" s="17">
        <f>IF($A345="","",IFERROR(INDEX(tblEslesme[Kova],MATCH($A345,tblEslesme[A_Norm],0)),""))</f>
        <v/>
      </c>
      <c r="C345" s="17">
        <f>IF($A345="","",IFERROR(INDEX(tblEslesme[AbsFark],MATCH($A345,tblEslesme[A_Norm],0)),0))</f>
        <v/>
      </c>
      <c r="D345" s="17">
        <f>IF($A345="","",IFERROR(SUMIF(tblMotor[A_Norm],$A345,tblMotor[KomisyonTutar]),0))</f>
        <v/>
      </c>
      <c r="E345" s="17">
        <f>IF($A345="","",IFERROR(SUMIF(tblMotor[A_Norm],$A345,tblMotor[TyPlus]),0))</f>
        <v/>
      </c>
      <c r="F345" s="17">
        <f>IF($A345="","",IFERROR(SUMIF(tblMotor[A_Norm],$A345,tblMotor[FlasKesinti]),0))</f>
        <v/>
      </c>
      <c r="G345" s="17">
        <f>IF($A345="","",IFERROR(SUMIF(tblMotor[A_Norm],$A345,tblMotor[UrunReklam]),0))</f>
        <v/>
      </c>
      <c r="H345" s="17">
        <f>IF($A345="","",IFERROR(SUMIF(tblMotor[A_Norm],$A345,tblMotor[DesiKargo]),0))</f>
        <v/>
      </c>
      <c r="I345" s="17">
        <f>IF(OR($A345="",$B345&lt;&gt;"tutar_farki"),"",IF(ABS($C345-$D345)&lt;=toleransKurus,"TYK-001",IF(ABS($C345-$E345)&lt;=toleransKurus,"TYK-002",IF(ABS($C345-$F345)&lt;=toleransKurus,"TYK-003",IF(ABS($C345-$G345)&lt;=toleransKurus,"TYK-004",IF(ABS($C345-$H345)&lt;=toleransKurus,"TYK-005","TANIMSIZ"))))))</f>
        <v/>
      </c>
    </row>
    <row r="346">
      <c r="A346" s="23">
        <f>IF('ESLESTIRME'!$A346="","",'ESLESTIRME'!$A346)</f>
        <v/>
      </c>
      <c r="B346" s="17">
        <f>IF($A346="","",IFERROR(INDEX(tblEslesme[Kova],MATCH($A346,tblEslesme[A_Norm],0)),""))</f>
        <v/>
      </c>
      <c r="C346" s="17">
        <f>IF($A346="","",IFERROR(INDEX(tblEslesme[AbsFark],MATCH($A346,tblEslesme[A_Norm],0)),0))</f>
        <v/>
      </c>
      <c r="D346" s="17">
        <f>IF($A346="","",IFERROR(SUMIF(tblMotor[A_Norm],$A346,tblMotor[KomisyonTutar]),0))</f>
        <v/>
      </c>
      <c r="E346" s="17">
        <f>IF($A346="","",IFERROR(SUMIF(tblMotor[A_Norm],$A346,tblMotor[TyPlus]),0))</f>
        <v/>
      </c>
      <c r="F346" s="17">
        <f>IF($A346="","",IFERROR(SUMIF(tblMotor[A_Norm],$A346,tblMotor[FlasKesinti]),0))</f>
        <v/>
      </c>
      <c r="G346" s="17">
        <f>IF($A346="","",IFERROR(SUMIF(tblMotor[A_Norm],$A346,tblMotor[UrunReklam]),0))</f>
        <v/>
      </c>
      <c r="H346" s="17">
        <f>IF($A346="","",IFERROR(SUMIF(tblMotor[A_Norm],$A346,tblMotor[DesiKargo]),0))</f>
        <v/>
      </c>
      <c r="I346" s="17">
        <f>IF(OR($A346="",$B346&lt;&gt;"tutar_farki"),"",IF(ABS($C346-$D346)&lt;=toleransKurus,"TYK-001",IF(ABS($C346-$E346)&lt;=toleransKurus,"TYK-002",IF(ABS($C346-$F346)&lt;=toleransKurus,"TYK-003",IF(ABS($C346-$G346)&lt;=toleransKurus,"TYK-004",IF(ABS($C346-$H346)&lt;=toleransKurus,"TYK-005","TANIMSIZ"))))))</f>
        <v/>
      </c>
    </row>
    <row r="347">
      <c r="A347" s="23">
        <f>IF('ESLESTIRME'!$A347="","",'ESLESTIRME'!$A347)</f>
        <v/>
      </c>
      <c r="B347" s="17">
        <f>IF($A347="","",IFERROR(INDEX(tblEslesme[Kova],MATCH($A347,tblEslesme[A_Norm],0)),""))</f>
        <v/>
      </c>
      <c r="C347" s="17">
        <f>IF($A347="","",IFERROR(INDEX(tblEslesme[AbsFark],MATCH($A347,tblEslesme[A_Norm],0)),0))</f>
        <v/>
      </c>
      <c r="D347" s="17">
        <f>IF($A347="","",IFERROR(SUMIF(tblMotor[A_Norm],$A347,tblMotor[KomisyonTutar]),0))</f>
        <v/>
      </c>
      <c r="E347" s="17">
        <f>IF($A347="","",IFERROR(SUMIF(tblMotor[A_Norm],$A347,tblMotor[TyPlus]),0))</f>
        <v/>
      </c>
      <c r="F347" s="17">
        <f>IF($A347="","",IFERROR(SUMIF(tblMotor[A_Norm],$A347,tblMotor[FlasKesinti]),0))</f>
        <v/>
      </c>
      <c r="G347" s="17">
        <f>IF($A347="","",IFERROR(SUMIF(tblMotor[A_Norm],$A347,tblMotor[UrunReklam]),0))</f>
        <v/>
      </c>
      <c r="H347" s="17">
        <f>IF($A347="","",IFERROR(SUMIF(tblMotor[A_Norm],$A347,tblMotor[DesiKargo]),0))</f>
        <v/>
      </c>
      <c r="I347" s="17">
        <f>IF(OR($A347="",$B347&lt;&gt;"tutar_farki"),"",IF(ABS($C347-$D347)&lt;=toleransKurus,"TYK-001",IF(ABS($C347-$E347)&lt;=toleransKurus,"TYK-002",IF(ABS($C347-$F347)&lt;=toleransKurus,"TYK-003",IF(ABS($C347-$G347)&lt;=toleransKurus,"TYK-004",IF(ABS($C347-$H347)&lt;=toleransKurus,"TYK-005","TANIMSIZ"))))))</f>
        <v/>
      </c>
    </row>
    <row r="348">
      <c r="A348" s="23">
        <f>IF('ESLESTIRME'!$A348="","",'ESLESTIRME'!$A348)</f>
        <v/>
      </c>
      <c r="B348" s="17">
        <f>IF($A348="","",IFERROR(INDEX(tblEslesme[Kova],MATCH($A348,tblEslesme[A_Norm],0)),""))</f>
        <v/>
      </c>
      <c r="C348" s="17">
        <f>IF($A348="","",IFERROR(INDEX(tblEslesme[AbsFark],MATCH($A348,tblEslesme[A_Norm],0)),0))</f>
        <v/>
      </c>
      <c r="D348" s="17">
        <f>IF($A348="","",IFERROR(SUMIF(tblMotor[A_Norm],$A348,tblMotor[KomisyonTutar]),0))</f>
        <v/>
      </c>
      <c r="E348" s="17">
        <f>IF($A348="","",IFERROR(SUMIF(tblMotor[A_Norm],$A348,tblMotor[TyPlus]),0))</f>
        <v/>
      </c>
      <c r="F348" s="17">
        <f>IF($A348="","",IFERROR(SUMIF(tblMotor[A_Norm],$A348,tblMotor[FlasKesinti]),0))</f>
        <v/>
      </c>
      <c r="G348" s="17">
        <f>IF($A348="","",IFERROR(SUMIF(tblMotor[A_Norm],$A348,tblMotor[UrunReklam]),0))</f>
        <v/>
      </c>
      <c r="H348" s="17">
        <f>IF($A348="","",IFERROR(SUMIF(tblMotor[A_Norm],$A348,tblMotor[DesiKargo]),0))</f>
        <v/>
      </c>
      <c r="I348" s="17">
        <f>IF(OR($A348="",$B348&lt;&gt;"tutar_farki"),"",IF(ABS($C348-$D348)&lt;=toleransKurus,"TYK-001",IF(ABS($C348-$E348)&lt;=toleransKurus,"TYK-002",IF(ABS($C348-$F348)&lt;=toleransKurus,"TYK-003",IF(ABS($C348-$G348)&lt;=toleransKurus,"TYK-004",IF(ABS($C348-$H348)&lt;=toleransKurus,"TYK-005","TANIMSIZ"))))))</f>
        <v/>
      </c>
    </row>
    <row r="349">
      <c r="A349" s="23">
        <f>IF('ESLESTIRME'!$A349="","",'ESLESTIRME'!$A349)</f>
        <v/>
      </c>
      <c r="B349" s="17">
        <f>IF($A349="","",IFERROR(INDEX(tblEslesme[Kova],MATCH($A349,tblEslesme[A_Norm],0)),""))</f>
        <v/>
      </c>
      <c r="C349" s="17">
        <f>IF($A349="","",IFERROR(INDEX(tblEslesme[AbsFark],MATCH($A349,tblEslesme[A_Norm],0)),0))</f>
        <v/>
      </c>
      <c r="D349" s="17">
        <f>IF($A349="","",IFERROR(SUMIF(tblMotor[A_Norm],$A349,tblMotor[KomisyonTutar]),0))</f>
        <v/>
      </c>
      <c r="E349" s="17">
        <f>IF($A349="","",IFERROR(SUMIF(tblMotor[A_Norm],$A349,tblMotor[TyPlus]),0))</f>
        <v/>
      </c>
      <c r="F349" s="17">
        <f>IF($A349="","",IFERROR(SUMIF(tblMotor[A_Norm],$A349,tblMotor[FlasKesinti]),0))</f>
        <v/>
      </c>
      <c r="G349" s="17">
        <f>IF($A349="","",IFERROR(SUMIF(tblMotor[A_Norm],$A349,tblMotor[UrunReklam]),0))</f>
        <v/>
      </c>
      <c r="H349" s="17">
        <f>IF($A349="","",IFERROR(SUMIF(tblMotor[A_Norm],$A349,tblMotor[DesiKargo]),0))</f>
        <v/>
      </c>
      <c r="I349" s="17">
        <f>IF(OR($A349="",$B349&lt;&gt;"tutar_farki"),"",IF(ABS($C349-$D349)&lt;=toleransKurus,"TYK-001",IF(ABS($C349-$E349)&lt;=toleransKurus,"TYK-002",IF(ABS($C349-$F349)&lt;=toleransKurus,"TYK-003",IF(ABS($C349-$G349)&lt;=toleransKurus,"TYK-004",IF(ABS($C349-$H349)&lt;=toleransKurus,"TYK-005","TANIMSIZ"))))))</f>
        <v/>
      </c>
    </row>
    <row r="350">
      <c r="A350" s="23">
        <f>IF('ESLESTIRME'!$A350="","",'ESLESTIRME'!$A350)</f>
        <v/>
      </c>
      <c r="B350" s="17">
        <f>IF($A350="","",IFERROR(INDEX(tblEslesme[Kova],MATCH($A350,tblEslesme[A_Norm],0)),""))</f>
        <v/>
      </c>
      <c r="C350" s="17">
        <f>IF($A350="","",IFERROR(INDEX(tblEslesme[AbsFark],MATCH($A350,tblEslesme[A_Norm],0)),0))</f>
        <v/>
      </c>
      <c r="D350" s="17">
        <f>IF($A350="","",IFERROR(SUMIF(tblMotor[A_Norm],$A350,tblMotor[KomisyonTutar]),0))</f>
        <v/>
      </c>
      <c r="E350" s="17">
        <f>IF($A350="","",IFERROR(SUMIF(tblMotor[A_Norm],$A350,tblMotor[TyPlus]),0))</f>
        <v/>
      </c>
      <c r="F350" s="17">
        <f>IF($A350="","",IFERROR(SUMIF(tblMotor[A_Norm],$A350,tblMotor[FlasKesinti]),0))</f>
        <v/>
      </c>
      <c r="G350" s="17">
        <f>IF($A350="","",IFERROR(SUMIF(tblMotor[A_Norm],$A350,tblMotor[UrunReklam]),0))</f>
        <v/>
      </c>
      <c r="H350" s="17">
        <f>IF($A350="","",IFERROR(SUMIF(tblMotor[A_Norm],$A350,tblMotor[DesiKargo]),0))</f>
        <v/>
      </c>
      <c r="I350" s="17">
        <f>IF(OR($A350="",$B350&lt;&gt;"tutar_farki"),"",IF(ABS($C350-$D350)&lt;=toleransKurus,"TYK-001",IF(ABS($C350-$E350)&lt;=toleransKurus,"TYK-002",IF(ABS($C350-$F350)&lt;=toleransKurus,"TYK-003",IF(ABS($C350-$G350)&lt;=toleransKurus,"TYK-004",IF(ABS($C350-$H350)&lt;=toleransKurus,"TYK-005","TANIMSIZ"))))))</f>
        <v/>
      </c>
    </row>
    <row r="351">
      <c r="A351" s="23">
        <f>IF('ESLESTIRME'!$A351="","",'ESLESTIRME'!$A351)</f>
        <v/>
      </c>
      <c r="B351" s="17">
        <f>IF($A351="","",IFERROR(INDEX(tblEslesme[Kova],MATCH($A351,tblEslesme[A_Norm],0)),""))</f>
        <v/>
      </c>
      <c r="C351" s="17">
        <f>IF($A351="","",IFERROR(INDEX(tblEslesme[AbsFark],MATCH($A351,tblEslesme[A_Norm],0)),0))</f>
        <v/>
      </c>
      <c r="D351" s="17">
        <f>IF($A351="","",IFERROR(SUMIF(tblMotor[A_Norm],$A351,tblMotor[KomisyonTutar]),0))</f>
        <v/>
      </c>
      <c r="E351" s="17">
        <f>IF($A351="","",IFERROR(SUMIF(tblMotor[A_Norm],$A351,tblMotor[TyPlus]),0))</f>
        <v/>
      </c>
      <c r="F351" s="17">
        <f>IF($A351="","",IFERROR(SUMIF(tblMotor[A_Norm],$A351,tblMotor[FlasKesinti]),0))</f>
        <v/>
      </c>
      <c r="G351" s="17">
        <f>IF($A351="","",IFERROR(SUMIF(tblMotor[A_Norm],$A351,tblMotor[UrunReklam]),0))</f>
        <v/>
      </c>
      <c r="H351" s="17">
        <f>IF($A351="","",IFERROR(SUMIF(tblMotor[A_Norm],$A351,tblMotor[DesiKargo]),0))</f>
        <v/>
      </c>
      <c r="I351" s="17">
        <f>IF(OR($A351="",$B351&lt;&gt;"tutar_farki"),"",IF(ABS($C351-$D351)&lt;=toleransKurus,"TYK-001",IF(ABS($C351-$E351)&lt;=toleransKurus,"TYK-002",IF(ABS($C351-$F351)&lt;=toleransKurus,"TYK-003",IF(ABS($C351-$G351)&lt;=toleransKurus,"TYK-004",IF(ABS($C351-$H351)&lt;=toleransKurus,"TYK-005","TANIMSIZ"))))))</f>
        <v/>
      </c>
    </row>
    <row r="352">
      <c r="A352" s="23">
        <f>IF('ESLESTIRME'!$A352="","",'ESLESTIRME'!$A352)</f>
        <v/>
      </c>
      <c r="B352" s="17">
        <f>IF($A352="","",IFERROR(INDEX(tblEslesme[Kova],MATCH($A352,tblEslesme[A_Norm],0)),""))</f>
        <v/>
      </c>
      <c r="C352" s="17">
        <f>IF($A352="","",IFERROR(INDEX(tblEslesme[AbsFark],MATCH($A352,tblEslesme[A_Norm],0)),0))</f>
        <v/>
      </c>
      <c r="D352" s="17">
        <f>IF($A352="","",IFERROR(SUMIF(tblMotor[A_Norm],$A352,tblMotor[KomisyonTutar]),0))</f>
        <v/>
      </c>
      <c r="E352" s="17">
        <f>IF($A352="","",IFERROR(SUMIF(tblMotor[A_Norm],$A352,tblMotor[TyPlus]),0))</f>
        <v/>
      </c>
      <c r="F352" s="17">
        <f>IF($A352="","",IFERROR(SUMIF(tblMotor[A_Norm],$A352,tblMotor[FlasKesinti]),0))</f>
        <v/>
      </c>
      <c r="G352" s="17">
        <f>IF($A352="","",IFERROR(SUMIF(tblMotor[A_Norm],$A352,tblMotor[UrunReklam]),0))</f>
        <v/>
      </c>
      <c r="H352" s="17">
        <f>IF($A352="","",IFERROR(SUMIF(tblMotor[A_Norm],$A352,tblMotor[DesiKargo]),0))</f>
        <v/>
      </c>
      <c r="I352" s="17">
        <f>IF(OR($A352="",$B352&lt;&gt;"tutar_farki"),"",IF(ABS($C352-$D352)&lt;=toleransKurus,"TYK-001",IF(ABS($C352-$E352)&lt;=toleransKurus,"TYK-002",IF(ABS($C352-$F352)&lt;=toleransKurus,"TYK-003",IF(ABS($C352-$G352)&lt;=toleransKurus,"TYK-004",IF(ABS($C352-$H352)&lt;=toleransKurus,"TYK-005","TANIMSIZ"))))))</f>
        <v/>
      </c>
    </row>
    <row r="353">
      <c r="A353" s="23">
        <f>IF('ESLESTIRME'!$A353="","",'ESLESTIRME'!$A353)</f>
        <v/>
      </c>
      <c r="B353" s="17">
        <f>IF($A353="","",IFERROR(INDEX(tblEslesme[Kova],MATCH($A353,tblEslesme[A_Norm],0)),""))</f>
        <v/>
      </c>
      <c r="C353" s="17">
        <f>IF($A353="","",IFERROR(INDEX(tblEslesme[AbsFark],MATCH($A353,tblEslesme[A_Norm],0)),0))</f>
        <v/>
      </c>
      <c r="D353" s="17">
        <f>IF($A353="","",IFERROR(SUMIF(tblMotor[A_Norm],$A353,tblMotor[KomisyonTutar]),0))</f>
        <v/>
      </c>
      <c r="E353" s="17">
        <f>IF($A353="","",IFERROR(SUMIF(tblMotor[A_Norm],$A353,tblMotor[TyPlus]),0))</f>
        <v/>
      </c>
      <c r="F353" s="17">
        <f>IF($A353="","",IFERROR(SUMIF(tblMotor[A_Norm],$A353,tblMotor[FlasKesinti]),0))</f>
        <v/>
      </c>
      <c r="G353" s="17">
        <f>IF($A353="","",IFERROR(SUMIF(tblMotor[A_Norm],$A353,tblMotor[UrunReklam]),0))</f>
        <v/>
      </c>
      <c r="H353" s="17">
        <f>IF($A353="","",IFERROR(SUMIF(tblMotor[A_Norm],$A353,tblMotor[DesiKargo]),0))</f>
        <v/>
      </c>
      <c r="I353" s="17">
        <f>IF(OR($A353="",$B353&lt;&gt;"tutar_farki"),"",IF(ABS($C353-$D353)&lt;=toleransKurus,"TYK-001",IF(ABS($C353-$E353)&lt;=toleransKurus,"TYK-002",IF(ABS($C353-$F353)&lt;=toleransKurus,"TYK-003",IF(ABS($C353-$G353)&lt;=toleransKurus,"TYK-004",IF(ABS($C353-$H353)&lt;=toleransKurus,"TYK-005","TANIMSIZ"))))))</f>
        <v/>
      </c>
    </row>
    <row r="354">
      <c r="A354" s="23">
        <f>IF('ESLESTIRME'!$A354="","",'ESLESTIRME'!$A354)</f>
        <v/>
      </c>
      <c r="B354" s="17">
        <f>IF($A354="","",IFERROR(INDEX(tblEslesme[Kova],MATCH($A354,tblEslesme[A_Norm],0)),""))</f>
        <v/>
      </c>
      <c r="C354" s="17">
        <f>IF($A354="","",IFERROR(INDEX(tblEslesme[AbsFark],MATCH($A354,tblEslesme[A_Norm],0)),0))</f>
        <v/>
      </c>
      <c r="D354" s="17">
        <f>IF($A354="","",IFERROR(SUMIF(tblMotor[A_Norm],$A354,tblMotor[KomisyonTutar]),0))</f>
        <v/>
      </c>
      <c r="E354" s="17">
        <f>IF($A354="","",IFERROR(SUMIF(tblMotor[A_Norm],$A354,tblMotor[TyPlus]),0))</f>
        <v/>
      </c>
      <c r="F354" s="17">
        <f>IF($A354="","",IFERROR(SUMIF(tblMotor[A_Norm],$A354,tblMotor[FlasKesinti]),0))</f>
        <v/>
      </c>
      <c r="G354" s="17">
        <f>IF($A354="","",IFERROR(SUMIF(tblMotor[A_Norm],$A354,tblMotor[UrunReklam]),0))</f>
        <v/>
      </c>
      <c r="H354" s="17">
        <f>IF($A354="","",IFERROR(SUMIF(tblMotor[A_Norm],$A354,tblMotor[DesiKargo]),0))</f>
        <v/>
      </c>
      <c r="I354" s="17">
        <f>IF(OR($A354="",$B354&lt;&gt;"tutar_farki"),"",IF(ABS($C354-$D354)&lt;=toleransKurus,"TYK-001",IF(ABS($C354-$E354)&lt;=toleransKurus,"TYK-002",IF(ABS($C354-$F354)&lt;=toleransKurus,"TYK-003",IF(ABS($C354-$G354)&lt;=toleransKurus,"TYK-004",IF(ABS($C354-$H354)&lt;=toleransKurus,"TYK-005","TANIMSIZ"))))))</f>
        <v/>
      </c>
    </row>
    <row r="355">
      <c r="A355" s="23">
        <f>IF('ESLESTIRME'!$A355="","",'ESLESTIRME'!$A355)</f>
        <v/>
      </c>
      <c r="B355" s="17">
        <f>IF($A355="","",IFERROR(INDEX(tblEslesme[Kova],MATCH($A355,tblEslesme[A_Norm],0)),""))</f>
        <v/>
      </c>
      <c r="C355" s="17">
        <f>IF($A355="","",IFERROR(INDEX(tblEslesme[AbsFark],MATCH($A355,tblEslesme[A_Norm],0)),0))</f>
        <v/>
      </c>
      <c r="D355" s="17">
        <f>IF($A355="","",IFERROR(SUMIF(tblMotor[A_Norm],$A355,tblMotor[KomisyonTutar]),0))</f>
        <v/>
      </c>
      <c r="E355" s="17">
        <f>IF($A355="","",IFERROR(SUMIF(tblMotor[A_Norm],$A355,tblMotor[TyPlus]),0))</f>
        <v/>
      </c>
      <c r="F355" s="17">
        <f>IF($A355="","",IFERROR(SUMIF(tblMotor[A_Norm],$A355,tblMotor[FlasKesinti]),0))</f>
        <v/>
      </c>
      <c r="G355" s="17">
        <f>IF($A355="","",IFERROR(SUMIF(tblMotor[A_Norm],$A355,tblMotor[UrunReklam]),0))</f>
        <v/>
      </c>
      <c r="H355" s="17">
        <f>IF($A355="","",IFERROR(SUMIF(tblMotor[A_Norm],$A355,tblMotor[DesiKargo]),0))</f>
        <v/>
      </c>
      <c r="I355" s="17">
        <f>IF(OR($A355="",$B355&lt;&gt;"tutar_farki"),"",IF(ABS($C355-$D355)&lt;=toleransKurus,"TYK-001",IF(ABS($C355-$E355)&lt;=toleransKurus,"TYK-002",IF(ABS($C355-$F355)&lt;=toleransKurus,"TYK-003",IF(ABS($C355-$G355)&lt;=toleransKurus,"TYK-004",IF(ABS($C355-$H355)&lt;=toleransKurus,"TYK-005","TANIMSIZ"))))))</f>
        <v/>
      </c>
    </row>
    <row r="356">
      <c r="A356" s="23">
        <f>IF('ESLESTIRME'!$A356="","",'ESLESTIRME'!$A356)</f>
        <v/>
      </c>
      <c r="B356" s="17">
        <f>IF($A356="","",IFERROR(INDEX(tblEslesme[Kova],MATCH($A356,tblEslesme[A_Norm],0)),""))</f>
        <v/>
      </c>
      <c r="C356" s="17">
        <f>IF($A356="","",IFERROR(INDEX(tblEslesme[AbsFark],MATCH($A356,tblEslesme[A_Norm],0)),0))</f>
        <v/>
      </c>
      <c r="D356" s="17">
        <f>IF($A356="","",IFERROR(SUMIF(tblMotor[A_Norm],$A356,tblMotor[KomisyonTutar]),0))</f>
        <v/>
      </c>
      <c r="E356" s="17">
        <f>IF($A356="","",IFERROR(SUMIF(tblMotor[A_Norm],$A356,tblMotor[TyPlus]),0))</f>
        <v/>
      </c>
      <c r="F356" s="17">
        <f>IF($A356="","",IFERROR(SUMIF(tblMotor[A_Norm],$A356,tblMotor[FlasKesinti]),0))</f>
        <v/>
      </c>
      <c r="G356" s="17">
        <f>IF($A356="","",IFERROR(SUMIF(tblMotor[A_Norm],$A356,tblMotor[UrunReklam]),0))</f>
        <v/>
      </c>
      <c r="H356" s="17">
        <f>IF($A356="","",IFERROR(SUMIF(tblMotor[A_Norm],$A356,tblMotor[DesiKargo]),0))</f>
        <v/>
      </c>
      <c r="I356" s="17">
        <f>IF(OR($A356="",$B356&lt;&gt;"tutar_farki"),"",IF(ABS($C356-$D356)&lt;=toleransKurus,"TYK-001",IF(ABS($C356-$E356)&lt;=toleransKurus,"TYK-002",IF(ABS($C356-$F356)&lt;=toleransKurus,"TYK-003",IF(ABS($C356-$G356)&lt;=toleransKurus,"TYK-004",IF(ABS($C356-$H356)&lt;=toleransKurus,"TYK-005","TANIMSIZ"))))))</f>
        <v/>
      </c>
    </row>
    <row r="357">
      <c r="A357" s="23">
        <f>IF('ESLESTIRME'!$A357="","",'ESLESTIRME'!$A357)</f>
        <v/>
      </c>
      <c r="B357" s="17">
        <f>IF($A357="","",IFERROR(INDEX(tblEslesme[Kova],MATCH($A357,tblEslesme[A_Norm],0)),""))</f>
        <v/>
      </c>
      <c r="C357" s="17">
        <f>IF($A357="","",IFERROR(INDEX(tblEslesme[AbsFark],MATCH($A357,tblEslesme[A_Norm],0)),0))</f>
        <v/>
      </c>
      <c r="D357" s="17">
        <f>IF($A357="","",IFERROR(SUMIF(tblMotor[A_Norm],$A357,tblMotor[KomisyonTutar]),0))</f>
        <v/>
      </c>
      <c r="E357" s="17">
        <f>IF($A357="","",IFERROR(SUMIF(tblMotor[A_Norm],$A357,tblMotor[TyPlus]),0))</f>
        <v/>
      </c>
      <c r="F357" s="17">
        <f>IF($A357="","",IFERROR(SUMIF(tblMotor[A_Norm],$A357,tblMotor[FlasKesinti]),0))</f>
        <v/>
      </c>
      <c r="G357" s="17">
        <f>IF($A357="","",IFERROR(SUMIF(tblMotor[A_Norm],$A357,tblMotor[UrunReklam]),0))</f>
        <v/>
      </c>
      <c r="H357" s="17">
        <f>IF($A357="","",IFERROR(SUMIF(tblMotor[A_Norm],$A357,tblMotor[DesiKargo]),0))</f>
        <v/>
      </c>
      <c r="I357" s="17">
        <f>IF(OR($A357="",$B357&lt;&gt;"tutar_farki"),"",IF(ABS($C357-$D357)&lt;=toleransKurus,"TYK-001",IF(ABS($C357-$E357)&lt;=toleransKurus,"TYK-002",IF(ABS($C357-$F357)&lt;=toleransKurus,"TYK-003",IF(ABS($C357-$G357)&lt;=toleransKurus,"TYK-004",IF(ABS($C357-$H357)&lt;=toleransKurus,"TYK-005","TANIMSIZ"))))))</f>
        <v/>
      </c>
    </row>
    <row r="358">
      <c r="A358" s="23">
        <f>IF('ESLESTIRME'!$A358="","",'ESLESTIRME'!$A358)</f>
        <v/>
      </c>
      <c r="B358" s="17">
        <f>IF($A358="","",IFERROR(INDEX(tblEslesme[Kova],MATCH($A358,tblEslesme[A_Norm],0)),""))</f>
        <v/>
      </c>
      <c r="C358" s="17">
        <f>IF($A358="","",IFERROR(INDEX(tblEslesme[AbsFark],MATCH($A358,tblEslesme[A_Norm],0)),0))</f>
        <v/>
      </c>
      <c r="D358" s="17">
        <f>IF($A358="","",IFERROR(SUMIF(tblMotor[A_Norm],$A358,tblMotor[KomisyonTutar]),0))</f>
        <v/>
      </c>
      <c r="E358" s="17">
        <f>IF($A358="","",IFERROR(SUMIF(tblMotor[A_Norm],$A358,tblMotor[TyPlus]),0))</f>
        <v/>
      </c>
      <c r="F358" s="17">
        <f>IF($A358="","",IFERROR(SUMIF(tblMotor[A_Norm],$A358,tblMotor[FlasKesinti]),0))</f>
        <v/>
      </c>
      <c r="G358" s="17">
        <f>IF($A358="","",IFERROR(SUMIF(tblMotor[A_Norm],$A358,tblMotor[UrunReklam]),0))</f>
        <v/>
      </c>
      <c r="H358" s="17">
        <f>IF($A358="","",IFERROR(SUMIF(tblMotor[A_Norm],$A358,tblMotor[DesiKargo]),0))</f>
        <v/>
      </c>
      <c r="I358" s="17">
        <f>IF(OR($A358="",$B358&lt;&gt;"tutar_farki"),"",IF(ABS($C358-$D358)&lt;=toleransKurus,"TYK-001",IF(ABS($C358-$E358)&lt;=toleransKurus,"TYK-002",IF(ABS($C358-$F358)&lt;=toleransKurus,"TYK-003",IF(ABS($C358-$G358)&lt;=toleransKurus,"TYK-004",IF(ABS($C358-$H358)&lt;=toleransKurus,"TYK-005","TANIMSIZ"))))))</f>
        <v/>
      </c>
    </row>
    <row r="359">
      <c r="A359" s="23">
        <f>IF('ESLESTIRME'!$A359="","",'ESLESTIRME'!$A359)</f>
        <v/>
      </c>
      <c r="B359" s="17">
        <f>IF($A359="","",IFERROR(INDEX(tblEslesme[Kova],MATCH($A359,tblEslesme[A_Norm],0)),""))</f>
        <v/>
      </c>
      <c r="C359" s="17">
        <f>IF($A359="","",IFERROR(INDEX(tblEslesme[AbsFark],MATCH($A359,tblEslesme[A_Norm],0)),0))</f>
        <v/>
      </c>
      <c r="D359" s="17">
        <f>IF($A359="","",IFERROR(SUMIF(tblMotor[A_Norm],$A359,tblMotor[KomisyonTutar]),0))</f>
        <v/>
      </c>
      <c r="E359" s="17">
        <f>IF($A359="","",IFERROR(SUMIF(tblMotor[A_Norm],$A359,tblMotor[TyPlus]),0))</f>
        <v/>
      </c>
      <c r="F359" s="17">
        <f>IF($A359="","",IFERROR(SUMIF(tblMotor[A_Norm],$A359,tblMotor[FlasKesinti]),0))</f>
        <v/>
      </c>
      <c r="G359" s="17">
        <f>IF($A359="","",IFERROR(SUMIF(tblMotor[A_Norm],$A359,tblMotor[UrunReklam]),0))</f>
        <v/>
      </c>
      <c r="H359" s="17">
        <f>IF($A359="","",IFERROR(SUMIF(tblMotor[A_Norm],$A359,tblMotor[DesiKargo]),0))</f>
        <v/>
      </c>
      <c r="I359" s="17">
        <f>IF(OR($A359="",$B359&lt;&gt;"tutar_farki"),"",IF(ABS($C359-$D359)&lt;=toleransKurus,"TYK-001",IF(ABS($C359-$E359)&lt;=toleransKurus,"TYK-002",IF(ABS($C359-$F359)&lt;=toleransKurus,"TYK-003",IF(ABS($C359-$G359)&lt;=toleransKurus,"TYK-004",IF(ABS($C359-$H359)&lt;=toleransKurus,"TYK-005","TANIMSIZ"))))))</f>
        <v/>
      </c>
    </row>
    <row r="360">
      <c r="A360" s="23">
        <f>IF('ESLESTIRME'!$A360="","",'ESLESTIRME'!$A360)</f>
        <v/>
      </c>
      <c r="B360" s="17">
        <f>IF($A360="","",IFERROR(INDEX(tblEslesme[Kova],MATCH($A360,tblEslesme[A_Norm],0)),""))</f>
        <v/>
      </c>
      <c r="C360" s="17">
        <f>IF($A360="","",IFERROR(INDEX(tblEslesme[AbsFark],MATCH($A360,tblEslesme[A_Norm],0)),0))</f>
        <v/>
      </c>
      <c r="D360" s="17">
        <f>IF($A360="","",IFERROR(SUMIF(tblMotor[A_Norm],$A360,tblMotor[KomisyonTutar]),0))</f>
        <v/>
      </c>
      <c r="E360" s="17">
        <f>IF($A360="","",IFERROR(SUMIF(tblMotor[A_Norm],$A360,tblMotor[TyPlus]),0))</f>
        <v/>
      </c>
      <c r="F360" s="17">
        <f>IF($A360="","",IFERROR(SUMIF(tblMotor[A_Norm],$A360,tblMotor[FlasKesinti]),0))</f>
        <v/>
      </c>
      <c r="G360" s="17">
        <f>IF($A360="","",IFERROR(SUMIF(tblMotor[A_Norm],$A360,tblMotor[UrunReklam]),0))</f>
        <v/>
      </c>
      <c r="H360" s="17">
        <f>IF($A360="","",IFERROR(SUMIF(tblMotor[A_Norm],$A360,tblMotor[DesiKargo]),0))</f>
        <v/>
      </c>
      <c r="I360" s="17">
        <f>IF(OR($A360="",$B360&lt;&gt;"tutar_farki"),"",IF(ABS($C360-$D360)&lt;=toleransKurus,"TYK-001",IF(ABS($C360-$E360)&lt;=toleransKurus,"TYK-002",IF(ABS($C360-$F360)&lt;=toleransKurus,"TYK-003",IF(ABS($C360-$G360)&lt;=toleransKurus,"TYK-004",IF(ABS($C360-$H360)&lt;=toleransKurus,"TYK-005","TANIMSIZ"))))))</f>
        <v/>
      </c>
    </row>
    <row r="361">
      <c r="A361" s="23">
        <f>IF('ESLESTIRME'!$A361="","",'ESLESTIRME'!$A361)</f>
        <v/>
      </c>
      <c r="B361" s="17">
        <f>IF($A361="","",IFERROR(INDEX(tblEslesme[Kova],MATCH($A361,tblEslesme[A_Norm],0)),""))</f>
        <v/>
      </c>
      <c r="C361" s="17">
        <f>IF($A361="","",IFERROR(INDEX(tblEslesme[AbsFark],MATCH($A361,tblEslesme[A_Norm],0)),0))</f>
        <v/>
      </c>
      <c r="D361" s="17">
        <f>IF($A361="","",IFERROR(SUMIF(tblMotor[A_Norm],$A361,tblMotor[KomisyonTutar]),0))</f>
        <v/>
      </c>
      <c r="E361" s="17">
        <f>IF($A361="","",IFERROR(SUMIF(tblMotor[A_Norm],$A361,tblMotor[TyPlus]),0))</f>
        <v/>
      </c>
      <c r="F361" s="17">
        <f>IF($A361="","",IFERROR(SUMIF(tblMotor[A_Norm],$A361,tblMotor[FlasKesinti]),0))</f>
        <v/>
      </c>
      <c r="G361" s="17">
        <f>IF($A361="","",IFERROR(SUMIF(tblMotor[A_Norm],$A361,tblMotor[UrunReklam]),0))</f>
        <v/>
      </c>
      <c r="H361" s="17">
        <f>IF($A361="","",IFERROR(SUMIF(tblMotor[A_Norm],$A361,tblMotor[DesiKargo]),0))</f>
        <v/>
      </c>
      <c r="I361" s="17">
        <f>IF(OR($A361="",$B361&lt;&gt;"tutar_farki"),"",IF(ABS($C361-$D361)&lt;=toleransKurus,"TYK-001",IF(ABS($C361-$E361)&lt;=toleransKurus,"TYK-002",IF(ABS($C361-$F361)&lt;=toleransKurus,"TYK-003",IF(ABS($C361-$G361)&lt;=toleransKurus,"TYK-004",IF(ABS($C361-$H361)&lt;=toleransKurus,"TYK-005","TANIMSIZ"))))))</f>
        <v/>
      </c>
    </row>
    <row r="362">
      <c r="A362" s="23">
        <f>IF('ESLESTIRME'!$A362="","",'ESLESTIRME'!$A362)</f>
        <v/>
      </c>
      <c r="B362" s="17">
        <f>IF($A362="","",IFERROR(INDEX(tblEslesme[Kova],MATCH($A362,tblEslesme[A_Norm],0)),""))</f>
        <v/>
      </c>
      <c r="C362" s="17">
        <f>IF($A362="","",IFERROR(INDEX(tblEslesme[AbsFark],MATCH($A362,tblEslesme[A_Norm],0)),0))</f>
        <v/>
      </c>
      <c r="D362" s="17">
        <f>IF($A362="","",IFERROR(SUMIF(tblMotor[A_Norm],$A362,tblMotor[KomisyonTutar]),0))</f>
        <v/>
      </c>
      <c r="E362" s="17">
        <f>IF($A362="","",IFERROR(SUMIF(tblMotor[A_Norm],$A362,tblMotor[TyPlus]),0))</f>
        <v/>
      </c>
      <c r="F362" s="17">
        <f>IF($A362="","",IFERROR(SUMIF(tblMotor[A_Norm],$A362,tblMotor[FlasKesinti]),0))</f>
        <v/>
      </c>
      <c r="G362" s="17">
        <f>IF($A362="","",IFERROR(SUMIF(tblMotor[A_Norm],$A362,tblMotor[UrunReklam]),0))</f>
        <v/>
      </c>
      <c r="H362" s="17">
        <f>IF($A362="","",IFERROR(SUMIF(tblMotor[A_Norm],$A362,tblMotor[DesiKargo]),0))</f>
        <v/>
      </c>
      <c r="I362" s="17">
        <f>IF(OR($A362="",$B362&lt;&gt;"tutar_farki"),"",IF(ABS($C362-$D362)&lt;=toleransKurus,"TYK-001",IF(ABS($C362-$E362)&lt;=toleransKurus,"TYK-002",IF(ABS($C362-$F362)&lt;=toleransKurus,"TYK-003",IF(ABS($C362-$G362)&lt;=toleransKurus,"TYK-004",IF(ABS($C362-$H362)&lt;=toleransKurus,"TYK-005","TANIMSIZ"))))))</f>
        <v/>
      </c>
    </row>
    <row r="363">
      <c r="A363" s="23">
        <f>IF('ESLESTIRME'!$A363="","",'ESLESTIRME'!$A363)</f>
        <v/>
      </c>
      <c r="B363" s="17">
        <f>IF($A363="","",IFERROR(INDEX(tblEslesme[Kova],MATCH($A363,tblEslesme[A_Norm],0)),""))</f>
        <v/>
      </c>
      <c r="C363" s="17">
        <f>IF($A363="","",IFERROR(INDEX(tblEslesme[AbsFark],MATCH($A363,tblEslesme[A_Norm],0)),0))</f>
        <v/>
      </c>
      <c r="D363" s="17">
        <f>IF($A363="","",IFERROR(SUMIF(tblMotor[A_Norm],$A363,tblMotor[KomisyonTutar]),0))</f>
        <v/>
      </c>
      <c r="E363" s="17">
        <f>IF($A363="","",IFERROR(SUMIF(tblMotor[A_Norm],$A363,tblMotor[TyPlus]),0))</f>
        <v/>
      </c>
      <c r="F363" s="17">
        <f>IF($A363="","",IFERROR(SUMIF(tblMotor[A_Norm],$A363,tblMotor[FlasKesinti]),0))</f>
        <v/>
      </c>
      <c r="G363" s="17">
        <f>IF($A363="","",IFERROR(SUMIF(tblMotor[A_Norm],$A363,tblMotor[UrunReklam]),0))</f>
        <v/>
      </c>
      <c r="H363" s="17">
        <f>IF($A363="","",IFERROR(SUMIF(tblMotor[A_Norm],$A363,tblMotor[DesiKargo]),0))</f>
        <v/>
      </c>
      <c r="I363" s="17">
        <f>IF(OR($A363="",$B363&lt;&gt;"tutar_farki"),"",IF(ABS($C363-$D363)&lt;=toleransKurus,"TYK-001",IF(ABS($C363-$E363)&lt;=toleransKurus,"TYK-002",IF(ABS($C363-$F363)&lt;=toleransKurus,"TYK-003",IF(ABS($C363-$G363)&lt;=toleransKurus,"TYK-004",IF(ABS($C363-$H363)&lt;=toleransKurus,"TYK-005","TANIMSIZ"))))))</f>
        <v/>
      </c>
    </row>
    <row r="364">
      <c r="A364" s="23">
        <f>IF('ESLESTIRME'!$A364="","",'ESLESTIRME'!$A364)</f>
        <v/>
      </c>
      <c r="B364" s="17">
        <f>IF($A364="","",IFERROR(INDEX(tblEslesme[Kova],MATCH($A364,tblEslesme[A_Norm],0)),""))</f>
        <v/>
      </c>
      <c r="C364" s="17">
        <f>IF($A364="","",IFERROR(INDEX(tblEslesme[AbsFark],MATCH($A364,tblEslesme[A_Norm],0)),0))</f>
        <v/>
      </c>
      <c r="D364" s="17">
        <f>IF($A364="","",IFERROR(SUMIF(tblMotor[A_Norm],$A364,tblMotor[KomisyonTutar]),0))</f>
        <v/>
      </c>
      <c r="E364" s="17">
        <f>IF($A364="","",IFERROR(SUMIF(tblMotor[A_Norm],$A364,tblMotor[TyPlus]),0))</f>
        <v/>
      </c>
      <c r="F364" s="17">
        <f>IF($A364="","",IFERROR(SUMIF(tblMotor[A_Norm],$A364,tblMotor[FlasKesinti]),0))</f>
        <v/>
      </c>
      <c r="G364" s="17">
        <f>IF($A364="","",IFERROR(SUMIF(tblMotor[A_Norm],$A364,tblMotor[UrunReklam]),0))</f>
        <v/>
      </c>
      <c r="H364" s="17">
        <f>IF($A364="","",IFERROR(SUMIF(tblMotor[A_Norm],$A364,tblMotor[DesiKargo]),0))</f>
        <v/>
      </c>
      <c r="I364" s="17">
        <f>IF(OR($A364="",$B364&lt;&gt;"tutar_farki"),"",IF(ABS($C364-$D364)&lt;=toleransKurus,"TYK-001",IF(ABS($C364-$E364)&lt;=toleransKurus,"TYK-002",IF(ABS($C364-$F364)&lt;=toleransKurus,"TYK-003",IF(ABS($C364-$G364)&lt;=toleransKurus,"TYK-004",IF(ABS($C364-$H364)&lt;=toleransKurus,"TYK-005","TANIMSIZ"))))))</f>
        <v/>
      </c>
    </row>
    <row r="365">
      <c r="A365" s="23">
        <f>IF('ESLESTIRME'!$A365="","",'ESLESTIRME'!$A365)</f>
        <v/>
      </c>
      <c r="B365" s="17">
        <f>IF($A365="","",IFERROR(INDEX(tblEslesme[Kova],MATCH($A365,tblEslesme[A_Norm],0)),""))</f>
        <v/>
      </c>
      <c r="C365" s="17">
        <f>IF($A365="","",IFERROR(INDEX(tblEslesme[AbsFark],MATCH($A365,tblEslesme[A_Norm],0)),0))</f>
        <v/>
      </c>
      <c r="D365" s="17">
        <f>IF($A365="","",IFERROR(SUMIF(tblMotor[A_Norm],$A365,tblMotor[KomisyonTutar]),0))</f>
        <v/>
      </c>
      <c r="E365" s="17">
        <f>IF($A365="","",IFERROR(SUMIF(tblMotor[A_Norm],$A365,tblMotor[TyPlus]),0))</f>
        <v/>
      </c>
      <c r="F365" s="17">
        <f>IF($A365="","",IFERROR(SUMIF(tblMotor[A_Norm],$A365,tblMotor[FlasKesinti]),0))</f>
        <v/>
      </c>
      <c r="G365" s="17">
        <f>IF($A365="","",IFERROR(SUMIF(tblMotor[A_Norm],$A365,tblMotor[UrunReklam]),0))</f>
        <v/>
      </c>
      <c r="H365" s="17">
        <f>IF($A365="","",IFERROR(SUMIF(tblMotor[A_Norm],$A365,tblMotor[DesiKargo]),0))</f>
        <v/>
      </c>
      <c r="I365" s="17">
        <f>IF(OR($A365="",$B365&lt;&gt;"tutar_farki"),"",IF(ABS($C365-$D365)&lt;=toleransKurus,"TYK-001",IF(ABS($C365-$E365)&lt;=toleransKurus,"TYK-002",IF(ABS($C365-$F365)&lt;=toleransKurus,"TYK-003",IF(ABS($C365-$G365)&lt;=toleransKurus,"TYK-004",IF(ABS($C365-$H365)&lt;=toleransKurus,"TYK-005","TANIMSIZ"))))))</f>
        <v/>
      </c>
    </row>
    <row r="366">
      <c r="A366" s="23">
        <f>IF('ESLESTIRME'!$A366="","",'ESLESTIRME'!$A366)</f>
        <v/>
      </c>
      <c r="B366" s="17">
        <f>IF($A366="","",IFERROR(INDEX(tblEslesme[Kova],MATCH($A366,tblEslesme[A_Norm],0)),""))</f>
        <v/>
      </c>
      <c r="C366" s="17">
        <f>IF($A366="","",IFERROR(INDEX(tblEslesme[AbsFark],MATCH($A366,tblEslesme[A_Norm],0)),0))</f>
        <v/>
      </c>
      <c r="D366" s="17">
        <f>IF($A366="","",IFERROR(SUMIF(tblMotor[A_Norm],$A366,tblMotor[KomisyonTutar]),0))</f>
        <v/>
      </c>
      <c r="E366" s="17">
        <f>IF($A366="","",IFERROR(SUMIF(tblMotor[A_Norm],$A366,tblMotor[TyPlus]),0))</f>
        <v/>
      </c>
      <c r="F366" s="17">
        <f>IF($A366="","",IFERROR(SUMIF(tblMotor[A_Norm],$A366,tblMotor[FlasKesinti]),0))</f>
        <v/>
      </c>
      <c r="G366" s="17">
        <f>IF($A366="","",IFERROR(SUMIF(tblMotor[A_Norm],$A366,tblMotor[UrunReklam]),0))</f>
        <v/>
      </c>
      <c r="H366" s="17">
        <f>IF($A366="","",IFERROR(SUMIF(tblMotor[A_Norm],$A366,tblMotor[DesiKargo]),0))</f>
        <v/>
      </c>
      <c r="I366" s="17">
        <f>IF(OR($A366="",$B366&lt;&gt;"tutar_farki"),"",IF(ABS($C366-$D366)&lt;=toleransKurus,"TYK-001",IF(ABS($C366-$E366)&lt;=toleransKurus,"TYK-002",IF(ABS($C366-$F366)&lt;=toleransKurus,"TYK-003",IF(ABS($C366-$G366)&lt;=toleransKurus,"TYK-004",IF(ABS($C366-$H366)&lt;=toleransKurus,"TYK-005","TANIMSIZ"))))))</f>
        <v/>
      </c>
    </row>
    <row r="367">
      <c r="A367" s="23">
        <f>IF('ESLESTIRME'!$A367="","",'ESLESTIRME'!$A367)</f>
        <v/>
      </c>
      <c r="B367" s="17">
        <f>IF($A367="","",IFERROR(INDEX(tblEslesme[Kova],MATCH($A367,tblEslesme[A_Norm],0)),""))</f>
        <v/>
      </c>
      <c r="C367" s="17">
        <f>IF($A367="","",IFERROR(INDEX(tblEslesme[AbsFark],MATCH($A367,tblEslesme[A_Norm],0)),0))</f>
        <v/>
      </c>
      <c r="D367" s="17">
        <f>IF($A367="","",IFERROR(SUMIF(tblMotor[A_Norm],$A367,tblMotor[KomisyonTutar]),0))</f>
        <v/>
      </c>
      <c r="E367" s="17">
        <f>IF($A367="","",IFERROR(SUMIF(tblMotor[A_Norm],$A367,tblMotor[TyPlus]),0))</f>
        <v/>
      </c>
      <c r="F367" s="17">
        <f>IF($A367="","",IFERROR(SUMIF(tblMotor[A_Norm],$A367,tblMotor[FlasKesinti]),0))</f>
        <v/>
      </c>
      <c r="G367" s="17">
        <f>IF($A367="","",IFERROR(SUMIF(tblMotor[A_Norm],$A367,tblMotor[UrunReklam]),0))</f>
        <v/>
      </c>
      <c r="H367" s="17">
        <f>IF($A367="","",IFERROR(SUMIF(tblMotor[A_Norm],$A367,tblMotor[DesiKargo]),0))</f>
        <v/>
      </c>
      <c r="I367" s="17">
        <f>IF(OR($A367="",$B367&lt;&gt;"tutar_farki"),"",IF(ABS($C367-$D367)&lt;=toleransKurus,"TYK-001",IF(ABS($C367-$E367)&lt;=toleransKurus,"TYK-002",IF(ABS($C367-$F367)&lt;=toleransKurus,"TYK-003",IF(ABS($C367-$G367)&lt;=toleransKurus,"TYK-004",IF(ABS($C367-$H367)&lt;=toleransKurus,"TYK-005","TANIMSIZ"))))))</f>
        <v/>
      </c>
    </row>
    <row r="368">
      <c r="A368" s="23">
        <f>IF('ESLESTIRME'!$A368="","",'ESLESTIRME'!$A368)</f>
        <v/>
      </c>
      <c r="B368" s="17">
        <f>IF($A368="","",IFERROR(INDEX(tblEslesme[Kova],MATCH($A368,tblEslesme[A_Norm],0)),""))</f>
        <v/>
      </c>
      <c r="C368" s="17">
        <f>IF($A368="","",IFERROR(INDEX(tblEslesme[AbsFark],MATCH($A368,tblEslesme[A_Norm],0)),0))</f>
        <v/>
      </c>
      <c r="D368" s="17">
        <f>IF($A368="","",IFERROR(SUMIF(tblMotor[A_Norm],$A368,tblMotor[KomisyonTutar]),0))</f>
        <v/>
      </c>
      <c r="E368" s="17">
        <f>IF($A368="","",IFERROR(SUMIF(tblMotor[A_Norm],$A368,tblMotor[TyPlus]),0))</f>
        <v/>
      </c>
      <c r="F368" s="17">
        <f>IF($A368="","",IFERROR(SUMIF(tblMotor[A_Norm],$A368,tblMotor[FlasKesinti]),0))</f>
        <v/>
      </c>
      <c r="G368" s="17">
        <f>IF($A368="","",IFERROR(SUMIF(tblMotor[A_Norm],$A368,tblMotor[UrunReklam]),0))</f>
        <v/>
      </c>
      <c r="H368" s="17">
        <f>IF($A368="","",IFERROR(SUMIF(tblMotor[A_Norm],$A368,tblMotor[DesiKargo]),0))</f>
        <v/>
      </c>
      <c r="I368" s="17">
        <f>IF(OR($A368="",$B368&lt;&gt;"tutar_farki"),"",IF(ABS($C368-$D368)&lt;=toleransKurus,"TYK-001",IF(ABS($C368-$E368)&lt;=toleransKurus,"TYK-002",IF(ABS($C368-$F368)&lt;=toleransKurus,"TYK-003",IF(ABS($C368-$G368)&lt;=toleransKurus,"TYK-004",IF(ABS($C368-$H368)&lt;=toleransKurus,"TYK-005","TANIMSIZ"))))))</f>
        <v/>
      </c>
    </row>
    <row r="369">
      <c r="A369" s="23">
        <f>IF('ESLESTIRME'!$A369="","",'ESLESTIRME'!$A369)</f>
        <v/>
      </c>
      <c r="B369" s="17">
        <f>IF($A369="","",IFERROR(INDEX(tblEslesme[Kova],MATCH($A369,tblEslesme[A_Norm],0)),""))</f>
        <v/>
      </c>
      <c r="C369" s="17">
        <f>IF($A369="","",IFERROR(INDEX(tblEslesme[AbsFark],MATCH($A369,tblEslesme[A_Norm],0)),0))</f>
        <v/>
      </c>
      <c r="D369" s="17">
        <f>IF($A369="","",IFERROR(SUMIF(tblMotor[A_Norm],$A369,tblMotor[KomisyonTutar]),0))</f>
        <v/>
      </c>
      <c r="E369" s="17">
        <f>IF($A369="","",IFERROR(SUMIF(tblMotor[A_Norm],$A369,tblMotor[TyPlus]),0))</f>
        <v/>
      </c>
      <c r="F369" s="17">
        <f>IF($A369="","",IFERROR(SUMIF(tblMotor[A_Norm],$A369,tblMotor[FlasKesinti]),0))</f>
        <v/>
      </c>
      <c r="G369" s="17">
        <f>IF($A369="","",IFERROR(SUMIF(tblMotor[A_Norm],$A369,tblMotor[UrunReklam]),0))</f>
        <v/>
      </c>
      <c r="H369" s="17">
        <f>IF($A369="","",IFERROR(SUMIF(tblMotor[A_Norm],$A369,tblMotor[DesiKargo]),0))</f>
        <v/>
      </c>
      <c r="I369" s="17">
        <f>IF(OR($A369="",$B369&lt;&gt;"tutar_farki"),"",IF(ABS($C369-$D369)&lt;=toleransKurus,"TYK-001",IF(ABS($C369-$E369)&lt;=toleransKurus,"TYK-002",IF(ABS($C369-$F369)&lt;=toleransKurus,"TYK-003",IF(ABS($C369-$G369)&lt;=toleransKurus,"TYK-004",IF(ABS($C369-$H369)&lt;=toleransKurus,"TYK-005","TANIMSIZ"))))))</f>
        <v/>
      </c>
    </row>
    <row r="370">
      <c r="A370" s="23">
        <f>IF('ESLESTIRME'!$A370="","",'ESLESTIRME'!$A370)</f>
        <v/>
      </c>
      <c r="B370" s="17">
        <f>IF($A370="","",IFERROR(INDEX(tblEslesme[Kova],MATCH($A370,tblEslesme[A_Norm],0)),""))</f>
        <v/>
      </c>
      <c r="C370" s="17">
        <f>IF($A370="","",IFERROR(INDEX(tblEslesme[AbsFark],MATCH($A370,tblEslesme[A_Norm],0)),0))</f>
        <v/>
      </c>
      <c r="D370" s="17">
        <f>IF($A370="","",IFERROR(SUMIF(tblMotor[A_Norm],$A370,tblMotor[KomisyonTutar]),0))</f>
        <v/>
      </c>
      <c r="E370" s="17">
        <f>IF($A370="","",IFERROR(SUMIF(tblMotor[A_Norm],$A370,tblMotor[TyPlus]),0))</f>
        <v/>
      </c>
      <c r="F370" s="17">
        <f>IF($A370="","",IFERROR(SUMIF(tblMotor[A_Norm],$A370,tblMotor[FlasKesinti]),0))</f>
        <v/>
      </c>
      <c r="G370" s="17">
        <f>IF($A370="","",IFERROR(SUMIF(tblMotor[A_Norm],$A370,tblMotor[UrunReklam]),0))</f>
        <v/>
      </c>
      <c r="H370" s="17">
        <f>IF($A370="","",IFERROR(SUMIF(tblMotor[A_Norm],$A370,tblMotor[DesiKargo]),0))</f>
        <v/>
      </c>
      <c r="I370" s="17">
        <f>IF(OR($A370="",$B370&lt;&gt;"tutar_farki"),"",IF(ABS($C370-$D370)&lt;=toleransKurus,"TYK-001",IF(ABS($C370-$E370)&lt;=toleransKurus,"TYK-002",IF(ABS($C370-$F370)&lt;=toleransKurus,"TYK-003",IF(ABS($C370-$G370)&lt;=toleransKurus,"TYK-004",IF(ABS($C370-$H370)&lt;=toleransKurus,"TYK-005","TANIMSIZ"))))))</f>
        <v/>
      </c>
    </row>
    <row r="371">
      <c r="A371" s="23">
        <f>IF('ESLESTIRME'!$A371="","",'ESLESTIRME'!$A371)</f>
        <v/>
      </c>
      <c r="B371" s="17">
        <f>IF($A371="","",IFERROR(INDEX(tblEslesme[Kova],MATCH($A371,tblEslesme[A_Norm],0)),""))</f>
        <v/>
      </c>
      <c r="C371" s="17">
        <f>IF($A371="","",IFERROR(INDEX(tblEslesme[AbsFark],MATCH($A371,tblEslesme[A_Norm],0)),0))</f>
        <v/>
      </c>
      <c r="D371" s="17">
        <f>IF($A371="","",IFERROR(SUMIF(tblMotor[A_Norm],$A371,tblMotor[KomisyonTutar]),0))</f>
        <v/>
      </c>
      <c r="E371" s="17">
        <f>IF($A371="","",IFERROR(SUMIF(tblMotor[A_Norm],$A371,tblMotor[TyPlus]),0))</f>
        <v/>
      </c>
      <c r="F371" s="17">
        <f>IF($A371="","",IFERROR(SUMIF(tblMotor[A_Norm],$A371,tblMotor[FlasKesinti]),0))</f>
        <v/>
      </c>
      <c r="G371" s="17">
        <f>IF($A371="","",IFERROR(SUMIF(tblMotor[A_Norm],$A371,tblMotor[UrunReklam]),0))</f>
        <v/>
      </c>
      <c r="H371" s="17">
        <f>IF($A371="","",IFERROR(SUMIF(tblMotor[A_Norm],$A371,tblMotor[DesiKargo]),0))</f>
        <v/>
      </c>
      <c r="I371" s="17">
        <f>IF(OR($A371="",$B371&lt;&gt;"tutar_farki"),"",IF(ABS($C371-$D371)&lt;=toleransKurus,"TYK-001",IF(ABS($C371-$E371)&lt;=toleransKurus,"TYK-002",IF(ABS($C371-$F371)&lt;=toleransKurus,"TYK-003",IF(ABS($C371-$G371)&lt;=toleransKurus,"TYK-004",IF(ABS($C371-$H371)&lt;=toleransKurus,"TYK-005","TANIMSIZ"))))))</f>
        <v/>
      </c>
    </row>
    <row r="372">
      <c r="A372" s="23">
        <f>IF('ESLESTIRME'!$A372="","",'ESLESTIRME'!$A372)</f>
        <v/>
      </c>
      <c r="B372" s="17">
        <f>IF($A372="","",IFERROR(INDEX(tblEslesme[Kova],MATCH($A372,tblEslesme[A_Norm],0)),""))</f>
        <v/>
      </c>
      <c r="C372" s="17">
        <f>IF($A372="","",IFERROR(INDEX(tblEslesme[AbsFark],MATCH($A372,tblEslesme[A_Norm],0)),0))</f>
        <v/>
      </c>
      <c r="D372" s="17">
        <f>IF($A372="","",IFERROR(SUMIF(tblMotor[A_Norm],$A372,tblMotor[KomisyonTutar]),0))</f>
        <v/>
      </c>
      <c r="E372" s="17">
        <f>IF($A372="","",IFERROR(SUMIF(tblMotor[A_Norm],$A372,tblMotor[TyPlus]),0))</f>
        <v/>
      </c>
      <c r="F372" s="17">
        <f>IF($A372="","",IFERROR(SUMIF(tblMotor[A_Norm],$A372,tblMotor[FlasKesinti]),0))</f>
        <v/>
      </c>
      <c r="G372" s="17">
        <f>IF($A372="","",IFERROR(SUMIF(tblMotor[A_Norm],$A372,tblMotor[UrunReklam]),0))</f>
        <v/>
      </c>
      <c r="H372" s="17">
        <f>IF($A372="","",IFERROR(SUMIF(tblMotor[A_Norm],$A372,tblMotor[DesiKargo]),0))</f>
        <v/>
      </c>
      <c r="I372" s="17">
        <f>IF(OR($A372="",$B372&lt;&gt;"tutar_farki"),"",IF(ABS($C372-$D372)&lt;=toleransKurus,"TYK-001",IF(ABS($C372-$E372)&lt;=toleransKurus,"TYK-002",IF(ABS($C372-$F372)&lt;=toleransKurus,"TYK-003",IF(ABS($C372-$G372)&lt;=toleransKurus,"TYK-004",IF(ABS($C372-$H372)&lt;=toleransKurus,"TYK-005","TANIMSIZ"))))))</f>
        <v/>
      </c>
    </row>
    <row r="373">
      <c r="A373" s="23">
        <f>IF('ESLESTIRME'!$A373="","",'ESLESTIRME'!$A373)</f>
        <v/>
      </c>
      <c r="B373" s="17">
        <f>IF($A373="","",IFERROR(INDEX(tblEslesme[Kova],MATCH($A373,tblEslesme[A_Norm],0)),""))</f>
        <v/>
      </c>
      <c r="C373" s="17">
        <f>IF($A373="","",IFERROR(INDEX(tblEslesme[AbsFark],MATCH($A373,tblEslesme[A_Norm],0)),0))</f>
        <v/>
      </c>
      <c r="D373" s="17">
        <f>IF($A373="","",IFERROR(SUMIF(tblMotor[A_Norm],$A373,tblMotor[KomisyonTutar]),0))</f>
        <v/>
      </c>
      <c r="E373" s="17">
        <f>IF($A373="","",IFERROR(SUMIF(tblMotor[A_Norm],$A373,tblMotor[TyPlus]),0))</f>
        <v/>
      </c>
      <c r="F373" s="17">
        <f>IF($A373="","",IFERROR(SUMIF(tblMotor[A_Norm],$A373,tblMotor[FlasKesinti]),0))</f>
        <v/>
      </c>
      <c r="G373" s="17">
        <f>IF($A373="","",IFERROR(SUMIF(tblMotor[A_Norm],$A373,tblMotor[UrunReklam]),0))</f>
        <v/>
      </c>
      <c r="H373" s="17">
        <f>IF($A373="","",IFERROR(SUMIF(tblMotor[A_Norm],$A373,tblMotor[DesiKargo]),0))</f>
        <v/>
      </c>
      <c r="I373" s="17">
        <f>IF(OR($A373="",$B373&lt;&gt;"tutar_farki"),"",IF(ABS($C373-$D373)&lt;=toleransKurus,"TYK-001",IF(ABS($C373-$E373)&lt;=toleransKurus,"TYK-002",IF(ABS($C373-$F373)&lt;=toleransKurus,"TYK-003",IF(ABS($C373-$G373)&lt;=toleransKurus,"TYK-004",IF(ABS($C373-$H373)&lt;=toleransKurus,"TYK-005","TANIMSIZ"))))))</f>
        <v/>
      </c>
    </row>
    <row r="374">
      <c r="A374" s="23">
        <f>IF('ESLESTIRME'!$A374="","",'ESLESTIRME'!$A374)</f>
        <v/>
      </c>
      <c r="B374" s="17">
        <f>IF($A374="","",IFERROR(INDEX(tblEslesme[Kova],MATCH($A374,tblEslesme[A_Norm],0)),""))</f>
        <v/>
      </c>
      <c r="C374" s="17">
        <f>IF($A374="","",IFERROR(INDEX(tblEslesme[AbsFark],MATCH($A374,tblEslesme[A_Norm],0)),0))</f>
        <v/>
      </c>
      <c r="D374" s="17">
        <f>IF($A374="","",IFERROR(SUMIF(tblMotor[A_Norm],$A374,tblMotor[KomisyonTutar]),0))</f>
        <v/>
      </c>
      <c r="E374" s="17">
        <f>IF($A374="","",IFERROR(SUMIF(tblMotor[A_Norm],$A374,tblMotor[TyPlus]),0))</f>
        <v/>
      </c>
      <c r="F374" s="17">
        <f>IF($A374="","",IFERROR(SUMIF(tblMotor[A_Norm],$A374,tblMotor[FlasKesinti]),0))</f>
        <v/>
      </c>
      <c r="G374" s="17">
        <f>IF($A374="","",IFERROR(SUMIF(tblMotor[A_Norm],$A374,tblMotor[UrunReklam]),0))</f>
        <v/>
      </c>
      <c r="H374" s="17">
        <f>IF($A374="","",IFERROR(SUMIF(tblMotor[A_Norm],$A374,tblMotor[DesiKargo]),0))</f>
        <v/>
      </c>
      <c r="I374" s="17">
        <f>IF(OR($A374="",$B374&lt;&gt;"tutar_farki"),"",IF(ABS($C374-$D374)&lt;=toleransKurus,"TYK-001",IF(ABS($C374-$E374)&lt;=toleransKurus,"TYK-002",IF(ABS($C374-$F374)&lt;=toleransKurus,"TYK-003",IF(ABS($C374-$G374)&lt;=toleransKurus,"TYK-004",IF(ABS($C374-$H374)&lt;=toleransKurus,"TYK-005","TANIMSIZ"))))))</f>
        <v/>
      </c>
    </row>
    <row r="375">
      <c r="A375" s="23">
        <f>IF('ESLESTIRME'!$A375="","",'ESLESTIRME'!$A375)</f>
        <v/>
      </c>
      <c r="B375" s="17">
        <f>IF($A375="","",IFERROR(INDEX(tblEslesme[Kova],MATCH($A375,tblEslesme[A_Norm],0)),""))</f>
        <v/>
      </c>
      <c r="C375" s="17">
        <f>IF($A375="","",IFERROR(INDEX(tblEslesme[AbsFark],MATCH($A375,tblEslesme[A_Norm],0)),0))</f>
        <v/>
      </c>
      <c r="D375" s="17">
        <f>IF($A375="","",IFERROR(SUMIF(tblMotor[A_Norm],$A375,tblMotor[KomisyonTutar]),0))</f>
        <v/>
      </c>
      <c r="E375" s="17">
        <f>IF($A375="","",IFERROR(SUMIF(tblMotor[A_Norm],$A375,tblMotor[TyPlus]),0))</f>
        <v/>
      </c>
      <c r="F375" s="17">
        <f>IF($A375="","",IFERROR(SUMIF(tblMotor[A_Norm],$A375,tblMotor[FlasKesinti]),0))</f>
        <v/>
      </c>
      <c r="G375" s="17">
        <f>IF($A375="","",IFERROR(SUMIF(tblMotor[A_Norm],$A375,tblMotor[UrunReklam]),0))</f>
        <v/>
      </c>
      <c r="H375" s="17">
        <f>IF($A375="","",IFERROR(SUMIF(tblMotor[A_Norm],$A375,tblMotor[DesiKargo]),0))</f>
        <v/>
      </c>
      <c r="I375" s="17">
        <f>IF(OR($A375="",$B375&lt;&gt;"tutar_farki"),"",IF(ABS($C375-$D375)&lt;=toleransKurus,"TYK-001",IF(ABS($C375-$E375)&lt;=toleransKurus,"TYK-002",IF(ABS($C375-$F375)&lt;=toleransKurus,"TYK-003",IF(ABS($C375-$G375)&lt;=toleransKurus,"TYK-004",IF(ABS($C375-$H375)&lt;=toleransKurus,"TYK-005","TANIMSIZ"))))))</f>
        <v/>
      </c>
    </row>
    <row r="376">
      <c r="A376" s="23">
        <f>IF('ESLESTIRME'!$A376="","",'ESLESTIRME'!$A376)</f>
        <v/>
      </c>
      <c r="B376" s="17">
        <f>IF($A376="","",IFERROR(INDEX(tblEslesme[Kova],MATCH($A376,tblEslesme[A_Norm],0)),""))</f>
        <v/>
      </c>
      <c r="C376" s="17">
        <f>IF($A376="","",IFERROR(INDEX(tblEslesme[AbsFark],MATCH($A376,tblEslesme[A_Norm],0)),0))</f>
        <v/>
      </c>
      <c r="D376" s="17">
        <f>IF($A376="","",IFERROR(SUMIF(tblMotor[A_Norm],$A376,tblMotor[KomisyonTutar]),0))</f>
        <v/>
      </c>
      <c r="E376" s="17">
        <f>IF($A376="","",IFERROR(SUMIF(tblMotor[A_Norm],$A376,tblMotor[TyPlus]),0))</f>
        <v/>
      </c>
      <c r="F376" s="17">
        <f>IF($A376="","",IFERROR(SUMIF(tblMotor[A_Norm],$A376,tblMotor[FlasKesinti]),0))</f>
        <v/>
      </c>
      <c r="G376" s="17">
        <f>IF($A376="","",IFERROR(SUMIF(tblMotor[A_Norm],$A376,tblMotor[UrunReklam]),0))</f>
        <v/>
      </c>
      <c r="H376" s="17">
        <f>IF($A376="","",IFERROR(SUMIF(tblMotor[A_Norm],$A376,tblMotor[DesiKargo]),0))</f>
        <v/>
      </c>
      <c r="I376" s="17">
        <f>IF(OR($A376="",$B376&lt;&gt;"tutar_farki"),"",IF(ABS($C376-$D376)&lt;=toleransKurus,"TYK-001",IF(ABS($C376-$E376)&lt;=toleransKurus,"TYK-002",IF(ABS($C376-$F376)&lt;=toleransKurus,"TYK-003",IF(ABS($C376-$G376)&lt;=toleransKurus,"TYK-004",IF(ABS($C376-$H376)&lt;=toleransKurus,"TYK-005","TANIMSIZ"))))))</f>
        <v/>
      </c>
    </row>
    <row r="377">
      <c r="A377" s="23">
        <f>IF('ESLESTIRME'!$A377="","",'ESLESTIRME'!$A377)</f>
        <v/>
      </c>
      <c r="B377" s="17">
        <f>IF($A377="","",IFERROR(INDEX(tblEslesme[Kova],MATCH($A377,tblEslesme[A_Norm],0)),""))</f>
        <v/>
      </c>
      <c r="C377" s="17">
        <f>IF($A377="","",IFERROR(INDEX(tblEslesme[AbsFark],MATCH($A377,tblEslesme[A_Norm],0)),0))</f>
        <v/>
      </c>
      <c r="D377" s="17">
        <f>IF($A377="","",IFERROR(SUMIF(tblMotor[A_Norm],$A377,tblMotor[KomisyonTutar]),0))</f>
        <v/>
      </c>
      <c r="E377" s="17">
        <f>IF($A377="","",IFERROR(SUMIF(tblMotor[A_Norm],$A377,tblMotor[TyPlus]),0))</f>
        <v/>
      </c>
      <c r="F377" s="17">
        <f>IF($A377="","",IFERROR(SUMIF(tblMotor[A_Norm],$A377,tblMotor[FlasKesinti]),0))</f>
        <v/>
      </c>
      <c r="G377" s="17">
        <f>IF($A377="","",IFERROR(SUMIF(tblMotor[A_Norm],$A377,tblMotor[UrunReklam]),0))</f>
        <v/>
      </c>
      <c r="H377" s="17">
        <f>IF($A377="","",IFERROR(SUMIF(tblMotor[A_Norm],$A377,tblMotor[DesiKargo]),0))</f>
        <v/>
      </c>
      <c r="I377" s="17">
        <f>IF(OR($A377="",$B377&lt;&gt;"tutar_farki"),"",IF(ABS($C377-$D377)&lt;=toleransKurus,"TYK-001",IF(ABS($C377-$E377)&lt;=toleransKurus,"TYK-002",IF(ABS($C377-$F377)&lt;=toleransKurus,"TYK-003",IF(ABS($C377-$G377)&lt;=toleransKurus,"TYK-004",IF(ABS($C377-$H377)&lt;=toleransKurus,"TYK-005","TANIMSIZ"))))))</f>
        <v/>
      </c>
    </row>
    <row r="378">
      <c r="A378" s="23">
        <f>IF('ESLESTIRME'!$A378="","",'ESLESTIRME'!$A378)</f>
        <v/>
      </c>
      <c r="B378" s="17">
        <f>IF($A378="","",IFERROR(INDEX(tblEslesme[Kova],MATCH($A378,tblEslesme[A_Norm],0)),""))</f>
        <v/>
      </c>
      <c r="C378" s="17">
        <f>IF($A378="","",IFERROR(INDEX(tblEslesme[AbsFark],MATCH($A378,tblEslesme[A_Norm],0)),0))</f>
        <v/>
      </c>
      <c r="D378" s="17">
        <f>IF($A378="","",IFERROR(SUMIF(tblMotor[A_Norm],$A378,tblMotor[KomisyonTutar]),0))</f>
        <v/>
      </c>
      <c r="E378" s="17">
        <f>IF($A378="","",IFERROR(SUMIF(tblMotor[A_Norm],$A378,tblMotor[TyPlus]),0))</f>
        <v/>
      </c>
      <c r="F378" s="17">
        <f>IF($A378="","",IFERROR(SUMIF(tblMotor[A_Norm],$A378,tblMotor[FlasKesinti]),0))</f>
        <v/>
      </c>
      <c r="G378" s="17">
        <f>IF($A378="","",IFERROR(SUMIF(tblMotor[A_Norm],$A378,tblMotor[UrunReklam]),0))</f>
        <v/>
      </c>
      <c r="H378" s="17">
        <f>IF($A378="","",IFERROR(SUMIF(tblMotor[A_Norm],$A378,tblMotor[DesiKargo]),0))</f>
        <v/>
      </c>
      <c r="I378" s="17">
        <f>IF(OR($A378="",$B378&lt;&gt;"tutar_farki"),"",IF(ABS($C378-$D378)&lt;=toleransKurus,"TYK-001",IF(ABS($C378-$E378)&lt;=toleransKurus,"TYK-002",IF(ABS($C378-$F378)&lt;=toleransKurus,"TYK-003",IF(ABS($C378-$G378)&lt;=toleransKurus,"TYK-004",IF(ABS($C378-$H378)&lt;=toleransKurus,"TYK-005","TANIMSIZ"))))))</f>
        <v/>
      </c>
    </row>
    <row r="379">
      <c r="A379" s="23">
        <f>IF('ESLESTIRME'!$A379="","",'ESLESTIRME'!$A379)</f>
        <v/>
      </c>
      <c r="B379" s="17">
        <f>IF($A379="","",IFERROR(INDEX(tblEslesme[Kova],MATCH($A379,tblEslesme[A_Norm],0)),""))</f>
        <v/>
      </c>
      <c r="C379" s="17">
        <f>IF($A379="","",IFERROR(INDEX(tblEslesme[AbsFark],MATCH($A379,tblEslesme[A_Norm],0)),0))</f>
        <v/>
      </c>
      <c r="D379" s="17">
        <f>IF($A379="","",IFERROR(SUMIF(tblMotor[A_Norm],$A379,tblMotor[KomisyonTutar]),0))</f>
        <v/>
      </c>
      <c r="E379" s="17">
        <f>IF($A379="","",IFERROR(SUMIF(tblMotor[A_Norm],$A379,tblMotor[TyPlus]),0))</f>
        <v/>
      </c>
      <c r="F379" s="17">
        <f>IF($A379="","",IFERROR(SUMIF(tblMotor[A_Norm],$A379,tblMotor[FlasKesinti]),0))</f>
        <v/>
      </c>
      <c r="G379" s="17">
        <f>IF($A379="","",IFERROR(SUMIF(tblMotor[A_Norm],$A379,tblMotor[UrunReklam]),0))</f>
        <v/>
      </c>
      <c r="H379" s="17">
        <f>IF($A379="","",IFERROR(SUMIF(tblMotor[A_Norm],$A379,tblMotor[DesiKargo]),0))</f>
        <v/>
      </c>
      <c r="I379" s="17">
        <f>IF(OR($A379="",$B379&lt;&gt;"tutar_farki"),"",IF(ABS($C379-$D379)&lt;=toleransKurus,"TYK-001",IF(ABS($C379-$E379)&lt;=toleransKurus,"TYK-002",IF(ABS($C379-$F379)&lt;=toleransKurus,"TYK-003",IF(ABS($C379-$G379)&lt;=toleransKurus,"TYK-004",IF(ABS($C379-$H379)&lt;=toleransKurus,"TYK-005","TANIMSIZ"))))))</f>
        <v/>
      </c>
    </row>
    <row r="380">
      <c r="A380" s="23">
        <f>IF('ESLESTIRME'!$A380="","",'ESLESTIRME'!$A380)</f>
        <v/>
      </c>
      <c r="B380" s="17">
        <f>IF($A380="","",IFERROR(INDEX(tblEslesme[Kova],MATCH($A380,tblEslesme[A_Norm],0)),""))</f>
        <v/>
      </c>
      <c r="C380" s="17">
        <f>IF($A380="","",IFERROR(INDEX(tblEslesme[AbsFark],MATCH($A380,tblEslesme[A_Norm],0)),0))</f>
        <v/>
      </c>
      <c r="D380" s="17">
        <f>IF($A380="","",IFERROR(SUMIF(tblMotor[A_Norm],$A380,tblMotor[KomisyonTutar]),0))</f>
        <v/>
      </c>
      <c r="E380" s="17">
        <f>IF($A380="","",IFERROR(SUMIF(tblMotor[A_Norm],$A380,tblMotor[TyPlus]),0))</f>
        <v/>
      </c>
      <c r="F380" s="17">
        <f>IF($A380="","",IFERROR(SUMIF(tblMotor[A_Norm],$A380,tblMotor[FlasKesinti]),0))</f>
        <v/>
      </c>
      <c r="G380" s="17">
        <f>IF($A380="","",IFERROR(SUMIF(tblMotor[A_Norm],$A380,tblMotor[UrunReklam]),0))</f>
        <v/>
      </c>
      <c r="H380" s="17">
        <f>IF($A380="","",IFERROR(SUMIF(tblMotor[A_Norm],$A380,tblMotor[DesiKargo]),0))</f>
        <v/>
      </c>
      <c r="I380" s="17">
        <f>IF(OR($A380="",$B380&lt;&gt;"tutar_farki"),"",IF(ABS($C380-$D380)&lt;=toleransKurus,"TYK-001",IF(ABS($C380-$E380)&lt;=toleransKurus,"TYK-002",IF(ABS($C380-$F380)&lt;=toleransKurus,"TYK-003",IF(ABS($C380-$G380)&lt;=toleransKurus,"TYK-004",IF(ABS($C380-$H380)&lt;=toleransKurus,"TYK-005","TANIMSIZ"))))))</f>
        <v/>
      </c>
    </row>
    <row r="381">
      <c r="A381" s="23">
        <f>IF('ESLESTIRME'!$A381="","",'ESLESTIRME'!$A381)</f>
        <v/>
      </c>
      <c r="B381" s="17">
        <f>IF($A381="","",IFERROR(INDEX(tblEslesme[Kova],MATCH($A381,tblEslesme[A_Norm],0)),""))</f>
        <v/>
      </c>
      <c r="C381" s="17">
        <f>IF($A381="","",IFERROR(INDEX(tblEslesme[AbsFark],MATCH($A381,tblEslesme[A_Norm],0)),0))</f>
        <v/>
      </c>
      <c r="D381" s="17">
        <f>IF($A381="","",IFERROR(SUMIF(tblMotor[A_Norm],$A381,tblMotor[KomisyonTutar]),0))</f>
        <v/>
      </c>
      <c r="E381" s="17">
        <f>IF($A381="","",IFERROR(SUMIF(tblMotor[A_Norm],$A381,tblMotor[TyPlus]),0))</f>
        <v/>
      </c>
      <c r="F381" s="17">
        <f>IF($A381="","",IFERROR(SUMIF(tblMotor[A_Norm],$A381,tblMotor[FlasKesinti]),0))</f>
        <v/>
      </c>
      <c r="G381" s="17">
        <f>IF($A381="","",IFERROR(SUMIF(tblMotor[A_Norm],$A381,tblMotor[UrunReklam]),0))</f>
        <v/>
      </c>
      <c r="H381" s="17">
        <f>IF($A381="","",IFERROR(SUMIF(tblMotor[A_Norm],$A381,tblMotor[DesiKargo]),0))</f>
        <v/>
      </c>
      <c r="I381" s="17">
        <f>IF(OR($A381="",$B381&lt;&gt;"tutar_farki"),"",IF(ABS($C381-$D381)&lt;=toleransKurus,"TYK-001",IF(ABS($C381-$E381)&lt;=toleransKurus,"TYK-002",IF(ABS($C381-$F381)&lt;=toleransKurus,"TYK-003",IF(ABS($C381-$G381)&lt;=toleransKurus,"TYK-004",IF(ABS($C381-$H381)&lt;=toleransKurus,"TYK-005","TANIMSIZ"))))))</f>
        <v/>
      </c>
    </row>
    <row r="382">
      <c r="A382" s="23">
        <f>IF('ESLESTIRME'!$A382="","",'ESLESTIRME'!$A382)</f>
        <v/>
      </c>
      <c r="B382" s="17">
        <f>IF($A382="","",IFERROR(INDEX(tblEslesme[Kova],MATCH($A382,tblEslesme[A_Norm],0)),""))</f>
        <v/>
      </c>
      <c r="C382" s="17">
        <f>IF($A382="","",IFERROR(INDEX(tblEslesme[AbsFark],MATCH($A382,tblEslesme[A_Norm],0)),0))</f>
        <v/>
      </c>
      <c r="D382" s="17">
        <f>IF($A382="","",IFERROR(SUMIF(tblMotor[A_Norm],$A382,tblMotor[KomisyonTutar]),0))</f>
        <v/>
      </c>
      <c r="E382" s="17">
        <f>IF($A382="","",IFERROR(SUMIF(tblMotor[A_Norm],$A382,tblMotor[TyPlus]),0))</f>
        <v/>
      </c>
      <c r="F382" s="17">
        <f>IF($A382="","",IFERROR(SUMIF(tblMotor[A_Norm],$A382,tblMotor[FlasKesinti]),0))</f>
        <v/>
      </c>
      <c r="G382" s="17">
        <f>IF($A382="","",IFERROR(SUMIF(tblMotor[A_Norm],$A382,tblMotor[UrunReklam]),0))</f>
        <v/>
      </c>
      <c r="H382" s="17">
        <f>IF($A382="","",IFERROR(SUMIF(tblMotor[A_Norm],$A382,tblMotor[DesiKargo]),0))</f>
        <v/>
      </c>
      <c r="I382" s="17">
        <f>IF(OR($A382="",$B382&lt;&gt;"tutar_farki"),"",IF(ABS($C382-$D382)&lt;=toleransKurus,"TYK-001",IF(ABS($C382-$E382)&lt;=toleransKurus,"TYK-002",IF(ABS($C382-$F382)&lt;=toleransKurus,"TYK-003",IF(ABS($C382-$G382)&lt;=toleransKurus,"TYK-004",IF(ABS($C382-$H382)&lt;=toleransKurus,"TYK-005","TANIMSIZ"))))))</f>
        <v/>
      </c>
    </row>
    <row r="383">
      <c r="A383" s="23">
        <f>IF('ESLESTIRME'!$A383="","",'ESLESTIRME'!$A383)</f>
        <v/>
      </c>
      <c r="B383" s="17">
        <f>IF($A383="","",IFERROR(INDEX(tblEslesme[Kova],MATCH($A383,tblEslesme[A_Norm],0)),""))</f>
        <v/>
      </c>
      <c r="C383" s="17">
        <f>IF($A383="","",IFERROR(INDEX(tblEslesme[AbsFark],MATCH($A383,tblEslesme[A_Norm],0)),0))</f>
        <v/>
      </c>
      <c r="D383" s="17">
        <f>IF($A383="","",IFERROR(SUMIF(tblMotor[A_Norm],$A383,tblMotor[KomisyonTutar]),0))</f>
        <v/>
      </c>
      <c r="E383" s="17">
        <f>IF($A383="","",IFERROR(SUMIF(tblMotor[A_Norm],$A383,tblMotor[TyPlus]),0))</f>
        <v/>
      </c>
      <c r="F383" s="17">
        <f>IF($A383="","",IFERROR(SUMIF(tblMotor[A_Norm],$A383,tblMotor[FlasKesinti]),0))</f>
        <v/>
      </c>
      <c r="G383" s="17">
        <f>IF($A383="","",IFERROR(SUMIF(tblMotor[A_Norm],$A383,tblMotor[UrunReklam]),0))</f>
        <v/>
      </c>
      <c r="H383" s="17">
        <f>IF($A383="","",IFERROR(SUMIF(tblMotor[A_Norm],$A383,tblMotor[DesiKargo]),0))</f>
        <v/>
      </c>
      <c r="I383" s="17">
        <f>IF(OR($A383="",$B383&lt;&gt;"tutar_farki"),"",IF(ABS($C383-$D383)&lt;=toleransKurus,"TYK-001",IF(ABS($C383-$E383)&lt;=toleransKurus,"TYK-002",IF(ABS($C383-$F383)&lt;=toleransKurus,"TYK-003",IF(ABS($C383-$G383)&lt;=toleransKurus,"TYK-004",IF(ABS($C383-$H383)&lt;=toleransKurus,"TYK-005","TANIMSIZ"))))))</f>
        <v/>
      </c>
    </row>
    <row r="384">
      <c r="A384" s="23">
        <f>IF('ESLESTIRME'!$A384="","",'ESLESTIRME'!$A384)</f>
        <v/>
      </c>
      <c r="B384" s="17">
        <f>IF($A384="","",IFERROR(INDEX(tblEslesme[Kova],MATCH($A384,tblEslesme[A_Norm],0)),""))</f>
        <v/>
      </c>
      <c r="C384" s="17">
        <f>IF($A384="","",IFERROR(INDEX(tblEslesme[AbsFark],MATCH($A384,tblEslesme[A_Norm],0)),0))</f>
        <v/>
      </c>
      <c r="D384" s="17">
        <f>IF($A384="","",IFERROR(SUMIF(tblMotor[A_Norm],$A384,tblMotor[KomisyonTutar]),0))</f>
        <v/>
      </c>
      <c r="E384" s="17">
        <f>IF($A384="","",IFERROR(SUMIF(tblMotor[A_Norm],$A384,tblMotor[TyPlus]),0))</f>
        <v/>
      </c>
      <c r="F384" s="17">
        <f>IF($A384="","",IFERROR(SUMIF(tblMotor[A_Norm],$A384,tblMotor[FlasKesinti]),0))</f>
        <v/>
      </c>
      <c r="G384" s="17">
        <f>IF($A384="","",IFERROR(SUMIF(tblMotor[A_Norm],$A384,tblMotor[UrunReklam]),0))</f>
        <v/>
      </c>
      <c r="H384" s="17">
        <f>IF($A384="","",IFERROR(SUMIF(tblMotor[A_Norm],$A384,tblMotor[DesiKargo]),0))</f>
        <v/>
      </c>
      <c r="I384" s="17">
        <f>IF(OR($A384="",$B384&lt;&gt;"tutar_farki"),"",IF(ABS($C384-$D384)&lt;=toleransKurus,"TYK-001",IF(ABS($C384-$E384)&lt;=toleransKurus,"TYK-002",IF(ABS($C384-$F384)&lt;=toleransKurus,"TYK-003",IF(ABS($C384-$G384)&lt;=toleransKurus,"TYK-004",IF(ABS($C384-$H384)&lt;=toleransKurus,"TYK-005","TANIMSIZ"))))))</f>
        <v/>
      </c>
    </row>
    <row r="385">
      <c r="A385" s="23">
        <f>IF('ESLESTIRME'!$A385="","",'ESLESTIRME'!$A385)</f>
        <v/>
      </c>
      <c r="B385" s="17">
        <f>IF($A385="","",IFERROR(INDEX(tblEslesme[Kova],MATCH($A385,tblEslesme[A_Norm],0)),""))</f>
        <v/>
      </c>
      <c r="C385" s="17">
        <f>IF($A385="","",IFERROR(INDEX(tblEslesme[AbsFark],MATCH($A385,tblEslesme[A_Norm],0)),0))</f>
        <v/>
      </c>
      <c r="D385" s="17">
        <f>IF($A385="","",IFERROR(SUMIF(tblMotor[A_Norm],$A385,tblMotor[KomisyonTutar]),0))</f>
        <v/>
      </c>
      <c r="E385" s="17">
        <f>IF($A385="","",IFERROR(SUMIF(tblMotor[A_Norm],$A385,tblMotor[TyPlus]),0))</f>
        <v/>
      </c>
      <c r="F385" s="17">
        <f>IF($A385="","",IFERROR(SUMIF(tblMotor[A_Norm],$A385,tblMotor[FlasKesinti]),0))</f>
        <v/>
      </c>
      <c r="G385" s="17">
        <f>IF($A385="","",IFERROR(SUMIF(tblMotor[A_Norm],$A385,tblMotor[UrunReklam]),0))</f>
        <v/>
      </c>
      <c r="H385" s="17">
        <f>IF($A385="","",IFERROR(SUMIF(tblMotor[A_Norm],$A385,tblMotor[DesiKargo]),0))</f>
        <v/>
      </c>
      <c r="I385" s="17">
        <f>IF(OR($A385="",$B385&lt;&gt;"tutar_farki"),"",IF(ABS($C385-$D385)&lt;=toleransKurus,"TYK-001",IF(ABS($C385-$E385)&lt;=toleransKurus,"TYK-002",IF(ABS($C385-$F385)&lt;=toleransKurus,"TYK-003",IF(ABS($C385-$G385)&lt;=toleransKurus,"TYK-004",IF(ABS($C385-$H385)&lt;=toleransKurus,"TYK-005","TANIMSIZ"))))))</f>
        <v/>
      </c>
    </row>
    <row r="386">
      <c r="A386" s="23">
        <f>IF('ESLESTIRME'!$A386="","",'ESLESTIRME'!$A386)</f>
        <v/>
      </c>
      <c r="B386" s="17">
        <f>IF($A386="","",IFERROR(INDEX(tblEslesme[Kova],MATCH($A386,tblEslesme[A_Norm],0)),""))</f>
        <v/>
      </c>
      <c r="C386" s="17">
        <f>IF($A386="","",IFERROR(INDEX(tblEslesme[AbsFark],MATCH($A386,tblEslesme[A_Norm],0)),0))</f>
        <v/>
      </c>
      <c r="D386" s="17">
        <f>IF($A386="","",IFERROR(SUMIF(tblMotor[A_Norm],$A386,tblMotor[KomisyonTutar]),0))</f>
        <v/>
      </c>
      <c r="E386" s="17">
        <f>IF($A386="","",IFERROR(SUMIF(tblMotor[A_Norm],$A386,tblMotor[TyPlus]),0))</f>
        <v/>
      </c>
      <c r="F386" s="17">
        <f>IF($A386="","",IFERROR(SUMIF(tblMotor[A_Norm],$A386,tblMotor[FlasKesinti]),0))</f>
        <v/>
      </c>
      <c r="G386" s="17">
        <f>IF($A386="","",IFERROR(SUMIF(tblMotor[A_Norm],$A386,tblMotor[UrunReklam]),0))</f>
        <v/>
      </c>
      <c r="H386" s="17">
        <f>IF($A386="","",IFERROR(SUMIF(tblMotor[A_Norm],$A386,tblMotor[DesiKargo]),0))</f>
        <v/>
      </c>
      <c r="I386" s="17">
        <f>IF(OR($A386="",$B386&lt;&gt;"tutar_farki"),"",IF(ABS($C386-$D386)&lt;=toleransKurus,"TYK-001",IF(ABS($C386-$E386)&lt;=toleransKurus,"TYK-002",IF(ABS($C386-$F386)&lt;=toleransKurus,"TYK-003",IF(ABS($C386-$G386)&lt;=toleransKurus,"TYK-004",IF(ABS($C386-$H386)&lt;=toleransKurus,"TYK-005","TANIMSIZ"))))))</f>
        <v/>
      </c>
    </row>
    <row r="387">
      <c r="A387" s="23">
        <f>IF('ESLESTIRME'!$A387="","",'ESLESTIRME'!$A387)</f>
        <v/>
      </c>
      <c r="B387" s="17">
        <f>IF($A387="","",IFERROR(INDEX(tblEslesme[Kova],MATCH($A387,tblEslesme[A_Norm],0)),""))</f>
        <v/>
      </c>
      <c r="C387" s="17">
        <f>IF($A387="","",IFERROR(INDEX(tblEslesme[AbsFark],MATCH($A387,tblEslesme[A_Norm],0)),0))</f>
        <v/>
      </c>
      <c r="D387" s="17">
        <f>IF($A387="","",IFERROR(SUMIF(tblMotor[A_Norm],$A387,tblMotor[KomisyonTutar]),0))</f>
        <v/>
      </c>
      <c r="E387" s="17">
        <f>IF($A387="","",IFERROR(SUMIF(tblMotor[A_Norm],$A387,tblMotor[TyPlus]),0))</f>
        <v/>
      </c>
      <c r="F387" s="17">
        <f>IF($A387="","",IFERROR(SUMIF(tblMotor[A_Norm],$A387,tblMotor[FlasKesinti]),0))</f>
        <v/>
      </c>
      <c r="G387" s="17">
        <f>IF($A387="","",IFERROR(SUMIF(tblMotor[A_Norm],$A387,tblMotor[UrunReklam]),0))</f>
        <v/>
      </c>
      <c r="H387" s="17">
        <f>IF($A387="","",IFERROR(SUMIF(tblMotor[A_Norm],$A387,tblMotor[DesiKargo]),0))</f>
        <v/>
      </c>
      <c r="I387" s="17">
        <f>IF(OR($A387="",$B387&lt;&gt;"tutar_farki"),"",IF(ABS($C387-$D387)&lt;=toleransKurus,"TYK-001",IF(ABS($C387-$E387)&lt;=toleransKurus,"TYK-002",IF(ABS($C387-$F387)&lt;=toleransKurus,"TYK-003",IF(ABS($C387-$G387)&lt;=toleransKurus,"TYK-004",IF(ABS($C387-$H387)&lt;=toleransKurus,"TYK-005","TANIMSIZ"))))))</f>
        <v/>
      </c>
    </row>
    <row r="388">
      <c r="A388" s="23">
        <f>IF('ESLESTIRME'!$A388="","",'ESLESTIRME'!$A388)</f>
        <v/>
      </c>
      <c r="B388" s="17">
        <f>IF($A388="","",IFERROR(INDEX(tblEslesme[Kova],MATCH($A388,tblEslesme[A_Norm],0)),""))</f>
        <v/>
      </c>
      <c r="C388" s="17">
        <f>IF($A388="","",IFERROR(INDEX(tblEslesme[AbsFark],MATCH($A388,tblEslesme[A_Norm],0)),0))</f>
        <v/>
      </c>
      <c r="D388" s="17">
        <f>IF($A388="","",IFERROR(SUMIF(tblMotor[A_Norm],$A388,tblMotor[KomisyonTutar]),0))</f>
        <v/>
      </c>
      <c r="E388" s="17">
        <f>IF($A388="","",IFERROR(SUMIF(tblMotor[A_Norm],$A388,tblMotor[TyPlus]),0))</f>
        <v/>
      </c>
      <c r="F388" s="17">
        <f>IF($A388="","",IFERROR(SUMIF(tblMotor[A_Norm],$A388,tblMotor[FlasKesinti]),0))</f>
        <v/>
      </c>
      <c r="G388" s="17">
        <f>IF($A388="","",IFERROR(SUMIF(tblMotor[A_Norm],$A388,tblMotor[UrunReklam]),0))</f>
        <v/>
      </c>
      <c r="H388" s="17">
        <f>IF($A388="","",IFERROR(SUMIF(tblMotor[A_Norm],$A388,tblMotor[DesiKargo]),0))</f>
        <v/>
      </c>
      <c r="I388" s="17">
        <f>IF(OR($A388="",$B388&lt;&gt;"tutar_farki"),"",IF(ABS($C388-$D388)&lt;=toleransKurus,"TYK-001",IF(ABS($C388-$E388)&lt;=toleransKurus,"TYK-002",IF(ABS($C388-$F388)&lt;=toleransKurus,"TYK-003",IF(ABS($C388-$G388)&lt;=toleransKurus,"TYK-004",IF(ABS($C388-$H388)&lt;=toleransKurus,"TYK-005","TANIMSIZ"))))))</f>
        <v/>
      </c>
    </row>
    <row r="389">
      <c r="A389" s="23">
        <f>IF('ESLESTIRME'!$A389="","",'ESLESTIRME'!$A389)</f>
        <v/>
      </c>
      <c r="B389" s="17">
        <f>IF($A389="","",IFERROR(INDEX(tblEslesme[Kova],MATCH($A389,tblEslesme[A_Norm],0)),""))</f>
        <v/>
      </c>
      <c r="C389" s="17">
        <f>IF($A389="","",IFERROR(INDEX(tblEslesme[AbsFark],MATCH($A389,tblEslesme[A_Norm],0)),0))</f>
        <v/>
      </c>
      <c r="D389" s="17">
        <f>IF($A389="","",IFERROR(SUMIF(tblMotor[A_Norm],$A389,tblMotor[KomisyonTutar]),0))</f>
        <v/>
      </c>
      <c r="E389" s="17">
        <f>IF($A389="","",IFERROR(SUMIF(tblMotor[A_Norm],$A389,tblMotor[TyPlus]),0))</f>
        <v/>
      </c>
      <c r="F389" s="17">
        <f>IF($A389="","",IFERROR(SUMIF(tblMotor[A_Norm],$A389,tblMotor[FlasKesinti]),0))</f>
        <v/>
      </c>
      <c r="G389" s="17">
        <f>IF($A389="","",IFERROR(SUMIF(tblMotor[A_Norm],$A389,tblMotor[UrunReklam]),0))</f>
        <v/>
      </c>
      <c r="H389" s="17">
        <f>IF($A389="","",IFERROR(SUMIF(tblMotor[A_Norm],$A389,tblMotor[DesiKargo]),0))</f>
        <v/>
      </c>
      <c r="I389" s="17">
        <f>IF(OR($A389="",$B389&lt;&gt;"tutar_farki"),"",IF(ABS($C389-$D389)&lt;=toleransKurus,"TYK-001",IF(ABS($C389-$E389)&lt;=toleransKurus,"TYK-002",IF(ABS($C389-$F389)&lt;=toleransKurus,"TYK-003",IF(ABS($C389-$G389)&lt;=toleransKurus,"TYK-004",IF(ABS($C389-$H389)&lt;=toleransKurus,"TYK-005","TANIMSIZ"))))))</f>
        <v/>
      </c>
    </row>
    <row r="390">
      <c r="A390" s="23">
        <f>IF('ESLESTIRME'!$A390="","",'ESLESTIRME'!$A390)</f>
        <v/>
      </c>
      <c r="B390" s="17">
        <f>IF($A390="","",IFERROR(INDEX(tblEslesme[Kova],MATCH($A390,tblEslesme[A_Norm],0)),""))</f>
        <v/>
      </c>
      <c r="C390" s="17">
        <f>IF($A390="","",IFERROR(INDEX(tblEslesme[AbsFark],MATCH($A390,tblEslesme[A_Norm],0)),0))</f>
        <v/>
      </c>
      <c r="D390" s="17">
        <f>IF($A390="","",IFERROR(SUMIF(tblMotor[A_Norm],$A390,tblMotor[KomisyonTutar]),0))</f>
        <v/>
      </c>
      <c r="E390" s="17">
        <f>IF($A390="","",IFERROR(SUMIF(tblMotor[A_Norm],$A390,tblMotor[TyPlus]),0))</f>
        <v/>
      </c>
      <c r="F390" s="17">
        <f>IF($A390="","",IFERROR(SUMIF(tblMotor[A_Norm],$A390,tblMotor[FlasKesinti]),0))</f>
        <v/>
      </c>
      <c r="G390" s="17">
        <f>IF($A390="","",IFERROR(SUMIF(tblMotor[A_Norm],$A390,tblMotor[UrunReklam]),0))</f>
        <v/>
      </c>
      <c r="H390" s="17">
        <f>IF($A390="","",IFERROR(SUMIF(tblMotor[A_Norm],$A390,tblMotor[DesiKargo]),0))</f>
        <v/>
      </c>
      <c r="I390" s="17">
        <f>IF(OR($A390="",$B390&lt;&gt;"tutar_farki"),"",IF(ABS($C390-$D390)&lt;=toleransKurus,"TYK-001",IF(ABS($C390-$E390)&lt;=toleransKurus,"TYK-002",IF(ABS($C390-$F390)&lt;=toleransKurus,"TYK-003",IF(ABS($C390-$G390)&lt;=toleransKurus,"TYK-004",IF(ABS($C390-$H390)&lt;=toleransKurus,"TYK-005","TANIMSIZ"))))))</f>
        <v/>
      </c>
    </row>
    <row r="391">
      <c r="A391" s="23">
        <f>IF('ESLESTIRME'!$A391="","",'ESLESTIRME'!$A391)</f>
        <v/>
      </c>
      <c r="B391" s="17">
        <f>IF($A391="","",IFERROR(INDEX(tblEslesme[Kova],MATCH($A391,tblEslesme[A_Norm],0)),""))</f>
        <v/>
      </c>
      <c r="C391" s="17">
        <f>IF($A391="","",IFERROR(INDEX(tblEslesme[AbsFark],MATCH($A391,tblEslesme[A_Norm],0)),0))</f>
        <v/>
      </c>
      <c r="D391" s="17">
        <f>IF($A391="","",IFERROR(SUMIF(tblMotor[A_Norm],$A391,tblMotor[KomisyonTutar]),0))</f>
        <v/>
      </c>
      <c r="E391" s="17">
        <f>IF($A391="","",IFERROR(SUMIF(tblMotor[A_Norm],$A391,tblMotor[TyPlus]),0))</f>
        <v/>
      </c>
      <c r="F391" s="17">
        <f>IF($A391="","",IFERROR(SUMIF(tblMotor[A_Norm],$A391,tblMotor[FlasKesinti]),0))</f>
        <v/>
      </c>
      <c r="G391" s="17">
        <f>IF($A391="","",IFERROR(SUMIF(tblMotor[A_Norm],$A391,tblMotor[UrunReklam]),0))</f>
        <v/>
      </c>
      <c r="H391" s="17">
        <f>IF($A391="","",IFERROR(SUMIF(tblMotor[A_Norm],$A391,tblMotor[DesiKargo]),0))</f>
        <v/>
      </c>
      <c r="I391" s="17">
        <f>IF(OR($A391="",$B391&lt;&gt;"tutar_farki"),"",IF(ABS($C391-$D391)&lt;=toleransKurus,"TYK-001",IF(ABS($C391-$E391)&lt;=toleransKurus,"TYK-002",IF(ABS($C391-$F391)&lt;=toleransKurus,"TYK-003",IF(ABS($C391-$G391)&lt;=toleransKurus,"TYK-004",IF(ABS($C391-$H391)&lt;=toleransKurus,"TYK-005","TANIMSIZ"))))))</f>
        <v/>
      </c>
    </row>
    <row r="392">
      <c r="A392" s="23">
        <f>IF('ESLESTIRME'!$A392="","",'ESLESTIRME'!$A392)</f>
        <v/>
      </c>
      <c r="B392" s="17">
        <f>IF($A392="","",IFERROR(INDEX(tblEslesme[Kova],MATCH($A392,tblEslesme[A_Norm],0)),""))</f>
        <v/>
      </c>
      <c r="C392" s="17">
        <f>IF($A392="","",IFERROR(INDEX(tblEslesme[AbsFark],MATCH($A392,tblEslesme[A_Norm],0)),0))</f>
        <v/>
      </c>
      <c r="D392" s="17">
        <f>IF($A392="","",IFERROR(SUMIF(tblMotor[A_Norm],$A392,tblMotor[KomisyonTutar]),0))</f>
        <v/>
      </c>
      <c r="E392" s="17">
        <f>IF($A392="","",IFERROR(SUMIF(tblMotor[A_Norm],$A392,tblMotor[TyPlus]),0))</f>
        <v/>
      </c>
      <c r="F392" s="17">
        <f>IF($A392="","",IFERROR(SUMIF(tblMotor[A_Norm],$A392,tblMotor[FlasKesinti]),0))</f>
        <v/>
      </c>
      <c r="G392" s="17">
        <f>IF($A392="","",IFERROR(SUMIF(tblMotor[A_Norm],$A392,tblMotor[UrunReklam]),0))</f>
        <v/>
      </c>
      <c r="H392" s="17">
        <f>IF($A392="","",IFERROR(SUMIF(tblMotor[A_Norm],$A392,tblMotor[DesiKargo]),0))</f>
        <v/>
      </c>
      <c r="I392" s="17">
        <f>IF(OR($A392="",$B392&lt;&gt;"tutar_farki"),"",IF(ABS($C392-$D392)&lt;=toleransKurus,"TYK-001",IF(ABS($C392-$E392)&lt;=toleransKurus,"TYK-002",IF(ABS($C392-$F392)&lt;=toleransKurus,"TYK-003",IF(ABS($C392-$G392)&lt;=toleransKurus,"TYK-004",IF(ABS($C392-$H392)&lt;=toleransKurus,"TYK-005","TANIMSIZ"))))))</f>
        <v/>
      </c>
    </row>
    <row r="393">
      <c r="A393" s="23">
        <f>IF('ESLESTIRME'!$A393="","",'ESLESTIRME'!$A393)</f>
        <v/>
      </c>
      <c r="B393" s="17">
        <f>IF($A393="","",IFERROR(INDEX(tblEslesme[Kova],MATCH($A393,tblEslesme[A_Norm],0)),""))</f>
        <v/>
      </c>
      <c r="C393" s="17">
        <f>IF($A393="","",IFERROR(INDEX(tblEslesme[AbsFark],MATCH($A393,tblEslesme[A_Norm],0)),0))</f>
        <v/>
      </c>
      <c r="D393" s="17">
        <f>IF($A393="","",IFERROR(SUMIF(tblMotor[A_Norm],$A393,tblMotor[KomisyonTutar]),0))</f>
        <v/>
      </c>
      <c r="E393" s="17">
        <f>IF($A393="","",IFERROR(SUMIF(tblMotor[A_Norm],$A393,tblMotor[TyPlus]),0))</f>
        <v/>
      </c>
      <c r="F393" s="17">
        <f>IF($A393="","",IFERROR(SUMIF(tblMotor[A_Norm],$A393,tblMotor[FlasKesinti]),0))</f>
        <v/>
      </c>
      <c r="G393" s="17">
        <f>IF($A393="","",IFERROR(SUMIF(tblMotor[A_Norm],$A393,tblMotor[UrunReklam]),0))</f>
        <v/>
      </c>
      <c r="H393" s="17">
        <f>IF($A393="","",IFERROR(SUMIF(tblMotor[A_Norm],$A393,tblMotor[DesiKargo]),0))</f>
        <v/>
      </c>
      <c r="I393" s="17">
        <f>IF(OR($A393="",$B393&lt;&gt;"tutar_farki"),"",IF(ABS($C393-$D393)&lt;=toleransKurus,"TYK-001",IF(ABS($C393-$E393)&lt;=toleransKurus,"TYK-002",IF(ABS($C393-$F393)&lt;=toleransKurus,"TYK-003",IF(ABS($C393-$G393)&lt;=toleransKurus,"TYK-004",IF(ABS($C393-$H393)&lt;=toleransKurus,"TYK-005","TANIMSIZ"))))))</f>
        <v/>
      </c>
    </row>
    <row r="394">
      <c r="A394" s="23">
        <f>IF('ESLESTIRME'!$A394="","",'ESLESTIRME'!$A394)</f>
        <v/>
      </c>
      <c r="B394" s="17">
        <f>IF($A394="","",IFERROR(INDEX(tblEslesme[Kova],MATCH($A394,tblEslesme[A_Norm],0)),""))</f>
        <v/>
      </c>
      <c r="C394" s="17">
        <f>IF($A394="","",IFERROR(INDEX(tblEslesme[AbsFark],MATCH($A394,tblEslesme[A_Norm],0)),0))</f>
        <v/>
      </c>
      <c r="D394" s="17">
        <f>IF($A394="","",IFERROR(SUMIF(tblMotor[A_Norm],$A394,tblMotor[KomisyonTutar]),0))</f>
        <v/>
      </c>
      <c r="E394" s="17">
        <f>IF($A394="","",IFERROR(SUMIF(tblMotor[A_Norm],$A394,tblMotor[TyPlus]),0))</f>
        <v/>
      </c>
      <c r="F394" s="17">
        <f>IF($A394="","",IFERROR(SUMIF(tblMotor[A_Norm],$A394,tblMotor[FlasKesinti]),0))</f>
        <v/>
      </c>
      <c r="G394" s="17">
        <f>IF($A394="","",IFERROR(SUMIF(tblMotor[A_Norm],$A394,tblMotor[UrunReklam]),0))</f>
        <v/>
      </c>
      <c r="H394" s="17">
        <f>IF($A394="","",IFERROR(SUMIF(tblMotor[A_Norm],$A394,tblMotor[DesiKargo]),0))</f>
        <v/>
      </c>
      <c r="I394" s="17">
        <f>IF(OR($A394="",$B394&lt;&gt;"tutar_farki"),"",IF(ABS($C394-$D394)&lt;=toleransKurus,"TYK-001",IF(ABS($C394-$E394)&lt;=toleransKurus,"TYK-002",IF(ABS($C394-$F394)&lt;=toleransKurus,"TYK-003",IF(ABS($C394-$G394)&lt;=toleransKurus,"TYK-004",IF(ABS($C394-$H394)&lt;=toleransKurus,"TYK-005","TANIMSIZ"))))))</f>
        <v/>
      </c>
    </row>
    <row r="395">
      <c r="A395" s="23">
        <f>IF('ESLESTIRME'!$A395="","",'ESLESTIRME'!$A395)</f>
        <v/>
      </c>
      <c r="B395" s="17">
        <f>IF($A395="","",IFERROR(INDEX(tblEslesme[Kova],MATCH($A395,tblEslesme[A_Norm],0)),""))</f>
        <v/>
      </c>
      <c r="C395" s="17">
        <f>IF($A395="","",IFERROR(INDEX(tblEslesme[AbsFark],MATCH($A395,tblEslesme[A_Norm],0)),0))</f>
        <v/>
      </c>
      <c r="D395" s="17">
        <f>IF($A395="","",IFERROR(SUMIF(tblMotor[A_Norm],$A395,tblMotor[KomisyonTutar]),0))</f>
        <v/>
      </c>
      <c r="E395" s="17">
        <f>IF($A395="","",IFERROR(SUMIF(tblMotor[A_Norm],$A395,tblMotor[TyPlus]),0))</f>
        <v/>
      </c>
      <c r="F395" s="17">
        <f>IF($A395="","",IFERROR(SUMIF(tblMotor[A_Norm],$A395,tblMotor[FlasKesinti]),0))</f>
        <v/>
      </c>
      <c r="G395" s="17">
        <f>IF($A395="","",IFERROR(SUMIF(tblMotor[A_Norm],$A395,tblMotor[UrunReklam]),0))</f>
        <v/>
      </c>
      <c r="H395" s="17">
        <f>IF($A395="","",IFERROR(SUMIF(tblMotor[A_Norm],$A395,tblMotor[DesiKargo]),0))</f>
        <v/>
      </c>
      <c r="I395" s="17">
        <f>IF(OR($A395="",$B395&lt;&gt;"tutar_farki"),"",IF(ABS($C395-$D395)&lt;=toleransKurus,"TYK-001",IF(ABS($C395-$E395)&lt;=toleransKurus,"TYK-002",IF(ABS($C395-$F395)&lt;=toleransKurus,"TYK-003",IF(ABS($C395-$G395)&lt;=toleransKurus,"TYK-004",IF(ABS($C395-$H395)&lt;=toleransKurus,"TYK-005","TANIMSIZ"))))))</f>
        <v/>
      </c>
    </row>
    <row r="396">
      <c r="A396" s="23">
        <f>IF('ESLESTIRME'!$A396="","",'ESLESTIRME'!$A396)</f>
        <v/>
      </c>
      <c r="B396" s="17">
        <f>IF($A396="","",IFERROR(INDEX(tblEslesme[Kova],MATCH($A396,tblEslesme[A_Norm],0)),""))</f>
        <v/>
      </c>
      <c r="C396" s="17">
        <f>IF($A396="","",IFERROR(INDEX(tblEslesme[AbsFark],MATCH($A396,tblEslesme[A_Norm],0)),0))</f>
        <v/>
      </c>
      <c r="D396" s="17">
        <f>IF($A396="","",IFERROR(SUMIF(tblMotor[A_Norm],$A396,tblMotor[KomisyonTutar]),0))</f>
        <v/>
      </c>
      <c r="E396" s="17">
        <f>IF($A396="","",IFERROR(SUMIF(tblMotor[A_Norm],$A396,tblMotor[TyPlus]),0))</f>
        <v/>
      </c>
      <c r="F396" s="17">
        <f>IF($A396="","",IFERROR(SUMIF(tblMotor[A_Norm],$A396,tblMotor[FlasKesinti]),0))</f>
        <v/>
      </c>
      <c r="G396" s="17">
        <f>IF($A396="","",IFERROR(SUMIF(tblMotor[A_Norm],$A396,tblMotor[UrunReklam]),0))</f>
        <v/>
      </c>
      <c r="H396" s="17">
        <f>IF($A396="","",IFERROR(SUMIF(tblMotor[A_Norm],$A396,tblMotor[DesiKargo]),0))</f>
        <v/>
      </c>
      <c r="I396" s="17">
        <f>IF(OR($A396="",$B396&lt;&gt;"tutar_farki"),"",IF(ABS($C396-$D396)&lt;=toleransKurus,"TYK-001",IF(ABS($C396-$E396)&lt;=toleransKurus,"TYK-002",IF(ABS($C396-$F396)&lt;=toleransKurus,"TYK-003",IF(ABS($C396-$G396)&lt;=toleransKurus,"TYK-004",IF(ABS($C396-$H396)&lt;=toleransKurus,"TYK-005","TANIMSIZ"))))))</f>
        <v/>
      </c>
    </row>
    <row r="397">
      <c r="A397" s="23">
        <f>IF('ESLESTIRME'!$A397="","",'ESLESTIRME'!$A397)</f>
        <v/>
      </c>
      <c r="B397" s="17">
        <f>IF($A397="","",IFERROR(INDEX(tblEslesme[Kova],MATCH($A397,tblEslesme[A_Norm],0)),""))</f>
        <v/>
      </c>
      <c r="C397" s="17">
        <f>IF($A397="","",IFERROR(INDEX(tblEslesme[AbsFark],MATCH($A397,tblEslesme[A_Norm],0)),0))</f>
        <v/>
      </c>
      <c r="D397" s="17">
        <f>IF($A397="","",IFERROR(SUMIF(tblMotor[A_Norm],$A397,tblMotor[KomisyonTutar]),0))</f>
        <v/>
      </c>
      <c r="E397" s="17">
        <f>IF($A397="","",IFERROR(SUMIF(tblMotor[A_Norm],$A397,tblMotor[TyPlus]),0))</f>
        <v/>
      </c>
      <c r="F397" s="17">
        <f>IF($A397="","",IFERROR(SUMIF(tblMotor[A_Norm],$A397,tblMotor[FlasKesinti]),0))</f>
        <v/>
      </c>
      <c r="G397" s="17">
        <f>IF($A397="","",IFERROR(SUMIF(tblMotor[A_Norm],$A397,tblMotor[UrunReklam]),0))</f>
        <v/>
      </c>
      <c r="H397" s="17">
        <f>IF($A397="","",IFERROR(SUMIF(tblMotor[A_Norm],$A397,tblMotor[DesiKargo]),0))</f>
        <v/>
      </c>
      <c r="I397" s="17">
        <f>IF(OR($A397="",$B397&lt;&gt;"tutar_farki"),"",IF(ABS($C397-$D397)&lt;=toleransKurus,"TYK-001",IF(ABS($C397-$E397)&lt;=toleransKurus,"TYK-002",IF(ABS($C397-$F397)&lt;=toleransKurus,"TYK-003",IF(ABS($C397-$G397)&lt;=toleransKurus,"TYK-004",IF(ABS($C397-$H397)&lt;=toleransKurus,"TYK-005","TANIMSIZ"))))))</f>
        <v/>
      </c>
    </row>
    <row r="398">
      <c r="A398" s="23">
        <f>IF('ESLESTIRME'!$A398="","",'ESLESTIRME'!$A398)</f>
        <v/>
      </c>
      <c r="B398" s="17">
        <f>IF($A398="","",IFERROR(INDEX(tblEslesme[Kova],MATCH($A398,tblEslesme[A_Norm],0)),""))</f>
        <v/>
      </c>
      <c r="C398" s="17">
        <f>IF($A398="","",IFERROR(INDEX(tblEslesme[AbsFark],MATCH($A398,tblEslesme[A_Norm],0)),0))</f>
        <v/>
      </c>
      <c r="D398" s="17">
        <f>IF($A398="","",IFERROR(SUMIF(tblMotor[A_Norm],$A398,tblMotor[KomisyonTutar]),0))</f>
        <v/>
      </c>
      <c r="E398" s="17">
        <f>IF($A398="","",IFERROR(SUMIF(tblMotor[A_Norm],$A398,tblMotor[TyPlus]),0))</f>
        <v/>
      </c>
      <c r="F398" s="17">
        <f>IF($A398="","",IFERROR(SUMIF(tblMotor[A_Norm],$A398,tblMotor[FlasKesinti]),0))</f>
        <v/>
      </c>
      <c r="G398" s="17">
        <f>IF($A398="","",IFERROR(SUMIF(tblMotor[A_Norm],$A398,tblMotor[UrunReklam]),0))</f>
        <v/>
      </c>
      <c r="H398" s="17">
        <f>IF($A398="","",IFERROR(SUMIF(tblMotor[A_Norm],$A398,tblMotor[DesiKargo]),0))</f>
        <v/>
      </c>
      <c r="I398" s="17">
        <f>IF(OR($A398="",$B398&lt;&gt;"tutar_farki"),"",IF(ABS($C398-$D398)&lt;=toleransKurus,"TYK-001",IF(ABS($C398-$E398)&lt;=toleransKurus,"TYK-002",IF(ABS($C398-$F398)&lt;=toleransKurus,"TYK-003",IF(ABS($C398-$G398)&lt;=toleransKurus,"TYK-004",IF(ABS($C398-$H398)&lt;=toleransKurus,"TYK-005","TANIMSIZ"))))))</f>
        <v/>
      </c>
    </row>
    <row r="399">
      <c r="A399" s="23">
        <f>IF('ESLESTIRME'!$A399="","",'ESLESTIRME'!$A399)</f>
        <v/>
      </c>
      <c r="B399" s="17">
        <f>IF($A399="","",IFERROR(INDEX(tblEslesme[Kova],MATCH($A399,tblEslesme[A_Norm],0)),""))</f>
        <v/>
      </c>
      <c r="C399" s="17">
        <f>IF($A399="","",IFERROR(INDEX(tblEslesme[AbsFark],MATCH($A399,tblEslesme[A_Norm],0)),0))</f>
        <v/>
      </c>
      <c r="D399" s="17">
        <f>IF($A399="","",IFERROR(SUMIF(tblMotor[A_Norm],$A399,tblMotor[KomisyonTutar]),0))</f>
        <v/>
      </c>
      <c r="E399" s="17">
        <f>IF($A399="","",IFERROR(SUMIF(tblMotor[A_Norm],$A399,tblMotor[TyPlus]),0))</f>
        <v/>
      </c>
      <c r="F399" s="17">
        <f>IF($A399="","",IFERROR(SUMIF(tblMotor[A_Norm],$A399,tblMotor[FlasKesinti]),0))</f>
        <v/>
      </c>
      <c r="G399" s="17">
        <f>IF($A399="","",IFERROR(SUMIF(tblMotor[A_Norm],$A399,tblMotor[UrunReklam]),0))</f>
        <v/>
      </c>
      <c r="H399" s="17">
        <f>IF($A399="","",IFERROR(SUMIF(tblMotor[A_Norm],$A399,tblMotor[DesiKargo]),0))</f>
        <v/>
      </c>
      <c r="I399" s="17">
        <f>IF(OR($A399="",$B399&lt;&gt;"tutar_farki"),"",IF(ABS($C399-$D399)&lt;=toleransKurus,"TYK-001",IF(ABS($C399-$E399)&lt;=toleransKurus,"TYK-002",IF(ABS($C399-$F399)&lt;=toleransKurus,"TYK-003",IF(ABS($C399-$G399)&lt;=toleransKurus,"TYK-004",IF(ABS($C399-$H399)&lt;=toleransKurus,"TYK-005","TANIMSIZ"))))))</f>
        <v/>
      </c>
    </row>
    <row r="400">
      <c r="A400" s="23">
        <f>IF('ESLESTIRME'!$A400="","",'ESLESTIRME'!$A400)</f>
        <v/>
      </c>
      <c r="B400" s="17">
        <f>IF($A400="","",IFERROR(INDEX(tblEslesme[Kova],MATCH($A400,tblEslesme[A_Norm],0)),""))</f>
        <v/>
      </c>
      <c r="C400" s="17">
        <f>IF($A400="","",IFERROR(INDEX(tblEslesme[AbsFark],MATCH($A400,tblEslesme[A_Norm],0)),0))</f>
        <v/>
      </c>
      <c r="D400" s="17">
        <f>IF($A400="","",IFERROR(SUMIF(tblMotor[A_Norm],$A400,tblMotor[KomisyonTutar]),0))</f>
        <v/>
      </c>
      <c r="E400" s="17">
        <f>IF($A400="","",IFERROR(SUMIF(tblMotor[A_Norm],$A400,tblMotor[TyPlus]),0))</f>
        <v/>
      </c>
      <c r="F400" s="17">
        <f>IF($A400="","",IFERROR(SUMIF(tblMotor[A_Norm],$A400,tblMotor[FlasKesinti]),0))</f>
        <v/>
      </c>
      <c r="G400" s="17">
        <f>IF($A400="","",IFERROR(SUMIF(tblMotor[A_Norm],$A400,tblMotor[UrunReklam]),0))</f>
        <v/>
      </c>
      <c r="H400" s="17">
        <f>IF($A400="","",IFERROR(SUMIF(tblMotor[A_Norm],$A400,tblMotor[DesiKargo]),0))</f>
        <v/>
      </c>
      <c r="I400" s="17">
        <f>IF(OR($A400="",$B400&lt;&gt;"tutar_farki"),"",IF(ABS($C400-$D400)&lt;=toleransKurus,"TYK-001",IF(ABS($C400-$E400)&lt;=toleransKurus,"TYK-002",IF(ABS($C400-$F400)&lt;=toleransKurus,"TYK-003",IF(ABS($C400-$G400)&lt;=toleransKurus,"TYK-004",IF(ABS($C400-$H400)&lt;=toleransKurus,"TYK-005","TANIMSIZ"))))))</f>
        <v/>
      </c>
    </row>
    <row r="401">
      <c r="A401" s="23">
        <f>IF('ESLESTIRME'!$A401="","",'ESLESTIRME'!$A401)</f>
        <v/>
      </c>
      <c r="B401" s="17">
        <f>IF($A401="","",IFERROR(INDEX(tblEslesme[Kova],MATCH($A401,tblEslesme[A_Norm],0)),""))</f>
        <v/>
      </c>
      <c r="C401" s="17">
        <f>IF($A401="","",IFERROR(INDEX(tblEslesme[AbsFark],MATCH($A401,tblEslesme[A_Norm],0)),0))</f>
        <v/>
      </c>
      <c r="D401" s="17">
        <f>IF($A401="","",IFERROR(SUMIF(tblMotor[A_Norm],$A401,tblMotor[KomisyonTutar]),0))</f>
        <v/>
      </c>
      <c r="E401" s="17">
        <f>IF($A401="","",IFERROR(SUMIF(tblMotor[A_Norm],$A401,tblMotor[TyPlus]),0))</f>
        <v/>
      </c>
      <c r="F401" s="17">
        <f>IF($A401="","",IFERROR(SUMIF(tblMotor[A_Norm],$A401,tblMotor[FlasKesinti]),0))</f>
        <v/>
      </c>
      <c r="G401" s="17">
        <f>IF($A401="","",IFERROR(SUMIF(tblMotor[A_Norm],$A401,tblMotor[UrunReklam]),0))</f>
        <v/>
      </c>
      <c r="H401" s="17">
        <f>IF($A401="","",IFERROR(SUMIF(tblMotor[A_Norm],$A401,tblMotor[DesiKargo]),0))</f>
        <v/>
      </c>
      <c r="I401" s="17">
        <f>IF(OR($A401="",$B401&lt;&gt;"tutar_farki"),"",IF(ABS($C401-$D401)&lt;=toleransKurus,"TYK-001",IF(ABS($C401-$E401)&lt;=toleransKurus,"TYK-002",IF(ABS($C401-$F401)&lt;=toleransKurus,"TYK-003",IF(ABS($C401-$G401)&lt;=toleransKurus,"TYK-004",IF(ABS($C401-$H401)&lt;=toleransKurus,"TYK-005","TANIMSIZ"))))))</f>
        <v/>
      </c>
    </row>
    <row r="402">
      <c r="A402" s="23">
        <f>IF('ESLESTIRME'!$A402="","",'ESLESTIRME'!$A402)</f>
        <v/>
      </c>
      <c r="B402" s="17">
        <f>IF($A402="","",IFERROR(INDEX(tblEslesme[Kova],MATCH($A402,tblEslesme[A_Norm],0)),""))</f>
        <v/>
      </c>
      <c r="C402" s="17">
        <f>IF($A402="","",IFERROR(INDEX(tblEslesme[AbsFark],MATCH($A402,tblEslesme[A_Norm],0)),0))</f>
        <v/>
      </c>
      <c r="D402" s="17">
        <f>IF($A402="","",IFERROR(SUMIF(tblMotor[A_Norm],$A402,tblMotor[KomisyonTutar]),0))</f>
        <v/>
      </c>
      <c r="E402" s="17">
        <f>IF($A402="","",IFERROR(SUMIF(tblMotor[A_Norm],$A402,tblMotor[TyPlus]),0))</f>
        <v/>
      </c>
      <c r="F402" s="17">
        <f>IF($A402="","",IFERROR(SUMIF(tblMotor[A_Norm],$A402,tblMotor[FlasKesinti]),0))</f>
        <v/>
      </c>
      <c r="G402" s="17">
        <f>IF($A402="","",IFERROR(SUMIF(tblMotor[A_Norm],$A402,tblMotor[UrunReklam]),0))</f>
        <v/>
      </c>
      <c r="H402" s="17">
        <f>IF($A402="","",IFERROR(SUMIF(tblMotor[A_Norm],$A402,tblMotor[DesiKargo]),0))</f>
        <v/>
      </c>
      <c r="I402" s="17">
        <f>IF(OR($A402="",$B402&lt;&gt;"tutar_farki"),"",IF(ABS($C402-$D402)&lt;=toleransKurus,"TYK-001",IF(ABS($C402-$E402)&lt;=toleransKurus,"TYK-002",IF(ABS($C402-$F402)&lt;=toleransKurus,"TYK-003",IF(ABS($C402-$G402)&lt;=toleransKurus,"TYK-004",IF(ABS($C402-$H402)&lt;=toleransKurus,"TYK-005","TANIMSIZ"))))))</f>
        <v/>
      </c>
    </row>
    <row r="403">
      <c r="A403" s="23">
        <f>IF('ESLESTIRME'!$A403="","",'ESLESTIRME'!$A403)</f>
        <v/>
      </c>
      <c r="B403" s="17">
        <f>IF($A403="","",IFERROR(INDEX(tblEslesme[Kova],MATCH($A403,tblEslesme[A_Norm],0)),""))</f>
        <v/>
      </c>
      <c r="C403" s="17">
        <f>IF($A403="","",IFERROR(INDEX(tblEslesme[AbsFark],MATCH($A403,tblEslesme[A_Norm],0)),0))</f>
        <v/>
      </c>
      <c r="D403" s="17">
        <f>IF($A403="","",IFERROR(SUMIF(tblMotor[A_Norm],$A403,tblMotor[KomisyonTutar]),0))</f>
        <v/>
      </c>
      <c r="E403" s="17">
        <f>IF($A403="","",IFERROR(SUMIF(tblMotor[A_Norm],$A403,tblMotor[TyPlus]),0))</f>
        <v/>
      </c>
      <c r="F403" s="17">
        <f>IF($A403="","",IFERROR(SUMIF(tblMotor[A_Norm],$A403,tblMotor[FlasKesinti]),0))</f>
        <v/>
      </c>
      <c r="G403" s="17">
        <f>IF($A403="","",IFERROR(SUMIF(tblMotor[A_Norm],$A403,tblMotor[UrunReklam]),0))</f>
        <v/>
      </c>
      <c r="H403" s="17">
        <f>IF($A403="","",IFERROR(SUMIF(tblMotor[A_Norm],$A403,tblMotor[DesiKargo]),0))</f>
        <v/>
      </c>
      <c r="I403" s="17">
        <f>IF(OR($A403="",$B403&lt;&gt;"tutar_farki"),"",IF(ABS($C403-$D403)&lt;=toleransKurus,"TYK-001",IF(ABS($C403-$E403)&lt;=toleransKurus,"TYK-002",IF(ABS($C403-$F403)&lt;=toleransKurus,"TYK-003",IF(ABS($C403-$G403)&lt;=toleransKurus,"TYK-004",IF(ABS($C403-$H403)&lt;=toleransKurus,"TYK-005","TANIMSIZ"))))))</f>
        <v/>
      </c>
    </row>
    <row r="404">
      <c r="A404" s="23">
        <f>IF('ESLESTIRME'!$A404="","",'ESLESTIRME'!$A404)</f>
        <v/>
      </c>
      <c r="B404" s="17">
        <f>IF($A404="","",IFERROR(INDEX(tblEslesme[Kova],MATCH($A404,tblEslesme[A_Norm],0)),""))</f>
        <v/>
      </c>
      <c r="C404" s="17">
        <f>IF($A404="","",IFERROR(INDEX(tblEslesme[AbsFark],MATCH($A404,tblEslesme[A_Norm],0)),0))</f>
        <v/>
      </c>
      <c r="D404" s="17">
        <f>IF($A404="","",IFERROR(SUMIF(tblMotor[A_Norm],$A404,tblMotor[KomisyonTutar]),0))</f>
        <v/>
      </c>
      <c r="E404" s="17">
        <f>IF($A404="","",IFERROR(SUMIF(tblMotor[A_Norm],$A404,tblMotor[TyPlus]),0))</f>
        <v/>
      </c>
      <c r="F404" s="17">
        <f>IF($A404="","",IFERROR(SUMIF(tblMotor[A_Norm],$A404,tblMotor[FlasKesinti]),0))</f>
        <v/>
      </c>
      <c r="G404" s="17">
        <f>IF($A404="","",IFERROR(SUMIF(tblMotor[A_Norm],$A404,tblMotor[UrunReklam]),0))</f>
        <v/>
      </c>
      <c r="H404" s="17">
        <f>IF($A404="","",IFERROR(SUMIF(tblMotor[A_Norm],$A404,tblMotor[DesiKargo]),0))</f>
        <v/>
      </c>
      <c r="I404" s="17">
        <f>IF(OR($A404="",$B404&lt;&gt;"tutar_farki"),"",IF(ABS($C404-$D404)&lt;=toleransKurus,"TYK-001",IF(ABS($C404-$E404)&lt;=toleransKurus,"TYK-002",IF(ABS($C404-$F404)&lt;=toleransKurus,"TYK-003",IF(ABS($C404-$G404)&lt;=toleransKurus,"TYK-004",IF(ABS($C404-$H404)&lt;=toleransKurus,"TYK-005","TANIMSIZ"))))))</f>
        <v/>
      </c>
    </row>
    <row r="405">
      <c r="A405" s="23">
        <f>IF('ESLESTIRME'!$A405="","",'ESLESTIRME'!$A405)</f>
        <v/>
      </c>
      <c r="B405" s="17">
        <f>IF($A405="","",IFERROR(INDEX(tblEslesme[Kova],MATCH($A405,tblEslesme[A_Norm],0)),""))</f>
        <v/>
      </c>
      <c r="C405" s="17">
        <f>IF($A405="","",IFERROR(INDEX(tblEslesme[AbsFark],MATCH($A405,tblEslesme[A_Norm],0)),0))</f>
        <v/>
      </c>
      <c r="D405" s="17">
        <f>IF($A405="","",IFERROR(SUMIF(tblMotor[A_Norm],$A405,tblMotor[KomisyonTutar]),0))</f>
        <v/>
      </c>
      <c r="E405" s="17">
        <f>IF($A405="","",IFERROR(SUMIF(tblMotor[A_Norm],$A405,tblMotor[TyPlus]),0))</f>
        <v/>
      </c>
      <c r="F405" s="17">
        <f>IF($A405="","",IFERROR(SUMIF(tblMotor[A_Norm],$A405,tblMotor[FlasKesinti]),0))</f>
        <v/>
      </c>
      <c r="G405" s="17">
        <f>IF($A405="","",IFERROR(SUMIF(tblMotor[A_Norm],$A405,tblMotor[UrunReklam]),0))</f>
        <v/>
      </c>
      <c r="H405" s="17">
        <f>IF($A405="","",IFERROR(SUMIF(tblMotor[A_Norm],$A405,tblMotor[DesiKargo]),0))</f>
        <v/>
      </c>
      <c r="I405" s="17">
        <f>IF(OR($A405="",$B405&lt;&gt;"tutar_farki"),"",IF(ABS($C405-$D405)&lt;=toleransKurus,"TYK-001",IF(ABS($C405-$E405)&lt;=toleransKurus,"TYK-002",IF(ABS($C405-$F405)&lt;=toleransKurus,"TYK-003",IF(ABS($C405-$G405)&lt;=toleransKurus,"TYK-004",IF(ABS($C405-$H405)&lt;=toleransKurus,"TYK-005","TANIMSIZ"))))))</f>
        <v/>
      </c>
    </row>
    <row r="406">
      <c r="A406" s="23">
        <f>IF('ESLESTIRME'!$A406="","",'ESLESTIRME'!$A406)</f>
        <v/>
      </c>
      <c r="B406" s="17">
        <f>IF($A406="","",IFERROR(INDEX(tblEslesme[Kova],MATCH($A406,tblEslesme[A_Norm],0)),""))</f>
        <v/>
      </c>
      <c r="C406" s="17">
        <f>IF($A406="","",IFERROR(INDEX(tblEslesme[AbsFark],MATCH($A406,tblEslesme[A_Norm],0)),0))</f>
        <v/>
      </c>
      <c r="D406" s="17">
        <f>IF($A406="","",IFERROR(SUMIF(tblMotor[A_Norm],$A406,tblMotor[KomisyonTutar]),0))</f>
        <v/>
      </c>
      <c r="E406" s="17">
        <f>IF($A406="","",IFERROR(SUMIF(tblMotor[A_Norm],$A406,tblMotor[TyPlus]),0))</f>
        <v/>
      </c>
      <c r="F406" s="17">
        <f>IF($A406="","",IFERROR(SUMIF(tblMotor[A_Norm],$A406,tblMotor[FlasKesinti]),0))</f>
        <v/>
      </c>
      <c r="G406" s="17">
        <f>IF($A406="","",IFERROR(SUMIF(tblMotor[A_Norm],$A406,tblMotor[UrunReklam]),0))</f>
        <v/>
      </c>
      <c r="H406" s="17">
        <f>IF($A406="","",IFERROR(SUMIF(tblMotor[A_Norm],$A406,tblMotor[DesiKargo]),0))</f>
        <v/>
      </c>
      <c r="I406" s="17">
        <f>IF(OR($A406="",$B406&lt;&gt;"tutar_farki"),"",IF(ABS($C406-$D406)&lt;=toleransKurus,"TYK-001",IF(ABS($C406-$E406)&lt;=toleransKurus,"TYK-002",IF(ABS($C406-$F406)&lt;=toleransKurus,"TYK-003",IF(ABS($C406-$G406)&lt;=toleransKurus,"TYK-004",IF(ABS($C406-$H406)&lt;=toleransKurus,"TYK-005","TANIMSIZ"))))))</f>
        <v/>
      </c>
    </row>
    <row r="407">
      <c r="A407" s="23">
        <f>IF('ESLESTIRME'!$A407="","",'ESLESTIRME'!$A407)</f>
        <v/>
      </c>
      <c r="B407" s="17">
        <f>IF($A407="","",IFERROR(INDEX(tblEslesme[Kova],MATCH($A407,tblEslesme[A_Norm],0)),""))</f>
        <v/>
      </c>
      <c r="C407" s="17">
        <f>IF($A407="","",IFERROR(INDEX(tblEslesme[AbsFark],MATCH($A407,tblEslesme[A_Norm],0)),0))</f>
        <v/>
      </c>
      <c r="D407" s="17">
        <f>IF($A407="","",IFERROR(SUMIF(tblMotor[A_Norm],$A407,tblMotor[KomisyonTutar]),0))</f>
        <v/>
      </c>
      <c r="E407" s="17">
        <f>IF($A407="","",IFERROR(SUMIF(tblMotor[A_Norm],$A407,tblMotor[TyPlus]),0))</f>
        <v/>
      </c>
      <c r="F407" s="17">
        <f>IF($A407="","",IFERROR(SUMIF(tblMotor[A_Norm],$A407,tblMotor[FlasKesinti]),0))</f>
        <v/>
      </c>
      <c r="G407" s="17">
        <f>IF($A407="","",IFERROR(SUMIF(tblMotor[A_Norm],$A407,tblMotor[UrunReklam]),0))</f>
        <v/>
      </c>
      <c r="H407" s="17">
        <f>IF($A407="","",IFERROR(SUMIF(tblMotor[A_Norm],$A407,tblMotor[DesiKargo]),0))</f>
        <v/>
      </c>
      <c r="I407" s="17">
        <f>IF(OR($A407="",$B407&lt;&gt;"tutar_farki"),"",IF(ABS($C407-$D407)&lt;=toleransKurus,"TYK-001",IF(ABS($C407-$E407)&lt;=toleransKurus,"TYK-002",IF(ABS($C407-$F407)&lt;=toleransKurus,"TYK-003",IF(ABS($C407-$G407)&lt;=toleransKurus,"TYK-004",IF(ABS($C407-$H407)&lt;=toleransKurus,"TYK-005","TANIMSIZ"))))))</f>
        <v/>
      </c>
    </row>
    <row r="408">
      <c r="A408" s="23">
        <f>IF('ESLESTIRME'!$A408="","",'ESLESTIRME'!$A408)</f>
        <v/>
      </c>
      <c r="B408" s="17">
        <f>IF($A408="","",IFERROR(INDEX(tblEslesme[Kova],MATCH($A408,tblEslesme[A_Norm],0)),""))</f>
        <v/>
      </c>
      <c r="C408" s="17">
        <f>IF($A408="","",IFERROR(INDEX(tblEslesme[AbsFark],MATCH($A408,tblEslesme[A_Norm],0)),0))</f>
        <v/>
      </c>
      <c r="D408" s="17">
        <f>IF($A408="","",IFERROR(SUMIF(tblMotor[A_Norm],$A408,tblMotor[KomisyonTutar]),0))</f>
        <v/>
      </c>
      <c r="E408" s="17">
        <f>IF($A408="","",IFERROR(SUMIF(tblMotor[A_Norm],$A408,tblMotor[TyPlus]),0))</f>
        <v/>
      </c>
      <c r="F408" s="17">
        <f>IF($A408="","",IFERROR(SUMIF(tblMotor[A_Norm],$A408,tblMotor[FlasKesinti]),0))</f>
        <v/>
      </c>
      <c r="G408" s="17">
        <f>IF($A408="","",IFERROR(SUMIF(tblMotor[A_Norm],$A408,tblMotor[UrunReklam]),0))</f>
        <v/>
      </c>
      <c r="H408" s="17">
        <f>IF($A408="","",IFERROR(SUMIF(tblMotor[A_Norm],$A408,tblMotor[DesiKargo]),0))</f>
        <v/>
      </c>
      <c r="I408" s="17">
        <f>IF(OR($A408="",$B408&lt;&gt;"tutar_farki"),"",IF(ABS($C408-$D408)&lt;=toleransKurus,"TYK-001",IF(ABS($C408-$E408)&lt;=toleransKurus,"TYK-002",IF(ABS($C408-$F408)&lt;=toleransKurus,"TYK-003",IF(ABS($C408-$G408)&lt;=toleransKurus,"TYK-004",IF(ABS($C408-$H408)&lt;=toleransKurus,"TYK-005","TANIMSIZ"))))))</f>
        <v/>
      </c>
    </row>
    <row r="409">
      <c r="A409" s="23">
        <f>IF('ESLESTIRME'!$A409="","",'ESLESTIRME'!$A409)</f>
        <v/>
      </c>
      <c r="B409" s="17">
        <f>IF($A409="","",IFERROR(INDEX(tblEslesme[Kova],MATCH($A409,tblEslesme[A_Norm],0)),""))</f>
        <v/>
      </c>
      <c r="C409" s="17">
        <f>IF($A409="","",IFERROR(INDEX(tblEslesme[AbsFark],MATCH($A409,tblEslesme[A_Norm],0)),0))</f>
        <v/>
      </c>
      <c r="D409" s="17">
        <f>IF($A409="","",IFERROR(SUMIF(tblMotor[A_Norm],$A409,tblMotor[KomisyonTutar]),0))</f>
        <v/>
      </c>
      <c r="E409" s="17">
        <f>IF($A409="","",IFERROR(SUMIF(tblMotor[A_Norm],$A409,tblMotor[TyPlus]),0))</f>
        <v/>
      </c>
      <c r="F409" s="17">
        <f>IF($A409="","",IFERROR(SUMIF(tblMotor[A_Norm],$A409,tblMotor[FlasKesinti]),0))</f>
        <v/>
      </c>
      <c r="G409" s="17">
        <f>IF($A409="","",IFERROR(SUMIF(tblMotor[A_Norm],$A409,tblMotor[UrunReklam]),0))</f>
        <v/>
      </c>
      <c r="H409" s="17">
        <f>IF($A409="","",IFERROR(SUMIF(tblMotor[A_Norm],$A409,tblMotor[DesiKargo]),0))</f>
        <v/>
      </c>
      <c r="I409" s="17">
        <f>IF(OR($A409="",$B409&lt;&gt;"tutar_farki"),"",IF(ABS($C409-$D409)&lt;=toleransKurus,"TYK-001",IF(ABS($C409-$E409)&lt;=toleransKurus,"TYK-002",IF(ABS($C409-$F409)&lt;=toleransKurus,"TYK-003",IF(ABS($C409-$G409)&lt;=toleransKurus,"TYK-004",IF(ABS($C409-$H409)&lt;=toleransKurus,"TYK-005","TANIMSIZ"))))))</f>
        <v/>
      </c>
    </row>
    <row r="410">
      <c r="A410" s="23">
        <f>IF('ESLESTIRME'!$A410="","",'ESLESTIRME'!$A410)</f>
        <v/>
      </c>
      <c r="B410" s="17">
        <f>IF($A410="","",IFERROR(INDEX(tblEslesme[Kova],MATCH($A410,tblEslesme[A_Norm],0)),""))</f>
        <v/>
      </c>
      <c r="C410" s="17">
        <f>IF($A410="","",IFERROR(INDEX(tblEslesme[AbsFark],MATCH($A410,tblEslesme[A_Norm],0)),0))</f>
        <v/>
      </c>
      <c r="D410" s="17">
        <f>IF($A410="","",IFERROR(SUMIF(tblMotor[A_Norm],$A410,tblMotor[KomisyonTutar]),0))</f>
        <v/>
      </c>
      <c r="E410" s="17">
        <f>IF($A410="","",IFERROR(SUMIF(tblMotor[A_Norm],$A410,tblMotor[TyPlus]),0))</f>
        <v/>
      </c>
      <c r="F410" s="17">
        <f>IF($A410="","",IFERROR(SUMIF(tblMotor[A_Norm],$A410,tblMotor[FlasKesinti]),0))</f>
        <v/>
      </c>
      <c r="G410" s="17">
        <f>IF($A410="","",IFERROR(SUMIF(tblMotor[A_Norm],$A410,tblMotor[UrunReklam]),0))</f>
        <v/>
      </c>
      <c r="H410" s="17">
        <f>IF($A410="","",IFERROR(SUMIF(tblMotor[A_Norm],$A410,tblMotor[DesiKargo]),0))</f>
        <v/>
      </c>
      <c r="I410" s="17">
        <f>IF(OR($A410="",$B410&lt;&gt;"tutar_farki"),"",IF(ABS($C410-$D410)&lt;=toleransKurus,"TYK-001",IF(ABS($C410-$E410)&lt;=toleransKurus,"TYK-002",IF(ABS($C410-$F410)&lt;=toleransKurus,"TYK-003",IF(ABS($C410-$G410)&lt;=toleransKurus,"TYK-004",IF(ABS($C410-$H410)&lt;=toleransKurus,"TYK-005","TANIMSIZ"))))))</f>
        <v/>
      </c>
    </row>
    <row r="411">
      <c r="A411" s="23">
        <f>IF('ESLESTIRME'!$A411="","",'ESLESTIRME'!$A411)</f>
        <v/>
      </c>
      <c r="B411" s="17">
        <f>IF($A411="","",IFERROR(INDEX(tblEslesme[Kova],MATCH($A411,tblEslesme[A_Norm],0)),""))</f>
        <v/>
      </c>
      <c r="C411" s="17">
        <f>IF($A411="","",IFERROR(INDEX(tblEslesme[AbsFark],MATCH($A411,tblEslesme[A_Norm],0)),0))</f>
        <v/>
      </c>
      <c r="D411" s="17">
        <f>IF($A411="","",IFERROR(SUMIF(tblMotor[A_Norm],$A411,tblMotor[KomisyonTutar]),0))</f>
        <v/>
      </c>
      <c r="E411" s="17">
        <f>IF($A411="","",IFERROR(SUMIF(tblMotor[A_Norm],$A411,tblMotor[TyPlus]),0))</f>
        <v/>
      </c>
      <c r="F411" s="17">
        <f>IF($A411="","",IFERROR(SUMIF(tblMotor[A_Norm],$A411,tblMotor[FlasKesinti]),0))</f>
        <v/>
      </c>
      <c r="G411" s="17">
        <f>IF($A411="","",IFERROR(SUMIF(tblMotor[A_Norm],$A411,tblMotor[UrunReklam]),0))</f>
        <v/>
      </c>
      <c r="H411" s="17">
        <f>IF($A411="","",IFERROR(SUMIF(tblMotor[A_Norm],$A411,tblMotor[DesiKargo]),0))</f>
        <v/>
      </c>
      <c r="I411" s="17">
        <f>IF(OR($A411="",$B411&lt;&gt;"tutar_farki"),"",IF(ABS($C411-$D411)&lt;=toleransKurus,"TYK-001",IF(ABS($C411-$E411)&lt;=toleransKurus,"TYK-002",IF(ABS($C411-$F411)&lt;=toleransKurus,"TYK-003",IF(ABS($C411-$G411)&lt;=toleransKurus,"TYK-004",IF(ABS($C411-$H411)&lt;=toleransKurus,"TYK-005","TANIMSIZ"))))))</f>
        <v/>
      </c>
    </row>
    <row r="412">
      <c r="A412" s="23">
        <f>IF('ESLESTIRME'!$A412="","",'ESLESTIRME'!$A412)</f>
        <v/>
      </c>
      <c r="B412" s="17">
        <f>IF($A412="","",IFERROR(INDEX(tblEslesme[Kova],MATCH($A412,tblEslesme[A_Norm],0)),""))</f>
        <v/>
      </c>
      <c r="C412" s="17">
        <f>IF($A412="","",IFERROR(INDEX(tblEslesme[AbsFark],MATCH($A412,tblEslesme[A_Norm],0)),0))</f>
        <v/>
      </c>
      <c r="D412" s="17">
        <f>IF($A412="","",IFERROR(SUMIF(tblMotor[A_Norm],$A412,tblMotor[KomisyonTutar]),0))</f>
        <v/>
      </c>
      <c r="E412" s="17">
        <f>IF($A412="","",IFERROR(SUMIF(tblMotor[A_Norm],$A412,tblMotor[TyPlus]),0))</f>
        <v/>
      </c>
      <c r="F412" s="17">
        <f>IF($A412="","",IFERROR(SUMIF(tblMotor[A_Norm],$A412,tblMotor[FlasKesinti]),0))</f>
        <v/>
      </c>
      <c r="G412" s="17">
        <f>IF($A412="","",IFERROR(SUMIF(tblMotor[A_Norm],$A412,tblMotor[UrunReklam]),0))</f>
        <v/>
      </c>
      <c r="H412" s="17">
        <f>IF($A412="","",IFERROR(SUMIF(tblMotor[A_Norm],$A412,tblMotor[DesiKargo]),0))</f>
        <v/>
      </c>
      <c r="I412" s="17">
        <f>IF(OR($A412="",$B412&lt;&gt;"tutar_farki"),"",IF(ABS($C412-$D412)&lt;=toleransKurus,"TYK-001",IF(ABS($C412-$E412)&lt;=toleransKurus,"TYK-002",IF(ABS($C412-$F412)&lt;=toleransKurus,"TYK-003",IF(ABS($C412-$G412)&lt;=toleransKurus,"TYK-004",IF(ABS($C412-$H412)&lt;=toleransKurus,"TYK-005","TANIMSIZ"))))))</f>
        <v/>
      </c>
    </row>
    <row r="413">
      <c r="A413" s="23">
        <f>IF('ESLESTIRME'!$A413="","",'ESLESTIRME'!$A413)</f>
        <v/>
      </c>
      <c r="B413" s="17">
        <f>IF($A413="","",IFERROR(INDEX(tblEslesme[Kova],MATCH($A413,tblEslesme[A_Norm],0)),""))</f>
        <v/>
      </c>
      <c r="C413" s="17">
        <f>IF($A413="","",IFERROR(INDEX(tblEslesme[AbsFark],MATCH($A413,tblEslesme[A_Norm],0)),0))</f>
        <v/>
      </c>
      <c r="D413" s="17">
        <f>IF($A413="","",IFERROR(SUMIF(tblMotor[A_Norm],$A413,tblMotor[KomisyonTutar]),0))</f>
        <v/>
      </c>
      <c r="E413" s="17">
        <f>IF($A413="","",IFERROR(SUMIF(tblMotor[A_Norm],$A413,tblMotor[TyPlus]),0))</f>
        <v/>
      </c>
      <c r="F413" s="17">
        <f>IF($A413="","",IFERROR(SUMIF(tblMotor[A_Norm],$A413,tblMotor[FlasKesinti]),0))</f>
        <v/>
      </c>
      <c r="G413" s="17">
        <f>IF($A413="","",IFERROR(SUMIF(tblMotor[A_Norm],$A413,tblMotor[UrunReklam]),0))</f>
        <v/>
      </c>
      <c r="H413" s="17">
        <f>IF($A413="","",IFERROR(SUMIF(tblMotor[A_Norm],$A413,tblMotor[DesiKargo]),0))</f>
        <v/>
      </c>
      <c r="I413" s="17">
        <f>IF(OR($A413="",$B413&lt;&gt;"tutar_farki"),"",IF(ABS($C413-$D413)&lt;=toleransKurus,"TYK-001",IF(ABS($C413-$E413)&lt;=toleransKurus,"TYK-002",IF(ABS($C413-$F413)&lt;=toleransKurus,"TYK-003",IF(ABS($C413-$G413)&lt;=toleransKurus,"TYK-004",IF(ABS($C413-$H413)&lt;=toleransKurus,"TYK-005","TANIMSIZ"))))))</f>
        <v/>
      </c>
    </row>
    <row r="414">
      <c r="A414" s="23">
        <f>IF('ESLESTIRME'!$A414="","",'ESLESTIRME'!$A414)</f>
        <v/>
      </c>
      <c r="B414" s="17">
        <f>IF($A414="","",IFERROR(INDEX(tblEslesme[Kova],MATCH($A414,tblEslesme[A_Norm],0)),""))</f>
        <v/>
      </c>
      <c r="C414" s="17">
        <f>IF($A414="","",IFERROR(INDEX(tblEslesme[AbsFark],MATCH($A414,tblEslesme[A_Norm],0)),0))</f>
        <v/>
      </c>
      <c r="D414" s="17">
        <f>IF($A414="","",IFERROR(SUMIF(tblMotor[A_Norm],$A414,tblMotor[KomisyonTutar]),0))</f>
        <v/>
      </c>
      <c r="E414" s="17">
        <f>IF($A414="","",IFERROR(SUMIF(tblMotor[A_Norm],$A414,tblMotor[TyPlus]),0))</f>
        <v/>
      </c>
      <c r="F414" s="17">
        <f>IF($A414="","",IFERROR(SUMIF(tblMotor[A_Norm],$A414,tblMotor[FlasKesinti]),0))</f>
        <v/>
      </c>
      <c r="G414" s="17">
        <f>IF($A414="","",IFERROR(SUMIF(tblMotor[A_Norm],$A414,tblMotor[UrunReklam]),0))</f>
        <v/>
      </c>
      <c r="H414" s="17">
        <f>IF($A414="","",IFERROR(SUMIF(tblMotor[A_Norm],$A414,tblMotor[DesiKargo]),0))</f>
        <v/>
      </c>
      <c r="I414" s="17">
        <f>IF(OR($A414="",$B414&lt;&gt;"tutar_farki"),"",IF(ABS($C414-$D414)&lt;=toleransKurus,"TYK-001",IF(ABS($C414-$E414)&lt;=toleransKurus,"TYK-002",IF(ABS($C414-$F414)&lt;=toleransKurus,"TYK-003",IF(ABS($C414-$G414)&lt;=toleransKurus,"TYK-004",IF(ABS($C414-$H414)&lt;=toleransKurus,"TYK-005","TANIMSIZ"))))))</f>
        <v/>
      </c>
    </row>
    <row r="415">
      <c r="A415" s="23">
        <f>IF('ESLESTIRME'!$A415="","",'ESLESTIRME'!$A415)</f>
        <v/>
      </c>
      <c r="B415" s="17">
        <f>IF($A415="","",IFERROR(INDEX(tblEslesme[Kova],MATCH($A415,tblEslesme[A_Norm],0)),""))</f>
        <v/>
      </c>
      <c r="C415" s="17">
        <f>IF($A415="","",IFERROR(INDEX(tblEslesme[AbsFark],MATCH($A415,tblEslesme[A_Norm],0)),0))</f>
        <v/>
      </c>
      <c r="D415" s="17">
        <f>IF($A415="","",IFERROR(SUMIF(tblMotor[A_Norm],$A415,tblMotor[KomisyonTutar]),0))</f>
        <v/>
      </c>
      <c r="E415" s="17">
        <f>IF($A415="","",IFERROR(SUMIF(tblMotor[A_Norm],$A415,tblMotor[TyPlus]),0))</f>
        <v/>
      </c>
      <c r="F415" s="17">
        <f>IF($A415="","",IFERROR(SUMIF(tblMotor[A_Norm],$A415,tblMotor[FlasKesinti]),0))</f>
        <v/>
      </c>
      <c r="G415" s="17">
        <f>IF($A415="","",IFERROR(SUMIF(tblMotor[A_Norm],$A415,tblMotor[UrunReklam]),0))</f>
        <v/>
      </c>
      <c r="H415" s="17">
        <f>IF($A415="","",IFERROR(SUMIF(tblMotor[A_Norm],$A415,tblMotor[DesiKargo]),0))</f>
        <v/>
      </c>
      <c r="I415" s="17">
        <f>IF(OR($A415="",$B415&lt;&gt;"tutar_farki"),"",IF(ABS($C415-$D415)&lt;=toleransKurus,"TYK-001",IF(ABS($C415-$E415)&lt;=toleransKurus,"TYK-002",IF(ABS($C415-$F415)&lt;=toleransKurus,"TYK-003",IF(ABS($C415-$G415)&lt;=toleransKurus,"TYK-004",IF(ABS($C415-$H415)&lt;=toleransKurus,"TYK-005","TANIMSIZ"))))))</f>
        <v/>
      </c>
    </row>
    <row r="416">
      <c r="A416" s="23">
        <f>IF('ESLESTIRME'!$A416="","",'ESLESTIRME'!$A416)</f>
        <v/>
      </c>
      <c r="B416" s="17">
        <f>IF($A416="","",IFERROR(INDEX(tblEslesme[Kova],MATCH($A416,tblEslesme[A_Norm],0)),""))</f>
        <v/>
      </c>
      <c r="C416" s="17">
        <f>IF($A416="","",IFERROR(INDEX(tblEslesme[AbsFark],MATCH($A416,tblEslesme[A_Norm],0)),0))</f>
        <v/>
      </c>
      <c r="D416" s="17">
        <f>IF($A416="","",IFERROR(SUMIF(tblMotor[A_Norm],$A416,tblMotor[KomisyonTutar]),0))</f>
        <v/>
      </c>
      <c r="E416" s="17">
        <f>IF($A416="","",IFERROR(SUMIF(tblMotor[A_Norm],$A416,tblMotor[TyPlus]),0))</f>
        <v/>
      </c>
      <c r="F416" s="17">
        <f>IF($A416="","",IFERROR(SUMIF(tblMotor[A_Norm],$A416,tblMotor[FlasKesinti]),0))</f>
        <v/>
      </c>
      <c r="G416" s="17">
        <f>IF($A416="","",IFERROR(SUMIF(tblMotor[A_Norm],$A416,tblMotor[UrunReklam]),0))</f>
        <v/>
      </c>
      <c r="H416" s="17">
        <f>IF($A416="","",IFERROR(SUMIF(tblMotor[A_Norm],$A416,tblMotor[DesiKargo]),0))</f>
        <v/>
      </c>
      <c r="I416" s="17">
        <f>IF(OR($A416="",$B416&lt;&gt;"tutar_farki"),"",IF(ABS($C416-$D416)&lt;=toleransKurus,"TYK-001",IF(ABS($C416-$E416)&lt;=toleransKurus,"TYK-002",IF(ABS($C416-$F416)&lt;=toleransKurus,"TYK-003",IF(ABS($C416-$G416)&lt;=toleransKurus,"TYK-004",IF(ABS($C416-$H416)&lt;=toleransKurus,"TYK-005","TANIMSIZ"))))))</f>
        <v/>
      </c>
    </row>
    <row r="417">
      <c r="A417" s="23">
        <f>IF('ESLESTIRME'!$A417="","",'ESLESTIRME'!$A417)</f>
        <v/>
      </c>
      <c r="B417" s="17">
        <f>IF($A417="","",IFERROR(INDEX(tblEslesme[Kova],MATCH($A417,tblEslesme[A_Norm],0)),""))</f>
        <v/>
      </c>
      <c r="C417" s="17">
        <f>IF($A417="","",IFERROR(INDEX(tblEslesme[AbsFark],MATCH($A417,tblEslesme[A_Norm],0)),0))</f>
        <v/>
      </c>
      <c r="D417" s="17">
        <f>IF($A417="","",IFERROR(SUMIF(tblMotor[A_Norm],$A417,tblMotor[KomisyonTutar]),0))</f>
        <v/>
      </c>
      <c r="E417" s="17">
        <f>IF($A417="","",IFERROR(SUMIF(tblMotor[A_Norm],$A417,tblMotor[TyPlus]),0))</f>
        <v/>
      </c>
      <c r="F417" s="17">
        <f>IF($A417="","",IFERROR(SUMIF(tblMotor[A_Norm],$A417,tblMotor[FlasKesinti]),0))</f>
        <v/>
      </c>
      <c r="G417" s="17">
        <f>IF($A417="","",IFERROR(SUMIF(tblMotor[A_Norm],$A417,tblMotor[UrunReklam]),0))</f>
        <v/>
      </c>
      <c r="H417" s="17">
        <f>IF($A417="","",IFERROR(SUMIF(tblMotor[A_Norm],$A417,tblMotor[DesiKargo]),0))</f>
        <v/>
      </c>
      <c r="I417" s="17">
        <f>IF(OR($A417="",$B417&lt;&gt;"tutar_farki"),"",IF(ABS($C417-$D417)&lt;=toleransKurus,"TYK-001",IF(ABS($C417-$E417)&lt;=toleransKurus,"TYK-002",IF(ABS($C417-$F417)&lt;=toleransKurus,"TYK-003",IF(ABS($C417-$G417)&lt;=toleransKurus,"TYK-004",IF(ABS($C417-$H417)&lt;=toleransKurus,"TYK-005","TANIMSIZ"))))))</f>
        <v/>
      </c>
    </row>
    <row r="418">
      <c r="A418" s="23">
        <f>IF('ESLESTIRME'!$A418="","",'ESLESTIRME'!$A418)</f>
        <v/>
      </c>
      <c r="B418" s="17">
        <f>IF($A418="","",IFERROR(INDEX(tblEslesme[Kova],MATCH($A418,tblEslesme[A_Norm],0)),""))</f>
        <v/>
      </c>
      <c r="C418" s="17">
        <f>IF($A418="","",IFERROR(INDEX(tblEslesme[AbsFark],MATCH($A418,tblEslesme[A_Norm],0)),0))</f>
        <v/>
      </c>
      <c r="D418" s="17">
        <f>IF($A418="","",IFERROR(SUMIF(tblMotor[A_Norm],$A418,tblMotor[KomisyonTutar]),0))</f>
        <v/>
      </c>
      <c r="E418" s="17">
        <f>IF($A418="","",IFERROR(SUMIF(tblMotor[A_Norm],$A418,tblMotor[TyPlus]),0))</f>
        <v/>
      </c>
      <c r="F418" s="17">
        <f>IF($A418="","",IFERROR(SUMIF(tblMotor[A_Norm],$A418,tblMotor[FlasKesinti]),0))</f>
        <v/>
      </c>
      <c r="G418" s="17">
        <f>IF($A418="","",IFERROR(SUMIF(tblMotor[A_Norm],$A418,tblMotor[UrunReklam]),0))</f>
        <v/>
      </c>
      <c r="H418" s="17">
        <f>IF($A418="","",IFERROR(SUMIF(tblMotor[A_Norm],$A418,tblMotor[DesiKargo]),0))</f>
        <v/>
      </c>
      <c r="I418" s="17">
        <f>IF(OR($A418="",$B418&lt;&gt;"tutar_farki"),"",IF(ABS($C418-$D418)&lt;=toleransKurus,"TYK-001",IF(ABS($C418-$E418)&lt;=toleransKurus,"TYK-002",IF(ABS($C418-$F418)&lt;=toleransKurus,"TYK-003",IF(ABS($C418-$G418)&lt;=toleransKurus,"TYK-004",IF(ABS($C418-$H418)&lt;=toleransKurus,"TYK-005","TANIMSIZ"))))))</f>
        <v/>
      </c>
    </row>
    <row r="419">
      <c r="A419" s="23">
        <f>IF('ESLESTIRME'!$A419="","",'ESLESTIRME'!$A419)</f>
        <v/>
      </c>
      <c r="B419" s="17">
        <f>IF($A419="","",IFERROR(INDEX(tblEslesme[Kova],MATCH($A419,tblEslesme[A_Norm],0)),""))</f>
        <v/>
      </c>
      <c r="C419" s="17">
        <f>IF($A419="","",IFERROR(INDEX(tblEslesme[AbsFark],MATCH($A419,tblEslesme[A_Norm],0)),0))</f>
        <v/>
      </c>
      <c r="D419" s="17">
        <f>IF($A419="","",IFERROR(SUMIF(tblMotor[A_Norm],$A419,tblMotor[KomisyonTutar]),0))</f>
        <v/>
      </c>
      <c r="E419" s="17">
        <f>IF($A419="","",IFERROR(SUMIF(tblMotor[A_Norm],$A419,tblMotor[TyPlus]),0))</f>
        <v/>
      </c>
      <c r="F419" s="17">
        <f>IF($A419="","",IFERROR(SUMIF(tblMotor[A_Norm],$A419,tblMotor[FlasKesinti]),0))</f>
        <v/>
      </c>
      <c r="G419" s="17">
        <f>IF($A419="","",IFERROR(SUMIF(tblMotor[A_Norm],$A419,tblMotor[UrunReklam]),0))</f>
        <v/>
      </c>
      <c r="H419" s="17">
        <f>IF($A419="","",IFERROR(SUMIF(tblMotor[A_Norm],$A419,tblMotor[DesiKargo]),0))</f>
        <v/>
      </c>
      <c r="I419" s="17">
        <f>IF(OR($A419="",$B419&lt;&gt;"tutar_farki"),"",IF(ABS($C419-$D419)&lt;=toleransKurus,"TYK-001",IF(ABS($C419-$E419)&lt;=toleransKurus,"TYK-002",IF(ABS($C419-$F419)&lt;=toleransKurus,"TYK-003",IF(ABS($C419-$G419)&lt;=toleransKurus,"TYK-004",IF(ABS($C419-$H419)&lt;=toleransKurus,"TYK-005","TANIMSIZ"))))))</f>
        <v/>
      </c>
    </row>
    <row r="420">
      <c r="A420" s="23">
        <f>IF('ESLESTIRME'!$A420="","",'ESLESTIRME'!$A420)</f>
        <v/>
      </c>
      <c r="B420" s="17">
        <f>IF($A420="","",IFERROR(INDEX(tblEslesme[Kova],MATCH($A420,tblEslesme[A_Norm],0)),""))</f>
        <v/>
      </c>
      <c r="C420" s="17">
        <f>IF($A420="","",IFERROR(INDEX(tblEslesme[AbsFark],MATCH($A420,tblEslesme[A_Norm],0)),0))</f>
        <v/>
      </c>
      <c r="D420" s="17">
        <f>IF($A420="","",IFERROR(SUMIF(tblMotor[A_Norm],$A420,tblMotor[KomisyonTutar]),0))</f>
        <v/>
      </c>
      <c r="E420" s="17">
        <f>IF($A420="","",IFERROR(SUMIF(tblMotor[A_Norm],$A420,tblMotor[TyPlus]),0))</f>
        <v/>
      </c>
      <c r="F420" s="17">
        <f>IF($A420="","",IFERROR(SUMIF(tblMotor[A_Norm],$A420,tblMotor[FlasKesinti]),0))</f>
        <v/>
      </c>
      <c r="G420" s="17">
        <f>IF($A420="","",IFERROR(SUMIF(tblMotor[A_Norm],$A420,tblMotor[UrunReklam]),0))</f>
        <v/>
      </c>
      <c r="H420" s="17">
        <f>IF($A420="","",IFERROR(SUMIF(tblMotor[A_Norm],$A420,tblMotor[DesiKargo]),0))</f>
        <v/>
      </c>
      <c r="I420" s="17">
        <f>IF(OR($A420="",$B420&lt;&gt;"tutar_farki"),"",IF(ABS($C420-$D420)&lt;=toleransKurus,"TYK-001",IF(ABS($C420-$E420)&lt;=toleransKurus,"TYK-002",IF(ABS($C420-$F420)&lt;=toleransKurus,"TYK-003",IF(ABS($C420-$G420)&lt;=toleransKurus,"TYK-004",IF(ABS($C420-$H420)&lt;=toleransKurus,"TYK-005","TANIMSIZ"))))))</f>
        <v/>
      </c>
    </row>
    <row r="421">
      <c r="A421" s="23">
        <f>IF('ESLESTIRME'!$A421="","",'ESLESTIRME'!$A421)</f>
        <v/>
      </c>
      <c r="B421" s="17">
        <f>IF($A421="","",IFERROR(INDEX(tblEslesme[Kova],MATCH($A421,tblEslesme[A_Norm],0)),""))</f>
        <v/>
      </c>
      <c r="C421" s="17">
        <f>IF($A421="","",IFERROR(INDEX(tblEslesme[AbsFark],MATCH($A421,tblEslesme[A_Norm],0)),0))</f>
        <v/>
      </c>
      <c r="D421" s="17">
        <f>IF($A421="","",IFERROR(SUMIF(tblMotor[A_Norm],$A421,tblMotor[KomisyonTutar]),0))</f>
        <v/>
      </c>
      <c r="E421" s="17">
        <f>IF($A421="","",IFERROR(SUMIF(tblMotor[A_Norm],$A421,tblMotor[TyPlus]),0))</f>
        <v/>
      </c>
      <c r="F421" s="17">
        <f>IF($A421="","",IFERROR(SUMIF(tblMotor[A_Norm],$A421,tblMotor[FlasKesinti]),0))</f>
        <v/>
      </c>
      <c r="G421" s="17">
        <f>IF($A421="","",IFERROR(SUMIF(tblMotor[A_Norm],$A421,tblMotor[UrunReklam]),0))</f>
        <v/>
      </c>
      <c r="H421" s="17">
        <f>IF($A421="","",IFERROR(SUMIF(tblMotor[A_Norm],$A421,tblMotor[DesiKargo]),0))</f>
        <v/>
      </c>
      <c r="I421" s="17">
        <f>IF(OR($A421="",$B421&lt;&gt;"tutar_farki"),"",IF(ABS($C421-$D421)&lt;=toleransKurus,"TYK-001",IF(ABS($C421-$E421)&lt;=toleransKurus,"TYK-002",IF(ABS($C421-$F421)&lt;=toleransKurus,"TYK-003",IF(ABS($C421-$G421)&lt;=toleransKurus,"TYK-004",IF(ABS($C421-$H421)&lt;=toleransKurus,"TYK-005","TANIMSIZ"))))))</f>
        <v/>
      </c>
    </row>
    <row r="422">
      <c r="A422" s="23">
        <f>IF('ESLESTIRME'!$A422="","",'ESLESTIRME'!$A422)</f>
        <v/>
      </c>
      <c r="B422" s="17">
        <f>IF($A422="","",IFERROR(INDEX(tblEslesme[Kova],MATCH($A422,tblEslesme[A_Norm],0)),""))</f>
        <v/>
      </c>
      <c r="C422" s="17">
        <f>IF($A422="","",IFERROR(INDEX(tblEslesme[AbsFark],MATCH($A422,tblEslesme[A_Norm],0)),0))</f>
        <v/>
      </c>
      <c r="D422" s="17">
        <f>IF($A422="","",IFERROR(SUMIF(tblMotor[A_Norm],$A422,tblMotor[KomisyonTutar]),0))</f>
        <v/>
      </c>
      <c r="E422" s="17">
        <f>IF($A422="","",IFERROR(SUMIF(tblMotor[A_Norm],$A422,tblMotor[TyPlus]),0))</f>
        <v/>
      </c>
      <c r="F422" s="17">
        <f>IF($A422="","",IFERROR(SUMIF(tblMotor[A_Norm],$A422,tblMotor[FlasKesinti]),0))</f>
        <v/>
      </c>
      <c r="G422" s="17">
        <f>IF($A422="","",IFERROR(SUMIF(tblMotor[A_Norm],$A422,tblMotor[UrunReklam]),0))</f>
        <v/>
      </c>
      <c r="H422" s="17">
        <f>IF($A422="","",IFERROR(SUMIF(tblMotor[A_Norm],$A422,tblMotor[DesiKargo]),0))</f>
        <v/>
      </c>
      <c r="I422" s="17">
        <f>IF(OR($A422="",$B422&lt;&gt;"tutar_farki"),"",IF(ABS($C422-$D422)&lt;=toleransKurus,"TYK-001",IF(ABS($C422-$E422)&lt;=toleransKurus,"TYK-002",IF(ABS($C422-$F422)&lt;=toleransKurus,"TYK-003",IF(ABS($C422-$G422)&lt;=toleransKurus,"TYK-004",IF(ABS($C422-$H422)&lt;=toleransKurus,"TYK-005","TANIMSIZ"))))))</f>
        <v/>
      </c>
    </row>
    <row r="423">
      <c r="A423" s="23">
        <f>IF('ESLESTIRME'!$A423="","",'ESLESTIRME'!$A423)</f>
        <v/>
      </c>
      <c r="B423" s="17">
        <f>IF($A423="","",IFERROR(INDEX(tblEslesme[Kova],MATCH($A423,tblEslesme[A_Norm],0)),""))</f>
        <v/>
      </c>
      <c r="C423" s="17">
        <f>IF($A423="","",IFERROR(INDEX(tblEslesme[AbsFark],MATCH($A423,tblEslesme[A_Norm],0)),0))</f>
        <v/>
      </c>
      <c r="D423" s="17">
        <f>IF($A423="","",IFERROR(SUMIF(tblMotor[A_Norm],$A423,tblMotor[KomisyonTutar]),0))</f>
        <v/>
      </c>
      <c r="E423" s="17">
        <f>IF($A423="","",IFERROR(SUMIF(tblMotor[A_Norm],$A423,tblMotor[TyPlus]),0))</f>
        <v/>
      </c>
      <c r="F423" s="17">
        <f>IF($A423="","",IFERROR(SUMIF(tblMotor[A_Norm],$A423,tblMotor[FlasKesinti]),0))</f>
        <v/>
      </c>
      <c r="G423" s="17">
        <f>IF($A423="","",IFERROR(SUMIF(tblMotor[A_Norm],$A423,tblMotor[UrunReklam]),0))</f>
        <v/>
      </c>
      <c r="H423" s="17">
        <f>IF($A423="","",IFERROR(SUMIF(tblMotor[A_Norm],$A423,tblMotor[DesiKargo]),0))</f>
        <v/>
      </c>
      <c r="I423" s="17">
        <f>IF(OR($A423="",$B423&lt;&gt;"tutar_farki"),"",IF(ABS($C423-$D423)&lt;=toleransKurus,"TYK-001",IF(ABS($C423-$E423)&lt;=toleransKurus,"TYK-002",IF(ABS($C423-$F423)&lt;=toleransKurus,"TYK-003",IF(ABS($C423-$G423)&lt;=toleransKurus,"TYK-004",IF(ABS($C423-$H423)&lt;=toleransKurus,"TYK-005","TANIMSIZ"))))))</f>
        <v/>
      </c>
    </row>
    <row r="424">
      <c r="A424" s="23">
        <f>IF('ESLESTIRME'!$A424="","",'ESLESTIRME'!$A424)</f>
        <v/>
      </c>
      <c r="B424" s="17">
        <f>IF($A424="","",IFERROR(INDEX(tblEslesme[Kova],MATCH($A424,tblEslesme[A_Norm],0)),""))</f>
        <v/>
      </c>
      <c r="C424" s="17">
        <f>IF($A424="","",IFERROR(INDEX(tblEslesme[AbsFark],MATCH($A424,tblEslesme[A_Norm],0)),0))</f>
        <v/>
      </c>
      <c r="D424" s="17">
        <f>IF($A424="","",IFERROR(SUMIF(tblMotor[A_Norm],$A424,tblMotor[KomisyonTutar]),0))</f>
        <v/>
      </c>
      <c r="E424" s="17">
        <f>IF($A424="","",IFERROR(SUMIF(tblMotor[A_Norm],$A424,tblMotor[TyPlus]),0))</f>
        <v/>
      </c>
      <c r="F424" s="17">
        <f>IF($A424="","",IFERROR(SUMIF(tblMotor[A_Norm],$A424,tblMotor[FlasKesinti]),0))</f>
        <v/>
      </c>
      <c r="G424" s="17">
        <f>IF($A424="","",IFERROR(SUMIF(tblMotor[A_Norm],$A424,tblMotor[UrunReklam]),0))</f>
        <v/>
      </c>
      <c r="H424" s="17">
        <f>IF($A424="","",IFERROR(SUMIF(tblMotor[A_Norm],$A424,tblMotor[DesiKargo]),0))</f>
        <v/>
      </c>
      <c r="I424" s="17">
        <f>IF(OR($A424="",$B424&lt;&gt;"tutar_farki"),"",IF(ABS($C424-$D424)&lt;=toleransKurus,"TYK-001",IF(ABS($C424-$E424)&lt;=toleransKurus,"TYK-002",IF(ABS($C424-$F424)&lt;=toleransKurus,"TYK-003",IF(ABS($C424-$G424)&lt;=toleransKurus,"TYK-004",IF(ABS($C424-$H424)&lt;=toleransKurus,"TYK-005","TANIMSIZ"))))))</f>
        <v/>
      </c>
    </row>
    <row r="425">
      <c r="A425" s="23">
        <f>IF('ESLESTIRME'!$A425="","",'ESLESTIRME'!$A425)</f>
        <v/>
      </c>
      <c r="B425" s="17">
        <f>IF($A425="","",IFERROR(INDEX(tblEslesme[Kova],MATCH($A425,tblEslesme[A_Norm],0)),""))</f>
        <v/>
      </c>
      <c r="C425" s="17">
        <f>IF($A425="","",IFERROR(INDEX(tblEslesme[AbsFark],MATCH($A425,tblEslesme[A_Norm],0)),0))</f>
        <v/>
      </c>
      <c r="D425" s="17">
        <f>IF($A425="","",IFERROR(SUMIF(tblMotor[A_Norm],$A425,tblMotor[KomisyonTutar]),0))</f>
        <v/>
      </c>
      <c r="E425" s="17">
        <f>IF($A425="","",IFERROR(SUMIF(tblMotor[A_Norm],$A425,tblMotor[TyPlus]),0))</f>
        <v/>
      </c>
      <c r="F425" s="17">
        <f>IF($A425="","",IFERROR(SUMIF(tblMotor[A_Norm],$A425,tblMotor[FlasKesinti]),0))</f>
        <v/>
      </c>
      <c r="G425" s="17">
        <f>IF($A425="","",IFERROR(SUMIF(tblMotor[A_Norm],$A425,tblMotor[UrunReklam]),0))</f>
        <v/>
      </c>
      <c r="H425" s="17">
        <f>IF($A425="","",IFERROR(SUMIF(tblMotor[A_Norm],$A425,tblMotor[DesiKargo]),0))</f>
        <v/>
      </c>
      <c r="I425" s="17">
        <f>IF(OR($A425="",$B425&lt;&gt;"tutar_farki"),"",IF(ABS($C425-$D425)&lt;=toleransKurus,"TYK-001",IF(ABS($C425-$E425)&lt;=toleransKurus,"TYK-002",IF(ABS($C425-$F425)&lt;=toleransKurus,"TYK-003",IF(ABS($C425-$G425)&lt;=toleransKurus,"TYK-004",IF(ABS($C425-$H425)&lt;=toleransKurus,"TYK-005","TANIMSIZ"))))))</f>
        <v/>
      </c>
    </row>
    <row r="426">
      <c r="A426" s="23">
        <f>IF('ESLESTIRME'!$A426="","",'ESLESTIRME'!$A426)</f>
        <v/>
      </c>
      <c r="B426" s="17">
        <f>IF($A426="","",IFERROR(INDEX(tblEslesme[Kova],MATCH($A426,tblEslesme[A_Norm],0)),""))</f>
        <v/>
      </c>
      <c r="C426" s="17">
        <f>IF($A426="","",IFERROR(INDEX(tblEslesme[AbsFark],MATCH($A426,tblEslesme[A_Norm],0)),0))</f>
        <v/>
      </c>
      <c r="D426" s="17">
        <f>IF($A426="","",IFERROR(SUMIF(tblMotor[A_Norm],$A426,tblMotor[KomisyonTutar]),0))</f>
        <v/>
      </c>
      <c r="E426" s="17">
        <f>IF($A426="","",IFERROR(SUMIF(tblMotor[A_Norm],$A426,tblMotor[TyPlus]),0))</f>
        <v/>
      </c>
      <c r="F426" s="17">
        <f>IF($A426="","",IFERROR(SUMIF(tblMotor[A_Norm],$A426,tblMotor[FlasKesinti]),0))</f>
        <v/>
      </c>
      <c r="G426" s="17">
        <f>IF($A426="","",IFERROR(SUMIF(tblMotor[A_Norm],$A426,tblMotor[UrunReklam]),0))</f>
        <v/>
      </c>
      <c r="H426" s="17">
        <f>IF($A426="","",IFERROR(SUMIF(tblMotor[A_Norm],$A426,tblMotor[DesiKargo]),0))</f>
        <v/>
      </c>
      <c r="I426" s="17">
        <f>IF(OR($A426="",$B426&lt;&gt;"tutar_farki"),"",IF(ABS($C426-$D426)&lt;=toleransKurus,"TYK-001",IF(ABS($C426-$E426)&lt;=toleransKurus,"TYK-002",IF(ABS($C426-$F426)&lt;=toleransKurus,"TYK-003",IF(ABS($C426-$G426)&lt;=toleransKurus,"TYK-004",IF(ABS($C426-$H426)&lt;=toleransKurus,"TYK-005","TANIMSIZ"))))))</f>
        <v/>
      </c>
    </row>
    <row r="427">
      <c r="A427" s="23">
        <f>IF('ESLESTIRME'!$A427="","",'ESLESTIRME'!$A427)</f>
        <v/>
      </c>
      <c r="B427" s="17">
        <f>IF($A427="","",IFERROR(INDEX(tblEslesme[Kova],MATCH($A427,tblEslesme[A_Norm],0)),""))</f>
        <v/>
      </c>
      <c r="C427" s="17">
        <f>IF($A427="","",IFERROR(INDEX(tblEslesme[AbsFark],MATCH($A427,tblEslesme[A_Norm],0)),0))</f>
        <v/>
      </c>
      <c r="D427" s="17">
        <f>IF($A427="","",IFERROR(SUMIF(tblMotor[A_Norm],$A427,tblMotor[KomisyonTutar]),0))</f>
        <v/>
      </c>
      <c r="E427" s="17">
        <f>IF($A427="","",IFERROR(SUMIF(tblMotor[A_Norm],$A427,tblMotor[TyPlus]),0))</f>
        <v/>
      </c>
      <c r="F427" s="17">
        <f>IF($A427="","",IFERROR(SUMIF(tblMotor[A_Norm],$A427,tblMotor[FlasKesinti]),0))</f>
        <v/>
      </c>
      <c r="G427" s="17">
        <f>IF($A427="","",IFERROR(SUMIF(tblMotor[A_Norm],$A427,tblMotor[UrunReklam]),0))</f>
        <v/>
      </c>
      <c r="H427" s="17">
        <f>IF($A427="","",IFERROR(SUMIF(tblMotor[A_Norm],$A427,tblMotor[DesiKargo]),0))</f>
        <v/>
      </c>
      <c r="I427" s="17">
        <f>IF(OR($A427="",$B427&lt;&gt;"tutar_farki"),"",IF(ABS($C427-$D427)&lt;=toleransKurus,"TYK-001",IF(ABS($C427-$E427)&lt;=toleransKurus,"TYK-002",IF(ABS($C427-$F427)&lt;=toleransKurus,"TYK-003",IF(ABS($C427-$G427)&lt;=toleransKurus,"TYK-004",IF(ABS($C427-$H427)&lt;=toleransKurus,"TYK-005","TANIMSIZ"))))))</f>
        <v/>
      </c>
    </row>
    <row r="428">
      <c r="A428" s="23">
        <f>IF('ESLESTIRME'!$A428="","",'ESLESTIRME'!$A428)</f>
        <v/>
      </c>
      <c r="B428" s="17">
        <f>IF($A428="","",IFERROR(INDEX(tblEslesme[Kova],MATCH($A428,tblEslesme[A_Norm],0)),""))</f>
        <v/>
      </c>
      <c r="C428" s="17">
        <f>IF($A428="","",IFERROR(INDEX(tblEslesme[AbsFark],MATCH($A428,tblEslesme[A_Norm],0)),0))</f>
        <v/>
      </c>
      <c r="D428" s="17">
        <f>IF($A428="","",IFERROR(SUMIF(tblMotor[A_Norm],$A428,tblMotor[KomisyonTutar]),0))</f>
        <v/>
      </c>
      <c r="E428" s="17">
        <f>IF($A428="","",IFERROR(SUMIF(tblMotor[A_Norm],$A428,tblMotor[TyPlus]),0))</f>
        <v/>
      </c>
      <c r="F428" s="17">
        <f>IF($A428="","",IFERROR(SUMIF(tblMotor[A_Norm],$A428,tblMotor[FlasKesinti]),0))</f>
        <v/>
      </c>
      <c r="G428" s="17">
        <f>IF($A428="","",IFERROR(SUMIF(tblMotor[A_Norm],$A428,tblMotor[UrunReklam]),0))</f>
        <v/>
      </c>
      <c r="H428" s="17">
        <f>IF($A428="","",IFERROR(SUMIF(tblMotor[A_Norm],$A428,tblMotor[DesiKargo]),0))</f>
        <v/>
      </c>
      <c r="I428" s="17">
        <f>IF(OR($A428="",$B428&lt;&gt;"tutar_farki"),"",IF(ABS($C428-$D428)&lt;=toleransKurus,"TYK-001",IF(ABS($C428-$E428)&lt;=toleransKurus,"TYK-002",IF(ABS($C428-$F428)&lt;=toleransKurus,"TYK-003",IF(ABS($C428-$G428)&lt;=toleransKurus,"TYK-004",IF(ABS($C428-$H428)&lt;=toleransKurus,"TYK-005","TANIMSIZ"))))))</f>
        <v/>
      </c>
    </row>
    <row r="429">
      <c r="A429" s="23">
        <f>IF('ESLESTIRME'!$A429="","",'ESLESTIRME'!$A429)</f>
        <v/>
      </c>
      <c r="B429" s="17">
        <f>IF($A429="","",IFERROR(INDEX(tblEslesme[Kova],MATCH($A429,tblEslesme[A_Norm],0)),""))</f>
        <v/>
      </c>
      <c r="C429" s="17">
        <f>IF($A429="","",IFERROR(INDEX(tblEslesme[AbsFark],MATCH($A429,tblEslesme[A_Norm],0)),0))</f>
        <v/>
      </c>
      <c r="D429" s="17">
        <f>IF($A429="","",IFERROR(SUMIF(tblMotor[A_Norm],$A429,tblMotor[KomisyonTutar]),0))</f>
        <v/>
      </c>
      <c r="E429" s="17">
        <f>IF($A429="","",IFERROR(SUMIF(tblMotor[A_Norm],$A429,tblMotor[TyPlus]),0))</f>
        <v/>
      </c>
      <c r="F429" s="17">
        <f>IF($A429="","",IFERROR(SUMIF(tblMotor[A_Norm],$A429,tblMotor[FlasKesinti]),0))</f>
        <v/>
      </c>
      <c r="G429" s="17">
        <f>IF($A429="","",IFERROR(SUMIF(tblMotor[A_Norm],$A429,tblMotor[UrunReklam]),0))</f>
        <v/>
      </c>
      <c r="H429" s="17">
        <f>IF($A429="","",IFERROR(SUMIF(tblMotor[A_Norm],$A429,tblMotor[DesiKargo]),0))</f>
        <v/>
      </c>
      <c r="I429" s="17">
        <f>IF(OR($A429="",$B429&lt;&gt;"tutar_farki"),"",IF(ABS($C429-$D429)&lt;=toleransKurus,"TYK-001",IF(ABS($C429-$E429)&lt;=toleransKurus,"TYK-002",IF(ABS($C429-$F429)&lt;=toleransKurus,"TYK-003",IF(ABS($C429-$G429)&lt;=toleransKurus,"TYK-004",IF(ABS($C429-$H429)&lt;=toleransKurus,"TYK-005","TANIMSIZ"))))))</f>
        <v/>
      </c>
    </row>
    <row r="430">
      <c r="A430" s="23">
        <f>IF('ESLESTIRME'!$A430="","",'ESLESTIRME'!$A430)</f>
        <v/>
      </c>
      <c r="B430" s="17">
        <f>IF($A430="","",IFERROR(INDEX(tblEslesme[Kova],MATCH($A430,tblEslesme[A_Norm],0)),""))</f>
        <v/>
      </c>
      <c r="C430" s="17">
        <f>IF($A430="","",IFERROR(INDEX(tblEslesme[AbsFark],MATCH($A430,tblEslesme[A_Norm],0)),0))</f>
        <v/>
      </c>
      <c r="D430" s="17">
        <f>IF($A430="","",IFERROR(SUMIF(tblMotor[A_Norm],$A430,tblMotor[KomisyonTutar]),0))</f>
        <v/>
      </c>
      <c r="E430" s="17">
        <f>IF($A430="","",IFERROR(SUMIF(tblMotor[A_Norm],$A430,tblMotor[TyPlus]),0))</f>
        <v/>
      </c>
      <c r="F430" s="17">
        <f>IF($A430="","",IFERROR(SUMIF(tblMotor[A_Norm],$A430,tblMotor[FlasKesinti]),0))</f>
        <v/>
      </c>
      <c r="G430" s="17">
        <f>IF($A430="","",IFERROR(SUMIF(tblMotor[A_Norm],$A430,tblMotor[UrunReklam]),0))</f>
        <v/>
      </c>
      <c r="H430" s="17">
        <f>IF($A430="","",IFERROR(SUMIF(tblMotor[A_Norm],$A430,tblMotor[DesiKargo]),0))</f>
        <v/>
      </c>
      <c r="I430" s="17">
        <f>IF(OR($A430="",$B430&lt;&gt;"tutar_farki"),"",IF(ABS($C430-$D430)&lt;=toleransKurus,"TYK-001",IF(ABS($C430-$E430)&lt;=toleransKurus,"TYK-002",IF(ABS($C430-$F430)&lt;=toleransKurus,"TYK-003",IF(ABS($C430-$G430)&lt;=toleransKurus,"TYK-004",IF(ABS($C430-$H430)&lt;=toleransKurus,"TYK-005","TANIMSIZ"))))))</f>
        <v/>
      </c>
    </row>
    <row r="431">
      <c r="A431" s="23">
        <f>IF('ESLESTIRME'!$A431="","",'ESLESTIRME'!$A431)</f>
        <v/>
      </c>
      <c r="B431" s="17">
        <f>IF($A431="","",IFERROR(INDEX(tblEslesme[Kova],MATCH($A431,tblEslesme[A_Norm],0)),""))</f>
        <v/>
      </c>
      <c r="C431" s="17">
        <f>IF($A431="","",IFERROR(INDEX(tblEslesme[AbsFark],MATCH($A431,tblEslesme[A_Norm],0)),0))</f>
        <v/>
      </c>
      <c r="D431" s="17">
        <f>IF($A431="","",IFERROR(SUMIF(tblMotor[A_Norm],$A431,tblMotor[KomisyonTutar]),0))</f>
        <v/>
      </c>
      <c r="E431" s="17">
        <f>IF($A431="","",IFERROR(SUMIF(tblMotor[A_Norm],$A431,tblMotor[TyPlus]),0))</f>
        <v/>
      </c>
      <c r="F431" s="17">
        <f>IF($A431="","",IFERROR(SUMIF(tblMotor[A_Norm],$A431,tblMotor[FlasKesinti]),0))</f>
        <v/>
      </c>
      <c r="G431" s="17">
        <f>IF($A431="","",IFERROR(SUMIF(tblMotor[A_Norm],$A431,tblMotor[UrunReklam]),0))</f>
        <v/>
      </c>
      <c r="H431" s="17">
        <f>IF($A431="","",IFERROR(SUMIF(tblMotor[A_Norm],$A431,tblMotor[DesiKargo]),0))</f>
        <v/>
      </c>
      <c r="I431" s="17">
        <f>IF(OR($A431="",$B431&lt;&gt;"tutar_farki"),"",IF(ABS($C431-$D431)&lt;=toleransKurus,"TYK-001",IF(ABS($C431-$E431)&lt;=toleransKurus,"TYK-002",IF(ABS($C431-$F431)&lt;=toleransKurus,"TYK-003",IF(ABS($C431-$G431)&lt;=toleransKurus,"TYK-004",IF(ABS($C431-$H431)&lt;=toleransKurus,"TYK-005","TANIMSIZ"))))))</f>
        <v/>
      </c>
    </row>
    <row r="432">
      <c r="A432" s="23">
        <f>IF('ESLESTIRME'!$A432="","",'ESLESTIRME'!$A432)</f>
        <v/>
      </c>
      <c r="B432" s="17">
        <f>IF($A432="","",IFERROR(INDEX(tblEslesme[Kova],MATCH($A432,tblEslesme[A_Norm],0)),""))</f>
        <v/>
      </c>
      <c r="C432" s="17">
        <f>IF($A432="","",IFERROR(INDEX(tblEslesme[AbsFark],MATCH($A432,tblEslesme[A_Norm],0)),0))</f>
        <v/>
      </c>
      <c r="D432" s="17">
        <f>IF($A432="","",IFERROR(SUMIF(tblMotor[A_Norm],$A432,tblMotor[KomisyonTutar]),0))</f>
        <v/>
      </c>
      <c r="E432" s="17">
        <f>IF($A432="","",IFERROR(SUMIF(tblMotor[A_Norm],$A432,tblMotor[TyPlus]),0))</f>
        <v/>
      </c>
      <c r="F432" s="17">
        <f>IF($A432="","",IFERROR(SUMIF(tblMotor[A_Norm],$A432,tblMotor[FlasKesinti]),0))</f>
        <v/>
      </c>
      <c r="G432" s="17">
        <f>IF($A432="","",IFERROR(SUMIF(tblMotor[A_Norm],$A432,tblMotor[UrunReklam]),0))</f>
        <v/>
      </c>
      <c r="H432" s="17">
        <f>IF($A432="","",IFERROR(SUMIF(tblMotor[A_Norm],$A432,tblMotor[DesiKargo]),0))</f>
        <v/>
      </c>
      <c r="I432" s="17">
        <f>IF(OR($A432="",$B432&lt;&gt;"tutar_farki"),"",IF(ABS($C432-$D432)&lt;=toleransKurus,"TYK-001",IF(ABS($C432-$E432)&lt;=toleransKurus,"TYK-002",IF(ABS($C432-$F432)&lt;=toleransKurus,"TYK-003",IF(ABS($C432-$G432)&lt;=toleransKurus,"TYK-004",IF(ABS($C432-$H432)&lt;=toleransKurus,"TYK-005","TANIMSIZ"))))))</f>
        <v/>
      </c>
    </row>
    <row r="433">
      <c r="A433" s="23">
        <f>IF('ESLESTIRME'!$A433="","",'ESLESTIRME'!$A433)</f>
        <v/>
      </c>
      <c r="B433" s="17">
        <f>IF($A433="","",IFERROR(INDEX(tblEslesme[Kova],MATCH($A433,tblEslesme[A_Norm],0)),""))</f>
        <v/>
      </c>
      <c r="C433" s="17">
        <f>IF($A433="","",IFERROR(INDEX(tblEslesme[AbsFark],MATCH($A433,tblEslesme[A_Norm],0)),0))</f>
        <v/>
      </c>
      <c r="D433" s="17">
        <f>IF($A433="","",IFERROR(SUMIF(tblMotor[A_Norm],$A433,tblMotor[KomisyonTutar]),0))</f>
        <v/>
      </c>
      <c r="E433" s="17">
        <f>IF($A433="","",IFERROR(SUMIF(tblMotor[A_Norm],$A433,tblMotor[TyPlus]),0))</f>
        <v/>
      </c>
      <c r="F433" s="17">
        <f>IF($A433="","",IFERROR(SUMIF(tblMotor[A_Norm],$A433,tblMotor[FlasKesinti]),0))</f>
        <v/>
      </c>
      <c r="G433" s="17">
        <f>IF($A433="","",IFERROR(SUMIF(tblMotor[A_Norm],$A433,tblMotor[UrunReklam]),0))</f>
        <v/>
      </c>
      <c r="H433" s="17">
        <f>IF($A433="","",IFERROR(SUMIF(tblMotor[A_Norm],$A433,tblMotor[DesiKargo]),0))</f>
        <v/>
      </c>
      <c r="I433" s="17">
        <f>IF(OR($A433="",$B433&lt;&gt;"tutar_farki"),"",IF(ABS($C433-$D433)&lt;=toleransKurus,"TYK-001",IF(ABS($C433-$E433)&lt;=toleransKurus,"TYK-002",IF(ABS($C433-$F433)&lt;=toleransKurus,"TYK-003",IF(ABS($C433-$G433)&lt;=toleransKurus,"TYK-004",IF(ABS($C433-$H433)&lt;=toleransKurus,"TYK-005","TANIMSIZ"))))))</f>
        <v/>
      </c>
    </row>
    <row r="434">
      <c r="A434" s="23">
        <f>IF('ESLESTIRME'!$A434="","",'ESLESTIRME'!$A434)</f>
        <v/>
      </c>
      <c r="B434" s="17">
        <f>IF($A434="","",IFERROR(INDEX(tblEslesme[Kova],MATCH($A434,tblEslesme[A_Norm],0)),""))</f>
        <v/>
      </c>
      <c r="C434" s="17">
        <f>IF($A434="","",IFERROR(INDEX(tblEslesme[AbsFark],MATCH($A434,tblEslesme[A_Norm],0)),0))</f>
        <v/>
      </c>
      <c r="D434" s="17">
        <f>IF($A434="","",IFERROR(SUMIF(tblMotor[A_Norm],$A434,tblMotor[KomisyonTutar]),0))</f>
        <v/>
      </c>
      <c r="E434" s="17">
        <f>IF($A434="","",IFERROR(SUMIF(tblMotor[A_Norm],$A434,tblMotor[TyPlus]),0))</f>
        <v/>
      </c>
      <c r="F434" s="17">
        <f>IF($A434="","",IFERROR(SUMIF(tblMotor[A_Norm],$A434,tblMotor[FlasKesinti]),0))</f>
        <v/>
      </c>
      <c r="G434" s="17">
        <f>IF($A434="","",IFERROR(SUMIF(tblMotor[A_Norm],$A434,tblMotor[UrunReklam]),0))</f>
        <v/>
      </c>
      <c r="H434" s="17">
        <f>IF($A434="","",IFERROR(SUMIF(tblMotor[A_Norm],$A434,tblMotor[DesiKargo]),0))</f>
        <v/>
      </c>
      <c r="I434" s="17">
        <f>IF(OR($A434="",$B434&lt;&gt;"tutar_farki"),"",IF(ABS($C434-$D434)&lt;=toleransKurus,"TYK-001",IF(ABS($C434-$E434)&lt;=toleransKurus,"TYK-002",IF(ABS($C434-$F434)&lt;=toleransKurus,"TYK-003",IF(ABS($C434-$G434)&lt;=toleransKurus,"TYK-004",IF(ABS($C434-$H434)&lt;=toleransKurus,"TYK-005","TANIMSIZ"))))))</f>
        <v/>
      </c>
    </row>
    <row r="435">
      <c r="A435" s="23">
        <f>IF('ESLESTIRME'!$A435="","",'ESLESTIRME'!$A435)</f>
        <v/>
      </c>
      <c r="B435" s="17">
        <f>IF($A435="","",IFERROR(INDEX(tblEslesme[Kova],MATCH($A435,tblEslesme[A_Norm],0)),""))</f>
        <v/>
      </c>
      <c r="C435" s="17">
        <f>IF($A435="","",IFERROR(INDEX(tblEslesme[AbsFark],MATCH($A435,tblEslesme[A_Norm],0)),0))</f>
        <v/>
      </c>
      <c r="D435" s="17">
        <f>IF($A435="","",IFERROR(SUMIF(tblMotor[A_Norm],$A435,tblMotor[KomisyonTutar]),0))</f>
        <v/>
      </c>
      <c r="E435" s="17">
        <f>IF($A435="","",IFERROR(SUMIF(tblMotor[A_Norm],$A435,tblMotor[TyPlus]),0))</f>
        <v/>
      </c>
      <c r="F435" s="17">
        <f>IF($A435="","",IFERROR(SUMIF(tblMotor[A_Norm],$A435,tblMotor[FlasKesinti]),0))</f>
        <v/>
      </c>
      <c r="G435" s="17">
        <f>IF($A435="","",IFERROR(SUMIF(tblMotor[A_Norm],$A435,tblMotor[UrunReklam]),0))</f>
        <v/>
      </c>
      <c r="H435" s="17">
        <f>IF($A435="","",IFERROR(SUMIF(tblMotor[A_Norm],$A435,tblMotor[DesiKargo]),0))</f>
        <v/>
      </c>
      <c r="I435" s="17">
        <f>IF(OR($A435="",$B435&lt;&gt;"tutar_farki"),"",IF(ABS($C435-$D435)&lt;=toleransKurus,"TYK-001",IF(ABS($C435-$E435)&lt;=toleransKurus,"TYK-002",IF(ABS($C435-$F435)&lt;=toleransKurus,"TYK-003",IF(ABS($C435-$G435)&lt;=toleransKurus,"TYK-004",IF(ABS($C435-$H435)&lt;=toleransKurus,"TYK-005","TANIMSIZ"))))))</f>
        <v/>
      </c>
    </row>
    <row r="436">
      <c r="A436" s="23">
        <f>IF('ESLESTIRME'!$A436="","",'ESLESTIRME'!$A436)</f>
        <v/>
      </c>
      <c r="B436" s="17">
        <f>IF($A436="","",IFERROR(INDEX(tblEslesme[Kova],MATCH($A436,tblEslesme[A_Norm],0)),""))</f>
        <v/>
      </c>
      <c r="C436" s="17">
        <f>IF($A436="","",IFERROR(INDEX(tblEslesme[AbsFark],MATCH($A436,tblEslesme[A_Norm],0)),0))</f>
        <v/>
      </c>
      <c r="D436" s="17">
        <f>IF($A436="","",IFERROR(SUMIF(tblMotor[A_Norm],$A436,tblMotor[KomisyonTutar]),0))</f>
        <v/>
      </c>
      <c r="E436" s="17">
        <f>IF($A436="","",IFERROR(SUMIF(tblMotor[A_Norm],$A436,tblMotor[TyPlus]),0))</f>
        <v/>
      </c>
      <c r="F436" s="17">
        <f>IF($A436="","",IFERROR(SUMIF(tblMotor[A_Norm],$A436,tblMotor[FlasKesinti]),0))</f>
        <v/>
      </c>
      <c r="G436" s="17">
        <f>IF($A436="","",IFERROR(SUMIF(tblMotor[A_Norm],$A436,tblMotor[UrunReklam]),0))</f>
        <v/>
      </c>
      <c r="H436" s="17">
        <f>IF($A436="","",IFERROR(SUMIF(tblMotor[A_Norm],$A436,tblMotor[DesiKargo]),0))</f>
        <v/>
      </c>
      <c r="I436" s="17">
        <f>IF(OR($A436="",$B436&lt;&gt;"tutar_farki"),"",IF(ABS($C436-$D436)&lt;=toleransKurus,"TYK-001",IF(ABS($C436-$E436)&lt;=toleransKurus,"TYK-002",IF(ABS($C436-$F436)&lt;=toleransKurus,"TYK-003",IF(ABS($C436-$G436)&lt;=toleransKurus,"TYK-004",IF(ABS($C436-$H436)&lt;=toleransKurus,"TYK-005","TANIMSIZ"))))))</f>
        <v/>
      </c>
    </row>
    <row r="437">
      <c r="A437" s="23">
        <f>IF('ESLESTIRME'!$A437="","",'ESLESTIRME'!$A437)</f>
        <v/>
      </c>
      <c r="B437" s="17">
        <f>IF($A437="","",IFERROR(INDEX(tblEslesme[Kova],MATCH($A437,tblEslesme[A_Norm],0)),""))</f>
        <v/>
      </c>
      <c r="C437" s="17">
        <f>IF($A437="","",IFERROR(INDEX(tblEslesme[AbsFark],MATCH($A437,tblEslesme[A_Norm],0)),0))</f>
        <v/>
      </c>
      <c r="D437" s="17">
        <f>IF($A437="","",IFERROR(SUMIF(tblMotor[A_Norm],$A437,tblMotor[KomisyonTutar]),0))</f>
        <v/>
      </c>
      <c r="E437" s="17">
        <f>IF($A437="","",IFERROR(SUMIF(tblMotor[A_Norm],$A437,tblMotor[TyPlus]),0))</f>
        <v/>
      </c>
      <c r="F437" s="17">
        <f>IF($A437="","",IFERROR(SUMIF(tblMotor[A_Norm],$A437,tblMotor[FlasKesinti]),0))</f>
        <v/>
      </c>
      <c r="G437" s="17">
        <f>IF($A437="","",IFERROR(SUMIF(tblMotor[A_Norm],$A437,tblMotor[UrunReklam]),0))</f>
        <v/>
      </c>
      <c r="H437" s="17">
        <f>IF($A437="","",IFERROR(SUMIF(tblMotor[A_Norm],$A437,tblMotor[DesiKargo]),0))</f>
        <v/>
      </c>
      <c r="I437" s="17">
        <f>IF(OR($A437="",$B437&lt;&gt;"tutar_farki"),"",IF(ABS($C437-$D437)&lt;=toleransKurus,"TYK-001",IF(ABS($C437-$E437)&lt;=toleransKurus,"TYK-002",IF(ABS($C437-$F437)&lt;=toleransKurus,"TYK-003",IF(ABS($C437-$G437)&lt;=toleransKurus,"TYK-004",IF(ABS($C437-$H437)&lt;=toleransKurus,"TYK-005","TANIMSIZ"))))))</f>
        <v/>
      </c>
    </row>
    <row r="438">
      <c r="A438" s="23">
        <f>IF('ESLESTIRME'!$A438="","",'ESLESTIRME'!$A438)</f>
        <v/>
      </c>
      <c r="B438" s="17">
        <f>IF($A438="","",IFERROR(INDEX(tblEslesme[Kova],MATCH($A438,tblEslesme[A_Norm],0)),""))</f>
        <v/>
      </c>
      <c r="C438" s="17">
        <f>IF($A438="","",IFERROR(INDEX(tblEslesme[AbsFark],MATCH($A438,tblEslesme[A_Norm],0)),0))</f>
        <v/>
      </c>
      <c r="D438" s="17">
        <f>IF($A438="","",IFERROR(SUMIF(tblMotor[A_Norm],$A438,tblMotor[KomisyonTutar]),0))</f>
        <v/>
      </c>
      <c r="E438" s="17">
        <f>IF($A438="","",IFERROR(SUMIF(tblMotor[A_Norm],$A438,tblMotor[TyPlus]),0))</f>
        <v/>
      </c>
      <c r="F438" s="17">
        <f>IF($A438="","",IFERROR(SUMIF(tblMotor[A_Norm],$A438,tblMotor[FlasKesinti]),0))</f>
        <v/>
      </c>
      <c r="G438" s="17">
        <f>IF($A438="","",IFERROR(SUMIF(tblMotor[A_Norm],$A438,tblMotor[UrunReklam]),0))</f>
        <v/>
      </c>
      <c r="H438" s="17">
        <f>IF($A438="","",IFERROR(SUMIF(tblMotor[A_Norm],$A438,tblMotor[DesiKargo]),0))</f>
        <v/>
      </c>
      <c r="I438" s="17">
        <f>IF(OR($A438="",$B438&lt;&gt;"tutar_farki"),"",IF(ABS($C438-$D438)&lt;=toleransKurus,"TYK-001",IF(ABS($C438-$E438)&lt;=toleransKurus,"TYK-002",IF(ABS($C438-$F438)&lt;=toleransKurus,"TYK-003",IF(ABS($C438-$G438)&lt;=toleransKurus,"TYK-004",IF(ABS($C438-$H438)&lt;=toleransKurus,"TYK-005","TANIMSIZ"))))))</f>
        <v/>
      </c>
    </row>
    <row r="439">
      <c r="A439" s="23">
        <f>IF('ESLESTIRME'!$A439="","",'ESLESTIRME'!$A439)</f>
        <v/>
      </c>
      <c r="B439" s="17">
        <f>IF($A439="","",IFERROR(INDEX(tblEslesme[Kova],MATCH($A439,tblEslesme[A_Norm],0)),""))</f>
        <v/>
      </c>
      <c r="C439" s="17">
        <f>IF($A439="","",IFERROR(INDEX(tblEslesme[AbsFark],MATCH($A439,tblEslesme[A_Norm],0)),0))</f>
        <v/>
      </c>
      <c r="D439" s="17">
        <f>IF($A439="","",IFERROR(SUMIF(tblMotor[A_Norm],$A439,tblMotor[KomisyonTutar]),0))</f>
        <v/>
      </c>
      <c r="E439" s="17">
        <f>IF($A439="","",IFERROR(SUMIF(tblMotor[A_Norm],$A439,tblMotor[TyPlus]),0))</f>
        <v/>
      </c>
      <c r="F439" s="17">
        <f>IF($A439="","",IFERROR(SUMIF(tblMotor[A_Norm],$A439,tblMotor[FlasKesinti]),0))</f>
        <v/>
      </c>
      <c r="G439" s="17">
        <f>IF($A439="","",IFERROR(SUMIF(tblMotor[A_Norm],$A439,tblMotor[UrunReklam]),0))</f>
        <v/>
      </c>
      <c r="H439" s="17">
        <f>IF($A439="","",IFERROR(SUMIF(tblMotor[A_Norm],$A439,tblMotor[DesiKargo]),0))</f>
        <v/>
      </c>
      <c r="I439" s="17">
        <f>IF(OR($A439="",$B439&lt;&gt;"tutar_farki"),"",IF(ABS($C439-$D439)&lt;=toleransKurus,"TYK-001",IF(ABS($C439-$E439)&lt;=toleransKurus,"TYK-002",IF(ABS($C439-$F439)&lt;=toleransKurus,"TYK-003",IF(ABS($C439-$G439)&lt;=toleransKurus,"TYK-004",IF(ABS($C439-$H439)&lt;=toleransKurus,"TYK-005","TANIMSIZ"))))))</f>
        <v/>
      </c>
    </row>
    <row r="440">
      <c r="A440" s="23">
        <f>IF('ESLESTIRME'!$A440="","",'ESLESTIRME'!$A440)</f>
        <v/>
      </c>
      <c r="B440" s="17">
        <f>IF($A440="","",IFERROR(INDEX(tblEslesme[Kova],MATCH($A440,tblEslesme[A_Norm],0)),""))</f>
        <v/>
      </c>
      <c r="C440" s="17">
        <f>IF($A440="","",IFERROR(INDEX(tblEslesme[AbsFark],MATCH($A440,tblEslesme[A_Norm],0)),0))</f>
        <v/>
      </c>
      <c r="D440" s="17">
        <f>IF($A440="","",IFERROR(SUMIF(tblMotor[A_Norm],$A440,tblMotor[KomisyonTutar]),0))</f>
        <v/>
      </c>
      <c r="E440" s="17">
        <f>IF($A440="","",IFERROR(SUMIF(tblMotor[A_Norm],$A440,tblMotor[TyPlus]),0))</f>
        <v/>
      </c>
      <c r="F440" s="17">
        <f>IF($A440="","",IFERROR(SUMIF(tblMotor[A_Norm],$A440,tblMotor[FlasKesinti]),0))</f>
        <v/>
      </c>
      <c r="G440" s="17">
        <f>IF($A440="","",IFERROR(SUMIF(tblMotor[A_Norm],$A440,tblMotor[UrunReklam]),0))</f>
        <v/>
      </c>
      <c r="H440" s="17">
        <f>IF($A440="","",IFERROR(SUMIF(tblMotor[A_Norm],$A440,tblMotor[DesiKargo]),0))</f>
        <v/>
      </c>
      <c r="I440" s="17">
        <f>IF(OR($A440="",$B440&lt;&gt;"tutar_farki"),"",IF(ABS($C440-$D440)&lt;=toleransKurus,"TYK-001",IF(ABS($C440-$E440)&lt;=toleransKurus,"TYK-002",IF(ABS($C440-$F440)&lt;=toleransKurus,"TYK-003",IF(ABS($C440-$G440)&lt;=toleransKurus,"TYK-004",IF(ABS($C440-$H440)&lt;=toleransKurus,"TYK-005","TANIMSIZ"))))))</f>
        <v/>
      </c>
    </row>
    <row r="441">
      <c r="A441" s="23">
        <f>IF('ESLESTIRME'!$A441="","",'ESLESTIRME'!$A441)</f>
        <v/>
      </c>
      <c r="B441" s="17">
        <f>IF($A441="","",IFERROR(INDEX(tblEslesme[Kova],MATCH($A441,tblEslesme[A_Norm],0)),""))</f>
        <v/>
      </c>
      <c r="C441" s="17">
        <f>IF($A441="","",IFERROR(INDEX(tblEslesme[AbsFark],MATCH($A441,tblEslesme[A_Norm],0)),0))</f>
        <v/>
      </c>
      <c r="D441" s="17">
        <f>IF($A441="","",IFERROR(SUMIF(tblMotor[A_Norm],$A441,tblMotor[KomisyonTutar]),0))</f>
        <v/>
      </c>
      <c r="E441" s="17">
        <f>IF($A441="","",IFERROR(SUMIF(tblMotor[A_Norm],$A441,tblMotor[TyPlus]),0))</f>
        <v/>
      </c>
      <c r="F441" s="17">
        <f>IF($A441="","",IFERROR(SUMIF(tblMotor[A_Norm],$A441,tblMotor[FlasKesinti]),0))</f>
        <v/>
      </c>
      <c r="G441" s="17">
        <f>IF($A441="","",IFERROR(SUMIF(tblMotor[A_Norm],$A441,tblMotor[UrunReklam]),0))</f>
        <v/>
      </c>
      <c r="H441" s="17">
        <f>IF($A441="","",IFERROR(SUMIF(tblMotor[A_Norm],$A441,tblMotor[DesiKargo]),0))</f>
        <v/>
      </c>
      <c r="I441" s="17">
        <f>IF(OR($A441="",$B441&lt;&gt;"tutar_farki"),"",IF(ABS($C441-$D441)&lt;=toleransKurus,"TYK-001",IF(ABS($C441-$E441)&lt;=toleransKurus,"TYK-002",IF(ABS($C441-$F441)&lt;=toleransKurus,"TYK-003",IF(ABS($C441-$G441)&lt;=toleransKurus,"TYK-004",IF(ABS($C441-$H441)&lt;=toleransKurus,"TYK-005","TANIMSIZ"))))))</f>
        <v/>
      </c>
    </row>
    <row r="442">
      <c r="A442" s="23">
        <f>IF('ESLESTIRME'!$A442="","",'ESLESTIRME'!$A442)</f>
        <v/>
      </c>
      <c r="B442" s="17">
        <f>IF($A442="","",IFERROR(INDEX(tblEslesme[Kova],MATCH($A442,tblEslesme[A_Norm],0)),""))</f>
        <v/>
      </c>
      <c r="C442" s="17">
        <f>IF($A442="","",IFERROR(INDEX(tblEslesme[AbsFark],MATCH($A442,tblEslesme[A_Norm],0)),0))</f>
        <v/>
      </c>
      <c r="D442" s="17">
        <f>IF($A442="","",IFERROR(SUMIF(tblMotor[A_Norm],$A442,tblMotor[KomisyonTutar]),0))</f>
        <v/>
      </c>
      <c r="E442" s="17">
        <f>IF($A442="","",IFERROR(SUMIF(tblMotor[A_Norm],$A442,tblMotor[TyPlus]),0))</f>
        <v/>
      </c>
      <c r="F442" s="17">
        <f>IF($A442="","",IFERROR(SUMIF(tblMotor[A_Norm],$A442,tblMotor[FlasKesinti]),0))</f>
        <v/>
      </c>
      <c r="G442" s="17">
        <f>IF($A442="","",IFERROR(SUMIF(tblMotor[A_Norm],$A442,tblMotor[UrunReklam]),0))</f>
        <v/>
      </c>
      <c r="H442" s="17">
        <f>IF($A442="","",IFERROR(SUMIF(tblMotor[A_Norm],$A442,tblMotor[DesiKargo]),0))</f>
        <v/>
      </c>
      <c r="I442" s="17">
        <f>IF(OR($A442="",$B442&lt;&gt;"tutar_farki"),"",IF(ABS($C442-$D442)&lt;=toleransKurus,"TYK-001",IF(ABS($C442-$E442)&lt;=toleransKurus,"TYK-002",IF(ABS($C442-$F442)&lt;=toleransKurus,"TYK-003",IF(ABS($C442-$G442)&lt;=toleransKurus,"TYK-004",IF(ABS($C442-$H442)&lt;=toleransKurus,"TYK-005","TANIMSIZ"))))))</f>
        <v/>
      </c>
    </row>
    <row r="443">
      <c r="A443" s="23">
        <f>IF('ESLESTIRME'!$A443="","",'ESLESTIRME'!$A443)</f>
        <v/>
      </c>
      <c r="B443" s="17">
        <f>IF($A443="","",IFERROR(INDEX(tblEslesme[Kova],MATCH($A443,tblEslesme[A_Norm],0)),""))</f>
        <v/>
      </c>
      <c r="C443" s="17">
        <f>IF($A443="","",IFERROR(INDEX(tblEslesme[AbsFark],MATCH($A443,tblEslesme[A_Norm],0)),0))</f>
        <v/>
      </c>
      <c r="D443" s="17">
        <f>IF($A443="","",IFERROR(SUMIF(tblMotor[A_Norm],$A443,tblMotor[KomisyonTutar]),0))</f>
        <v/>
      </c>
      <c r="E443" s="17">
        <f>IF($A443="","",IFERROR(SUMIF(tblMotor[A_Norm],$A443,tblMotor[TyPlus]),0))</f>
        <v/>
      </c>
      <c r="F443" s="17">
        <f>IF($A443="","",IFERROR(SUMIF(tblMotor[A_Norm],$A443,tblMotor[FlasKesinti]),0))</f>
        <v/>
      </c>
      <c r="G443" s="17">
        <f>IF($A443="","",IFERROR(SUMIF(tblMotor[A_Norm],$A443,tblMotor[UrunReklam]),0))</f>
        <v/>
      </c>
      <c r="H443" s="17">
        <f>IF($A443="","",IFERROR(SUMIF(tblMotor[A_Norm],$A443,tblMotor[DesiKargo]),0))</f>
        <v/>
      </c>
      <c r="I443" s="17">
        <f>IF(OR($A443="",$B443&lt;&gt;"tutar_farki"),"",IF(ABS($C443-$D443)&lt;=toleransKurus,"TYK-001",IF(ABS($C443-$E443)&lt;=toleransKurus,"TYK-002",IF(ABS($C443-$F443)&lt;=toleransKurus,"TYK-003",IF(ABS($C443-$G443)&lt;=toleransKurus,"TYK-004",IF(ABS($C443-$H443)&lt;=toleransKurus,"TYK-005","TANIMSIZ"))))))</f>
        <v/>
      </c>
    </row>
    <row r="444">
      <c r="A444" s="23">
        <f>IF('ESLESTIRME'!$A444="","",'ESLESTIRME'!$A444)</f>
        <v/>
      </c>
      <c r="B444" s="17">
        <f>IF($A444="","",IFERROR(INDEX(tblEslesme[Kova],MATCH($A444,tblEslesme[A_Norm],0)),""))</f>
        <v/>
      </c>
      <c r="C444" s="17">
        <f>IF($A444="","",IFERROR(INDEX(tblEslesme[AbsFark],MATCH($A444,tblEslesme[A_Norm],0)),0))</f>
        <v/>
      </c>
      <c r="D444" s="17">
        <f>IF($A444="","",IFERROR(SUMIF(tblMotor[A_Norm],$A444,tblMotor[KomisyonTutar]),0))</f>
        <v/>
      </c>
      <c r="E444" s="17">
        <f>IF($A444="","",IFERROR(SUMIF(tblMotor[A_Norm],$A444,tblMotor[TyPlus]),0))</f>
        <v/>
      </c>
      <c r="F444" s="17">
        <f>IF($A444="","",IFERROR(SUMIF(tblMotor[A_Norm],$A444,tblMotor[FlasKesinti]),0))</f>
        <v/>
      </c>
      <c r="G444" s="17">
        <f>IF($A444="","",IFERROR(SUMIF(tblMotor[A_Norm],$A444,tblMotor[UrunReklam]),0))</f>
        <v/>
      </c>
      <c r="H444" s="17">
        <f>IF($A444="","",IFERROR(SUMIF(tblMotor[A_Norm],$A444,tblMotor[DesiKargo]),0))</f>
        <v/>
      </c>
      <c r="I444" s="17">
        <f>IF(OR($A444="",$B444&lt;&gt;"tutar_farki"),"",IF(ABS($C444-$D444)&lt;=toleransKurus,"TYK-001",IF(ABS($C444-$E444)&lt;=toleransKurus,"TYK-002",IF(ABS($C444-$F444)&lt;=toleransKurus,"TYK-003",IF(ABS($C444-$G444)&lt;=toleransKurus,"TYK-004",IF(ABS($C444-$H444)&lt;=toleransKurus,"TYK-005","TANIMSIZ"))))))</f>
        <v/>
      </c>
    </row>
    <row r="445">
      <c r="A445" s="23">
        <f>IF('ESLESTIRME'!$A445="","",'ESLESTIRME'!$A445)</f>
        <v/>
      </c>
      <c r="B445" s="17">
        <f>IF($A445="","",IFERROR(INDEX(tblEslesme[Kova],MATCH($A445,tblEslesme[A_Norm],0)),""))</f>
        <v/>
      </c>
      <c r="C445" s="17">
        <f>IF($A445="","",IFERROR(INDEX(tblEslesme[AbsFark],MATCH($A445,tblEslesme[A_Norm],0)),0))</f>
        <v/>
      </c>
      <c r="D445" s="17">
        <f>IF($A445="","",IFERROR(SUMIF(tblMotor[A_Norm],$A445,tblMotor[KomisyonTutar]),0))</f>
        <v/>
      </c>
      <c r="E445" s="17">
        <f>IF($A445="","",IFERROR(SUMIF(tblMotor[A_Norm],$A445,tblMotor[TyPlus]),0))</f>
        <v/>
      </c>
      <c r="F445" s="17">
        <f>IF($A445="","",IFERROR(SUMIF(tblMotor[A_Norm],$A445,tblMotor[FlasKesinti]),0))</f>
        <v/>
      </c>
      <c r="G445" s="17">
        <f>IF($A445="","",IFERROR(SUMIF(tblMotor[A_Norm],$A445,tblMotor[UrunReklam]),0))</f>
        <v/>
      </c>
      <c r="H445" s="17">
        <f>IF($A445="","",IFERROR(SUMIF(tblMotor[A_Norm],$A445,tblMotor[DesiKargo]),0))</f>
        <v/>
      </c>
      <c r="I445" s="17">
        <f>IF(OR($A445="",$B445&lt;&gt;"tutar_farki"),"",IF(ABS($C445-$D445)&lt;=toleransKurus,"TYK-001",IF(ABS($C445-$E445)&lt;=toleransKurus,"TYK-002",IF(ABS($C445-$F445)&lt;=toleransKurus,"TYK-003",IF(ABS($C445-$G445)&lt;=toleransKurus,"TYK-004",IF(ABS($C445-$H445)&lt;=toleransKurus,"TYK-005","TANIMSIZ"))))))</f>
        <v/>
      </c>
    </row>
    <row r="446">
      <c r="A446" s="23">
        <f>IF('ESLESTIRME'!$A446="","",'ESLESTIRME'!$A446)</f>
        <v/>
      </c>
      <c r="B446" s="17">
        <f>IF($A446="","",IFERROR(INDEX(tblEslesme[Kova],MATCH($A446,tblEslesme[A_Norm],0)),""))</f>
        <v/>
      </c>
      <c r="C446" s="17">
        <f>IF($A446="","",IFERROR(INDEX(tblEslesme[AbsFark],MATCH($A446,tblEslesme[A_Norm],0)),0))</f>
        <v/>
      </c>
      <c r="D446" s="17">
        <f>IF($A446="","",IFERROR(SUMIF(tblMotor[A_Norm],$A446,tblMotor[KomisyonTutar]),0))</f>
        <v/>
      </c>
      <c r="E446" s="17">
        <f>IF($A446="","",IFERROR(SUMIF(tblMotor[A_Norm],$A446,tblMotor[TyPlus]),0))</f>
        <v/>
      </c>
      <c r="F446" s="17">
        <f>IF($A446="","",IFERROR(SUMIF(tblMotor[A_Norm],$A446,tblMotor[FlasKesinti]),0))</f>
        <v/>
      </c>
      <c r="G446" s="17">
        <f>IF($A446="","",IFERROR(SUMIF(tblMotor[A_Norm],$A446,tblMotor[UrunReklam]),0))</f>
        <v/>
      </c>
      <c r="H446" s="17">
        <f>IF($A446="","",IFERROR(SUMIF(tblMotor[A_Norm],$A446,tblMotor[DesiKargo]),0))</f>
        <v/>
      </c>
      <c r="I446" s="17">
        <f>IF(OR($A446="",$B446&lt;&gt;"tutar_farki"),"",IF(ABS($C446-$D446)&lt;=toleransKurus,"TYK-001",IF(ABS($C446-$E446)&lt;=toleransKurus,"TYK-002",IF(ABS($C446-$F446)&lt;=toleransKurus,"TYK-003",IF(ABS($C446-$G446)&lt;=toleransKurus,"TYK-004",IF(ABS($C446-$H446)&lt;=toleransKurus,"TYK-005","TANIMSIZ"))))))</f>
        <v/>
      </c>
    </row>
    <row r="447">
      <c r="A447" s="23">
        <f>IF('ESLESTIRME'!$A447="","",'ESLESTIRME'!$A447)</f>
        <v/>
      </c>
      <c r="B447" s="17">
        <f>IF($A447="","",IFERROR(INDEX(tblEslesme[Kova],MATCH($A447,tblEslesme[A_Norm],0)),""))</f>
        <v/>
      </c>
      <c r="C447" s="17">
        <f>IF($A447="","",IFERROR(INDEX(tblEslesme[AbsFark],MATCH($A447,tblEslesme[A_Norm],0)),0))</f>
        <v/>
      </c>
      <c r="D447" s="17">
        <f>IF($A447="","",IFERROR(SUMIF(tblMotor[A_Norm],$A447,tblMotor[KomisyonTutar]),0))</f>
        <v/>
      </c>
      <c r="E447" s="17">
        <f>IF($A447="","",IFERROR(SUMIF(tblMotor[A_Norm],$A447,tblMotor[TyPlus]),0))</f>
        <v/>
      </c>
      <c r="F447" s="17">
        <f>IF($A447="","",IFERROR(SUMIF(tblMotor[A_Norm],$A447,tblMotor[FlasKesinti]),0))</f>
        <v/>
      </c>
      <c r="G447" s="17">
        <f>IF($A447="","",IFERROR(SUMIF(tblMotor[A_Norm],$A447,tblMotor[UrunReklam]),0))</f>
        <v/>
      </c>
      <c r="H447" s="17">
        <f>IF($A447="","",IFERROR(SUMIF(tblMotor[A_Norm],$A447,tblMotor[DesiKargo]),0))</f>
        <v/>
      </c>
      <c r="I447" s="17">
        <f>IF(OR($A447="",$B447&lt;&gt;"tutar_farki"),"",IF(ABS($C447-$D447)&lt;=toleransKurus,"TYK-001",IF(ABS($C447-$E447)&lt;=toleransKurus,"TYK-002",IF(ABS($C447-$F447)&lt;=toleransKurus,"TYK-003",IF(ABS($C447-$G447)&lt;=toleransKurus,"TYK-004",IF(ABS($C447-$H447)&lt;=toleransKurus,"TYK-005","TANIMSIZ"))))))</f>
        <v/>
      </c>
    </row>
    <row r="448">
      <c r="A448" s="23">
        <f>IF('ESLESTIRME'!$A448="","",'ESLESTIRME'!$A448)</f>
        <v/>
      </c>
      <c r="B448" s="17">
        <f>IF($A448="","",IFERROR(INDEX(tblEslesme[Kova],MATCH($A448,tblEslesme[A_Norm],0)),""))</f>
        <v/>
      </c>
      <c r="C448" s="17">
        <f>IF($A448="","",IFERROR(INDEX(tblEslesme[AbsFark],MATCH($A448,tblEslesme[A_Norm],0)),0))</f>
        <v/>
      </c>
      <c r="D448" s="17">
        <f>IF($A448="","",IFERROR(SUMIF(tblMotor[A_Norm],$A448,tblMotor[KomisyonTutar]),0))</f>
        <v/>
      </c>
      <c r="E448" s="17">
        <f>IF($A448="","",IFERROR(SUMIF(tblMotor[A_Norm],$A448,tblMotor[TyPlus]),0))</f>
        <v/>
      </c>
      <c r="F448" s="17">
        <f>IF($A448="","",IFERROR(SUMIF(tblMotor[A_Norm],$A448,tblMotor[FlasKesinti]),0))</f>
        <v/>
      </c>
      <c r="G448" s="17">
        <f>IF($A448="","",IFERROR(SUMIF(tblMotor[A_Norm],$A448,tblMotor[UrunReklam]),0))</f>
        <v/>
      </c>
      <c r="H448" s="17">
        <f>IF($A448="","",IFERROR(SUMIF(tblMotor[A_Norm],$A448,tblMotor[DesiKargo]),0))</f>
        <v/>
      </c>
      <c r="I448" s="17">
        <f>IF(OR($A448="",$B448&lt;&gt;"tutar_farki"),"",IF(ABS($C448-$D448)&lt;=toleransKurus,"TYK-001",IF(ABS($C448-$E448)&lt;=toleransKurus,"TYK-002",IF(ABS($C448-$F448)&lt;=toleransKurus,"TYK-003",IF(ABS($C448-$G448)&lt;=toleransKurus,"TYK-004",IF(ABS($C448-$H448)&lt;=toleransKurus,"TYK-005","TANIMSIZ"))))))</f>
        <v/>
      </c>
    </row>
    <row r="449">
      <c r="A449" s="23">
        <f>IF('ESLESTIRME'!$A449="","",'ESLESTIRME'!$A449)</f>
        <v/>
      </c>
      <c r="B449" s="17">
        <f>IF($A449="","",IFERROR(INDEX(tblEslesme[Kova],MATCH($A449,tblEslesme[A_Norm],0)),""))</f>
        <v/>
      </c>
      <c r="C449" s="17">
        <f>IF($A449="","",IFERROR(INDEX(tblEslesme[AbsFark],MATCH($A449,tblEslesme[A_Norm],0)),0))</f>
        <v/>
      </c>
      <c r="D449" s="17">
        <f>IF($A449="","",IFERROR(SUMIF(tblMotor[A_Norm],$A449,tblMotor[KomisyonTutar]),0))</f>
        <v/>
      </c>
      <c r="E449" s="17">
        <f>IF($A449="","",IFERROR(SUMIF(tblMotor[A_Norm],$A449,tblMotor[TyPlus]),0))</f>
        <v/>
      </c>
      <c r="F449" s="17">
        <f>IF($A449="","",IFERROR(SUMIF(tblMotor[A_Norm],$A449,tblMotor[FlasKesinti]),0))</f>
        <v/>
      </c>
      <c r="G449" s="17">
        <f>IF($A449="","",IFERROR(SUMIF(tblMotor[A_Norm],$A449,tblMotor[UrunReklam]),0))</f>
        <v/>
      </c>
      <c r="H449" s="17">
        <f>IF($A449="","",IFERROR(SUMIF(tblMotor[A_Norm],$A449,tblMotor[DesiKargo]),0))</f>
        <v/>
      </c>
      <c r="I449" s="17">
        <f>IF(OR($A449="",$B449&lt;&gt;"tutar_farki"),"",IF(ABS($C449-$D449)&lt;=toleransKurus,"TYK-001",IF(ABS($C449-$E449)&lt;=toleransKurus,"TYK-002",IF(ABS($C449-$F449)&lt;=toleransKurus,"TYK-003",IF(ABS($C449-$G449)&lt;=toleransKurus,"TYK-004",IF(ABS($C449-$H449)&lt;=toleransKurus,"TYK-005","TANIMSIZ"))))))</f>
        <v/>
      </c>
    </row>
    <row r="450">
      <c r="A450" s="23">
        <f>IF('ESLESTIRME'!$A450="","",'ESLESTIRME'!$A450)</f>
        <v/>
      </c>
      <c r="B450" s="17">
        <f>IF($A450="","",IFERROR(INDEX(tblEslesme[Kova],MATCH($A450,tblEslesme[A_Norm],0)),""))</f>
        <v/>
      </c>
      <c r="C450" s="17">
        <f>IF($A450="","",IFERROR(INDEX(tblEslesme[AbsFark],MATCH($A450,tblEslesme[A_Norm],0)),0))</f>
        <v/>
      </c>
      <c r="D450" s="17">
        <f>IF($A450="","",IFERROR(SUMIF(tblMotor[A_Norm],$A450,tblMotor[KomisyonTutar]),0))</f>
        <v/>
      </c>
      <c r="E450" s="17">
        <f>IF($A450="","",IFERROR(SUMIF(tblMotor[A_Norm],$A450,tblMotor[TyPlus]),0))</f>
        <v/>
      </c>
      <c r="F450" s="17">
        <f>IF($A450="","",IFERROR(SUMIF(tblMotor[A_Norm],$A450,tblMotor[FlasKesinti]),0))</f>
        <v/>
      </c>
      <c r="G450" s="17">
        <f>IF($A450="","",IFERROR(SUMIF(tblMotor[A_Norm],$A450,tblMotor[UrunReklam]),0))</f>
        <v/>
      </c>
      <c r="H450" s="17">
        <f>IF($A450="","",IFERROR(SUMIF(tblMotor[A_Norm],$A450,tblMotor[DesiKargo]),0))</f>
        <v/>
      </c>
      <c r="I450" s="17">
        <f>IF(OR($A450="",$B450&lt;&gt;"tutar_farki"),"",IF(ABS($C450-$D450)&lt;=toleransKurus,"TYK-001",IF(ABS($C450-$E450)&lt;=toleransKurus,"TYK-002",IF(ABS($C450-$F450)&lt;=toleransKurus,"TYK-003",IF(ABS($C450-$G450)&lt;=toleransKurus,"TYK-004",IF(ABS($C450-$H450)&lt;=toleransKurus,"TYK-005","TANIMSIZ"))))))</f>
        <v/>
      </c>
    </row>
    <row r="451">
      <c r="A451" s="23">
        <f>IF('ESLESTIRME'!$A451="","",'ESLESTIRME'!$A451)</f>
        <v/>
      </c>
      <c r="B451" s="17">
        <f>IF($A451="","",IFERROR(INDEX(tblEslesme[Kova],MATCH($A451,tblEslesme[A_Norm],0)),""))</f>
        <v/>
      </c>
      <c r="C451" s="17">
        <f>IF($A451="","",IFERROR(INDEX(tblEslesme[AbsFark],MATCH($A451,tblEslesme[A_Norm],0)),0))</f>
        <v/>
      </c>
      <c r="D451" s="17">
        <f>IF($A451="","",IFERROR(SUMIF(tblMotor[A_Norm],$A451,tblMotor[KomisyonTutar]),0))</f>
        <v/>
      </c>
      <c r="E451" s="17">
        <f>IF($A451="","",IFERROR(SUMIF(tblMotor[A_Norm],$A451,tblMotor[TyPlus]),0))</f>
        <v/>
      </c>
      <c r="F451" s="17">
        <f>IF($A451="","",IFERROR(SUMIF(tblMotor[A_Norm],$A451,tblMotor[FlasKesinti]),0))</f>
        <v/>
      </c>
      <c r="G451" s="17">
        <f>IF($A451="","",IFERROR(SUMIF(tblMotor[A_Norm],$A451,tblMotor[UrunReklam]),0))</f>
        <v/>
      </c>
      <c r="H451" s="17">
        <f>IF($A451="","",IFERROR(SUMIF(tblMotor[A_Norm],$A451,tblMotor[DesiKargo]),0))</f>
        <v/>
      </c>
      <c r="I451" s="17">
        <f>IF(OR($A451="",$B451&lt;&gt;"tutar_farki"),"",IF(ABS($C451-$D451)&lt;=toleransKurus,"TYK-001",IF(ABS($C451-$E451)&lt;=toleransKurus,"TYK-002",IF(ABS($C451-$F451)&lt;=toleransKurus,"TYK-003",IF(ABS($C451-$G451)&lt;=toleransKurus,"TYK-004",IF(ABS($C451-$H451)&lt;=toleransKurus,"TYK-005","TANIMSIZ"))))))</f>
        <v/>
      </c>
    </row>
    <row r="452">
      <c r="A452" s="23">
        <f>IF('ESLESTIRME'!$A452="","",'ESLESTIRME'!$A452)</f>
        <v/>
      </c>
      <c r="B452" s="17">
        <f>IF($A452="","",IFERROR(INDEX(tblEslesme[Kova],MATCH($A452,tblEslesme[A_Norm],0)),""))</f>
        <v/>
      </c>
      <c r="C452" s="17">
        <f>IF($A452="","",IFERROR(INDEX(tblEslesme[AbsFark],MATCH($A452,tblEslesme[A_Norm],0)),0))</f>
        <v/>
      </c>
      <c r="D452" s="17">
        <f>IF($A452="","",IFERROR(SUMIF(tblMotor[A_Norm],$A452,tblMotor[KomisyonTutar]),0))</f>
        <v/>
      </c>
      <c r="E452" s="17">
        <f>IF($A452="","",IFERROR(SUMIF(tblMotor[A_Norm],$A452,tblMotor[TyPlus]),0))</f>
        <v/>
      </c>
      <c r="F452" s="17">
        <f>IF($A452="","",IFERROR(SUMIF(tblMotor[A_Norm],$A452,tblMotor[FlasKesinti]),0))</f>
        <v/>
      </c>
      <c r="G452" s="17">
        <f>IF($A452="","",IFERROR(SUMIF(tblMotor[A_Norm],$A452,tblMotor[UrunReklam]),0))</f>
        <v/>
      </c>
      <c r="H452" s="17">
        <f>IF($A452="","",IFERROR(SUMIF(tblMotor[A_Norm],$A452,tblMotor[DesiKargo]),0))</f>
        <v/>
      </c>
      <c r="I452" s="17">
        <f>IF(OR($A452="",$B452&lt;&gt;"tutar_farki"),"",IF(ABS($C452-$D452)&lt;=toleransKurus,"TYK-001",IF(ABS($C452-$E452)&lt;=toleransKurus,"TYK-002",IF(ABS($C452-$F452)&lt;=toleransKurus,"TYK-003",IF(ABS($C452-$G452)&lt;=toleransKurus,"TYK-004",IF(ABS($C452-$H452)&lt;=toleransKurus,"TYK-005","TANIMSIZ"))))))</f>
        <v/>
      </c>
    </row>
    <row r="453">
      <c r="A453" s="23">
        <f>IF('ESLESTIRME'!$A453="","",'ESLESTIRME'!$A453)</f>
        <v/>
      </c>
      <c r="B453" s="17">
        <f>IF($A453="","",IFERROR(INDEX(tblEslesme[Kova],MATCH($A453,tblEslesme[A_Norm],0)),""))</f>
        <v/>
      </c>
      <c r="C453" s="17">
        <f>IF($A453="","",IFERROR(INDEX(tblEslesme[AbsFark],MATCH($A453,tblEslesme[A_Norm],0)),0))</f>
        <v/>
      </c>
      <c r="D453" s="17">
        <f>IF($A453="","",IFERROR(SUMIF(tblMotor[A_Norm],$A453,tblMotor[KomisyonTutar]),0))</f>
        <v/>
      </c>
      <c r="E453" s="17">
        <f>IF($A453="","",IFERROR(SUMIF(tblMotor[A_Norm],$A453,tblMotor[TyPlus]),0))</f>
        <v/>
      </c>
      <c r="F453" s="17">
        <f>IF($A453="","",IFERROR(SUMIF(tblMotor[A_Norm],$A453,tblMotor[FlasKesinti]),0))</f>
        <v/>
      </c>
      <c r="G453" s="17">
        <f>IF($A453="","",IFERROR(SUMIF(tblMotor[A_Norm],$A453,tblMotor[UrunReklam]),0))</f>
        <v/>
      </c>
      <c r="H453" s="17">
        <f>IF($A453="","",IFERROR(SUMIF(tblMotor[A_Norm],$A453,tblMotor[DesiKargo]),0))</f>
        <v/>
      </c>
      <c r="I453" s="17">
        <f>IF(OR($A453="",$B453&lt;&gt;"tutar_farki"),"",IF(ABS($C453-$D453)&lt;=toleransKurus,"TYK-001",IF(ABS($C453-$E453)&lt;=toleransKurus,"TYK-002",IF(ABS($C453-$F453)&lt;=toleransKurus,"TYK-003",IF(ABS($C453-$G453)&lt;=toleransKurus,"TYK-004",IF(ABS($C453-$H453)&lt;=toleransKurus,"TYK-005","TANIMSIZ"))))))</f>
        <v/>
      </c>
    </row>
    <row r="454">
      <c r="A454" s="23">
        <f>IF('ESLESTIRME'!$A454="","",'ESLESTIRME'!$A454)</f>
        <v/>
      </c>
      <c r="B454" s="17">
        <f>IF($A454="","",IFERROR(INDEX(tblEslesme[Kova],MATCH($A454,tblEslesme[A_Norm],0)),""))</f>
        <v/>
      </c>
      <c r="C454" s="17">
        <f>IF($A454="","",IFERROR(INDEX(tblEslesme[AbsFark],MATCH($A454,tblEslesme[A_Norm],0)),0))</f>
        <v/>
      </c>
      <c r="D454" s="17">
        <f>IF($A454="","",IFERROR(SUMIF(tblMotor[A_Norm],$A454,tblMotor[KomisyonTutar]),0))</f>
        <v/>
      </c>
      <c r="E454" s="17">
        <f>IF($A454="","",IFERROR(SUMIF(tblMotor[A_Norm],$A454,tblMotor[TyPlus]),0))</f>
        <v/>
      </c>
      <c r="F454" s="17">
        <f>IF($A454="","",IFERROR(SUMIF(tblMotor[A_Norm],$A454,tblMotor[FlasKesinti]),0))</f>
        <v/>
      </c>
      <c r="G454" s="17">
        <f>IF($A454="","",IFERROR(SUMIF(tblMotor[A_Norm],$A454,tblMotor[UrunReklam]),0))</f>
        <v/>
      </c>
      <c r="H454" s="17">
        <f>IF($A454="","",IFERROR(SUMIF(tblMotor[A_Norm],$A454,tblMotor[DesiKargo]),0))</f>
        <v/>
      </c>
      <c r="I454" s="17">
        <f>IF(OR($A454="",$B454&lt;&gt;"tutar_farki"),"",IF(ABS($C454-$D454)&lt;=toleransKurus,"TYK-001",IF(ABS($C454-$E454)&lt;=toleransKurus,"TYK-002",IF(ABS($C454-$F454)&lt;=toleransKurus,"TYK-003",IF(ABS($C454-$G454)&lt;=toleransKurus,"TYK-004",IF(ABS($C454-$H454)&lt;=toleransKurus,"TYK-005","TANIMSIZ"))))))</f>
        <v/>
      </c>
    </row>
    <row r="455">
      <c r="A455" s="23">
        <f>IF('ESLESTIRME'!$A455="","",'ESLESTIRME'!$A455)</f>
        <v/>
      </c>
      <c r="B455" s="17">
        <f>IF($A455="","",IFERROR(INDEX(tblEslesme[Kova],MATCH($A455,tblEslesme[A_Norm],0)),""))</f>
        <v/>
      </c>
      <c r="C455" s="17">
        <f>IF($A455="","",IFERROR(INDEX(tblEslesme[AbsFark],MATCH($A455,tblEslesme[A_Norm],0)),0))</f>
        <v/>
      </c>
      <c r="D455" s="17">
        <f>IF($A455="","",IFERROR(SUMIF(tblMotor[A_Norm],$A455,tblMotor[KomisyonTutar]),0))</f>
        <v/>
      </c>
      <c r="E455" s="17">
        <f>IF($A455="","",IFERROR(SUMIF(tblMotor[A_Norm],$A455,tblMotor[TyPlus]),0))</f>
        <v/>
      </c>
      <c r="F455" s="17">
        <f>IF($A455="","",IFERROR(SUMIF(tblMotor[A_Norm],$A455,tblMotor[FlasKesinti]),0))</f>
        <v/>
      </c>
      <c r="G455" s="17">
        <f>IF($A455="","",IFERROR(SUMIF(tblMotor[A_Norm],$A455,tblMotor[UrunReklam]),0))</f>
        <v/>
      </c>
      <c r="H455" s="17">
        <f>IF($A455="","",IFERROR(SUMIF(tblMotor[A_Norm],$A455,tblMotor[DesiKargo]),0))</f>
        <v/>
      </c>
      <c r="I455" s="17">
        <f>IF(OR($A455="",$B455&lt;&gt;"tutar_farki"),"",IF(ABS($C455-$D455)&lt;=toleransKurus,"TYK-001",IF(ABS($C455-$E455)&lt;=toleransKurus,"TYK-002",IF(ABS($C455-$F455)&lt;=toleransKurus,"TYK-003",IF(ABS($C455-$G455)&lt;=toleransKurus,"TYK-004",IF(ABS($C455-$H455)&lt;=toleransKurus,"TYK-005","TANIMSIZ"))))))</f>
        <v/>
      </c>
    </row>
    <row r="456">
      <c r="A456" s="23">
        <f>IF('ESLESTIRME'!$A456="","",'ESLESTIRME'!$A456)</f>
        <v/>
      </c>
      <c r="B456" s="17">
        <f>IF($A456="","",IFERROR(INDEX(tblEslesme[Kova],MATCH($A456,tblEslesme[A_Norm],0)),""))</f>
        <v/>
      </c>
      <c r="C456" s="17">
        <f>IF($A456="","",IFERROR(INDEX(tblEslesme[AbsFark],MATCH($A456,tblEslesme[A_Norm],0)),0))</f>
        <v/>
      </c>
      <c r="D456" s="17">
        <f>IF($A456="","",IFERROR(SUMIF(tblMotor[A_Norm],$A456,tblMotor[KomisyonTutar]),0))</f>
        <v/>
      </c>
      <c r="E456" s="17">
        <f>IF($A456="","",IFERROR(SUMIF(tblMotor[A_Norm],$A456,tblMotor[TyPlus]),0))</f>
        <v/>
      </c>
      <c r="F456" s="17">
        <f>IF($A456="","",IFERROR(SUMIF(tblMotor[A_Norm],$A456,tblMotor[FlasKesinti]),0))</f>
        <v/>
      </c>
      <c r="G456" s="17">
        <f>IF($A456="","",IFERROR(SUMIF(tblMotor[A_Norm],$A456,tblMotor[UrunReklam]),0))</f>
        <v/>
      </c>
      <c r="H456" s="17">
        <f>IF($A456="","",IFERROR(SUMIF(tblMotor[A_Norm],$A456,tblMotor[DesiKargo]),0))</f>
        <v/>
      </c>
      <c r="I456" s="17">
        <f>IF(OR($A456="",$B456&lt;&gt;"tutar_farki"),"",IF(ABS($C456-$D456)&lt;=toleransKurus,"TYK-001",IF(ABS($C456-$E456)&lt;=toleransKurus,"TYK-002",IF(ABS($C456-$F456)&lt;=toleransKurus,"TYK-003",IF(ABS($C456-$G456)&lt;=toleransKurus,"TYK-004",IF(ABS($C456-$H456)&lt;=toleransKurus,"TYK-005","TANIMSIZ"))))))</f>
        <v/>
      </c>
    </row>
    <row r="457">
      <c r="A457" s="23">
        <f>IF('ESLESTIRME'!$A457="","",'ESLESTIRME'!$A457)</f>
        <v/>
      </c>
      <c r="B457" s="17">
        <f>IF($A457="","",IFERROR(INDEX(tblEslesme[Kova],MATCH($A457,tblEslesme[A_Norm],0)),""))</f>
        <v/>
      </c>
      <c r="C457" s="17">
        <f>IF($A457="","",IFERROR(INDEX(tblEslesme[AbsFark],MATCH($A457,tblEslesme[A_Norm],0)),0))</f>
        <v/>
      </c>
      <c r="D457" s="17">
        <f>IF($A457="","",IFERROR(SUMIF(tblMotor[A_Norm],$A457,tblMotor[KomisyonTutar]),0))</f>
        <v/>
      </c>
      <c r="E457" s="17">
        <f>IF($A457="","",IFERROR(SUMIF(tblMotor[A_Norm],$A457,tblMotor[TyPlus]),0))</f>
        <v/>
      </c>
      <c r="F457" s="17">
        <f>IF($A457="","",IFERROR(SUMIF(tblMotor[A_Norm],$A457,tblMotor[FlasKesinti]),0))</f>
        <v/>
      </c>
      <c r="G457" s="17">
        <f>IF($A457="","",IFERROR(SUMIF(tblMotor[A_Norm],$A457,tblMotor[UrunReklam]),0))</f>
        <v/>
      </c>
      <c r="H457" s="17">
        <f>IF($A457="","",IFERROR(SUMIF(tblMotor[A_Norm],$A457,tblMotor[DesiKargo]),0))</f>
        <v/>
      </c>
      <c r="I457" s="17">
        <f>IF(OR($A457="",$B457&lt;&gt;"tutar_farki"),"",IF(ABS($C457-$D457)&lt;=toleransKurus,"TYK-001",IF(ABS($C457-$E457)&lt;=toleransKurus,"TYK-002",IF(ABS($C457-$F457)&lt;=toleransKurus,"TYK-003",IF(ABS($C457-$G457)&lt;=toleransKurus,"TYK-004",IF(ABS($C457-$H457)&lt;=toleransKurus,"TYK-005","TANIMSIZ"))))))</f>
        <v/>
      </c>
    </row>
    <row r="458">
      <c r="A458" s="23">
        <f>IF('ESLESTIRME'!$A458="","",'ESLESTIRME'!$A458)</f>
        <v/>
      </c>
      <c r="B458" s="17">
        <f>IF($A458="","",IFERROR(INDEX(tblEslesme[Kova],MATCH($A458,tblEslesme[A_Norm],0)),""))</f>
        <v/>
      </c>
      <c r="C458" s="17">
        <f>IF($A458="","",IFERROR(INDEX(tblEslesme[AbsFark],MATCH($A458,tblEslesme[A_Norm],0)),0))</f>
        <v/>
      </c>
      <c r="D458" s="17">
        <f>IF($A458="","",IFERROR(SUMIF(tblMotor[A_Norm],$A458,tblMotor[KomisyonTutar]),0))</f>
        <v/>
      </c>
      <c r="E458" s="17">
        <f>IF($A458="","",IFERROR(SUMIF(tblMotor[A_Norm],$A458,tblMotor[TyPlus]),0))</f>
        <v/>
      </c>
      <c r="F458" s="17">
        <f>IF($A458="","",IFERROR(SUMIF(tblMotor[A_Norm],$A458,tblMotor[FlasKesinti]),0))</f>
        <v/>
      </c>
      <c r="G458" s="17">
        <f>IF($A458="","",IFERROR(SUMIF(tblMotor[A_Norm],$A458,tblMotor[UrunReklam]),0))</f>
        <v/>
      </c>
      <c r="H458" s="17">
        <f>IF($A458="","",IFERROR(SUMIF(tblMotor[A_Norm],$A458,tblMotor[DesiKargo]),0))</f>
        <v/>
      </c>
      <c r="I458" s="17">
        <f>IF(OR($A458="",$B458&lt;&gt;"tutar_farki"),"",IF(ABS($C458-$D458)&lt;=toleransKurus,"TYK-001",IF(ABS($C458-$E458)&lt;=toleransKurus,"TYK-002",IF(ABS($C458-$F458)&lt;=toleransKurus,"TYK-003",IF(ABS($C458-$G458)&lt;=toleransKurus,"TYK-004",IF(ABS($C458-$H458)&lt;=toleransKurus,"TYK-005","TANIMSIZ"))))))</f>
        <v/>
      </c>
    </row>
    <row r="459">
      <c r="A459" s="23">
        <f>IF('ESLESTIRME'!$A459="","",'ESLESTIRME'!$A459)</f>
        <v/>
      </c>
      <c r="B459" s="17">
        <f>IF($A459="","",IFERROR(INDEX(tblEslesme[Kova],MATCH($A459,tblEslesme[A_Norm],0)),""))</f>
        <v/>
      </c>
      <c r="C459" s="17">
        <f>IF($A459="","",IFERROR(INDEX(tblEslesme[AbsFark],MATCH($A459,tblEslesme[A_Norm],0)),0))</f>
        <v/>
      </c>
      <c r="D459" s="17">
        <f>IF($A459="","",IFERROR(SUMIF(tblMotor[A_Norm],$A459,tblMotor[KomisyonTutar]),0))</f>
        <v/>
      </c>
      <c r="E459" s="17">
        <f>IF($A459="","",IFERROR(SUMIF(tblMotor[A_Norm],$A459,tblMotor[TyPlus]),0))</f>
        <v/>
      </c>
      <c r="F459" s="17">
        <f>IF($A459="","",IFERROR(SUMIF(tblMotor[A_Norm],$A459,tblMotor[FlasKesinti]),0))</f>
        <v/>
      </c>
      <c r="G459" s="17">
        <f>IF($A459="","",IFERROR(SUMIF(tblMotor[A_Norm],$A459,tblMotor[UrunReklam]),0))</f>
        <v/>
      </c>
      <c r="H459" s="17">
        <f>IF($A459="","",IFERROR(SUMIF(tblMotor[A_Norm],$A459,tblMotor[DesiKargo]),0))</f>
        <v/>
      </c>
      <c r="I459" s="17">
        <f>IF(OR($A459="",$B459&lt;&gt;"tutar_farki"),"",IF(ABS($C459-$D459)&lt;=toleransKurus,"TYK-001",IF(ABS($C459-$E459)&lt;=toleransKurus,"TYK-002",IF(ABS($C459-$F459)&lt;=toleransKurus,"TYK-003",IF(ABS($C459-$G459)&lt;=toleransKurus,"TYK-004",IF(ABS($C459-$H459)&lt;=toleransKurus,"TYK-005","TANIMSIZ"))))))</f>
        <v/>
      </c>
    </row>
    <row r="460">
      <c r="A460" s="23">
        <f>IF('ESLESTIRME'!$A460="","",'ESLESTIRME'!$A460)</f>
        <v/>
      </c>
      <c r="B460" s="17">
        <f>IF($A460="","",IFERROR(INDEX(tblEslesme[Kova],MATCH($A460,tblEslesme[A_Norm],0)),""))</f>
        <v/>
      </c>
      <c r="C460" s="17">
        <f>IF($A460="","",IFERROR(INDEX(tblEslesme[AbsFark],MATCH($A460,tblEslesme[A_Norm],0)),0))</f>
        <v/>
      </c>
      <c r="D460" s="17">
        <f>IF($A460="","",IFERROR(SUMIF(tblMotor[A_Norm],$A460,tblMotor[KomisyonTutar]),0))</f>
        <v/>
      </c>
      <c r="E460" s="17">
        <f>IF($A460="","",IFERROR(SUMIF(tblMotor[A_Norm],$A460,tblMotor[TyPlus]),0))</f>
        <v/>
      </c>
      <c r="F460" s="17">
        <f>IF($A460="","",IFERROR(SUMIF(tblMotor[A_Norm],$A460,tblMotor[FlasKesinti]),0))</f>
        <v/>
      </c>
      <c r="G460" s="17">
        <f>IF($A460="","",IFERROR(SUMIF(tblMotor[A_Norm],$A460,tblMotor[UrunReklam]),0))</f>
        <v/>
      </c>
      <c r="H460" s="17">
        <f>IF($A460="","",IFERROR(SUMIF(tblMotor[A_Norm],$A460,tblMotor[DesiKargo]),0))</f>
        <v/>
      </c>
      <c r="I460" s="17">
        <f>IF(OR($A460="",$B460&lt;&gt;"tutar_farki"),"",IF(ABS($C460-$D460)&lt;=toleransKurus,"TYK-001",IF(ABS($C460-$E460)&lt;=toleransKurus,"TYK-002",IF(ABS($C460-$F460)&lt;=toleransKurus,"TYK-003",IF(ABS($C460-$G460)&lt;=toleransKurus,"TYK-004",IF(ABS($C460-$H460)&lt;=toleransKurus,"TYK-005","TANIMSIZ"))))))</f>
        <v/>
      </c>
    </row>
    <row r="461">
      <c r="A461" s="23">
        <f>IF('ESLESTIRME'!$A461="","",'ESLESTIRME'!$A461)</f>
        <v/>
      </c>
      <c r="B461" s="17">
        <f>IF($A461="","",IFERROR(INDEX(tblEslesme[Kova],MATCH($A461,tblEslesme[A_Norm],0)),""))</f>
        <v/>
      </c>
      <c r="C461" s="17">
        <f>IF($A461="","",IFERROR(INDEX(tblEslesme[AbsFark],MATCH($A461,tblEslesme[A_Norm],0)),0))</f>
        <v/>
      </c>
      <c r="D461" s="17">
        <f>IF($A461="","",IFERROR(SUMIF(tblMotor[A_Norm],$A461,tblMotor[KomisyonTutar]),0))</f>
        <v/>
      </c>
      <c r="E461" s="17">
        <f>IF($A461="","",IFERROR(SUMIF(tblMotor[A_Norm],$A461,tblMotor[TyPlus]),0))</f>
        <v/>
      </c>
      <c r="F461" s="17">
        <f>IF($A461="","",IFERROR(SUMIF(tblMotor[A_Norm],$A461,tblMotor[FlasKesinti]),0))</f>
        <v/>
      </c>
      <c r="G461" s="17">
        <f>IF($A461="","",IFERROR(SUMIF(tblMotor[A_Norm],$A461,tblMotor[UrunReklam]),0))</f>
        <v/>
      </c>
      <c r="H461" s="17">
        <f>IF($A461="","",IFERROR(SUMIF(tblMotor[A_Norm],$A461,tblMotor[DesiKargo]),0))</f>
        <v/>
      </c>
      <c r="I461" s="17">
        <f>IF(OR($A461="",$B461&lt;&gt;"tutar_farki"),"",IF(ABS($C461-$D461)&lt;=toleransKurus,"TYK-001",IF(ABS($C461-$E461)&lt;=toleransKurus,"TYK-002",IF(ABS($C461-$F461)&lt;=toleransKurus,"TYK-003",IF(ABS($C461-$G461)&lt;=toleransKurus,"TYK-004",IF(ABS($C461-$H461)&lt;=toleransKurus,"TYK-005","TANIMSIZ"))))))</f>
        <v/>
      </c>
    </row>
    <row r="462">
      <c r="A462" s="23">
        <f>IF('ESLESTIRME'!$A462="","",'ESLESTIRME'!$A462)</f>
        <v/>
      </c>
      <c r="B462" s="17">
        <f>IF($A462="","",IFERROR(INDEX(tblEslesme[Kova],MATCH($A462,tblEslesme[A_Norm],0)),""))</f>
        <v/>
      </c>
      <c r="C462" s="17">
        <f>IF($A462="","",IFERROR(INDEX(tblEslesme[AbsFark],MATCH($A462,tblEslesme[A_Norm],0)),0))</f>
        <v/>
      </c>
      <c r="D462" s="17">
        <f>IF($A462="","",IFERROR(SUMIF(tblMotor[A_Norm],$A462,tblMotor[KomisyonTutar]),0))</f>
        <v/>
      </c>
      <c r="E462" s="17">
        <f>IF($A462="","",IFERROR(SUMIF(tblMotor[A_Norm],$A462,tblMotor[TyPlus]),0))</f>
        <v/>
      </c>
      <c r="F462" s="17">
        <f>IF($A462="","",IFERROR(SUMIF(tblMotor[A_Norm],$A462,tblMotor[FlasKesinti]),0))</f>
        <v/>
      </c>
      <c r="G462" s="17">
        <f>IF($A462="","",IFERROR(SUMIF(tblMotor[A_Norm],$A462,tblMotor[UrunReklam]),0))</f>
        <v/>
      </c>
      <c r="H462" s="17">
        <f>IF($A462="","",IFERROR(SUMIF(tblMotor[A_Norm],$A462,tblMotor[DesiKargo]),0))</f>
        <v/>
      </c>
      <c r="I462" s="17">
        <f>IF(OR($A462="",$B462&lt;&gt;"tutar_farki"),"",IF(ABS($C462-$D462)&lt;=toleransKurus,"TYK-001",IF(ABS($C462-$E462)&lt;=toleransKurus,"TYK-002",IF(ABS($C462-$F462)&lt;=toleransKurus,"TYK-003",IF(ABS($C462-$G462)&lt;=toleransKurus,"TYK-004",IF(ABS($C462-$H462)&lt;=toleransKurus,"TYK-005","TANIMSIZ"))))))</f>
        <v/>
      </c>
    </row>
    <row r="463">
      <c r="A463" s="23">
        <f>IF('ESLESTIRME'!$A463="","",'ESLESTIRME'!$A463)</f>
        <v/>
      </c>
      <c r="B463" s="17">
        <f>IF($A463="","",IFERROR(INDEX(tblEslesme[Kova],MATCH($A463,tblEslesme[A_Norm],0)),""))</f>
        <v/>
      </c>
      <c r="C463" s="17">
        <f>IF($A463="","",IFERROR(INDEX(tblEslesme[AbsFark],MATCH($A463,tblEslesme[A_Norm],0)),0))</f>
        <v/>
      </c>
      <c r="D463" s="17">
        <f>IF($A463="","",IFERROR(SUMIF(tblMotor[A_Norm],$A463,tblMotor[KomisyonTutar]),0))</f>
        <v/>
      </c>
      <c r="E463" s="17">
        <f>IF($A463="","",IFERROR(SUMIF(tblMotor[A_Norm],$A463,tblMotor[TyPlus]),0))</f>
        <v/>
      </c>
      <c r="F463" s="17">
        <f>IF($A463="","",IFERROR(SUMIF(tblMotor[A_Norm],$A463,tblMotor[FlasKesinti]),0))</f>
        <v/>
      </c>
      <c r="G463" s="17">
        <f>IF($A463="","",IFERROR(SUMIF(tblMotor[A_Norm],$A463,tblMotor[UrunReklam]),0))</f>
        <v/>
      </c>
      <c r="H463" s="17">
        <f>IF($A463="","",IFERROR(SUMIF(tblMotor[A_Norm],$A463,tblMotor[DesiKargo]),0))</f>
        <v/>
      </c>
      <c r="I463" s="17">
        <f>IF(OR($A463="",$B463&lt;&gt;"tutar_farki"),"",IF(ABS($C463-$D463)&lt;=toleransKurus,"TYK-001",IF(ABS($C463-$E463)&lt;=toleransKurus,"TYK-002",IF(ABS($C463-$F463)&lt;=toleransKurus,"TYK-003",IF(ABS($C463-$G463)&lt;=toleransKurus,"TYK-004",IF(ABS($C463-$H463)&lt;=toleransKurus,"TYK-005","TANIMSIZ"))))))</f>
        <v/>
      </c>
    </row>
    <row r="464">
      <c r="A464" s="23">
        <f>IF('ESLESTIRME'!$A464="","",'ESLESTIRME'!$A464)</f>
        <v/>
      </c>
      <c r="B464" s="17">
        <f>IF($A464="","",IFERROR(INDEX(tblEslesme[Kova],MATCH($A464,tblEslesme[A_Norm],0)),""))</f>
        <v/>
      </c>
      <c r="C464" s="17">
        <f>IF($A464="","",IFERROR(INDEX(tblEslesme[AbsFark],MATCH($A464,tblEslesme[A_Norm],0)),0))</f>
        <v/>
      </c>
      <c r="D464" s="17">
        <f>IF($A464="","",IFERROR(SUMIF(tblMotor[A_Norm],$A464,tblMotor[KomisyonTutar]),0))</f>
        <v/>
      </c>
      <c r="E464" s="17">
        <f>IF($A464="","",IFERROR(SUMIF(tblMotor[A_Norm],$A464,tblMotor[TyPlus]),0))</f>
        <v/>
      </c>
      <c r="F464" s="17">
        <f>IF($A464="","",IFERROR(SUMIF(tblMotor[A_Norm],$A464,tblMotor[FlasKesinti]),0))</f>
        <v/>
      </c>
      <c r="G464" s="17">
        <f>IF($A464="","",IFERROR(SUMIF(tblMotor[A_Norm],$A464,tblMotor[UrunReklam]),0))</f>
        <v/>
      </c>
      <c r="H464" s="17">
        <f>IF($A464="","",IFERROR(SUMIF(tblMotor[A_Norm],$A464,tblMotor[DesiKargo]),0))</f>
        <v/>
      </c>
      <c r="I464" s="17">
        <f>IF(OR($A464="",$B464&lt;&gt;"tutar_farki"),"",IF(ABS($C464-$D464)&lt;=toleransKurus,"TYK-001",IF(ABS($C464-$E464)&lt;=toleransKurus,"TYK-002",IF(ABS($C464-$F464)&lt;=toleransKurus,"TYK-003",IF(ABS($C464-$G464)&lt;=toleransKurus,"TYK-004",IF(ABS($C464-$H464)&lt;=toleransKurus,"TYK-005","TANIMSIZ"))))))</f>
        <v/>
      </c>
    </row>
    <row r="465">
      <c r="A465" s="23">
        <f>IF('ESLESTIRME'!$A465="","",'ESLESTIRME'!$A465)</f>
        <v/>
      </c>
      <c r="B465" s="17">
        <f>IF($A465="","",IFERROR(INDEX(tblEslesme[Kova],MATCH($A465,tblEslesme[A_Norm],0)),""))</f>
        <v/>
      </c>
      <c r="C465" s="17">
        <f>IF($A465="","",IFERROR(INDEX(tblEslesme[AbsFark],MATCH($A465,tblEslesme[A_Norm],0)),0))</f>
        <v/>
      </c>
      <c r="D465" s="17">
        <f>IF($A465="","",IFERROR(SUMIF(tblMotor[A_Norm],$A465,tblMotor[KomisyonTutar]),0))</f>
        <v/>
      </c>
      <c r="E465" s="17">
        <f>IF($A465="","",IFERROR(SUMIF(tblMotor[A_Norm],$A465,tblMotor[TyPlus]),0))</f>
        <v/>
      </c>
      <c r="F465" s="17">
        <f>IF($A465="","",IFERROR(SUMIF(tblMotor[A_Norm],$A465,tblMotor[FlasKesinti]),0))</f>
        <v/>
      </c>
      <c r="G465" s="17">
        <f>IF($A465="","",IFERROR(SUMIF(tblMotor[A_Norm],$A465,tblMotor[UrunReklam]),0))</f>
        <v/>
      </c>
      <c r="H465" s="17">
        <f>IF($A465="","",IFERROR(SUMIF(tblMotor[A_Norm],$A465,tblMotor[DesiKargo]),0))</f>
        <v/>
      </c>
      <c r="I465" s="17">
        <f>IF(OR($A465="",$B465&lt;&gt;"tutar_farki"),"",IF(ABS($C465-$D465)&lt;=toleransKurus,"TYK-001",IF(ABS($C465-$E465)&lt;=toleransKurus,"TYK-002",IF(ABS($C465-$F465)&lt;=toleransKurus,"TYK-003",IF(ABS($C465-$G465)&lt;=toleransKurus,"TYK-004",IF(ABS($C465-$H465)&lt;=toleransKurus,"TYK-005","TANIMSIZ"))))))</f>
        <v/>
      </c>
    </row>
    <row r="466">
      <c r="A466" s="23">
        <f>IF('ESLESTIRME'!$A466="","",'ESLESTIRME'!$A466)</f>
        <v/>
      </c>
      <c r="B466" s="17">
        <f>IF($A466="","",IFERROR(INDEX(tblEslesme[Kova],MATCH($A466,tblEslesme[A_Norm],0)),""))</f>
        <v/>
      </c>
      <c r="C466" s="17">
        <f>IF($A466="","",IFERROR(INDEX(tblEslesme[AbsFark],MATCH($A466,tblEslesme[A_Norm],0)),0))</f>
        <v/>
      </c>
      <c r="D466" s="17">
        <f>IF($A466="","",IFERROR(SUMIF(tblMotor[A_Norm],$A466,tblMotor[KomisyonTutar]),0))</f>
        <v/>
      </c>
      <c r="E466" s="17">
        <f>IF($A466="","",IFERROR(SUMIF(tblMotor[A_Norm],$A466,tblMotor[TyPlus]),0))</f>
        <v/>
      </c>
      <c r="F466" s="17">
        <f>IF($A466="","",IFERROR(SUMIF(tblMotor[A_Norm],$A466,tblMotor[FlasKesinti]),0))</f>
        <v/>
      </c>
      <c r="G466" s="17">
        <f>IF($A466="","",IFERROR(SUMIF(tblMotor[A_Norm],$A466,tblMotor[UrunReklam]),0))</f>
        <v/>
      </c>
      <c r="H466" s="17">
        <f>IF($A466="","",IFERROR(SUMIF(tblMotor[A_Norm],$A466,tblMotor[DesiKargo]),0))</f>
        <v/>
      </c>
      <c r="I466" s="17">
        <f>IF(OR($A466="",$B466&lt;&gt;"tutar_farki"),"",IF(ABS($C466-$D466)&lt;=toleransKurus,"TYK-001",IF(ABS($C466-$E466)&lt;=toleransKurus,"TYK-002",IF(ABS($C466-$F466)&lt;=toleransKurus,"TYK-003",IF(ABS($C466-$G466)&lt;=toleransKurus,"TYK-004",IF(ABS($C466-$H466)&lt;=toleransKurus,"TYK-005","TANIMSIZ"))))))</f>
        <v/>
      </c>
    </row>
    <row r="467">
      <c r="A467" s="23">
        <f>IF('ESLESTIRME'!$A467="","",'ESLESTIRME'!$A467)</f>
        <v/>
      </c>
      <c r="B467" s="17">
        <f>IF($A467="","",IFERROR(INDEX(tblEslesme[Kova],MATCH($A467,tblEslesme[A_Norm],0)),""))</f>
        <v/>
      </c>
      <c r="C467" s="17">
        <f>IF($A467="","",IFERROR(INDEX(tblEslesme[AbsFark],MATCH($A467,tblEslesme[A_Norm],0)),0))</f>
        <v/>
      </c>
      <c r="D467" s="17">
        <f>IF($A467="","",IFERROR(SUMIF(tblMotor[A_Norm],$A467,tblMotor[KomisyonTutar]),0))</f>
        <v/>
      </c>
      <c r="E467" s="17">
        <f>IF($A467="","",IFERROR(SUMIF(tblMotor[A_Norm],$A467,tblMotor[TyPlus]),0))</f>
        <v/>
      </c>
      <c r="F467" s="17">
        <f>IF($A467="","",IFERROR(SUMIF(tblMotor[A_Norm],$A467,tblMotor[FlasKesinti]),0))</f>
        <v/>
      </c>
      <c r="G467" s="17">
        <f>IF($A467="","",IFERROR(SUMIF(tblMotor[A_Norm],$A467,tblMotor[UrunReklam]),0))</f>
        <v/>
      </c>
      <c r="H467" s="17">
        <f>IF($A467="","",IFERROR(SUMIF(tblMotor[A_Norm],$A467,tblMotor[DesiKargo]),0))</f>
        <v/>
      </c>
      <c r="I467" s="17">
        <f>IF(OR($A467="",$B467&lt;&gt;"tutar_farki"),"",IF(ABS($C467-$D467)&lt;=toleransKurus,"TYK-001",IF(ABS($C467-$E467)&lt;=toleransKurus,"TYK-002",IF(ABS($C467-$F467)&lt;=toleransKurus,"TYK-003",IF(ABS($C467-$G467)&lt;=toleransKurus,"TYK-004",IF(ABS($C467-$H467)&lt;=toleransKurus,"TYK-005","TANIMSIZ"))))))</f>
        <v/>
      </c>
    </row>
    <row r="468">
      <c r="A468" s="23">
        <f>IF('ESLESTIRME'!$A468="","",'ESLESTIRME'!$A468)</f>
        <v/>
      </c>
      <c r="B468" s="17">
        <f>IF($A468="","",IFERROR(INDEX(tblEslesme[Kova],MATCH($A468,tblEslesme[A_Norm],0)),""))</f>
        <v/>
      </c>
      <c r="C468" s="17">
        <f>IF($A468="","",IFERROR(INDEX(tblEslesme[AbsFark],MATCH($A468,tblEslesme[A_Norm],0)),0))</f>
        <v/>
      </c>
      <c r="D468" s="17">
        <f>IF($A468="","",IFERROR(SUMIF(tblMotor[A_Norm],$A468,tblMotor[KomisyonTutar]),0))</f>
        <v/>
      </c>
      <c r="E468" s="17">
        <f>IF($A468="","",IFERROR(SUMIF(tblMotor[A_Norm],$A468,tblMotor[TyPlus]),0))</f>
        <v/>
      </c>
      <c r="F468" s="17">
        <f>IF($A468="","",IFERROR(SUMIF(tblMotor[A_Norm],$A468,tblMotor[FlasKesinti]),0))</f>
        <v/>
      </c>
      <c r="G468" s="17">
        <f>IF($A468="","",IFERROR(SUMIF(tblMotor[A_Norm],$A468,tblMotor[UrunReklam]),0))</f>
        <v/>
      </c>
      <c r="H468" s="17">
        <f>IF($A468="","",IFERROR(SUMIF(tblMotor[A_Norm],$A468,tblMotor[DesiKargo]),0))</f>
        <v/>
      </c>
      <c r="I468" s="17">
        <f>IF(OR($A468="",$B468&lt;&gt;"tutar_farki"),"",IF(ABS($C468-$D468)&lt;=toleransKurus,"TYK-001",IF(ABS($C468-$E468)&lt;=toleransKurus,"TYK-002",IF(ABS($C468-$F468)&lt;=toleransKurus,"TYK-003",IF(ABS($C468-$G468)&lt;=toleransKurus,"TYK-004",IF(ABS($C468-$H468)&lt;=toleransKurus,"TYK-005","TANIMSIZ"))))))</f>
        <v/>
      </c>
    </row>
    <row r="469">
      <c r="A469" s="23">
        <f>IF('ESLESTIRME'!$A469="","",'ESLESTIRME'!$A469)</f>
        <v/>
      </c>
      <c r="B469" s="17">
        <f>IF($A469="","",IFERROR(INDEX(tblEslesme[Kova],MATCH($A469,tblEslesme[A_Norm],0)),""))</f>
        <v/>
      </c>
      <c r="C469" s="17">
        <f>IF($A469="","",IFERROR(INDEX(tblEslesme[AbsFark],MATCH($A469,tblEslesme[A_Norm],0)),0))</f>
        <v/>
      </c>
      <c r="D469" s="17">
        <f>IF($A469="","",IFERROR(SUMIF(tblMotor[A_Norm],$A469,tblMotor[KomisyonTutar]),0))</f>
        <v/>
      </c>
      <c r="E469" s="17">
        <f>IF($A469="","",IFERROR(SUMIF(tblMotor[A_Norm],$A469,tblMotor[TyPlus]),0))</f>
        <v/>
      </c>
      <c r="F469" s="17">
        <f>IF($A469="","",IFERROR(SUMIF(tblMotor[A_Norm],$A469,tblMotor[FlasKesinti]),0))</f>
        <v/>
      </c>
      <c r="G469" s="17">
        <f>IF($A469="","",IFERROR(SUMIF(tblMotor[A_Norm],$A469,tblMotor[UrunReklam]),0))</f>
        <v/>
      </c>
      <c r="H469" s="17">
        <f>IF($A469="","",IFERROR(SUMIF(tblMotor[A_Norm],$A469,tblMotor[DesiKargo]),0))</f>
        <v/>
      </c>
      <c r="I469" s="17">
        <f>IF(OR($A469="",$B469&lt;&gt;"tutar_farki"),"",IF(ABS($C469-$D469)&lt;=toleransKurus,"TYK-001",IF(ABS($C469-$E469)&lt;=toleransKurus,"TYK-002",IF(ABS($C469-$F469)&lt;=toleransKurus,"TYK-003",IF(ABS($C469-$G469)&lt;=toleransKurus,"TYK-004",IF(ABS($C469-$H469)&lt;=toleransKurus,"TYK-005","TANIMSIZ"))))))</f>
        <v/>
      </c>
    </row>
    <row r="470">
      <c r="A470" s="23">
        <f>IF('ESLESTIRME'!$A470="","",'ESLESTIRME'!$A470)</f>
        <v/>
      </c>
      <c r="B470" s="17">
        <f>IF($A470="","",IFERROR(INDEX(tblEslesme[Kova],MATCH($A470,tblEslesme[A_Norm],0)),""))</f>
        <v/>
      </c>
      <c r="C470" s="17">
        <f>IF($A470="","",IFERROR(INDEX(tblEslesme[AbsFark],MATCH($A470,tblEslesme[A_Norm],0)),0))</f>
        <v/>
      </c>
      <c r="D470" s="17">
        <f>IF($A470="","",IFERROR(SUMIF(tblMotor[A_Norm],$A470,tblMotor[KomisyonTutar]),0))</f>
        <v/>
      </c>
      <c r="E470" s="17">
        <f>IF($A470="","",IFERROR(SUMIF(tblMotor[A_Norm],$A470,tblMotor[TyPlus]),0))</f>
        <v/>
      </c>
      <c r="F470" s="17">
        <f>IF($A470="","",IFERROR(SUMIF(tblMotor[A_Norm],$A470,tblMotor[FlasKesinti]),0))</f>
        <v/>
      </c>
      <c r="G470" s="17">
        <f>IF($A470="","",IFERROR(SUMIF(tblMotor[A_Norm],$A470,tblMotor[UrunReklam]),0))</f>
        <v/>
      </c>
      <c r="H470" s="17">
        <f>IF($A470="","",IFERROR(SUMIF(tblMotor[A_Norm],$A470,tblMotor[DesiKargo]),0))</f>
        <v/>
      </c>
      <c r="I470" s="17">
        <f>IF(OR($A470="",$B470&lt;&gt;"tutar_farki"),"",IF(ABS($C470-$D470)&lt;=toleransKurus,"TYK-001",IF(ABS($C470-$E470)&lt;=toleransKurus,"TYK-002",IF(ABS($C470-$F470)&lt;=toleransKurus,"TYK-003",IF(ABS($C470-$G470)&lt;=toleransKurus,"TYK-004",IF(ABS($C470-$H470)&lt;=toleransKurus,"TYK-005","TANIMSIZ"))))))</f>
        <v/>
      </c>
    </row>
    <row r="471">
      <c r="A471" s="23">
        <f>IF('ESLESTIRME'!$A471="","",'ESLESTIRME'!$A471)</f>
        <v/>
      </c>
      <c r="B471" s="17">
        <f>IF($A471="","",IFERROR(INDEX(tblEslesme[Kova],MATCH($A471,tblEslesme[A_Norm],0)),""))</f>
        <v/>
      </c>
      <c r="C471" s="17">
        <f>IF($A471="","",IFERROR(INDEX(tblEslesme[AbsFark],MATCH($A471,tblEslesme[A_Norm],0)),0))</f>
        <v/>
      </c>
      <c r="D471" s="17">
        <f>IF($A471="","",IFERROR(SUMIF(tblMotor[A_Norm],$A471,tblMotor[KomisyonTutar]),0))</f>
        <v/>
      </c>
      <c r="E471" s="17">
        <f>IF($A471="","",IFERROR(SUMIF(tblMotor[A_Norm],$A471,tblMotor[TyPlus]),0))</f>
        <v/>
      </c>
      <c r="F471" s="17">
        <f>IF($A471="","",IFERROR(SUMIF(tblMotor[A_Norm],$A471,tblMotor[FlasKesinti]),0))</f>
        <v/>
      </c>
      <c r="G471" s="17">
        <f>IF($A471="","",IFERROR(SUMIF(tblMotor[A_Norm],$A471,tblMotor[UrunReklam]),0))</f>
        <v/>
      </c>
      <c r="H471" s="17">
        <f>IF($A471="","",IFERROR(SUMIF(tblMotor[A_Norm],$A471,tblMotor[DesiKargo]),0))</f>
        <v/>
      </c>
      <c r="I471" s="17">
        <f>IF(OR($A471="",$B471&lt;&gt;"tutar_farki"),"",IF(ABS($C471-$D471)&lt;=toleransKurus,"TYK-001",IF(ABS($C471-$E471)&lt;=toleransKurus,"TYK-002",IF(ABS($C471-$F471)&lt;=toleransKurus,"TYK-003",IF(ABS($C471-$G471)&lt;=toleransKurus,"TYK-004",IF(ABS($C471-$H471)&lt;=toleransKurus,"TYK-005","TANIMSIZ"))))))</f>
        <v/>
      </c>
    </row>
    <row r="472">
      <c r="A472" s="23">
        <f>IF('ESLESTIRME'!$A472="","",'ESLESTIRME'!$A472)</f>
        <v/>
      </c>
      <c r="B472" s="17">
        <f>IF($A472="","",IFERROR(INDEX(tblEslesme[Kova],MATCH($A472,tblEslesme[A_Norm],0)),""))</f>
        <v/>
      </c>
      <c r="C472" s="17">
        <f>IF($A472="","",IFERROR(INDEX(tblEslesme[AbsFark],MATCH($A472,tblEslesme[A_Norm],0)),0))</f>
        <v/>
      </c>
      <c r="D472" s="17">
        <f>IF($A472="","",IFERROR(SUMIF(tblMotor[A_Norm],$A472,tblMotor[KomisyonTutar]),0))</f>
        <v/>
      </c>
      <c r="E472" s="17">
        <f>IF($A472="","",IFERROR(SUMIF(tblMotor[A_Norm],$A472,tblMotor[TyPlus]),0))</f>
        <v/>
      </c>
      <c r="F472" s="17">
        <f>IF($A472="","",IFERROR(SUMIF(tblMotor[A_Norm],$A472,tblMotor[FlasKesinti]),0))</f>
        <v/>
      </c>
      <c r="G472" s="17">
        <f>IF($A472="","",IFERROR(SUMIF(tblMotor[A_Norm],$A472,tblMotor[UrunReklam]),0))</f>
        <v/>
      </c>
      <c r="H472" s="17">
        <f>IF($A472="","",IFERROR(SUMIF(tblMotor[A_Norm],$A472,tblMotor[DesiKargo]),0))</f>
        <v/>
      </c>
      <c r="I472" s="17">
        <f>IF(OR($A472="",$B472&lt;&gt;"tutar_farki"),"",IF(ABS($C472-$D472)&lt;=toleransKurus,"TYK-001",IF(ABS($C472-$E472)&lt;=toleransKurus,"TYK-002",IF(ABS($C472-$F472)&lt;=toleransKurus,"TYK-003",IF(ABS($C472-$G472)&lt;=toleransKurus,"TYK-004",IF(ABS($C472-$H472)&lt;=toleransKurus,"TYK-005","TANIMSIZ"))))))</f>
        <v/>
      </c>
    </row>
    <row r="473">
      <c r="A473" s="23">
        <f>IF('ESLESTIRME'!$A473="","",'ESLESTIRME'!$A473)</f>
        <v/>
      </c>
      <c r="B473" s="17">
        <f>IF($A473="","",IFERROR(INDEX(tblEslesme[Kova],MATCH($A473,tblEslesme[A_Norm],0)),""))</f>
        <v/>
      </c>
      <c r="C473" s="17">
        <f>IF($A473="","",IFERROR(INDEX(tblEslesme[AbsFark],MATCH($A473,tblEslesme[A_Norm],0)),0))</f>
        <v/>
      </c>
      <c r="D473" s="17">
        <f>IF($A473="","",IFERROR(SUMIF(tblMotor[A_Norm],$A473,tblMotor[KomisyonTutar]),0))</f>
        <v/>
      </c>
      <c r="E473" s="17">
        <f>IF($A473="","",IFERROR(SUMIF(tblMotor[A_Norm],$A473,tblMotor[TyPlus]),0))</f>
        <v/>
      </c>
      <c r="F473" s="17">
        <f>IF($A473="","",IFERROR(SUMIF(tblMotor[A_Norm],$A473,tblMotor[FlasKesinti]),0))</f>
        <v/>
      </c>
      <c r="G473" s="17">
        <f>IF($A473="","",IFERROR(SUMIF(tblMotor[A_Norm],$A473,tblMotor[UrunReklam]),0))</f>
        <v/>
      </c>
      <c r="H473" s="17">
        <f>IF($A473="","",IFERROR(SUMIF(tblMotor[A_Norm],$A473,tblMotor[DesiKargo]),0))</f>
        <v/>
      </c>
      <c r="I473" s="17">
        <f>IF(OR($A473="",$B473&lt;&gt;"tutar_farki"),"",IF(ABS($C473-$D473)&lt;=toleransKurus,"TYK-001",IF(ABS($C473-$E473)&lt;=toleransKurus,"TYK-002",IF(ABS($C473-$F473)&lt;=toleransKurus,"TYK-003",IF(ABS($C473-$G473)&lt;=toleransKurus,"TYK-004",IF(ABS($C473-$H473)&lt;=toleransKurus,"TYK-005","TANIMSIZ"))))))</f>
        <v/>
      </c>
    </row>
    <row r="474">
      <c r="A474" s="23">
        <f>IF('ESLESTIRME'!$A474="","",'ESLESTIRME'!$A474)</f>
        <v/>
      </c>
      <c r="B474" s="17">
        <f>IF($A474="","",IFERROR(INDEX(tblEslesme[Kova],MATCH($A474,tblEslesme[A_Norm],0)),""))</f>
        <v/>
      </c>
      <c r="C474" s="17">
        <f>IF($A474="","",IFERROR(INDEX(tblEslesme[AbsFark],MATCH($A474,tblEslesme[A_Norm],0)),0))</f>
        <v/>
      </c>
      <c r="D474" s="17">
        <f>IF($A474="","",IFERROR(SUMIF(tblMotor[A_Norm],$A474,tblMotor[KomisyonTutar]),0))</f>
        <v/>
      </c>
      <c r="E474" s="17">
        <f>IF($A474="","",IFERROR(SUMIF(tblMotor[A_Norm],$A474,tblMotor[TyPlus]),0))</f>
        <v/>
      </c>
      <c r="F474" s="17">
        <f>IF($A474="","",IFERROR(SUMIF(tblMotor[A_Norm],$A474,tblMotor[FlasKesinti]),0))</f>
        <v/>
      </c>
      <c r="G474" s="17">
        <f>IF($A474="","",IFERROR(SUMIF(tblMotor[A_Norm],$A474,tblMotor[UrunReklam]),0))</f>
        <v/>
      </c>
      <c r="H474" s="17">
        <f>IF($A474="","",IFERROR(SUMIF(tblMotor[A_Norm],$A474,tblMotor[DesiKargo]),0))</f>
        <v/>
      </c>
      <c r="I474" s="17">
        <f>IF(OR($A474="",$B474&lt;&gt;"tutar_farki"),"",IF(ABS($C474-$D474)&lt;=toleransKurus,"TYK-001",IF(ABS($C474-$E474)&lt;=toleransKurus,"TYK-002",IF(ABS($C474-$F474)&lt;=toleransKurus,"TYK-003",IF(ABS($C474-$G474)&lt;=toleransKurus,"TYK-004",IF(ABS($C474-$H474)&lt;=toleransKurus,"TYK-005","TANIMSIZ"))))))</f>
        <v/>
      </c>
    </row>
    <row r="475">
      <c r="A475" s="23">
        <f>IF('ESLESTIRME'!$A475="","",'ESLESTIRME'!$A475)</f>
        <v/>
      </c>
      <c r="B475" s="17">
        <f>IF($A475="","",IFERROR(INDEX(tblEslesme[Kova],MATCH($A475,tblEslesme[A_Norm],0)),""))</f>
        <v/>
      </c>
      <c r="C475" s="17">
        <f>IF($A475="","",IFERROR(INDEX(tblEslesme[AbsFark],MATCH($A475,tblEslesme[A_Norm],0)),0))</f>
        <v/>
      </c>
      <c r="D475" s="17">
        <f>IF($A475="","",IFERROR(SUMIF(tblMotor[A_Norm],$A475,tblMotor[KomisyonTutar]),0))</f>
        <v/>
      </c>
      <c r="E475" s="17">
        <f>IF($A475="","",IFERROR(SUMIF(tblMotor[A_Norm],$A475,tblMotor[TyPlus]),0))</f>
        <v/>
      </c>
      <c r="F475" s="17">
        <f>IF($A475="","",IFERROR(SUMIF(tblMotor[A_Norm],$A475,tblMotor[FlasKesinti]),0))</f>
        <v/>
      </c>
      <c r="G475" s="17">
        <f>IF($A475="","",IFERROR(SUMIF(tblMotor[A_Norm],$A475,tblMotor[UrunReklam]),0))</f>
        <v/>
      </c>
      <c r="H475" s="17">
        <f>IF($A475="","",IFERROR(SUMIF(tblMotor[A_Norm],$A475,tblMotor[DesiKargo]),0))</f>
        <v/>
      </c>
      <c r="I475" s="17">
        <f>IF(OR($A475="",$B475&lt;&gt;"tutar_farki"),"",IF(ABS($C475-$D475)&lt;=toleransKurus,"TYK-001",IF(ABS($C475-$E475)&lt;=toleransKurus,"TYK-002",IF(ABS($C475-$F475)&lt;=toleransKurus,"TYK-003",IF(ABS($C475-$G475)&lt;=toleransKurus,"TYK-004",IF(ABS($C475-$H475)&lt;=toleransKurus,"TYK-005","TANIMSIZ"))))))</f>
        <v/>
      </c>
    </row>
    <row r="476">
      <c r="A476" s="23">
        <f>IF('ESLESTIRME'!$A476="","",'ESLESTIRME'!$A476)</f>
        <v/>
      </c>
      <c r="B476" s="17">
        <f>IF($A476="","",IFERROR(INDEX(tblEslesme[Kova],MATCH($A476,tblEslesme[A_Norm],0)),""))</f>
        <v/>
      </c>
      <c r="C476" s="17">
        <f>IF($A476="","",IFERROR(INDEX(tblEslesme[AbsFark],MATCH($A476,tblEslesme[A_Norm],0)),0))</f>
        <v/>
      </c>
      <c r="D476" s="17">
        <f>IF($A476="","",IFERROR(SUMIF(tblMotor[A_Norm],$A476,tblMotor[KomisyonTutar]),0))</f>
        <v/>
      </c>
      <c r="E476" s="17">
        <f>IF($A476="","",IFERROR(SUMIF(tblMotor[A_Norm],$A476,tblMotor[TyPlus]),0))</f>
        <v/>
      </c>
      <c r="F476" s="17">
        <f>IF($A476="","",IFERROR(SUMIF(tblMotor[A_Norm],$A476,tblMotor[FlasKesinti]),0))</f>
        <v/>
      </c>
      <c r="G476" s="17">
        <f>IF($A476="","",IFERROR(SUMIF(tblMotor[A_Norm],$A476,tblMotor[UrunReklam]),0))</f>
        <v/>
      </c>
      <c r="H476" s="17">
        <f>IF($A476="","",IFERROR(SUMIF(tblMotor[A_Norm],$A476,tblMotor[DesiKargo]),0))</f>
        <v/>
      </c>
      <c r="I476" s="17">
        <f>IF(OR($A476="",$B476&lt;&gt;"tutar_farki"),"",IF(ABS($C476-$D476)&lt;=toleransKurus,"TYK-001",IF(ABS($C476-$E476)&lt;=toleransKurus,"TYK-002",IF(ABS($C476-$F476)&lt;=toleransKurus,"TYK-003",IF(ABS($C476-$G476)&lt;=toleransKurus,"TYK-004",IF(ABS($C476-$H476)&lt;=toleransKurus,"TYK-005","TANIMSIZ"))))))</f>
        <v/>
      </c>
    </row>
    <row r="477">
      <c r="A477" s="23">
        <f>IF('ESLESTIRME'!$A477="","",'ESLESTIRME'!$A477)</f>
        <v/>
      </c>
      <c r="B477" s="17">
        <f>IF($A477="","",IFERROR(INDEX(tblEslesme[Kova],MATCH($A477,tblEslesme[A_Norm],0)),""))</f>
        <v/>
      </c>
      <c r="C477" s="17">
        <f>IF($A477="","",IFERROR(INDEX(tblEslesme[AbsFark],MATCH($A477,tblEslesme[A_Norm],0)),0))</f>
        <v/>
      </c>
      <c r="D477" s="17">
        <f>IF($A477="","",IFERROR(SUMIF(tblMotor[A_Norm],$A477,tblMotor[KomisyonTutar]),0))</f>
        <v/>
      </c>
      <c r="E477" s="17">
        <f>IF($A477="","",IFERROR(SUMIF(tblMotor[A_Norm],$A477,tblMotor[TyPlus]),0))</f>
        <v/>
      </c>
      <c r="F477" s="17">
        <f>IF($A477="","",IFERROR(SUMIF(tblMotor[A_Norm],$A477,tblMotor[FlasKesinti]),0))</f>
        <v/>
      </c>
      <c r="G477" s="17">
        <f>IF($A477="","",IFERROR(SUMIF(tblMotor[A_Norm],$A477,tblMotor[UrunReklam]),0))</f>
        <v/>
      </c>
      <c r="H477" s="17">
        <f>IF($A477="","",IFERROR(SUMIF(tblMotor[A_Norm],$A477,tblMotor[DesiKargo]),0))</f>
        <v/>
      </c>
      <c r="I477" s="17">
        <f>IF(OR($A477="",$B477&lt;&gt;"tutar_farki"),"",IF(ABS($C477-$D477)&lt;=toleransKurus,"TYK-001",IF(ABS($C477-$E477)&lt;=toleransKurus,"TYK-002",IF(ABS($C477-$F477)&lt;=toleransKurus,"TYK-003",IF(ABS($C477-$G477)&lt;=toleransKurus,"TYK-004",IF(ABS($C477-$H477)&lt;=toleransKurus,"TYK-005","TANIMSIZ"))))))</f>
        <v/>
      </c>
    </row>
    <row r="478">
      <c r="A478" s="23">
        <f>IF('ESLESTIRME'!$A478="","",'ESLESTIRME'!$A478)</f>
        <v/>
      </c>
      <c r="B478" s="17">
        <f>IF($A478="","",IFERROR(INDEX(tblEslesme[Kova],MATCH($A478,tblEslesme[A_Norm],0)),""))</f>
        <v/>
      </c>
      <c r="C478" s="17">
        <f>IF($A478="","",IFERROR(INDEX(tblEslesme[AbsFark],MATCH($A478,tblEslesme[A_Norm],0)),0))</f>
        <v/>
      </c>
      <c r="D478" s="17">
        <f>IF($A478="","",IFERROR(SUMIF(tblMotor[A_Norm],$A478,tblMotor[KomisyonTutar]),0))</f>
        <v/>
      </c>
      <c r="E478" s="17">
        <f>IF($A478="","",IFERROR(SUMIF(tblMotor[A_Norm],$A478,tblMotor[TyPlus]),0))</f>
        <v/>
      </c>
      <c r="F478" s="17">
        <f>IF($A478="","",IFERROR(SUMIF(tblMotor[A_Norm],$A478,tblMotor[FlasKesinti]),0))</f>
        <v/>
      </c>
      <c r="G478" s="17">
        <f>IF($A478="","",IFERROR(SUMIF(tblMotor[A_Norm],$A478,tblMotor[UrunReklam]),0))</f>
        <v/>
      </c>
      <c r="H478" s="17">
        <f>IF($A478="","",IFERROR(SUMIF(tblMotor[A_Norm],$A478,tblMotor[DesiKargo]),0))</f>
        <v/>
      </c>
      <c r="I478" s="17">
        <f>IF(OR($A478="",$B478&lt;&gt;"tutar_farki"),"",IF(ABS($C478-$D478)&lt;=toleransKurus,"TYK-001",IF(ABS($C478-$E478)&lt;=toleransKurus,"TYK-002",IF(ABS($C478-$F478)&lt;=toleransKurus,"TYK-003",IF(ABS($C478-$G478)&lt;=toleransKurus,"TYK-004",IF(ABS($C478-$H478)&lt;=toleransKurus,"TYK-005","TANIMSIZ"))))))</f>
        <v/>
      </c>
    </row>
    <row r="479">
      <c r="A479" s="23">
        <f>IF('ESLESTIRME'!$A479="","",'ESLESTIRME'!$A479)</f>
        <v/>
      </c>
      <c r="B479" s="17">
        <f>IF($A479="","",IFERROR(INDEX(tblEslesme[Kova],MATCH($A479,tblEslesme[A_Norm],0)),""))</f>
        <v/>
      </c>
      <c r="C479" s="17">
        <f>IF($A479="","",IFERROR(INDEX(tblEslesme[AbsFark],MATCH($A479,tblEslesme[A_Norm],0)),0))</f>
        <v/>
      </c>
      <c r="D479" s="17">
        <f>IF($A479="","",IFERROR(SUMIF(tblMotor[A_Norm],$A479,tblMotor[KomisyonTutar]),0))</f>
        <v/>
      </c>
      <c r="E479" s="17">
        <f>IF($A479="","",IFERROR(SUMIF(tblMotor[A_Norm],$A479,tblMotor[TyPlus]),0))</f>
        <v/>
      </c>
      <c r="F479" s="17">
        <f>IF($A479="","",IFERROR(SUMIF(tblMotor[A_Norm],$A479,tblMotor[FlasKesinti]),0))</f>
        <v/>
      </c>
      <c r="G479" s="17">
        <f>IF($A479="","",IFERROR(SUMIF(tblMotor[A_Norm],$A479,tblMotor[UrunReklam]),0))</f>
        <v/>
      </c>
      <c r="H479" s="17">
        <f>IF($A479="","",IFERROR(SUMIF(tblMotor[A_Norm],$A479,tblMotor[DesiKargo]),0))</f>
        <v/>
      </c>
      <c r="I479" s="17">
        <f>IF(OR($A479="",$B479&lt;&gt;"tutar_farki"),"",IF(ABS($C479-$D479)&lt;=toleransKurus,"TYK-001",IF(ABS($C479-$E479)&lt;=toleransKurus,"TYK-002",IF(ABS($C479-$F479)&lt;=toleransKurus,"TYK-003",IF(ABS($C479-$G479)&lt;=toleransKurus,"TYK-004",IF(ABS($C479-$H479)&lt;=toleransKurus,"TYK-005","TANIMSIZ"))))))</f>
        <v/>
      </c>
    </row>
    <row r="480">
      <c r="A480" s="23">
        <f>IF('ESLESTIRME'!$A480="","",'ESLESTIRME'!$A480)</f>
        <v/>
      </c>
      <c r="B480" s="17">
        <f>IF($A480="","",IFERROR(INDEX(tblEslesme[Kova],MATCH($A480,tblEslesme[A_Norm],0)),""))</f>
        <v/>
      </c>
      <c r="C480" s="17">
        <f>IF($A480="","",IFERROR(INDEX(tblEslesme[AbsFark],MATCH($A480,tblEslesme[A_Norm],0)),0))</f>
        <v/>
      </c>
      <c r="D480" s="17">
        <f>IF($A480="","",IFERROR(SUMIF(tblMotor[A_Norm],$A480,tblMotor[KomisyonTutar]),0))</f>
        <v/>
      </c>
      <c r="E480" s="17">
        <f>IF($A480="","",IFERROR(SUMIF(tblMotor[A_Norm],$A480,tblMotor[TyPlus]),0))</f>
        <v/>
      </c>
      <c r="F480" s="17">
        <f>IF($A480="","",IFERROR(SUMIF(tblMotor[A_Norm],$A480,tblMotor[FlasKesinti]),0))</f>
        <v/>
      </c>
      <c r="G480" s="17">
        <f>IF($A480="","",IFERROR(SUMIF(tblMotor[A_Norm],$A480,tblMotor[UrunReklam]),0))</f>
        <v/>
      </c>
      <c r="H480" s="17">
        <f>IF($A480="","",IFERROR(SUMIF(tblMotor[A_Norm],$A480,tblMotor[DesiKargo]),0))</f>
        <v/>
      </c>
      <c r="I480" s="17">
        <f>IF(OR($A480="",$B480&lt;&gt;"tutar_farki"),"",IF(ABS($C480-$D480)&lt;=toleransKurus,"TYK-001",IF(ABS($C480-$E480)&lt;=toleransKurus,"TYK-002",IF(ABS($C480-$F480)&lt;=toleransKurus,"TYK-003",IF(ABS($C480-$G480)&lt;=toleransKurus,"TYK-004",IF(ABS($C480-$H480)&lt;=toleransKurus,"TYK-005","TANIMSIZ"))))))</f>
        <v/>
      </c>
    </row>
    <row r="481">
      <c r="A481" s="23">
        <f>IF('ESLESTIRME'!$A481="","",'ESLESTIRME'!$A481)</f>
        <v/>
      </c>
      <c r="B481" s="17">
        <f>IF($A481="","",IFERROR(INDEX(tblEslesme[Kova],MATCH($A481,tblEslesme[A_Norm],0)),""))</f>
        <v/>
      </c>
      <c r="C481" s="17">
        <f>IF($A481="","",IFERROR(INDEX(tblEslesme[AbsFark],MATCH($A481,tblEslesme[A_Norm],0)),0))</f>
        <v/>
      </c>
      <c r="D481" s="17">
        <f>IF($A481="","",IFERROR(SUMIF(tblMotor[A_Norm],$A481,tblMotor[KomisyonTutar]),0))</f>
        <v/>
      </c>
      <c r="E481" s="17">
        <f>IF($A481="","",IFERROR(SUMIF(tblMotor[A_Norm],$A481,tblMotor[TyPlus]),0))</f>
        <v/>
      </c>
      <c r="F481" s="17">
        <f>IF($A481="","",IFERROR(SUMIF(tblMotor[A_Norm],$A481,tblMotor[FlasKesinti]),0))</f>
        <v/>
      </c>
      <c r="G481" s="17">
        <f>IF($A481="","",IFERROR(SUMIF(tblMotor[A_Norm],$A481,tblMotor[UrunReklam]),0))</f>
        <v/>
      </c>
      <c r="H481" s="17">
        <f>IF($A481="","",IFERROR(SUMIF(tblMotor[A_Norm],$A481,tblMotor[DesiKargo]),0))</f>
        <v/>
      </c>
      <c r="I481" s="17">
        <f>IF(OR($A481="",$B481&lt;&gt;"tutar_farki"),"",IF(ABS($C481-$D481)&lt;=toleransKurus,"TYK-001",IF(ABS($C481-$E481)&lt;=toleransKurus,"TYK-002",IF(ABS($C481-$F481)&lt;=toleransKurus,"TYK-003",IF(ABS($C481-$G481)&lt;=toleransKurus,"TYK-004",IF(ABS($C481-$H481)&lt;=toleransKurus,"TYK-005","TANIMSIZ"))))))</f>
        <v/>
      </c>
    </row>
    <row r="482">
      <c r="A482" s="23">
        <f>IF('ESLESTIRME'!$A482="","",'ESLESTIRME'!$A482)</f>
        <v/>
      </c>
      <c r="B482" s="17">
        <f>IF($A482="","",IFERROR(INDEX(tblEslesme[Kova],MATCH($A482,tblEslesme[A_Norm],0)),""))</f>
        <v/>
      </c>
      <c r="C482" s="17">
        <f>IF($A482="","",IFERROR(INDEX(tblEslesme[AbsFark],MATCH($A482,tblEslesme[A_Norm],0)),0))</f>
        <v/>
      </c>
      <c r="D482" s="17">
        <f>IF($A482="","",IFERROR(SUMIF(tblMotor[A_Norm],$A482,tblMotor[KomisyonTutar]),0))</f>
        <v/>
      </c>
      <c r="E482" s="17">
        <f>IF($A482="","",IFERROR(SUMIF(tblMotor[A_Norm],$A482,tblMotor[TyPlus]),0))</f>
        <v/>
      </c>
      <c r="F482" s="17">
        <f>IF($A482="","",IFERROR(SUMIF(tblMotor[A_Norm],$A482,tblMotor[FlasKesinti]),0))</f>
        <v/>
      </c>
      <c r="G482" s="17">
        <f>IF($A482="","",IFERROR(SUMIF(tblMotor[A_Norm],$A482,tblMotor[UrunReklam]),0))</f>
        <v/>
      </c>
      <c r="H482" s="17">
        <f>IF($A482="","",IFERROR(SUMIF(tblMotor[A_Norm],$A482,tblMotor[DesiKargo]),0))</f>
        <v/>
      </c>
      <c r="I482" s="17">
        <f>IF(OR($A482="",$B482&lt;&gt;"tutar_farki"),"",IF(ABS($C482-$D482)&lt;=toleransKurus,"TYK-001",IF(ABS($C482-$E482)&lt;=toleransKurus,"TYK-002",IF(ABS($C482-$F482)&lt;=toleransKurus,"TYK-003",IF(ABS($C482-$G482)&lt;=toleransKurus,"TYK-004",IF(ABS($C482-$H482)&lt;=toleransKurus,"TYK-005","TANIMSIZ"))))))</f>
        <v/>
      </c>
    </row>
    <row r="483">
      <c r="A483" s="23">
        <f>IF('ESLESTIRME'!$A483="","",'ESLESTIRME'!$A483)</f>
        <v/>
      </c>
      <c r="B483" s="17">
        <f>IF($A483="","",IFERROR(INDEX(tblEslesme[Kova],MATCH($A483,tblEslesme[A_Norm],0)),""))</f>
        <v/>
      </c>
      <c r="C483" s="17">
        <f>IF($A483="","",IFERROR(INDEX(tblEslesme[AbsFark],MATCH($A483,tblEslesme[A_Norm],0)),0))</f>
        <v/>
      </c>
      <c r="D483" s="17">
        <f>IF($A483="","",IFERROR(SUMIF(tblMotor[A_Norm],$A483,tblMotor[KomisyonTutar]),0))</f>
        <v/>
      </c>
      <c r="E483" s="17">
        <f>IF($A483="","",IFERROR(SUMIF(tblMotor[A_Norm],$A483,tblMotor[TyPlus]),0))</f>
        <v/>
      </c>
      <c r="F483" s="17">
        <f>IF($A483="","",IFERROR(SUMIF(tblMotor[A_Norm],$A483,tblMotor[FlasKesinti]),0))</f>
        <v/>
      </c>
      <c r="G483" s="17">
        <f>IF($A483="","",IFERROR(SUMIF(tblMotor[A_Norm],$A483,tblMotor[UrunReklam]),0))</f>
        <v/>
      </c>
      <c r="H483" s="17">
        <f>IF($A483="","",IFERROR(SUMIF(tblMotor[A_Norm],$A483,tblMotor[DesiKargo]),0))</f>
        <v/>
      </c>
      <c r="I483" s="17">
        <f>IF(OR($A483="",$B483&lt;&gt;"tutar_farki"),"",IF(ABS($C483-$D483)&lt;=toleransKurus,"TYK-001",IF(ABS($C483-$E483)&lt;=toleransKurus,"TYK-002",IF(ABS($C483-$F483)&lt;=toleransKurus,"TYK-003",IF(ABS($C483-$G483)&lt;=toleransKurus,"TYK-004",IF(ABS($C483-$H483)&lt;=toleransKurus,"TYK-005","TANIMSIZ"))))))</f>
        <v/>
      </c>
    </row>
    <row r="484">
      <c r="A484" s="23">
        <f>IF('ESLESTIRME'!$A484="","",'ESLESTIRME'!$A484)</f>
        <v/>
      </c>
      <c r="B484" s="17">
        <f>IF($A484="","",IFERROR(INDEX(tblEslesme[Kova],MATCH($A484,tblEslesme[A_Norm],0)),""))</f>
        <v/>
      </c>
      <c r="C484" s="17">
        <f>IF($A484="","",IFERROR(INDEX(tblEslesme[AbsFark],MATCH($A484,tblEslesme[A_Norm],0)),0))</f>
        <v/>
      </c>
      <c r="D484" s="17">
        <f>IF($A484="","",IFERROR(SUMIF(tblMotor[A_Norm],$A484,tblMotor[KomisyonTutar]),0))</f>
        <v/>
      </c>
      <c r="E484" s="17">
        <f>IF($A484="","",IFERROR(SUMIF(tblMotor[A_Norm],$A484,tblMotor[TyPlus]),0))</f>
        <v/>
      </c>
      <c r="F484" s="17">
        <f>IF($A484="","",IFERROR(SUMIF(tblMotor[A_Norm],$A484,tblMotor[FlasKesinti]),0))</f>
        <v/>
      </c>
      <c r="G484" s="17">
        <f>IF($A484="","",IFERROR(SUMIF(tblMotor[A_Norm],$A484,tblMotor[UrunReklam]),0))</f>
        <v/>
      </c>
      <c r="H484" s="17">
        <f>IF($A484="","",IFERROR(SUMIF(tblMotor[A_Norm],$A484,tblMotor[DesiKargo]),0))</f>
        <v/>
      </c>
      <c r="I484" s="17">
        <f>IF(OR($A484="",$B484&lt;&gt;"tutar_farki"),"",IF(ABS($C484-$D484)&lt;=toleransKurus,"TYK-001",IF(ABS($C484-$E484)&lt;=toleransKurus,"TYK-002",IF(ABS($C484-$F484)&lt;=toleransKurus,"TYK-003",IF(ABS($C484-$G484)&lt;=toleransKurus,"TYK-004",IF(ABS($C484-$H484)&lt;=toleransKurus,"TYK-005","TANIMSIZ"))))))</f>
        <v/>
      </c>
    </row>
    <row r="485">
      <c r="A485" s="23">
        <f>IF('ESLESTIRME'!$A485="","",'ESLESTIRME'!$A485)</f>
        <v/>
      </c>
      <c r="B485" s="17">
        <f>IF($A485="","",IFERROR(INDEX(tblEslesme[Kova],MATCH($A485,tblEslesme[A_Norm],0)),""))</f>
        <v/>
      </c>
      <c r="C485" s="17">
        <f>IF($A485="","",IFERROR(INDEX(tblEslesme[AbsFark],MATCH($A485,tblEslesme[A_Norm],0)),0))</f>
        <v/>
      </c>
      <c r="D485" s="17">
        <f>IF($A485="","",IFERROR(SUMIF(tblMotor[A_Norm],$A485,tblMotor[KomisyonTutar]),0))</f>
        <v/>
      </c>
      <c r="E485" s="17">
        <f>IF($A485="","",IFERROR(SUMIF(tblMotor[A_Norm],$A485,tblMotor[TyPlus]),0))</f>
        <v/>
      </c>
      <c r="F485" s="17">
        <f>IF($A485="","",IFERROR(SUMIF(tblMotor[A_Norm],$A485,tblMotor[FlasKesinti]),0))</f>
        <v/>
      </c>
      <c r="G485" s="17">
        <f>IF($A485="","",IFERROR(SUMIF(tblMotor[A_Norm],$A485,tblMotor[UrunReklam]),0))</f>
        <v/>
      </c>
      <c r="H485" s="17">
        <f>IF($A485="","",IFERROR(SUMIF(tblMotor[A_Norm],$A485,tblMotor[DesiKargo]),0))</f>
        <v/>
      </c>
      <c r="I485" s="17">
        <f>IF(OR($A485="",$B485&lt;&gt;"tutar_farki"),"",IF(ABS($C485-$D485)&lt;=toleransKurus,"TYK-001",IF(ABS($C485-$E485)&lt;=toleransKurus,"TYK-002",IF(ABS($C485-$F485)&lt;=toleransKurus,"TYK-003",IF(ABS($C485-$G485)&lt;=toleransKurus,"TYK-004",IF(ABS($C485-$H485)&lt;=toleransKurus,"TYK-005","TANIMSIZ"))))))</f>
        <v/>
      </c>
    </row>
    <row r="486">
      <c r="A486" s="23">
        <f>IF('ESLESTIRME'!$A486="","",'ESLESTIRME'!$A486)</f>
        <v/>
      </c>
      <c r="B486" s="17">
        <f>IF($A486="","",IFERROR(INDEX(tblEslesme[Kova],MATCH($A486,tblEslesme[A_Norm],0)),""))</f>
        <v/>
      </c>
      <c r="C486" s="17">
        <f>IF($A486="","",IFERROR(INDEX(tblEslesme[AbsFark],MATCH($A486,tblEslesme[A_Norm],0)),0))</f>
        <v/>
      </c>
      <c r="D486" s="17">
        <f>IF($A486="","",IFERROR(SUMIF(tblMotor[A_Norm],$A486,tblMotor[KomisyonTutar]),0))</f>
        <v/>
      </c>
      <c r="E486" s="17">
        <f>IF($A486="","",IFERROR(SUMIF(tblMotor[A_Norm],$A486,tblMotor[TyPlus]),0))</f>
        <v/>
      </c>
      <c r="F486" s="17">
        <f>IF($A486="","",IFERROR(SUMIF(tblMotor[A_Norm],$A486,tblMotor[FlasKesinti]),0))</f>
        <v/>
      </c>
      <c r="G486" s="17">
        <f>IF($A486="","",IFERROR(SUMIF(tblMotor[A_Norm],$A486,tblMotor[UrunReklam]),0))</f>
        <v/>
      </c>
      <c r="H486" s="17">
        <f>IF($A486="","",IFERROR(SUMIF(tblMotor[A_Norm],$A486,tblMotor[DesiKargo]),0))</f>
        <v/>
      </c>
      <c r="I486" s="17">
        <f>IF(OR($A486="",$B486&lt;&gt;"tutar_farki"),"",IF(ABS($C486-$D486)&lt;=toleransKurus,"TYK-001",IF(ABS($C486-$E486)&lt;=toleransKurus,"TYK-002",IF(ABS($C486-$F486)&lt;=toleransKurus,"TYK-003",IF(ABS($C486-$G486)&lt;=toleransKurus,"TYK-004",IF(ABS($C486-$H486)&lt;=toleransKurus,"TYK-005","TANIMSIZ"))))))</f>
        <v/>
      </c>
    </row>
    <row r="487">
      <c r="A487" s="23">
        <f>IF('ESLESTIRME'!$A487="","",'ESLESTIRME'!$A487)</f>
        <v/>
      </c>
      <c r="B487" s="17">
        <f>IF($A487="","",IFERROR(INDEX(tblEslesme[Kova],MATCH($A487,tblEslesme[A_Norm],0)),""))</f>
        <v/>
      </c>
      <c r="C487" s="17">
        <f>IF($A487="","",IFERROR(INDEX(tblEslesme[AbsFark],MATCH($A487,tblEslesme[A_Norm],0)),0))</f>
        <v/>
      </c>
      <c r="D487" s="17">
        <f>IF($A487="","",IFERROR(SUMIF(tblMotor[A_Norm],$A487,tblMotor[KomisyonTutar]),0))</f>
        <v/>
      </c>
      <c r="E487" s="17">
        <f>IF($A487="","",IFERROR(SUMIF(tblMotor[A_Norm],$A487,tblMotor[TyPlus]),0))</f>
        <v/>
      </c>
      <c r="F487" s="17">
        <f>IF($A487="","",IFERROR(SUMIF(tblMotor[A_Norm],$A487,tblMotor[FlasKesinti]),0))</f>
        <v/>
      </c>
      <c r="G487" s="17">
        <f>IF($A487="","",IFERROR(SUMIF(tblMotor[A_Norm],$A487,tblMotor[UrunReklam]),0))</f>
        <v/>
      </c>
      <c r="H487" s="17">
        <f>IF($A487="","",IFERROR(SUMIF(tblMotor[A_Norm],$A487,tblMotor[DesiKargo]),0))</f>
        <v/>
      </c>
      <c r="I487" s="17">
        <f>IF(OR($A487="",$B487&lt;&gt;"tutar_farki"),"",IF(ABS($C487-$D487)&lt;=toleransKurus,"TYK-001",IF(ABS($C487-$E487)&lt;=toleransKurus,"TYK-002",IF(ABS($C487-$F487)&lt;=toleransKurus,"TYK-003",IF(ABS($C487-$G487)&lt;=toleransKurus,"TYK-004",IF(ABS($C487-$H487)&lt;=toleransKurus,"TYK-005","TANIMSIZ"))))))</f>
        <v/>
      </c>
    </row>
    <row r="488">
      <c r="A488" s="23">
        <f>IF('ESLESTIRME'!$A488="","",'ESLESTIRME'!$A488)</f>
        <v/>
      </c>
      <c r="B488" s="17">
        <f>IF($A488="","",IFERROR(INDEX(tblEslesme[Kova],MATCH($A488,tblEslesme[A_Norm],0)),""))</f>
        <v/>
      </c>
      <c r="C488" s="17">
        <f>IF($A488="","",IFERROR(INDEX(tblEslesme[AbsFark],MATCH($A488,tblEslesme[A_Norm],0)),0))</f>
        <v/>
      </c>
      <c r="D488" s="17">
        <f>IF($A488="","",IFERROR(SUMIF(tblMotor[A_Norm],$A488,tblMotor[KomisyonTutar]),0))</f>
        <v/>
      </c>
      <c r="E488" s="17">
        <f>IF($A488="","",IFERROR(SUMIF(tblMotor[A_Norm],$A488,tblMotor[TyPlus]),0))</f>
        <v/>
      </c>
      <c r="F488" s="17">
        <f>IF($A488="","",IFERROR(SUMIF(tblMotor[A_Norm],$A488,tblMotor[FlasKesinti]),0))</f>
        <v/>
      </c>
      <c r="G488" s="17">
        <f>IF($A488="","",IFERROR(SUMIF(tblMotor[A_Norm],$A488,tblMotor[UrunReklam]),0))</f>
        <v/>
      </c>
      <c r="H488" s="17">
        <f>IF($A488="","",IFERROR(SUMIF(tblMotor[A_Norm],$A488,tblMotor[DesiKargo]),0))</f>
        <v/>
      </c>
      <c r="I488" s="17">
        <f>IF(OR($A488="",$B488&lt;&gt;"tutar_farki"),"",IF(ABS($C488-$D488)&lt;=toleransKurus,"TYK-001",IF(ABS($C488-$E488)&lt;=toleransKurus,"TYK-002",IF(ABS($C488-$F488)&lt;=toleransKurus,"TYK-003",IF(ABS($C488-$G488)&lt;=toleransKurus,"TYK-004",IF(ABS($C488-$H488)&lt;=toleransKurus,"TYK-005","TANIMSIZ"))))))</f>
        <v/>
      </c>
    </row>
    <row r="489">
      <c r="A489" s="23">
        <f>IF('ESLESTIRME'!$A489="","",'ESLESTIRME'!$A489)</f>
        <v/>
      </c>
      <c r="B489" s="17">
        <f>IF($A489="","",IFERROR(INDEX(tblEslesme[Kova],MATCH($A489,tblEslesme[A_Norm],0)),""))</f>
        <v/>
      </c>
      <c r="C489" s="17">
        <f>IF($A489="","",IFERROR(INDEX(tblEslesme[AbsFark],MATCH($A489,tblEslesme[A_Norm],0)),0))</f>
        <v/>
      </c>
      <c r="D489" s="17">
        <f>IF($A489="","",IFERROR(SUMIF(tblMotor[A_Norm],$A489,tblMotor[KomisyonTutar]),0))</f>
        <v/>
      </c>
      <c r="E489" s="17">
        <f>IF($A489="","",IFERROR(SUMIF(tblMotor[A_Norm],$A489,tblMotor[TyPlus]),0))</f>
        <v/>
      </c>
      <c r="F489" s="17">
        <f>IF($A489="","",IFERROR(SUMIF(tblMotor[A_Norm],$A489,tblMotor[FlasKesinti]),0))</f>
        <v/>
      </c>
      <c r="G489" s="17">
        <f>IF($A489="","",IFERROR(SUMIF(tblMotor[A_Norm],$A489,tblMotor[UrunReklam]),0))</f>
        <v/>
      </c>
      <c r="H489" s="17">
        <f>IF($A489="","",IFERROR(SUMIF(tblMotor[A_Norm],$A489,tblMotor[DesiKargo]),0))</f>
        <v/>
      </c>
      <c r="I489" s="17">
        <f>IF(OR($A489="",$B489&lt;&gt;"tutar_farki"),"",IF(ABS($C489-$D489)&lt;=toleransKurus,"TYK-001",IF(ABS($C489-$E489)&lt;=toleransKurus,"TYK-002",IF(ABS($C489-$F489)&lt;=toleransKurus,"TYK-003",IF(ABS($C489-$G489)&lt;=toleransKurus,"TYK-004",IF(ABS($C489-$H489)&lt;=toleransKurus,"TYK-005","TANIMSIZ"))))))</f>
        <v/>
      </c>
    </row>
    <row r="490">
      <c r="A490" s="23">
        <f>IF('ESLESTIRME'!$A490="","",'ESLESTIRME'!$A490)</f>
        <v/>
      </c>
      <c r="B490" s="17">
        <f>IF($A490="","",IFERROR(INDEX(tblEslesme[Kova],MATCH($A490,tblEslesme[A_Norm],0)),""))</f>
        <v/>
      </c>
      <c r="C490" s="17">
        <f>IF($A490="","",IFERROR(INDEX(tblEslesme[AbsFark],MATCH($A490,tblEslesme[A_Norm],0)),0))</f>
        <v/>
      </c>
      <c r="D490" s="17">
        <f>IF($A490="","",IFERROR(SUMIF(tblMotor[A_Norm],$A490,tblMotor[KomisyonTutar]),0))</f>
        <v/>
      </c>
      <c r="E490" s="17">
        <f>IF($A490="","",IFERROR(SUMIF(tblMotor[A_Norm],$A490,tblMotor[TyPlus]),0))</f>
        <v/>
      </c>
      <c r="F490" s="17">
        <f>IF($A490="","",IFERROR(SUMIF(tblMotor[A_Norm],$A490,tblMotor[FlasKesinti]),0))</f>
        <v/>
      </c>
      <c r="G490" s="17">
        <f>IF($A490="","",IFERROR(SUMIF(tblMotor[A_Norm],$A490,tblMotor[UrunReklam]),0))</f>
        <v/>
      </c>
      <c r="H490" s="17">
        <f>IF($A490="","",IFERROR(SUMIF(tblMotor[A_Norm],$A490,tblMotor[DesiKargo]),0))</f>
        <v/>
      </c>
      <c r="I490" s="17">
        <f>IF(OR($A490="",$B490&lt;&gt;"tutar_farki"),"",IF(ABS($C490-$D490)&lt;=toleransKurus,"TYK-001",IF(ABS($C490-$E490)&lt;=toleransKurus,"TYK-002",IF(ABS($C490-$F490)&lt;=toleransKurus,"TYK-003",IF(ABS($C490-$G490)&lt;=toleransKurus,"TYK-004",IF(ABS($C490-$H490)&lt;=toleransKurus,"TYK-005","TANIMSIZ"))))))</f>
        <v/>
      </c>
    </row>
    <row r="491">
      <c r="A491" s="23">
        <f>IF('ESLESTIRME'!$A491="","",'ESLESTIRME'!$A491)</f>
        <v/>
      </c>
      <c r="B491" s="17">
        <f>IF($A491="","",IFERROR(INDEX(tblEslesme[Kova],MATCH($A491,tblEslesme[A_Norm],0)),""))</f>
        <v/>
      </c>
      <c r="C491" s="17">
        <f>IF($A491="","",IFERROR(INDEX(tblEslesme[AbsFark],MATCH($A491,tblEslesme[A_Norm],0)),0))</f>
        <v/>
      </c>
      <c r="D491" s="17">
        <f>IF($A491="","",IFERROR(SUMIF(tblMotor[A_Norm],$A491,tblMotor[KomisyonTutar]),0))</f>
        <v/>
      </c>
      <c r="E491" s="17">
        <f>IF($A491="","",IFERROR(SUMIF(tblMotor[A_Norm],$A491,tblMotor[TyPlus]),0))</f>
        <v/>
      </c>
      <c r="F491" s="17">
        <f>IF($A491="","",IFERROR(SUMIF(tblMotor[A_Norm],$A491,tblMotor[FlasKesinti]),0))</f>
        <v/>
      </c>
      <c r="G491" s="17">
        <f>IF($A491="","",IFERROR(SUMIF(tblMotor[A_Norm],$A491,tblMotor[UrunReklam]),0))</f>
        <v/>
      </c>
      <c r="H491" s="17">
        <f>IF($A491="","",IFERROR(SUMIF(tblMotor[A_Norm],$A491,tblMotor[DesiKargo]),0))</f>
        <v/>
      </c>
      <c r="I491" s="17">
        <f>IF(OR($A491="",$B491&lt;&gt;"tutar_farki"),"",IF(ABS($C491-$D491)&lt;=toleransKurus,"TYK-001",IF(ABS($C491-$E491)&lt;=toleransKurus,"TYK-002",IF(ABS($C491-$F491)&lt;=toleransKurus,"TYK-003",IF(ABS($C491-$G491)&lt;=toleransKurus,"TYK-004",IF(ABS($C491-$H491)&lt;=toleransKurus,"TYK-005","TANIMSIZ"))))))</f>
        <v/>
      </c>
    </row>
    <row r="492">
      <c r="A492" s="23">
        <f>IF('ESLESTIRME'!$A492="","",'ESLESTIRME'!$A492)</f>
        <v/>
      </c>
      <c r="B492" s="17">
        <f>IF($A492="","",IFERROR(INDEX(tblEslesme[Kova],MATCH($A492,tblEslesme[A_Norm],0)),""))</f>
        <v/>
      </c>
      <c r="C492" s="17">
        <f>IF($A492="","",IFERROR(INDEX(tblEslesme[AbsFark],MATCH($A492,tblEslesme[A_Norm],0)),0))</f>
        <v/>
      </c>
      <c r="D492" s="17">
        <f>IF($A492="","",IFERROR(SUMIF(tblMotor[A_Norm],$A492,tblMotor[KomisyonTutar]),0))</f>
        <v/>
      </c>
      <c r="E492" s="17">
        <f>IF($A492="","",IFERROR(SUMIF(tblMotor[A_Norm],$A492,tblMotor[TyPlus]),0))</f>
        <v/>
      </c>
      <c r="F492" s="17">
        <f>IF($A492="","",IFERROR(SUMIF(tblMotor[A_Norm],$A492,tblMotor[FlasKesinti]),0))</f>
        <v/>
      </c>
      <c r="G492" s="17">
        <f>IF($A492="","",IFERROR(SUMIF(tblMotor[A_Norm],$A492,tblMotor[UrunReklam]),0))</f>
        <v/>
      </c>
      <c r="H492" s="17">
        <f>IF($A492="","",IFERROR(SUMIF(tblMotor[A_Norm],$A492,tblMotor[DesiKargo]),0))</f>
        <v/>
      </c>
      <c r="I492" s="17">
        <f>IF(OR($A492="",$B492&lt;&gt;"tutar_farki"),"",IF(ABS($C492-$D492)&lt;=toleransKurus,"TYK-001",IF(ABS($C492-$E492)&lt;=toleransKurus,"TYK-002",IF(ABS($C492-$F492)&lt;=toleransKurus,"TYK-003",IF(ABS($C492-$G492)&lt;=toleransKurus,"TYK-004",IF(ABS($C492-$H492)&lt;=toleransKurus,"TYK-005","TANIMSIZ"))))))</f>
        <v/>
      </c>
    </row>
    <row r="493">
      <c r="A493" s="23">
        <f>IF('ESLESTIRME'!$A493="","",'ESLESTIRME'!$A493)</f>
        <v/>
      </c>
      <c r="B493" s="17">
        <f>IF($A493="","",IFERROR(INDEX(tblEslesme[Kova],MATCH($A493,tblEslesme[A_Norm],0)),""))</f>
        <v/>
      </c>
      <c r="C493" s="17">
        <f>IF($A493="","",IFERROR(INDEX(tblEslesme[AbsFark],MATCH($A493,tblEslesme[A_Norm],0)),0))</f>
        <v/>
      </c>
      <c r="D493" s="17">
        <f>IF($A493="","",IFERROR(SUMIF(tblMotor[A_Norm],$A493,tblMotor[KomisyonTutar]),0))</f>
        <v/>
      </c>
      <c r="E493" s="17">
        <f>IF($A493="","",IFERROR(SUMIF(tblMotor[A_Norm],$A493,tblMotor[TyPlus]),0))</f>
        <v/>
      </c>
      <c r="F493" s="17">
        <f>IF($A493="","",IFERROR(SUMIF(tblMotor[A_Norm],$A493,tblMotor[FlasKesinti]),0))</f>
        <v/>
      </c>
      <c r="G493" s="17">
        <f>IF($A493="","",IFERROR(SUMIF(tblMotor[A_Norm],$A493,tblMotor[UrunReklam]),0))</f>
        <v/>
      </c>
      <c r="H493" s="17">
        <f>IF($A493="","",IFERROR(SUMIF(tblMotor[A_Norm],$A493,tblMotor[DesiKargo]),0))</f>
        <v/>
      </c>
      <c r="I493" s="17">
        <f>IF(OR($A493="",$B493&lt;&gt;"tutar_farki"),"",IF(ABS($C493-$D493)&lt;=toleransKurus,"TYK-001",IF(ABS($C493-$E493)&lt;=toleransKurus,"TYK-002",IF(ABS($C493-$F493)&lt;=toleransKurus,"TYK-003",IF(ABS($C493-$G493)&lt;=toleransKurus,"TYK-004",IF(ABS($C493-$H493)&lt;=toleransKurus,"TYK-005","TANIMSIZ"))))))</f>
        <v/>
      </c>
    </row>
    <row r="494">
      <c r="A494" s="23">
        <f>IF('ESLESTIRME'!$A494="","",'ESLESTIRME'!$A494)</f>
        <v/>
      </c>
      <c r="B494" s="17">
        <f>IF($A494="","",IFERROR(INDEX(tblEslesme[Kova],MATCH($A494,tblEslesme[A_Norm],0)),""))</f>
        <v/>
      </c>
      <c r="C494" s="17">
        <f>IF($A494="","",IFERROR(INDEX(tblEslesme[AbsFark],MATCH($A494,tblEslesme[A_Norm],0)),0))</f>
        <v/>
      </c>
      <c r="D494" s="17">
        <f>IF($A494="","",IFERROR(SUMIF(tblMotor[A_Norm],$A494,tblMotor[KomisyonTutar]),0))</f>
        <v/>
      </c>
      <c r="E494" s="17">
        <f>IF($A494="","",IFERROR(SUMIF(tblMotor[A_Norm],$A494,tblMotor[TyPlus]),0))</f>
        <v/>
      </c>
      <c r="F494" s="17">
        <f>IF($A494="","",IFERROR(SUMIF(tblMotor[A_Norm],$A494,tblMotor[FlasKesinti]),0))</f>
        <v/>
      </c>
      <c r="G494" s="17">
        <f>IF($A494="","",IFERROR(SUMIF(tblMotor[A_Norm],$A494,tblMotor[UrunReklam]),0))</f>
        <v/>
      </c>
      <c r="H494" s="17">
        <f>IF($A494="","",IFERROR(SUMIF(tblMotor[A_Norm],$A494,tblMotor[DesiKargo]),0))</f>
        <v/>
      </c>
      <c r="I494" s="17">
        <f>IF(OR($A494="",$B494&lt;&gt;"tutar_farki"),"",IF(ABS($C494-$D494)&lt;=toleransKurus,"TYK-001",IF(ABS($C494-$E494)&lt;=toleransKurus,"TYK-002",IF(ABS($C494-$F494)&lt;=toleransKurus,"TYK-003",IF(ABS($C494-$G494)&lt;=toleransKurus,"TYK-004",IF(ABS($C494-$H494)&lt;=toleransKurus,"TYK-005","TANIMSIZ"))))))</f>
        <v/>
      </c>
    </row>
    <row r="495">
      <c r="A495" s="23">
        <f>IF('ESLESTIRME'!$A495="","",'ESLESTIRME'!$A495)</f>
        <v/>
      </c>
      <c r="B495" s="17">
        <f>IF($A495="","",IFERROR(INDEX(tblEslesme[Kova],MATCH($A495,tblEslesme[A_Norm],0)),""))</f>
        <v/>
      </c>
      <c r="C495" s="17">
        <f>IF($A495="","",IFERROR(INDEX(tblEslesme[AbsFark],MATCH($A495,tblEslesme[A_Norm],0)),0))</f>
        <v/>
      </c>
      <c r="D495" s="17">
        <f>IF($A495="","",IFERROR(SUMIF(tblMotor[A_Norm],$A495,tblMotor[KomisyonTutar]),0))</f>
        <v/>
      </c>
      <c r="E495" s="17">
        <f>IF($A495="","",IFERROR(SUMIF(tblMotor[A_Norm],$A495,tblMotor[TyPlus]),0))</f>
        <v/>
      </c>
      <c r="F495" s="17">
        <f>IF($A495="","",IFERROR(SUMIF(tblMotor[A_Norm],$A495,tblMotor[FlasKesinti]),0))</f>
        <v/>
      </c>
      <c r="G495" s="17">
        <f>IF($A495="","",IFERROR(SUMIF(tblMotor[A_Norm],$A495,tblMotor[UrunReklam]),0))</f>
        <v/>
      </c>
      <c r="H495" s="17">
        <f>IF($A495="","",IFERROR(SUMIF(tblMotor[A_Norm],$A495,tblMotor[DesiKargo]),0))</f>
        <v/>
      </c>
      <c r="I495" s="17">
        <f>IF(OR($A495="",$B495&lt;&gt;"tutar_farki"),"",IF(ABS($C495-$D495)&lt;=toleransKurus,"TYK-001",IF(ABS($C495-$E495)&lt;=toleransKurus,"TYK-002",IF(ABS($C495-$F495)&lt;=toleransKurus,"TYK-003",IF(ABS($C495-$G495)&lt;=toleransKurus,"TYK-004",IF(ABS($C495-$H495)&lt;=toleransKurus,"TYK-005","TANIMSIZ"))))))</f>
        <v/>
      </c>
    </row>
    <row r="496">
      <c r="A496" s="23">
        <f>IF('ESLESTIRME'!$A496="","",'ESLESTIRME'!$A496)</f>
        <v/>
      </c>
      <c r="B496" s="17">
        <f>IF($A496="","",IFERROR(INDEX(tblEslesme[Kova],MATCH($A496,tblEslesme[A_Norm],0)),""))</f>
        <v/>
      </c>
      <c r="C496" s="17">
        <f>IF($A496="","",IFERROR(INDEX(tblEslesme[AbsFark],MATCH($A496,tblEslesme[A_Norm],0)),0))</f>
        <v/>
      </c>
      <c r="D496" s="17">
        <f>IF($A496="","",IFERROR(SUMIF(tblMotor[A_Norm],$A496,tblMotor[KomisyonTutar]),0))</f>
        <v/>
      </c>
      <c r="E496" s="17">
        <f>IF($A496="","",IFERROR(SUMIF(tblMotor[A_Norm],$A496,tblMotor[TyPlus]),0))</f>
        <v/>
      </c>
      <c r="F496" s="17">
        <f>IF($A496="","",IFERROR(SUMIF(tblMotor[A_Norm],$A496,tblMotor[FlasKesinti]),0))</f>
        <v/>
      </c>
      <c r="G496" s="17">
        <f>IF($A496="","",IFERROR(SUMIF(tblMotor[A_Norm],$A496,tblMotor[UrunReklam]),0))</f>
        <v/>
      </c>
      <c r="H496" s="17">
        <f>IF($A496="","",IFERROR(SUMIF(tblMotor[A_Norm],$A496,tblMotor[DesiKargo]),0))</f>
        <v/>
      </c>
      <c r="I496" s="17">
        <f>IF(OR($A496="",$B496&lt;&gt;"tutar_farki"),"",IF(ABS($C496-$D496)&lt;=toleransKurus,"TYK-001",IF(ABS($C496-$E496)&lt;=toleransKurus,"TYK-002",IF(ABS($C496-$F496)&lt;=toleransKurus,"TYK-003",IF(ABS($C496-$G496)&lt;=toleransKurus,"TYK-004",IF(ABS($C496-$H496)&lt;=toleransKurus,"TYK-005","TANIMSIZ"))))))</f>
        <v/>
      </c>
    </row>
    <row r="497">
      <c r="A497" s="23">
        <f>IF('ESLESTIRME'!$A497="","",'ESLESTIRME'!$A497)</f>
        <v/>
      </c>
      <c r="B497" s="17">
        <f>IF($A497="","",IFERROR(INDEX(tblEslesme[Kova],MATCH($A497,tblEslesme[A_Norm],0)),""))</f>
        <v/>
      </c>
      <c r="C497" s="17">
        <f>IF($A497="","",IFERROR(INDEX(tblEslesme[AbsFark],MATCH($A497,tblEslesme[A_Norm],0)),0))</f>
        <v/>
      </c>
      <c r="D497" s="17">
        <f>IF($A497="","",IFERROR(SUMIF(tblMotor[A_Norm],$A497,tblMotor[KomisyonTutar]),0))</f>
        <v/>
      </c>
      <c r="E497" s="17">
        <f>IF($A497="","",IFERROR(SUMIF(tblMotor[A_Norm],$A497,tblMotor[TyPlus]),0))</f>
        <v/>
      </c>
      <c r="F497" s="17">
        <f>IF($A497="","",IFERROR(SUMIF(tblMotor[A_Norm],$A497,tblMotor[FlasKesinti]),0))</f>
        <v/>
      </c>
      <c r="G497" s="17">
        <f>IF($A497="","",IFERROR(SUMIF(tblMotor[A_Norm],$A497,tblMotor[UrunReklam]),0))</f>
        <v/>
      </c>
      <c r="H497" s="17">
        <f>IF($A497="","",IFERROR(SUMIF(tblMotor[A_Norm],$A497,tblMotor[DesiKargo]),0))</f>
        <v/>
      </c>
      <c r="I497" s="17">
        <f>IF(OR($A497="",$B497&lt;&gt;"tutar_farki"),"",IF(ABS($C497-$D497)&lt;=toleransKurus,"TYK-001",IF(ABS($C497-$E497)&lt;=toleransKurus,"TYK-002",IF(ABS($C497-$F497)&lt;=toleransKurus,"TYK-003",IF(ABS($C497-$G497)&lt;=toleransKurus,"TYK-004",IF(ABS($C497-$H497)&lt;=toleransKurus,"TYK-005","TANIMSIZ"))))))</f>
        <v/>
      </c>
    </row>
    <row r="498">
      <c r="A498" s="23">
        <f>IF('ESLESTIRME'!$A498="","",'ESLESTIRME'!$A498)</f>
        <v/>
      </c>
      <c r="B498" s="17">
        <f>IF($A498="","",IFERROR(INDEX(tblEslesme[Kova],MATCH($A498,tblEslesme[A_Norm],0)),""))</f>
        <v/>
      </c>
      <c r="C498" s="17">
        <f>IF($A498="","",IFERROR(INDEX(tblEslesme[AbsFark],MATCH($A498,tblEslesme[A_Norm],0)),0))</f>
        <v/>
      </c>
      <c r="D498" s="17">
        <f>IF($A498="","",IFERROR(SUMIF(tblMotor[A_Norm],$A498,tblMotor[KomisyonTutar]),0))</f>
        <v/>
      </c>
      <c r="E498" s="17">
        <f>IF($A498="","",IFERROR(SUMIF(tblMotor[A_Norm],$A498,tblMotor[TyPlus]),0))</f>
        <v/>
      </c>
      <c r="F498" s="17">
        <f>IF($A498="","",IFERROR(SUMIF(tblMotor[A_Norm],$A498,tblMotor[FlasKesinti]),0))</f>
        <v/>
      </c>
      <c r="G498" s="17">
        <f>IF($A498="","",IFERROR(SUMIF(tblMotor[A_Norm],$A498,tblMotor[UrunReklam]),0))</f>
        <v/>
      </c>
      <c r="H498" s="17">
        <f>IF($A498="","",IFERROR(SUMIF(tblMotor[A_Norm],$A498,tblMotor[DesiKargo]),0))</f>
        <v/>
      </c>
      <c r="I498" s="17">
        <f>IF(OR($A498="",$B498&lt;&gt;"tutar_farki"),"",IF(ABS($C498-$D498)&lt;=toleransKurus,"TYK-001",IF(ABS($C498-$E498)&lt;=toleransKurus,"TYK-002",IF(ABS($C498-$F498)&lt;=toleransKurus,"TYK-003",IF(ABS($C498-$G498)&lt;=toleransKurus,"TYK-004",IF(ABS($C498-$H498)&lt;=toleransKurus,"TYK-005","TANIMSIZ"))))))</f>
        <v/>
      </c>
    </row>
    <row r="499">
      <c r="A499" s="23">
        <f>IF('ESLESTIRME'!$A499="","",'ESLESTIRME'!$A499)</f>
        <v/>
      </c>
      <c r="B499" s="17">
        <f>IF($A499="","",IFERROR(INDEX(tblEslesme[Kova],MATCH($A499,tblEslesme[A_Norm],0)),""))</f>
        <v/>
      </c>
      <c r="C499" s="17">
        <f>IF($A499="","",IFERROR(INDEX(tblEslesme[AbsFark],MATCH($A499,tblEslesme[A_Norm],0)),0))</f>
        <v/>
      </c>
      <c r="D499" s="17">
        <f>IF($A499="","",IFERROR(SUMIF(tblMotor[A_Norm],$A499,tblMotor[KomisyonTutar]),0))</f>
        <v/>
      </c>
      <c r="E499" s="17">
        <f>IF($A499="","",IFERROR(SUMIF(tblMotor[A_Norm],$A499,tblMotor[TyPlus]),0))</f>
        <v/>
      </c>
      <c r="F499" s="17">
        <f>IF($A499="","",IFERROR(SUMIF(tblMotor[A_Norm],$A499,tblMotor[FlasKesinti]),0))</f>
        <v/>
      </c>
      <c r="G499" s="17">
        <f>IF($A499="","",IFERROR(SUMIF(tblMotor[A_Norm],$A499,tblMotor[UrunReklam]),0))</f>
        <v/>
      </c>
      <c r="H499" s="17">
        <f>IF($A499="","",IFERROR(SUMIF(tblMotor[A_Norm],$A499,tblMotor[DesiKargo]),0))</f>
        <v/>
      </c>
      <c r="I499" s="17">
        <f>IF(OR($A499="",$B499&lt;&gt;"tutar_farki"),"",IF(ABS($C499-$D499)&lt;=toleransKurus,"TYK-001",IF(ABS($C499-$E499)&lt;=toleransKurus,"TYK-002",IF(ABS($C499-$F499)&lt;=toleransKurus,"TYK-003",IF(ABS($C499-$G499)&lt;=toleransKurus,"TYK-004",IF(ABS($C499-$H499)&lt;=toleransKurus,"TYK-005","TANIMSIZ"))))))</f>
        <v/>
      </c>
    </row>
    <row r="500">
      <c r="A500" s="23">
        <f>IF('ESLESTIRME'!$A500="","",'ESLESTIRME'!$A500)</f>
        <v/>
      </c>
      <c r="B500" s="17">
        <f>IF($A500="","",IFERROR(INDEX(tblEslesme[Kova],MATCH($A500,tblEslesme[A_Norm],0)),""))</f>
        <v/>
      </c>
      <c r="C500" s="17">
        <f>IF($A500="","",IFERROR(INDEX(tblEslesme[AbsFark],MATCH($A500,tblEslesme[A_Norm],0)),0))</f>
        <v/>
      </c>
      <c r="D500" s="17">
        <f>IF($A500="","",IFERROR(SUMIF(tblMotor[A_Norm],$A500,tblMotor[KomisyonTutar]),0))</f>
        <v/>
      </c>
      <c r="E500" s="17">
        <f>IF($A500="","",IFERROR(SUMIF(tblMotor[A_Norm],$A500,tblMotor[TyPlus]),0))</f>
        <v/>
      </c>
      <c r="F500" s="17">
        <f>IF($A500="","",IFERROR(SUMIF(tblMotor[A_Norm],$A500,tblMotor[FlasKesinti]),0))</f>
        <v/>
      </c>
      <c r="G500" s="17">
        <f>IF($A500="","",IFERROR(SUMIF(tblMotor[A_Norm],$A500,tblMotor[UrunReklam]),0))</f>
        <v/>
      </c>
      <c r="H500" s="17">
        <f>IF($A500="","",IFERROR(SUMIF(tblMotor[A_Norm],$A500,tblMotor[DesiKargo]),0))</f>
        <v/>
      </c>
      <c r="I500" s="17">
        <f>IF(OR($A500="",$B500&lt;&gt;"tutar_farki"),"",IF(ABS($C500-$D500)&lt;=toleransKurus,"TYK-001",IF(ABS($C500-$E500)&lt;=toleransKurus,"TYK-002",IF(ABS($C500-$F500)&lt;=toleransKurus,"TYK-003",IF(ABS($C500-$G500)&lt;=toleransKurus,"TYK-004",IF(ABS($C500-$H500)&lt;=toleransKurus,"TYK-005","TANIMSIZ"))))))</f>
        <v/>
      </c>
    </row>
    <row r="501">
      <c r="A501" s="23">
        <f>IF('ESLESTIRME'!$A501="","",'ESLESTIRME'!$A501)</f>
        <v/>
      </c>
      <c r="B501" s="17">
        <f>IF($A501="","",IFERROR(INDEX(tblEslesme[Kova],MATCH($A501,tblEslesme[A_Norm],0)),""))</f>
        <v/>
      </c>
      <c r="C501" s="17">
        <f>IF($A501="","",IFERROR(INDEX(tblEslesme[AbsFark],MATCH($A501,tblEslesme[A_Norm],0)),0))</f>
        <v/>
      </c>
      <c r="D501" s="17">
        <f>IF($A501="","",IFERROR(SUMIF(tblMotor[A_Norm],$A501,tblMotor[KomisyonTutar]),0))</f>
        <v/>
      </c>
      <c r="E501" s="17">
        <f>IF($A501="","",IFERROR(SUMIF(tblMotor[A_Norm],$A501,tblMotor[TyPlus]),0))</f>
        <v/>
      </c>
      <c r="F501" s="17">
        <f>IF($A501="","",IFERROR(SUMIF(tblMotor[A_Norm],$A501,tblMotor[FlasKesinti]),0))</f>
        <v/>
      </c>
      <c r="G501" s="17">
        <f>IF($A501="","",IFERROR(SUMIF(tblMotor[A_Norm],$A501,tblMotor[UrunReklam]),0))</f>
        <v/>
      </c>
      <c r="H501" s="17">
        <f>IF($A501="","",IFERROR(SUMIF(tblMotor[A_Norm],$A501,tblMotor[DesiKargo]),0))</f>
        <v/>
      </c>
      <c r="I501" s="17">
        <f>IF(OR($A501="",$B501&lt;&gt;"tutar_farki"),"",IF(ABS($C501-$D501)&lt;=toleransKurus,"TYK-001",IF(ABS($C501-$E501)&lt;=toleransKurus,"TYK-002",IF(ABS($C501-$F501)&lt;=toleransKurus,"TYK-003",IF(ABS($C501-$G501)&lt;=toleransKurus,"TYK-004",IF(ABS($C501-$H501)&lt;=toleransKurus,"TYK-005","TANIMSIZ"))))))</f>
        <v/>
      </c>
    </row>
    <row r="502">
      <c r="A502" s="23">
        <f>IF('ESLESTIRME'!$A502="","",'ESLESTIRME'!$A502)</f>
        <v/>
      </c>
      <c r="B502" s="17">
        <f>IF($A502="","",IFERROR(INDEX(tblEslesme[Kova],MATCH($A502,tblEslesme[A_Norm],0)),""))</f>
        <v/>
      </c>
      <c r="C502" s="17">
        <f>IF($A502="","",IFERROR(INDEX(tblEslesme[AbsFark],MATCH($A502,tblEslesme[A_Norm],0)),0))</f>
        <v/>
      </c>
      <c r="D502" s="17">
        <f>IF($A502="","",IFERROR(SUMIF(tblMotor[A_Norm],$A502,tblMotor[KomisyonTutar]),0))</f>
        <v/>
      </c>
      <c r="E502" s="17">
        <f>IF($A502="","",IFERROR(SUMIF(tblMotor[A_Norm],$A502,tblMotor[TyPlus]),0))</f>
        <v/>
      </c>
      <c r="F502" s="17">
        <f>IF($A502="","",IFERROR(SUMIF(tblMotor[A_Norm],$A502,tblMotor[FlasKesinti]),0))</f>
        <v/>
      </c>
      <c r="G502" s="17">
        <f>IF($A502="","",IFERROR(SUMIF(tblMotor[A_Norm],$A502,tblMotor[UrunReklam]),0))</f>
        <v/>
      </c>
      <c r="H502" s="17">
        <f>IF($A502="","",IFERROR(SUMIF(tblMotor[A_Norm],$A502,tblMotor[DesiKargo]),0))</f>
        <v/>
      </c>
      <c r="I502" s="17">
        <f>IF(OR($A502="",$B502&lt;&gt;"tutar_farki"),"",IF(ABS($C502-$D502)&lt;=toleransKurus,"TYK-001",IF(ABS($C502-$E502)&lt;=toleransKurus,"TYK-002",IF(ABS($C502-$F502)&lt;=toleransKurus,"TYK-003",IF(ABS($C502-$G502)&lt;=toleransKurus,"TYK-004",IF(ABS($C502-$H502)&lt;=toleransKurus,"TYK-005","TANIMSIZ"))))))</f>
        <v/>
      </c>
    </row>
    <row r="503">
      <c r="A503" s="23">
        <f>IF('ESLESTIRME'!$A503="","",'ESLESTIRME'!$A503)</f>
        <v/>
      </c>
      <c r="B503" s="17">
        <f>IF($A503="","",IFERROR(INDEX(tblEslesme[Kova],MATCH($A503,tblEslesme[A_Norm],0)),""))</f>
        <v/>
      </c>
      <c r="C503" s="17">
        <f>IF($A503="","",IFERROR(INDEX(tblEslesme[AbsFark],MATCH($A503,tblEslesme[A_Norm],0)),0))</f>
        <v/>
      </c>
      <c r="D503" s="17">
        <f>IF($A503="","",IFERROR(SUMIF(tblMotor[A_Norm],$A503,tblMotor[KomisyonTutar]),0))</f>
        <v/>
      </c>
      <c r="E503" s="17">
        <f>IF($A503="","",IFERROR(SUMIF(tblMotor[A_Norm],$A503,tblMotor[TyPlus]),0))</f>
        <v/>
      </c>
      <c r="F503" s="17">
        <f>IF($A503="","",IFERROR(SUMIF(tblMotor[A_Norm],$A503,tblMotor[FlasKesinti]),0))</f>
        <v/>
      </c>
      <c r="G503" s="17">
        <f>IF($A503="","",IFERROR(SUMIF(tblMotor[A_Norm],$A503,tblMotor[UrunReklam]),0))</f>
        <v/>
      </c>
      <c r="H503" s="17">
        <f>IF($A503="","",IFERROR(SUMIF(tblMotor[A_Norm],$A503,tblMotor[DesiKargo]),0))</f>
        <v/>
      </c>
      <c r="I503" s="17">
        <f>IF(OR($A503="",$B503&lt;&gt;"tutar_farki"),"",IF(ABS($C503-$D503)&lt;=toleransKurus,"TYK-001",IF(ABS($C503-$E503)&lt;=toleransKurus,"TYK-002",IF(ABS($C503-$F503)&lt;=toleransKurus,"TYK-003",IF(ABS($C503-$G503)&lt;=toleransKurus,"TYK-004",IF(ABS($C503-$H503)&lt;=toleransKurus,"TYK-005","TANIMSIZ"))))))</f>
        <v/>
      </c>
    </row>
    <row r="504">
      <c r="A504" s="23">
        <f>IF('ESLESTIRME'!$A504="","",'ESLESTIRME'!$A504)</f>
        <v/>
      </c>
      <c r="B504" s="17">
        <f>IF($A504="","",IFERROR(INDEX(tblEslesme[Kova],MATCH($A504,tblEslesme[A_Norm],0)),""))</f>
        <v/>
      </c>
      <c r="C504" s="17">
        <f>IF($A504="","",IFERROR(INDEX(tblEslesme[AbsFark],MATCH($A504,tblEslesme[A_Norm],0)),0))</f>
        <v/>
      </c>
      <c r="D504" s="17">
        <f>IF($A504="","",IFERROR(SUMIF(tblMotor[A_Norm],$A504,tblMotor[KomisyonTutar]),0))</f>
        <v/>
      </c>
      <c r="E504" s="17">
        <f>IF($A504="","",IFERROR(SUMIF(tblMotor[A_Norm],$A504,tblMotor[TyPlus]),0))</f>
        <v/>
      </c>
      <c r="F504" s="17">
        <f>IF($A504="","",IFERROR(SUMIF(tblMotor[A_Norm],$A504,tblMotor[FlasKesinti]),0))</f>
        <v/>
      </c>
      <c r="G504" s="17">
        <f>IF($A504="","",IFERROR(SUMIF(tblMotor[A_Norm],$A504,tblMotor[UrunReklam]),0))</f>
        <v/>
      </c>
      <c r="H504" s="17">
        <f>IF($A504="","",IFERROR(SUMIF(tblMotor[A_Norm],$A504,tblMotor[DesiKargo]),0))</f>
        <v/>
      </c>
      <c r="I504" s="17">
        <f>IF(OR($A504="",$B504&lt;&gt;"tutar_farki"),"",IF(ABS($C504-$D504)&lt;=toleransKurus,"TYK-001",IF(ABS($C504-$E504)&lt;=toleransKurus,"TYK-002",IF(ABS($C504-$F504)&lt;=toleransKurus,"TYK-003",IF(ABS($C504-$G504)&lt;=toleransKurus,"TYK-004",IF(ABS($C504-$H504)&lt;=toleransKurus,"TYK-005","TANIMSIZ"))))))</f>
        <v/>
      </c>
    </row>
    <row r="505">
      <c r="A505" s="23">
        <f>IF('ESLESTIRME'!$A505="","",'ESLESTIRME'!$A505)</f>
        <v/>
      </c>
      <c r="B505" s="17">
        <f>IF($A505="","",IFERROR(INDEX(tblEslesme[Kova],MATCH($A505,tblEslesme[A_Norm],0)),""))</f>
        <v/>
      </c>
      <c r="C505" s="17">
        <f>IF($A505="","",IFERROR(INDEX(tblEslesme[AbsFark],MATCH($A505,tblEslesme[A_Norm],0)),0))</f>
        <v/>
      </c>
      <c r="D505" s="17">
        <f>IF($A505="","",IFERROR(SUMIF(tblMotor[A_Norm],$A505,tblMotor[KomisyonTutar]),0))</f>
        <v/>
      </c>
      <c r="E505" s="17">
        <f>IF($A505="","",IFERROR(SUMIF(tblMotor[A_Norm],$A505,tblMotor[TyPlus]),0))</f>
        <v/>
      </c>
      <c r="F505" s="17">
        <f>IF($A505="","",IFERROR(SUMIF(tblMotor[A_Norm],$A505,tblMotor[FlasKesinti]),0))</f>
        <v/>
      </c>
      <c r="G505" s="17">
        <f>IF($A505="","",IFERROR(SUMIF(tblMotor[A_Norm],$A505,tblMotor[UrunReklam]),0))</f>
        <v/>
      </c>
      <c r="H505" s="17">
        <f>IF($A505="","",IFERROR(SUMIF(tblMotor[A_Norm],$A505,tblMotor[DesiKargo]),0))</f>
        <v/>
      </c>
      <c r="I505" s="17">
        <f>IF(OR($A505="",$B505&lt;&gt;"tutar_farki"),"",IF(ABS($C505-$D505)&lt;=toleransKurus,"TYK-001",IF(ABS($C505-$E505)&lt;=toleransKurus,"TYK-002",IF(ABS($C505-$F505)&lt;=toleransKurus,"TYK-003",IF(ABS($C505-$G505)&lt;=toleransKurus,"TYK-004",IF(ABS($C505-$H505)&lt;=toleransKurus,"TYK-005","TANIMSIZ"))))))</f>
        <v/>
      </c>
    </row>
    <row r="506">
      <c r="A506" s="23">
        <f>IF('ESLESTIRME'!$A506="","",'ESLESTIRME'!$A506)</f>
        <v/>
      </c>
      <c r="B506" s="17">
        <f>IF($A506="","",IFERROR(INDEX(tblEslesme[Kova],MATCH($A506,tblEslesme[A_Norm],0)),""))</f>
        <v/>
      </c>
      <c r="C506" s="17">
        <f>IF($A506="","",IFERROR(INDEX(tblEslesme[AbsFark],MATCH($A506,tblEslesme[A_Norm],0)),0))</f>
        <v/>
      </c>
      <c r="D506" s="17">
        <f>IF($A506="","",IFERROR(SUMIF(tblMotor[A_Norm],$A506,tblMotor[KomisyonTutar]),0))</f>
        <v/>
      </c>
      <c r="E506" s="17">
        <f>IF($A506="","",IFERROR(SUMIF(tblMotor[A_Norm],$A506,tblMotor[TyPlus]),0))</f>
        <v/>
      </c>
      <c r="F506" s="17">
        <f>IF($A506="","",IFERROR(SUMIF(tblMotor[A_Norm],$A506,tblMotor[FlasKesinti]),0))</f>
        <v/>
      </c>
      <c r="G506" s="17">
        <f>IF($A506="","",IFERROR(SUMIF(tblMotor[A_Norm],$A506,tblMotor[UrunReklam]),0))</f>
        <v/>
      </c>
      <c r="H506" s="17">
        <f>IF($A506="","",IFERROR(SUMIF(tblMotor[A_Norm],$A506,tblMotor[DesiKargo]),0))</f>
        <v/>
      </c>
      <c r="I506" s="17">
        <f>IF(OR($A506="",$B506&lt;&gt;"tutar_farki"),"",IF(ABS($C506-$D506)&lt;=toleransKurus,"TYK-001",IF(ABS($C506-$E506)&lt;=toleransKurus,"TYK-002",IF(ABS($C506-$F506)&lt;=toleransKurus,"TYK-003",IF(ABS($C506-$G506)&lt;=toleransKurus,"TYK-004",IF(ABS($C506-$H506)&lt;=toleransKurus,"TYK-005","TANIMSIZ"))))))</f>
        <v/>
      </c>
    </row>
    <row r="507">
      <c r="A507" s="23">
        <f>IF('ESLESTIRME'!$A507="","",'ESLESTIRME'!$A507)</f>
        <v/>
      </c>
      <c r="B507" s="17">
        <f>IF($A507="","",IFERROR(INDEX(tblEslesme[Kova],MATCH($A507,tblEslesme[A_Norm],0)),""))</f>
        <v/>
      </c>
      <c r="C507" s="17">
        <f>IF($A507="","",IFERROR(INDEX(tblEslesme[AbsFark],MATCH($A507,tblEslesme[A_Norm],0)),0))</f>
        <v/>
      </c>
      <c r="D507" s="17">
        <f>IF($A507="","",IFERROR(SUMIF(tblMotor[A_Norm],$A507,tblMotor[KomisyonTutar]),0))</f>
        <v/>
      </c>
      <c r="E507" s="17">
        <f>IF($A507="","",IFERROR(SUMIF(tblMotor[A_Norm],$A507,tblMotor[TyPlus]),0))</f>
        <v/>
      </c>
      <c r="F507" s="17">
        <f>IF($A507="","",IFERROR(SUMIF(tblMotor[A_Norm],$A507,tblMotor[FlasKesinti]),0))</f>
        <v/>
      </c>
      <c r="G507" s="17">
        <f>IF($A507="","",IFERROR(SUMIF(tblMotor[A_Norm],$A507,tblMotor[UrunReklam]),0))</f>
        <v/>
      </c>
      <c r="H507" s="17">
        <f>IF($A507="","",IFERROR(SUMIF(tblMotor[A_Norm],$A507,tblMotor[DesiKargo]),0))</f>
        <v/>
      </c>
      <c r="I507" s="17">
        <f>IF(OR($A507="",$B507&lt;&gt;"tutar_farki"),"",IF(ABS($C507-$D507)&lt;=toleransKurus,"TYK-001",IF(ABS($C507-$E507)&lt;=toleransKurus,"TYK-002",IF(ABS($C507-$F507)&lt;=toleransKurus,"TYK-003",IF(ABS($C507-$G507)&lt;=toleransKurus,"TYK-004",IF(ABS($C507-$H507)&lt;=toleransKurus,"TYK-005","TANIMSIZ"))))))</f>
        <v/>
      </c>
    </row>
    <row r="508">
      <c r="A508" s="23">
        <f>IF('ESLESTIRME'!$A508="","",'ESLESTIRME'!$A508)</f>
        <v/>
      </c>
      <c r="B508" s="17">
        <f>IF($A508="","",IFERROR(INDEX(tblEslesme[Kova],MATCH($A508,tblEslesme[A_Norm],0)),""))</f>
        <v/>
      </c>
      <c r="C508" s="17">
        <f>IF($A508="","",IFERROR(INDEX(tblEslesme[AbsFark],MATCH($A508,tblEslesme[A_Norm],0)),0))</f>
        <v/>
      </c>
      <c r="D508" s="17">
        <f>IF($A508="","",IFERROR(SUMIF(tblMotor[A_Norm],$A508,tblMotor[KomisyonTutar]),0))</f>
        <v/>
      </c>
      <c r="E508" s="17">
        <f>IF($A508="","",IFERROR(SUMIF(tblMotor[A_Norm],$A508,tblMotor[TyPlus]),0))</f>
        <v/>
      </c>
      <c r="F508" s="17">
        <f>IF($A508="","",IFERROR(SUMIF(tblMotor[A_Norm],$A508,tblMotor[FlasKesinti]),0))</f>
        <v/>
      </c>
      <c r="G508" s="17">
        <f>IF($A508="","",IFERROR(SUMIF(tblMotor[A_Norm],$A508,tblMotor[UrunReklam]),0))</f>
        <v/>
      </c>
      <c r="H508" s="17">
        <f>IF($A508="","",IFERROR(SUMIF(tblMotor[A_Norm],$A508,tblMotor[DesiKargo]),0))</f>
        <v/>
      </c>
      <c r="I508" s="17">
        <f>IF(OR($A508="",$B508&lt;&gt;"tutar_farki"),"",IF(ABS($C508-$D508)&lt;=toleransKurus,"TYK-001",IF(ABS($C508-$E508)&lt;=toleransKurus,"TYK-002",IF(ABS($C508-$F508)&lt;=toleransKurus,"TYK-003",IF(ABS($C508-$G508)&lt;=toleransKurus,"TYK-004",IF(ABS($C508-$H508)&lt;=toleransKurus,"TYK-005","TANIMSIZ"))))))</f>
        <v/>
      </c>
    </row>
    <row r="509">
      <c r="A509" s="23">
        <f>IF('ESLESTIRME'!$A509="","",'ESLESTIRME'!$A509)</f>
        <v/>
      </c>
      <c r="B509" s="17">
        <f>IF($A509="","",IFERROR(INDEX(tblEslesme[Kova],MATCH($A509,tblEslesme[A_Norm],0)),""))</f>
        <v/>
      </c>
      <c r="C509" s="17">
        <f>IF($A509="","",IFERROR(INDEX(tblEslesme[AbsFark],MATCH($A509,tblEslesme[A_Norm],0)),0))</f>
        <v/>
      </c>
      <c r="D509" s="17">
        <f>IF($A509="","",IFERROR(SUMIF(tblMotor[A_Norm],$A509,tblMotor[KomisyonTutar]),0))</f>
        <v/>
      </c>
      <c r="E509" s="17">
        <f>IF($A509="","",IFERROR(SUMIF(tblMotor[A_Norm],$A509,tblMotor[TyPlus]),0))</f>
        <v/>
      </c>
      <c r="F509" s="17">
        <f>IF($A509="","",IFERROR(SUMIF(tblMotor[A_Norm],$A509,tblMotor[FlasKesinti]),0))</f>
        <v/>
      </c>
      <c r="G509" s="17">
        <f>IF($A509="","",IFERROR(SUMIF(tblMotor[A_Norm],$A509,tblMotor[UrunReklam]),0))</f>
        <v/>
      </c>
      <c r="H509" s="17">
        <f>IF($A509="","",IFERROR(SUMIF(tblMotor[A_Norm],$A509,tblMotor[DesiKargo]),0))</f>
        <v/>
      </c>
      <c r="I509" s="17">
        <f>IF(OR($A509="",$B509&lt;&gt;"tutar_farki"),"",IF(ABS($C509-$D509)&lt;=toleransKurus,"TYK-001",IF(ABS($C509-$E509)&lt;=toleransKurus,"TYK-002",IF(ABS($C509-$F509)&lt;=toleransKurus,"TYK-003",IF(ABS($C509-$G509)&lt;=toleransKurus,"TYK-004",IF(ABS($C509-$H509)&lt;=toleransKurus,"TYK-005","TANIMSIZ"))))))</f>
        <v/>
      </c>
    </row>
    <row r="510">
      <c r="A510" s="23">
        <f>IF('ESLESTIRME'!$A510="","",'ESLESTIRME'!$A510)</f>
        <v/>
      </c>
      <c r="B510" s="17">
        <f>IF($A510="","",IFERROR(INDEX(tblEslesme[Kova],MATCH($A510,tblEslesme[A_Norm],0)),""))</f>
        <v/>
      </c>
      <c r="C510" s="17">
        <f>IF($A510="","",IFERROR(INDEX(tblEslesme[AbsFark],MATCH($A510,tblEslesme[A_Norm],0)),0))</f>
        <v/>
      </c>
      <c r="D510" s="17">
        <f>IF($A510="","",IFERROR(SUMIF(tblMotor[A_Norm],$A510,tblMotor[KomisyonTutar]),0))</f>
        <v/>
      </c>
      <c r="E510" s="17">
        <f>IF($A510="","",IFERROR(SUMIF(tblMotor[A_Norm],$A510,tblMotor[TyPlus]),0))</f>
        <v/>
      </c>
      <c r="F510" s="17">
        <f>IF($A510="","",IFERROR(SUMIF(tblMotor[A_Norm],$A510,tblMotor[FlasKesinti]),0))</f>
        <v/>
      </c>
      <c r="G510" s="17">
        <f>IF($A510="","",IFERROR(SUMIF(tblMotor[A_Norm],$A510,tblMotor[UrunReklam]),0))</f>
        <v/>
      </c>
      <c r="H510" s="17">
        <f>IF($A510="","",IFERROR(SUMIF(tblMotor[A_Norm],$A510,tblMotor[DesiKargo]),0))</f>
        <v/>
      </c>
      <c r="I510" s="17">
        <f>IF(OR($A510="",$B510&lt;&gt;"tutar_farki"),"",IF(ABS($C510-$D510)&lt;=toleransKurus,"TYK-001",IF(ABS($C510-$E510)&lt;=toleransKurus,"TYK-002",IF(ABS($C510-$F510)&lt;=toleransKurus,"TYK-003",IF(ABS($C510-$G510)&lt;=toleransKurus,"TYK-004",IF(ABS($C510-$H510)&lt;=toleransKurus,"TYK-005","TANIMSIZ"))))))</f>
        <v/>
      </c>
    </row>
    <row r="511">
      <c r="A511" s="23">
        <f>IF('ESLESTIRME'!$A511="","",'ESLESTIRME'!$A511)</f>
        <v/>
      </c>
      <c r="B511" s="17">
        <f>IF($A511="","",IFERROR(INDEX(tblEslesme[Kova],MATCH($A511,tblEslesme[A_Norm],0)),""))</f>
        <v/>
      </c>
      <c r="C511" s="17">
        <f>IF($A511="","",IFERROR(INDEX(tblEslesme[AbsFark],MATCH($A511,tblEslesme[A_Norm],0)),0))</f>
        <v/>
      </c>
      <c r="D511" s="17">
        <f>IF($A511="","",IFERROR(SUMIF(tblMotor[A_Norm],$A511,tblMotor[KomisyonTutar]),0))</f>
        <v/>
      </c>
      <c r="E511" s="17">
        <f>IF($A511="","",IFERROR(SUMIF(tblMotor[A_Norm],$A511,tblMotor[TyPlus]),0))</f>
        <v/>
      </c>
      <c r="F511" s="17">
        <f>IF($A511="","",IFERROR(SUMIF(tblMotor[A_Norm],$A511,tblMotor[FlasKesinti]),0))</f>
        <v/>
      </c>
      <c r="G511" s="17">
        <f>IF($A511="","",IFERROR(SUMIF(tblMotor[A_Norm],$A511,tblMotor[UrunReklam]),0))</f>
        <v/>
      </c>
      <c r="H511" s="17">
        <f>IF($A511="","",IFERROR(SUMIF(tblMotor[A_Norm],$A511,tblMotor[DesiKargo]),0))</f>
        <v/>
      </c>
      <c r="I511" s="17">
        <f>IF(OR($A511="",$B511&lt;&gt;"tutar_farki"),"",IF(ABS($C511-$D511)&lt;=toleransKurus,"TYK-001",IF(ABS($C511-$E511)&lt;=toleransKurus,"TYK-002",IF(ABS($C511-$F511)&lt;=toleransKurus,"TYK-003",IF(ABS($C511-$G511)&lt;=toleransKurus,"TYK-004",IF(ABS($C511-$H511)&lt;=toleransKurus,"TYK-005","TANIMSIZ"))))))</f>
        <v/>
      </c>
    </row>
    <row r="512">
      <c r="A512" s="23">
        <f>IF('ESLESTIRME'!$A512="","",'ESLESTIRME'!$A512)</f>
        <v/>
      </c>
      <c r="B512" s="17">
        <f>IF($A512="","",IFERROR(INDEX(tblEslesme[Kova],MATCH($A512,tblEslesme[A_Norm],0)),""))</f>
        <v/>
      </c>
      <c r="C512" s="17">
        <f>IF($A512="","",IFERROR(INDEX(tblEslesme[AbsFark],MATCH($A512,tblEslesme[A_Norm],0)),0))</f>
        <v/>
      </c>
      <c r="D512" s="17">
        <f>IF($A512="","",IFERROR(SUMIF(tblMotor[A_Norm],$A512,tblMotor[KomisyonTutar]),0))</f>
        <v/>
      </c>
      <c r="E512" s="17">
        <f>IF($A512="","",IFERROR(SUMIF(tblMotor[A_Norm],$A512,tblMotor[TyPlus]),0))</f>
        <v/>
      </c>
      <c r="F512" s="17">
        <f>IF($A512="","",IFERROR(SUMIF(tblMotor[A_Norm],$A512,tblMotor[FlasKesinti]),0))</f>
        <v/>
      </c>
      <c r="G512" s="17">
        <f>IF($A512="","",IFERROR(SUMIF(tblMotor[A_Norm],$A512,tblMotor[UrunReklam]),0))</f>
        <v/>
      </c>
      <c r="H512" s="17">
        <f>IF($A512="","",IFERROR(SUMIF(tblMotor[A_Norm],$A512,tblMotor[DesiKargo]),0))</f>
        <v/>
      </c>
      <c r="I512" s="17">
        <f>IF(OR($A512="",$B512&lt;&gt;"tutar_farki"),"",IF(ABS($C512-$D512)&lt;=toleransKurus,"TYK-001",IF(ABS($C512-$E512)&lt;=toleransKurus,"TYK-002",IF(ABS($C512-$F512)&lt;=toleransKurus,"TYK-003",IF(ABS($C512-$G512)&lt;=toleransKurus,"TYK-004",IF(ABS($C512-$H512)&lt;=toleransKurus,"TYK-005","TANIMSIZ"))))))</f>
        <v/>
      </c>
    </row>
    <row r="513">
      <c r="A513" s="23">
        <f>IF('ESLESTIRME'!$A513="","",'ESLESTIRME'!$A513)</f>
        <v/>
      </c>
      <c r="B513" s="17">
        <f>IF($A513="","",IFERROR(INDEX(tblEslesme[Kova],MATCH($A513,tblEslesme[A_Norm],0)),""))</f>
        <v/>
      </c>
      <c r="C513" s="17">
        <f>IF($A513="","",IFERROR(INDEX(tblEslesme[AbsFark],MATCH($A513,tblEslesme[A_Norm],0)),0))</f>
        <v/>
      </c>
      <c r="D513" s="17">
        <f>IF($A513="","",IFERROR(SUMIF(tblMotor[A_Norm],$A513,tblMotor[KomisyonTutar]),0))</f>
        <v/>
      </c>
      <c r="E513" s="17">
        <f>IF($A513="","",IFERROR(SUMIF(tblMotor[A_Norm],$A513,tblMotor[TyPlus]),0))</f>
        <v/>
      </c>
      <c r="F513" s="17">
        <f>IF($A513="","",IFERROR(SUMIF(tblMotor[A_Norm],$A513,tblMotor[FlasKesinti]),0))</f>
        <v/>
      </c>
      <c r="G513" s="17">
        <f>IF($A513="","",IFERROR(SUMIF(tblMotor[A_Norm],$A513,tblMotor[UrunReklam]),0))</f>
        <v/>
      </c>
      <c r="H513" s="17">
        <f>IF($A513="","",IFERROR(SUMIF(tblMotor[A_Norm],$A513,tblMotor[DesiKargo]),0))</f>
        <v/>
      </c>
      <c r="I513" s="17">
        <f>IF(OR($A513="",$B513&lt;&gt;"tutar_farki"),"",IF(ABS($C513-$D513)&lt;=toleransKurus,"TYK-001",IF(ABS($C513-$E513)&lt;=toleransKurus,"TYK-002",IF(ABS($C513-$F513)&lt;=toleransKurus,"TYK-003",IF(ABS($C513-$G513)&lt;=toleransKurus,"TYK-004",IF(ABS($C513-$H513)&lt;=toleransKurus,"TYK-005","TANIMSIZ"))))))</f>
        <v/>
      </c>
    </row>
    <row r="514">
      <c r="A514" s="23">
        <f>IF('ESLESTIRME'!$A514="","",'ESLESTIRME'!$A514)</f>
        <v/>
      </c>
      <c r="B514" s="17">
        <f>IF($A514="","",IFERROR(INDEX(tblEslesme[Kova],MATCH($A514,tblEslesme[A_Norm],0)),""))</f>
        <v/>
      </c>
      <c r="C514" s="17">
        <f>IF($A514="","",IFERROR(INDEX(tblEslesme[AbsFark],MATCH($A514,tblEslesme[A_Norm],0)),0))</f>
        <v/>
      </c>
      <c r="D514" s="17">
        <f>IF($A514="","",IFERROR(SUMIF(tblMotor[A_Norm],$A514,tblMotor[KomisyonTutar]),0))</f>
        <v/>
      </c>
      <c r="E514" s="17">
        <f>IF($A514="","",IFERROR(SUMIF(tblMotor[A_Norm],$A514,tblMotor[TyPlus]),0))</f>
        <v/>
      </c>
      <c r="F514" s="17">
        <f>IF($A514="","",IFERROR(SUMIF(tblMotor[A_Norm],$A514,tblMotor[FlasKesinti]),0))</f>
        <v/>
      </c>
      <c r="G514" s="17">
        <f>IF($A514="","",IFERROR(SUMIF(tblMotor[A_Norm],$A514,tblMotor[UrunReklam]),0))</f>
        <v/>
      </c>
      <c r="H514" s="17">
        <f>IF($A514="","",IFERROR(SUMIF(tblMotor[A_Norm],$A514,tblMotor[DesiKargo]),0))</f>
        <v/>
      </c>
      <c r="I514" s="17">
        <f>IF(OR($A514="",$B514&lt;&gt;"tutar_farki"),"",IF(ABS($C514-$D514)&lt;=toleransKurus,"TYK-001",IF(ABS($C514-$E514)&lt;=toleransKurus,"TYK-002",IF(ABS($C514-$F514)&lt;=toleransKurus,"TYK-003",IF(ABS($C514-$G514)&lt;=toleransKurus,"TYK-004",IF(ABS($C514-$H514)&lt;=toleransKurus,"TYK-005","TANIMSIZ"))))))</f>
        <v/>
      </c>
    </row>
    <row r="515">
      <c r="A515" s="23">
        <f>IF('ESLESTIRME'!$A515="","",'ESLESTIRME'!$A515)</f>
        <v/>
      </c>
      <c r="B515" s="17">
        <f>IF($A515="","",IFERROR(INDEX(tblEslesme[Kova],MATCH($A515,tblEslesme[A_Norm],0)),""))</f>
        <v/>
      </c>
      <c r="C515" s="17">
        <f>IF($A515="","",IFERROR(INDEX(tblEslesme[AbsFark],MATCH($A515,tblEslesme[A_Norm],0)),0))</f>
        <v/>
      </c>
      <c r="D515" s="17">
        <f>IF($A515="","",IFERROR(SUMIF(tblMotor[A_Norm],$A515,tblMotor[KomisyonTutar]),0))</f>
        <v/>
      </c>
      <c r="E515" s="17">
        <f>IF($A515="","",IFERROR(SUMIF(tblMotor[A_Norm],$A515,tblMotor[TyPlus]),0))</f>
        <v/>
      </c>
      <c r="F515" s="17">
        <f>IF($A515="","",IFERROR(SUMIF(tblMotor[A_Norm],$A515,tblMotor[FlasKesinti]),0))</f>
        <v/>
      </c>
      <c r="G515" s="17">
        <f>IF($A515="","",IFERROR(SUMIF(tblMotor[A_Norm],$A515,tblMotor[UrunReklam]),0))</f>
        <v/>
      </c>
      <c r="H515" s="17">
        <f>IF($A515="","",IFERROR(SUMIF(tblMotor[A_Norm],$A515,tblMotor[DesiKargo]),0))</f>
        <v/>
      </c>
      <c r="I515" s="17">
        <f>IF(OR($A515="",$B515&lt;&gt;"tutar_farki"),"",IF(ABS($C515-$D515)&lt;=toleransKurus,"TYK-001",IF(ABS($C515-$E515)&lt;=toleransKurus,"TYK-002",IF(ABS($C515-$F515)&lt;=toleransKurus,"TYK-003",IF(ABS($C515-$G515)&lt;=toleransKurus,"TYK-004",IF(ABS($C515-$H515)&lt;=toleransKurus,"TYK-005","TANIMSIZ")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I16:I515">
    <cfRule type="cellIs" priority="1" operator="equal" dxfId="1">
      <formula>"TANIMSIZ"</formula>
    </cfRule>
    <cfRule type="cellIs" priority="2" operator="equal" dxfId="0">
      <formula>"TYK-001"</formula>
    </cfRule>
    <cfRule type="cellIs" priority="3" operator="equal" dxfId="0">
      <formula>"TYK-002"</formula>
    </cfRule>
    <cfRule type="cellIs" priority="4" operator="equal" dxfId="0">
      <formula>"TYK-003"</formula>
    </cfRule>
    <cfRule type="cellIs" priority="5" operator="equal" dxfId="0">
      <formula>"TYK-004"</formula>
    </cfRule>
    <cfRule type="cellIs" priority="6" operator="equal" dxfId="0">
      <formula>"TYK-005"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/>
  </sheetPr>
  <dimension ref="A1:L50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0" customWidth="1" min="5" max="5"/>
    <col width="55" customWidth="1" min="6" max="6"/>
  </cols>
  <sheetData>
    <row r="1" ht="26" customHeight="1">
      <c r="A1" s="1" t="inlineStr">
        <is>
          <t>AKSIYON — Trendyol Komisyon Sonrası Net Kâr Hesaplama</t>
        </is>
      </c>
    </row>
    <row r="3" ht="20" customHeight="1">
      <c r="A3" s="10" t="inlineStr">
        <is>
          <t>Fiyat aksiyon metni — tutar farkı satırları için kopyalanabilir</t>
        </is>
      </c>
    </row>
    <row r="5" ht="30" customHeight="1">
      <c r="A5" s="12" t="inlineStr">
        <is>
          <t>A_Norm</t>
        </is>
      </c>
      <c r="B5" s="12" t="inlineStr">
        <is>
          <t>NetKar</t>
        </is>
      </c>
      <c r="C5" s="12" t="inlineStr">
        <is>
          <t>Basabas</t>
        </is>
      </c>
      <c r="D5" s="12" t="inlineStr">
        <is>
          <t>Karar</t>
        </is>
      </c>
      <c r="E5" s="12" t="inlineStr">
        <is>
          <t>Oncelik</t>
        </is>
      </c>
      <c r="F5" s="12" t="inlineStr">
        <is>
          <t>AksiyonMetni</t>
        </is>
      </c>
    </row>
    <row r="6">
      <c r="A6" s="17">
        <f>IF('ESLESTIRME'!$A6="","",IF('ESLESTIRME'!$G6="tutar_farki",'ESLESTIRME'!$A6,""))</f>
        <v/>
      </c>
      <c r="B6" s="17">
        <f>IF($A6="","",IFERROR(SUMIF(tblMotor[A_Norm],$A6,tblMotor[NetKar]),0))</f>
        <v/>
      </c>
      <c r="C6" s="17">
        <f>IF($A6="","",IFERROR(SUMIF(tblMotor[A_Norm],$A6,tblMotor[BasabasFiyat]),0))</f>
        <v/>
      </c>
      <c r="D6" s="17">
        <f>IF($A6="","",IFERROR(INDEX(tblMotor[KararSatir],MATCH($A6,tblMotor[A_Norm],0)),""))</f>
        <v/>
      </c>
      <c r="E6" s="17">
        <f>IF($A6="","",IF($B6&lt;0,"YUKSEK","NORMAL"))</f>
        <v/>
      </c>
      <c r="F6" s="17">
        <f>IF($A6="","",_xlfn.TEXTJOIN(" ",TRUE,"Barkod",$A6,"karar",$D6,"net",TEXT($B6,"0.00"),"başabaş",TEXT($C6,"0.00"),"TL"))</f>
        <v/>
      </c>
    </row>
    <row r="7">
      <c r="A7" s="17">
        <f>IF('ESLESTIRME'!$A7="","",IF('ESLESTIRME'!$G7="tutar_farki",'ESLESTIRME'!$A7,""))</f>
        <v/>
      </c>
      <c r="B7" s="17">
        <f>IF($A7="","",IFERROR(SUMIF(tblMotor[A_Norm],$A7,tblMotor[NetKar]),0))</f>
        <v/>
      </c>
      <c r="C7" s="17">
        <f>IF($A7="","",IFERROR(SUMIF(tblMotor[A_Norm],$A7,tblMotor[BasabasFiyat]),0))</f>
        <v/>
      </c>
      <c r="D7" s="17">
        <f>IF($A7="","",IFERROR(INDEX(tblMotor[KararSatir],MATCH($A7,tblMotor[A_Norm],0)),""))</f>
        <v/>
      </c>
      <c r="E7" s="17">
        <f>IF($A7="","",IF($B7&lt;0,"YUKSEK","NORMAL"))</f>
        <v/>
      </c>
      <c r="F7" s="17">
        <f>IF($A7="","",_xlfn.TEXTJOIN(" ",TRUE,"Barkod",$A7,"karar",$D7,"net",TEXT($B7,"0.00"),"başabaş",TEXT($C7,"0.00"),"TL"))</f>
        <v/>
      </c>
    </row>
    <row r="8">
      <c r="A8" s="17">
        <f>IF('ESLESTIRME'!$A8="","",IF('ESLESTIRME'!$G8="tutar_farki",'ESLESTIRME'!$A8,""))</f>
        <v/>
      </c>
      <c r="B8" s="17">
        <f>IF($A8="","",IFERROR(SUMIF(tblMotor[A_Norm],$A8,tblMotor[NetKar]),0))</f>
        <v/>
      </c>
      <c r="C8" s="17">
        <f>IF($A8="","",IFERROR(SUMIF(tblMotor[A_Norm],$A8,tblMotor[BasabasFiyat]),0))</f>
        <v/>
      </c>
      <c r="D8" s="17">
        <f>IF($A8="","",IFERROR(INDEX(tblMotor[KararSatir],MATCH($A8,tblMotor[A_Norm],0)),""))</f>
        <v/>
      </c>
      <c r="E8" s="17">
        <f>IF($A8="","",IF($B8&lt;0,"YUKSEK","NORMAL"))</f>
        <v/>
      </c>
      <c r="F8" s="17">
        <f>IF($A8="","",_xlfn.TEXTJOIN(" ",TRUE,"Barkod",$A8,"karar",$D8,"net",TEXT($B8,"0.00"),"başabaş",TEXT($C8,"0.00"),"TL"))</f>
        <v/>
      </c>
    </row>
    <row r="9">
      <c r="A9" s="17">
        <f>IF('ESLESTIRME'!$A9="","",IF('ESLESTIRME'!$G9="tutar_farki",'ESLESTIRME'!$A9,""))</f>
        <v/>
      </c>
      <c r="B9" s="17">
        <f>IF($A9="","",IFERROR(SUMIF(tblMotor[A_Norm],$A9,tblMotor[NetKar]),0))</f>
        <v/>
      </c>
      <c r="C9" s="17">
        <f>IF($A9="","",IFERROR(SUMIF(tblMotor[A_Norm],$A9,tblMotor[BasabasFiyat]),0))</f>
        <v/>
      </c>
      <c r="D9" s="17">
        <f>IF($A9="","",IFERROR(INDEX(tblMotor[KararSatir],MATCH($A9,tblMotor[A_Norm],0)),""))</f>
        <v/>
      </c>
      <c r="E9" s="17">
        <f>IF($A9="","",IF($B9&lt;0,"YUKSEK","NORMAL"))</f>
        <v/>
      </c>
      <c r="F9" s="17">
        <f>IF($A9="","",_xlfn.TEXTJOIN(" ",TRUE,"Barkod",$A9,"karar",$D9,"net",TEXT($B9,"0.00"),"başabaş",TEXT($C9,"0.00"),"TL"))</f>
        <v/>
      </c>
    </row>
    <row r="10">
      <c r="A10" s="17">
        <f>IF('ESLESTIRME'!$A10="","",IF('ESLESTIRME'!$G10="tutar_farki",'ESLESTIRME'!$A10,""))</f>
        <v/>
      </c>
      <c r="B10" s="17">
        <f>IF($A10="","",IFERROR(SUMIF(tblMotor[A_Norm],$A10,tblMotor[NetKar]),0))</f>
        <v/>
      </c>
      <c r="C10" s="17">
        <f>IF($A10="","",IFERROR(SUMIF(tblMotor[A_Norm],$A10,tblMotor[BasabasFiyat]),0))</f>
        <v/>
      </c>
      <c r="D10" s="17">
        <f>IF($A10="","",IFERROR(INDEX(tblMotor[KararSatir],MATCH($A10,tblMotor[A_Norm],0)),""))</f>
        <v/>
      </c>
      <c r="E10" s="17">
        <f>IF($A10="","",IF($B10&lt;0,"YUKSEK","NORMAL"))</f>
        <v/>
      </c>
      <c r="F10" s="17">
        <f>IF($A10="","",_xlfn.TEXTJOIN(" ",TRUE,"Barkod",$A10,"karar",$D10,"net",TEXT($B10,"0.00"),"başabaş",TEXT($C10,"0.00"),"TL"))</f>
        <v/>
      </c>
    </row>
    <row r="11">
      <c r="A11" s="17">
        <f>IF('ESLESTIRME'!$A11="","",IF('ESLESTIRME'!$G11="tutar_farki",'ESLESTIRME'!$A11,""))</f>
        <v/>
      </c>
      <c r="B11" s="17">
        <f>IF($A11="","",IFERROR(SUMIF(tblMotor[A_Norm],$A11,tblMotor[NetKar]),0))</f>
        <v/>
      </c>
      <c r="C11" s="17">
        <f>IF($A11="","",IFERROR(SUMIF(tblMotor[A_Norm],$A11,tblMotor[BasabasFiyat]),0))</f>
        <v/>
      </c>
      <c r="D11" s="17">
        <f>IF($A11="","",IFERROR(INDEX(tblMotor[KararSatir],MATCH($A11,tblMotor[A_Norm],0)),""))</f>
        <v/>
      </c>
      <c r="E11" s="17">
        <f>IF($A11="","",IF($B11&lt;0,"YUKSEK","NORMAL"))</f>
        <v/>
      </c>
      <c r="F11" s="17">
        <f>IF($A11="","",_xlfn.TEXTJOIN(" ",TRUE,"Barkod",$A11,"karar",$D11,"net",TEXT($B11,"0.00"),"başabaş",TEXT($C11,"0.00"),"TL"))</f>
        <v/>
      </c>
    </row>
    <row r="12">
      <c r="A12" s="17">
        <f>IF('ESLESTIRME'!$A12="","",IF('ESLESTIRME'!$G12="tutar_farki",'ESLESTIRME'!$A12,""))</f>
        <v/>
      </c>
      <c r="B12" s="17">
        <f>IF($A12="","",IFERROR(SUMIF(tblMotor[A_Norm],$A12,tblMotor[NetKar]),0))</f>
        <v/>
      </c>
      <c r="C12" s="17">
        <f>IF($A12="","",IFERROR(SUMIF(tblMotor[A_Norm],$A12,tblMotor[BasabasFiyat]),0))</f>
        <v/>
      </c>
      <c r="D12" s="17">
        <f>IF($A12="","",IFERROR(INDEX(tblMotor[KararSatir],MATCH($A12,tblMotor[A_Norm],0)),""))</f>
        <v/>
      </c>
      <c r="E12" s="17">
        <f>IF($A12="","",IF($B12&lt;0,"YUKSEK","NORMAL"))</f>
        <v/>
      </c>
      <c r="F12" s="17">
        <f>IF($A12="","",_xlfn.TEXTJOIN(" ",TRUE,"Barkod",$A12,"karar",$D12,"net",TEXT($B12,"0.00"),"başabaş",TEXT($C12,"0.00"),"TL"))</f>
        <v/>
      </c>
    </row>
    <row r="13">
      <c r="A13" s="17">
        <f>IF('ESLESTIRME'!$A13="","",IF('ESLESTIRME'!$G13="tutar_farki",'ESLESTIRME'!$A13,""))</f>
        <v/>
      </c>
      <c r="B13" s="17">
        <f>IF($A13="","",IFERROR(SUMIF(tblMotor[A_Norm],$A13,tblMotor[NetKar]),0))</f>
        <v/>
      </c>
      <c r="C13" s="17">
        <f>IF($A13="","",IFERROR(SUMIF(tblMotor[A_Norm],$A13,tblMotor[BasabasFiyat]),0))</f>
        <v/>
      </c>
      <c r="D13" s="17">
        <f>IF($A13="","",IFERROR(INDEX(tblMotor[KararSatir],MATCH($A13,tblMotor[A_Norm],0)),""))</f>
        <v/>
      </c>
      <c r="E13" s="17">
        <f>IF($A13="","",IF($B13&lt;0,"YUKSEK","NORMAL"))</f>
        <v/>
      </c>
      <c r="F13" s="17">
        <f>IF($A13="","",_xlfn.TEXTJOIN(" ",TRUE,"Barkod",$A13,"karar",$D13,"net",TEXT($B13,"0.00"),"başabaş",TEXT($C13,"0.00"),"TL"))</f>
        <v/>
      </c>
    </row>
    <row r="14">
      <c r="A14" s="17">
        <f>IF('ESLESTIRME'!$A14="","",IF('ESLESTIRME'!$G14="tutar_farki",'ESLESTIRME'!$A14,""))</f>
        <v/>
      </c>
      <c r="B14" s="17">
        <f>IF($A14="","",IFERROR(SUMIF(tblMotor[A_Norm],$A14,tblMotor[NetKar]),0))</f>
        <v/>
      </c>
      <c r="C14" s="17">
        <f>IF($A14="","",IFERROR(SUMIF(tblMotor[A_Norm],$A14,tblMotor[BasabasFiyat]),0))</f>
        <v/>
      </c>
      <c r="D14" s="17">
        <f>IF($A14="","",IFERROR(INDEX(tblMotor[KararSatir],MATCH($A14,tblMotor[A_Norm],0)),""))</f>
        <v/>
      </c>
      <c r="E14" s="17">
        <f>IF($A14="","",IF($B14&lt;0,"YUKSEK","NORMAL"))</f>
        <v/>
      </c>
      <c r="F14" s="17">
        <f>IF($A14="","",_xlfn.TEXTJOIN(" ",TRUE,"Barkod",$A14,"karar",$D14,"net",TEXT($B14,"0.00"),"başabaş",TEXT($C14,"0.00"),"TL"))</f>
        <v/>
      </c>
    </row>
    <row r="15">
      <c r="A15" s="17">
        <f>IF('ESLESTIRME'!$A15="","",IF('ESLESTIRME'!$G15="tutar_farki",'ESLESTIRME'!$A15,""))</f>
        <v/>
      </c>
      <c r="B15" s="17">
        <f>IF($A15="","",IFERROR(SUMIF(tblMotor[A_Norm],$A15,tblMotor[NetKar]),0))</f>
        <v/>
      </c>
      <c r="C15" s="17">
        <f>IF($A15="","",IFERROR(SUMIF(tblMotor[A_Norm],$A15,tblMotor[BasabasFiyat]),0))</f>
        <v/>
      </c>
      <c r="D15" s="17">
        <f>IF($A15="","",IFERROR(INDEX(tblMotor[KararSatir],MATCH($A15,tblMotor[A_Norm],0)),""))</f>
        <v/>
      </c>
      <c r="E15" s="17">
        <f>IF($A15="","",IF($B15&lt;0,"YUKSEK","NORMAL"))</f>
        <v/>
      </c>
      <c r="F15" s="17">
        <f>IF($A15="","",_xlfn.TEXTJOIN(" ",TRUE,"Barkod",$A15,"karar",$D15,"net",TEXT($B15,"0.00"),"başabaş",TEXT($C15,"0.00"),"TL"))</f>
        <v/>
      </c>
    </row>
    <row r="16">
      <c r="A16" s="17">
        <f>IF('ESLESTIRME'!$A16="","",IF('ESLESTIRME'!$G16="tutar_farki",'ESLESTIRME'!$A16,""))</f>
        <v/>
      </c>
      <c r="B16" s="17">
        <f>IF($A16="","",IFERROR(SUMIF(tblMotor[A_Norm],$A16,tblMotor[NetKar]),0))</f>
        <v/>
      </c>
      <c r="C16" s="17">
        <f>IF($A16="","",IFERROR(SUMIF(tblMotor[A_Norm],$A16,tblMotor[BasabasFiyat]),0))</f>
        <v/>
      </c>
      <c r="D16" s="17">
        <f>IF($A16="","",IFERROR(INDEX(tblMotor[KararSatir],MATCH($A16,tblMotor[A_Norm],0)),""))</f>
        <v/>
      </c>
      <c r="E16" s="17">
        <f>IF($A16="","",IF($B16&lt;0,"YUKSEK","NORMAL"))</f>
        <v/>
      </c>
      <c r="F16" s="17">
        <f>IF($A16="","",_xlfn.TEXTJOIN(" ",TRUE,"Barkod",$A16,"karar",$D16,"net",TEXT($B16,"0.00"),"başabaş",TEXT($C16,"0.00"),"TL"))</f>
        <v/>
      </c>
    </row>
    <row r="17">
      <c r="A17" s="17">
        <f>IF('ESLESTIRME'!$A17="","",IF('ESLESTIRME'!$G17="tutar_farki",'ESLESTIRME'!$A17,""))</f>
        <v/>
      </c>
      <c r="B17" s="17">
        <f>IF($A17="","",IFERROR(SUMIF(tblMotor[A_Norm],$A17,tblMotor[NetKar]),0))</f>
        <v/>
      </c>
      <c r="C17" s="17">
        <f>IF($A17="","",IFERROR(SUMIF(tblMotor[A_Norm],$A17,tblMotor[BasabasFiyat]),0))</f>
        <v/>
      </c>
      <c r="D17" s="17">
        <f>IF($A17="","",IFERROR(INDEX(tblMotor[KararSatir],MATCH($A17,tblMotor[A_Norm],0)),""))</f>
        <v/>
      </c>
      <c r="E17" s="17">
        <f>IF($A17="","",IF($B17&lt;0,"YUKSEK","NORMAL"))</f>
        <v/>
      </c>
      <c r="F17" s="17">
        <f>IF($A17="","",_xlfn.TEXTJOIN(" ",TRUE,"Barkod",$A17,"karar",$D17,"net",TEXT($B17,"0.00"),"başabaş",TEXT($C17,"0.00"),"TL"))</f>
        <v/>
      </c>
    </row>
    <row r="18">
      <c r="A18" s="17">
        <f>IF('ESLESTIRME'!$A18="","",IF('ESLESTIRME'!$G18="tutar_farki",'ESLESTIRME'!$A18,""))</f>
        <v/>
      </c>
      <c r="B18" s="17">
        <f>IF($A18="","",IFERROR(SUMIF(tblMotor[A_Norm],$A18,tblMotor[NetKar]),0))</f>
        <v/>
      </c>
      <c r="C18" s="17">
        <f>IF($A18="","",IFERROR(SUMIF(tblMotor[A_Norm],$A18,tblMotor[BasabasFiyat]),0))</f>
        <v/>
      </c>
      <c r="D18" s="17">
        <f>IF($A18="","",IFERROR(INDEX(tblMotor[KararSatir],MATCH($A18,tblMotor[A_Norm],0)),""))</f>
        <v/>
      </c>
      <c r="E18" s="17">
        <f>IF($A18="","",IF($B18&lt;0,"YUKSEK","NORMAL"))</f>
        <v/>
      </c>
      <c r="F18" s="17">
        <f>IF($A18="","",_xlfn.TEXTJOIN(" ",TRUE,"Barkod",$A18,"karar",$D18,"net",TEXT($B18,"0.00"),"başabaş",TEXT($C18,"0.00"),"TL"))</f>
        <v/>
      </c>
    </row>
    <row r="19">
      <c r="A19" s="17">
        <f>IF('ESLESTIRME'!$A19="","",IF('ESLESTIRME'!$G19="tutar_farki",'ESLESTIRME'!$A19,""))</f>
        <v/>
      </c>
      <c r="B19" s="17">
        <f>IF($A19="","",IFERROR(SUMIF(tblMotor[A_Norm],$A19,tblMotor[NetKar]),0))</f>
        <v/>
      </c>
      <c r="C19" s="17">
        <f>IF($A19="","",IFERROR(SUMIF(tblMotor[A_Norm],$A19,tblMotor[BasabasFiyat]),0))</f>
        <v/>
      </c>
      <c r="D19" s="17">
        <f>IF($A19="","",IFERROR(INDEX(tblMotor[KararSatir],MATCH($A19,tblMotor[A_Norm],0)),""))</f>
        <v/>
      </c>
      <c r="E19" s="17">
        <f>IF($A19="","",IF($B19&lt;0,"YUKSEK","NORMAL"))</f>
        <v/>
      </c>
      <c r="F19" s="17">
        <f>IF($A19="","",_xlfn.TEXTJOIN(" ",TRUE,"Barkod",$A19,"karar",$D19,"net",TEXT($B19,"0.00"),"başabaş",TEXT($C19,"0.00"),"TL"))</f>
        <v/>
      </c>
    </row>
    <row r="20">
      <c r="A20" s="17">
        <f>IF('ESLESTIRME'!$A20="","",IF('ESLESTIRME'!$G20="tutar_farki",'ESLESTIRME'!$A20,""))</f>
        <v/>
      </c>
      <c r="B20" s="17">
        <f>IF($A20="","",IFERROR(SUMIF(tblMotor[A_Norm],$A20,tblMotor[NetKar]),0))</f>
        <v/>
      </c>
      <c r="C20" s="17">
        <f>IF($A20="","",IFERROR(SUMIF(tblMotor[A_Norm],$A20,tblMotor[BasabasFiyat]),0))</f>
        <v/>
      </c>
      <c r="D20" s="17">
        <f>IF($A20="","",IFERROR(INDEX(tblMotor[KararSatir],MATCH($A20,tblMotor[A_Norm],0)),""))</f>
        <v/>
      </c>
      <c r="E20" s="17">
        <f>IF($A20="","",IF($B20&lt;0,"YUKSEK","NORMAL"))</f>
        <v/>
      </c>
      <c r="F20" s="17">
        <f>IF($A20="","",_xlfn.TEXTJOIN(" ",TRUE,"Barkod",$A20,"karar",$D20,"net",TEXT($B20,"0.00"),"başabaş",TEXT($C20,"0.00"),"TL"))</f>
        <v/>
      </c>
    </row>
    <row r="21">
      <c r="A21" s="17">
        <f>IF('ESLESTIRME'!$A21="","",IF('ESLESTIRME'!$G21="tutar_farki",'ESLESTIRME'!$A21,""))</f>
        <v/>
      </c>
      <c r="B21" s="17">
        <f>IF($A21="","",IFERROR(SUMIF(tblMotor[A_Norm],$A21,tblMotor[NetKar]),0))</f>
        <v/>
      </c>
      <c r="C21" s="17">
        <f>IF($A21="","",IFERROR(SUMIF(tblMotor[A_Norm],$A21,tblMotor[BasabasFiyat]),0))</f>
        <v/>
      </c>
      <c r="D21" s="17">
        <f>IF($A21="","",IFERROR(INDEX(tblMotor[KararSatir],MATCH($A21,tblMotor[A_Norm],0)),""))</f>
        <v/>
      </c>
      <c r="E21" s="17">
        <f>IF($A21="","",IF($B21&lt;0,"YUKSEK","NORMAL"))</f>
        <v/>
      </c>
      <c r="F21" s="17">
        <f>IF($A21="","",_xlfn.TEXTJOIN(" ",TRUE,"Barkod",$A21,"karar",$D21,"net",TEXT($B21,"0.00"),"başabaş",TEXT($C21,"0.00"),"TL"))</f>
        <v/>
      </c>
    </row>
    <row r="22">
      <c r="A22" s="17">
        <f>IF('ESLESTIRME'!$A22="","",IF('ESLESTIRME'!$G22="tutar_farki",'ESLESTIRME'!$A22,""))</f>
        <v/>
      </c>
      <c r="B22" s="17">
        <f>IF($A22="","",IFERROR(SUMIF(tblMotor[A_Norm],$A22,tblMotor[NetKar]),0))</f>
        <v/>
      </c>
      <c r="C22" s="17">
        <f>IF($A22="","",IFERROR(SUMIF(tblMotor[A_Norm],$A22,tblMotor[BasabasFiyat]),0))</f>
        <v/>
      </c>
      <c r="D22" s="17">
        <f>IF($A22="","",IFERROR(INDEX(tblMotor[KararSatir],MATCH($A22,tblMotor[A_Norm],0)),""))</f>
        <v/>
      </c>
      <c r="E22" s="17">
        <f>IF($A22="","",IF($B22&lt;0,"YUKSEK","NORMAL"))</f>
        <v/>
      </c>
      <c r="F22" s="17">
        <f>IF($A22="","",_xlfn.TEXTJOIN(" ",TRUE,"Barkod",$A22,"karar",$D22,"net",TEXT($B22,"0.00"),"başabaş",TEXT($C22,"0.00"),"TL"))</f>
        <v/>
      </c>
    </row>
    <row r="23">
      <c r="A23" s="17">
        <f>IF('ESLESTIRME'!$A23="","",IF('ESLESTIRME'!$G23="tutar_farki",'ESLESTIRME'!$A23,""))</f>
        <v/>
      </c>
      <c r="B23" s="17">
        <f>IF($A23="","",IFERROR(SUMIF(tblMotor[A_Norm],$A23,tblMotor[NetKar]),0))</f>
        <v/>
      </c>
      <c r="C23" s="17">
        <f>IF($A23="","",IFERROR(SUMIF(tblMotor[A_Norm],$A23,tblMotor[BasabasFiyat]),0))</f>
        <v/>
      </c>
      <c r="D23" s="17">
        <f>IF($A23="","",IFERROR(INDEX(tblMotor[KararSatir],MATCH($A23,tblMotor[A_Norm],0)),""))</f>
        <v/>
      </c>
      <c r="E23" s="17">
        <f>IF($A23="","",IF($B23&lt;0,"YUKSEK","NORMAL"))</f>
        <v/>
      </c>
      <c r="F23" s="17">
        <f>IF($A23="","",_xlfn.TEXTJOIN(" ",TRUE,"Barkod",$A23,"karar",$D23,"net",TEXT($B23,"0.00"),"başabaş",TEXT($C23,"0.00"),"TL"))</f>
        <v/>
      </c>
    </row>
    <row r="24">
      <c r="A24" s="17">
        <f>IF('ESLESTIRME'!$A24="","",IF('ESLESTIRME'!$G24="tutar_farki",'ESLESTIRME'!$A24,""))</f>
        <v/>
      </c>
      <c r="B24" s="17">
        <f>IF($A24="","",IFERROR(SUMIF(tblMotor[A_Norm],$A24,tblMotor[NetKar]),0))</f>
        <v/>
      </c>
      <c r="C24" s="17">
        <f>IF($A24="","",IFERROR(SUMIF(tblMotor[A_Norm],$A24,tblMotor[BasabasFiyat]),0))</f>
        <v/>
      </c>
      <c r="D24" s="17">
        <f>IF($A24="","",IFERROR(INDEX(tblMotor[KararSatir],MATCH($A24,tblMotor[A_Norm],0)),""))</f>
        <v/>
      </c>
      <c r="E24" s="17">
        <f>IF($A24="","",IF($B24&lt;0,"YUKSEK","NORMAL"))</f>
        <v/>
      </c>
      <c r="F24" s="17">
        <f>IF($A24="","",_xlfn.TEXTJOIN(" ",TRUE,"Barkod",$A24,"karar",$D24,"net",TEXT($B24,"0.00"),"başabaş",TEXT($C24,"0.00"),"TL"))</f>
        <v/>
      </c>
    </row>
    <row r="25">
      <c r="A25" s="17">
        <f>IF('ESLESTIRME'!$A25="","",IF('ESLESTIRME'!$G25="tutar_farki",'ESLESTIRME'!$A25,""))</f>
        <v/>
      </c>
      <c r="B25" s="17">
        <f>IF($A25="","",IFERROR(SUMIF(tblMotor[A_Norm],$A25,tblMotor[NetKar]),0))</f>
        <v/>
      </c>
      <c r="C25" s="17">
        <f>IF($A25="","",IFERROR(SUMIF(tblMotor[A_Norm],$A25,tblMotor[BasabasFiyat]),0))</f>
        <v/>
      </c>
      <c r="D25" s="17">
        <f>IF($A25="","",IFERROR(INDEX(tblMotor[KararSatir],MATCH($A25,tblMotor[A_Norm],0)),""))</f>
        <v/>
      </c>
      <c r="E25" s="17">
        <f>IF($A25="","",IF($B25&lt;0,"YUKSEK","NORMAL"))</f>
        <v/>
      </c>
      <c r="F25" s="17">
        <f>IF($A25="","",_xlfn.TEXTJOIN(" ",TRUE,"Barkod",$A25,"karar",$D25,"net",TEXT($B25,"0.00"),"başabaş",TEXT($C25,"0.00"),"TL"))</f>
        <v/>
      </c>
    </row>
    <row r="26">
      <c r="A26" s="17">
        <f>IF('ESLESTIRME'!$A26="","",IF('ESLESTIRME'!$G26="tutar_farki",'ESLESTIRME'!$A26,""))</f>
        <v/>
      </c>
      <c r="B26" s="17">
        <f>IF($A26="","",IFERROR(SUMIF(tblMotor[A_Norm],$A26,tblMotor[NetKar]),0))</f>
        <v/>
      </c>
      <c r="C26" s="17">
        <f>IF($A26="","",IFERROR(SUMIF(tblMotor[A_Norm],$A26,tblMotor[BasabasFiyat]),0))</f>
        <v/>
      </c>
      <c r="D26" s="17">
        <f>IF($A26="","",IFERROR(INDEX(tblMotor[KararSatir],MATCH($A26,tblMotor[A_Norm],0)),""))</f>
        <v/>
      </c>
      <c r="E26" s="17">
        <f>IF($A26="","",IF($B26&lt;0,"YUKSEK","NORMAL"))</f>
        <v/>
      </c>
      <c r="F26" s="17">
        <f>IF($A26="","",_xlfn.TEXTJOIN(" ",TRUE,"Barkod",$A26,"karar",$D26,"net",TEXT($B26,"0.00"),"başabaş",TEXT($C26,"0.00"),"TL"))</f>
        <v/>
      </c>
    </row>
    <row r="27">
      <c r="A27" s="17">
        <f>IF('ESLESTIRME'!$A27="","",IF('ESLESTIRME'!$G27="tutar_farki",'ESLESTIRME'!$A27,""))</f>
        <v/>
      </c>
      <c r="B27" s="17">
        <f>IF($A27="","",IFERROR(SUMIF(tblMotor[A_Norm],$A27,tblMotor[NetKar]),0))</f>
        <v/>
      </c>
      <c r="C27" s="17">
        <f>IF($A27="","",IFERROR(SUMIF(tblMotor[A_Norm],$A27,tblMotor[BasabasFiyat]),0))</f>
        <v/>
      </c>
      <c r="D27" s="17">
        <f>IF($A27="","",IFERROR(INDEX(tblMotor[KararSatir],MATCH($A27,tblMotor[A_Norm],0)),""))</f>
        <v/>
      </c>
      <c r="E27" s="17">
        <f>IF($A27="","",IF($B27&lt;0,"YUKSEK","NORMAL"))</f>
        <v/>
      </c>
      <c r="F27" s="17">
        <f>IF($A27="","",_xlfn.TEXTJOIN(" ",TRUE,"Barkod",$A27,"karar",$D27,"net",TEXT($B27,"0.00"),"başabaş",TEXT($C27,"0.00"),"TL"))</f>
        <v/>
      </c>
    </row>
    <row r="28">
      <c r="A28" s="17">
        <f>IF('ESLESTIRME'!$A28="","",IF('ESLESTIRME'!$G28="tutar_farki",'ESLESTIRME'!$A28,""))</f>
        <v/>
      </c>
      <c r="B28" s="17">
        <f>IF($A28="","",IFERROR(SUMIF(tblMotor[A_Norm],$A28,tblMotor[NetKar]),0))</f>
        <v/>
      </c>
      <c r="C28" s="17">
        <f>IF($A28="","",IFERROR(SUMIF(tblMotor[A_Norm],$A28,tblMotor[BasabasFiyat]),0))</f>
        <v/>
      </c>
      <c r="D28" s="17">
        <f>IF($A28="","",IFERROR(INDEX(tblMotor[KararSatir],MATCH($A28,tblMotor[A_Norm],0)),""))</f>
        <v/>
      </c>
      <c r="E28" s="17">
        <f>IF($A28="","",IF($B28&lt;0,"YUKSEK","NORMAL"))</f>
        <v/>
      </c>
      <c r="F28" s="17">
        <f>IF($A28="","",_xlfn.TEXTJOIN(" ",TRUE,"Barkod",$A28,"karar",$D28,"net",TEXT($B28,"0.00"),"başabaş",TEXT($C28,"0.00"),"TL"))</f>
        <v/>
      </c>
    </row>
    <row r="29">
      <c r="A29" s="17">
        <f>IF('ESLESTIRME'!$A29="","",IF('ESLESTIRME'!$G29="tutar_farki",'ESLESTIRME'!$A29,""))</f>
        <v/>
      </c>
      <c r="B29" s="17">
        <f>IF($A29="","",IFERROR(SUMIF(tblMotor[A_Norm],$A29,tblMotor[NetKar]),0))</f>
        <v/>
      </c>
      <c r="C29" s="17">
        <f>IF($A29="","",IFERROR(SUMIF(tblMotor[A_Norm],$A29,tblMotor[BasabasFiyat]),0))</f>
        <v/>
      </c>
      <c r="D29" s="17">
        <f>IF($A29="","",IFERROR(INDEX(tblMotor[KararSatir],MATCH($A29,tblMotor[A_Norm],0)),""))</f>
        <v/>
      </c>
      <c r="E29" s="17">
        <f>IF($A29="","",IF($B29&lt;0,"YUKSEK","NORMAL"))</f>
        <v/>
      </c>
      <c r="F29" s="17">
        <f>IF($A29="","",_xlfn.TEXTJOIN(" ",TRUE,"Barkod",$A29,"karar",$D29,"net",TEXT($B29,"0.00"),"başabaş",TEXT($C29,"0.00"),"TL"))</f>
        <v/>
      </c>
    </row>
    <row r="30">
      <c r="A30" s="17">
        <f>IF('ESLESTIRME'!$A30="","",IF('ESLESTIRME'!$G30="tutar_farki",'ESLESTIRME'!$A30,""))</f>
        <v/>
      </c>
      <c r="B30" s="17">
        <f>IF($A30="","",IFERROR(SUMIF(tblMotor[A_Norm],$A30,tblMotor[NetKar]),0))</f>
        <v/>
      </c>
      <c r="C30" s="17">
        <f>IF($A30="","",IFERROR(SUMIF(tblMotor[A_Norm],$A30,tblMotor[BasabasFiyat]),0))</f>
        <v/>
      </c>
      <c r="D30" s="17">
        <f>IF($A30="","",IFERROR(INDEX(tblMotor[KararSatir],MATCH($A30,tblMotor[A_Norm],0)),""))</f>
        <v/>
      </c>
      <c r="E30" s="17">
        <f>IF($A30="","",IF($B30&lt;0,"YUKSEK","NORMAL"))</f>
        <v/>
      </c>
      <c r="F30" s="17">
        <f>IF($A30="","",_xlfn.TEXTJOIN(" ",TRUE,"Barkod",$A30,"karar",$D30,"net",TEXT($B30,"0.00"),"başabaş",TEXT($C30,"0.00"),"TL"))</f>
        <v/>
      </c>
    </row>
    <row r="31">
      <c r="A31" s="17">
        <f>IF('ESLESTIRME'!$A31="","",IF('ESLESTIRME'!$G31="tutar_farki",'ESLESTIRME'!$A31,""))</f>
        <v/>
      </c>
      <c r="B31" s="17">
        <f>IF($A31="","",IFERROR(SUMIF(tblMotor[A_Norm],$A31,tblMotor[NetKar]),0))</f>
        <v/>
      </c>
      <c r="C31" s="17">
        <f>IF($A31="","",IFERROR(SUMIF(tblMotor[A_Norm],$A31,tblMotor[BasabasFiyat]),0))</f>
        <v/>
      </c>
      <c r="D31" s="17">
        <f>IF($A31="","",IFERROR(INDEX(tblMotor[KararSatir],MATCH($A31,tblMotor[A_Norm],0)),""))</f>
        <v/>
      </c>
      <c r="E31" s="17">
        <f>IF($A31="","",IF($B31&lt;0,"YUKSEK","NORMAL"))</f>
        <v/>
      </c>
      <c r="F31" s="17">
        <f>IF($A31="","",_xlfn.TEXTJOIN(" ",TRUE,"Barkod",$A31,"karar",$D31,"net",TEXT($B31,"0.00"),"başabaş",TEXT($C31,"0.00"),"TL"))</f>
        <v/>
      </c>
    </row>
    <row r="32">
      <c r="A32" s="17">
        <f>IF('ESLESTIRME'!$A32="","",IF('ESLESTIRME'!$G32="tutar_farki",'ESLESTIRME'!$A32,""))</f>
        <v/>
      </c>
      <c r="B32" s="17">
        <f>IF($A32="","",IFERROR(SUMIF(tblMotor[A_Norm],$A32,tblMotor[NetKar]),0))</f>
        <v/>
      </c>
      <c r="C32" s="17">
        <f>IF($A32="","",IFERROR(SUMIF(tblMotor[A_Norm],$A32,tblMotor[BasabasFiyat]),0))</f>
        <v/>
      </c>
      <c r="D32" s="17">
        <f>IF($A32="","",IFERROR(INDEX(tblMotor[KararSatir],MATCH($A32,tblMotor[A_Norm],0)),""))</f>
        <v/>
      </c>
      <c r="E32" s="17">
        <f>IF($A32="","",IF($B32&lt;0,"YUKSEK","NORMAL"))</f>
        <v/>
      </c>
      <c r="F32" s="17">
        <f>IF($A32="","",_xlfn.TEXTJOIN(" ",TRUE,"Barkod",$A32,"karar",$D32,"net",TEXT($B32,"0.00"),"başabaş",TEXT($C32,"0.00"),"TL"))</f>
        <v/>
      </c>
    </row>
    <row r="33">
      <c r="A33" s="17">
        <f>IF('ESLESTIRME'!$A33="","",IF('ESLESTIRME'!$G33="tutar_farki",'ESLESTIRME'!$A33,""))</f>
        <v/>
      </c>
      <c r="B33" s="17">
        <f>IF($A33="","",IFERROR(SUMIF(tblMotor[A_Norm],$A33,tblMotor[NetKar]),0))</f>
        <v/>
      </c>
      <c r="C33" s="17">
        <f>IF($A33="","",IFERROR(SUMIF(tblMotor[A_Norm],$A33,tblMotor[BasabasFiyat]),0))</f>
        <v/>
      </c>
      <c r="D33" s="17">
        <f>IF($A33="","",IFERROR(INDEX(tblMotor[KararSatir],MATCH($A33,tblMotor[A_Norm],0)),""))</f>
        <v/>
      </c>
      <c r="E33" s="17">
        <f>IF($A33="","",IF($B33&lt;0,"YUKSEK","NORMAL"))</f>
        <v/>
      </c>
      <c r="F33" s="17">
        <f>IF($A33="","",_xlfn.TEXTJOIN(" ",TRUE,"Barkod",$A33,"karar",$D33,"net",TEXT($B33,"0.00"),"başabaş",TEXT($C33,"0.00"),"TL"))</f>
        <v/>
      </c>
    </row>
    <row r="34">
      <c r="A34" s="17">
        <f>IF('ESLESTIRME'!$A34="","",IF('ESLESTIRME'!$G34="tutar_farki",'ESLESTIRME'!$A34,""))</f>
        <v/>
      </c>
      <c r="B34" s="17">
        <f>IF($A34="","",IFERROR(SUMIF(tblMotor[A_Norm],$A34,tblMotor[NetKar]),0))</f>
        <v/>
      </c>
      <c r="C34" s="17">
        <f>IF($A34="","",IFERROR(SUMIF(tblMotor[A_Norm],$A34,tblMotor[BasabasFiyat]),0))</f>
        <v/>
      </c>
      <c r="D34" s="17">
        <f>IF($A34="","",IFERROR(INDEX(tblMotor[KararSatir],MATCH($A34,tblMotor[A_Norm],0)),""))</f>
        <v/>
      </c>
      <c r="E34" s="17">
        <f>IF($A34="","",IF($B34&lt;0,"YUKSEK","NORMAL"))</f>
        <v/>
      </c>
      <c r="F34" s="17">
        <f>IF($A34="","",_xlfn.TEXTJOIN(" ",TRUE,"Barkod",$A34,"karar",$D34,"net",TEXT($B34,"0.00"),"başabaş",TEXT($C34,"0.00"),"TL"))</f>
        <v/>
      </c>
    </row>
    <row r="35">
      <c r="A35" s="17">
        <f>IF('ESLESTIRME'!$A35="","",IF('ESLESTIRME'!$G35="tutar_farki",'ESLESTIRME'!$A35,""))</f>
        <v/>
      </c>
      <c r="B35" s="17">
        <f>IF($A35="","",IFERROR(SUMIF(tblMotor[A_Norm],$A35,tblMotor[NetKar]),0))</f>
        <v/>
      </c>
      <c r="C35" s="17">
        <f>IF($A35="","",IFERROR(SUMIF(tblMotor[A_Norm],$A35,tblMotor[BasabasFiyat]),0))</f>
        <v/>
      </c>
      <c r="D35" s="17">
        <f>IF($A35="","",IFERROR(INDEX(tblMotor[KararSatir],MATCH($A35,tblMotor[A_Norm],0)),""))</f>
        <v/>
      </c>
      <c r="E35" s="17">
        <f>IF($A35="","",IF($B35&lt;0,"YUKSEK","NORMAL"))</f>
        <v/>
      </c>
      <c r="F35" s="17">
        <f>IF($A35="","",_xlfn.TEXTJOIN(" ",TRUE,"Barkod",$A35,"karar",$D35,"net",TEXT($B35,"0.00"),"başabaş",TEXT($C35,"0.00"),"TL"))</f>
        <v/>
      </c>
    </row>
    <row r="36">
      <c r="A36" s="17">
        <f>IF('ESLESTIRME'!$A36="","",IF('ESLESTIRME'!$G36="tutar_farki",'ESLESTIRME'!$A36,""))</f>
        <v/>
      </c>
      <c r="B36" s="17">
        <f>IF($A36="","",IFERROR(SUMIF(tblMotor[A_Norm],$A36,tblMotor[NetKar]),0))</f>
        <v/>
      </c>
      <c r="C36" s="17">
        <f>IF($A36="","",IFERROR(SUMIF(tblMotor[A_Norm],$A36,tblMotor[BasabasFiyat]),0))</f>
        <v/>
      </c>
      <c r="D36" s="17">
        <f>IF($A36="","",IFERROR(INDEX(tblMotor[KararSatir],MATCH($A36,tblMotor[A_Norm],0)),""))</f>
        <v/>
      </c>
      <c r="E36" s="17">
        <f>IF($A36="","",IF($B36&lt;0,"YUKSEK","NORMAL"))</f>
        <v/>
      </c>
      <c r="F36" s="17">
        <f>IF($A36="","",_xlfn.TEXTJOIN(" ",TRUE,"Barkod",$A36,"karar",$D36,"net",TEXT($B36,"0.00"),"başabaş",TEXT($C36,"0.00"),"TL"))</f>
        <v/>
      </c>
    </row>
    <row r="37">
      <c r="A37" s="17">
        <f>IF('ESLESTIRME'!$A37="","",IF('ESLESTIRME'!$G37="tutar_farki",'ESLESTIRME'!$A37,""))</f>
        <v/>
      </c>
      <c r="B37" s="17">
        <f>IF($A37="","",IFERROR(SUMIF(tblMotor[A_Norm],$A37,tblMotor[NetKar]),0))</f>
        <v/>
      </c>
      <c r="C37" s="17">
        <f>IF($A37="","",IFERROR(SUMIF(tblMotor[A_Norm],$A37,tblMotor[BasabasFiyat]),0))</f>
        <v/>
      </c>
      <c r="D37" s="17">
        <f>IF($A37="","",IFERROR(INDEX(tblMotor[KararSatir],MATCH($A37,tblMotor[A_Norm],0)),""))</f>
        <v/>
      </c>
      <c r="E37" s="17">
        <f>IF($A37="","",IF($B37&lt;0,"YUKSEK","NORMAL"))</f>
        <v/>
      </c>
      <c r="F37" s="17">
        <f>IF($A37="","",_xlfn.TEXTJOIN(" ",TRUE,"Barkod",$A37,"karar",$D37,"net",TEXT($B37,"0.00"),"başabaş",TEXT($C37,"0.00"),"TL"))</f>
        <v/>
      </c>
    </row>
    <row r="38">
      <c r="A38" s="17">
        <f>IF('ESLESTIRME'!$A38="","",IF('ESLESTIRME'!$G38="tutar_farki",'ESLESTIRME'!$A38,""))</f>
        <v/>
      </c>
      <c r="B38" s="17">
        <f>IF($A38="","",IFERROR(SUMIF(tblMotor[A_Norm],$A38,tblMotor[NetKar]),0))</f>
        <v/>
      </c>
      <c r="C38" s="17">
        <f>IF($A38="","",IFERROR(SUMIF(tblMotor[A_Norm],$A38,tblMotor[BasabasFiyat]),0))</f>
        <v/>
      </c>
      <c r="D38" s="17">
        <f>IF($A38="","",IFERROR(INDEX(tblMotor[KararSatir],MATCH($A38,tblMotor[A_Norm],0)),""))</f>
        <v/>
      </c>
      <c r="E38" s="17">
        <f>IF($A38="","",IF($B38&lt;0,"YUKSEK","NORMAL"))</f>
        <v/>
      </c>
      <c r="F38" s="17">
        <f>IF($A38="","",_xlfn.TEXTJOIN(" ",TRUE,"Barkod",$A38,"karar",$D38,"net",TEXT($B38,"0.00"),"başabaş",TEXT($C38,"0.00"),"TL"))</f>
        <v/>
      </c>
    </row>
    <row r="39">
      <c r="A39" s="17">
        <f>IF('ESLESTIRME'!$A39="","",IF('ESLESTIRME'!$G39="tutar_farki",'ESLESTIRME'!$A39,""))</f>
        <v/>
      </c>
      <c r="B39" s="17">
        <f>IF($A39="","",IFERROR(SUMIF(tblMotor[A_Norm],$A39,tblMotor[NetKar]),0))</f>
        <v/>
      </c>
      <c r="C39" s="17">
        <f>IF($A39="","",IFERROR(SUMIF(tblMotor[A_Norm],$A39,tblMotor[BasabasFiyat]),0))</f>
        <v/>
      </c>
      <c r="D39" s="17">
        <f>IF($A39="","",IFERROR(INDEX(tblMotor[KararSatir],MATCH($A39,tblMotor[A_Norm],0)),""))</f>
        <v/>
      </c>
      <c r="E39" s="17">
        <f>IF($A39="","",IF($B39&lt;0,"YUKSEK","NORMAL"))</f>
        <v/>
      </c>
      <c r="F39" s="17">
        <f>IF($A39="","",_xlfn.TEXTJOIN(" ",TRUE,"Barkod",$A39,"karar",$D39,"net",TEXT($B39,"0.00"),"başabaş",TEXT($C39,"0.00"),"TL"))</f>
        <v/>
      </c>
    </row>
    <row r="40">
      <c r="A40" s="17">
        <f>IF('ESLESTIRME'!$A40="","",IF('ESLESTIRME'!$G40="tutar_farki",'ESLESTIRME'!$A40,""))</f>
        <v/>
      </c>
      <c r="B40" s="17">
        <f>IF($A40="","",IFERROR(SUMIF(tblMotor[A_Norm],$A40,tblMotor[NetKar]),0))</f>
        <v/>
      </c>
      <c r="C40" s="17">
        <f>IF($A40="","",IFERROR(SUMIF(tblMotor[A_Norm],$A40,tblMotor[BasabasFiyat]),0))</f>
        <v/>
      </c>
      <c r="D40" s="17">
        <f>IF($A40="","",IFERROR(INDEX(tblMotor[KararSatir],MATCH($A40,tblMotor[A_Norm],0)),""))</f>
        <v/>
      </c>
      <c r="E40" s="17">
        <f>IF($A40="","",IF($B40&lt;0,"YUKSEK","NORMAL"))</f>
        <v/>
      </c>
      <c r="F40" s="17">
        <f>IF($A40="","",_xlfn.TEXTJOIN(" ",TRUE,"Barkod",$A40,"karar",$D40,"net",TEXT($B40,"0.00"),"başabaş",TEXT($C40,"0.00"),"TL"))</f>
        <v/>
      </c>
    </row>
    <row r="41">
      <c r="A41" s="17">
        <f>IF('ESLESTIRME'!$A41="","",IF('ESLESTIRME'!$G41="tutar_farki",'ESLESTIRME'!$A41,""))</f>
        <v/>
      </c>
      <c r="B41" s="17">
        <f>IF($A41="","",IFERROR(SUMIF(tblMotor[A_Norm],$A41,tblMotor[NetKar]),0))</f>
        <v/>
      </c>
      <c r="C41" s="17">
        <f>IF($A41="","",IFERROR(SUMIF(tblMotor[A_Norm],$A41,tblMotor[BasabasFiyat]),0))</f>
        <v/>
      </c>
      <c r="D41" s="17">
        <f>IF($A41="","",IFERROR(INDEX(tblMotor[KararSatir],MATCH($A41,tblMotor[A_Norm],0)),""))</f>
        <v/>
      </c>
      <c r="E41" s="17">
        <f>IF($A41="","",IF($B41&lt;0,"YUKSEK","NORMAL"))</f>
        <v/>
      </c>
      <c r="F41" s="17">
        <f>IF($A41="","",_xlfn.TEXTJOIN(" ",TRUE,"Barkod",$A41,"karar",$D41,"net",TEXT($B41,"0.00"),"başabaş",TEXT($C41,"0.00"),"TL"))</f>
        <v/>
      </c>
    </row>
    <row r="42">
      <c r="A42" s="17">
        <f>IF('ESLESTIRME'!$A42="","",IF('ESLESTIRME'!$G42="tutar_farki",'ESLESTIRME'!$A42,""))</f>
        <v/>
      </c>
      <c r="B42" s="17">
        <f>IF($A42="","",IFERROR(SUMIF(tblMotor[A_Norm],$A42,tblMotor[NetKar]),0))</f>
        <v/>
      </c>
      <c r="C42" s="17">
        <f>IF($A42="","",IFERROR(SUMIF(tblMotor[A_Norm],$A42,tblMotor[BasabasFiyat]),0))</f>
        <v/>
      </c>
      <c r="D42" s="17">
        <f>IF($A42="","",IFERROR(INDEX(tblMotor[KararSatir],MATCH($A42,tblMotor[A_Norm],0)),""))</f>
        <v/>
      </c>
      <c r="E42" s="17">
        <f>IF($A42="","",IF($B42&lt;0,"YUKSEK","NORMAL"))</f>
        <v/>
      </c>
      <c r="F42" s="17">
        <f>IF($A42="","",_xlfn.TEXTJOIN(" ",TRUE,"Barkod",$A42,"karar",$D42,"net",TEXT($B42,"0.00"),"başabaş",TEXT($C42,"0.00"),"TL"))</f>
        <v/>
      </c>
    </row>
    <row r="43">
      <c r="A43" s="17">
        <f>IF('ESLESTIRME'!$A43="","",IF('ESLESTIRME'!$G43="tutar_farki",'ESLESTIRME'!$A43,""))</f>
        <v/>
      </c>
      <c r="B43" s="17">
        <f>IF($A43="","",IFERROR(SUMIF(tblMotor[A_Norm],$A43,tblMotor[NetKar]),0))</f>
        <v/>
      </c>
      <c r="C43" s="17">
        <f>IF($A43="","",IFERROR(SUMIF(tblMotor[A_Norm],$A43,tblMotor[BasabasFiyat]),0))</f>
        <v/>
      </c>
      <c r="D43" s="17">
        <f>IF($A43="","",IFERROR(INDEX(tblMotor[KararSatir],MATCH($A43,tblMotor[A_Norm],0)),""))</f>
        <v/>
      </c>
      <c r="E43" s="17">
        <f>IF($A43="","",IF($B43&lt;0,"YUKSEK","NORMAL"))</f>
        <v/>
      </c>
      <c r="F43" s="17">
        <f>IF($A43="","",_xlfn.TEXTJOIN(" ",TRUE,"Barkod",$A43,"karar",$D43,"net",TEXT($B43,"0.00"),"başabaş",TEXT($C43,"0.00"),"TL"))</f>
        <v/>
      </c>
    </row>
    <row r="44">
      <c r="A44" s="17">
        <f>IF('ESLESTIRME'!$A44="","",IF('ESLESTIRME'!$G44="tutar_farki",'ESLESTIRME'!$A44,""))</f>
        <v/>
      </c>
      <c r="B44" s="17">
        <f>IF($A44="","",IFERROR(SUMIF(tblMotor[A_Norm],$A44,tblMotor[NetKar]),0))</f>
        <v/>
      </c>
      <c r="C44" s="17">
        <f>IF($A44="","",IFERROR(SUMIF(tblMotor[A_Norm],$A44,tblMotor[BasabasFiyat]),0))</f>
        <v/>
      </c>
      <c r="D44" s="17">
        <f>IF($A44="","",IFERROR(INDEX(tblMotor[KararSatir],MATCH($A44,tblMotor[A_Norm],0)),""))</f>
        <v/>
      </c>
      <c r="E44" s="17">
        <f>IF($A44="","",IF($B44&lt;0,"YUKSEK","NORMAL"))</f>
        <v/>
      </c>
      <c r="F44" s="17">
        <f>IF($A44="","",_xlfn.TEXTJOIN(" ",TRUE,"Barkod",$A44,"karar",$D44,"net",TEXT($B44,"0.00"),"başabaş",TEXT($C44,"0.00"),"TL"))</f>
        <v/>
      </c>
    </row>
    <row r="45">
      <c r="A45" s="17">
        <f>IF('ESLESTIRME'!$A45="","",IF('ESLESTIRME'!$G45="tutar_farki",'ESLESTIRME'!$A45,""))</f>
        <v/>
      </c>
      <c r="B45" s="17">
        <f>IF($A45="","",IFERROR(SUMIF(tblMotor[A_Norm],$A45,tblMotor[NetKar]),0))</f>
        <v/>
      </c>
      <c r="C45" s="17">
        <f>IF($A45="","",IFERROR(SUMIF(tblMotor[A_Norm],$A45,tblMotor[BasabasFiyat]),0))</f>
        <v/>
      </c>
      <c r="D45" s="17">
        <f>IF($A45="","",IFERROR(INDEX(tblMotor[KararSatir],MATCH($A45,tblMotor[A_Norm],0)),""))</f>
        <v/>
      </c>
      <c r="E45" s="17">
        <f>IF($A45="","",IF($B45&lt;0,"YUKSEK","NORMAL"))</f>
        <v/>
      </c>
      <c r="F45" s="17">
        <f>IF($A45="","",_xlfn.TEXTJOIN(" ",TRUE,"Barkod",$A45,"karar",$D45,"net",TEXT($B45,"0.00"),"başabaş",TEXT($C45,"0.00"),"TL"))</f>
        <v/>
      </c>
    </row>
    <row r="46">
      <c r="A46" s="17">
        <f>IF('ESLESTIRME'!$A46="","",IF('ESLESTIRME'!$G46="tutar_farki",'ESLESTIRME'!$A46,""))</f>
        <v/>
      </c>
      <c r="B46" s="17">
        <f>IF($A46="","",IFERROR(SUMIF(tblMotor[A_Norm],$A46,tblMotor[NetKar]),0))</f>
        <v/>
      </c>
      <c r="C46" s="17">
        <f>IF($A46="","",IFERROR(SUMIF(tblMotor[A_Norm],$A46,tblMotor[BasabasFiyat]),0))</f>
        <v/>
      </c>
      <c r="D46" s="17">
        <f>IF($A46="","",IFERROR(INDEX(tblMotor[KararSatir],MATCH($A46,tblMotor[A_Norm],0)),""))</f>
        <v/>
      </c>
      <c r="E46" s="17">
        <f>IF($A46="","",IF($B46&lt;0,"YUKSEK","NORMAL"))</f>
        <v/>
      </c>
      <c r="F46" s="17">
        <f>IF($A46="","",_xlfn.TEXTJOIN(" ",TRUE,"Barkod",$A46,"karar",$D46,"net",TEXT($B46,"0.00"),"başabaş",TEXT($C46,"0.00"),"TL"))</f>
        <v/>
      </c>
    </row>
    <row r="47">
      <c r="A47" s="17">
        <f>IF('ESLESTIRME'!$A47="","",IF('ESLESTIRME'!$G47="tutar_farki",'ESLESTIRME'!$A47,""))</f>
        <v/>
      </c>
      <c r="B47" s="17">
        <f>IF($A47="","",IFERROR(SUMIF(tblMotor[A_Norm],$A47,tblMotor[NetKar]),0))</f>
        <v/>
      </c>
      <c r="C47" s="17">
        <f>IF($A47="","",IFERROR(SUMIF(tblMotor[A_Norm],$A47,tblMotor[BasabasFiyat]),0))</f>
        <v/>
      </c>
      <c r="D47" s="17">
        <f>IF($A47="","",IFERROR(INDEX(tblMotor[KararSatir],MATCH($A47,tblMotor[A_Norm],0)),""))</f>
        <v/>
      </c>
      <c r="E47" s="17">
        <f>IF($A47="","",IF($B47&lt;0,"YUKSEK","NORMAL"))</f>
        <v/>
      </c>
      <c r="F47" s="17">
        <f>IF($A47="","",_xlfn.TEXTJOIN(" ",TRUE,"Barkod",$A47,"karar",$D47,"net",TEXT($B47,"0.00"),"başabaş",TEXT($C47,"0.00"),"TL"))</f>
        <v/>
      </c>
    </row>
    <row r="48">
      <c r="A48" s="17">
        <f>IF('ESLESTIRME'!$A48="","",IF('ESLESTIRME'!$G48="tutar_farki",'ESLESTIRME'!$A48,""))</f>
        <v/>
      </c>
      <c r="B48" s="17">
        <f>IF($A48="","",IFERROR(SUMIF(tblMotor[A_Norm],$A48,tblMotor[NetKar]),0))</f>
        <v/>
      </c>
      <c r="C48" s="17">
        <f>IF($A48="","",IFERROR(SUMIF(tblMotor[A_Norm],$A48,tblMotor[BasabasFiyat]),0))</f>
        <v/>
      </c>
      <c r="D48" s="17">
        <f>IF($A48="","",IFERROR(INDEX(tblMotor[KararSatir],MATCH($A48,tblMotor[A_Norm],0)),""))</f>
        <v/>
      </c>
      <c r="E48" s="17">
        <f>IF($A48="","",IF($B48&lt;0,"YUKSEK","NORMAL"))</f>
        <v/>
      </c>
      <c r="F48" s="17">
        <f>IF($A48="","",_xlfn.TEXTJOIN(" ",TRUE,"Barkod",$A48,"karar",$D48,"net",TEXT($B48,"0.00"),"başabaş",TEXT($C48,"0.00"),"TL"))</f>
        <v/>
      </c>
    </row>
    <row r="49">
      <c r="A49" s="17">
        <f>IF('ESLESTIRME'!$A49="","",IF('ESLESTIRME'!$G49="tutar_farki",'ESLESTIRME'!$A49,""))</f>
        <v/>
      </c>
      <c r="B49" s="17">
        <f>IF($A49="","",IFERROR(SUMIF(tblMotor[A_Norm],$A49,tblMotor[NetKar]),0))</f>
        <v/>
      </c>
      <c r="C49" s="17">
        <f>IF($A49="","",IFERROR(SUMIF(tblMotor[A_Norm],$A49,tblMotor[BasabasFiyat]),0))</f>
        <v/>
      </c>
      <c r="D49" s="17">
        <f>IF($A49="","",IFERROR(INDEX(tblMotor[KararSatir],MATCH($A49,tblMotor[A_Norm],0)),""))</f>
        <v/>
      </c>
      <c r="E49" s="17">
        <f>IF($A49="","",IF($B49&lt;0,"YUKSEK","NORMAL"))</f>
        <v/>
      </c>
      <c r="F49" s="17">
        <f>IF($A49="","",_xlfn.TEXTJOIN(" ",TRUE,"Barkod",$A49,"karar",$D49,"net",TEXT($B49,"0.00"),"başabaş",TEXT($C49,"0.00"),"TL"))</f>
        <v/>
      </c>
    </row>
    <row r="50">
      <c r="A50" s="17">
        <f>IF('ESLESTIRME'!$A50="","",IF('ESLESTIRME'!$G50="tutar_farki",'ESLESTIRME'!$A50,""))</f>
        <v/>
      </c>
      <c r="B50" s="17">
        <f>IF($A50="","",IFERROR(SUMIF(tblMotor[A_Norm],$A50,tblMotor[NetKar]),0))</f>
        <v/>
      </c>
      <c r="C50" s="17">
        <f>IF($A50="","",IFERROR(SUMIF(tblMotor[A_Norm],$A50,tblMotor[BasabasFiyat]),0))</f>
        <v/>
      </c>
      <c r="D50" s="17">
        <f>IF($A50="","",IFERROR(INDEX(tblMotor[KararSatir],MATCH($A50,tblMotor[A_Norm],0)),""))</f>
        <v/>
      </c>
      <c r="E50" s="17">
        <f>IF($A50="","",IF($B50&lt;0,"YUKSEK","NORMAL"))</f>
        <v/>
      </c>
      <c r="F50" s="17">
        <f>IF($A50="","",_xlfn.TEXTJOIN(" ",TRUE,"Barkod",$A50,"karar",$D50,"net",TEXT($B50,"0.00"),"başabaş",TEXT($C50,"0.00"),"TL"))</f>
        <v/>
      </c>
    </row>
    <row r="51">
      <c r="A51" s="17">
        <f>IF('ESLESTIRME'!$A51="","",IF('ESLESTIRME'!$G51="tutar_farki",'ESLESTIRME'!$A51,""))</f>
        <v/>
      </c>
      <c r="B51" s="17">
        <f>IF($A51="","",IFERROR(SUMIF(tblMotor[A_Norm],$A51,tblMotor[NetKar]),0))</f>
        <v/>
      </c>
      <c r="C51" s="17">
        <f>IF($A51="","",IFERROR(SUMIF(tblMotor[A_Norm],$A51,tblMotor[BasabasFiyat]),0))</f>
        <v/>
      </c>
      <c r="D51" s="17">
        <f>IF($A51="","",IFERROR(INDEX(tblMotor[KararSatir],MATCH($A51,tblMotor[A_Norm],0)),""))</f>
        <v/>
      </c>
      <c r="E51" s="17">
        <f>IF($A51="","",IF($B51&lt;0,"YUKSEK","NORMAL"))</f>
        <v/>
      </c>
      <c r="F51" s="17">
        <f>IF($A51="","",_xlfn.TEXTJOIN(" ",TRUE,"Barkod",$A51,"karar",$D51,"net",TEXT($B51,"0.00"),"başabaş",TEXT($C51,"0.00"),"TL"))</f>
        <v/>
      </c>
    </row>
    <row r="52">
      <c r="A52" s="17">
        <f>IF('ESLESTIRME'!$A52="","",IF('ESLESTIRME'!$G52="tutar_farki",'ESLESTIRME'!$A52,""))</f>
        <v/>
      </c>
      <c r="B52" s="17">
        <f>IF($A52="","",IFERROR(SUMIF(tblMotor[A_Norm],$A52,tblMotor[NetKar]),0))</f>
        <v/>
      </c>
      <c r="C52" s="17">
        <f>IF($A52="","",IFERROR(SUMIF(tblMotor[A_Norm],$A52,tblMotor[BasabasFiyat]),0))</f>
        <v/>
      </c>
      <c r="D52" s="17">
        <f>IF($A52="","",IFERROR(INDEX(tblMotor[KararSatir],MATCH($A52,tblMotor[A_Norm],0)),""))</f>
        <v/>
      </c>
      <c r="E52" s="17">
        <f>IF($A52="","",IF($B52&lt;0,"YUKSEK","NORMAL"))</f>
        <v/>
      </c>
      <c r="F52" s="17">
        <f>IF($A52="","",_xlfn.TEXTJOIN(" ",TRUE,"Barkod",$A52,"karar",$D52,"net",TEXT($B52,"0.00"),"başabaş",TEXT($C52,"0.00"),"TL"))</f>
        <v/>
      </c>
    </row>
    <row r="53">
      <c r="A53" s="17">
        <f>IF('ESLESTIRME'!$A53="","",IF('ESLESTIRME'!$G53="tutar_farki",'ESLESTIRME'!$A53,""))</f>
        <v/>
      </c>
      <c r="B53" s="17">
        <f>IF($A53="","",IFERROR(SUMIF(tblMotor[A_Norm],$A53,tblMotor[NetKar]),0))</f>
        <v/>
      </c>
      <c r="C53" s="17">
        <f>IF($A53="","",IFERROR(SUMIF(tblMotor[A_Norm],$A53,tblMotor[BasabasFiyat]),0))</f>
        <v/>
      </c>
      <c r="D53" s="17">
        <f>IF($A53="","",IFERROR(INDEX(tblMotor[KararSatir],MATCH($A53,tblMotor[A_Norm],0)),""))</f>
        <v/>
      </c>
      <c r="E53" s="17">
        <f>IF($A53="","",IF($B53&lt;0,"YUKSEK","NORMAL"))</f>
        <v/>
      </c>
      <c r="F53" s="17">
        <f>IF($A53="","",_xlfn.TEXTJOIN(" ",TRUE,"Barkod",$A53,"karar",$D53,"net",TEXT($B53,"0.00"),"başabaş",TEXT($C53,"0.00"),"TL"))</f>
        <v/>
      </c>
    </row>
    <row r="54">
      <c r="A54" s="17">
        <f>IF('ESLESTIRME'!$A54="","",IF('ESLESTIRME'!$G54="tutar_farki",'ESLESTIRME'!$A54,""))</f>
        <v/>
      </c>
      <c r="B54" s="17">
        <f>IF($A54="","",IFERROR(SUMIF(tblMotor[A_Norm],$A54,tblMotor[NetKar]),0))</f>
        <v/>
      </c>
      <c r="C54" s="17">
        <f>IF($A54="","",IFERROR(SUMIF(tblMotor[A_Norm],$A54,tblMotor[BasabasFiyat]),0))</f>
        <v/>
      </c>
      <c r="D54" s="17">
        <f>IF($A54="","",IFERROR(INDEX(tblMotor[KararSatir],MATCH($A54,tblMotor[A_Norm],0)),""))</f>
        <v/>
      </c>
      <c r="E54" s="17">
        <f>IF($A54="","",IF($B54&lt;0,"YUKSEK","NORMAL"))</f>
        <v/>
      </c>
      <c r="F54" s="17">
        <f>IF($A54="","",_xlfn.TEXTJOIN(" ",TRUE,"Barkod",$A54,"karar",$D54,"net",TEXT($B54,"0.00"),"başabaş",TEXT($C54,"0.00"),"TL"))</f>
        <v/>
      </c>
    </row>
    <row r="55">
      <c r="A55" s="17">
        <f>IF('ESLESTIRME'!$A55="","",IF('ESLESTIRME'!$G55="tutar_farki",'ESLESTIRME'!$A55,""))</f>
        <v/>
      </c>
      <c r="B55" s="17">
        <f>IF($A55="","",IFERROR(SUMIF(tblMotor[A_Norm],$A55,tblMotor[NetKar]),0))</f>
        <v/>
      </c>
      <c r="C55" s="17">
        <f>IF($A55="","",IFERROR(SUMIF(tblMotor[A_Norm],$A55,tblMotor[BasabasFiyat]),0))</f>
        <v/>
      </c>
      <c r="D55" s="17">
        <f>IF($A55="","",IFERROR(INDEX(tblMotor[KararSatir],MATCH($A55,tblMotor[A_Norm],0)),""))</f>
        <v/>
      </c>
      <c r="E55" s="17">
        <f>IF($A55="","",IF($B55&lt;0,"YUKSEK","NORMAL"))</f>
        <v/>
      </c>
      <c r="F55" s="17">
        <f>IF($A55="","",_xlfn.TEXTJOIN(" ",TRUE,"Barkod",$A55,"karar",$D55,"net",TEXT($B55,"0.00"),"başabaş",TEXT($C55,"0.00"),"TL"))</f>
        <v/>
      </c>
    </row>
    <row r="56">
      <c r="A56" s="17">
        <f>IF('ESLESTIRME'!$A56="","",IF('ESLESTIRME'!$G56="tutar_farki",'ESLESTIRME'!$A56,""))</f>
        <v/>
      </c>
      <c r="B56" s="17">
        <f>IF($A56="","",IFERROR(SUMIF(tblMotor[A_Norm],$A56,tblMotor[NetKar]),0))</f>
        <v/>
      </c>
      <c r="C56" s="17">
        <f>IF($A56="","",IFERROR(SUMIF(tblMotor[A_Norm],$A56,tblMotor[BasabasFiyat]),0))</f>
        <v/>
      </c>
      <c r="D56" s="17">
        <f>IF($A56="","",IFERROR(INDEX(tblMotor[KararSatir],MATCH($A56,tblMotor[A_Norm],0)),""))</f>
        <v/>
      </c>
      <c r="E56" s="17">
        <f>IF($A56="","",IF($B56&lt;0,"YUKSEK","NORMAL"))</f>
        <v/>
      </c>
      <c r="F56" s="17">
        <f>IF($A56="","",_xlfn.TEXTJOIN(" ",TRUE,"Barkod",$A56,"karar",$D56,"net",TEXT($B56,"0.00"),"başabaş",TEXT($C56,"0.00"),"TL"))</f>
        <v/>
      </c>
    </row>
    <row r="57">
      <c r="A57" s="17">
        <f>IF('ESLESTIRME'!$A57="","",IF('ESLESTIRME'!$G57="tutar_farki",'ESLESTIRME'!$A57,""))</f>
        <v/>
      </c>
      <c r="B57" s="17">
        <f>IF($A57="","",IFERROR(SUMIF(tblMotor[A_Norm],$A57,tblMotor[NetKar]),0))</f>
        <v/>
      </c>
      <c r="C57" s="17">
        <f>IF($A57="","",IFERROR(SUMIF(tblMotor[A_Norm],$A57,tblMotor[BasabasFiyat]),0))</f>
        <v/>
      </c>
      <c r="D57" s="17">
        <f>IF($A57="","",IFERROR(INDEX(tblMotor[KararSatir],MATCH($A57,tblMotor[A_Norm],0)),""))</f>
        <v/>
      </c>
      <c r="E57" s="17">
        <f>IF($A57="","",IF($B57&lt;0,"YUKSEK","NORMAL"))</f>
        <v/>
      </c>
      <c r="F57" s="17">
        <f>IF($A57="","",_xlfn.TEXTJOIN(" ",TRUE,"Barkod",$A57,"karar",$D57,"net",TEXT($B57,"0.00"),"başabaş",TEXT($C57,"0.00"),"TL"))</f>
        <v/>
      </c>
    </row>
    <row r="58">
      <c r="A58" s="17">
        <f>IF('ESLESTIRME'!$A58="","",IF('ESLESTIRME'!$G58="tutar_farki",'ESLESTIRME'!$A58,""))</f>
        <v/>
      </c>
      <c r="B58" s="17">
        <f>IF($A58="","",IFERROR(SUMIF(tblMotor[A_Norm],$A58,tblMotor[NetKar]),0))</f>
        <v/>
      </c>
      <c r="C58" s="17">
        <f>IF($A58="","",IFERROR(SUMIF(tblMotor[A_Norm],$A58,tblMotor[BasabasFiyat]),0))</f>
        <v/>
      </c>
      <c r="D58" s="17">
        <f>IF($A58="","",IFERROR(INDEX(tblMotor[KararSatir],MATCH($A58,tblMotor[A_Norm],0)),""))</f>
        <v/>
      </c>
      <c r="E58" s="17">
        <f>IF($A58="","",IF($B58&lt;0,"YUKSEK","NORMAL"))</f>
        <v/>
      </c>
      <c r="F58" s="17">
        <f>IF($A58="","",_xlfn.TEXTJOIN(" ",TRUE,"Barkod",$A58,"karar",$D58,"net",TEXT($B58,"0.00"),"başabaş",TEXT($C58,"0.00"),"TL"))</f>
        <v/>
      </c>
    </row>
    <row r="59">
      <c r="A59" s="17">
        <f>IF('ESLESTIRME'!$A59="","",IF('ESLESTIRME'!$G59="tutar_farki",'ESLESTIRME'!$A59,""))</f>
        <v/>
      </c>
      <c r="B59" s="17">
        <f>IF($A59="","",IFERROR(SUMIF(tblMotor[A_Norm],$A59,tblMotor[NetKar]),0))</f>
        <v/>
      </c>
      <c r="C59" s="17">
        <f>IF($A59="","",IFERROR(SUMIF(tblMotor[A_Norm],$A59,tblMotor[BasabasFiyat]),0))</f>
        <v/>
      </c>
      <c r="D59" s="17">
        <f>IF($A59="","",IFERROR(INDEX(tblMotor[KararSatir],MATCH($A59,tblMotor[A_Norm],0)),""))</f>
        <v/>
      </c>
      <c r="E59" s="17">
        <f>IF($A59="","",IF($B59&lt;0,"YUKSEK","NORMAL"))</f>
        <v/>
      </c>
      <c r="F59" s="17">
        <f>IF($A59="","",_xlfn.TEXTJOIN(" ",TRUE,"Barkod",$A59,"karar",$D59,"net",TEXT($B59,"0.00"),"başabaş",TEXT($C59,"0.00"),"TL"))</f>
        <v/>
      </c>
    </row>
    <row r="60">
      <c r="A60" s="17">
        <f>IF('ESLESTIRME'!$A60="","",IF('ESLESTIRME'!$G60="tutar_farki",'ESLESTIRME'!$A60,""))</f>
        <v/>
      </c>
      <c r="B60" s="17">
        <f>IF($A60="","",IFERROR(SUMIF(tblMotor[A_Norm],$A60,tblMotor[NetKar]),0))</f>
        <v/>
      </c>
      <c r="C60" s="17">
        <f>IF($A60="","",IFERROR(SUMIF(tblMotor[A_Norm],$A60,tblMotor[BasabasFiyat]),0))</f>
        <v/>
      </c>
      <c r="D60" s="17">
        <f>IF($A60="","",IFERROR(INDEX(tblMotor[KararSatir],MATCH($A60,tblMotor[A_Norm],0)),""))</f>
        <v/>
      </c>
      <c r="E60" s="17">
        <f>IF($A60="","",IF($B60&lt;0,"YUKSEK","NORMAL"))</f>
        <v/>
      </c>
      <c r="F60" s="17">
        <f>IF($A60="","",_xlfn.TEXTJOIN(" ",TRUE,"Barkod",$A60,"karar",$D60,"net",TEXT($B60,"0.00"),"başabaş",TEXT($C60,"0.00"),"TL"))</f>
        <v/>
      </c>
    </row>
    <row r="61">
      <c r="A61" s="17">
        <f>IF('ESLESTIRME'!$A61="","",IF('ESLESTIRME'!$G61="tutar_farki",'ESLESTIRME'!$A61,""))</f>
        <v/>
      </c>
      <c r="B61" s="17">
        <f>IF($A61="","",IFERROR(SUMIF(tblMotor[A_Norm],$A61,tblMotor[NetKar]),0))</f>
        <v/>
      </c>
      <c r="C61" s="17">
        <f>IF($A61="","",IFERROR(SUMIF(tblMotor[A_Norm],$A61,tblMotor[BasabasFiyat]),0))</f>
        <v/>
      </c>
      <c r="D61" s="17">
        <f>IF($A61="","",IFERROR(INDEX(tblMotor[KararSatir],MATCH($A61,tblMotor[A_Norm],0)),""))</f>
        <v/>
      </c>
      <c r="E61" s="17">
        <f>IF($A61="","",IF($B61&lt;0,"YUKSEK","NORMAL"))</f>
        <v/>
      </c>
      <c r="F61" s="17">
        <f>IF($A61="","",_xlfn.TEXTJOIN(" ",TRUE,"Barkod",$A61,"karar",$D61,"net",TEXT($B61,"0.00"),"başabaş",TEXT($C61,"0.00"),"TL"))</f>
        <v/>
      </c>
    </row>
    <row r="62">
      <c r="A62" s="17">
        <f>IF('ESLESTIRME'!$A62="","",IF('ESLESTIRME'!$G62="tutar_farki",'ESLESTIRME'!$A62,""))</f>
        <v/>
      </c>
      <c r="B62" s="17">
        <f>IF($A62="","",IFERROR(SUMIF(tblMotor[A_Norm],$A62,tblMotor[NetKar]),0))</f>
        <v/>
      </c>
      <c r="C62" s="17">
        <f>IF($A62="","",IFERROR(SUMIF(tblMotor[A_Norm],$A62,tblMotor[BasabasFiyat]),0))</f>
        <v/>
      </c>
      <c r="D62" s="17">
        <f>IF($A62="","",IFERROR(INDEX(tblMotor[KararSatir],MATCH($A62,tblMotor[A_Norm],0)),""))</f>
        <v/>
      </c>
      <c r="E62" s="17">
        <f>IF($A62="","",IF($B62&lt;0,"YUKSEK","NORMAL"))</f>
        <v/>
      </c>
      <c r="F62" s="17">
        <f>IF($A62="","",_xlfn.TEXTJOIN(" ",TRUE,"Barkod",$A62,"karar",$D62,"net",TEXT($B62,"0.00"),"başabaş",TEXT($C62,"0.00"),"TL"))</f>
        <v/>
      </c>
    </row>
    <row r="63">
      <c r="A63" s="17">
        <f>IF('ESLESTIRME'!$A63="","",IF('ESLESTIRME'!$G63="tutar_farki",'ESLESTIRME'!$A63,""))</f>
        <v/>
      </c>
      <c r="B63" s="17">
        <f>IF($A63="","",IFERROR(SUMIF(tblMotor[A_Norm],$A63,tblMotor[NetKar]),0))</f>
        <v/>
      </c>
      <c r="C63" s="17">
        <f>IF($A63="","",IFERROR(SUMIF(tblMotor[A_Norm],$A63,tblMotor[BasabasFiyat]),0))</f>
        <v/>
      </c>
      <c r="D63" s="17">
        <f>IF($A63="","",IFERROR(INDEX(tblMotor[KararSatir],MATCH($A63,tblMotor[A_Norm],0)),""))</f>
        <v/>
      </c>
      <c r="E63" s="17">
        <f>IF($A63="","",IF($B63&lt;0,"YUKSEK","NORMAL"))</f>
        <v/>
      </c>
      <c r="F63" s="17">
        <f>IF($A63="","",_xlfn.TEXTJOIN(" ",TRUE,"Barkod",$A63,"karar",$D63,"net",TEXT($B63,"0.00"),"başabaş",TEXT($C63,"0.00"),"TL"))</f>
        <v/>
      </c>
    </row>
    <row r="64">
      <c r="A64" s="17">
        <f>IF('ESLESTIRME'!$A64="","",IF('ESLESTIRME'!$G64="tutar_farki",'ESLESTIRME'!$A64,""))</f>
        <v/>
      </c>
      <c r="B64" s="17">
        <f>IF($A64="","",IFERROR(SUMIF(tblMotor[A_Norm],$A64,tblMotor[NetKar]),0))</f>
        <v/>
      </c>
      <c r="C64" s="17">
        <f>IF($A64="","",IFERROR(SUMIF(tblMotor[A_Norm],$A64,tblMotor[BasabasFiyat]),0))</f>
        <v/>
      </c>
      <c r="D64" s="17">
        <f>IF($A64="","",IFERROR(INDEX(tblMotor[KararSatir],MATCH($A64,tblMotor[A_Norm],0)),""))</f>
        <v/>
      </c>
      <c r="E64" s="17">
        <f>IF($A64="","",IF($B64&lt;0,"YUKSEK","NORMAL"))</f>
        <v/>
      </c>
      <c r="F64" s="17">
        <f>IF($A64="","",_xlfn.TEXTJOIN(" ",TRUE,"Barkod",$A64,"karar",$D64,"net",TEXT($B64,"0.00"),"başabaş",TEXT($C64,"0.00"),"TL"))</f>
        <v/>
      </c>
    </row>
    <row r="65">
      <c r="A65" s="17">
        <f>IF('ESLESTIRME'!$A65="","",IF('ESLESTIRME'!$G65="tutar_farki",'ESLESTIRME'!$A65,""))</f>
        <v/>
      </c>
      <c r="B65" s="17">
        <f>IF($A65="","",IFERROR(SUMIF(tblMotor[A_Norm],$A65,tblMotor[NetKar]),0))</f>
        <v/>
      </c>
      <c r="C65" s="17">
        <f>IF($A65="","",IFERROR(SUMIF(tblMotor[A_Norm],$A65,tblMotor[BasabasFiyat]),0))</f>
        <v/>
      </c>
      <c r="D65" s="17">
        <f>IF($A65="","",IFERROR(INDEX(tblMotor[KararSatir],MATCH($A65,tblMotor[A_Norm],0)),""))</f>
        <v/>
      </c>
      <c r="E65" s="17">
        <f>IF($A65="","",IF($B65&lt;0,"YUKSEK","NORMAL"))</f>
        <v/>
      </c>
      <c r="F65" s="17">
        <f>IF($A65="","",_xlfn.TEXTJOIN(" ",TRUE,"Barkod",$A65,"karar",$D65,"net",TEXT($B65,"0.00"),"başabaş",TEXT($C65,"0.00"),"TL"))</f>
        <v/>
      </c>
    </row>
    <row r="66">
      <c r="A66" s="17">
        <f>IF('ESLESTIRME'!$A66="","",IF('ESLESTIRME'!$G66="tutar_farki",'ESLESTIRME'!$A66,""))</f>
        <v/>
      </c>
      <c r="B66" s="17">
        <f>IF($A66="","",IFERROR(SUMIF(tblMotor[A_Norm],$A66,tblMotor[NetKar]),0))</f>
        <v/>
      </c>
      <c r="C66" s="17">
        <f>IF($A66="","",IFERROR(SUMIF(tblMotor[A_Norm],$A66,tblMotor[BasabasFiyat]),0))</f>
        <v/>
      </c>
      <c r="D66" s="17">
        <f>IF($A66="","",IFERROR(INDEX(tblMotor[KararSatir],MATCH($A66,tblMotor[A_Norm],0)),""))</f>
        <v/>
      </c>
      <c r="E66" s="17">
        <f>IF($A66="","",IF($B66&lt;0,"YUKSEK","NORMAL"))</f>
        <v/>
      </c>
      <c r="F66" s="17">
        <f>IF($A66="","",_xlfn.TEXTJOIN(" ",TRUE,"Barkod",$A66,"karar",$D66,"net",TEXT($B66,"0.00"),"başabaş",TEXT($C66,"0.00"),"TL"))</f>
        <v/>
      </c>
    </row>
    <row r="67">
      <c r="A67" s="17">
        <f>IF('ESLESTIRME'!$A67="","",IF('ESLESTIRME'!$G67="tutar_farki",'ESLESTIRME'!$A67,""))</f>
        <v/>
      </c>
      <c r="B67" s="17">
        <f>IF($A67="","",IFERROR(SUMIF(tblMotor[A_Norm],$A67,tblMotor[NetKar]),0))</f>
        <v/>
      </c>
      <c r="C67" s="17">
        <f>IF($A67="","",IFERROR(SUMIF(tblMotor[A_Norm],$A67,tblMotor[BasabasFiyat]),0))</f>
        <v/>
      </c>
      <c r="D67" s="17">
        <f>IF($A67="","",IFERROR(INDEX(tblMotor[KararSatir],MATCH($A67,tblMotor[A_Norm],0)),""))</f>
        <v/>
      </c>
      <c r="E67" s="17">
        <f>IF($A67="","",IF($B67&lt;0,"YUKSEK","NORMAL"))</f>
        <v/>
      </c>
      <c r="F67" s="17">
        <f>IF($A67="","",_xlfn.TEXTJOIN(" ",TRUE,"Barkod",$A67,"karar",$D67,"net",TEXT($B67,"0.00"),"başabaş",TEXT($C67,"0.00"),"TL"))</f>
        <v/>
      </c>
    </row>
    <row r="68">
      <c r="A68" s="17">
        <f>IF('ESLESTIRME'!$A68="","",IF('ESLESTIRME'!$G68="tutar_farki",'ESLESTIRME'!$A68,""))</f>
        <v/>
      </c>
      <c r="B68" s="17">
        <f>IF($A68="","",IFERROR(SUMIF(tblMotor[A_Norm],$A68,tblMotor[NetKar]),0))</f>
        <v/>
      </c>
      <c r="C68" s="17">
        <f>IF($A68="","",IFERROR(SUMIF(tblMotor[A_Norm],$A68,tblMotor[BasabasFiyat]),0))</f>
        <v/>
      </c>
      <c r="D68" s="17">
        <f>IF($A68="","",IFERROR(INDEX(tblMotor[KararSatir],MATCH($A68,tblMotor[A_Norm],0)),""))</f>
        <v/>
      </c>
      <c r="E68" s="17">
        <f>IF($A68="","",IF($B68&lt;0,"YUKSEK","NORMAL"))</f>
        <v/>
      </c>
      <c r="F68" s="17">
        <f>IF($A68="","",_xlfn.TEXTJOIN(" ",TRUE,"Barkod",$A68,"karar",$D68,"net",TEXT($B68,"0.00"),"başabaş",TEXT($C68,"0.00"),"TL"))</f>
        <v/>
      </c>
    </row>
    <row r="69">
      <c r="A69" s="17">
        <f>IF('ESLESTIRME'!$A69="","",IF('ESLESTIRME'!$G69="tutar_farki",'ESLESTIRME'!$A69,""))</f>
        <v/>
      </c>
      <c r="B69" s="17">
        <f>IF($A69="","",IFERROR(SUMIF(tblMotor[A_Norm],$A69,tblMotor[NetKar]),0))</f>
        <v/>
      </c>
      <c r="C69" s="17">
        <f>IF($A69="","",IFERROR(SUMIF(tblMotor[A_Norm],$A69,tblMotor[BasabasFiyat]),0))</f>
        <v/>
      </c>
      <c r="D69" s="17">
        <f>IF($A69="","",IFERROR(INDEX(tblMotor[KararSatir],MATCH($A69,tblMotor[A_Norm],0)),""))</f>
        <v/>
      </c>
      <c r="E69" s="17">
        <f>IF($A69="","",IF($B69&lt;0,"YUKSEK","NORMAL"))</f>
        <v/>
      </c>
      <c r="F69" s="17">
        <f>IF($A69="","",_xlfn.TEXTJOIN(" ",TRUE,"Barkod",$A69,"karar",$D69,"net",TEXT($B69,"0.00"),"başabaş",TEXT($C69,"0.00"),"TL"))</f>
        <v/>
      </c>
    </row>
    <row r="70">
      <c r="A70" s="17">
        <f>IF('ESLESTIRME'!$A70="","",IF('ESLESTIRME'!$G70="tutar_farki",'ESLESTIRME'!$A70,""))</f>
        <v/>
      </c>
      <c r="B70" s="17">
        <f>IF($A70="","",IFERROR(SUMIF(tblMotor[A_Norm],$A70,tblMotor[NetKar]),0))</f>
        <v/>
      </c>
      <c r="C70" s="17">
        <f>IF($A70="","",IFERROR(SUMIF(tblMotor[A_Norm],$A70,tblMotor[BasabasFiyat]),0))</f>
        <v/>
      </c>
      <c r="D70" s="17">
        <f>IF($A70="","",IFERROR(INDEX(tblMotor[KararSatir],MATCH($A70,tblMotor[A_Norm],0)),""))</f>
        <v/>
      </c>
      <c r="E70" s="17">
        <f>IF($A70="","",IF($B70&lt;0,"YUKSEK","NORMAL"))</f>
        <v/>
      </c>
      <c r="F70" s="17">
        <f>IF($A70="","",_xlfn.TEXTJOIN(" ",TRUE,"Barkod",$A70,"karar",$D70,"net",TEXT($B70,"0.00"),"başabaş",TEXT($C70,"0.00"),"TL"))</f>
        <v/>
      </c>
    </row>
    <row r="71">
      <c r="A71" s="17">
        <f>IF('ESLESTIRME'!$A71="","",IF('ESLESTIRME'!$G71="tutar_farki",'ESLESTIRME'!$A71,""))</f>
        <v/>
      </c>
      <c r="B71" s="17">
        <f>IF($A71="","",IFERROR(SUMIF(tblMotor[A_Norm],$A71,tblMotor[NetKar]),0))</f>
        <v/>
      </c>
      <c r="C71" s="17">
        <f>IF($A71="","",IFERROR(SUMIF(tblMotor[A_Norm],$A71,tblMotor[BasabasFiyat]),0))</f>
        <v/>
      </c>
      <c r="D71" s="17">
        <f>IF($A71="","",IFERROR(INDEX(tblMotor[KararSatir],MATCH($A71,tblMotor[A_Norm],0)),""))</f>
        <v/>
      </c>
      <c r="E71" s="17">
        <f>IF($A71="","",IF($B71&lt;0,"YUKSEK","NORMAL"))</f>
        <v/>
      </c>
      <c r="F71" s="17">
        <f>IF($A71="","",_xlfn.TEXTJOIN(" ",TRUE,"Barkod",$A71,"karar",$D71,"net",TEXT($B71,"0.00"),"başabaş",TEXT($C71,"0.00"),"TL"))</f>
        <v/>
      </c>
    </row>
    <row r="72">
      <c r="A72" s="17">
        <f>IF('ESLESTIRME'!$A72="","",IF('ESLESTIRME'!$G72="tutar_farki",'ESLESTIRME'!$A72,""))</f>
        <v/>
      </c>
      <c r="B72" s="17">
        <f>IF($A72="","",IFERROR(SUMIF(tblMotor[A_Norm],$A72,tblMotor[NetKar]),0))</f>
        <v/>
      </c>
      <c r="C72" s="17">
        <f>IF($A72="","",IFERROR(SUMIF(tblMotor[A_Norm],$A72,tblMotor[BasabasFiyat]),0))</f>
        <v/>
      </c>
      <c r="D72" s="17">
        <f>IF($A72="","",IFERROR(INDEX(tblMotor[KararSatir],MATCH($A72,tblMotor[A_Norm],0)),""))</f>
        <v/>
      </c>
      <c r="E72" s="17">
        <f>IF($A72="","",IF($B72&lt;0,"YUKSEK","NORMAL"))</f>
        <v/>
      </c>
      <c r="F72" s="17">
        <f>IF($A72="","",_xlfn.TEXTJOIN(" ",TRUE,"Barkod",$A72,"karar",$D72,"net",TEXT($B72,"0.00"),"başabaş",TEXT($C72,"0.00"),"TL"))</f>
        <v/>
      </c>
    </row>
    <row r="73">
      <c r="A73" s="17">
        <f>IF('ESLESTIRME'!$A73="","",IF('ESLESTIRME'!$G73="tutar_farki",'ESLESTIRME'!$A73,""))</f>
        <v/>
      </c>
      <c r="B73" s="17">
        <f>IF($A73="","",IFERROR(SUMIF(tblMotor[A_Norm],$A73,tblMotor[NetKar]),0))</f>
        <v/>
      </c>
      <c r="C73" s="17">
        <f>IF($A73="","",IFERROR(SUMIF(tblMotor[A_Norm],$A73,tblMotor[BasabasFiyat]),0))</f>
        <v/>
      </c>
      <c r="D73" s="17">
        <f>IF($A73="","",IFERROR(INDEX(tblMotor[KararSatir],MATCH($A73,tblMotor[A_Norm],0)),""))</f>
        <v/>
      </c>
      <c r="E73" s="17">
        <f>IF($A73="","",IF($B73&lt;0,"YUKSEK","NORMAL"))</f>
        <v/>
      </c>
      <c r="F73" s="17">
        <f>IF($A73="","",_xlfn.TEXTJOIN(" ",TRUE,"Barkod",$A73,"karar",$D73,"net",TEXT($B73,"0.00"),"başabaş",TEXT($C73,"0.00"),"TL"))</f>
        <v/>
      </c>
    </row>
    <row r="74">
      <c r="A74" s="17">
        <f>IF('ESLESTIRME'!$A74="","",IF('ESLESTIRME'!$G74="tutar_farki",'ESLESTIRME'!$A74,""))</f>
        <v/>
      </c>
      <c r="B74" s="17">
        <f>IF($A74="","",IFERROR(SUMIF(tblMotor[A_Norm],$A74,tblMotor[NetKar]),0))</f>
        <v/>
      </c>
      <c r="C74" s="17">
        <f>IF($A74="","",IFERROR(SUMIF(tblMotor[A_Norm],$A74,tblMotor[BasabasFiyat]),0))</f>
        <v/>
      </c>
      <c r="D74" s="17">
        <f>IF($A74="","",IFERROR(INDEX(tblMotor[KararSatir],MATCH($A74,tblMotor[A_Norm],0)),""))</f>
        <v/>
      </c>
      <c r="E74" s="17">
        <f>IF($A74="","",IF($B74&lt;0,"YUKSEK","NORMAL"))</f>
        <v/>
      </c>
      <c r="F74" s="17">
        <f>IF($A74="","",_xlfn.TEXTJOIN(" ",TRUE,"Barkod",$A74,"karar",$D74,"net",TEXT($B74,"0.00"),"başabaş",TEXT($C74,"0.00"),"TL"))</f>
        <v/>
      </c>
    </row>
    <row r="75">
      <c r="A75" s="17">
        <f>IF('ESLESTIRME'!$A75="","",IF('ESLESTIRME'!$G75="tutar_farki",'ESLESTIRME'!$A75,""))</f>
        <v/>
      </c>
      <c r="B75" s="17">
        <f>IF($A75="","",IFERROR(SUMIF(tblMotor[A_Norm],$A75,tblMotor[NetKar]),0))</f>
        <v/>
      </c>
      <c r="C75" s="17">
        <f>IF($A75="","",IFERROR(SUMIF(tblMotor[A_Norm],$A75,tblMotor[BasabasFiyat]),0))</f>
        <v/>
      </c>
      <c r="D75" s="17">
        <f>IF($A75="","",IFERROR(INDEX(tblMotor[KararSatir],MATCH($A75,tblMotor[A_Norm],0)),""))</f>
        <v/>
      </c>
      <c r="E75" s="17">
        <f>IF($A75="","",IF($B75&lt;0,"YUKSEK","NORMAL"))</f>
        <v/>
      </c>
      <c r="F75" s="17">
        <f>IF($A75="","",_xlfn.TEXTJOIN(" ",TRUE,"Barkod",$A75,"karar",$D75,"net",TEXT($B75,"0.00"),"başabaş",TEXT($C75,"0.00"),"TL"))</f>
        <v/>
      </c>
    </row>
    <row r="76">
      <c r="A76" s="17">
        <f>IF('ESLESTIRME'!$A76="","",IF('ESLESTIRME'!$G76="tutar_farki",'ESLESTIRME'!$A76,""))</f>
        <v/>
      </c>
      <c r="B76" s="17">
        <f>IF($A76="","",IFERROR(SUMIF(tblMotor[A_Norm],$A76,tblMotor[NetKar]),0))</f>
        <v/>
      </c>
      <c r="C76" s="17">
        <f>IF($A76="","",IFERROR(SUMIF(tblMotor[A_Norm],$A76,tblMotor[BasabasFiyat]),0))</f>
        <v/>
      </c>
      <c r="D76" s="17">
        <f>IF($A76="","",IFERROR(INDEX(tblMotor[KararSatir],MATCH($A76,tblMotor[A_Norm],0)),""))</f>
        <v/>
      </c>
      <c r="E76" s="17">
        <f>IF($A76="","",IF($B76&lt;0,"YUKSEK","NORMAL"))</f>
        <v/>
      </c>
      <c r="F76" s="17">
        <f>IF($A76="","",_xlfn.TEXTJOIN(" ",TRUE,"Barkod",$A76,"karar",$D76,"net",TEXT($B76,"0.00"),"başabaş",TEXT($C76,"0.00"),"TL"))</f>
        <v/>
      </c>
    </row>
    <row r="77">
      <c r="A77" s="17">
        <f>IF('ESLESTIRME'!$A77="","",IF('ESLESTIRME'!$G77="tutar_farki",'ESLESTIRME'!$A77,""))</f>
        <v/>
      </c>
      <c r="B77" s="17">
        <f>IF($A77="","",IFERROR(SUMIF(tblMotor[A_Norm],$A77,tblMotor[NetKar]),0))</f>
        <v/>
      </c>
      <c r="C77" s="17">
        <f>IF($A77="","",IFERROR(SUMIF(tblMotor[A_Norm],$A77,tblMotor[BasabasFiyat]),0))</f>
        <v/>
      </c>
      <c r="D77" s="17">
        <f>IF($A77="","",IFERROR(INDEX(tblMotor[KararSatir],MATCH($A77,tblMotor[A_Norm],0)),""))</f>
        <v/>
      </c>
      <c r="E77" s="17">
        <f>IF($A77="","",IF($B77&lt;0,"YUKSEK","NORMAL"))</f>
        <v/>
      </c>
      <c r="F77" s="17">
        <f>IF($A77="","",_xlfn.TEXTJOIN(" ",TRUE,"Barkod",$A77,"karar",$D77,"net",TEXT($B77,"0.00"),"başabaş",TEXT($C77,"0.00"),"TL"))</f>
        <v/>
      </c>
    </row>
    <row r="78">
      <c r="A78" s="17">
        <f>IF('ESLESTIRME'!$A78="","",IF('ESLESTIRME'!$G78="tutar_farki",'ESLESTIRME'!$A78,""))</f>
        <v/>
      </c>
      <c r="B78" s="17">
        <f>IF($A78="","",IFERROR(SUMIF(tblMotor[A_Norm],$A78,tblMotor[NetKar]),0))</f>
        <v/>
      </c>
      <c r="C78" s="17">
        <f>IF($A78="","",IFERROR(SUMIF(tblMotor[A_Norm],$A78,tblMotor[BasabasFiyat]),0))</f>
        <v/>
      </c>
      <c r="D78" s="17">
        <f>IF($A78="","",IFERROR(INDEX(tblMotor[KararSatir],MATCH($A78,tblMotor[A_Norm],0)),""))</f>
        <v/>
      </c>
      <c r="E78" s="17">
        <f>IF($A78="","",IF($B78&lt;0,"YUKSEK","NORMAL"))</f>
        <v/>
      </c>
      <c r="F78" s="17">
        <f>IF($A78="","",_xlfn.TEXTJOIN(" ",TRUE,"Barkod",$A78,"karar",$D78,"net",TEXT($B78,"0.00"),"başabaş",TEXT($C78,"0.00"),"TL"))</f>
        <v/>
      </c>
    </row>
    <row r="79">
      <c r="A79" s="17">
        <f>IF('ESLESTIRME'!$A79="","",IF('ESLESTIRME'!$G79="tutar_farki",'ESLESTIRME'!$A79,""))</f>
        <v/>
      </c>
      <c r="B79" s="17">
        <f>IF($A79="","",IFERROR(SUMIF(tblMotor[A_Norm],$A79,tblMotor[NetKar]),0))</f>
        <v/>
      </c>
      <c r="C79" s="17">
        <f>IF($A79="","",IFERROR(SUMIF(tblMotor[A_Norm],$A79,tblMotor[BasabasFiyat]),0))</f>
        <v/>
      </c>
      <c r="D79" s="17">
        <f>IF($A79="","",IFERROR(INDEX(tblMotor[KararSatir],MATCH($A79,tblMotor[A_Norm],0)),""))</f>
        <v/>
      </c>
      <c r="E79" s="17">
        <f>IF($A79="","",IF($B79&lt;0,"YUKSEK","NORMAL"))</f>
        <v/>
      </c>
      <c r="F79" s="17">
        <f>IF($A79="","",_xlfn.TEXTJOIN(" ",TRUE,"Barkod",$A79,"karar",$D79,"net",TEXT($B79,"0.00"),"başabaş",TEXT($C79,"0.00"),"TL"))</f>
        <v/>
      </c>
    </row>
    <row r="80">
      <c r="A80" s="17">
        <f>IF('ESLESTIRME'!$A80="","",IF('ESLESTIRME'!$G80="tutar_farki",'ESLESTIRME'!$A80,""))</f>
        <v/>
      </c>
      <c r="B80" s="17">
        <f>IF($A80="","",IFERROR(SUMIF(tblMotor[A_Norm],$A80,tblMotor[NetKar]),0))</f>
        <v/>
      </c>
      <c r="C80" s="17">
        <f>IF($A80="","",IFERROR(SUMIF(tblMotor[A_Norm],$A80,tblMotor[BasabasFiyat]),0))</f>
        <v/>
      </c>
      <c r="D80" s="17">
        <f>IF($A80="","",IFERROR(INDEX(tblMotor[KararSatir],MATCH($A80,tblMotor[A_Norm],0)),""))</f>
        <v/>
      </c>
      <c r="E80" s="17">
        <f>IF($A80="","",IF($B80&lt;0,"YUKSEK","NORMAL"))</f>
        <v/>
      </c>
      <c r="F80" s="17">
        <f>IF($A80="","",_xlfn.TEXTJOIN(" ",TRUE,"Barkod",$A80,"karar",$D80,"net",TEXT($B80,"0.00"),"başabaş",TEXT($C80,"0.00"),"TL"))</f>
        <v/>
      </c>
    </row>
    <row r="81">
      <c r="A81" s="17">
        <f>IF('ESLESTIRME'!$A81="","",IF('ESLESTIRME'!$G81="tutar_farki",'ESLESTIRME'!$A81,""))</f>
        <v/>
      </c>
      <c r="B81" s="17">
        <f>IF($A81="","",IFERROR(SUMIF(tblMotor[A_Norm],$A81,tblMotor[NetKar]),0))</f>
        <v/>
      </c>
      <c r="C81" s="17">
        <f>IF($A81="","",IFERROR(SUMIF(tblMotor[A_Norm],$A81,tblMotor[BasabasFiyat]),0))</f>
        <v/>
      </c>
      <c r="D81" s="17">
        <f>IF($A81="","",IFERROR(INDEX(tblMotor[KararSatir],MATCH($A81,tblMotor[A_Norm],0)),""))</f>
        <v/>
      </c>
      <c r="E81" s="17">
        <f>IF($A81="","",IF($B81&lt;0,"YUKSEK","NORMAL"))</f>
        <v/>
      </c>
      <c r="F81" s="17">
        <f>IF($A81="","",_xlfn.TEXTJOIN(" ",TRUE,"Barkod",$A81,"karar",$D81,"net",TEXT($B81,"0.00"),"başabaş",TEXT($C81,"0.00"),"TL"))</f>
        <v/>
      </c>
    </row>
    <row r="82">
      <c r="A82" s="17">
        <f>IF('ESLESTIRME'!$A82="","",IF('ESLESTIRME'!$G82="tutar_farki",'ESLESTIRME'!$A82,""))</f>
        <v/>
      </c>
      <c r="B82" s="17">
        <f>IF($A82="","",IFERROR(SUMIF(tblMotor[A_Norm],$A82,tblMotor[NetKar]),0))</f>
        <v/>
      </c>
      <c r="C82" s="17">
        <f>IF($A82="","",IFERROR(SUMIF(tblMotor[A_Norm],$A82,tblMotor[BasabasFiyat]),0))</f>
        <v/>
      </c>
      <c r="D82" s="17">
        <f>IF($A82="","",IFERROR(INDEX(tblMotor[KararSatir],MATCH($A82,tblMotor[A_Norm],0)),""))</f>
        <v/>
      </c>
      <c r="E82" s="17">
        <f>IF($A82="","",IF($B82&lt;0,"YUKSEK","NORMAL"))</f>
        <v/>
      </c>
      <c r="F82" s="17">
        <f>IF($A82="","",_xlfn.TEXTJOIN(" ",TRUE,"Barkod",$A82,"karar",$D82,"net",TEXT($B82,"0.00"),"başabaş",TEXT($C82,"0.00"),"TL"))</f>
        <v/>
      </c>
    </row>
    <row r="83">
      <c r="A83" s="17">
        <f>IF('ESLESTIRME'!$A83="","",IF('ESLESTIRME'!$G83="tutar_farki",'ESLESTIRME'!$A83,""))</f>
        <v/>
      </c>
      <c r="B83" s="17">
        <f>IF($A83="","",IFERROR(SUMIF(tblMotor[A_Norm],$A83,tblMotor[NetKar]),0))</f>
        <v/>
      </c>
      <c r="C83" s="17">
        <f>IF($A83="","",IFERROR(SUMIF(tblMotor[A_Norm],$A83,tblMotor[BasabasFiyat]),0))</f>
        <v/>
      </c>
      <c r="D83" s="17">
        <f>IF($A83="","",IFERROR(INDEX(tblMotor[KararSatir],MATCH($A83,tblMotor[A_Norm],0)),""))</f>
        <v/>
      </c>
      <c r="E83" s="17">
        <f>IF($A83="","",IF($B83&lt;0,"YUKSEK","NORMAL"))</f>
        <v/>
      </c>
      <c r="F83" s="17">
        <f>IF($A83="","",_xlfn.TEXTJOIN(" ",TRUE,"Barkod",$A83,"karar",$D83,"net",TEXT($B83,"0.00"),"başabaş",TEXT($C83,"0.00"),"TL"))</f>
        <v/>
      </c>
    </row>
    <row r="84">
      <c r="A84" s="17">
        <f>IF('ESLESTIRME'!$A84="","",IF('ESLESTIRME'!$G84="tutar_farki",'ESLESTIRME'!$A84,""))</f>
        <v/>
      </c>
      <c r="B84" s="17">
        <f>IF($A84="","",IFERROR(SUMIF(tblMotor[A_Norm],$A84,tblMotor[NetKar]),0))</f>
        <v/>
      </c>
      <c r="C84" s="17">
        <f>IF($A84="","",IFERROR(SUMIF(tblMotor[A_Norm],$A84,tblMotor[BasabasFiyat]),0))</f>
        <v/>
      </c>
      <c r="D84" s="17">
        <f>IF($A84="","",IFERROR(INDEX(tblMotor[KararSatir],MATCH($A84,tblMotor[A_Norm],0)),""))</f>
        <v/>
      </c>
      <c r="E84" s="17">
        <f>IF($A84="","",IF($B84&lt;0,"YUKSEK","NORMAL"))</f>
        <v/>
      </c>
      <c r="F84" s="17">
        <f>IF($A84="","",_xlfn.TEXTJOIN(" ",TRUE,"Barkod",$A84,"karar",$D84,"net",TEXT($B84,"0.00"),"başabaş",TEXT($C84,"0.00"),"TL"))</f>
        <v/>
      </c>
    </row>
    <row r="85">
      <c r="A85" s="17">
        <f>IF('ESLESTIRME'!$A85="","",IF('ESLESTIRME'!$G85="tutar_farki",'ESLESTIRME'!$A85,""))</f>
        <v/>
      </c>
      <c r="B85" s="17">
        <f>IF($A85="","",IFERROR(SUMIF(tblMotor[A_Norm],$A85,tblMotor[NetKar]),0))</f>
        <v/>
      </c>
      <c r="C85" s="17">
        <f>IF($A85="","",IFERROR(SUMIF(tblMotor[A_Norm],$A85,tblMotor[BasabasFiyat]),0))</f>
        <v/>
      </c>
      <c r="D85" s="17">
        <f>IF($A85="","",IFERROR(INDEX(tblMotor[KararSatir],MATCH($A85,tblMotor[A_Norm],0)),""))</f>
        <v/>
      </c>
      <c r="E85" s="17">
        <f>IF($A85="","",IF($B85&lt;0,"YUKSEK","NORMAL"))</f>
        <v/>
      </c>
      <c r="F85" s="17">
        <f>IF($A85="","",_xlfn.TEXTJOIN(" ",TRUE,"Barkod",$A85,"karar",$D85,"net",TEXT($B85,"0.00"),"başabaş",TEXT($C85,"0.00"),"TL"))</f>
        <v/>
      </c>
    </row>
    <row r="86">
      <c r="A86" s="17">
        <f>IF('ESLESTIRME'!$A86="","",IF('ESLESTIRME'!$G86="tutar_farki",'ESLESTIRME'!$A86,""))</f>
        <v/>
      </c>
      <c r="B86" s="17">
        <f>IF($A86="","",IFERROR(SUMIF(tblMotor[A_Norm],$A86,tblMotor[NetKar]),0))</f>
        <v/>
      </c>
      <c r="C86" s="17">
        <f>IF($A86="","",IFERROR(SUMIF(tblMotor[A_Norm],$A86,tblMotor[BasabasFiyat]),0))</f>
        <v/>
      </c>
      <c r="D86" s="17">
        <f>IF($A86="","",IFERROR(INDEX(tblMotor[KararSatir],MATCH($A86,tblMotor[A_Norm],0)),""))</f>
        <v/>
      </c>
      <c r="E86" s="17">
        <f>IF($A86="","",IF($B86&lt;0,"YUKSEK","NORMAL"))</f>
        <v/>
      </c>
      <c r="F86" s="17">
        <f>IF($A86="","",_xlfn.TEXTJOIN(" ",TRUE,"Barkod",$A86,"karar",$D86,"net",TEXT($B86,"0.00"),"başabaş",TEXT($C86,"0.00"),"TL"))</f>
        <v/>
      </c>
    </row>
    <row r="87">
      <c r="A87" s="17">
        <f>IF('ESLESTIRME'!$A87="","",IF('ESLESTIRME'!$G87="tutar_farki",'ESLESTIRME'!$A87,""))</f>
        <v/>
      </c>
      <c r="B87" s="17">
        <f>IF($A87="","",IFERROR(SUMIF(tblMotor[A_Norm],$A87,tblMotor[NetKar]),0))</f>
        <v/>
      </c>
      <c r="C87" s="17">
        <f>IF($A87="","",IFERROR(SUMIF(tblMotor[A_Norm],$A87,tblMotor[BasabasFiyat]),0))</f>
        <v/>
      </c>
      <c r="D87" s="17">
        <f>IF($A87="","",IFERROR(INDEX(tblMotor[KararSatir],MATCH($A87,tblMotor[A_Norm],0)),""))</f>
        <v/>
      </c>
      <c r="E87" s="17">
        <f>IF($A87="","",IF($B87&lt;0,"YUKSEK","NORMAL"))</f>
        <v/>
      </c>
      <c r="F87" s="17">
        <f>IF($A87="","",_xlfn.TEXTJOIN(" ",TRUE,"Barkod",$A87,"karar",$D87,"net",TEXT($B87,"0.00"),"başabaş",TEXT($C87,"0.00"),"TL"))</f>
        <v/>
      </c>
    </row>
    <row r="88">
      <c r="A88" s="17">
        <f>IF('ESLESTIRME'!$A88="","",IF('ESLESTIRME'!$G88="tutar_farki",'ESLESTIRME'!$A88,""))</f>
        <v/>
      </c>
      <c r="B88" s="17">
        <f>IF($A88="","",IFERROR(SUMIF(tblMotor[A_Norm],$A88,tblMotor[NetKar]),0))</f>
        <v/>
      </c>
      <c r="C88" s="17">
        <f>IF($A88="","",IFERROR(SUMIF(tblMotor[A_Norm],$A88,tblMotor[BasabasFiyat]),0))</f>
        <v/>
      </c>
      <c r="D88" s="17">
        <f>IF($A88="","",IFERROR(INDEX(tblMotor[KararSatir],MATCH($A88,tblMotor[A_Norm],0)),""))</f>
        <v/>
      </c>
      <c r="E88" s="17">
        <f>IF($A88="","",IF($B88&lt;0,"YUKSEK","NORMAL"))</f>
        <v/>
      </c>
      <c r="F88" s="17">
        <f>IF($A88="","",_xlfn.TEXTJOIN(" ",TRUE,"Barkod",$A88,"karar",$D88,"net",TEXT($B88,"0.00"),"başabaş",TEXT($C88,"0.00"),"TL"))</f>
        <v/>
      </c>
    </row>
    <row r="89">
      <c r="A89" s="17">
        <f>IF('ESLESTIRME'!$A89="","",IF('ESLESTIRME'!$G89="tutar_farki",'ESLESTIRME'!$A89,""))</f>
        <v/>
      </c>
      <c r="B89" s="17">
        <f>IF($A89="","",IFERROR(SUMIF(tblMotor[A_Norm],$A89,tblMotor[NetKar]),0))</f>
        <v/>
      </c>
      <c r="C89" s="17">
        <f>IF($A89="","",IFERROR(SUMIF(tblMotor[A_Norm],$A89,tblMotor[BasabasFiyat]),0))</f>
        <v/>
      </c>
      <c r="D89" s="17">
        <f>IF($A89="","",IFERROR(INDEX(tblMotor[KararSatir],MATCH($A89,tblMotor[A_Norm],0)),""))</f>
        <v/>
      </c>
      <c r="E89" s="17">
        <f>IF($A89="","",IF($B89&lt;0,"YUKSEK","NORMAL"))</f>
        <v/>
      </c>
      <c r="F89" s="17">
        <f>IF($A89="","",_xlfn.TEXTJOIN(" ",TRUE,"Barkod",$A89,"karar",$D89,"net",TEXT($B89,"0.00"),"başabaş",TEXT($C89,"0.00"),"TL"))</f>
        <v/>
      </c>
    </row>
    <row r="90">
      <c r="A90" s="17">
        <f>IF('ESLESTIRME'!$A90="","",IF('ESLESTIRME'!$G90="tutar_farki",'ESLESTIRME'!$A90,""))</f>
        <v/>
      </c>
      <c r="B90" s="17">
        <f>IF($A90="","",IFERROR(SUMIF(tblMotor[A_Norm],$A90,tblMotor[NetKar]),0))</f>
        <v/>
      </c>
      <c r="C90" s="17">
        <f>IF($A90="","",IFERROR(SUMIF(tblMotor[A_Norm],$A90,tblMotor[BasabasFiyat]),0))</f>
        <v/>
      </c>
      <c r="D90" s="17">
        <f>IF($A90="","",IFERROR(INDEX(tblMotor[KararSatir],MATCH($A90,tblMotor[A_Norm],0)),""))</f>
        <v/>
      </c>
      <c r="E90" s="17">
        <f>IF($A90="","",IF($B90&lt;0,"YUKSEK","NORMAL"))</f>
        <v/>
      </c>
      <c r="F90" s="17">
        <f>IF($A90="","",_xlfn.TEXTJOIN(" ",TRUE,"Barkod",$A90,"karar",$D90,"net",TEXT($B90,"0.00"),"başabaş",TEXT($C90,"0.00"),"TL"))</f>
        <v/>
      </c>
    </row>
    <row r="91">
      <c r="A91" s="17">
        <f>IF('ESLESTIRME'!$A91="","",IF('ESLESTIRME'!$G91="tutar_farki",'ESLESTIRME'!$A91,""))</f>
        <v/>
      </c>
      <c r="B91" s="17">
        <f>IF($A91="","",IFERROR(SUMIF(tblMotor[A_Norm],$A91,tblMotor[NetKar]),0))</f>
        <v/>
      </c>
      <c r="C91" s="17">
        <f>IF($A91="","",IFERROR(SUMIF(tblMotor[A_Norm],$A91,tblMotor[BasabasFiyat]),0))</f>
        <v/>
      </c>
      <c r="D91" s="17">
        <f>IF($A91="","",IFERROR(INDEX(tblMotor[KararSatir],MATCH($A91,tblMotor[A_Norm],0)),""))</f>
        <v/>
      </c>
      <c r="E91" s="17">
        <f>IF($A91="","",IF($B91&lt;0,"YUKSEK","NORMAL"))</f>
        <v/>
      </c>
      <c r="F91" s="17">
        <f>IF($A91="","",_xlfn.TEXTJOIN(" ",TRUE,"Barkod",$A91,"karar",$D91,"net",TEXT($B91,"0.00"),"başabaş",TEXT($C91,"0.00"),"TL"))</f>
        <v/>
      </c>
    </row>
    <row r="92">
      <c r="A92" s="17">
        <f>IF('ESLESTIRME'!$A92="","",IF('ESLESTIRME'!$G92="tutar_farki",'ESLESTIRME'!$A92,""))</f>
        <v/>
      </c>
      <c r="B92" s="17">
        <f>IF($A92="","",IFERROR(SUMIF(tblMotor[A_Norm],$A92,tblMotor[NetKar]),0))</f>
        <v/>
      </c>
      <c r="C92" s="17">
        <f>IF($A92="","",IFERROR(SUMIF(tblMotor[A_Norm],$A92,tblMotor[BasabasFiyat]),0))</f>
        <v/>
      </c>
      <c r="D92" s="17">
        <f>IF($A92="","",IFERROR(INDEX(tblMotor[KararSatir],MATCH($A92,tblMotor[A_Norm],0)),""))</f>
        <v/>
      </c>
      <c r="E92" s="17">
        <f>IF($A92="","",IF($B92&lt;0,"YUKSEK","NORMAL"))</f>
        <v/>
      </c>
      <c r="F92" s="17">
        <f>IF($A92="","",_xlfn.TEXTJOIN(" ",TRUE,"Barkod",$A92,"karar",$D92,"net",TEXT($B92,"0.00"),"başabaş",TEXT($C92,"0.00"),"TL"))</f>
        <v/>
      </c>
    </row>
    <row r="93">
      <c r="A93" s="17">
        <f>IF('ESLESTIRME'!$A93="","",IF('ESLESTIRME'!$G93="tutar_farki",'ESLESTIRME'!$A93,""))</f>
        <v/>
      </c>
      <c r="B93" s="17">
        <f>IF($A93="","",IFERROR(SUMIF(tblMotor[A_Norm],$A93,tblMotor[NetKar]),0))</f>
        <v/>
      </c>
      <c r="C93" s="17">
        <f>IF($A93="","",IFERROR(SUMIF(tblMotor[A_Norm],$A93,tblMotor[BasabasFiyat]),0))</f>
        <v/>
      </c>
      <c r="D93" s="17">
        <f>IF($A93="","",IFERROR(INDEX(tblMotor[KararSatir],MATCH($A93,tblMotor[A_Norm],0)),""))</f>
        <v/>
      </c>
      <c r="E93" s="17">
        <f>IF($A93="","",IF($B93&lt;0,"YUKSEK","NORMAL"))</f>
        <v/>
      </c>
      <c r="F93" s="17">
        <f>IF($A93="","",_xlfn.TEXTJOIN(" ",TRUE,"Barkod",$A93,"karar",$D93,"net",TEXT($B93,"0.00"),"başabaş",TEXT($C93,"0.00"),"TL"))</f>
        <v/>
      </c>
    </row>
    <row r="94">
      <c r="A94" s="17">
        <f>IF('ESLESTIRME'!$A94="","",IF('ESLESTIRME'!$G94="tutar_farki",'ESLESTIRME'!$A94,""))</f>
        <v/>
      </c>
      <c r="B94" s="17">
        <f>IF($A94="","",IFERROR(SUMIF(tblMotor[A_Norm],$A94,tblMotor[NetKar]),0))</f>
        <v/>
      </c>
      <c r="C94" s="17">
        <f>IF($A94="","",IFERROR(SUMIF(tblMotor[A_Norm],$A94,tblMotor[BasabasFiyat]),0))</f>
        <v/>
      </c>
      <c r="D94" s="17">
        <f>IF($A94="","",IFERROR(INDEX(tblMotor[KararSatir],MATCH($A94,tblMotor[A_Norm],0)),""))</f>
        <v/>
      </c>
      <c r="E94" s="17">
        <f>IF($A94="","",IF($B94&lt;0,"YUKSEK","NORMAL"))</f>
        <v/>
      </c>
      <c r="F94" s="17">
        <f>IF($A94="","",_xlfn.TEXTJOIN(" ",TRUE,"Barkod",$A94,"karar",$D94,"net",TEXT($B94,"0.00"),"başabaş",TEXT($C94,"0.00"),"TL"))</f>
        <v/>
      </c>
    </row>
    <row r="95">
      <c r="A95" s="17">
        <f>IF('ESLESTIRME'!$A95="","",IF('ESLESTIRME'!$G95="tutar_farki",'ESLESTIRME'!$A95,""))</f>
        <v/>
      </c>
      <c r="B95" s="17">
        <f>IF($A95="","",IFERROR(SUMIF(tblMotor[A_Norm],$A95,tblMotor[NetKar]),0))</f>
        <v/>
      </c>
      <c r="C95" s="17">
        <f>IF($A95="","",IFERROR(SUMIF(tblMotor[A_Norm],$A95,tblMotor[BasabasFiyat]),0))</f>
        <v/>
      </c>
      <c r="D95" s="17">
        <f>IF($A95="","",IFERROR(INDEX(tblMotor[KararSatir],MATCH($A95,tblMotor[A_Norm],0)),""))</f>
        <v/>
      </c>
      <c r="E95" s="17">
        <f>IF($A95="","",IF($B95&lt;0,"YUKSEK","NORMAL"))</f>
        <v/>
      </c>
      <c r="F95" s="17">
        <f>IF($A95="","",_xlfn.TEXTJOIN(" ",TRUE,"Barkod",$A95,"karar",$D95,"net",TEXT($B95,"0.00"),"başabaş",TEXT($C95,"0.00"),"TL"))</f>
        <v/>
      </c>
    </row>
    <row r="96">
      <c r="A96" s="17">
        <f>IF('ESLESTIRME'!$A96="","",IF('ESLESTIRME'!$G96="tutar_farki",'ESLESTIRME'!$A96,""))</f>
        <v/>
      </c>
      <c r="B96" s="17">
        <f>IF($A96="","",IFERROR(SUMIF(tblMotor[A_Norm],$A96,tblMotor[NetKar]),0))</f>
        <v/>
      </c>
      <c r="C96" s="17">
        <f>IF($A96="","",IFERROR(SUMIF(tblMotor[A_Norm],$A96,tblMotor[BasabasFiyat]),0))</f>
        <v/>
      </c>
      <c r="D96" s="17">
        <f>IF($A96="","",IFERROR(INDEX(tblMotor[KararSatir],MATCH($A96,tblMotor[A_Norm],0)),""))</f>
        <v/>
      </c>
      <c r="E96" s="17">
        <f>IF($A96="","",IF($B96&lt;0,"YUKSEK","NORMAL"))</f>
        <v/>
      </c>
      <c r="F96" s="17">
        <f>IF($A96="","",_xlfn.TEXTJOIN(" ",TRUE,"Barkod",$A96,"karar",$D96,"net",TEXT($B96,"0.00"),"başabaş",TEXT($C96,"0.00"),"TL"))</f>
        <v/>
      </c>
    </row>
    <row r="97">
      <c r="A97" s="17">
        <f>IF('ESLESTIRME'!$A97="","",IF('ESLESTIRME'!$G97="tutar_farki",'ESLESTIRME'!$A97,""))</f>
        <v/>
      </c>
      <c r="B97" s="17">
        <f>IF($A97="","",IFERROR(SUMIF(tblMotor[A_Norm],$A97,tblMotor[NetKar]),0))</f>
        <v/>
      </c>
      <c r="C97" s="17">
        <f>IF($A97="","",IFERROR(SUMIF(tblMotor[A_Norm],$A97,tblMotor[BasabasFiyat]),0))</f>
        <v/>
      </c>
      <c r="D97" s="17">
        <f>IF($A97="","",IFERROR(INDEX(tblMotor[KararSatir],MATCH($A97,tblMotor[A_Norm],0)),""))</f>
        <v/>
      </c>
      <c r="E97" s="17">
        <f>IF($A97="","",IF($B97&lt;0,"YUKSEK","NORMAL"))</f>
        <v/>
      </c>
      <c r="F97" s="17">
        <f>IF($A97="","",_xlfn.TEXTJOIN(" ",TRUE,"Barkod",$A97,"karar",$D97,"net",TEXT($B97,"0.00"),"başabaş",TEXT($C97,"0.00"),"TL"))</f>
        <v/>
      </c>
    </row>
    <row r="98">
      <c r="A98" s="17">
        <f>IF('ESLESTIRME'!$A98="","",IF('ESLESTIRME'!$G98="tutar_farki",'ESLESTIRME'!$A98,""))</f>
        <v/>
      </c>
      <c r="B98" s="17">
        <f>IF($A98="","",IFERROR(SUMIF(tblMotor[A_Norm],$A98,tblMotor[NetKar]),0))</f>
        <v/>
      </c>
      <c r="C98" s="17">
        <f>IF($A98="","",IFERROR(SUMIF(tblMotor[A_Norm],$A98,tblMotor[BasabasFiyat]),0))</f>
        <v/>
      </c>
      <c r="D98" s="17">
        <f>IF($A98="","",IFERROR(INDEX(tblMotor[KararSatir],MATCH($A98,tblMotor[A_Norm],0)),""))</f>
        <v/>
      </c>
      <c r="E98" s="17">
        <f>IF($A98="","",IF($B98&lt;0,"YUKSEK","NORMAL"))</f>
        <v/>
      </c>
      <c r="F98" s="17">
        <f>IF($A98="","",_xlfn.TEXTJOIN(" ",TRUE,"Barkod",$A98,"karar",$D98,"net",TEXT($B98,"0.00"),"başabaş",TEXT($C98,"0.00"),"TL"))</f>
        <v/>
      </c>
    </row>
    <row r="99">
      <c r="A99" s="17">
        <f>IF('ESLESTIRME'!$A99="","",IF('ESLESTIRME'!$G99="tutar_farki",'ESLESTIRME'!$A99,""))</f>
        <v/>
      </c>
      <c r="B99" s="17">
        <f>IF($A99="","",IFERROR(SUMIF(tblMotor[A_Norm],$A99,tblMotor[NetKar]),0))</f>
        <v/>
      </c>
      <c r="C99" s="17">
        <f>IF($A99="","",IFERROR(SUMIF(tblMotor[A_Norm],$A99,tblMotor[BasabasFiyat]),0))</f>
        <v/>
      </c>
      <c r="D99" s="17">
        <f>IF($A99="","",IFERROR(INDEX(tblMotor[KararSatir],MATCH($A99,tblMotor[A_Norm],0)),""))</f>
        <v/>
      </c>
      <c r="E99" s="17">
        <f>IF($A99="","",IF($B99&lt;0,"YUKSEK","NORMAL"))</f>
        <v/>
      </c>
      <c r="F99" s="17">
        <f>IF($A99="","",_xlfn.TEXTJOIN(" ",TRUE,"Barkod",$A99,"karar",$D99,"net",TEXT($B99,"0.00"),"başabaş",TEXT($C99,"0.00"),"TL"))</f>
        <v/>
      </c>
    </row>
    <row r="100">
      <c r="A100" s="17">
        <f>IF('ESLESTIRME'!$A100="","",IF('ESLESTIRME'!$G100="tutar_farki",'ESLESTIRME'!$A100,""))</f>
        <v/>
      </c>
      <c r="B100" s="17">
        <f>IF($A100="","",IFERROR(SUMIF(tblMotor[A_Norm],$A100,tblMotor[NetKar]),0))</f>
        <v/>
      </c>
      <c r="C100" s="17">
        <f>IF($A100="","",IFERROR(SUMIF(tblMotor[A_Norm],$A100,tblMotor[BasabasFiyat]),0))</f>
        <v/>
      </c>
      <c r="D100" s="17">
        <f>IF($A100="","",IFERROR(INDEX(tblMotor[KararSatir],MATCH($A100,tblMotor[A_Norm],0)),""))</f>
        <v/>
      </c>
      <c r="E100" s="17">
        <f>IF($A100="","",IF($B100&lt;0,"YUKSEK","NORMAL"))</f>
        <v/>
      </c>
      <c r="F100" s="17">
        <f>IF($A100="","",_xlfn.TEXTJOIN(" ",TRUE,"Barkod",$A100,"karar",$D100,"net",TEXT($B100,"0.00"),"başabaş",TEXT($C100,"0.00"),"TL"))</f>
        <v/>
      </c>
    </row>
    <row r="101">
      <c r="A101" s="17">
        <f>IF('ESLESTIRME'!$A101="","",IF('ESLESTIRME'!$G101="tutar_farki",'ESLESTIRME'!$A101,""))</f>
        <v/>
      </c>
      <c r="B101" s="17">
        <f>IF($A101="","",IFERROR(SUMIF(tblMotor[A_Norm],$A101,tblMotor[NetKar]),0))</f>
        <v/>
      </c>
      <c r="C101" s="17">
        <f>IF($A101="","",IFERROR(SUMIF(tblMotor[A_Norm],$A101,tblMotor[BasabasFiyat]),0))</f>
        <v/>
      </c>
      <c r="D101" s="17">
        <f>IF($A101="","",IFERROR(INDEX(tblMotor[KararSatir],MATCH($A101,tblMotor[A_Norm],0)),""))</f>
        <v/>
      </c>
      <c r="E101" s="17">
        <f>IF($A101="","",IF($B101&lt;0,"YUKSEK","NORMAL"))</f>
        <v/>
      </c>
      <c r="F101" s="17">
        <f>IF($A101="","",_xlfn.TEXTJOIN(" ",TRUE,"Barkod",$A101,"karar",$D101,"net",TEXT($B101,"0.00"),"başabaş",TEXT($C101,"0.00"),"TL"))</f>
        <v/>
      </c>
    </row>
    <row r="102">
      <c r="A102" s="17">
        <f>IF('ESLESTIRME'!$A102="","",IF('ESLESTIRME'!$G102="tutar_farki",'ESLESTIRME'!$A102,""))</f>
        <v/>
      </c>
      <c r="B102" s="17">
        <f>IF($A102="","",IFERROR(SUMIF(tblMotor[A_Norm],$A102,tblMotor[NetKar]),0))</f>
        <v/>
      </c>
      <c r="C102" s="17">
        <f>IF($A102="","",IFERROR(SUMIF(tblMotor[A_Norm],$A102,tblMotor[BasabasFiyat]),0))</f>
        <v/>
      </c>
      <c r="D102" s="17">
        <f>IF($A102="","",IFERROR(INDEX(tblMotor[KararSatir],MATCH($A102,tblMotor[A_Norm],0)),""))</f>
        <v/>
      </c>
      <c r="E102" s="17">
        <f>IF($A102="","",IF($B102&lt;0,"YUKSEK","NORMAL"))</f>
        <v/>
      </c>
      <c r="F102" s="17">
        <f>IF($A102="","",_xlfn.TEXTJOIN(" ",TRUE,"Barkod",$A102,"karar",$D102,"net",TEXT($B102,"0.00"),"başabaş",TEXT($C102,"0.00"),"TL"))</f>
        <v/>
      </c>
    </row>
    <row r="103">
      <c r="A103" s="17">
        <f>IF('ESLESTIRME'!$A103="","",IF('ESLESTIRME'!$G103="tutar_farki",'ESLESTIRME'!$A103,""))</f>
        <v/>
      </c>
      <c r="B103" s="17">
        <f>IF($A103="","",IFERROR(SUMIF(tblMotor[A_Norm],$A103,tblMotor[NetKar]),0))</f>
        <v/>
      </c>
      <c r="C103" s="17">
        <f>IF($A103="","",IFERROR(SUMIF(tblMotor[A_Norm],$A103,tblMotor[BasabasFiyat]),0))</f>
        <v/>
      </c>
      <c r="D103" s="17">
        <f>IF($A103="","",IFERROR(INDEX(tblMotor[KararSatir],MATCH($A103,tblMotor[A_Norm],0)),""))</f>
        <v/>
      </c>
      <c r="E103" s="17">
        <f>IF($A103="","",IF($B103&lt;0,"YUKSEK","NORMAL"))</f>
        <v/>
      </c>
      <c r="F103" s="17">
        <f>IF($A103="","",_xlfn.TEXTJOIN(" ",TRUE,"Barkod",$A103,"karar",$D103,"net",TEXT($B103,"0.00"),"başabaş",TEXT($C103,"0.00"),"TL"))</f>
        <v/>
      </c>
    </row>
    <row r="104">
      <c r="A104" s="17">
        <f>IF('ESLESTIRME'!$A104="","",IF('ESLESTIRME'!$G104="tutar_farki",'ESLESTIRME'!$A104,""))</f>
        <v/>
      </c>
      <c r="B104" s="17">
        <f>IF($A104="","",IFERROR(SUMIF(tblMotor[A_Norm],$A104,tblMotor[NetKar]),0))</f>
        <v/>
      </c>
      <c r="C104" s="17">
        <f>IF($A104="","",IFERROR(SUMIF(tblMotor[A_Norm],$A104,tblMotor[BasabasFiyat]),0))</f>
        <v/>
      </c>
      <c r="D104" s="17">
        <f>IF($A104="","",IFERROR(INDEX(tblMotor[KararSatir],MATCH($A104,tblMotor[A_Norm],0)),""))</f>
        <v/>
      </c>
      <c r="E104" s="17">
        <f>IF($A104="","",IF($B104&lt;0,"YUKSEK","NORMAL"))</f>
        <v/>
      </c>
      <c r="F104" s="17">
        <f>IF($A104="","",_xlfn.TEXTJOIN(" ",TRUE,"Barkod",$A104,"karar",$D104,"net",TEXT($B104,"0.00"),"başabaş",TEXT($C104,"0.00"),"TL"))</f>
        <v/>
      </c>
    </row>
    <row r="105">
      <c r="A105" s="17">
        <f>IF('ESLESTIRME'!$A105="","",IF('ESLESTIRME'!$G105="tutar_farki",'ESLESTIRME'!$A105,""))</f>
        <v/>
      </c>
      <c r="B105" s="17">
        <f>IF($A105="","",IFERROR(SUMIF(tblMotor[A_Norm],$A105,tblMotor[NetKar]),0))</f>
        <v/>
      </c>
      <c r="C105" s="17">
        <f>IF($A105="","",IFERROR(SUMIF(tblMotor[A_Norm],$A105,tblMotor[BasabasFiyat]),0))</f>
        <v/>
      </c>
      <c r="D105" s="17">
        <f>IF($A105="","",IFERROR(INDEX(tblMotor[KararSatir],MATCH($A105,tblMotor[A_Norm],0)),""))</f>
        <v/>
      </c>
      <c r="E105" s="17">
        <f>IF($A105="","",IF($B105&lt;0,"YUKSEK","NORMAL"))</f>
        <v/>
      </c>
      <c r="F105" s="17">
        <f>IF($A105="","",_xlfn.TEXTJOIN(" ",TRUE,"Barkod",$A105,"karar",$D105,"net",TEXT($B105,"0.00"),"başabaş",TEXT($C105,"0.00"),"TL"))</f>
        <v/>
      </c>
    </row>
    <row r="106">
      <c r="A106" s="17">
        <f>IF('ESLESTIRME'!$A106="","",IF('ESLESTIRME'!$G106="tutar_farki",'ESLESTIRME'!$A106,""))</f>
        <v/>
      </c>
      <c r="B106" s="17">
        <f>IF($A106="","",IFERROR(SUMIF(tblMotor[A_Norm],$A106,tblMotor[NetKar]),0))</f>
        <v/>
      </c>
      <c r="C106" s="17">
        <f>IF($A106="","",IFERROR(SUMIF(tblMotor[A_Norm],$A106,tblMotor[BasabasFiyat]),0))</f>
        <v/>
      </c>
      <c r="D106" s="17">
        <f>IF($A106="","",IFERROR(INDEX(tblMotor[KararSatir],MATCH($A106,tblMotor[A_Norm],0)),""))</f>
        <v/>
      </c>
      <c r="E106" s="17">
        <f>IF($A106="","",IF($B106&lt;0,"YUKSEK","NORMAL"))</f>
        <v/>
      </c>
      <c r="F106" s="17">
        <f>IF($A106="","",_xlfn.TEXTJOIN(" ",TRUE,"Barkod",$A106,"karar",$D106,"net",TEXT($B106,"0.00"),"başabaş",TEXT($C106,"0.00"),"TL"))</f>
        <v/>
      </c>
    </row>
    <row r="107">
      <c r="A107" s="17">
        <f>IF('ESLESTIRME'!$A107="","",IF('ESLESTIRME'!$G107="tutar_farki",'ESLESTIRME'!$A107,""))</f>
        <v/>
      </c>
      <c r="B107" s="17">
        <f>IF($A107="","",IFERROR(SUMIF(tblMotor[A_Norm],$A107,tblMotor[NetKar]),0))</f>
        <v/>
      </c>
      <c r="C107" s="17">
        <f>IF($A107="","",IFERROR(SUMIF(tblMotor[A_Norm],$A107,tblMotor[BasabasFiyat]),0))</f>
        <v/>
      </c>
      <c r="D107" s="17">
        <f>IF($A107="","",IFERROR(INDEX(tblMotor[KararSatir],MATCH($A107,tblMotor[A_Norm],0)),""))</f>
        <v/>
      </c>
      <c r="E107" s="17">
        <f>IF($A107="","",IF($B107&lt;0,"YUKSEK","NORMAL"))</f>
        <v/>
      </c>
      <c r="F107" s="17">
        <f>IF($A107="","",_xlfn.TEXTJOIN(" ",TRUE,"Barkod",$A107,"karar",$D107,"net",TEXT($B107,"0.00"),"başabaş",TEXT($C107,"0.00"),"TL"))</f>
        <v/>
      </c>
    </row>
    <row r="108">
      <c r="A108" s="17">
        <f>IF('ESLESTIRME'!$A108="","",IF('ESLESTIRME'!$G108="tutar_farki",'ESLESTIRME'!$A108,""))</f>
        <v/>
      </c>
      <c r="B108" s="17">
        <f>IF($A108="","",IFERROR(SUMIF(tblMotor[A_Norm],$A108,tblMotor[NetKar]),0))</f>
        <v/>
      </c>
      <c r="C108" s="17">
        <f>IF($A108="","",IFERROR(SUMIF(tblMotor[A_Norm],$A108,tblMotor[BasabasFiyat]),0))</f>
        <v/>
      </c>
      <c r="D108" s="17">
        <f>IF($A108="","",IFERROR(INDEX(tblMotor[KararSatir],MATCH($A108,tblMotor[A_Norm],0)),""))</f>
        <v/>
      </c>
      <c r="E108" s="17">
        <f>IF($A108="","",IF($B108&lt;0,"YUKSEK","NORMAL"))</f>
        <v/>
      </c>
      <c r="F108" s="17">
        <f>IF($A108="","",_xlfn.TEXTJOIN(" ",TRUE,"Barkod",$A108,"karar",$D108,"net",TEXT($B108,"0.00"),"başabaş",TEXT($C108,"0.00"),"TL"))</f>
        <v/>
      </c>
    </row>
    <row r="109">
      <c r="A109" s="17">
        <f>IF('ESLESTIRME'!$A109="","",IF('ESLESTIRME'!$G109="tutar_farki",'ESLESTIRME'!$A109,""))</f>
        <v/>
      </c>
      <c r="B109" s="17">
        <f>IF($A109="","",IFERROR(SUMIF(tblMotor[A_Norm],$A109,tblMotor[NetKar]),0))</f>
        <v/>
      </c>
      <c r="C109" s="17">
        <f>IF($A109="","",IFERROR(SUMIF(tblMotor[A_Norm],$A109,tblMotor[BasabasFiyat]),0))</f>
        <v/>
      </c>
      <c r="D109" s="17">
        <f>IF($A109="","",IFERROR(INDEX(tblMotor[KararSatir],MATCH($A109,tblMotor[A_Norm],0)),""))</f>
        <v/>
      </c>
      <c r="E109" s="17">
        <f>IF($A109="","",IF($B109&lt;0,"YUKSEK","NORMAL"))</f>
        <v/>
      </c>
      <c r="F109" s="17">
        <f>IF($A109="","",_xlfn.TEXTJOIN(" ",TRUE,"Barkod",$A109,"karar",$D109,"net",TEXT($B109,"0.00"),"başabaş",TEXT($C109,"0.00"),"TL"))</f>
        <v/>
      </c>
    </row>
    <row r="110">
      <c r="A110" s="17">
        <f>IF('ESLESTIRME'!$A110="","",IF('ESLESTIRME'!$G110="tutar_farki",'ESLESTIRME'!$A110,""))</f>
        <v/>
      </c>
      <c r="B110" s="17">
        <f>IF($A110="","",IFERROR(SUMIF(tblMotor[A_Norm],$A110,tblMotor[NetKar]),0))</f>
        <v/>
      </c>
      <c r="C110" s="17">
        <f>IF($A110="","",IFERROR(SUMIF(tblMotor[A_Norm],$A110,tblMotor[BasabasFiyat]),0))</f>
        <v/>
      </c>
      <c r="D110" s="17">
        <f>IF($A110="","",IFERROR(INDEX(tblMotor[KararSatir],MATCH($A110,tblMotor[A_Norm],0)),""))</f>
        <v/>
      </c>
      <c r="E110" s="17">
        <f>IF($A110="","",IF($B110&lt;0,"YUKSEK","NORMAL"))</f>
        <v/>
      </c>
      <c r="F110" s="17">
        <f>IF($A110="","",_xlfn.TEXTJOIN(" ",TRUE,"Barkod",$A110,"karar",$D110,"net",TEXT($B110,"0.00"),"başabaş",TEXT($C110,"0.00"),"TL"))</f>
        <v/>
      </c>
    </row>
    <row r="111">
      <c r="A111" s="17">
        <f>IF('ESLESTIRME'!$A111="","",IF('ESLESTIRME'!$G111="tutar_farki",'ESLESTIRME'!$A111,""))</f>
        <v/>
      </c>
      <c r="B111" s="17">
        <f>IF($A111="","",IFERROR(SUMIF(tblMotor[A_Norm],$A111,tblMotor[NetKar]),0))</f>
        <v/>
      </c>
      <c r="C111" s="17">
        <f>IF($A111="","",IFERROR(SUMIF(tblMotor[A_Norm],$A111,tblMotor[BasabasFiyat]),0))</f>
        <v/>
      </c>
      <c r="D111" s="17">
        <f>IF($A111="","",IFERROR(INDEX(tblMotor[KararSatir],MATCH($A111,tblMotor[A_Norm],0)),""))</f>
        <v/>
      </c>
      <c r="E111" s="17">
        <f>IF($A111="","",IF($B111&lt;0,"YUKSEK","NORMAL"))</f>
        <v/>
      </c>
      <c r="F111" s="17">
        <f>IF($A111="","",_xlfn.TEXTJOIN(" ",TRUE,"Barkod",$A111,"karar",$D111,"net",TEXT($B111,"0.00"),"başabaş",TEXT($C111,"0.00"),"TL"))</f>
        <v/>
      </c>
    </row>
    <row r="112">
      <c r="A112" s="17">
        <f>IF('ESLESTIRME'!$A112="","",IF('ESLESTIRME'!$G112="tutar_farki",'ESLESTIRME'!$A112,""))</f>
        <v/>
      </c>
      <c r="B112" s="17">
        <f>IF($A112="","",IFERROR(SUMIF(tblMotor[A_Norm],$A112,tblMotor[NetKar]),0))</f>
        <v/>
      </c>
      <c r="C112" s="17">
        <f>IF($A112="","",IFERROR(SUMIF(tblMotor[A_Norm],$A112,tblMotor[BasabasFiyat]),0))</f>
        <v/>
      </c>
      <c r="D112" s="17">
        <f>IF($A112="","",IFERROR(INDEX(tblMotor[KararSatir],MATCH($A112,tblMotor[A_Norm],0)),""))</f>
        <v/>
      </c>
      <c r="E112" s="17">
        <f>IF($A112="","",IF($B112&lt;0,"YUKSEK","NORMAL"))</f>
        <v/>
      </c>
      <c r="F112" s="17">
        <f>IF($A112="","",_xlfn.TEXTJOIN(" ",TRUE,"Barkod",$A112,"karar",$D112,"net",TEXT($B112,"0.00"),"başabaş",TEXT($C112,"0.00"),"TL"))</f>
        <v/>
      </c>
    </row>
    <row r="113">
      <c r="A113" s="17">
        <f>IF('ESLESTIRME'!$A113="","",IF('ESLESTIRME'!$G113="tutar_farki",'ESLESTIRME'!$A113,""))</f>
        <v/>
      </c>
      <c r="B113" s="17">
        <f>IF($A113="","",IFERROR(SUMIF(tblMotor[A_Norm],$A113,tblMotor[NetKar]),0))</f>
        <v/>
      </c>
      <c r="C113" s="17">
        <f>IF($A113="","",IFERROR(SUMIF(tblMotor[A_Norm],$A113,tblMotor[BasabasFiyat]),0))</f>
        <v/>
      </c>
      <c r="D113" s="17">
        <f>IF($A113="","",IFERROR(INDEX(tblMotor[KararSatir],MATCH($A113,tblMotor[A_Norm],0)),""))</f>
        <v/>
      </c>
      <c r="E113" s="17">
        <f>IF($A113="","",IF($B113&lt;0,"YUKSEK","NORMAL"))</f>
        <v/>
      </c>
      <c r="F113" s="17">
        <f>IF($A113="","",_xlfn.TEXTJOIN(" ",TRUE,"Barkod",$A113,"karar",$D113,"net",TEXT($B113,"0.00"),"başabaş",TEXT($C113,"0.00"),"TL"))</f>
        <v/>
      </c>
    </row>
    <row r="114">
      <c r="A114" s="17">
        <f>IF('ESLESTIRME'!$A114="","",IF('ESLESTIRME'!$G114="tutar_farki",'ESLESTIRME'!$A114,""))</f>
        <v/>
      </c>
      <c r="B114" s="17">
        <f>IF($A114="","",IFERROR(SUMIF(tblMotor[A_Norm],$A114,tblMotor[NetKar]),0))</f>
        <v/>
      </c>
      <c r="C114" s="17">
        <f>IF($A114="","",IFERROR(SUMIF(tblMotor[A_Norm],$A114,tblMotor[BasabasFiyat]),0))</f>
        <v/>
      </c>
      <c r="D114" s="17">
        <f>IF($A114="","",IFERROR(INDEX(tblMotor[KararSatir],MATCH($A114,tblMotor[A_Norm],0)),""))</f>
        <v/>
      </c>
      <c r="E114" s="17">
        <f>IF($A114="","",IF($B114&lt;0,"YUKSEK","NORMAL"))</f>
        <v/>
      </c>
      <c r="F114" s="17">
        <f>IF($A114="","",_xlfn.TEXTJOIN(" ",TRUE,"Barkod",$A114,"karar",$D114,"net",TEXT($B114,"0.00"),"başabaş",TEXT($C114,"0.00"),"TL"))</f>
        <v/>
      </c>
    </row>
    <row r="115">
      <c r="A115" s="17">
        <f>IF('ESLESTIRME'!$A115="","",IF('ESLESTIRME'!$G115="tutar_farki",'ESLESTIRME'!$A115,""))</f>
        <v/>
      </c>
      <c r="B115" s="17">
        <f>IF($A115="","",IFERROR(SUMIF(tblMotor[A_Norm],$A115,tblMotor[NetKar]),0))</f>
        <v/>
      </c>
      <c r="C115" s="17">
        <f>IF($A115="","",IFERROR(SUMIF(tblMotor[A_Norm],$A115,tblMotor[BasabasFiyat]),0))</f>
        <v/>
      </c>
      <c r="D115" s="17">
        <f>IF($A115="","",IFERROR(INDEX(tblMotor[KararSatir],MATCH($A115,tblMotor[A_Norm],0)),""))</f>
        <v/>
      </c>
      <c r="E115" s="17">
        <f>IF($A115="","",IF($B115&lt;0,"YUKSEK","NORMAL"))</f>
        <v/>
      </c>
      <c r="F115" s="17">
        <f>IF($A115="","",_xlfn.TEXTJOIN(" ",TRUE,"Barkod",$A115,"karar",$D115,"net",TEXT($B115,"0.00"),"başabaş",TEXT($C115,"0.00"),"TL"))</f>
        <v/>
      </c>
    </row>
    <row r="116">
      <c r="A116" s="17">
        <f>IF('ESLESTIRME'!$A116="","",IF('ESLESTIRME'!$G116="tutar_farki",'ESLESTIRME'!$A116,""))</f>
        <v/>
      </c>
      <c r="B116" s="17">
        <f>IF($A116="","",IFERROR(SUMIF(tblMotor[A_Norm],$A116,tblMotor[NetKar]),0))</f>
        <v/>
      </c>
      <c r="C116" s="17">
        <f>IF($A116="","",IFERROR(SUMIF(tblMotor[A_Norm],$A116,tblMotor[BasabasFiyat]),0))</f>
        <v/>
      </c>
      <c r="D116" s="17">
        <f>IF($A116="","",IFERROR(INDEX(tblMotor[KararSatir],MATCH($A116,tblMotor[A_Norm],0)),""))</f>
        <v/>
      </c>
      <c r="E116" s="17">
        <f>IF($A116="","",IF($B116&lt;0,"YUKSEK","NORMAL"))</f>
        <v/>
      </c>
      <c r="F116" s="17">
        <f>IF($A116="","",_xlfn.TEXTJOIN(" ",TRUE,"Barkod",$A116,"karar",$D116,"net",TEXT($B116,"0.00"),"başabaş",TEXT($C116,"0.00"),"TL"))</f>
        <v/>
      </c>
    </row>
    <row r="117">
      <c r="A117" s="17">
        <f>IF('ESLESTIRME'!$A117="","",IF('ESLESTIRME'!$G117="tutar_farki",'ESLESTIRME'!$A117,""))</f>
        <v/>
      </c>
      <c r="B117" s="17">
        <f>IF($A117="","",IFERROR(SUMIF(tblMotor[A_Norm],$A117,tblMotor[NetKar]),0))</f>
        <v/>
      </c>
      <c r="C117" s="17">
        <f>IF($A117="","",IFERROR(SUMIF(tblMotor[A_Norm],$A117,tblMotor[BasabasFiyat]),0))</f>
        <v/>
      </c>
      <c r="D117" s="17">
        <f>IF($A117="","",IFERROR(INDEX(tblMotor[KararSatir],MATCH($A117,tblMotor[A_Norm],0)),""))</f>
        <v/>
      </c>
      <c r="E117" s="17">
        <f>IF($A117="","",IF($B117&lt;0,"YUKSEK","NORMAL"))</f>
        <v/>
      </c>
      <c r="F117" s="17">
        <f>IF($A117="","",_xlfn.TEXTJOIN(" ",TRUE,"Barkod",$A117,"karar",$D117,"net",TEXT($B117,"0.00"),"başabaş",TEXT($C117,"0.00"),"TL"))</f>
        <v/>
      </c>
    </row>
    <row r="118">
      <c r="A118" s="17">
        <f>IF('ESLESTIRME'!$A118="","",IF('ESLESTIRME'!$G118="tutar_farki",'ESLESTIRME'!$A118,""))</f>
        <v/>
      </c>
      <c r="B118" s="17">
        <f>IF($A118="","",IFERROR(SUMIF(tblMotor[A_Norm],$A118,tblMotor[NetKar]),0))</f>
        <v/>
      </c>
      <c r="C118" s="17">
        <f>IF($A118="","",IFERROR(SUMIF(tblMotor[A_Norm],$A118,tblMotor[BasabasFiyat]),0))</f>
        <v/>
      </c>
      <c r="D118" s="17">
        <f>IF($A118="","",IFERROR(INDEX(tblMotor[KararSatir],MATCH($A118,tblMotor[A_Norm],0)),""))</f>
        <v/>
      </c>
      <c r="E118" s="17">
        <f>IF($A118="","",IF($B118&lt;0,"YUKSEK","NORMAL"))</f>
        <v/>
      </c>
      <c r="F118" s="17">
        <f>IF($A118="","",_xlfn.TEXTJOIN(" ",TRUE,"Barkod",$A118,"karar",$D118,"net",TEXT($B118,"0.00"),"başabaş",TEXT($C118,"0.00"),"TL"))</f>
        <v/>
      </c>
    </row>
    <row r="119">
      <c r="A119" s="17">
        <f>IF('ESLESTIRME'!$A119="","",IF('ESLESTIRME'!$G119="tutar_farki",'ESLESTIRME'!$A119,""))</f>
        <v/>
      </c>
      <c r="B119" s="17">
        <f>IF($A119="","",IFERROR(SUMIF(tblMotor[A_Norm],$A119,tblMotor[NetKar]),0))</f>
        <v/>
      </c>
      <c r="C119" s="17">
        <f>IF($A119="","",IFERROR(SUMIF(tblMotor[A_Norm],$A119,tblMotor[BasabasFiyat]),0))</f>
        <v/>
      </c>
      <c r="D119" s="17">
        <f>IF($A119="","",IFERROR(INDEX(tblMotor[KararSatir],MATCH($A119,tblMotor[A_Norm],0)),""))</f>
        <v/>
      </c>
      <c r="E119" s="17">
        <f>IF($A119="","",IF($B119&lt;0,"YUKSEK","NORMAL"))</f>
        <v/>
      </c>
      <c r="F119" s="17">
        <f>IF($A119="","",_xlfn.TEXTJOIN(" ",TRUE,"Barkod",$A119,"karar",$D119,"net",TEXT($B119,"0.00"),"başabaş",TEXT($C119,"0.00"),"TL"))</f>
        <v/>
      </c>
    </row>
    <row r="120">
      <c r="A120" s="17">
        <f>IF('ESLESTIRME'!$A120="","",IF('ESLESTIRME'!$G120="tutar_farki",'ESLESTIRME'!$A120,""))</f>
        <v/>
      </c>
      <c r="B120" s="17">
        <f>IF($A120="","",IFERROR(SUMIF(tblMotor[A_Norm],$A120,tblMotor[NetKar]),0))</f>
        <v/>
      </c>
      <c r="C120" s="17">
        <f>IF($A120="","",IFERROR(SUMIF(tblMotor[A_Norm],$A120,tblMotor[BasabasFiyat]),0))</f>
        <v/>
      </c>
      <c r="D120" s="17">
        <f>IF($A120="","",IFERROR(INDEX(tblMotor[KararSatir],MATCH($A120,tblMotor[A_Norm],0)),""))</f>
        <v/>
      </c>
      <c r="E120" s="17">
        <f>IF($A120="","",IF($B120&lt;0,"YUKSEK","NORMAL"))</f>
        <v/>
      </c>
      <c r="F120" s="17">
        <f>IF($A120="","",_xlfn.TEXTJOIN(" ",TRUE,"Barkod",$A120,"karar",$D120,"net",TEXT($B120,"0.00"),"başabaş",TEXT($C120,"0.00"),"TL"))</f>
        <v/>
      </c>
    </row>
    <row r="121">
      <c r="A121" s="17">
        <f>IF('ESLESTIRME'!$A121="","",IF('ESLESTIRME'!$G121="tutar_farki",'ESLESTIRME'!$A121,""))</f>
        <v/>
      </c>
      <c r="B121" s="17">
        <f>IF($A121="","",IFERROR(SUMIF(tblMotor[A_Norm],$A121,tblMotor[NetKar]),0))</f>
        <v/>
      </c>
      <c r="C121" s="17">
        <f>IF($A121="","",IFERROR(SUMIF(tblMotor[A_Norm],$A121,tblMotor[BasabasFiyat]),0))</f>
        <v/>
      </c>
      <c r="D121" s="17">
        <f>IF($A121="","",IFERROR(INDEX(tblMotor[KararSatir],MATCH($A121,tblMotor[A_Norm],0)),""))</f>
        <v/>
      </c>
      <c r="E121" s="17">
        <f>IF($A121="","",IF($B121&lt;0,"YUKSEK","NORMAL"))</f>
        <v/>
      </c>
      <c r="F121" s="17">
        <f>IF($A121="","",_xlfn.TEXTJOIN(" ",TRUE,"Barkod",$A121,"karar",$D121,"net",TEXT($B121,"0.00"),"başabaş",TEXT($C121,"0.00"),"TL"))</f>
        <v/>
      </c>
    </row>
    <row r="122">
      <c r="A122" s="17">
        <f>IF('ESLESTIRME'!$A122="","",IF('ESLESTIRME'!$G122="tutar_farki",'ESLESTIRME'!$A122,""))</f>
        <v/>
      </c>
      <c r="B122" s="17">
        <f>IF($A122="","",IFERROR(SUMIF(tblMotor[A_Norm],$A122,tblMotor[NetKar]),0))</f>
        <v/>
      </c>
      <c r="C122" s="17">
        <f>IF($A122="","",IFERROR(SUMIF(tblMotor[A_Norm],$A122,tblMotor[BasabasFiyat]),0))</f>
        <v/>
      </c>
      <c r="D122" s="17">
        <f>IF($A122="","",IFERROR(INDEX(tblMotor[KararSatir],MATCH($A122,tblMotor[A_Norm],0)),""))</f>
        <v/>
      </c>
      <c r="E122" s="17">
        <f>IF($A122="","",IF($B122&lt;0,"YUKSEK","NORMAL"))</f>
        <v/>
      </c>
      <c r="F122" s="17">
        <f>IF($A122="","",_xlfn.TEXTJOIN(" ",TRUE,"Barkod",$A122,"karar",$D122,"net",TEXT($B122,"0.00"),"başabaş",TEXT($C122,"0.00"),"TL"))</f>
        <v/>
      </c>
    </row>
    <row r="123">
      <c r="A123" s="17">
        <f>IF('ESLESTIRME'!$A123="","",IF('ESLESTIRME'!$G123="tutar_farki",'ESLESTIRME'!$A123,""))</f>
        <v/>
      </c>
      <c r="B123" s="17">
        <f>IF($A123="","",IFERROR(SUMIF(tblMotor[A_Norm],$A123,tblMotor[NetKar]),0))</f>
        <v/>
      </c>
      <c r="C123" s="17">
        <f>IF($A123="","",IFERROR(SUMIF(tblMotor[A_Norm],$A123,tblMotor[BasabasFiyat]),0))</f>
        <v/>
      </c>
      <c r="D123" s="17">
        <f>IF($A123="","",IFERROR(INDEX(tblMotor[KararSatir],MATCH($A123,tblMotor[A_Norm],0)),""))</f>
        <v/>
      </c>
      <c r="E123" s="17">
        <f>IF($A123="","",IF($B123&lt;0,"YUKSEK","NORMAL"))</f>
        <v/>
      </c>
      <c r="F123" s="17">
        <f>IF($A123="","",_xlfn.TEXTJOIN(" ",TRUE,"Barkod",$A123,"karar",$D123,"net",TEXT($B123,"0.00"),"başabaş",TEXT($C123,"0.00"),"TL"))</f>
        <v/>
      </c>
    </row>
    <row r="124">
      <c r="A124" s="17">
        <f>IF('ESLESTIRME'!$A124="","",IF('ESLESTIRME'!$G124="tutar_farki",'ESLESTIRME'!$A124,""))</f>
        <v/>
      </c>
      <c r="B124" s="17">
        <f>IF($A124="","",IFERROR(SUMIF(tblMotor[A_Norm],$A124,tblMotor[NetKar]),0))</f>
        <v/>
      </c>
      <c r="C124" s="17">
        <f>IF($A124="","",IFERROR(SUMIF(tblMotor[A_Norm],$A124,tblMotor[BasabasFiyat]),0))</f>
        <v/>
      </c>
      <c r="D124" s="17">
        <f>IF($A124="","",IFERROR(INDEX(tblMotor[KararSatir],MATCH($A124,tblMotor[A_Norm],0)),""))</f>
        <v/>
      </c>
      <c r="E124" s="17">
        <f>IF($A124="","",IF($B124&lt;0,"YUKSEK","NORMAL"))</f>
        <v/>
      </c>
      <c r="F124" s="17">
        <f>IF($A124="","",_xlfn.TEXTJOIN(" ",TRUE,"Barkod",$A124,"karar",$D124,"net",TEXT($B124,"0.00"),"başabaş",TEXT($C124,"0.00"),"TL"))</f>
        <v/>
      </c>
    </row>
    <row r="125">
      <c r="A125" s="17">
        <f>IF('ESLESTIRME'!$A125="","",IF('ESLESTIRME'!$G125="tutar_farki",'ESLESTIRME'!$A125,""))</f>
        <v/>
      </c>
      <c r="B125" s="17">
        <f>IF($A125="","",IFERROR(SUMIF(tblMotor[A_Norm],$A125,tblMotor[NetKar]),0))</f>
        <v/>
      </c>
      <c r="C125" s="17">
        <f>IF($A125="","",IFERROR(SUMIF(tblMotor[A_Norm],$A125,tblMotor[BasabasFiyat]),0))</f>
        <v/>
      </c>
      <c r="D125" s="17">
        <f>IF($A125="","",IFERROR(INDEX(tblMotor[KararSatir],MATCH($A125,tblMotor[A_Norm],0)),""))</f>
        <v/>
      </c>
      <c r="E125" s="17">
        <f>IF($A125="","",IF($B125&lt;0,"YUKSEK","NORMAL"))</f>
        <v/>
      </c>
      <c r="F125" s="17">
        <f>IF($A125="","",_xlfn.TEXTJOIN(" ",TRUE,"Barkod",$A125,"karar",$D125,"net",TEXT($B125,"0.00"),"başabaş",TEXT($C125,"0.00"),"TL"))</f>
        <v/>
      </c>
    </row>
    <row r="126">
      <c r="A126" s="17">
        <f>IF('ESLESTIRME'!$A126="","",IF('ESLESTIRME'!$G126="tutar_farki",'ESLESTIRME'!$A126,""))</f>
        <v/>
      </c>
      <c r="B126" s="17">
        <f>IF($A126="","",IFERROR(SUMIF(tblMotor[A_Norm],$A126,tblMotor[NetKar]),0))</f>
        <v/>
      </c>
      <c r="C126" s="17">
        <f>IF($A126="","",IFERROR(SUMIF(tblMotor[A_Norm],$A126,tblMotor[BasabasFiyat]),0))</f>
        <v/>
      </c>
      <c r="D126" s="17">
        <f>IF($A126="","",IFERROR(INDEX(tblMotor[KararSatir],MATCH($A126,tblMotor[A_Norm],0)),""))</f>
        <v/>
      </c>
      <c r="E126" s="17">
        <f>IF($A126="","",IF($B126&lt;0,"YUKSEK","NORMAL"))</f>
        <v/>
      </c>
      <c r="F126" s="17">
        <f>IF($A126="","",_xlfn.TEXTJOIN(" ",TRUE,"Barkod",$A126,"karar",$D126,"net",TEXT($B126,"0.00"),"başabaş",TEXT($C126,"0.00"),"TL"))</f>
        <v/>
      </c>
    </row>
    <row r="127">
      <c r="A127" s="17">
        <f>IF('ESLESTIRME'!$A127="","",IF('ESLESTIRME'!$G127="tutar_farki",'ESLESTIRME'!$A127,""))</f>
        <v/>
      </c>
      <c r="B127" s="17">
        <f>IF($A127="","",IFERROR(SUMIF(tblMotor[A_Norm],$A127,tblMotor[NetKar]),0))</f>
        <v/>
      </c>
      <c r="C127" s="17">
        <f>IF($A127="","",IFERROR(SUMIF(tblMotor[A_Norm],$A127,tblMotor[BasabasFiyat]),0))</f>
        <v/>
      </c>
      <c r="D127" s="17">
        <f>IF($A127="","",IFERROR(INDEX(tblMotor[KararSatir],MATCH($A127,tblMotor[A_Norm],0)),""))</f>
        <v/>
      </c>
      <c r="E127" s="17">
        <f>IF($A127="","",IF($B127&lt;0,"YUKSEK","NORMAL"))</f>
        <v/>
      </c>
      <c r="F127" s="17">
        <f>IF($A127="","",_xlfn.TEXTJOIN(" ",TRUE,"Barkod",$A127,"karar",$D127,"net",TEXT($B127,"0.00"),"başabaş",TEXT($C127,"0.00"),"TL"))</f>
        <v/>
      </c>
    </row>
    <row r="128">
      <c r="A128" s="17">
        <f>IF('ESLESTIRME'!$A128="","",IF('ESLESTIRME'!$G128="tutar_farki",'ESLESTIRME'!$A128,""))</f>
        <v/>
      </c>
      <c r="B128" s="17">
        <f>IF($A128="","",IFERROR(SUMIF(tblMotor[A_Norm],$A128,tblMotor[NetKar]),0))</f>
        <v/>
      </c>
      <c r="C128" s="17">
        <f>IF($A128="","",IFERROR(SUMIF(tblMotor[A_Norm],$A128,tblMotor[BasabasFiyat]),0))</f>
        <v/>
      </c>
      <c r="D128" s="17">
        <f>IF($A128="","",IFERROR(INDEX(tblMotor[KararSatir],MATCH($A128,tblMotor[A_Norm],0)),""))</f>
        <v/>
      </c>
      <c r="E128" s="17">
        <f>IF($A128="","",IF($B128&lt;0,"YUKSEK","NORMAL"))</f>
        <v/>
      </c>
      <c r="F128" s="17">
        <f>IF($A128="","",_xlfn.TEXTJOIN(" ",TRUE,"Barkod",$A128,"karar",$D128,"net",TEXT($B128,"0.00"),"başabaş",TEXT($C128,"0.00"),"TL"))</f>
        <v/>
      </c>
    </row>
    <row r="129">
      <c r="A129" s="17">
        <f>IF('ESLESTIRME'!$A129="","",IF('ESLESTIRME'!$G129="tutar_farki",'ESLESTIRME'!$A129,""))</f>
        <v/>
      </c>
      <c r="B129" s="17">
        <f>IF($A129="","",IFERROR(SUMIF(tblMotor[A_Norm],$A129,tblMotor[NetKar]),0))</f>
        <v/>
      </c>
      <c r="C129" s="17">
        <f>IF($A129="","",IFERROR(SUMIF(tblMotor[A_Norm],$A129,tblMotor[BasabasFiyat]),0))</f>
        <v/>
      </c>
      <c r="D129" s="17">
        <f>IF($A129="","",IFERROR(INDEX(tblMotor[KararSatir],MATCH($A129,tblMotor[A_Norm],0)),""))</f>
        <v/>
      </c>
      <c r="E129" s="17">
        <f>IF($A129="","",IF($B129&lt;0,"YUKSEK","NORMAL"))</f>
        <v/>
      </c>
      <c r="F129" s="17">
        <f>IF($A129="","",_xlfn.TEXTJOIN(" ",TRUE,"Barkod",$A129,"karar",$D129,"net",TEXT($B129,"0.00"),"başabaş",TEXT($C129,"0.00"),"TL"))</f>
        <v/>
      </c>
    </row>
    <row r="130">
      <c r="A130" s="17">
        <f>IF('ESLESTIRME'!$A130="","",IF('ESLESTIRME'!$G130="tutar_farki",'ESLESTIRME'!$A130,""))</f>
        <v/>
      </c>
      <c r="B130" s="17">
        <f>IF($A130="","",IFERROR(SUMIF(tblMotor[A_Norm],$A130,tblMotor[NetKar]),0))</f>
        <v/>
      </c>
      <c r="C130" s="17">
        <f>IF($A130="","",IFERROR(SUMIF(tblMotor[A_Norm],$A130,tblMotor[BasabasFiyat]),0))</f>
        <v/>
      </c>
      <c r="D130" s="17">
        <f>IF($A130="","",IFERROR(INDEX(tblMotor[KararSatir],MATCH($A130,tblMotor[A_Norm],0)),""))</f>
        <v/>
      </c>
      <c r="E130" s="17">
        <f>IF($A130="","",IF($B130&lt;0,"YUKSEK","NORMAL"))</f>
        <v/>
      </c>
      <c r="F130" s="17">
        <f>IF($A130="","",_xlfn.TEXTJOIN(" ",TRUE,"Barkod",$A130,"karar",$D130,"net",TEXT($B130,"0.00"),"başabaş",TEXT($C130,"0.00"),"TL"))</f>
        <v/>
      </c>
    </row>
    <row r="131">
      <c r="A131" s="17">
        <f>IF('ESLESTIRME'!$A131="","",IF('ESLESTIRME'!$G131="tutar_farki",'ESLESTIRME'!$A131,""))</f>
        <v/>
      </c>
      <c r="B131" s="17">
        <f>IF($A131="","",IFERROR(SUMIF(tblMotor[A_Norm],$A131,tblMotor[NetKar]),0))</f>
        <v/>
      </c>
      <c r="C131" s="17">
        <f>IF($A131="","",IFERROR(SUMIF(tblMotor[A_Norm],$A131,tblMotor[BasabasFiyat]),0))</f>
        <v/>
      </c>
      <c r="D131" s="17">
        <f>IF($A131="","",IFERROR(INDEX(tblMotor[KararSatir],MATCH($A131,tblMotor[A_Norm],0)),""))</f>
        <v/>
      </c>
      <c r="E131" s="17">
        <f>IF($A131="","",IF($B131&lt;0,"YUKSEK","NORMAL"))</f>
        <v/>
      </c>
      <c r="F131" s="17">
        <f>IF($A131="","",_xlfn.TEXTJOIN(" ",TRUE,"Barkod",$A131,"karar",$D131,"net",TEXT($B131,"0.00"),"başabaş",TEXT($C131,"0.00"),"TL"))</f>
        <v/>
      </c>
    </row>
    <row r="132">
      <c r="A132" s="17">
        <f>IF('ESLESTIRME'!$A132="","",IF('ESLESTIRME'!$G132="tutar_farki",'ESLESTIRME'!$A132,""))</f>
        <v/>
      </c>
      <c r="B132" s="17">
        <f>IF($A132="","",IFERROR(SUMIF(tblMotor[A_Norm],$A132,tblMotor[NetKar]),0))</f>
        <v/>
      </c>
      <c r="C132" s="17">
        <f>IF($A132="","",IFERROR(SUMIF(tblMotor[A_Norm],$A132,tblMotor[BasabasFiyat]),0))</f>
        <v/>
      </c>
      <c r="D132" s="17">
        <f>IF($A132="","",IFERROR(INDEX(tblMotor[KararSatir],MATCH($A132,tblMotor[A_Norm],0)),""))</f>
        <v/>
      </c>
      <c r="E132" s="17">
        <f>IF($A132="","",IF($B132&lt;0,"YUKSEK","NORMAL"))</f>
        <v/>
      </c>
      <c r="F132" s="17">
        <f>IF($A132="","",_xlfn.TEXTJOIN(" ",TRUE,"Barkod",$A132,"karar",$D132,"net",TEXT($B132,"0.00"),"başabaş",TEXT($C132,"0.00"),"TL"))</f>
        <v/>
      </c>
    </row>
    <row r="133">
      <c r="A133" s="17">
        <f>IF('ESLESTIRME'!$A133="","",IF('ESLESTIRME'!$G133="tutar_farki",'ESLESTIRME'!$A133,""))</f>
        <v/>
      </c>
      <c r="B133" s="17">
        <f>IF($A133="","",IFERROR(SUMIF(tblMotor[A_Norm],$A133,tblMotor[NetKar]),0))</f>
        <v/>
      </c>
      <c r="C133" s="17">
        <f>IF($A133="","",IFERROR(SUMIF(tblMotor[A_Norm],$A133,tblMotor[BasabasFiyat]),0))</f>
        <v/>
      </c>
      <c r="D133" s="17">
        <f>IF($A133="","",IFERROR(INDEX(tblMotor[KararSatir],MATCH($A133,tblMotor[A_Norm],0)),""))</f>
        <v/>
      </c>
      <c r="E133" s="17">
        <f>IF($A133="","",IF($B133&lt;0,"YUKSEK","NORMAL"))</f>
        <v/>
      </c>
      <c r="F133" s="17">
        <f>IF($A133="","",_xlfn.TEXTJOIN(" ",TRUE,"Barkod",$A133,"karar",$D133,"net",TEXT($B133,"0.00"),"başabaş",TEXT($C133,"0.00"),"TL"))</f>
        <v/>
      </c>
    </row>
    <row r="134">
      <c r="A134" s="17">
        <f>IF('ESLESTIRME'!$A134="","",IF('ESLESTIRME'!$G134="tutar_farki",'ESLESTIRME'!$A134,""))</f>
        <v/>
      </c>
      <c r="B134" s="17">
        <f>IF($A134="","",IFERROR(SUMIF(tblMotor[A_Norm],$A134,tblMotor[NetKar]),0))</f>
        <v/>
      </c>
      <c r="C134" s="17">
        <f>IF($A134="","",IFERROR(SUMIF(tblMotor[A_Norm],$A134,tblMotor[BasabasFiyat]),0))</f>
        <v/>
      </c>
      <c r="D134" s="17">
        <f>IF($A134="","",IFERROR(INDEX(tblMotor[KararSatir],MATCH($A134,tblMotor[A_Norm],0)),""))</f>
        <v/>
      </c>
      <c r="E134" s="17">
        <f>IF($A134="","",IF($B134&lt;0,"YUKSEK","NORMAL"))</f>
        <v/>
      </c>
      <c r="F134" s="17">
        <f>IF($A134="","",_xlfn.TEXTJOIN(" ",TRUE,"Barkod",$A134,"karar",$D134,"net",TEXT($B134,"0.00"),"başabaş",TEXT($C134,"0.00"),"TL"))</f>
        <v/>
      </c>
    </row>
    <row r="135">
      <c r="A135" s="17">
        <f>IF('ESLESTIRME'!$A135="","",IF('ESLESTIRME'!$G135="tutar_farki",'ESLESTIRME'!$A135,""))</f>
        <v/>
      </c>
      <c r="B135" s="17">
        <f>IF($A135="","",IFERROR(SUMIF(tblMotor[A_Norm],$A135,tblMotor[NetKar]),0))</f>
        <v/>
      </c>
      <c r="C135" s="17">
        <f>IF($A135="","",IFERROR(SUMIF(tblMotor[A_Norm],$A135,tblMotor[BasabasFiyat]),0))</f>
        <v/>
      </c>
      <c r="D135" s="17">
        <f>IF($A135="","",IFERROR(INDEX(tblMotor[KararSatir],MATCH($A135,tblMotor[A_Norm],0)),""))</f>
        <v/>
      </c>
      <c r="E135" s="17">
        <f>IF($A135="","",IF($B135&lt;0,"YUKSEK","NORMAL"))</f>
        <v/>
      </c>
      <c r="F135" s="17">
        <f>IF($A135="","",_xlfn.TEXTJOIN(" ",TRUE,"Barkod",$A135,"karar",$D135,"net",TEXT($B135,"0.00"),"başabaş",TEXT($C135,"0.00"),"TL"))</f>
        <v/>
      </c>
    </row>
    <row r="136">
      <c r="A136" s="17">
        <f>IF('ESLESTIRME'!$A136="","",IF('ESLESTIRME'!$G136="tutar_farki",'ESLESTIRME'!$A136,""))</f>
        <v/>
      </c>
      <c r="B136" s="17">
        <f>IF($A136="","",IFERROR(SUMIF(tblMotor[A_Norm],$A136,tblMotor[NetKar]),0))</f>
        <v/>
      </c>
      <c r="C136" s="17">
        <f>IF($A136="","",IFERROR(SUMIF(tblMotor[A_Norm],$A136,tblMotor[BasabasFiyat]),0))</f>
        <v/>
      </c>
      <c r="D136" s="17">
        <f>IF($A136="","",IFERROR(INDEX(tblMotor[KararSatir],MATCH($A136,tblMotor[A_Norm],0)),""))</f>
        <v/>
      </c>
      <c r="E136" s="17">
        <f>IF($A136="","",IF($B136&lt;0,"YUKSEK","NORMAL"))</f>
        <v/>
      </c>
      <c r="F136" s="17">
        <f>IF($A136="","",_xlfn.TEXTJOIN(" ",TRUE,"Barkod",$A136,"karar",$D136,"net",TEXT($B136,"0.00"),"başabaş",TEXT($C136,"0.00"),"TL"))</f>
        <v/>
      </c>
    </row>
    <row r="137">
      <c r="A137" s="17">
        <f>IF('ESLESTIRME'!$A137="","",IF('ESLESTIRME'!$G137="tutar_farki",'ESLESTIRME'!$A137,""))</f>
        <v/>
      </c>
      <c r="B137" s="17">
        <f>IF($A137="","",IFERROR(SUMIF(tblMotor[A_Norm],$A137,tblMotor[NetKar]),0))</f>
        <v/>
      </c>
      <c r="C137" s="17">
        <f>IF($A137="","",IFERROR(SUMIF(tblMotor[A_Norm],$A137,tblMotor[BasabasFiyat]),0))</f>
        <v/>
      </c>
      <c r="D137" s="17">
        <f>IF($A137="","",IFERROR(INDEX(tblMotor[KararSatir],MATCH($A137,tblMotor[A_Norm],0)),""))</f>
        <v/>
      </c>
      <c r="E137" s="17">
        <f>IF($A137="","",IF($B137&lt;0,"YUKSEK","NORMAL"))</f>
        <v/>
      </c>
      <c r="F137" s="17">
        <f>IF($A137="","",_xlfn.TEXTJOIN(" ",TRUE,"Barkod",$A137,"karar",$D137,"net",TEXT($B137,"0.00"),"başabaş",TEXT($C137,"0.00"),"TL"))</f>
        <v/>
      </c>
    </row>
    <row r="138">
      <c r="A138" s="17">
        <f>IF('ESLESTIRME'!$A138="","",IF('ESLESTIRME'!$G138="tutar_farki",'ESLESTIRME'!$A138,""))</f>
        <v/>
      </c>
      <c r="B138" s="17">
        <f>IF($A138="","",IFERROR(SUMIF(tblMotor[A_Norm],$A138,tblMotor[NetKar]),0))</f>
        <v/>
      </c>
      <c r="C138" s="17">
        <f>IF($A138="","",IFERROR(SUMIF(tblMotor[A_Norm],$A138,tblMotor[BasabasFiyat]),0))</f>
        <v/>
      </c>
      <c r="D138" s="17">
        <f>IF($A138="","",IFERROR(INDEX(tblMotor[KararSatir],MATCH($A138,tblMotor[A_Norm],0)),""))</f>
        <v/>
      </c>
      <c r="E138" s="17">
        <f>IF($A138="","",IF($B138&lt;0,"YUKSEK","NORMAL"))</f>
        <v/>
      </c>
      <c r="F138" s="17">
        <f>IF($A138="","",_xlfn.TEXTJOIN(" ",TRUE,"Barkod",$A138,"karar",$D138,"net",TEXT($B138,"0.00"),"başabaş",TEXT($C138,"0.00"),"TL"))</f>
        <v/>
      </c>
    </row>
    <row r="139">
      <c r="A139" s="17">
        <f>IF('ESLESTIRME'!$A139="","",IF('ESLESTIRME'!$G139="tutar_farki",'ESLESTIRME'!$A139,""))</f>
        <v/>
      </c>
      <c r="B139" s="17">
        <f>IF($A139="","",IFERROR(SUMIF(tblMotor[A_Norm],$A139,tblMotor[NetKar]),0))</f>
        <v/>
      </c>
      <c r="C139" s="17">
        <f>IF($A139="","",IFERROR(SUMIF(tblMotor[A_Norm],$A139,tblMotor[BasabasFiyat]),0))</f>
        <v/>
      </c>
      <c r="D139" s="17">
        <f>IF($A139="","",IFERROR(INDEX(tblMotor[KararSatir],MATCH($A139,tblMotor[A_Norm],0)),""))</f>
        <v/>
      </c>
      <c r="E139" s="17">
        <f>IF($A139="","",IF($B139&lt;0,"YUKSEK","NORMAL"))</f>
        <v/>
      </c>
      <c r="F139" s="17">
        <f>IF($A139="","",_xlfn.TEXTJOIN(" ",TRUE,"Barkod",$A139,"karar",$D139,"net",TEXT($B139,"0.00"),"başabaş",TEXT($C139,"0.00"),"TL"))</f>
        <v/>
      </c>
    </row>
    <row r="140">
      <c r="A140" s="17">
        <f>IF('ESLESTIRME'!$A140="","",IF('ESLESTIRME'!$G140="tutar_farki",'ESLESTIRME'!$A140,""))</f>
        <v/>
      </c>
      <c r="B140" s="17">
        <f>IF($A140="","",IFERROR(SUMIF(tblMotor[A_Norm],$A140,tblMotor[NetKar]),0))</f>
        <v/>
      </c>
      <c r="C140" s="17">
        <f>IF($A140="","",IFERROR(SUMIF(tblMotor[A_Norm],$A140,tblMotor[BasabasFiyat]),0))</f>
        <v/>
      </c>
      <c r="D140" s="17">
        <f>IF($A140="","",IFERROR(INDEX(tblMotor[KararSatir],MATCH($A140,tblMotor[A_Norm],0)),""))</f>
        <v/>
      </c>
      <c r="E140" s="17">
        <f>IF($A140="","",IF($B140&lt;0,"YUKSEK","NORMAL"))</f>
        <v/>
      </c>
      <c r="F140" s="17">
        <f>IF($A140="","",_xlfn.TEXTJOIN(" ",TRUE,"Barkod",$A140,"karar",$D140,"net",TEXT($B140,"0.00"),"başabaş",TEXT($C140,"0.00"),"TL"))</f>
        <v/>
      </c>
    </row>
    <row r="141">
      <c r="A141" s="17">
        <f>IF('ESLESTIRME'!$A141="","",IF('ESLESTIRME'!$G141="tutar_farki",'ESLESTIRME'!$A141,""))</f>
        <v/>
      </c>
      <c r="B141" s="17">
        <f>IF($A141="","",IFERROR(SUMIF(tblMotor[A_Norm],$A141,tblMotor[NetKar]),0))</f>
        <v/>
      </c>
      <c r="C141" s="17">
        <f>IF($A141="","",IFERROR(SUMIF(tblMotor[A_Norm],$A141,tblMotor[BasabasFiyat]),0))</f>
        <v/>
      </c>
      <c r="D141" s="17">
        <f>IF($A141="","",IFERROR(INDEX(tblMotor[KararSatir],MATCH($A141,tblMotor[A_Norm],0)),""))</f>
        <v/>
      </c>
      <c r="E141" s="17">
        <f>IF($A141="","",IF($B141&lt;0,"YUKSEK","NORMAL"))</f>
        <v/>
      </c>
      <c r="F141" s="17">
        <f>IF($A141="","",_xlfn.TEXTJOIN(" ",TRUE,"Barkod",$A141,"karar",$D141,"net",TEXT($B141,"0.00"),"başabaş",TEXT($C141,"0.00"),"TL"))</f>
        <v/>
      </c>
    </row>
    <row r="142">
      <c r="A142" s="17">
        <f>IF('ESLESTIRME'!$A142="","",IF('ESLESTIRME'!$G142="tutar_farki",'ESLESTIRME'!$A142,""))</f>
        <v/>
      </c>
      <c r="B142" s="17">
        <f>IF($A142="","",IFERROR(SUMIF(tblMotor[A_Norm],$A142,tblMotor[NetKar]),0))</f>
        <v/>
      </c>
      <c r="C142" s="17">
        <f>IF($A142="","",IFERROR(SUMIF(tblMotor[A_Norm],$A142,tblMotor[BasabasFiyat]),0))</f>
        <v/>
      </c>
      <c r="D142" s="17">
        <f>IF($A142="","",IFERROR(INDEX(tblMotor[KararSatir],MATCH($A142,tblMotor[A_Norm],0)),""))</f>
        <v/>
      </c>
      <c r="E142" s="17">
        <f>IF($A142="","",IF($B142&lt;0,"YUKSEK","NORMAL"))</f>
        <v/>
      </c>
      <c r="F142" s="17">
        <f>IF($A142="","",_xlfn.TEXTJOIN(" ",TRUE,"Barkod",$A142,"karar",$D142,"net",TEXT($B142,"0.00"),"başabaş",TEXT($C142,"0.00"),"TL"))</f>
        <v/>
      </c>
    </row>
    <row r="143">
      <c r="A143" s="17">
        <f>IF('ESLESTIRME'!$A143="","",IF('ESLESTIRME'!$G143="tutar_farki",'ESLESTIRME'!$A143,""))</f>
        <v/>
      </c>
      <c r="B143" s="17">
        <f>IF($A143="","",IFERROR(SUMIF(tblMotor[A_Norm],$A143,tblMotor[NetKar]),0))</f>
        <v/>
      </c>
      <c r="C143" s="17">
        <f>IF($A143="","",IFERROR(SUMIF(tblMotor[A_Norm],$A143,tblMotor[BasabasFiyat]),0))</f>
        <v/>
      </c>
      <c r="D143" s="17">
        <f>IF($A143="","",IFERROR(INDEX(tblMotor[KararSatir],MATCH($A143,tblMotor[A_Norm],0)),""))</f>
        <v/>
      </c>
      <c r="E143" s="17">
        <f>IF($A143="","",IF($B143&lt;0,"YUKSEK","NORMAL"))</f>
        <v/>
      </c>
      <c r="F143" s="17">
        <f>IF($A143="","",_xlfn.TEXTJOIN(" ",TRUE,"Barkod",$A143,"karar",$D143,"net",TEXT($B143,"0.00"),"başabaş",TEXT($C143,"0.00"),"TL"))</f>
        <v/>
      </c>
    </row>
    <row r="144">
      <c r="A144" s="17">
        <f>IF('ESLESTIRME'!$A144="","",IF('ESLESTIRME'!$G144="tutar_farki",'ESLESTIRME'!$A144,""))</f>
        <v/>
      </c>
      <c r="B144" s="17">
        <f>IF($A144="","",IFERROR(SUMIF(tblMotor[A_Norm],$A144,tblMotor[NetKar]),0))</f>
        <v/>
      </c>
      <c r="C144" s="17">
        <f>IF($A144="","",IFERROR(SUMIF(tblMotor[A_Norm],$A144,tblMotor[BasabasFiyat]),0))</f>
        <v/>
      </c>
      <c r="D144" s="17">
        <f>IF($A144="","",IFERROR(INDEX(tblMotor[KararSatir],MATCH($A144,tblMotor[A_Norm],0)),""))</f>
        <v/>
      </c>
      <c r="E144" s="17">
        <f>IF($A144="","",IF($B144&lt;0,"YUKSEK","NORMAL"))</f>
        <v/>
      </c>
      <c r="F144" s="17">
        <f>IF($A144="","",_xlfn.TEXTJOIN(" ",TRUE,"Barkod",$A144,"karar",$D144,"net",TEXT($B144,"0.00"),"başabaş",TEXT($C144,"0.00"),"TL"))</f>
        <v/>
      </c>
    </row>
    <row r="145">
      <c r="A145" s="17">
        <f>IF('ESLESTIRME'!$A145="","",IF('ESLESTIRME'!$G145="tutar_farki",'ESLESTIRME'!$A145,""))</f>
        <v/>
      </c>
      <c r="B145" s="17">
        <f>IF($A145="","",IFERROR(SUMIF(tblMotor[A_Norm],$A145,tblMotor[NetKar]),0))</f>
        <v/>
      </c>
      <c r="C145" s="17">
        <f>IF($A145="","",IFERROR(SUMIF(tblMotor[A_Norm],$A145,tblMotor[BasabasFiyat]),0))</f>
        <v/>
      </c>
      <c r="D145" s="17">
        <f>IF($A145="","",IFERROR(INDEX(tblMotor[KararSatir],MATCH($A145,tblMotor[A_Norm],0)),""))</f>
        <v/>
      </c>
      <c r="E145" s="17">
        <f>IF($A145="","",IF($B145&lt;0,"YUKSEK","NORMAL"))</f>
        <v/>
      </c>
      <c r="F145" s="17">
        <f>IF($A145="","",_xlfn.TEXTJOIN(" ",TRUE,"Barkod",$A145,"karar",$D145,"net",TEXT($B145,"0.00"),"başabaş",TEXT($C145,"0.00"),"TL"))</f>
        <v/>
      </c>
    </row>
    <row r="146">
      <c r="A146" s="17">
        <f>IF('ESLESTIRME'!$A146="","",IF('ESLESTIRME'!$G146="tutar_farki",'ESLESTIRME'!$A146,""))</f>
        <v/>
      </c>
      <c r="B146" s="17">
        <f>IF($A146="","",IFERROR(SUMIF(tblMotor[A_Norm],$A146,tblMotor[NetKar]),0))</f>
        <v/>
      </c>
      <c r="C146" s="17">
        <f>IF($A146="","",IFERROR(SUMIF(tblMotor[A_Norm],$A146,tblMotor[BasabasFiyat]),0))</f>
        <v/>
      </c>
      <c r="D146" s="17">
        <f>IF($A146="","",IFERROR(INDEX(tblMotor[KararSatir],MATCH($A146,tblMotor[A_Norm],0)),""))</f>
        <v/>
      </c>
      <c r="E146" s="17">
        <f>IF($A146="","",IF($B146&lt;0,"YUKSEK","NORMAL"))</f>
        <v/>
      </c>
      <c r="F146" s="17">
        <f>IF($A146="","",_xlfn.TEXTJOIN(" ",TRUE,"Barkod",$A146,"karar",$D146,"net",TEXT($B146,"0.00"),"başabaş",TEXT($C146,"0.00"),"TL"))</f>
        <v/>
      </c>
    </row>
    <row r="147">
      <c r="A147" s="17">
        <f>IF('ESLESTIRME'!$A147="","",IF('ESLESTIRME'!$G147="tutar_farki",'ESLESTIRME'!$A147,""))</f>
        <v/>
      </c>
      <c r="B147" s="17">
        <f>IF($A147="","",IFERROR(SUMIF(tblMotor[A_Norm],$A147,tblMotor[NetKar]),0))</f>
        <v/>
      </c>
      <c r="C147" s="17">
        <f>IF($A147="","",IFERROR(SUMIF(tblMotor[A_Norm],$A147,tblMotor[BasabasFiyat]),0))</f>
        <v/>
      </c>
      <c r="D147" s="17">
        <f>IF($A147="","",IFERROR(INDEX(tblMotor[KararSatir],MATCH($A147,tblMotor[A_Norm],0)),""))</f>
        <v/>
      </c>
      <c r="E147" s="17">
        <f>IF($A147="","",IF($B147&lt;0,"YUKSEK","NORMAL"))</f>
        <v/>
      </c>
      <c r="F147" s="17">
        <f>IF($A147="","",_xlfn.TEXTJOIN(" ",TRUE,"Barkod",$A147,"karar",$D147,"net",TEXT($B147,"0.00"),"başabaş",TEXT($C147,"0.00"),"TL"))</f>
        <v/>
      </c>
    </row>
    <row r="148">
      <c r="A148" s="17">
        <f>IF('ESLESTIRME'!$A148="","",IF('ESLESTIRME'!$G148="tutar_farki",'ESLESTIRME'!$A148,""))</f>
        <v/>
      </c>
      <c r="B148" s="17">
        <f>IF($A148="","",IFERROR(SUMIF(tblMotor[A_Norm],$A148,tblMotor[NetKar]),0))</f>
        <v/>
      </c>
      <c r="C148" s="17">
        <f>IF($A148="","",IFERROR(SUMIF(tblMotor[A_Norm],$A148,tblMotor[BasabasFiyat]),0))</f>
        <v/>
      </c>
      <c r="D148" s="17">
        <f>IF($A148="","",IFERROR(INDEX(tblMotor[KararSatir],MATCH($A148,tblMotor[A_Norm],0)),""))</f>
        <v/>
      </c>
      <c r="E148" s="17">
        <f>IF($A148="","",IF($B148&lt;0,"YUKSEK","NORMAL"))</f>
        <v/>
      </c>
      <c r="F148" s="17">
        <f>IF($A148="","",_xlfn.TEXTJOIN(" ",TRUE,"Barkod",$A148,"karar",$D148,"net",TEXT($B148,"0.00"),"başabaş",TEXT($C148,"0.00"),"TL"))</f>
        <v/>
      </c>
    </row>
    <row r="149">
      <c r="A149" s="17">
        <f>IF('ESLESTIRME'!$A149="","",IF('ESLESTIRME'!$G149="tutar_farki",'ESLESTIRME'!$A149,""))</f>
        <v/>
      </c>
      <c r="B149" s="17">
        <f>IF($A149="","",IFERROR(SUMIF(tblMotor[A_Norm],$A149,tblMotor[NetKar]),0))</f>
        <v/>
      </c>
      <c r="C149" s="17">
        <f>IF($A149="","",IFERROR(SUMIF(tblMotor[A_Norm],$A149,tblMotor[BasabasFiyat]),0))</f>
        <v/>
      </c>
      <c r="D149" s="17">
        <f>IF($A149="","",IFERROR(INDEX(tblMotor[KararSatir],MATCH($A149,tblMotor[A_Norm],0)),""))</f>
        <v/>
      </c>
      <c r="E149" s="17">
        <f>IF($A149="","",IF($B149&lt;0,"YUKSEK","NORMAL"))</f>
        <v/>
      </c>
      <c r="F149" s="17">
        <f>IF($A149="","",_xlfn.TEXTJOIN(" ",TRUE,"Barkod",$A149,"karar",$D149,"net",TEXT($B149,"0.00"),"başabaş",TEXT($C149,"0.00"),"TL"))</f>
        <v/>
      </c>
    </row>
    <row r="150">
      <c r="A150" s="17">
        <f>IF('ESLESTIRME'!$A150="","",IF('ESLESTIRME'!$G150="tutar_farki",'ESLESTIRME'!$A150,""))</f>
        <v/>
      </c>
      <c r="B150" s="17">
        <f>IF($A150="","",IFERROR(SUMIF(tblMotor[A_Norm],$A150,tblMotor[NetKar]),0))</f>
        <v/>
      </c>
      <c r="C150" s="17">
        <f>IF($A150="","",IFERROR(SUMIF(tblMotor[A_Norm],$A150,tblMotor[BasabasFiyat]),0))</f>
        <v/>
      </c>
      <c r="D150" s="17">
        <f>IF($A150="","",IFERROR(INDEX(tblMotor[KararSatir],MATCH($A150,tblMotor[A_Norm],0)),""))</f>
        <v/>
      </c>
      <c r="E150" s="17">
        <f>IF($A150="","",IF($B150&lt;0,"YUKSEK","NORMAL"))</f>
        <v/>
      </c>
      <c r="F150" s="17">
        <f>IF($A150="","",_xlfn.TEXTJOIN(" ",TRUE,"Barkod",$A150,"karar",$D150,"net",TEXT($B150,"0.00"),"başabaş",TEXT($C150,"0.00"),"TL"))</f>
        <v/>
      </c>
    </row>
    <row r="151">
      <c r="A151" s="17">
        <f>IF('ESLESTIRME'!$A151="","",IF('ESLESTIRME'!$G151="tutar_farki",'ESLESTIRME'!$A151,""))</f>
        <v/>
      </c>
      <c r="B151" s="17">
        <f>IF($A151="","",IFERROR(SUMIF(tblMotor[A_Norm],$A151,tblMotor[NetKar]),0))</f>
        <v/>
      </c>
      <c r="C151" s="17">
        <f>IF($A151="","",IFERROR(SUMIF(tblMotor[A_Norm],$A151,tblMotor[BasabasFiyat]),0))</f>
        <v/>
      </c>
      <c r="D151" s="17">
        <f>IF($A151="","",IFERROR(INDEX(tblMotor[KararSatir],MATCH($A151,tblMotor[A_Norm],0)),""))</f>
        <v/>
      </c>
      <c r="E151" s="17">
        <f>IF($A151="","",IF($B151&lt;0,"YUKSEK","NORMAL"))</f>
        <v/>
      </c>
      <c r="F151" s="17">
        <f>IF($A151="","",_xlfn.TEXTJOIN(" ",TRUE,"Barkod",$A151,"karar",$D151,"net",TEXT($B151,"0.00"),"başabaş",TEXT($C151,"0.00"),"TL"))</f>
        <v/>
      </c>
    </row>
    <row r="152">
      <c r="A152" s="17">
        <f>IF('ESLESTIRME'!$A152="","",IF('ESLESTIRME'!$G152="tutar_farki",'ESLESTIRME'!$A152,""))</f>
        <v/>
      </c>
      <c r="B152" s="17">
        <f>IF($A152="","",IFERROR(SUMIF(tblMotor[A_Norm],$A152,tblMotor[NetKar]),0))</f>
        <v/>
      </c>
      <c r="C152" s="17">
        <f>IF($A152="","",IFERROR(SUMIF(tblMotor[A_Norm],$A152,tblMotor[BasabasFiyat]),0))</f>
        <v/>
      </c>
      <c r="D152" s="17">
        <f>IF($A152="","",IFERROR(INDEX(tblMotor[KararSatir],MATCH($A152,tblMotor[A_Norm],0)),""))</f>
        <v/>
      </c>
      <c r="E152" s="17">
        <f>IF($A152="","",IF($B152&lt;0,"YUKSEK","NORMAL"))</f>
        <v/>
      </c>
      <c r="F152" s="17">
        <f>IF($A152="","",_xlfn.TEXTJOIN(" ",TRUE,"Barkod",$A152,"karar",$D152,"net",TEXT($B152,"0.00"),"başabaş",TEXT($C152,"0.00"),"TL"))</f>
        <v/>
      </c>
    </row>
    <row r="153">
      <c r="A153" s="17">
        <f>IF('ESLESTIRME'!$A153="","",IF('ESLESTIRME'!$G153="tutar_farki",'ESLESTIRME'!$A153,""))</f>
        <v/>
      </c>
      <c r="B153" s="17">
        <f>IF($A153="","",IFERROR(SUMIF(tblMotor[A_Norm],$A153,tblMotor[NetKar]),0))</f>
        <v/>
      </c>
      <c r="C153" s="17">
        <f>IF($A153="","",IFERROR(SUMIF(tblMotor[A_Norm],$A153,tblMotor[BasabasFiyat]),0))</f>
        <v/>
      </c>
      <c r="D153" s="17">
        <f>IF($A153="","",IFERROR(INDEX(tblMotor[KararSatir],MATCH($A153,tblMotor[A_Norm],0)),""))</f>
        <v/>
      </c>
      <c r="E153" s="17">
        <f>IF($A153="","",IF($B153&lt;0,"YUKSEK","NORMAL"))</f>
        <v/>
      </c>
      <c r="F153" s="17">
        <f>IF($A153="","",_xlfn.TEXTJOIN(" ",TRUE,"Barkod",$A153,"karar",$D153,"net",TEXT($B153,"0.00"),"başabaş",TEXT($C153,"0.00"),"TL"))</f>
        <v/>
      </c>
    </row>
    <row r="154">
      <c r="A154" s="17">
        <f>IF('ESLESTIRME'!$A154="","",IF('ESLESTIRME'!$G154="tutar_farki",'ESLESTIRME'!$A154,""))</f>
        <v/>
      </c>
      <c r="B154" s="17">
        <f>IF($A154="","",IFERROR(SUMIF(tblMotor[A_Norm],$A154,tblMotor[NetKar]),0))</f>
        <v/>
      </c>
      <c r="C154" s="17">
        <f>IF($A154="","",IFERROR(SUMIF(tblMotor[A_Norm],$A154,tblMotor[BasabasFiyat]),0))</f>
        <v/>
      </c>
      <c r="D154" s="17">
        <f>IF($A154="","",IFERROR(INDEX(tblMotor[KararSatir],MATCH($A154,tblMotor[A_Norm],0)),""))</f>
        <v/>
      </c>
      <c r="E154" s="17">
        <f>IF($A154="","",IF($B154&lt;0,"YUKSEK","NORMAL"))</f>
        <v/>
      </c>
      <c r="F154" s="17">
        <f>IF($A154="","",_xlfn.TEXTJOIN(" ",TRUE,"Barkod",$A154,"karar",$D154,"net",TEXT($B154,"0.00"),"başabaş",TEXT($C154,"0.00"),"TL"))</f>
        <v/>
      </c>
    </row>
    <row r="155">
      <c r="A155" s="17">
        <f>IF('ESLESTIRME'!$A155="","",IF('ESLESTIRME'!$G155="tutar_farki",'ESLESTIRME'!$A155,""))</f>
        <v/>
      </c>
      <c r="B155" s="17">
        <f>IF($A155="","",IFERROR(SUMIF(tblMotor[A_Norm],$A155,tblMotor[NetKar]),0))</f>
        <v/>
      </c>
      <c r="C155" s="17">
        <f>IF($A155="","",IFERROR(SUMIF(tblMotor[A_Norm],$A155,tblMotor[BasabasFiyat]),0))</f>
        <v/>
      </c>
      <c r="D155" s="17">
        <f>IF($A155="","",IFERROR(INDEX(tblMotor[KararSatir],MATCH($A155,tblMotor[A_Norm],0)),""))</f>
        <v/>
      </c>
      <c r="E155" s="17">
        <f>IF($A155="","",IF($B155&lt;0,"YUKSEK","NORMAL"))</f>
        <v/>
      </c>
      <c r="F155" s="17">
        <f>IF($A155="","",_xlfn.TEXTJOIN(" ",TRUE,"Barkod",$A155,"karar",$D155,"net",TEXT($B155,"0.00"),"başabaş",TEXT($C155,"0.00"),"TL"))</f>
        <v/>
      </c>
    </row>
    <row r="156">
      <c r="A156" s="17">
        <f>IF('ESLESTIRME'!$A156="","",IF('ESLESTIRME'!$G156="tutar_farki",'ESLESTIRME'!$A156,""))</f>
        <v/>
      </c>
      <c r="B156" s="17">
        <f>IF($A156="","",IFERROR(SUMIF(tblMotor[A_Norm],$A156,tblMotor[NetKar]),0))</f>
        <v/>
      </c>
      <c r="C156" s="17">
        <f>IF($A156="","",IFERROR(SUMIF(tblMotor[A_Norm],$A156,tblMotor[BasabasFiyat]),0))</f>
        <v/>
      </c>
      <c r="D156" s="17">
        <f>IF($A156="","",IFERROR(INDEX(tblMotor[KararSatir],MATCH($A156,tblMotor[A_Norm],0)),""))</f>
        <v/>
      </c>
      <c r="E156" s="17">
        <f>IF($A156="","",IF($B156&lt;0,"YUKSEK","NORMAL"))</f>
        <v/>
      </c>
      <c r="F156" s="17">
        <f>IF($A156="","",_xlfn.TEXTJOIN(" ",TRUE,"Barkod",$A156,"karar",$D156,"net",TEXT($B156,"0.00"),"başabaş",TEXT($C156,"0.00"),"TL"))</f>
        <v/>
      </c>
    </row>
    <row r="157">
      <c r="A157" s="17">
        <f>IF('ESLESTIRME'!$A157="","",IF('ESLESTIRME'!$G157="tutar_farki",'ESLESTIRME'!$A157,""))</f>
        <v/>
      </c>
      <c r="B157" s="17">
        <f>IF($A157="","",IFERROR(SUMIF(tblMotor[A_Norm],$A157,tblMotor[NetKar]),0))</f>
        <v/>
      </c>
      <c r="C157" s="17">
        <f>IF($A157="","",IFERROR(SUMIF(tblMotor[A_Norm],$A157,tblMotor[BasabasFiyat]),0))</f>
        <v/>
      </c>
      <c r="D157" s="17">
        <f>IF($A157="","",IFERROR(INDEX(tblMotor[KararSatir],MATCH($A157,tblMotor[A_Norm],0)),""))</f>
        <v/>
      </c>
      <c r="E157" s="17">
        <f>IF($A157="","",IF($B157&lt;0,"YUKSEK","NORMAL"))</f>
        <v/>
      </c>
      <c r="F157" s="17">
        <f>IF($A157="","",_xlfn.TEXTJOIN(" ",TRUE,"Barkod",$A157,"karar",$D157,"net",TEXT($B157,"0.00"),"başabaş",TEXT($C157,"0.00"),"TL"))</f>
        <v/>
      </c>
    </row>
    <row r="158">
      <c r="A158" s="17">
        <f>IF('ESLESTIRME'!$A158="","",IF('ESLESTIRME'!$G158="tutar_farki",'ESLESTIRME'!$A158,""))</f>
        <v/>
      </c>
      <c r="B158" s="17">
        <f>IF($A158="","",IFERROR(SUMIF(tblMotor[A_Norm],$A158,tblMotor[NetKar]),0))</f>
        <v/>
      </c>
      <c r="C158" s="17">
        <f>IF($A158="","",IFERROR(SUMIF(tblMotor[A_Norm],$A158,tblMotor[BasabasFiyat]),0))</f>
        <v/>
      </c>
      <c r="D158" s="17">
        <f>IF($A158="","",IFERROR(INDEX(tblMotor[KararSatir],MATCH($A158,tblMotor[A_Norm],0)),""))</f>
        <v/>
      </c>
      <c r="E158" s="17">
        <f>IF($A158="","",IF($B158&lt;0,"YUKSEK","NORMAL"))</f>
        <v/>
      </c>
      <c r="F158" s="17">
        <f>IF($A158="","",_xlfn.TEXTJOIN(" ",TRUE,"Barkod",$A158,"karar",$D158,"net",TEXT($B158,"0.00"),"başabaş",TEXT($C158,"0.00"),"TL"))</f>
        <v/>
      </c>
    </row>
    <row r="159">
      <c r="A159" s="17">
        <f>IF('ESLESTIRME'!$A159="","",IF('ESLESTIRME'!$G159="tutar_farki",'ESLESTIRME'!$A159,""))</f>
        <v/>
      </c>
      <c r="B159" s="17">
        <f>IF($A159="","",IFERROR(SUMIF(tblMotor[A_Norm],$A159,tblMotor[NetKar]),0))</f>
        <v/>
      </c>
      <c r="C159" s="17">
        <f>IF($A159="","",IFERROR(SUMIF(tblMotor[A_Norm],$A159,tblMotor[BasabasFiyat]),0))</f>
        <v/>
      </c>
      <c r="D159" s="17">
        <f>IF($A159="","",IFERROR(INDEX(tblMotor[KararSatir],MATCH($A159,tblMotor[A_Norm],0)),""))</f>
        <v/>
      </c>
      <c r="E159" s="17">
        <f>IF($A159="","",IF($B159&lt;0,"YUKSEK","NORMAL"))</f>
        <v/>
      </c>
      <c r="F159" s="17">
        <f>IF($A159="","",_xlfn.TEXTJOIN(" ",TRUE,"Barkod",$A159,"karar",$D159,"net",TEXT($B159,"0.00"),"başabaş",TEXT($C159,"0.00"),"TL"))</f>
        <v/>
      </c>
    </row>
    <row r="160">
      <c r="A160" s="17">
        <f>IF('ESLESTIRME'!$A160="","",IF('ESLESTIRME'!$G160="tutar_farki",'ESLESTIRME'!$A160,""))</f>
        <v/>
      </c>
      <c r="B160" s="17">
        <f>IF($A160="","",IFERROR(SUMIF(tblMotor[A_Norm],$A160,tblMotor[NetKar]),0))</f>
        <v/>
      </c>
      <c r="C160" s="17">
        <f>IF($A160="","",IFERROR(SUMIF(tblMotor[A_Norm],$A160,tblMotor[BasabasFiyat]),0))</f>
        <v/>
      </c>
      <c r="D160" s="17">
        <f>IF($A160="","",IFERROR(INDEX(tblMotor[KararSatir],MATCH($A160,tblMotor[A_Norm],0)),""))</f>
        <v/>
      </c>
      <c r="E160" s="17">
        <f>IF($A160="","",IF($B160&lt;0,"YUKSEK","NORMAL"))</f>
        <v/>
      </c>
      <c r="F160" s="17">
        <f>IF($A160="","",_xlfn.TEXTJOIN(" ",TRUE,"Barkod",$A160,"karar",$D160,"net",TEXT($B160,"0.00"),"başabaş",TEXT($C160,"0.00"),"TL"))</f>
        <v/>
      </c>
    </row>
    <row r="161">
      <c r="A161" s="17">
        <f>IF('ESLESTIRME'!$A161="","",IF('ESLESTIRME'!$G161="tutar_farki",'ESLESTIRME'!$A161,""))</f>
        <v/>
      </c>
      <c r="B161" s="17">
        <f>IF($A161="","",IFERROR(SUMIF(tblMotor[A_Norm],$A161,tblMotor[NetKar]),0))</f>
        <v/>
      </c>
      <c r="C161" s="17">
        <f>IF($A161="","",IFERROR(SUMIF(tblMotor[A_Norm],$A161,tblMotor[BasabasFiyat]),0))</f>
        <v/>
      </c>
      <c r="D161" s="17">
        <f>IF($A161="","",IFERROR(INDEX(tblMotor[KararSatir],MATCH($A161,tblMotor[A_Norm],0)),""))</f>
        <v/>
      </c>
      <c r="E161" s="17">
        <f>IF($A161="","",IF($B161&lt;0,"YUKSEK","NORMAL"))</f>
        <v/>
      </c>
      <c r="F161" s="17">
        <f>IF($A161="","",_xlfn.TEXTJOIN(" ",TRUE,"Barkod",$A161,"karar",$D161,"net",TEXT($B161,"0.00"),"başabaş",TEXT($C161,"0.00"),"TL"))</f>
        <v/>
      </c>
    </row>
    <row r="162">
      <c r="A162" s="17">
        <f>IF('ESLESTIRME'!$A162="","",IF('ESLESTIRME'!$G162="tutar_farki",'ESLESTIRME'!$A162,""))</f>
        <v/>
      </c>
      <c r="B162" s="17">
        <f>IF($A162="","",IFERROR(SUMIF(tblMotor[A_Norm],$A162,tblMotor[NetKar]),0))</f>
        <v/>
      </c>
      <c r="C162" s="17">
        <f>IF($A162="","",IFERROR(SUMIF(tblMotor[A_Norm],$A162,tblMotor[BasabasFiyat]),0))</f>
        <v/>
      </c>
      <c r="D162" s="17">
        <f>IF($A162="","",IFERROR(INDEX(tblMotor[KararSatir],MATCH($A162,tblMotor[A_Norm],0)),""))</f>
        <v/>
      </c>
      <c r="E162" s="17">
        <f>IF($A162="","",IF($B162&lt;0,"YUKSEK","NORMAL"))</f>
        <v/>
      </c>
      <c r="F162" s="17">
        <f>IF($A162="","",_xlfn.TEXTJOIN(" ",TRUE,"Barkod",$A162,"karar",$D162,"net",TEXT($B162,"0.00"),"başabaş",TEXT($C162,"0.00"),"TL"))</f>
        <v/>
      </c>
    </row>
    <row r="163">
      <c r="A163" s="17">
        <f>IF('ESLESTIRME'!$A163="","",IF('ESLESTIRME'!$G163="tutar_farki",'ESLESTIRME'!$A163,""))</f>
        <v/>
      </c>
      <c r="B163" s="17">
        <f>IF($A163="","",IFERROR(SUMIF(tblMotor[A_Norm],$A163,tblMotor[NetKar]),0))</f>
        <v/>
      </c>
      <c r="C163" s="17">
        <f>IF($A163="","",IFERROR(SUMIF(tblMotor[A_Norm],$A163,tblMotor[BasabasFiyat]),0))</f>
        <v/>
      </c>
      <c r="D163" s="17">
        <f>IF($A163="","",IFERROR(INDEX(tblMotor[KararSatir],MATCH($A163,tblMotor[A_Norm],0)),""))</f>
        <v/>
      </c>
      <c r="E163" s="17">
        <f>IF($A163="","",IF($B163&lt;0,"YUKSEK","NORMAL"))</f>
        <v/>
      </c>
      <c r="F163" s="17">
        <f>IF($A163="","",_xlfn.TEXTJOIN(" ",TRUE,"Barkod",$A163,"karar",$D163,"net",TEXT($B163,"0.00"),"başabaş",TEXT($C163,"0.00"),"TL"))</f>
        <v/>
      </c>
    </row>
    <row r="164">
      <c r="A164" s="17">
        <f>IF('ESLESTIRME'!$A164="","",IF('ESLESTIRME'!$G164="tutar_farki",'ESLESTIRME'!$A164,""))</f>
        <v/>
      </c>
      <c r="B164" s="17">
        <f>IF($A164="","",IFERROR(SUMIF(tblMotor[A_Norm],$A164,tblMotor[NetKar]),0))</f>
        <v/>
      </c>
      <c r="C164" s="17">
        <f>IF($A164="","",IFERROR(SUMIF(tblMotor[A_Norm],$A164,tblMotor[BasabasFiyat]),0))</f>
        <v/>
      </c>
      <c r="D164" s="17">
        <f>IF($A164="","",IFERROR(INDEX(tblMotor[KararSatir],MATCH($A164,tblMotor[A_Norm],0)),""))</f>
        <v/>
      </c>
      <c r="E164" s="17">
        <f>IF($A164="","",IF($B164&lt;0,"YUKSEK","NORMAL"))</f>
        <v/>
      </c>
      <c r="F164" s="17">
        <f>IF($A164="","",_xlfn.TEXTJOIN(" ",TRUE,"Barkod",$A164,"karar",$D164,"net",TEXT($B164,"0.00"),"başabaş",TEXT($C164,"0.00"),"TL"))</f>
        <v/>
      </c>
    </row>
    <row r="165">
      <c r="A165" s="17">
        <f>IF('ESLESTIRME'!$A165="","",IF('ESLESTIRME'!$G165="tutar_farki",'ESLESTIRME'!$A165,""))</f>
        <v/>
      </c>
      <c r="B165" s="17">
        <f>IF($A165="","",IFERROR(SUMIF(tblMotor[A_Norm],$A165,tblMotor[NetKar]),0))</f>
        <v/>
      </c>
      <c r="C165" s="17">
        <f>IF($A165="","",IFERROR(SUMIF(tblMotor[A_Norm],$A165,tblMotor[BasabasFiyat]),0))</f>
        <v/>
      </c>
      <c r="D165" s="17">
        <f>IF($A165="","",IFERROR(INDEX(tblMotor[KararSatir],MATCH($A165,tblMotor[A_Norm],0)),""))</f>
        <v/>
      </c>
      <c r="E165" s="17">
        <f>IF($A165="","",IF($B165&lt;0,"YUKSEK","NORMAL"))</f>
        <v/>
      </c>
      <c r="F165" s="17">
        <f>IF($A165="","",_xlfn.TEXTJOIN(" ",TRUE,"Barkod",$A165,"karar",$D165,"net",TEXT($B165,"0.00"),"başabaş",TEXT($C165,"0.00"),"TL"))</f>
        <v/>
      </c>
    </row>
    <row r="166">
      <c r="A166" s="17">
        <f>IF('ESLESTIRME'!$A166="","",IF('ESLESTIRME'!$G166="tutar_farki",'ESLESTIRME'!$A166,""))</f>
        <v/>
      </c>
      <c r="B166" s="17">
        <f>IF($A166="","",IFERROR(SUMIF(tblMotor[A_Norm],$A166,tblMotor[NetKar]),0))</f>
        <v/>
      </c>
      <c r="C166" s="17">
        <f>IF($A166="","",IFERROR(SUMIF(tblMotor[A_Norm],$A166,tblMotor[BasabasFiyat]),0))</f>
        <v/>
      </c>
      <c r="D166" s="17">
        <f>IF($A166="","",IFERROR(INDEX(tblMotor[KararSatir],MATCH($A166,tblMotor[A_Norm],0)),""))</f>
        <v/>
      </c>
      <c r="E166" s="17">
        <f>IF($A166="","",IF($B166&lt;0,"YUKSEK","NORMAL"))</f>
        <v/>
      </c>
      <c r="F166" s="17">
        <f>IF($A166="","",_xlfn.TEXTJOIN(" ",TRUE,"Barkod",$A166,"karar",$D166,"net",TEXT($B166,"0.00"),"başabaş",TEXT($C166,"0.00"),"TL"))</f>
        <v/>
      </c>
    </row>
    <row r="167">
      <c r="A167" s="17">
        <f>IF('ESLESTIRME'!$A167="","",IF('ESLESTIRME'!$G167="tutar_farki",'ESLESTIRME'!$A167,""))</f>
        <v/>
      </c>
      <c r="B167" s="17">
        <f>IF($A167="","",IFERROR(SUMIF(tblMotor[A_Norm],$A167,tblMotor[NetKar]),0))</f>
        <v/>
      </c>
      <c r="C167" s="17">
        <f>IF($A167="","",IFERROR(SUMIF(tblMotor[A_Norm],$A167,tblMotor[BasabasFiyat]),0))</f>
        <v/>
      </c>
      <c r="D167" s="17">
        <f>IF($A167="","",IFERROR(INDEX(tblMotor[KararSatir],MATCH($A167,tblMotor[A_Norm],0)),""))</f>
        <v/>
      </c>
      <c r="E167" s="17">
        <f>IF($A167="","",IF($B167&lt;0,"YUKSEK","NORMAL"))</f>
        <v/>
      </c>
      <c r="F167" s="17">
        <f>IF($A167="","",_xlfn.TEXTJOIN(" ",TRUE,"Barkod",$A167,"karar",$D167,"net",TEXT($B167,"0.00"),"başabaş",TEXT($C167,"0.00"),"TL"))</f>
        <v/>
      </c>
    </row>
    <row r="168">
      <c r="A168" s="17">
        <f>IF('ESLESTIRME'!$A168="","",IF('ESLESTIRME'!$G168="tutar_farki",'ESLESTIRME'!$A168,""))</f>
        <v/>
      </c>
      <c r="B168" s="17">
        <f>IF($A168="","",IFERROR(SUMIF(tblMotor[A_Norm],$A168,tblMotor[NetKar]),0))</f>
        <v/>
      </c>
      <c r="C168" s="17">
        <f>IF($A168="","",IFERROR(SUMIF(tblMotor[A_Norm],$A168,tblMotor[BasabasFiyat]),0))</f>
        <v/>
      </c>
      <c r="D168" s="17">
        <f>IF($A168="","",IFERROR(INDEX(tblMotor[KararSatir],MATCH($A168,tblMotor[A_Norm],0)),""))</f>
        <v/>
      </c>
      <c r="E168" s="17">
        <f>IF($A168="","",IF($B168&lt;0,"YUKSEK","NORMAL"))</f>
        <v/>
      </c>
      <c r="F168" s="17">
        <f>IF($A168="","",_xlfn.TEXTJOIN(" ",TRUE,"Barkod",$A168,"karar",$D168,"net",TEXT($B168,"0.00"),"başabaş",TEXT($C168,"0.00"),"TL"))</f>
        <v/>
      </c>
    </row>
    <row r="169">
      <c r="A169" s="17">
        <f>IF('ESLESTIRME'!$A169="","",IF('ESLESTIRME'!$G169="tutar_farki",'ESLESTIRME'!$A169,""))</f>
        <v/>
      </c>
      <c r="B169" s="17">
        <f>IF($A169="","",IFERROR(SUMIF(tblMotor[A_Norm],$A169,tblMotor[NetKar]),0))</f>
        <v/>
      </c>
      <c r="C169" s="17">
        <f>IF($A169="","",IFERROR(SUMIF(tblMotor[A_Norm],$A169,tblMotor[BasabasFiyat]),0))</f>
        <v/>
      </c>
      <c r="D169" s="17">
        <f>IF($A169="","",IFERROR(INDEX(tblMotor[KararSatir],MATCH($A169,tblMotor[A_Norm],0)),""))</f>
        <v/>
      </c>
      <c r="E169" s="17">
        <f>IF($A169="","",IF($B169&lt;0,"YUKSEK","NORMAL"))</f>
        <v/>
      </c>
      <c r="F169" s="17">
        <f>IF($A169="","",_xlfn.TEXTJOIN(" ",TRUE,"Barkod",$A169,"karar",$D169,"net",TEXT($B169,"0.00"),"başabaş",TEXT($C169,"0.00"),"TL"))</f>
        <v/>
      </c>
    </row>
    <row r="170">
      <c r="A170" s="17">
        <f>IF('ESLESTIRME'!$A170="","",IF('ESLESTIRME'!$G170="tutar_farki",'ESLESTIRME'!$A170,""))</f>
        <v/>
      </c>
      <c r="B170" s="17">
        <f>IF($A170="","",IFERROR(SUMIF(tblMotor[A_Norm],$A170,tblMotor[NetKar]),0))</f>
        <v/>
      </c>
      <c r="C170" s="17">
        <f>IF($A170="","",IFERROR(SUMIF(tblMotor[A_Norm],$A170,tblMotor[BasabasFiyat]),0))</f>
        <v/>
      </c>
      <c r="D170" s="17">
        <f>IF($A170="","",IFERROR(INDEX(tblMotor[KararSatir],MATCH($A170,tblMotor[A_Norm],0)),""))</f>
        <v/>
      </c>
      <c r="E170" s="17">
        <f>IF($A170="","",IF($B170&lt;0,"YUKSEK","NORMAL"))</f>
        <v/>
      </c>
      <c r="F170" s="17">
        <f>IF($A170="","",_xlfn.TEXTJOIN(" ",TRUE,"Barkod",$A170,"karar",$D170,"net",TEXT($B170,"0.00"),"başabaş",TEXT($C170,"0.00"),"TL"))</f>
        <v/>
      </c>
    </row>
    <row r="171">
      <c r="A171" s="17">
        <f>IF('ESLESTIRME'!$A171="","",IF('ESLESTIRME'!$G171="tutar_farki",'ESLESTIRME'!$A171,""))</f>
        <v/>
      </c>
      <c r="B171" s="17">
        <f>IF($A171="","",IFERROR(SUMIF(tblMotor[A_Norm],$A171,tblMotor[NetKar]),0))</f>
        <v/>
      </c>
      <c r="C171" s="17">
        <f>IF($A171="","",IFERROR(SUMIF(tblMotor[A_Norm],$A171,tblMotor[BasabasFiyat]),0))</f>
        <v/>
      </c>
      <c r="D171" s="17">
        <f>IF($A171="","",IFERROR(INDEX(tblMotor[KararSatir],MATCH($A171,tblMotor[A_Norm],0)),""))</f>
        <v/>
      </c>
      <c r="E171" s="17">
        <f>IF($A171="","",IF($B171&lt;0,"YUKSEK","NORMAL"))</f>
        <v/>
      </c>
      <c r="F171" s="17">
        <f>IF($A171="","",_xlfn.TEXTJOIN(" ",TRUE,"Barkod",$A171,"karar",$D171,"net",TEXT($B171,"0.00"),"başabaş",TEXT($C171,"0.00"),"TL"))</f>
        <v/>
      </c>
    </row>
    <row r="172">
      <c r="A172" s="17">
        <f>IF('ESLESTIRME'!$A172="","",IF('ESLESTIRME'!$G172="tutar_farki",'ESLESTIRME'!$A172,""))</f>
        <v/>
      </c>
      <c r="B172" s="17">
        <f>IF($A172="","",IFERROR(SUMIF(tblMotor[A_Norm],$A172,tblMotor[NetKar]),0))</f>
        <v/>
      </c>
      <c r="C172" s="17">
        <f>IF($A172="","",IFERROR(SUMIF(tblMotor[A_Norm],$A172,tblMotor[BasabasFiyat]),0))</f>
        <v/>
      </c>
      <c r="D172" s="17">
        <f>IF($A172="","",IFERROR(INDEX(tblMotor[KararSatir],MATCH($A172,tblMotor[A_Norm],0)),""))</f>
        <v/>
      </c>
      <c r="E172" s="17">
        <f>IF($A172="","",IF($B172&lt;0,"YUKSEK","NORMAL"))</f>
        <v/>
      </c>
      <c r="F172" s="17">
        <f>IF($A172="","",_xlfn.TEXTJOIN(" ",TRUE,"Barkod",$A172,"karar",$D172,"net",TEXT($B172,"0.00"),"başabaş",TEXT($C172,"0.00"),"TL"))</f>
        <v/>
      </c>
    </row>
    <row r="173">
      <c r="A173" s="17">
        <f>IF('ESLESTIRME'!$A173="","",IF('ESLESTIRME'!$G173="tutar_farki",'ESLESTIRME'!$A173,""))</f>
        <v/>
      </c>
      <c r="B173" s="17">
        <f>IF($A173="","",IFERROR(SUMIF(tblMotor[A_Norm],$A173,tblMotor[NetKar]),0))</f>
        <v/>
      </c>
      <c r="C173" s="17">
        <f>IF($A173="","",IFERROR(SUMIF(tblMotor[A_Norm],$A173,tblMotor[BasabasFiyat]),0))</f>
        <v/>
      </c>
      <c r="D173" s="17">
        <f>IF($A173="","",IFERROR(INDEX(tblMotor[KararSatir],MATCH($A173,tblMotor[A_Norm],0)),""))</f>
        <v/>
      </c>
      <c r="E173" s="17">
        <f>IF($A173="","",IF($B173&lt;0,"YUKSEK","NORMAL"))</f>
        <v/>
      </c>
      <c r="F173" s="17">
        <f>IF($A173="","",_xlfn.TEXTJOIN(" ",TRUE,"Barkod",$A173,"karar",$D173,"net",TEXT($B173,"0.00"),"başabaş",TEXT($C173,"0.00"),"TL"))</f>
        <v/>
      </c>
    </row>
    <row r="174">
      <c r="A174" s="17">
        <f>IF('ESLESTIRME'!$A174="","",IF('ESLESTIRME'!$G174="tutar_farki",'ESLESTIRME'!$A174,""))</f>
        <v/>
      </c>
      <c r="B174" s="17">
        <f>IF($A174="","",IFERROR(SUMIF(tblMotor[A_Norm],$A174,tblMotor[NetKar]),0))</f>
        <v/>
      </c>
      <c r="C174" s="17">
        <f>IF($A174="","",IFERROR(SUMIF(tblMotor[A_Norm],$A174,tblMotor[BasabasFiyat]),0))</f>
        <v/>
      </c>
      <c r="D174" s="17">
        <f>IF($A174="","",IFERROR(INDEX(tblMotor[KararSatir],MATCH($A174,tblMotor[A_Norm],0)),""))</f>
        <v/>
      </c>
      <c r="E174" s="17">
        <f>IF($A174="","",IF($B174&lt;0,"YUKSEK","NORMAL"))</f>
        <v/>
      </c>
      <c r="F174" s="17">
        <f>IF($A174="","",_xlfn.TEXTJOIN(" ",TRUE,"Barkod",$A174,"karar",$D174,"net",TEXT($B174,"0.00"),"başabaş",TEXT($C174,"0.00"),"TL"))</f>
        <v/>
      </c>
    </row>
    <row r="175">
      <c r="A175" s="17">
        <f>IF('ESLESTIRME'!$A175="","",IF('ESLESTIRME'!$G175="tutar_farki",'ESLESTIRME'!$A175,""))</f>
        <v/>
      </c>
      <c r="B175" s="17">
        <f>IF($A175="","",IFERROR(SUMIF(tblMotor[A_Norm],$A175,tblMotor[NetKar]),0))</f>
        <v/>
      </c>
      <c r="C175" s="17">
        <f>IF($A175="","",IFERROR(SUMIF(tblMotor[A_Norm],$A175,tblMotor[BasabasFiyat]),0))</f>
        <v/>
      </c>
      <c r="D175" s="17">
        <f>IF($A175="","",IFERROR(INDEX(tblMotor[KararSatir],MATCH($A175,tblMotor[A_Norm],0)),""))</f>
        <v/>
      </c>
      <c r="E175" s="17">
        <f>IF($A175="","",IF($B175&lt;0,"YUKSEK","NORMAL"))</f>
        <v/>
      </c>
      <c r="F175" s="17">
        <f>IF($A175="","",_xlfn.TEXTJOIN(" ",TRUE,"Barkod",$A175,"karar",$D175,"net",TEXT($B175,"0.00"),"başabaş",TEXT($C175,"0.00"),"TL"))</f>
        <v/>
      </c>
    </row>
    <row r="176">
      <c r="A176" s="17">
        <f>IF('ESLESTIRME'!$A176="","",IF('ESLESTIRME'!$G176="tutar_farki",'ESLESTIRME'!$A176,""))</f>
        <v/>
      </c>
      <c r="B176" s="17">
        <f>IF($A176="","",IFERROR(SUMIF(tblMotor[A_Norm],$A176,tblMotor[NetKar]),0))</f>
        <v/>
      </c>
      <c r="C176" s="17">
        <f>IF($A176="","",IFERROR(SUMIF(tblMotor[A_Norm],$A176,tblMotor[BasabasFiyat]),0))</f>
        <v/>
      </c>
      <c r="D176" s="17">
        <f>IF($A176="","",IFERROR(INDEX(tblMotor[KararSatir],MATCH($A176,tblMotor[A_Norm],0)),""))</f>
        <v/>
      </c>
      <c r="E176" s="17">
        <f>IF($A176="","",IF($B176&lt;0,"YUKSEK","NORMAL"))</f>
        <v/>
      </c>
      <c r="F176" s="17">
        <f>IF($A176="","",_xlfn.TEXTJOIN(" ",TRUE,"Barkod",$A176,"karar",$D176,"net",TEXT($B176,"0.00"),"başabaş",TEXT($C176,"0.00"),"TL"))</f>
        <v/>
      </c>
    </row>
    <row r="177">
      <c r="A177" s="17">
        <f>IF('ESLESTIRME'!$A177="","",IF('ESLESTIRME'!$G177="tutar_farki",'ESLESTIRME'!$A177,""))</f>
        <v/>
      </c>
      <c r="B177" s="17">
        <f>IF($A177="","",IFERROR(SUMIF(tblMotor[A_Norm],$A177,tblMotor[NetKar]),0))</f>
        <v/>
      </c>
      <c r="C177" s="17">
        <f>IF($A177="","",IFERROR(SUMIF(tblMotor[A_Norm],$A177,tblMotor[BasabasFiyat]),0))</f>
        <v/>
      </c>
      <c r="D177" s="17">
        <f>IF($A177="","",IFERROR(INDEX(tblMotor[KararSatir],MATCH($A177,tblMotor[A_Norm],0)),""))</f>
        <v/>
      </c>
      <c r="E177" s="17">
        <f>IF($A177="","",IF($B177&lt;0,"YUKSEK","NORMAL"))</f>
        <v/>
      </c>
      <c r="F177" s="17">
        <f>IF($A177="","",_xlfn.TEXTJOIN(" ",TRUE,"Barkod",$A177,"karar",$D177,"net",TEXT($B177,"0.00"),"başabaş",TEXT($C177,"0.00"),"TL"))</f>
        <v/>
      </c>
    </row>
    <row r="178">
      <c r="A178" s="17">
        <f>IF('ESLESTIRME'!$A178="","",IF('ESLESTIRME'!$G178="tutar_farki",'ESLESTIRME'!$A178,""))</f>
        <v/>
      </c>
      <c r="B178" s="17">
        <f>IF($A178="","",IFERROR(SUMIF(tblMotor[A_Norm],$A178,tblMotor[NetKar]),0))</f>
        <v/>
      </c>
      <c r="C178" s="17">
        <f>IF($A178="","",IFERROR(SUMIF(tblMotor[A_Norm],$A178,tblMotor[BasabasFiyat]),0))</f>
        <v/>
      </c>
      <c r="D178" s="17">
        <f>IF($A178="","",IFERROR(INDEX(tblMotor[KararSatir],MATCH($A178,tblMotor[A_Norm],0)),""))</f>
        <v/>
      </c>
      <c r="E178" s="17">
        <f>IF($A178="","",IF($B178&lt;0,"YUKSEK","NORMAL"))</f>
        <v/>
      </c>
      <c r="F178" s="17">
        <f>IF($A178="","",_xlfn.TEXTJOIN(" ",TRUE,"Barkod",$A178,"karar",$D178,"net",TEXT($B178,"0.00"),"başabaş",TEXT($C178,"0.00"),"TL"))</f>
        <v/>
      </c>
    </row>
    <row r="179">
      <c r="A179" s="17">
        <f>IF('ESLESTIRME'!$A179="","",IF('ESLESTIRME'!$G179="tutar_farki",'ESLESTIRME'!$A179,""))</f>
        <v/>
      </c>
      <c r="B179" s="17">
        <f>IF($A179="","",IFERROR(SUMIF(tblMotor[A_Norm],$A179,tblMotor[NetKar]),0))</f>
        <v/>
      </c>
      <c r="C179" s="17">
        <f>IF($A179="","",IFERROR(SUMIF(tblMotor[A_Norm],$A179,tblMotor[BasabasFiyat]),0))</f>
        <v/>
      </c>
      <c r="D179" s="17">
        <f>IF($A179="","",IFERROR(INDEX(tblMotor[KararSatir],MATCH($A179,tblMotor[A_Norm],0)),""))</f>
        <v/>
      </c>
      <c r="E179" s="17">
        <f>IF($A179="","",IF($B179&lt;0,"YUKSEK","NORMAL"))</f>
        <v/>
      </c>
      <c r="F179" s="17">
        <f>IF($A179="","",_xlfn.TEXTJOIN(" ",TRUE,"Barkod",$A179,"karar",$D179,"net",TEXT($B179,"0.00"),"başabaş",TEXT($C179,"0.00"),"TL"))</f>
        <v/>
      </c>
    </row>
    <row r="180">
      <c r="A180" s="17">
        <f>IF('ESLESTIRME'!$A180="","",IF('ESLESTIRME'!$G180="tutar_farki",'ESLESTIRME'!$A180,""))</f>
        <v/>
      </c>
      <c r="B180" s="17">
        <f>IF($A180="","",IFERROR(SUMIF(tblMotor[A_Norm],$A180,tblMotor[NetKar]),0))</f>
        <v/>
      </c>
      <c r="C180" s="17">
        <f>IF($A180="","",IFERROR(SUMIF(tblMotor[A_Norm],$A180,tblMotor[BasabasFiyat]),0))</f>
        <v/>
      </c>
      <c r="D180" s="17">
        <f>IF($A180="","",IFERROR(INDEX(tblMotor[KararSatir],MATCH($A180,tblMotor[A_Norm],0)),""))</f>
        <v/>
      </c>
      <c r="E180" s="17">
        <f>IF($A180="","",IF($B180&lt;0,"YUKSEK","NORMAL"))</f>
        <v/>
      </c>
      <c r="F180" s="17">
        <f>IF($A180="","",_xlfn.TEXTJOIN(" ",TRUE,"Barkod",$A180,"karar",$D180,"net",TEXT($B180,"0.00"),"başabaş",TEXT($C180,"0.00"),"TL"))</f>
        <v/>
      </c>
    </row>
    <row r="181">
      <c r="A181" s="17">
        <f>IF('ESLESTIRME'!$A181="","",IF('ESLESTIRME'!$G181="tutar_farki",'ESLESTIRME'!$A181,""))</f>
        <v/>
      </c>
      <c r="B181" s="17">
        <f>IF($A181="","",IFERROR(SUMIF(tblMotor[A_Norm],$A181,tblMotor[NetKar]),0))</f>
        <v/>
      </c>
      <c r="C181" s="17">
        <f>IF($A181="","",IFERROR(SUMIF(tblMotor[A_Norm],$A181,tblMotor[BasabasFiyat]),0))</f>
        <v/>
      </c>
      <c r="D181" s="17">
        <f>IF($A181="","",IFERROR(INDEX(tblMotor[KararSatir],MATCH($A181,tblMotor[A_Norm],0)),""))</f>
        <v/>
      </c>
      <c r="E181" s="17">
        <f>IF($A181="","",IF($B181&lt;0,"YUKSEK","NORMAL"))</f>
        <v/>
      </c>
      <c r="F181" s="17">
        <f>IF($A181="","",_xlfn.TEXTJOIN(" ",TRUE,"Barkod",$A181,"karar",$D181,"net",TEXT($B181,"0.00"),"başabaş",TEXT($C181,"0.00"),"TL"))</f>
        <v/>
      </c>
    </row>
    <row r="182">
      <c r="A182" s="17">
        <f>IF('ESLESTIRME'!$A182="","",IF('ESLESTIRME'!$G182="tutar_farki",'ESLESTIRME'!$A182,""))</f>
        <v/>
      </c>
      <c r="B182" s="17">
        <f>IF($A182="","",IFERROR(SUMIF(tblMotor[A_Norm],$A182,tblMotor[NetKar]),0))</f>
        <v/>
      </c>
      <c r="C182" s="17">
        <f>IF($A182="","",IFERROR(SUMIF(tblMotor[A_Norm],$A182,tblMotor[BasabasFiyat]),0))</f>
        <v/>
      </c>
      <c r="D182" s="17">
        <f>IF($A182="","",IFERROR(INDEX(tblMotor[KararSatir],MATCH($A182,tblMotor[A_Norm],0)),""))</f>
        <v/>
      </c>
      <c r="E182" s="17">
        <f>IF($A182="","",IF($B182&lt;0,"YUKSEK","NORMAL"))</f>
        <v/>
      </c>
      <c r="F182" s="17">
        <f>IF($A182="","",_xlfn.TEXTJOIN(" ",TRUE,"Barkod",$A182,"karar",$D182,"net",TEXT($B182,"0.00"),"başabaş",TEXT($C182,"0.00"),"TL"))</f>
        <v/>
      </c>
    </row>
    <row r="183">
      <c r="A183" s="17">
        <f>IF('ESLESTIRME'!$A183="","",IF('ESLESTIRME'!$G183="tutar_farki",'ESLESTIRME'!$A183,""))</f>
        <v/>
      </c>
      <c r="B183" s="17">
        <f>IF($A183="","",IFERROR(SUMIF(tblMotor[A_Norm],$A183,tblMotor[NetKar]),0))</f>
        <v/>
      </c>
      <c r="C183" s="17">
        <f>IF($A183="","",IFERROR(SUMIF(tblMotor[A_Norm],$A183,tblMotor[BasabasFiyat]),0))</f>
        <v/>
      </c>
      <c r="D183" s="17">
        <f>IF($A183="","",IFERROR(INDEX(tblMotor[KararSatir],MATCH($A183,tblMotor[A_Norm],0)),""))</f>
        <v/>
      </c>
      <c r="E183" s="17">
        <f>IF($A183="","",IF($B183&lt;0,"YUKSEK","NORMAL"))</f>
        <v/>
      </c>
      <c r="F183" s="17">
        <f>IF($A183="","",_xlfn.TEXTJOIN(" ",TRUE,"Barkod",$A183,"karar",$D183,"net",TEXT($B183,"0.00"),"başabaş",TEXT($C183,"0.00"),"TL"))</f>
        <v/>
      </c>
    </row>
    <row r="184">
      <c r="A184" s="17">
        <f>IF('ESLESTIRME'!$A184="","",IF('ESLESTIRME'!$G184="tutar_farki",'ESLESTIRME'!$A184,""))</f>
        <v/>
      </c>
      <c r="B184" s="17">
        <f>IF($A184="","",IFERROR(SUMIF(tblMotor[A_Norm],$A184,tblMotor[NetKar]),0))</f>
        <v/>
      </c>
      <c r="C184" s="17">
        <f>IF($A184="","",IFERROR(SUMIF(tblMotor[A_Norm],$A184,tblMotor[BasabasFiyat]),0))</f>
        <v/>
      </c>
      <c r="D184" s="17">
        <f>IF($A184="","",IFERROR(INDEX(tblMotor[KararSatir],MATCH($A184,tblMotor[A_Norm],0)),""))</f>
        <v/>
      </c>
      <c r="E184" s="17">
        <f>IF($A184="","",IF($B184&lt;0,"YUKSEK","NORMAL"))</f>
        <v/>
      </c>
      <c r="F184" s="17">
        <f>IF($A184="","",_xlfn.TEXTJOIN(" ",TRUE,"Barkod",$A184,"karar",$D184,"net",TEXT($B184,"0.00"),"başabaş",TEXT($C184,"0.00"),"TL"))</f>
        <v/>
      </c>
    </row>
    <row r="185">
      <c r="A185" s="17">
        <f>IF('ESLESTIRME'!$A185="","",IF('ESLESTIRME'!$G185="tutar_farki",'ESLESTIRME'!$A185,""))</f>
        <v/>
      </c>
      <c r="B185" s="17">
        <f>IF($A185="","",IFERROR(SUMIF(tblMotor[A_Norm],$A185,tblMotor[NetKar]),0))</f>
        <v/>
      </c>
      <c r="C185" s="17">
        <f>IF($A185="","",IFERROR(SUMIF(tblMotor[A_Norm],$A185,tblMotor[BasabasFiyat]),0))</f>
        <v/>
      </c>
      <c r="D185" s="17">
        <f>IF($A185="","",IFERROR(INDEX(tblMotor[KararSatir],MATCH($A185,tblMotor[A_Norm],0)),""))</f>
        <v/>
      </c>
      <c r="E185" s="17">
        <f>IF($A185="","",IF($B185&lt;0,"YUKSEK","NORMAL"))</f>
        <v/>
      </c>
      <c r="F185" s="17">
        <f>IF($A185="","",_xlfn.TEXTJOIN(" ",TRUE,"Barkod",$A185,"karar",$D185,"net",TEXT($B185,"0.00"),"başabaş",TEXT($C185,"0.00"),"TL"))</f>
        <v/>
      </c>
    </row>
    <row r="186">
      <c r="A186" s="17">
        <f>IF('ESLESTIRME'!$A186="","",IF('ESLESTIRME'!$G186="tutar_farki",'ESLESTIRME'!$A186,""))</f>
        <v/>
      </c>
      <c r="B186" s="17">
        <f>IF($A186="","",IFERROR(SUMIF(tblMotor[A_Norm],$A186,tblMotor[NetKar]),0))</f>
        <v/>
      </c>
      <c r="C186" s="17">
        <f>IF($A186="","",IFERROR(SUMIF(tblMotor[A_Norm],$A186,tblMotor[BasabasFiyat]),0))</f>
        <v/>
      </c>
      <c r="D186" s="17">
        <f>IF($A186="","",IFERROR(INDEX(tblMotor[KararSatir],MATCH($A186,tblMotor[A_Norm],0)),""))</f>
        <v/>
      </c>
      <c r="E186" s="17">
        <f>IF($A186="","",IF($B186&lt;0,"YUKSEK","NORMAL"))</f>
        <v/>
      </c>
      <c r="F186" s="17">
        <f>IF($A186="","",_xlfn.TEXTJOIN(" ",TRUE,"Barkod",$A186,"karar",$D186,"net",TEXT($B186,"0.00"),"başabaş",TEXT($C186,"0.00"),"TL"))</f>
        <v/>
      </c>
    </row>
    <row r="187">
      <c r="A187" s="17">
        <f>IF('ESLESTIRME'!$A187="","",IF('ESLESTIRME'!$G187="tutar_farki",'ESLESTIRME'!$A187,""))</f>
        <v/>
      </c>
      <c r="B187" s="17">
        <f>IF($A187="","",IFERROR(SUMIF(tblMotor[A_Norm],$A187,tblMotor[NetKar]),0))</f>
        <v/>
      </c>
      <c r="C187" s="17">
        <f>IF($A187="","",IFERROR(SUMIF(tblMotor[A_Norm],$A187,tblMotor[BasabasFiyat]),0))</f>
        <v/>
      </c>
      <c r="D187" s="17">
        <f>IF($A187="","",IFERROR(INDEX(tblMotor[KararSatir],MATCH($A187,tblMotor[A_Norm],0)),""))</f>
        <v/>
      </c>
      <c r="E187" s="17">
        <f>IF($A187="","",IF($B187&lt;0,"YUKSEK","NORMAL"))</f>
        <v/>
      </c>
      <c r="F187" s="17">
        <f>IF($A187="","",_xlfn.TEXTJOIN(" ",TRUE,"Barkod",$A187,"karar",$D187,"net",TEXT($B187,"0.00"),"başabaş",TEXT($C187,"0.00"),"TL"))</f>
        <v/>
      </c>
    </row>
    <row r="188">
      <c r="A188" s="17">
        <f>IF('ESLESTIRME'!$A188="","",IF('ESLESTIRME'!$G188="tutar_farki",'ESLESTIRME'!$A188,""))</f>
        <v/>
      </c>
      <c r="B188" s="17">
        <f>IF($A188="","",IFERROR(SUMIF(tblMotor[A_Norm],$A188,tblMotor[NetKar]),0))</f>
        <v/>
      </c>
      <c r="C188" s="17">
        <f>IF($A188="","",IFERROR(SUMIF(tblMotor[A_Norm],$A188,tblMotor[BasabasFiyat]),0))</f>
        <v/>
      </c>
      <c r="D188" s="17">
        <f>IF($A188="","",IFERROR(INDEX(tblMotor[KararSatir],MATCH($A188,tblMotor[A_Norm],0)),""))</f>
        <v/>
      </c>
      <c r="E188" s="17">
        <f>IF($A188="","",IF($B188&lt;0,"YUKSEK","NORMAL"))</f>
        <v/>
      </c>
      <c r="F188" s="17">
        <f>IF($A188="","",_xlfn.TEXTJOIN(" ",TRUE,"Barkod",$A188,"karar",$D188,"net",TEXT($B188,"0.00"),"başabaş",TEXT($C188,"0.00"),"TL"))</f>
        <v/>
      </c>
    </row>
    <row r="189">
      <c r="A189" s="17">
        <f>IF('ESLESTIRME'!$A189="","",IF('ESLESTIRME'!$G189="tutar_farki",'ESLESTIRME'!$A189,""))</f>
        <v/>
      </c>
      <c r="B189" s="17">
        <f>IF($A189="","",IFERROR(SUMIF(tblMotor[A_Norm],$A189,tblMotor[NetKar]),0))</f>
        <v/>
      </c>
      <c r="C189" s="17">
        <f>IF($A189="","",IFERROR(SUMIF(tblMotor[A_Norm],$A189,tblMotor[BasabasFiyat]),0))</f>
        <v/>
      </c>
      <c r="D189" s="17">
        <f>IF($A189="","",IFERROR(INDEX(tblMotor[KararSatir],MATCH($A189,tblMotor[A_Norm],0)),""))</f>
        <v/>
      </c>
      <c r="E189" s="17">
        <f>IF($A189="","",IF($B189&lt;0,"YUKSEK","NORMAL"))</f>
        <v/>
      </c>
      <c r="F189" s="17">
        <f>IF($A189="","",_xlfn.TEXTJOIN(" ",TRUE,"Barkod",$A189,"karar",$D189,"net",TEXT($B189,"0.00"),"başabaş",TEXT($C189,"0.00"),"TL"))</f>
        <v/>
      </c>
    </row>
    <row r="190">
      <c r="A190" s="17">
        <f>IF('ESLESTIRME'!$A190="","",IF('ESLESTIRME'!$G190="tutar_farki",'ESLESTIRME'!$A190,""))</f>
        <v/>
      </c>
      <c r="B190" s="17">
        <f>IF($A190="","",IFERROR(SUMIF(tblMotor[A_Norm],$A190,tblMotor[NetKar]),0))</f>
        <v/>
      </c>
      <c r="C190" s="17">
        <f>IF($A190="","",IFERROR(SUMIF(tblMotor[A_Norm],$A190,tblMotor[BasabasFiyat]),0))</f>
        <v/>
      </c>
      <c r="D190" s="17">
        <f>IF($A190="","",IFERROR(INDEX(tblMotor[KararSatir],MATCH($A190,tblMotor[A_Norm],0)),""))</f>
        <v/>
      </c>
      <c r="E190" s="17">
        <f>IF($A190="","",IF($B190&lt;0,"YUKSEK","NORMAL"))</f>
        <v/>
      </c>
      <c r="F190" s="17">
        <f>IF($A190="","",_xlfn.TEXTJOIN(" ",TRUE,"Barkod",$A190,"karar",$D190,"net",TEXT($B190,"0.00"),"başabaş",TEXT($C190,"0.00"),"TL"))</f>
        <v/>
      </c>
    </row>
    <row r="191">
      <c r="A191" s="17">
        <f>IF('ESLESTIRME'!$A191="","",IF('ESLESTIRME'!$G191="tutar_farki",'ESLESTIRME'!$A191,""))</f>
        <v/>
      </c>
      <c r="B191" s="17">
        <f>IF($A191="","",IFERROR(SUMIF(tblMotor[A_Norm],$A191,tblMotor[NetKar]),0))</f>
        <v/>
      </c>
      <c r="C191" s="17">
        <f>IF($A191="","",IFERROR(SUMIF(tblMotor[A_Norm],$A191,tblMotor[BasabasFiyat]),0))</f>
        <v/>
      </c>
      <c r="D191" s="17">
        <f>IF($A191="","",IFERROR(INDEX(tblMotor[KararSatir],MATCH($A191,tblMotor[A_Norm],0)),""))</f>
        <v/>
      </c>
      <c r="E191" s="17">
        <f>IF($A191="","",IF($B191&lt;0,"YUKSEK","NORMAL"))</f>
        <v/>
      </c>
      <c r="F191" s="17">
        <f>IF($A191="","",_xlfn.TEXTJOIN(" ",TRUE,"Barkod",$A191,"karar",$D191,"net",TEXT($B191,"0.00"),"başabaş",TEXT($C191,"0.00"),"TL"))</f>
        <v/>
      </c>
    </row>
    <row r="192">
      <c r="A192" s="17">
        <f>IF('ESLESTIRME'!$A192="","",IF('ESLESTIRME'!$G192="tutar_farki",'ESLESTIRME'!$A192,""))</f>
        <v/>
      </c>
      <c r="B192" s="17">
        <f>IF($A192="","",IFERROR(SUMIF(tblMotor[A_Norm],$A192,tblMotor[NetKar]),0))</f>
        <v/>
      </c>
      <c r="C192" s="17">
        <f>IF($A192="","",IFERROR(SUMIF(tblMotor[A_Norm],$A192,tblMotor[BasabasFiyat]),0))</f>
        <v/>
      </c>
      <c r="D192" s="17">
        <f>IF($A192="","",IFERROR(INDEX(tblMotor[KararSatir],MATCH($A192,tblMotor[A_Norm],0)),""))</f>
        <v/>
      </c>
      <c r="E192" s="17">
        <f>IF($A192="","",IF($B192&lt;0,"YUKSEK","NORMAL"))</f>
        <v/>
      </c>
      <c r="F192" s="17">
        <f>IF($A192="","",_xlfn.TEXTJOIN(" ",TRUE,"Barkod",$A192,"karar",$D192,"net",TEXT($B192,"0.00"),"başabaş",TEXT($C192,"0.00"),"TL"))</f>
        <v/>
      </c>
    </row>
    <row r="193">
      <c r="A193" s="17">
        <f>IF('ESLESTIRME'!$A193="","",IF('ESLESTIRME'!$G193="tutar_farki",'ESLESTIRME'!$A193,""))</f>
        <v/>
      </c>
      <c r="B193" s="17">
        <f>IF($A193="","",IFERROR(SUMIF(tblMotor[A_Norm],$A193,tblMotor[NetKar]),0))</f>
        <v/>
      </c>
      <c r="C193" s="17">
        <f>IF($A193="","",IFERROR(SUMIF(tblMotor[A_Norm],$A193,tblMotor[BasabasFiyat]),0))</f>
        <v/>
      </c>
      <c r="D193" s="17">
        <f>IF($A193="","",IFERROR(INDEX(tblMotor[KararSatir],MATCH($A193,tblMotor[A_Norm],0)),""))</f>
        <v/>
      </c>
      <c r="E193" s="17">
        <f>IF($A193="","",IF($B193&lt;0,"YUKSEK","NORMAL"))</f>
        <v/>
      </c>
      <c r="F193" s="17">
        <f>IF($A193="","",_xlfn.TEXTJOIN(" ",TRUE,"Barkod",$A193,"karar",$D193,"net",TEXT($B193,"0.00"),"başabaş",TEXT($C193,"0.00"),"TL"))</f>
        <v/>
      </c>
    </row>
    <row r="194">
      <c r="A194" s="17">
        <f>IF('ESLESTIRME'!$A194="","",IF('ESLESTIRME'!$G194="tutar_farki",'ESLESTIRME'!$A194,""))</f>
        <v/>
      </c>
      <c r="B194" s="17">
        <f>IF($A194="","",IFERROR(SUMIF(tblMotor[A_Norm],$A194,tblMotor[NetKar]),0))</f>
        <v/>
      </c>
      <c r="C194" s="17">
        <f>IF($A194="","",IFERROR(SUMIF(tblMotor[A_Norm],$A194,tblMotor[BasabasFiyat]),0))</f>
        <v/>
      </c>
      <c r="D194" s="17">
        <f>IF($A194="","",IFERROR(INDEX(tblMotor[KararSatir],MATCH($A194,tblMotor[A_Norm],0)),""))</f>
        <v/>
      </c>
      <c r="E194" s="17">
        <f>IF($A194="","",IF($B194&lt;0,"YUKSEK","NORMAL"))</f>
        <v/>
      </c>
      <c r="F194" s="17">
        <f>IF($A194="","",_xlfn.TEXTJOIN(" ",TRUE,"Barkod",$A194,"karar",$D194,"net",TEXT($B194,"0.00"),"başabaş",TEXT($C194,"0.00"),"TL"))</f>
        <v/>
      </c>
    </row>
    <row r="195">
      <c r="A195" s="17">
        <f>IF('ESLESTIRME'!$A195="","",IF('ESLESTIRME'!$G195="tutar_farki",'ESLESTIRME'!$A195,""))</f>
        <v/>
      </c>
      <c r="B195" s="17">
        <f>IF($A195="","",IFERROR(SUMIF(tblMotor[A_Norm],$A195,tblMotor[NetKar]),0))</f>
        <v/>
      </c>
      <c r="C195" s="17">
        <f>IF($A195="","",IFERROR(SUMIF(tblMotor[A_Norm],$A195,tblMotor[BasabasFiyat]),0))</f>
        <v/>
      </c>
      <c r="D195" s="17">
        <f>IF($A195="","",IFERROR(INDEX(tblMotor[KararSatir],MATCH($A195,tblMotor[A_Norm],0)),""))</f>
        <v/>
      </c>
      <c r="E195" s="17">
        <f>IF($A195="","",IF($B195&lt;0,"YUKSEK","NORMAL"))</f>
        <v/>
      </c>
      <c r="F195" s="17">
        <f>IF($A195="","",_xlfn.TEXTJOIN(" ",TRUE,"Barkod",$A195,"karar",$D195,"net",TEXT($B195,"0.00"),"başabaş",TEXT($C195,"0.00"),"TL"))</f>
        <v/>
      </c>
    </row>
    <row r="196">
      <c r="A196" s="17">
        <f>IF('ESLESTIRME'!$A196="","",IF('ESLESTIRME'!$G196="tutar_farki",'ESLESTIRME'!$A196,""))</f>
        <v/>
      </c>
      <c r="B196" s="17">
        <f>IF($A196="","",IFERROR(SUMIF(tblMotor[A_Norm],$A196,tblMotor[NetKar]),0))</f>
        <v/>
      </c>
      <c r="C196" s="17">
        <f>IF($A196="","",IFERROR(SUMIF(tblMotor[A_Norm],$A196,tblMotor[BasabasFiyat]),0))</f>
        <v/>
      </c>
      <c r="D196" s="17">
        <f>IF($A196="","",IFERROR(INDEX(tblMotor[KararSatir],MATCH($A196,tblMotor[A_Norm],0)),""))</f>
        <v/>
      </c>
      <c r="E196" s="17">
        <f>IF($A196="","",IF($B196&lt;0,"YUKSEK","NORMAL"))</f>
        <v/>
      </c>
      <c r="F196" s="17">
        <f>IF($A196="","",_xlfn.TEXTJOIN(" ",TRUE,"Barkod",$A196,"karar",$D196,"net",TEXT($B196,"0.00"),"başabaş",TEXT($C196,"0.00"),"TL"))</f>
        <v/>
      </c>
    </row>
    <row r="197">
      <c r="A197" s="17">
        <f>IF('ESLESTIRME'!$A197="","",IF('ESLESTIRME'!$G197="tutar_farki",'ESLESTIRME'!$A197,""))</f>
        <v/>
      </c>
      <c r="B197" s="17">
        <f>IF($A197="","",IFERROR(SUMIF(tblMotor[A_Norm],$A197,tblMotor[NetKar]),0))</f>
        <v/>
      </c>
      <c r="C197" s="17">
        <f>IF($A197="","",IFERROR(SUMIF(tblMotor[A_Norm],$A197,tblMotor[BasabasFiyat]),0))</f>
        <v/>
      </c>
      <c r="D197" s="17">
        <f>IF($A197="","",IFERROR(INDEX(tblMotor[KararSatir],MATCH($A197,tblMotor[A_Norm],0)),""))</f>
        <v/>
      </c>
      <c r="E197" s="17">
        <f>IF($A197="","",IF($B197&lt;0,"YUKSEK","NORMAL"))</f>
        <v/>
      </c>
      <c r="F197" s="17">
        <f>IF($A197="","",_xlfn.TEXTJOIN(" ",TRUE,"Barkod",$A197,"karar",$D197,"net",TEXT($B197,"0.00"),"başabaş",TEXT($C197,"0.00"),"TL"))</f>
        <v/>
      </c>
    </row>
    <row r="198">
      <c r="A198" s="17">
        <f>IF('ESLESTIRME'!$A198="","",IF('ESLESTIRME'!$G198="tutar_farki",'ESLESTIRME'!$A198,""))</f>
        <v/>
      </c>
      <c r="B198" s="17">
        <f>IF($A198="","",IFERROR(SUMIF(tblMotor[A_Norm],$A198,tblMotor[NetKar]),0))</f>
        <v/>
      </c>
      <c r="C198" s="17">
        <f>IF($A198="","",IFERROR(SUMIF(tblMotor[A_Norm],$A198,tblMotor[BasabasFiyat]),0))</f>
        <v/>
      </c>
      <c r="D198" s="17">
        <f>IF($A198="","",IFERROR(INDEX(tblMotor[KararSatir],MATCH($A198,tblMotor[A_Norm],0)),""))</f>
        <v/>
      </c>
      <c r="E198" s="17">
        <f>IF($A198="","",IF($B198&lt;0,"YUKSEK","NORMAL"))</f>
        <v/>
      </c>
      <c r="F198" s="17">
        <f>IF($A198="","",_xlfn.TEXTJOIN(" ",TRUE,"Barkod",$A198,"karar",$D198,"net",TEXT($B198,"0.00"),"başabaş",TEXT($C198,"0.00"),"TL"))</f>
        <v/>
      </c>
    </row>
    <row r="199">
      <c r="A199" s="17">
        <f>IF('ESLESTIRME'!$A199="","",IF('ESLESTIRME'!$G199="tutar_farki",'ESLESTIRME'!$A199,""))</f>
        <v/>
      </c>
      <c r="B199" s="17">
        <f>IF($A199="","",IFERROR(SUMIF(tblMotor[A_Norm],$A199,tblMotor[NetKar]),0))</f>
        <v/>
      </c>
      <c r="C199" s="17">
        <f>IF($A199="","",IFERROR(SUMIF(tblMotor[A_Norm],$A199,tblMotor[BasabasFiyat]),0))</f>
        <v/>
      </c>
      <c r="D199" s="17">
        <f>IF($A199="","",IFERROR(INDEX(tblMotor[KararSatir],MATCH($A199,tblMotor[A_Norm],0)),""))</f>
        <v/>
      </c>
      <c r="E199" s="17">
        <f>IF($A199="","",IF($B199&lt;0,"YUKSEK","NORMAL"))</f>
        <v/>
      </c>
      <c r="F199" s="17">
        <f>IF($A199="","",_xlfn.TEXTJOIN(" ",TRUE,"Barkod",$A199,"karar",$D199,"net",TEXT($B199,"0.00"),"başabaş",TEXT($C199,"0.00"),"TL"))</f>
        <v/>
      </c>
    </row>
    <row r="200">
      <c r="A200" s="17">
        <f>IF('ESLESTIRME'!$A200="","",IF('ESLESTIRME'!$G200="tutar_farki",'ESLESTIRME'!$A200,""))</f>
        <v/>
      </c>
      <c r="B200" s="17">
        <f>IF($A200="","",IFERROR(SUMIF(tblMotor[A_Norm],$A200,tblMotor[NetKar]),0))</f>
        <v/>
      </c>
      <c r="C200" s="17">
        <f>IF($A200="","",IFERROR(SUMIF(tblMotor[A_Norm],$A200,tblMotor[BasabasFiyat]),0))</f>
        <v/>
      </c>
      <c r="D200" s="17">
        <f>IF($A200="","",IFERROR(INDEX(tblMotor[KararSatir],MATCH($A200,tblMotor[A_Norm],0)),""))</f>
        <v/>
      </c>
      <c r="E200" s="17">
        <f>IF($A200="","",IF($B200&lt;0,"YUKSEK","NORMAL"))</f>
        <v/>
      </c>
      <c r="F200" s="17">
        <f>IF($A200="","",_xlfn.TEXTJOIN(" ",TRUE,"Barkod",$A200,"karar",$D200,"net",TEXT($B200,"0.00"),"başabaş",TEXT($C200,"0.00"),"TL"))</f>
        <v/>
      </c>
    </row>
    <row r="201">
      <c r="A201" s="17">
        <f>IF('ESLESTIRME'!$A201="","",IF('ESLESTIRME'!$G201="tutar_farki",'ESLESTIRME'!$A201,""))</f>
        <v/>
      </c>
      <c r="B201" s="17">
        <f>IF($A201="","",IFERROR(SUMIF(tblMotor[A_Norm],$A201,tblMotor[NetKar]),0))</f>
        <v/>
      </c>
      <c r="C201" s="17">
        <f>IF($A201="","",IFERROR(SUMIF(tblMotor[A_Norm],$A201,tblMotor[BasabasFiyat]),0))</f>
        <v/>
      </c>
      <c r="D201" s="17">
        <f>IF($A201="","",IFERROR(INDEX(tblMotor[KararSatir],MATCH($A201,tblMotor[A_Norm],0)),""))</f>
        <v/>
      </c>
      <c r="E201" s="17">
        <f>IF($A201="","",IF($B201&lt;0,"YUKSEK","NORMAL"))</f>
        <v/>
      </c>
      <c r="F201" s="17">
        <f>IF($A201="","",_xlfn.TEXTJOIN(" ",TRUE,"Barkod",$A201,"karar",$D201,"net",TEXT($B201,"0.00"),"başabaş",TEXT($C201,"0.00"),"TL"))</f>
        <v/>
      </c>
    </row>
    <row r="202">
      <c r="A202" s="17">
        <f>IF('ESLESTIRME'!$A202="","",IF('ESLESTIRME'!$G202="tutar_farki",'ESLESTIRME'!$A202,""))</f>
        <v/>
      </c>
      <c r="B202" s="17">
        <f>IF($A202="","",IFERROR(SUMIF(tblMotor[A_Norm],$A202,tblMotor[NetKar]),0))</f>
        <v/>
      </c>
      <c r="C202" s="17">
        <f>IF($A202="","",IFERROR(SUMIF(tblMotor[A_Norm],$A202,tblMotor[BasabasFiyat]),0))</f>
        <v/>
      </c>
      <c r="D202" s="17">
        <f>IF($A202="","",IFERROR(INDEX(tblMotor[KararSatir],MATCH($A202,tblMotor[A_Norm],0)),""))</f>
        <v/>
      </c>
      <c r="E202" s="17">
        <f>IF($A202="","",IF($B202&lt;0,"YUKSEK","NORMAL"))</f>
        <v/>
      </c>
      <c r="F202" s="17">
        <f>IF($A202="","",_xlfn.TEXTJOIN(" ",TRUE,"Barkod",$A202,"karar",$D202,"net",TEXT($B202,"0.00"),"başabaş",TEXT($C202,"0.00"),"TL"))</f>
        <v/>
      </c>
    </row>
    <row r="203">
      <c r="A203" s="17">
        <f>IF('ESLESTIRME'!$A203="","",IF('ESLESTIRME'!$G203="tutar_farki",'ESLESTIRME'!$A203,""))</f>
        <v/>
      </c>
      <c r="B203" s="17">
        <f>IF($A203="","",IFERROR(SUMIF(tblMotor[A_Norm],$A203,tblMotor[NetKar]),0))</f>
        <v/>
      </c>
      <c r="C203" s="17">
        <f>IF($A203="","",IFERROR(SUMIF(tblMotor[A_Norm],$A203,tblMotor[BasabasFiyat]),0))</f>
        <v/>
      </c>
      <c r="D203" s="17">
        <f>IF($A203="","",IFERROR(INDEX(tblMotor[KararSatir],MATCH($A203,tblMotor[A_Norm],0)),""))</f>
        <v/>
      </c>
      <c r="E203" s="17">
        <f>IF($A203="","",IF($B203&lt;0,"YUKSEK","NORMAL"))</f>
        <v/>
      </c>
      <c r="F203" s="17">
        <f>IF($A203="","",_xlfn.TEXTJOIN(" ",TRUE,"Barkod",$A203,"karar",$D203,"net",TEXT($B203,"0.00"),"başabaş",TEXT($C203,"0.00"),"TL"))</f>
        <v/>
      </c>
    </row>
    <row r="204">
      <c r="A204" s="17">
        <f>IF('ESLESTIRME'!$A204="","",IF('ESLESTIRME'!$G204="tutar_farki",'ESLESTIRME'!$A204,""))</f>
        <v/>
      </c>
      <c r="B204" s="17">
        <f>IF($A204="","",IFERROR(SUMIF(tblMotor[A_Norm],$A204,tblMotor[NetKar]),0))</f>
        <v/>
      </c>
      <c r="C204" s="17">
        <f>IF($A204="","",IFERROR(SUMIF(tblMotor[A_Norm],$A204,tblMotor[BasabasFiyat]),0))</f>
        <v/>
      </c>
      <c r="D204" s="17">
        <f>IF($A204="","",IFERROR(INDEX(tblMotor[KararSatir],MATCH($A204,tblMotor[A_Norm],0)),""))</f>
        <v/>
      </c>
      <c r="E204" s="17">
        <f>IF($A204="","",IF($B204&lt;0,"YUKSEK","NORMAL"))</f>
        <v/>
      </c>
      <c r="F204" s="17">
        <f>IF($A204="","",_xlfn.TEXTJOIN(" ",TRUE,"Barkod",$A204,"karar",$D204,"net",TEXT($B204,"0.00"),"başabaş",TEXT($C204,"0.00"),"TL"))</f>
        <v/>
      </c>
    </row>
    <row r="205">
      <c r="A205" s="17">
        <f>IF('ESLESTIRME'!$A205="","",IF('ESLESTIRME'!$G205="tutar_farki",'ESLESTIRME'!$A205,""))</f>
        <v/>
      </c>
      <c r="B205" s="17">
        <f>IF($A205="","",IFERROR(SUMIF(tblMotor[A_Norm],$A205,tblMotor[NetKar]),0))</f>
        <v/>
      </c>
      <c r="C205" s="17">
        <f>IF($A205="","",IFERROR(SUMIF(tblMotor[A_Norm],$A205,tblMotor[BasabasFiyat]),0))</f>
        <v/>
      </c>
      <c r="D205" s="17">
        <f>IF($A205="","",IFERROR(INDEX(tblMotor[KararSatir],MATCH($A205,tblMotor[A_Norm],0)),""))</f>
        <v/>
      </c>
      <c r="E205" s="17">
        <f>IF($A205="","",IF($B205&lt;0,"YUKSEK","NORMAL"))</f>
        <v/>
      </c>
      <c r="F205" s="17">
        <f>IF($A205="","",_xlfn.TEXTJOIN(" ",TRUE,"Barkod",$A205,"karar",$D205,"net",TEXT($B205,"0.00"),"başabaş",TEXT($C205,"0.00"),"TL"))</f>
        <v/>
      </c>
    </row>
    <row r="206">
      <c r="A206" s="17">
        <f>IF('ESLESTIRME'!$A206="","",IF('ESLESTIRME'!$G206="tutar_farki",'ESLESTIRME'!$A206,""))</f>
        <v/>
      </c>
      <c r="B206" s="17">
        <f>IF($A206="","",IFERROR(SUMIF(tblMotor[A_Norm],$A206,tblMotor[NetKar]),0))</f>
        <v/>
      </c>
      <c r="C206" s="17">
        <f>IF($A206="","",IFERROR(SUMIF(tblMotor[A_Norm],$A206,tblMotor[BasabasFiyat]),0))</f>
        <v/>
      </c>
      <c r="D206" s="17">
        <f>IF($A206="","",IFERROR(INDEX(tblMotor[KararSatir],MATCH($A206,tblMotor[A_Norm],0)),""))</f>
        <v/>
      </c>
      <c r="E206" s="17">
        <f>IF($A206="","",IF($B206&lt;0,"YUKSEK","NORMAL"))</f>
        <v/>
      </c>
      <c r="F206" s="17">
        <f>IF($A206="","",_xlfn.TEXTJOIN(" ",TRUE,"Barkod",$A206,"karar",$D206,"net",TEXT($B206,"0.00"),"başabaş",TEXT($C206,"0.00"),"TL"))</f>
        <v/>
      </c>
    </row>
    <row r="207">
      <c r="A207" s="17">
        <f>IF('ESLESTIRME'!$A207="","",IF('ESLESTIRME'!$G207="tutar_farki",'ESLESTIRME'!$A207,""))</f>
        <v/>
      </c>
      <c r="B207" s="17">
        <f>IF($A207="","",IFERROR(SUMIF(tblMotor[A_Norm],$A207,tblMotor[NetKar]),0))</f>
        <v/>
      </c>
      <c r="C207" s="17">
        <f>IF($A207="","",IFERROR(SUMIF(tblMotor[A_Norm],$A207,tblMotor[BasabasFiyat]),0))</f>
        <v/>
      </c>
      <c r="D207" s="17">
        <f>IF($A207="","",IFERROR(INDEX(tblMotor[KararSatir],MATCH($A207,tblMotor[A_Norm],0)),""))</f>
        <v/>
      </c>
      <c r="E207" s="17">
        <f>IF($A207="","",IF($B207&lt;0,"YUKSEK","NORMAL"))</f>
        <v/>
      </c>
      <c r="F207" s="17">
        <f>IF($A207="","",_xlfn.TEXTJOIN(" ",TRUE,"Barkod",$A207,"karar",$D207,"net",TEXT($B207,"0.00"),"başabaş",TEXT($C207,"0.00"),"TL"))</f>
        <v/>
      </c>
    </row>
    <row r="208">
      <c r="A208" s="17">
        <f>IF('ESLESTIRME'!$A208="","",IF('ESLESTIRME'!$G208="tutar_farki",'ESLESTIRME'!$A208,""))</f>
        <v/>
      </c>
      <c r="B208" s="17">
        <f>IF($A208="","",IFERROR(SUMIF(tblMotor[A_Norm],$A208,tblMotor[NetKar]),0))</f>
        <v/>
      </c>
      <c r="C208" s="17">
        <f>IF($A208="","",IFERROR(SUMIF(tblMotor[A_Norm],$A208,tblMotor[BasabasFiyat]),0))</f>
        <v/>
      </c>
      <c r="D208" s="17">
        <f>IF($A208="","",IFERROR(INDEX(tblMotor[KararSatir],MATCH($A208,tblMotor[A_Norm],0)),""))</f>
        <v/>
      </c>
      <c r="E208" s="17">
        <f>IF($A208="","",IF($B208&lt;0,"YUKSEK","NORMAL"))</f>
        <v/>
      </c>
      <c r="F208" s="17">
        <f>IF($A208="","",_xlfn.TEXTJOIN(" ",TRUE,"Barkod",$A208,"karar",$D208,"net",TEXT($B208,"0.00"),"başabaş",TEXT($C208,"0.00"),"TL"))</f>
        <v/>
      </c>
    </row>
    <row r="209">
      <c r="A209" s="17">
        <f>IF('ESLESTIRME'!$A209="","",IF('ESLESTIRME'!$G209="tutar_farki",'ESLESTIRME'!$A209,""))</f>
        <v/>
      </c>
      <c r="B209" s="17">
        <f>IF($A209="","",IFERROR(SUMIF(tblMotor[A_Norm],$A209,tblMotor[NetKar]),0))</f>
        <v/>
      </c>
      <c r="C209" s="17">
        <f>IF($A209="","",IFERROR(SUMIF(tblMotor[A_Norm],$A209,tblMotor[BasabasFiyat]),0))</f>
        <v/>
      </c>
      <c r="D209" s="17">
        <f>IF($A209="","",IFERROR(INDEX(tblMotor[KararSatir],MATCH($A209,tblMotor[A_Norm],0)),""))</f>
        <v/>
      </c>
      <c r="E209" s="17">
        <f>IF($A209="","",IF($B209&lt;0,"YUKSEK","NORMAL"))</f>
        <v/>
      </c>
      <c r="F209" s="17">
        <f>IF($A209="","",_xlfn.TEXTJOIN(" ",TRUE,"Barkod",$A209,"karar",$D209,"net",TEXT($B209,"0.00"),"başabaş",TEXT($C209,"0.00"),"TL"))</f>
        <v/>
      </c>
    </row>
    <row r="210">
      <c r="A210" s="17">
        <f>IF('ESLESTIRME'!$A210="","",IF('ESLESTIRME'!$G210="tutar_farki",'ESLESTIRME'!$A210,""))</f>
        <v/>
      </c>
      <c r="B210" s="17">
        <f>IF($A210="","",IFERROR(SUMIF(tblMotor[A_Norm],$A210,tblMotor[NetKar]),0))</f>
        <v/>
      </c>
      <c r="C210" s="17">
        <f>IF($A210="","",IFERROR(SUMIF(tblMotor[A_Norm],$A210,tblMotor[BasabasFiyat]),0))</f>
        <v/>
      </c>
      <c r="D210" s="17">
        <f>IF($A210="","",IFERROR(INDEX(tblMotor[KararSatir],MATCH($A210,tblMotor[A_Norm],0)),""))</f>
        <v/>
      </c>
      <c r="E210" s="17">
        <f>IF($A210="","",IF($B210&lt;0,"YUKSEK","NORMAL"))</f>
        <v/>
      </c>
      <c r="F210" s="17">
        <f>IF($A210="","",_xlfn.TEXTJOIN(" ",TRUE,"Barkod",$A210,"karar",$D210,"net",TEXT($B210,"0.00"),"başabaş",TEXT($C210,"0.00"),"TL"))</f>
        <v/>
      </c>
    </row>
    <row r="211">
      <c r="A211" s="17">
        <f>IF('ESLESTIRME'!$A211="","",IF('ESLESTIRME'!$G211="tutar_farki",'ESLESTIRME'!$A211,""))</f>
        <v/>
      </c>
      <c r="B211" s="17">
        <f>IF($A211="","",IFERROR(SUMIF(tblMotor[A_Norm],$A211,tblMotor[NetKar]),0))</f>
        <v/>
      </c>
      <c r="C211" s="17">
        <f>IF($A211="","",IFERROR(SUMIF(tblMotor[A_Norm],$A211,tblMotor[BasabasFiyat]),0))</f>
        <v/>
      </c>
      <c r="D211" s="17">
        <f>IF($A211="","",IFERROR(INDEX(tblMotor[KararSatir],MATCH($A211,tblMotor[A_Norm],0)),""))</f>
        <v/>
      </c>
      <c r="E211" s="17">
        <f>IF($A211="","",IF($B211&lt;0,"YUKSEK","NORMAL"))</f>
        <v/>
      </c>
      <c r="F211" s="17">
        <f>IF($A211="","",_xlfn.TEXTJOIN(" ",TRUE,"Barkod",$A211,"karar",$D211,"net",TEXT($B211,"0.00"),"başabaş",TEXT($C211,"0.00"),"TL"))</f>
        <v/>
      </c>
    </row>
    <row r="212">
      <c r="A212" s="17">
        <f>IF('ESLESTIRME'!$A212="","",IF('ESLESTIRME'!$G212="tutar_farki",'ESLESTIRME'!$A212,""))</f>
        <v/>
      </c>
      <c r="B212" s="17">
        <f>IF($A212="","",IFERROR(SUMIF(tblMotor[A_Norm],$A212,tblMotor[NetKar]),0))</f>
        <v/>
      </c>
      <c r="C212" s="17">
        <f>IF($A212="","",IFERROR(SUMIF(tblMotor[A_Norm],$A212,tblMotor[BasabasFiyat]),0))</f>
        <v/>
      </c>
      <c r="D212" s="17">
        <f>IF($A212="","",IFERROR(INDEX(tblMotor[KararSatir],MATCH($A212,tblMotor[A_Norm],0)),""))</f>
        <v/>
      </c>
      <c r="E212" s="17">
        <f>IF($A212="","",IF($B212&lt;0,"YUKSEK","NORMAL"))</f>
        <v/>
      </c>
      <c r="F212" s="17">
        <f>IF($A212="","",_xlfn.TEXTJOIN(" ",TRUE,"Barkod",$A212,"karar",$D212,"net",TEXT($B212,"0.00"),"başabaş",TEXT($C212,"0.00"),"TL"))</f>
        <v/>
      </c>
    </row>
    <row r="213">
      <c r="A213" s="17">
        <f>IF('ESLESTIRME'!$A213="","",IF('ESLESTIRME'!$G213="tutar_farki",'ESLESTIRME'!$A213,""))</f>
        <v/>
      </c>
      <c r="B213" s="17">
        <f>IF($A213="","",IFERROR(SUMIF(tblMotor[A_Norm],$A213,tblMotor[NetKar]),0))</f>
        <v/>
      </c>
      <c r="C213" s="17">
        <f>IF($A213="","",IFERROR(SUMIF(tblMotor[A_Norm],$A213,tblMotor[BasabasFiyat]),0))</f>
        <v/>
      </c>
      <c r="D213" s="17">
        <f>IF($A213="","",IFERROR(INDEX(tblMotor[KararSatir],MATCH($A213,tblMotor[A_Norm],0)),""))</f>
        <v/>
      </c>
      <c r="E213" s="17">
        <f>IF($A213="","",IF($B213&lt;0,"YUKSEK","NORMAL"))</f>
        <v/>
      </c>
      <c r="F213" s="17">
        <f>IF($A213="","",_xlfn.TEXTJOIN(" ",TRUE,"Barkod",$A213,"karar",$D213,"net",TEXT($B213,"0.00"),"başabaş",TEXT($C213,"0.00"),"TL"))</f>
        <v/>
      </c>
    </row>
    <row r="214">
      <c r="A214" s="17">
        <f>IF('ESLESTIRME'!$A214="","",IF('ESLESTIRME'!$G214="tutar_farki",'ESLESTIRME'!$A214,""))</f>
        <v/>
      </c>
      <c r="B214" s="17">
        <f>IF($A214="","",IFERROR(SUMIF(tblMotor[A_Norm],$A214,tblMotor[NetKar]),0))</f>
        <v/>
      </c>
      <c r="C214" s="17">
        <f>IF($A214="","",IFERROR(SUMIF(tblMotor[A_Norm],$A214,tblMotor[BasabasFiyat]),0))</f>
        <v/>
      </c>
      <c r="D214" s="17">
        <f>IF($A214="","",IFERROR(INDEX(tblMotor[KararSatir],MATCH($A214,tblMotor[A_Norm],0)),""))</f>
        <v/>
      </c>
      <c r="E214" s="17">
        <f>IF($A214="","",IF($B214&lt;0,"YUKSEK","NORMAL"))</f>
        <v/>
      </c>
      <c r="F214" s="17">
        <f>IF($A214="","",_xlfn.TEXTJOIN(" ",TRUE,"Barkod",$A214,"karar",$D214,"net",TEXT($B214,"0.00"),"başabaş",TEXT($C214,"0.00"),"TL"))</f>
        <v/>
      </c>
    </row>
    <row r="215">
      <c r="A215" s="17">
        <f>IF('ESLESTIRME'!$A215="","",IF('ESLESTIRME'!$G215="tutar_farki",'ESLESTIRME'!$A215,""))</f>
        <v/>
      </c>
      <c r="B215" s="17">
        <f>IF($A215="","",IFERROR(SUMIF(tblMotor[A_Norm],$A215,tblMotor[NetKar]),0))</f>
        <v/>
      </c>
      <c r="C215" s="17">
        <f>IF($A215="","",IFERROR(SUMIF(tblMotor[A_Norm],$A215,tblMotor[BasabasFiyat]),0))</f>
        <v/>
      </c>
      <c r="D215" s="17">
        <f>IF($A215="","",IFERROR(INDEX(tblMotor[KararSatir],MATCH($A215,tblMotor[A_Norm],0)),""))</f>
        <v/>
      </c>
      <c r="E215" s="17">
        <f>IF($A215="","",IF($B215&lt;0,"YUKSEK","NORMAL"))</f>
        <v/>
      </c>
      <c r="F215" s="17">
        <f>IF($A215="","",_xlfn.TEXTJOIN(" ",TRUE,"Barkod",$A215,"karar",$D215,"net",TEXT($B215,"0.00"),"başabaş",TEXT($C215,"0.00"),"TL"))</f>
        <v/>
      </c>
    </row>
    <row r="216">
      <c r="A216" s="17">
        <f>IF('ESLESTIRME'!$A216="","",IF('ESLESTIRME'!$G216="tutar_farki",'ESLESTIRME'!$A216,""))</f>
        <v/>
      </c>
      <c r="B216" s="17">
        <f>IF($A216="","",IFERROR(SUMIF(tblMotor[A_Norm],$A216,tblMotor[NetKar]),0))</f>
        <v/>
      </c>
      <c r="C216" s="17">
        <f>IF($A216="","",IFERROR(SUMIF(tblMotor[A_Norm],$A216,tblMotor[BasabasFiyat]),0))</f>
        <v/>
      </c>
      <c r="D216" s="17">
        <f>IF($A216="","",IFERROR(INDEX(tblMotor[KararSatir],MATCH($A216,tblMotor[A_Norm],0)),""))</f>
        <v/>
      </c>
      <c r="E216" s="17">
        <f>IF($A216="","",IF($B216&lt;0,"YUKSEK","NORMAL"))</f>
        <v/>
      </c>
      <c r="F216" s="17">
        <f>IF($A216="","",_xlfn.TEXTJOIN(" ",TRUE,"Barkod",$A216,"karar",$D216,"net",TEXT($B216,"0.00"),"başabaş",TEXT($C216,"0.00"),"TL"))</f>
        <v/>
      </c>
    </row>
    <row r="217">
      <c r="A217" s="17">
        <f>IF('ESLESTIRME'!$A217="","",IF('ESLESTIRME'!$G217="tutar_farki",'ESLESTIRME'!$A217,""))</f>
        <v/>
      </c>
      <c r="B217" s="17">
        <f>IF($A217="","",IFERROR(SUMIF(tblMotor[A_Norm],$A217,tblMotor[NetKar]),0))</f>
        <v/>
      </c>
      <c r="C217" s="17">
        <f>IF($A217="","",IFERROR(SUMIF(tblMotor[A_Norm],$A217,tblMotor[BasabasFiyat]),0))</f>
        <v/>
      </c>
      <c r="D217" s="17">
        <f>IF($A217="","",IFERROR(INDEX(tblMotor[KararSatir],MATCH($A217,tblMotor[A_Norm],0)),""))</f>
        <v/>
      </c>
      <c r="E217" s="17">
        <f>IF($A217="","",IF($B217&lt;0,"YUKSEK","NORMAL"))</f>
        <v/>
      </c>
      <c r="F217" s="17">
        <f>IF($A217="","",_xlfn.TEXTJOIN(" ",TRUE,"Barkod",$A217,"karar",$D217,"net",TEXT($B217,"0.00"),"başabaş",TEXT($C217,"0.00"),"TL"))</f>
        <v/>
      </c>
    </row>
    <row r="218">
      <c r="A218" s="17">
        <f>IF('ESLESTIRME'!$A218="","",IF('ESLESTIRME'!$G218="tutar_farki",'ESLESTIRME'!$A218,""))</f>
        <v/>
      </c>
      <c r="B218" s="17">
        <f>IF($A218="","",IFERROR(SUMIF(tblMotor[A_Norm],$A218,tblMotor[NetKar]),0))</f>
        <v/>
      </c>
      <c r="C218" s="17">
        <f>IF($A218="","",IFERROR(SUMIF(tblMotor[A_Norm],$A218,tblMotor[BasabasFiyat]),0))</f>
        <v/>
      </c>
      <c r="D218" s="17">
        <f>IF($A218="","",IFERROR(INDEX(tblMotor[KararSatir],MATCH($A218,tblMotor[A_Norm],0)),""))</f>
        <v/>
      </c>
      <c r="E218" s="17">
        <f>IF($A218="","",IF($B218&lt;0,"YUKSEK","NORMAL"))</f>
        <v/>
      </c>
      <c r="F218" s="17">
        <f>IF($A218="","",_xlfn.TEXTJOIN(" ",TRUE,"Barkod",$A218,"karar",$D218,"net",TEXT($B218,"0.00"),"başabaş",TEXT($C218,"0.00"),"TL"))</f>
        <v/>
      </c>
    </row>
    <row r="219">
      <c r="A219" s="17">
        <f>IF('ESLESTIRME'!$A219="","",IF('ESLESTIRME'!$G219="tutar_farki",'ESLESTIRME'!$A219,""))</f>
        <v/>
      </c>
      <c r="B219" s="17">
        <f>IF($A219="","",IFERROR(SUMIF(tblMotor[A_Norm],$A219,tblMotor[NetKar]),0))</f>
        <v/>
      </c>
      <c r="C219" s="17">
        <f>IF($A219="","",IFERROR(SUMIF(tblMotor[A_Norm],$A219,tblMotor[BasabasFiyat]),0))</f>
        <v/>
      </c>
      <c r="D219" s="17">
        <f>IF($A219="","",IFERROR(INDEX(tblMotor[KararSatir],MATCH($A219,tblMotor[A_Norm],0)),""))</f>
        <v/>
      </c>
      <c r="E219" s="17">
        <f>IF($A219="","",IF($B219&lt;0,"YUKSEK","NORMAL"))</f>
        <v/>
      </c>
      <c r="F219" s="17">
        <f>IF($A219="","",_xlfn.TEXTJOIN(" ",TRUE,"Barkod",$A219,"karar",$D219,"net",TEXT($B219,"0.00"),"başabaş",TEXT($C219,"0.00"),"TL"))</f>
        <v/>
      </c>
    </row>
    <row r="220">
      <c r="A220" s="17">
        <f>IF('ESLESTIRME'!$A220="","",IF('ESLESTIRME'!$G220="tutar_farki",'ESLESTIRME'!$A220,""))</f>
        <v/>
      </c>
      <c r="B220" s="17">
        <f>IF($A220="","",IFERROR(SUMIF(tblMotor[A_Norm],$A220,tblMotor[NetKar]),0))</f>
        <v/>
      </c>
      <c r="C220" s="17">
        <f>IF($A220="","",IFERROR(SUMIF(tblMotor[A_Norm],$A220,tblMotor[BasabasFiyat]),0))</f>
        <v/>
      </c>
      <c r="D220" s="17">
        <f>IF($A220="","",IFERROR(INDEX(tblMotor[KararSatir],MATCH($A220,tblMotor[A_Norm],0)),""))</f>
        <v/>
      </c>
      <c r="E220" s="17">
        <f>IF($A220="","",IF($B220&lt;0,"YUKSEK","NORMAL"))</f>
        <v/>
      </c>
      <c r="F220" s="17">
        <f>IF($A220="","",_xlfn.TEXTJOIN(" ",TRUE,"Barkod",$A220,"karar",$D220,"net",TEXT($B220,"0.00"),"başabaş",TEXT($C220,"0.00"),"TL"))</f>
        <v/>
      </c>
    </row>
    <row r="221">
      <c r="A221" s="17">
        <f>IF('ESLESTIRME'!$A221="","",IF('ESLESTIRME'!$G221="tutar_farki",'ESLESTIRME'!$A221,""))</f>
        <v/>
      </c>
      <c r="B221" s="17">
        <f>IF($A221="","",IFERROR(SUMIF(tblMotor[A_Norm],$A221,tblMotor[NetKar]),0))</f>
        <v/>
      </c>
      <c r="C221" s="17">
        <f>IF($A221="","",IFERROR(SUMIF(tblMotor[A_Norm],$A221,tblMotor[BasabasFiyat]),0))</f>
        <v/>
      </c>
      <c r="D221" s="17">
        <f>IF($A221="","",IFERROR(INDEX(tblMotor[KararSatir],MATCH($A221,tblMotor[A_Norm],0)),""))</f>
        <v/>
      </c>
      <c r="E221" s="17">
        <f>IF($A221="","",IF($B221&lt;0,"YUKSEK","NORMAL"))</f>
        <v/>
      </c>
      <c r="F221" s="17">
        <f>IF($A221="","",_xlfn.TEXTJOIN(" ",TRUE,"Barkod",$A221,"karar",$D221,"net",TEXT($B221,"0.00"),"başabaş",TEXT($C221,"0.00"),"TL"))</f>
        <v/>
      </c>
    </row>
    <row r="222">
      <c r="A222" s="17">
        <f>IF('ESLESTIRME'!$A222="","",IF('ESLESTIRME'!$G222="tutar_farki",'ESLESTIRME'!$A222,""))</f>
        <v/>
      </c>
      <c r="B222" s="17">
        <f>IF($A222="","",IFERROR(SUMIF(tblMotor[A_Norm],$A222,tblMotor[NetKar]),0))</f>
        <v/>
      </c>
      <c r="C222" s="17">
        <f>IF($A222="","",IFERROR(SUMIF(tblMotor[A_Norm],$A222,tblMotor[BasabasFiyat]),0))</f>
        <v/>
      </c>
      <c r="D222" s="17">
        <f>IF($A222="","",IFERROR(INDEX(tblMotor[KararSatir],MATCH($A222,tblMotor[A_Norm],0)),""))</f>
        <v/>
      </c>
      <c r="E222" s="17">
        <f>IF($A222="","",IF($B222&lt;0,"YUKSEK","NORMAL"))</f>
        <v/>
      </c>
      <c r="F222" s="17">
        <f>IF($A222="","",_xlfn.TEXTJOIN(" ",TRUE,"Barkod",$A222,"karar",$D222,"net",TEXT($B222,"0.00"),"başabaş",TEXT($C222,"0.00"),"TL"))</f>
        <v/>
      </c>
    </row>
    <row r="223">
      <c r="A223" s="17">
        <f>IF('ESLESTIRME'!$A223="","",IF('ESLESTIRME'!$G223="tutar_farki",'ESLESTIRME'!$A223,""))</f>
        <v/>
      </c>
      <c r="B223" s="17">
        <f>IF($A223="","",IFERROR(SUMIF(tblMotor[A_Norm],$A223,tblMotor[NetKar]),0))</f>
        <v/>
      </c>
      <c r="C223" s="17">
        <f>IF($A223="","",IFERROR(SUMIF(tblMotor[A_Norm],$A223,tblMotor[BasabasFiyat]),0))</f>
        <v/>
      </c>
      <c r="D223" s="17">
        <f>IF($A223="","",IFERROR(INDEX(tblMotor[KararSatir],MATCH($A223,tblMotor[A_Norm],0)),""))</f>
        <v/>
      </c>
      <c r="E223" s="17">
        <f>IF($A223="","",IF($B223&lt;0,"YUKSEK","NORMAL"))</f>
        <v/>
      </c>
      <c r="F223" s="17">
        <f>IF($A223="","",_xlfn.TEXTJOIN(" ",TRUE,"Barkod",$A223,"karar",$D223,"net",TEXT($B223,"0.00"),"başabaş",TEXT($C223,"0.00"),"TL"))</f>
        <v/>
      </c>
    </row>
    <row r="224">
      <c r="A224" s="17">
        <f>IF('ESLESTIRME'!$A224="","",IF('ESLESTIRME'!$G224="tutar_farki",'ESLESTIRME'!$A224,""))</f>
        <v/>
      </c>
      <c r="B224" s="17">
        <f>IF($A224="","",IFERROR(SUMIF(tblMotor[A_Norm],$A224,tblMotor[NetKar]),0))</f>
        <v/>
      </c>
      <c r="C224" s="17">
        <f>IF($A224="","",IFERROR(SUMIF(tblMotor[A_Norm],$A224,tblMotor[BasabasFiyat]),0))</f>
        <v/>
      </c>
      <c r="D224" s="17">
        <f>IF($A224="","",IFERROR(INDEX(tblMotor[KararSatir],MATCH($A224,tblMotor[A_Norm],0)),""))</f>
        <v/>
      </c>
      <c r="E224" s="17">
        <f>IF($A224="","",IF($B224&lt;0,"YUKSEK","NORMAL"))</f>
        <v/>
      </c>
      <c r="F224" s="17">
        <f>IF($A224="","",_xlfn.TEXTJOIN(" ",TRUE,"Barkod",$A224,"karar",$D224,"net",TEXT($B224,"0.00"),"başabaş",TEXT($C224,"0.00"),"TL"))</f>
        <v/>
      </c>
    </row>
    <row r="225">
      <c r="A225" s="17">
        <f>IF('ESLESTIRME'!$A225="","",IF('ESLESTIRME'!$G225="tutar_farki",'ESLESTIRME'!$A225,""))</f>
        <v/>
      </c>
      <c r="B225" s="17">
        <f>IF($A225="","",IFERROR(SUMIF(tblMotor[A_Norm],$A225,tblMotor[NetKar]),0))</f>
        <v/>
      </c>
      <c r="C225" s="17">
        <f>IF($A225="","",IFERROR(SUMIF(tblMotor[A_Norm],$A225,tblMotor[BasabasFiyat]),0))</f>
        <v/>
      </c>
      <c r="D225" s="17">
        <f>IF($A225="","",IFERROR(INDEX(tblMotor[KararSatir],MATCH($A225,tblMotor[A_Norm],0)),""))</f>
        <v/>
      </c>
      <c r="E225" s="17">
        <f>IF($A225="","",IF($B225&lt;0,"YUKSEK","NORMAL"))</f>
        <v/>
      </c>
      <c r="F225" s="17">
        <f>IF($A225="","",_xlfn.TEXTJOIN(" ",TRUE,"Barkod",$A225,"karar",$D225,"net",TEXT($B225,"0.00"),"başabaş",TEXT($C225,"0.00"),"TL"))</f>
        <v/>
      </c>
    </row>
    <row r="226">
      <c r="A226" s="17">
        <f>IF('ESLESTIRME'!$A226="","",IF('ESLESTIRME'!$G226="tutar_farki",'ESLESTIRME'!$A226,""))</f>
        <v/>
      </c>
      <c r="B226" s="17">
        <f>IF($A226="","",IFERROR(SUMIF(tblMotor[A_Norm],$A226,tblMotor[NetKar]),0))</f>
        <v/>
      </c>
      <c r="C226" s="17">
        <f>IF($A226="","",IFERROR(SUMIF(tblMotor[A_Norm],$A226,tblMotor[BasabasFiyat]),0))</f>
        <v/>
      </c>
      <c r="D226" s="17">
        <f>IF($A226="","",IFERROR(INDEX(tblMotor[KararSatir],MATCH($A226,tblMotor[A_Norm],0)),""))</f>
        <v/>
      </c>
      <c r="E226" s="17">
        <f>IF($A226="","",IF($B226&lt;0,"YUKSEK","NORMAL"))</f>
        <v/>
      </c>
      <c r="F226" s="17">
        <f>IF($A226="","",_xlfn.TEXTJOIN(" ",TRUE,"Barkod",$A226,"karar",$D226,"net",TEXT($B226,"0.00"),"başabaş",TEXT($C226,"0.00"),"TL"))</f>
        <v/>
      </c>
    </row>
    <row r="227">
      <c r="A227" s="17">
        <f>IF('ESLESTIRME'!$A227="","",IF('ESLESTIRME'!$G227="tutar_farki",'ESLESTIRME'!$A227,""))</f>
        <v/>
      </c>
      <c r="B227" s="17">
        <f>IF($A227="","",IFERROR(SUMIF(tblMotor[A_Norm],$A227,tblMotor[NetKar]),0))</f>
        <v/>
      </c>
      <c r="C227" s="17">
        <f>IF($A227="","",IFERROR(SUMIF(tblMotor[A_Norm],$A227,tblMotor[BasabasFiyat]),0))</f>
        <v/>
      </c>
      <c r="D227" s="17">
        <f>IF($A227="","",IFERROR(INDEX(tblMotor[KararSatir],MATCH($A227,tblMotor[A_Norm],0)),""))</f>
        <v/>
      </c>
      <c r="E227" s="17">
        <f>IF($A227="","",IF($B227&lt;0,"YUKSEK","NORMAL"))</f>
        <v/>
      </c>
      <c r="F227" s="17">
        <f>IF($A227="","",_xlfn.TEXTJOIN(" ",TRUE,"Barkod",$A227,"karar",$D227,"net",TEXT($B227,"0.00"),"başabaş",TEXT($C227,"0.00"),"TL"))</f>
        <v/>
      </c>
    </row>
    <row r="228">
      <c r="A228" s="17">
        <f>IF('ESLESTIRME'!$A228="","",IF('ESLESTIRME'!$G228="tutar_farki",'ESLESTIRME'!$A228,""))</f>
        <v/>
      </c>
      <c r="B228" s="17">
        <f>IF($A228="","",IFERROR(SUMIF(tblMotor[A_Norm],$A228,tblMotor[NetKar]),0))</f>
        <v/>
      </c>
      <c r="C228" s="17">
        <f>IF($A228="","",IFERROR(SUMIF(tblMotor[A_Norm],$A228,tblMotor[BasabasFiyat]),0))</f>
        <v/>
      </c>
      <c r="D228" s="17">
        <f>IF($A228="","",IFERROR(INDEX(tblMotor[KararSatir],MATCH($A228,tblMotor[A_Norm],0)),""))</f>
        <v/>
      </c>
      <c r="E228" s="17">
        <f>IF($A228="","",IF($B228&lt;0,"YUKSEK","NORMAL"))</f>
        <v/>
      </c>
      <c r="F228" s="17">
        <f>IF($A228="","",_xlfn.TEXTJOIN(" ",TRUE,"Barkod",$A228,"karar",$D228,"net",TEXT($B228,"0.00"),"başabaş",TEXT($C228,"0.00"),"TL"))</f>
        <v/>
      </c>
    </row>
    <row r="229">
      <c r="A229" s="17">
        <f>IF('ESLESTIRME'!$A229="","",IF('ESLESTIRME'!$G229="tutar_farki",'ESLESTIRME'!$A229,""))</f>
        <v/>
      </c>
      <c r="B229" s="17">
        <f>IF($A229="","",IFERROR(SUMIF(tblMotor[A_Norm],$A229,tblMotor[NetKar]),0))</f>
        <v/>
      </c>
      <c r="C229" s="17">
        <f>IF($A229="","",IFERROR(SUMIF(tblMotor[A_Norm],$A229,tblMotor[BasabasFiyat]),0))</f>
        <v/>
      </c>
      <c r="D229" s="17">
        <f>IF($A229="","",IFERROR(INDEX(tblMotor[KararSatir],MATCH($A229,tblMotor[A_Norm],0)),""))</f>
        <v/>
      </c>
      <c r="E229" s="17">
        <f>IF($A229="","",IF($B229&lt;0,"YUKSEK","NORMAL"))</f>
        <v/>
      </c>
      <c r="F229" s="17">
        <f>IF($A229="","",_xlfn.TEXTJOIN(" ",TRUE,"Barkod",$A229,"karar",$D229,"net",TEXT($B229,"0.00"),"başabaş",TEXT($C229,"0.00"),"TL"))</f>
        <v/>
      </c>
    </row>
    <row r="230">
      <c r="A230" s="17">
        <f>IF('ESLESTIRME'!$A230="","",IF('ESLESTIRME'!$G230="tutar_farki",'ESLESTIRME'!$A230,""))</f>
        <v/>
      </c>
      <c r="B230" s="17">
        <f>IF($A230="","",IFERROR(SUMIF(tblMotor[A_Norm],$A230,tblMotor[NetKar]),0))</f>
        <v/>
      </c>
      <c r="C230" s="17">
        <f>IF($A230="","",IFERROR(SUMIF(tblMotor[A_Norm],$A230,tblMotor[BasabasFiyat]),0))</f>
        <v/>
      </c>
      <c r="D230" s="17">
        <f>IF($A230="","",IFERROR(INDEX(tblMotor[KararSatir],MATCH($A230,tblMotor[A_Norm],0)),""))</f>
        <v/>
      </c>
      <c r="E230" s="17">
        <f>IF($A230="","",IF($B230&lt;0,"YUKSEK","NORMAL"))</f>
        <v/>
      </c>
      <c r="F230" s="17">
        <f>IF($A230="","",_xlfn.TEXTJOIN(" ",TRUE,"Barkod",$A230,"karar",$D230,"net",TEXT($B230,"0.00"),"başabaş",TEXT($C230,"0.00"),"TL"))</f>
        <v/>
      </c>
    </row>
    <row r="231">
      <c r="A231" s="17">
        <f>IF('ESLESTIRME'!$A231="","",IF('ESLESTIRME'!$G231="tutar_farki",'ESLESTIRME'!$A231,""))</f>
        <v/>
      </c>
      <c r="B231" s="17">
        <f>IF($A231="","",IFERROR(SUMIF(tblMotor[A_Norm],$A231,tblMotor[NetKar]),0))</f>
        <v/>
      </c>
      <c r="C231" s="17">
        <f>IF($A231="","",IFERROR(SUMIF(tblMotor[A_Norm],$A231,tblMotor[BasabasFiyat]),0))</f>
        <v/>
      </c>
      <c r="D231" s="17">
        <f>IF($A231="","",IFERROR(INDEX(tblMotor[KararSatir],MATCH($A231,tblMotor[A_Norm],0)),""))</f>
        <v/>
      </c>
      <c r="E231" s="17">
        <f>IF($A231="","",IF($B231&lt;0,"YUKSEK","NORMAL"))</f>
        <v/>
      </c>
      <c r="F231" s="17">
        <f>IF($A231="","",_xlfn.TEXTJOIN(" ",TRUE,"Barkod",$A231,"karar",$D231,"net",TEXT($B231,"0.00"),"başabaş",TEXT($C231,"0.00"),"TL"))</f>
        <v/>
      </c>
    </row>
    <row r="232">
      <c r="A232" s="17">
        <f>IF('ESLESTIRME'!$A232="","",IF('ESLESTIRME'!$G232="tutar_farki",'ESLESTIRME'!$A232,""))</f>
        <v/>
      </c>
      <c r="B232" s="17">
        <f>IF($A232="","",IFERROR(SUMIF(tblMotor[A_Norm],$A232,tblMotor[NetKar]),0))</f>
        <v/>
      </c>
      <c r="C232" s="17">
        <f>IF($A232="","",IFERROR(SUMIF(tblMotor[A_Norm],$A232,tblMotor[BasabasFiyat]),0))</f>
        <v/>
      </c>
      <c r="D232" s="17">
        <f>IF($A232="","",IFERROR(INDEX(tblMotor[KararSatir],MATCH($A232,tblMotor[A_Norm],0)),""))</f>
        <v/>
      </c>
      <c r="E232" s="17">
        <f>IF($A232="","",IF($B232&lt;0,"YUKSEK","NORMAL"))</f>
        <v/>
      </c>
      <c r="F232" s="17">
        <f>IF($A232="","",_xlfn.TEXTJOIN(" ",TRUE,"Barkod",$A232,"karar",$D232,"net",TEXT($B232,"0.00"),"başabaş",TEXT($C232,"0.00"),"TL"))</f>
        <v/>
      </c>
    </row>
    <row r="233">
      <c r="A233" s="17">
        <f>IF('ESLESTIRME'!$A233="","",IF('ESLESTIRME'!$G233="tutar_farki",'ESLESTIRME'!$A233,""))</f>
        <v/>
      </c>
      <c r="B233" s="17">
        <f>IF($A233="","",IFERROR(SUMIF(tblMotor[A_Norm],$A233,tblMotor[NetKar]),0))</f>
        <v/>
      </c>
      <c r="C233" s="17">
        <f>IF($A233="","",IFERROR(SUMIF(tblMotor[A_Norm],$A233,tblMotor[BasabasFiyat]),0))</f>
        <v/>
      </c>
      <c r="D233" s="17">
        <f>IF($A233="","",IFERROR(INDEX(tblMotor[KararSatir],MATCH($A233,tblMotor[A_Norm],0)),""))</f>
        <v/>
      </c>
      <c r="E233" s="17">
        <f>IF($A233="","",IF($B233&lt;0,"YUKSEK","NORMAL"))</f>
        <v/>
      </c>
      <c r="F233" s="17">
        <f>IF($A233="","",_xlfn.TEXTJOIN(" ",TRUE,"Barkod",$A233,"karar",$D233,"net",TEXT($B233,"0.00"),"başabaş",TEXT($C233,"0.00"),"TL"))</f>
        <v/>
      </c>
    </row>
    <row r="234">
      <c r="A234" s="17">
        <f>IF('ESLESTIRME'!$A234="","",IF('ESLESTIRME'!$G234="tutar_farki",'ESLESTIRME'!$A234,""))</f>
        <v/>
      </c>
      <c r="B234" s="17">
        <f>IF($A234="","",IFERROR(SUMIF(tblMotor[A_Norm],$A234,tblMotor[NetKar]),0))</f>
        <v/>
      </c>
      <c r="C234" s="17">
        <f>IF($A234="","",IFERROR(SUMIF(tblMotor[A_Norm],$A234,tblMotor[BasabasFiyat]),0))</f>
        <v/>
      </c>
      <c r="D234" s="17">
        <f>IF($A234="","",IFERROR(INDEX(tblMotor[KararSatir],MATCH($A234,tblMotor[A_Norm],0)),""))</f>
        <v/>
      </c>
      <c r="E234" s="17">
        <f>IF($A234="","",IF($B234&lt;0,"YUKSEK","NORMAL"))</f>
        <v/>
      </c>
      <c r="F234" s="17">
        <f>IF($A234="","",_xlfn.TEXTJOIN(" ",TRUE,"Barkod",$A234,"karar",$D234,"net",TEXT($B234,"0.00"),"başabaş",TEXT($C234,"0.00"),"TL"))</f>
        <v/>
      </c>
    </row>
    <row r="235">
      <c r="A235" s="17">
        <f>IF('ESLESTIRME'!$A235="","",IF('ESLESTIRME'!$G235="tutar_farki",'ESLESTIRME'!$A235,""))</f>
        <v/>
      </c>
      <c r="B235" s="17">
        <f>IF($A235="","",IFERROR(SUMIF(tblMotor[A_Norm],$A235,tblMotor[NetKar]),0))</f>
        <v/>
      </c>
      <c r="C235" s="17">
        <f>IF($A235="","",IFERROR(SUMIF(tblMotor[A_Norm],$A235,tblMotor[BasabasFiyat]),0))</f>
        <v/>
      </c>
      <c r="D235" s="17">
        <f>IF($A235="","",IFERROR(INDEX(tblMotor[KararSatir],MATCH($A235,tblMotor[A_Norm],0)),""))</f>
        <v/>
      </c>
      <c r="E235" s="17">
        <f>IF($A235="","",IF($B235&lt;0,"YUKSEK","NORMAL"))</f>
        <v/>
      </c>
      <c r="F235" s="17">
        <f>IF($A235="","",_xlfn.TEXTJOIN(" ",TRUE,"Barkod",$A235,"karar",$D235,"net",TEXT($B235,"0.00"),"başabaş",TEXT($C235,"0.00"),"TL"))</f>
        <v/>
      </c>
    </row>
    <row r="236">
      <c r="A236" s="17">
        <f>IF('ESLESTIRME'!$A236="","",IF('ESLESTIRME'!$G236="tutar_farki",'ESLESTIRME'!$A236,""))</f>
        <v/>
      </c>
      <c r="B236" s="17">
        <f>IF($A236="","",IFERROR(SUMIF(tblMotor[A_Norm],$A236,tblMotor[NetKar]),0))</f>
        <v/>
      </c>
      <c r="C236" s="17">
        <f>IF($A236="","",IFERROR(SUMIF(tblMotor[A_Norm],$A236,tblMotor[BasabasFiyat]),0))</f>
        <v/>
      </c>
      <c r="D236" s="17">
        <f>IF($A236="","",IFERROR(INDEX(tblMotor[KararSatir],MATCH($A236,tblMotor[A_Norm],0)),""))</f>
        <v/>
      </c>
      <c r="E236" s="17">
        <f>IF($A236="","",IF($B236&lt;0,"YUKSEK","NORMAL"))</f>
        <v/>
      </c>
      <c r="F236" s="17">
        <f>IF($A236="","",_xlfn.TEXTJOIN(" ",TRUE,"Barkod",$A236,"karar",$D236,"net",TEXT($B236,"0.00"),"başabaş",TEXT($C236,"0.00"),"TL"))</f>
        <v/>
      </c>
    </row>
    <row r="237">
      <c r="A237" s="17">
        <f>IF('ESLESTIRME'!$A237="","",IF('ESLESTIRME'!$G237="tutar_farki",'ESLESTIRME'!$A237,""))</f>
        <v/>
      </c>
      <c r="B237" s="17">
        <f>IF($A237="","",IFERROR(SUMIF(tblMotor[A_Norm],$A237,tblMotor[NetKar]),0))</f>
        <v/>
      </c>
      <c r="C237" s="17">
        <f>IF($A237="","",IFERROR(SUMIF(tblMotor[A_Norm],$A237,tblMotor[BasabasFiyat]),0))</f>
        <v/>
      </c>
      <c r="D237" s="17">
        <f>IF($A237="","",IFERROR(INDEX(tblMotor[KararSatir],MATCH($A237,tblMotor[A_Norm],0)),""))</f>
        <v/>
      </c>
      <c r="E237" s="17">
        <f>IF($A237="","",IF($B237&lt;0,"YUKSEK","NORMAL"))</f>
        <v/>
      </c>
      <c r="F237" s="17">
        <f>IF($A237="","",_xlfn.TEXTJOIN(" ",TRUE,"Barkod",$A237,"karar",$D237,"net",TEXT($B237,"0.00"),"başabaş",TEXT($C237,"0.00"),"TL"))</f>
        <v/>
      </c>
    </row>
    <row r="238">
      <c r="A238" s="17">
        <f>IF('ESLESTIRME'!$A238="","",IF('ESLESTIRME'!$G238="tutar_farki",'ESLESTIRME'!$A238,""))</f>
        <v/>
      </c>
      <c r="B238" s="17">
        <f>IF($A238="","",IFERROR(SUMIF(tblMotor[A_Norm],$A238,tblMotor[NetKar]),0))</f>
        <v/>
      </c>
      <c r="C238" s="17">
        <f>IF($A238="","",IFERROR(SUMIF(tblMotor[A_Norm],$A238,tblMotor[BasabasFiyat]),0))</f>
        <v/>
      </c>
      <c r="D238" s="17">
        <f>IF($A238="","",IFERROR(INDEX(tblMotor[KararSatir],MATCH($A238,tblMotor[A_Norm],0)),""))</f>
        <v/>
      </c>
      <c r="E238" s="17">
        <f>IF($A238="","",IF($B238&lt;0,"YUKSEK","NORMAL"))</f>
        <v/>
      </c>
      <c r="F238" s="17">
        <f>IF($A238="","",_xlfn.TEXTJOIN(" ",TRUE,"Barkod",$A238,"karar",$D238,"net",TEXT($B238,"0.00"),"başabaş",TEXT($C238,"0.00"),"TL"))</f>
        <v/>
      </c>
    </row>
    <row r="239">
      <c r="A239" s="17">
        <f>IF('ESLESTIRME'!$A239="","",IF('ESLESTIRME'!$G239="tutar_farki",'ESLESTIRME'!$A239,""))</f>
        <v/>
      </c>
      <c r="B239" s="17">
        <f>IF($A239="","",IFERROR(SUMIF(tblMotor[A_Norm],$A239,tblMotor[NetKar]),0))</f>
        <v/>
      </c>
      <c r="C239" s="17">
        <f>IF($A239="","",IFERROR(SUMIF(tblMotor[A_Norm],$A239,tblMotor[BasabasFiyat]),0))</f>
        <v/>
      </c>
      <c r="D239" s="17">
        <f>IF($A239="","",IFERROR(INDEX(tblMotor[KararSatir],MATCH($A239,tblMotor[A_Norm],0)),""))</f>
        <v/>
      </c>
      <c r="E239" s="17">
        <f>IF($A239="","",IF($B239&lt;0,"YUKSEK","NORMAL"))</f>
        <v/>
      </c>
      <c r="F239" s="17">
        <f>IF($A239="","",_xlfn.TEXTJOIN(" ",TRUE,"Barkod",$A239,"karar",$D239,"net",TEXT($B239,"0.00"),"başabaş",TEXT($C239,"0.00"),"TL"))</f>
        <v/>
      </c>
    </row>
    <row r="240">
      <c r="A240" s="17">
        <f>IF('ESLESTIRME'!$A240="","",IF('ESLESTIRME'!$G240="tutar_farki",'ESLESTIRME'!$A240,""))</f>
        <v/>
      </c>
      <c r="B240" s="17">
        <f>IF($A240="","",IFERROR(SUMIF(tblMotor[A_Norm],$A240,tblMotor[NetKar]),0))</f>
        <v/>
      </c>
      <c r="C240" s="17">
        <f>IF($A240="","",IFERROR(SUMIF(tblMotor[A_Norm],$A240,tblMotor[BasabasFiyat]),0))</f>
        <v/>
      </c>
      <c r="D240" s="17">
        <f>IF($A240="","",IFERROR(INDEX(tblMotor[KararSatir],MATCH($A240,tblMotor[A_Norm],0)),""))</f>
        <v/>
      </c>
      <c r="E240" s="17">
        <f>IF($A240="","",IF($B240&lt;0,"YUKSEK","NORMAL"))</f>
        <v/>
      </c>
      <c r="F240" s="17">
        <f>IF($A240="","",_xlfn.TEXTJOIN(" ",TRUE,"Barkod",$A240,"karar",$D240,"net",TEXT($B240,"0.00"),"başabaş",TEXT($C240,"0.00"),"TL"))</f>
        <v/>
      </c>
    </row>
    <row r="241">
      <c r="A241" s="17">
        <f>IF('ESLESTIRME'!$A241="","",IF('ESLESTIRME'!$G241="tutar_farki",'ESLESTIRME'!$A241,""))</f>
        <v/>
      </c>
      <c r="B241" s="17">
        <f>IF($A241="","",IFERROR(SUMIF(tblMotor[A_Norm],$A241,tblMotor[NetKar]),0))</f>
        <v/>
      </c>
      <c r="C241" s="17">
        <f>IF($A241="","",IFERROR(SUMIF(tblMotor[A_Norm],$A241,tblMotor[BasabasFiyat]),0))</f>
        <v/>
      </c>
      <c r="D241" s="17">
        <f>IF($A241="","",IFERROR(INDEX(tblMotor[KararSatir],MATCH($A241,tblMotor[A_Norm],0)),""))</f>
        <v/>
      </c>
      <c r="E241" s="17">
        <f>IF($A241="","",IF($B241&lt;0,"YUKSEK","NORMAL"))</f>
        <v/>
      </c>
      <c r="F241" s="17">
        <f>IF($A241="","",_xlfn.TEXTJOIN(" ",TRUE,"Barkod",$A241,"karar",$D241,"net",TEXT($B241,"0.00"),"başabaş",TEXT($C241,"0.00"),"TL"))</f>
        <v/>
      </c>
    </row>
    <row r="242">
      <c r="A242" s="17">
        <f>IF('ESLESTIRME'!$A242="","",IF('ESLESTIRME'!$G242="tutar_farki",'ESLESTIRME'!$A242,""))</f>
        <v/>
      </c>
      <c r="B242" s="17">
        <f>IF($A242="","",IFERROR(SUMIF(tblMotor[A_Norm],$A242,tblMotor[NetKar]),0))</f>
        <v/>
      </c>
      <c r="C242" s="17">
        <f>IF($A242="","",IFERROR(SUMIF(tblMotor[A_Norm],$A242,tblMotor[BasabasFiyat]),0))</f>
        <v/>
      </c>
      <c r="D242" s="17">
        <f>IF($A242="","",IFERROR(INDEX(tblMotor[KararSatir],MATCH($A242,tblMotor[A_Norm],0)),""))</f>
        <v/>
      </c>
      <c r="E242" s="17">
        <f>IF($A242="","",IF($B242&lt;0,"YUKSEK","NORMAL"))</f>
        <v/>
      </c>
      <c r="F242" s="17">
        <f>IF($A242="","",_xlfn.TEXTJOIN(" ",TRUE,"Barkod",$A242,"karar",$D242,"net",TEXT($B242,"0.00"),"başabaş",TEXT($C242,"0.00"),"TL"))</f>
        <v/>
      </c>
    </row>
    <row r="243">
      <c r="A243" s="17">
        <f>IF('ESLESTIRME'!$A243="","",IF('ESLESTIRME'!$G243="tutar_farki",'ESLESTIRME'!$A243,""))</f>
        <v/>
      </c>
      <c r="B243" s="17">
        <f>IF($A243="","",IFERROR(SUMIF(tblMotor[A_Norm],$A243,tblMotor[NetKar]),0))</f>
        <v/>
      </c>
      <c r="C243" s="17">
        <f>IF($A243="","",IFERROR(SUMIF(tblMotor[A_Norm],$A243,tblMotor[BasabasFiyat]),0))</f>
        <v/>
      </c>
      <c r="D243" s="17">
        <f>IF($A243="","",IFERROR(INDEX(tblMotor[KararSatir],MATCH($A243,tblMotor[A_Norm],0)),""))</f>
        <v/>
      </c>
      <c r="E243" s="17">
        <f>IF($A243="","",IF($B243&lt;0,"YUKSEK","NORMAL"))</f>
        <v/>
      </c>
      <c r="F243" s="17">
        <f>IF($A243="","",_xlfn.TEXTJOIN(" ",TRUE,"Barkod",$A243,"karar",$D243,"net",TEXT($B243,"0.00"),"başabaş",TEXT($C243,"0.00"),"TL"))</f>
        <v/>
      </c>
    </row>
    <row r="244">
      <c r="A244" s="17">
        <f>IF('ESLESTIRME'!$A244="","",IF('ESLESTIRME'!$G244="tutar_farki",'ESLESTIRME'!$A244,""))</f>
        <v/>
      </c>
      <c r="B244" s="17">
        <f>IF($A244="","",IFERROR(SUMIF(tblMotor[A_Norm],$A244,tblMotor[NetKar]),0))</f>
        <v/>
      </c>
      <c r="C244" s="17">
        <f>IF($A244="","",IFERROR(SUMIF(tblMotor[A_Norm],$A244,tblMotor[BasabasFiyat]),0))</f>
        <v/>
      </c>
      <c r="D244" s="17">
        <f>IF($A244="","",IFERROR(INDEX(tblMotor[KararSatir],MATCH($A244,tblMotor[A_Norm],0)),""))</f>
        <v/>
      </c>
      <c r="E244" s="17">
        <f>IF($A244="","",IF($B244&lt;0,"YUKSEK","NORMAL"))</f>
        <v/>
      </c>
      <c r="F244" s="17">
        <f>IF($A244="","",_xlfn.TEXTJOIN(" ",TRUE,"Barkod",$A244,"karar",$D244,"net",TEXT($B244,"0.00"),"başabaş",TEXT($C244,"0.00"),"TL"))</f>
        <v/>
      </c>
    </row>
    <row r="245">
      <c r="A245" s="17">
        <f>IF('ESLESTIRME'!$A245="","",IF('ESLESTIRME'!$G245="tutar_farki",'ESLESTIRME'!$A245,""))</f>
        <v/>
      </c>
      <c r="B245" s="17">
        <f>IF($A245="","",IFERROR(SUMIF(tblMotor[A_Norm],$A245,tblMotor[NetKar]),0))</f>
        <v/>
      </c>
      <c r="C245" s="17">
        <f>IF($A245="","",IFERROR(SUMIF(tblMotor[A_Norm],$A245,tblMotor[BasabasFiyat]),0))</f>
        <v/>
      </c>
      <c r="D245" s="17">
        <f>IF($A245="","",IFERROR(INDEX(tblMotor[KararSatir],MATCH($A245,tblMotor[A_Norm],0)),""))</f>
        <v/>
      </c>
      <c r="E245" s="17">
        <f>IF($A245="","",IF($B245&lt;0,"YUKSEK","NORMAL"))</f>
        <v/>
      </c>
      <c r="F245" s="17">
        <f>IF($A245="","",_xlfn.TEXTJOIN(" ",TRUE,"Barkod",$A245,"karar",$D245,"net",TEXT($B245,"0.00"),"başabaş",TEXT($C245,"0.00"),"TL"))</f>
        <v/>
      </c>
    </row>
    <row r="246">
      <c r="A246" s="17">
        <f>IF('ESLESTIRME'!$A246="","",IF('ESLESTIRME'!$G246="tutar_farki",'ESLESTIRME'!$A246,""))</f>
        <v/>
      </c>
      <c r="B246" s="17">
        <f>IF($A246="","",IFERROR(SUMIF(tblMotor[A_Norm],$A246,tblMotor[NetKar]),0))</f>
        <v/>
      </c>
      <c r="C246" s="17">
        <f>IF($A246="","",IFERROR(SUMIF(tblMotor[A_Norm],$A246,tblMotor[BasabasFiyat]),0))</f>
        <v/>
      </c>
      <c r="D246" s="17">
        <f>IF($A246="","",IFERROR(INDEX(tblMotor[KararSatir],MATCH($A246,tblMotor[A_Norm],0)),""))</f>
        <v/>
      </c>
      <c r="E246" s="17">
        <f>IF($A246="","",IF($B246&lt;0,"YUKSEK","NORMAL"))</f>
        <v/>
      </c>
      <c r="F246" s="17">
        <f>IF($A246="","",_xlfn.TEXTJOIN(" ",TRUE,"Barkod",$A246,"karar",$D246,"net",TEXT($B246,"0.00"),"başabaş",TEXT($C246,"0.00"),"TL"))</f>
        <v/>
      </c>
    </row>
    <row r="247">
      <c r="A247" s="17">
        <f>IF('ESLESTIRME'!$A247="","",IF('ESLESTIRME'!$G247="tutar_farki",'ESLESTIRME'!$A247,""))</f>
        <v/>
      </c>
      <c r="B247" s="17">
        <f>IF($A247="","",IFERROR(SUMIF(tblMotor[A_Norm],$A247,tblMotor[NetKar]),0))</f>
        <v/>
      </c>
      <c r="C247" s="17">
        <f>IF($A247="","",IFERROR(SUMIF(tblMotor[A_Norm],$A247,tblMotor[BasabasFiyat]),0))</f>
        <v/>
      </c>
      <c r="D247" s="17">
        <f>IF($A247="","",IFERROR(INDEX(tblMotor[KararSatir],MATCH($A247,tblMotor[A_Norm],0)),""))</f>
        <v/>
      </c>
      <c r="E247" s="17">
        <f>IF($A247="","",IF($B247&lt;0,"YUKSEK","NORMAL"))</f>
        <v/>
      </c>
      <c r="F247" s="17">
        <f>IF($A247="","",_xlfn.TEXTJOIN(" ",TRUE,"Barkod",$A247,"karar",$D247,"net",TEXT($B247,"0.00"),"başabaş",TEXT($C247,"0.00"),"TL"))</f>
        <v/>
      </c>
    </row>
    <row r="248">
      <c r="A248" s="17">
        <f>IF('ESLESTIRME'!$A248="","",IF('ESLESTIRME'!$G248="tutar_farki",'ESLESTIRME'!$A248,""))</f>
        <v/>
      </c>
      <c r="B248" s="17">
        <f>IF($A248="","",IFERROR(SUMIF(tblMotor[A_Norm],$A248,tblMotor[NetKar]),0))</f>
        <v/>
      </c>
      <c r="C248" s="17">
        <f>IF($A248="","",IFERROR(SUMIF(tblMotor[A_Norm],$A248,tblMotor[BasabasFiyat]),0))</f>
        <v/>
      </c>
      <c r="D248" s="17">
        <f>IF($A248="","",IFERROR(INDEX(tblMotor[KararSatir],MATCH($A248,tblMotor[A_Norm],0)),""))</f>
        <v/>
      </c>
      <c r="E248" s="17">
        <f>IF($A248="","",IF($B248&lt;0,"YUKSEK","NORMAL"))</f>
        <v/>
      </c>
      <c r="F248" s="17">
        <f>IF($A248="","",_xlfn.TEXTJOIN(" ",TRUE,"Barkod",$A248,"karar",$D248,"net",TEXT($B248,"0.00"),"başabaş",TEXT($C248,"0.00"),"TL"))</f>
        <v/>
      </c>
    </row>
    <row r="249">
      <c r="A249" s="17">
        <f>IF('ESLESTIRME'!$A249="","",IF('ESLESTIRME'!$G249="tutar_farki",'ESLESTIRME'!$A249,""))</f>
        <v/>
      </c>
      <c r="B249" s="17">
        <f>IF($A249="","",IFERROR(SUMIF(tblMotor[A_Norm],$A249,tblMotor[NetKar]),0))</f>
        <v/>
      </c>
      <c r="C249" s="17">
        <f>IF($A249="","",IFERROR(SUMIF(tblMotor[A_Norm],$A249,tblMotor[BasabasFiyat]),0))</f>
        <v/>
      </c>
      <c r="D249" s="17">
        <f>IF($A249="","",IFERROR(INDEX(tblMotor[KararSatir],MATCH($A249,tblMotor[A_Norm],0)),""))</f>
        <v/>
      </c>
      <c r="E249" s="17">
        <f>IF($A249="","",IF($B249&lt;0,"YUKSEK","NORMAL"))</f>
        <v/>
      </c>
      <c r="F249" s="17">
        <f>IF($A249="","",_xlfn.TEXTJOIN(" ",TRUE,"Barkod",$A249,"karar",$D249,"net",TEXT($B249,"0.00"),"başabaş",TEXT($C249,"0.00"),"TL"))</f>
        <v/>
      </c>
    </row>
    <row r="250">
      <c r="A250" s="17">
        <f>IF('ESLESTIRME'!$A250="","",IF('ESLESTIRME'!$G250="tutar_farki",'ESLESTIRME'!$A250,""))</f>
        <v/>
      </c>
      <c r="B250" s="17">
        <f>IF($A250="","",IFERROR(SUMIF(tblMotor[A_Norm],$A250,tblMotor[NetKar]),0))</f>
        <v/>
      </c>
      <c r="C250" s="17">
        <f>IF($A250="","",IFERROR(SUMIF(tblMotor[A_Norm],$A250,tblMotor[BasabasFiyat]),0))</f>
        <v/>
      </c>
      <c r="D250" s="17">
        <f>IF($A250="","",IFERROR(INDEX(tblMotor[KararSatir],MATCH($A250,tblMotor[A_Norm],0)),""))</f>
        <v/>
      </c>
      <c r="E250" s="17">
        <f>IF($A250="","",IF($B250&lt;0,"YUKSEK","NORMAL"))</f>
        <v/>
      </c>
      <c r="F250" s="17">
        <f>IF($A250="","",_xlfn.TEXTJOIN(" ",TRUE,"Barkod",$A250,"karar",$D250,"net",TEXT($B250,"0.00"),"başabaş",TEXT($C250,"0.00"),"TL"))</f>
        <v/>
      </c>
    </row>
    <row r="251">
      <c r="A251" s="17">
        <f>IF('ESLESTIRME'!$A251="","",IF('ESLESTIRME'!$G251="tutar_farki",'ESLESTIRME'!$A251,""))</f>
        <v/>
      </c>
      <c r="B251" s="17">
        <f>IF($A251="","",IFERROR(SUMIF(tblMotor[A_Norm],$A251,tblMotor[NetKar]),0))</f>
        <v/>
      </c>
      <c r="C251" s="17">
        <f>IF($A251="","",IFERROR(SUMIF(tblMotor[A_Norm],$A251,tblMotor[BasabasFiyat]),0))</f>
        <v/>
      </c>
      <c r="D251" s="17">
        <f>IF($A251="","",IFERROR(INDEX(tblMotor[KararSatir],MATCH($A251,tblMotor[A_Norm],0)),""))</f>
        <v/>
      </c>
      <c r="E251" s="17">
        <f>IF($A251="","",IF($B251&lt;0,"YUKSEK","NORMAL"))</f>
        <v/>
      </c>
      <c r="F251" s="17">
        <f>IF($A251="","",_xlfn.TEXTJOIN(" ",TRUE,"Barkod",$A251,"karar",$D251,"net",TEXT($B251,"0.00"),"başabaş",TEXT($C251,"0.00"),"TL"))</f>
        <v/>
      </c>
    </row>
    <row r="252">
      <c r="A252" s="17">
        <f>IF('ESLESTIRME'!$A252="","",IF('ESLESTIRME'!$G252="tutar_farki",'ESLESTIRME'!$A252,""))</f>
        <v/>
      </c>
      <c r="B252" s="17">
        <f>IF($A252="","",IFERROR(SUMIF(tblMotor[A_Norm],$A252,tblMotor[NetKar]),0))</f>
        <v/>
      </c>
      <c r="C252" s="17">
        <f>IF($A252="","",IFERROR(SUMIF(tblMotor[A_Norm],$A252,tblMotor[BasabasFiyat]),0))</f>
        <v/>
      </c>
      <c r="D252" s="17">
        <f>IF($A252="","",IFERROR(INDEX(tblMotor[KararSatir],MATCH($A252,tblMotor[A_Norm],0)),""))</f>
        <v/>
      </c>
      <c r="E252" s="17">
        <f>IF($A252="","",IF($B252&lt;0,"YUKSEK","NORMAL"))</f>
        <v/>
      </c>
      <c r="F252" s="17">
        <f>IF($A252="","",_xlfn.TEXTJOIN(" ",TRUE,"Barkod",$A252,"karar",$D252,"net",TEXT($B252,"0.00"),"başabaş",TEXT($C252,"0.00"),"TL"))</f>
        <v/>
      </c>
    </row>
    <row r="253">
      <c r="A253" s="17">
        <f>IF('ESLESTIRME'!$A253="","",IF('ESLESTIRME'!$G253="tutar_farki",'ESLESTIRME'!$A253,""))</f>
        <v/>
      </c>
      <c r="B253" s="17">
        <f>IF($A253="","",IFERROR(SUMIF(tblMotor[A_Norm],$A253,tblMotor[NetKar]),0))</f>
        <v/>
      </c>
      <c r="C253" s="17">
        <f>IF($A253="","",IFERROR(SUMIF(tblMotor[A_Norm],$A253,tblMotor[BasabasFiyat]),0))</f>
        <v/>
      </c>
      <c r="D253" s="17">
        <f>IF($A253="","",IFERROR(INDEX(tblMotor[KararSatir],MATCH($A253,tblMotor[A_Norm],0)),""))</f>
        <v/>
      </c>
      <c r="E253" s="17">
        <f>IF($A253="","",IF($B253&lt;0,"YUKSEK","NORMAL"))</f>
        <v/>
      </c>
      <c r="F253" s="17">
        <f>IF($A253="","",_xlfn.TEXTJOIN(" ",TRUE,"Barkod",$A253,"karar",$D253,"net",TEXT($B253,"0.00"),"başabaş",TEXT($C253,"0.00"),"TL"))</f>
        <v/>
      </c>
    </row>
    <row r="254">
      <c r="A254" s="17">
        <f>IF('ESLESTIRME'!$A254="","",IF('ESLESTIRME'!$G254="tutar_farki",'ESLESTIRME'!$A254,""))</f>
        <v/>
      </c>
      <c r="B254" s="17">
        <f>IF($A254="","",IFERROR(SUMIF(tblMotor[A_Norm],$A254,tblMotor[NetKar]),0))</f>
        <v/>
      </c>
      <c r="C254" s="17">
        <f>IF($A254="","",IFERROR(SUMIF(tblMotor[A_Norm],$A254,tblMotor[BasabasFiyat]),0))</f>
        <v/>
      </c>
      <c r="D254" s="17">
        <f>IF($A254="","",IFERROR(INDEX(tblMotor[KararSatir],MATCH($A254,tblMotor[A_Norm],0)),""))</f>
        <v/>
      </c>
      <c r="E254" s="17">
        <f>IF($A254="","",IF($B254&lt;0,"YUKSEK","NORMAL"))</f>
        <v/>
      </c>
      <c r="F254" s="17">
        <f>IF($A254="","",_xlfn.TEXTJOIN(" ",TRUE,"Barkod",$A254,"karar",$D254,"net",TEXT($B254,"0.00"),"başabaş",TEXT($C254,"0.00"),"TL"))</f>
        <v/>
      </c>
    </row>
    <row r="255">
      <c r="A255" s="17">
        <f>IF('ESLESTIRME'!$A255="","",IF('ESLESTIRME'!$G255="tutar_farki",'ESLESTIRME'!$A255,""))</f>
        <v/>
      </c>
      <c r="B255" s="17">
        <f>IF($A255="","",IFERROR(SUMIF(tblMotor[A_Norm],$A255,tblMotor[NetKar]),0))</f>
        <v/>
      </c>
      <c r="C255" s="17">
        <f>IF($A255="","",IFERROR(SUMIF(tblMotor[A_Norm],$A255,tblMotor[BasabasFiyat]),0))</f>
        <v/>
      </c>
      <c r="D255" s="17">
        <f>IF($A255="","",IFERROR(INDEX(tblMotor[KararSatir],MATCH($A255,tblMotor[A_Norm],0)),""))</f>
        <v/>
      </c>
      <c r="E255" s="17">
        <f>IF($A255="","",IF($B255&lt;0,"YUKSEK","NORMAL"))</f>
        <v/>
      </c>
      <c r="F255" s="17">
        <f>IF($A255="","",_xlfn.TEXTJOIN(" ",TRUE,"Barkod",$A255,"karar",$D255,"net",TEXT($B255,"0.00"),"başabaş",TEXT($C255,"0.00"),"TL"))</f>
        <v/>
      </c>
    </row>
    <row r="256">
      <c r="A256" s="17">
        <f>IF('ESLESTIRME'!$A256="","",IF('ESLESTIRME'!$G256="tutar_farki",'ESLESTIRME'!$A256,""))</f>
        <v/>
      </c>
      <c r="B256" s="17">
        <f>IF($A256="","",IFERROR(SUMIF(tblMotor[A_Norm],$A256,tblMotor[NetKar]),0))</f>
        <v/>
      </c>
      <c r="C256" s="17">
        <f>IF($A256="","",IFERROR(SUMIF(tblMotor[A_Norm],$A256,tblMotor[BasabasFiyat]),0))</f>
        <v/>
      </c>
      <c r="D256" s="17">
        <f>IF($A256="","",IFERROR(INDEX(tblMotor[KararSatir],MATCH($A256,tblMotor[A_Norm],0)),""))</f>
        <v/>
      </c>
      <c r="E256" s="17">
        <f>IF($A256="","",IF($B256&lt;0,"YUKSEK","NORMAL"))</f>
        <v/>
      </c>
      <c r="F256" s="17">
        <f>IF($A256="","",_xlfn.TEXTJOIN(" ",TRUE,"Barkod",$A256,"karar",$D256,"net",TEXT($B256,"0.00"),"başabaş",TEXT($C256,"0.00"),"TL"))</f>
        <v/>
      </c>
    </row>
    <row r="257">
      <c r="A257" s="17">
        <f>IF('ESLESTIRME'!$A257="","",IF('ESLESTIRME'!$G257="tutar_farki",'ESLESTIRME'!$A257,""))</f>
        <v/>
      </c>
      <c r="B257" s="17">
        <f>IF($A257="","",IFERROR(SUMIF(tblMotor[A_Norm],$A257,tblMotor[NetKar]),0))</f>
        <v/>
      </c>
      <c r="C257" s="17">
        <f>IF($A257="","",IFERROR(SUMIF(tblMotor[A_Norm],$A257,tblMotor[BasabasFiyat]),0))</f>
        <v/>
      </c>
      <c r="D257" s="17">
        <f>IF($A257="","",IFERROR(INDEX(tblMotor[KararSatir],MATCH($A257,tblMotor[A_Norm],0)),""))</f>
        <v/>
      </c>
      <c r="E257" s="17">
        <f>IF($A257="","",IF($B257&lt;0,"YUKSEK","NORMAL"))</f>
        <v/>
      </c>
      <c r="F257" s="17">
        <f>IF($A257="","",_xlfn.TEXTJOIN(" ",TRUE,"Barkod",$A257,"karar",$D257,"net",TEXT($B257,"0.00"),"başabaş",TEXT($C257,"0.00"),"TL"))</f>
        <v/>
      </c>
    </row>
    <row r="258">
      <c r="A258" s="17">
        <f>IF('ESLESTIRME'!$A258="","",IF('ESLESTIRME'!$G258="tutar_farki",'ESLESTIRME'!$A258,""))</f>
        <v/>
      </c>
      <c r="B258" s="17">
        <f>IF($A258="","",IFERROR(SUMIF(tblMotor[A_Norm],$A258,tblMotor[NetKar]),0))</f>
        <v/>
      </c>
      <c r="C258" s="17">
        <f>IF($A258="","",IFERROR(SUMIF(tblMotor[A_Norm],$A258,tblMotor[BasabasFiyat]),0))</f>
        <v/>
      </c>
      <c r="D258" s="17">
        <f>IF($A258="","",IFERROR(INDEX(tblMotor[KararSatir],MATCH($A258,tblMotor[A_Norm],0)),""))</f>
        <v/>
      </c>
      <c r="E258" s="17">
        <f>IF($A258="","",IF($B258&lt;0,"YUKSEK","NORMAL"))</f>
        <v/>
      </c>
      <c r="F258" s="17">
        <f>IF($A258="","",_xlfn.TEXTJOIN(" ",TRUE,"Barkod",$A258,"karar",$D258,"net",TEXT($B258,"0.00"),"başabaş",TEXT($C258,"0.00"),"TL"))</f>
        <v/>
      </c>
    </row>
    <row r="259">
      <c r="A259" s="17">
        <f>IF('ESLESTIRME'!$A259="","",IF('ESLESTIRME'!$G259="tutar_farki",'ESLESTIRME'!$A259,""))</f>
        <v/>
      </c>
      <c r="B259" s="17">
        <f>IF($A259="","",IFERROR(SUMIF(tblMotor[A_Norm],$A259,tblMotor[NetKar]),0))</f>
        <v/>
      </c>
      <c r="C259" s="17">
        <f>IF($A259="","",IFERROR(SUMIF(tblMotor[A_Norm],$A259,tblMotor[BasabasFiyat]),0))</f>
        <v/>
      </c>
      <c r="D259" s="17">
        <f>IF($A259="","",IFERROR(INDEX(tblMotor[KararSatir],MATCH($A259,tblMotor[A_Norm],0)),""))</f>
        <v/>
      </c>
      <c r="E259" s="17">
        <f>IF($A259="","",IF($B259&lt;0,"YUKSEK","NORMAL"))</f>
        <v/>
      </c>
      <c r="F259" s="17">
        <f>IF($A259="","",_xlfn.TEXTJOIN(" ",TRUE,"Barkod",$A259,"karar",$D259,"net",TEXT($B259,"0.00"),"başabaş",TEXT($C259,"0.00"),"TL"))</f>
        <v/>
      </c>
    </row>
    <row r="260">
      <c r="A260" s="17">
        <f>IF('ESLESTIRME'!$A260="","",IF('ESLESTIRME'!$G260="tutar_farki",'ESLESTIRME'!$A260,""))</f>
        <v/>
      </c>
      <c r="B260" s="17">
        <f>IF($A260="","",IFERROR(SUMIF(tblMotor[A_Norm],$A260,tblMotor[NetKar]),0))</f>
        <v/>
      </c>
      <c r="C260" s="17">
        <f>IF($A260="","",IFERROR(SUMIF(tblMotor[A_Norm],$A260,tblMotor[BasabasFiyat]),0))</f>
        <v/>
      </c>
      <c r="D260" s="17">
        <f>IF($A260="","",IFERROR(INDEX(tblMotor[KararSatir],MATCH($A260,tblMotor[A_Norm],0)),""))</f>
        <v/>
      </c>
      <c r="E260" s="17">
        <f>IF($A260="","",IF($B260&lt;0,"YUKSEK","NORMAL"))</f>
        <v/>
      </c>
      <c r="F260" s="17">
        <f>IF($A260="","",_xlfn.TEXTJOIN(" ",TRUE,"Barkod",$A260,"karar",$D260,"net",TEXT($B260,"0.00"),"başabaş",TEXT($C260,"0.00"),"TL"))</f>
        <v/>
      </c>
    </row>
    <row r="261">
      <c r="A261" s="17">
        <f>IF('ESLESTIRME'!$A261="","",IF('ESLESTIRME'!$G261="tutar_farki",'ESLESTIRME'!$A261,""))</f>
        <v/>
      </c>
      <c r="B261" s="17">
        <f>IF($A261="","",IFERROR(SUMIF(tblMotor[A_Norm],$A261,tblMotor[NetKar]),0))</f>
        <v/>
      </c>
      <c r="C261" s="17">
        <f>IF($A261="","",IFERROR(SUMIF(tblMotor[A_Norm],$A261,tblMotor[BasabasFiyat]),0))</f>
        <v/>
      </c>
      <c r="D261" s="17">
        <f>IF($A261="","",IFERROR(INDEX(tblMotor[KararSatir],MATCH($A261,tblMotor[A_Norm],0)),""))</f>
        <v/>
      </c>
      <c r="E261" s="17">
        <f>IF($A261="","",IF($B261&lt;0,"YUKSEK","NORMAL"))</f>
        <v/>
      </c>
      <c r="F261" s="17">
        <f>IF($A261="","",_xlfn.TEXTJOIN(" ",TRUE,"Barkod",$A261,"karar",$D261,"net",TEXT($B261,"0.00"),"başabaş",TEXT($C261,"0.00"),"TL"))</f>
        <v/>
      </c>
    </row>
    <row r="262">
      <c r="A262" s="17">
        <f>IF('ESLESTIRME'!$A262="","",IF('ESLESTIRME'!$G262="tutar_farki",'ESLESTIRME'!$A262,""))</f>
        <v/>
      </c>
      <c r="B262" s="17">
        <f>IF($A262="","",IFERROR(SUMIF(tblMotor[A_Norm],$A262,tblMotor[NetKar]),0))</f>
        <v/>
      </c>
      <c r="C262" s="17">
        <f>IF($A262="","",IFERROR(SUMIF(tblMotor[A_Norm],$A262,tblMotor[BasabasFiyat]),0))</f>
        <v/>
      </c>
      <c r="D262" s="17">
        <f>IF($A262="","",IFERROR(INDEX(tblMotor[KararSatir],MATCH($A262,tblMotor[A_Norm],0)),""))</f>
        <v/>
      </c>
      <c r="E262" s="17">
        <f>IF($A262="","",IF($B262&lt;0,"YUKSEK","NORMAL"))</f>
        <v/>
      </c>
      <c r="F262" s="17">
        <f>IF($A262="","",_xlfn.TEXTJOIN(" ",TRUE,"Barkod",$A262,"karar",$D262,"net",TEXT($B262,"0.00"),"başabaş",TEXT($C262,"0.00"),"TL"))</f>
        <v/>
      </c>
    </row>
    <row r="263">
      <c r="A263" s="17">
        <f>IF('ESLESTIRME'!$A263="","",IF('ESLESTIRME'!$G263="tutar_farki",'ESLESTIRME'!$A263,""))</f>
        <v/>
      </c>
      <c r="B263" s="17">
        <f>IF($A263="","",IFERROR(SUMIF(tblMotor[A_Norm],$A263,tblMotor[NetKar]),0))</f>
        <v/>
      </c>
      <c r="C263" s="17">
        <f>IF($A263="","",IFERROR(SUMIF(tblMotor[A_Norm],$A263,tblMotor[BasabasFiyat]),0))</f>
        <v/>
      </c>
      <c r="D263" s="17">
        <f>IF($A263="","",IFERROR(INDEX(tblMotor[KararSatir],MATCH($A263,tblMotor[A_Norm],0)),""))</f>
        <v/>
      </c>
      <c r="E263" s="17">
        <f>IF($A263="","",IF($B263&lt;0,"YUKSEK","NORMAL"))</f>
        <v/>
      </c>
      <c r="F263" s="17">
        <f>IF($A263="","",_xlfn.TEXTJOIN(" ",TRUE,"Barkod",$A263,"karar",$D263,"net",TEXT($B263,"0.00"),"başabaş",TEXT($C263,"0.00"),"TL"))</f>
        <v/>
      </c>
    </row>
    <row r="264">
      <c r="A264" s="17">
        <f>IF('ESLESTIRME'!$A264="","",IF('ESLESTIRME'!$G264="tutar_farki",'ESLESTIRME'!$A264,""))</f>
        <v/>
      </c>
      <c r="B264" s="17">
        <f>IF($A264="","",IFERROR(SUMIF(tblMotor[A_Norm],$A264,tblMotor[NetKar]),0))</f>
        <v/>
      </c>
      <c r="C264" s="17">
        <f>IF($A264="","",IFERROR(SUMIF(tblMotor[A_Norm],$A264,tblMotor[BasabasFiyat]),0))</f>
        <v/>
      </c>
      <c r="D264" s="17">
        <f>IF($A264="","",IFERROR(INDEX(tblMotor[KararSatir],MATCH($A264,tblMotor[A_Norm],0)),""))</f>
        <v/>
      </c>
      <c r="E264" s="17">
        <f>IF($A264="","",IF($B264&lt;0,"YUKSEK","NORMAL"))</f>
        <v/>
      </c>
      <c r="F264" s="17">
        <f>IF($A264="","",_xlfn.TEXTJOIN(" ",TRUE,"Barkod",$A264,"karar",$D264,"net",TEXT($B264,"0.00"),"başabaş",TEXT($C264,"0.00"),"TL"))</f>
        <v/>
      </c>
    </row>
    <row r="265">
      <c r="A265" s="17">
        <f>IF('ESLESTIRME'!$A265="","",IF('ESLESTIRME'!$G265="tutar_farki",'ESLESTIRME'!$A265,""))</f>
        <v/>
      </c>
      <c r="B265" s="17">
        <f>IF($A265="","",IFERROR(SUMIF(tblMotor[A_Norm],$A265,tblMotor[NetKar]),0))</f>
        <v/>
      </c>
      <c r="C265" s="17">
        <f>IF($A265="","",IFERROR(SUMIF(tblMotor[A_Norm],$A265,tblMotor[BasabasFiyat]),0))</f>
        <v/>
      </c>
      <c r="D265" s="17">
        <f>IF($A265="","",IFERROR(INDEX(tblMotor[KararSatir],MATCH($A265,tblMotor[A_Norm],0)),""))</f>
        <v/>
      </c>
      <c r="E265" s="17">
        <f>IF($A265="","",IF($B265&lt;0,"YUKSEK","NORMAL"))</f>
        <v/>
      </c>
      <c r="F265" s="17">
        <f>IF($A265="","",_xlfn.TEXTJOIN(" ",TRUE,"Barkod",$A265,"karar",$D265,"net",TEXT($B265,"0.00"),"başabaş",TEXT($C265,"0.00"),"TL"))</f>
        <v/>
      </c>
    </row>
    <row r="266">
      <c r="A266" s="17">
        <f>IF('ESLESTIRME'!$A266="","",IF('ESLESTIRME'!$G266="tutar_farki",'ESLESTIRME'!$A266,""))</f>
        <v/>
      </c>
      <c r="B266" s="17">
        <f>IF($A266="","",IFERROR(SUMIF(tblMotor[A_Norm],$A266,tblMotor[NetKar]),0))</f>
        <v/>
      </c>
      <c r="C266" s="17">
        <f>IF($A266="","",IFERROR(SUMIF(tblMotor[A_Norm],$A266,tblMotor[BasabasFiyat]),0))</f>
        <v/>
      </c>
      <c r="D266" s="17">
        <f>IF($A266="","",IFERROR(INDEX(tblMotor[KararSatir],MATCH($A266,tblMotor[A_Norm],0)),""))</f>
        <v/>
      </c>
      <c r="E266" s="17">
        <f>IF($A266="","",IF($B266&lt;0,"YUKSEK","NORMAL"))</f>
        <v/>
      </c>
      <c r="F266" s="17">
        <f>IF($A266="","",_xlfn.TEXTJOIN(" ",TRUE,"Barkod",$A266,"karar",$D266,"net",TEXT($B266,"0.00"),"başabaş",TEXT($C266,"0.00"),"TL"))</f>
        <v/>
      </c>
    </row>
    <row r="267">
      <c r="A267" s="17">
        <f>IF('ESLESTIRME'!$A267="","",IF('ESLESTIRME'!$G267="tutar_farki",'ESLESTIRME'!$A267,""))</f>
        <v/>
      </c>
      <c r="B267" s="17">
        <f>IF($A267="","",IFERROR(SUMIF(tblMotor[A_Norm],$A267,tblMotor[NetKar]),0))</f>
        <v/>
      </c>
      <c r="C267" s="17">
        <f>IF($A267="","",IFERROR(SUMIF(tblMotor[A_Norm],$A267,tblMotor[BasabasFiyat]),0))</f>
        <v/>
      </c>
      <c r="D267" s="17">
        <f>IF($A267="","",IFERROR(INDEX(tblMotor[KararSatir],MATCH($A267,tblMotor[A_Norm],0)),""))</f>
        <v/>
      </c>
      <c r="E267" s="17">
        <f>IF($A267="","",IF($B267&lt;0,"YUKSEK","NORMAL"))</f>
        <v/>
      </c>
      <c r="F267" s="17">
        <f>IF($A267="","",_xlfn.TEXTJOIN(" ",TRUE,"Barkod",$A267,"karar",$D267,"net",TEXT($B267,"0.00"),"başabaş",TEXT($C267,"0.00"),"TL"))</f>
        <v/>
      </c>
    </row>
    <row r="268">
      <c r="A268" s="17">
        <f>IF('ESLESTIRME'!$A268="","",IF('ESLESTIRME'!$G268="tutar_farki",'ESLESTIRME'!$A268,""))</f>
        <v/>
      </c>
      <c r="B268" s="17">
        <f>IF($A268="","",IFERROR(SUMIF(tblMotor[A_Norm],$A268,tblMotor[NetKar]),0))</f>
        <v/>
      </c>
      <c r="C268" s="17">
        <f>IF($A268="","",IFERROR(SUMIF(tblMotor[A_Norm],$A268,tblMotor[BasabasFiyat]),0))</f>
        <v/>
      </c>
      <c r="D268" s="17">
        <f>IF($A268="","",IFERROR(INDEX(tblMotor[KararSatir],MATCH($A268,tblMotor[A_Norm],0)),""))</f>
        <v/>
      </c>
      <c r="E268" s="17">
        <f>IF($A268="","",IF($B268&lt;0,"YUKSEK","NORMAL"))</f>
        <v/>
      </c>
      <c r="F268" s="17">
        <f>IF($A268="","",_xlfn.TEXTJOIN(" ",TRUE,"Barkod",$A268,"karar",$D268,"net",TEXT($B268,"0.00"),"başabaş",TEXT($C268,"0.00"),"TL"))</f>
        <v/>
      </c>
    </row>
    <row r="269">
      <c r="A269" s="17">
        <f>IF('ESLESTIRME'!$A269="","",IF('ESLESTIRME'!$G269="tutar_farki",'ESLESTIRME'!$A269,""))</f>
        <v/>
      </c>
      <c r="B269" s="17">
        <f>IF($A269="","",IFERROR(SUMIF(tblMotor[A_Norm],$A269,tblMotor[NetKar]),0))</f>
        <v/>
      </c>
      <c r="C269" s="17">
        <f>IF($A269="","",IFERROR(SUMIF(tblMotor[A_Norm],$A269,tblMotor[BasabasFiyat]),0))</f>
        <v/>
      </c>
      <c r="D269" s="17">
        <f>IF($A269="","",IFERROR(INDEX(tblMotor[KararSatir],MATCH($A269,tblMotor[A_Norm],0)),""))</f>
        <v/>
      </c>
      <c r="E269" s="17">
        <f>IF($A269="","",IF($B269&lt;0,"YUKSEK","NORMAL"))</f>
        <v/>
      </c>
      <c r="F269" s="17">
        <f>IF($A269="","",_xlfn.TEXTJOIN(" ",TRUE,"Barkod",$A269,"karar",$D269,"net",TEXT($B269,"0.00"),"başabaş",TEXT($C269,"0.00"),"TL"))</f>
        <v/>
      </c>
    </row>
    <row r="270">
      <c r="A270" s="17">
        <f>IF('ESLESTIRME'!$A270="","",IF('ESLESTIRME'!$G270="tutar_farki",'ESLESTIRME'!$A270,""))</f>
        <v/>
      </c>
      <c r="B270" s="17">
        <f>IF($A270="","",IFERROR(SUMIF(tblMotor[A_Norm],$A270,tblMotor[NetKar]),0))</f>
        <v/>
      </c>
      <c r="C270" s="17">
        <f>IF($A270="","",IFERROR(SUMIF(tblMotor[A_Norm],$A270,tblMotor[BasabasFiyat]),0))</f>
        <v/>
      </c>
      <c r="D270" s="17">
        <f>IF($A270="","",IFERROR(INDEX(tblMotor[KararSatir],MATCH($A270,tblMotor[A_Norm],0)),""))</f>
        <v/>
      </c>
      <c r="E270" s="17">
        <f>IF($A270="","",IF($B270&lt;0,"YUKSEK","NORMAL"))</f>
        <v/>
      </c>
      <c r="F270" s="17">
        <f>IF($A270="","",_xlfn.TEXTJOIN(" ",TRUE,"Barkod",$A270,"karar",$D270,"net",TEXT($B270,"0.00"),"başabaş",TEXT($C270,"0.00"),"TL"))</f>
        <v/>
      </c>
    </row>
    <row r="271">
      <c r="A271" s="17">
        <f>IF('ESLESTIRME'!$A271="","",IF('ESLESTIRME'!$G271="tutar_farki",'ESLESTIRME'!$A271,""))</f>
        <v/>
      </c>
      <c r="B271" s="17">
        <f>IF($A271="","",IFERROR(SUMIF(tblMotor[A_Norm],$A271,tblMotor[NetKar]),0))</f>
        <v/>
      </c>
      <c r="C271" s="17">
        <f>IF($A271="","",IFERROR(SUMIF(tblMotor[A_Norm],$A271,tblMotor[BasabasFiyat]),0))</f>
        <v/>
      </c>
      <c r="D271" s="17">
        <f>IF($A271="","",IFERROR(INDEX(tblMotor[KararSatir],MATCH($A271,tblMotor[A_Norm],0)),""))</f>
        <v/>
      </c>
      <c r="E271" s="17">
        <f>IF($A271="","",IF($B271&lt;0,"YUKSEK","NORMAL"))</f>
        <v/>
      </c>
      <c r="F271" s="17">
        <f>IF($A271="","",_xlfn.TEXTJOIN(" ",TRUE,"Barkod",$A271,"karar",$D271,"net",TEXT($B271,"0.00"),"başabaş",TEXT($C271,"0.00"),"TL"))</f>
        <v/>
      </c>
    </row>
    <row r="272">
      <c r="A272" s="17">
        <f>IF('ESLESTIRME'!$A272="","",IF('ESLESTIRME'!$G272="tutar_farki",'ESLESTIRME'!$A272,""))</f>
        <v/>
      </c>
      <c r="B272" s="17">
        <f>IF($A272="","",IFERROR(SUMIF(tblMotor[A_Norm],$A272,tblMotor[NetKar]),0))</f>
        <v/>
      </c>
      <c r="C272" s="17">
        <f>IF($A272="","",IFERROR(SUMIF(tblMotor[A_Norm],$A272,tblMotor[BasabasFiyat]),0))</f>
        <v/>
      </c>
      <c r="D272" s="17">
        <f>IF($A272="","",IFERROR(INDEX(tblMotor[KararSatir],MATCH($A272,tblMotor[A_Norm],0)),""))</f>
        <v/>
      </c>
      <c r="E272" s="17">
        <f>IF($A272="","",IF($B272&lt;0,"YUKSEK","NORMAL"))</f>
        <v/>
      </c>
      <c r="F272" s="17">
        <f>IF($A272="","",_xlfn.TEXTJOIN(" ",TRUE,"Barkod",$A272,"karar",$D272,"net",TEXT($B272,"0.00"),"başabaş",TEXT($C272,"0.00"),"TL"))</f>
        <v/>
      </c>
    </row>
    <row r="273">
      <c r="A273" s="17">
        <f>IF('ESLESTIRME'!$A273="","",IF('ESLESTIRME'!$G273="tutar_farki",'ESLESTIRME'!$A273,""))</f>
        <v/>
      </c>
      <c r="B273" s="17">
        <f>IF($A273="","",IFERROR(SUMIF(tblMotor[A_Norm],$A273,tblMotor[NetKar]),0))</f>
        <v/>
      </c>
      <c r="C273" s="17">
        <f>IF($A273="","",IFERROR(SUMIF(tblMotor[A_Norm],$A273,tblMotor[BasabasFiyat]),0))</f>
        <v/>
      </c>
      <c r="D273" s="17">
        <f>IF($A273="","",IFERROR(INDEX(tblMotor[KararSatir],MATCH($A273,tblMotor[A_Norm],0)),""))</f>
        <v/>
      </c>
      <c r="E273" s="17">
        <f>IF($A273="","",IF($B273&lt;0,"YUKSEK","NORMAL"))</f>
        <v/>
      </c>
      <c r="F273" s="17">
        <f>IF($A273="","",_xlfn.TEXTJOIN(" ",TRUE,"Barkod",$A273,"karar",$D273,"net",TEXT($B273,"0.00"),"başabaş",TEXT($C273,"0.00"),"TL"))</f>
        <v/>
      </c>
    </row>
    <row r="274">
      <c r="A274" s="17">
        <f>IF('ESLESTIRME'!$A274="","",IF('ESLESTIRME'!$G274="tutar_farki",'ESLESTIRME'!$A274,""))</f>
        <v/>
      </c>
      <c r="B274" s="17">
        <f>IF($A274="","",IFERROR(SUMIF(tblMotor[A_Norm],$A274,tblMotor[NetKar]),0))</f>
        <v/>
      </c>
      <c r="C274" s="17">
        <f>IF($A274="","",IFERROR(SUMIF(tblMotor[A_Norm],$A274,tblMotor[BasabasFiyat]),0))</f>
        <v/>
      </c>
      <c r="D274" s="17">
        <f>IF($A274="","",IFERROR(INDEX(tblMotor[KararSatir],MATCH($A274,tblMotor[A_Norm],0)),""))</f>
        <v/>
      </c>
      <c r="E274" s="17">
        <f>IF($A274="","",IF($B274&lt;0,"YUKSEK","NORMAL"))</f>
        <v/>
      </c>
      <c r="F274" s="17">
        <f>IF($A274="","",_xlfn.TEXTJOIN(" ",TRUE,"Barkod",$A274,"karar",$D274,"net",TEXT($B274,"0.00"),"başabaş",TEXT($C274,"0.00"),"TL"))</f>
        <v/>
      </c>
    </row>
    <row r="275">
      <c r="A275" s="17">
        <f>IF('ESLESTIRME'!$A275="","",IF('ESLESTIRME'!$G275="tutar_farki",'ESLESTIRME'!$A275,""))</f>
        <v/>
      </c>
      <c r="B275" s="17">
        <f>IF($A275="","",IFERROR(SUMIF(tblMotor[A_Norm],$A275,tblMotor[NetKar]),0))</f>
        <v/>
      </c>
      <c r="C275" s="17">
        <f>IF($A275="","",IFERROR(SUMIF(tblMotor[A_Norm],$A275,tblMotor[BasabasFiyat]),0))</f>
        <v/>
      </c>
      <c r="D275" s="17">
        <f>IF($A275="","",IFERROR(INDEX(tblMotor[KararSatir],MATCH($A275,tblMotor[A_Norm],0)),""))</f>
        <v/>
      </c>
      <c r="E275" s="17">
        <f>IF($A275="","",IF($B275&lt;0,"YUKSEK","NORMAL"))</f>
        <v/>
      </c>
      <c r="F275" s="17">
        <f>IF($A275="","",_xlfn.TEXTJOIN(" ",TRUE,"Barkod",$A275,"karar",$D275,"net",TEXT($B275,"0.00"),"başabaş",TEXT($C275,"0.00"),"TL"))</f>
        <v/>
      </c>
    </row>
    <row r="276">
      <c r="A276" s="17">
        <f>IF('ESLESTIRME'!$A276="","",IF('ESLESTIRME'!$G276="tutar_farki",'ESLESTIRME'!$A276,""))</f>
        <v/>
      </c>
      <c r="B276" s="17">
        <f>IF($A276="","",IFERROR(SUMIF(tblMotor[A_Norm],$A276,tblMotor[NetKar]),0))</f>
        <v/>
      </c>
      <c r="C276" s="17">
        <f>IF($A276="","",IFERROR(SUMIF(tblMotor[A_Norm],$A276,tblMotor[BasabasFiyat]),0))</f>
        <v/>
      </c>
      <c r="D276" s="17">
        <f>IF($A276="","",IFERROR(INDEX(tblMotor[KararSatir],MATCH($A276,tblMotor[A_Norm],0)),""))</f>
        <v/>
      </c>
      <c r="E276" s="17">
        <f>IF($A276="","",IF($B276&lt;0,"YUKSEK","NORMAL"))</f>
        <v/>
      </c>
      <c r="F276" s="17">
        <f>IF($A276="","",_xlfn.TEXTJOIN(" ",TRUE,"Barkod",$A276,"karar",$D276,"net",TEXT($B276,"0.00"),"başabaş",TEXT($C276,"0.00"),"TL"))</f>
        <v/>
      </c>
    </row>
    <row r="277">
      <c r="A277" s="17">
        <f>IF('ESLESTIRME'!$A277="","",IF('ESLESTIRME'!$G277="tutar_farki",'ESLESTIRME'!$A277,""))</f>
        <v/>
      </c>
      <c r="B277" s="17">
        <f>IF($A277="","",IFERROR(SUMIF(tblMotor[A_Norm],$A277,tblMotor[NetKar]),0))</f>
        <v/>
      </c>
      <c r="C277" s="17">
        <f>IF($A277="","",IFERROR(SUMIF(tblMotor[A_Norm],$A277,tblMotor[BasabasFiyat]),0))</f>
        <v/>
      </c>
      <c r="D277" s="17">
        <f>IF($A277="","",IFERROR(INDEX(tblMotor[KararSatir],MATCH($A277,tblMotor[A_Norm],0)),""))</f>
        <v/>
      </c>
      <c r="E277" s="17">
        <f>IF($A277="","",IF($B277&lt;0,"YUKSEK","NORMAL"))</f>
        <v/>
      </c>
      <c r="F277" s="17">
        <f>IF($A277="","",_xlfn.TEXTJOIN(" ",TRUE,"Barkod",$A277,"karar",$D277,"net",TEXT($B277,"0.00"),"başabaş",TEXT($C277,"0.00"),"TL"))</f>
        <v/>
      </c>
    </row>
    <row r="278">
      <c r="A278" s="17">
        <f>IF('ESLESTIRME'!$A278="","",IF('ESLESTIRME'!$G278="tutar_farki",'ESLESTIRME'!$A278,""))</f>
        <v/>
      </c>
      <c r="B278" s="17">
        <f>IF($A278="","",IFERROR(SUMIF(tblMotor[A_Norm],$A278,tblMotor[NetKar]),0))</f>
        <v/>
      </c>
      <c r="C278" s="17">
        <f>IF($A278="","",IFERROR(SUMIF(tblMotor[A_Norm],$A278,tblMotor[BasabasFiyat]),0))</f>
        <v/>
      </c>
      <c r="D278" s="17">
        <f>IF($A278="","",IFERROR(INDEX(tblMotor[KararSatir],MATCH($A278,tblMotor[A_Norm],0)),""))</f>
        <v/>
      </c>
      <c r="E278" s="17">
        <f>IF($A278="","",IF($B278&lt;0,"YUKSEK","NORMAL"))</f>
        <v/>
      </c>
      <c r="F278" s="17">
        <f>IF($A278="","",_xlfn.TEXTJOIN(" ",TRUE,"Barkod",$A278,"karar",$D278,"net",TEXT($B278,"0.00"),"başabaş",TEXT($C278,"0.00"),"TL"))</f>
        <v/>
      </c>
    </row>
    <row r="279">
      <c r="A279" s="17">
        <f>IF('ESLESTIRME'!$A279="","",IF('ESLESTIRME'!$G279="tutar_farki",'ESLESTIRME'!$A279,""))</f>
        <v/>
      </c>
      <c r="B279" s="17">
        <f>IF($A279="","",IFERROR(SUMIF(tblMotor[A_Norm],$A279,tblMotor[NetKar]),0))</f>
        <v/>
      </c>
      <c r="C279" s="17">
        <f>IF($A279="","",IFERROR(SUMIF(tblMotor[A_Norm],$A279,tblMotor[BasabasFiyat]),0))</f>
        <v/>
      </c>
      <c r="D279" s="17">
        <f>IF($A279="","",IFERROR(INDEX(tblMotor[KararSatir],MATCH($A279,tblMotor[A_Norm],0)),""))</f>
        <v/>
      </c>
      <c r="E279" s="17">
        <f>IF($A279="","",IF($B279&lt;0,"YUKSEK","NORMAL"))</f>
        <v/>
      </c>
      <c r="F279" s="17">
        <f>IF($A279="","",_xlfn.TEXTJOIN(" ",TRUE,"Barkod",$A279,"karar",$D279,"net",TEXT($B279,"0.00"),"başabaş",TEXT($C279,"0.00"),"TL"))</f>
        <v/>
      </c>
    </row>
    <row r="280">
      <c r="A280" s="17">
        <f>IF('ESLESTIRME'!$A280="","",IF('ESLESTIRME'!$G280="tutar_farki",'ESLESTIRME'!$A280,""))</f>
        <v/>
      </c>
      <c r="B280" s="17">
        <f>IF($A280="","",IFERROR(SUMIF(tblMotor[A_Norm],$A280,tblMotor[NetKar]),0))</f>
        <v/>
      </c>
      <c r="C280" s="17">
        <f>IF($A280="","",IFERROR(SUMIF(tblMotor[A_Norm],$A280,tblMotor[BasabasFiyat]),0))</f>
        <v/>
      </c>
      <c r="D280" s="17">
        <f>IF($A280="","",IFERROR(INDEX(tblMotor[KararSatir],MATCH($A280,tblMotor[A_Norm],0)),""))</f>
        <v/>
      </c>
      <c r="E280" s="17">
        <f>IF($A280="","",IF($B280&lt;0,"YUKSEK","NORMAL"))</f>
        <v/>
      </c>
      <c r="F280" s="17">
        <f>IF($A280="","",_xlfn.TEXTJOIN(" ",TRUE,"Barkod",$A280,"karar",$D280,"net",TEXT($B280,"0.00"),"başabaş",TEXT($C280,"0.00"),"TL"))</f>
        <v/>
      </c>
    </row>
    <row r="281">
      <c r="A281" s="17">
        <f>IF('ESLESTIRME'!$A281="","",IF('ESLESTIRME'!$G281="tutar_farki",'ESLESTIRME'!$A281,""))</f>
        <v/>
      </c>
      <c r="B281" s="17">
        <f>IF($A281="","",IFERROR(SUMIF(tblMotor[A_Norm],$A281,tblMotor[NetKar]),0))</f>
        <v/>
      </c>
      <c r="C281" s="17">
        <f>IF($A281="","",IFERROR(SUMIF(tblMotor[A_Norm],$A281,tblMotor[BasabasFiyat]),0))</f>
        <v/>
      </c>
      <c r="D281" s="17">
        <f>IF($A281="","",IFERROR(INDEX(tblMotor[KararSatir],MATCH($A281,tblMotor[A_Norm],0)),""))</f>
        <v/>
      </c>
      <c r="E281" s="17">
        <f>IF($A281="","",IF($B281&lt;0,"YUKSEK","NORMAL"))</f>
        <v/>
      </c>
      <c r="F281" s="17">
        <f>IF($A281="","",_xlfn.TEXTJOIN(" ",TRUE,"Barkod",$A281,"karar",$D281,"net",TEXT($B281,"0.00"),"başabaş",TEXT($C281,"0.00"),"TL"))</f>
        <v/>
      </c>
    </row>
    <row r="282">
      <c r="A282" s="17">
        <f>IF('ESLESTIRME'!$A282="","",IF('ESLESTIRME'!$G282="tutar_farki",'ESLESTIRME'!$A282,""))</f>
        <v/>
      </c>
      <c r="B282" s="17">
        <f>IF($A282="","",IFERROR(SUMIF(tblMotor[A_Norm],$A282,tblMotor[NetKar]),0))</f>
        <v/>
      </c>
      <c r="C282" s="17">
        <f>IF($A282="","",IFERROR(SUMIF(tblMotor[A_Norm],$A282,tblMotor[BasabasFiyat]),0))</f>
        <v/>
      </c>
      <c r="D282" s="17">
        <f>IF($A282="","",IFERROR(INDEX(tblMotor[KararSatir],MATCH($A282,tblMotor[A_Norm],0)),""))</f>
        <v/>
      </c>
      <c r="E282" s="17">
        <f>IF($A282="","",IF($B282&lt;0,"YUKSEK","NORMAL"))</f>
        <v/>
      </c>
      <c r="F282" s="17">
        <f>IF($A282="","",_xlfn.TEXTJOIN(" ",TRUE,"Barkod",$A282,"karar",$D282,"net",TEXT($B282,"0.00"),"başabaş",TEXT($C282,"0.00"),"TL"))</f>
        <v/>
      </c>
    </row>
    <row r="283">
      <c r="A283" s="17">
        <f>IF('ESLESTIRME'!$A283="","",IF('ESLESTIRME'!$G283="tutar_farki",'ESLESTIRME'!$A283,""))</f>
        <v/>
      </c>
      <c r="B283" s="17">
        <f>IF($A283="","",IFERROR(SUMIF(tblMotor[A_Norm],$A283,tblMotor[NetKar]),0))</f>
        <v/>
      </c>
      <c r="C283" s="17">
        <f>IF($A283="","",IFERROR(SUMIF(tblMotor[A_Norm],$A283,tblMotor[BasabasFiyat]),0))</f>
        <v/>
      </c>
      <c r="D283" s="17">
        <f>IF($A283="","",IFERROR(INDEX(tblMotor[KararSatir],MATCH($A283,tblMotor[A_Norm],0)),""))</f>
        <v/>
      </c>
      <c r="E283" s="17">
        <f>IF($A283="","",IF($B283&lt;0,"YUKSEK","NORMAL"))</f>
        <v/>
      </c>
      <c r="F283" s="17">
        <f>IF($A283="","",_xlfn.TEXTJOIN(" ",TRUE,"Barkod",$A283,"karar",$D283,"net",TEXT($B283,"0.00"),"başabaş",TEXT($C283,"0.00"),"TL"))</f>
        <v/>
      </c>
    </row>
    <row r="284">
      <c r="A284" s="17">
        <f>IF('ESLESTIRME'!$A284="","",IF('ESLESTIRME'!$G284="tutar_farki",'ESLESTIRME'!$A284,""))</f>
        <v/>
      </c>
      <c r="B284" s="17">
        <f>IF($A284="","",IFERROR(SUMIF(tblMotor[A_Norm],$A284,tblMotor[NetKar]),0))</f>
        <v/>
      </c>
      <c r="C284" s="17">
        <f>IF($A284="","",IFERROR(SUMIF(tblMotor[A_Norm],$A284,tblMotor[BasabasFiyat]),0))</f>
        <v/>
      </c>
      <c r="D284" s="17">
        <f>IF($A284="","",IFERROR(INDEX(tblMotor[KararSatir],MATCH($A284,tblMotor[A_Norm],0)),""))</f>
        <v/>
      </c>
      <c r="E284" s="17">
        <f>IF($A284="","",IF($B284&lt;0,"YUKSEK","NORMAL"))</f>
        <v/>
      </c>
      <c r="F284" s="17">
        <f>IF($A284="","",_xlfn.TEXTJOIN(" ",TRUE,"Barkod",$A284,"karar",$D284,"net",TEXT($B284,"0.00"),"başabaş",TEXT($C284,"0.00"),"TL"))</f>
        <v/>
      </c>
    </row>
    <row r="285">
      <c r="A285" s="17">
        <f>IF('ESLESTIRME'!$A285="","",IF('ESLESTIRME'!$G285="tutar_farki",'ESLESTIRME'!$A285,""))</f>
        <v/>
      </c>
      <c r="B285" s="17">
        <f>IF($A285="","",IFERROR(SUMIF(tblMotor[A_Norm],$A285,tblMotor[NetKar]),0))</f>
        <v/>
      </c>
      <c r="C285" s="17">
        <f>IF($A285="","",IFERROR(SUMIF(tblMotor[A_Norm],$A285,tblMotor[BasabasFiyat]),0))</f>
        <v/>
      </c>
      <c r="D285" s="17">
        <f>IF($A285="","",IFERROR(INDEX(tblMotor[KararSatir],MATCH($A285,tblMotor[A_Norm],0)),""))</f>
        <v/>
      </c>
      <c r="E285" s="17">
        <f>IF($A285="","",IF($B285&lt;0,"YUKSEK","NORMAL"))</f>
        <v/>
      </c>
      <c r="F285" s="17">
        <f>IF($A285="","",_xlfn.TEXTJOIN(" ",TRUE,"Barkod",$A285,"karar",$D285,"net",TEXT($B285,"0.00"),"başabaş",TEXT($C285,"0.00"),"TL"))</f>
        <v/>
      </c>
    </row>
    <row r="286">
      <c r="A286" s="17">
        <f>IF('ESLESTIRME'!$A286="","",IF('ESLESTIRME'!$G286="tutar_farki",'ESLESTIRME'!$A286,""))</f>
        <v/>
      </c>
      <c r="B286" s="17">
        <f>IF($A286="","",IFERROR(SUMIF(tblMotor[A_Norm],$A286,tblMotor[NetKar]),0))</f>
        <v/>
      </c>
      <c r="C286" s="17">
        <f>IF($A286="","",IFERROR(SUMIF(tblMotor[A_Norm],$A286,tblMotor[BasabasFiyat]),0))</f>
        <v/>
      </c>
      <c r="D286" s="17">
        <f>IF($A286="","",IFERROR(INDEX(tblMotor[KararSatir],MATCH($A286,tblMotor[A_Norm],0)),""))</f>
        <v/>
      </c>
      <c r="E286" s="17">
        <f>IF($A286="","",IF($B286&lt;0,"YUKSEK","NORMAL"))</f>
        <v/>
      </c>
      <c r="F286" s="17">
        <f>IF($A286="","",_xlfn.TEXTJOIN(" ",TRUE,"Barkod",$A286,"karar",$D286,"net",TEXT($B286,"0.00"),"başabaş",TEXT($C286,"0.00"),"TL"))</f>
        <v/>
      </c>
    </row>
    <row r="287">
      <c r="A287" s="17">
        <f>IF('ESLESTIRME'!$A287="","",IF('ESLESTIRME'!$G287="tutar_farki",'ESLESTIRME'!$A287,""))</f>
        <v/>
      </c>
      <c r="B287" s="17">
        <f>IF($A287="","",IFERROR(SUMIF(tblMotor[A_Norm],$A287,tblMotor[NetKar]),0))</f>
        <v/>
      </c>
      <c r="C287" s="17">
        <f>IF($A287="","",IFERROR(SUMIF(tblMotor[A_Norm],$A287,tblMotor[BasabasFiyat]),0))</f>
        <v/>
      </c>
      <c r="D287" s="17">
        <f>IF($A287="","",IFERROR(INDEX(tblMotor[KararSatir],MATCH($A287,tblMotor[A_Norm],0)),""))</f>
        <v/>
      </c>
      <c r="E287" s="17">
        <f>IF($A287="","",IF($B287&lt;0,"YUKSEK","NORMAL"))</f>
        <v/>
      </c>
      <c r="F287" s="17">
        <f>IF($A287="","",_xlfn.TEXTJOIN(" ",TRUE,"Barkod",$A287,"karar",$D287,"net",TEXT($B287,"0.00"),"başabaş",TEXT($C287,"0.00"),"TL"))</f>
        <v/>
      </c>
    </row>
    <row r="288">
      <c r="A288" s="17">
        <f>IF('ESLESTIRME'!$A288="","",IF('ESLESTIRME'!$G288="tutar_farki",'ESLESTIRME'!$A288,""))</f>
        <v/>
      </c>
      <c r="B288" s="17">
        <f>IF($A288="","",IFERROR(SUMIF(tblMotor[A_Norm],$A288,tblMotor[NetKar]),0))</f>
        <v/>
      </c>
      <c r="C288" s="17">
        <f>IF($A288="","",IFERROR(SUMIF(tblMotor[A_Norm],$A288,tblMotor[BasabasFiyat]),0))</f>
        <v/>
      </c>
      <c r="D288" s="17">
        <f>IF($A288="","",IFERROR(INDEX(tblMotor[KararSatir],MATCH($A288,tblMotor[A_Norm],0)),""))</f>
        <v/>
      </c>
      <c r="E288" s="17">
        <f>IF($A288="","",IF($B288&lt;0,"YUKSEK","NORMAL"))</f>
        <v/>
      </c>
      <c r="F288" s="17">
        <f>IF($A288="","",_xlfn.TEXTJOIN(" ",TRUE,"Barkod",$A288,"karar",$D288,"net",TEXT($B288,"0.00"),"başabaş",TEXT($C288,"0.00"),"TL"))</f>
        <v/>
      </c>
    </row>
    <row r="289">
      <c r="A289" s="17">
        <f>IF('ESLESTIRME'!$A289="","",IF('ESLESTIRME'!$G289="tutar_farki",'ESLESTIRME'!$A289,""))</f>
        <v/>
      </c>
      <c r="B289" s="17">
        <f>IF($A289="","",IFERROR(SUMIF(tblMotor[A_Norm],$A289,tblMotor[NetKar]),0))</f>
        <v/>
      </c>
      <c r="C289" s="17">
        <f>IF($A289="","",IFERROR(SUMIF(tblMotor[A_Norm],$A289,tblMotor[BasabasFiyat]),0))</f>
        <v/>
      </c>
      <c r="D289" s="17">
        <f>IF($A289="","",IFERROR(INDEX(tblMotor[KararSatir],MATCH($A289,tblMotor[A_Norm],0)),""))</f>
        <v/>
      </c>
      <c r="E289" s="17">
        <f>IF($A289="","",IF($B289&lt;0,"YUKSEK","NORMAL"))</f>
        <v/>
      </c>
      <c r="F289" s="17">
        <f>IF($A289="","",_xlfn.TEXTJOIN(" ",TRUE,"Barkod",$A289,"karar",$D289,"net",TEXT($B289,"0.00"),"başabaş",TEXT($C289,"0.00"),"TL"))</f>
        <v/>
      </c>
    </row>
    <row r="290">
      <c r="A290" s="17">
        <f>IF('ESLESTIRME'!$A290="","",IF('ESLESTIRME'!$G290="tutar_farki",'ESLESTIRME'!$A290,""))</f>
        <v/>
      </c>
      <c r="B290" s="17">
        <f>IF($A290="","",IFERROR(SUMIF(tblMotor[A_Norm],$A290,tblMotor[NetKar]),0))</f>
        <v/>
      </c>
      <c r="C290" s="17">
        <f>IF($A290="","",IFERROR(SUMIF(tblMotor[A_Norm],$A290,tblMotor[BasabasFiyat]),0))</f>
        <v/>
      </c>
      <c r="D290" s="17">
        <f>IF($A290="","",IFERROR(INDEX(tblMotor[KararSatir],MATCH($A290,tblMotor[A_Norm],0)),""))</f>
        <v/>
      </c>
      <c r="E290" s="17">
        <f>IF($A290="","",IF($B290&lt;0,"YUKSEK","NORMAL"))</f>
        <v/>
      </c>
      <c r="F290" s="17">
        <f>IF($A290="","",_xlfn.TEXTJOIN(" ",TRUE,"Barkod",$A290,"karar",$D290,"net",TEXT($B290,"0.00"),"başabaş",TEXT($C290,"0.00"),"TL"))</f>
        <v/>
      </c>
    </row>
    <row r="291">
      <c r="A291" s="17">
        <f>IF('ESLESTIRME'!$A291="","",IF('ESLESTIRME'!$G291="tutar_farki",'ESLESTIRME'!$A291,""))</f>
        <v/>
      </c>
      <c r="B291" s="17">
        <f>IF($A291="","",IFERROR(SUMIF(tblMotor[A_Norm],$A291,tblMotor[NetKar]),0))</f>
        <v/>
      </c>
      <c r="C291" s="17">
        <f>IF($A291="","",IFERROR(SUMIF(tblMotor[A_Norm],$A291,tblMotor[BasabasFiyat]),0))</f>
        <v/>
      </c>
      <c r="D291" s="17">
        <f>IF($A291="","",IFERROR(INDEX(tblMotor[KararSatir],MATCH($A291,tblMotor[A_Norm],0)),""))</f>
        <v/>
      </c>
      <c r="E291" s="17">
        <f>IF($A291="","",IF($B291&lt;0,"YUKSEK","NORMAL"))</f>
        <v/>
      </c>
      <c r="F291" s="17">
        <f>IF($A291="","",_xlfn.TEXTJOIN(" ",TRUE,"Barkod",$A291,"karar",$D291,"net",TEXT($B291,"0.00"),"başabaş",TEXT($C291,"0.00"),"TL"))</f>
        <v/>
      </c>
    </row>
    <row r="292">
      <c r="A292" s="17">
        <f>IF('ESLESTIRME'!$A292="","",IF('ESLESTIRME'!$G292="tutar_farki",'ESLESTIRME'!$A292,""))</f>
        <v/>
      </c>
      <c r="B292" s="17">
        <f>IF($A292="","",IFERROR(SUMIF(tblMotor[A_Norm],$A292,tblMotor[NetKar]),0))</f>
        <v/>
      </c>
      <c r="C292" s="17">
        <f>IF($A292="","",IFERROR(SUMIF(tblMotor[A_Norm],$A292,tblMotor[BasabasFiyat]),0))</f>
        <v/>
      </c>
      <c r="D292" s="17">
        <f>IF($A292="","",IFERROR(INDEX(tblMotor[KararSatir],MATCH($A292,tblMotor[A_Norm],0)),""))</f>
        <v/>
      </c>
      <c r="E292" s="17">
        <f>IF($A292="","",IF($B292&lt;0,"YUKSEK","NORMAL"))</f>
        <v/>
      </c>
      <c r="F292" s="17">
        <f>IF($A292="","",_xlfn.TEXTJOIN(" ",TRUE,"Barkod",$A292,"karar",$D292,"net",TEXT($B292,"0.00"),"başabaş",TEXT($C292,"0.00"),"TL"))</f>
        <v/>
      </c>
    </row>
    <row r="293">
      <c r="A293" s="17">
        <f>IF('ESLESTIRME'!$A293="","",IF('ESLESTIRME'!$G293="tutar_farki",'ESLESTIRME'!$A293,""))</f>
        <v/>
      </c>
      <c r="B293" s="17">
        <f>IF($A293="","",IFERROR(SUMIF(tblMotor[A_Norm],$A293,tblMotor[NetKar]),0))</f>
        <v/>
      </c>
      <c r="C293" s="17">
        <f>IF($A293="","",IFERROR(SUMIF(tblMotor[A_Norm],$A293,tblMotor[BasabasFiyat]),0))</f>
        <v/>
      </c>
      <c r="D293" s="17">
        <f>IF($A293="","",IFERROR(INDEX(tblMotor[KararSatir],MATCH($A293,tblMotor[A_Norm],0)),""))</f>
        <v/>
      </c>
      <c r="E293" s="17">
        <f>IF($A293="","",IF($B293&lt;0,"YUKSEK","NORMAL"))</f>
        <v/>
      </c>
      <c r="F293" s="17">
        <f>IF($A293="","",_xlfn.TEXTJOIN(" ",TRUE,"Barkod",$A293,"karar",$D293,"net",TEXT($B293,"0.00"),"başabaş",TEXT($C293,"0.00"),"TL"))</f>
        <v/>
      </c>
    </row>
    <row r="294">
      <c r="A294" s="17">
        <f>IF('ESLESTIRME'!$A294="","",IF('ESLESTIRME'!$G294="tutar_farki",'ESLESTIRME'!$A294,""))</f>
        <v/>
      </c>
      <c r="B294" s="17">
        <f>IF($A294="","",IFERROR(SUMIF(tblMotor[A_Norm],$A294,tblMotor[NetKar]),0))</f>
        <v/>
      </c>
      <c r="C294" s="17">
        <f>IF($A294="","",IFERROR(SUMIF(tblMotor[A_Norm],$A294,tblMotor[BasabasFiyat]),0))</f>
        <v/>
      </c>
      <c r="D294" s="17">
        <f>IF($A294="","",IFERROR(INDEX(tblMotor[KararSatir],MATCH($A294,tblMotor[A_Norm],0)),""))</f>
        <v/>
      </c>
      <c r="E294" s="17">
        <f>IF($A294="","",IF($B294&lt;0,"YUKSEK","NORMAL"))</f>
        <v/>
      </c>
      <c r="F294" s="17">
        <f>IF($A294="","",_xlfn.TEXTJOIN(" ",TRUE,"Barkod",$A294,"karar",$D294,"net",TEXT($B294,"0.00"),"başabaş",TEXT($C294,"0.00"),"TL"))</f>
        <v/>
      </c>
    </row>
    <row r="295">
      <c r="A295" s="17">
        <f>IF('ESLESTIRME'!$A295="","",IF('ESLESTIRME'!$G295="tutar_farki",'ESLESTIRME'!$A295,""))</f>
        <v/>
      </c>
      <c r="B295" s="17">
        <f>IF($A295="","",IFERROR(SUMIF(tblMotor[A_Norm],$A295,tblMotor[NetKar]),0))</f>
        <v/>
      </c>
      <c r="C295" s="17">
        <f>IF($A295="","",IFERROR(SUMIF(tblMotor[A_Norm],$A295,tblMotor[BasabasFiyat]),0))</f>
        <v/>
      </c>
      <c r="D295" s="17">
        <f>IF($A295="","",IFERROR(INDEX(tblMotor[KararSatir],MATCH($A295,tblMotor[A_Norm],0)),""))</f>
        <v/>
      </c>
      <c r="E295" s="17">
        <f>IF($A295="","",IF($B295&lt;0,"YUKSEK","NORMAL"))</f>
        <v/>
      </c>
      <c r="F295" s="17">
        <f>IF($A295="","",_xlfn.TEXTJOIN(" ",TRUE,"Barkod",$A295,"karar",$D295,"net",TEXT($B295,"0.00"),"başabaş",TEXT($C295,"0.00"),"TL"))</f>
        <v/>
      </c>
    </row>
    <row r="296">
      <c r="A296" s="17">
        <f>IF('ESLESTIRME'!$A296="","",IF('ESLESTIRME'!$G296="tutar_farki",'ESLESTIRME'!$A296,""))</f>
        <v/>
      </c>
      <c r="B296" s="17">
        <f>IF($A296="","",IFERROR(SUMIF(tblMotor[A_Norm],$A296,tblMotor[NetKar]),0))</f>
        <v/>
      </c>
      <c r="C296" s="17">
        <f>IF($A296="","",IFERROR(SUMIF(tblMotor[A_Norm],$A296,tblMotor[BasabasFiyat]),0))</f>
        <v/>
      </c>
      <c r="D296" s="17">
        <f>IF($A296="","",IFERROR(INDEX(tblMotor[KararSatir],MATCH($A296,tblMotor[A_Norm],0)),""))</f>
        <v/>
      </c>
      <c r="E296" s="17">
        <f>IF($A296="","",IF($B296&lt;0,"YUKSEK","NORMAL"))</f>
        <v/>
      </c>
      <c r="F296" s="17">
        <f>IF($A296="","",_xlfn.TEXTJOIN(" ",TRUE,"Barkod",$A296,"karar",$D296,"net",TEXT($B296,"0.00"),"başabaş",TEXT($C296,"0.00"),"TL"))</f>
        <v/>
      </c>
    </row>
    <row r="297">
      <c r="A297" s="17">
        <f>IF('ESLESTIRME'!$A297="","",IF('ESLESTIRME'!$G297="tutar_farki",'ESLESTIRME'!$A297,""))</f>
        <v/>
      </c>
      <c r="B297" s="17">
        <f>IF($A297="","",IFERROR(SUMIF(tblMotor[A_Norm],$A297,tblMotor[NetKar]),0))</f>
        <v/>
      </c>
      <c r="C297" s="17">
        <f>IF($A297="","",IFERROR(SUMIF(tblMotor[A_Norm],$A297,tblMotor[BasabasFiyat]),0))</f>
        <v/>
      </c>
      <c r="D297" s="17">
        <f>IF($A297="","",IFERROR(INDEX(tblMotor[KararSatir],MATCH($A297,tblMotor[A_Norm],0)),""))</f>
        <v/>
      </c>
      <c r="E297" s="17">
        <f>IF($A297="","",IF($B297&lt;0,"YUKSEK","NORMAL"))</f>
        <v/>
      </c>
      <c r="F297" s="17">
        <f>IF($A297="","",_xlfn.TEXTJOIN(" ",TRUE,"Barkod",$A297,"karar",$D297,"net",TEXT($B297,"0.00"),"başabaş",TEXT($C297,"0.00"),"TL"))</f>
        <v/>
      </c>
    </row>
    <row r="298">
      <c r="A298" s="17">
        <f>IF('ESLESTIRME'!$A298="","",IF('ESLESTIRME'!$G298="tutar_farki",'ESLESTIRME'!$A298,""))</f>
        <v/>
      </c>
      <c r="B298" s="17">
        <f>IF($A298="","",IFERROR(SUMIF(tblMotor[A_Norm],$A298,tblMotor[NetKar]),0))</f>
        <v/>
      </c>
      <c r="C298" s="17">
        <f>IF($A298="","",IFERROR(SUMIF(tblMotor[A_Norm],$A298,tblMotor[BasabasFiyat]),0))</f>
        <v/>
      </c>
      <c r="D298" s="17">
        <f>IF($A298="","",IFERROR(INDEX(tblMotor[KararSatir],MATCH($A298,tblMotor[A_Norm],0)),""))</f>
        <v/>
      </c>
      <c r="E298" s="17">
        <f>IF($A298="","",IF($B298&lt;0,"YUKSEK","NORMAL"))</f>
        <v/>
      </c>
      <c r="F298" s="17">
        <f>IF($A298="","",_xlfn.TEXTJOIN(" ",TRUE,"Barkod",$A298,"karar",$D298,"net",TEXT($B298,"0.00"),"başabaş",TEXT($C298,"0.00"),"TL"))</f>
        <v/>
      </c>
    </row>
    <row r="299">
      <c r="A299" s="17">
        <f>IF('ESLESTIRME'!$A299="","",IF('ESLESTIRME'!$G299="tutar_farki",'ESLESTIRME'!$A299,""))</f>
        <v/>
      </c>
      <c r="B299" s="17">
        <f>IF($A299="","",IFERROR(SUMIF(tblMotor[A_Norm],$A299,tblMotor[NetKar]),0))</f>
        <v/>
      </c>
      <c r="C299" s="17">
        <f>IF($A299="","",IFERROR(SUMIF(tblMotor[A_Norm],$A299,tblMotor[BasabasFiyat]),0))</f>
        <v/>
      </c>
      <c r="D299" s="17">
        <f>IF($A299="","",IFERROR(INDEX(tblMotor[KararSatir],MATCH($A299,tblMotor[A_Norm],0)),""))</f>
        <v/>
      </c>
      <c r="E299" s="17">
        <f>IF($A299="","",IF($B299&lt;0,"YUKSEK","NORMAL"))</f>
        <v/>
      </c>
      <c r="F299" s="17">
        <f>IF($A299="","",_xlfn.TEXTJOIN(" ",TRUE,"Barkod",$A299,"karar",$D299,"net",TEXT($B299,"0.00"),"başabaş",TEXT($C299,"0.00"),"TL"))</f>
        <v/>
      </c>
    </row>
    <row r="300">
      <c r="A300" s="17">
        <f>IF('ESLESTIRME'!$A300="","",IF('ESLESTIRME'!$G300="tutar_farki",'ESLESTIRME'!$A300,""))</f>
        <v/>
      </c>
      <c r="B300" s="17">
        <f>IF($A300="","",IFERROR(SUMIF(tblMotor[A_Norm],$A300,tblMotor[NetKar]),0))</f>
        <v/>
      </c>
      <c r="C300" s="17">
        <f>IF($A300="","",IFERROR(SUMIF(tblMotor[A_Norm],$A300,tblMotor[BasabasFiyat]),0))</f>
        <v/>
      </c>
      <c r="D300" s="17">
        <f>IF($A300="","",IFERROR(INDEX(tblMotor[KararSatir],MATCH($A300,tblMotor[A_Norm],0)),""))</f>
        <v/>
      </c>
      <c r="E300" s="17">
        <f>IF($A300="","",IF($B300&lt;0,"YUKSEK","NORMAL"))</f>
        <v/>
      </c>
      <c r="F300" s="17">
        <f>IF($A300="","",_xlfn.TEXTJOIN(" ",TRUE,"Barkod",$A300,"karar",$D300,"net",TEXT($B300,"0.00"),"başabaş",TEXT($C300,"0.00"),"TL"))</f>
        <v/>
      </c>
    </row>
    <row r="301">
      <c r="A301" s="17">
        <f>IF('ESLESTIRME'!$A301="","",IF('ESLESTIRME'!$G301="tutar_farki",'ESLESTIRME'!$A301,""))</f>
        <v/>
      </c>
      <c r="B301" s="17">
        <f>IF($A301="","",IFERROR(SUMIF(tblMotor[A_Norm],$A301,tblMotor[NetKar]),0))</f>
        <v/>
      </c>
      <c r="C301" s="17">
        <f>IF($A301="","",IFERROR(SUMIF(tblMotor[A_Norm],$A301,tblMotor[BasabasFiyat]),0))</f>
        <v/>
      </c>
      <c r="D301" s="17">
        <f>IF($A301="","",IFERROR(INDEX(tblMotor[KararSatir],MATCH($A301,tblMotor[A_Norm],0)),""))</f>
        <v/>
      </c>
      <c r="E301" s="17">
        <f>IF($A301="","",IF($B301&lt;0,"YUKSEK","NORMAL"))</f>
        <v/>
      </c>
      <c r="F301" s="17">
        <f>IF($A301="","",_xlfn.TEXTJOIN(" ",TRUE,"Barkod",$A301,"karar",$D301,"net",TEXT($B301,"0.00"),"başabaş",TEXT($C301,"0.00"),"TL"))</f>
        <v/>
      </c>
    </row>
    <row r="302">
      <c r="A302" s="17">
        <f>IF('ESLESTIRME'!$A302="","",IF('ESLESTIRME'!$G302="tutar_farki",'ESLESTIRME'!$A302,""))</f>
        <v/>
      </c>
      <c r="B302" s="17">
        <f>IF($A302="","",IFERROR(SUMIF(tblMotor[A_Norm],$A302,tblMotor[NetKar]),0))</f>
        <v/>
      </c>
      <c r="C302" s="17">
        <f>IF($A302="","",IFERROR(SUMIF(tblMotor[A_Norm],$A302,tblMotor[BasabasFiyat]),0))</f>
        <v/>
      </c>
      <c r="D302" s="17">
        <f>IF($A302="","",IFERROR(INDEX(tblMotor[KararSatir],MATCH($A302,tblMotor[A_Norm],0)),""))</f>
        <v/>
      </c>
      <c r="E302" s="17">
        <f>IF($A302="","",IF($B302&lt;0,"YUKSEK","NORMAL"))</f>
        <v/>
      </c>
      <c r="F302" s="17">
        <f>IF($A302="","",_xlfn.TEXTJOIN(" ",TRUE,"Barkod",$A302,"karar",$D302,"net",TEXT($B302,"0.00"),"başabaş",TEXT($C302,"0.00"),"TL"))</f>
        <v/>
      </c>
    </row>
    <row r="303">
      <c r="A303" s="17">
        <f>IF('ESLESTIRME'!$A303="","",IF('ESLESTIRME'!$G303="tutar_farki",'ESLESTIRME'!$A303,""))</f>
        <v/>
      </c>
      <c r="B303" s="17">
        <f>IF($A303="","",IFERROR(SUMIF(tblMotor[A_Norm],$A303,tblMotor[NetKar]),0))</f>
        <v/>
      </c>
      <c r="C303" s="17">
        <f>IF($A303="","",IFERROR(SUMIF(tblMotor[A_Norm],$A303,tblMotor[BasabasFiyat]),0))</f>
        <v/>
      </c>
      <c r="D303" s="17">
        <f>IF($A303="","",IFERROR(INDEX(tblMotor[KararSatir],MATCH($A303,tblMotor[A_Norm],0)),""))</f>
        <v/>
      </c>
      <c r="E303" s="17">
        <f>IF($A303="","",IF($B303&lt;0,"YUKSEK","NORMAL"))</f>
        <v/>
      </c>
      <c r="F303" s="17">
        <f>IF($A303="","",_xlfn.TEXTJOIN(" ",TRUE,"Barkod",$A303,"karar",$D303,"net",TEXT($B303,"0.00"),"başabaş",TEXT($C303,"0.00"),"TL"))</f>
        <v/>
      </c>
    </row>
    <row r="304">
      <c r="A304" s="17">
        <f>IF('ESLESTIRME'!$A304="","",IF('ESLESTIRME'!$G304="tutar_farki",'ESLESTIRME'!$A304,""))</f>
        <v/>
      </c>
      <c r="B304" s="17">
        <f>IF($A304="","",IFERROR(SUMIF(tblMotor[A_Norm],$A304,tblMotor[NetKar]),0))</f>
        <v/>
      </c>
      <c r="C304" s="17">
        <f>IF($A304="","",IFERROR(SUMIF(tblMotor[A_Norm],$A304,tblMotor[BasabasFiyat]),0))</f>
        <v/>
      </c>
      <c r="D304" s="17">
        <f>IF($A304="","",IFERROR(INDEX(tblMotor[KararSatir],MATCH($A304,tblMotor[A_Norm],0)),""))</f>
        <v/>
      </c>
      <c r="E304" s="17">
        <f>IF($A304="","",IF($B304&lt;0,"YUKSEK","NORMAL"))</f>
        <v/>
      </c>
      <c r="F304" s="17">
        <f>IF($A304="","",_xlfn.TEXTJOIN(" ",TRUE,"Barkod",$A304,"karar",$D304,"net",TEXT($B304,"0.00"),"başabaş",TEXT($C304,"0.00"),"TL"))</f>
        <v/>
      </c>
    </row>
    <row r="305">
      <c r="A305" s="17">
        <f>IF('ESLESTIRME'!$A305="","",IF('ESLESTIRME'!$G305="tutar_farki",'ESLESTIRME'!$A305,""))</f>
        <v/>
      </c>
      <c r="B305" s="17">
        <f>IF($A305="","",IFERROR(SUMIF(tblMotor[A_Norm],$A305,tblMotor[NetKar]),0))</f>
        <v/>
      </c>
      <c r="C305" s="17">
        <f>IF($A305="","",IFERROR(SUMIF(tblMotor[A_Norm],$A305,tblMotor[BasabasFiyat]),0))</f>
        <v/>
      </c>
      <c r="D305" s="17">
        <f>IF($A305="","",IFERROR(INDEX(tblMotor[KararSatir],MATCH($A305,tblMotor[A_Norm],0)),""))</f>
        <v/>
      </c>
      <c r="E305" s="17">
        <f>IF($A305="","",IF($B305&lt;0,"YUKSEK","NORMAL"))</f>
        <v/>
      </c>
      <c r="F305" s="17">
        <f>IF($A305="","",_xlfn.TEXTJOIN(" ",TRUE,"Barkod",$A305,"karar",$D305,"net",TEXT($B305,"0.00"),"başabaş",TEXT($C305,"0.00"),"TL"))</f>
        <v/>
      </c>
    </row>
    <row r="306">
      <c r="A306" s="17">
        <f>IF('ESLESTIRME'!$A306="","",IF('ESLESTIRME'!$G306="tutar_farki",'ESLESTIRME'!$A306,""))</f>
        <v/>
      </c>
      <c r="B306" s="17">
        <f>IF($A306="","",IFERROR(SUMIF(tblMotor[A_Norm],$A306,tblMotor[NetKar]),0))</f>
        <v/>
      </c>
      <c r="C306" s="17">
        <f>IF($A306="","",IFERROR(SUMIF(tblMotor[A_Norm],$A306,tblMotor[BasabasFiyat]),0))</f>
        <v/>
      </c>
      <c r="D306" s="17">
        <f>IF($A306="","",IFERROR(INDEX(tblMotor[KararSatir],MATCH($A306,tblMotor[A_Norm],0)),""))</f>
        <v/>
      </c>
      <c r="E306" s="17">
        <f>IF($A306="","",IF($B306&lt;0,"YUKSEK","NORMAL"))</f>
        <v/>
      </c>
      <c r="F306" s="17">
        <f>IF($A306="","",_xlfn.TEXTJOIN(" ",TRUE,"Barkod",$A306,"karar",$D306,"net",TEXT($B306,"0.00"),"başabaş",TEXT($C306,"0.00"),"TL"))</f>
        <v/>
      </c>
    </row>
    <row r="307">
      <c r="A307" s="17">
        <f>IF('ESLESTIRME'!$A307="","",IF('ESLESTIRME'!$G307="tutar_farki",'ESLESTIRME'!$A307,""))</f>
        <v/>
      </c>
      <c r="B307" s="17">
        <f>IF($A307="","",IFERROR(SUMIF(tblMotor[A_Norm],$A307,tblMotor[NetKar]),0))</f>
        <v/>
      </c>
      <c r="C307" s="17">
        <f>IF($A307="","",IFERROR(SUMIF(tblMotor[A_Norm],$A307,tblMotor[BasabasFiyat]),0))</f>
        <v/>
      </c>
      <c r="D307" s="17">
        <f>IF($A307="","",IFERROR(INDEX(tblMotor[KararSatir],MATCH($A307,tblMotor[A_Norm],0)),""))</f>
        <v/>
      </c>
      <c r="E307" s="17">
        <f>IF($A307="","",IF($B307&lt;0,"YUKSEK","NORMAL"))</f>
        <v/>
      </c>
      <c r="F307" s="17">
        <f>IF($A307="","",_xlfn.TEXTJOIN(" ",TRUE,"Barkod",$A307,"karar",$D307,"net",TEXT($B307,"0.00"),"başabaş",TEXT($C307,"0.00"),"TL"))</f>
        <v/>
      </c>
    </row>
    <row r="308">
      <c r="A308" s="17">
        <f>IF('ESLESTIRME'!$A308="","",IF('ESLESTIRME'!$G308="tutar_farki",'ESLESTIRME'!$A308,""))</f>
        <v/>
      </c>
      <c r="B308" s="17">
        <f>IF($A308="","",IFERROR(SUMIF(tblMotor[A_Norm],$A308,tblMotor[NetKar]),0))</f>
        <v/>
      </c>
      <c r="C308" s="17">
        <f>IF($A308="","",IFERROR(SUMIF(tblMotor[A_Norm],$A308,tblMotor[BasabasFiyat]),0))</f>
        <v/>
      </c>
      <c r="D308" s="17">
        <f>IF($A308="","",IFERROR(INDEX(tblMotor[KararSatir],MATCH($A308,tblMotor[A_Norm],0)),""))</f>
        <v/>
      </c>
      <c r="E308" s="17">
        <f>IF($A308="","",IF($B308&lt;0,"YUKSEK","NORMAL"))</f>
        <v/>
      </c>
      <c r="F308" s="17">
        <f>IF($A308="","",_xlfn.TEXTJOIN(" ",TRUE,"Barkod",$A308,"karar",$D308,"net",TEXT($B308,"0.00"),"başabaş",TEXT($C308,"0.00"),"TL"))</f>
        <v/>
      </c>
    </row>
    <row r="309">
      <c r="A309" s="17">
        <f>IF('ESLESTIRME'!$A309="","",IF('ESLESTIRME'!$G309="tutar_farki",'ESLESTIRME'!$A309,""))</f>
        <v/>
      </c>
      <c r="B309" s="17">
        <f>IF($A309="","",IFERROR(SUMIF(tblMotor[A_Norm],$A309,tblMotor[NetKar]),0))</f>
        <v/>
      </c>
      <c r="C309" s="17">
        <f>IF($A309="","",IFERROR(SUMIF(tblMotor[A_Norm],$A309,tblMotor[BasabasFiyat]),0))</f>
        <v/>
      </c>
      <c r="D309" s="17">
        <f>IF($A309="","",IFERROR(INDEX(tblMotor[KararSatir],MATCH($A309,tblMotor[A_Norm],0)),""))</f>
        <v/>
      </c>
      <c r="E309" s="17">
        <f>IF($A309="","",IF($B309&lt;0,"YUKSEK","NORMAL"))</f>
        <v/>
      </c>
      <c r="F309" s="17">
        <f>IF($A309="","",_xlfn.TEXTJOIN(" ",TRUE,"Barkod",$A309,"karar",$D309,"net",TEXT($B309,"0.00"),"başabaş",TEXT($C309,"0.00"),"TL"))</f>
        <v/>
      </c>
    </row>
    <row r="310">
      <c r="A310" s="17">
        <f>IF('ESLESTIRME'!$A310="","",IF('ESLESTIRME'!$G310="tutar_farki",'ESLESTIRME'!$A310,""))</f>
        <v/>
      </c>
      <c r="B310" s="17">
        <f>IF($A310="","",IFERROR(SUMIF(tblMotor[A_Norm],$A310,tblMotor[NetKar]),0))</f>
        <v/>
      </c>
      <c r="C310" s="17">
        <f>IF($A310="","",IFERROR(SUMIF(tblMotor[A_Norm],$A310,tblMotor[BasabasFiyat]),0))</f>
        <v/>
      </c>
      <c r="D310" s="17">
        <f>IF($A310="","",IFERROR(INDEX(tblMotor[KararSatir],MATCH($A310,tblMotor[A_Norm],0)),""))</f>
        <v/>
      </c>
      <c r="E310" s="17">
        <f>IF($A310="","",IF($B310&lt;0,"YUKSEK","NORMAL"))</f>
        <v/>
      </c>
      <c r="F310" s="17">
        <f>IF($A310="","",_xlfn.TEXTJOIN(" ",TRUE,"Barkod",$A310,"karar",$D310,"net",TEXT($B310,"0.00"),"başabaş",TEXT($C310,"0.00"),"TL"))</f>
        <v/>
      </c>
    </row>
    <row r="311">
      <c r="A311" s="17">
        <f>IF('ESLESTIRME'!$A311="","",IF('ESLESTIRME'!$G311="tutar_farki",'ESLESTIRME'!$A311,""))</f>
        <v/>
      </c>
      <c r="B311" s="17">
        <f>IF($A311="","",IFERROR(SUMIF(tblMotor[A_Norm],$A311,tblMotor[NetKar]),0))</f>
        <v/>
      </c>
      <c r="C311" s="17">
        <f>IF($A311="","",IFERROR(SUMIF(tblMotor[A_Norm],$A311,tblMotor[BasabasFiyat]),0))</f>
        <v/>
      </c>
      <c r="D311" s="17">
        <f>IF($A311="","",IFERROR(INDEX(tblMotor[KararSatir],MATCH($A311,tblMotor[A_Norm],0)),""))</f>
        <v/>
      </c>
      <c r="E311" s="17">
        <f>IF($A311="","",IF($B311&lt;0,"YUKSEK","NORMAL"))</f>
        <v/>
      </c>
      <c r="F311" s="17">
        <f>IF($A311="","",_xlfn.TEXTJOIN(" ",TRUE,"Barkod",$A311,"karar",$D311,"net",TEXT($B311,"0.00"),"başabaş",TEXT($C311,"0.00"),"TL"))</f>
        <v/>
      </c>
    </row>
    <row r="312">
      <c r="A312" s="17">
        <f>IF('ESLESTIRME'!$A312="","",IF('ESLESTIRME'!$G312="tutar_farki",'ESLESTIRME'!$A312,""))</f>
        <v/>
      </c>
      <c r="B312" s="17">
        <f>IF($A312="","",IFERROR(SUMIF(tblMotor[A_Norm],$A312,tblMotor[NetKar]),0))</f>
        <v/>
      </c>
      <c r="C312" s="17">
        <f>IF($A312="","",IFERROR(SUMIF(tblMotor[A_Norm],$A312,tblMotor[BasabasFiyat]),0))</f>
        <v/>
      </c>
      <c r="D312" s="17">
        <f>IF($A312="","",IFERROR(INDEX(tblMotor[KararSatir],MATCH($A312,tblMotor[A_Norm],0)),""))</f>
        <v/>
      </c>
      <c r="E312" s="17">
        <f>IF($A312="","",IF($B312&lt;0,"YUKSEK","NORMAL"))</f>
        <v/>
      </c>
      <c r="F312" s="17">
        <f>IF($A312="","",_xlfn.TEXTJOIN(" ",TRUE,"Barkod",$A312,"karar",$D312,"net",TEXT($B312,"0.00"),"başabaş",TEXT($C312,"0.00"),"TL"))</f>
        <v/>
      </c>
    </row>
    <row r="313">
      <c r="A313" s="17">
        <f>IF('ESLESTIRME'!$A313="","",IF('ESLESTIRME'!$G313="tutar_farki",'ESLESTIRME'!$A313,""))</f>
        <v/>
      </c>
      <c r="B313" s="17">
        <f>IF($A313="","",IFERROR(SUMIF(tblMotor[A_Norm],$A313,tblMotor[NetKar]),0))</f>
        <v/>
      </c>
      <c r="C313" s="17">
        <f>IF($A313="","",IFERROR(SUMIF(tblMotor[A_Norm],$A313,tblMotor[BasabasFiyat]),0))</f>
        <v/>
      </c>
      <c r="D313" s="17">
        <f>IF($A313="","",IFERROR(INDEX(tblMotor[KararSatir],MATCH($A313,tblMotor[A_Norm],0)),""))</f>
        <v/>
      </c>
      <c r="E313" s="17">
        <f>IF($A313="","",IF($B313&lt;0,"YUKSEK","NORMAL"))</f>
        <v/>
      </c>
      <c r="F313" s="17">
        <f>IF($A313="","",_xlfn.TEXTJOIN(" ",TRUE,"Barkod",$A313,"karar",$D313,"net",TEXT($B313,"0.00"),"başabaş",TEXT($C313,"0.00"),"TL"))</f>
        <v/>
      </c>
    </row>
    <row r="314">
      <c r="A314" s="17">
        <f>IF('ESLESTIRME'!$A314="","",IF('ESLESTIRME'!$G314="tutar_farki",'ESLESTIRME'!$A314,""))</f>
        <v/>
      </c>
      <c r="B314" s="17">
        <f>IF($A314="","",IFERROR(SUMIF(tblMotor[A_Norm],$A314,tblMotor[NetKar]),0))</f>
        <v/>
      </c>
      <c r="C314" s="17">
        <f>IF($A314="","",IFERROR(SUMIF(tblMotor[A_Norm],$A314,tblMotor[BasabasFiyat]),0))</f>
        <v/>
      </c>
      <c r="D314" s="17">
        <f>IF($A314="","",IFERROR(INDEX(tblMotor[KararSatir],MATCH($A314,tblMotor[A_Norm],0)),""))</f>
        <v/>
      </c>
      <c r="E314" s="17">
        <f>IF($A314="","",IF($B314&lt;0,"YUKSEK","NORMAL"))</f>
        <v/>
      </c>
      <c r="F314" s="17">
        <f>IF($A314="","",_xlfn.TEXTJOIN(" ",TRUE,"Barkod",$A314,"karar",$D314,"net",TEXT($B314,"0.00"),"başabaş",TEXT($C314,"0.00"),"TL"))</f>
        <v/>
      </c>
    </row>
    <row r="315">
      <c r="A315" s="17">
        <f>IF('ESLESTIRME'!$A315="","",IF('ESLESTIRME'!$G315="tutar_farki",'ESLESTIRME'!$A315,""))</f>
        <v/>
      </c>
      <c r="B315" s="17">
        <f>IF($A315="","",IFERROR(SUMIF(tblMotor[A_Norm],$A315,tblMotor[NetKar]),0))</f>
        <v/>
      </c>
      <c r="C315" s="17">
        <f>IF($A315="","",IFERROR(SUMIF(tblMotor[A_Norm],$A315,tblMotor[BasabasFiyat]),0))</f>
        <v/>
      </c>
      <c r="D315" s="17">
        <f>IF($A315="","",IFERROR(INDEX(tblMotor[KararSatir],MATCH($A315,tblMotor[A_Norm],0)),""))</f>
        <v/>
      </c>
      <c r="E315" s="17">
        <f>IF($A315="","",IF($B315&lt;0,"YUKSEK","NORMAL"))</f>
        <v/>
      </c>
      <c r="F315" s="17">
        <f>IF($A315="","",_xlfn.TEXTJOIN(" ",TRUE,"Barkod",$A315,"karar",$D315,"net",TEXT($B315,"0.00"),"başabaş",TEXT($C315,"0.00"),"TL"))</f>
        <v/>
      </c>
    </row>
    <row r="316">
      <c r="A316" s="17">
        <f>IF('ESLESTIRME'!$A316="","",IF('ESLESTIRME'!$G316="tutar_farki",'ESLESTIRME'!$A316,""))</f>
        <v/>
      </c>
      <c r="B316" s="17">
        <f>IF($A316="","",IFERROR(SUMIF(tblMotor[A_Norm],$A316,tblMotor[NetKar]),0))</f>
        <v/>
      </c>
      <c r="C316" s="17">
        <f>IF($A316="","",IFERROR(SUMIF(tblMotor[A_Norm],$A316,tblMotor[BasabasFiyat]),0))</f>
        <v/>
      </c>
      <c r="D316" s="17">
        <f>IF($A316="","",IFERROR(INDEX(tblMotor[KararSatir],MATCH($A316,tblMotor[A_Norm],0)),""))</f>
        <v/>
      </c>
      <c r="E316" s="17">
        <f>IF($A316="","",IF($B316&lt;0,"YUKSEK","NORMAL"))</f>
        <v/>
      </c>
      <c r="F316" s="17">
        <f>IF($A316="","",_xlfn.TEXTJOIN(" ",TRUE,"Barkod",$A316,"karar",$D316,"net",TEXT($B316,"0.00"),"başabaş",TEXT($C316,"0.00"),"TL"))</f>
        <v/>
      </c>
    </row>
    <row r="317">
      <c r="A317" s="17">
        <f>IF('ESLESTIRME'!$A317="","",IF('ESLESTIRME'!$G317="tutar_farki",'ESLESTIRME'!$A317,""))</f>
        <v/>
      </c>
      <c r="B317" s="17">
        <f>IF($A317="","",IFERROR(SUMIF(tblMotor[A_Norm],$A317,tblMotor[NetKar]),0))</f>
        <v/>
      </c>
      <c r="C317" s="17">
        <f>IF($A317="","",IFERROR(SUMIF(tblMotor[A_Norm],$A317,tblMotor[BasabasFiyat]),0))</f>
        <v/>
      </c>
      <c r="D317" s="17">
        <f>IF($A317="","",IFERROR(INDEX(tblMotor[KararSatir],MATCH($A317,tblMotor[A_Norm],0)),""))</f>
        <v/>
      </c>
      <c r="E317" s="17">
        <f>IF($A317="","",IF($B317&lt;0,"YUKSEK","NORMAL"))</f>
        <v/>
      </c>
      <c r="F317" s="17">
        <f>IF($A317="","",_xlfn.TEXTJOIN(" ",TRUE,"Barkod",$A317,"karar",$D317,"net",TEXT($B317,"0.00"),"başabaş",TEXT($C317,"0.00"),"TL"))</f>
        <v/>
      </c>
    </row>
    <row r="318">
      <c r="A318" s="17">
        <f>IF('ESLESTIRME'!$A318="","",IF('ESLESTIRME'!$G318="tutar_farki",'ESLESTIRME'!$A318,""))</f>
        <v/>
      </c>
      <c r="B318" s="17">
        <f>IF($A318="","",IFERROR(SUMIF(tblMotor[A_Norm],$A318,tblMotor[NetKar]),0))</f>
        <v/>
      </c>
      <c r="C318" s="17">
        <f>IF($A318="","",IFERROR(SUMIF(tblMotor[A_Norm],$A318,tblMotor[BasabasFiyat]),0))</f>
        <v/>
      </c>
      <c r="D318" s="17">
        <f>IF($A318="","",IFERROR(INDEX(tblMotor[KararSatir],MATCH($A318,tblMotor[A_Norm],0)),""))</f>
        <v/>
      </c>
      <c r="E318" s="17">
        <f>IF($A318="","",IF($B318&lt;0,"YUKSEK","NORMAL"))</f>
        <v/>
      </c>
      <c r="F318" s="17">
        <f>IF($A318="","",_xlfn.TEXTJOIN(" ",TRUE,"Barkod",$A318,"karar",$D318,"net",TEXT($B318,"0.00"),"başabaş",TEXT($C318,"0.00"),"TL"))</f>
        <v/>
      </c>
    </row>
    <row r="319">
      <c r="A319" s="17">
        <f>IF('ESLESTIRME'!$A319="","",IF('ESLESTIRME'!$G319="tutar_farki",'ESLESTIRME'!$A319,""))</f>
        <v/>
      </c>
      <c r="B319" s="17">
        <f>IF($A319="","",IFERROR(SUMIF(tblMotor[A_Norm],$A319,tblMotor[NetKar]),0))</f>
        <v/>
      </c>
      <c r="C319" s="17">
        <f>IF($A319="","",IFERROR(SUMIF(tblMotor[A_Norm],$A319,tblMotor[BasabasFiyat]),0))</f>
        <v/>
      </c>
      <c r="D319" s="17">
        <f>IF($A319="","",IFERROR(INDEX(tblMotor[KararSatir],MATCH($A319,tblMotor[A_Norm],0)),""))</f>
        <v/>
      </c>
      <c r="E319" s="17">
        <f>IF($A319="","",IF($B319&lt;0,"YUKSEK","NORMAL"))</f>
        <v/>
      </c>
      <c r="F319" s="17">
        <f>IF($A319="","",_xlfn.TEXTJOIN(" ",TRUE,"Barkod",$A319,"karar",$D319,"net",TEXT($B319,"0.00"),"başabaş",TEXT($C319,"0.00"),"TL"))</f>
        <v/>
      </c>
    </row>
    <row r="320">
      <c r="A320" s="17">
        <f>IF('ESLESTIRME'!$A320="","",IF('ESLESTIRME'!$G320="tutar_farki",'ESLESTIRME'!$A320,""))</f>
        <v/>
      </c>
      <c r="B320" s="17">
        <f>IF($A320="","",IFERROR(SUMIF(tblMotor[A_Norm],$A320,tblMotor[NetKar]),0))</f>
        <v/>
      </c>
      <c r="C320" s="17">
        <f>IF($A320="","",IFERROR(SUMIF(tblMotor[A_Norm],$A320,tblMotor[BasabasFiyat]),0))</f>
        <v/>
      </c>
      <c r="D320" s="17">
        <f>IF($A320="","",IFERROR(INDEX(tblMotor[KararSatir],MATCH($A320,tblMotor[A_Norm],0)),""))</f>
        <v/>
      </c>
      <c r="E320" s="17">
        <f>IF($A320="","",IF($B320&lt;0,"YUKSEK","NORMAL"))</f>
        <v/>
      </c>
      <c r="F320" s="17">
        <f>IF($A320="","",_xlfn.TEXTJOIN(" ",TRUE,"Barkod",$A320,"karar",$D320,"net",TEXT($B320,"0.00"),"başabaş",TEXT($C320,"0.00"),"TL"))</f>
        <v/>
      </c>
    </row>
    <row r="321">
      <c r="A321" s="17">
        <f>IF('ESLESTIRME'!$A321="","",IF('ESLESTIRME'!$G321="tutar_farki",'ESLESTIRME'!$A321,""))</f>
        <v/>
      </c>
      <c r="B321" s="17">
        <f>IF($A321="","",IFERROR(SUMIF(tblMotor[A_Norm],$A321,tblMotor[NetKar]),0))</f>
        <v/>
      </c>
      <c r="C321" s="17">
        <f>IF($A321="","",IFERROR(SUMIF(tblMotor[A_Norm],$A321,tblMotor[BasabasFiyat]),0))</f>
        <v/>
      </c>
      <c r="D321" s="17">
        <f>IF($A321="","",IFERROR(INDEX(tblMotor[KararSatir],MATCH($A321,tblMotor[A_Norm],0)),""))</f>
        <v/>
      </c>
      <c r="E321" s="17">
        <f>IF($A321="","",IF($B321&lt;0,"YUKSEK","NORMAL"))</f>
        <v/>
      </c>
      <c r="F321" s="17">
        <f>IF($A321="","",_xlfn.TEXTJOIN(" ",TRUE,"Barkod",$A321,"karar",$D321,"net",TEXT($B321,"0.00"),"başabaş",TEXT($C321,"0.00"),"TL"))</f>
        <v/>
      </c>
    </row>
    <row r="322">
      <c r="A322" s="17">
        <f>IF('ESLESTIRME'!$A322="","",IF('ESLESTIRME'!$G322="tutar_farki",'ESLESTIRME'!$A322,""))</f>
        <v/>
      </c>
      <c r="B322" s="17">
        <f>IF($A322="","",IFERROR(SUMIF(tblMotor[A_Norm],$A322,tblMotor[NetKar]),0))</f>
        <v/>
      </c>
      <c r="C322" s="17">
        <f>IF($A322="","",IFERROR(SUMIF(tblMotor[A_Norm],$A322,tblMotor[BasabasFiyat]),0))</f>
        <v/>
      </c>
      <c r="D322" s="17">
        <f>IF($A322="","",IFERROR(INDEX(tblMotor[KararSatir],MATCH($A322,tblMotor[A_Norm],0)),""))</f>
        <v/>
      </c>
      <c r="E322" s="17">
        <f>IF($A322="","",IF($B322&lt;0,"YUKSEK","NORMAL"))</f>
        <v/>
      </c>
      <c r="F322" s="17">
        <f>IF($A322="","",_xlfn.TEXTJOIN(" ",TRUE,"Barkod",$A322,"karar",$D322,"net",TEXT($B322,"0.00"),"başabaş",TEXT($C322,"0.00"),"TL"))</f>
        <v/>
      </c>
    </row>
    <row r="323">
      <c r="A323" s="17">
        <f>IF('ESLESTIRME'!$A323="","",IF('ESLESTIRME'!$G323="tutar_farki",'ESLESTIRME'!$A323,""))</f>
        <v/>
      </c>
      <c r="B323" s="17">
        <f>IF($A323="","",IFERROR(SUMIF(tblMotor[A_Norm],$A323,tblMotor[NetKar]),0))</f>
        <v/>
      </c>
      <c r="C323" s="17">
        <f>IF($A323="","",IFERROR(SUMIF(tblMotor[A_Norm],$A323,tblMotor[BasabasFiyat]),0))</f>
        <v/>
      </c>
      <c r="D323" s="17">
        <f>IF($A323="","",IFERROR(INDEX(tblMotor[KararSatir],MATCH($A323,tblMotor[A_Norm],0)),""))</f>
        <v/>
      </c>
      <c r="E323" s="17">
        <f>IF($A323="","",IF($B323&lt;0,"YUKSEK","NORMAL"))</f>
        <v/>
      </c>
      <c r="F323" s="17">
        <f>IF($A323="","",_xlfn.TEXTJOIN(" ",TRUE,"Barkod",$A323,"karar",$D323,"net",TEXT($B323,"0.00"),"başabaş",TEXT($C323,"0.00"),"TL"))</f>
        <v/>
      </c>
    </row>
    <row r="324">
      <c r="A324" s="17">
        <f>IF('ESLESTIRME'!$A324="","",IF('ESLESTIRME'!$G324="tutar_farki",'ESLESTIRME'!$A324,""))</f>
        <v/>
      </c>
      <c r="B324" s="17">
        <f>IF($A324="","",IFERROR(SUMIF(tblMotor[A_Norm],$A324,tblMotor[NetKar]),0))</f>
        <v/>
      </c>
      <c r="C324" s="17">
        <f>IF($A324="","",IFERROR(SUMIF(tblMotor[A_Norm],$A324,tblMotor[BasabasFiyat]),0))</f>
        <v/>
      </c>
      <c r="D324" s="17">
        <f>IF($A324="","",IFERROR(INDEX(tblMotor[KararSatir],MATCH($A324,tblMotor[A_Norm],0)),""))</f>
        <v/>
      </c>
      <c r="E324" s="17">
        <f>IF($A324="","",IF($B324&lt;0,"YUKSEK","NORMAL"))</f>
        <v/>
      </c>
      <c r="F324" s="17">
        <f>IF($A324="","",_xlfn.TEXTJOIN(" ",TRUE,"Barkod",$A324,"karar",$D324,"net",TEXT($B324,"0.00"),"başabaş",TEXT($C324,"0.00"),"TL"))</f>
        <v/>
      </c>
    </row>
    <row r="325">
      <c r="A325" s="17">
        <f>IF('ESLESTIRME'!$A325="","",IF('ESLESTIRME'!$G325="tutar_farki",'ESLESTIRME'!$A325,""))</f>
        <v/>
      </c>
      <c r="B325" s="17">
        <f>IF($A325="","",IFERROR(SUMIF(tblMotor[A_Norm],$A325,tblMotor[NetKar]),0))</f>
        <v/>
      </c>
      <c r="C325" s="17">
        <f>IF($A325="","",IFERROR(SUMIF(tblMotor[A_Norm],$A325,tblMotor[BasabasFiyat]),0))</f>
        <v/>
      </c>
      <c r="D325" s="17">
        <f>IF($A325="","",IFERROR(INDEX(tblMotor[KararSatir],MATCH($A325,tblMotor[A_Norm],0)),""))</f>
        <v/>
      </c>
      <c r="E325" s="17">
        <f>IF($A325="","",IF($B325&lt;0,"YUKSEK","NORMAL"))</f>
        <v/>
      </c>
      <c r="F325" s="17">
        <f>IF($A325="","",_xlfn.TEXTJOIN(" ",TRUE,"Barkod",$A325,"karar",$D325,"net",TEXT($B325,"0.00"),"başabaş",TEXT($C325,"0.00"),"TL"))</f>
        <v/>
      </c>
    </row>
    <row r="326">
      <c r="A326" s="17">
        <f>IF('ESLESTIRME'!$A326="","",IF('ESLESTIRME'!$G326="tutar_farki",'ESLESTIRME'!$A326,""))</f>
        <v/>
      </c>
      <c r="B326" s="17">
        <f>IF($A326="","",IFERROR(SUMIF(tblMotor[A_Norm],$A326,tblMotor[NetKar]),0))</f>
        <v/>
      </c>
      <c r="C326" s="17">
        <f>IF($A326="","",IFERROR(SUMIF(tblMotor[A_Norm],$A326,tblMotor[BasabasFiyat]),0))</f>
        <v/>
      </c>
      <c r="D326" s="17">
        <f>IF($A326="","",IFERROR(INDEX(tblMotor[KararSatir],MATCH($A326,tblMotor[A_Norm],0)),""))</f>
        <v/>
      </c>
      <c r="E326" s="17">
        <f>IF($A326="","",IF($B326&lt;0,"YUKSEK","NORMAL"))</f>
        <v/>
      </c>
      <c r="F326" s="17">
        <f>IF($A326="","",_xlfn.TEXTJOIN(" ",TRUE,"Barkod",$A326,"karar",$D326,"net",TEXT($B326,"0.00"),"başabaş",TEXT($C326,"0.00"),"TL"))</f>
        <v/>
      </c>
    </row>
    <row r="327">
      <c r="A327" s="17">
        <f>IF('ESLESTIRME'!$A327="","",IF('ESLESTIRME'!$G327="tutar_farki",'ESLESTIRME'!$A327,""))</f>
        <v/>
      </c>
      <c r="B327" s="17">
        <f>IF($A327="","",IFERROR(SUMIF(tblMotor[A_Norm],$A327,tblMotor[NetKar]),0))</f>
        <v/>
      </c>
      <c r="C327" s="17">
        <f>IF($A327="","",IFERROR(SUMIF(tblMotor[A_Norm],$A327,tblMotor[BasabasFiyat]),0))</f>
        <v/>
      </c>
      <c r="D327" s="17">
        <f>IF($A327="","",IFERROR(INDEX(tblMotor[KararSatir],MATCH($A327,tblMotor[A_Norm],0)),""))</f>
        <v/>
      </c>
      <c r="E327" s="17">
        <f>IF($A327="","",IF($B327&lt;0,"YUKSEK","NORMAL"))</f>
        <v/>
      </c>
      <c r="F327" s="17">
        <f>IF($A327="","",_xlfn.TEXTJOIN(" ",TRUE,"Barkod",$A327,"karar",$D327,"net",TEXT($B327,"0.00"),"başabaş",TEXT($C327,"0.00"),"TL"))</f>
        <v/>
      </c>
    </row>
    <row r="328">
      <c r="A328" s="17">
        <f>IF('ESLESTIRME'!$A328="","",IF('ESLESTIRME'!$G328="tutar_farki",'ESLESTIRME'!$A328,""))</f>
        <v/>
      </c>
      <c r="B328" s="17">
        <f>IF($A328="","",IFERROR(SUMIF(tblMotor[A_Norm],$A328,tblMotor[NetKar]),0))</f>
        <v/>
      </c>
      <c r="C328" s="17">
        <f>IF($A328="","",IFERROR(SUMIF(tblMotor[A_Norm],$A328,tblMotor[BasabasFiyat]),0))</f>
        <v/>
      </c>
      <c r="D328" s="17">
        <f>IF($A328="","",IFERROR(INDEX(tblMotor[KararSatir],MATCH($A328,tblMotor[A_Norm],0)),""))</f>
        <v/>
      </c>
      <c r="E328" s="17">
        <f>IF($A328="","",IF($B328&lt;0,"YUKSEK","NORMAL"))</f>
        <v/>
      </c>
      <c r="F328" s="17">
        <f>IF($A328="","",_xlfn.TEXTJOIN(" ",TRUE,"Barkod",$A328,"karar",$D328,"net",TEXT($B328,"0.00"),"başabaş",TEXT($C328,"0.00"),"TL"))</f>
        <v/>
      </c>
    </row>
    <row r="329">
      <c r="A329" s="17">
        <f>IF('ESLESTIRME'!$A329="","",IF('ESLESTIRME'!$G329="tutar_farki",'ESLESTIRME'!$A329,""))</f>
        <v/>
      </c>
      <c r="B329" s="17">
        <f>IF($A329="","",IFERROR(SUMIF(tblMotor[A_Norm],$A329,tblMotor[NetKar]),0))</f>
        <v/>
      </c>
      <c r="C329" s="17">
        <f>IF($A329="","",IFERROR(SUMIF(tblMotor[A_Norm],$A329,tblMotor[BasabasFiyat]),0))</f>
        <v/>
      </c>
      <c r="D329" s="17">
        <f>IF($A329="","",IFERROR(INDEX(tblMotor[KararSatir],MATCH($A329,tblMotor[A_Norm],0)),""))</f>
        <v/>
      </c>
      <c r="E329" s="17">
        <f>IF($A329="","",IF($B329&lt;0,"YUKSEK","NORMAL"))</f>
        <v/>
      </c>
      <c r="F329" s="17">
        <f>IF($A329="","",_xlfn.TEXTJOIN(" ",TRUE,"Barkod",$A329,"karar",$D329,"net",TEXT($B329,"0.00"),"başabaş",TEXT($C329,"0.00"),"TL"))</f>
        <v/>
      </c>
    </row>
    <row r="330">
      <c r="A330" s="17">
        <f>IF('ESLESTIRME'!$A330="","",IF('ESLESTIRME'!$G330="tutar_farki",'ESLESTIRME'!$A330,""))</f>
        <v/>
      </c>
      <c r="B330" s="17">
        <f>IF($A330="","",IFERROR(SUMIF(tblMotor[A_Norm],$A330,tblMotor[NetKar]),0))</f>
        <v/>
      </c>
      <c r="C330" s="17">
        <f>IF($A330="","",IFERROR(SUMIF(tblMotor[A_Norm],$A330,tblMotor[BasabasFiyat]),0))</f>
        <v/>
      </c>
      <c r="D330" s="17">
        <f>IF($A330="","",IFERROR(INDEX(tblMotor[KararSatir],MATCH($A330,tblMotor[A_Norm],0)),""))</f>
        <v/>
      </c>
      <c r="E330" s="17">
        <f>IF($A330="","",IF($B330&lt;0,"YUKSEK","NORMAL"))</f>
        <v/>
      </c>
      <c r="F330" s="17">
        <f>IF($A330="","",_xlfn.TEXTJOIN(" ",TRUE,"Barkod",$A330,"karar",$D330,"net",TEXT($B330,"0.00"),"başabaş",TEXT($C330,"0.00"),"TL"))</f>
        <v/>
      </c>
    </row>
    <row r="331">
      <c r="A331" s="17">
        <f>IF('ESLESTIRME'!$A331="","",IF('ESLESTIRME'!$G331="tutar_farki",'ESLESTIRME'!$A331,""))</f>
        <v/>
      </c>
      <c r="B331" s="17">
        <f>IF($A331="","",IFERROR(SUMIF(tblMotor[A_Norm],$A331,tblMotor[NetKar]),0))</f>
        <v/>
      </c>
      <c r="C331" s="17">
        <f>IF($A331="","",IFERROR(SUMIF(tblMotor[A_Norm],$A331,tblMotor[BasabasFiyat]),0))</f>
        <v/>
      </c>
      <c r="D331" s="17">
        <f>IF($A331="","",IFERROR(INDEX(tblMotor[KararSatir],MATCH($A331,tblMotor[A_Norm],0)),""))</f>
        <v/>
      </c>
      <c r="E331" s="17">
        <f>IF($A331="","",IF($B331&lt;0,"YUKSEK","NORMAL"))</f>
        <v/>
      </c>
      <c r="F331" s="17">
        <f>IF($A331="","",_xlfn.TEXTJOIN(" ",TRUE,"Barkod",$A331,"karar",$D331,"net",TEXT($B331,"0.00"),"başabaş",TEXT($C331,"0.00"),"TL"))</f>
        <v/>
      </c>
    </row>
    <row r="332">
      <c r="A332" s="17">
        <f>IF('ESLESTIRME'!$A332="","",IF('ESLESTIRME'!$G332="tutar_farki",'ESLESTIRME'!$A332,""))</f>
        <v/>
      </c>
      <c r="B332" s="17">
        <f>IF($A332="","",IFERROR(SUMIF(tblMotor[A_Norm],$A332,tblMotor[NetKar]),0))</f>
        <v/>
      </c>
      <c r="C332" s="17">
        <f>IF($A332="","",IFERROR(SUMIF(tblMotor[A_Norm],$A332,tblMotor[BasabasFiyat]),0))</f>
        <v/>
      </c>
      <c r="D332" s="17">
        <f>IF($A332="","",IFERROR(INDEX(tblMotor[KararSatir],MATCH($A332,tblMotor[A_Norm],0)),""))</f>
        <v/>
      </c>
      <c r="E332" s="17">
        <f>IF($A332="","",IF($B332&lt;0,"YUKSEK","NORMAL"))</f>
        <v/>
      </c>
      <c r="F332" s="17">
        <f>IF($A332="","",_xlfn.TEXTJOIN(" ",TRUE,"Barkod",$A332,"karar",$D332,"net",TEXT($B332,"0.00"),"başabaş",TEXT($C332,"0.00"),"TL"))</f>
        <v/>
      </c>
    </row>
    <row r="333">
      <c r="A333" s="17">
        <f>IF('ESLESTIRME'!$A333="","",IF('ESLESTIRME'!$G333="tutar_farki",'ESLESTIRME'!$A333,""))</f>
        <v/>
      </c>
      <c r="B333" s="17">
        <f>IF($A333="","",IFERROR(SUMIF(tblMotor[A_Norm],$A333,tblMotor[NetKar]),0))</f>
        <v/>
      </c>
      <c r="C333" s="17">
        <f>IF($A333="","",IFERROR(SUMIF(tblMotor[A_Norm],$A333,tblMotor[BasabasFiyat]),0))</f>
        <v/>
      </c>
      <c r="D333" s="17">
        <f>IF($A333="","",IFERROR(INDEX(tblMotor[KararSatir],MATCH($A333,tblMotor[A_Norm],0)),""))</f>
        <v/>
      </c>
      <c r="E333" s="17">
        <f>IF($A333="","",IF($B333&lt;0,"YUKSEK","NORMAL"))</f>
        <v/>
      </c>
      <c r="F333" s="17">
        <f>IF($A333="","",_xlfn.TEXTJOIN(" ",TRUE,"Barkod",$A333,"karar",$D333,"net",TEXT($B333,"0.00"),"başabaş",TEXT($C333,"0.00"),"TL"))</f>
        <v/>
      </c>
    </row>
    <row r="334">
      <c r="A334" s="17">
        <f>IF('ESLESTIRME'!$A334="","",IF('ESLESTIRME'!$G334="tutar_farki",'ESLESTIRME'!$A334,""))</f>
        <v/>
      </c>
      <c r="B334" s="17">
        <f>IF($A334="","",IFERROR(SUMIF(tblMotor[A_Norm],$A334,tblMotor[NetKar]),0))</f>
        <v/>
      </c>
      <c r="C334" s="17">
        <f>IF($A334="","",IFERROR(SUMIF(tblMotor[A_Norm],$A334,tblMotor[BasabasFiyat]),0))</f>
        <v/>
      </c>
      <c r="D334" s="17">
        <f>IF($A334="","",IFERROR(INDEX(tblMotor[KararSatir],MATCH($A334,tblMotor[A_Norm],0)),""))</f>
        <v/>
      </c>
      <c r="E334" s="17">
        <f>IF($A334="","",IF($B334&lt;0,"YUKSEK","NORMAL"))</f>
        <v/>
      </c>
      <c r="F334" s="17">
        <f>IF($A334="","",_xlfn.TEXTJOIN(" ",TRUE,"Barkod",$A334,"karar",$D334,"net",TEXT($B334,"0.00"),"başabaş",TEXT($C334,"0.00"),"TL"))</f>
        <v/>
      </c>
    </row>
    <row r="335">
      <c r="A335" s="17">
        <f>IF('ESLESTIRME'!$A335="","",IF('ESLESTIRME'!$G335="tutar_farki",'ESLESTIRME'!$A335,""))</f>
        <v/>
      </c>
      <c r="B335" s="17">
        <f>IF($A335="","",IFERROR(SUMIF(tblMotor[A_Norm],$A335,tblMotor[NetKar]),0))</f>
        <v/>
      </c>
      <c r="C335" s="17">
        <f>IF($A335="","",IFERROR(SUMIF(tblMotor[A_Norm],$A335,tblMotor[BasabasFiyat]),0))</f>
        <v/>
      </c>
      <c r="D335" s="17">
        <f>IF($A335="","",IFERROR(INDEX(tblMotor[KararSatir],MATCH($A335,tblMotor[A_Norm],0)),""))</f>
        <v/>
      </c>
      <c r="E335" s="17">
        <f>IF($A335="","",IF($B335&lt;0,"YUKSEK","NORMAL"))</f>
        <v/>
      </c>
      <c r="F335" s="17">
        <f>IF($A335="","",_xlfn.TEXTJOIN(" ",TRUE,"Barkod",$A335,"karar",$D335,"net",TEXT($B335,"0.00"),"başabaş",TEXT($C335,"0.00"),"TL"))</f>
        <v/>
      </c>
    </row>
    <row r="336">
      <c r="A336" s="17">
        <f>IF('ESLESTIRME'!$A336="","",IF('ESLESTIRME'!$G336="tutar_farki",'ESLESTIRME'!$A336,""))</f>
        <v/>
      </c>
      <c r="B336" s="17">
        <f>IF($A336="","",IFERROR(SUMIF(tblMotor[A_Norm],$A336,tblMotor[NetKar]),0))</f>
        <v/>
      </c>
      <c r="C336" s="17">
        <f>IF($A336="","",IFERROR(SUMIF(tblMotor[A_Norm],$A336,tblMotor[BasabasFiyat]),0))</f>
        <v/>
      </c>
      <c r="D336" s="17">
        <f>IF($A336="","",IFERROR(INDEX(tblMotor[KararSatir],MATCH($A336,tblMotor[A_Norm],0)),""))</f>
        <v/>
      </c>
      <c r="E336" s="17">
        <f>IF($A336="","",IF($B336&lt;0,"YUKSEK","NORMAL"))</f>
        <v/>
      </c>
      <c r="F336" s="17">
        <f>IF($A336="","",_xlfn.TEXTJOIN(" ",TRUE,"Barkod",$A336,"karar",$D336,"net",TEXT($B336,"0.00"),"başabaş",TEXT($C336,"0.00"),"TL"))</f>
        <v/>
      </c>
    </row>
    <row r="337">
      <c r="A337" s="17">
        <f>IF('ESLESTIRME'!$A337="","",IF('ESLESTIRME'!$G337="tutar_farki",'ESLESTIRME'!$A337,""))</f>
        <v/>
      </c>
      <c r="B337" s="17">
        <f>IF($A337="","",IFERROR(SUMIF(tblMotor[A_Norm],$A337,tblMotor[NetKar]),0))</f>
        <v/>
      </c>
      <c r="C337" s="17">
        <f>IF($A337="","",IFERROR(SUMIF(tblMotor[A_Norm],$A337,tblMotor[BasabasFiyat]),0))</f>
        <v/>
      </c>
      <c r="D337" s="17">
        <f>IF($A337="","",IFERROR(INDEX(tblMotor[KararSatir],MATCH($A337,tblMotor[A_Norm],0)),""))</f>
        <v/>
      </c>
      <c r="E337" s="17">
        <f>IF($A337="","",IF($B337&lt;0,"YUKSEK","NORMAL"))</f>
        <v/>
      </c>
      <c r="F337" s="17">
        <f>IF($A337="","",_xlfn.TEXTJOIN(" ",TRUE,"Barkod",$A337,"karar",$D337,"net",TEXT($B337,"0.00"),"başabaş",TEXT($C337,"0.00"),"TL"))</f>
        <v/>
      </c>
    </row>
    <row r="338">
      <c r="A338" s="17">
        <f>IF('ESLESTIRME'!$A338="","",IF('ESLESTIRME'!$G338="tutar_farki",'ESLESTIRME'!$A338,""))</f>
        <v/>
      </c>
      <c r="B338" s="17">
        <f>IF($A338="","",IFERROR(SUMIF(tblMotor[A_Norm],$A338,tblMotor[NetKar]),0))</f>
        <v/>
      </c>
      <c r="C338" s="17">
        <f>IF($A338="","",IFERROR(SUMIF(tblMotor[A_Norm],$A338,tblMotor[BasabasFiyat]),0))</f>
        <v/>
      </c>
      <c r="D338" s="17">
        <f>IF($A338="","",IFERROR(INDEX(tblMotor[KararSatir],MATCH($A338,tblMotor[A_Norm],0)),""))</f>
        <v/>
      </c>
      <c r="E338" s="17">
        <f>IF($A338="","",IF($B338&lt;0,"YUKSEK","NORMAL"))</f>
        <v/>
      </c>
      <c r="F338" s="17">
        <f>IF($A338="","",_xlfn.TEXTJOIN(" ",TRUE,"Barkod",$A338,"karar",$D338,"net",TEXT($B338,"0.00"),"başabaş",TEXT($C338,"0.00"),"TL"))</f>
        <v/>
      </c>
    </row>
    <row r="339">
      <c r="A339" s="17">
        <f>IF('ESLESTIRME'!$A339="","",IF('ESLESTIRME'!$G339="tutar_farki",'ESLESTIRME'!$A339,""))</f>
        <v/>
      </c>
      <c r="B339" s="17">
        <f>IF($A339="","",IFERROR(SUMIF(tblMotor[A_Norm],$A339,tblMotor[NetKar]),0))</f>
        <v/>
      </c>
      <c r="C339" s="17">
        <f>IF($A339="","",IFERROR(SUMIF(tblMotor[A_Norm],$A339,tblMotor[BasabasFiyat]),0))</f>
        <v/>
      </c>
      <c r="D339" s="17">
        <f>IF($A339="","",IFERROR(INDEX(tblMotor[KararSatir],MATCH($A339,tblMotor[A_Norm],0)),""))</f>
        <v/>
      </c>
      <c r="E339" s="17">
        <f>IF($A339="","",IF($B339&lt;0,"YUKSEK","NORMAL"))</f>
        <v/>
      </c>
      <c r="F339" s="17">
        <f>IF($A339="","",_xlfn.TEXTJOIN(" ",TRUE,"Barkod",$A339,"karar",$D339,"net",TEXT($B339,"0.00"),"başabaş",TEXT($C339,"0.00"),"TL"))</f>
        <v/>
      </c>
    </row>
    <row r="340">
      <c r="A340" s="17">
        <f>IF('ESLESTIRME'!$A340="","",IF('ESLESTIRME'!$G340="tutar_farki",'ESLESTIRME'!$A340,""))</f>
        <v/>
      </c>
      <c r="B340" s="17">
        <f>IF($A340="","",IFERROR(SUMIF(tblMotor[A_Norm],$A340,tblMotor[NetKar]),0))</f>
        <v/>
      </c>
      <c r="C340" s="17">
        <f>IF($A340="","",IFERROR(SUMIF(tblMotor[A_Norm],$A340,tblMotor[BasabasFiyat]),0))</f>
        <v/>
      </c>
      <c r="D340" s="17">
        <f>IF($A340="","",IFERROR(INDEX(tblMotor[KararSatir],MATCH($A340,tblMotor[A_Norm],0)),""))</f>
        <v/>
      </c>
      <c r="E340" s="17">
        <f>IF($A340="","",IF($B340&lt;0,"YUKSEK","NORMAL"))</f>
        <v/>
      </c>
      <c r="F340" s="17">
        <f>IF($A340="","",_xlfn.TEXTJOIN(" ",TRUE,"Barkod",$A340,"karar",$D340,"net",TEXT($B340,"0.00"),"başabaş",TEXT($C340,"0.00"),"TL"))</f>
        <v/>
      </c>
    </row>
    <row r="341">
      <c r="A341" s="17">
        <f>IF('ESLESTIRME'!$A341="","",IF('ESLESTIRME'!$G341="tutar_farki",'ESLESTIRME'!$A341,""))</f>
        <v/>
      </c>
      <c r="B341" s="17">
        <f>IF($A341="","",IFERROR(SUMIF(tblMotor[A_Norm],$A341,tblMotor[NetKar]),0))</f>
        <v/>
      </c>
      <c r="C341" s="17">
        <f>IF($A341="","",IFERROR(SUMIF(tblMotor[A_Norm],$A341,tblMotor[BasabasFiyat]),0))</f>
        <v/>
      </c>
      <c r="D341" s="17">
        <f>IF($A341="","",IFERROR(INDEX(tblMotor[KararSatir],MATCH($A341,tblMotor[A_Norm],0)),""))</f>
        <v/>
      </c>
      <c r="E341" s="17">
        <f>IF($A341="","",IF($B341&lt;0,"YUKSEK","NORMAL"))</f>
        <v/>
      </c>
      <c r="F341" s="17">
        <f>IF($A341="","",_xlfn.TEXTJOIN(" ",TRUE,"Barkod",$A341,"karar",$D341,"net",TEXT($B341,"0.00"),"başabaş",TEXT($C341,"0.00"),"TL"))</f>
        <v/>
      </c>
    </row>
    <row r="342">
      <c r="A342" s="17">
        <f>IF('ESLESTIRME'!$A342="","",IF('ESLESTIRME'!$G342="tutar_farki",'ESLESTIRME'!$A342,""))</f>
        <v/>
      </c>
      <c r="B342" s="17">
        <f>IF($A342="","",IFERROR(SUMIF(tblMotor[A_Norm],$A342,tblMotor[NetKar]),0))</f>
        <v/>
      </c>
      <c r="C342" s="17">
        <f>IF($A342="","",IFERROR(SUMIF(tblMotor[A_Norm],$A342,tblMotor[BasabasFiyat]),0))</f>
        <v/>
      </c>
      <c r="D342" s="17">
        <f>IF($A342="","",IFERROR(INDEX(tblMotor[KararSatir],MATCH($A342,tblMotor[A_Norm],0)),""))</f>
        <v/>
      </c>
      <c r="E342" s="17">
        <f>IF($A342="","",IF($B342&lt;0,"YUKSEK","NORMAL"))</f>
        <v/>
      </c>
      <c r="F342" s="17">
        <f>IF($A342="","",_xlfn.TEXTJOIN(" ",TRUE,"Barkod",$A342,"karar",$D342,"net",TEXT($B342,"0.00"),"başabaş",TEXT($C342,"0.00"),"TL"))</f>
        <v/>
      </c>
    </row>
    <row r="343">
      <c r="A343" s="17">
        <f>IF('ESLESTIRME'!$A343="","",IF('ESLESTIRME'!$G343="tutar_farki",'ESLESTIRME'!$A343,""))</f>
        <v/>
      </c>
      <c r="B343" s="17">
        <f>IF($A343="","",IFERROR(SUMIF(tblMotor[A_Norm],$A343,tblMotor[NetKar]),0))</f>
        <v/>
      </c>
      <c r="C343" s="17">
        <f>IF($A343="","",IFERROR(SUMIF(tblMotor[A_Norm],$A343,tblMotor[BasabasFiyat]),0))</f>
        <v/>
      </c>
      <c r="D343" s="17">
        <f>IF($A343="","",IFERROR(INDEX(tblMotor[KararSatir],MATCH($A343,tblMotor[A_Norm],0)),""))</f>
        <v/>
      </c>
      <c r="E343" s="17">
        <f>IF($A343="","",IF($B343&lt;0,"YUKSEK","NORMAL"))</f>
        <v/>
      </c>
      <c r="F343" s="17">
        <f>IF($A343="","",_xlfn.TEXTJOIN(" ",TRUE,"Barkod",$A343,"karar",$D343,"net",TEXT($B343,"0.00"),"başabaş",TEXT($C343,"0.00"),"TL"))</f>
        <v/>
      </c>
    </row>
    <row r="344">
      <c r="A344" s="17">
        <f>IF('ESLESTIRME'!$A344="","",IF('ESLESTIRME'!$G344="tutar_farki",'ESLESTIRME'!$A344,""))</f>
        <v/>
      </c>
      <c r="B344" s="17">
        <f>IF($A344="","",IFERROR(SUMIF(tblMotor[A_Norm],$A344,tblMotor[NetKar]),0))</f>
        <v/>
      </c>
      <c r="C344" s="17">
        <f>IF($A344="","",IFERROR(SUMIF(tblMotor[A_Norm],$A344,tblMotor[BasabasFiyat]),0))</f>
        <v/>
      </c>
      <c r="D344" s="17">
        <f>IF($A344="","",IFERROR(INDEX(tblMotor[KararSatir],MATCH($A344,tblMotor[A_Norm],0)),""))</f>
        <v/>
      </c>
      <c r="E344" s="17">
        <f>IF($A344="","",IF($B344&lt;0,"YUKSEK","NORMAL"))</f>
        <v/>
      </c>
      <c r="F344" s="17">
        <f>IF($A344="","",_xlfn.TEXTJOIN(" ",TRUE,"Barkod",$A344,"karar",$D344,"net",TEXT($B344,"0.00"),"başabaş",TEXT($C344,"0.00"),"TL"))</f>
        <v/>
      </c>
    </row>
    <row r="345">
      <c r="A345" s="17">
        <f>IF('ESLESTIRME'!$A345="","",IF('ESLESTIRME'!$G345="tutar_farki",'ESLESTIRME'!$A345,""))</f>
        <v/>
      </c>
      <c r="B345" s="17">
        <f>IF($A345="","",IFERROR(SUMIF(tblMotor[A_Norm],$A345,tblMotor[NetKar]),0))</f>
        <v/>
      </c>
      <c r="C345" s="17">
        <f>IF($A345="","",IFERROR(SUMIF(tblMotor[A_Norm],$A345,tblMotor[BasabasFiyat]),0))</f>
        <v/>
      </c>
      <c r="D345" s="17">
        <f>IF($A345="","",IFERROR(INDEX(tblMotor[KararSatir],MATCH($A345,tblMotor[A_Norm],0)),""))</f>
        <v/>
      </c>
      <c r="E345" s="17">
        <f>IF($A345="","",IF($B345&lt;0,"YUKSEK","NORMAL"))</f>
        <v/>
      </c>
      <c r="F345" s="17">
        <f>IF($A345="","",_xlfn.TEXTJOIN(" ",TRUE,"Barkod",$A345,"karar",$D345,"net",TEXT($B345,"0.00"),"başabaş",TEXT($C345,"0.00"),"TL"))</f>
        <v/>
      </c>
    </row>
    <row r="346">
      <c r="A346" s="17">
        <f>IF('ESLESTIRME'!$A346="","",IF('ESLESTIRME'!$G346="tutar_farki",'ESLESTIRME'!$A346,""))</f>
        <v/>
      </c>
      <c r="B346" s="17">
        <f>IF($A346="","",IFERROR(SUMIF(tblMotor[A_Norm],$A346,tblMotor[NetKar]),0))</f>
        <v/>
      </c>
      <c r="C346" s="17">
        <f>IF($A346="","",IFERROR(SUMIF(tblMotor[A_Norm],$A346,tblMotor[BasabasFiyat]),0))</f>
        <v/>
      </c>
      <c r="D346" s="17">
        <f>IF($A346="","",IFERROR(INDEX(tblMotor[KararSatir],MATCH($A346,tblMotor[A_Norm],0)),""))</f>
        <v/>
      </c>
      <c r="E346" s="17">
        <f>IF($A346="","",IF($B346&lt;0,"YUKSEK","NORMAL"))</f>
        <v/>
      </c>
      <c r="F346" s="17">
        <f>IF($A346="","",_xlfn.TEXTJOIN(" ",TRUE,"Barkod",$A346,"karar",$D346,"net",TEXT($B346,"0.00"),"başabaş",TEXT($C346,"0.00"),"TL"))</f>
        <v/>
      </c>
    </row>
    <row r="347">
      <c r="A347" s="17">
        <f>IF('ESLESTIRME'!$A347="","",IF('ESLESTIRME'!$G347="tutar_farki",'ESLESTIRME'!$A347,""))</f>
        <v/>
      </c>
      <c r="B347" s="17">
        <f>IF($A347="","",IFERROR(SUMIF(tblMotor[A_Norm],$A347,tblMotor[NetKar]),0))</f>
        <v/>
      </c>
      <c r="C347" s="17">
        <f>IF($A347="","",IFERROR(SUMIF(tblMotor[A_Norm],$A347,tblMotor[BasabasFiyat]),0))</f>
        <v/>
      </c>
      <c r="D347" s="17">
        <f>IF($A347="","",IFERROR(INDEX(tblMotor[KararSatir],MATCH($A347,tblMotor[A_Norm],0)),""))</f>
        <v/>
      </c>
      <c r="E347" s="17">
        <f>IF($A347="","",IF($B347&lt;0,"YUKSEK","NORMAL"))</f>
        <v/>
      </c>
      <c r="F347" s="17">
        <f>IF($A347="","",_xlfn.TEXTJOIN(" ",TRUE,"Barkod",$A347,"karar",$D347,"net",TEXT($B347,"0.00"),"başabaş",TEXT($C347,"0.00"),"TL"))</f>
        <v/>
      </c>
    </row>
    <row r="348">
      <c r="A348" s="17">
        <f>IF('ESLESTIRME'!$A348="","",IF('ESLESTIRME'!$G348="tutar_farki",'ESLESTIRME'!$A348,""))</f>
        <v/>
      </c>
      <c r="B348" s="17">
        <f>IF($A348="","",IFERROR(SUMIF(tblMotor[A_Norm],$A348,tblMotor[NetKar]),0))</f>
        <v/>
      </c>
      <c r="C348" s="17">
        <f>IF($A348="","",IFERROR(SUMIF(tblMotor[A_Norm],$A348,tblMotor[BasabasFiyat]),0))</f>
        <v/>
      </c>
      <c r="D348" s="17">
        <f>IF($A348="","",IFERROR(INDEX(tblMotor[KararSatir],MATCH($A348,tblMotor[A_Norm],0)),""))</f>
        <v/>
      </c>
      <c r="E348" s="17">
        <f>IF($A348="","",IF($B348&lt;0,"YUKSEK","NORMAL"))</f>
        <v/>
      </c>
      <c r="F348" s="17">
        <f>IF($A348="","",_xlfn.TEXTJOIN(" ",TRUE,"Barkod",$A348,"karar",$D348,"net",TEXT($B348,"0.00"),"başabaş",TEXT($C348,"0.00"),"TL"))</f>
        <v/>
      </c>
    </row>
    <row r="349">
      <c r="A349" s="17">
        <f>IF('ESLESTIRME'!$A349="","",IF('ESLESTIRME'!$G349="tutar_farki",'ESLESTIRME'!$A349,""))</f>
        <v/>
      </c>
      <c r="B349" s="17">
        <f>IF($A349="","",IFERROR(SUMIF(tblMotor[A_Norm],$A349,tblMotor[NetKar]),0))</f>
        <v/>
      </c>
      <c r="C349" s="17">
        <f>IF($A349="","",IFERROR(SUMIF(tblMotor[A_Norm],$A349,tblMotor[BasabasFiyat]),0))</f>
        <v/>
      </c>
      <c r="D349" s="17">
        <f>IF($A349="","",IFERROR(INDEX(tblMotor[KararSatir],MATCH($A349,tblMotor[A_Norm],0)),""))</f>
        <v/>
      </c>
      <c r="E349" s="17">
        <f>IF($A349="","",IF($B349&lt;0,"YUKSEK","NORMAL"))</f>
        <v/>
      </c>
      <c r="F349" s="17">
        <f>IF($A349="","",_xlfn.TEXTJOIN(" ",TRUE,"Barkod",$A349,"karar",$D349,"net",TEXT($B349,"0.00"),"başabaş",TEXT($C349,"0.00"),"TL"))</f>
        <v/>
      </c>
    </row>
    <row r="350">
      <c r="A350" s="17">
        <f>IF('ESLESTIRME'!$A350="","",IF('ESLESTIRME'!$G350="tutar_farki",'ESLESTIRME'!$A350,""))</f>
        <v/>
      </c>
      <c r="B350" s="17">
        <f>IF($A350="","",IFERROR(SUMIF(tblMotor[A_Norm],$A350,tblMotor[NetKar]),0))</f>
        <v/>
      </c>
      <c r="C350" s="17">
        <f>IF($A350="","",IFERROR(SUMIF(tblMotor[A_Norm],$A350,tblMotor[BasabasFiyat]),0))</f>
        <v/>
      </c>
      <c r="D350" s="17">
        <f>IF($A350="","",IFERROR(INDEX(tblMotor[KararSatir],MATCH($A350,tblMotor[A_Norm],0)),""))</f>
        <v/>
      </c>
      <c r="E350" s="17">
        <f>IF($A350="","",IF($B350&lt;0,"YUKSEK","NORMAL"))</f>
        <v/>
      </c>
      <c r="F350" s="17">
        <f>IF($A350="","",_xlfn.TEXTJOIN(" ",TRUE,"Barkod",$A350,"karar",$D350,"net",TEXT($B350,"0.00"),"başabaş",TEXT($C350,"0.00"),"TL"))</f>
        <v/>
      </c>
    </row>
    <row r="351">
      <c r="A351" s="17">
        <f>IF('ESLESTIRME'!$A351="","",IF('ESLESTIRME'!$G351="tutar_farki",'ESLESTIRME'!$A351,""))</f>
        <v/>
      </c>
      <c r="B351" s="17">
        <f>IF($A351="","",IFERROR(SUMIF(tblMotor[A_Norm],$A351,tblMotor[NetKar]),0))</f>
        <v/>
      </c>
      <c r="C351" s="17">
        <f>IF($A351="","",IFERROR(SUMIF(tblMotor[A_Norm],$A351,tblMotor[BasabasFiyat]),0))</f>
        <v/>
      </c>
      <c r="D351" s="17">
        <f>IF($A351="","",IFERROR(INDEX(tblMotor[KararSatir],MATCH($A351,tblMotor[A_Norm],0)),""))</f>
        <v/>
      </c>
      <c r="E351" s="17">
        <f>IF($A351="","",IF($B351&lt;0,"YUKSEK","NORMAL"))</f>
        <v/>
      </c>
      <c r="F351" s="17">
        <f>IF($A351="","",_xlfn.TEXTJOIN(" ",TRUE,"Barkod",$A351,"karar",$D351,"net",TEXT($B351,"0.00"),"başabaş",TEXT($C351,"0.00"),"TL"))</f>
        <v/>
      </c>
    </row>
    <row r="352">
      <c r="A352" s="17">
        <f>IF('ESLESTIRME'!$A352="","",IF('ESLESTIRME'!$G352="tutar_farki",'ESLESTIRME'!$A352,""))</f>
        <v/>
      </c>
      <c r="B352" s="17">
        <f>IF($A352="","",IFERROR(SUMIF(tblMotor[A_Norm],$A352,tblMotor[NetKar]),0))</f>
        <v/>
      </c>
      <c r="C352" s="17">
        <f>IF($A352="","",IFERROR(SUMIF(tblMotor[A_Norm],$A352,tblMotor[BasabasFiyat]),0))</f>
        <v/>
      </c>
      <c r="D352" s="17">
        <f>IF($A352="","",IFERROR(INDEX(tblMotor[KararSatir],MATCH($A352,tblMotor[A_Norm],0)),""))</f>
        <v/>
      </c>
      <c r="E352" s="17">
        <f>IF($A352="","",IF($B352&lt;0,"YUKSEK","NORMAL"))</f>
        <v/>
      </c>
      <c r="F352" s="17">
        <f>IF($A352="","",_xlfn.TEXTJOIN(" ",TRUE,"Barkod",$A352,"karar",$D352,"net",TEXT($B352,"0.00"),"başabaş",TEXT($C352,"0.00"),"TL"))</f>
        <v/>
      </c>
    </row>
    <row r="353">
      <c r="A353" s="17">
        <f>IF('ESLESTIRME'!$A353="","",IF('ESLESTIRME'!$G353="tutar_farki",'ESLESTIRME'!$A353,""))</f>
        <v/>
      </c>
      <c r="B353" s="17">
        <f>IF($A353="","",IFERROR(SUMIF(tblMotor[A_Norm],$A353,tblMotor[NetKar]),0))</f>
        <v/>
      </c>
      <c r="C353" s="17">
        <f>IF($A353="","",IFERROR(SUMIF(tblMotor[A_Norm],$A353,tblMotor[BasabasFiyat]),0))</f>
        <v/>
      </c>
      <c r="D353" s="17">
        <f>IF($A353="","",IFERROR(INDEX(tblMotor[KararSatir],MATCH($A353,tblMotor[A_Norm],0)),""))</f>
        <v/>
      </c>
      <c r="E353" s="17">
        <f>IF($A353="","",IF($B353&lt;0,"YUKSEK","NORMAL"))</f>
        <v/>
      </c>
      <c r="F353" s="17">
        <f>IF($A353="","",_xlfn.TEXTJOIN(" ",TRUE,"Barkod",$A353,"karar",$D353,"net",TEXT($B353,"0.00"),"başabaş",TEXT($C353,"0.00"),"TL"))</f>
        <v/>
      </c>
    </row>
    <row r="354">
      <c r="A354" s="17">
        <f>IF('ESLESTIRME'!$A354="","",IF('ESLESTIRME'!$G354="tutar_farki",'ESLESTIRME'!$A354,""))</f>
        <v/>
      </c>
      <c r="B354" s="17">
        <f>IF($A354="","",IFERROR(SUMIF(tblMotor[A_Norm],$A354,tblMotor[NetKar]),0))</f>
        <v/>
      </c>
      <c r="C354" s="17">
        <f>IF($A354="","",IFERROR(SUMIF(tblMotor[A_Norm],$A354,tblMotor[BasabasFiyat]),0))</f>
        <v/>
      </c>
      <c r="D354" s="17">
        <f>IF($A354="","",IFERROR(INDEX(tblMotor[KararSatir],MATCH($A354,tblMotor[A_Norm],0)),""))</f>
        <v/>
      </c>
      <c r="E354" s="17">
        <f>IF($A354="","",IF($B354&lt;0,"YUKSEK","NORMAL"))</f>
        <v/>
      </c>
      <c r="F354" s="17">
        <f>IF($A354="","",_xlfn.TEXTJOIN(" ",TRUE,"Barkod",$A354,"karar",$D354,"net",TEXT($B354,"0.00"),"başabaş",TEXT($C354,"0.00"),"TL"))</f>
        <v/>
      </c>
    </row>
    <row r="355">
      <c r="A355" s="17">
        <f>IF('ESLESTIRME'!$A355="","",IF('ESLESTIRME'!$G355="tutar_farki",'ESLESTIRME'!$A355,""))</f>
        <v/>
      </c>
      <c r="B355" s="17">
        <f>IF($A355="","",IFERROR(SUMIF(tblMotor[A_Norm],$A355,tblMotor[NetKar]),0))</f>
        <v/>
      </c>
      <c r="C355" s="17">
        <f>IF($A355="","",IFERROR(SUMIF(tblMotor[A_Norm],$A355,tblMotor[BasabasFiyat]),0))</f>
        <v/>
      </c>
      <c r="D355" s="17">
        <f>IF($A355="","",IFERROR(INDEX(tblMotor[KararSatir],MATCH($A355,tblMotor[A_Norm],0)),""))</f>
        <v/>
      </c>
      <c r="E355" s="17">
        <f>IF($A355="","",IF($B355&lt;0,"YUKSEK","NORMAL"))</f>
        <v/>
      </c>
      <c r="F355" s="17">
        <f>IF($A355="","",_xlfn.TEXTJOIN(" ",TRUE,"Barkod",$A355,"karar",$D355,"net",TEXT($B355,"0.00"),"başabaş",TEXT($C355,"0.00"),"TL"))</f>
        <v/>
      </c>
    </row>
    <row r="356">
      <c r="A356" s="17">
        <f>IF('ESLESTIRME'!$A356="","",IF('ESLESTIRME'!$G356="tutar_farki",'ESLESTIRME'!$A356,""))</f>
        <v/>
      </c>
      <c r="B356" s="17">
        <f>IF($A356="","",IFERROR(SUMIF(tblMotor[A_Norm],$A356,tblMotor[NetKar]),0))</f>
        <v/>
      </c>
      <c r="C356" s="17">
        <f>IF($A356="","",IFERROR(SUMIF(tblMotor[A_Norm],$A356,tblMotor[BasabasFiyat]),0))</f>
        <v/>
      </c>
      <c r="D356" s="17">
        <f>IF($A356="","",IFERROR(INDEX(tblMotor[KararSatir],MATCH($A356,tblMotor[A_Norm],0)),""))</f>
        <v/>
      </c>
      <c r="E356" s="17">
        <f>IF($A356="","",IF($B356&lt;0,"YUKSEK","NORMAL"))</f>
        <v/>
      </c>
      <c r="F356" s="17">
        <f>IF($A356="","",_xlfn.TEXTJOIN(" ",TRUE,"Barkod",$A356,"karar",$D356,"net",TEXT($B356,"0.00"),"başabaş",TEXT($C356,"0.00"),"TL"))</f>
        <v/>
      </c>
    </row>
    <row r="357">
      <c r="A357" s="17">
        <f>IF('ESLESTIRME'!$A357="","",IF('ESLESTIRME'!$G357="tutar_farki",'ESLESTIRME'!$A357,""))</f>
        <v/>
      </c>
      <c r="B357" s="17">
        <f>IF($A357="","",IFERROR(SUMIF(tblMotor[A_Norm],$A357,tblMotor[NetKar]),0))</f>
        <v/>
      </c>
      <c r="C357" s="17">
        <f>IF($A357="","",IFERROR(SUMIF(tblMotor[A_Norm],$A357,tblMotor[BasabasFiyat]),0))</f>
        <v/>
      </c>
      <c r="D357" s="17">
        <f>IF($A357="","",IFERROR(INDEX(tblMotor[KararSatir],MATCH($A357,tblMotor[A_Norm],0)),""))</f>
        <v/>
      </c>
      <c r="E357" s="17">
        <f>IF($A357="","",IF($B357&lt;0,"YUKSEK","NORMAL"))</f>
        <v/>
      </c>
      <c r="F357" s="17">
        <f>IF($A357="","",_xlfn.TEXTJOIN(" ",TRUE,"Barkod",$A357,"karar",$D357,"net",TEXT($B357,"0.00"),"başabaş",TEXT($C357,"0.00"),"TL"))</f>
        <v/>
      </c>
    </row>
    <row r="358">
      <c r="A358" s="17">
        <f>IF('ESLESTIRME'!$A358="","",IF('ESLESTIRME'!$G358="tutar_farki",'ESLESTIRME'!$A358,""))</f>
        <v/>
      </c>
      <c r="B358" s="17">
        <f>IF($A358="","",IFERROR(SUMIF(tblMotor[A_Norm],$A358,tblMotor[NetKar]),0))</f>
        <v/>
      </c>
      <c r="C358" s="17">
        <f>IF($A358="","",IFERROR(SUMIF(tblMotor[A_Norm],$A358,tblMotor[BasabasFiyat]),0))</f>
        <v/>
      </c>
      <c r="D358" s="17">
        <f>IF($A358="","",IFERROR(INDEX(tblMotor[KararSatir],MATCH($A358,tblMotor[A_Norm],0)),""))</f>
        <v/>
      </c>
      <c r="E358" s="17">
        <f>IF($A358="","",IF($B358&lt;0,"YUKSEK","NORMAL"))</f>
        <v/>
      </c>
      <c r="F358" s="17">
        <f>IF($A358="","",_xlfn.TEXTJOIN(" ",TRUE,"Barkod",$A358,"karar",$D358,"net",TEXT($B358,"0.00"),"başabaş",TEXT($C358,"0.00"),"TL"))</f>
        <v/>
      </c>
    </row>
    <row r="359">
      <c r="A359" s="17">
        <f>IF('ESLESTIRME'!$A359="","",IF('ESLESTIRME'!$G359="tutar_farki",'ESLESTIRME'!$A359,""))</f>
        <v/>
      </c>
      <c r="B359" s="17">
        <f>IF($A359="","",IFERROR(SUMIF(tblMotor[A_Norm],$A359,tblMotor[NetKar]),0))</f>
        <v/>
      </c>
      <c r="C359" s="17">
        <f>IF($A359="","",IFERROR(SUMIF(tblMotor[A_Norm],$A359,tblMotor[BasabasFiyat]),0))</f>
        <v/>
      </c>
      <c r="D359" s="17">
        <f>IF($A359="","",IFERROR(INDEX(tblMotor[KararSatir],MATCH($A359,tblMotor[A_Norm],0)),""))</f>
        <v/>
      </c>
      <c r="E359" s="17">
        <f>IF($A359="","",IF($B359&lt;0,"YUKSEK","NORMAL"))</f>
        <v/>
      </c>
      <c r="F359" s="17">
        <f>IF($A359="","",_xlfn.TEXTJOIN(" ",TRUE,"Barkod",$A359,"karar",$D359,"net",TEXT($B359,"0.00"),"başabaş",TEXT($C359,"0.00"),"TL"))</f>
        <v/>
      </c>
    </row>
    <row r="360">
      <c r="A360" s="17">
        <f>IF('ESLESTIRME'!$A360="","",IF('ESLESTIRME'!$G360="tutar_farki",'ESLESTIRME'!$A360,""))</f>
        <v/>
      </c>
      <c r="B360" s="17">
        <f>IF($A360="","",IFERROR(SUMIF(tblMotor[A_Norm],$A360,tblMotor[NetKar]),0))</f>
        <v/>
      </c>
      <c r="C360" s="17">
        <f>IF($A360="","",IFERROR(SUMIF(tblMotor[A_Norm],$A360,tblMotor[BasabasFiyat]),0))</f>
        <v/>
      </c>
      <c r="D360" s="17">
        <f>IF($A360="","",IFERROR(INDEX(tblMotor[KararSatir],MATCH($A360,tblMotor[A_Norm],0)),""))</f>
        <v/>
      </c>
      <c r="E360" s="17">
        <f>IF($A360="","",IF($B360&lt;0,"YUKSEK","NORMAL"))</f>
        <v/>
      </c>
      <c r="F360" s="17">
        <f>IF($A360="","",_xlfn.TEXTJOIN(" ",TRUE,"Barkod",$A360,"karar",$D360,"net",TEXT($B360,"0.00"),"başabaş",TEXT($C360,"0.00"),"TL"))</f>
        <v/>
      </c>
    </row>
    <row r="361">
      <c r="A361" s="17">
        <f>IF('ESLESTIRME'!$A361="","",IF('ESLESTIRME'!$G361="tutar_farki",'ESLESTIRME'!$A361,""))</f>
        <v/>
      </c>
      <c r="B361" s="17">
        <f>IF($A361="","",IFERROR(SUMIF(tblMotor[A_Norm],$A361,tblMotor[NetKar]),0))</f>
        <v/>
      </c>
      <c r="C361" s="17">
        <f>IF($A361="","",IFERROR(SUMIF(tblMotor[A_Norm],$A361,tblMotor[BasabasFiyat]),0))</f>
        <v/>
      </c>
      <c r="D361" s="17">
        <f>IF($A361="","",IFERROR(INDEX(tblMotor[KararSatir],MATCH($A361,tblMotor[A_Norm],0)),""))</f>
        <v/>
      </c>
      <c r="E361" s="17">
        <f>IF($A361="","",IF($B361&lt;0,"YUKSEK","NORMAL"))</f>
        <v/>
      </c>
      <c r="F361" s="17">
        <f>IF($A361="","",_xlfn.TEXTJOIN(" ",TRUE,"Barkod",$A361,"karar",$D361,"net",TEXT($B361,"0.00"),"başabaş",TEXT($C361,"0.00"),"TL"))</f>
        <v/>
      </c>
    </row>
    <row r="362">
      <c r="A362" s="17">
        <f>IF('ESLESTIRME'!$A362="","",IF('ESLESTIRME'!$G362="tutar_farki",'ESLESTIRME'!$A362,""))</f>
        <v/>
      </c>
      <c r="B362" s="17">
        <f>IF($A362="","",IFERROR(SUMIF(tblMotor[A_Norm],$A362,tblMotor[NetKar]),0))</f>
        <v/>
      </c>
      <c r="C362" s="17">
        <f>IF($A362="","",IFERROR(SUMIF(tblMotor[A_Norm],$A362,tblMotor[BasabasFiyat]),0))</f>
        <v/>
      </c>
      <c r="D362" s="17">
        <f>IF($A362="","",IFERROR(INDEX(tblMotor[KararSatir],MATCH($A362,tblMotor[A_Norm],0)),""))</f>
        <v/>
      </c>
      <c r="E362" s="17">
        <f>IF($A362="","",IF($B362&lt;0,"YUKSEK","NORMAL"))</f>
        <v/>
      </c>
      <c r="F362" s="17">
        <f>IF($A362="","",_xlfn.TEXTJOIN(" ",TRUE,"Barkod",$A362,"karar",$D362,"net",TEXT($B362,"0.00"),"başabaş",TEXT($C362,"0.00"),"TL"))</f>
        <v/>
      </c>
    </row>
    <row r="363">
      <c r="A363" s="17">
        <f>IF('ESLESTIRME'!$A363="","",IF('ESLESTIRME'!$G363="tutar_farki",'ESLESTIRME'!$A363,""))</f>
        <v/>
      </c>
      <c r="B363" s="17">
        <f>IF($A363="","",IFERROR(SUMIF(tblMotor[A_Norm],$A363,tblMotor[NetKar]),0))</f>
        <v/>
      </c>
      <c r="C363" s="17">
        <f>IF($A363="","",IFERROR(SUMIF(tblMotor[A_Norm],$A363,tblMotor[BasabasFiyat]),0))</f>
        <v/>
      </c>
      <c r="D363" s="17">
        <f>IF($A363="","",IFERROR(INDEX(tblMotor[KararSatir],MATCH($A363,tblMotor[A_Norm],0)),""))</f>
        <v/>
      </c>
      <c r="E363" s="17">
        <f>IF($A363="","",IF($B363&lt;0,"YUKSEK","NORMAL"))</f>
        <v/>
      </c>
      <c r="F363" s="17">
        <f>IF($A363="","",_xlfn.TEXTJOIN(" ",TRUE,"Barkod",$A363,"karar",$D363,"net",TEXT($B363,"0.00"),"başabaş",TEXT($C363,"0.00"),"TL"))</f>
        <v/>
      </c>
    </row>
    <row r="364">
      <c r="A364" s="17">
        <f>IF('ESLESTIRME'!$A364="","",IF('ESLESTIRME'!$G364="tutar_farki",'ESLESTIRME'!$A364,""))</f>
        <v/>
      </c>
      <c r="B364" s="17">
        <f>IF($A364="","",IFERROR(SUMIF(tblMotor[A_Norm],$A364,tblMotor[NetKar]),0))</f>
        <v/>
      </c>
      <c r="C364" s="17">
        <f>IF($A364="","",IFERROR(SUMIF(tblMotor[A_Norm],$A364,tblMotor[BasabasFiyat]),0))</f>
        <v/>
      </c>
      <c r="D364" s="17">
        <f>IF($A364="","",IFERROR(INDEX(tblMotor[KararSatir],MATCH($A364,tblMotor[A_Norm],0)),""))</f>
        <v/>
      </c>
      <c r="E364" s="17">
        <f>IF($A364="","",IF($B364&lt;0,"YUKSEK","NORMAL"))</f>
        <v/>
      </c>
      <c r="F364" s="17">
        <f>IF($A364="","",_xlfn.TEXTJOIN(" ",TRUE,"Barkod",$A364,"karar",$D364,"net",TEXT($B364,"0.00"),"başabaş",TEXT($C364,"0.00"),"TL"))</f>
        <v/>
      </c>
    </row>
    <row r="365">
      <c r="A365" s="17">
        <f>IF('ESLESTIRME'!$A365="","",IF('ESLESTIRME'!$G365="tutar_farki",'ESLESTIRME'!$A365,""))</f>
        <v/>
      </c>
      <c r="B365" s="17">
        <f>IF($A365="","",IFERROR(SUMIF(tblMotor[A_Norm],$A365,tblMotor[NetKar]),0))</f>
        <v/>
      </c>
      <c r="C365" s="17">
        <f>IF($A365="","",IFERROR(SUMIF(tblMotor[A_Norm],$A365,tblMotor[BasabasFiyat]),0))</f>
        <v/>
      </c>
      <c r="D365" s="17">
        <f>IF($A365="","",IFERROR(INDEX(tblMotor[KararSatir],MATCH($A365,tblMotor[A_Norm],0)),""))</f>
        <v/>
      </c>
      <c r="E365" s="17">
        <f>IF($A365="","",IF($B365&lt;0,"YUKSEK","NORMAL"))</f>
        <v/>
      </c>
      <c r="F365" s="17">
        <f>IF($A365="","",_xlfn.TEXTJOIN(" ",TRUE,"Barkod",$A365,"karar",$D365,"net",TEXT($B365,"0.00"),"başabaş",TEXT($C365,"0.00"),"TL"))</f>
        <v/>
      </c>
    </row>
    <row r="366">
      <c r="A366" s="17">
        <f>IF('ESLESTIRME'!$A366="","",IF('ESLESTIRME'!$G366="tutar_farki",'ESLESTIRME'!$A366,""))</f>
        <v/>
      </c>
      <c r="B366" s="17">
        <f>IF($A366="","",IFERROR(SUMIF(tblMotor[A_Norm],$A366,tblMotor[NetKar]),0))</f>
        <v/>
      </c>
      <c r="C366" s="17">
        <f>IF($A366="","",IFERROR(SUMIF(tblMotor[A_Norm],$A366,tblMotor[BasabasFiyat]),0))</f>
        <v/>
      </c>
      <c r="D366" s="17">
        <f>IF($A366="","",IFERROR(INDEX(tblMotor[KararSatir],MATCH($A366,tblMotor[A_Norm],0)),""))</f>
        <v/>
      </c>
      <c r="E366" s="17">
        <f>IF($A366="","",IF($B366&lt;0,"YUKSEK","NORMAL"))</f>
        <v/>
      </c>
      <c r="F366" s="17">
        <f>IF($A366="","",_xlfn.TEXTJOIN(" ",TRUE,"Barkod",$A366,"karar",$D366,"net",TEXT($B366,"0.00"),"başabaş",TEXT($C366,"0.00"),"TL"))</f>
        <v/>
      </c>
    </row>
    <row r="367">
      <c r="A367" s="17">
        <f>IF('ESLESTIRME'!$A367="","",IF('ESLESTIRME'!$G367="tutar_farki",'ESLESTIRME'!$A367,""))</f>
        <v/>
      </c>
      <c r="B367" s="17">
        <f>IF($A367="","",IFERROR(SUMIF(tblMotor[A_Norm],$A367,tblMotor[NetKar]),0))</f>
        <v/>
      </c>
      <c r="C367" s="17">
        <f>IF($A367="","",IFERROR(SUMIF(tblMotor[A_Norm],$A367,tblMotor[BasabasFiyat]),0))</f>
        <v/>
      </c>
      <c r="D367" s="17">
        <f>IF($A367="","",IFERROR(INDEX(tblMotor[KararSatir],MATCH($A367,tblMotor[A_Norm],0)),""))</f>
        <v/>
      </c>
      <c r="E367" s="17">
        <f>IF($A367="","",IF($B367&lt;0,"YUKSEK","NORMAL"))</f>
        <v/>
      </c>
      <c r="F367" s="17">
        <f>IF($A367="","",_xlfn.TEXTJOIN(" ",TRUE,"Barkod",$A367,"karar",$D367,"net",TEXT($B367,"0.00"),"başabaş",TEXT($C367,"0.00"),"TL"))</f>
        <v/>
      </c>
    </row>
    <row r="368">
      <c r="A368" s="17">
        <f>IF('ESLESTIRME'!$A368="","",IF('ESLESTIRME'!$G368="tutar_farki",'ESLESTIRME'!$A368,""))</f>
        <v/>
      </c>
      <c r="B368" s="17">
        <f>IF($A368="","",IFERROR(SUMIF(tblMotor[A_Norm],$A368,tblMotor[NetKar]),0))</f>
        <v/>
      </c>
      <c r="C368" s="17">
        <f>IF($A368="","",IFERROR(SUMIF(tblMotor[A_Norm],$A368,tblMotor[BasabasFiyat]),0))</f>
        <v/>
      </c>
      <c r="D368" s="17">
        <f>IF($A368="","",IFERROR(INDEX(tblMotor[KararSatir],MATCH($A368,tblMotor[A_Norm],0)),""))</f>
        <v/>
      </c>
      <c r="E368" s="17">
        <f>IF($A368="","",IF($B368&lt;0,"YUKSEK","NORMAL"))</f>
        <v/>
      </c>
      <c r="F368" s="17">
        <f>IF($A368="","",_xlfn.TEXTJOIN(" ",TRUE,"Barkod",$A368,"karar",$D368,"net",TEXT($B368,"0.00"),"başabaş",TEXT($C368,"0.00"),"TL"))</f>
        <v/>
      </c>
    </row>
    <row r="369">
      <c r="A369" s="17">
        <f>IF('ESLESTIRME'!$A369="","",IF('ESLESTIRME'!$G369="tutar_farki",'ESLESTIRME'!$A369,""))</f>
        <v/>
      </c>
      <c r="B369" s="17">
        <f>IF($A369="","",IFERROR(SUMIF(tblMotor[A_Norm],$A369,tblMotor[NetKar]),0))</f>
        <v/>
      </c>
      <c r="C369" s="17">
        <f>IF($A369="","",IFERROR(SUMIF(tblMotor[A_Norm],$A369,tblMotor[BasabasFiyat]),0))</f>
        <v/>
      </c>
      <c r="D369" s="17">
        <f>IF($A369="","",IFERROR(INDEX(tblMotor[KararSatir],MATCH($A369,tblMotor[A_Norm],0)),""))</f>
        <v/>
      </c>
      <c r="E369" s="17">
        <f>IF($A369="","",IF($B369&lt;0,"YUKSEK","NORMAL"))</f>
        <v/>
      </c>
      <c r="F369" s="17">
        <f>IF($A369="","",_xlfn.TEXTJOIN(" ",TRUE,"Barkod",$A369,"karar",$D369,"net",TEXT($B369,"0.00"),"başabaş",TEXT($C369,"0.00"),"TL"))</f>
        <v/>
      </c>
    </row>
    <row r="370">
      <c r="A370" s="17">
        <f>IF('ESLESTIRME'!$A370="","",IF('ESLESTIRME'!$G370="tutar_farki",'ESLESTIRME'!$A370,""))</f>
        <v/>
      </c>
      <c r="B370" s="17">
        <f>IF($A370="","",IFERROR(SUMIF(tblMotor[A_Norm],$A370,tblMotor[NetKar]),0))</f>
        <v/>
      </c>
      <c r="C370" s="17">
        <f>IF($A370="","",IFERROR(SUMIF(tblMotor[A_Norm],$A370,tblMotor[BasabasFiyat]),0))</f>
        <v/>
      </c>
      <c r="D370" s="17">
        <f>IF($A370="","",IFERROR(INDEX(tblMotor[KararSatir],MATCH($A370,tblMotor[A_Norm],0)),""))</f>
        <v/>
      </c>
      <c r="E370" s="17">
        <f>IF($A370="","",IF($B370&lt;0,"YUKSEK","NORMAL"))</f>
        <v/>
      </c>
      <c r="F370" s="17">
        <f>IF($A370="","",_xlfn.TEXTJOIN(" ",TRUE,"Barkod",$A370,"karar",$D370,"net",TEXT($B370,"0.00"),"başabaş",TEXT($C370,"0.00"),"TL"))</f>
        <v/>
      </c>
    </row>
    <row r="371">
      <c r="A371" s="17">
        <f>IF('ESLESTIRME'!$A371="","",IF('ESLESTIRME'!$G371="tutar_farki",'ESLESTIRME'!$A371,""))</f>
        <v/>
      </c>
      <c r="B371" s="17">
        <f>IF($A371="","",IFERROR(SUMIF(tblMotor[A_Norm],$A371,tblMotor[NetKar]),0))</f>
        <v/>
      </c>
      <c r="C371" s="17">
        <f>IF($A371="","",IFERROR(SUMIF(tblMotor[A_Norm],$A371,tblMotor[BasabasFiyat]),0))</f>
        <v/>
      </c>
      <c r="D371" s="17">
        <f>IF($A371="","",IFERROR(INDEX(tblMotor[KararSatir],MATCH($A371,tblMotor[A_Norm],0)),""))</f>
        <v/>
      </c>
      <c r="E371" s="17">
        <f>IF($A371="","",IF($B371&lt;0,"YUKSEK","NORMAL"))</f>
        <v/>
      </c>
      <c r="F371" s="17">
        <f>IF($A371="","",_xlfn.TEXTJOIN(" ",TRUE,"Barkod",$A371,"karar",$D371,"net",TEXT($B371,"0.00"),"başabaş",TEXT($C371,"0.00"),"TL"))</f>
        <v/>
      </c>
    </row>
    <row r="372">
      <c r="A372" s="17">
        <f>IF('ESLESTIRME'!$A372="","",IF('ESLESTIRME'!$G372="tutar_farki",'ESLESTIRME'!$A372,""))</f>
        <v/>
      </c>
      <c r="B372" s="17">
        <f>IF($A372="","",IFERROR(SUMIF(tblMotor[A_Norm],$A372,tblMotor[NetKar]),0))</f>
        <v/>
      </c>
      <c r="C372" s="17">
        <f>IF($A372="","",IFERROR(SUMIF(tblMotor[A_Norm],$A372,tblMotor[BasabasFiyat]),0))</f>
        <v/>
      </c>
      <c r="D372" s="17">
        <f>IF($A372="","",IFERROR(INDEX(tblMotor[KararSatir],MATCH($A372,tblMotor[A_Norm],0)),""))</f>
        <v/>
      </c>
      <c r="E372" s="17">
        <f>IF($A372="","",IF($B372&lt;0,"YUKSEK","NORMAL"))</f>
        <v/>
      </c>
      <c r="F372" s="17">
        <f>IF($A372="","",_xlfn.TEXTJOIN(" ",TRUE,"Barkod",$A372,"karar",$D372,"net",TEXT($B372,"0.00"),"başabaş",TEXT($C372,"0.00"),"TL"))</f>
        <v/>
      </c>
    </row>
    <row r="373">
      <c r="A373" s="17">
        <f>IF('ESLESTIRME'!$A373="","",IF('ESLESTIRME'!$G373="tutar_farki",'ESLESTIRME'!$A373,""))</f>
        <v/>
      </c>
      <c r="B373" s="17">
        <f>IF($A373="","",IFERROR(SUMIF(tblMotor[A_Norm],$A373,tblMotor[NetKar]),0))</f>
        <v/>
      </c>
      <c r="C373" s="17">
        <f>IF($A373="","",IFERROR(SUMIF(tblMotor[A_Norm],$A373,tblMotor[BasabasFiyat]),0))</f>
        <v/>
      </c>
      <c r="D373" s="17">
        <f>IF($A373="","",IFERROR(INDEX(tblMotor[KararSatir],MATCH($A373,tblMotor[A_Norm],0)),""))</f>
        <v/>
      </c>
      <c r="E373" s="17">
        <f>IF($A373="","",IF($B373&lt;0,"YUKSEK","NORMAL"))</f>
        <v/>
      </c>
      <c r="F373" s="17">
        <f>IF($A373="","",_xlfn.TEXTJOIN(" ",TRUE,"Barkod",$A373,"karar",$D373,"net",TEXT($B373,"0.00"),"başabaş",TEXT($C373,"0.00"),"TL"))</f>
        <v/>
      </c>
    </row>
    <row r="374">
      <c r="A374" s="17">
        <f>IF('ESLESTIRME'!$A374="","",IF('ESLESTIRME'!$G374="tutar_farki",'ESLESTIRME'!$A374,""))</f>
        <v/>
      </c>
      <c r="B374" s="17">
        <f>IF($A374="","",IFERROR(SUMIF(tblMotor[A_Norm],$A374,tblMotor[NetKar]),0))</f>
        <v/>
      </c>
      <c r="C374" s="17">
        <f>IF($A374="","",IFERROR(SUMIF(tblMotor[A_Norm],$A374,tblMotor[BasabasFiyat]),0))</f>
        <v/>
      </c>
      <c r="D374" s="17">
        <f>IF($A374="","",IFERROR(INDEX(tblMotor[KararSatir],MATCH($A374,tblMotor[A_Norm],0)),""))</f>
        <v/>
      </c>
      <c r="E374" s="17">
        <f>IF($A374="","",IF($B374&lt;0,"YUKSEK","NORMAL"))</f>
        <v/>
      </c>
      <c r="F374" s="17">
        <f>IF($A374="","",_xlfn.TEXTJOIN(" ",TRUE,"Barkod",$A374,"karar",$D374,"net",TEXT($B374,"0.00"),"başabaş",TEXT($C374,"0.00"),"TL"))</f>
        <v/>
      </c>
    </row>
    <row r="375">
      <c r="A375" s="17">
        <f>IF('ESLESTIRME'!$A375="","",IF('ESLESTIRME'!$G375="tutar_farki",'ESLESTIRME'!$A375,""))</f>
        <v/>
      </c>
      <c r="B375" s="17">
        <f>IF($A375="","",IFERROR(SUMIF(tblMotor[A_Norm],$A375,tblMotor[NetKar]),0))</f>
        <v/>
      </c>
      <c r="C375" s="17">
        <f>IF($A375="","",IFERROR(SUMIF(tblMotor[A_Norm],$A375,tblMotor[BasabasFiyat]),0))</f>
        <v/>
      </c>
      <c r="D375" s="17">
        <f>IF($A375="","",IFERROR(INDEX(tblMotor[KararSatir],MATCH($A375,tblMotor[A_Norm],0)),""))</f>
        <v/>
      </c>
      <c r="E375" s="17">
        <f>IF($A375="","",IF($B375&lt;0,"YUKSEK","NORMAL"))</f>
        <v/>
      </c>
      <c r="F375" s="17">
        <f>IF($A375="","",_xlfn.TEXTJOIN(" ",TRUE,"Barkod",$A375,"karar",$D375,"net",TEXT($B375,"0.00"),"başabaş",TEXT($C375,"0.00"),"TL"))</f>
        <v/>
      </c>
    </row>
    <row r="376">
      <c r="A376" s="17">
        <f>IF('ESLESTIRME'!$A376="","",IF('ESLESTIRME'!$G376="tutar_farki",'ESLESTIRME'!$A376,""))</f>
        <v/>
      </c>
      <c r="B376" s="17">
        <f>IF($A376="","",IFERROR(SUMIF(tblMotor[A_Norm],$A376,tblMotor[NetKar]),0))</f>
        <v/>
      </c>
      <c r="C376" s="17">
        <f>IF($A376="","",IFERROR(SUMIF(tblMotor[A_Norm],$A376,tblMotor[BasabasFiyat]),0))</f>
        <v/>
      </c>
      <c r="D376" s="17">
        <f>IF($A376="","",IFERROR(INDEX(tblMotor[KararSatir],MATCH($A376,tblMotor[A_Norm],0)),""))</f>
        <v/>
      </c>
      <c r="E376" s="17">
        <f>IF($A376="","",IF($B376&lt;0,"YUKSEK","NORMAL"))</f>
        <v/>
      </c>
      <c r="F376" s="17">
        <f>IF($A376="","",_xlfn.TEXTJOIN(" ",TRUE,"Barkod",$A376,"karar",$D376,"net",TEXT($B376,"0.00"),"başabaş",TEXT($C376,"0.00"),"TL"))</f>
        <v/>
      </c>
    </row>
    <row r="377">
      <c r="A377" s="17">
        <f>IF('ESLESTIRME'!$A377="","",IF('ESLESTIRME'!$G377="tutar_farki",'ESLESTIRME'!$A377,""))</f>
        <v/>
      </c>
      <c r="B377" s="17">
        <f>IF($A377="","",IFERROR(SUMIF(tblMotor[A_Norm],$A377,tblMotor[NetKar]),0))</f>
        <v/>
      </c>
      <c r="C377" s="17">
        <f>IF($A377="","",IFERROR(SUMIF(tblMotor[A_Norm],$A377,tblMotor[BasabasFiyat]),0))</f>
        <v/>
      </c>
      <c r="D377" s="17">
        <f>IF($A377="","",IFERROR(INDEX(tblMotor[KararSatir],MATCH($A377,tblMotor[A_Norm],0)),""))</f>
        <v/>
      </c>
      <c r="E377" s="17">
        <f>IF($A377="","",IF($B377&lt;0,"YUKSEK","NORMAL"))</f>
        <v/>
      </c>
      <c r="F377" s="17">
        <f>IF($A377="","",_xlfn.TEXTJOIN(" ",TRUE,"Barkod",$A377,"karar",$D377,"net",TEXT($B377,"0.00"),"başabaş",TEXT($C377,"0.00"),"TL"))</f>
        <v/>
      </c>
    </row>
    <row r="378">
      <c r="A378" s="17">
        <f>IF('ESLESTIRME'!$A378="","",IF('ESLESTIRME'!$G378="tutar_farki",'ESLESTIRME'!$A378,""))</f>
        <v/>
      </c>
      <c r="B378" s="17">
        <f>IF($A378="","",IFERROR(SUMIF(tblMotor[A_Norm],$A378,tblMotor[NetKar]),0))</f>
        <v/>
      </c>
      <c r="C378" s="17">
        <f>IF($A378="","",IFERROR(SUMIF(tblMotor[A_Norm],$A378,tblMotor[BasabasFiyat]),0))</f>
        <v/>
      </c>
      <c r="D378" s="17">
        <f>IF($A378="","",IFERROR(INDEX(tblMotor[KararSatir],MATCH($A378,tblMotor[A_Norm],0)),""))</f>
        <v/>
      </c>
      <c r="E378" s="17">
        <f>IF($A378="","",IF($B378&lt;0,"YUKSEK","NORMAL"))</f>
        <v/>
      </c>
      <c r="F378" s="17">
        <f>IF($A378="","",_xlfn.TEXTJOIN(" ",TRUE,"Barkod",$A378,"karar",$D378,"net",TEXT($B378,"0.00"),"başabaş",TEXT($C378,"0.00"),"TL"))</f>
        <v/>
      </c>
    </row>
    <row r="379">
      <c r="A379" s="17">
        <f>IF('ESLESTIRME'!$A379="","",IF('ESLESTIRME'!$G379="tutar_farki",'ESLESTIRME'!$A379,""))</f>
        <v/>
      </c>
      <c r="B379" s="17">
        <f>IF($A379="","",IFERROR(SUMIF(tblMotor[A_Norm],$A379,tblMotor[NetKar]),0))</f>
        <v/>
      </c>
      <c r="C379" s="17">
        <f>IF($A379="","",IFERROR(SUMIF(tblMotor[A_Norm],$A379,tblMotor[BasabasFiyat]),0))</f>
        <v/>
      </c>
      <c r="D379" s="17">
        <f>IF($A379="","",IFERROR(INDEX(tblMotor[KararSatir],MATCH($A379,tblMotor[A_Norm],0)),""))</f>
        <v/>
      </c>
      <c r="E379" s="17">
        <f>IF($A379="","",IF($B379&lt;0,"YUKSEK","NORMAL"))</f>
        <v/>
      </c>
      <c r="F379" s="17">
        <f>IF($A379="","",_xlfn.TEXTJOIN(" ",TRUE,"Barkod",$A379,"karar",$D379,"net",TEXT($B379,"0.00"),"başabaş",TEXT($C379,"0.00"),"TL"))</f>
        <v/>
      </c>
    </row>
    <row r="380">
      <c r="A380" s="17">
        <f>IF('ESLESTIRME'!$A380="","",IF('ESLESTIRME'!$G380="tutar_farki",'ESLESTIRME'!$A380,""))</f>
        <v/>
      </c>
      <c r="B380" s="17">
        <f>IF($A380="","",IFERROR(SUMIF(tblMotor[A_Norm],$A380,tblMotor[NetKar]),0))</f>
        <v/>
      </c>
      <c r="C380" s="17">
        <f>IF($A380="","",IFERROR(SUMIF(tblMotor[A_Norm],$A380,tblMotor[BasabasFiyat]),0))</f>
        <v/>
      </c>
      <c r="D380" s="17">
        <f>IF($A380="","",IFERROR(INDEX(tblMotor[KararSatir],MATCH($A380,tblMotor[A_Norm],0)),""))</f>
        <v/>
      </c>
      <c r="E380" s="17">
        <f>IF($A380="","",IF($B380&lt;0,"YUKSEK","NORMAL"))</f>
        <v/>
      </c>
      <c r="F380" s="17">
        <f>IF($A380="","",_xlfn.TEXTJOIN(" ",TRUE,"Barkod",$A380,"karar",$D380,"net",TEXT($B380,"0.00"),"başabaş",TEXT($C380,"0.00"),"TL"))</f>
        <v/>
      </c>
    </row>
    <row r="381">
      <c r="A381" s="17">
        <f>IF('ESLESTIRME'!$A381="","",IF('ESLESTIRME'!$G381="tutar_farki",'ESLESTIRME'!$A381,""))</f>
        <v/>
      </c>
      <c r="B381" s="17">
        <f>IF($A381="","",IFERROR(SUMIF(tblMotor[A_Norm],$A381,tblMotor[NetKar]),0))</f>
        <v/>
      </c>
      <c r="C381" s="17">
        <f>IF($A381="","",IFERROR(SUMIF(tblMotor[A_Norm],$A381,tblMotor[BasabasFiyat]),0))</f>
        <v/>
      </c>
      <c r="D381" s="17">
        <f>IF($A381="","",IFERROR(INDEX(tblMotor[KararSatir],MATCH($A381,tblMotor[A_Norm],0)),""))</f>
        <v/>
      </c>
      <c r="E381" s="17">
        <f>IF($A381="","",IF($B381&lt;0,"YUKSEK","NORMAL"))</f>
        <v/>
      </c>
      <c r="F381" s="17">
        <f>IF($A381="","",_xlfn.TEXTJOIN(" ",TRUE,"Barkod",$A381,"karar",$D381,"net",TEXT($B381,"0.00"),"başabaş",TEXT($C381,"0.00"),"TL"))</f>
        <v/>
      </c>
    </row>
    <row r="382">
      <c r="A382" s="17">
        <f>IF('ESLESTIRME'!$A382="","",IF('ESLESTIRME'!$G382="tutar_farki",'ESLESTIRME'!$A382,""))</f>
        <v/>
      </c>
      <c r="B382" s="17">
        <f>IF($A382="","",IFERROR(SUMIF(tblMotor[A_Norm],$A382,tblMotor[NetKar]),0))</f>
        <v/>
      </c>
      <c r="C382" s="17">
        <f>IF($A382="","",IFERROR(SUMIF(tblMotor[A_Norm],$A382,tblMotor[BasabasFiyat]),0))</f>
        <v/>
      </c>
      <c r="D382" s="17">
        <f>IF($A382="","",IFERROR(INDEX(tblMotor[KararSatir],MATCH($A382,tblMotor[A_Norm],0)),""))</f>
        <v/>
      </c>
      <c r="E382" s="17">
        <f>IF($A382="","",IF($B382&lt;0,"YUKSEK","NORMAL"))</f>
        <v/>
      </c>
      <c r="F382" s="17">
        <f>IF($A382="","",_xlfn.TEXTJOIN(" ",TRUE,"Barkod",$A382,"karar",$D382,"net",TEXT($B382,"0.00"),"başabaş",TEXT($C382,"0.00"),"TL"))</f>
        <v/>
      </c>
    </row>
    <row r="383">
      <c r="A383" s="17">
        <f>IF('ESLESTIRME'!$A383="","",IF('ESLESTIRME'!$G383="tutar_farki",'ESLESTIRME'!$A383,""))</f>
        <v/>
      </c>
      <c r="B383" s="17">
        <f>IF($A383="","",IFERROR(SUMIF(tblMotor[A_Norm],$A383,tblMotor[NetKar]),0))</f>
        <v/>
      </c>
      <c r="C383" s="17">
        <f>IF($A383="","",IFERROR(SUMIF(tblMotor[A_Norm],$A383,tblMotor[BasabasFiyat]),0))</f>
        <v/>
      </c>
      <c r="D383" s="17">
        <f>IF($A383="","",IFERROR(INDEX(tblMotor[KararSatir],MATCH($A383,tblMotor[A_Norm],0)),""))</f>
        <v/>
      </c>
      <c r="E383" s="17">
        <f>IF($A383="","",IF($B383&lt;0,"YUKSEK","NORMAL"))</f>
        <v/>
      </c>
      <c r="F383" s="17">
        <f>IF($A383="","",_xlfn.TEXTJOIN(" ",TRUE,"Barkod",$A383,"karar",$D383,"net",TEXT($B383,"0.00"),"başabaş",TEXT($C383,"0.00"),"TL"))</f>
        <v/>
      </c>
    </row>
    <row r="384">
      <c r="A384" s="17">
        <f>IF('ESLESTIRME'!$A384="","",IF('ESLESTIRME'!$G384="tutar_farki",'ESLESTIRME'!$A384,""))</f>
        <v/>
      </c>
      <c r="B384" s="17">
        <f>IF($A384="","",IFERROR(SUMIF(tblMotor[A_Norm],$A384,tblMotor[NetKar]),0))</f>
        <v/>
      </c>
      <c r="C384" s="17">
        <f>IF($A384="","",IFERROR(SUMIF(tblMotor[A_Norm],$A384,tblMotor[BasabasFiyat]),0))</f>
        <v/>
      </c>
      <c r="D384" s="17">
        <f>IF($A384="","",IFERROR(INDEX(tblMotor[KararSatir],MATCH($A384,tblMotor[A_Norm],0)),""))</f>
        <v/>
      </c>
      <c r="E384" s="17">
        <f>IF($A384="","",IF($B384&lt;0,"YUKSEK","NORMAL"))</f>
        <v/>
      </c>
      <c r="F384" s="17">
        <f>IF($A384="","",_xlfn.TEXTJOIN(" ",TRUE,"Barkod",$A384,"karar",$D384,"net",TEXT($B384,"0.00"),"başabaş",TEXT($C384,"0.00"),"TL"))</f>
        <v/>
      </c>
    </row>
    <row r="385">
      <c r="A385" s="17">
        <f>IF('ESLESTIRME'!$A385="","",IF('ESLESTIRME'!$G385="tutar_farki",'ESLESTIRME'!$A385,""))</f>
        <v/>
      </c>
      <c r="B385" s="17">
        <f>IF($A385="","",IFERROR(SUMIF(tblMotor[A_Norm],$A385,tblMotor[NetKar]),0))</f>
        <v/>
      </c>
      <c r="C385" s="17">
        <f>IF($A385="","",IFERROR(SUMIF(tblMotor[A_Norm],$A385,tblMotor[BasabasFiyat]),0))</f>
        <v/>
      </c>
      <c r="D385" s="17">
        <f>IF($A385="","",IFERROR(INDEX(tblMotor[KararSatir],MATCH($A385,tblMotor[A_Norm],0)),""))</f>
        <v/>
      </c>
      <c r="E385" s="17">
        <f>IF($A385="","",IF($B385&lt;0,"YUKSEK","NORMAL"))</f>
        <v/>
      </c>
      <c r="F385" s="17">
        <f>IF($A385="","",_xlfn.TEXTJOIN(" ",TRUE,"Barkod",$A385,"karar",$D385,"net",TEXT($B385,"0.00"),"başabaş",TEXT($C385,"0.00"),"TL"))</f>
        <v/>
      </c>
    </row>
    <row r="386">
      <c r="A386" s="17">
        <f>IF('ESLESTIRME'!$A386="","",IF('ESLESTIRME'!$G386="tutar_farki",'ESLESTIRME'!$A386,""))</f>
        <v/>
      </c>
      <c r="B386" s="17">
        <f>IF($A386="","",IFERROR(SUMIF(tblMotor[A_Norm],$A386,tblMotor[NetKar]),0))</f>
        <v/>
      </c>
      <c r="C386" s="17">
        <f>IF($A386="","",IFERROR(SUMIF(tblMotor[A_Norm],$A386,tblMotor[BasabasFiyat]),0))</f>
        <v/>
      </c>
      <c r="D386" s="17">
        <f>IF($A386="","",IFERROR(INDEX(tblMotor[KararSatir],MATCH($A386,tblMotor[A_Norm],0)),""))</f>
        <v/>
      </c>
      <c r="E386" s="17">
        <f>IF($A386="","",IF($B386&lt;0,"YUKSEK","NORMAL"))</f>
        <v/>
      </c>
      <c r="F386" s="17">
        <f>IF($A386="","",_xlfn.TEXTJOIN(" ",TRUE,"Barkod",$A386,"karar",$D386,"net",TEXT($B386,"0.00"),"başabaş",TEXT($C386,"0.00"),"TL"))</f>
        <v/>
      </c>
    </row>
    <row r="387">
      <c r="A387" s="17">
        <f>IF('ESLESTIRME'!$A387="","",IF('ESLESTIRME'!$G387="tutar_farki",'ESLESTIRME'!$A387,""))</f>
        <v/>
      </c>
      <c r="B387" s="17">
        <f>IF($A387="","",IFERROR(SUMIF(tblMotor[A_Norm],$A387,tblMotor[NetKar]),0))</f>
        <v/>
      </c>
      <c r="C387" s="17">
        <f>IF($A387="","",IFERROR(SUMIF(tblMotor[A_Norm],$A387,tblMotor[BasabasFiyat]),0))</f>
        <v/>
      </c>
      <c r="D387" s="17">
        <f>IF($A387="","",IFERROR(INDEX(tblMotor[KararSatir],MATCH($A387,tblMotor[A_Norm],0)),""))</f>
        <v/>
      </c>
      <c r="E387" s="17">
        <f>IF($A387="","",IF($B387&lt;0,"YUKSEK","NORMAL"))</f>
        <v/>
      </c>
      <c r="F387" s="17">
        <f>IF($A387="","",_xlfn.TEXTJOIN(" ",TRUE,"Barkod",$A387,"karar",$D387,"net",TEXT($B387,"0.00"),"başabaş",TEXT($C387,"0.00"),"TL"))</f>
        <v/>
      </c>
    </row>
    <row r="388">
      <c r="A388" s="17">
        <f>IF('ESLESTIRME'!$A388="","",IF('ESLESTIRME'!$G388="tutar_farki",'ESLESTIRME'!$A388,""))</f>
        <v/>
      </c>
      <c r="B388" s="17">
        <f>IF($A388="","",IFERROR(SUMIF(tblMotor[A_Norm],$A388,tblMotor[NetKar]),0))</f>
        <v/>
      </c>
      <c r="C388" s="17">
        <f>IF($A388="","",IFERROR(SUMIF(tblMotor[A_Norm],$A388,tblMotor[BasabasFiyat]),0))</f>
        <v/>
      </c>
      <c r="D388" s="17">
        <f>IF($A388="","",IFERROR(INDEX(tblMotor[KararSatir],MATCH($A388,tblMotor[A_Norm],0)),""))</f>
        <v/>
      </c>
      <c r="E388" s="17">
        <f>IF($A388="","",IF($B388&lt;0,"YUKSEK","NORMAL"))</f>
        <v/>
      </c>
      <c r="F388" s="17">
        <f>IF($A388="","",_xlfn.TEXTJOIN(" ",TRUE,"Barkod",$A388,"karar",$D388,"net",TEXT($B388,"0.00"),"başabaş",TEXT($C388,"0.00"),"TL"))</f>
        <v/>
      </c>
    </row>
    <row r="389">
      <c r="A389" s="17">
        <f>IF('ESLESTIRME'!$A389="","",IF('ESLESTIRME'!$G389="tutar_farki",'ESLESTIRME'!$A389,""))</f>
        <v/>
      </c>
      <c r="B389" s="17">
        <f>IF($A389="","",IFERROR(SUMIF(tblMotor[A_Norm],$A389,tblMotor[NetKar]),0))</f>
        <v/>
      </c>
      <c r="C389" s="17">
        <f>IF($A389="","",IFERROR(SUMIF(tblMotor[A_Norm],$A389,tblMotor[BasabasFiyat]),0))</f>
        <v/>
      </c>
      <c r="D389" s="17">
        <f>IF($A389="","",IFERROR(INDEX(tblMotor[KararSatir],MATCH($A389,tblMotor[A_Norm],0)),""))</f>
        <v/>
      </c>
      <c r="E389" s="17">
        <f>IF($A389="","",IF($B389&lt;0,"YUKSEK","NORMAL"))</f>
        <v/>
      </c>
      <c r="F389" s="17">
        <f>IF($A389="","",_xlfn.TEXTJOIN(" ",TRUE,"Barkod",$A389,"karar",$D389,"net",TEXT($B389,"0.00"),"başabaş",TEXT($C389,"0.00"),"TL"))</f>
        <v/>
      </c>
    </row>
    <row r="390">
      <c r="A390" s="17">
        <f>IF('ESLESTIRME'!$A390="","",IF('ESLESTIRME'!$G390="tutar_farki",'ESLESTIRME'!$A390,""))</f>
        <v/>
      </c>
      <c r="B390" s="17">
        <f>IF($A390="","",IFERROR(SUMIF(tblMotor[A_Norm],$A390,tblMotor[NetKar]),0))</f>
        <v/>
      </c>
      <c r="C390" s="17">
        <f>IF($A390="","",IFERROR(SUMIF(tblMotor[A_Norm],$A390,tblMotor[BasabasFiyat]),0))</f>
        <v/>
      </c>
      <c r="D390" s="17">
        <f>IF($A390="","",IFERROR(INDEX(tblMotor[KararSatir],MATCH($A390,tblMotor[A_Norm],0)),""))</f>
        <v/>
      </c>
      <c r="E390" s="17">
        <f>IF($A390="","",IF($B390&lt;0,"YUKSEK","NORMAL"))</f>
        <v/>
      </c>
      <c r="F390" s="17">
        <f>IF($A390="","",_xlfn.TEXTJOIN(" ",TRUE,"Barkod",$A390,"karar",$D390,"net",TEXT($B390,"0.00"),"başabaş",TEXT($C390,"0.00"),"TL"))</f>
        <v/>
      </c>
    </row>
    <row r="391">
      <c r="A391" s="17">
        <f>IF('ESLESTIRME'!$A391="","",IF('ESLESTIRME'!$G391="tutar_farki",'ESLESTIRME'!$A391,""))</f>
        <v/>
      </c>
      <c r="B391" s="17">
        <f>IF($A391="","",IFERROR(SUMIF(tblMotor[A_Norm],$A391,tblMotor[NetKar]),0))</f>
        <v/>
      </c>
      <c r="C391" s="17">
        <f>IF($A391="","",IFERROR(SUMIF(tblMotor[A_Norm],$A391,tblMotor[BasabasFiyat]),0))</f>
        <v/>
      </c>
      <c r="D391" s="17">
        <f>IF($A391="","",IFERROR(INDEX(tblMotor[KararSatir],MATCH($A391,tblMotor[A_Norm],0)),""))</f>
        <v/>
      </c>
      <c r="E391" s="17">
        <f>IF($A391="","",IF($B391&lt;0,"YUKSEK","NORMAL"))</f>
        <v/>
      </c>
      <c r="F391" s="17">
        <f>IF($A391="","",_xlfn.TEXTJOIN(" ",TRUE,"Barkod",$A391,"karar",$D391,"net",TEXT($B391,"0.00"),"başabaş",TEXT($C391,"0.00"),"TL"))</f>
        <v/>
      </c>
    </row>
    <row r="392">
      <c r="A392" s="17">
        <f>IF('ESLESTIRME'!$A392="","",IF('ESLESTIRME'!$G392="tutar_farki",'ESLESTIRME'!$A392,""))</f>
        <v/>
      </c>
      <c r="B392" s="17">
        <f>IF($A392="","",IFERROR(SUMIF(tblMotor[A_Norm],$A392,tblMotor[NetKar]),0))</f>
        <v/>
      </c>
      <c r="C392" s="17">
        <f>IF($A392="","",IFERROR(SUMIF(tblMotor[A_Norm],$A392,tblMotor[BasabasFiyat]),0))</f>
        <v/>
      </c>
      <c r="D392" s="17">
        <f>IF($A392="","",IFERROR(INDEX(tblMotor[KararSatir],MATCH($A392,tblMotor[A_Norm],0)),""))</f>
        <v/>
      </c>
      <c r="E392" s="17">
        <f>IF($A392="","",IF($B392&lt;0,"YUKSEK","NORMAL"))</f>
        <v/>
      </c>
      <c r="F392" s="17">
        <f>IF($A392="","",_xlfn.TEXTJOIN(" ",TRUE,"Barkod",$A392,"karar",$D392,"net",TEXT($B392,"0.00"),"başabaş",TEXT($C392,"0.00"),"TL"))</f>
        <v/>
      </c>
    </row>
    <row r="393">
      <c r="A393" s="17">
        <f>IF('ESLESTIRME'!$A393="","",IF('ESLESTIRME'!$G393="tutar_farki",'ESLESTIRME'!$A393,""))</f>
        <v/>
      </c>
      <c r="B393" s="17">
        <f>IF($A393="","",IFERROR(SUMIF(tblMotor[A_Norm],$A393,tblMotor[NetKar]),0))</f>
        <v/>
      </c>
      <c r="C393" s="17">
        <f>IF($A393="","",IFERROR(SUMIF(tblMotor[A_Norm],$A393,tblMotor[BasabasFiyat]),0))</f>
        <v/>
      </c>
      <c r="D393" s="17">
        <f>IF($A393="","",IFERROR(INDEX(tblMotor[KararSatir],MATCH($A393,tblMotor[A_Norm],0)),""))</f>
        <v/>
      </c>
      <c r="E393" s="17">
        <f>IF($A393="","",IF($B393&lt;0,"YUKSEK","NORMAL"))</f>
        <v/>
      </c>
      <c r="F393" s="17">
        <f>IF($A393="","",_xlfn.TEXTJOIN(" ",TRUE,"Barkod",$A393,"karar",$D393,"net",TEXT($B393,"0.00"),"başabaş",TEXT($C393,"0.00"),"TL"))</f>
        <v/>
      </c>
    </row>
    <row r="394">
      <c r="A394" s="17">
        <f>IF('ESLESTIRME'!$A394="","",IF('ESLESTIRME'!$G394="tutar_farki",'ESLESTIRME'!$A394,""))</f>
        <v/>
      </c>
      <c r="B394" s="17">
        <f>IF($A394="","",IFERROR(SUMIF(tblMotor[A_Norm],$A394,tblMotor[NetKar]),0))</f>
        <v/>
      </c>
      <c r="C394" s="17">
        <f>IF($A394="","",IFERROR(SUMIF(tblMotor[A_Norm],$A394,tblMotor[BasabasFiyat]),0))</f>
        <v/>
      </c>
      <c r="D394" s="17">
        <f>IF($A394="","",IFERROR(INDEX(tblMotor[KararSatir],MATCH($A394,tblMotor[A_Norm],0)),""))</f>
        <v/>
      </c>
      <c r="E394" s="17">
        <f>IF($A394="","",IF($B394&lt;0,"YUKSEK","NORMAL"))</f>
        <v/>
      </c>
      <c r="F394" s="17">
        <f>IF($A394="","",_xlfn.TEXTJOIN(" ",TRUE,"Barkod",$A394,"karar",$D394,"net",TEXT($B394,"0.00"),"başabaş",TEXT($C394,"0.00"),"TL"))</f>
        <v/>
      </c>
    </row>
    <row r="395">
      <c r="A395" s="17">
        <f>IF('ESLESTIRME'!$A395="","",IF('ESLESTIRME'!$G395="tutar_farki",'ESLESTIRME'!$A395,""))</f>
        <v/>
      </c>
      <c r="B395" s="17">
        <f>IF($A395="","",IFERROR(SUMIF(tblMotor[A_Norm],$A395,tblMotor[NetKar]),0))</f>
        <v/>
      </c>
      <c r="C395" s="17">
        <f>IF($A395="","",IFERROR(SUMIF(tblMotor[A_Norm],$A395,tblMotor[BasabasFiyat]),0))</f>
        <v/>
      </c>
      <c r="D395" s="17">
        <f>IF($A395="","",IFERROR(INDEX(tblMotor[KararSatir],MATCH($A395,tblMotor[A_Norm],0)),""))</f>
        <v/>
      </c>
      <c r="E395" s="17">
        <f>IF($A395="","",IF($B395&lt;0,"YUKSEK","NORMAL"))</f>
        <v/>
      </c>
      <c r="F395" s="17">
        <f>IF($A395="","",_xlfn.TEXTJOIN(" ",TRUE,"Barkod",$A395,"karar",$D395,"net",TEXT($B395,"0.00"),"başabaş",TEXT($C395,"0.00"),"TL"))</f>
        <v/>
      </c>
    </row>
    <row r="396">
      <c r="A396" s="17">
        <f>IF('ESLESTIRME'!$A396="","",IF('ESLESTIRME'!$G396="tutar_farki",'ESLESTIRME'!$A396,""))</f>
        <v/>
      </c>
      <c r="B396" s="17">
        <f>IF($A396="","",IFERROR(SUMIF(tblMotor[A_Norm],$A396,tblMotor[NetKar]),0))</f>
        <v/>
      </c>
      <c r="C396" s="17">
        <f>IF($A396="","",IFERROR(SUMIF(tblMotor[A_Norm],$A396,tblMotor[BasabasFiyat]),0))</f>
        <v/>
      </c>
      <c r="D396" s="17">
        <f>IF($A396="","",IFERROR(INDEX(tblMotor[KararSatir],MATCH($A396,tblMotor[A_Norm],0)),""))</f>
        <v/>
      </c>
      <c r="E396" s="17">
        <f>IF($A396="","",IF($B396&lt;0,"YUKSEK","NORMAL"))</f>
        <v/>
      </c>
      <c r="F396" s="17">
        <f>IF($A396="","",_xlfn.TEXTJOIN(" ",TRUE,"Barkod",$A396,"karar",$D396,"net",TEXT($B396,"0.00"),"başabaş",TEXT($C396,"0.00"),"TL"))</f>
        <v/>
      </c>
    </row>
    <row r="397">
      <c r="A397" s="17">
        <f>IF('ESLESTIRME'!$A397="","",IF('ESLESTIRME'!$G397="tutar_farki",'ESLESTIRME'!$A397,""))</f>
        <v/>
      </c>
      <c r="B397" s="17">
        <f>IF($A397="","",IFERROR(SUMIF(tblMotor[A_Norm],$A397,tblMotor[NetKar]),0))</f>
        <v/>
      </c>
      <c r="C397" s="17">
        <f>IF($A397="","",IFERROR(SUMIF(tblMotor[A_Norm],$A397,tblMotor[BasabasFiyat]),0))</f>
        <v/>
      </c>
      <c r="D397" s="17">
        <f>IF($A397="","",IFERROR(INDEX(tblMotor[KararSatir],MATCH($A397,tblMotor[A_Norm],0)),""))</f>
        <v/>
      </c>
      <c r="E397" s="17">
        <f>IF($A397="","",IF($B397&lt;0,"YUKSEK","NORMAL"))</f>
        <v/>
      </c>
      <c r="F397" s="17">
        <f>IF($A397="","",_xlfn.TEXTJOIN(" ",TRUE,"Barkod",$A397,"karar",$D397,"net",TEXT($B397,"0.00"),"başabaş",TEXT($C397,"0.00"),"TL"))</f>
        <v/>
      </c>
    </row>
    <row r="398">
      <c r="A398" s="17">
        <f>IF('ESLESTIRME'!$A398="","",IF('ESLESTIRME'!$G398="tutar_farki",'ESLESTIRME'!$A398,""))</f>
        <v/>
      </c>
      <c r="B398" s="17">
        <f>IF($A398="","",IFERROR(SUMIF(tblMotor[A_Norm],$A398,tblMotor[NetKar]),0))</f>
        <v/>
      </c>
      <c r="C398" s="17">
        <f>IF($A398="","",IFERROR(SUMIF(tblMotor[A_Norm],$A398,tblMotor[BasabasFiyat]),0))</f>
        <v/>
      </c>
      <c r="D398" s="17">
        <f>IF($A398="","",IFERROR(INDEX(tblMotor[KararSatir],MATCH($A398,tblMotor[A_Norm],0)),""))</f>
        <v/>
      </c>
      <c r="E398" s="17">
        <f>IF($A398="","",IF($B398&lt;0,"YUKSEK","NORMAL"))</f>
        <v/>
      </c>
      <c r="F398" s="17">
        <f>IF($A398="","",_xlfn.TEXTJOIN(" ",TRUE,"Barkod",$A398,"karar",$D398,"net",TEXT($B398,"0.00"),"başabaş",TEXT($C398,"0.00"),"TL"))</f>
        <v/>
      </c>
    </row>
    <row r="399">
      <c r="A399" s="17">
        <f>IF('ESLESTIRME'!$A399="","",IF('ESLESTIRME'!$G399="tutar_farki",'ESLESTIRME'!$A399,""))</f>
        <v/>
      </c>
      <c r="B399" s="17">
        <f>IF($A399="","",IFERROR(SUMIF(tblMotor[A_Norm],$A399,tblMotor[NetKar]),0))</f>
        <v/>
      </c>
      <c r="C399" s="17">
        <f>IF($A399="","",IFERROR(SUMIF(tblMotor[A_Norm],$A399,tblMotor[BasabasFiyat]),0))</f>
        <v/>
      </c>
      <c r="D399" s="17">
        <f>IF($A399="","",IFERROR(INDEX(tblMotor[KararSatir],MATCH($A399,tblMotor[A_Norm],0)),""))</f>
        <v/>
      </c>
      <c r="E399" s="17">
        <f>IF($A399="","",IF($B399&lt;0,"YUKSEK","NORMAL"))</f>
        <v/>
      </c>
      <c r="F399" s="17">
        <f>IF($A399="","",_xlfn.TEXTJOIN(" ",TRUE,"Barkod",$A399,"karar",$D399,"net",TEXT($B399,"0.00"),"başabaş",TEXT($C399,"0.00"),"TL"))</f>
        <v/>
      </c>
    </row>
    <row r="400">
      <c r="A400" s="17">
        <f>IF('ESLESTIRME'!$A400="","",IF('ESLESTIRME'!$G400="tutar_farki",'ESLESTIRME'!$A400,""))</f>
        <v/>
      </c>
      <c r="B400" s="17">
        <f>IF($A400="","",IFERROR(SUMIF(tblMotor[A_Norm],$A400,tblMotor[NetKar]),0))</f>
        <v/>
      </c>
      <c r="C400" s="17">
        <f>IF($A400="","",IFERROR(SUMIF(tblMotor[A_Norm],$A400,tblMotor[BasabasFiyat]),0))</f>
        <v/>
      </c>
      <c r="D400" s="17">
        <f>IF($A400="","",IFERROR(INDEX(tblMotor[KararSatir],MATCH($A400,tblMotor[A_Norm],0)),""))</f>
        <v/>
      </c>
      <c r="E400" s="17">
        <f>IF($A400="","",IF($B400&lt;0,"YUKSEK","NORMAL"))</f>
        <v/>
      </c>
      <c r="F400" s="17">
        <f>IF($A400="","",_xlfn.TEXTJOIN(" ",TRUE,"Barkod",$A400,"karar",$D400,"net",TEXT($B400,"0.00"),"başabaş",TEXT($C400,"0.00"),"TL"))</f>
        <v/>
      </c>
    </row>
    <row r="401">
      <c r="A401" s="17">
        <f>IF('ESLESTIRME'!$A401="","",IF('ESLESTIRME'!$G401="tutar_farki",'ESLESTIRME'!$A401,""))</f>
        <v/>
      </c>
      <c r="B401" s="17">
        <f>IF($A401="","",IFERROR(SUMIF(tblMotor[A_Norm],$A401,tblMotor[NetKar]),0))</f>
        <v/>
      </c>
      <c r="C401" s="17">
        <f>IF($A401="","",IFERROR(SUMIF(tblMotor[A_Norm],$A401,tblMotor[BasabasFiyat]),0))</f>
        <v/>
      </c>
      <c r="D401" s="17">
        <f>IF($A401="","",IFERROR(INDEX(tblMotor[KararSatir],MATCH($A401,tblMotor[A_Norm],0)),""))</f>
        <v/>
      </c>
      <c r="E401" s="17">
        <f>IF($A401="","",IF($B401&lt;0,"YUKSEK","NORMAL"))</f>
        <v/>
      </c>
      <c r="F401" s="17">
        <f>IF($A401="","",_xlfn.TEXTJOIN(" ",TRUE,"Barkod",$A401,"karar",$D401,"net",TEXT($B401,"0.00"),"başabaş",TEXT($C401,"0.00"),"TL"))</f>
        <v/>
      </c>
    </row>
    <row r="402">
      <c r="A402" s="17">
        <f>IF('ESLESTIRME'!$A402="","",IF('ESLESTIRME'!$G402="tutar_farki",'ESLESTIRME'!$A402,""))</f>
        <v/>
      </c>
      <c r="B402" s="17">
        <f>IF($A402="","",IFERROR(SUMIF(tblMotor[A_Norm],$A402,tblMotor[NetKar]),0))</f>
        <v/>
      </c>
      <c r="C402" s="17">
        <f>IF($A402="","",IFERROR(SUMIF(tblMotor[A_Norm],$A402,tblMotor[BasabasFiyat]),0))</f>
        <v/>
      </c>
      <c r="D402" s="17">
        <f>IF($A402="","",IFERROR(INDEX(tblMotor[KararSatir],MATCH($A402,tblMotor[A_Norm],0)),""))</f>
        <v/>
      </c>
      <c r="E402" s="17">
        <f>IF($A402="","",IF($B402&lt;0,"YUKSEK","NORMAL"))</f>
        <v/>
      </c>
      <c r="F402" s="17">
        <f>IF($A402="","",_xlfn.TEXTJOIN(" ",TRUE,"Barkod",$A402,"karar",$D402,"net",TEXT($B402,"0.00"),"başabaş",TEXT($C402,"0.00"),"TL"))</f>
        <v/>
      </c>
    </row>
    <row r="403">
      <c r="A403" s="17">
        <f>IF('ESLESTIRME'!$A403="","",IF('ESLESTIRME'!$G403="tutar_farki",'ESLESTIRME'!$A403,""))</f>
        <v/>
      </c>
      <c r="B403" s="17">
        <f>IF($A403="","",IFERROR(SUMIF(tblMotor[A_Norm],$A403,tblMotor[NetKar]),0))</f>
        <v/>
      </c>
      <c r="C403" s="17">
        <f>IF($A403="","",IFERROR(SUMIF(tblMotor[A_Norm],$A403,tblMotor[BasabasFiyat]),0))</f>
        <v/>
      </c>
      <c r="D403" s="17">
        <f>IF($A403="","",IFERROR(INDEX(tblMotor[KararSatir],MATCH($A403,tblMotor[A_Norm],0)),""))</f>
        <v/>
      </c>
      <c r="E403" s="17">
        <f>IF($A403="","",IF($B403&lt;0,"YUKSEK","NORMAL"))</f>
        <v/>
      </c>
      <c r="F403" s="17">
        <f>IF($A403="","",_xlfn.TEXTJOIN(" ",TRUE,"Barkod",$A403,"karar",$D403,"net",TEXT($B403,"0.00"),"başabaş",TEXT($C403,"0.00"),"TL"))</f>
        <v/>
      </c>
    </row>
    <row r="404">
      <c r="A404" s="17">
        <f>IF('ESLESTIRME'!$A404="","",IF('ESLESTIRME'!$G404="tutar_farki",'ESLESTIRME'!$A404,""))</f>
        <v/>
      </c>
      <c r="B404" s="17">
        <f>IF($A404="","",IFERROR(SUMIF(tblMotor[A_Norm],$A404,tblMotor[NetKar]),0))</f>
        <v/>
      </c>
      <c r="C404" s="17">
        <f>IF($A404="","",IFERROR(SUMIF(tblMotor[A_Norm],$A404,tblMotor[BasabasFiyat]),0))</f>
        <v/>
      </c>
      <c r="D404" s="17">
        <f>IF($A404="","",IFERROR(INDEX(tblMotor[KararSatir],MATCH($A404,tblMotor[A_Norm],0)),""))</f>
        <v/>
      </c>
      <c r="E404" s="17">
        <f>IF($A404="","",IF($B404&lt;0,"YUKSEK","NORMAL"))</f>
        <v/>
      </c>
      <c r="F404" s="17">
        <f>IF($A404="","",_xlfn.TEXTJOIN(" ",TRUE,"Barkod",$A404,"karar",$D404,"net",TEXT($B404,"0.00"),"başabaş",TEXT($C404,"0.00"),"TL"))</f>
        <v/>
      </c>
    </row>
    <row r="405">
      <c r="A405" s="17">
        <f>IF('ESLESTIRME'!$A405="","",IF('ESLESTIRME'!$G405="tutar_farki",'ESLESTIRME'!$A405,""))</f>
        <v/>
      </c>
      <c r="B405" s="17">
        <f>IF($A405="","",IFERROR(SUMIF(tblMotor[A_Norm],$A405,tblMotor[NetKar]),0))</f>
        <v/>
      </c>
      <c r="C405" s="17">
        <f>IF($A405="","",IFERROR(SUMIF(tblMotor[A_Norm],$A405,tblMotor[BasabasFiyat]),0))</f>
        <v/>
      </c>
      <c r="D405" s="17">
        <f>IF($A405="","",IFERROR(INDEX(tblMotor[KararSatir],MATCH($A405,tblMotor[A_Norm],0)),""))</f>
        <v/>
      </c>
      <c r="E405" s="17">
        <f>IF($A405="","",IF($B405&lt;0,"YUKSEK","NORMAL"))</f>
        <v/>
      </c>
      <c r="F405" s="17">
        <f>IF($A405="","",_xlfn.TEXTJOIN(" ",TRUE,"Barkod",$A405,"karar",$D405,"net",TEXT($B405,"0.00"),"başabaş",TEXT($C405,"0.00"),"TL"))</f>
        <v/>
      </c>
    </row>
    <row r="406">
      <c r="A406" s="17">
        <f>IF('ESLESTIRME'!$A406="","",IF('ESLESTIRME'!$G406="tutar_farki",'ESLESTIRME'!$A406,""))</f>
        <v/>
      </c>
      <c r="B406" s="17">
        <f>IF($A406="","",IFERROR(SUMIF(tblMotor[A_Norm],$A406,tblMotor[NetKar]),0))</f>
        <v/>
      </c>
      <c r="C406" s="17">
        <f>IF($A406="","",IFERROR(SUMIF(tblMotor[A_Norm],$A406,tblMotor[BasabasFiyat]),0))</f>
        <v/>
      </c>
      <c r="D406" s="17">
        <f>IF($A406="","",IFERROR(INDEX(tblMotor[KararSatir],MATCH($A406,tblMotor[A_Norm],0)),""))</f>
        <v/>
      </c>
      <c r="E406" s="17">
        <f>IF($A406="","",IF($B406&lt;0,"YUKSEK","NORMAL"))</f>
        <v/>
      </c>
      <c r="F406" s="17">
        <f>IF($A406="","",_xlfn.TEXTJOIN(" ",TRUE,"Barkod",$A406,"karar",$D406,"net",TEXT($B406,"0.00"),"başabaş",TEXT($C406,"0.00"),"TL"))</f>
        <v/>
      </c>
    </row>
    <row r="407">
      <c r="A407" s="17">
        <f>IF('ESLESTIRME'!$A407="","",IF('ESLESTIRME'!$G407="tutar_farki",'ESLESTIRME'!$A407,""))</f>
        <v/>
      </c>
      <c r="B407" s="17">
        <f>IF($A407="","",IFERROR(SUMIF(tblMotor[A_Norm],$A407,tblMotor[NetKar]),0))</f>
        <v/>
      </c>
      <c r="C407" s="17">
        <f>IF($A407="","",IFERROR(SUMIF(tblMotor[A_Norm],$A407,tblMotor[BasabasFiyat]),0))</f>
        <v/>
      </c>
      <c r="D407" s="17">
        <f>IF($A407="","",IFERROR(INDEX(tblMotor[KararSatir],MATCH($A407,tblMotor[A_Norm],0)),""))</f>
        <v/>
      </c>
      <c r="E407" s="17">
        <f>IF($A407="","",IF($B407&lt;0,"YUKSEK","NORMAL"))</f>
        <v/>
      </c>
      <c r="F407" s="17">
        <f>IF($A407="","",_xlfn.TEXTJOIN(" ",TRUE,"Barkod",$A407,"karar",$D407,"net",TEXT($B407,"0.00"),"başabaş",TEXT($C407,"0.00"),"TL"))</f>
        <v/>
      </c>
    </row>
    <row r="408">
      <c r="A408" s="17">
        <f>IF('ESLESTIRME'!$A408="","",IF('ESLESTIRME'!$G408="tutar_farki",'ESLESTIRME'!$A408,""))</f>
        <v/>
      </c>
      <c r="B408" s="17">
        <f>IF($A408="","",IFERROR(SUMIF(tblMotor[A_Norm],$A408,tblMotor[NetKar]),0))</f>
        <v/>
      </c>
      <c r="C408" s="17">
        <f>IF($A408="","",IFERROR(SUMIF(tblMotor[A_Norm],$A408,tblMotor[BasabasFiyat]),0))</f>
        <v/>
      </c>
      <c r="D408" s="17">
        <f>IF($A408="","",IFERROR(INDEX(tblMotor[KararSatir],MATCH($A408,tblMotor[A_Norm],0)),""))</f>
        <v/>
      </c>
      <c r="E408" s="17">
        <f>IF($A408="","",IF($B408&lt;0,"YUKSEK","NORMAL"))</f>
        <v/>
      </c>
      <c r="F408" s="17">
        <f>IF($A408="","",_xlfn.TEXTJOIN(" ",TRUE,"Barkod",$A408,"karar",$D408,"net",TEXT($B408,"0.00"),"başabaş",TEXT($C408,"0.00"),"TL"))</f>
        <v/>
      </c>
    </row>
    <row r="409">
      <c r="A409" s="17">
        <f>IF('ESLESTIRME'!$A409="","",IF('ESLESTIRME'!$G409="tutar_farki",'ESLESTIRME'!$A409,""))</f>
        <v/>
      </c>
      <c r="B409" s="17">
        <f>IF($A409="","",IFERROR(SUMIF(tblMotor[A_Norm],$A409,tblMotor[NetKar]),0))</f>
        <v/>
      </c>
      <c r="C409" s="17">
        <f>IF($A409="","",IFERROR(SUMIF(tblMotor[A_Norm],$A409,tblMotor[BasabasFiyat]),0))</f>
        <v/>
      </c>
      <c r="D409" s="17">
        <f>IF($A409="","",IFERROR(INDEX(tblMotor[KararSatir],MATCH($A409,tblMotor[A_Norm],0)),""))</f>
        <v/>
      </c>
      <c r="E409" s="17">
        <f>IF($A409="","",IF($B409&lt;0,"YUKSEK","NORMAL"))</f>
        <v/>
      </c>
      <c r="F409" s="17">
        <f>IF($A409="","",_xlfn.TEXTJOIN(" ",TRUE,"Barkod",$A409,"karar",$D409,"net",TEXT($B409,"0.00"),"başabaş",TEXT($C409,"0.00"),"TL"))</f>
        <v/>
      </c>
    </row>
    <row r="410">
      <c r="A410" s="17">
        <f>IF('ESLESTIRME'!$A410="","",IF('ESLESTIRME'!$G410="tutar_farki",'ESLESTIRME'!$A410,""))</f>
        <v/>
      </c>
      <c r="B410" s="17">
        <f>IF($A410="","",IFERROR(SUMIF(tblMotor[A_Norm],$A410,tblMotor[NetKar]),0))</f>
        <v/>
      </c>
      <c r="C410" s="17">
        <f>IF($A410="","",IFERROR(SUMIF(tblMotor[A_Norm],$A410,tblMotor[BasabasFiyat]),0))</f>
        <v/>
      </c>
      <c r="D410" s="17">
        <f>IF($A410="","",IFERROR(INDEX(tblMotor[KararSatir],MATCH($A410,tblMotor[A_Norm],0)),""))</f>
        <v/>
      </c>
      <c r="E410" s="17">
        <f>IF($A410="","",IF($B410&lt;0,"YUKSEK","NORMAL"))</f>
        <v/>
      </c>
      <c r="F410" s="17">
        <f>IF($A410="","",_xlfn.TEXTJOIN(" ",TRUE,"Barkod",$A410,"karar",$D410,"net",TEXT($B410,"0.00"),"başabaş",TEXT($C410,"0.00"),"TL"))</f>
        <v/>
      </c>
    </row>
    <row r="411">
      <c r="A411" s="17">
        <f>IF('ESLESTIRME'!$A411="","",IF('ESLESTIRME'!$G411="tutar_farki",'ESLESTIRME'!$A411,""))</f>
        <v/>
      </c>
      <c r="B411" s="17">
        <f>IF($A411="","",IFERROR(SUMIF(tblMotor[A_Norm],$A411,tblMotor[NetKar]),0))</f>
        <v/>
      </c>
      <c r="C411" s="17">
        <f>IF($A411="","",IFERROR(SUMIF(tblMotor[A_Norm],$A411,tblMotor[BasabasFiyat]),0))</f>
        <v/>
      </c>
      <c r="D411" s="17">
        <f>IF($A411="","",IFERROR(INDEX(tblMotor[KararSatir],MATCH($A411,tblMotor[A_Norm],0)),""))</f>
        <v/>
      </c>
      <c r="E411" s="17">
        <f>IF($A411="","",IF($B411&lt;0,"YUKSEK","NORMAL"))</f>
        <v/>
      </c>
      <c r="F411" s="17">
        <f>IF($A411="","",_xlfn.TEXTJOIN(" ",TRUE,"Barkod",$A411,"karar",$D411,"net",TEXT($B411,"0.00"),"başabaş",TEXT($C411,"0.00"),"TL"))</f>
        <v/>
      </c>
    </row>
    <row r="412">
      <c r="A412" s="17">
        <f>IF('ESLESTIRME'!$A412="","",IF('ESLESTIRME'!$G412="tutar_farki",'ESLESTIRME'!$A412,""))</f>
        <v/>
      </c>
      <c r="B412" s="17">
        <f>IF($A412="","",IFERROR(SUMIF(tblMotor[A_Norm],$A412,tblMotor[NetKar]),0))</f>
        <v/>
      </c>
      <c r="C412" s="17">
        <f>IF($A412="","",IFERROR(SUMIF(tblMotor[A_Norm],$A412,tblMotor[BasabasFiyat]),0))</f>
        <v/>
      </c>
      <c r="D412" s="17">
        <f>IF($A412="","",IFERROR(INDEX(tblMotor[KararSatir],MATCH($A412,tblMotor[A_Norm],0)),""))</f>
        <v/>
      </c>
      <c r="E412" s="17">
        <f>IF($A412="","",IF($B412&lt;0,"YUKSEK","NORMAL"))</f>
        <v/>
      </c>
      <c r="F412" s="17">
        <f>IF($A412="","",_xlfn.TEXTJOIN(" ",TRUE,"Barkod",$A412,"karar",$D412,"net",TEXT($B412,"0.00"),"başabaş",TEXT($C412,"0.00"),"TL"))</f>
        <v/>
      </c>
    </row>
    <row r="413">
      <c r="A413" s="17">
        <f>IF('ESLESTIRME'!$A413="","",IF('ESLESTIRME'!$G413="tutar_farki",'ESLESTIRME'!$A413,""))</f>
        <v/>
      </c>
      <c r="B413" s="17">
        <f>IF($A413="","",IFERROR(SUMIF(tblMotor[A_Norm],$A413,tblMotor[NetKar]),0))</f>
        <v/>
      </c>
      <c r="C413" s="17">
        <f>IF($A413="","",IFERROR(SUMIF(tblMotor[A_Norm],$A413,tblMotor[BasabasFiyat]),0))</f>
        <v/>
      </c>
      <c r="D413" s="17">
        <f>IF($A413="","",IFERROR(INDEX(tblMotor[KararSatir],MATCH($A413,tblMotor[A_Norm],0)),""))</f>
        <v/>
      </c>
      <c r="E413" s="17">
        <f>IF($A413="","",IF($B413&lt;0,"YUKSEK","NORMAL"))</f>
        <v/>
      </c>
      <c r="F413" s="17">
        <f>IF($A413="","",_xlfn.TEXTJOIN(" ",TRUE,"Barkod",$A413,"karar",$D413,"net",TEXT($B413,"0.00"),"başabaş",TEXT($C413,"0.00"),"TL"))</f>
        <v/>
      </c>
    </row>
    <row r="414">
      <c r="A414" s="17">
        <f>IF('ESLESTIRME'!$A414="","",IF('ESLESTIRME'!$G414="tutar_farki",'ESLESTIRME'!$A414,""))</f>
        <v/>
      </c>
      <c r="B414" s="17">
        <f>IF($A414="","",IFERROR(SUMIF(tblMotor[A_Norm],$A414,tblMotor[NetKar]),0))</f>
        <v/>
      </c>
      <c r="C414" s="17">
        <f>IF($A414="","",IFERROR(SUMIF(tblMotor[A_Norm],$A414,tblMotor[BasabasFiyat]),0))</f>
        <v/>
      </c>
      <c r="D414" s="17">
        <f>IF($A414="","",IFERROR(INDEX(tblMotor[KararSatir],MATCH($A414,tblMotor[A_Norm],0)),""))</f>
        <v/>
      </c>
      <c r="E414" s="17">
        <f>IF($A414="","",IF($B414&lt;0,"YUKSEK","NORMAL"))</f>
        <v/>
      </c>
      <c r="F414" s="17">
        <f>IF($A414="","",_xlfn.TEXTJOIN(" ",TRUE,"Barkod",$A414,"karar",$D414,"net",TEXT($B414,"0.00"),"başabaş",TEXT($C414,"0.00"),"TL"))</f>
        <v/>
      </c>
    </row>
    <row r="415">
      <c r="A415" s="17">
        <f>IF('ESLESTIRME'!$A415="","",IF('ESLESTIRME'!$G415="tutar_farki",'ESLESTIRME'!$A415,""))</f>
        <v/>
      </c>
      <c r="B415" s="17">
        <f>IF($A415="","",IFERROR(SUMIF(tblMotor[A_Norm],$A415,tblMotor[NetKar]),0))</f>
        <v/>
      </c>
      <c r="C415" s="17">
        <f>IF($A415="","",IFERROR(SUMIF(tblMotor[A_Norm],$A415,tblMotor[BasabasFiyat]),0))</f>
        <v/>
      </c>
      <c r="D415" s="17">
        <f>IF($A415="","",IFERROR(INDEX(tblMotor[KararSatir],MATCH($A415,tblMotor[A_Norm],0)),""))</f>
        <v/>
      </c>
      <c r="E415" s="17">
        <f>IF($A415="","",IF($B415&lt;0,"YUKSEK","NORMAL"))</f>
        <v/>
      </c>
      <c r="F415" s="17">
        <f>IF($A415="","",_xlfn.TEXTJOIN(" ",TRUE,"Barkod",$A415,"karar",$D415,"net",TEXT($B415,"0.00"),"başabaş",TEXT($C415,"0.00"),"TL"))</f>
        <v/>
      </c>
    </row>
    <row r="416">
      <c r="A416" s="17">
        <f>IF('ESLESTIRME'!$A416="","",IF('ESLESTIRME'!$G416="tutar_farki",'ESLESTIRME'!$A416,""))</f>
        <v/>
      </c>
      <c r="B416" s="17">
        <f>IF($A416="","",IFERROR(SUMIF(tblMotor[A_Norm],$A416,tblMotor[NetKar]),0))</f>
        <v/>
      </c>
      <c r="C416" s="17">
        <f>IF($A416="","",IFERROR(SUMIF(tblMotor[A_Norm],$A416,tblMotor[BasabasFiyat]),0))</f>
        <v/>
      </c>
      <c r="D416" s="17">
        <f>IF($A416="","",IFERROR(INDEX(tblMotor[KararSatir],MATCH($A416,tblMotor[A_Norm],0)),""))</f>
        <v/>
      </c>
      <c r="E416" s="17">
        <f>IF($A416="","",IF($B416&lt;0,"YUKSEK","NORMAL"))</f>
        <v/>
      </c>
      <c r="F416" s="17">
        <f>IF($A416="","",_xlfn.TEXTJOIN(" ",TRUE,"Barkod",$A416,"karar",$D416,"net",TEXT($B416,"0.00"),"başabaş",TEXT($C416,"0.00"),"TL"))</f>
        <v/>
      </c>
    </row>
    <row r="417">
      <c r="A417" s="17">
        <f>IF('ESLESTIRME'!$A417="","",IF('ESLESTIRME'!$G417="tutar_farki",'ESLESTIRME'!$A417,""))</f>
        <v/>
      </c>
      <c r="B417" s="17">
        <f>IF($A417="","",IFERROR(SUMIF(tblMotor[A_Norm],$A417,tblMotor[NetKar]),0))</f>
        <v/>
      </c>
      <c r="C417" s="17">
        <f>IF($A417="","",IFERROR(SUMIF(tblMotor[A_Norm],$A417,tblMotor[BasabasFiyat]),0))</f>
        <v/>
      </c>
      <c r="D417" s="17">
        <f>IF($A417="","",IFERROR(INDEX(tblMotor[KararSatir],MATCH($A417,tblMotor[A_Norm],0)),""))</f>
        <v/>
      </c>
      <c r="E417" s="17">
        <f>IF($A417="","",IF($B417&lt;0,"YUKSEK","NORMAL"))</f>
        <v/>
      </c>
      <c r="F417" s="17">
        <f>IF($A417="","",_xlfn.TEXTJOIN(" ",TRUE,"Barkod",$A417,"karar",$D417,"net",TEXT($B417,"0.00"),"başabaş",TEXT($C417,"0.00"),"TL"))</f>
        <v/>
      </c>
    </row>
    <row r="418">
      <c r="A418" s="17">
        <f>IF('ESLESTIRME'!$A418="","",IF('ESLESTIRME'!$G418="tutar_farki",'ESLESTIRME'!$A418,""))</f>
        <v/>
      </c>
      <c r="B418" s="17">
        <f>IF($A418="","",IFERROR(SUMIF(tblMotor[A_Norm],$A418,tblMotor[NetKar]),0))</f>
        <v/>
      </c>
      <c r="C418" s="17">
        <f>IF($A418="","",IFERROR(SUMIF(tblMotor[A_Norm],$A418,tblMotor[BasabasFiyat]),0))</f>
        <v/>
      </c>
      <c r="D418" s="17">
        <f>IF($A418="","",IFERROR(INDEX(tblMotor[KararSatir],MATCH($A418,tblMotor[A_Norm],0)),""))</f>
        <v/>
      </c>
      <c r="E418" s="17">
        <f>IF($A418="","",IF($B418&lt;0,"YUKSEK","NORMAL"))</f>
        <v/>
      </c>
      <c r="F418" s="17">
        <f>IF($A418="","",_xlfn.TEXTJOIN(" ",TRUE,"Barkod",$A418,"karar",$D418,"net",TEXT($B418,"0.00"),"başabaş",TEXT($C418,"0.00"),"TL"))</f>
        <v/>
      </c>
    </row>
    <row r="419">
      <c r="A419" s="17">
        <f>IF('ESLESTIRME'!$A419="","",IF('ESLESTIRME'!$G419="tutar_farki",'ESLESTIRME'!$A419,""))</f>
        <v/>
      </c>
      <c r="B419" s="17">
        <f>IF($A419="","",IFERROR(SUMIF(tblMotor[A_Norm],$A419,tblMotor[NetKar]),0))</f>
        <v/>
      </c>
      <c r="C419" s="17">
        <f>IF($A419="","",IFERROR(SUMIF(tblMotor[A_Norm],$A419,tblMotor[BasabasFiyat]),0))</f>
        <v/>
      </c>
      <c r="D419" s="17">
        <f>IF($A419="","",IFERROR(INDEX(tblMotor[KararSatir],MATCH($A419,tblMotor[A_Norm],0)),""))</f>
        <v/>
      </c>
      <c r="E419" s="17">
        <f>IF($A419="","",IF($B419&lt;0,"YUKSEK","NORMAL"))</f>
        <v/>
      </c>
      <c r="F419" s="17">
        <f>IF($A419="","",_xlfn.TEXTJOIN(" ",TRUE,"Barkod",$A419,"karar",$D419,"net",TEXT($B419,"0.00"),"başabaş",TEXT($C419,"0.00"),"TL"))</f>
        <v/>
      </c>
    </row>
    <row r="420">
      <c r="A420" s="17">
        <f>IF('ESLESTIRME'!$A420="","",IF('ESLESTIRME'!$G420="tutar_farki",'ESLESTIRME'!$A420,""))</f>
        <v/>
      </c>
      <c r="B420" s="17">
        <f>IF($A420="","",IFERROR(SUMIF(tblMotor[A_Norm],$A420,tblMotor[NetKar]),0))</f>
        <v/>
      </c>
      <c r="C420" s="17">
        <f>IF($A420="","",IFERROR(SUMIF(tblMotor[A_Norm],$A420,tblMotor[BasabasFiyat]),0))</f>
        <v/>
      </c>
      <c r="D420" s="17">
        <f>IF($A420="","",IFERROR(INDEX(tblMotor[KararSatir],MATCH($A420,tblMotor[A_Norm],0)),""))</f>
        <v/>
      </c>
      <c r="E420" s="17">
        <f>IF($A420="","",IF($B420&lt;0,"YUKSEK","NORMAL"))</f>
        <v/>
      </c>
      <c r="F420" s="17">
        <f>IF($A420="","",_xlfn.TEXTJOIN(" ",TRUE,"Barkod",$A420,"karar",$D420,"net",TEXT($B420,"0.00"),"başabaş",TEXT($C420,"0.00"),"TL"))</f>
        <v/>
      </c>
    </row>
    <row r="421">
      <c r="A421" s="17">
        <f>IF('ESLESTIRME'!$A421="","",IF('ESLESTIRME'!$G421="tutar_farki",'ESLESTIRME'!$A421,""))</f>
        <v/>
      </c>
      <c r="B421" s="17">
        <f>IF($A421="","",IFERROR(SUMIF(tblMotor[A_Norm],$A421,tblMotor[NetKar]),0))</f>
        <v/>
      </c>
      <c r="C421" s="17">
        <f>IF($A421="","",IFERROR(SUMIF(tblMotor[A_Norm],$A421,tblMotor[BasabasFiyat]),0))</f>
        <v/>
      </c>
      <c r="D421" s="17">
        <f>IF($A421="","",IFERROR(INDEX(tblMotor[KararSatir],MATCH($A421,tblMotor[A_Norm],0)),""))</f>
        <v/>
      </c>
      <c r="E421" s="17">
        <f>IF($A421="","",IF($B421&lt;0,"YUKSEK","NORMAL"))</f>
        <v/>
      </c>
      <c r="F421" s="17">
        <f>IF($A421="","",_xlfn.TEXTJOIN(" ",TRUE,"Barkod",$A421,"karar",$D421,"net",TEXT($B421,"0.00"),"başabaş",TEXT($C421,"0.00"),"TL"))</f>
        <v/>
      </c>
    </row>
    <row r="422">
      <c r="A422" s="17">
        <f>IF('ESLESTIRME'!$A422="","",IF('ESLESTIRME'!$G422="tutar_farki",'ESLESTIRME'!$A422,""))</f>
        <v/>
      </c>
      <c r="B422" s="17">
        <f>IF($A422="","",IFERROR(SUMIF(tblMotor[A_Norm],$A422,tblMotor[NetKar]),0))</f>
        <v/>
      </c>
      <c r="C422" s="17">
        <f>IF($A422="","",IFERROR(SUMIF(tblMotor[A_Norm],$A422,tblMotor[BasabasFiyat]),0))</f>
        <v/>
      </c>
      <c r="D422" s="17">
        <f>IF($A422="","",IFERROR(INDEX(tblMotor[KararSatir],MATCH($A422,tblMotor[A_Norm],0)),""))</f>
        <v/>
      </c>
      <c r="E422" s="17">
        <f>IF($A422="","",IF($B422&lt;0,"YUKSEK","NORMAL"))</f>
        <v/>
      </c>
      <c r="F422" s="17">
        <f>IF($A422="","",_xlfn.TEXTJOIN(" ",TRUE,"Barkod",$A422,"karar",$D422,"net",TEXT($B422,"0.00"),"başabaş",TEXT($C422,"0.00"),"TL"))</f>
        <v/>
      </c>
    </row>
    <row r="423">
      <c r="A423" s="17">
        <f>IF('ESLESTIRME'!$A423="","",IF('ESLESTIRME'!$G423="tutar_farki",'ESLESTIRME'!$A423,""))</f>
        <v/>
      </c>
      <c r="B423" s="17">
        <f>IF($A423="","",IFERROR(SUMIF(tblMotor[A_Norm],$A423,tblMotor[NetKar]),0))</f>
        <v/>
      </c>
      <c r="C423" s="17">
        <f>IF($A423="","",IFERROR(SUMIF(tblMotor[A_Norm],$A423,tblMotor[BasabasFiyat]),0))</f>
        <v/>
      </c>
      <c r="D423" s="17">
        <f>IF($A423="","",IFERROR(INDEX(tblMotor[KararSatir],MATCH($A423,tblMotor[A_Norm],0)),""))</f>
        <v/>
      </c>
      <c r="E423" s="17">
        <f>IF($A423="","",IF($B423&lt;0,"YUKSEK","NORMAL"))</f>
        <v/>
      </c>
      <c r="F423" s="17">
        <f>IF($A423="","",_xlfn.TEXTJOIN(" ",TRUE,"Barkod",$A423,"karar",$D423,"net",TEXT($B423,"0.00"),"başabaş",TEXT($C423,"0.00"),"TL"))</f>
        <v/>
      </c>
    </row>
    <row r="424">
      <c r="A424" s="17">
        <f>IF('ESLESTIRME'!$A424="","",IF('ESLESTIRME'!$G424="tutar_farki",'ESLESTIRME'!$A424,""))</f>
        <v/>
      </c>
      <c r="B424" s="17">
        <f>IF($A424="","",IFERROR(SUMIF(tblMotor[A_Norm],$A424,tblMotor[NetKar]),0))</f>
        <v/>
      </c>
      <c r="C424" s="17">
        <f>IF($A424="","",IFERROR(SUMIF(tblMotor[A_Norm],$A424,tblMotor[BasabasFiyat]),0))</f>
        <v/>
      </c>
      <c r="D424" s="17">
        <f>IF($A424="","",IFERROR(INDEX(tblMotor[KararSatir],MATCH($A424,tblMotor[A_Norm],0)),""))</f>
        <v/>
      </c>
      <c r="E424" s="17">
        <f>IF($A424="","",IF($B424&lt;0,"YUKSEK","NORMAL"))</f>
        <v/>
      </c>
      <c r="F424" s="17">
        <f>IF($A424="","",_xlfn.TEXTJOIN(" ",TRUE,"Barkod",$A424,"karar",$D424,"net",TEXT($B424,"0.00"),"başabaş",TEXT($C424,"0.00"),"TL"))</f>
        <v/>
      </c>
    </row>
    <row r="425">
      <c r="A425" s="17">
        <f>IF('ESLESTIRME'!$A425="","",IF('ESLESTIRME'!$G425="tutar_farki",'ESLESTIRME'!$A425,""))</f>
        <v/>
      </c>
      <c r="B425" s="17">
        <f>IF($A425="","",IFERROR(SUMIF(tblMotor[A_Norm],$A425,tblMotor[NetKar]),0))</f>
        <v/>
      </c>
      <c r="C425" s="17">
        <f>IF($A425="","",IFERROR(SUMIF(tblMotor[A_Norm],$A425,tblMotor[BasabasFiyat]),0))</f>
        <v/>
      </c>
      <c r="D425" s="17">
        <f>IF($A425="","",IFERROR(INDEX(tblMotor[KararSatir],MATCH($A425,tblMotor[A_Norm],0)),""))</f>
        <v/>
      </c>
      <c r="E425" s="17">
        <f>IF($A425="","",IF($B425&lt;0,"YUKSEK","NORMAL"))</f>
        <v/>
      </c>
      <c r="F425" s="17">
        <f>IF($A425="","",_xlfn.TEXTJOIN(" ",TRUE,"Barkod",$A425,"karar",$D425,"net",TEXT($B425,"0.00"),"başabaş",TEXT($C425,"0.00"),"TL"))</f>
        <v/>
      </c>
    </row>
    <row r="426">
      <c r="A426" s="17">
        <f>IF('ESLESTIRME'!$A426="","",IF('ESLESTIRME'!$G426="tutar_farki",'ESLESTIRME'!$A426,""))</f>
        <v/>
      </c>
      <c r="B426" s="17">
        <f>IF($A426="","",IFERROR(SUMIF(tblMotor[A_Norm],$A426,tblMotor[NetKar]),0))</f>
        <v/>
      </c>
      <c r="C426" s="17">
        <f>IF($A426="","",IFERROR(SUMIF(tblMotor[A_Norm],$A426,tblMotor[BasabasFiyat]),0))</f>
        <v/>
      </c>
      <c r="D426" s="17">
        <f>IF($A426="","",IFERROR(INDEX(tblMotor[KararSatir],MATCH($A426,tblMotor[A_Norm],0)),""))</f>
        <v/>
      </c>
      <c r="E426" s="17">
        <f>IF($A426="","",IF($B426&lt;0,"YUKSEK","NORMAL"))</f>
        <v/>
      </c>
      <c r="F426" s="17">
        <f>IF($A426="","",_xlfn.TEXTJOIN(" ",TRUE,"Barkod",$A426,"karar",$D426,"net",TEXT($B426,"0.00"),"başabaş",TEXT($C426,"0.00"),"TL"))</f>
        <v/>
      </c>
    </row>
    <row r="427">
      <c r="A427" s="17">
        <f>IF('ESLESTIRME'!$A427="","",IF('ESLESTIRME'!$G427="tutar_farki",'ESLESTIRME'!$A427,""))</f>
        <v/>
      </c>
      <c r="B427" s="17">
        <f>IF($A427="","",IFERROR(SUMIF(tblMotor[A_Norm],$A427,tblMotor[NetKar]),0))</f>
        <v/>
      </c>
      <c r="C427" s="17">
        <f>IF($A427="","",IFERROR(SUMIF(tblMotor[A_Norm],$A427,tblMotor[BasabasFiyat]),0))</f>
        <v/>
      </c>
      <c r="D427" s="17">
        <f>IF($A427="","",IFERROR(INDEX(tblMotor[KararSatir],MATCH($A427,tblMotor[A_Norm],0)),""))</f>
        <v/>
      </c>
      <c r="E427" s="17">
        <f>IF($A427="","",IF($B427&lt;0,"YUKSEK","NORMAL"))</f>
        <v/>
      </c>
      <c r="F427" s="17">
        <f>IF($A427="","",_xlfn.TEXTJOIN(" ",TRUE,"Barkod",$A427,"karar",$D427,"net",TEXT($B427,"0.00"),"başabaş",TEXT($C427,"0.00"),"TL"))</f>
        <v/>
      </c>
    </row>
    <row r="428">
      <c r="A428" s="17">
        <f>IF('ESLESTIRME'!$A428="","",IF('ESLESTIRME'!$G428="tutar_farki",'ESLESTIRME'!$A428,""))</f>
        <v/>
      </c>
      <c r="B428" s="17">
        <f>IF($A428="","",IFERROR(SUMIF(tblMotor[A_Norm],$A428,tblMotor[NetKar]),0))</f>
        <v/>
      </c>
      <c r="C428" s="17">
        <f>IF($A428="","",IFERROR(SUMIF(tblMotor[A_Norm],$A428,tblMotor[BasabasFiyat]),0))</f>
        <v/>
      </c>
      <c r="D428" s="17">
        <f>IF($A428="","",IFERROR(INDEX(tblMotor[KararSatir],MATCH($A428,tblMotor[A_Norm],0)),""))</f>
        <v/>
      </c>
      <c r="E428" s="17">
        <f>IF($A428="","",IF($B428&lt;0,"YUKSEK","NORMAL"))</f>
        <v/>
      </c>
      <c r="F428" s="17">
        <f>IF($A428="","",_xlfn.TEXTJOIN(" ",TRUE,"Barkod",$A428,"karar",$D428,"net",TEXT($B428,"0.00"),"başabaş",TEXT($C428,"0.00"),"TL"))</f>
        <v/>
      </c>
    </row>
    <row r="429">
      <c r="A429" s="17">
        <f>IF('ESLESTIRME'!$A429="","",IF('ESLESTIRME'!$G429="tutar_farki",'ESLESTIRME'!$A429,""))</f>
        <v/>
      </c>
      <c r="B429" s="17">
        <f>IF($A429="","",IFERROR(SUMIF(tblMotor[A_Norm],$A429,tblMotor[NetKar]),0))</f>
        <v/>
      </c>
      <c r="C429" s="17">
        <f>IF($A429="","",IFERROR(SUMIF(tblMotor[A_Norm],$A429,tblMotor[BasabasFiyat]),0))</f>
        <v/>
      </c>
      <c r="D429" s="17">
        <f>IF($A429="","",IFERROR(INDEX(tblMotor[KararSatir],MATCH($A429,tblMotor[A_Norm],0)),""))</f>
        <v/>
      </c>
      <c r="E429" s="17">
        <f>IF($A429="","",IF($B429&lt;0,"YUKSEK","NORMAL"))</f>
        <v/>
      </c>
      <c r="F429" s="17">
        <f>IF($A429="","",_xlfn.TEXTJOIN(" ",TRUE,"Barkod",$A429,"karar",$D429,"net",TEXT($B429,"0.00"),"başabaş",TEXT($C429,"0.00"),"TL"))</f>
        <v/>
      </c>
    </row>
    <row r="430">
      <c r="A430" s="17">
        <f>IF('ESLESTIRME'!$A430="","",IF('ESLESTIRME'!$G430="tutar_farki",'ESLESTIRME'!$A430,""))</f>
        <v/>
      </c>
      <c r="B430" s="17">
        <f>IF($A430="","",IFERROR(SUMIF(tblMotor[A_Norm],$A430,tblMotor[NetKar]),0))</f>
        <v/>
      </c>
      <c r="C430" s="17">
        <f>IF($A430="","",IFERROR(SUMIF(tblMotor[A_Norm],$A430,tblMotor[BasabasFiyat]),0))</f>
        <v/>
      </c>
      <c r="D430" s="17">
        <f>IF($A430="","",IFERROR(INDEX(tblMotor[KararSatir],MATCH($A430,tblMotor[A_Norm],0)),""))</f>
        <v/>
      </c>
      <c r="E430" s="17">
        <f>IF($A430="","",IF($B430&lt;0,"YUKSEK","NORMAL"))</f>
        <v/>
      </c>
      <c r="F430" s="17">
        <f>IF($A430="","",_xlfn.TEXTJOIN(" ",TRUE,"Barkod",$A430,"karar",$D430,"net",TEXT($B430,"0.00"),"başabaş",TEXT($C430,"0.00"),"TL"))</f>
        <v/>
      </c>
    </row>
    <row r="431">
      <c r="A431" s="17">
        <f>IF('ESLESTIRME'!$A431="","",IF('ESLESTIRME'!$G431="tutar_farki",'ESLESTIRME'!$A431,""))</f>
        <v/>
      </c>
      <c r="B431" s="17">
        <f>IF($A431="","",IFERROR(SUMIF(tblMotor[A_Norm],$A431,tblMotor[NetKar]),0))</f>
        <v/>
      </c>
      <c r="C431" s="17">
        <f>IF($A431="","",IFERROR(SUMIF(tblMotor[A_Norm],$A431,tblMotor[BasabasFiyat]),0))</f>
        <v/>
      </c>
      <c r="D431" s="17">
        <f>IF($A431="","",IFERROR(INDEX(tblMotor[KararSatir],MATCH($A431,tblMotor[A_Norm],0)),""))</f>
        <v/>
      </c>
      <c r="E431" s="17">
        <f>IF($A431="","",IF($B431&lt;0,"YUKSEK","NORMAL"))</f>
        <v/>
      </c>
      <c r="F431" s="17">
        <f>IF($A431="","",_xlfn.TEXTJOIN(" ",TRUE,"Barkod",$A431,"karar",$D431,"net",TEXT($B431,"0.00"),"başabaş",TEXT($C431,"0.00"),"TL"))</f>
        <v/>
      </c>
    </row>
    <row r="432">
      <c r="A432" s="17">
        <f>IF('ESLESTIRME'!$A432="","",IF('ESLESTIRME'!$G432="tutar_farki",'ESLESTIRME'!$A432,""))</f>
        <v/>
      </c>
      <c r="B432" s="17">
        <f>IF($A432="","",IFERROR(SUMIF(tblMotor[A_Norm],$A432,tblMotor[NetKar]),0))</f>
        <v/>
      </c>
      <c r="C432" s="17">
        <f>IF($A432="","",IFERROR(SUMIF(tblMotor[A_Norm],$A432,tblMotor[BasabasFiyat]),0))</f>
        <v/>
      </c>
      <c r="D432" s="17">
        <f>IF($A432="","",IFERROR(INDEX(tblMotor[KararSatir],MATCH($A432,tblMotor[A_Norm],0)),""))</f>
        <v/>
      </c>
      <c r="E432" s="17">
        <f>IF($A432="","",IF($B432&lt;0,"YUKSEK","NORMAL"))</f>
        <v/>
      </c>
      <c r="F432" s="17">
        <f>IF($A432="","",_xlfn.TEXTJOIN(" ",TRUE,"Barkod",$A432,"karar",$D432,"net",TEXT($B432,"0.00"),"başabaş",TEXT($C432,"0.00"),"TL"))</f>
        <v/>
      </c>
    </row>
    <row r="433">
      <c r="A433" s="17">
        <f>IF('ESLESTIRME'!$A433="","",IF('ESLESTIRME'!$G433="tutar_farki",'ESLESTIRME'!$A433,""))</f>
        <v/>
      </c>
      <c r="B433" s="17">
        <f>IF($A433="","",IFERROR(SUMIF(tblMotor[A_Norm],$A433,tblMotor[NetKar]),0))</f>
        <v/>
      </c>
      <c r="C433" s="17">
        <f>IF($A433="","",IFERROR(SUMIF(tblMotor[A_Norm],$A433,tblMotor[BasabasFiyat]),0))</f>
        <v/>
      </c>
      <c r="D433" s="17">
        <f>IF($A433="","",IFERROR(INDEX(tblMotor[KararSatir],MATCH($A433,tblMotor[A_Norm],0)),""))</f>
        <v/>
      </c>
      <c r="E433" s="17">
        <f>IF($A433="","",IF($B433&lt;0,"YUKSEK","NORMAL"))</f>
        <v/>
      </c>
      <c r="F433" s="17">
        <f>IF($A433="","",_xlfn.TEXTJOIN(" ",TRUE,"Barkod",$A433,"karar",$D433,"net",TEXT($B433,"0.00"),"başabaş",TEXT($C433,"0.00"),"TL"))</f>
        <v/>
      </c>
    </row>
    <row r="434">
      <c r="A434" s="17">
        <f>IF('ESLESTIRME'!$A434="","",IF('ESLESTIRME'!$G434="tutar_farki",'ESLESTIRME'!$A434,""))</f>
        <v/>
      </c>
      <c r="B434" s="17">
        <f>IF($A434="","",IFERROR(SUMIF(tblMotor[A_Norm],$A434,tblMotor[NetKar]),0))</f>
        <v/>
      </c>
      <c r="C434" s="17">
        <f>IF($A434="","",IFERROR(SUMIF(tblMotor[A_Norm],$A434,tblMotor[BasabasFiyat]),0))</f>
        <v/>
      </c>
      <c r="D434" s="17">
        <f>IF($A434="","",IFERROR(INDEX(tblMotor[KararSatir],MATCH($A434,tblMotor[A_Norm],0)),""))</f>
        <v/>
      </c>
      <c r="E434" s="17">
        <f>IF($A434="","",IF($B434&lt;0,"YUKSEK","NORMAL"))</f>
        <v/>
      </c>
      <c r="F434" s="17">
        <f>IF($A434="","",_xlfn.TEXTJOIN(" ",TRUE,"Barkod",$A434,"karar",$D434,"net",TEXT($B434,"0.00"),"başabaş",TEXT($C434,"0.00"),"TL"))</f>
        <v/>
      </c>
    </row>
    <row r="435">
      <c r="A435" s="17">
        <f>IF('ESLESTIRME'!$A435="","",IF('ESLESTIRME'!$G435="tutar_farki",'ESLESTIRME'!$A435,""))</f>
        <v/>
      </c>
      <c r="B435" s="17">
        <f>IF($A435="","",IFERROR(SUMIF(tblMotor[A_Norm],$A435,tblMotor[NetKar]),0))</f>
        <v/>
      </c>
      <c r="C435" s="17">
        <f>IF($A435="","",IFERROR(SUMIF(tblMotor[A_Norm],$A435,tblMotor[BasabasFiyat]),0))</f>
        <v/>
      </c>
      <c r="D435" s="17">
        <f>IF($A435="","",IFERROR(INDEX(tblMotor[KararSatir],MATCH($A435,tblMotor[A_Norm],0)),""))</f>
        <v/>
      </c>
      <c r="E435" s="17">
        <f>IF($A435="","",IF($B435&lt;0,"YUKSEK","NORMAL"))</f>
        <v/>
      </c>
      <c r="F435" s="17">
        <f>IF($A435="","",_xlfn.TEXTJOIN(" ",TRUE,"Barkod",$A435,"karar",$D435,"net",TEXT($B435,"0.00"),"başabaş",TEXT($C435,"0.00"),"TL"))</f>
        <v/>
      </c>
    </row>
    <row r="436">
      <c r="A436" s="17">
        <f>IF('ESLESTIRME'!$A436="","",IF('ESLESTIRME'!$G436="tutar_farki",'ESLESTIRME'!$A436,""))</f>
        <v/>
      </c>
      <c r="B436" s="17">
        <f>IF($A436="","",IFERROR(SUMIF(tblMotor[A_Norm],$A436,tblMotor[NetKar]),0))</f>
        <v/>
      </c>
      <c r="C436" s="17">
        <f>IF($A436="","",IFERROR(SUMIF(tblMotor[A_Norm],$A436,tblMotor[BasabasFiyat]),0))</f>
        <v/>
      </c>
      <c r="D436" s="17">
        <f>IF($A436="","",IFERROR(INDEX(tblMotor[KararSatir],MATCH($A436,tblMotor[A_Norm],0)),""))</f>
        <v/>
      </c>
      <c r="E436" s="17">
        <f>IF($A436="","",IF($B436&lt;0,"YUKSEK","NORMAL"))</f>
        <v/>
      </c>
      <c r="F436" s="17">
        <f>IF($A436="","",_xlfn.TEXTJOIN(" ",TRUE,"Barkod",$A436,"karar",$D436,"net",TEXT($B436,"0.00"),"başabaş",TEXT($C436,"0.00"),"TL"))</f>
        <v/>
      </c>
    </row>
    <row r="437">
      <c r="A437" s="17">
        <f>IF('ESLESTIRME'!$A437="","",IF('ESLESTIRME'!$G437="tutar_farki",'ESLESTIRME'!$A437,""))</f>
        <v/>
      </c>
      <c r="B437" s="17">
        <f>IF($A437="","",IFERROR(SUMIF(tblMotor[A_Norm],$A437,tblMotor[NetKar]),0))</f>
        <v/>
      </c>
      <c r="C437" s="17">
        <f>IF($A437="","",IFERROR(SUMIF(tblMotor[A_Norm],$A437,tblMotor[BasabasFiyat]),0))</f>
        <v/>
      </c>
      <c r="D437" s="17">
        <f>IF($A437="","",IFERROR(INDEX(tblMotor[KararSatir],MATCH($A437,tblMotor[A_Norm],0)),""))</f>
        <v/>
      </c>
      <c r="E437" s="17">
        <f>IF($A437="","",IF($B437&lt;0,"YUKSEK","NORMAL"))</f>
        <v/>
      </c>
      <c r="F437" s="17">
        <f>IF($A437="","",_xlfn.TEXTJOIN(" ",TRUE,"Barkod",$A437,"karar",$D437,"net",TEXT($B437,"0.00"),"başabaş",TEXT($C437,"0.00"),"TL"))</f>
        <v/>
      </c>
    </row>
    <row r="438">
      <c r="A438" s="17">
        <f>IF('ESLESTIRME'!$A438="","",IF('ESLESTIRME'!$G438="tutar_farki",'ESLESTIRME'!$A438,""))</f>
        <v/>
      </c>
      <c r="B438" s="17">
        <f>IF($A438="","",IFERROR(SUMIF(tblMotor[A_Norm],$A438,tblMotor[NetKar]),0))</f>
        <v/>
      </c>
      <c r="C438" s="17">
        <f>IF($A438="","",IFERROR(SUMIF(tblMotor[A_Norm],$A438,tblMotor[BasabasFiyat]),0))</f>
        <v/>
      </c>
      <c r="D438" s="17">
        <f>IF($A438="","",IFERROR(INDEX(tblMotor[KararSatir],MATCH($A438,tblMotor[A_Norm],0)),""))</f>
        <v/>
      </c>
      <c r="E438" s="17">
        <f>IF($A438="","",IF($B438&lt;0,"YUKSEK","NORMAL"))</f>
        <v/>
      </c>
      <c r="F438" s="17">
        <f>IF($A438="","",_xlfn.TEXTJOIN(" ",TRUE,"Barkod",$A438,"karar",$D438,"net",TEXT($B438,"0.00"),"başabaş",TEXT($C438,"0.00"),"TL"))</f>
        <v/>
      </c>
    </row>
    <row r="439">
      <c r="A439" s="17">
        <f>IF('ESLESTIRME'!$A439="","",IF('ESLESTIRME'!$G439="tutar_farki",'ESLESTIRME'!$A439,""))</f>
        <v/>
      </c>
      <c r="B439" s="17">
        <f>IF($A439="","",IFERROR(SUMIF(tblMotor[A_Norm],$A439,tblMotor[NetKar]),0))</f>
        <v/>
      </c>
      <c r="C439" s="17">
        <f>IF($A439="","",IFERROR(SUMIF(tblMotor[A_Norm],$A439,tblMotor[BasabasFiyat]),0))</f>
        <v/>
      </c>
      <c r="D439" s="17">
        <f>IF($A439="","",IFERROR(INDEX(tblMotor[KararSatir],MATCH($A439,tblMotor[A_Norm],0)),""))</f>
        <v/>
      </c>
      <c r="E439" s="17">
        <f>IF($A439="","",IF($B439&lt;0,"YUKSEK","NORMAL"))</f>
        <v/>
      </c>
      <c r="F439" s="17">
        <f>IF($A439="","",_xlfn.TEXTJOIN(" ",TRUE,"Barkod",$A439,"karar",$D439,"net",TEXT($B439,"0.00"),"başabaş",TEXT($C439,"0.00"),"TL"))</f>
        <v/>
      </c>
    </row>
    <row r="440">
      <c r="A440" s="17">
        <f>IF('ESLESTIRME'!$A440="","",IF('ESLESTIRME'!$G440="tutar_farki",'ESLESTIRME'!$A440,""))</f>
        <v/>
      </c>
      <c r="B440" s="17">
        <f>IF($A440="","",IFERROR(SUMIF(tblMotor[A_Norm],$A440,tblMotor[NetKar]),0))</f>
        <v/>
      </c>
      <c r="C440" s="17">
        <f>IF($A440="","",IFERROR(SUMIF(tblMotor[A_Norm],$A440,tblMotor[BasabasFiyat]),0))</f>
        <v/>
      </c>
      <c r="D440" s="17">
        <f>IF($A440="","",IFERROR(INDEX(tblMotor[KararSatir],MATCH($A440,tblMotor[A_Norm],0)),""))</f>
        <v/>
      </c>
      <c r="E440" s="17">
        <f>IF($A440="","",IF($B440&lt;0,"YUKSEK","NORMAL"))</f>
        <v/>
      </c>
      <c r="F440" s="17">
        <f>IF($A440="","",_xlfn.TEXTJOIN(" ",TRUE,"Barkod",$A440,"karar",$D440,"net",TEXT($B440,"0.00"),"başabaş",TEXT($C440,"0.00"),"TL"))</f>
        <v/>
      </c>
    </row>
    <row r="441">
      <c r="A441" s="17">
        <f>IF('ESLESTIRME'!$A441="","",IF('ESLESTIRME'!$G441="tutar_farki",'ESLESTIRME'!$A441,""))</f>
        <v/>
      </c>
      <c r="B441" s="17">
        <f>IF($A441="","",IFERROR(SUMIF(tblMotor[A_Norm],$A441,tblMotor[NetKar]),0))</f>
        <v/>
      </c>
      <c r="C441" s="17">
        <f>IF($A441="","",IFERROR(SUMIF(tblMotor[A_Norm],$A441,tblMotor[BasabasFiyat]),0))</f>
        <v/>
      </c>
      <c r="D441" s="17">
        <f>IF($A441="","",IFERROR(INDEX(tblMotor[KararSatir],MATCH($A441,tblMotor[A_Norm],0)),""))</f>
        <v/>
      </c>
      <c r="E441" s="17">
        <f>IF($A441="","",IF($B441&lt;0,"YUKSEK","NORMAL"))</f>
        <v/>
      </c>
      <c r="F441" s="17">
        <f>IF($A441="","",_xlfn.TEXTJOIN(" ",TRUE,"Barkod",$A441,"karar",$D441,"net",TEXT($B441,"0.00"),"başabaş",TEXT($C441,"0.00"),"TL"))</f>
        <v/>
      </c>
    </row>
    <row r="442">
      <c r="A442" s="17">
        <f>IF('ESLESTIRME'!$A442="","",IF('ESLESTIRME'!$G442="tutar_farki",'ESLESTIRME'!$A442,""))</f>
        <v/>
      </c>
      <c r="B442" s="17">
        <f>IF($A442="","",IFERROR(SUMIF(tblMotor[A_Norm],$A442,tblMotor[NetKar]),0))</f>
        <v/>
      </c>
      <c r="C442" s="17">
        <f>IF($A442="","",IFERROR(SUMIF(tblMotor[A_Norm],$A442,tblMotor[BasabasFiyat]),0))</f>
        <v/>
      </c>
      <c r="D442" s="17">
        <f>IF($A442="","",IFERROR(INDEX(tblMotor[KararSatir],MATCH($A442,tblMotor[A_Norm],0)),""))</f>
        <v/>
      </c>
      <c r="E442" s="17">
        <f>IF($A442="","",IF($B442&lt;0,"YUKSEK","NORMAL"))</f>
        <v/>
      </c>
      <c r="F442" s="17">
        <f>IF($A442="","",_xlfn.TEXTJOIN(" ",TRUE,"Barkod",$A442,"karar",$D442,"net",TEXT($B442,"0.00"),"başabaş",TEXT($C442,"0.00"),"TL"))</f>
        <v/>
      </c>
    </row>
    <row r="443">
      <c r="A443" s="17">
        <f>IF('ESLESTIRME'!$A443="","",IF('ESLESTIRME'!$G443="tutar_farki",'ESLESTIRME'!$A443,""))</f>
        <v/>
      </c>
      <c r="B443" s="17">
        <f>IF($A443="","",IFERROR(SUMIF(tblMotor[A_Norm],$A443,tblMotor[NetKar]),0))</f>
        <v/>
      </c>
      <c r="C443" s="17">
        <f>IF($A443="","",IFERROR(SUMIF(tblMotor[A_Norm],$A443,tblMotor[BasabasFiyat]),0))</f>
        <v/>
      </c>
      <c r="D443" s="17">
        <f>IF($A443="","",IFERROR(INDEX(tblMotor[KararSatir],MATCH($A443,tblMotor[A_Norm],0)),""))</f>
        <v/>
      </c>
      <c r="E443" s="17">
        <f>IF($A443="","",IF($B443&lt;0,"YUKSEK","NORMAL"))</f>
        <v/>
      </c>
      <c r="F443" s="17">
        <f>IF($A443="","",_xlfn.TEXTJOIN(" ",TRUE,"Barkod",$A443,"karar",$D443,"net",TEXT($B443,"0.00"),"başabaş",TEXT($C443,"0.00"),"TL"))</f>
        <v/>
      </c>
    </row>
    <row r="444">
      <c r="A444" s="17">
        <f>IF('ESLESTIRME'!$A444="","",IF('ESLESTIRME'!$G444="tutar_farki",'ESLESTIRME'!$A444,""))</f>
        <v/>
      </c>
      <c r="B444" s="17">
        <f>IF($A444="","",IFERROR(SUMIF(tblMotor[A_Norm],$A444,tblMotor[NetKar]),0))</f>
        <v/>
      </c>
      <c r="C444" s="17">
        <f>IF($A444="","",IFERROR(SUMIF(tblMotor[A_Norm],$A444,tblMotor[BasabasFiyat]),0))</f>
        <v/>
      </c>
      <c r="D444" s="17">
        <f>IF($A444="","",IFERROR(INDEX(tblMotor[KararSatir],MATCH($A444,tblMotor[A_Norm],0)),""))</f>
        <v/>
      </c>
      <c r="E444" s="17">
        <f>IF($A444="","",IF($B444&lt;0,"YUKSEK","NORMAL"))</f>
        <v/>
      </c>
      <c r="F444" s="17">
        <f>IF($A444="","",_xlfn.TEXTJOIN(" ",TRUE,"Barkod",$A444,"karar",$D444,"net",TEXT($B444,"0.00"),"başabaş",TEXT($C444,"0.00"),"TL"))</f>
        <v/>
      </c>
    </row>
    <row r="445">
      <c r="A445" s="17">
        <f>IF('ESLESTIRME'!$A445="","",IF('ESLESTIRME'!$G445="tutar_farki",'ESLESTIRME'!$A445,""))</f>
        <v/>
      </c>
      <c r="B445" s="17">
        <f>IF($A445="","",IFERROR(SUMIF(tblMotor[A_Norm],$A445,tblMotor[NetKar]),0))</f>
        <v/>
      </c>
      <c r="C445" s="17">
        <f>IF($A445="","",IFERROR(SUMIF(tblMotor[A_Norm],$A445,tblMotor[BasabasFiyat]),0))</f>
        <v/>
      </c>
      <c r="D445" s="17">
        <f>IF($A445="","",IFERROR(INDEX(tblMotor[KararSatir],MATCH($A445,tblMotor[A_Norm],0)),""))</f>
        <v/>
      </c>
      <c r="E445" s="17">
        <f>IF($A445="","",IF($B445&lt;0,"YUKSEK","NORMAL"))</f>
        <v/>
      </c>
      <c r="F445" s="17">
        <f>IF($A445="","",_xlfn.TEXTJOIN(" ",TRUE,"Barkod",$A445,"karar",$D445,"net",TEXT($B445,"0.00"),"başabaş",TEXT($C445,"0.00"),"TL"))</f>
        <v/>
      </c>
    </row>
    <row r="446">
      <c r="A446" s="17">
        <f>IF('ESLESTIRME'!$A446="","",IF('ESLESTIRME'!$G446="tutar_farki",'ESLESTIRME'!$A446,""))</f>
        <v/>
      </c>
      <c r="B446" s="17">
        <f>IF($A446="","",IFERROR(SUMIF(tblMotor[A_Norm],$A446,tblMotor[NetKar]),0))</f>
        <v/>
      </c>
      <c r="C446" s="17">
        <f>IF($A446="","",IFERROR(SUMIF(tblMotor[A_Norm],$A446,tblMotor[BasabasFiyat]),0))</f>
        <v/>
      </c>
      <c r="D446" s="17">
        <f>IF($A446="","",IFERROR(INDEX(tblMotor[KararSatir],MATCH($A446,tblMotor[A_Norm],0)),""))</f>
        <v/>
      </c>
      <c r="E446" s="17">
        <f>IF($A446="","",IF($B446&lt;0,"YUKSEK","NORMAL"))</f>
        <v/>
      </c>
      <c r="F446" s="17">
        <f>IF($A446="","",_xlfn.TEXTJOIN(" ",TRUE,"Barkod",$A446,"karar",$D446,"net",TEXT($B446,"0.00"),"başabaş",TEXT($C446,"0.00"),"TL"))</f>
        <v/>
      </c>
    </row>
    <row r="447">
      <c r="A447" s="17">
        <f>IF('ESLESTIRME'!$A447="","",IF('ESLESTIRME'!$G447="tutar_farki",'ESLESTIRME'!$A447,""))</f>
        <v/>
      </c>
      <c r="B447" s="17">
        <f>IF($A447="","",IFERROR(SUMIF(tblMotor[A_Norm],$A447,tblMotor[NetKar]),0))</f>
        <v/>
      </c>
      <c r="C447" s="17">
        <f>IF($A447="","",IFERROR(SUMIF(tblMotor[A_Norm],$A447,tblMotor[BasabasFiyat]),0))</f>
        <v/>
      </c>
      <c r="D447" s="17">
        <f>IF($A447="","",IFERROR(INDEX(tblMotor[KararSatir],MATCH($A447,tblMotor[A_Norm],0)),""))</f>
        <v/>
      </c>
      <c r="E447" s="17">
        <f>IF($A447="","",IF($B447&lt;0,"YUKSEK","NORMAL"))</f>
        <v/>
      </c>
      <c r="F447" s="17">
        <f>IF($A447="","",_xlfn.TEXTJOIN(" ",TRUE,"Barkod",$A447,"karar",$D447,"net",TEXT($B447,"0.00"),"başabaş",TEXT($C447,"0.00"),"TL"))</f>
        <v/>
      </c>
    </row>
    <row r="448">
      <c r="A448" s="17">
        <f>IF('ESLESTIRME'!$A448="","",IF('ESLESTIRME'!$G448="tutar_farki",'ESLESTIRME'!$A448,""))</f>
        <v/>
      </c>
      <c r="B448" s="17">
        <f>IF($A448="","",IFERROR(SUMIF(tblMotor[A_Norm],$A448,tblMotor[NetKar]),0))</f>
        <v/>
      </c>
      <c r="C448" s="17">
        <f>IF($A448="","",IFERROR(SUMIF(tblMotor[A_Norm],$A448,tblMotor[BasabasFiyat]),0))</f>
        <v/>
      </c>
      <c r="D448" s="17">
        <f>IF($A448="","",IFERROR(INDEX(tblMotor[KararSatir],MATCH($A448,tblMotor[A_Norm],0)),""))</f>
        <v/>
      </c>
      <c r="E448" s="17">
        <f>IF($A448="","",IF($B448&lt;0,"YUKSEK","NORMAL"))</f>
        <v/>
      </c>
      <c r="F448" s="17">
        <f>IF($A448="","",_xlfn.TEXTJOIN(" ",TRUE,"Barkod",$A448,"karar",$D448,"net",TEXT($B448,"0.00"),"başabaş",TEXT($C448,"0.00"),"TL"))</f>
        <v/>
      </c>
    </row>
    <row r="449">
      <c r="A449" s="17">
        <f>IF('ESLESTIRME'!$A449="","",IF('ESLESTIRME'!$G449="tutar_farki",'ESLESTIRME'!$A449,""))</f>
        <v/>
      </c>
      <c r="B449" s="17">
        <f>IF($A449="","",IFERROR(SUMIF(tblMotor[A_Norm],$A449,tblMotor[NetKar]),0))</f>
        <v/>
      </c>
      <c r="C449" s="17">
        <f>IF($A449="","",IFERROR(SUMIF(tblMotor[A_Norm],$A449,tblMotor[BasabasFiyat]),0))</f>
        <v/>
      </c>
      <c r="D449" s="17">
        <f>IF($A449="","",IFERROR(INDEX(tblMotor[KararSatir],MATCH($A449,tblMotor[A_Norm],0)),""))</f>
        <v/>
      </c>
      <c r="E449" s="17">
        <f>IF($A449="","",IF($B449&lt;0,"YUKSEK","NORMAL"))</f>
        <v/>
      </c>
      <c r="F449" s="17">
        <f>IF($A449="","",_xlfn.TEXTJOIN(" ",TRUE,"Barkod",$A449,"karar",$D449,"net",TEXT($B449,"0.00"),"başabaş",TEXT($C449,"0.00"),"TL"))</f>
        <v/>
      </c>
    </row>
    <row r="450">
      <c r="A450" s="17">
        <f>IF('ESLESTIRME'!$A450="","",IF('ESLESTIRME'!$G450="tutar_farki",'ESLESTIRME'!$A450,""))</f>
        <v/>
      </c>
      <c r="B450" s="17">
        <f>IF($A450="","",IFERROR(SUMIF(tblMotor[A_Norm],$A450,tblMotor[NetKar]),0))</f>
        <v/>
      </c>
      <c r="C450" s="17">
        <f>IF($A450="","",IFERROR(SUMIF(tblMotor[A_Norm],$A450,tblMotor[BasabasFiyat]),0))</f>
        <v/>
      </c>
      <c r="D450" s="17">
        <f>IF($A450="","",IFERROR(INDEX(tblMotor[KararSatir],MATCH($A450,tblMotor[A_Norm],0)),""))</f>
        <v/>
      </c>
      <c r="E450" s="17">
        <f>IF($A450="","",IF($B450&lt;0,"YUKSEK","NORMAL"))</f>
        <v/>
      </c>
      <c r="F450" s="17">
        <f>IF($A450="","",_xlfn.TEXTJOIN(" ",TRUE,"Barkod",$A450,"karar",$D450,"net",TEXT($B450,"0.00"),"başabaş",TEXT($C450,"0.00"),"TL"))</f>
        <v/>
      </c>
    </row>
    <row r="451">
      <c r="A451" s="17">
        <f>IF('ESLESTIRME'!$A451="","",IF('ESLESTIRME'!$G451="tutar_farki",'ESLESTIRME'!$A451,""))</f>
        <v/>
      </c>
      <c r="B451" s="17">
        <f>IF($A451="","",IFERROR(SUMIF(tblMotor[A_Norm],$A451,tblMotor[NetKar]),0))</f>
        <v/>
      </c>
      <c r="C451" s="17">
        <f>IF($A451="","",IFERROR(SUMIF(tblMotor[A_Norm],$A451,tblMotor[BasabasFiyat]),0))</f>
        <v/>
      </c>
      <c r="D451" s="17">
        <f>IF($A451="","",IFERROR(INDEX(tblMotor[KararSatir],MATCH($A451,tblMotor[A_Norm],0)),""))</f>
        <v/>
      </c>
      <c r="E451" s="17">
        <f>IF($A451="","",IF($B451&lt;0,"YUKSEK","NORMAL"))</f>
        <v/>
      </c>
      <c r="F451" s="17">
        <f>IF($A451="","",_xlfn.TEXTJOIN(" ",TRUE,"Barkod",$A451,"karar",$D451,"net",TEXT($B451,"0.00"),"başabaş",TEXT($C451,"0.00"),"TL"))</f>
        <v/>
      </c>
    </row>
    <row r="452">
      <c r="A452" s="17">
        <f>IF('ESLESTIRME'!$A452="","",IF('ESLESTIRME'!$G452="tutar_farki",'ESLESTIRME'!$A452,""))</f>
        <v/>
      </c>
      <c r="B452" s="17">
        <f>IF($A452="","",IFERROR(SUMIF(tblMotor[A_Norm],$A452,tblMotor[NetKar]),0))</f>
        <v/>
      </c>
      <c r="C452" s="17">
        <f>IF($A452="","",IFERROR(SUMIF(tblMotor[A_Norm],$A452,tblMotor[BasabasFiyat]),0))</f>
        <v/>
      </c>
      <c r="D452" s="17">
        <f>IF($A452="","",IFERROR(INDEX(tblMotor[KararSatir],MATCH($A452,tblMotor[A_Norm],0)),""))</f>
        <v/>
      </c>
      <c r="E452" s="17">
        <f>IF($A452="","",IF($B452&lt;0,"YUKSEK","NORMAL"))</f>
        <v/>
      </c>
      <c r="F452" s="17">
        <f>IF($A452="","",_xlfn.TEXTJOIN(" ",TRUE,"Barkod",$A452,"karar",$D452,"net",TEXT($B452,"0.00"),"başabaş",TEXT($C452,"0.00"),"TL"))</f>
        <v/>
      </c>
    </row>
    <row r="453">
      <c r="A453" s="17">
        <f>IF('ESLESTIRME'!$A453="","",IF('ESLESTIRME'!$G453="tutar_farki",'ESLESTIRME'!$A453,""))</f>
        <v/>
      </c>
      <c r="B453" s="17">
        <f>IF($A453="","",IFERROR(SUMIF(tblMotor[A_Norm],$A453,tblMotor[NetKar]),0))</f>
        <v/>
      </c>
      <c r="C453" s="17">
        <f>IF($A453="","",IFERROR(SUMIF(tblMotor[A_Norm],$A453,tblMotor[BasabasFiyat]),0))</f>
        <v/>
      </c>
      <c r="D453" s="17">
        <f>IF($A453="","",IFERROR(INDEX(tblMotor[KararSatir],MATCH($A453,tblMotor[A_Norm],0)),""))</f>
        <v/>
      </c>
      <c r="E453" s="17">
        <f>IF($A453="","",IF($B453&lt;0,"YUKSEK","NORMAL"))</f>
        <v/>
      </c>
      <c r="F453" s="17">
        <f>IF($A453="","",_xlfn.TEXTJOIN(" ",TRUE,"Barkod",$A453,"karar",$D453,"net",TEXT($B453,"0.00"),"başabaş",TEXT($C453,"0.00"),"TL"))</f>
        <v/>
      </c>
    </row>
    <row r="454">
      <c r="A454" s="17">
        <f>IF('ESLESTIRME'!$A454="","",IF('ESLESTIRME'!$G454="tutar_farki",'ESLESTIRME'!$A454,""))</f>
        <v/>
      </c>
      <c r="B454" s="17">
        <f>IF($A454="","",IFERROR(SUMIF(tblMotor[A_Norm],$A454,tblMotor[NetKar]),0))</f>
        <v/>
      </c>
      <c r="C454" s="17">
        <f>IF($A454="","",IFERROR(SUMIF(tblMotor[A_Norm],$A454,tblMotor[BasabasFiyat]),0))</f>
        <v/>
      </c>
      <c r="D454" s="17">
        <f>IF($A454="","",IFERROR(INDEX(tblMotor[KararSatir],MATCH($A454,tblMotor[A_Norm],0)),""))</f>
        <v/>
      </c>
      <c r="E454" s="17">
        <f>IF($A454="","",IF($B454&lt;0,"YUKSEK","NORMAL"))</f>
        <v/>
      </c>
      <c r="F454" s="17">
        <f>IF($A454="","",_xlfn.TEXTJOIN(" ",TRUE,"Barkod",$A454,"karar",$D454,"net",TEXT($B454,"0.00"),"başabaş",TEXT($C454,"0.00"),"TL"))</f>
        <v/>
      </c>
    </row>
    <row r="455">
      <c r="A455" s="17">
        <f>IF('ESLESTIRME'!$A455="","",IF('ESLESTIRME'!$G455="tutar_farki",'ESLESTIRME'!$A455,""))</f>
        <v/>
      </c>
      <c r="B455" s="17">
        <f>IF($A455="","",IFERROR(SUMIF(tblMotor[A_Norm],$A455,tblMotor[NetKar]),0))</f>
        <v/>
      </c>
      <c r="C455" s="17">
        <f>IF($A455="","",IFERROR(SUMIF(tblMotor[A_Norm],$A455,tblMotor[BasabasFiyat]),0))</f>
        <v/>
      </c>
      <c r="D455" s="17">
        <f>IF($A455="","",IFERROR(INDEX(tblMotor[KararSatir],MATCH($A455,tblMotor[A_Norm],0)),""))</f>
        <v/>
      </c>
      <c r="E455" s="17">
        <f>IF($A455="","",IF($B455&lt;0,"YUKSEK","NORMAL"))</f>
        <v/>
      </c>
      <c r="F455" s="17">
        <f>IF($A455="","",_xlfn.TEXTJOIN(" ",TRUE,"Barkod",$A455,"karar",$D455,"net",TEXT($B455,"0.00"),"başabaş",TEXT($C455,"0.00"),"TL"))</f>
        <v/>
      </c>
    </row>
    <row r="456">
      <c r="A456" s="17">
        <f>IF('ESLESTIRME'!$A456="","",IF('ESLESTIRME'!$G456="tutar_farki",'ESLESTIRME'!$A456,""))</f>
        <v/>
      </c>
      <c r="B456" s="17">
        <f>IF($A456="","",IFERROR(SUMIF(tblMotor[A_Norm],$A456,tblMotor[NetKar]),0))</f>
        <v/>
      </c>
      <c r="C456" s="17">
        <f>IF($A456="","",IFERROR(SUMIF(tblMotor[A_Norm],$A456,tblMotor[BasabasFiyat]),0))</f>
        <v/>
      </c>
      <c r="D456" s="17">
        <f>IF($A456="","",IFERROR(INDEX(tblMotor[KararSatir],MATCH($A456,tblMotor[A_Norm],0)),""))</f>
        <v/>
      </c>
      <c r="E456" s="17">
        <f>IF($A456="","",IF($B456&lt;0,"YUKSEK","NORMAL"))</f>
        <v/>
      </c>
      <c r="F456" s="17">
        <f>IF($A456="","",_xlfn.TEXTJOIN(" ",TRUE,"Barkod",$A456,"karar",$D456,"net",TEXT($B456,"0.00"),"başabaş",TEXT($C456,"0.00"),"TL"))</f>
        <v/>
      </c>
    </row>
    <row r="457">
      <c r="A457" s="17">
        <f>IF('ESLESTIRME'!$A457="","",IF('ESLESTIRME'!$G457="tutar_farki",'ESLESTIRME'!$A457,""))</f>
        <v/>
      </c>
      <c r="B457" s="17">
        <f>IF($A457="","",IFERROR(SUMIF(tblMotor[A_Norm],$A457,tblMotor[NetKar]),0))</f>
        <v/>
      </c>
      <c r="C457" s="17">
        <f>IF($A457="","",IFERROR(SUMIF(tblMotor[A_Norm],$A457,tblMotor[BasabasFiyat]),0))</f>
        <v/>
      </c>
      <c r="D457" s="17">
        <f>IF($A457="","",IFERROR(INDEX(tblMotor[KararSatir],MATCH($A457,tblMotor[A_Norm],0)),""))</f>
        <v/>
      </c>
      <c r="E457" s="17">
        <f>IF($A457="","",IF($B457&lt;0,"YUKSEK","NORMAL"))</f>
        <v/>
      </c>
      <c r="F457" s="17">
        <f>IF($A457="","",_xlfn.TEXTJOIN(" ",TRUE,"Barkod",$A457,"karar",$D457,"net",TEXT($B457,"0.00"),"başabaş",TEXT($C457,"0.00"),"TL"))</f>
        <v/>
      </c>
    </row>
    <row r="458">
      <c r="A458" s="17">
        <f>IF('ESLESTIRME'!$A458="","",IF('ESLESTIRME'!$G458="tutar_farki",'ESLESTIRME'!$A458,""))</f>
        <v/>
      </c>
      <c r="B458" s="17">
        <f>IF($A458="","",IFERROR(SUMIF(tblMotor[A_Norm],$A458,tblMotor[NetKar]),0))</f>
        <v/>
      </c>
      <c r="C458" s="17">
        <f>IF($A458="","",IFERROR(SUMIF(tblMotor[A_Norm],$A458,tblMotor[BasabasFiyat]),0))</f>
        <v/>
      </c>
      <c r="D458" s="17">
        <f>IF($A458="","",IFERROR(INDEX(tblMotor[KararSatir],MATCH($A458,tblMotor[A_Norm],0)),""))</f>
        <v/>
      </c>
      <c r="E458" s="17">
        <f>IF($A458="","",IF($B458&lt;0,"YUKSEK","NORMAL"))</f>
        <v/>
      </c>
      <c r="F458" s="17">
        <f>IF($A458="","",_xlfn.TEXTJOIN(" ",TRUE,"Barkod",$A458,"karar",$D458,"net",TEXT($B458,"0.00"),"başabaş",TEXT($C458,"0.00"),"TL"))</f>
        <v/>
      </c>
    </row>
    <row r="459">
      <c r="A459" s="17">
        <f>IF('ESLESTIRME'!$A459="","",IF('ESLESTIRME'!$G459="tutar_farki",'ESLESTIRME'!$A459,""))</f>
        <v/>
      </c>
      <c r="B459" s="17">
        <f>IF($A459="","",IFERROR(SUMIF(tblMotor[A_Norm],$A459,tblMotor[NetKar]),0))</f>
        <v/>
      </c>
      <c r="C459" s="17">
        <f>IF($A459="","",IFERROR(SUMIF(tblMotor[A_Norm],$A459,tblMotor[BasabasFiyat]),0))</f>
        <v/>
      </c>
      <c r="D459" s="17">
        <f>IF($A459="","",IFERROR(INDEX(tblMotor[KararSatir],MATCH($A459,tblMotor[A_Norm],0)),""))</f>
        <v/>
      </c>
      <c r="E459" s="17">
        <f>IF($A459="","",IF($B459&lt;0,"YUKSEK","NORMAL"))</f>
        <v/>
      </c>
      <c r="F459" s="17">
        <f>IF($A459="","",_xlfn.TEXTJOIN(" ",TRUE,"Barkod",$A459,"karar",$D459,"net",TEXT($B459,"0.00"),"başabaş",TEXT($C459,"0.00"),"TL"))</f>
        <v/>
      </c>
    </row>
    <row r="460">
      <c r="A460" s="17">
        <f>IF('ESLESTIRME'!$A460="","",IF('ESLESTIRME'!$G460="tutar_farki",'ESLESTIRME'!$A460,""))</f>
        <v/>
      </c>
      <c r="B460" s="17">
        <f>IF($A460="","",IFERROR(SUMIF(tblMotor[A_Norm],$A460,tblMotor[NetKar]),0))</f>
        <v/>
      </c>
      <c r="C460" s="17">
        <f>IF($A460="","",IFERROR(SUMIF(tblMotor[A_Norm],$A460,tblMotor[BasabasFiyat]),0))</f>
        <v/>
      </c>
      <c r="D460" s="17">
        <f>IF($A460="","",IFERROR(INDEX(tblMotor[KararSatir],MATCH($A460,tblMotor[A_Norm],0)),""))</f>
        <v/>
      </c>
      <c r="E460" s="17">
        <f>IF($A460="","",IF($B460&lt;0,"YUKSEK","NORMAL"))</f>
        <v/>
      </c>
      <c r="F460" s="17">
        <f>IF($A460="","",_xlfn.TEXTJOIN(" ",TRUE,"Barkod",$A460,"karar",$D460,"net",TEXT($B460,"0.00"),"başabaş",TEXT($C460,"0.00"),"TL"))</f>
        <v/>
      </c>
    </row>
    <row r="461">
      <c r="A461" s="17">
        <f>IF('ESLESTIRME'!$A461="","",IF('ESLESTIRME'!$G461="tutar_farki",'ESLESTIRME'!$A461,""))</f>
        <v/>
      </c>
      <c r="B461" s="17">
        <f>IF($A461="","",IFERROR(SUMIF(tblMotor[A_Norm],$A461,tblMotor[NetKar]),0))</f>
        <v/>
      </c>
      <c r="C461" s="17">
        <f>IF($A461="","",IFERROR(SUMIF(tblMotor[A_Norm],$A461,tblMotor[BasabasFiyat]),0))</f>
        <v/>
      </c>
      <c r="D461" s="17">
        <f>IF($A461="","",IFERROR(INDEX(tblMotor[KararSatir],MATCH($A461,tblMotor[A_Norm],0)),""))</f>
        <v/>
      </c>
      <c r="E461" s="17">
        <f>IF($A461="","",IF($B461&lt;0,"YUKSEK","NORMAL"))</f>
        <v/>
      </c>
      <c r="F461" s="17">
        <f>IF($A461="","",_xlfn.TEXTJOIN(" ",TRUE,"Barkod",$A461,"karar",$D461,"net",TEXT($B461,"0.00"),"başabaş",TEXT($C461,"0.00"),"TL"))</f>
        <v/>
      </c>
    </row>
    <row r="462">
      <c r="A462" s="17">
        <f>IF('ESLESTIRME'!$A462="","",IF('ESLESTIRME'!$G462="tutar_farki",'ESLESTIRME'!$A462,""))</f>
        <v/>
      </c>
      <c r="B462" s="17">
        <f>IF($A462="","",IFERROR(SUMIF(tblMotor[A_Norm],$A462,tblMotor[NetKar]),0))</f>
        <v/>
      </c>
      <c r="C462" s="17">
        <f>IF($A462="","",IFERROR(SUMIF(tblMotor[A_Norm],$A462,tblMotor[BasabasFiyat]),0))</f>
        <v/>
      </c>
      <c r="D462" s="17">
        <f>IF($A462="","",IFERROR(INDEX(tblMotor[KararSatir],MATCH($A462,tblMotor[A_Norm],0)),""))</f>
        <v/>
      </c>
      <c r="E462" s="17">
        <f>IF($A462="","",IF($B462&lt;0,"YUKSEK","NORMAL"))</f>
        <v/>
      </c>
      <c r="F462" s="17">
        <f>IF($A462="","",_xlfn.TEXTJOIN(" ",TRUE,"Barkod",$A462,"karar",$D462,"net",TEXT($B462,"0.00"),"başabaş",TEXT($C462,"0.00"),"TL"))</f>
        <v/>
      </c>
    </row>
    <row r="463">
      <c r="A463" s="17">
        <f>IF('ESLESTIRME'!$A463="","",IF('ESLESTIRME'!$G463="tutar_farki",'ESLESTIRME'!$A463,""))</f>
        <v/>
      </c>
      <c r="B463" s="17">
        <f>IF($A463="","",IFERROR(SUMIF(tblMotor[A_Norm],$A463,tblMotor[NetKar]),0))</f>
        <v/>
      </c>
      <c r="C463" s="17">
        <f>IF($A463="","",IFERROR(SUMIF(tblMotor[A_Norm],$A463,tblMotor[BasabasFiyat]),0))</f>
        <v/>
      </c>
      <c r="D463" s="17">
        <f>IF($A463="","",IFERROR(INDEX(tblMotor[KararSatir],MATCH($A463,tblMotor[A_Norm],0)),""))</f>
        <v/>
      </c>
      <c r="E463" s="17">
        <f>IF($A463="","",IF($B463&lt;0,"YUKSEK","NORMAL"))</f>
        <v/>
      </c>
      <c r="F463" s="17">
        <f>IF($A463="","",_xlfn.TEXTJOIN(" ",TRUE,"Barkod",$A463,"karar",$D463,"net",TEXT($B463,"0.00"),"başabaş",TEXT($C463,"0.00"),"TL"))</f>
        <v/>
      </c>
    </row>
    <row r="464">
      <c r="A464" s="17">
        <f>IF('ESLESTIRME'!$A464="","",IF('ESLESTIRME'!$G464="tutar_farki",'ESLESTIRME'!$A464,""))</f>
        <v/>
      </c>
      <c r="B464" s="17">
        <f>IF($A464="","",IFERROR(SUMIF(tblMotor[A_Norm],$A464,tblMotor[NetKar]),0))</f>
        <v/>
      </c>
      <c r="C464" s="17">
        <f>IF($A464="","",IFERROR(SUMIF(tblMotor[A_Norm],$A464,tblMotor[BasabasFiyat]),0))</f>
        <v/>
      </c>
      <c r="D464" s="17">
        <f>IF($A464="","",IFERROR(INDEX(tblMotor[KararSatir],MATCH($A464,tblMotor[A_Norm],0)),""))</f>
        <v/>
      </c>
      <c r="E464" s="17">
        <f>IF($A464="","",IF($B464&lt;0,"YUKSEK","NORMAL"))</f>
        <v/>
      </c>
      <c r="F464" s="17">
        <f>IF($A464="","",_xlfn.TEXTJOIN(" ",TRUE,"Barkod",$A464,"karar",$D464,"net",TEXT($B464,"0.00"),"başabaş",TEXT($C464,"0.00"),"TL"))</f>
        <v/>
      </c>
    </row>
    <row r="465">
      <c r="A465" s="17">
        <f>IF('ESLESTIRME'!$A465="","",IF('ESLESTIRME'!$G465="tutar_farki",'ESLESTIRME'!$A465,""))</f>
        <v/>
      </c>
      <c r="B465" s="17">
        <f>IF($A465="","",IFERROR(SUMIF(tblMotor[A_Norm],$A465,tblMotor[NetKar]),0))</f>
        <v/>
      </c>
      <c r="C465" s="17">
        <f>IF($A465="","",IFERROR(SUMIF(tblMotor[A_Norm],$A465,tblMotor[BasabasFiyat]),0))</f>
        <v/>
      </c>
      <c r="D465" s="17">
        <f>IF($A465="","",IFERROR(INDEX(tblMotor[KararSatir],MATCH($A465,tblMotor[A_Norm],0)),""))</f>
        <v/>
      </c>
      <c r="E465" s="17">
        <f>IF($A465="","",IF($B465&lt;0,"YUKSEK","NORMAL"))</f>
        <v/>
      </c>
      <c r="F465" s="17">
        <f>IF($A465="","",_xlfn.TEXTJOIN(" ",TRUE,"Barkod",$A465,"karar",$D465,"net",TEXT($B465,"0.00"),"başabaş",TEXT($C465,"0.00"),"TL"))</f>
        <v/>
      </c>
    </row>
    <row r="466">
      <c r="A466" s="17">
        <f>IF('ESLESTIRME'!$A466="","",IF('ESLESTIRME'!$G466="tutar_farki",'ESLESTIRME'!$A466,""))</f>
        <v/>
      </c>
      <c r="B466" s="17">
        <f>IF($A466="","",IFERROR(SUMIF(tblMotor[A_Norm],$A466,tblMotor[NetKar]),0))</f>
        <v/>
      </c>
      <c r="C466" s="17">
        <f>IF($A466="","",IFERROR(SUMIF(tblMotor[A_Norm],$A466,tblMotor[BasabasFiyat]),0))</f>
        <v/>
      </c>
      <c r="D466" s="17">
        <f>IF($A466="","",IFERROR(INDEX(tblMotor[KararSatir],MATCH($A466,tblMotor[A_Norm],0)),""))</f>
        <v/>
      </c>
      <c r="E466" s="17">
        <f>IF($A466="","",IF($B466&lt;0,"YUKSEK","NORMAL"))</f>
        <v/>
      </c>
      <c r="F466" s="17">
        <f>IF($A466="","",_xlfn.TEXTJOIN(" ",TRUE,"Barkod",$A466,"karar",$D466,"net",TEXT($B466,"0.00"),"başabaş",TEXT($C466,"0.00"),"TL"))</f>
        <v/>
      </c>
    </row>
    <row r="467">
      <c r="A467" s="17">
        <f>IF('ESLESTIRME'!$A467="","",IF('ESLESTIRME'!$G467="tutar_farki",'ESLESTIRME'!$A467,""))</f>
        <v/>
      </c>
      <c r="B467" s="17">
        <f>IF($A467="","",IFERROR(SUMIF(tblMotor[A_Norm],$A467,tblMotor[NetKar]),0))</f>
        <v/>
      </c>
      <c r="C467" s="17">
        <f>IF($A467="","",IFERROR(SUMIF(tblMotor[A_Norm],$A467,tblMotor[BasabasFiyat]),0))</f>
        <v/>
      </c>
      <c r="D467" s="17">
        <f>IF($A467="","",IFERROR(INDEX(tblMotor[KararSatir],MATCH($A467,tblMotor[A_Norm],0)),""))</f>
        <v/>
      </c>
      <c r="E467" s="17">
        <f>IF($A467="","",IF($B467&lt;0,"YUKSEK","NORMAL"))</f>
        <v/>
      </c>
      <c r="F467" s="17">
        <f>IF($A467="","",_xlfn.TEXTJOIN(" ",TRUE,"Barkod",$A467,"karar",$D467,"net",TEXT($B467,"0.00"),"başabaş",TEXT($C467,"0.00"),"TL"))</f>
        <v/>
      </c>
    </row>
    <row r="468">
      <c r="A468" s="17">
        <f>IF('ESLESTIRME'!$A468="","",IF('ESLESTIRME'!$G468="tutar_farki",'ESLESTIRME'!$A468,""))</f>
        <v/>
      </c>
      <c r="B468" s="17">
        <f>IF($A468="","",IFERROR(SUMIF(tblMotor[A_Norm],$A468,tblMotor[NetKar]),0))</f>
        <v/>
      </c>
      <c r="C468" s="17">
        <f>IF($A468="","",IFERROR(SUMIF(tblMotor[A_Norm],$A468,tblMotor[BasabasFiyat]),0))</f>
        <v/>
      </c>
      <c r="D468" s="17">
        <f>IF($A468="","",IFERROR(INDEX(tblMotor[KararSatir],MATCH($A468,tblMotor[A_Norm],0)),""))</f>
        <v/>
      </c>
      <c r="E468" s="17">
        <f>IF($A468="","",IF($B468&lt;0,"YUKSEK","NORMAL"))</f>
        <v/>
      </c>
      <c r="F468" s="17">
        <f>IF($A468="","",_xlfn.TEXTJOIN(" ",TRUE,"Barkod",$A468,"karar",$D468,"net",TEXT($B468,"0.00"),"başabaş",TEXT($C468,"0.00"),"TL"))</f>
        <v/>
      </c>
    </row>
    <row r="469">
      <c r="A469" s="17">
        <f>IF('ESLESTIRME'!$A469="","",IF('ESLESTIRME'!$G469="tutar_farki",'ESLESTIRME'!$A469,""))</f>
        <v/>
      </c>
      <c r="B469" s="17">
        <f>IF($A469="","",IFERROR(SUMIF(tblMotor[A_Norm],$A469,tblMotor[NetKar]),0))</f>
        <v/>
      </c>
      <c r="C469" s="17">
        <f>IF($A469="","",IFERROR(SUMIF(tblMotor[A_Norm],$A469,tblMotor[BasabasFiyat]),0))</f>
        <v/>
      </c>
      <c r="D469" s="17">
        <f>IF($A469="","",IFERROR(INDEX(tblMotor[KararSatir],MATCH($A469,tblMotor[A_Norm],0)),""))</f>
        <v/>
      </c>
      <c r="E469" s="17">
        <f>IF($A469="","",IF($B469&lt;0,"YUKSEK","NORMAL"))</f>
        <v/>
      </c>
      <c r="F469" s="17">
        <f>IF($A469="","",_xlfn.TEXTJOIN(" ",TRUE,"Barkod",$A469,"karar",$D469,"net",TEXT($B469,"0.00"),"başabaş",TEXT($C469,"0.00"),"TL"))</f>
        <v/>
      </c>
    </row>
    <row r="470">
      <c r="A470" s="17">
        <f>IF('ESLESTIRME'!$A470="","",IF('ESLESTIRME'!$G470="tutar_farki",'ESLESTIRME'!$A470,""))</f>
        <v/>
      </c>
      <c r="B470" s="17">
        <f>IF($A470="","",IFERROR(SUMIF(tblMotor[A_Norm],$A470,tblMotor[NetKar]),0))</f>
        <v/>
      </c>
      <c r="C470" s="17">
        <f>IF($A470="","",IFERROR(SUMIF(tblMotor[A_Norm],$A470,tblMotor[BasabasFiyat]),0))</f>
        <v/>
      </c>
      <c r="D470" s="17">
        <f>IF($A470="","",IFERROR(INDEX(tblMotor[KararSatir],MATCH($A470,tblMotor[A_Norm],0)),""))</f>
        <v/>
      </c>
      <c r="E470" s="17">
        <f>IF($A470="","",IF($B470&lt;0,"YUKSEK","NORMAL"))</f>
        <v/>
      </c>
      <c r="F470" s="17">
        <f>IF($A470="","",_xlfn.TEXTJOIN(" ",TRUE,"Barkod",$A470,"karar",$D470,"net",TEXT($B470,"0.00"),"başabaş",TEXT($C470,"0.00"),"TL"))</f>
        <v/>
      </c>
    </row>
    <row r="471">
      <c r="A471" s="17">
        <f>IF('ESLESTIRME'!$A471="","",IF('ESLESTIRME'!$G471="tutar_farki",'ESLESTIRME'!$A471,""))</f>
        <v/>
      </c>
      <c r="B471" s="17">
        <f>IF($A471="","",IFERROR(SUMIF(tblMotor[A_Norm],$A471,tblMotor[NetKar]),0))</f>
        <v/>
      </c>
      <c r="C471" s="17">
        <f>IF($A471="","",IFERROR(SUMIF(tblMotor[A_Norm],$A471,tblMotor[BasabasFiyat]),0))</f>
        <v/>
      </c>
      <c r="D471" s="17">
        <f>IF($A471="","",IFERROR(INDEX(tblMotor[KararSatir],MATCH($A471,tblMotor[A_Norm],0)),""))</f>
        <v/>
      </c>
      <c r="E471" s="17">
        <f>IF($A471="","",IF($B471&lt;0,"YUKSEK","NORMAL"))</f>
        <v/>
      </c>
      <c r="F471" s="17">
        <f>IF($A471="","",_xlfn.TEXTJOIN(" ",TRUE,"Barkod",$A471,"karar",$D471,"net",TEXT($B471,"0.00"),"başabaş",TEXT($C471,"0.00"),"TL"))</f>
        <v/>
      </c>
    </row>
    <row r="472">
      <c r="A472" s="17">
        <f>IF('ESLESTIRME'!$A472="","",IF('ESLESTIRME'!$G472="tutar_farki",'ESLESTIRME'!$A472,""))</f>
        <v/>
      </c>
      <c r="B472" s="17">
        <f>IF($A472="","",IFERROR(SUMIF(tblMotor[A_Norm],$A472,tblMotor[NetKar]),0))</f>
        <v/>
      </c>
      <c r="C472" s="17">
        <f>IF($A472="","",IFERROR(SUMIF(tblMotor[A_Norm],$A472,tblMotor[BasabasFiyat]),0))</f>
        <v/>
      </c>
      <c r="D472" s="17">
        <f>IF($A472="","",IFERROR(INDEX(tblMotor[KararSatir],MATCH($A472,tblMotor[A_Norm],0)),""))</f>
        <v/>
      </c>
      <c r="E472" s="17">
        <f>IF($A472="","",IF($B472&lt;0,"YUKSEK","NORMAL"))</f>
        <v/>
      </c>
      <c r="F472" s="17">
        <f>IF($A472="","",_xlfn.TEXTJOIN(" ",TRUE,"Barkod",$A472,"karar",$D472,"net",TEXT($B472,"0.00"),"başabaş",TEXT($C472,"0.00"),"TL"))</f>
        <v/>
      </c>
    </row>
    <row r="473">
      <c r="A473" s="17">
        <f>IF('ESLESTIRME'!$A473="","",IF('ESLESTIRME'!$G473="tutar_farki",'ESLESTIRME'!$A473,""))</f>
        <v/>
      </c>
      <c r="B473" s="17">
        <f>IF($A473="","",IFERROR(SUMIF(tblMotor[A_Norm],$A473,tblMotor[NetKar]),0))</f>
        <v/>
      </c>
      <c r="C473" s="17">
        <f>IF($A473="","",IFERROR(SUMIF(tblMotor[A_Norm],$A473,tblMotor[BasabasFiyat]),0))</f>
        <v/>
      </c>
      <c r="D473" s="17">
        <f>IF($A473="","",IFERROR(INDEX(tblMotor[KararSatir],MATCH($A473,tblMotor[A_Norm],0)),""))</f>
        <v/>
      </c>
      <c r="E473" s="17">
        <f>IF($A473="","",IF($B473&lt;0,"YUKSEK","NORMAL"))</f>
        <v/>
      </c>
      <c r="F473" s="17">
        <f>IF($A473="","",_xlfn.TEXTJOIN(" ",TRUE,"Barkod",$A473,"karar",$D473,"net",TEXT($B473,"0.00"),"başabaş",TEXT($C473,"0.00"),"TL"))</f>
        <v/>
      </c>
    </row>
    <row r="474">
      <c r="A474" s="17">
        <f>IF('ESLESTIRME'!$A474="","",IF('ESLESTIRME'!$G474="tutar_farki",'ESLESTIRME'!$A474,""))</f>
        <v/>
      </c>
      <c r="B474" s="17">
        <f>IF($A474="","",IFERROR(SUMIF(tblMotor[A_Norm],$A474,tblMotor[NetKar]),0))</f>
        <v/>
      </c>
      <c r="C474" s="17">
        <f>IF($A474="","",IFERROR(SUMIF(tblMotor[A_Norm],$A474,tblMotor[BasabasFiyat]),0))</f>
        <v/>
      </c>
      <c r="D474" s="17">
        <f>IF($A474="","",IFERROR(INDEX(tblMotor[KararSatir],MATCH($A474,tblMotor[A_Norm],0)),""))</f>
        <v/>
      </c>
      <c r="E474" s="17">
        <f>IF($A474="","",IF($B474&lt;0,"YUKSEK","NORMAL"))</f>
        <v/>
      </c>
      <c r="F474" s="17">
        <f>IF($A474="","",_xlfn.TEXTJOIN(" ",TRUE,"Barkod",$A474,"karar",$D474,"net",TEXT($B474,"0.00"),"başabaş",TEXT($C474,"0.00"),"TL"))</f>
        <v/>
      </c>
    </row>
    <row r="475">
      <c r="A475" s="17">
        <f>IF('ESLESTIRME'!$A475="","",IF('ESLESTIRME'!$G475="tutar_farki",'ESLESTIRME'!$A475,""))</f>
        <v/>
      </c>
      <c r="B475" s="17">
        <f>IF($A475="","",IFERROR(SUMIF(tblMotor[A_Norm],$A475,tblMotor[NetKar]),0))</f>
        <v/>
      </c>
      <c r="C475" s="17">
        <f>IF($A475="","",IFERROR(SUMIF(tblMotor[A_Norm],$A475,tblMotor[BasabasFiyat]),0))</f>
        <v/>
      </c>
      <c r="D475" s="17">
        <f>IF($A475="","",IFERROR(INDEX(tblMotor[KararSatir],MATCH($A475,tblMotor[A_Norm],0)),""))</f>
        <v/>
      </c>
      <c r="E475" s="17">
        <f>IF($A475="","",IF($B475&lt;0,"YUKSEK","NORMAL"))</f>
        <v/>
      </c>
      <c r="F475" s="17">
        <f>IF($A475="","",_xlfn.TEXTJOIN(" ",TRUE,"Barkod",$A475,"karar",$D475,"net",TEXT($B475,"0.00"),"başabaş",TEXT($C475,"0.00"),"TL"))</f>
        <v/>
      </c>
    </row>
    <row r="476">
      <c r="A476" s="17">
        <f>IF('ESLESTIRME'!$A476="","",IF('ESLESTIRME'!$G476="tutar_farki",'ESLESTIRME'!$A476,""))</f>
        <v/>
      </c>
      <c r="B476" s="17">
        <f>IF($A476="","",IFERROR(SUMIF(tblMotor[A_Norm],$A476,tblMotor[NetKar]),0))</f>
        <v/>
      </c>
      <c r="C476" s="17">
        <f>IF($A476="","",IFERROR(SUMIF(tblMotor[A_Norm],$A476,tblMotor[BasabasFiyat]),0))</f>
        <v/>
      </c>
      <c r="D476" s="17">
        <f>IF($A476="","",IFERROR(INDEX(tblMotor[KararSatir],MATCH($A476,tblMotor[A_Norm],0)),""))</f>
        <v/>
      </c>
      <c r="E476" s="17">
        <f>IF($A476="","",IF($B476&lt;0,"YUKSEK","NORMAL"))</f>
        <v/>
      </c>
      <c r="F476" s="17">
        <f>IF($A476="","",_xlfn.TEXTJOIN(" ",TRUE,"Barkod",$A476,"karar",$D476,"net",TEXT($B476,"0.00"),"başabaş",TEXT($C476,"0.00"),"TL"))</f>
        <v/>
      </c>
    </row>
    <row r="477">
      <c r="A477" s="17">
        <f>IF('ESLESTIRME'!$A477="","",IF('ESLESTIRME'!$G477="tutar_farki",'ESLESTIRME'!$A477,""))</f>
        <v/>
      </c>
      <c r="B477" s="17">
        <f>IF($A477="","",IFERROR(SUMIF(tblMotor[A_Norm],$A477,tblMotor[NetKar]),0))</f>
        <v/>
      </c>
      <c r="C477" s="17">
        <f>IF($A477="","",IFERROR(SUMIF(tblMotor[A_Norm],$A477,tblMotor[BasabasFiyat]),0))</f>
        <v/>
      </c>
      <c r="D477" s="17">
        <f>IF($A477="","",IFERROR(INDEX(tblMotor[KararSatir],MATCH($A477,tblMotor[A_Norm],0)),""))</f>
        <v/>
      </c>
      <c r="E477" s="17">
        <f>IF($A477="","",IF($B477&lt;0,"YUKSEK","NORMAL"))</f>
        <v/>
      </c>
      <c r="F477" s="17">
        <f>IF($A477="","",_xlfn.TEXTJOIN(" ",TRUE,"Barkod",$A477,"karar",$D477,"net",TEXT($B477,"0.00"),"başabaş",TEXT($C477,"0.00"),"TL"))</f>
        <v/>
      </c>
    </row>
    <row r="478">
      <c r="A478" s="17">
        <f>IF('ESLESTIRME'!$A478="","",IF('ESLESTIRME'!$G478="tutar_farki",'ESLESTIRME'!$A478,""))</f>
        <v/>
      </c>
      <c r="B478" s="17">
        <f>IF($A478="","",IFERROR(SUMIF(tblMotor[A_Norm],$A478,tblMotor[NetKar]),0))</f>
        <v/>
      </c>
      <c r="C478" s="17">
        <f>IF($A478="","",IFERROR(SUMIF(tblMotor[A_Norm],$A478,tblMotor[BasabasFiyat]),0))</f>
        <v/>
      </c>
      <c r="D478" s="17">
        <f>IF($A478="","",IFERROR(INDEX(tblMotor[KararSatir],MATCH($A478,tblMotor[A_Norm],0)),""))</f>
        <v/>
      </c>
      <c r="E478" s="17">
        <f>IF($A478="","",IF($B478&lt;0,"YUKSEK","NORMAL"))</f>
        <v/>
      </c>
      <c r="F478" s="17">
        <f>IF($A478="","",_xlfn.TEXTJOIN(" ",TRUE,"Barkod",$A478,"karar",$D478,"net",TEXT($B478,"0.00"),"başabaş",TEXT($C478,"0.00"),"TL"))</f>
        <v/>
      </c>
    </row>
    <row r="479">
      <c r="A479" s="17">
        <f>IF('ESLESTIRME'!$A479="","",IF('ESLESTIRME'!$G479="tutar_farki",'ESLESTIRME'!$A479,""))</f>
        <v/>
      </c>
      <c r="B479" s="17">
        <f>IF($A479="","",IFERROR(SUMIF(tblMotor[A_Norm],$A479,tblMotor[NetKar]),0))</f>
        <v/>
      </c>
      <c r="C479" s="17">
        <f>IF($A479="","",IFERROR(SUMIF(tblMotor[A_Norm],$A479,tblMotor[BasabasFiyat]),0))</f>
        <v/>
      </c>
      <c r="D479" s="17">
        <f>IF($A479="","",IFERROR(INDEX(tblMotor[KararSatir],MATCH($A479,tblMotor[A_Norm],0)),""))</f>
        <v/>
      </c>
      <c r="E479" s="17">
        <f>IF($A479="","",IF($B479&lt;0,"YUKSEK","NORMAL"))</f>
        <v/>
      </c>
      <c r="F479" s="17">
        <f>IF($A479="","",_xlfn.TEXTJOIN(" ",TRUE,"Barkod",$A479,"karar",$D479,"net",TEXT($B479,"0.00"),"başabaş",TEXT($C479,"0.00"),"TL"))</f>
        <v/>
      </c>
    </row>
    <row r="480">
      <c r="A480" s="17">
        <f>IF('ESLESTIRME'!$A480="","",IF('ESLESTIRME'!$G480="tutar_farki",'ESLESTIRME'!$A480,""))</f>
        <v/>
      </c>
      <c r="B480" s="17">
        <f>IF($A480="","",IFERROR(SUMIF(tblMotor[A_Norm],$A480,tblMotor[NetKar]),0))</f>
        <v/>
      </c>
      <c r="C480" s="17">
        <f>IF($A480="","",IFERROR(SUMIF(tblMotor[A_Norm],$A480,tblMotor[BasabasFiyat]),0))</f>
        <v/>
      </c>
      <c r="D480" s="17">
        <f>IF($A480="","",IFERROR(INDEX(tblMotor[KararSatir],MATCH($A480,tblMotor[A_Norm],0)),""))</f>
        <v/>
      </c>
      <c r="E480" s="17">
        <f>IF($A480="","",IF($B480&lt;0,"YUKSEK","NORMAL"))</f>
        <v/>
      </c>
      <c r="F480" s="17">
        <f>IF($A480="","",_xlfn.TEXTJOIN(" ",TRUE,"Barkod",$A480,"karar",$D480,"net",TEXT($B480,"0.00"),"başabaş",TEXT($C480,"0.00"),"TL"))</f>
        <v/>
      </c>
    </row>
    <row r="481">
      <c r="A481" s="17">
        <f>IF('ESLESTIRME'!$A481="","",IF('ESLESTIRME'!$G481="tutar_farki",'ESLESTIRME'!$A481,""))</f>
        <v/>
      </c>
      <c r="B481" s="17">
        <f>IF($A481="","",IFERROR(SUMIF(tblMotor[A_Norm],$A481,tblMotor[NetKar]),0))</f>
        <v/>
      </c>
      <c r="C481" s="17">
        <f>IF($A481="","",IFERROR(SUMIF(tblMotor[A_Norm],$A481,tblMotor[BasabasFiyat]),0))</f>
        <v/>
      </c>
      <c r="D481" s="17">
        <f>IF($A481="","",IFERROR(INDEX(tblMotor[KararSatir],MATCH($A481,tblMotor[A_Norm],0)),""))</f>
        <v/>
      </c>
      <c r="E481" s="17">
        <f>IF($A481="","",IF($B481&lt;0,"YUKSEK","NORMAL"))</f>
        <v/>
      </c>
      <c r="F481" s="17">
        <f>IF($A481="","",_xlfn.TEXTJOIN(" ",TRUE,"Barkod",$A481,"karar",$D481,"net",TEXT($B481,"0.00"),"başabaş",TEXT($C481,"0.00"),"TL"))</f>
        <v/>
      </c>
    </row>
    <row r="482">
      <c r="A482" s="17">
        <f>IF('ESLESTIRME'!$A482="","",IF('ESLESTIRME'!$G482="tutar_farki",'ESLESTIRME'!$A482,""))</f>
        <v/>
      </c>
      <c r="B482" s="17">
        <f>IF($A482="","",IFERROR(SUMIF(tblMotor[A_Norm],$A482,tblMotor[NetKar]),0))</f>
        <v/>
      </c>
      <c r="C482" s="17">
        <f>IF($A482="","",IFERROR(SUMIF(tblMotor[A_Norm],$A482,tblMotor[BasabasFiyat]),0))</f>
        <v/>
      </c>
      <c r="D482" s="17">
        <f>IF($A482="","",IFERROR(INDEX(tblMotor[KararSatir],MATCH($A482,tblMotor[A_Norm],0)),""))</f>
        <v/>
      </c>
      <c r="E482" s="17">
        <f>IF($A482="","",IF($B482&lt;0,"YUKSEK","NORMAL"))</f>
        <v/>
      </c>
      <c r="F482" s="17">
        <f>IF($A482="","",_xlfn.TEXTJOIN(" ",TRUE,"Barkod",$A482,"karar",$D482,"net",TEXT($B482,"0.00"),"başabaş",TEXT($C482,"0.00"),"TL"))</f>
        <v/>
      </c>
    </row>
    <row r="483">
      <c r="A483" s="17">
        <f>IF('ESLESTIRME'!$A483="","",IF('ESLESTIRME'!$G483="tutar_farki",'ESLESTIRME'!$A483,""))</f>
        <v/>
      </c>
      <c r="B483" s="17">
        <f>IF($A483="","",IFERROR(SUMIF(tblMotor[A_Norm],$A483,tblMotor[NetKar]),0))</f>
        <v/>
      </c>
      <c r="C483" s="17">
        <f>IF($A483="","",IFERROR(SUMIF(tblMotor[A_Norm],$A483,tblMotor[BasabasFiyat]),0))</f>
        <v/>
      </c>
      <c r="D483" s="17">
        <f>IF($A483="","",IFERROR(INDEX(tblMotor[KararSatir],MATCH($A483,tblMotor[A_Norm],0)),""))</f>
        <v/>
      </c>
      <c r="E483" s="17">
        <f>IF($A483="","",IF($B483&lt;0,"YUKSEK","NORMAL"))</f>
        <v/>
      </c>
      <c r="F483" s="17">
        <f>IF($A483="","",_xlfn.TEXTJOIN(" ",TRUE,"Barkod",$A483,"karar",$D483,"net",TEXT($B483,"0.00"),"başabaş",TEXT($C483,"0.00"),"TL"))</f>
        <v/>
      </c>
    </row>
    <row r="484">
      <c r="A484" s="17">
        <f>IF('ESLESTIRME'!$A484="","",IF('ESLESTIRME'!$G484="tutar_farki",'ESLESTIRME'!$A484,""))</f>
        <v/>
      </c>
      <c r="B484" s="17">
        <f>IF($A484="","",IFERROR(SUMIF(tblMotor[A_Norm],$A484,tblMotor[NetKar]),0))</f>
        <v/>
      </c>
      <c r="C484" s="17">
        <f>IF($A484="","",IFERROR(SUMIF(tblMotor[A_Norm],$A484,tblMotor[BasabasFiyat]),0))</f>
        <v/>
      </c>
      <c r="D484" s="17">
        <f>IF($A484="","",IFERROR(INDEX(tblMotor[KararSatir],MATCH($A484,tblMotor[A_Norm],0)),""))</f>
        <v/>
      </c>
      <c r="E484" s="17">
        <f>IF($A484="","",IF($B484&lt;0,"YUKSEK","NORMAL"))</f>
        <v/>
      </c>
      <c r="F484" s="17">
        <f>IF($A484="","",_xlfn.TEXTJOIN(" ",TRUE,"Barkod",$A484,"karar",$D484,"net",TEXT($B484,"0.00"),"başabaş",TEXT($C484,"0.00"),"TL"))</f>
        <v/>
      </c>
    </row>
    <row r="485">
      <c r="A485" s="17">
        <f>IF('ESLESTIRME'!$A485="","",IF('ESLESTIRME'!$G485="tutar_farki",'ESLESTIRME'!$A485,""))</f>
        <v/>
      </c>
      <c r="B485" s="17">
        <f>IF($A485="","",IFERROR(SUMIF(tblMotor[A_Norm],$A485,tblMotor[NetKar]),0))</f>
        <v/>
      </c>
      <c r="C485" s="17">
        <f>IF($A485="","",IFERROR(SUMIF(tblMotor[A_Norm],$A485,tblMotor[BasabasFiyat]),0))</f>
        <v/>
      </c>
      <c r="D485" s="17">
        <f>IF($A485="","",IFERROR(INDEX(tblMotor[KararSatir],MATCH($A485,tblMotor[A_Norm],0)),""))</f>
        <v/>
      </c>
      <c r="E485" s="17">
        <f>IF($A485="","",IF($B485&lt;0,"YUKSEK","NORMAL"))</f>
        <v/>
      </c>
      <c r="F485" s="17">
        <f>IF($A485="","",_xlfn.TEXTJOIN(" ",TRUE,"Barkod",$A485,"karar",$D485,"net",TEXT($B485,"0.00"),"başabaş",TEXT($C485,"0.00"),"TL"))</f>
        <v/>
      </c>
    </row>
    <row r="486">
      <c r="A486" s="17">
        <f>IF('ESLESTIRME'!$A486="","",IF('ESLESTIRME'!$G486="tutar_farki",'ESLESTIRME'!$A486,""))</f>
        <v/>
      </c>
      <c r="B486" s="17">
        <f>IF($A486="","",IFERROR(SUMIF(tblMotor[A_Norm],$A486,tblMotor[NetKar]),0))</f>
        <v/>
      </c>
      <c r="C486" s="17">
        <f>IF($A486="","",IFERROR(SUMIF(tblMotor[A_Norm],$A486,tblMotor[BasabasFiyat]),0))</f>
        <v/>
      </c>
      <c r="D486" s="17">
        <f>IF($A486="","",IFERROR(INDEX(tblMotor[KararSatir],MATCH($A486,tblMotor[A_Norm],0)),""))</f>
        <v/>
      </c>
      <c r="E486" s="17">
        <f>IF($A486="","",IF($B486&lt;0,"YUKSEK","NORMAL"))</f>
        <v/>
      </c>
      <c r="F486" s="17">
        <f>IF($A486="","",_xlfn.TEXTJOIN(" ",TRUE,"Barkod",$A486,"karar",$D486,"net",TEXT($B486,"0.00"),"başabaş",TEXT($C486,"0.00"),"TL"))</f>
        <v/>
      </c>
    </row>
    <row r="487">
      <c r="A487" s="17">
        <f>IF('ESLESTIRME'!$A487="","",IF('ESLESTIRME'!$G487="tutar_farki",'ESLESTIRME'!$A487,""))</f>
        <v/>
      </c>
      <c r="B487" s="17">
        <f>IF($A487="","",IFERROR(SUMIF(tblMotor[A_Norm],$A487,tblMotor[NetKar]),0))</f>
        <v/>
      </c>
      <c r="C487" s="17">
        <f>IF($A487="","",IFERROR(SUMIF(tblMotor[A_Norm],$A487,tblMotor[BasabasFiyat]),0))</f>
        <v/>
      </c>
      <c r="D487" s="17">
        <f>IF($A487="","",IFERROR(INDEX(tblMotor[KararSatir],MATCH($A487,tblMotor[A_Norm],0)),""))</f>
        <v/>
      </c>
      <c r="E487" s="17">
        <f>IF($A487="","",IF($B487&lt;0,"YUKSEK","NORMAL"))</f>
        <v/>
      </c>
      <c r="F487" s="17">
        <f>IF($A487="","",_xlfn.TEXTJOIN(" ",TRUE,"Barkod",$A487,"karar",$D487,"net",TEXT($B487,"0.00"),"başabaş",TEXT($C487,"0.00"),"TL"))</f>
        <v/>
      </c>
    </row>
    <row r="488">
      <c r="A488" s="17">
        <f>IF('ESLESTIRME'!$A488="","",IF('ESLESTIRME'!$G488="tutar_farki",'ESLESTIRME'!$A488,""))</f>
        <v/>
      </c>
      <c r="B488" s="17">
        <f>IF($A488="","",IFERROR(SUMIF(tblMotor[A_Norm],$A488,tblMotor[NetKar]),0))</f>
        <v/>
      </c>
      <c r="C488" s="17">
        <f>IF($A488="","",IFERROR(SUMIF(tblMotor[A_Norm],$A488,tblMotor[BasabasFiyat]),0))</f>
        <v/>
      </c>
      <c r="D488" s="17">
        <f>IF($A488="","",IFERROR(INDEX(tblMotor[KararSatir],MATCH($A488,tblMotor[A_Norm],0)),""))</f>
        <v/>
      </c>
      <c r="E488" s="17">
        <f>IF($A488="","",IF($B488&lt;0,"YUKSEK","NORMAL"))</f>
        <v/>
      </c>
      <c r="F488" s="17">
        <f>IF($A488="","",_xlfn.TEXTJOIN(" ",TRUE,"Barkod",$A488,"karar",$D488,"net",TEXT($B488,"0.00"),"başabaş",TEXT($C488,"0.00"),"TL"))</f>
        <v/>
      </c>
    </row>
    <row r="489">
      <c r="A489" s="17">
        <f>IF('ESLESTIRME'!$A489="","",IF('ESLESTIRME'!$G489="tutar_farki",'ESLESTIRME'!$A489,""))</f>
        <v/>
      </c>
      <c r="B489" s="17">
        <f>IF($A489="","",IFERROR(SUMIF(tblMotor[A_Norm],$A489,tblMotor[NetKar]),0))</f>
        <v/>
      </c>
      <c r="C489" s="17">
        <f>IF($A489="","",IFERROR(SUMIF(tblMotor[A_Norm],$A489,tblMotor[BasabasFiyat]),0))</f>
        <v/>
      </c>
      <c r="D489" s="17">
        <f>IF($A489="","",IFERROR(INDEX(tblMotor[KararSatir],MATCH($A489,tblMotor[A_Norm],0)),""))</f>
        <v/>
      </c>
      <c r="E489" s="17">
        <f>IF($A489="","",IF($B489&lt;0,"YUKSEK","NORMAL"))</f>
        <v/>
      </c>
      <c r="F489" s="17">
        <f>IF($A489="","",_xlfn.TEXTJOIN(" ",TRUE,"Barkod",$A489,"karar",$D489,"net",TEXT($B489,"0.00"),"başabaş",TEXT($C489,"0.00"),"TL"))</f>
        <v/>
      </c>
    </row>
    <row r="490">
      <c r="A490" s="17">
        <f>IF('ESLESTIRME'!$A490="","",IF('ESLESTIRME'!$G490="tutar_farki",'ESLESTIRME'!$A490,""))</f>
        <v/>
      </c>
      <c r="B490" s="17">
        <f>IF($A490="","",IFERROR(SUMIF(tblMotor[A_Norm],$A490,tblMotor[NetKar]),0))</f>
        <v/>
      </c>
      <c r="C490" s="17">
        <f>IF($A490="","",IFERROR(SUMIF(tblMotor[A_Norm],$A490,tblMotor[BasabasFiyat]),0))</f>
        <v/>
      </c>
      <c r="D490" s="17">
        <f>IF($A490="","",IFERROR(INDEX(tblMotor[KararSatir],MATCH($A490,tblMotor[A_Norm],0)),""))</f>
        <v/>
      </c>
      <c r="E490" s="17">
        <f>IF($A490="","",IF($B490&lt;0,"YUKSEK","NORMAL"))</f>
        <v/>
      </c>
      <c r="F490" s="17">
        <f>IF($A490="","",_xlfn.TEXTJOIN(" ",TRUE,"Barkod",$A490,"karar",$D490,"net",TEXT($B490,"0.00"),"başabaş",TEXT($C490,"0.00"),"TL"))</f>
        <v/>
      </c>
    </row>
    <row r="491">
      <c r="A491" s="17">
        <f>IF('ESLESTIRME'!$A491="","",IF('ESLESTIRME'!$G491="tutar_farki",'ESLESTIRME'!$A491,""))</f>
        <v/>
      </c>
      <c r="B491" s="17">
        <f>IF($A491="","",IFERROR(SUMIF(tblMotor[A_Norm],$A491,tblMotor[NetKar]),0))</f>
        <v/>
      </c>
      <c r="C491" s="17">
        <f>IF($A491="","",IFERROR(SUMIF(tblMotor[A_Norm],$A491,tblMotor[BasabasFiyat]),0))</f>
        <v/>
      </c>
      <c r="D491" s="17">
        <f>IF($A491="","",IFERROR(INDEX(tblMotor[KararSatir],MATCH($A491,tblMotor[A_Norm],0)),""))</f>
        <v/>
      </c>
      <c r="E491" s="17">
        <f>IF($A491="","",IF($B491&lt;0,"YUKSEK","NORMAL"))</f>
        <v/>
      </c>
      <c r="F491" s="17">
        <f>IF($A491="","",_xlfn.TEXTJOIN(" ",TRUE,"Barkod",$A491,"karar",$D491,"net",TEXT($B491,"0.00"),"başabaş",TEXT($C491,"0.00"),"TL"))</f>
        <v/>
      </c>
    </row>
    <row r="492">
      <c r="A492" s="17">
        <f>IF('ESLESTIRME'!$A492="","",IF('ESLESTIRME'!$G492="tutar_farki",'ESLESTIRME'!$A492,""))</f>
        <v/>
      </c>
      <c r="B492" s="17">
        <f>IF($A492="","",IFERROR(SUMIF(tblMotor[A_Norm],$A492,tblMotor[NetKar]),0))</f>
        <v/>
      </c>
      <c r="C492" s="17">
        <f>IF($A492="","",IFERROR(SUMIF(tblMotor[A_Norm],$A492,tblMotor[BasabasFiyat]),0))</f>
        <v/>
      </c>
      <c r="D492" s="17">
        <f>IF($A492="","",IFERROR(INDEX(tblMotor[KararSatir],MATCH($A492,tblMotor[A_Norm],0)),""))</f>
        <v/>
      </c>
      <c r="E492" s="17">
        <f>IF($A492="","",IF($B492&lt;0,"YUKSEK","NORMAL"))</f>
        <v/>
      </c>
      <c r="F492" s="17">
        <f>IF($A492="","",_xlfn.TEXTJOIN(" ",TRUE,"Barkod",$A492,"karar",$D492,"net",TEXT($B492,"0.00"),"başabaş",TEXT($C492,"0.00"),"TL"))</f>
        <v/>
      </c>
    </row>
    <row r="493">
      <c r="A493" s="17">
        <f>IF('ESLESTIRME'!$A493="","",IF('ESLESTIRME'!$G493="tutar_farki",'ESLESTIRME'!$A493,""))</f>
        <v/>
      </c>
      <c r="B493" s="17">
        <f>IF($A493="","",IFERROR(SUMIF(tblMotor[A_Norm],$A493,tblMotor[NetKar]),0))</f>
        <v/>
      </c>
      <c r="C493" s="17">
        <f>IF($A493="","",IFERROR(SUMIF(tblMotor[A_Norm],$A493,tblMotor[BasabasFiyat]),0))</f>
        <v/>
      </c>
      <c r="D493" s="17">
        <f>IF($A493="","",IFERROR(INDEX(tblMotor[KararSatir],MATCH($A493,tblMotor[A_Norm],0)),""))</f>
        <v/>
      </c>
      <c r="E493" s="17">
        <f>IF($A493="","",IF($B493&lt;0,"YUKSEK","NORMAL"))</f>
        <v/>
      </c>
      <c r="F493" s="17">
        <f>IF($A493="","",_xlfn.TEXTJOIN(" ",TRUE,"Barkod",$A493,"karar",$D493,"net",TEXT($B493,"0.00"),"başabaş",TEXT($C493,"0.00"),"TL"))</f>
        <v/>
      </c>
    </row>
    <row r="494">
      <c r="A494" s="17">
        <f>IF('ESLESTIRME'!$A494="","",IF('ESLESTIRME'!$G494="tutar_farki",'ESLESTIRME'!$A494,""))</f>
        <v/>
      </c>
      <c r="B494" s="17">
        <f>IF($A494="","",IFERROR(SUMIF(tblMotor[A_Norm],$A494,tblMotor[NetKar]),0))</f>
        <v/>
      </c>
      <c r="C494" s="17">
        <f>IF($A494="","",IFERROR(SUMIF(tblMotor[A_Norm],$A494,tblMotor[BasabasFiyat]),0))</f>
        <v/>
      </c>
      <c r="D494" s="17">
        <f>IF($A494="","",IFERROR(INDEX(tblMotor[KararSatir],MATCH($A494,tblMotor[A_Norm],0)),""))</f>
        <v/>
      </c>
      <c r="E494" s="17">
        <f>IF($A494="","",IF($B494&lt;0,"YUKSEK","NORMAL"))</f>
        <v/>
      </c>
      <c r="F494" s="17">
        <f>IF($A494="","",_xlfn.TEXTJOIN(" ",TRUE,"Barkod",$A494,"karar",$D494,"net",TEXT($B494,"0.00"),"başabaş",TEXT($C494,"0.00"),"TL"))</f>
        <v/>
      </c>
    </row>
    <row r="495">
      <c r="A495" s="17">
        <f>IF('ESLESTIRME'!$A495="","",IF('ESLESTIRME'!$G495="tutar_farki",'ESLESTIRME'!$A495,""))</f>
        <v/>
      </c>
      <c r="B495" s="17">
        <f>IF($A495="","",IFERROR(SUMIF(tblMotor[A_Norm],$A495,tblMotor[NetKar]),0))</f>
        <v/>
      </c>
      <c r="C495" s="17">
        <f>IF($A495="","",IFERROR(SUMIF(tblMotor[A_Norm],$A495,tblMotor[BasabasFiyat]),0))</f>
        <v/>
      </c>
      <c r="D495" s="17">
        <f>IF($A495="","",IFERROR(INDEX(tblMotor[KararSatir],MATCH($A495,tblMotor[A_Norm],0)),""))</f>
        <v/>
      </c>
      <c r="E495" s="17">
        <f>IF($A495="","",IF($B495&lt;0,"YUKSEK","NORMAL"))</f>
        <v/>
      </c>
      <c r="F495" s="17">
        <f>IF($A495="","",_xlfn.TEXTJOIN(" ",TRUE,"Barkod",$A495,"karar",$D495,"net",TEXT($B495,"0.00"),"başabaş",TEXT($C495,"0.00"),"TL"))</f>
        <v/>
      </c>
    </row>
    <row r="496">
      <c r="A496" s="17">
        <f>IF('ESLESTIRME'!$A496="","",IF('ESLESTIRME'!$G496="tutar_farki",'ESLESTIRME'!$A496,""))</f>
        <v/>
      </c>
      <c r="B496" s="17">
        <f>IF($A496="","",IFERROR(SUMIF(tblMotor[A_Norm],$A496,tblMotor[NetKar]),0))</f>
        <v/>
      </c>
      <c r="C496" s="17">
        <f>IF($A496="","",IFERROR(SUMIF(tblMotor[A_Norm],$A496,tblMotor[BasabasFiyat]),0))</f>
        <v/>
      </c>
      <c r="D496" s="17">
        <f>IF($A496="","",IFERROR(INDEX(tblMotor[KararSatir],MATCH($A496,tblMotor[A_Norm],0)),""))</f>
        <v/>
      </c>
      <c r="E496" s="17">
        <f>IF($A496="","",IF($B496&lt;0,"YUKSEK","NORMAL"))</f>
        <v/>
      </c>
      <c r="F496" s="17">
        <f>IF($A496="","",_xlfn.TEXTJOIN(" ",TRUE,"Barkod",$A496,"karar",$D496,"net",TEXT($B496,"0.00"),"başabaş",TEXT($C496,"0.00"),"TL"))</f>
        <v/>
      </c>
    </row>
    <row r="497">
      <c r="A497" s="17">
        <f>IF('ESLESTIRME'!$A497="","",IF('ESLESTIRME'!$G497="tutar_farki",'ESLESTIRME'!$A497,""))</f>
        <v/>
      </c>
      <c r="B497" s="17">
        <f>IF($A497="","",IFERROR(SUMIF(tblMotor[A_Norm],$A497,tblMotor[NetKar]),0))</f>
        <v/>
      </c>
      <c r="C497" s="17">
        <f>IF($A497="","",IFERROR(SUMIF(tblMotor[A_Norm],$A497,tblMotor[BasabasFiyat]),0))</f>
        <v/>
      </c>
      <c r="D497" s="17">
        <f>IF($A497="","",IFERROR(INDEX(tblMotor[KararSatir],MATCH($A497,tblMotor[A_Norm],0)),""))</f>
        <v/>
      </c>
      <c r="E497" s="17">
        <f>IF($A497="","",IF($B497&lt;0,"YUKSEK","NORMAL"))</f>
        <v/>
      </c>
      <c r="F497" s="17">
        <f>IF($A497="","",_xlfn.TEXTJOIN(" ",TRUE,"Barkod",$A497,"karar",$D497,"net",TEXT($B497,"0.00"),"başabaş",TEXT($C497,"0.00"),"TL"))</f>
        <v/>
      </c>
    </row>
    <row r="498">
      <c r="A498" s="17">
        <f>IF('ESLESTIRME'!$A498="","",IF('ESLESTIRME'!$G498="tutar_farki",'ESLESTIRME'!$A498,""))</f>
        <v/>
      </c>
      <c r="B498" s="17">
        <f>IF($A498="","",IFERROR(SUMIF(tblMotor[A_Norm],$A498,tblMotor[NetKar]),0))</f>
        <v/>
      </c>
      <c r="C498" s="17">
        <f>IF($A498="","",IFERROR(SUMIF(tblMotor[A_Norm],$A498,tblMotor[BasabasFiyat]),0))</f>
        <v/>
      </c>
      <c r="D498" s="17">
        <f>IF($A498="","",IFERROR(INDEX(tblMotor[KararSatir],MATCH($A498,tblMotor[A_Norm],0)),""))</f>
        <v/>
      </c>
      <c r="E498" s="17">
        <f>IF($A498="","",IF($B498&lt;0,"YUKSEK","NORMAL"))</f>
        <v/>
      </c>
      <c r="F498" s="17">
        <f>IF($A498="","",_xlfn.TEXTJOIN(" ",TRUE,"Barkod",$A498,"karar",$D498,"net",TEXT($B498,"0.00"),"başabaş",TEXT($C498,"0.00"),"TL"))</f>
        <v/>
      </c>
    </row>
    <row r="499">
      <c r="A499" s="17">
        <f>IF('ESLESTIRME'!$A499="","",IF('ESLESTIRME'!$G499="tutar_farki",'ESLESTIRME'!$A499,""))</f>
        <v/>
      </c>
      <c r="B499" s="17">
        <f>IF($A499="","",IFERROR(SUMIF(tblMotor[A_Norm],$A499,tblMotor[NetKar]),0))</f>
        <v/>
      </c>
      <c r="C499" s="17">
        <f>IF($A499="","",IFERROR(SUMIF(tblMotor[A_Norm],$A499,tblMotor[BasabasFiyat]),0))</f>
        <v/>
      </c>
      <c r="D499" s="17">
        <f>IF($A499="","",IFERROR(INDEX(tblMotor[KararSatir],MATCH($A499,tblMotor[A_Norm],0)),""))</f>
        <v/>
      </c>
      <c r="E499" s="17">
        <f>IF($A499="","",IF($B499&lt;0,"YUKSEK","NORMAL"))</f>
        <v/>
      </c>
      <c r="F499" s="17">
        <f>IF($A499="","",_xlfn.TEXTJOIN(" ",TRUE,"Barkod",$A499,"karar",$D499,"net",TEXT($B499,"0.00"),"başabaş",TEXT($C499,"0.00"),"TL"))</f>
        <v/>
      </c>
    </row>
    <row r="500">
      <c r="A500" s="17">
        <f>IF('ESLESTIRME'!$A500="","",IF('ESLESTIRME'!$G500="tutar_farki",'ESLESTIRME'!$A500,""))</f>
        <v/>
      </c>
      <c r="B500" s="17">
        <f>IF($A500="","",IFERROR(SUMIF(tblMotor[A_Norm],$A500,tblMotor[NetKar]),0))</f>
        <v/>
      </c>
      <c r="C500" s="17">
        <f>IF($A500="","",IFERROR(SUMIF(tblMotor[A_Norm],$A500,tblMotor[BasabasFiyat]),0))</f>
        <v/>
      </c>
      <c r="D500" s="17">
        <f>IF($A500="","",IFERROR(INDEX(tblMotor[KararSatir],MATCH($A500,tblMotor[A_Norm],0)),""))</f>
        <v/>
      </c>
      <c r="E500" s="17">
        <f>IF($A500="","",IF($B500&lt;0,"YUKSEK","NORMAL"))</f>
        <v/>
      </c>
      <c r="F500" s="17">
        <f>IF($A500="","",_xlfn.TEXTJOIN(" ",TRUE,"Barkod",$A500,"karar",$D500,"net",TEXT($B500,"0.00"),"başabaş",TEXT($C500,"0.00"),"TL"))</f>
        <v/>
      </c>
    </row>
    <row r="501">
      <c r="A501" s="17">
        <f>IF('ESLESTIRME'!$A501="","",IF('ESLESTIRME'!$G501="tutar_farki",'ESLESTIRME'!$A501,""))</f>
        <v/>
      </c>
      <c r="B501" s="17">
        <f>IF($A501="","",IFERROR(SUMIF(tblMotor[A_Norm],$A501,tblMotor[NetKar]),0))</f>
        <v/>
      </c>
      <c r="C501" s="17">
        <f>IF($A501="","",IFERROR(SUMIF(tblMotor[A_Norm],$A501,tblMotor[BasabasFiyat]),0))</f>
        <v/>
      </c>
      <c r="D501" s="17">
        <f>IF($A501="","",IFERROR(INDEX(tblMotor[KararSatir],MATCH($A501,tblMotor[A_Norm],0)),""))</f>
        <v/>
      </c>
      <c r="E501" s="17">
        <f>IF($A501="","",IF($B501&lt;0,"YUKSEK","NORMAL"))</f>
        <v/>
      </c>
      <c r="F501" s="17">
        <f>IF($A501="","",_xlfn.TEXTJOIN(" ",TRUE,"Barkod",$A501,"karar",$D501,"net",TEXT($B501,"0.00"),"başabaş",TEXT($C501,"0.00"),"TL"))</f>
        <v/>
      </c>
    </row>
    <row r="502">
      <c r="A502" s="17">
        <f>IF('ESLESTIRME'!$A502="","",IF('ESLESTIRME'!$G502="tutar_farki",'ESLESTIRME'!$A502,""))</f>
        <v/>
      </c>
      <c r="B502" s="17">
        <f>IF($A502="","",IFERROR(SUMIF(tblMotor[A_Norm],$A502,tblMotor[NetKar]),0))</f>
        <v/>
      </c>
      <c r="C502" s="17">
        <f>IF($A502="","",IFERROR(SUMIF(tblMotor[A_Norm],$A502,tblMotor[BasabasFiyat]),0))</f>
        <v/>
      </c>
      <c r="D502" s="17">
        <f>IF($A502="","",IFERROR(INDEX(tblMotor[KararSatir],MATCH($A502,tblMotor[A_Norm],0)),""))</f>
        <v/>
      </c>
      <c r="E502" s="17">
        <f>IF($A502="","",IF($B502&lt;0,"YUKSEK","NORMAL"))</f>
        <v/>
      </c>
      <c r="F502" s="17">
        <f>IF($A502="","",_xlfn.TEXTJOIN(" ",TRUE,"Barkod",$A502,"karar",$D502,"net",TEXT($B502,"0.00"),"başabaş",TEXT($C502,"0.00"),"TL"))</f>
        <v/>
      </c>
    </row>
    <row r="503">
      <c r="A503" s="17">
        <f>IF('ESLESTIRME'!$A503="","",IF('ESLESTIRME'!$G503="tutar_farki",'ESLESTIRME'!$A503,""))</f>
        <v/>
      </c>
      <c r="B503" s="17">
        <f>IF($A503="","",IFERROR(SUMIF(tblMotor[A_Norm],$A503,tblMotor[NetKar]),0))</f>
        <v/>
      </c>
      <c r="C503" s="17">
        <f>IF($A503="","",IFERROR(SUMIF(tblMotor[A_Norm],$A503,tblMotor[BasabasFiyat]),0))</f>
        <v/>
      </c>
      <c r="D503" s="17">
        <f>IF($A503="","",IFERROR(INDEX(tblMotor[KararSatir],MATCH($A503,tblMotor[A_Norm],0)),""))</f>
        <v/>
      </c>
      <c r="E503" s="17">
        <f>IF($A503="","",IF($B503&lt;0,"YUKSEK","NORMAL"))</f>
        <v/>
      </c>
      <c r="F503" s="17">
        <f>IF($A503="","",_xlfn.TEXTJOIN(" ",TRUE,"Barkod",$A503,"karar",$D503,"net",TEXT($B503,"0.00"),"başabaş",TEXT($C503,"0.00"),"TL"))</f>
        <v/>
      </c>
    </row>
    <row r="504">
      <c r="A504" s="17">
        <f>IF('ESLESTIRME'!$A504="","",IF('ESLESTIRME'!$G504="tutar_farki",'ESLESTIRME'!$A504,""))</f>
        <v/>
      </c>
      <c r="B504" s="17">
        <f>IF($A504="","",IFERROR(SUMIF(tblMotor[A_Norm],$A504,tblMotor[NetKar]),0))</f>
        <v/>
      </c>
      <c r="C504" s="17">
        <f>IF($A504="","",IFERROR(SUMIF(tblMotor[A_Norm],$A504,tblMotor[BasabasFiyat]),0))</f>
        <v/>
      </c>
      <c r="D504" s="17">
        <f>IF($A504="","",IFERROR(INDEX(tblMotor[KararSatir],MATCH($A504,tblMotor[A_Norm],0)),""))</f>
        <v/>
      </c>
      <c r="E504" s="17">
        <f>IF($A504="","",IF($B504&lt;0,"YUKSEK","NORMAL"))</f>
        <v/>
      </c>
      <c r="F504" s="17">
        <f>IF($A504="","",_xlfn.TEXTJOIN(" ",TRUE,"Barkod",$A504,"karar",$D504,"net",TEXT($B504,"0.00"),"başabaş",TEXT($C504,"0.00"),"TL"))</f>
        <v/>
      </c>
    </row>
    <row r="505">
      <c r="A505" s="17">
        <f>IF('ESLESTIRME'!$A505="","",IF('ESLESTIRME'!$G505="tutar_farki",'ESLESTIRME'!$A505,""))</f>
        <v/>
      </c>
      <c r="B505" s="17">
        <f>IF($A505="","",IFERROR(SUMIF(tblMotor[A_Norm],$A505,tblMotor[NetKar]),0))</f>
        <v/>
      </c>
      <c r="C505" s="17">
        <f>IF($A505="","",IFERROR(SUMIF(tblMotor[A_Norm],$A505,tblMotor[BasabasFiyat]),0))</f>
        <v/>
      </c>
      <c r="D505" s="17">
        <f>IF($A505="","",IFERROR(INDEX(tblMotor[KararSatir],MATCH($A505,tblMotor[A_Norm],0)),""))</f>
        <v/>
      </c>
      <c r="E505" s="17">
        <f>IF($A505="","",IF($B505&lt;0,"YUKSEK","NORMAL"))</f>
        <v/>
      </c>
      <c r="F505" s="17">
        <f>IF($A505="","",_xlfn.TEXTJOIN(" ",TRUE,"Barkod",$A505,"karar",$D505,"net",TEXT($B505,"0.00"),"başabaş",TEXT($C505,"0.00"),"TL"))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equal" dxfId="1">
      <formula>"YUKSEK"</formula>
    </cfRule>
    <cfRule type="cellIs" priority="2" operator="equal" dxfId="0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L24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4" customWidth="1" min="3" max="3"/>
    <col width="12" customWidth="1" min="4" max="4"/>
    <col width="16" customWidth="1" min="5" max="5"/>
  </cols>
  <sheetData>
    <row r="1" ht="26" customHeight="1">
      <c r="A1" s="1" t="inlineStr">
        <is>
          <t>KANIT RAPORU — Trendyol Komisyon Sonrası Net Kâr Hesaplama</t>
        </is>
      </c>
    </row>
    <row r="3" ht="28" customHeight="1">
      <c r="A3" s="34" t="inlineStr">
        <is>
          <t>Trendyol Net Kâr Kanıt Raporu</t>
        </is>
      </c>
    </row>
    <row r="4">
      <c r="A4" s="7" t="inlineStr">
        <is>
          <t>Rapor Tarihi</t>
        </is>
      </c>
      <c r="B4" s="26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35" t="inlineStr">
        <is>
          <t>KARAR</t>
        </is>
      </c>
      <c r="B7" s="36">
        <f>PANO!B4</f>
        <v/>
      </c>
    </row>
    <row r="9">
      <c r="A9" s="7" t="inlineStr">
        <is>
          <t>Eşleşme Oranı</t>
        </is>
      </c>
      <c r="B9" s="37">
        <f>tyk_eslesmeOrani</f>
        <v/>
      </c>
    </row>
    <row r="10">
      <c r="A10" s="7" t="inlineStr">
        <is>
          <t>Toplam Net Kâr</t>
        </is>
      </c>
      <c r="B10" s="38">
        <f>SUM(tblMotor[NetKar])</f>
        <v/>
      </c>
    </row>
    <row r="11">
      <c r="A11" s="7" t="inlineStr">
        <is>
          <t>Hakediş Farkı</t>
        </is>
      </c>
      <c r="B11" s="38">
        <f>tyk_mutabakatFarki</f>
        <v/>
      </c>
    </row>
    <row r="12">
      <c r="A12" s="7" t="inlineStr">
        <is>
          <t>Ortalama Marj</t>
        </is>
      </c>
      <c r="B12" s="37">
        <f>tyk_modulT1</f>
        <v/>
      </c>
    </row>
    <row r="13">
      <c r="A13" s="7" t="inlineStr">
        <is>
          <t>Başabaş Ort.</t>
        </is>
      </c>
      <c r="B13" s="38">
        <f>tyk_basabasFiyat</f>
        <v/>
      </c>
    </row>
    <row r="14">
      <c r="A14" s="7" t="inlineStr">
        <is>
          <t>Tutar Farkı</t>
        </is>
      </c>
      <c r="B14" s="39">
        <f>COUNTIF(tblEslesme[Kova],"tutar_farki")</f>
        <v/>
      </c>
    </row>
    <row r="15">
      <c r="A15" s="7" t="inlineStr">
        <is>
          <t>Kova Bütünlük</t>
        </is>
      </c>
      <c r="B15" s="35">
        <f>tyk_kovaButunluk</f>
        <v/>
      </c>
    </row>
    <row r="16">
      <c r="A16" s="7" t="inlineStr">
        <is>
          <t>Kesinti Toplam</t>
        </is>
      </c>
      <c r="B16" s="38">
        <f>tyk_kesintiKirilim</f>
        <v/>
      </c>
    </row>
    <row r="18">
      <c r="A18" s="19" t="inlineStr">
        <is>
          <t>Varsayımlar</t>
        </is>
      </c>
    </row>
    <row r="19">
      <c r="A19" s="8" t="inlineStr">
        <is>
          <t>Tolerans kuruşu AYARLAR'dan gelir. Barkod UPPER/TRIM/SUBSTITUTE ile normalize edilir. Komisyon oranı kategori tablosundan okunur. Bu çıktı karar destektir; mali görüş yerine geçmez.</t>
        </is>
      </c>
    </row>
    <row r="21">
      <c r="A21" s="19" t="inlineStr">
        <is>
          <t>Önerilen Aksiyonlar</t>
        </is>
      </c>
    </row>
    <row r="22">
      <c r="A22" s="8" t="inlineStr">
        <is>
          <t>1. ÇEKİL satırlarında ilanı durdurun veya maliyeti düşürün.</t>
        </is>
      </c>
    </row>
    <row r="23">
      <c r="A23" s="8" t="inlineStr">
        <is>
          <t>2. ZAM satırlarında başabaş fiyatın üstüne çıkın.</t>
        </is>
      </c>
    </row>
    <row r="24">
      <c r="A24" s="8" t="inlineStr">
        <is>
          <t>3. TANIMSIZ kök nedenleri elle inceleyin.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9:H19"/>
    <mergeCell ref="A1:L1"/>
    <mergeCell ref="A3:J3"/>
  </mergeCells>
  <conditionalFormatting sqref="B7">
    <cfRule type="cellIs" priority="1" operator="equal" dxfId="2">
      <formula>"SAT"</formula>
    </cfRule>
    <cfRule type="cellIs" priority="2" operator="equal" dxfId="0">
      <formula>"ZAM"</formula>
    </cfRule>
    <cfRule type="cellIs" priority="3" operator="equal" dxfId="1">
      <formula>"ÇEKİL"</formula>
    </cfRule>
    <cfRule type="cellIs" priority="4" operator="equal" dxfId="1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&amp;LTrendyol Komisyon Sonrası Net Kâr Hesaplama | Kanıt&amp;CExcelArşiv&amp;RSayfa &amp;P / &amp;N</oddFooter>
    <evenHeader/>
    <evenFooter>&amp;LTrendyol Komisyon Sonrası Net Kâr Hesaplama | Kanıt&amp;CExcelArşiv&amp;RSayfa &amp;P / &amp;N</evenFooter>
    <firstHeader/>
    <firstFooter/>
  </headerFooter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Trendyol Komisyon Sonrası Net Kâr Hesaplama</t>
        </is>
      </c>
    </row>
    <row r="3">
      <c r="A3" s="40" t="inlineStr">
        <is>
          <t>Canlı Kontrol Paneli</t>
        </is>
      </c>
    </row>
    <row r="5">
      <c r="A5" s="7" t="inlineStr">
        <is>
          <t>A satır sayısı</t>
        </is>
      </c>
      <c r="B5" s="39">
        <f>COUNTA(tblGirdi[Barkod])</f>
        <v/>
      </c>
    </row>
    <row r="6">
      <c r="A6" s="7" t="inlineStr">
        <is>
          <t>B satır sayısı</t>
        </is>
      </c>
      <c r="B6" s="39">
        <f>COUNTA(tblHakedis[Barkod])</f>
        <v/>
      </c>
    </row>
    <row r="7">
      <c r="A7" s="7" t="inlineStr">
        <is>
          <t>Eşleşti</t>
        </is>
      </c>
      <c r="B7" s="39">
        <f>COUNTIF(tblEslesme[Kova],"eslesti")</f>
        <v/>
      </c>
    </row>
    <row r="8">
      <c r="A8" s="7" t="inlineStr">
        <is>
          <t>Tolerans</t>
        </is>
      </c>
      <c r="B8" s="39">
        <f>COUNTIF(tblEslesme[Kova],"tolerans_icinde")</f>
        <v/>
      </c>
    </row>
    <row r="9">
      <c r="A9" s="7" t="inlineStr">
        <is>
          <t>Tutar farkı</t>
        </is>
      </c>
      <c r="B9" s="39">
        <f>COUNTIF(tblEslesme[Kova],"tutar_farki")</f>
        <v/>
      </c>
    </row>
    <row r="10">
      <c r="A10" s="7" t="inlineStr">
        <is>
          <t>Eşleşmedi</t>
        </is>
      </c>
      <c r="B10" s="39">
        <f>COUNTIF(tblEslesme[Kova],"eslesmedi")</f>
        <v/>
      </c>
    </row>
    <row r="11">
      <c r="A11" s="7" t="inlineStr">
        <is>
          <t>Kova toplam</t>
        </is>
      </c>
      <c r="B11" s="39">
        <f>B7+B8+B9+B10</f>
        <v/>
      </c>
    </row>
    <row r="12">
      <c r="A12" s="7" t="inlineStr">
        <is>
          <t>Bütünlük</t>
        </is>
      </c>
      <c r="B12" s="39">
        <f>IF(B11=B5,"BUTUN","KAYIP")</f>
        <v/>
      </c>
    </row>
    <row r="13">
      <c r="A13" s="7" t="inlineStr">
        <is>
          <t>Duplike A</t>
        </is>
      </c>
      <c r="B13" s="39">
        <f>COUNTIF(tblAnahtarA[Duplike],"EVET")</f>
        <v/>
      </c>
    </row>
    <row r="14">
      <c r="A14" s="7" t="inlineStr">
        <is>
          <t>TANIMSIZ</t>
        </is>
      </c>
      <c r="B14" s="39">
        <f>COUNTIF(tblKok[KokNeden],"TANIMSIZ")</f>
        <v/>
      </c>
    </row>
    <row r="15">
      <c r="A15" s="7" t="inlineStr">
        <is>
          <t>Boş karar yolu</t>
        </is>
      </c>
      <c r="B15" s="35">
        <f>IF(B5=0,"VERİ YOK","VERİ VAR")</f>
        <v/>
      </c>
    </row>
    <row r="16">
      <c r="A16" s="7" t="inlineStr">
        <is>
          <t>Kalite skoru</t>
        </is>
      </c>
      <c r="B16" s="35">
        <f>IF(B5=0,0,ROUND(100*(B7+B8)/MAX(B5,1),0))</f>
        <v/>
      </c>
    </row>
    <row r="17">
      <c r="A17" s="7" t="inlineStr">
        <is>
          <t>Net toplam</t>
        </is>
      </c>
      <c r="B17" s="38">
        <f>SUM(tblMotor[NetKar])</f>
        <v/>
      </c>
    </row>
    <row r="18">
      <c r="A18" s="7" t="inlineStr">
        <is>
          <t>Hedef toplam</t>
        </is>
      </c>
      <c r="B18" s="38">
        <f>SUM(tblGirdi[HedefNet])</f>
        <v/>
      </c>
    </row>
    <row r="19">
      <c r="A19" s="7" t="inlineStr">
        <is>
          <t>Kesinti toplam</t>
        </is>
      </c>
      <c r="B19" s="38">
        <f>tyk_kesintiKirilim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1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1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4" customWidth="1" min="2" max="2"/>
  </cols>
  <sheetData>
    <row r="1" ht="26" customHeight="1">
      <c r="A1" s="1" t="inlineStr">
        <is>
          <t>ORNEK VERI — Trendyol Komisyon Sonrası Net Kâr Hesaplama</t>
        </is>
      </c>
    </row>
    <row r="3">
      <c r="A3" s="40" t="inlineStr">
        <is>
          <t>Örnek Senaryo Açıklaması</t>
        </is>
      </c>
    </row>
    <row r="4">
      <c r="A4" s="8" t="inlineStr">
        <is>
          <t>Dosyada 35 satır örnek Trendyol ürünü vardır: beklenen↔gerçek hakediş farkı, kısa/uzun barkod (3,7,11), eşleşmeyen (15) ve flaş/reklam satırları kasıtlıdır. GIRDI ve HAKEDIS'i temizleyip kendi listenizi yapıştırabilirsiniz.</t>
        </is>
      </c>
    </row>
    <row r="6">
      <c r="A6" s="7" t="inlineStr">
        <is>
          <t>Örnek özet (bilgi)</t>
        </is>
      </c>
    </row>
    <row r="7">
      <c r="A7" s="7" t="inlineStr">
        <is>
          <t>Karar seti: SAT / ZAM / ÇEKİL / VERİ YOK</t>
        </is>
      </c>
    </row>
    <row r="9">
      <c r="A9" s="7" t="inlineStr">
        <is>
          <t>Ölçek sözleşmesi</t>
        </is>
      </c>
      <c r="B9" s="20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</cols>
  <sheetData>
    <row r="1" ht="26" customHeight="1">
      <c r="A1" s="1" t="inlineStr">
        <is>
          <t>LISTELER — Trendyol Komisyon Sonrası Net Kâr Hesaplama</t>
        </is>
      </c>
    </row>
    <row r="3">
      <c r="A3" s="19" t="inlineStr">
        <is>
          <t>Kategori Listesi</t>
        </is>
      </c>
      <c r="C3" s="19" t="inlineStr">
        <is>
          <t>Dönem Listesi</t>
        </is>
      </c>
    </row>
    <row r="6">
      <c r="A6" s="41" t="inlineStr">
        <is>
          <t>Kategori</t>
        </is>
      </c>
      <c r="C6" s="41" t="inlineStr">
        <is>
          <t>Donem</t>
        </is>
      </c>
    </row>
    <row r="7">
      <c r="A7" s="13" t="inlineStr">
        <is>
          <t>Elektronik</t>
        </is>
      </c>
      <c r="C7" s="13" t="inlineStr">
        <is>
          <t>2026-06</t>
        </is>
      </c>
    </row>
    <row r="8">
      <c r="A8" s="13" t="inlineStr">
        <is>
          <t>Giyim</t>
        </is>
      </c>
      <c r="C8" s="13" t="inlineStr">
        <is>
          <t>2026-07</t>
        </is>
      </c>
    </row>
    <row r="9">
      <c r="A9" s="13" t="inlineStr">
        <is>
          <t>Kozmetik</t>
        </is>
      </c>
      <c r="C9" s="13" t="inlineStr">
        <is>
          <t>2026-08</t>
        </is>
      </c>
    </row>
    <row r="10">
      <c r="A10" s="13" t="inlineStr">
        <is>
          <t>Ev Yaşam</t>
        </is>
      </c>
    </row>
    <row r="11">
      <c r="A11" s="13" t="inlineStr">
        <is>
          <t>Süpermarket</t>
        </is>
      </c>
    </row>
    <row r="12">
      <c r="A12" s="13" t="inlineStr">
        <is>
          <t>Kitap</t>
        </is>
      </c>
    </row>
    <row r="13">
      <c r="A13" s="13" t="inlineStr">
        <is>
          <t>Spor</t>
        </is>
      </c>
    </row>
    <row r="14">
      <c r="A14" s="13" t="inlineStr">
        <is>
          <t>Oyuncak</t>
        </is>
      </c>
    </row>
    <row r="15">
      <c r="A15" s="13" t="inlineStr">
        <is>
          <t>Ayakkabı</t>
        </is>
      </c>
    </row>
    <row r="16">
      <c r="A16" s="13" t="inlineStr">
        <is>
          <t>Aksesuar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13">
    <dataValidation sqref="A7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12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13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14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15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A16" showDropDown="0" showInputMessage="1" showErrorMessage="1" allowBlank="1" errorTitle="Ad" error="En az 1 karakter" promptTitle="Kategori" prompt="Ad girin" type="textLength" errorStyle="stop" operator="greaterThan">
      <formula1>1</formula1>
      <formula2>40</formula2>
    </dataValidation>
    <dataValidation sqref="C7" showDropDown="0" showInputMessage="1" showErrorMessage="1" allowBlank="1" errorTitle="Dönem" error="Geçersiz" promptTitle="Dönem" prompt="YYYY-AA" type="textLength" errorStyle="stop" operator="greaterThan">
      <formula1>1</formula1>
      <formula2>20</formula2>
    </dataValidation>
    <dataValidation sqref="C8" showDropDown="0" showInputMessage="1" showErrorMessage="1" allowBlank="1" errorTitle="Dönem" error="Geçersiz" promptTitle="Dönem" prompt="YYYY-AA" type="textLength" errorStyle="stop" operator="greaterThan">
      <formula1>1</formula1>
      <formula2>20</formula2>
    </dataValidation>
    <dataValidation sqref="C9" showDropDown="0" showInputMessage="1" showErrorMessage="1" allowBlank="1" errorTitle="Dönem" error="Geçersiz" promptTitle="Dönem" prompt="YYYY-AA" type="textLength" errorStyle="stop" operator="greaterThan">
      <formula1>1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/>
  </sheetPr>
  <dimension ref="A1:N6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36" customWidth="1" min="4" max="4"/>
    <col width="14" customWidth="1" min="5" max="5"/>
    <col width="42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Trendyol Komisyon Sonrası Net Kâr Hesaplama</t>
        </is>
      </c>
    </row>
    <row r="3" ht="20" customHeight="1">
      <c r="A3" s="10" t="inlineStr">
        <is>
          <t>Tek kaynak parametreler — kaynak ve yürürlük zorunlu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16" t="n">
        <v>0.05</v>
      </c>
      <c r="C6" s="7" t="inlineStr">
        <is>
          <t>TL</t>
        </is>
      </c>
      <c r="D6" s="8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42" t="n">
        <v>46248</v>
      </c>
      <c r="C7" s="7" t="inlineStr">
        <is>
          <t>tarih</t>
        </is>
      </c>
      <c r="D7" s="8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</t>
        </is>
      </c>
    </row>
    <row r="8">
      <c r="A8" s="7" t="inlineStr">
        <is>
          <t>tyk_esikEslesme</t>
        </is>
      </c>
      <c r="B8" s="16" t="n">
        <v>0.85</v>
      </c>
      <c r="C8" s="7" t="inlineStr">
        <is>
          <t>oran</t>
        </is>
      </c>
      <c r="D8" s="8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tyk_esikFark</t>
        </is>
      </c>
      <c r="B9" s="14" t="n">
        <v>50</v>
      </c>
      <c r="C9" s="7" t="inlineStr">
        <is>
          <t>TL</t>
        </is>
      </c>
      <c r="D9" s="8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tyk_esikMarjDusuk</t>
        </is>
      </c>
      <c r="B10" s="16" t="n">
        <v>0.08</v>
      </c>
      <c r="C10" s="7" t="inlineStr">
        <is>
          <t>oran</t>
        </is>
      </c>
      <c r="D10" s="8" t="inlineStr">
        <is>
          <t>Fiyatlama politikası</t>
        </is>
      </c>
      <c r="E10" s="7" t="inlineStr">
        <is>
          <t>01.01.2026</t>
        </is>
      </c>
      <c r="F10" s="8" t="inlineStr">
        <is>
          <t>ZAM eşiği</t>
        </is>
      </c>
    </row>
    <row r="11">
      <c r="A11" s="7" t="inlineStr">
        <is>
          <t>tyk_esikMarjHedef</t>
        </is>
      </c>
      <c r="B11" s="16" t="n">
        <v>0.15</v>
      </c>
      <c r="C11" s="7" t="inlineStr">
        <is>
          <t>oran</t>
        </is>
      </c>
      <c r="D11" s="8" t="inlineStr">
        <is>
          <t>Fiyatlama politikası</t>
        </is>
      </c>
      <c r="E11" s="7" t="inlineStr">
        <is>
          <t>01.01.2026</t>
        </is>
      </c>
      <c r="F11" s="8" t="inlineStr">
        <is>
          <t>Hedef marj</t>
        </is>
      </c>
    </row>
    <row r="12">
      <c r="A12" s="7" t="inlineStr">
        <is>
          <t>tyk_azamiTutar</t>
        </is>
      </c>
      <c r="B12" s="14" t="n">
        <v>1000000</v>
      </c>
      <c r="C12" s="7" t="inlineStr">
        <is>
          <t>TL</t>
        </is>
      </c>
      <c r="D12" s="8" t="inlineStr">
        <is>
          <t>İç politika — uç değer</t>
        </is>
      </c>
      <c r="E12" s="7" t="inlineStr">
        <is>
          <t>01.01.2026</t>
        </is>
      </c>
      <c r="F12" s="8" t="inlineStr">
        <is>
          <t>Azami makul tutar</t>
        </is>
      </c>
    </row>
    <row r="13">
      <c r="A13" s="7" t="inlineStr">
        <is>
          <t>tyk_ikincilUzunluk</t>
        </is>
      </c>
      <c r="B13" s="15" t="n">
        <v>12</v>
      </c>
      <c r="C13" s="7" t="inlineStr">
        <is>
          <t>karakter</t>
        </is>
      </c>
      <c r="D13" s="8" t="inlineStr">
        <is>
          <t>Anahtar stratejisi SPEC</t>
        </is>
      </c>
      <c r="E13" s="7" t="inlineStr">
        <is>
          <t>01.01.2026</t>
        </is>
      </c>
      <c r="F13" s="8" t="inlineStr">
        <is>
          <t>İkincil anahtar</t>
        </is>
      </c>
    </row>
    <row r="14">
      <c r="A14" s="7" t="inlineStr">
        <is>
          <t>tyk_olcekHedef</t>
        </is>
      </c>
      <c r="B14" s="15" t="n">
        <v>50000</v>
      </c>
      <c r="C14" s="7" t="inlineStr">
        <is>
          <t>satir</t>
        </is>
      </c>
      <c r="D14" s="8" t="inlineStr">
        <is>
          <t>Manda A2 Ö1</t>
        </is>
      </c>
      <c r="E14" s="7" t="inlineStr">
        <is>
          <t>01.01.2026</t>
        </is>
      </c>
      <c r="F14" s="8" t="inlineStr">
        <is>
          <t>Ölçek sözleşmesi</t>
        </is>
      </c>
    </row>
    <row r="15">
      <c r="A15" s="7" t="inlineStr">
        <is>
          <t>tyk_yuzdelikOran</t>
        </is>
      </c>
      <c r="B15" s="16" t="n">
        <v>0.9</v>
      </c>
      <c r="C15" s="7" t="inlineStr">
        <is>
          <t>oran</t>
        </is>
      </c>
      <c r="D15" s="8" t="inlineStr">
        <is>
          <t>İstatistik kuralı</t>
        </is>
      </c>
      <c r="E15" s="7" t="inlineStr">
        <is>
          <t>01.01.2026</t>
        </is>
      </c>
      <c r="F15" s="8" t="inlineStr">
        <is>
          <t>Yüzdelik oranı</t>
        </is>
      </c>
    </row>
    <row r="16">
      <c r="A16" s="7" t="inlineStr">
        <is>
          <t>tyk_komisyonSenaryo</t>
        </is>
      </c>
      <c r="B16" s="16" t="n">
        <v>0.02</v>
      </c>
      <c r="C16" s="7" t="inlineStr">
        <is>
          <t>oran</t>
        </is>
      </c>
      <c r="D16" s="8" t="inlineStr">
        <is>
          <t>Senaryo parametresi</t>
        </is>
      </c>
      <c r="E16" s="7" t="inlineStr">
        <is>
          <t>01.01.2026</t>
        </is>
      </c>
      <c r="F16" s="8" t="inlineStr">
        <is>
          <t>Komisyon +pp senaryo</t>
        </is>
      </c>
    </row>
    <row r="17">
      <c r="A17" s="7" t="inlineStr">
        <is>
          <t>tyk_fiyatModeli</t>
        </is>
      </c>
      <c r="B17" s="13" t="inlineStr">
        <is>
          <t>Tek seferlik alım — aylık ücret yok</t>
        </is>
      </c>
      <c r="C17" s="7" t="inlineStr">
        <is>
          <t>metin</t>
        </is>
      </c>
      <c r="D17" s="8" t="inlineStr">
        <is>
          <t>Ürün konumlandırma</t>
        </is>
      </c>
      <c r="E17" s="7" t="inlineStr">
        <is>
          <t>01.01.2026</t>
        </is>
      </c>
      <c r="F17" s="8" t="inlineStr">
        <is>
          <t>R3 ayrım</t>
        </is>
      </c>
    </row>
    <row r="18">
      <c r="A18" s="7" t="inlineStr">
        <is>
          <t>tyk_kvkkBeyani</t>
        </is>
      </c>
      <c r="B18" s="13" t="inlineStr">
        <is>
          <t>Veri cihazdan çıkmaz</t>
        </is>
      </c>
      <c r="C18" s="7" t="inlineStr">
        <is>
          <t>metin</t>
        </is>
      </c>
      <c r="D18" s="8" t="inlineStr">
        <is>
          <t>KVKK beyanı</t>
        </is>
      </c>
      <c r="E18" s="7" t="inlineStr">
        <is>
          <t>01.01.2026</t>
        </is>
      </c>
      <c r="F18" s="8" t="inlineStr">
        <is>
          <t>R3 ayrım</t>
        </is>
      </c>
    </row>
    <row r="19">
      <c r="A19" s="7" t="inlineStr">
        <is>
          <t>tyk_basabasFiyatAd</t>
        </is>
      </c>
      <c r="B19" s="13" t="inlineStr">
        <is>
          <t>Başabaş fiyat motoru</t>
        </is>
      </c>
      <c r="C19" s="7" t="inlineStr">
        <is>
          <t>metin</t>
        </is>
      </c>
      <c r="D19" s="8" t="inlineStr">
        <is>
          <t>MOTOR</t>
        </is>
      </c>
      <c r="E19" s="7" t="inlineStr">
        <is>
          <t>01.01.2026</t>
        </is>
      </c>
      <c r="F19" s="8" t="inlineStr">
        <is>
          <t>R2 ayrım</t>
        </is>
      </c>
    </row>
    <row r="20">
      <c r="A20" s="7" t="inlineStr">
        <is>
          <t>tyk_normAnahtar</t>
        </is>
      </c>
      <c r="B20" s="13" t="inlineStr">
        <is>
          <t>UPPER TRIM SUBSTITUTE</t>
        </is>
      </c>
      <c r="C20" s="7" t="inlineStr">
        <is>
          <t>metin</t>
        </is>
      </c>
      <c r="D20" s="8" t="inlineStr">
        <is>
          <t>Ç7 anahtar</t>
        </is>
      </c>
      <c r="E20" s="7" t="inlineStr">
        <is>
          <t>01.01.2026</t>
        </is>
      </c>
      <c r="F20" s="8" t="inlineStr">
        <is>
          <t>Serbest alternatif</t>
        </is>
      </c>
    </row>
    <row r="21">
      <c r="A21" s="7" t="inlineStr">
        <is>
          <t>tyk_tanimsizKova</t>
        </is>
      </c>
      <c r="B21" s="13" t="inlineStr">
        <is>
          <t>TANIMSIZ görünür</t>
        </is>
      </c>
      <c r="C21" s="7" t="inlineStr">
        <is>
          <t>metin</t>
        </is>
      </c>
      <c r="D21" s="8" t="inlineStr">
        <is>
          <t>E04</t>
        </is>
      </c>
      <c r="E21" s="7" t="inlineStr">
        <is>
          <t>01.01.2026</t>
        </is>
      </c>
      <c r="F21" s="8" t="inlineStr">
        <is>
          <t>Serbest alternatif</t>
        </is>
      </c>
    </row>
    <row r="22">
      <c r="A22" s="7" t="inlineStr">
        <is>
          <t>tyk_kovaButunlukAd</t>
        </is>
      </c>
      <c r="B22" s="13" t="inlineStr">
        <is>
          <t>Dört kova bütünlük</t>
        </is>
      </c>
      <c r="C22" s="7" t="inlineStr">
        <is>
          <t>metin</t>
        </is>
      </c>
      <c r="D22" s="8" t="inlineStr">
        <is>
          <t>E02</t>
        </is>
      </c>
      <c r="E22" s="7" t="inlineStr">
        <is>
          <t>01.01.2026</t>
        </is>
      </c>
      <c r="F22" s="8" t="inlineStr">
        <is>
          <t>Serbest alternatif</t>
        </is>
      </c>
    </row>
    <row r="23">
      <c r="A23" s="7" t="inlineStr">
        <is>
          <t>tyk_dosyaSurumu</t>
        </is>
      </c>
      <c r="B23" s="13" t="inlineStr">
        <is>
          <t>1.0.0</t>
        </is>
      </c>
      <c r="C23" s="7" t="inlineStr">
        <is>
          <t>metin</t>
        </is>
      </c>
      <c r="D23" s="8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tyk_firmaUnvan</t>
        </is>
      </c>
      <c r="B24" s="13" t="inlineStr">
        <is>
          <t>Örnek Ticaret A.Ş.</t>
        </is>
      </c>
      <c r="C24" s="7" t="inlineStr">
        <is>
          <t>metin</t>
        </is>
      </c>
      <c r="D24" s="8" t="inlineStr">
        <is>
          <t>Kullanıcı girişi</t>
        </is>
      </c>
      <c r="E24" s="7" t="inlineStr">
        <is>
          <t>01.01.2026</t>
        </is>
      </c>
      <c r="F24" s="8" t="inlineStr">
        <is>
          <t>Firma</t>
        </is>
      </c>
    </row>
    <row r="25">
      <c r="A25" s="7" t="inlineStr">
        <is>
          <t>tyk_kuralSeti</t>
        </is>
      </c>
      <c r="B25" s="13" t="inlineStr">
        <is>
          <t>TYK-001..005</t>
        </is>
      </c>
      <c r="C25" s="7" t="inlineStr">
        <is>
          <t>metin</t>
        </is>
      </c>
      <c r="D25" s="8" t="inlineStr">
        <is>
          <t>Kök neden kuralları</t>
        </is>
      </c>
      <c r="E25" s="7" t="inlineStr">
        <is>
          <t>01.01.2026</t>
        </is>
      </c>
      <c r="F25" s="8" t="inlineStr">
        <is>
          <t>Kural seti</t>
        </is>
      </c>
    </row>
    <row r="28">
      <c r="H28" s="19" t="inlineStr">
        <is>
          <t>Motor Cikti</t>
        </is>
      </c>
      <c r="I28" s="19" t="inlineStr">
        <is>
          <t>Deger</t>
        </is>
      </c>
    </row>
    <row r="29">
      <c r="H29" s="7" t="inlineStr">
        <is>
          <t>tyk_mutabakatFarki</t>
        </is>
      </c>
      <c r="I29" s="35">
        <f>IFERROR(SUM(tblMotor[BeklenenHakedis])-SUM(tblHakedis[GercekHakedis]),0)</f>
        <v/>
      </c>
    </row>
    <row r="30">
      <c r="H30" s="7" t="inlineStr">
        <is>
          <t>tyk_eslesmeOrani</t>
        </is>
      </c>
      <c r="I30" s="35">
        <f>IF(COUNTA(tblEslesme[A_Norm])=0,0,(COUNTIF(tblEslesme[Kova],"eslesti")+COUNTIF(tblEslesme[Kova],"tolerans_icinde"))/COUNTA(tblEslesme[A_Norm]))</f>
        <v/>
      </c>
    </row>
    <row r="31">
      <c r="H31" s="7" t="inlineStr">
        <is>
          <t>tyk_kovaButunluk</t>
        </is>
      </c>
      <c r="I31" s="35">
        <f>ESLESTIRME!C2</f>
        <v/>
      </c>
    </row>
    <row r="32">
      <c r="H32" s="7" t="inlineStr">
        <is>
          <t>tyk_kategoriKomisyon</t>
        </is>
      </c>
      <c r="I32" s="35">
        <f>IFERROR(IF(COUNTA(tblKategoriKomisyon[KomisyonOran])=0,0,AVERAGE(tblKategoriKomisyon[KomisyonOran])),0)</f>
        <v/>
      </c>
    </row>
    <row r="33">
      <c r="H33" s="7" t="inlineStr">
        <is>
          <t>tyk_kesintiKirilim</t>
        </is>
      </c>
      <c r="I33" s="35">
        <f>IFERROR(SUM(tblMotor[KomisyonTutar])+SUM(tblMotor[TyPlus])+SUM(tblMotor[FlasKesinti])+SUM(tblMotor[UrunReklam])+SUM(tblMotor[DesiKargo]),0)</f>
        <v/>
      </c>
    </row>
    <row r="34">
      <c r="H34" s="7" t="inlineStr">
        <is>
          <t>tyk_basabasFiyat</t>
        </is>
      </c>
      <c r="I34" s="35">
        <f>IFERROR(IF(COUNTA(tblMotor[A_Norm])=0,0,AVERAGE(tblMotor[BasabasFiyat])),0)</f>
        <v/>
      </c>
    </row>
    <row r="35">
      <c r="H35" s="7" t="inlineStr">
        <is>
          <t>tyk_kararKapi</t>
        </is>
      </c>
      <c r="I35" s="35">
        <f>PANO!B4</f>
        <v/>
      </c>
    </row>
    <row r="36">
      <c r="H36" s="7" t="inlineStr">
        <is>
          <t>tyk_modulT1</t>
        </is>
      </c>
      <c r="I36" s="35">
        <f>IFERROR(IF(COUNTA(tblMotor[A_Norm])=0,0,AVERAGE(tblMotor[Marj])),0)</f>
        <v/>
      </c>
    </row>
    <row r="37">
      <c r="H37" s="7" t="inlineStr">
        <is>
          <t>tyk_modulT2</t>
        </is>
      </c>
      <c r="I37" s="35">
        <f>IFERROR(IF(COUNTA(tblMotor[A_Norm])=0,0,AVERAGE(tblMotor[KomisyonOran])),0)</f>
        <v/>
      </c>
    </row>
    <row r="38">
      <c r="H38" s="7" t="inlineStr">
        <is>
          <t>tyk_modulO1</t>
        </is>
      </c>
      <c r="I38" s="35">
        <f>COUNTIF(tblEslesme[EsikUstu],1)</f>
        <v/>
      </c>
    </row>
    <row r="39">
      <c r="H39" s="7" t="inlineStr">
        <is>
          <t>tyk_modulO2</t>
        </is>
      </c>
      <c r="I39" s="35">
        <f>IFERROR(MAX(PANO!K30:K34),0)</f>
        <v/>
      </c>
    </row>
    <row r="40">
      <c r="H40" s="7" t="inlineStr">
        <is>
          <t>tyk_modulO3</t>
        </is>
      </c>
      <c r="I40" s="35">
        <f>IFERROR(SUM(tblMotor[NetKar])*(1-tyk_komisyonSenaryo),0)</f>
        <v/>
      </c>
    </row>
    <row r="41">
      <c r="H41" s="7" t="inlineStr">
        <is>
          <t>tyk_modulO6</t>
        </is>
      </c>
      <c r="I41" s="35">
        <f>IFERROR(IF(COUNTA(tblGirdi[Kategori])=0,0,COUNTIF(tblGirdi[Kategori],INDEX(tblGirdi[Kategori],1))/COUNTA(tblGirdi[Kategori])),0)</f>
        <v/>
      </c>
    </row>
    <row r="42">
      <c r="H42" s="7" t="inlineStr">
        <is>
          <t>tyk_modulO8</t>
        </is>
      </c>
      <c r="I42" s="35">
        <f>IF(COUNTA(tblGirdi[Barkod])=0,0,ROUND(100*(COUNTIF(tblEslesme[Kova],"eslesti")+COUNTIF(tblEslesme[Kova],"tolerans_icinde"))/MAX(COUNTA(tblEslesme[A_Norm]),1),0))</f>
        <v/>
      </c>
    </row>
    <row r="43">
      <c r="H43" s="7" t="inlineStr">
        <is>
          <t>tyk_modulI1</t>
        </is>
      </c>
      <c r="I43" s="35">
        <f>IFERROR(PERCENTILE(tblMotor[NetKar],tyk_yuzdelikOran)-PERCENTILE(tblMotor[NetKar],1-tyk_yuzdelikOran),0)</f>
        <v/>
      </c>
    </row>
    <row r="44">
      <c r="H44" s="7" t="inlineStr">
        <is>
          <t>tyk_modulI2</t>
        </is>
      </c>
      <c r="I44" s="35">
        <f>IFERROR(PERCENTILE(tblMotor[NetKar],tyk_yuzdelikOran),0)</f>
        <v/>
      </c>
    </row>
    <row r="46">
      <c r="H46" s="19" t="inlineStr">
        <is>
          <t>Canli Yorumlar</t>
        </is>
      </c>
    </row>
    <row r="47">
      <c r="H47" s="7" t="inlineStr">
        <is>
          <t>tyk_modulT1Yorum</t>
        </is>
      </c>
      <c r="I47" s="8">
        <f>IFERROR(_xlfn.TEXTJOIN(" ",TRUE,"Ort marj",TEXT(tyk_modulT1,"0.0%")),"-")</f>
        <v/>
      </c>
    </row>
    <row r="48">
      <c r="H48" s="7" t="inlineStr">
        <is>
          <t>tyk_modulT2Yorum</t>
        </is>
      </c>
      <c r="I48" s="8">
        <f>IFERROR(_xlfn.TEXTJOIN(" ",TRUE,"Ort komisyon",TEXT(tyk_modulT2,"0.0%")),"-")</f>
        <v/>
      </c>
    </row>
    <row r="49">
      <c r="H49" s="7" t="inlineStr">
        <is>
          <t>tyk_modulO1Yorum</t>
        </is>
      </c>
      <c r="I49" s="8">
        <f>IFERROR(_xlfn.TEXTJOIN(" ",TRUE,"Anomali",TEXT(tyk_modulO1,"0")),"-")</f>
        <v/>
      </c>
    </row>
    <row r="50">
      <c r="H50" s="7" t="inlineStr">
        <is>
          <t>tyk_modulO2Yorum</t>
        </is>
      </c>
      <c r="I50" s="8">
        <f>IFERROR(_xlfn.TEXTJOIN(" ",TRUE,"Duyarlılık",TEXT(tyk_modulO2,"0.00"),"TL"),"-")</f>
        <v/>
      </c>
    </row>
    <row r="51">
      <c r="H51" s="7" t="inlineStr">
        <is>
          <t>tyk_modulO3Yorum</t>
        </is>
      </c>
      <c r="I51" s="8">
        <f>IFERROR(_xlfn.TEXTJOIN(" ",TRUE,"Senaryo net",TEXT(tyk_modulO3,"0.00"),"TL"),"-")</f>
        <v/>
      </c>
    </row>
    <row r="52">
      <c r="H52" s="7" t="inlineStr">
        <is>
          <t>tyk_modulO6Yorum</t>
        </is>
      </c>
      <c r="I52" s="8">
        <f>IFERROR(_xlfn.TEXTJOIN(" ",TRUE,"Yoğunlaşma",TEXT(tyk_modulO6,"0.0%")),"-")</f>
        <v/>
      </c>
    </row>
    <row r="53">
      <c r="H53" s="7" t="inlineStr">
        <is>
          <t>tyk_modulO8Yorum</t>
        </is>
      </c>
      <c r="I53" s="8">
        <f>IFERROR(_xlfn.TEXTJOIN(" ",TRUE,"Kalite",TEXT(tyk_modulO8,"0")),"-")</f>
        <v/>
      </c>
    </row>
    <row r="54">
      <c r="H54" s="7" t="inlineStr">
        <is>
          <t>tyk_modulI1Yorum</t>
        </is>
      </c>
      <c r="I54" s="8">
        <f>IFERROR(_xlfn.TEXTJOIN(" ",TRUE,"Tahmin",TEXT(tyk_modulI1,"0.00"),"TL"),"-")</f>
        <v/>
      </c>
    </row>
    <row r="55">
      <c r="H55" s="7" t="inlineStr">
        <is>
          <t>tyk_modulI2Yorum</t>
        </is>
      </c>
      <c r="I55" s="8">
        <f>IFERROR(_xlfn.TEXTJOIN(" ",TRUE,"P90",TEXT(tyk_modulI2,"0.00"),"TL"),"-")</f>
        <v/>
      </c>
    </row>
    <row r="58">
      <c r="H58" s="43" t="inlineStr">
        <is>
          <t>Trendyol Kategori Komisyon Tablosu</t>
        </is>
      </c>
    </row>
    <row r="59" ht="30" customHeight="1">
      <c r="A59" s="12" t="inlineStr">
        <is>
          <t>Kategori</t>
        </is>
      </c>
      <c r="B59" s="12" t="inlineStr">
        <is>
          <t>Kaynak</t>
        </is>
      </c>
      <c r="C59" s="12" t="inlineStr">
        <is>
          <t>KomisyonOran</t>
        </is>
      </c>
      <c r="D59" s="12" t="inlineStr">
        <is>
          <t>Yururluk</t>
        </is>
      </c>
      <c r="E59" s="12" t="inlineStr">
        <is>
          <t>Aciklama</t>
        </is>
      </c>
    </row>
    <row r="60">
      <c r="A60" s="13" t="inlineStr">
        <is>
          <t>Elektronik</t>
        </is>
      </c>
      <c r="B60" s="8" t="inlineStr">
        <is>
          <t>Trendyol satıcı panosu</t>
        </is>
      </c>
      <c r="C60" s="16" t="n">
        <v>0.215</v>
      </c>
      <c r="D60" s="7" t="inlineStr">
        <is>
          <t>01.01.2026</t>
        </is>
      </c>
      <c r="E60" s="8" t="inlineStr">
        <is>
          <t>Kategori komisyon oranı — AYARLAR kanonik kaynak</t>
        </is>
      </c>
    </row>
    <row r="61">
      <c r="A61" s="13" t="inlineStr">
        <is>
          <t>Giyim</t>
        </is>
      </c>
      <c r="B61" s="8" t="inlineStr">
        <is>
          <t>Trendyol satıcı panosu</t>
        </is>
      </c>
      <c r="C61" s="16" t="n">
        <v>0.215</v>
      </c>
      <c r="D61" s="7" t="inlineStr">
        <is>
          <t>01.01.2026</t>
        </is>
      </c>
      <c r="E61" s="8" t="inlineStr">
        <is>
          <t>Kategori komisyon oranı — AYARLAR kanonik kaynak</t>
        </is>
      </c>
    </row>
    <row r="62">
      <c r="A62" s="13" t="inlineStr">
        <is>
          <t>Kozmetik</t>
        </is>
      </c>
      <c r="B62" s="8" t="inlineStr">
        <is>
          <t>Trendyol satıcı panosu</t>
        </is>
      </c>
      <c r="C62" s="16" t="n">
        <v>0.2</v>
      </c>
      <c r="D62" s="7" t="inlineStr">
        <is>
          <t>01.01.2026</t>
        </is>
      </c>
      <c r="E62" s="8" t="inlineStr">
        <is>
          <t>Kategori komisyon oranı — AYARLAR kanonik kaynak</t>
        </is>
      </c>
    </row>
    <row r="63">
      <c r="A63" s="13" t="inlineStr">
        <is>
          <t>Ev Yaşam</t>
        </is>
      </c>
      <c r="B63" s="8" t="inlineStr">
        <is>
          <t>Trendyol satıcı panosu</t>
        </is>
      </c>
      <c r="C63" s="16" t="n">
        <v>0.18</v>
      </c>
      <c r="D63" s="7" t="inlineStr">
        <is>
          <t>01.01.2026</t>
        </is>
      </c>
      <c r="E63" s="8" t="inlineStr">
        <is>
          <t>Kategori komisyon oranı — AYARLAR kanonik kaynak</t>
        </is>
      </c>
    </row>
    <row r="64">
      <c r="A64" s="13" t="inlineStr">
        <is>
          <t>Süpermarket</t>
        </is>
      </c>
      <c r="B64" s="8" t="inlineStr">
        <is>
          <t>Trendyol satıcı panosu</t>
        </is>
      </c>
      <c r="C64" s="16" t="n">
        <v>0.12</v>
      </c>
      <c r="D64" s="7" t="inlineStr">
        <is>
          <t>01.01.2026</t>
        </is>
      </c>
      <c r="E64" s="8" t="inlineStr">
        <is>
          <t>Kategori komisyon oranı — AYARLAR kanonik kaynak</t>
        </is>
      </c>
    </row>
    <row r="65">
      <c r="A65" s="13" t="inlineStr">
        <is>
          <t>Kitap</t>
        </is>
      </c>
      <c r="B65" s="8" t="inlineStr">
        <is>
          <t>Trendyol satıcı panosu</t>
        </is>
      </c>
      <c r="C65" s="16" t="n">
        <v>0.15</v>
      </c>
      <c r="D65" s="7" t="inlineStr">
        <is>
          <t>01.01.2026</t>
        </is>
      </c>
      <c r="E65" s="8" t="inlineStr">
        <is>
          <t>Kategori komisyon oranı — AYARLAR kanonik kaynak</t>
        </is>
      </c>
    </row>
    <row r="66">
      <c r="A66" s="13" t="inlineStr">
        <is>
          <t>Spor</t>
        </is>
      </c>
      <c r="B66" s="8" t="inlineStr">
        <is>
          <t>Trendyol satıcı panosu</t>
        </is>
      </c>
      <c r="C66" s="16" t="n">
        <v>0.18</v>
      </c>
      <c r="D66" s="7" t="inlineStr">
        <is>
          <t>01.01.2026</t>
        </is>
      </c>
      <c r="E66" s="8" t="inlineStr">
        <is>
          <t>Kategori komisyon oranı — AYARLAR kanonik kaynak</t>
        </is>
      </c>
    </row>
    <row r="67">
      <c r="A67" s="13" t="inlineStr">
        <is>
          <t>Oyuncak</t>
        </is>
      </c>
      <c r="B67" s="8" t="inlineStr">
        <is>
          <t>Trendyol satıcı panosu</t>
        </is>
      </c>
      <c r="C67" s="16" t="n">
        <v>0.18</v>
      </c>
      <c r="D67" s="7" t="inlineStr">
        <is>
          <t>01.01.2026</t>
        </is>
      </c>
      <c r="E67" s="8" t="inlineStr">
        <is>
          <t>Kategori komisyon oranı — AYARLAR kanonik kaynak</t>
        </is>
      </c>
    </row>
    <row r="68">
      <c r="A68" s="13" t="inlineStr">
        <is>
          <t>Ayakkabı</t>
        </is>
      </c>
      <c r="B68" s="8" t="inlineStr">
        <is>
          <t>Trendyol satıcı panosu</t>
        </is>
      </c>
      <c r="C68" s="16" t="n">
        <v>0.215</v>
      </c>
      <c r="D68" s="7" t="inlineStr">
        <is>
          <t>01.01.2026</t>
        </is>
      </c>
      <c r="E68" s="8" t="inlineStr">
        <is>
          <t>Kategori komisyon oranı — AYARLAR kanonik kaynak</t>
        </is>
      </c>
    </row>
    <row r="69">
      <c r="A69" s="13" t="inlineStr">
        <is>
          <t>Aksesuar</t>
        </is>
      </c>
      <c r="B69" s="8" t="inlineStr">
        <is>
          <t>Trendyol satıcı panosu</t>
        </is>
      </c>
      <c r="C69" s="16" t="n">
        <v>0.22</v>
      </c>
      <c r="D69" s="7" t="inlineStr">
        <is>
          <t>01.01.2026</t>
        </is>
      </c>
      <c r="E69" s="8" t="inlineStr">
        <is>
          <t>Kategori komisyon oranı — AYARLAR kanonik kaynak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dataValidations count="40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A60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0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1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1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2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2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3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3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4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4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5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5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6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6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7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7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8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8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  <dataValidation sqref="A69" showDropDown="0" showInputMessage="1" showErrorMessage="1" allowBlank="1" errorTitle="Kategori" error="En az 1 karakter" promptTitle="Kategori" prompt="Kategori adı" type="textLength" errorStyle="stop" operator="greaterThan">
      <formula1>1</formula1>
      <formula2>40</formula2>
    </dataValidation>
    <dataValidation sqref="C69" showDropDown="0" showInputMessage="1" showErrorMessage="1" allowBlank="1" errorTitle="Oran" error="0 ile 1 arasında" promptTitle="Komisyon" prompt="0-1 arası oran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Trendyol Komisyon Sonrası Net Kâr Hesaplama</t>
        </is>
      </c>
    </row>
    <row r="3">
      <c r="A3" s="24" t="inlineStr">
        <is>
          <t>Kullanım Kılavuzu</t>
        </is>
      </c>
    </row>
    <row r="5">
      <c r="A5" s="8" t="inlineStr">
        <is>
          <t>1. GIRDI: Barkod, kategori, satış fiyatı ve maliyeti sarı hücrelere girin.</t>
        </is>
      </c>
    </row>
    <row r="6">
      <c r="A6" s="8" t="inlineStr">
        <is>
          <t>2. HAKEDIS: TY Plus, flaş, ürün reklamı, desi kargo ve gerçek hakedişi yapıştırın.</t>
        </is>
      </c>
    </row>
    <row r="7">
      <c r="A7" s="8" t="inlineStr">
        <is>
          <t>3. AYARLAR: Kategori komisyon tablosunu Trendyol panosundaki oranlarla güncelleyin.</t>
        </is>
      </c>
    </row>
    <row r="8">
      <c r="A8" s="8" t="inlineStr">
        <is>
          <t>4. ANAHTAR: Normalize barkod, uzunluk, ikincil ve duplike kolonları otomatik dolar.</t>
        </is>
      </c>
    </row>
    <row r="9">
      <c r="A9" s="8" t="inlineStr">
        <is>
          <t>5. MOTOR: Kesinti kırılımı, net kâr, başabaş fiyat ve SAT/ZAM/ÇEKİL hesaplanır.</t>
        </is>
      </c>
    </row>
    <row r="10">
      <c r="A10" s="8" t="inlineStr">
        <is>
          <t>6. ESLESTIRME: Beklenen hakediş ↔ gerçek hakediş dört kova denetimi.</t>
        </is>
      </c>
    </row>
    <row r="11">
      <c r="A11" s="8" t="inlineStr">
        <is>
          <t>7. KOK_NEDEN: TYK-001..005 sınıflandırır; TANIMSIZ elle incelenir.</t>
        </is>
      </c>
    </row>
    <row r="12">
      <c r="A12" s="8" t="inlineStr">
        <is>
          <t>8. PANO / KANIT_RAPORU: Kararı izleyin ve yazdırın.</t>
        </is>
      </c>
    </row>
    <row r="14">
      <c r="A14" s="21" t="inlineStr">
        <is>
          <t>Sık yapılan hatalar</t>
        </is>
      </c>
    </row>
    <row r="15">
      <c r="A15" s="8" t="inlineStr">
        <is>
          <t>• Barkodu boşluklu bırakmak (normalize edilir ama kontrol edin)</t>
        </is>
      </c>
    </row>
    <row r="16">
      <c r="A16" s="8" t="inlineStr">
        <is>
          <t>• Komisyon oranını satıra yazmak — oran AYARLAR kategori tablosundan gelir</t>
        </is>
      </c>
    </row>
    <row r="17">
      <c r="A17" s="8" t="inlineStr">
        <is>
          <t>• Gerçek hakedişe KDV dahil tutar girmek</t>
        </is>
      </c>
    </row>
    <row r="19">
      <c r="A19" s="25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5:J5"/>
    <mergeCell ref="A8:J8"/>
    <mergeCell ref="A6:J6"/>
    <mergeCell ref="A17:J17"/>
    <mergeCell ref="A9:J9"/>
    <mergeCell ref="A1:L1"/>
    <mergeCell ref="A12:J12"/>
    <mergeCell ref="A7:J7"/>
    <mergeCell ref="A15:J15"/>
    <mergeCell ref="A16:J16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2026-08-14T17:47:27Z</dcterms:created>
  <dcterms:modified xmlns:dcterms="http://purl.org/dc/terms/" xmlns:xsi="http://www.w3.org/2001/XMLSchema-instance" xsi:type="dcterms:W3CDTF">2026-09-25T14:23:19Z</dcterms:modified>
</cp:coreProperties>
</file>