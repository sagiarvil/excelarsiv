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ukv_matrah">MOTOR!$G$29</definedName>
    <definedName name="ukv_tasarruf">MOTOR!$G$28</definedName>
    <definedName name="ukv_indirimliKv">MOTOR!$G$30</definedName>
    <definedName name="ukv_kacirilan">MOTOR!$G$28</definedName>
    <definedName name="ukv_kararMetni">MOTOR!$G$34</definedName>
    <definedName name="ukv_kararGerekce">MOTOR!$G$35</definedName>
    <definedName name="ukv_maddeAtifMetni">MOTOR!$G$52</definedName>
    <definedName name="ukv_kanitRaporu">MOTOR!$G$53</definedName>
    <definedName name="ukv_kuralYilMatris">KURALLAR!$B$17</definedName>
    <definedName name="ukv_parmakIzi">AYARLAR!$B$19</definedName>
    <definedName name="ukv_senaryoKarsilastirma">SENARYO!$B$11</definedName>
    <definedName name="ukv_yorumSenaryo">SENARYO!$B$12</definedName>
    <definedName name="ukv_duyarlilikSira">SENARYO!$B$19</definedName>
    <definedName name="ukv_yorumDuyarlilik">SENARYO!$B$20</definedName>
    <definedName name="ukv_kuralDegisimSenaryo">SENARYO!$B$22</definedName>
    <definedName name="ukv_yorumKuralDegisim">SENARYO!$B$23</definedName>
    <definedName name="ukv_tahminAralik">SENARYO!$B$32</definedName>
    <definedName name="ukv_yorumTahmin">SENARYO!$B$33</definedName>
    <definedName name="ukv_vakaDurum">VAKALAR!$B$12</definedName>
    <definedName name="ukv_vakaFark">VAKALAR!$B$13</definedName>
    <definedName name="ukv_tolerans">AYARLAR!$B$8</definedName>
    <definedName name="ukv_kacirilanEsik">AYARLAR!$B$9</definedName>
    <definedName name="ukv_senaryoIyi">AYARLAR!$B$10</definedName>
    <definedName name="ukv_senaryoKotu">AYARLAR!$B$11</definedName>
    <definedName name="ukv_oranArtisPuan">AYARLAR!$B$12</definedName>
    <definedName name="ukv_tahminAlt">AYARLAR!$B$13</definedName>
    <definedName name="ukv_tahminUst">AYARLAR!$B$14</definedName>
    <definedName name="ukv_tornadoHasilat">AYARLAR!$B$15</definedName>
    <definedName name="ukv_tornadoMaliyet">AYARLAR!$B$16</definedName>
    <definedName name="ukv_payArtisOran">AYARLAR!$B$17</definedName>
    <definedName name="ukv_yuzdelikOran">AYARLAR!$B$18</definedName>
    <definedName name="ukv_girisBeklenen">AYARLAR!$B$21</definedName>
    <definedName name="ukv_riskDusuk">AYARLAR!$B$22</definedName>
    <definedName name="ukv_riskOrta">AYARLAR!$B$23</definedName>
    <definedName name="ukv_riskYuksek">AYARLAR!$B$24</definedName>
    <definedName name="ukv_riskEsikOran">AYARLAR!$B$25</definedName>
    <definedName name="ukv_yilTaban">AYARLAR!$B$26</definedName>
    <definedName name="ukv_yuvarMax">AYARLAR!$B$27</definedName>
    <definedName name="ukv_dayanakCarpan">AYARLAR!$B$28</definedName>
    <definedName name="ukv_bazCarpan">AYARLAR!$B$29</definedName>
    <definedName name="ukv_sifirCarpan">AYARLAR!$B$30</definedName>
    <definedName name="ukv_siraBir">AYARLAR!$B$31</definedName>
    <definedName name="ukv_siraIki">AYARLAR!$B$32</definedName>
    <definedName name="ukv_siraUc">AYARLAR!$B$33</definedName>
    <definedName name="ukv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ukv_modulT1">PANO!$C$11</definedName>
    <definedName name="ukv_modulT1Yorum">PANO!$D$11</definedName>
    <definedName name="ukv_modulT2">PANO!$C$12</definedName>
    <definedName name="ukv_modulT2Yorum">PANO!$D$12</definedName>
    <definedName name="ukv_modulO1">PANO!$C$13</definedName>
    <definedName name="ukv_modulO1Yorum">PANO!$D$13</definedName>
    <definedName name="ukv_modulO6">PANO!$C$16</definedName>
    <definedName name="ukv_modulO6Yorum">PANO!$D$16</definedName>
    <definedName name="ukv_modulO8">PANO!$C$17</definedName>
    <definedName name="ukv_modulO8Yorum">PANO!$D$17</definedName>
    <definedName name="ukv_modulI2">PANO!$C$20</definedName>
    <definedName name="u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Üretim Kârı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Üretim KV tasarrufu ve kararı etkiler | Doğru kullanım: Sırayla izleyin | Örnek: demo satırına bakın | Yanlışsa: Matrah, tasarruf ve karar bozulur | Kaynak: KVK md.32</t>
      </text>
    </comment>
    <comment ref="A6" authorId="0" shapeId="0">
      <text>
        <t>Tanım: Adım 2 — Karar | Neden önemli: Üretim KV tasarrufu ve kararı etkiler | Doğru kullanım: Sırayla izleyin | Örnek: demo satırına bakın | Yanlışsa: Matrah, tasarruf ve karar bozulur | Kaynak: KVK md.32</t>
      </text>
    </comment>
    <comment ref="A7" authorId="0" shapeId="0">
      <text>
        <t>Tanım: Adım 3 — Kanıt | Neden önemli: Üretim KV tasarrufu ve kararı etkiler | Doğru kullanım: Sırayla izleyin | Örnek: demo satırına bakın | Yanlışsa: Matrah, tasarruf ve karar bozulur | Kaynak: KVK md.32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Üretim KV tasarrufu ve kararı etkiler | Doğru kullanım: Şirket unvanını yazın. | Örnek: demo satırına bakın | Yanlışsa: Matrah, tasarruf ve karar bozulur | Kaynak: KVK md.32</t>
      </text>
    </comment>
    <comment ref="B7" authorId="0" shapeId="0">
      <text>
        <t>Tanım: Dönem | Neden önemli: Üretim KV tasarrufu ve kararı etkiler | Doğru kullanım: Beyan dönemi veya hesap yılı referansını yazın. | Örnek: demo satırına bakın | Yanlışsa: Matrah, tasarruf ve karar bozulur | Kaynak: KVK md.32</t>
      </text>
    </comment>
    <comment ref="B8" authorId="0" shapeId="0">
      <text>
        <t>Tanım: Hesap Yılı | Neden önemli: Üretim KV tasarrufu ve kararı etkiler | Doğru kullanım: 2025, 2026 veya 2027 seçin. | Örnek: demo satırına bakın | Yanlışsa: Matrah, tasarruf ve karar bozulur | Kaynak: KVK md.32</t>
      </text>
    </comment>
    <comment ref="B9" authorId="0" shapeId="0">
      <text>
        <t>Tanım: Üretim Hasılatı [₺] | Neden önemli: Üretim KV tasarrufu ve kararı etkiler | Doğru kullanım: Üretim/imalat faaliyetinden doğan hasılatı TL girin. | Örnek: demo satırına bakın | Yanlışsa: Matrah, tasarruf ve karar bozulur | Kaynak: KVK md.32</t>
      </text>
    </comment>
    <comment ref="B10" authorId="0" shapeId="0">
      <text>
        <t>Tanım: Üretim Maliyeti [₺] | Neden önemli: Üretim KV tasarrufu ve kararı etkiler | Doğru kullanım: Satılan mamul / üretim maliyetini TL girin. | Örnek: demo satırına bakın | Yanlışsa: Matrah, tasarruf ve karar bozulur | Kaynak: KVK md.32</t>
      </text>
    </comment>
    <comment ref="B11" authorId="0" shapeId="0">
      <text>
        <t>Tanım: Genel Yönetim Payı [₺] | Neden önemli: Üretim KV tasarrufu ve kararı etkiler | Doğru kullanım: Üretime düşen genel yönetim gider payını TL girin. | Örnek: demo satırına bakın | Yanlışsa: Matrah, tasarruf ve karar bozulur | Kaynak: KVK md.32</t>
      </text>
    </comment>
    <comment ref="B12" authorId="0" shapeId="0">
      <text>
        <t>Tanım: Finansman Gider Payı [₺] | Neden önemli: Üretim KV tasarrufu ve kararı etkiler | Doğru kullanım: Üretime düşen finansman gider payını TL girin. | Örnek: demo satırına bakın | Yanlışsa: Matrah, tasarruf ve karar bozulur | Kaynak: KVK md.32</t>
      </text>
    </comment>
    <comment ref="B13" authorId="0" shapeId="0">
      <text>
        <t>Tanım: Diğer Faaliyet Kârı [₺] | Neden önemli: Üretim KV tasarrufu ve kararı etkiler | Doğru kullanım: Üretim dışı faaliyet kârını (matraha ek) TL girin; zarar negatif. | Örnek: demo satırına bakın | Yanlışsa: Matrah, tasarruf ve karar bozulur | Kaynak: KVK md.32</t>
      </text>
    </comment>
    <comment ref="B14" authorId="0" shapeId="0">
      <text>
        <t>Tanım: İstisna Tutarı [₺] | Neden önemli: Üretim KV tasarrufu ve kararı etkiler | Doğru kullanım: Matrahtan düşülecek istisna tutarını TL girin. | Örnek: demo satırına bakın | Yanlışsa: Matrah, tasarruf ve karar bozulur | Kaynak: KVK md.32</t>
      </text>
    </comment>
    <comment ref="B15" authorId="0" shapeId="0">
      <text>
        <t>Tanım: Yorum Modu (A/B) | Neden önemli: Üretim KV tasarrufu ve kararı etkiler | Doğru kullanım: Pay dağıtım yorumu A (standart) veya B (sıkı +%10 pay) seçin. | Örnek: demo satırına bakın | Yanlışsa: Matrah, tasarruf ve karar bozulur | Kaynak: KVK md.32</t>
      </text>
    </comment>
    <comment ref="A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B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C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D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E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A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B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C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D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E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A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B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C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D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E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A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B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C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D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E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A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B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C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D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E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A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B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C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D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E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A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B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C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D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E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A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B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C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D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E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A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B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C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D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E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A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B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C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D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E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G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H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Üretim KV tasarrufu ve kararı etkiler | Doğru kullanım: Raporu hazırlayan kişinin adını yazın. | Örnek: demo satırına bakın | Yanlışsa: Matrah, tasarruf ve karar bozulur | Kaynak: KVK md.32</t>
      </text>
    </comment>
    <comment ref="B31" authorId="0" shapeId="0">
      <text>
        <t>Tanım: Onay | Neden önemli: Üretim KV tasarrufu ve kararı etkiler | Doğru kullanım: Onaylayan kişinin adını yazın. | Örnek: demo satırına bakın | Yanlışsa: Matrah, tasarruf ve karar bozulur | Kaynak: KVK md.32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hasılat?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Tasarruf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6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6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6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6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6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6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6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7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7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7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7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7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7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7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7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8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8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8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8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8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8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8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8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9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9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9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9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9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9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9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9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0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10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10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10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10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10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10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10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6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6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7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7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7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8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Üretim KV tasarrufu ve kararı etkiler | Doğru kullanım: Aktif hesap yılı | Örnek: demo satırına bakın | Yanlışsa: Matrah, tasarruf ve karar bozulur | Kaynak: KVK md.32</t>
      </text>
    </comment>
    <comment ref="B7" authorId="0" shapeId="0">
      <text>
        <t>Tanım: raporTarihi | Neden önemli: Üretim KV tasarrufu ve kararı etkiler | Doğru kullanım: Rapor tarihi (sabit) | Örnek: demo satırına bakın | Yanlışsa: Matrah, tasarruf ve karar bozulur | Kaynak: KVK md.32</t>
      </text>
    </comment>
    <comment ref="B8" authorId="0" shapeId="0">
      <text>
        <t>Tanım: ukv_tolerans | Neden önemli: Üretim KV tasarrufu ve kararı etkiler | Doğru kullanım: Vaka tutarlılık toleransı | Örnek: demo satırına bakın | Yanlışsa: Matrah, tasarruf ve karar bozulur | Kaynak: KVK md.32</t>
      </text>
    </comment>
    <comment ref="B9" authorId="0" shapeId="0">
      <text>
        <t>Tanım: ukv_kacirilanEsik | Neden önemli: Üretim KV tasarrufu ve kararı etkiler | Doğru kullanım: PANO tasarruf uyarı eşiği | Örnek: demo satırına bakın | Yanlışsa: Matrah, tasarruf ve karar bozulur | Kaynak: KVK md.32</t>
      </text>
    </comment>
    <comment ref="B10" authorId="0" shapeId="0">
      <text>
        <t>Tanım: ukv_senaryoIyi | Neden önemli: Üretim KV tasarrufu ve kararı etkiler | Doğru kullanım: İyimser matrah çarpanı | Örnek: demo satırına bakın | Yanlışsa: Matrah, tasarruf ve karar bozulur | Kaynak: KVK md.32</t>
      </text>
    </comment>
    <comment ref="B11" authorId="0" shapeId="0">
      <text>
        <t>Tanım: ukv_senaryoKotu | Neden önemli: Üretim KV tasarrufu ve kararı etkiler | Doğru kullanım: Kötümser matrah çarpanı | Örnek: demo satırına bakın | Yanlışsa: Matrah, tasarruf ve karar bozulur | Kaynak: KVK md.32</t>
      </text>
    </comment>
    <comment ref="B12" authorId="0" shapeId="0">
      <text>
        <t>Tanım: ukv_oranArtisPuan | Neden önemli: Üretim KV tasarrufu ve kararı etkiler | Doğru kullanım: M-SEN sabit +1 puan | Örnek: demo satırına bakın | Yanlışsa: Matrah, tasarruf ve karar bozulur | Kaynak: KVK md.32</t>
      </text>
    </comment>
    <comment ref="B13" authorId="0" shapeId="0">
      <text>
        <t>Tanım: ukv_tahminAlt | Neden önemli: Üretim KV tasarrufu ve kararı etkiler | Doğru kullanım: Tahmin alt bant | Örnek: demo satırına bakın | Yanlışsa: Matrah, tasarruf ve karar bozulur | Kaynak: KVK md.32</t>
      </text>
    </comment>
    <comment ref="B14" authorId="0" shapeId="0">
      <text>
        <t>Tanım: ukv_tahminUst | Neden önemli: Üretim KV tasarrufu ve kararı etkiler | Doğru kullanım: Tahmin üst bant | Örnek: demo satırına bakın | Yanlışsa: Matrah, tasarruf ve karar bozulur | Kaynak: KVK md.32</t>
      </text>
    </comment>
    <comment ref="B15" authorId="0" shapeId="0">
      <text>
        <t>Tanım: ukv_tornadoHasilat | Neden önemli: Üretim KV tasarrufu ve kararı etkiler | Doğru kullanım: Tornado hasılat şoku | Örnek: demo satırına bakın | Yanlışsa: Matrah, tasarruf ve karar bozulur | Kaynak: KVK md.32</t>
      </text>
    </comment>
    <comment ref="B16" authorId="0" shapeId="0">
      <text>
        <t>Tanım: ukv_tornadoMaliyet | Neden önemli: Üretim KV tasarrufu ve kararı etkiler | Doğru kullanım: Tornado maliyet şoku | Örnek: demo satırına bakın | Yanlışsa: Matrah, tasarruf ve karar bozulur | Kaynak: KVK md.32</t>
      </text>
    </comment>
    <comment ref="B17" authorId="0" shapeId="0">
      <text>
        <t>Tanım: ukv_payArtisOran | Neden önemli: Üretim KV tasarrufu ve kararı etkiler | Doğru kullanım: Yorum B pay +%10 | Örnek: demo satırına bakın | Yanlışsa: Matrah, tasarruf ve karar bozulur | Kaynak: KVK md.32</t>
      </text>
    </comment>
    <comment ref="B18" authorId="0" shapeId="0">
      <text>
        <t>Tanım: ukv_yuzdelikOran | Neden önemli: Üretim KV tasarrufu ve kararı etkiler | Doğru kullanım: Yüzdelik P90 | Örnek: demo satırına bakın | Yanlışsa: Matrah, tasarruf ve karar bozulur | Kaynak: KVK md.32</t>
      </text>
    </comment>
    <comment ref="B19" authorId="0" shapeId="0">
      <text>
        <t>Tanım: ukv_parmakIzi | Neden önemli: Üretim KV tasarrufu ve kararı etkiler | Doğru kullanım: Dosya parmak izi etiketi | Örnek: demo satırına bakın | Yanlışsa: Matrah, tasarruf ve karar bozulur | Kaynak: KVK md.32</t>
      </text>
    </comment>
    <comment ref="B20" authorId="0" shapeId="0">
      <text>
        <t>Tanım: dosya_surumu | Neden önemli: Üretim KV tasarrufu ve kararı etkiler | Doğru kullanım: Ürün sürümü | Örnek: demo satırına bakın | Yanlışsa: Matrah, tasarruf ve karar bozulur | Kaynak: KVK md.32</t>
      </text>
    </comment>
    <comment ref="B21" authorId="0" shapeId="0">
      <text>
        <t>Tanım: ukv_girisBeklenen | Neden önemli: Üretim KV tasarrufu ve kararı etkiler | Doğru kullanım: Zorunlu giriş alanı sayısı | Örnek: demo satırına bakın | Yanlışsa: Matrah, tasarruf ve karar bozulur | Kaynak: KVK md.32</t>
      </text>
    </comment>
    <comment ref="B22" authorId="0" shapeId="0">
      <text>
        <t>Tanım: ukv_riskDusuk | Neden önemli: Üretim KV tasarrufu ve kararı etkiler | Doğru kullanım: UYGULA risk skoru | Örnek: demo satırına bakın | Yanlışsa: Matrah, tasarruf ve karar bozulur | Kaynak: KVK md.32</t>
      </text>
    </comment>
    <comment ref="B23" authorId="0" shapeId="0">
      <text>
        <t>Tanım: ukv_riskOrta | Neden önemli: Üretim KV tasarrufu ve kararı etkiler | Doğru kullanım: İNCELE risk skoru | Örnek: demo satırına bakın | Yanlışsa: Matrah, tasarruf ve karar bozulur | Kaynak: KVK md.32</t>
      </text>
    </comment>
    <comment ref="B24" authorId="0" shapeId="0">
      <text>
        <t>Tanım: ukv_riskYuksek | Neden önemli: Üretim KV tasarrufu ve kararı etkiler | Doğru kullanım: UYGULAMA risk skoru | Örnek: demo satırına bakın | Yanlışsa: Matrah, tasarruf ve karar bozulur | Kaynak: KVK md.32</t>
      </text>
    </comment>
    <comment ref="B25" authorId="0" shapeId="0">
      <text>
        <t>Tanım: ukv_riskEsikOran | Neden önemli: Üretim KV tasarrufu ve kararı etkiler | Doğru kullanım: Yedek risk oranı | Örnek: demo satırına bakın | Yanlışsa: Matrah, tasarruf ve karar bozulur | Kaynak: KVK md.32</t>
      </text>
    </comment>
    <comment ref="B26" authorId="0" shapeId="0">
      <text>
        <t>Tanım: ukv_yilTaban | Neden önemli: Üretim KV tasarrufu ve kararı etkiler | Doğru kullanım: CHOOSE yıl tabanı (hesapYili−taban) | Örnek: demo satırına bakın | Yanlışsa: Matrah, tasarruf ve karar bozulur | Kaynak: KVK md.32</t>
      </text>
    </comment>
    <comment ref="B27" authorId="0" shapeId="0">
      <text>
        <t>Tanım: ukv_yuvarMax | Neden önemli: Üretim KV tasarrufu ve kararı etkiler | Doğru kullanım: ROUND basamak tavanı | Örnek: demo satırına bakın | Yanlışsa: Matrah, tasarruf ve karar bozulur | Kaynak: KVK md.32</t>
      </text>
    </comment>
    <comment ref="B28" authorId="0" shapeId="0">
      <text>
        <t>Tanım: ukv_dayanakCarpan | Neden önemli: Üretim KV tasarrufu ve kararı etkiler | Doğru kullanım: Yedek çarpan | Örnek: demo satırına bakın | Yanlışsa: Matrah, tasarruf ve karar bozulur | Kaynak: KVK md.32</t>
      </text>
    </comment>
    <comment ref="B29" authorId="0" shapeId="0">
      <text>
        <t>Tanım: ukv_bazCarpan | Neden önemli: Üretim KV tasarrufu ve kararı etkiler | Doğru kullanım: Baz senaryo çarpanı | Örnek: demo satırına bakın | Yanlışsa: Matrah, tasarruf ve karar bozulur | Kaynak: KVK md.32</t>
      </text>
    </comment>
    <comment ref="B30" authorId="0" shapeId="0">
      <text>
        <t>Tanım: ukv_sifirCarpan | Neden önemli: Üretim KV tasarrufu ve kararı etkiler | Doğru kullanım: Nötr çarpan (sıfır) | Örnek: demo satırına bakın | Yanlışsa: Matrah, tasarruf ve karar bozulur | Kaynak: KVK md.32</t>
      </text>
    </comment>
    <comment ref="B31" authorId="0" shapeId="0">
      <text>
        <t>Tanım: ukv_siraBir | Neden önemli: Üretim KV tasarrufu ve kararı etkiler | Doğru kullanım: Tornado sıra 1 | Örnek: demo satırına bakın | Yanlışsa: Matrah, tasarruf ve karar bozulur | Kaynak: KVK md.32</t>
      </text>
    </comment>
    <comment ref="B32" authorId="0" shapeId="0">
      <text>
        <t>Tanım: ukv_siraIki | Neden önemli: Üretim KV tasarrufu ve kararı etkiler | Doğru kullanım: Tornado sıra 2 | Örnek: demo satırına bakın | Yanlışsa: Matrah, tasarruf ve karar bozulur | Kaynak: KVK md.32</t>
      </text>
    </comment>
    <comment ref="B33" authorId="0" shapeId="0">
      <text>
        <t>Tanım: ukv_siraUc | Neden önemli: Üretim KV tasarrufu ve kararı etkiler | Doğru kullanım: Tornado sıra 3 | Örnek: demo satırına bakın | Yanlışsa: Matrah, tasarruf ve karar bozulur | Kaynak: KVK md.32</t>
      </text>
    </comment>
    <comment ref="B34" authorId="0" shapeId="0">
      <text>
        <t>Tanım: ukv_tahminX | Neden önemli: Üretim KV tasarrufu ve kararı etkiler | Doğru kullanım: FORECAST X noktası | Örnek: demo satırına bakın | Yanlışsa: Matrah, tasarruf ve karar bozulur | Kaynak: KVK md.32</t>
      </text>
    </comment>
    <comment ref="B35" authorId="0" shapeId="0">
      <text>
        <t>Tanım: vaka_matrah_1 | Neden önemli: Üretim KV tasarrufu ve kararı etkiler | Doğru kullanım: Vaka1/2/3 matrah | Örnek: demo satırına bakın | Yanlışsa: Matrah, tasarruf ve karar bozulur | Kaynak: KVK md.32</t>
      </text>
    </comment>
    <comment ref="B36" authorId="0" shapeId="0">
      <text>
        <t>Tanım: vaka_matrah_2 | Neden önemli: Üretim KV tasarrufu ve kararı etkiler | Doğru kullanım: Vaka4 matrah | Örnek: demo satırına bakın | Yanlışsa: Matrah, tasarruf ve karar bozulur | Kaynak: KVK md.32</t>
      </text>
    </comment>
    <comment ref="B37" authorId="0" shapeId="0">
      <text>
        <t>Tanım: vaka_tavan | Neden önemli: Üretim KV tasarrufu ve kararı etkiler | Doğru kullanım: Yedek vaka tavanı | Örnek: demo satırına bakın | Yanlışsa: Matrah, tasarruf ve karar bozulur | Kaynak: KVK md.32</t>
      </text>
    </comment>
    <comment ref="B38" authorId="0" shapeId="0">
      <text>
        <t>Tanım: vaka_endeks_orani | Neden önemli: Üretim KV tasarrufu ve kararı etkiler | Doğru kullanım: Yedek endeks oranı | Örnek: demo satırına bakın | Yanlışsa: Matrah, tasarruf ve karar bozulur | Kaynak: KVK md.32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Row],[kural_id]]="","",IFERROR(CHOOSE(MAX(1,MIN(3,IF(OR(hesapYili="",hesapYili=0),1,hesapYili-ukv_yilTaban))),tblKurallar[[#This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Row],[fark]])&lt;=ukv_tolerans,"TUTARLI","KIRIK"),"KIRIK"))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Hasılat"/>
    <tableColumn id="3" name="Maliyet"/>
    <tableColumn id="4" name="GY Payı"/>
    <tableColumn id="5" name="FG Payı"/>
    <tableColumn id="6" name="Diğer"/>
    <tableColumn id="7" name="İstisna"/>
    <tableColumn id="8" name="Yıl"/>
    <tableColumn id="9" name="Üretim Kârı">
      <calculatedColumnFormula>=IF(tblOrnek[[#This Row],[Senaryo]]="","",IFERROR(tblOrnek[[#This Row],[Hasılat]]-tblOrnek[[#This Row],[Maliyet]]-tblOrnek[[#This Row],[GY Payı]]-tblOrnek[[#This Row],[FG Payı]],0))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4" t="inlineStr">
        <is>
          <t>URETIM KARI 125 KV OPTIMIZASYONU — YÖNETİM VE KARAR SİSTEMİ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Yönetici Karar Kokpiti, Otomatik Doğrulama ve Dinamik Hesaplama Sistemi · 2026</t>
        </is>
      </c>
    </row>
    <row r="5">
      <c r="B5" s="98" t="inlineStr">
        <is>
          <t>TOPLAM İŞLEM HACMİ</t>
        </is>
      </c>
      <c r="C5" s="99" t="n"/>
      <c r="D5" s="100" t="inlineStr">
        <is>
          <t>DOĞRULANMIŞ</t>
        </is>
      </c>
      <c r="E5" s="101" t="inlineStr">
        <is>
          <t>RİSKLİ / BEKLEYEN İŞLEM</t>
        </is>
      </c>
      <c r="F5" s="99" t="n"/>
      <c r="G5" s="102" t="inlineStr">
        <is>
          <t>MİNİMUM</t>
        </is>
      </c>
      <c r="H5" s="98" t="inlineStr">
        <is>
          <t>OPERASYONEL NET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08" t="inlineStr">
        <is>
          <t>₺28.450.000</t>
        </is>
      </c>
      <c r="C7" s="99" t="n"/>
      <c r="D7" s="99" t="n"/>
      <c r="E7" s="109" t="inlineStr">
        <is>
          <t>₺940.000</t>
        </is>
      </c>
      <c r="F7" s="99" t="n"/>
      <c r="G7" s="99" t="n"/>
      <c r="H7" s="108" t="inlineStr">
        <is>
          <t>₺8.120.000</t>
        </is>
      </c>
      <c r="I7" s="99" t="n"/>
      <c r="J7" s="99" t="n"/>
      <c r="K7" s="110" t="inlineStr">
        <is>
          <t>98/100</t>
        </is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Konsolide yıllıklandırılmış büyüme</t>
        </is>
      </c>
      <c r="C9" s="99" t="n"/>
      <c r="D9" s="99" t="n"/>
      <c r="E9" s="112" t="inlineStr">
        <is>
          <t>● Tüm riskli kayıtlar kontrol altında</t>
        </is>
      </c>
      <c r="F9" s="99" t="n"/>
      <c r="G9" s="99" t="n"/>
      <c r="H9" s="111" t="inlineStr">
        <is>
          <t>██████████░░░░░ %28.5 NET MARJ</t>
        </is>
      </c>
      <c r="I9" s="99" t="n"/>
      <c r="J9" s="99" t="n"/>
      <c r="K9" s="113" t="inlineStr">
        <is>
          <t>✓ 0 Formül ve Döngüsel Hata</t>
        </is>
      </c>
      <c r="L9" s="99" t="n"/>
      <c r="M9" s="99" t="n"/>
    </row>
    <row r="11">
      <c r="B11" s="92" t="inlineStr">
        <is>
          <t>12 AYLIK NAKİT GİRİŞ / ÇIKIŞ &amp; LİKİDİTE BAŞARIMI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13 haftalık kümülatif bakiye...</t>
        </is>
      </c>
      <c r="I15" s="117" t="inlineStr">
        <is>
          <t>₺8.450.000</t>
        </is>
      </c>
      <c r="J15" s="118" t="inlineStr">
        <is>
          <t>₺425.000</t>
        </is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(eksi) hafta uyarısı</t>
        </is>
      </c>
      <c r="I16" s="117" t="inlineStr">
        <is>
          <t>₺12.200.000</t>
        </is>
      </c>
      <c r="J16" s="118" t="inlineStr">
        <is>
          <t>₺580.400</t>
        </is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Dönem net nakit değişimi</t>
        </is>
      </c>
      <c r="I17" s="117" t="inlineStr">
        <is>
          <t>₺4.850.000</t>
        </is>
      </c>
      <c r="J17" s="118" t="inlineStr">
        <is>
          <t>₺235.200</t>
        </is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13 haftalık kümülatif bakiye...</t>
        </is>
      </c>
      <c r="I18" s="117" t="inlineStr">
        <is>
          <t>₺2.140.000</t>
        </is>
      </c>
      <c r="J18" s="118" t="inlineStr">
        <is>
          <t>₺118.000</t>
        </is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22" t="inlineStr">
        <is>
          <t>₺42.850.000</t>
        </is>
      </c>
      <c r="J19" s="123" t="inlineStr">
        <is>
          <t>₺3.420.000</t>
        </is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OPERASYONEL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Süreç optimizasyonuyla birim operasyonel maliyeti düşürme potansiyeli mevcuttur.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K26" s="13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6" t="inlineStr">
        <is>
          <t>🔍  Kayıt veya hesap ara...</t>
        </is>
      </c>
      <c r="G3" s="137" t="inlineStr">
        <is>
          <t>TOPLAM: 1.450 KAYIT</t>
        </is>
      </c>
      <c r="I3" s="138" t="inlineStr">
        <is>
          <t>HATALI HÜCRE: 0 ADET</t>
        </is>
      </c>
    </row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Haftalık nakit girişi tahmini</t>
        </is>
      </c>
      <c r="E6" s="143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Haftalık nakit çıkışı tahmini</t>
        </is>
      </c>
      <c r="E7" s="150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notları</t>
        </is>
      </c>
      <c r="E8" s="143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Haftalık nakit girişi tahmini</t>
        </is>
      </c>
      <c r="E9" s="150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Haftalık nakit girişi tahmini</t>
        </is>
      </c>
      <c r="E10" s="143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Haftalık nakit çıkışı tahmini</t>
        </is>
      </c>
      <c r="E11" s="150" t="n">
        <v>1850000</v>
      </c>
      <c r="F11" s="151" t="n">
        <v>0.2</v>
      </c>
      <c r="G11" s="152">
        <f>E11/(1+F11)</f>
        <v/>
      </c>
      <c r="H11" s="149" t="inlineStr">
        <is>
          <t>Banka Kredi Taksiti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Ödeme takvimi notları</t>
        </is>
      </c>
      <c r="E12" s="143" t="n">
        <v>740000</v>
      </c>
      <c r="F12" s="144" t="n">
        <v>0.2</v>
      </c>
      <c r="G12" s="145">
        <f>E12/(1+F12)</f>
        <v/>
      </c>
      <c r="H12" s="142" t="inlineStr">
        <is>
          <t>Kira &amp; Sabit Gider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Haftalık nakit girişi tahmini</t>
        </is>
      </c>
      <c r="E13" s="150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Haftalık nakit girişi tahmini</t>
        </is>
      </c>
      <c r="E14" s="143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Haftalık nakit çıkışı tahmini</t>
        </is>
      </c>
      <c r="E15" s="150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7">
      <c r="B17" s="156" t="inlineStr">
        <is>
          <t>SAYFA TOPLAMI (10 / 1.450 KAYIT)</t>
        </is>
      </c>
      <c r="C17" s="124" t="n"/>
      <c r="D17" s="124" t="n"/>
      <c r="E17" s="157">
        <f>TOPLA(E6:E15)</f>
        <v/>
      </c>
      <c r="F17" s="124" t="n"/>
      <c r="G17" s="124" t="n"/>
      <c r="H17" s="124" t="n"/>
      <c r="I17" s="12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8" t="inlineStr">
        <is>
          <t>URETIM KARI 125 KV OPTIMIZASYONU — YÖNETİM VE KARAR SİSTEMİ — NİHAİ KARAR VE DEĞERLEME</t>
        </is>
      </c>
    </row>
    <row r="3">
      <c r="B3" s="159" t="inlineStr">
        <is>
          <t>Yönetim Kurulu ve İcra Komitesi için Otomatik Türetilen Finansal Stres Testi Raporu</t>
        </is>
      </c>
    </row>
    <row r="4">
      <c r="B4" s="160" t="inlineStr">
        <is>
          <t>DÖNEM: 2026 Q3 · DENETİM PROTOKOLÜ: ISO/VUK/IFRS UYUMLU · DURUM: ONAYLANDI</t>
        </is>
      </c>
    </row>
    <row r="6">
      <c r="B6" s="161" t="inlineStr">
        <is>
          <t>SENARYO A: KÖTÜMSER (STRES TESTİ -%20)</t>
        </is>
      </c>
      <c r="C6" s="99" t="n"/>
      <c r="D6" s="99" t="n"/>
      <c r="E6" s="99" t="n"/>
      <c r="F6" s="99" t="n"/>
      <c r="H6" s="162" t="inlineStr">
        <is>
          <t>SENARYO B: BAZ MODEL (HEDEFLENEN)</t>
        </is>
      </c>
      <c r="I6" s="99" t="n"/>
      <c r="J6" s="99" t="n"/>
      <c r="K6" s="99" t="n"/>
      <c r="L6" s="99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166" t="inlineStr">
        <is>
          <t>₺4.280.000</t>
        </is>
      </c>
      <c r="F9" s="99" t="n"/>
      <c r="H9" s="163" t="inlineStr">
        <is>
          <t>Beklenen Net Kâr / Getiri:</t>
        </is>
      </c>
      <c r="I9" s="99" t="n"/>
      <c r="J9" s="99" t="n"/>
      <c r="K9" s="166" t="inlineStr">
        <is>
          <t>₺12.450.000</t>
        </is>
      </c>
      <c r="L9" s="99" t="n"/>
    </row>
    <row r="10">
      <c r="B10" s="163" t="inlineStr">
        <is>
          <t>Minimum Nakit Tamponu:</t>
        </is>
      </c>
      <c r="C10" s="99" t="n"/>
      <c r="D10" s="99" t="n"/>
      <c r="E10" s="167" t="inlineStr">
        <is>
          <t>₺1.850.000 (Yeterli)</t>
        </is>
      </c>
      <c r="F10" s="99" t="n"/>
      <c r="H10" s="163" t="inlineStr">
        <is>
          <t>Serbest Nakit Akımı:</t>
        </is>
      </c>
      <c r="I10" s="99" t="n"/>
      <c r="J10" s="99" t="n"/>
      <c r="K10" s="167" t="inlineStr">
        <is>
          <t>₺8.240.000</t>
        </is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167" t="inlineStr">
        <is>
          <t>1.28x (Eşik: 1.10x)</t>
        </is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99" t="n"/>
      <c r="D14" s="99" t="n"/>
      <c r="E14" s="99" t="n"/>
      <c r="F14" s="99" t="n"/>
      <c r="H14" s="169" t="inlineStr">
        <is>
          <t>OPTİMUM İCRA VE PLANLAMA REÇETESİ</t>
        </is>
      </c>
      <c r="I14" s="99" t="n"/>
      <c r="J14" s="99" t="n"/>
      <c r="K14" s="99" t="n"/>
      <c r="L14" s="99" t="n"/>
    </row>
    <row r="15">
      <c r="B15" s="99" t="n"/>
      <c r="C15" s="99" t="n"/>
      <c r="D15" s="99" t="n"/>
      <c r="E15" s="99" t="n"/>
      <c r="F15" s="99" t="n"/>
      <c r="H15" s="99" t="n"/>
      <c r="I15" s="99" t="n"/>
      <c r="J15" s="99" t="n"/>
      <c r="K15" s="99" t="n"/>
      <c r="L15" s="99" t="n"/>
    </row>
    <row r="17">
      <c r="B17" s="79" t="inlineStr">
        <is>
          <t>YÖNETİM KARAR MATRİSİ VE UYGULAMA REÇETESİ</t>
        </is>
      </c>
    </row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Üretim Kârı %12,5 KV Optimizasyonu</t>
        </is>
      </c>
    </row>
    <row r="3" ht="30" customHeight="1">
      <c r="A3" s="3" t="inlineStr">
        <is>
          <t>Üretim Kârı %12,5 KV Optimizasyonu</t>
        </is>
      </c>
    </row>
    <row r="4">
      <c r="A4" s="4" t="inlineStr">
        <is>
          <t>Üretim hasılatı, maliyeti ve payları girin; standart KV ile indirimli %12,5 oranı karşılaştırıp UYGULA / İNCELE / UYGULAMA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indirimli üretim KV oranına hazır motor</t>
        </is>
      </c>
    </row>
    <row r="8">
      <c r="A8" s="6" t="inlineStr">
        <is>
          <t>• Üretim kârı, matrah, standart KV, indirimli KV ve tasarrufun yan yana hesabı</t>
        </is>
      </c>
    </row>
    <row r="9">
      <c r="A9" s="6" t="inlineStr">
        <is>
          <t>• Baz / iyimser / kötümser + kural değişimi (indirimli 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genel yönetim / finansman pay dağıtım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indirimli KV tasarrufunu ve madde atfını müşteriye vermek</t>
        </is>
      </c>
    </row>
    <row r="15">
      <c r="A15" s="7" t="inlineStr">
        <is>
          <t>• CFO — UYGULA / İNCELE / UYGULAMA kararını bütçeye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Üretim Kârı %12,5 KV Optimizasyonu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hasılat, maliyet ve payları sarı hücrelere girin.</t>
        </is>
      </c>
    </row>
    <row r="6">
      <c r="A6" s="10" t="inlineStr">
        <is>
          <t>Adım 2 — Karar</t>
        </is>
      </c>
      <c r="B6" s="6" t="inlineStr">
        <is>
          <t>PANO'da tasarruf tutarını ve UYGULA / İNCELE / UYGULAMA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Genel yönetim / finansman payını üretim dışı bırakmak</t>
        </is>
      </c>
    </row>
    <row r="11">
      <c r="A11" s="12" t="inlineStr">
        <is>
          <t>• İstisna tutarını matrahtan düşmeden standart oranla karşılaştırmak</t>
        </is>
      </c>
    </row>
    <row r="12">
      <c r="A12" s="12" t="inlineStr">
        <is>
          <t>• Hesap yılını kural tablosuyla uyumsuz seçmek (2025 ≠ 2026 oranı)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Üretim Kârı %12,5 KV Optimizasyonu</t>
        </is>
      </c>
    </row>
    <row r="3">
      <c r="A3" s="9" t="inlineStr">
        <is>
          <t>Şirket ve üretim girdileri</t>
        </is>
      </c>
    </row>
    <row r="4">
      <c r="A4" s="4" t="inlineStr">
        <is>
          <t>Sarı hücreler manuel giriştir. Oranlar KURALLAR'dan;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İmalat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Üretim Hasılatı [₺]</t>
        </is>
      </c>
      <c r="B9" s="33" t="n">
        <v>40000000</v>
      </c>
      <c r="C9" s="28" t="inlineStr">
        <is>
          <t>₺</t>
        </is>
      </c>
    </row>
    <row r="10">
      <c r="A10" s="7" t="inlineStr">
        <is>
          <t>Üretim Maliyeti [₺]</t>
        </is>
      </c>
      <c r="B10" s="33" t="n">
        <v>28000000</v>
      </c>
      <c r="C10" s="28" t="inlineStr">
        <is>
          <t>₺</t>
        </is>
      </c>
    </row>
    <row r="11">
      <c r="A11" s="7" t="inlineStr">
        <is>
          <t>Genel Yönetim Payı [₺]</t>
        </is>
      </c>
      <c r="B11" s="33" t="n">
        <v>1500000</v>
      </c>
      <c r="C11" s="28" t="inlineStr">
        <is>
          <t>₺</t>
        </is>
      </c>
    </row>
    <row r="12">
      <c r="A12" s="7" t="inlineStr">
        <is>
          <t>Finansman Gider Payı [₺]</t>
        </is>
      </c>
      <c r="B12" s="33" t="n">
        <v>500000</v>
      </c>
      <c r="C12" s="28" t="inlineStr">
        <is>
          <t>₺</t>
        </is>
      </c>
    </row>
    <row r="13">
      <c r="A13" s="7" t="inlineStr">
        <is>
          <t>Diğer Faaliyet Kârı [₺]</t>
        </is>
      </c>
      <c r="B13" s="33" t="n">
        <v>200000</v>
      </c>
      <c r="C13" s="28" t="inlineStr">
        <is>
          <t>₺</t>
        </is>
      </c>
    </row>
    <row r="14">
      <c r="A14" s="7" t="inlineStr">
        <is>
          <t>İstisna Tutarı [₺]</t>
        </is>
      </c>
      <c r="B14" s="33" t="n">
        <v>0</v>
      </c>
      <c r="C14" s="28" t="inlineStr">
        <is>
          <t>₺</t>
        </is>
      </c>
    </row>
    <row r="15">
      <c r="A15" s="7" t="inlineStr">
        <is>
          <t>Yorum Modu (A/B)</t>
        </is>
      </c>
      <c r="B15" s="31" t="inlineStr">
        <is>
          <t>A</t>
        </is>
      </c>
      <c r="C15" s="28" t="inlineStr">
        <is>
          <t>metin</t>
        </is>
      </c>
    </row>
    <row r="17">
      <c r="A17" s="10" t="inlineStr">
        <is>
          <t>İndirimli oran (ayna)</t>
        </is>
      </c>
      <c r="B17" s="34">
        <f>IFERROR(INDEX(CHOOSE(MAX(1,MIN(3,IF(OR(hesapYili="",hesapYili=0),1,hesapYili-ukv_yilTaban))),tblKurallar[deger_2025],tblKurallar[deger_2026],tblKurallar[deger_2027]),MATCH("UKV-001",tblKurallar[kural_id],0)),0)</f>
        <v/>
      </c>
    </row>
    <row r="18">
      <c r="A18" s="10" t="inlineStr">
        <is>
          <t>Standart oran (ayna)</t>
        </is>
      </c>
      <c r="B18" s="34">
        <f>IFERROR(INDEX(CHOOSE(MAX(1,MIN(3,IF(OR(hesapYili="",hesapYili=0),1,hesapYili-ukv_yilTaban))),tblKurallar[deger_2025],tblKurallar[deger_2026],tblKurallar[deger_2027]),MATCH("UKV-002",tblKurallar[kural_id],0)),0)</f>
        <v/>
      </c>
    </row>
    <row r="19">
      <c r="A19" s="10" t="inlineStr">
        <is>
          <t>Tasarruf (ayna) [₺]</t>
        </is>
      </c>
      <c r="B19" s="35">
        <f>IFERROR(ukv_tasarruf,0)</f>
        <v/>
      </c>
    </row>
    <row r="20">
      <c r="A20" s="10" t="inlineStr">
        <is>
          <t>Giriş doluluk (kalite)</t>
        </is>
      </c>
      <c r="B20" s="36">
        <f>IFERROR(IF(OR(COUNTA(B6:B15)=0,ukv_girisBeklenen=0),0,ROUND(COUNTA(B6:B15)/ukv_girisBeklenen*100,0)),0)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İmalat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2026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uretim_hasilati</t>
        </is>
      </c>
      <c r="B27" s="40" t="n">
        <v>40000000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uretim_maliyeti</t>
        </is>
      </c>
      <c r="B28" s="40" t="n">
        <v>28000000</v>
      </c>
      <c r="C28" s="37" t="inlineStr">
        <is>
          <t>TL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genel_yonetim_payi</t>
        </is>
      </c>
      <c r="B29" s="40" t="n">
        <v>1500000</v>
      </c>
      <c r="C29" s="37" t="inlineStr">
        <is>
          <t>TL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finansman_gider_payi</t>
        </is>
      </c>
      <c r="B30" s="40" t="n">
        <v>500000</v>
      </c>
      <c r="C30" s="37" t="inlineStr">
        <is>
          <t>TL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diger_faaliyet_kar</t>
        </is>
      </c>
      <c r="B31" s="40" t="n">
        <v>200000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istisna_tutari</t>
        </is>
      </c>
      <c r="B32" s="40" t="n">
        <v>0</v>
      </c>
      <c r="C32" s="37" t="inlineStr">
        <is>
          <t>TL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1" t="inlineStr">
        <is>
          <t>Sarı alanlar giriş; oran ve tasarruf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Üretim Hasılatı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Üretim Maliyet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nel Yönetim Payı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inansman Gider Payı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stisna Tutar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Üretim Hasılatı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Üretim Maliyet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nel Yönetim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Finansman Payı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stisna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Sınır dışı." promptTitle="Diğer Faaliyet" prompt="-1e12 ile 1e12 arasında TL." type="decimal" errorStyle="stop" operator="between">
      <formula1>-1000000000000</formula1>
      <formula2>1000000000000</formula2>
    </dataValidation>
    <dataValidation sqref="B31" showDropDown="0" showInputMessage="1" showErrorMessage="1" allowBlank="1" errorTitle="Geçersiz" error="Sınır dışı." promptTitle="Diğer Faaliyet" prompt="Tablo: diğer faaliy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Üretim Kârı %12,5 KV Optimizasyonu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UKV-001</t>
        </is>
      </c>
      <c r="B7" s="7" t="inlineStr">
        <is>
          <t>KVK md.32</t>
        </is>
      </c>
      <c r="C7" s="7" t="inlineStr">
        <is>
          <t>indirimli_oran</t>
        </is>
      </c>
      <c r="D7" s="7" t="inlineStr">
        <is>
          <t>üretim kazancı</t>
        </is>
      </c>
      <c r="E7" s="7" t="inlineStr">
        <is>
          <t>uretim_kv_orani</t>
        </is>
      </c>
      <c r="F7" s="44" t="n">
        <v>0.2</v>
      </c>
      <c r="G7" s="44" t="n">
        <v>0.125</v>
      </c>
      <c r="H7" s="44" t="n">
        <v>0.125</v>
      </c>
      <c r="I7" s="7" t="inlineStr">
        <is>
          <t>01.01.2025</t>
        </is>
      </c>
      <c r="J7" s="7" t="inlineStr">
        <is>
          <t>Üretim faaliyetleri indirimli KV</t>
        </is>
      </c>
      <c r="K7" s="38">
        <f>IF($A7="","",IFERROR(CHOOSE(MAX(1,MIN(3,IF(OR(hesapYili="",hesapYili=0),1,hesapYili-ukv_yilTaban))),$F7,$G7,$H7),0))</f>
        <v/>
      </c>
    </row>
    <row r="8">
      <c r="A8" s="7" t="inlineStr">
        <is>
          <t>UKV-002</t>
        </is>
      </c>
      <c r="B8" s="7" t="inlineStr">
        <is>
          <t>KVK md.32</t>
        </is>
      </c>
      <c r="C8" s="7" t="inlineStr">
        <is>
          <t>standart_oran</t>
        </is>
      </c>
      <c r="D8" s="7" t="inlineStr">
        <is>
          <t>genel kurum kazancı</t>
        </is>
      </c>
      <c r="E8" s="7" t="inlineStr">
        <is>
          <t>kv_genel_oran</t>
        </is>
      </c>
      <c r="F8" s="44" t="n">
        <v>0.25</v>
      </c>
      <c r="G8" s="44" t="n">
        <v>0.25</v>
      </c>
      <c r="H8" s="44" t="n">
        <v>0.25</v>
      </c>
      <c r="I8" s="7" t="inlineStr">
        <is>
          <t>01.01.2025</t>
        </is>
      </c>
      <c r="J8" s="7" t="inlineStr">
        <is>
          <t>Genel kurumlar vergisi oranı</t>
        </is>
      </c>
      <c r="K8" s="38">
        <f>IF($A8="","",IFERROR(CHOOSE(MAX(1,MIN(3,IF(OR(hesapYili="",hesapYili=0),1,hesapYili-ukv_yilTaban))),$F8,$G8,$H8),0))</f>
        <v/>
      </c>
    </row>
    <row r="9">
      <c r="A9" s="7" t="inlineStr">
        <is>
          <t>UKV-003</t>
        </is>
      </c>
      <c r="B9" s="7" t="inlineStr">
        <is>
          <t>İç politika</t>
        </is>
      </c>
      <c r="C9" s="7" t="inlineStr">
        <is>
          <t>uygula_esik</t>
        </is>
      </c>
      <c r="D9" s="7" t="inlineStr">
        <is>
          <t>tasarruf ≥ eşik</t>
        </is>
      </c>
      <c r="E9" s="7" t="inlineStr">
        <is>
          <t>uygula_esik_tl</t>
        </is>
      </c>
      <c r="F9" s="45" t="n">
        <v>100000</v>
      </c>
      <c r="G9" s="45" t="n">
        <v>100000</v>
      </c>
      <c r="H9" s="45" t="n">
        <v>100000</v>
      </c>
      <c r="I9" s="7" t="inlineStr">
        <is>
          <t>01.01.2025</t>
        </is>
      </c>
      <c r="J9" s="7" t="inlineStr">
        <is>
          <t>UYGULA karar eşiği (TL)</t>
        </is>
      </c>
      <c r="K9" s="38">
        <f>IF($A9="","",IFERROR(CHOOSE(MAX(1,MIN(3,IF(OR(hesapYili="",hesapYili=0),1,hesapYili-ukv_yilTaban))),$F9,$G9,$H9),0))</f>
        <v/>
      </c>
    </row>
    <row r="10">
      <c r="A10" s="7" t="inlineStr">
        <is>
          <t>UKV-004</t>
        </is>
      </c>
      <c r="B10" s="7" t="inlineStr">
        <is>
          <t>İç politika</t>
        </is>
      </c>
      <c r="C10" s="7" t="inlineStr">
        <is>
          <t>incele_esik</t>
        </is>
      </c>
      <c r="D10" s="7" t="inlineStr">
        <is>
          <t>tasarruf ≥ eşik</t>
        </is>
      </c>
      <c r="E10" s="7" t="inlineStr">
        <is>
          <t>incele_esik_tl</t>
        </is>
      </c>
      <c r="F10" s="45" t="n">
        <v>25000</v>
      </c>
      <c r="G10" s="45" t="n">
        <v>25000</v>
      </c>
      <c r="H10" s="45" t="n">
        <v>25000</v>
      </c>
      <c r="I10" s="7" t="inlineStr">
        <is>
          <t>01.01.2025</t>
        </is>
      </c>
      <c r="J10" s="7" t="inlineStr">
        <is>
          <t>İNCELE karar eşiği (TL)</t>
        </is>
      </c>
      <c r="K10" s="38">
        <f>IF($A10="","",IFERROR(CHOOSE(MAX(1,MIN(3,IF(OR(hesapYili="",hesapYili=0),1,hesapYili-ukv_yilTaban))),$F10,$G10,$H10),0))</f>
        <v/>
      </c>
    </row>
    <row r="11">
      <c r="A11" s="7" t="inlineStr">
        <is>
          <t>UKV-005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IF($A11="","",IFERROR(CHOOSE(MAX(1,MIN(3,IF(OR(hesapYili="",hesapYili=0),1,hesapYili-ukv_yilTaban))),$F11,$G11,$H11),0))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İndirimli oran (aktif yıl)</t>
        </is>
      </c>
      <c r="B15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16">
      <c r="A16" s="7" t="inlineStr">
        <is>
          <t>Standart oran (aktif yıl)</t>
        </is>
      </c>
      <c r="B16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7">
      <c r="A17" s="7" t="inlineStr">
        <is>
          <t>Matris metni</t>
        </is>
      </c>
      <c r="B17" s="21">
        <f>IFERROR(_xlfn.TEXTJOIN(" | ",TRUE,"UKV-001=",TEXT(B15,"0.0%"),"UKV-002=",TEXT(B16,"0.0%"),"yıl=",IF(OR(hesapYili="",hesapYili=0),"-",hesapYili)),"-")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Üretim Kârı %12,5 KV Optimizasyonu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UKV-005</t>
        </is>
      </c>
      <c r="G7" s="36">
        <f>IFERROR(hesapYili,0)</f>
        <v/>
      </c>
    </row>
    <row r="8">
      <c r="A8" s="46" t="n">
        <v>2</v>
      </c>
      <c r="B8" s="24" t="inlineStr">
        <is>
          <t>İndirimli oran</t>
        </is>
      </c>
      <c r="C8" s="49">
        <f>IFERROR(INDEX(CHOOSE(MAX(1,MIN(3,IF(OR(hesapYili="",hesapYili=0),1,hesapYili-ukv_yilTaban))),tblKurallar[deger_2025],tblKurallar[deger_2026],tblKurallar[deger_2027]),MATCH("UKV-001",tblKurallar[kural_id],0)),0)</f>
        <v/>
      </c>
      <c r="D8" s="48" t="inlineStr">
        <is>
          <t>oran</t>
        </is>
      </c>
      <c r="E8" s="6" t="inlineStr">
        <is>
          <t>Üretim KV indirimli oran</t>
        </is>
      </c>
      <c r="F8" s="23" t="inlineStr">
        <is>
          <t>UKV-001</t>
        </is>
      </c>
      <c r="G8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9">
      <c r="A9" s="46" t="n">
        <v>3</v>
      </c>
      <c r="B9" s="24" t="inlineStr">
        <is>
          <t>Standart oran</t>
        </is>
      </c>
      <c r="C9" s="49">
        <f>IFERROR(INDEX(CHOOSE(MAX(1,MIN(3,IF(OR(hesapYili="",hesapYili=0),1,hesapYili-ukv_yilTaban))),tblKurallar[deger_2025],tblKurallar[deger_2026],tblKurallar[deger_2027]),MATCH("UKV-002",tblKurallar[kural_id],0)),0)</f>
        <v/>
      </c>
      <c r="D9" s="48" t="inlineStr">
        <is>
          <t>oran</t>
        </is>
      </c>
      <c r="E9" s="6" t="inlineStr">
        <is>
          <t>Genel KV oranı</t>
        </is>
      </c>
      <c r="F9" s="23" t="inlineStr">
        <is>
          <t>UKV-002</t>
        </is>
      </c>
      <c r="G9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0">
      <c r="A10" s="46" t="n">
        <v>4</v>
      </c>
      <c r="B10" s="24" t="inlineStr">
        <is>
          <t>Uygula eşiği</t>
        </is>
      </c>
      <c r="C10" s="50">
        <f>IFERROR(INDEX(CHOOSE(MAX(1,MIN(3,IF(OR(hesapYili="",hesapYili=0),1,hesapYili-ukv_yilTaban))),tblKurallar[deger_2025],tblKurallar[deger_2026],tblKurallar[deger_2027]),MATCH("UKV-003",tblKurallar[kural_id],0)),0)</f>
        <v/>
      </c>
      <c r="D10" s="48" t="inlineStr">
        <is>
          <t>TL</t>
        </is>
      </c>
      <c r="E10" s="6" t="inlineStr">
        <is>
          <t>UYGULA tasarruf eşiği</t>
        </is>
      </c>
      <c r="F10" s="23" t="inlineStr">
        <is>
          <t>UKV-003</t>
        </is>
      </c>
      <c r="G10" s="26">
        <f>IFERROR(INDEX(CHOOSE(MAX(1,MIN(3,IF(OR(hesapYili="",hesapYili=0),1,hesapYili-ukv_yilTaban))),tblKurallar[deger_2025],tblKurallar[deger_2026],tblKurallar[deger_2027]),MATCH("UKV-003",tblKurallar[kural_id],0)),0)</f>
        <v/>
      </c>
    </row>
    <row r="11">
      <c r="A11" s="46" t="n">
        <v>5</v>
      </c>
      <c r="B11" s="24" t="inlineStr">
        <is>
          <t>İncele eşiği</t>
        </is>
      </c>
      <c r="C11" s="50">
        <f>IFERROR(INDEX(CHOOSE(MAX(1,MIN(3,IF(OR(hesapYili="",hesapYili=0),1,hesapYili-ukv_yilTaban))),tblKurallar[deger_2025],tblKurallar[deger_2026],tblKurallar[deger_2027]),MATCH("UKV-004",tblKurallar[kural_id],0)),0)</f>
        <v/>
      </c>
      <c r="D11" s="48" t="inlineStr">
        <is>
          <t>TL</t>
        </is>
      </c>
      <c r="E11" s="6" t="inlineStr">
        <is>
          <t>İNCELE tasarruf eşiği</t>
        </is>
      </c>
      <c r="F11" s="23" t="inlineStr">
        <is>
          <t>UKV-004</t>
        </is>
      </c>
      <c r="G11" s="26">
        <f>IFERROR(INDEX(CHOOSE(MAX(1,MIN(3,IF(OR(hesapYili="",hesapYili=0),1,hesapYili-ukv_yilTaban))),tblKurallar[deger_2025],tblKurallar[deger_2026],tblKurallar[deger_2027]),MATCH("UKV-004",tblKurallar[kural_id],0)),0)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IFERROR(INDEX(CHOOSE(MAX(1,MIN(3,IF(OR(hesapYili="",hesapYili=0),1,hesapYili-ukv_yilTaban))),tblKurallar[deger_2025],tblKurallar[deger_2026],tblKurallar[deger_2027]),MATCH("UKV-005",tblKurallar[kural_id],0)),0)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UKV-005</t>
        </is>
      </c>
      <c r="G12" s="36">
        <f>IFERROR(INDEX(CHOOSE(MAX(1,MIN(3,IF(OR(hesapYili="",hesapYili=0),1,hesapYili-ukv_yilTaban))),tblKurallar[deger_2025],tblKurallar[deger_2026],tblKurallar[deger_2027]),MATCH("UKV-005",tblKurallar[kural_id],0)),0)</f>
        <v/>
      </c>
    </row>
    <row r="13">
      <c r="A13" s="46" t="n">
        <v>7</v>
      </c>
      <c r="B13" s="24" t="inlineStr">
        <is>
          <t>Üretim hasılatı</t>
        </is>
      </c>
      <c r="C13" s="50">
        <f>IFERROR(GIRDI!B9,0)</f>
        <v/>
      </c>
      <c r="D13" s="48" t="inlineStr">
        <is>
          <t>TL</t>
        </is>
      </c>
      <c r="E13" s="6" t="inlineStr">
        <is>
          <t>Üretim hasılatı</t>
        </is>
      </c>
      <c r="F13" s="23" t="inlineStr">
        <is>
          <t>UKV-001</t>
        </is>
      </c>
      <c r="G13" s="26">
        <f>IFERROR(GIRDI!B9,0)</f>
        <v/>
      </c>
    </row>
    <row r="14">
      <c r="A14" s="46" t="n">
        <v>8</v>
      </c>
      <c r="B14" s="24" t="inlineStr">
        <is>
          <t>Üretim maliyeti</t>
        </is>
      </c>
      <c r="C14" s="50">
        <f>IFERROR(GIRDI!B10,0)</f>
        <v/>
      </c>
      <c r="D14" s="48" t="inlineStr">
        <is>
          <t>TL</t>
        </is>
      </c>
      <c r="E14" s="6" t="inlineStr">
        <is>
          <t>Üretim maliyeti</t>
        </is>
      </c>
      <c r="F14" s="23" t="inlineStr">
        <is>
          <t>UKV-001</t>
        </is>
      </c>
      <c r="G14" s="26">
        <f>IFERROR(GIRDI!B10,0)</f>
        <v/>
      </c>
    </row>
    <row r="15">
      <c r="A15" s="46" t="n">
        <v>9</v>
      </c>
      <c r="B15" s="24" t="inlineStr">
        <is>
          <t>Genel yönetim payı</t>
        </is>
      </c>
      <c r="C15" s="50">
        <f>IFERROR(GIRDI!B11,0)</f>
        <v/>
      </c>
      <c r="D15" s="48" t="inlineStr">
        <is>
          <t>TL</t>
        </is>
      </c>
      <c r="E15" s="6" t="inlineStr">
        <is>
          <t>GY payı</t>
        </is>
      </c>
      <c r="F15" s="23" t="inlineStr">
        <is>
          <t>UKV-001</t>
        </is>
      </c>
      <c r="G15" s="26">
        <f>IFERROR(GIRDI!B11,0)</f>
        <v/>
      </c>
    </row>
    <row r="16">
      <c r="A16" s="46" t="n">
        <v>10</v>
      </c>
      <c r="B16" s="24" t="inlineStr">
        <is>
          <t>Finansman gider payı</t>
        </is>
      </c>
      <c r="C16" s="50">
        <f>IFERROR(GIRDI!B12,0)</f>
        <v/>
      </c>
      <c r="D16" s="48" t="inlineStr">
        <is>
          <t>TL</t>
        </is>
      </c>
      <c r="E16" s="6" t="inlineStr">
        <is>
          <t>FG payı</t>
        </is>
      </c>
      <c r="F16" s="23" t="inlineStr">
        <is>
          <t>UKV-001</t>
        </is>
      </c>
      <c r="G16" s="26">
        <f>IFERROR(GIRDI!B12,0)</f>
        <v/>
      </c>
    </row>
    <row r="17">
      <c r="A17" s="46" t="n">
        <v>11</v>
      </c>
      <c r="B17" s="24" t="inlineStr">
        <is>
          <t>Diğer faaliyet kârı</t>
        </is>
      </c>
      <c r="C17" s="50">
        <f>IFERROR(GIRDI!B13,0)</f>
        <v/>
      </c>
      <c r="D17" s="48" t="inlineStr">
        <is>
          <t>TL</t>
        </is>
      </c>
      <c r="E17" s="6" t="inlineStr">
        <is>
          <t>Diğer kâr/zarar</t>
        </is>
      </c>
      <c r="F17" s="23" t="inlineStr">
        <is>
          <t>UKV-001</t>
        </is>
      </c>
      <c r="G17" s="26">
        <f>IFERROR(GIRDI!B13,0)</f>
        <v/>
      </c>
    </row>
    <row r="18">
      <c r="A18" s="46" t="n">
        <v>12</v>
      </c>
      <c r="B18" s="24" t="inlineStr">
        <is>
          <t>İstisna tutarı</t>
        </is>
      </c>
      <c r="C18" s="50">
        <f>IFERROR(GIRDI!B14,0)</f>
        <v/>
      </c>
      <c r="D18" s="48" t="inlineStr">
        <is>
          <t>TL</t>
        </is>
      </c>
      <c r="E18" s="6" t="inlineStr">
        <is>
          <t>İstisna</t>
        </is>
      </c>
      <c r="F18" s="23" t="inlineStr">
        <is>
          <t>UKV-001</t>
        </is>
      </c>
      <c r="G18" s="26">
        <f>IFERROR(GIRDI!B14,0)</f>
        <v/>
      </c>
    </row>
    <row r="19">
      <c r="A19" s="46" t="n">
        <v>13</v>
      </c>
      <c r="B19" s="24" t="inlineStr">
        <is>
          <t>Pay çarpanı (yorum)</t>
        </is>
      </c>
      <c r="C19" s="49">
        <f>IFERROR(IF(GIRDI!B15="B",1+ukv_payArtisOran,1),0)</f>
        <v/>
      </c>
      <c r="D19" s="48" t="inlineStr">
        <is>
          <t>çarpan</t>
        </is>
      </c>
      <c r="E19" s="6" t="inlineStr">
        <is>
          <t>Yorum A/B pay çarpanı</t>
        </is>
      </c>
      <c r="F19" s="23" t="inlineStr">
        <is>
          <t>UKV-005</t>
        </is>
      </c>
      <c r="G19" s="25">
        <f>IFERROR(IF(GIRDI!B15="B",1+ukv_payArtisOran,1),0)</f>
        <v/>
      </c>
    </row>
    <row r="20">
      <c r="A20" s="46" t="n">
        <v>14</v>
      </c>
      <c r="B20" s="24" t="inlineStr">
        <is>
          <t>GY efektif</t>
        </is>
      </c>
      <c r="C20" s="50">
        <f>IFERROR(G15*G19,0)</f>
        <v/>
      </c>
      <c r="D20" s="48" t="inlineStr">
        <is>
          <t>TL</t>
        </is>
      </c>
      <c r="E20" s="6" t="inlineStr">
        <is>
          <t>Yorum sonrası GY</t>
        </is>
      </c>
      <c r="F20" s="23" t="inlineStr">
        <is>
          <t>UKV-001</t>
        </is>
      </c>
      <c r="G20" s="26">
        <f>IFERROR(G15*G19,0)</f>
        <v/>
      </c>
    </row>
    <row r="21">
      <c r="A21" s="46" t="n">
        <v>15</v>
      </c>
      <c r="B21" s="24" t="inlineStr">
        <is>
          <t>FG efektif</t>
        </is>
      </c>
      <c r="C21" s="50">
        <f>IFERROR(G16*G19,0)</f>
        <v/>
      </c>
      <c r="D21" s="48" t="inlineStr">
        <is>
          <t>TL</t>
        </is>
      </c>
      <c r="E21" s="6" t="inlineStr">
        <is>
          <t>Yorum sonrası FG</t>
        </is>
      </c>
      <c r="F21" s="23" t="inlineStr">
        <is>
          <t>UKV-001</t>
        </is>
      </c>
      <c r="G21" s="26">
        <f>IFERROR(G16*G19,0)</f>
        <v/>
      </c>
    </row>
    <row r="22">
      <c r="A22" s="46" t="n">
        <v>16</v>
      </c>
      <c r="B22" s="24" t="inlineStr">
        <is>
          <t>Üretim kârı</t>
        </is>
      </c>
      <c r="C22" s="50">
        <f>IFERROR(G13-G14-G20-G21,0)</f>
        <v/>
      </c>
      <c r="D22" s="48" t="inlineStr">
        <is>
          <t>TL</t>
        </is>
      </c>
      <c r="E22" s="6" t="inlineStr">
        <is>
          <t>Hasılat−maliyet−paylar</t>
        </is>
      </c>
      <c r="F22" s="23" t="inlineStr">
        <is>
          <t>UKV-001</t>
        </is>
      </c>
      <c r="G22" s="26">
        <f>IFERROR(G13-G14-G20-G21,0)</f>
        <v/>
      </c>
    </row>
    <row r="23">
      <c r="A23" s="46" t="n">
        <v>17</v>
      </c>
      <c r="B23" s="24" t="inlineStr">
        <is>
          <t>Matrah</t>
        </is>
      </c>
      <c r="C23" s="50">
        <f>IFERROR(ROUND(MAX(0,G22+G17-G18),MAX(0,MIN(ukv_yuvarMax,IFERROR(N(G12),0)))),0)</f>
        <v/>
      </c>
      <c r="D23" s="48" t="inlineStr">
        <is>
          <t>TL</t>
        </is>
      </c>
      <c r="E23" s="6" t="inlineStr">
        <is>
          <t>Vergiye tabi matrah</t>
        </is>
      </c>
      <c r="F23" s="23" t="inlineStr">
        <is>
          <t>UKV-001</t>
        </is>
      </c>
      <c r="G23" s="26">
        <f>IFERROR(ROUND(MAX(0,G22+G17-G18),MAX(0,MIN(ukv_yuvarMax,IFERROR(N(G12),0)))),0)</f>
        <v/>
      </c>
    </row>
    <row r="24">
      <c r="A24" s="46" t="n">
        <v>18</v>
      </c>
      <c r="B24" s="24" t="inlineStr">
        <is>
          <t>Standart KV</t>
        </is>
      </c>
      <c r="C24" s="50">
        <f>IFERROR(ROUND(G23*G9,MAX(0,MIN(ukv_yuvarMax,IFERROR(N(G12),0)))),0)</f>
        <v/>
      </c>
      <c r="D24" s="48" t="inlineStr">
        <is>
          <t>TL</t>
        </is>
      </c>
      <c r="E24" s="6" t="inlineStr">
        <is>
          <t>Matrah × standart oran</t>
        </is>
      </c>
      <c r="F24" s="23" t="inlineStr">
        <is>
          <t>UKV-002</t>
        </is>
      </c>
      <c r="G24" s="26">
        <f>IFERROR(ROUND(G23*G9,MAX(0,MIN(ukv_yuvarMax,IFERROR(N(G12),0)))),0)</f>
        <v/>
      </c>
    </row>
    <row r="25">
      <c r="A25" s="46" t="n">
        <v>19</v>
      </c>
      <c r="B25" s="24" t="inlineStr">
        <is>
          <t>İndirimli KV</t>
        </is>
      </c>
      <c r="C25" s="50">
        <f>IFERROR(ROUND(G23*G8,MAX(0,MIN(ukv_yuvarMax,IFERROR(N(G12),0)))),0)</f>
        <v/>
      </c>
      <c r="D25" s="48" t="inlineStr">
        <is>
          <t>TL</t>
        </is>
      </c>
      <c r="E25" s="6" t="inlineStr">
        <is>
          <t>Matrah × indirimli oran</t>
        </is>
      </c>
      <c r="F25" s="23" t="inlineStr">
        <is>
          <t>UKV-001</t>
        </is>
      </c>
      <c r="G25" s="26">
        <f>IFERROR(ROUND(G23*G8,MAX(0,MIN(ukv_yuvarMax,IFERROR(N(G12),0)))),0)</f>
        <v/>
      </c>
    </row>
    <row r="26">
      <c r="A26" s="46" t="n">
        <v>20</v>
      </c>
      <c r="B26" s="24" t="inlineStr">
        <is>
          <t>Tasarruf</t>
        </is>
      </c>
      <c r="C26" s="50">
        <f>IFERROR(G24-G25,0)</f>
        <v/>
      </c>
      <c r="D26" s="48" t="inlineStr">
        <is>
          <t>TL</t>
        </is>
      </c>
      <c r="E26" s="6" t="inlineStr">
        <is>
          <t>Standart − indirimli</t>
        </is>
      </c>
      <c r="F26" s="23" t="inlineStr">
        <is>
          <t>UKV-001</t>
        </is>
      </c>
      <c r="G26" s="26">
        <f>IFERROR(G24-G25,0)</f>
        <v/>
      </c>
    </row>
    <row r="27">
      <c r="A27" s="46" t="n">
        <v>21</v>
      </c>
      <c r="B27" s="24" t="inlineStr">
        <is>
          <t>Oran farkı</t>
        </is>
      </c>
      <c r="C27" s="49">
        <f>IFERROR(G9-G8,0)</f>
        <v/>
      </c>
      <c r="D27" s="48" t="inlineStr">
        <is>
          <t>oran</t>
        </is>
      </c>
      <c r="E27" s="6" t="inlineStr">
        <is>
          <t>Standart − indirimli puan</t>
        </is>
      </c>
      <c r="F27" s="23" t="inlineStr">
        <is>
          <t>UKV-001</t>
        </is>
      </c>
      <c r="G27" s="25">
        <f>IFERROR(G9-G8,0)</f>
        <v/>
      </c>
    </row>
    <row r="28">
      <c r="A28" s="46" t="n">
        <v>22</v>
      </c>
      <c r="B28" s="24" t="inlineStr">
        <is>
          <t>Tasarruf (pano)</t>
        </is>
      </c>
      <c r="C28" s="50">
        <f>IFERROR(G26,0)</f>
        <v/>
      </c>
      <c r="D28" s="48" t="inlineStr">
        <is>
          <t>TL</t>
        </is>
      </c>
      <c r="E28" s="6" t="inlineStr">
        <is>
          <t>Tasarruf ayna</t>
        </is>
      </c>
      <c r="F28" s="23" t="inlineStr">
        <is>
          <t>UKV-001</t>
        </is>
      </c>
      <c r="G28" s="26">
        <f>IFERROR(G26,0)</f>
        <v/>
      </c>
    </row>
    <row r="29">
      <c r="A29" s="46" t="n">
        <v>23</v>
      </c>
      <c r="B29" s="24" t="inlineStr">
        <is>
          <t>Matrah (pano)</t>
        </is>
      </c>
      <c r="C29" s="50">
        <f>IFERROR(G23,0)</f>
        <v/>
      </c>
      <c r="D29" s="48" t="inlineStr">
        <is>
          <t>TL</t>
        </is>
      </c>
      <c r="E29" s="6" t="inlineStr">
        <is>
          <t>Matrah ayna</t>
        </is>
      </c>
      <c r="F29" s="23" t="inlineStr">
        <is>
          <t>UKV-001</t>
        </is>
      </c>
      <c r="G29" s="26">
        <f>IFERROR(G23,0)</f>
        <v/>
      </c>
    </row>
    <row r="30">
      <c r="A30" s="46" t="n">
        <v>24</v>
      </c>
      <c r="B30" s="24" t="inlineStr">
        <is>
          <t>İndirimli KV (pano)</t>
        </is>
      </c>
      <c r="C30" s="50">
        <f>IFERROR(G25,0)</f>
        <v/>
      </c>
      <c r="D30" s="48" t="inlineStr">
        <is>
          <t>TL</t>
        </is>
      </c>
      <c r="E30" s="6" t="inlineStr">
        <is>
          <t>İndirimli ayna</t>
        </is>
      </c>
      <c r="F30" s="23" t="inlineStr">
        <is>
          <t>UKV-001</t>
        </is>
      </c>
      <c r="G30" s="26">
        <f>IFERROR(G25,0)</f>
        <v/>
      </c>
    </row>
    <row r="31">
      <c r="A31" s="46" t="n">
        <v>25</v>
      </c>
      <c r="B31" s="24" t="inlineStr">
        <is>
          <t>Üretim kâr / hasılat</t>
        </is>
      </c>
      <c r="C31" s="49">
        <f>IFERROR(IF(G13=0,0,G22/G13),0)</f>
        <v/>
      </c>
      <c r="D31" s="48" t="inlineStr">
        <is>
          <t>oran</t>
        </is>
      </c>
      <c r="E31" s="6" t="inlineStr">
        <is>
          <t>Marj göstergesi</t>
        </is>
      </c>
      <c r="F31" s="23" t="inlineStr">
        <is>
          <t>UKV-001</t>
        </is>
      </c>
      <c r="G31" s="25">
        <f>IFERROR(IF(G13=0,0,G22/G13),0)</f>
        <v/>
      </c>
    </row>
    <row r="32">
      <c r="A32" s="46" t="n">
        <v>26</v>
      </c>
      <c r="B32" s="24" t="inlineStr">
        <is>
          <t>İstisna / matrah brüt</t>
        </is>
      </c>
      <c r="C32" s="49">
        <f>IFERROR(IF(G22+G17=0,0,G18/MAX(1,G22+G17)),0)</f>
        <v/>
      </c>
      <c r="D32" s="48" t="inlineStr">
        <is>
          <t>oran</t>
        </is>
      </c>
      <c r="E32" s="6" t="inlineStr">
        <is>
          <t>İstisna yoğunluğu</t>
        </is>
      </c>
      <c r="F32" s="23" t="inlineStr">
        <is>
          <t>UKV-001</t>
        </is>
      </c>
      <c r="G32" s="25">
        <f>IFERROR(IF(G22+G17=0,0,G18/MAX(1,G22+G17)),0)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Anahtarı])=0,"VERI_YOK",IF(G26&gt;=G10,"UYGULA",IF(G26&gt;=G11,"INCELE","UYGULAMA"))),"")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UKV-005</t>
        </is>
      </c>
      <c r="G33" s="27">
        <f>IFERROR(IF(COUNTA(tblGirdi[Alan Anahtarı])=0,"VERI_YOK",IF(G26&gt;=G10,"UYGULA",IF(G26&gt;=G11,"INCELE","UYGULAMA"))),"")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YOK",IF(G33="UYGULA","UYGULA",IF(G33="INCELE","İNCELE","UYGULAMA"))),"")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UKV-005</t>
        </is>
      </c>
      <c r="G34" s="27">
        <f>IFERROR(IF(G33="VERI_YOK","VERİ YOK",IF(G33="UYGULA","UYGULA",IF(G33="INCELE","İNCELE","UYGULAMA"))),"")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UKV-005</t>
        </is>
      </c>
      <c r="G35" s="27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</row>
    <row r="36">
      <c r="A36" s="46" t="n">
        <v>30</v>
      </c>
      <c r="B36" s="24" t="inlineStr">
        <is>
          <t>Tasarruf / standart KV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Tasarruf oranı</t>
        </is>
      </c>
      <c r="F36" s="23" t="inlineStr">
        <is>
          <t>UKV-002</t>
        </is>
      </c>
      <c r="G36" s="25">
        <f>IFERROR(IF(G24=0,0,G26/G24),0)</f>
        <v/>
      </c>
    </row>
    <row r="37">
      <c r="A37" s="46" t="n">
        <v>31</v>
      </c>
      <c r="B37" s="24" t="inlineStr">
        <is>
          <t>Efektif oran</t>
        </is>
      </c>
      <c r="C37" s="49">
        <f>IFERROR(IF(G23=0,0,G25/G23),0)</f>
        <v/>
      </c>
      <c r="D37" s="48" t="inlineStr">
        <is>
          <t>oran</t>
        </is>
      </c>
      <c r="E37" s="6" t="inlineStr">
        <is>
          <t>Ödenen efektif</t>
        </is>
      </c>
      <c r="F37" s="23" t="inlineStr">
        <is>
          <t>UKV-001</t>
        </is>
      </c>
      <c r="G37" s="25">
        <f>IFERROR(IF(G23=0,0,G25/G23),0)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IFERROR(ROUND(IF(OR(COUNTA(GIRDI!B6:B15)=0,ukv_girisBeklenen=0),0,COUNTA(GIRDI!B6:B15)/ukv_girisBeklenen*100),0),0)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UKV-005</t>
        </is>
      </c>
      <c r="G38" s="36">
        <f>IFERROR(ROUND(IF(OR(COUNTA(GIRDI!B6:B15)=0,ukv_girisBeklenen=0),0,COUNTA(GIRDI!B6:B15)/ukv_girisBeklenen*100),0),0)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IFERROR(IF(G33="VERI_YOK",0,IF(G33="UYGULA",ukv_riskDusuk,IF(G33="INCELE",ukv_riskOrta,ukv_riskYuksek))),0)</f>
        <v/>
      </c>
      <c r="D39" s="48" t="inlineStr">
        <is>
          <t>puan</t>
        </is>
      </c>
      <c r="E39" s="6" t="inlineStr">
        <is>
          <t>Kaçırma riski (ters)</t>
        </is>
      </c>
      <c r="F39" s="23" t="inlineStr">
        <is>
          <t>UKV-005</t>
        </is>
      </c>
      <c r="G39" s="36">
        <f>IFERROR(IF(G33="VERI_YOK",0,IF(G33="UYGULA",ukv_riskDusuk,IF(G33="INCELE",ukv_riskOrta,ukv_riskYuksek))),0)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IFERROR(G23*ukv_senaryoIyi,0)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UKV-001</t>
        </is>
      </c>
      <c r="G40" s="26">
        <f>IFERROR(G23*ukv_senaryoIyi,0)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IFERROR(G23*ukv_senaryoKotu,0)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UKV-001</t>
        </is>
      </c>
      <c r="G41" s="26">
        <f>IFERROR(G23*ukv_senaryoKotu,0)</f>
        <v/>
      </c>
    </row>
    <row r="42">
      <c r="A42" s="46" t="n">
        <v>36</v>
      </c>
      <c r="B42" s="24" t="inlineStr">
        <is>
          <t>İyimser tasarruf</t>
        </is>
      </c>
      <c r="C42" s="50">
        <f>IFERROR(ROUND(G40*(G9-G8),MAX(0,MIN(ukv_yuvarMax,IFERROR(N(G12),0)))),0)</f>
        <v/>
      </c>
      <c r="D42" s="48" t="inlineStr">
        <is>
          <t>TL</t>
        </is>
      </c>
      <c r="E42" s="6" t="inlineStr">
        <is>
          <t>İyimser tasarruf</t>
        </is>
      </c>
      <c r="F42" s="23" t="inlineStr">
        <is>
          <t>UKV-001</t>
        </is>
      </c>
      <c r="G42" s="26">
        <f>IFERROR(ROUND(G40*(G9-G8),MAX(0,MIN(ukv_yuvarMax,IFERROR(N(G12),0)))),0)</f>
        <v/>
      </c>
    </row>
    <row r="43">
      <c r="A43" s="46" t="n">
        <v>37</v>
      </c>
      <c r="B43" s="24" t="inlineStr">
        <is>
          <t>Kötümser tasarruf</t>
        </is>
      </c>
      <c r="C43" s="50">
        <f>IFERROR(ROUND(G41*(G9-G8),MAX(0,MIN(ukv_yuvarMax,IFERROR(N(G12),0)))),0)</f>
        <v/>
      </c>
      <c r="D43" s="48" t="inlineStr">
        <is>
          <t>TL</t>
        </is>
      </c>
      <c r="E43" s="6" t="inlineStr">
        <is>
          <t>Kötümser tasarruf</t>
        </is>
      </c>
      <c r="F43" s="23" t="inlineStr">
        <is>
          <t>UKV-001</t>
        </is>
      </c>
      <c r="G43" s="26">
        <f>IFERROR(ROUND(G41*(G9-G8),MAX(0,MIN(ukv_yuvarMax,IFERROR(N(G12),0)))),0)</f>
        <v/>
      </c>
    </row>
    <row r="44">
      <c r="A44" s="46" t="n">
        <v>38</v>
      </c>
      <c r="B44" s="24" t="inlineStr">
        <is>
          <t>M-SEN indirimli+</t>
        </is>
      </c>
      <c r="C44" s="49">
        <f>IFERROR(MIN(G9,G8+ukv_oranArtisPuan),0)</f>
        <v/>
      </c>
      <c r="D44" s="48" t="inlineStr">
        <is>
          <t>oran</t>
        </is>
      </c>
      <c r="E44" s="6" t="inlineStr">
        <is>
          <t>İndirimli + delta</t>
        </is>
      </c>
      <c r="F44" s="23" t="inlineStr">
        <is>
          <t>UKV-001</t>
        </is>
      </c>
      <c r="G44" s="25">
        <f>IFERROR(MIN(G9,G8+ukv_oranArtisPuan),0)</f>
        <v/>
      </c>
    </row>
    <row r="45">
      <c r="A45" s="46" t="n">
        <v>39</v>
      </c>
      <c r="B45" s="24" t="inlineStr">
        <is>
          <t>M-SEN indirimli KV</t>
        </is>
      </c>
      <c r="C45" s="50">
        <f>IFERROR(ROUND(G23*G44,MAX(0,MIN(ukv_yuvarMax,IFERROR(N(G12),0)))),0)</f>
        <v/>
      </c>
      <c r="D45" s="48" t="inlineStr">
        <is>
          <t>TL</t>
        </is>
      </c>
      <c r="E45" s="6" t="inlineStr">
        <is>
          <t>M-SEN indirimli KV</t>
        </is>
      </c>
      <c r="F45" s="23" t="inlineStr">
        <is>
          <t>UKV-001</t>
        </is>
      </c>
      <c r="G45" s="26">
        <f>IFERROR(ROUND(G23*G44,MAX(0,MIN(ukv_yuvarMax,IFERROR(N(G12),0)))),0)</f>
        <v/>
      </c>
    </row>
    <row r="46">
      <c r="A46" s="46" t="n">
        <v>40</v>
      </c>
      <c r="B46" s="24" t="inlineStr">
        <is>
          <t>M-SEN tasarruf</t>
        </is>
      </c>
      <c r="C46" s="50">
        <f>IFERROR(G24-G45,0)</f>
        <v/>
      </c>
      <c r="D46" s="48" t="inlineStr">
        <is>
          <t>TL</t>
        </is>
      </c>
      <c r="E46" s="6" t="inlineStr">
        <is>
          <t>M-SEN tasarruf farkı</t>
        </is>
      </c>
      <c r="F46" s="23" t="inlineStr">
        <is>
          <t>UKV-001</t>
        </is>
      </c>
      <c r="G46" s="26">
        <f>IFERROR(G24-G45,0)</f>
        <v/>
      </c>
    </row>
    <row r="47">
      <c r="A47" s="46" t="n">
        <v>41</v>
      </c>
      <c r="B47" s="24" t="inlineStr">
        <is>
          <t>Tahmin üst</t>
        </is>
      </c>
      <c r="C47" s="50">
        <f>IFERROR(G26*ukv_tahminUst,0)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UKV-005</t>
        </is>
      </c>
      <c r="G47" s="26">
        <f>IFERROR(G26*ukv_tahminUst,0)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IFERROR(G26*ukv_tahminAlt,0)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UKV-005</t>
        </is>
      </c>
      <c r="G48" s="26">
        <f>IFERROR(G26*ukv_tahminAlt,0)</f>
        <v/>
      </c>
    </row>
    <row r="49">
      <c r="A49" s="46" t="n">
        <v>43</v>
      </c>
      <c r="B49" s="24" t="inlineStr">
        <is>
          <t>Tornado: hasılat etkisi</t>
        </is>
      </c>
      <c r="C49" s="50">
        <f>IFERROR(ABS(ROUND(MAX(0,(G13*ukv_tornadoHasilat)-G14-G20-G21+G17-G18)*(G9-G8),MAX(0,MIN(ukv_yuvarMax,IFERROR(N(G12),0))))-G26),0)</f>
        <v/>
      </c>
      <c r="D49" s="48" t="inlineStr">
        <is>
          <t>TL</t>
        </is>
      </c>
      <c r="E49" s="6" t="inlineStr">
        <is>
          <t>Hasılat ± etki</t>
        </is>
      </c>
      <c r="F49" s="23" t="inlineStr">
        <is>
          <t>UKV-001</t>
        </is>
      </c>
      <c r="G49" s="26">
        <f>IFERROR(ABS(ROUND(MAX(0,(G13*ukv_tornadoHasilat)-G14-G20-G21+G17-G18)*(G9-G8),MAX(0,MIN(ukv_yuvarMax,IFERROR(N(G12),0))))-G26),0)</f>
        <v/>
      </c>
    </row>
    <row r="50">
      <c r="A50" s="46" t="n">
        <v>44</v>
      </c>
      <c r="B50" s="24" t="inlineStr">
        <is>
          <t>Tornado: maliyet etkisi</t>
        </is>
      </c>
      <c r="C50" s="50">
        <f>IFERROR(ABS(ROUND(MAX(0,G13-(G14*ukv_tornadoMaliyet)-G20-G21+G17-G18)*(G9-G8),MAX(0,MIN(ukv_yuvarMax,IFERROR(N(G12),0))))-G26),0)</f>
        <v/>
      </c>
      <c r="D50" s="48" t="inlineStr">
        <is>
          <t>TL</t>
        </is>
      </c>
      <c r="E50" s="6" t="inlineStr">
        <is>
          <t>Maliyet ± etki</t>
        </is>
      </c>
      <c r="F50" s="23" t="inlineStr">
        <is>
          <t>UKV-001</t>
        </is>
      </c>
      <c r="G50" s="26">
        <f>IFERROR(ABS(ROUND(MAX(0,G13-(G14*ukv_tornadoMaliyet)-G20-G21+G17-G18)*(G9-G8),MAX(0,MIN(ukv_yuvarMax,IFERROR(N(G12),0))))-G26),0)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IFERROR(ABS(ROUND(G23*((G9-G8)+ukv_oranArtisPuan),MAX(0,MIN(ukv_yuvarMax,IFERROR(N(G12),0))))-G26),0)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UKV-001</t>
        </is>
      </c>
      <c r="G51" s="26">
        <f>IFERROR(ABS(ROUND(G23*((G9-G8)+ukv_oranArtisPuan),MAX(0,MIN(ukv_yuvarMax,IFERROR(N(G12),0))))-G26),0)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",TRUE,"UKV-001→indirimli oran","UKV-002→standart oran","UKV-003→uygula eşiği","UKV-004→incele eşiği"),"")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UKV-001</t>
        </is>
      </c>
      <c r="G52" s="27">
        <f>IFERROR(_xlfn.TEXTJOIN(" | ",TRUE,"UKV-001→indirimli oran","UKV-002→standart oran","UKV-003→uygula eşiği","UKV-004→incele eşiği"),"")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",TRUE,"Matrah=",TEXT(G23,"₺ #,##0"),"StandartKV=",TEXT(G24,"₺ #,##0"),"İndirimliKV=",TEXT(G25,"₺ #,##0"),"Tasarruf=",TEXT(G26,"₺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UKV-005</t>
        </is>
      </c>
      <c r="G53" s="27">
        <f>IFERROR(_xlfn.TEXTJOIN(" · ",TRUE,"Matrah=",TEXT(G23,"₺ #,##0"),"StandartKV=",TEXT(G24,"₺ #,##0"),"İndirimliKV=",TEXT(G25,"₺ #,##0"),"Tasarruf=",TEXT(G26,"₺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F7="UKV-001"</formula>
    </cfRule>
    <cfRule type="expression" priority="3" dxfId="5">
      <formula>F7="UKV-005"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Üretim Kârı %12,5 KV Optimizasyonu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Matrah</t>
        </is>
      </c>
      <c r="D5" s="51" t="inlineStr">
        <is>
          <t>Tasarruf</t>
        </is>
      </c>
      <c r="E5" s="51" t="inlineStr">
        <is>
          <t>Karar</t>
        </is>
      </c>
      <c r="G5" s="51" t="inlineStr">
        <is>
          <t>TasarrufDemo</t>
        </is>
      </c>
    </row>
    <row r="6">
      <c r="A6" s="7" t="inlineStr">
        <is>
          <t>İyimser</t>
        </is>
      </c>
      <c r="B6" s="25">
        <f>IFERROR(ukv_senaryoIyi+N(GIRDI!B9)*ukv_sifirCarpan,0)</f>
        <v/>
      </c>
      <c r="C6" s="26">
        <f>IFERROR(MOTOR!G40,0)</f>
        <v/>
      </c>
      <c r="D6" s="26">
        <f>IFERROR(MOTOR!G42,0)</f>
        <v/>
      </c>
      <c r="E6" s="27">
        <f>IF(COUNTA(tblGirdi[Alan Anahtarı])=0,"VERİ YOK",IF(D6&gt;=MOTOR!G10,"UYGULA",IF(D6&gt;=MOTOR!G11,"İNCELE","UYGULAMA")))</f>
        <v/>
      </c>
      <c r="G6" s="29" t="n">
        <v>1402500</v>
      </c>
    </row>
    <row r="7">
      <c r="A7" s="7" t="inlineStr">
        <is>
          <t>Baz</t>
        </is>
      </c>
      <c r="B7" s="25">
        <f>IFERROR(ukv_bazCarpan+N(GIRDI!B9)*ukv_sifirCarpan,ukv_bazCarpan)</f>
        <v/>
      </c>
      <c r="C7" s="26">
        <f>IFERROR(ukv_matrah,0)</f>
        <v/>
      </c>
      <c r="D7" s="26">
        <f>IFERROR(ukv_tasarruf,0)</f>
        <v/>
      </c>
      <c r="E7" s="27">
        <f>IF(COUNTA(tblGirdi[Alan Anahtarı])=0,"VERİ YOK",IFERROR(ukv_kararMetni,"-"))</f>
        <v/>
      </c>
      <c r="G7" s="29" t="n">
        <v>1275000</v>
      </c>
    </row>
    <row r="8">
      <c r="A8" s="7" t="inlineStr">
        <is>
          <t>Kötümser</t>
        </is>
      </c>
      <c r="B8" s="25">
        <f>IFERROR(ukv_senaryoKotu+N(GIRDI!B9)*ukv_sifirCarpan,0)</f>
        <v/>
      </c>
      <c r="C8" s="26">
        <f>IFERROR(MOTOR!G41,0)</f>
        <v/>
      </c>
      <c r="D8" s="26">
        <f>IFERROR(MOTOR!G43,0)</f>
        <v/>
      </c>
      <c r="E8" s="27">
        <f>IF(COUNTA(tblGirdi[Alan Anahtarı])=0,"VERİ YOK",IF(D8&gt;=MOTOR!G10,"UYGULA",IF(D8&gt;=MOTOR!G11,"İNCELE","UYGULAMA")))</f>
        <v/>
      </c>
      <c r="G8" s="29" t="n">
        <v>1083750</v>
      </c>
    </row>
    <row r="9">
      <c r="A9" s="7" t="inlineStr">
        <is>
          <t>M-SEN oran+1</t>
        </is>
      </c>
      <c r="B9" s="25">
        <f>IFERROR(ukv_bazCarpan+N(GIRDI!B9)*ukv_sifirCarpan,ukv_bazCarpan)</f>
        <v/>
      </c>
      <c r="C9" s="26">
        <f>IFERROR(ukv_matrah,0)</f>
        <v/>
      </c>
      <c r="D9" s="26">
        <f>IFERROR(MOTOR!G46,0)</f>
        <v/>
      </c>
      <c r="E9" s="27">
        <f>IF(COUNTA(tblGirdi[Alan Anahtarı])=0,"VERİ YOK",IF(D9&gt;=MOTOR!G10,"UYGULA",IF(D9&gt;=MOTOR!G11,"İNCELE","UYGULAMA")))</f>
        <v/>
      </c>
      <c r="G9" s="29" t="n">
        <v>1147500</v>
      </c>
    </row>
    <row r="11">
      <c r="A11" s="10" t="inlineStr">
        <is>
          <t>Senaryo bant genişliği (iyimser−kötümser tasarruf)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tasarruf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hasılat etkisi</t>
        </is>
      </c>
      <c r="B16" s="26">
        <f>IFERROR(MOTOR!G49,0)</f>
        <v/>
      </c>
      <c r="C16" s="36">
        <f>IFERROR(IF(B16&gt;=MAX(B16:B18),ukv_siraBir,IF(B16&gt;=MIN(B16:B18)+ABS(B16-B17),ukv_siraIki,ukv_siraUc)),ukv_siraUc)</f>
        <v/>
      </c>
      <c r="E16" s="29" t="n">
        <v>250000</v>
      </c>
    </row>
    <row r="17">
      <c r="A17" s="7" t="inlineStr">
        <is>
          <t>Tornado maliyet etkisi</t>
        </is>
      </c>
      <c r="B17" s="26">
        <f>IFERROR(MOTOR!G50,0)</f>
        <v/>
      </c>
      <c r="C17" s="36">
        <f>IFERROR(IF(B17&gt;=MAX(B16:B18),ukv_siraBir,IF(B17=MEDIAN(B16:B18),ukv_siraIki,ukv_siraUc)),ukv_siraUc)</f>
        <v/>
      </c>
      <c r="E17" s="29" t="n">
        <v>180000</v>
      </c>
    </row>
    <row r="18">
      <c r="A18" s="7" t="inlineStr">
        <is>
          <t>Tornado oran etkisi</t>
        </is>
      </c>
      <c r="B18" s="26">
        <f>IFERROR(MOTOR!G51,0)</f>
        <v/>
      </c>
      <c r="C18" s="36">
        <f>IFERROR(IF(B18&gt;=MAX(B16:B18),ukv_siraBir,IF(B18=MEDIAN(B16:B18),ukv_siraIki,ukv_siraUc)),ukv_siraUc)</f>
        <v/>
      </c>
      <c r="E18" s="29" t="n">
        <v>127500</v>
      </c>
    </row>
    <row r="19">
      <c r="A19" s="10" t="inlineStr">
        <is>
          <t>Duyarlılık sıra özeti</t>
        </is>
      </c>
      <c r="B19" s="27">
        <f>IFERROR(CONCATENATE("1)",INDEX(A16:A18,MATCH(ukv_siraBir,C16:C18,0))," 2)",INDEX(A16:A18,MATCH(ukv_siraIki,C16:C18,0))),"-")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tasarruf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",TRUE,"İndirimli oran +1 puan senaryosunda tasarruf ",TEXT(D9,"₺ #,##0")," TL")</f>
        <v/>
      </c>
    </row>
    <row r="25">
      <c r="A25" s="10" t="inlineStr">
        <is>
          <t>Tahmin aralığı (tasarruf)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1402500</v>
      </c>
    </row>
    <row r="29">
      <c r="A29" s="52" t="n">
        <v>2</v>
      </c>
      <c r="B29" s="26">
        <f>D7</f>
        <v/>
      </c>
      <c r="D29" s="29" t="n">
        <v>1275000</v>
      </c>
    </row>
    <row r="30">
      <c r="A30" s="52" t="n">
        <v>3</v>
      </c>
      <c r="B30" s="26">
        <f>D8</f>
        <v/>
      </c>
      <c r="D30" s="29" t="n">
        <v>1083750</v>
      </c>
    </row>
    <row r="31">
      <c r="A31" s="52" t="n">
        <v>4</v>
      </c>
      <c r="B31" s="26">
        <f>D9</f>
        <v/>
      </c>
      <c r="D31" s="29" t="n">
        <v>1147500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ISNUMBER(SEARCH("UYGULAMA",E6))</formula>
    </cfRule>
    <cfRule type="expression" priority="4" dxfId="3">
      <formula>AND(ISNUMBER(SEARCH("UYGULA",E6)),NOT(ISNUMBER(SEARCH("UYGULAMA",E6))))</formula>
    </cfRule>
    <cfRule type="expression" priority="5" dxfId="4">
      <formula>ISNUMBER(SEARCH("İNCELE",E6))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Üretim Kârı %12,5 KV Optimizasyonu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Matrah × indirimli oran</t>
        </is>
      </c>
      <c r="C6" s="7" t="inlineStr">
        <is>
          <t>matrah=vaka_matrah_1; oran=UKV-001(2026)</t>
        </is>
      </c>
      <c r="D6" s="53" t="n">
        <v>125000</v>
      </c>
      <c r="E6" s="26">
        <f>IFERROR(ROUND(vaka_matrah_1*INDEX(tblKurallar[deger_2026],MATCH("UKV-001",tblKurallar[kural_id],0)),2),0)</f>
        <v/>
      </c>
      <c r="F6" s="54">
        <f>IF($A6="","",IFERROR($D6-$E6,0))</f>
        <v/>
      </c>
      <c r="G6" s="55">
        <f>IF($A6="","",IFERROR(IF(ABS($F6)&lt;=ukv_tolerans,"TUTARLI","KIRIK"),"KIRIK"))</f>
        <v/>
      </c>
      <c r="H6" s="7" t="inlineStr">
        <is>
          <t>KVK md.32 indirimli</t>
        </is>
      </c>
      <c r="J6" s="29" t="n">
        <v>125000</v>
      </c>
      <c r="K6" s="29" t="n">
        <v>125000</v>
      </c>
    </row>
    <row r="7">
      <c r="A7" s="7" t="inlineStr">
        <is>
          <t>V-002</t>
        </is>
      </c>
      <c r="B7" s="7" t="inlineStr">
        <is>
          <t>Matrah × standart oran</t>
        </is>
      </c>
      <c r="C7" s="7" t="inlineStr">
        <is>
          <t>matrah=vaka_matrah_1; oran=UKV-002</t>
        </is>
      </c>
      <c r="D7" s="53" t="n">
        <v>250000</v>
      </c>
      <c r="E7" s="26">
        <f>IFERROR(ROUND(vaka_matrah_1*INDEX(tblKurallar[deger_2025],MATCH("UKV-002",tblKurallar[kural_id],0)),2),0)</f>
        <v/>
      </c>
      <c r="F7" s="54">
        <f>IF($A7="","",IFERROR($D7-$E7,0))</f>
        <v/>
      </c>
      <c r="G7" s="55">
        <f>IF($A7="","",IFERROR(IF(ABS($F7)&lt;=ukv_tolerans,"TUTARLI","KIRIK"),"KIRIK"))</f>
        <v/>
      </c>
      <c r="H7" s="7" t="inlineStr">
        <is>
          <t>KVK md.32 standart</t>
        </is>
      </c>
      <c r="J7" s="29" t="n">
        <v>250000</v>
      </c>
      <c r="K7" s="29" t="n">
        <v>250000</v>
      </c>
    </row>
    <row r="8">
      <c r="A8" s="7" t="inlineStr">
        <is>
          <t>V-003</t>
        </is>
      </c>
      <c r="B8" s="7" t="inlineStr">
        <is>
          <t>Tasarruf = standart − indirimli</t>
        </is>
      </c>
      <c r="C8" s="7" t="inlineStr">
        <is>
          <t>V-002 − V-001</t>
        </is>
      </c>
      <c r="D8" s="53" t="n">
        <v>125000</v>
      </c>
      <c r="E8" s="26">
        <f>IFERROR(ROUND(vaka_matrah_1*INDEX(tblKurallar[deger_2025],MATCH("UKV-002",tblKurallar[kural_id],0))-vaka_matrah_1*INDEX(tblKurallar[deger_2026],MATCH("UKV-001",tblKurallar[kural_id],0)),2),0)</f>
        <v/>
      </c>
      <c r="F8" s="54">
        <f>IF($A8="","",IFERROR($D8-$E8,0))</f>
        <v/>
      </c>
      <c r="G8" s="55">
        <f>IF($A8="","",IFERROR(IF(ABS($F8)&lt;=ukv_tolerans,"TUTARLI","KIRIK"),"KIRIK"))</f>
        <v/>
      </c>
      <c r="H8" s="7" t="inlineStr">
        <is>
          <t>Tasarruf farkı</t>
        </is>
      </c>
      <c r="J8" s="29" t="n">
        <v>125000</v>
      </c>
      <c r="K8" s="29" t="n">
        <v>125000</v>
      </c>
    </row>
    <row r="9">
      <c r="A9" s="7" t="inlineStr">
        <is>
          <t>V-004</t>
        </is>
      </c>
      <c r="B9" s="7" t="inlineStr">
        <is>
          <t>Küçük matrah × indirimli</t>
        </is>
      </c>
      <c r="C9" s="7" t="inlineStr">
        <is>
          <t>matrah=vaka_matrah_2; oran=UKV-001(2026)</t>
        </is>
      </c>
      <c r="D9" s="53" t="n">
        <v>25000</v>
      </c>
      <c r="E9" s="26">
        <f>IFERROR(ROUND(vaka_matrah_2*INDEX(tblKurallar[deger_2026],MATCH("UKV-001",tblKurallar[kural_id],0)),2),0)</f>
        <v/>
      </c>
      <c r="F9" s="54">
        <f>IF($A9="","",IFERROR($D9-$E9,0))</f>
        <v/>
      </c>
      <c r="G9" s="55">
        <f>IF($A9="","",IFERROR(IF(ABS($F9)&lt;=ukv_tolerans,"TUTARLI","KIRIK"),"KIRIK"))</f>
        <v/>
      </c>
      <c r="H9" s="7" t="inlineStr">
        <is>
          <t>UKV-001 küçük matrah</t>
        </is>
      </c>
      <c r="J9" s="29" t="n">
        <v>25000</v>
      </c>
      <c r="K9" s="29" t="n">
        <v>25000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Üretim Kârı %12,5 KV Optimizasyonu</t>
        </is>
      </c>
    </row>
    <row r="3">
      <c r="A3" s="57" t="inlineStr">
        <is>
          <t>KANIT RAPORU — Üretim Kârı %12,5 KV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Üretim hasılatı</t>
        </is>
      </c>
      <c r="B9" s="26">
        <f>GIRDI!B9</f>
        <v/>
      </c>
    </row>
    <row r="10">
      <c r="A10" s="7" t="inlineStr">
        <is>
          <t>Üretim maliyeti</t>
        </is>
      </c>
      <c r="B10" s="26">
        <f>GIRDI!B10</f>
        <v/>
      </c>
    </row>
    <row r="11">
      <c r="A11" s="7" t="inlineStr">
        <is>
          <t>Genel yönetim payı</t>
        </is>
      </c>
      <c r="B11" s="26">
        <f>GIRDI!B11</f>
        <v/>
      </c>
    </row>
    <row r="12">
      <c r="A12" s="7" t="inlineStr">
        <is>
          <t>Finansman gider payı</t>
        </is>
      </c>
      <c r="B12" s="26">
        <f>GIRDI!B12</f>
        <v/>
      </c>
    </row>
    <row r="13">
      <c r="A13" s="7" t="inlineStr">
        <is>
          <t>Diğer faaliyet kârı</t>
        </is>
      </c>
      <c r="B13" s="26">
        <f>GIRDI!B13</f>
        <v/>
      </c>
    </row>
    <row r="14">
      <c r="A14" s="7" t="inlineStr">
        <is>
          <t>İstisna tutarı</t>
        </is>
      </c>
      <c r="B14" s="26">
        <f>GIRDI!B14</f>
        <v/>
      </c>
    </row>
    <row r="16">
      <c r="A16" s="5" t="inlineStr">
        <is>
          <t>Hesap zinciri</t>
        </is>
      </c>
    </row>
    <row r="17">
      <c r="A17" s="7" t="inlineStr">
        <is>
          <t>Matrah</t>
        </is>
      </c>
      <c r="B17" s="35">
        <f>ukv_matrah</f>
        <v/>
      </c>
    </row>
    <row r="18">
      <c r="A18" s="7" t="inlineStr">
        <is>
          <t>Standart KV</t>
        </is>
      </c>
      <c r="B18" s="26">
        <f>MOTOR!G24</f>
        <v/>
      </c>
    </row>
    <row r="19">
      <c r="A19" s="7" t="inlineStr">
        <is>
          <t>İndirimli KV</t>
        </is>
      </c>
      <c r="B19" s="26">
        <f>MOTOR!G25</f>
        <v/>
      </c>
    </row>
    <row r="20">
      <c r="A20" s="7" t="inlineStr">
        <is>
          <t>Tasarruf</t>
        </is>
      </c>
      <c r="B20" s="35">
        <f>ukv_tasarruf</f>
        <v/>
      </c>
    </row>
    <row r="21">
      <c r="A21" s="10" t="inlineStr">
        <is>
          <t>KARAR</t>
        </is>
      </c>
      <c r="B21" s="59">
        <f>ukv_kararMetni</f>
        <v/>
      </c>
    </row>
    <row r="22">
      <c r="A22" s="7" t="inlineStr">
        <is>
          <t>Gerekçe</t>
        </is>
      </c>
      <c r="B22" s="21">
        <f>ukv_kararGerekce</f>
        <v/>
      </c>
    </row>
    <row r="24">
      <c r="A24" s="10" t="inlineStr">
        <is>
          <t>Madde atıfları</t>
        </is>
      </c>
      <c r="B24" s="21">
        <f>ukv_maddeAtifMetni</f>
        <v/>
      </c>
    </row>
    <row r="26">
      <c r="A26" s="10" t="inlineStr">
        <is>
          <t>Kanıt gövdesi</t>
        </is>
      </c>
      <c r="B26" s="21">
        <f>ukv_kanitRaporu</f>
        <v/>
      </c>
    </row>
    <row r="28">
      <c r="A28" s="7" t="inlineStr">
        <is>
          <t>Parmak izi (SHA-256 kısaltma)</t>
        </is>
      </c>
      <c r="B28" s="28">
        <f>ukv_parmakIzi</f>
        <v/>
      </c>
    </row>
    <row r="30">
      <c r="A30" s="7" t="inlineStr">
        <is>
          <t>Hazırlayan (imza)</t>
        </is>
      </c>
      <c r="B30" s="60" t="inlineStr"/>
    </row>
    <row r="31">
      <c r="A31" s="7" t="inlineStr">
        <is>
          <t>Onaylayan (imza)</t>
        </is>
      </c>
      <c r="B31" s="60" t="inlineStr"/>
    </row>
    <row r="33">
      <c r="A33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ISNUMBER(SEARCH("UYGULAMA",B21))</formula>
    </cfRule>
    <cfRule type="expression" priority="2" dxfId="1">
      <formula>AND(ISNUMBER(SEARCH("UYGULA",B21)),NOT(ISNUMBER(SEARCH("UYGULAMA",B21))))</formula>
    </cfRule>
    <cfRule type="expression" priority="3" dxfId="2">
      <formula>ISNUMBER(SEARCH("İNCELE",B21))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&amp;LÜretim Kârı %12,5 KV Optimizasyonu · 1.0.0&amp;CExcelArşiv&amp;RSayfa &amp;P / &amp;N</oddFooter>
    <evenHeader/>
    <evenFooter>&amp;LÜretim Kârı %12,5 KV Optimizasyonu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Üretim Kârı %12,5 KV Optimizasyonu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hasılat?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IFERROR(IF(AND(N(hesapYili)&gt;N(ukv_yilTaban),N(hesapYili)&lt;=N(ukv_yilTaban)+3),"TEMİZ","HATALI"),"HATALI")</f>
        <v/>
      </c>
    </row>
    <row r="8">
      <c r="A8" s="7" t="inlineStr">
        <is>
          <t>Matrah sıfır mı?</t>
        </is>
      </c>
      <c r="B8" s="27">
        <f>IF(IFERROR(MOTOR!G23,0)=0,"SIFIR","NORMAL")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Tasarruf eşiği aşıyor mu?</t>
        </is>
      </c>
      <c r="B10" s="27">
        <f>IF(IFERROR(MOTOR!G26,0)&gt;ukv_kacirilanEsik+N(GIRDI!B9)*ukv_sifirCarpan,"AŞIYOR","NORMAL")</f>
        <v/>
      </c>
    </row>
    <row r="11">
      <c r="A11" s="7" t="inlineStr">
        <is>
          <t>Yorum A/B seçili mi?</t>
        </is>
      </c>
      <c r="B11" s="27">
        <f>IF(OR(GIRDI!B15="A",GIRDI!B15="B"),"TEMİZ","EKSİK")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IFERROR(ukv_girisBeklenen+COUNTA(GIRDI!B6:B15)*0,0)</f>
        <v/>
      </c>
    </row>
    <row r="15">
      <c r="A15" s="7" t="inlineStr">
        <is>
          <t>Dolu giriş</t>
        </is>
      </c>
      <c r="B15" s="36">
        <f>COUNTA(GIRDI!B6:B15)</f>
        <v/>
      </c>
    </row>
    <row r="17">
      <c r="A17" s="7" t="inlineStr">
        <is>
          <t>Matrah kontrol</t>
        </is>
      </c>
      <c r="B17" s="26">
        <f>IFERROR(ukv_matrah,0)</f>
        <v/>
      </c>
    </row>
    <row r="18">
      <c r="A18" s="7" t="inlineStr">
        <is>
          <t>Tasarruf kontrol</t>
        </is>
      </c>
      <c r="B18" s="26">
        <f>IFERROR(ukv_tasarruf,0)</f>
        <v/>
      </c>
    </row>
    <row r="19">
      <c r="A19" s="7" t="inlineStr">
        <is>
          <t>Karar kontrol</t>
        </is>
      </c>
      <c r="B19" s="27">
        <f>IFERROR(ukv_kararMetni,"-")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Üretim Kârı %12,5 KV Optimizasyonu</t>
        </is>
      </c>
    </row>
    <row r="3">
      <c r="A3" s="4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Hasılat</t>
        </is>
      </c>
      <c r="C5" s="22" t="inlineStr">
        <is>
          <t>Maliyet</t>
        </is>
      </c>
      <c r="D5" s="22" t="inlineStr">
        <is>
          <t>GY Payı</t>
        </is>
      </c>
      <c r="E5" s="22" t="inlineStr">
        <is>
          <t>FG Payı</t>
        </is>
      </c>
      <c r="F5" s="22" t="inlineStr">
        <is>
          <t>Diğer</t>
        </is>
      </c>
      <c r="G5" s="22" t="inlineStr">
        <is>
          <t>İstisna</t>
        </is>
      </c>
      <c r="H5" s="22" t="inlineStr">
        <is>
          <t>Yıl</t>
        </is>
      </c>
      <c r="I5" s="22" t="inlineStr">
        <is>
          <t>Üretim Kârı</t>
        </is>
      </c>
      <c r="L5" s="51" t="inlineStr">
        <is>
          <t>KarDemo</t>
        </is>
      </c>
    </row>
    <row r="6">
      <c r="A6" s="37" t="inlineStr">
        <is>
          <t>Demo ana</t>
        </is>
      </c>
      <c r="B6" s="40" t="n">
        <v>40000000</v>
      </c>
      <c r="C6" s="40" t="n">
        <v>28000000</v>
      </c>
      <c r="D6" s="40" t="n">
        <v>1500000</v>
      </c>
      <c r="E6" s="40" t="n">
        <v>500000</v>
      </c>
      <c r="F6" s="40" t="n">
        <v>200000</v>
      </c>
      <c r="G6" s="40" t="n">
        <v>0</v>
      </c>
      <c r="H6" s="39" t="n">
        <v>2026</v>
      </c>
      <c r="I6" s="38">
        <f>IF($A6="","",IFERROR($B6-$C6-$D6-$E6,0))</f>
        <v/>
      </c>
      <c r="L6" s="29" t="n">
        <v>10000000</v>
      </c>
    </row>
    <row r="7">
      <c r="A7" s="37" t="inlineStr">
        <is>
          <t>Yüksek marj</t>
        </is>
      </c>
      <c r="B7" s="40" t="n">
        <v>50000000</v>
      </c>
      <c r="C7" s="40" t="n">
        <v>30000000</v>
      </c>
      <c r="D7" s="40" t="n">
        <v>1000000</v>
      </c>
      <c r="E7" s="40" t="n">
        <v>400000</v>
      </c>
      <c r="F7" s="40" t="n">
        <v>0</v>
      </c>
      <c r="G7" s="40" t="n">
        <v>0</v>
      </c>
      <c r="H7" s="39" t="n">
        <v>2026</v>
      </c>
      <c r="I7" s="38">
        <f>IF($A7="","",IFERROR($B7-$C7-$D7-$E7,0))</f>
        <v/>
      </c>
      <c r="L7" s="29" t="n">
        <v>18600000</v>
      </c>
    </row>
    <row r="8">
      <c r="A8" s="37" t="inlineStr">
        <is>
          <t>Düşük tasarruf</t>
        </is>
      </c>
      <c r="B8" s="40" t="n">
        <v>12000000</v>
      </c>
      <c r="C8" s="40" t="n">
        <v>10500000</v>
      </c>
      <c r="D8" s="40" t="n">
        <v>800000</v>
      </c>
      <c r="E8" s="40" t="n">
        <v>300000</v>
      </c>
      <c r="F8" s="40" t="n">
        <v>0</v>
      </c>
      <c r="G8" s="40" t="n">
        <v>0</v>
      </c>
      <c r="H8" s="39" t="n">
        <v>2026</v>
      </c>
      <c r="I8" s="38">
        <f>IF($A8="","",IFERROR($B8-$C8-$D8-$E8,0))</f>
        <v/>
      </c>
      <c r="L8" s="29" t="n">
        <v>400000</v>
      </c>
    </row>
    <row r="9">
      <c r="A9" s="37" t="inlineStr">
        <is>
          <t>2025 geçiş oranı</t>
        </is>
      </c>
      <c r="B9" s="40" t="n">
        <v>40000000</v>
      </c>
      <c r="C9" s="40" t="n">
        <v>28000000</v>
      </c>
      <c r="D9" s="40" t="n">
        <v>1500000</v>
      </c>
      <c r="E9" s="40" t="n">
        <v>500000</v>
      </c>
      <c r="F9" s="40" t="n">
        <v>200000</v>
      </c>
      <c r="G9" s="40" t="n">
        <v>0</v>
      </c>
      <c r="H9" s="39" t="n">
        <v>2025</v>
      </c>
      <c r="I9" s="38">
        <f>IF($A9="","",IFERROR($B9-$C9-$D9-$E9,0))</f>
        <v/>
      </c>
      <c r="L9" s="29" t="n">
        <v>10000000</v>
      </c>
    </row>
    <row r="10">
      <c r="A10" s="37" t="inlineStr">
        <is>
          <t>İstisna yoğun</t>
        </is>
      </c>
      <c r="B10" s="40" t="n">
        <v>40000000</v>
      </c>
      <c r="C10" s="40" t="n">
        <v>28000000</v>
      </c>
      <c r="D10" s="40" t="n">
        <v>1500000</v>
      </c>
      <c r="E10" s="40" t="n">
        <v>500000</v>
      </c>
      <c r="F10" s="40" t="n">
        <v>200000</v>
      </c>
      <c r="G10" s="40" t="n">
        <v>5000000</v>
      </c>
      <c r="H10" s="39" t="n">
        <v>2026</v>
      </c>
      <c r="I10" s="38">
        <f>IF($A10="","",IFERROR($B10-$C10-$D10-$E10,0))</f>
        <v/>
      </c>
      <c r="L10" s="29" t="n">
        <v>10000000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IF($A11="","",IFERROR($B11-$C11-$D11-$E11,0))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IF($A12="","",IFERROR($B12-$C12-$D12-$E12,0))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IF($A13="","",IFERROR($B13-$C13-$D13-$E13,0))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IF($A14="","",IFERROR($B14-$C14-$D14-$E14,0))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IF($A15="","",IFERROR($B15-$C15-$D15-$E15,0))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IF($A16="","",IFERROR($B16-$C16-$D16-$E16,0))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IF($A17="","",IFERROR($B17-$C17-$D17-$E17,0))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IF($A18="","",IFERROR($B18-$C18-$D18-$E18,0))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IF($A19="","",IFERROR($B19-$C19-$D19-$E19,0))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IF($A20="","",IFERROR($B20-$C20-$D20-$E20,0))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IF($A21="","",IFERROR($B21-$C21-$D21-$E21,0))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IF($A22="","",IFERROR($B22-$C22-$D22-$E22,0))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IF($A23="","",IFERROR($B23-$C23-$D23-$E23,0))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IF($A24="","",IFERROR($B24-$C24-$D24-$E24,0))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IF($A25="","",IFERROR($B25-$C25-$D25-$E25,0))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IF($A26="","",IFERROR($B26-$C26-$D26-$E26,0))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IF($A27="","",IFERROR($B27-$C27-$D27-$E27,0))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IF($A28="","",IFERROR($B28-$C28-$D28-$E28,0))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IF($A29="","",IFERROR($B29-$C29-$D29-$E29,0))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IF($A30="","",IFERROR($B30-$C30-$D30-$E30,0))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IF($A31="","",IFERROR($B31-$C31-$D31-$E31,0))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IF($A32="","",IFERROR($B32-$C32-$D32-$E32,0))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IF($A33="","",IFERROR($B33-$C33-$D33-$E33,0))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IF($A34="","",IFERROR($B34-$C34-$D34-$E34,0))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IF($A35="","",IFERROR($B35-$C35-$D35-$E35,0))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IF($A36="","",IFERROR($B36-$C36-$D36-$E36,0))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IF($A37="","",IFERROR($B37-$C37-$D37-$E37,0))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IF($A38="","",IFERROR($B38-$C38-$D38-$E38,0))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IF($A39="","",IFERROR($B39-$C39-$D39-$E39,0))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IF($A40="","",IFERROR($B40-$C40-$D40-$E40,0))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IF($A41="","",IFERROR($B41-$C41-$D41-$E41,0))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IF($A42="","",IFERROR($B42-$C42-$D42-$E42,0))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IF($A43="","",IFERROR($B43-$C43-$D43-$E43,0))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IF($A44="","",IFERROR($B44-$C44-$D44-$E44,0))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IF($A45="","",IFERROR($B45-$C45-$D45-$E45,0))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IF($A46="","",IFERROR($B46-$C46-$D46-$E46,0))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IF($A47="","",IFERROR($B47-$C47-$D47-$E47,0))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IF($A48="","",IFERROR($B48-$C48-$D48-$E48,0))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IF($A49="","",IFERROR($B49-$C49-$D49-$E49,0))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IF($A50="","",IFERROR($B50-$C50-$D50-$E50,0))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IF($A51="","",IFERROR($B51-$C51-$D51-$E51,0))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IF($A52="","",IFERROR($B52-$C52-$D52-$E52,0))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IF($A53="","",IFERROR($B53-$C53-$D53-$E53,0))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IF($A54="","",IFERROR($B54-$C54-$D54-$E54,0))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IF($A55="","",IFERROR($B55-$C55-$D55-$E55,0))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IF($A56="","",IFERROR($B56-$C56-$D56-$E56,0))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IF($A57="","",IFERROR($B57-$C57-$D57-$E57,0))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IF($A58="","",IFERROR($B58-$C58-$D58-$E58,0))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IF($A59="","",IFERROR($B59-$C59-$D59-$E59,0))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IF($A60="","",IFERROR($B60-$C60-$D60-$E60,0))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IF($A61="","",IFERROR($B61-$C61-$D61-$E61,0))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IF($A62="","",IFERROR($B62-$C62-$D62-$E62,0))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IF($A63="","",IFERROR($B63-$C63-$D63-$E63,0))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IF($A64="","",IFERROR($B64-$C64-$D64-$E64,0))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IF($A65="","",IFERROR($B65-$C65-$D65-$E65,0))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IF($A66="","",IFERROR($B66-$C66-$D66-$E66,0))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IF($A67="","",IFERROR($B67-$C67-$D67-$E67,0))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IF($A68="","",IFERROR($B68-$C68-$D68-$E68,0))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IF($A69="","",IFERROR($B69-$C69-$D69-$E69,0))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IF($A70="","",IFERROR($B70-$C70-$D70-$E70,0))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IF($A71="","",IFERROR($B71-$C71-$D71-$E71,0))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IF($A72="","",IFERROR($B72-$C72-$D72-$E72,0))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IF($A73="","",IFERROR($B73-$C73-$D73-$E73,0))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IF($A74="","",IFERROR($B74-$C74-$D74-$E74,0))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IF($A75="","",IFERROR($B75-$C75-$D75-$E75,0))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IF($A76="","",IFERROR($B76-$C76-$D76-$E76,0))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IF($A77="","",IFERROR($B77-$C77-$D77-$E77,0))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IF($A78="","",IFERROR($B78-$C78-$D78-$E78,0))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IF($A79="","",IFERROR($B79-$C79-$D79-$E79,0))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IF($A80="","",IFERROR($B80-$C80-$D80-$E80,0))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IF($A81="","",IFERROR($B81-$C81-$D81-$E81,0))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IF($A82="","",IFERROR($B82-$C82-$D82-$E82,0))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IF($A83="","",IFERROR($B83-$C83-$D83-$E83,0))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IF($A84="","",IFERROR($B84-$C84-$D84-$E84,0))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IF($A85="","",IFERROR($B85-$C85-$D85-$E85,0))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IF($A86="","",IFERROR($B86-$C86-$D86-$E86,0))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IF($A87="","",IFERROR($B87-$C87-$D87-$E87,0))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IF($A88="","",IFERROR($B88-$C88-$D88-$E88,0))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IF($A89="","",IFERROR($B89-$C89-$D89-$E89,0))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IF($A90="","",IFERROR($B90-$C90-$D90-$E90,0))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IF($A91="","",IFERROR($B91-$C91-$D91-$E91,0))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IF($A92="","",IFERROR($B92-$C92-$D92-$E92,0))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IF($A93="","",IFERROR($B93-$C93-$D93-$E93,0))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IF($A94="","",IFERROR($B94-$C94-$D94-$E94,0))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IF($A95="","",IFERROR($B95-$C95-$D95-$E95,0))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IF($A96="","",IFERROR($B96-$C96-$D96-$E96,0))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IF($A97="","",IFERROR($B97-$C97-$D97-$E97,0))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IF($A98="","",IFERROR($B98-$C98-$D98-$E98,0))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IF($A99="","",IFERROR($B99-$C99-$D99-$E99,0))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IF($A100="","",IFERROR($B100-$C100-$D100-$E100,0))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IF($A101="","",IFERROR($B101-$C101-$D101-$E101,0))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IF($A102="","",IFERROR($B102-$C102-$D102-$E102,0))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IF($A103="","",IFERROR($B103-$C103-$D103-$E103,0))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IF($A104="","",IFERROR($B104-$C104-$D104-$E104,0))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IF($A105="","",IFERROR($B105-$C105-$D105-$E105,0))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IF($A106="","",IFERROR($B106-$C106-$D106-$E106,0))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IF($A107="","",IFERROR($B107-$C107-$D107-$E107,0))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IF($A108="","",IFERROR($B108-$C108-$D108-$E108,0))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IF($A109="","",IFERROR($B109-$C109-$D109-$E109,0))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IF($A110="","",IFERROR($B110-$C110-$D110-$E110,0))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IF($A111="","",IFERROR($B111-$C111-$D111-$E111,0))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IF($A112="","",IFERROR($B112-$C112-$D112-$E112,0))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IF($A113="","",IFERROR($B113-$C113-$D113-$E113,0))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IF($A114="","",IFERROR($B114-$C114-$D114-$E114,0))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IF($A115="","",IFERROR($B115-$C115-$D115-$E115,0))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IF($A116="","",IFERROR($B116-$C116-$D116-$E116,0))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IF($A117="","",IFERROR($B117-$C117-$D117-$E117,0))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IF($A118="","",IFERROR($B118-$C118-$D118-$E118,0))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IF($A119="","",IFERROR($B119-$C119-$D119-$E119,0))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IF($A120="","",IFERROR($B120-$C120-$D120-$E120,0))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IF($A121="","",IFERROR($B121-$C121-$D121-$E121,0))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IF($A122="","",IFERROR($B122-$C122-$D122-$E122,0))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IF($A123="","",IFERROR($B123-$C123-$D123-$E123,0))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IF($A124="","",IFERROR($B124-$C124-$D124-$E124,0))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IF($A125="","",IFERROR($B125-$C125-$D125-$E125,0))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IF($A126="","",IFERROR($B126-$C126-$D126-$E126,0))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IF($A127="","",IFERROR($B127-$C127-$D127-$E127,0))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IF($A128="","",IFERROR($B128-$C128-$D128-$E128,0))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IF($A129="","",IFERROR($B129-$C129-$D129-$E129,0))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IF($A130="","",IFERROR($B130-$C130-$D130-$E130,0))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IF($A131="","",IFERROR($B131-$C131-$D131-$E131,0))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IF($A132="","",IFERROR($B132-$C132-$D132-$E132,0))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IF($A133="","",IFERROR($B133-$C133-$D133-$E133,0))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IF($A134="","",IFERROR($B134-$C134-$D134-$E134,0))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IF($A135="","",IFERROR($B135-$C135-$D135-$E135,0))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IF($A136="","",IFERROR($B136-$C136-$D136-$E136,0))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IF($A137="","",IFERROR($B137-$C137-$D137-$E137,0))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IF($A138="","",IFERROR($B138-$C138-$D138-$E138,0))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IF($A139="","",IFERROR($B139-$C139-$D139-$E139,0))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IF($A140="","",IFERROR($B140-$C140-$D140-$E140,0))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IF($A141="","",IFERROR($B141-$C141-$D141-$E141,0))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IF($A142="","",IFERROR($B142-$C142-$D142-$E142,0))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IF($A143="","",IFERROR($B143-$C143-$D143-$E143,0))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IF($A144="","",IFERROR($B144-$C144-$D144-$E144,0))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IF($A145="","",IFERROR($B145-$C145-$D145-$E145,0))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IF($A146="","",IFERROR($B146-$C146-$D146-$E146,0))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IF($A147="","",IFERROR($B147-$C147-$D147-$E147,0))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IF($A148="","",IFERROR($B148-$C148-$D148-$E148,0))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IF($A149="","",IFERROR($B149-$C149-$D149-$E149,0))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IF($A150="","",IFERROR($B150-$C150-$D150-$E150,0))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IF($A151="","",IFERROR($B151-$C151-$D151-$E151,0))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IF($A152="","",IFERROR($B152-$C152-$D152-$E152,0))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IF($A153="","",IFERROR($B153-$C153-$D153-$E153,0))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IF($A154="","",IFERROR($B154-$C154-$D154-$E154,0))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IF($A155="","",IFERROR($B155-$C155-$D155-$E155,0))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IF($A156="","",IFERROR($B156-$C156-$D156-$E156,0))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IF($A157="","",IFERROR($B157-$C157-$D157-$E157,0))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IF($A158="","",IFERROR($B158-$C158-$D158-$E158,0))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IF($A159="","",IFERROR($B159-$C159-$D159-$E159,0))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IF($A160="","",IFERROR($B160-$C160-$D160-$E160,0))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IF($A161="","",IFERROR($B161-$C161-$D161-$E161,0))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IF($A162="","",IFERROR($B162-$C162-$D162-$E162,0))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IF($A163="","",IFERROR($B163-$C163-$D163-$E163,0))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IF($A164="","",IFERROR($B164-$C164-$D164-$E164,0))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IF($A165="","",IFERROR($B165-$C165-$D165-$E165,0))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IF($A166="","",IFERROR($B166-$C166-$D166-$E166,0))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IF($A167="","",IFERROR($B167-$C167-$D167-$E167,0))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IF($A168="","",IFERROR($B168-$C168-$D168-$E168,0))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IF($A169="","",IFERROR($B169-$C169-$D169-$E169,0))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IF($A170="","",IFERROR($B170-$C170-$D170-$E170,0))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IF($A171="","",IFERROR($B171-$C171-$D171-$E171,0))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IF($A172="","",IFERROR($B172-$C172-$D172-$E172,0))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IF($A173="","",IFERROR($B173-$C173-$D173-$E173,0))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IF($A174="","",IFERROR($B174-$C174-$D174-$E174,0))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IF($A175="","",IFERROR($B175-$C175-$D175-$E175,0))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IF($A176="","",IFERROR($B176-$C176-$D176-$E176,0))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IF($A177="","",IFERROR($B177-$C177-$D177-$E177,0))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IF($A178="","",IFERROR($B178-$C178-$D178-$E178,0))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IF($A179="","",IFERROR($B179-$C179-$D179-$E179,0))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IF($A180="","",IFERROR($B180-$C180-$D180-$E180,0))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IF($A181="","",IFERROR($B181-$C181-$D181-$E181,0))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IF($A182="","",IFERROR($B182-$C182-$D182-$E182,0))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IF($A183="","",IFERROR($B183-$C183-$D183-$E183,0))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IF($A184="","",IFERROR($B184-$C184-$D184-$E184,0))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IF($A185="","",IFERROR($B185-$C185-$D185-$E185,0))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IF($A186="","",IFERROR($B186-$C186-$D186-$E186,0))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IF($A187="","",IFERROR($B187-$C187-$D187-$E187,0))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IF($A188="","",IFERROR($B188-$C188-$D188-$E188,0))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IF($A189="","",IFERROR($B189-$C189-$D189-$E189,0))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IF($A190="","",IFERROR($B190-$C190-$D190-$E190,0))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IF($A191="","",IFERROR($B191-$C191-$D191-$E191,0))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IF($A192="","",IFERROR($B192-$C192-$D192-$E192,0))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IF($A193="","",IFERROR($B193-$C193-$D193-$E193,0))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IF($A194="","",IFERROR($B194-$C194-$D194-$E194,0))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IF($A195="","",IFERROR($B195-$C195-$D195-$E195,0))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IF($A196="","",IFERROR($B196-$C196-$D196-$E196,0))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IF($A197="","",IFERROR($B197-$C197-$D197-$E197,0))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IF($A198="","",IFERROR($B198-$C198-$D198-$E198,0))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IF($A199="","",IFERROR($B199-$C199-$D199-$E199,0))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IF($A200="","",IFERROR($B200-$C200-$D200-$E200,0))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IF($A201="","",IFERROR($B201-$C201-$D201-$E201,0))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IF($A202="","",IFERROR($B202-$C202-$D202-$E202,0))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IF($A203="","",IFERROR($B203-$C203-$D203-$E203,0))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IF($A204="","",IFERROR($B204-$C204-$D204-$E204,0))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IF($A205="","",IFERROR($B205-$C205-$D205-$E205,0))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IF($A206="","",IFERROR($B206-$C206-$D206-$E206,0))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IF($A207="","",IFERROR($B207-$C207-$D207-$E207,0))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IF($A208="","",IFERROR($B208-$C208-$D208-$E208,0))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IF($A209="","",IFERROR($B209-$C209-$D209-$E209,0))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IF($A210="","",IFERROR($B210-$C210-$D210-$E210,0))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IF($A211="","",IFERROR($B211-$C211-$D211-$E211,0))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IF($A212="","",IFERROR($B212-$C212-$D212-$E212,0))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IF($A213="","",IFERROR($B213-$C213-$D213-$E213,0))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IF($A214="","",IFERROR($B214-$C214-$D214-$E214,0))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IF($A215="","",IFERROR($B215-$C215-$D215-$E215,0))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IF($A216="","",IFERROR($B216-$C216-$D216-$E216,0))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IF($A217="","",IFERROR($B217-$C217-$D217-$E217,0))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IF($A218="","",IFERROR($B218-$C218-$D218-$E218,0))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IF($A219="","",IFERROR($B219-$C219-$D219-$E219,0))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IF($A220="","",IFERROR($B220-$C220-$D220-$E220,0))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IF($A221="","",IFERROR($B221-$C221-$D221-$E221,0))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IF($A222="","",IFERROR($B222-$C222-$D222-$E222,0))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IF($A223="","",IFERROR($B223-$C223-$D223-$E223,0))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IF($A224="","",IFERROR($B224-$C224-$D224-$E224,0))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IF($A225="","",IFERROR($B225-$C225-$D225-$E225,0))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IF($A226="","",IFERROR($B226-$C226-$D226-$E226,0))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IF($A227="","",IFERROR($B227-$C227-$D227-$E227,0))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IF($A228="","",IFERROR($B228-$C228-$D228-$E228,0))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IF($A229="","",IFERROR($B229-$C229-$D229-$E229,0))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IF($A230="","",IFERROR($B230-$C230-$D230-$E230,0))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IF($A231="","",IFERROR($B231-$C231-$D231-$E231,0))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IF($A232="","",IFERROR($B232-$C232-$D232-$E232,0))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IF($A233="","",IFERROR($B233-$C233-$D233-$E233,0))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IF($A234="","",IFERROR($B234-$C234-$D234-$E234,0))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IF($A235="","",IFERROR($B235-$C235-$D235-$E235,0))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IF($A236="","",IFERROR($B236-$C236-$D236-$E236,0))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IF($A237="","",IFERROR($B237-$C237-$D237-$E237,0))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IF($A238="","",IFERROR($B238-$C238-$D238-$E238,0))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IF($A239="","",IFERROR($B239-$C239-$D239-$E239,0))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IF($A240="","",IFERROR($B240-$C240-$D240-$E240,0))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IF($A241="","",IFERROR($B241-$C241-$D241-$E241,0))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IF($A242="","",IFERROR($B242-$C242-$D242-$E242,0))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IF($A243="","",IFERROR($B243-$C243-$D243-$E243,0))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IF($A244="","",IFERROR($B244-$C244-$D244-$E244,0))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IF($A245="","",IFERROR($B245-$C245-$D245-$E245,0))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IF($A246="","",IFERROR($B246-$C246-$D246-$E246,0))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IF($A247="","",IFERROR($B247-$C247-$D247-$E247,0))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IF($A248="","",IFERROR($B248-$C248-$D248-$E248,0))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IF($A249="","",IFERROR($B249-$C249-$D249-$E249,0))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IF($A250="","",IFERROR($B250-$C250-$D250-$E250,0))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IF($A251="","",IFERROR($B251-$C251-$D251-$E251,0))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IF($A252="","",IFERROR($B252-$C252-$D252-$E252,0))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IF($A253="","",IFERROR($B253-$C253-$D253-$E253,0))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IF($A254="","",IFERROR($B254-$C254-$D254-$E254,0))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IF($A255="","",IFERROR($B255-$C255-$D255-$E255,0))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IF($A256="","",IFERROR($B256-$C256-$D256-$E256,0))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IF($A257="","",IFERROR($B257-$C257-$D257-$E257,0))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IF($A258="","",IFERROR($B258-$C258-$D258-$E258,0))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IF($A259="","",IFERROR($B259-$C259-$D259-$E259,0))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IF($A260="","",IFERROR($B260-$C260-$D260-$E260,0))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IF($A261="","",IFERROR($B261-$C261-$D261-$E261,0))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IF($A262="","",IFERROR($B262-$C262-$D262-$E262,0))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IF($A263="","",IFERROR($B263-$C263-$D263-$E263,0))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IF($A264="","",IFERROR($B264-$C264-$D264-$E264,0))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IF($A265="","",IFERROR($B265-$C265-$D265-$E265,0))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IF($A266="","",IFERROR($B266-$C266-$D266-$E266,0))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IF($A267="","",IFERROR($B267-$C267-$D267-$E267,0))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IF($A268="","",IFERROR($B268-$C268-$D268-$E268,0))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IF($A269="","",IFERROR($B269-$C269-$D269-$E269,0))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IF($A270="","",IFERROR($B270-$C270-$D270-$E270,0))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IF($A271="","",IFERROR($B271-$C271-$D271-$E271,0))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IF($A272="","",IFERROR($B272-$C272-$D272-$E272,0))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IF($A273="","",IFERROR($B273-$C273-$D273-$E273,0))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IF($A274="","",IFERROR($B274-$C274-$D274-$E274,0))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IF($A275="","",IFERROR($B275-$C275-$D275-$E275,0))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IF($A276="","",IFERROR($B276-$C276-$D276-$E276,0))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IF($A277="","",IFERROR($B277-$C277-$D277-$E277,0))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IF($A278="","",IFERROR($B278-$C278-$D278-$E278,0))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IF($A279="","",IFERROR($B279-$C279-$D279-$E279,0))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IF($A280="","",IFERROR($B280-$C280-$D280-$E280,0))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IF($A281="","",IFERROR($B281-$C281-$D281-$E281,0))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IF($A282="","",IFERROR($B282-$C282-$D282-$E282,0))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IF($A283="","",IFERROR($B283-$C283-$D283-$E283,0))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IF($A284="","",IFERROR($B284-$C284-$D284-$E284,0))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IF($A285="","",IFERROR($B285-$C285-$D285-$E285,0))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IF($A286="","",IFERROR($B286-$C286-$D286-$E286,0))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IF($A287="","",IFERROR($B287-$C287-$D287-$E287,0))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IF($A288="","",IFERROR($B288-$C288-$D288-$E288,0))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IF($A289="","",IFERROR($B289-$C289-$D289-$E289,0))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IF($A290="","",IFERROR($B290-$C290-$D290-$E290,0))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IF($A291="","",IFERROR($B291-$C291-$D291-$E291,0))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IF($A292="","",IFERROR($B292-$C292-$D292-$E292,0))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IF($A293="","",IFERROR($B293-$C293-$D293-$E293,0))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IF($A294="","",IFERROR($B294-$C294-$D294-$E294,0))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IF($A295="","",IFERROR($B295-$C295-$D295-$E295,0))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IF($A296="","",IFERROR($B296-$C296-$D296-$E296,0))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IF($A297="","",IFERROR($B297-$C297-$D297-$E297,0))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IF($A298="","",IFERROR($B298-$C298-$D298-$E298,0))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IF($A299="","",IFERROR($B299-$C299-$D299-$E299,0))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IF($A300="","",IFERROR($B300-$C300-$D300-$E300,0))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IF($A301="","",IFERROR($B301-$C301-$D301-$E301,0))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IF($A302="","",IFERROR($B302-$C302-$D302-$E302,0))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IF($A303="","",IFERROR($B303-$C303-$D303-$E303,0))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IF($A304="","",IFERROR($B304-$C304-$D304-$E304,0))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IF($A305="","",IFERROR($B305-$C305-$D305-$E305,0))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IF($A306="","",IFERROR($B306-$C306-$D306-$E306,0))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IF($A307="","",IFERROR($B307-$C307-$D307-$E307,0))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IF($A308="","",IFERROR($B308-$C308-$D308-$E308,0))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IF($A309="","",IFERROR($B309-$C309-$D309-$E309,0))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IF($A310="","",IFERROR($B310-$C310-$D310-$E310,0))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IF($A311="","",IFERROR($B311-$C311-$D311-$E311,0))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IF($A312="","",IFERROR($B312-$C312-$D312-$E312,0))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IF($A313="","",IFERROR($B313-$C313-$D313-$E313,0))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IF($A314="","",IFERROR($B314-$C314-$D314-$E314,0))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IF($A315="","",IFERROR($B315-$C315-$D315-$E315,0))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IF($A316="","",IFERROR($B316-$C316-$D316-$E316,0))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IF($A317="","",IFERROR($B317-$C317-$D317-$E317,0))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IF($A318="","",IFERROR($B318-$C318-$D318-$E318,0))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IF($A319="","",IFERROR($B319-$C319-$D319-$E319,0))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IF($A320="","",IFERROR($B320-$C320-$D320-$E320,0))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IF($A321="","",IFERROR($B321-$C321-$D321-$E321,0))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IF($A322="","",IFERROR($B322-$C322-$D322-$E322,0))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IF($A323="","",IFERROR($B323-$C323-$D323-$E323,0))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IF($A324="","",IFERROR($B324-$C324-$D324-$E324,0))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IF($A325="","",IFERROR($B325-$C325-$D325-$E325,0))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IF($A326="","",IFERROR($B326-$C326-$D326-$E326,0))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IF($A327="","",IFERROR($B327-$C327-$D327-$E327,0))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IF($A328="","",IFERROR($B328-$C328-$D328-$E328,0))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IF($A329="","",IFERROR($B329-$C329-$D329-$E329,0))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IF($A330="","",IFERROR($B330-$C330-$D330-$E330,0))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IF($A331="","",IFERROR($B331-$C331-$D331-$E331,0))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IF($A332="","",IFERROR($B332-$C332-$D332-$E332,0))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IF($A333="","",IFERROR($B333-$C333-$D333-$E333,0))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IF($A334="","",IFERROR($B334-$C334-$D334-$E334,0))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IF($A335="","",IFERROR($B335-$C335-$D335-$E335,0))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IF($A336="","",IFERROR($B336-$C336-$D336-$E336,0))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IF($A337="","",IFERROR($B337-$C337-$D337-$E337,0))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IF($A338="","",IFERROR($B338-$C338-$D338-$E338,0))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IF($A339="","",IFERROR($B339-$C339-$D339-$E339,0))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IF($A340="","",IFERROR($B340-$C340-$D340-$E340,0))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IF($A341="","",IFERROR($B341-$C341-$D341-$E341,0))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IF($A342="","",IFERROR($B342-$C342-$D342-$E342,0))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IF($A343="","",IFERROR($B343-$C343-$D343-$E343,0))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IF($A344="","",IFERROR($B344-$C344-$D344-$E344,0))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IF($A345="","",IFERROR($B345-$C345-$D345-$E345,0))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IF($A346="","",IFERROR($B346-$C346-$D346-$E346,0))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IF($A347="","",IFERROR($B347-$C347-$D347-$E347,0))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IF($A348="","",IFERROR($B348-$C348-$D348-$E348,0))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IF($A349="","",IFERROR($B349-$C349-$D349-$E349,0))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IF($A350="","",IFERROR($B350-$C350-$D350-$E350,0))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IF($A351="","",IFERROR($B351-$C351-$D351-$E351,0))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IF($A352="","",IFERROR($B352-$C352-$D352-$E352,0))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IF($A353="","",IFERROR($B353-$C353-$D353-$E353,0))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IF($A354="","",IFERROR($B354-$C354-$D354-$E354,0))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IF($A355="","",IFERROR($B355-$C355-$D355-$E355,0))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IF($A356="","",IFERROR($B356-$C356-$D356-$E356,0))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IF($A357="","",IFERROR($B357-$C357-$D357-$E357,0))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IF($A358="","",IFERROR($B358-$C358-$D358-$E358,0))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IF($A359="","",IFERROR($B359-$C359-$D359-$E359,0))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IF($A360="","",IFERROR($B360-$C360-$D360-$E360,0))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IF($A361="","",IFERROR($B361-$C361-$D361-$E361,0))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IF($A362="","",IFERROR($B362-$C362-$D362-$E362,0))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IF($A363="","",IFERROR($B363-$C363-$D363-$E363,0))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IF($A364="","",IFERROR($B364-$C364-$D364-$E364,0))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IF($A365="","",IFERROR($B365-$C365-$D365-$E365,0))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IF($A366="","",IFERROR($B366-$C366-$D366-$E366,0))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IF($A367="","",IFERROR($B367-$C367-$D367-$E367,0))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IF($A368="","",IFERROR($B368-$C368-$D368-$E368,0))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IF($A369="","",IFERROR($B369-$C369-$D369-$E369,0))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IF($A370="","",IFERROR($B370-$C370-$D370-$E370,0))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IF($A371="","",IFERROR($B371-$C371-$D371-$E371,0))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IF($A372="","",IFERROR($B372-$C372-$D372-$E372,0))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IF($A373="","",IFERROR($B373-$C373-$D373-$E373,0))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IF($A374="","",IFERROR($B374-$C374-$D374-$E374,0))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IF($A375="","",IFERROR($B375-$C375-$D375-$E375,0))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IF($A376="","",IFERROR($B376-$C376-$D376-$E376,0))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IF($A377="","",IFERROR($B377-$C377-$D377-$E377,0))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IF($A378="","",IFERROR($B378-$C378-$D378-$E378,0))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IF($A379="","",IFERROR($B379-$C379-$D379-$E379,0))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IF($A380="","",IFERROR($B380-$C380-$D380-$E380,0))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IF($A381="","",IFERROR($B381-$C381-$D381-$E381,0))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IF($A382="","",IFERROR($B382-$C382-$D382-$E382,0))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IF($A383="","",IFERROR($B383-$C383-$D383-$E383,0))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IF($A384="","",IFERROR($B384-$C384-$D384-$E384,0))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IF($A385="","",IFERROR($B385-$C385-$D385-$E385,0))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IF($A386="","",IFERROR($B386-$C386-$D386-$E386,0))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IF($A387="","",IFERROR($B387-$C387-$D387-$E387,0))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IF($A388="","",IFERROR($B388-$C388-$D388-$E388,0))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IF($A389="","",IFERROR($B389-$C389-$D389-$E389,0))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IF($A390="","",IFERROR($B390-$C390-$D390-$E390,0))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IF($A391="","",IFERROR($B391-$C391-$D391-$E391,0))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IF($A392="","",IFERROR($B392-$C392-$D392-$E392,0))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IF($A393="","",IFERROR($B393-$C393-$D393-$E393,0))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IF($A394="","",IFERROR($B394-$C394-$D394-$E394,0))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IF($A395="","",IFERROR($B395-$C395-$D395-$E395,0))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IF($A396="","",IFERROR($B396-$C396-$D396-$E396,0))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IF($A397="","",IFERROR($B397-$C397-$D397-$E397,0))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IF($A398="","",IFERROR($B398-$C398-$D398-$E398,0))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IF($A399="","",IFERROR($B399-$C399-$D399-$E399,0))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IF($A400="","",IFERROR($B400-$C400-$D400-$E400,0))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IF($A401="","",IFERROR($B401-$C401-$D401-$E401,0))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IF($A402="","",IFERROR($B402-$C402-$D402-$E402,0))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IF($A403="","",IFERROR($B403-$C403-$D403-$E403,0))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IF($A404="","",IFERROR($B404-$C404-$D404-$E404,0))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IF($A405="","",IFERROR($B405-$C405-$D405-$E405,0))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IF($A406="","",IFERROR($B406-$C406-$D406-$E406,0))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IF($A407="","",IFERROR($B407-$C407-$D407-$E407,0))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IF($A408="","",IFERROR($B408-$C408-$D408-$E408,0))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IF($A409="","",IFERROR($B409-$C409-$D409-$E409,0))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IF($A410="","",IFERROR($B410-$C410-$D410-$E410,0))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IF($A411="","",IFERROR($B411-$C411-$D411-$E411,0))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IF($A412="","",IFERROR($B412-$C412-$D412-$E412,0))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IF($A413="","",IFERROR($B413-$C413-$D413-$E413,0))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IF($A414="","",IFERROR($B414-$C414-$D414-$E414,0))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IF($A415="","",IFERROR($B415-$C415-$D415-$E415,0))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IF($A416="","",IFERROR($B416-$C416-$D416-$E416,0))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IF($A417="","",IFERROR($B417-$C417-$D417-$E417,0))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IF($A418="","",IFERROR($B418-$C418-$D418-$E418,0))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IF($A419="","",IFERROR($B419-$C419-$D419-$E419,0))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IF($A420="","",IFERROR($B420-$C420-$D420-$E420,0))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IF($A421="","",IFERROR($B421-$C421-$D421-$E421,0))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IF($A422="","",IFERROR($B422-$C422-$D422-$E422,0))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IF($A423="","",IFERROR($B423-$C423-$D423-$E423,0))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IF($A424="","",IFERROR($B424-$C424-$D424-$E424,0))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IF($A425="","",IFERROR($B425-$C425-$D425-$E425,0))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IF($A426="","",IFERROR($B426-$C426-$D426-$E426,0))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IF($A427="","",IFERROR($B427-$C427-$D427-$E427,0))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IF($A428="","",IFERROR($B428-$C428-$D428-$E428,0))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IF($A429="","",IFERROR($B429-$C429-$D429-$E429,0))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IF($A430="","",IFERROR($B430-$C430-$D430-$E430,0))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IF($A431="","",IFERROR($B431-$C431-$D431-$E431,0))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IF($A432="","",IFERROR($B432-$C432-$D432-$E432,0))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IF($A433="","",IFERROR($B433-$C433-$D433-$E433,0))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IF($A434="","",IFERROR($B434-$C434-$D434-$E434,0))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IF($A435="","",IFERROR($B435-$C435-$D435-$E435,0))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IF($A436="","",IFERROR($B436-$C436-$D436-$E436,0))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IF($A437="","",IFERROR($B437-$C437-$D437-$E437,0))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IF($A438="","",IFERROR($B438-$C438-$D438-$E438,0))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IF($A439="","",IFERROR($B439-$C439-$D439-$E439,0))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IF($A440="","",IFERROR($B440-$C440-$D440-$E440,0))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IF($A441="","",IFERROR($B441-$C441-$D441-$E441,0))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IF($A442="","",IFERROR($B442-$C442-$D442-$E442,0))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IF($A443="","",IFERROR($B443-$C443-$D443-$E443,0))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IF($A444="","",IFERROR($B444-$C444-$D444-$E444,0))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IF($A445="","",IFERROR($B445-$C445-$D445-$E445,0))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IF($A446="","",IFERROR($B446-$C446-$D446-$E446,0))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IF($A447="","",IFERROR($B447-$C447-$D447-$E447,0))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IF($A448="","",IFERROR($B448-$C448-$D448-$E448,0))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IF($A449="","",IFERROR($B449-$C449-$D449-$E449,0))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IF($A450="","",IFERROR($B450-$C450-$D450-$E450,0))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IF($A451="","",IFERROR($B451-$C451-$D451-$E451,0))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IF($A452="","",IFERROR($B452-$C452-$D452-$E452,0))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IF($A453="","",IFERROR($B453-$C453-$D453-$E453,0))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IF($A454="","",IFERROR($B454-$C454-$D454-$E454,0))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IF($A455="","",IFERROR($B455-$C455-$D455-$E455,0))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IF($A456="","",IFERROR($B456-$C456-$D456-$E456,0))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IF($A457="","",IFERROR($B457-$C457-$D457-$E457,0))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IF($A458="","",IFERROR($B458-$C458-$D458-$E458,0))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IF($A459="","",IFERROR($B459-$C459-$D459-$E459,0))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IF($A460="","",IFERROR($B460-$C460-$D460-$E460,0))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IF($A461="","",IFERROR($B461-$C461-$D461-$E461,0))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IF($A462="","",IFERROR($B462-$C462-$D462-$E462,0))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IF($A463="","",IFERROR($B463-$C463-$D463-$E463,0))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IF($A464="","",IFERROR($B464-$C464-$D464-$E464,0))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IF($A465="","",IFERROR($B465-$C465-$D465-$E465,0))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IF($A466="","",IFERROR($B466-$C466-$D466-$E466,0))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IF($A467="","",IFERROR($B467-$C467-$D467-$E467,0))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IF($A468="","",IFERROR($B468-$C468-$D468-$E468,0))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IF($A469="","",IFERROR($B469-$C469-$D469-$E469,0))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IF($A470="","",IFERROR($B470-$C470-$D470-$E470,0))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IF($A471="","",IFERROR($B471-$C471-$D471-$E471,0))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IF($A472="","",IFERROR($B472-$C472-$D472-$E472,0))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IF($A473="","",IFERROR($B473-$C473-$D473-$E473,0))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IF($A474="","",IFERROR($B474-$C474-$D474-$E474,0))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IF($A475="","",IFERROR($B475-$C475-$D475-$E475,0))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IF($A476="","",IFERROR($B476-$C476-$D476-$E476,0))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IF($A477="","",IFERROR($B477-$C477-$D477-$E477,0))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IF($A478="","",IFERROR($B478-$C478-$D478-$E478,0))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IF($A479="","",IFERROR($B479-$C479-$D479-$E479,0))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IF($A480="","",IFERROR($B480-$C480-$D480-$E480,0))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IF($A481="","",IFERROR($B481-$C481-$D481-$E481,0))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IF($A482="","",IFERROR($B482-$C482-$D482-$E482,0))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IF($A483="","",IFERROR($B483-$C483-$D483-$E483,0))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IF($A484="","",IFERROR($B484-$C484-$D484-$E484,0))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IF($A485="","",IFERROR($B485-$C485-$D485-$E485,0))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IF($A486="","",IFERROR($B486-$C486-$D486-$E486,0))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IF($A487="","",IFERROR($B487-$C487-$D487-$E487,0))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IF($A488="","",IFERROR($B488-$C488-$D488-$E488,0))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IF($A489="","",IFERROR($B489-$C489-$D489-$E489,0))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IF($A490="","",IFERROR($B490-$C490-$D490-$E490,0))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IF($A491="","",IFERROR($B491-$C491-$D491-$E491,0))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IF($A492="","",IFERROR($B492-$C492-$D492-$E492,0))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IF($A493="","",IFERROR($B493-$C493-$D493-$E493,0))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IF($A494="","",IFERROR($B494-$C494-$D494-$E494,0))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IF($A495="","",IFERROR($B495-$C495-$D495-$E495,0))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IF($A496="","",IFERROR($B496-$C496-$D496-$E496,0))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IF($A497="","",IFERROR($B497-$C497-$D497-$E497,0))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IF($A498="","",IFERROR($B498-$C498-$D498-$E498,0))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IF($A499="","",IFERROR($B499-$C499-$D499-$E499,0))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IF($A500="","",IFERROR($B500-$C500-$D500-$E500,0))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IF($A501="","",IFERROR($B501-$C501-$D501-$E501,0))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IF($A502="","",IFERROR($B502-$C502-$D502-$E502,0))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IF($A503="","",IFERROR($B503-$C503-$D503-$E503,0))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IF($A504="","",IFERROR($B504-$C504-$D504-$E504,0))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IF($A505="","",IFERROR($B505-$C505-$D505-$E505,0))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IF($A506="","",IFERROR($B506-$C506-$D506-$E506,0))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IF($A507="","",IFERROR($B507-$C507-$D507-$E507,0))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IF($A508="","",IFERROR($B508-$C508-$D508-$E508,0))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IF($A509="","",IFERROR($B509-$C509-$D509-$E509,0))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IF($A510="","",IFERROR($B510-$C510-$D510-$E510,0))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IF($A511="","",IFERROR($B511-$C511-$D511-$E511,0))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IF($A512="","",IFERROR($B512-$C512-$D512-$E512,0))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IF($A513="","",IFERROR($B513-$C513-$D513-$E513,0))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IF($A514="","",IFERROR($B514-$C514-$D514-$E514,0))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IF($A515="","",IFERROR($B515-$C515-$D515-$E515,0))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IF($A516="","",IFERROR($B516-$C516-$D516-$E516,0))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IF($A517="","",IFERROR($B517-$C517-$D517-$E517,0))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IF($A518="","",IFERROR($B518-$C518-$D518-$E518,0))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IF($A519="","",IFERROR($B519-$C519-$D519-$E519,0))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IF($A520="","",IFERROR($B520-$C520-$D520-$E520,0))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IF($A521="","",IFERROR($B521-$C521-$D521-$E521,0))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IF($A522="","",IFERROR($B522-$C522-$D522-$E522,0))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IF($A523="","",IFERROR($B523-$C523-$D523-$E523,0))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IF($A524="","",IFERROR($B524-$C524-$D524-$E524,0))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IF($A525="","",IFERROR($B525-$C525-$D525-$E525,0))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IF($A526="","",IFERROR($B526-$C526-$D526-$E526,0))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IF($A527="","",IFERROR($B527-$C527-$D527-$E527,0))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IF($A528="","",IFERROR($B528-$C528-$D528-$E528,0))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IF($A529="","",IFERROR($B529-$C529-$D529-$E529,0))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IF($A530="","",IFERROR($B530-$C530-$D530-$E530,0))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IF($A531="","",IFERROR($B531-$C531-$D531-$E531,0))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IF($A532="","",IFERROR($B532-$C532-$D532-$E532,0))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IF($A533="","",IFERROR($B533-$C533-$D533-$E533,0))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IF($A534="","",IFERROR($B534-$C534-$D534-$E534,0))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IF($A535="","",IFERROR($B535-$C535-$D535-$E535,0))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IF($A536="","",IFERROR($B536-$C536-$D536-$E536,0))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IF($A537="","",IFERROR($B537-$C537-$D537-$E537,0))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IF($A538="","",IFERROR($B538-$C538-$D538-$E538,0))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IF($A539="","",IFERROR($B539-$C539-$D539-$E539,0))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IF($A540="","",IFERROR($B540-$C540-$D540-$E540,0))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IF($A541="","",IFERROR($B541-$C541-$D541-$E541,0))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IF($A542="","",IFERROR($B542-$C542-$D542-$E542,0))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IF($A543="","",IFERROR($B543-$C543-$D543-$E543,0))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IF($A544="","",IFERROR($B544-$C544-$D544-$E544,0))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IF($A545="","",IFERROR($B545-$C545-$D545-$E545,0))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IF($A546="","",IFERROR($B546-$C546-$D546-$E546,0))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IF($A547="","",IFERROR($B547-$C547-$D547-$E547,0))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IF($A548="","",IFERROR($B548-$C548-$D548-$E548,0))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IF($A549="","",IFERROR($B549-$C549-$D549-$E549,0))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IF($A550="","",IFERROR($B550-$C550-$D550-$E550,0))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IF($A551="","",IFERROR($B551-$C551-$D551-$E551,0))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IF($A552="","",IFERROR($B552-$C552-$D552-$E552,0))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IF($A553="","",IFERROR($B553-$C553-$D553-$E553,0))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IF($A554="","",IFERROR($B554-$C554-$D554-$E554,0))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IF($A555="","",IFERROR($B555-$C555-$D555-$E555,0))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IF($A556="","",IFERROR($B556-$C556-$D556-$E556,0))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IF($A557="","",IFERROR($B557-$C557-$D557-$E557,0))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IF($A558="","",IFERROR($B558-$C558-$D558-$E558,0))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IF($A559="","",IFERROR($B559-$C559-$D559-$E559,0))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IF($A560="","",IFERROR($B560-$C560-$D560-$E560,0))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IF($A561="","",IFERROR($B561-$C561-$D561-$E561,0))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IF($A562="","",IFERROR($B562-$C562-$D562-$E562,0))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IF($A563="","",IFERROR($B563-$C563-$D563-$E563,0))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IF($A564="","",IFERROR($B564-$C564-$D564-$E564,0))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IF($A565="","",IFERROR($B565-$C565-$D565-$E565,0))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IF($A566="","",IFERROR($B566-$C566-$D566-$E566,0))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IF($A567="","",IFERROR($B567-$C567-$D567-$E567,0))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IF($A568="","",IFERROR($B568-$C568-$D568-$E568,0))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IF($A569="","",IFERROR($B569-$C569-$D569-$E569,0))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IF($A570="","",IFERROR($B570-$C570-$D570-$E570,0))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IF($A571="","",IFERROR($B571-$C571-$D571-$E571,0))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IF($A572="","",IFERROR($B572-$C572-$D572-$E572,0))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IF($A573="","",IFERROR($B573-$C573-$D573-$E573,0))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IF($A574="","",IFERROR($B574-$C574-$D574-$E574,0))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IF($A575="","",IFERROR($B575-$C575-$D575-$E575,0))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IF($A576="","",IFERROR($B576-$C576-$D576-$E576,0))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IF($A577="","",IFERROR($B577-$C577-$D577-$E577,0))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IF($A578="","",IFERROR($B578-$C578-$D578-$E578,0))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IF($A579="","",IFERROR($B579-$C579-$D579-$E579,0))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IF($A580="","",IFERROR($B580-$C580-$D580-$E580,0))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IF($A581="","",IFERROR($B581-$C581-$D581-$E581,0))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IF($A582="","",IFERROR($B582-$C582-$D582-$E582,0))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IF($A583="","",IFERROR($B583-$C583-$D583-$E583,0))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IF($A584="","",IFERROR($B584-$C584-$D584-$E584,0))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IF($A585="","",IFERROR($B585-$C585-$D585-$E585,0))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IF($A586="","",IFERROR($B586-$C586-$D586-$E586,0))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IF($A587="","",IFERROR($B587-$C587-$D587-$E587,0))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IF($A588="","",IFERROR($B588-$C588-$D588-$E588,0))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IF($A589="","",IFERROR($B589-$C589-$D589-$E589,0))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IF($A590="","",IFERROR($B590-$C590-$D590-$E590,0))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IF($A591="","",IFERROR($B591-$C591-$D591-$E591,0))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IF($A592="","",IFERROR($B592-$C592-$D592-$E592,0))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IF($A593="","",IFERROR($B593-$C593-$D593-$E593,0))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IF($A594="","",IFERROR($B594-$C594-$D594-$E594,0))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IF($A595="","",IFERROR($B595-$C595-$D595-$E595,0))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IF($A596="","",IFERROR($B596-$C596-$D596-$E596,0))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IF($A597="","",IFERROR($B597-$C597-$D597-$E597,0))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IF($A598="","",IFERROR($B598-$C598-$D598-$E598,0))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IF($A599="","",IFERROR($B599-$C599-$D599-$E599,0))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IF($A600="","",IFERROR($B600-$C600-$D600-$E600,0))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IF($A601="","",IFERROR($B601-$C601-$D601-$E601,0))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IF($A602="","",IFERROR($B602-$C602-$D602-$E602,0))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IF($A603="","",IFERROR($B603-$C603-$D603-$E603,0))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IF($A604="","",IFERROR($B604-$C604-$D604-$E604,0))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IF($A605="","",IFERROR($B605-$C605-$D605-$E605,0))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IF($A606="","",IFERROR($B606-$C606-$D606-$E606,0))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IF($A607="","",IFERROR($B607-$C607-$D607-$E607,0))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IF($A608="","",IFERROR($B608-$C608-$D608-$E608,0))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IF($A609="","",IFERROR($B609-$C609-$D609-$E609,0))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IF($A610="","",IFERROR($B610-$C610-$D610-$E610,0))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IF($A611="","",IFERROR($B611-$C611-$D611-$E611,0))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IF($A612="","",IFERROR($B612-$C612-$D612-$E612,0))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IF($A613="","",IFERROR($B613-$C613-$D613-$E613,0))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IF($A614="","",IFERROR($B614-$C614-$D614-$E614,0))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IF($A615="","",IFERROR($B615-$C615-$D615-$E615,0))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IF($A616="","",IFERROR($B616-$C616-$D616-$E616,0))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IF($A617="","",IFERROR($B617-$C617-$D617-$E617,0))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IF($A618="","",IFERROR($B618-$C618-$D618-$E618,0))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IF($A619="","",IFERROR($B619-$C619-$D619-$E619,0))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IF($A620="","",IFERROR($B620-$C620-$D620-$E620,0))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IF($A621="","",IFERROR($B621-$C621-$D621-$E621,0))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IF($A622="","",IFERROR($B622-$C622-$D622-$E622,0))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IF($A623="","",IFERROR($B623-$C623-$D623-$E623,0))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IF($A624="","",IFERROR($B624-$C624-$D624-$E624,0))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IF($A625="","",IFERROR($B625-$C625-$D625-$E625,0))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IF($A626="","",IFERROR($B626-$C626-$D626-$E626,0))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IF($A627="","",IFERROR($B627-$C627-$D627-$E627,0))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IF($A628="","",IFERROR($B628-$C628-$D628-$E628,0))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IF($A629="","",IFERROR($B629-$C629-$D629-$E629,0))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IF($A630="","",IFERROR($B630-$C630-$D630-$E630,0))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IF($A631="","",IFERROR($B631-$C631-$D631-$E631,0))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IF($A632="","",IFERROR($B632-$C632-$D632-$E632,0))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IF($A633="","",IFERROR($B633-$C633-$D633-$E633,0))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IF($A634="","",IFERROR($B634-$C634-$D634-$E634,0))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IF($A635="","",IFERROR($B635-$C635-$D635-$E635,0))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IF($A636="","",IFERROR($B636-$C636-$D636-$E636,0))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IF($A637="","",IFERROR($B637-$C637-$D637-$E637,0))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IF($A638="","",IFERROR($B638-$C638-$D638-$E638,0))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IF($A639="","",IFERROR($B639-$C639-$D639-$E639,0))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IF($A640="","",IFERROR($B640-$C640-$D640-$E640,0))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IF($A641="","",IFERROR($B641-$C641-$D641-$E641,0))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IF($A642="","",IFERROR($B642-$C642-$D642-$E642,0))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IF($A643="","",IFERROR($B643-$C643-$D643-$E643,0))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IF($A644="","",IFERROR($B644-$C644-$D644-$E644,0))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IF($A645="","",IFERROR($B645-$C645-$D645-$E645,0))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IF($A646="","",IFERROR($B646-$C646-$D646-$E646,0))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IF($A647="","",IFERROR($B647-$C647-$D647-$E647,0))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IF($A648="","",IFERROR($B648-$C648-$D648-$E648,0))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IF($A649="","",IFERROR($B649-$C649-$D649-$E649,0))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IF($A650="","",IFERROR($B650-$C650-$D650-$E650,0))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IF($A651="","",IFERROR($B651-$C651-$D651-$E651,0))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IF($A652="","",IFERROR($B652-$C652-$D652-$E652,0))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IF($A653="","",IFERROR($B653-$C653-$D653-$E653,0))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IF($A654="","",IFERROR($B654-$C654-$D654-$E654,0))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IF($A655="","",IFERROR($B655-$C655-$D655-$E655,0))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IF($A656="","",IFERROR($B656-$C656-$D656-$E656,0))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IF($A657="","",IFERROR($B657-$C657-$D657-$E657,0))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IF($A658="","",IFERROR($B658-$C658-$D658-$E658,0))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IF($A659="","",IFERROR($B659-$C659-$D659-$E659,0))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IF($A660="","",IFERROR($B660-$C660-$D660-$E660,0))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IF($A661="","",IFERROR($B661-$C661-$D661-$E661,0))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IF($A662="","",IFERROR($B662-$C662-$D662-$E662,0))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IF($A663="","",IFERROR($B663-$C663-$D663-$E663,0))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IF($A664="","",IFERROR($B664-$C664-$D664-$E664,0))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IF($A665="","",IFERROR($B665-$C665-$D665-$E665,0))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IF($A666="","",IFERROR($B666-$C666-$D666-$E666,0))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IF($A667="","",IFERROR($B667-$C667-$D667-$E667,0))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IF($A668="","",IFERROR($B668-$C668-$D668-$E668,0))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IF($A669="","",IFERROR($B669-$C669-$D669-$E669,0))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IF($A670="","",IFERROR($B670-$C670-$D670-$E670,0))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IF($A671="","",IFERROR($B671-$C671-$D671-$E671,0))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IF($A672="","",IFERROR($B672-$C672-$D672-$E672,0))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IF($A673="","",IFERROR($B673-$C673-$D673-$E673,0))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IF($A674="","",IFERROR($B674-$C674-$D674-$E674,0))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IF($A675="","",IFERROR($B675-$C675-$D675-$E675,0))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IF($A676="","",IFERROR($B676-$C676-$D676-$E676,0))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IF($A677="","",IFERROR($B677-$C677-$D677-$E677,0))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IF($A678="","",IFERROR($B678-$C678-$D678-$E678,0))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IF($A679="","",IFERROR($B679-$C679-$D679-$E679,0))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IF($A680="","",IFERROR($B680-$C680-$D680-$E680,0))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IF($A681="","",IFERROR($B681-$C681-$D681-$E681,0))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IF($A682="","",IFERROR($B682-$C682-$D682-$E682,0))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IF($A683="","",IFERROR($B683-$C683-$D683-$E683,0))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IF($A684="","",IFERROR($B684-$C684-$D684-$E684,0))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IF($A685="","",IFERROR($B685-$C685-$D685-$E685,0))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IF($A686="","",IFERROR($B686-$C686-$D686-$E686,0))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IF($A687="","",IFERROR($B687-$C687-$D687-$E687,0))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IF($A688="","",IFERROR($B688-$C688-$D688-$E688,0))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IF($A689="","",IFERROR($B689-$C689-$D689-$E689,0))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IF($A690="","",IFERROR($B690-$C690-$D690-$E690,0))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IF($A691="","",IFERROR($B691-$C691-$D691-$E691,0))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IF($A692="","",IFERROR($B692-$C692-$D692-$E692,0))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IF($A693="","",IFERROR($B693-$C693-$D693-$E693,0))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IF($A694="","",IFERROR($B694-$C694-$D694-$E694,0))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IF($A695="","",IFERROR($B695-$C695-$D695-$E695,0))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IF($A696="","",IFERROR($B696-$C696-$D696-$E696,0))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IF($A697="","",IFERROR($B697-$C697-$D697-$E697,0))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IF($A698="","",IFERROR($B698-$C698-$D698-$E698,0))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IF($A699="","",IFERROR($B699-$C699-$D699-$E699,0))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IF($A700="","",IFERROR($B700-$C700-$D700-$E700,0))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IF($A701="","",IFERROR($B701-$C701-$D701-$E701,0))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IF($A702="","",IFERROR($B702-$C702-$D702-$E702,0))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IF($A703="","",IFERROR($B703-$C703-$D703-$E703,0))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IF($A704="","",IFERROR($B704-$C704-$D704-$E704,0))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IF($A705="","",IFERROR($B705-$C705-$D705-$E705,0))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IF($A706="","",IFERROR($B706-$C706-$D706-$E706,0))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IF($A707="","",IFERROR($B707-$C707-$D707-$E707,0))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IF($A708="","",IFERROR($B708-$C708-$D708-$E708,0))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IF($A709="","",IFERROR($B709-$C709-$D709-$E709,0))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IF($A710="","",IFERROR($B710-$C710-$D710-$E710,0))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IF($A711="","",IFERROR($B711-$C711-$D711-$E711,0))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IF($A712="","",IFERROR($B712-$C712-$D712-$E712,0))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IF($A713="","",IFERROR($B713-$C713-$D713-$E713,0))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IF($A714="","",IFERROR($B714-$C714-$D714-$E714,0))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IF($A715="","",IFERROR($B715-$C715-$D715-$E715,0))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IF($A716="","",IFERROR($B716-$C716-$D716-$E716,0))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IF($A717="","",IFERROR($B717-$C717-$D717-$E717,0))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IF($A718="","",IFERROR($B718-$C718-$D718-$E718,0))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IF($A719="","",IFERROR($B719-$C719-$D719-$E719,0))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IF($A720="","",IFERROR($B720-$C720-$D720-$E720,0))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IF($A721="","",IFERROR($B721-$C721-$D721-$E721,0))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IF($A722="","",IFERROR($B722-$C722-$D722-$E722,0))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IF($A723="","",IFERROR($B723-$C723-$D723-$E723,0))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IF($A724="","",IFERROR($B724-$C724-$D724-$E724,0))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IF($A725="","",IFERROR($B725-$C725-$D725-$E725,0))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IF($A726="","",IFERROR($B726-$C726-$D726-$E726,0))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IF($A727="","",IFERROR($B727-$C727-$D727-$E727,0))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IF($A728="","",IFERROR($B728-$C728-$D728-$E728,0))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IF($A729="","",IFERROR($B729-$C729-$D729-$E729,0))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IF($A730="","",IFERROR($B730-$C730-$D730-$E730,0))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IF($A731="","",IFERROR($B731-$C731-$D731-$E731,0))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IF($A732="","",IFERROR($B732-$C732-$D732-$E732,0))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IF($A733="","",IFERROR($B733-$C733-$D733-$E733,0))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IF($A734="","",IFERROR($B734-$C734-$D734-$E734,0))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IF($A735="","",IFERROR($B735-$C735-$D735-$E735,0))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IF($A736="","",IFERROR($B736-$C736-$D736-$E736,0))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IF($A737="","",IFERROR($B737-$C737-$D737-$E737,0))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IF($A738="","",IFERROR($B738-$C738-$D738-$E738,0))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IF($A739="","",IFERROR($B739-$C739-$D739-$E739,0))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IF($A740="","",IFERROR($B740-$C740-$D740-$E740,0))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IF($A741="","",IFERROR($B741-$C741-$D741-$E741,0))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IF($A742="","",IFERROR($B742-$C742-$D742-$E742,0))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IF($A743="","",IFERROR($B743-$C743-$D743-$E743,0))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IF($A744="","",IFERROR($B744-$C744-$D744-$E744,0))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IF($A745="","",IFERROR($B745-$C745-$D745-$E745,0))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IF($A746="","",IFERROR($B746-$C746-$D746-$E746,0))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IF($A747="","",IFERROR($B747-$C747-$D747-$E747,0))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IF($A748="","",IFERROR($B748-$C748-$D748-$E748,0))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IF($A749="","",IFERROR($B749-$C749-$D749-$E749,0))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IF($A750="","",IFERROR($B750-$C750-$D750-$E750,0))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IF($A751="","",IFERROR($B751-$C751-$D751-$E751,0))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IF($A752="","",IFERROR($B752-$C752-$D752-$E752,0))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IF($A753="","",IFERROR($B753-$C753-$D753-$E753,0))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IF($A754="","",IFERROR($B754-$C754-$D754-$E754,0))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IF($A755="","",IFERROR($B755-$C755-$D755-$E755,0))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IF($A756="","",IFERROR($B756-$C756-$D756-$E756,0))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IF($A757="","",IFERROR($B757-$C757-$D757-$E757,0))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IF($A758="","",IFERROR($B758-$C758-$D758-$E758,0))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IF($A759="","",IFERROR($B759-$C759-$D759-$E759,0))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IF($A760="","",IFERROR($B760-$C760-$D760-$E760,0))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IF($A761="","",IFERROR($B761-$C761-$D761-$E761,0))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IF($A762="","",IFERROR($B762-$C762-$D762-$E762,0))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IF($A763="","",IFERROR($B763-$C763-$D763-$E763,0))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IF($A764="","",IFERROR($B764-$C764-$D764-$E764,0))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IF($A765="","",IFERROR($B765-$C765-$D765-$E765,0))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IF($A766="","",IFERROR($B766-$C766-$D766-$E766,0))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IF($A767="","",IFERROR($B767-$C767-$D767-$E767,0))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IF($A768="","",IFERROR($B768-$C768-$D768-$E768,0))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IF($A769="","",IFERROR($B769-$C769-$D769-$E769,0))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IF($A770="","",IFERROR($B770-$C770-$D770-$E770,0))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IF($A771="","",IFERROR($B771-$C771-$D771-$E771,0))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IF($A772="","",IFERROR($B772-$C772-$D772-$E772,0))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IF($A773="","",IFERROR($B773-$C773-$D773-$E773,0))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IF($A774="","",IFERROR($B774-$C774-$D774-$E774,0))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IF($A775="","",IFERROR($B775-$C775-$D775-$E775,0))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IF($A776="","",IFERROR($B776-$C776-$D776-$E776,0))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IF($A777="","",IFERROR($B777-$C777-$D777-$E777,0))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IF($A778="","",IFERROR($B778-$C778-$D778-$E778,0))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IF($A779="","",IFERROR($B779-$C779-$D779-$E779,0))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IF($A780="","",IFERROR($B780-$C780-$D780-$E780,0))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IF($A781="","",IFERROR($B781-$C781-$D781-$E781,0))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IF($A782="","",IFERROR($B782-$C782-$D782-$E782,0))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IF($A783="","",IFERROR($B783-$C783-$D783-$E783,0))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IF($A784="","",IFERROR($B784-$C784-$D784-$E784,0))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IF($A785="","",IFERROR($B785-$C785-$D785-$E785,0))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IF($A786="","",IFERROR($B786-$C786-$D786-$E786,0))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IF($A787="","",IFERROR($B787-$C787-$D787-$E787,0))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IF($A788="","",IFERROR($B788-$C788-$D788-$E788,0))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IF($A789="","",IFERROR($B789-$C789-$D789-$E789,0))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IF($A790="","",IFERROR($B790-$C790-$D790-$E790,0))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IF($A791="","",IFERROR($B791-$C791-$D791-$E791,0))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IF($A792="","",IFERROR($B792-$C792-$D792-$E792,0))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IF($A793="","",IFERROR($B793-$C793-$D793-$E793,0))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IF($A794="","",IFERROR($B794-$C794-$D794-$E794,0))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IF($A795="","",IFERROR($B795-$C795-$D795-$E795,0))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IF($A796="","",IFERROR($B796-$C796-$D796-$E796,0))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IF($A797="","",IFERROR($B797-$C797-$D797-$E797,0))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IF($A798="","",IFERROR($B798-$C798-$D798-$E798,0))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IF($A799="","",IFERROR($B799-$C799-$D799-$E799,0))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IF($A800="","",IFERROR($B800-$C800-$D800-$E800,0))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IF($A801="","",IFERROR($B801-$C801-$D801-$E801,0))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IF($A802="","",IFERROR($B802-$C802-$D802-$E802,0))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IF($A803="","",IFERROR($B803-$C803-$D803-$E803,0))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IF($A804="","",IFERROR($B804-$C804-$D804-$E804,0))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IF($A805="","",IFERROR($B805-$C805-$D805-$E805,0))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IF($A806="","",IFERROR($B806-$C806-$D806-$E806,0))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IF($A807="","",IFERROR($B807-$C807-$D807-$E807,0))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IF($A808="","",IFERROR($B808-$C808-$D808-$E808,0))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IF($A809="","",IFERROR($B809-$C809-$D809-$E809,0))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IF($A810="","",IFERROR($B810-$C810-$D810-$E810,0))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IF($A811="","",IFERROR($B811-$C811-$D811-$E811,0))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IF($A812="","",IFERROR($B812-$C812-$D812-$E812,0))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IF($A813="","",IFERROR($B813-$C813-$D813-$E813,0))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IF($A814="","",IFERROR($B814-$C814-$D814-$E814,0))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IF($A815="","",IFERROR($B815-$C815-$D815-$E815,0))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IF($A816="","",IFERROR($B816-$C816-$D816-$E816,0))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IF($A817="","",IFERROR($B817-$C817-$D817-$E817,0))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IF($A818="","",IFERROR($B818-$C818-$D818-$E818,0))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IF($A819="","",IFERROR($B819-$C819-$D819-$E819,0))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IF($A820="","",IFERROR($B820-$C820-$D820-$E820,0))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IF($A821="","",IFERROR($B821-$C821-$D821-$E821,0))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IF($A822="","",IFERROR($B822-$C822-$D822-$E822,0))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IF($A823="","",IFERROR($B823-$C823-$D823-$E823,0))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IF($A824="","",IFERROR($B824-$C824-$D824-$E824,0))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IF($A825="","",IFERROR($B825-$C825-$D825-$E825,0))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IF($A826="","",IFERROR($B826-$C826-$D826-$E826,0))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IF($A827="","",IFERROR($B827-$C827-$D827-$E827,0))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IF($A828="","",IFERROR($B828-$C828-$D828-$E828,0))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IF($A829="","",IFERROR($B829-$C829-$D829-$E829,0))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IF($A830="","",IFERROR($B830-$C830-$D830-$E830,0))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IF($A831="","",IFERROR($B831-$C831-$D831-$E831,0))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IF($A832="","",IFERROR($B832-$C832-$D832-$E832,0))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IF($A833="","",IFERROR($B833-$C833-$D833-$E833,0))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IF($A834="","",IFERROR($B834-$C834-$D834-$E834,0))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IF($A835="","",IFERROR($B835-$C835-$D835-$E835,0))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IF($A836="","",IFERROR($B836-$C836-$D836-$E836,0))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IF($A837="","",IFERROR($B837-$C837-$D837-$E837,0))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IF($A838="","",IFERROR($B838-$C838-$D838-$E838,0))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IF($A839="","",IFERROR($B839-$C839-$D839-$E839,0))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IF($A840="","",IFERROR($B840-$C840-$D840-$E840,0))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IF($A841="","",IFERROR($B841-$C841-$D841-$E841,0))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IF($A842="","",IFERROR($B842-$C842-$D842-$E842,0))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IF($A843="","",IFERROR($B843-$C843-$D843-$E843,0))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IF($A844="","",IFERROR($B844-$C844-$D844-$E844,0))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IF($A845="","",IFERROR($B845-$C845-$D845-$E845,0))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IF($A846="","",IFERROR($B846-$C846-$D846-$E846,0))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IF($A847="","",IFERROR($B847-$C847-$D847-$E847,0))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IF($A848="","",IFERROR($B848-$C848-$D848-$E848,0))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IF($A849="","",IFERROR($B849-$C849-$D849-$E849,0))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IF($A850="","",IFERROR($B850-$C850-$D850-$E850,0))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IF($A851="","",IFERROR($B851-$C851-$D851-$E851,0))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IF($A852="","",IFERROR($B852-$C852-$D852-$E852,0))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IF($A853="","",IFERROR($B853-$C853-$D853-$E853,0))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IF($A854="","",IFERROR($B854-$C854-$D854-$E854,0))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IF($A855="","",IFERROR($B855-$C855-$D855-$E855,0))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IF($A856="","",IFERROR($B856-$C856-$D856-$E856,0))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IF($A857="","",IFERROR($B857-$C857-$D857-$E857,0))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IF($A858="","",IFERROR($B858-$C858-$D858-$E858,0))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IF($A859="","",IFERROR($B859-$C859-$D859-$E859,0))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IF($A860="","",IFERROR($B860-$C860-$D860-$E860,0))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IF($A861="","",IFERROR($B861-$C861-$D861-$E861,0))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IF($A862="","",IFERROR($B862-$C862-$D862-$E862,0))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IF($A863="","",IFERROR($B863-$C863-$D863-$E863,0))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IF($A864="","",IFERROR($B864-$C864-$D864-$E864,0))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IF($A865="","",IFERROR($B865-$C865-$D865-$E865,0))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IF($A866="","",IFERROR($B866-$C866-$D866-$E866,0))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IF($A867="","",IFERROR($B867-$C867-$D867-$E867,0))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IF($A868="","",IFERROR($B868-$C868-$D868-$E868,0))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IF($A869="","",IFERROR($B869-$C869-$D869-$E869,0))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IF($A870="","",IFERROR($B870-$C870-$D870-$E870,0))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IF($A871="","",IFERROR($B871-$C871-$D871-$E871,0))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IF($A872="","",IFERROR($B872-$C872-$D872-$E872,0))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IF($A873="","",IFERROR($B873-$C873-$D873-$E873,0))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IF($A874="","",IFERROR($B874-$C874-$D874-$E874,0))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IF($A875="","",IFERROR($B875-$C875-$D875-$E875,0))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IF($A876="","",IFERROR($B876-$C876-$D876-$E876,0))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IF($A877="","",IFERROR($B877-$C877-$D877-$E877,0))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IF($A878="","",IFERROR($B878-$C878-$D878-$E878,0))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IF($A879="","",IFERROR($B879-$C879-$D879-$E879,0))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IF($A880="","",IFERROR($B880-$C880-$D880-$E880,0))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IF($A881="","",IFERROR($B881-$C881-$D881-$E881,0))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IF($A882="","",IFERROR($B882-$C882-$D882-$E882,0))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IF($A883="","",IFERROR($B883-$C883-$D883-$E883,0))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IF($A884="","",IFERROR($B884-$C884-$D884-$E884,0))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IF($A885="","",IFERROR($B885-$C885-$D885-$E885,0))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IF($A886="","",IFERROR($B886-$C886-$D886-$E886,0))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IF($A887="","",IFERROR($B887-$C887-$D887-$E887,0))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IF($A888="","",IFERROR($B888-$C888-$D888-$E888,0))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IF($A889="","",IFERROR($B889-$C889-$D889-$E889,0))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IF($A890="","",IFERROR($B890-$C890-$D890-$E890,0))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IF($A891="","",IFERROR($B891-$C891-$D891-$E891,0))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IF($A892="","",IFERROR($B892-$C892-$D892-$E892,0))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IF($A893="","",IFERROR($B893-$C893-$D893-$E893,0))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IF($A894="","",IFERROR($B894-$C894-$D894-$E894,0))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IF($A895="","",IFERROR($B895-$C895-$D895-$E895,0))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IF($A896="","",IFERROR($B896-$C896-$D896-$E896,0))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IF($A897="","",IFERROR($B897-$C897-$D897-$E897,0))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IF($A898="","",IFERROR($B898-$C898-$D898-$E898,0))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IF($A899="","",IFERROR($B899-$C899-$D899-$E899,0))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IF($A900="","",IFERROR($B900-$C900-$D900-$E900,0))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IF($A901="","",IFERROR($B901-$C901-$D901-$E901,0))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IF($A902="","",IFERROR($B902-$C902-$D902-$E902,0))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IF($A903="","",IFERROR($B903-$C903-$D903-$E903,0))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IF($A904="","",IFERROR($B904-$C904-$D904-$E904,0))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IF($A905="","",IFERROR($B905-$C905-$D905-$E905,0))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IF($A906="","",IFERROR($B906-$C906-$D906-$E906,0))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IF($A907="","",IFERROR($B907-$C907-$D907-$E907,0))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IF($A908="","",IFERROR($B908-$C908-$D908-$E908,0))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IF($A909="","",IFERROR($B909-$C909-$D909-$E909,0))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IF($A910="","",IFERROR($B910-$C910-$D910-$E910,0))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IF($A911="","",IFERROR($B911-$C911-$D911-$E911,0))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IF($A912="","",IFERROR($B912-$C912-$D912-$E912,0))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IF($A913="","",IFERROR($B913-$C913-$D913-$E913,0))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IF($A914="","",IFERROR($B914-$C914-$D914-$E914,0))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IF($A915="","",IFERROR($B915-$C915-$D915-$E915,0))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IF($A916="","",IFERROR($B916-$C916-$D916-$E916,0))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IF($A917="","",IFERROR($B917-$C917-$D917-$E917,0))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IF($A918="","",IFERROR($B918-$C918-$D918-$E918,0))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IF($A919="","",IFERROR($B919-$C919-$D919-$E919,0))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IF($A920="","",IFERROR($B920-$C920-$D920-$E920,0))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IF($A921="","",IFERROR($B921-$C921-$D921-$E921,0))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IF($A922="","",IFERROR($B922-$C922-$D922-$E922,0))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IF($A923="","",IFERROR($B923-$C923-$D923-$E923,0))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IF($A924="","",IFERROR($B924-$C924-$D924-$E924,0))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IF($A925="","",IFERROR($B925-$C925-$D925-$E925,0))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IF($A926="","",IFERROR($B926-$C926-$D926-$E926,0))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IF($A927="","",IFERROR($B927-$C927-$D927-$E927,0))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IF($A928="","",IFERROR($B928-$C928-$D928-$E928,0))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IF($A929="","",IFERROR($B929-$C929-$D929-$E929,0))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IF($A930="","",IFERROR($B930-$C930-$D930-$E930,0))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IF($A931="","",IFERROR($B931-$C931-$D931-$E931,0))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IF($A932="","",IFERROR($B932-$C932-$D932-$E932,0))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IF($A933="","",IFERROR($B933-$C933-$D933-$E933,0))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IF($A934="","",IFERROR($B934-$C934-$D934-$E934,0))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IF($A935="","",IFERROR($B935-$C935-$D935-$E935,0))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IF($A936="","",IFERROR($B936-$C936-$D936-$E936,0))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IF($A937="","",IFERROR($B937-$C937-$D937-$E937,0))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IF($A938="","",IFERROR($B938-$C938-$D938-$E938,0))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IF($A939="","",IFERROR($B939-$C939-$D939-$E939,0))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IF($A940="","",IFERROR($B940-$C940-$D940-$E940,0))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IF($A941="","",IFERROR($B941-$C941-$D941-$E941,0))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IF($A942="","",IFERROR($B942-$C942-$D942-$E942,0))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IF($A943="","",IFERROR($B943-$C943-$D943-$E943,0))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IF($A944="","",IFERROR($B944-$C944-$D944-$E944,0))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IF($A945="","",IFERROR($B945-$C945-$D945-$E945,0))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IF($A946="","",IFERROR($B946-$C946-$D946-$E946,0))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IF($A947="","",IFERROR($B947-$C947-$D947-$E947,0))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IF($A948="","",IFERROR($B948-$C948-$D948-$E948,0))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IF($A949="","",IFERROR($B949-$C949-$D949-$E949,0))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IF($A950="","",IFERROR($B950-$C950-$D950-$E950,0))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IF($A951="","",IFERROR($B951-$C951-$D951-$E951,0))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IF($A952="","",IFERROR($B952-$C952-$D952-$E952,0))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IF($A953="","",IFERROR($B953-$C953-$D953-$E953,0))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IF($A954="","",IFERROR($B954-$C954-$D954-$E954,0))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IF($A955="","",IFERROR($B955-$C955-$D955-$E955,0))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IF($A956="","",IFERROR($B956-$C956-$D956-$E956,0))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IF($A957="","",IFERROR($B957-$C957-$D957-$E957,0))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IF($A958="","",IFERROR($B958-$C958-$D958-$E958,0))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IF($A959="","",IFERROR($B959-$C959-$D959-$E959,0))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IF($A960="","",IFERROR($B960-$C960-$D960-$E960,0))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IF($A961="","",IFERROR($B961-$C961-$D961-$E961,0))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IF($A962="","",IFERROR($B962-$C962-$D962-$E962,0))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IF($A963="","",IFERROR($B963-$C963-$D963-$E963,0))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IF($A964="","",IFERROR($B964-$C964-$D964-$E964,0))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IF($A965="","",IFERROR($B965-$C965-$D965-$E965,0))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IF($A966="","",IFERROR($B966-$C966-$D966-$E966,0))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IF($A967="","",IFERROR($B967-$C967-$D967-$E967,0))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IF($A968="","",IFERROR($B968-$C968-$D968-$E968,0))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IF($A969="","",IFERROR($B969-$C969-$D969-$E969,0))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IF($A970="","",IFERROR($B970-$C970-$D970-$E970,0))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IF($A971="","",IFERROR($B971-$C971-$D971-$E971,0))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IF($A972="","",IFERROR($B972-$C972-$D972-$E972,0))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IF($A973="","",IFERROR($B973-$C973-$D973-$E973,0))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IF($A974="","",IFERROR($B974-$C974-$D974-$E974,0))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IF($A975="","",IFERROR($B975-$C975-$D975-$E975,0))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IF($A976="","",IFERROR($B976-$C976-$D976-$E976,0))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IF($A977="","",IFERROR($B977-$C977-$D977-$E977,0))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IF($A978="","",IFERROR($B978-$C978-$D978-$E978,0))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IF($A979="","",IFERROR($B979-$C979-$D979-$E979,0))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IF($A980="","",IFERROR($B980-$C980-$D980-$E980,0))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IF($A981="","",IFERROR($B981-$C981-$D981-$E981,0))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IF($A982="","",IFERROR($B982-$C982-$D982-$E982,0))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IF($A983="","",IFERROR($B983-$C983-$D983-$E983,0))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IF($A984="","",IFERROR($B984-$C984-$D984-$E984,0))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IF($A985="","",IFERROR($B985-$C985-$D985-$E985,0))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IF($A986="","",IFERROR($B986-$C986-$D986-$E986,0))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IF($A987="","",IFERROR($B987-$C987-$D987-$E987,0))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IF($A988="","",IFERROR($B988-$C988-$D988-$E988,0))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IF($A989="","",IFERROR($B989-$C989-$D989-$E989,0))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IF($A990="","",IFERROR($B990-$C990-$D990-$E990,0))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IF($A991="","",IFERROR($B991-$C991-$D991-$E991,0))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IF($A992="","",IFERROR($B992-$C992-$D992-$E992,0))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IF($A993="","",IFERROR($B993-$C993-$D993-$E993,0))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IF($A994="","",IFERROR($B994-$C994-$D994-$E994,0))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IF($A995="","",IFERROR($B995-$C995-$D995-$E995,0))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IF($A996="","",IFERROR($B996-$C996-$D996-$E996,0))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IF($A997="","",IFERROR($B997-$C997-$D997-$E997,0))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IF($A998="","",IFERROR($B998-$C998-$D998-$E998,0))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IF($A999="","",IFERROR($B999-$C999-$D999-$E999,0))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IF($A1000="","",IFERROR($B1000-$C1000-$D1000-$E1000,0))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IF($A1001="","",IFERROR($B1001-$C1001-$D1001-$E1001,0))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IF($A1002="","",IFERROR($B1002-$C1002-$D1002-$E1002,0))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IF($A1003="","",IFERROR($B1003-$C1003-$D1003-$E1003,0))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IF($A1004="","",IFERROR($B1004-$C1004-$D1004-$E1004,0))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F6:F20">
    <cfRule type="cellIs" priority="5" operator="lessThan" dxfId="5">
      <formula>0</formula>
    </cfRule>
  </conditionalFormatting>
  <conditionalFormatting sqref="G6:G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  <cfRule type="cellIs" priority="8" operator="greaterThan" dxfId="4">
      <formula>0</formula>
    </cfRule>
  </conditionalFormatting>
  <dataValidations count="6">
    <dataValidation sqref="B6:B1004" showDropDown="0" showInputMessage="1" showErrorMessage="1" allowBlank="1" errorTitle="Geçersiz" error="Sınır dışı değer." promptTitle="Hasılat" prompt="Hasılat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Maliyet" prompt="Maliye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Y Payı" prompt="GY Payı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FG Payı" prompt="FG Payı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Sınır dışı değer." promptTitle="Diğer" prompt="Diğer değerini girin." type="decimal" errorStyle="stop" operator="between">
      <formula1>-1000000000000</formula1>
      <formula2>1000000000000</formula2>
    </dataValidation>
    <dataValidation sqref="G6:G1004" showDropDown="0" showInputMessage="1" showErrorMessage="1" allowBlank="1" errorTitle="Geçersiz" error="Sınır dışı değer." promptTitle="İstisna" prompt="İstisna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Üretim Kârı %12,5 KV Optimizasyonu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Üretim Kârı %12,5 KV Optimizasyonu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ukv_tolerans</t>
        </is>
      </c>
      <c r="B8" s="65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ukv_kacirilanEsik</t>
        </is>
      </c>
      <c r="B9" s="65" t="n">
        <v>50000</v>
      </c>
      <c r="C9" s="7" t="inlineStr">
        <is>
          <t>TL</t>
        </is>
      </c>
      <c r="D9" s="7" t="inlineStr">
        <is>
          <t>PANO tasarruf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ukv_senaryoIyi</t>
        </is>
      </c>
      <c r="B10" s="44" t="n">
        <v>1.1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ukv_senaryoKotu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ukv_oranArtisPuan</t>
        </is>
      </c>
      <c r="B12" s="44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ukv_tahminAlt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ukv_tahminUst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ukv_tornadoHasilat</t>
        </is>
      </c>
      <c r="B15" s="44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ukv_tornadoMaliyet</t>
        </is>
      </c>
      <c r="B16" s="44" t="n">
        <v>1.05</v>
      </c>
      <c r="C16" s="7" t="inlineStr">
        <is>
          <t>çarpan</t>
        </is>
      </c>
      <c r="D16" s="7" t="inlineStr">
        <is>
          <t>Tornado maliyet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ukv_payArtisOran</t>
        </is>
      </c>
      <c r="B17" s="44" t="n">
        <v>0.1</v>
      </c>
      <c r="C17" s="7" t="inlineStr">
        <is>
          <t>oran</t>
        </is>
      </c>
      <c r="D17" s="7" t="inlineStr">
        <is>
          <t>Yorum B pay +%10</t>
        </is>
      </c>
      <c r="E17" s="7" t="inlineStr">
        <is>
          <t>Pay dağıtım modeli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ukv_yuzdelikOran</t>
        </is>
      </c>
      <c r="B18" s="44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ukv_parmakIzi</t>
        </is>
      </c>
      <c r="B19" s="66" t="inlineStr">
        <is>
          <t>e4c3ab8520ec79b5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6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ukv_girisBeklenen</t>
        </is>
      </c>
      <c r="B21" s="45" t="n">
        <v>10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ukv_riskDusuk</t>
        </is>
      </c>
      <c r="B22" s="45" t="n">
        <v>15</v>
      </c>
      <c r="C22" s="7" t="inlineStr">
        <is>
          <t>puan</t>
        </is>
      </c>
      <c r="D22" s="7" t="inlineStr">
        <is>
          <t>UYGULA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ukv_riskOrta</t>
        </is>
      </c>
      <c r="B23" s="45" t="n">
        <v>55</v>
      </c>
      <c r="C23" s="7" t="inlineStr">
        <is>
          <t>puan</t>
        </is>
      </c>
      <c r="D23" s="7" t="inlineStr">
        <is>
          <t>İNCELE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ukv_riskYuksek</t>
        </is>
      </c>
      <c r="B24" s="45" t="n">
        <v>85</v>
      </c>
      <c r="C24" s="7" t="inlineStr">
        <is>
          <t>puan</t>
        </is>
      </c>
      <c r="D24" s="7" t="inlineStr">
        <is>
          <t>UYGULAMA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ukv_riskEsikOran</t>
        </is>
      </c>
      <c r="B25" s="44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ukv_yilTaban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ukv_yuvarMax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ukv_dayanakCarpan</t>
        </is>
      </c>
      <c r="B28" s="45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ukv_bazCarpan</t>
        </is>
      </c>
      <c r="B29" s="44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ukv_sifirCarpan</t>
        </is>
      </c>
      <c r="B30" s="44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>
      <c r="A31" s="7" t="inlineStr">
        <is>
          <t>ukv_siraBir</t>
        </is>
      </c>
      <c r="B31" s="45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3">
        <f>IF(A31="","",IF(B31="","EKSİK","TAM"))</f>
        <v/>
      </c>
    </row>
    <row r="32">
      <c r="A32" s="7" t="inlineStr">
        <is>
          <t>ukv_siraIki</t>
        </is>
      </c>
      <c r="B32" s="45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3">
        <f>IF(A32="","",IF(B32="","EKSİK","TAM"))</f>
        <v/>
      </c>
    </row>
    <row r="33">
      <c r="A33" s="7" t="inlineStr">
        <is>
          <t>ukv_siraUc</t>
        </is>
      </c>
      <c r="B33" s="45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3">
        <f>IF(A33="","",IF(B33="","EKSİK","TAM"))</f>
        <v/>
      </c>
    </row>
    <row r="34">
      <c r="A34" s="7" t="inlineStr">
        <is>
          <t>ukv_tahminX</t>
        </is>
      </c>
      <c r="B34" s="45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3">
        <f>IF(A34="","",IF(B34="","EKSİK","TAM"))</f>
        <v/>
      </c>
    </row>
    <row r="35">
      <c r="A35" s="7" t="inlineStr">
        <is>
          <t>vaka_matrah_1</t>
        </is>
      </c>
      <c r="B35" s="65" t="n">
        <v>1000000</v>
      </c>
      <c r="C35" s="7" t="inlineStr">
        <is>
          <t>TL</t>
        </is>
      </c>
      <c r="D35" s="7" t="inlineStr">
        <is>
          <t>Vaka1/2/3 matrah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3">
        <f>IF(A35="","",IF(B35="","EKSİK","TAM"))</f>
        <v/>
      </c>
    </row>
    <row r="36">
      <c r="A36" s="7" t="inlineStr">
        <is>
          <t>vaka_matrah_2</t>
        </is>
      </c>
      <c r="B36" s="65" t="n">
        <v>200000</v>
      </c>
      <c r="C36" s="7" t="inlineStr">
        <is>
          <t>TL</t>
        </is>
      </c>
      <c r="D36" s="7" t="inlineStr">
        <is>
          <t>Vaka4 matrah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3">
        <f>IF(A36="","",IF(B36="","EKSİK","TAM"))</f>
        <v/>
      </c>
    </row>
    <row r="37">
      <c r="A37" s="7" t="inlineStr">
        <is>
          <t>vaka_tavan</t>
        </is>
      </c>
      <c r="B37" s="65" t="n">
        <v>150000</v>
      </c>
      <c r="C37" s="7" t="inlineStr">
        <is>
          <t>TL</t>
        </is>
      </c>
      <c r="D37" s="7" t="inlineStr">
        <is>
          <t>Yedek vaka tavanı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3">
        <f>IF(A37="","",IF(B37="","EKSİK","TAM"))</f>
        <v/>
      </c>
    </row>
    <row r="38">
      <c r="A38" s="7" t="inlineStr">
        <is>
          <t>vaka_endeks_orani</t>
        </is>
      </c>
      <c r="B38" s="44" t="n">
        <v>1.1</v>
      </c>
      <c r="C38" s="7" t="inlineStr">
        <is>
          <t>çarpan</t>
        </is>
      </c>
      <c r="D38" s="7" t="inlineStr">
        <is>
          <t>Yedek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3">
        <f>IF(A38="","",IF(B38="","EKSİK","TAM"))</f>
        <v/>
      </c>
    </row>
    <row r="40">
      <c r="B40" s="67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Üretim Kârı %12,5 KV Optimizasyonu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UYGULA — tasarruf uygula eşiğinin üzerinde; indirimli oranı uygulayın.</t>
        </is>
      </c>
    </row>
    <row r="7">
      <c r="A7" s="6" t="inlineStr">
        <is>
          <t>• İNCELE — tasarruf incele bandında; pay ve istisna dayanağını gözden geçirin.</t>
        </is>
      </c>
    </row>
    <row r="8">
      <c r="A8" s="6" t="inlineStr">
        <is>
          <t>• UYGULAMA — tasarruf eşik altında veya matrah yok; öncelik düşük.</t>
        </is>
      </c>
    </row>
    <row r="10">
      <c r="A10" s="68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pay_dagitim_yorumu</t>
        </is>
      </c>
    </row>
    <row r="13">
      <c r="A13" s="10" t="inlineStr">
        <is>
          <t>Yorum A</t>
        </is>
      </c>
      <c r="B13" s="6" t="inlineStr">
        <is>
          <t>Genel yönetim ve finansman payları girdideki tutarlarla aynen üretim kârından düşülür. Matrah = MAX(0, üretim kârı + diğer faaliyet − istisna).</t>
        </is>
      </c>
    </row>
    <row r="14">
      <c r="A14" s="10" t="inlineStr">
        <is>
          <t>Yorum B</t>
        </is>
      </c>
      <c r="B14" s="6" t="inlineStr">
        <is>
          <t>Yorum B, payları +%10 sıkılaştırır (daha yüksek maliyet payı → daha düşük matrah).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2026-08-11T10:10:02Z</dcterms:created>
  <dcterms:modified xmlns:dcterms="http://purl.org/dc/terms/" xmlns:xsi="http://www.w3.org/2001/XMLSchema-instance" xsi:type="dcterms:W3CDTF">2026-09-25T14:23:23Z</dcterms:modified>
</cp:coreProperties>
</file>