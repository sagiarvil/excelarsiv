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ukv_matrah">MOTOR!$G$29</definedName>
    <definedName name="ukv_tasarruf">MOTOR!$G$28</definedName>
    <definedName name="ukv_indirimliKv">MOTOR!$G$30</definedName>
    <definedName name="ukv_kacirilan">MOTOR!$G$28</definedName>
    <definedName name="ukv_kararMetni">MOTOR!$G$34</definedName>
    <definedName name="ukv_kararGerekce">MOTOR!$G$35</definedName>
    <definedName name="ukv_maddeAtifMetni">MOTOR!$G$52</definedName>
    <definedName name="ukv_kanitRaporu">MOTOR!$G$53</definedName>
    <definedName name="ukv_kuralYilMatris">KURALLAR!$B$17</definedName>
    <definedName name="ukv_parmakIzi">AYARLAR!$B$19</definedName>
    <definedName name="ukv_senaryoKarsilastirma">SENARYO!$B$11</definedName>
    <definedName name="ukv_yorumSenaryo">SENARYO!$B$12</definedName>
    <definedName name="ukv_duyarlilikSira">SENARYO!$B$19</definedName>
    <definedName name="ukv_yorumDuyarlilik">SENARYO!$B$20</definedName>
    <definedName name="ukv_kuralDegisimSenaryo">SENARYO!$B$22</definedName>
    <definedName name="ukv_yorumKuralDegisim">SENARYO!$B$23</definedName>
    <definedName name="ukv_tahminAralik">SENARYO!$B$32</definedName>
    <definedName name="ukv_yorumTahmin">SENARYO!$B$33</definedName>
    <definedName name="ukv_vakaDurum">VAKALAR!$B$12</definedName>
    <definedName name="ukv_vakaFark">VAKALAR!$B$13</definedName>
    <definedName name="ukv_tolerans">AYARLAR!$B$8</definedName>
    <definedName name="ukv_kacirilanEsik">AYARLAR!$B$9</definedName>
    <definedName name="ukv_senaryoIyi">AYARLAR!$B$10</definedName>
    <definedName name="ukv_senaryoKotu">AYARLAR!$B$11</definedName>
    <definedName name="ukv_oranArtisPuan">AYARLAR!$B$12</definedName>
    <definedName name="ukv_tahminAlt">AYARLAR!$B$13</definedName>
    <definedName name="ukv_tahminUst">AYARLAR!$B$14</definedName>
    <definedName name="ukv_tornadoHasilat">AYARLAR!$B$15</definedName>
    <definedName name="ukv_tornadoMaliyet">AYARLAR!$B$16</definedName>
    <definedName name="ukv_payArtisOran">AYARLAR!$B$17</definedName>
    <definedName name="ukv_yuzdelikOran">AYARLAR!$B$18</definedName>
    <definedName name="ukv_girisBeklenen">AYARLAR!$B$21</definedName>
    <definedName name="ukv_riskDusuk">AYARLAR!$B$22</definedName>
    <definedName name="ukv_riskOrta">AYARLAR!$B$23</definedName>
    <definedName name="ukv_riskYuksek">AYARLAR!$B$24</definedName>
    <definedName name="ukv_riskEsikOran">AYARLAR!$B$25</definedName>
    <definedName name="ukv_yilTaban">AYARLAR!$B$26</definedName>
    <definedName name="ukv_yuvarMax">AYARLAR!$B$27</definedName>
    <definedName name="ukv_dayanakCarpan">AYARLAR!$B$28</definedName>
    <definedName name="ukv_bazCarpan">AYARLAR!$B$29</definedName>
    <definedName name="ukv_sifirCarpan">AYARLAR!$B$30</definedName>
    <definedName name="ukv_siraBir">AYARLAR!$B$31</definedName>
    <definedName name="ukv_siraIki">AYARLAR!$B$32</definedName>
    <definedName name="ukv_siraUc">AYARLAR!$B$33</definedName>
    <definedName name="ukv_tahminX">AYARLAR!$B$34</definedName>
    <definedName name="vaka_matrah_1">AYARLAR!$B$35</definedName>
    <definedName name="vaka_matrah_2">AYARLAR!$B$36</definedName>
    <definedName name="vaka_tavan">AYARLAR!$B$37</definedName>
    <definedName name="vaka_endeks_orani">AYARLAR!$B$38</definedName>
    <definedName name="ukv_modulT1">PANO!$C$11</definedName>
    <definedName name="ukv_modulT1Yorum">PANO!$D$11</definedName>
    <definedName name="ukv_modulT2">PANO!$C$12</definedName>
    <definedName name="ukv_modulT2Yorum">PANO!$D$12</definedName>
    <definedName name="ukv_modulO1">PANO!$C$13</definedName>
    <definedName name="ukv_modulO1Yorum">PANO!$D$13</definedName>
    <definedName name="ukv_modulO6">PANO!$C$16</definedName>
    <definedName name="ukv_modulO6Yorum">PANO!$D$16</definedName>
    <definedName name="ukv_modulO8">PANO!$C$17</definedName>
    <definedName name="ukv_modulO8Yorum">PANO!$D$17</definedName>
    <definedName name="ukv_modulI2">PANO!$C$20</definedName>
    <definedName name="ukv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6">'KANIT_RAPORU'!$A$1:$F$34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5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169" fontId="26" fillId="0" borderId="3" pivotButton="0" quotePrefix="0" xfId="0"/>
    <xf numFmtId="169" fontId="46" fillId="0" borderId="4" pivotButton="0" quotePrefix="0" xfId="0"/>
    <xf numFmtId="169" fontId="49" fillId="0" borderId="2" pivotButton="0" quotePrefix="0" xfId="0"/>
    <xf numFmtId="169" fontId="50" fillId="0" borderId="2" pivotButton="0" quotePrefix="0" xfId="0"/>
    <xf numFmtId="169" fontId="53" fillId="7" borderId="0" pivotButton="0" quotePrefix="0" xfId="0"/>
    <xf numFmtId="169" fontId="54" fillId="7" borderId="0" pivotButton="0" quotePrefix="0" xfId="0"/>
    <xf numFmtId="169" fontId="72" fillId="9" borderId="2" applyAlignment="1" pivotButton="0" quotePrefix="0" xfId="0">
      <alignment horizontal="right"/>
    </xf>
    <xf numFmtId="169" fontId="42" fillId="0" borderId="2" applyAlignment="1" pivotButton="0" quotePrefix="0" xfId="0">
      <alignment horizontal="right"/>
    </xf>
    <xf numFmtId="169" fontId="69" fillId="0" borderId="2" applyAlignment="1" pivotButton="0" quotePrefix="0" xfId="0">
      <alignment horizontal="right"/>
    </xf>
    <xf numFmtId="170" fontId="69" fillId="0" borderId="2" applyAlignment="1" pivotButton="0" quotePrefix="0" xfId="0">
      <alignment horizontal="right"/>
    </xf>
    <xf numFmtId="0" fontId="87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8" fillId="2" borderId="0" applyAlignment="1" pivotButton="0" quotePrefix="0" xfId="0">
      <alignment horizontal="left" vertical="center"/>
    </xf>
    <xf numFmtId="0" fontId="88" fillId="0" borderId="0" applyAlignment="1" pivotButton="0" quotePrefix="0" xfId="0">
      <alignment horizontal="left" vertical="center"/>
    </xf>
    <xf numFmtId="0" fontId="42" fillId="18" borderId="2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89" fillId="18" borderId="2" applyAlignment="1" pivotButton="0" quotePrefix="0" xfId="0">
      <alignment horizontal="center" vertical="center"/>
    </xf>
    <xf numFmtId="0" fontId="60" fillId="1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90" fillId="18" borderId="35" applyAlignment="1" pivotButton="0" quotePrefix="0" xfId="0">
      <alignment vertical="center" indent="1"/>
    </xf>
    <xf numFmtId="0" fontId="0" fillId="18" borderId="36" pivotButton="0" quotePrefix="0" xfId="0"/>
    <xf numFmtId="0" fontId="91" fillId="11" borderId="2" applyAlignment="1" pivotButton="0" quotePrefix="0" xfId="0">
      <alignment horizontal="center" vertical="center"/>
    </xf>
    <xf numFmtId="0" fontId="90" fillId="18" borderId="44" applyAlignment="1" pivotButton="0" quotePrefix="0" xfId="0">
      <alignment vertical="center" indent="1"/>
    </xf>
    <xf numFmtId="0" fontId="93" fillId="12" borderId="2" applyAlignment="1" pivotButton="0" quotePrefix="0" xfId="0">
      <alignment horizontal="center" vertical="center"/>
    </xf>
    <xf numFmtId="0" fontId="90" fillId="18" borderId="47" applyAlignment="1" pivotButton="0" quotePrefix="0" xfId="0">
      <alignment vertical="center" indent="1"/>
    </xf>
    <xf numFmtId="0" fontId="95" fillId="35" borderId="2" applyAlignment="1" pivotButton="0" quotePrefix="0" xfId="0">
      <alignment horizontal="center" vertical="center"/>
    </xf>
    <xf numFmtId="0" fontId="90" fillId="18" borderId="50" applyAlignment="1" pivotButton="0" quotePrefix="0" xfId="0">
      <alignment vertical="center" indent="1"/>
    </xf>
    <xf numFmtId="0" fontId="96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2" fillId="18" borderId="38" applyAlignment="1" pivotButton="0" quotePrefix="0" xfId="0">
      <alignment vertical="center" indent="1"/>
    </xf>
    <xf numFmtId="169" fontId="94" fillId="18" borderId="45" applyAlignment="1" pivotButton="0" quotePrefix="0" xfId="0">
      <alignment vertical="center" indent="1"/>
    </xf>
    <xf numFmtId="169" fontId="92" fillId="18" borderId="48" applyAlignment="1" pivotButton="0" quotePrefix="0" xfId="0">
      <alignment vertical="center" indent="1"/>
    </xf>
    <xf numFmtId="0" fontId="92" fillId="18" borderId="51" applyAlignment="1" pivotButton="0" quotePrefix="0" xfId="0">
      <alignment vertical="center" indent="1"/>
    </xf>
    <xf numFmtId="0" fontId="39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9" fillId="18" borderId="46" applyAlignment="1" pivotButton="0" quotePrefix="0" xfId="0">
      <alignment vertical="center" indent="1"/>
    </xf>
    <xf numFmtId="0" fontId="39" fillId="18" borderId="49" applyAlignment="1" pivotButton="0" quotePrefix="0" xfId="0">
      <alignment vertical="center" indent="1"/>
    </xf>
    <xf numFmtId="0" fontId="39" fillId="18" borderId="52" applyAlignment="1" pivotButton="0" quotePrefix="0" xfId="0">
      <alignment vertical="center" indent="1"/>
    </xf>
    <xf numFmtId="0" fontId="97" fillId="0" borderId="0" pivotButton="0" quotePrefix="0" xfId="0"/>
    <xf numFmtId="0" fontId="98" fillId="35" borderId="2" applyAlignment="1" pivotButton="0" quotePrefix="0" xfId="0">
      <alignment horizontal="center" vertical="center"/>
    </xf>
    <xf numFmtId="0" fontId="99" fillId="19" borderId="2" applyAlignment="1" pivotButton="0" quotePrefix="0" xfId="0">
      <alignment horizontal="center" vertical="center"/>
    </xf>
    <xf numFmtId="0" fontId="60" fillId="7" borderId="53" applyAlignment="1" pivotButton="0" quotePrefix="0" xfId="0">
      <alignment horizontal="left" vertical="center" indent="1"/>
    </xf>
    <xf numFmtId="0" fontId="60" fillId="7" borderId="53" applyAlignment="1" pivotButton="0" quotePrefix="0" xfId="0">
      <alignment horizontal="center" vertical="center"/>
    </xf>
    <xf numFmtId="0" fontId="100" fillId="18" borderId="2" applyAlignment="1" pivotButton="0" quotePrefix="0" xfId="0">
      <alignment horizontal="center" vertical="center"/>
    </xf>
    <xf numFmtId="0" fontId="42" fillId="18" borderId="2" applyAlignment="1" pivotButton="0" quotePrefix="0" xfId="0">
      <alignment vertical="center" indent="1"/>
    </xf>
    <xf numFmtId="169" fontId="42" fillId="18" borderId="2" applyAlignment="1" pivotButton="0" quotePrefix="0" xfId="0">
      <alignment horizontal="right" vertical="center"/>
    </xf>
    <xf numFmtId="169" fontId="67" fillId="18" borderId="2" applyAlignment="1" pivotButton="0" quotePrefix="0" xfId="0">
      <alignment horizontal="right" vertical="center"/>
    </xf>
    <xf numFmtId="0" fontId="101" fillId="18" borderId="2" applyAlignment="1" pivotButton="0" quotePrefix="0" xfId="0">
      <alignment horizontal="center" vertical="center"/>
    </xf>
    <xf numFmtId="0" fontId="102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100" fillId="19" borderId="2" applyAlignment="1" pivotButton="0" quotePrefix="0" xfId="0">
      <alignment horizontal="center" vertical="center"/>
    </xf>
    <xf numFmtId="0" fontId="42" fillId="19" borderId="2" applyAlignment="1" pivotButton="0" quotePrefix="0" xfId="0">
      <alignment vertical="center" indent="1"/>
    </xf>
    <xf numFmtId="169" fontId="42" fillId="19" borderId="2" applyAlignment="1" pivotButton="0" quotePrefix="0" xfId="0">
      <alignment horizontal="right" vertical="center"/>
    </xf>
    <xf numFmtId="169" fontId="67" fillId="19" borderId="2" applyAlignment="1" pivotButton="0" quotePrefix="0" xfId="0">
      <alignment horizontal="right" vertical="center"/>
    </xf>
    <xf numFmtId="0" fontId="101" fillId="19" borderId="2" applyAlignment="1" pivotButton="0" quotePrefix="0" xfId="0">
      <alignment horizontal="center" vertical="center"/>
    </xf>
    <xf numFmtId="0" fontId="103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4" fillId="16" borderId="2" applyAlignment="1" pivotButton="0" quotePrefix="0" xfId="0">
      <alignment horizontal="center" vertical="center"/>
    </xf>
    <xf numFmtId="0" fontId="105" fillId="37" borderId="2" applyAlignment="1" pivotButton="0" quotePrefix="0" xfId="0">
      <alignment horizontal="center" vertical="center"/>
    </xf>
    <xf numFmtId="0" fontId="12" fillId="7" borderId="54" applyAlignment="1" pivotButton="0" quotePrefix="0" xfId="0">
      <alignment vertical="center" indent="1"/>
    </xf>
    <xf numFmtId="169" fontId="106" fillId="7" borderId="54" applyAlignment="1" pivotButton="0" quotePrefix="0" xfId="0">
      <alignment horizontal="right" vertical="center"/>
    </xf>
    <xf numFmtId="169" fontId="107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8" fillId="7" borderId="54" applyAlignment="1" pivotButton="0" quotePrefix="0" xfId="0">
      <alignment horizontal="center" vertical="center"/>
    </xf>
    <xf numFmtId="0" fontId="109" fillId="18" borderId="55" applyAlignment="1" pivotButton="0" quotePrefix="0" xfId="0">
      <alignment vertical="center" indent="1"/>
    </xf>
    <xf numFmtId="0" fontId="0" fillId="18" borderId="37" pivotButton="0" quotePrefix="0" xfId="0"/>
    <xf numFmtId="0" fontId="115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10" fillId="18" borderId="56" applyAlignment="1" pivotButton="0" quotePrefix="0" xfId="0">
      <alignment vertical="center" indent="1"/>
    </xf>
    <xf numFmtId="0" fontId="101" fillId="18" borderId="56" pivotButton="0" quotePrefix="0" xfId="0"/>
    <xf numFmtId="0" fontId="110" fillId="18" borderId="40" pivotButton="0" quotePrefix="0" xfId="0"/>
    <xf numFmtId="0" fontId="16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11" fillId="18" borderId="56" applyAlignment="1" pivotButton="0" quotePrefix="0" xfId="0">
      <alignment vertical="center" indent="1"/>
    </xf>
    <xf numFmtId="0" fontId="58" fillId="17" borderId="61" applyAlignment="1" pivotButton="0" quotePrefix="0" xfId="0">
      <alignment vertical="center" indent="1"/>
    </xf>
    <xf numFmtId="0" fontId="112" fillId="18" borderId="56" applyAlignment="1" pivotButton="0" quotePrefix="0" xfId="0">
      <alignment vertical="center" indent="1"/>
    </xf>
    <xf numFmtId="0" fontId="0" fillId="35" borderId="2" pivotButton="0" quotePrefix="0" xfId="0"/>
    <xf numFmtId="0" fontId="113" fillId="18" borderId="56" applyAlignment="1" pivotButton="0" quotePrefix="0" xfId="0">
      <alignment vertical="center" indent="1"/>
    </xf>
    <xf numFmtId="0" fontId="114" fillId="38" borderId="2" applyAlignment="1" pivotButton="0" quotePrefix="0" xfId="0">
      <alignment horizontal="center" vertical="center"/>
    </xf>
    <xf numFmtId="0" fontId="116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4" fillId="0" borderId="7" pivotButton="0" quotePrefix="0" xfId="0"/>
    <xf numFmtId="0" fontId="110" fillId="0" borderId="7" pivotButton="0" quotePrefix="0" xfId="0"/>
    <xf numFmtId="0" fontId="117" fillId="12" borderId="63" applyAlignment="1" pivotButton="0" quotePrefix="0" xfId="0">
      <alignment vertical="center" indent="1"/>
    </xf>
    <xf numFmtId="0" fontId="122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8" fillId="18" borderId="64" pivotButton="0" quotePrefix="0" xfId="0"/>
    <xf numFmtId="0" fontId="119" fillId="18" borderId="39" applyAlignment="1" pivotButton="0" quotePrefix="0" xfId="0">
      <alignment horizontal="right" vertical="center"/>
    </xf>
    <xf numFmtId="0" fontId="118" fillId="18" borderId="68" pivotButton="0" quotePrefix="0" xfId="0"/>
    <xf numFmtId="0" fontId="123" fillId="18" borderId="39" applyAlignment="1" pivotButton="0" quotePrefix="0" xfId="0">
      <alignment horizontal="right" vertical="center"/>
    </xf>
    <xf numFmtId="169" fontId="109" fillId="18" borderId="39" applyAlignment="1" pivotButton="0" quotePrefix="0" xfId="0">
      <alignment horizontal="right" vertical="center"/>
    </xf>
    <xf numFmtId="169" fontId="120" fillId="18" borderId="39" applyAlignment="1" pivotButton="0" quotePrefix="0" xfId="0">
      <alignment horizontal="right" vertical="center"/>
    </xf>
    <xf numFmtId="170" fontId="120" fillId="18" borderId="39" applyAlignment="1" pivotButton="0" quotePrefix="0" xfId="0">
      <alignment horizontal="right" vertical="center"/>
    </xf>
    <xf numFmtId="0" fontId="120" fillId="18" borderId="39" applyAlignment="1" pivotButton="0" quotePrefix="0" xfId="0">
      <alignment horizontal="right" vertical="center"/>
    </xf>
    <xf numFmtId="0" fontId="121" fillId="12" borderId="66" applyAlignment="1" pivotButton="0" quotePrefix="0" xfId="0">
      <alignment horizontal="center" vertical="center"/>
    </xf>
    <xf numFmtId="0" fontId="72" fillId="11" borderId="70" applyAlignment="1" pivotButton="0" quotePrefix="0" xfId="0">
      <alignment horizontal="center" vertical="center"/>
    </xf>
    <xf numFmtId="0" fontId="97" fillId="18" borderId="55" applyAlignment="1" pivotButton="0" quotePrefix="0" xfId="0">
      <alignment vertical="center" indent="1"/>
    </xf>
    <xf numFmtId="0" fontId="0" fillId="18" borderId="56" pivotButton="0" quotePrefix="0" xfId="0"/>
    <xf numFmtId="0" fontId="109" fillId="18" borderId="56" applyAlignment="1" pivotButton="0" quotePrefix="0" xfId="0">
      <alignment vertical="center" indent="1"/>
    </xf>
    <xf numFmtId="0" fontId="101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Tasarruf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Tasarruf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Üretim Kârı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Üretim KV tasarrufu ve kararı etkiler | Doğru kullanım: Sırayla izleyin | Örnek: demo satırına bakın | Yanlışsa: Matrah, tasarruf ve karar bozulur | Kaynak: KVK md.32</t>
      </text>
    </comment>
    <comment ref="A6" authorId="0" shapeId="0">
      <text>
        <t>Tanım: Adım 2 — Karar | Neden önemli: Üretim KV tasarrufu ve kararı etkiler | Doğru kullanım: Sırayla izleyin | Örnek: demo satırına bakın | Yanlışsa: Matrah, tasarruf ve karar bozulur | Kaynak: KVK md.32</t>
      </text>
    </comment>
    <comment ref="A7" authorId="0" shapeId="0">
      <text>
        <t>Tanım: Adım 3 — Kanıt | Neden önemli: Üretim KV tasarrufu ve kararı etkiler | Doğru kullanım: Sırayla izleyin | Örnek: demo satırına bakın | Yanlışsa: Matrah, tasarruf ve karar bozulur | Kaynak: KVK md.32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Adı | Neden önemli: Üretim KV tasarrufu ve kararı etkiler | Doğru kullanım: Şirket unvanını yazın. | Örnek: demo satırına bakın | Yanlışsa: Matrah, tasarruf ve karar bozulur | Kaynak: KVK md.32</t>
      </text>
    </comment>
    <comment ref="B7" authorId="0" shapeId="0">
      <text>
        <t>Tanım: Dönem | Neden önemli: Üretim KV tasarrufu ve kararı etkiler | Doğru kullanım: Beyan dönemi veya hesap yılı referansını yazın. | Örnek: demo satırına bakın | Yanlışsa: Matrah, tasarruf ve karar bozulur | Kaynak: KVK md.32</t>
      </text>
    </comment>
    <comment ref="B8" authorId="0" shapeId="0">
      <text>
        <t>Tanım: Hesap Yılı | Neden önemli: Üretim KV tasarrufu ve kararı etkiler | Doğru kullanım: 2025, 2026 veya 2027 seçin. | Örnek: demo satırına bakın | Yanlışsa: Matrah, tasarruf ve karar bozulur | Kaynak: KVK md.32</t>
      </text>
    </comment>
    <comment ref="B9" authorId="0" shapeId="0">
      <text>
        <t>Tanım: Üretim Hasılatı [₺] | Neden önemli: Üretim KV tasarrufu ve kararı etkiler | Doğru kullanım: Üretim/imalat faaliyetinden doğan hasılatı TL girin. | Örnek: demo satırına bakın | Yanlışsa: Matrah, tasarruf ve karar bozulur | Kaynak: KVK md.32</t>
      </text>
    </comment>
    <comment ref="B10" authorId="0" shapeId="0">
      <text>
        <t>Tanım: Üretim Maliyeti [₺] | Neden önemli: Üretim KV tasarrufu ve kararı etkiler | Doğru kullanım: Satılan mamul / üretim maliyetini TL girin. | Örnek: demo satırına bakın | Yanlışsa: Matrah, tasarruf ve karar bozulur | Kaynak: KVK md.32</t>
      </text>
    </comment>
    <comment ref="B11" authorId="0" shapeId="0">
      <text>
        <t>Tanım: Genel Yönetim Payı [₺] | Neden önemli: Üretim KV tasarrufu ve kararı etkiler | Doğru kullanım: Üretime düşen genel yönetim gider payını TL girin. | Örnek: demo satırına bakın | Yanlışsa: Matrah, tasarruf ve karar bozulur | Kaynak: KVK md.32</t>
      </text>
    </comment>
    <comment ref="B12" authorId="0" shapeId="0">
      <text>
        <t>Tanım: Finansman Gider Payı [₺] | Neden önemli: Üretim KV tasarrufu ve kararı etkiler | Doğru kullanım: Üretime düşen finansman gider payını TL girin. | Örnek: demo satırına bakın | Yanlışsa: Matrah, tasarruf ve karar bozulur | Kaynak: KVK md.32</t>
      </text>
    </comment>
    <comment ref="B13" authorId="0" shapeId="0">
      <text>
        <t>Tanım: Diğer Faaliyet Kârı [₺] | Neden önemli: Üretim KV tasarrufu ve kararı etkiler | Doğru kullanım: Üretim dışı faaliyet kârını (matraha ek) TL girin; zarar negatif. | Örnek: demo satırına bakın | Yanlışsa: Matrah, tasarruf ve karar bozulur | Kaynak: KVK md.32</t>
      </text>
    </comment>
    <comment ref="B14" authorId="0" shapeId="0">
      <text>
        <t>Tanım: İstisna Tutarı [₺] | Neden önemli: Üretim KV tasarrufu ve kararı etkiler | Doğru kullanım: Matrahtan düşülecek istisna tutarını TL girin. | Örnek: demo satırına bakın | Yanlışsa: Matrah, tasarruf ve karar bozulur | Kaynak: KVK md.32</t>
      </text>
    </comment>
    <comment ref="B15" authorId="0" shapeId="0">
      <text>
        <t>Tanım: Yorum Modu (A/B) | Neden önemli: Üretim KV tasarrufu ve kararı etkiler | Doğru kullanım: Pay dağıtım yorumu A (standart) veya B (sıkı +%10 pay) seçin. | Örnek: demo satırına bakın | Yanlışsa: Matrah, tasarruf ve karar bozulur | Kaynak: KVK md.32</t>
      </text>
    </comment>
    <comment ref="A24" authorId="0" shapeId="0">
      <text>
        <t>Tanım: sirket_adi | Neden önemli: Üretim KV tasarrufu ve kararı etkiler | Doğru kullanım: Tablo girişi; PANO ile senkron tutun | Örnek: demo satırına bakın | Yanlışsa: Matrah, tasarruf ve karar bozulur | Kaynak: KVK md.32</t>
      </text>
    </comment>
    <comment ref="B24" authorId="0" shapeId="0">
      <text>
        <t>Tanım: sirket_adi | Neden önemli: Üretim KV tasarrufu ve kararı etkiler | Doğru kullanım: Tablo girişi; PANO ile senkron tutun | Örnek: demo satırına bakın | Yanlışsa: Matrah, tasarruf ve karar bozulur | Kaynak: KVK md.32</t>
      </text>
    </comment>
    <comment ref="C24" authorId="0" shapeId="0">
      <text>
        <t>Tanım: sirket_adi | Neden önemli: Üretim KV tasarrufu ve kararı etkiler | Doğru kullanım: Tablo girişi; PANO ile senkron tutun | Örnek: demo satırına bakın | Yanlışsa: Matrah, tasarruf ve karar bozulur | Kaynak: KVK md.32</t>
      </text>
    </comment>
    <comment ref="D24" authorId="0" shapeId="0">
      <text>
        <t>Tanım: sirket_adi | Neden önemli: Üretim KV tasarrufu ve kararı etkiler | Doğru kullanım: Tablo girişi; PANO ile senkron tutun | Örnek: demo satırına bakın | Yanlışsa: Matrah, tasarruf ve karar bozulur | Kaynak: KVK md.32</t>
      </text>
    </comment>
    <comment ref="E24" authorId="0" shapeId="0">
      <text>
        <t>Tanım: sirket_adi | Neden önemli: Üretim KV tasarrufu ve kararı etkiler | Doğru kullanım: Tablo girişi; PANO ile senkron tutun | Örnek: demo satırına bakın | Yanlışsa: Matrah, tasarruf ve karar bozulur | Kaynak: KVK md.32</t>
      </text>
    </comment>
    <comment ref="A25" authorId="0" shapeId="0">
      <text>
        <t>Tanım: donem | Neden önemli: Üretim KV tasarrufu ve kararı etkiler | Doğru kullanım: Tablo girişi; PANO ile senkron tutun | Örnek: demo satırına bakın | Yanlışsa: Matrah, tasarruf ve karar bozulur | Kaynak: KVK md.32</t>
      </text>
    </comment>
    <comment ref="B25" authorId="0" shapeId="0">
      <text>
        <t>Tanım: donem | Neden önemli: Üretim KV tasarrufu ve kararı etkiler | Doğru kullanım: Tablo girişi; PANO ile senkron tutun | Örnek: demo satırına bakın | Yanlışsa: Matrah, tasarruf ve karar bozulur | Kaynak: KVK md.32</t>
      </text>
    </comment>
    <comment ref="C25" authorId="0" shapeId="0">
      <text>
        <t>Tanım: donem | Neden önemli: Üretim KV tasarrufu ve kararı etkiler | Doğru kullanım: Tablo girişi; PANO ile senkron tutun | Örnek: demo satırına bakın | Yanlışsa: Matrah, tasarruf ve karar bozulur | Kaynak: KVK md.32</t>
      </text>
    </comment>
    <comment ref="D25" authorId="0" shapeId="0">
      <text>
        <t>Tanım: donem | Neden önemli: Üretim KV tasarrufu ve kararı etkiler | Doğru kullanım: Tablo girişi; PANO ile senkron tutun | Örnek: demo satırına bakın | Yanlışsa: Matrah, tasarruf ve karar bozulur | Kaynak: KVK md.32</t>
      </text>
    </comment>
    <comment ref="E25" authorId="0" shapeId="0">
      <text>
        <t>Tanım: donem | Neden önemli: Üretim KV tasarrufu ve kararı etkiler | Doğru kullanım: Tablo girişi; PANO ile senkron tutun | Örnek: demo satırına bakın | Yanlışsa: Matrah, tasarruf ve karar bozulur | Kaynak: KVK md.32</t>
      </text>
    </comment>
    <comment ref="A26" authorId="0" shapeId="0">
      <text>
        <t>Tanım: hesapYili | Neden önemli: Üretim KV tasarrufu ve kararı etkiler | Doğru kullanım: Tablo girişi; PANO ile senkron tutun | Örnek: demo satırına bakın | Yanlışsa: Matrah, tasarruf ve karar bozulur | Kaynak: KVK md.32</t>
      </text>
    </comment>
    <comment ref="B26" authorId="0" shapeId="0">
      <text>
        <t>Tanım: hesapYili | Neden önemli: Üretim KV tasarrufu ve kararı etkiler | Doğru kullanım: Tablo girişi; PANO ile senkron tutun | Örnek: demo satırına bakın | Yanlışsa: Matrah, tasarruf ve karar bozulur | Kaynak: KVK md.32</t>
      </text>
    </comment>
    <comment ref="C26" authorId="0" shapeId="0">
      <text>
        <t>Tanım: hesapYili | Neden önemli: Üretim KV tasarrufu ve kararı etkiler | Doğru kullanım: Tablo girişi; PANO ile senkron tutun | Örnek: demo satırına bakın | Yanlışsa: Matrah, tasarruf ve karar bozulur | Kaynak: KVK md.32</t>
      </text>
    </comment>
    <comment ref="D26" authorId="0" shapeId="0">
      <text>
        <t>Tanım: hesapYili | Neden önemli: Üretim KV tasarrufu ve kararı etkiler | Doğru kullanım: Tablo girişi; PANO ile senkron tutun | Örnek: demo satırına bakın | Yanlışsa: Matrah, tasarruf ve karar bozulur | Kaynak: KVK md.32</t>
      </text>
    </comment>
    <comment ref="E26" authorId="0" shapeId="0">
      <text>
        <t>Tanım: hesapYili | Neden önemli: Üretim KV tasarrufu ve kararı etkiler | Doğru kullanım: Tablo girişi; PANO ile senkron tutun | Örnek: demo satırına bakın | Yanlışsa: Matrah, tasarruf ve karar bozulur | Kaynak: KVK md.32</t>
      </text>
    </comment>
    <comment ref="A27" authorId="0" shapeId="0">
      <text>
        <t>Tanım: uretim_hasilati | Neden önemli: Üretim KV tasarrufu ve kararı etkiler | Doğru kullanım: Tablo girişi; PANO ile senkron tutun | Örnek: demo satırına bakın | Yanlışsa: Matrah, tasarruf ve karar bozulur | Kaynak: KVK md.32</t>
      </text>
    </comment>
    <comment ref="B27" authorId="0" shapeId="0">
      <text>
        <t>Tanım: uretim_hasilati | Neden önemli: Üretim KV tasarrufu ve kararı etkiler | Doğru kullanım: Tablo girişi; PANO ile senkron tutun | Örnek: demo satırına bakın | Yanlışsa: Matrah, tasarruf ve karar bozulur | Kaynak: KVK md.32</t>
      </text>
    </comment>
    <comment ref="C27" authorId="0" shapeId="0">
      <text>
        <t>Tanım: uretim_hasilati | Neden önemli: Üretim KV tasarrufu ve kararı etkiler | Doğru kullanım: Tablo girişi; PANO ile senkron tutun | Örnek: demo satırına bakın | Yanlışsa: Matrah, tasarruf ve karar bozulur | Kaynak: KVK md.32</t>
      </text>
    </comment>
    <comment ref="D27" authorId="0" shapeId="0">
      <text>
        <t>Tanım: uretim_hasilati | Neden önemli: Üretim KV tasarrufu ve kararı etkiler | Doğru kullanım: Tablo girişi; PANO ile senkron tutun | Örnek: demo satırına bakın | Yanlışsa: Matrah, tasarruf ve karar bozulur | Kaynak: KVK md.32</t>
      </text>
    </comment>
    <comment ref="E27" authorId="0" shapeId="0">
      <text>
        <t>Tanım: uretim_hasilati | Neden önemli: Üretim KV tasarrufu ve kararı etkiler | Doğru kullanım: Tablo girişi; PANO ile senkron tutun | Örnek: demo satırına bakın | Yanlışsa: Matrah, tasarruf ve karar bozulur | Kaynak: KVK md.32</t>
      </text>
    </comment>
    <comment ref="A28" authorId="0" shapeId="0">
      <text>
        <t>Tanım: uretim_maliyeti | Neden önemli: Üretim KV tasarrufu ve kararı etkiler | Doğru kullanım: Tablo girişi; PANO ile senkron tutun | Örnek: demo satırına bakın | Yanlışsa: Matrah, tasarruf ve karar bozulur | Kaynak: KVK md.32</t>
      </text>
    </comment>
    <comment ref="B28" authorId="0" shapeId="0">
      <text>
        <t>Tanım: uretim_maliyeti | Neden önemli: Üretim KV tasarrufu ve kararı etkiler | Doğru kullanım: Tablo girişi; PANO ile senkron tutun | Örnek: demo satırına bakın | Yanlışsa: Matrah, tasarruf ve karar bozulur | Kaynak: KVK md.32</t>
      </text>
    </comment>
    <comment ref="C28" authorId="0" shapeId="0">
      <text>
        <t>Tanım: uretim_maliyeti | Neden önemli: Üretim KV tasarrufu ve kararı etkiler | Doğru kullanım: Tablo girişi; PANO ile senkron tutun | Örnek: demo satırına bakın | Yanlışsa: Matrah, tasarruf ve karar bozulur | Kaynak: KVK md.32</t>
      </text>
    </comment>
    <comment ref="D28" authorId="0" shapeId="0">
      <text>
        <t>Tanım: uretim_maliyeti | Neden önemli: Üretim KV tasarrufu ve kararı etkiler | Doğru kullanım: Tablo girişi; PANO ile senkron tutun | Örnek: demo satırına bakın | Yanlışsa: Matrah, tasarruf ve karar bozulur | Kaynak: KVK md.32</t>
      </text>
    </comment>
    <comment ref="E28" authorId="0" shapeId="0">
      <text>
        <t>Tanım: uretim_maliyeti | Neden önemli: Üretim KV tasarrufu ve kararı etkiler | Doğru kullanım: Tablo girişi; PANO ile senkron tutun | Örnek: demo satırına bakın | Yanlışsa: Matrah, tasarruf ve karar bozulur | Kaynak: KVK md.32</t>
      </text>
    </comment>
    <comment ref="A29" authorId="0" shapeId="0">
      <text>
        <t>Tanım: genel_yonetim_payi | Neden önemli: Üretim KV tasarrufu ve kararı etkiler | Doğru kullanım: Tablo girişi; PANO ile senkron tutun | Örnek: demo satırına bakın | Yanlışsa: Matrah, tasarruf ve karar bozulur | Kaynak: KVK md.32</t>
      </text>
    </comment>
    <comment ref="B29" authorId="0" shapeId="0">
      <text>
        <t>Tanım: genel_yonetim_payi | Neden önemli: Üretim KV tasarrufu ve kararı etkiler | Doğru kullanım: Tablo girişi; PANO ile senkron tutun | Örnek: demo satırına bakın | Yanlışsa: Matrah, tasarruf ve karar bozulur | Kaynak: KVK md.32</t>
      </text>
    </comment>
    <comment ref="C29" authorId="0" shapeId="0">
      <text>
        <t>Tanım: genel_yonetim_payi | Neden önemli: Üretim KV tasarrufu ve kararı etkiler | Doğru kullanım: Tablo girişi; PANO ile senkron tutun | Örnek: demo satırına bakın | Yanlışsa: Matrah, tasarruf ve karar bozulur | Kaynak: KVK md.32</t>
      </text>
    </comment>
    <comment ref="D29" authorId="0" shapeId="0">
      <text>
        <t>Tanım: genel_yonetim_payi | Neden önemli: Üretim KV tasarrufu ve kararı etkiler | Doğru kullanım: Tablo girişi; PANO ile senkron tutun | Örnek: demo satırına bakın | Yanlışsa: Matrah, tasarruf ve karar bozulur | Kaynak: KVK md.32</t>
      </text>
    </comment>
    <comment ref="E29" authorId="0" shapeId="0">
      <text>
        <t>Tanım: genel_yonetim_payi | Neden önemli: Üretim KV tasarrufu ve kararı etkiler | Doğru kullanım: Tablo girişi; PANO ile senkron tutun | Örnek: demo satırına bakın | Yanlışsa: Matrah, tasarruf ve karar bozulur | Kaynak: KVK md.32</t>
      </text>
    </comment>
    <comment ref="A30" authorId="0" shapeId="0">
      <text>
        <t>Tanım: finansman_gider_payi | Neden önemli: Üretim KV tasarrufu ve kararı etkiler | Doğru kullanım: Tablo girişi; PANO ile senkron tutun | Örnek: demo satırına bakın | Yanlışsa: Matrah, tasarruf ve karar bozulur | Kaynak: KVK md.32</t>
      </text>
    </comment>
    <comment ref="B30" authorId="0" shapeId="0">
      <text>
        <t>Tanım: finansman_gider_payi | Neden önemli: Üretim KV tasarrufu ve kararı etkiler | Doğru kullanım: Tablo girişi; PANO ile senkron tutun | Örnek: demo satırına bakın | Yanlışsa: Matrah, tasarruf ve karar bozulur | Kaynak: KVK md.32</t>
      </text>
    </comment>
    <comment ref="C30" authorId="0" shapeId="0">
      <text>
        <t>Tanım: finansman_gider_payi | Neden önemli: Üretim KV tasarrufu ve kararı etkiler | Doğru kullanım: Tablo girişi; PANO ile senkron tutun | Örnek: demo satırına bakın | Yanlışsa: Matrah, tasarruf ve karar bozulur | Kaynak: KVK md.32</t>
      </text>
    </comment>
    <comment ref="D30" authorId="0" shapeId="0">
      <text>
        <t>Tanım: finansman_gider_payi | Neden önemli: Üretim KV tasarrufu ve kararı etkiler | Doğru kullanım: Tablo girişi; PANO ile senkron tutun | Örnek: demo satırına bakın | Yanlışsa: Matrah, tasarruf ve karar bozulur | Kaynak: KVK md.32</t>
      </text>
    </comment>
    <comment ref="E30" authorId="0" shapeId="0">
      <text>
        <t>Tanım: finansman_gider_payi | Neden önemli: Üretim KV tasarrufu ve kararı etkiler | Doğru kullanım: Tablo girişi; PANO ile senkron tutun | Örnek: demo satırına bakın | Yanlışsa: Matrah, tasarruf ve karar bozulur | Kaynak: KVK md.32</t>
      </text>
    </comment>
    <comment ref="A31" authorId="0" shapeId="0">
      <text>
        <t>Tanım: diger_faaliyet_kar | Neden önemli: Üretim KV tasarrufu ve kararı etkiler | Doğru kullanım: Tablo girişi; PANO ile senkron tutun | Örnek: demo satırına bakın | Yanlışsa: Matrah, tasarruf ve karar bozulur | Kaynak: KVK md.32</t>
      </text>
    </comment>
    <comment ref="B31" authorId="0" shapeId="0">
      <text>
        <t>Tanım: diger_faaliyet_kar | Neden önemli: Üretim KV tasarrufu ve kararı etkiler | Doğru kullanım: Tablo girişi; PANO ile senkron tutun | Örnek: demo satırına bakın | Yanlışsa: Matrah, tasarruf ve karar bozulur | Kaynak: KVK md.32</t>
      </text>
    </comment>
    <comment ref="C31" authorId="0" shapeId="0">
      <text>
        <t>Tanım: diger_faaliyet_kar | Neden önemli: Üretim KV tasarrufu ve kararı etkiler | Doğru kullanım: Tablo girişi; PANO ile senkron tutun | Örnek: demo satırına bakın | Yanlışsa: Matrah, tasarruf ve karar bozulur | Kaynak: KVK md.32</t>
      </text>
    </comment>
    <comment ref="D31" authorId="0" shapeId="0">
      <text>
        <t>Tanım: diger_faaliyet_kar | Neden önemli: Üretim KV tasarrufu ve kararı etkiler | Doğru kullanım: Tablo girişi; PANO ile senkron tutun | Örnek: demo satırına bakın | Yanlışsa: Matrah, tasarruf ve karar bozulur | Kaynak: KVK md.32</t>
      </text>
    </comment>
    <comment ref="E31" authorId="0" shapeId="0">
      <text>
        <t>Tanım: diger_faaliyet_kar | Neden önemli: Üretim KV tasarrufu ve kararı etkiler | Doğru kullanım: Tablo girişi; PANO ile senkron tutun | Örnek: demo satırına bakın | Yanlışsa: Matrah, tasarruf ve karar bozulur | Kaynak: KVK md.32</t>
      </text>
    </comment>
    <comment ref="A32" authorId="0" shapeId="0">
      <text>
        <t>Tanım: istisna_tutari | Neden önemli: Üretim KV tasarrufu ve kararı etkiler | Doğru kullanım: Tablo girişi; PANO ile senkron tutun | Örnek: demo satırına bakın | Yanlışsa: Matrah, tasarruf ve karar bozulur | Kaynak: KVK md.32</t>
      </text>
    </comment>
    <comment ref="B32" authorId="0" shapeId="0">
      <text>
        <t>Tanım: istisna_tutari | Neden önemli: Üretim KV tasarrufu ve kararı etkiler | Doğru kullanım: Tablo girişi; PANO ile senkron tutun | Örnek: demo satırına bakın | Yanlışsa: Matrah, tasarruf ve karar bozulur | Kaynak: KVK md.32</t>
      </text>
    </comment>
    <comment ref="C32" authorId="0" shapeId="0">
      <text>
        <t>Tanım: istisna_tutari | Neden önemli: Üretim KV tasarrufu ve kararı etkiler | Doğru kullanım: Tablo girişi; PANO ile senkron tutun | Örnek: demo satırına bakın | Yanlışsa: Matrah, tasarruf ve karar bozulur | Kaynak: KVK md.32</t>
      </text>
    </comment>
    <comment ref="D32" authorId="0" shapeId="0">
      <text>
        <t>Tanım: istisna_tutari | Neden önemli: Üretim KV tasarrufu ve kararı etkiler | Doğru kullanım: Tablo girişi; PANO ile senkron tutun | Örnek: demo satırına bakın | Yanlışsa: Matrah, tasarruf ve karar bozulur | Kaynak: KVK md.32</t>
      </text>
    </comment>
    <comment ref="E32" authorId="0" shapeId="0">
      <text>
        <t>Tanım: istisna_tutari | Neden önemli: Üretim KV tasarrufu ve kararı etkiler | Doğru kullanım: Tablo girişi; PANO ile senkron tutun | Örnek: demo satırına bakın | Yanlışsa: Matrah, tasarruf ve karar bozulur | Kaynak: KVK md.32</t>
      </text>
    </comment>
    <comment ref="A33" authorId="0" shapeId="0">
      <text>
        <t>Tanım: yorum_modu | Neden önemli: Üretim KV tasarrufu ve kararı etkiler | Doğru kullanım: Tablo girişi; PANO ile senkron tutun | Örnek: demo satırına bakın | Yanlışsa: Matrah, tasarruf ve karar bozulur | Kaynak: KVK md.32</t>
      </text>
    </comment>
    <comment ref="B33" authorId="0" shapeId="0">
      <text>
        <t>Tanım: yorum_modu | Neden önemli: Üretim KV tasarrufu ve kararı etkiler | Doğru kullanım: Tablo girişi; PANO ile senkron tutun | Örnek: demo satırına bakın | Yanlışsa: Matrah, tasarruf ve karar bozulur | Kaynak: KVK md.32</t>
      </text>
    </comment>
    <comment ref="C33" authorId="0" shapeId="0">
      <text>
        <t>Tanım: yorum_modu | Neden önemli: Üretim KV tasarrufu ve kararı etkiler | Doğru kullanım: Tablo girişi; PANO ile senkron tutun | Örnek: demo satırına bakın | Yanlışsa: Matrah, tasarruf ve karar bozulur | Kaynak: KVK md.32</t>
      </text>
    </comment>
    <comment ref="D33" authorId="0" shapeId="0">
      <text>
        <t>Tanım: yorum_modu | Neden önemli: Üretim KV tasarrufu ve kararı etkiler | Doğru kullanım: Tablo girişi; PANO ile senkron tutun | Örnek: demo satırına bakın | Yanlışsa: Matrah, tasarruf ve karar bozulur | Kaynak: KVK md.32</t>
      </text>
    </comment>
    <comment ref="E33" authorId="0" shapeId="0">
      <text>
        <t>Tanım: yorum_modu | Neden önemli: Üretim KV tasarrufu ve kararı etkiler | Doğru kullanım: Tablo girişi; PANO ile senkron tutun | Örnek: demo satırına bakın | Yanlışsa: Matrah, tasarruf ve karar bozulur | Kaynak: KVK md.32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indirimli_oran | Neden önemli: Üretim KV tasarrufu ve kararı etkiler | Doğru kullanım: Yıl bazlı parametre; kaynak kolonuna bakın | Örnek: demo satırına bakın | Yanlışsa: Matrah, tasarruf ve karar bozulur | Kaynak: KVK md.32</t>
      </text>
    </comment>
    <comment ref="G7" authorId="0" shapeId="0">
      <text>
        <t>Tanım: indirimli_oran | Neden önemli: Üretim KV tasarrufu ve kararı etkiler | Doğru kullanım: Yıl bazlı parametre; kaynak kolonuna bakın | Örnek: demo satırına bakın | Yanlışsa: Matrah, tasarruf ve karar bozulur | Kaynak: KVK md.32</t>
      </text>
    </comment>
    <comment ref="H7" authorId="0" shapeId="0">
      <text>
        <t>Tanım: indirimli_oran | Neden önemli: Üretim KV tasarrufu ve kararı etkiler | Doğru kullanım: Yıl bazlı parametre; kaynak kolonuna bakın | Örnek: demo satırına bakın | Yanlışsa: Matrah, tasarruf ve karar bozulur | Kaynak: KVK md.32</t>
      </text>
    </comment>
    <comment ref="F8" authorId="0" shapeId="0">
      <text>
        <t>Tanım: standart_oran | Neden önemli: Üretim KV tasarrufu ve kararı etkiler | Doğru kullanım: Yıl bazlı parametre; kaynak kolonuna bakın | Örnek: demo satırına bakın | Yanlışsa: Matrah, tasarruf ve karar bozulur | Kaynak: KVK md.32</t>
      </text>
    </comment>
    <comment ref="G8" authorId="0" shapeId="0">
      <text>
        <t>Tanım: standart_oran | Neden önemli: Üretim KV tasarrufu ve kararı etkiler | Doğru kullanım: Yıl bazlı parametre; kaynak kolonuna bakın | Örnek: demo satırına bakın | Yanlışsa: Matrah, tasarruf ve karar bozulur | Kaynak: KVK md.32</t>
      </text>
    </comment>
    <comment ref="H8" authorId="0" shapeId="0">
      <text>
        <t>Tanım: standart_oran | Neden önemli: Üretim KV tasarrufu ve kararı etkiler | Doğru kullanım: Yıl bazlı parametre; kaynak kolonuna bakın | Örnek: demo satırına bakın | Yanlışsa: Matrah, tasarruf ve karar bozulur | Kaynak: KVK md.32</t>
      </text>
    </comment>
    <comment ref="F9" authorId="0" shapeId="0">
      <text>
        <t>Tanım: uygula_esik | Neden önemli: Üretim KV tasarrufu ve kararı etkiler | Doğru kullanım: Yıl bazlı parametre; kaynak kolonuna bakın | Örnek: demo satırına bakın | Yanlışsa: Matrah, tasarruf ve karar bozulur | Kaynak: KVK md.32</t>
      </text>
    </comment>
    <comment ref="G9" authorId="0" shapeId="0">
      <text>
        <t>Tanım: uygula_esik | Neden önemli: Üretim KV tasarrufu ve kararı etkiler | Doğru kullanım: Yıl bazlı parametre; kaynak kolonuna bakın | Örnek: demo satırına bakın | Yanlışsa: Matrah, tasarruf ve karar bozulur | Kaynak: KVK md.32</t>
      </text>
    </comment>
    <comment ref="H9" authorId="0" shapeId="0">
      <text>
        <t>Tanım: uygula_esik | Neden önemli: Üretim KV tasarrufu ve kararı etkiler | Doğru kullanım: Yıl bazlı parametre; kaynak kolonuna bakın | Örnek: demo satırına bakın | Yanlışsa: Matrah, tasarruf ve karar bozulur | Kaynak: KVK md.32</t>
      </text>
    </comment>
    <comment ref="F10" authorId="0" shapeId="0">
      <text>
        <t>Tanım: incele_esik | Neden önemli: Üretim KV tasarrufu ve kararı etkiler | Doğru kullanım: Yıl bazlı parametre; kaynak kolonuna bakın | Örnek: demo satırına bakın | Yanlışsa: Matrah, tasarruf ve karar bozulur | Kaynak: KVK md.32</t>
      </text>
    </comment>
    <comment ref="G10" authorId="0" shapeId="0">
      <text>
        <t>Tanım: incele_esik | Neden önemli: Üretim KV tasarrufu ve kararı etkiler | Doğru kullanım: Yıl bazlı parametre; kaynak kolonuna bakın | Örnek: demo satırına bakın | Yanlışsa: Matrah, tasarruf ve karar bozulur | Kaynak: KVK md.32</t>
      </text>
    </comment>
    <comment ref="H10" authorId="0" shapeId="0">
      <text>
        <t>Tanım: incele_esik | Neden önemli: Üretim KV tasarrufu ve kararı etkiler | Doğru kullanım: Yıl bazlı parametre; kaynak kolonuna bakın | Örnek: demo satırına bakın | Yanlışsa: Matrah, tasarruf ve karar bozulur | Kaynak: KVK md.32</t>
      </text>
    </comment>
    <comment ref="F11" authorId="0" shapeId="0">
      <text>
        <t>Tanım: yuvarlama | Neden önemli: Üretim KV tasarrufu ve kararı etkiler | Doğru kullanım: Yıl bazlı parametre; kaynak kolonuna bakın | Örnek: demo satırına bakın | Yanlışsa: Matrah, tasarruf ve karar bozulur | Kaynak: KVK md.32</t>
      </text>
    </comment>
    <comment ref="G11" authorId="0" shapeId="0">
      <text>
        <t>Tanım: yuvarlama | Neden önemli: Üretim KV tasarrufu ve kararı etkiler | Doğru kullanım: Yıl bazlı parametre; kaynak kolonuna bakın | Örnek: demo satırına bakın | Yanlışsa: Matrah, tasarruf ve karar bozulur | Kaynak: KVK md.32</t>
      </text>
    </comment>
    <comment ref="H11" authorId="0" shapeId="0">
      <text>
        <t>Tanım: yuvarlama | Neden önemli: Üretim KV tasarrufu ve kararı etkiler | Doğru kullanım: Yıl bazlı parametre; kaynak kolonuna bakın | Örnek: demo satırına bakın | Yanlışsa: Matrah, tasarruf ve karar bozulur | Kaynak: KVK md.32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0" authorId="0" shapeId="0">
      <text>
        <t>Tanım: İmza | Neden önemli: Üretim KV tasarrufu ve kararı etkiler | Doğru kullanım: Raporu hazırlayan kişinin adını yazın. | Örnek: demo satırına bakın | Yanlışsa: Matrah, tasarruf ve karar bozulur | Kaynak: KVK md.32</t>
      </text>
    </comment>
    <comment ref="B31" authorId="0" shapeId="0">
      <text>
        <t>Tanım: Onay | Neden önemli: Üretim KV tasarrufu ve kararı etkiler | Doğru kullanım: Onaylayan kişinin adını yazın. | Örnek: demo satırına bakın | Yanlışsa: Matrah, tasarruf ve karar bozulur | Kaynak: KVK md.32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hasılat?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Matrah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Tasarruf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Üretim KV tasarrufu ve kararı etkiler | Doğru kullanım: Örnek senaryo değeri | Örnek: demo satırına bakın | Yanlışsa: Matrah, tasarruf ve karar bozulur | Kaynak: KVK md.32</t>
      </text>
    </comment>
    <comment ref="B6" authorId="0" shapeId="0">
      <text>
        <t>Tanım: Hasılat | Neden önemli: Üretim KV tasarrufu ve kararı etkiler | Doğru kullanım: Örnek senaryo değeri | Örnek: demo satırına bakın | Yanlışsa: Matrah, tasarruf ve karar bozulur | Kaynak: KVK md.32</t>
      </text>
    </comment>
    <comment ref="C6" authorId="0" shapeId="0">
      <text>
        <t>Tanım: Maliyet | Neden önemli: Üretim KV tasarrufu ve kararı etkiler | Doğru kullanım: Örnek senaryo değeri | Örnek: demo satırına bakın | Yanlışsa: Matrah, tasarruf ve karar bozulur | Kaynak: KVK md.32</t>
      </text>
    </comment>
    <comment ref="D6" authorId="0" shapeId="0">
      <text>
        <t>Tanım: GY Payı | Neden önemli: Üretim KV tasarrufu ve kararı etkiler | Doğru kullanım: Örnek senaryo değeri | Örnek: demo satırına bakın | Yanlışsa: Matrah, tasarruf ve karar bozulur | Kaynak: KVK md.32</t>
      </text>
    </comment>
    <comment ref="E6" authorId="0" shapeId="0">
      <text>
        <t>Tanım: FG Payı | Neden önemli: Üretim KV tasarrufu ve kararı etkiler | Doğru kullanım: Örnek senaryo değeri | Örnek: demo satırına bakın | Yanlışsa: Matrah, tasarruf ve karar bozulur | Kaynak: KVK md.32</t>
      </text>
    </comment>
    <comment ref="F6" authorId="0" shapeId="0">
      <text>
        <t>Tanım: Diğer | Neden önemli: Üretim KV tasarrufu ve kararı etkiler | Doğru kullanım: Örnek senaryo değeri | Örnek: demo satırına bakın | Yanlışsa: Matrah, tasarruf ve karar bozulur | Kaynak: KVK md.32</t>
      </text>
    </comment>
    <comment ref="G6" authorId="0" shapeId="0">
      <text>
        <t>Tanım: İstisna | Neden önemli: Üretim KV tasarrufu ve kararı etkiler | Doğru kullanım: Örnek senaryo değeri | Örnek: demo satırına bakın | Yanlışsa: Matrah, tasarruf ve karar bozulur | Kaynak: KVK md.32</t>
      </text>
    </comment>
    <comment ref="H6" authorId="0" shapeId="0">
      <text>
        <t>Tanım: Yıl | Neden önemli: Üretim KV tasarrufu ve kararı etkiler | Doğru kullanım: Örnek senaryo değeri | Örnek: demo satırına bakın | Yanlışsa: Matrah, tasarruf ve karar bozulur | Kaynak: KVK md.32</t>
      </text>
    </comment>
    <comment ref="A7" authorId="0" shapeId="0">
      <text>
        <t>Tanım: Senaryo | Neden önemli: Üretim KV tasarrufu ve kararı etkiler | Doğru kullanım: Örnek senaryo değeri | Örnek: demo satırına bakın | Yanlışsa: Matrah, tasarruf ve karar bozulur | Kaynak: KVK md.32</t>
      </text>
    </comment>
    <comment ref="B7" authorId="0" shapeId="0">
      <text>
        <t>Tanım: Hasılat | Neden önemli: Üretim KV tasarrufu ve kararı etkiler | Doğru kullanım: Örnek senaryo değeri | Örnek: demo satırına bakın | Yanlışsa: Matrah, tasarruf ve karar bozulur | Kaynak: KVK md.32</t>
      </text>
    </comment>
    <comment ref="C7" authorId="0" shapeId="0">
      <text>
        <t>Tanım: Maliyet | Neden önemli: Üretim KV tasarrufu ve kararı etkiler | Doğru kullanım: Örnek senaryo değeri | Örnek: demo satırına bakın | Yanlışsa: Matrah, tasarruf ve karar bozulur | Kaynak: KVK md.32</t>
      </text>
    </comment>
    <comment ref="D7" authorId="0" shapeId="0">
      <text>
        <t>Tanım: GY Payı | Neden önemli: Üretim KV tasarrufu ve kararı etkiler | Doğru kullanım: Örnek senaryo değeri | Örnek: demo satırına bakın | Yanlışsa: Matrah, tasarruf ve karar bozulur | Kaynak: KVK md.32</t>
      </text>
    </comment>
    <comment ref="E7" authorId="0" shapeId="0">
      <text>
        <t>Tanım: FG Payı | Neden önemli: Üretim KV tasarrufu ve kararı etkiler | Doğru kullanım: Örnek senaryo değeri | Örnek: demo satırına bakın | Yanlışsa: Matrah, tasarruf ve karar bozulur | Kaynak: KVK md.32</t>
      </text>
    </comment>
    <comment ref="F7" authorId="0" shapeId="0">
      <text>
        <t>Tanım: Diğer | Neden önemli: Üretim KV tasarrufu ve kararı etkiler | Doğru kullanım: Örnek senaryo değeri | Örnek: demo satırına bakın | Yanlışsa: Matrah, tasarruf ve karar bozulur | Kaynak: KVK md.32</t>
      </text>
    </comment>
    <comment ref="G7" authorId="0" shapeId="0">
      <text>
        <t>Tanım: İstisna | Neden önemli: Üretim KV tasarrufu ve kararı etkiler | Doğru kullanım: Örnek senaryo değeri | Örnek: demo satırına bakın | Yanlışsa: Matrah, tasarruf ve karar bozulur | Kaynak: KVK md.32</t>
      </text>
    </comment>
    <comment ref="H7" authorId="0" shapeId="0">
      <text>
        <t>Tanım: Yıl | Neden önemli: Üretim KV tasarrufu ve kararı etkiler | Doğru kullanım: Örnek senaryo değeri | Örnek: demo satırına bakın | Yanlışsa: Matrah, tasarruf ve karar bozulur | Kaynak: KVK md.32</t>
      </text>
    </comment>
    <comment ref="A8" authorId="0" shapeId="0">
      <text>
        <t>Tanım: Senaryo | Neden önemli: Üretim KV tasarrufu ve kararı etkiler | Doğru kullanım: Örnek senaryo değeri | Örnek: demo satırına bakın | Yanlışsa: Matrah, tasarruf ve karar bozulur | Kaynak: KVK md.32</t>
      </text>
    </comment>
    <comment ref="B8" authorId="0" shapeId="0">
      <text>
        <t>Tanım: Hasılat | Neden önemli: Üretim KV tasarrufu ve kararı etkiler | Doğru kullanım: Örnek senaryo değeri | Örnek: demo satırına bakın | Yanlışsa: Matrah, tasarruf ve karar bozulur | Kaynak: KVK md.32</t>
      </text>
    </comment>
    <comment ref="C8" authorId="0" shapeId="0">
      <text>
        <t>Tanım: Maliyet | Neden önemli: Üretim KV tasarrufu ve kararı etkiler | Doğru kullanım: Örnek senaryo değeri | Örnek: demo satırına bakın | Yanlışsa: Matrah, tasarruf ve karar bozulur | Kaynak: KVK md.32</t>
      </text>
    </comment>
    <comment ref="D8" authorId="0" shapeId="0">
      <text>
        <t>Tanım: GY Payı | Neden önemli: Üretim KV tasarrufu ve kararı etkiler | Doğru kullanım: Örnek senaryo değeri | Örnek: demo satırına bakın | Yanlışsa: Matrah, tasarruf ve karar bozulur | Kaynak: KVK md.32</t>
      </text>
    </comment>
    <comment ref="E8" authorId="0" shapeId="0">
      <text>
        <t>Tanım: FG Payı | Neden önemli: Üretim KV tasarrufu ve kararı etkiler | Doğru kullanım: Örnek senaryo değeri | Örnek: demo satırına bakın | Yanlışsa: Matrah, tasarruf ve karar bozulur | Kaynak: KVK md.32</t>
      </text>
    </comment>
    <comment ref="F8" authorId="0" shapeId="0">
      <text>
        <t>Tanım: Diğer | Neden önemli: Üretim KV tasarrufu ve kararı etkiler | Doğru kullanım: Örnek senaryo değeri | Örnek: demo satırına bakın | Yanlışsa: Matrah, tasarruf ve karar bozulur | Kaynak: KVK md.32</t>
      </text>
    </comment>
    <comment ref="G8" authorId="0" shapeId="0">
      <text>
        <t>Tanım: İstisna | Neden önemli: Üretim KV tasarrufu ve kararı etkiler | Doğru kullanım: Örnek senaryo değeri | Örnek: demo satırına bakın | Yanlışsa: Matrah, tasarruf ve karar bozulur | Kaynak: KVK md.32</t>
      </text>
    </comment>
    <comment ref="H8" authorId="0" shapeId="0">
      <text>
        <t>Tanım: Yıl | Neden önemli: Üretim KV tasarrufu ve kararı etkiler | Doğru kullanım: Örnek senaryo değeri | Örnek: demo satırına bakın | Yanlışsa: Matrah, tasarruf ve karar bozulur | Kaynak: KVK md.32</t>
      </text>
    </comment>
    <comment ref="A9" authorId="0" shapeId="0">
      <text>
        <t>Tanım: Senaryo | Neden önemli: Üretim KV tasarrufu ve kararı etkiler | Doğru kullanım: Örnek senaryo değeri | Örnek: demo satırına bakın | Yanlışsa: Matrah, tasarruf ve karar bozulur | Kaynak: KVK md.32</t>
      </text>
    </comment>
    <comment ref="B9" authorId="0" shapeId="0">
      <text>
        <t>Tanım: Hasılat | Neden önemli: Üretim KV tasarrufu ve kararı etkiler | Doğru kullanım: Örnek senaryo değeri | Örnek: demo satırına bakın | Yanlışsa: Matrah, tasarruf ve karar bozulur | Kaynak: KVK md.32</t>
      </text>
    </comment>
    <comment ref="C9" authorId="0" shapeId="0">
      <text>
        <t>Tanım: Maliyet | Neden önemli: Üretim KV tasarrufu ve kararı etkiler | Doğru kullanım: Örnek senaryo değeri | Örnek: demo satırına bakın | Yanlışsa: Matrah, tasarruf ve karar bozulur | Kaynak: KVK md.32</t>
      </text>
    </comment>
    <comment ref="D9" authorId="0" shapeId="0">
      <text>
        <t>Tanım: GY Payı | Neden önemli: Üretim KV tasarrufu ve kararı etkiler | Doğru kullanım: Örnek senaryo değeri | Örnek: demo satırına bakın | Yanlışsa: Matrah, tasarruf ve karar bozulur | Kaynak: KVK md.32</t>
      </text>
    </comment>
    <comment ref="E9" authorId="0" shapeId="0">
      <text>
        <t>Tanım: FG Payı | Neden önemli: Üretim KV tasarrufu ve kararı etkiler | Doğru kullanım: Örnek senaryo değeri | Örnek: demo satırına bakın | Yanlışsa: Matrah, tasarruf ve karar bozulur | Kaynak: KVK md.32</t>
      </text>
    </comment>
    <comment ref="F9" authorId="0" shapeId="0">
      <text>
        <t>Tanım: Diğer | Neden önemli: Üretim KV tasarrufu ve kararı etkiler | Doğru kullanım: Örnek senaryo değeri | Örnek: demo satırına bakın | Yanlışsa: Matrah, tasarruf ve karar bozulur | Kaynak: KVK md.32</t>
      </text>
    </comment>
    <comment ref="G9" authorId="0" shapeId="0">
      <text>
        <t>Tanım: İstisna | Neden önemli: Üretim KV tasarrufu ve kararı etkiler | Doğru kullanım: Örnek senaryo değeri | Örnek: demo satırına bakın | Yanlışsa: Matrah, tasarruf ve karar bozulur | Kaynak: KVK md.32</t>
      </text>
    </comment>
    <comment ref="H9" authorId="0" shapeId="0">
      <text>
        <t>Tanım: Yıl | Neden önemli: Üretim KV tasarrufu ve kararı etkiler | Doğru kullanım: Örnek senaryo değeri | Örnek: demo satırına bakın | Yanlışsa: Matrah, tasarruf ve karar bozulur | Kaynak: KVK md.32</t>
      </text>
    </comment>
    <comment ref="A10" authorId="0" shapeId="0">
      <text>
        <t>Tanım: Senaryo | Neden önemli: Üretim KV tasarrufu ve kararı etkiler | Doğru kullanım: Örnek senaryo değeri | Örnek: demo satırına bakın | Yanlışsa: Matrah, tasarruf ve karar bozulur | Kaynak: KVK md.32</t>
      </text>
    </comment>
    <comment ref="B10" authorId="0" shapeId="0">
      <text>
        <t>Tanım: Hasılat | Neden önemli: Üretim KV tasarrufu ve kararı etkiler | Doğru kullanım: Örnek senaryo değeri | Örnek: demo satırına bakın | Yanlışsa: Matrah, tasarruf ve karar bozulur | Kaynak: KVK md.32</t>
      </text>
    </comment>
    <comment ref="C10" authorId="0" shapeId="0">
      <text>
        <t>Tanım: Maliyet | Neden önemli: Üretim KV tasarrufu ve kararı etkiler | Doğru kullanım: Örnek senaryo değeri | Örnek: demo satırına bakın | Yanlışsa: Matrah, tasarruf ve karar bozulur | Kaynak: KVK md.32</t>
      </text>
    </comment>
    <comment ref="D10" authorId="0" shapeId="0">
      <text>
        <t>Tanım: GY Payı | Neden önemli: Üretim KV tasarrufu ve kararı etkiler | Doğru kullanım: Örnek senaryo değeri | Örnek: demo satırına bakın | Yanlışsa: Matrah, tasarruf ve karar bozulur | Kaynak: KVK md.32</t>
      </text>
    </comment>
    <comment ref="E10" authorId="0" shapeId="0">
      <text>
        <t>Tanım: FG Payı | Neden önemli: Üretim KV tasarrufu ve kararı etkiler | Doğru kullanım: Örnek senaryo değeri | Örnek: demo satırına bakın | Yanlışsa: Matrah, tasarruf ve karar bozulur | Kaynak: KVK md.32</t>
      </text>
    </comment>
    <comment ref="F10" authorId="0" shapeId="0">
      <text>
        <t>Tanım: Diğer | Neden önemli: Üretim KV tasarrufu ve kararı etkiler | Doğru kullanım: Örnek senaryo değeri | Örnek: demo satırına bakın | Yanlışsa: Matrah, tasarruf ve karar bozulur | Kaynak: KVK md.32</t>
      </text>
    </comment>
    <comment ref="G10" authorId="0" shapeId="0">
      <text>
        <t>Tanım: İstisna | Neden önemli: Üretim KV tasarrufu ve kararı etkiler | Doğru kullanım: Örnek senaryo değeri | Örnek: demo satırına bakın | Yanlışsa: Matrah, tasarruf ve karar bozulur | Kaynak: KVK md.32</t>
      </text>
    </comment>
    <comment ref="H10" authorId="0" shapeId="0">
      <text>
        <t>Tanım: Yıl | Neden önemli: Üretim KV tasarrufu ve kararı etkiler | Doğru kullanım: Örnek senaryo değeri | Örnek: demo satırına bakın | Yanlışsa: Matrah, tasarruf ve karar bozulur | Kaynak: KVK md.32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Üretim KV tasarrufu ve kararı etkiler | Doğru kullanım: Hesap yılı listesi | Örnek: demo satırına bakın | Yanlışsa: Matrah, tasarruf ve karar bozulur | Kaynak: KVK md.32</t>
      </text>
    </comment>
    <comment ref="C6" authorId="0" shapeId="0">
      <text>
        <t>Tanım: Yorum | Neden önemli: Üretim KV tasarrufu ve kararı etkiler | Doğru kullanım: Pay dağıtım yorumu | Örnek: demo satırına bakın | Yanlışsa: Matrah, tasarruf ve karar bozulur | Kaynak: KVK md.32</t>
      </text>
    </comment>
    <comment ref="E6" authorId="0" shapeId="0">
      <text>
        <t>Tanım: Seçim | Neden önemli: Üretim KV tasarrufu ve kararı etkiler | Doğru kullanım: Evet veya Hayır | Örnek: demo satırına bakın | Yanlışsa: Matrah, tasarruf ve karar bozulur | Kaynak: KVK md.32</t>
      </text>
    </comment>
    <comment ref="A7" authorId="0" shapeId="0">
      <text>
        <t>Tanım: Yıl | Neden önemli: Üretim KV tasarrufu ve kararı etkiler | Doğru kullanım: Hesap yılı listesi | Örnek: demo satırına bakın | Yanlışsa: Matrah, tasarruf ve karar bozulur | Kaynak: KVK md.32</t>
      </text>
    </comment>
    <comment ref="C7" authorId="0" shapeId="0">
      <text>
        <t>Tanım: Yorum | Neden önemli: Üretim KV tasarrufu ve kararı etkiler | Doğru kullanım: Pay dağıtım yorumu | Örnek: demo satırına bakın | Yanlışsa: Matrah, tasarruf ve karar bozulur | Kaynak: KVK md.32</t>
      </text>
    </comment>
    <comment ref="E7" authorId="0" shapeId="0">
      <text>
        <t>Tanım: Seçim | Neden önemli: Üretim KV tasarrufu ve kararı etkiler | Doğru kullanım: Evet veya Hayır | Örnek: demo satırına bakın | Yanlışsa: Matrah, tasarruf ve karar bozulur | Kaynak: KVK md.32</t>
      </text>
    </comment>
    <comment ref="A8" authorId="0" shapeId="0">
      <text>
        <t>Tanım: Yıl | Neden önemli: Üretim KV tasarrufu ve kararı etkiler | Doğru kullanım: Hesap yılı listesi | Örnek: demo satırına bakın | Yanlışsa: Matrah, tasarruf ve karar bozulur | Kaynak: KVK md.32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Üretim KV tasarrufu ve kararı etkiler | Doğru kullanım: Aktif hesap yılı | Örnek: demo satırına bakın | Yanlışsa: Matrah, tasarruf ve karar bozulur | Kaynak: KVK md.32</t>
      </text>
    </comment>
    <comment ref="B7" authorId="0" shapeId="0">
      <text>
        <t>Tanım: raporTarihi | Neden önemli: Üretim KV tasarrufu ve kararı etkiler | Doğru kullanım: Rapor tarihi (sabit) | Örnek: demo satırına bakın | Yanlışsa: Matrah, tasarruf ve karar bozulur | Kaynak: KVK md.32</t>
      </text>
    </comment>
    <comment ref="B8" authorId="0" shapeId="0">
      <text>
        <t>Tanım: ukv_tolerans | Neden önemli: Üretim KV tasarrufu ve kararı etkiler | Doğru kullanım: Vaka tutarlılık toleransı | Örnek: demo satırına bakın | Yanlışsa: Matrah, tasarruf ve karar bozulur | Kaynak: KVK md.32</t>
      </text>
    </comment>
    <comment ref="B9" authorId="0" shapeId="0">
      <text>
        <t>Tanım: ukv_kacirilanEsik | Neden önemli: Üretim KV tasarrufu ve kararı etkiler | Doğru kullanım: PANO tasarruf uyarı eşiği | Örnek: demo satırına bakın | Yanlışsa: Matrah, tasarruf ve karar bozulur | Kaynak: KVK md.32</t>
      </text>
    </comment>
    <comment ref="B10" authorId="0" shapeId="0">
      <text>
        <t>Tanım: ukv_senaryoIyi | Neden önemli: Üretim KV tasarrufu ve kararı etkiler | Doğru kullanım: İyimser matrah çarpanı | Örnek: demo satırına bakın | Yanlışsa: Matrah, tasarruf ve karar bozulur | Kaynak: KVK md.32</t>
      </text>
    </comment>
    <comment ref="B11" authorId="0" shapeId="0">
      <text>
        <t>Tanım: ukv_senaryoKotu | Neden önemli: Üretim KV tasarrufu ve kararı etkiler | Doğru kullanım: Kötümser matrah çarpanı | Örnek: demo satırına bakın | Yanlışsa: Matrah, tasarruf ve karar bozulur | Kaynak: KVK md.32</t>
      </text>
    </comment>
    <comment ref="B12" authorId="0" shapeId="0">
      <text>
        <t>Tanım: ukv_oranArtisPuan | Neden önemli: Üretim KV tasarrufu ve kararı etkiler | Doğru kullanım: M-SEN sabit +1 puan | Örnek: demo satırına bakın | Yanlışsa: Matrah, tasarruf ve karar bozulur | Kaynak: KVK md.32</t>
      </text>
    </comment>
    <comment ref="B13" authorId="0" shapeId="0">
      <text>
        <t>Tanım: ukv_tahminAlt | Neden önemli: Üretim KV tasarrufu ve kararı etkiler | Doğru kullanım: Tahmin alt bant | Örnek: demo satırına bakın | Yanlışsa: Matrah, tasarruf ve karar bozulur | Kaynak: KVK md.32</t>
      </text>
    </comment>
    <comment ref="B14" authorId="0" shapeId="0">
      <text>
        <t>Tanım: ukv_tahminUst | Neden önemli: Üretim KV tasarrufu ve kararı etkiler | Doğru kullanım: Tahmin üst bant | Örnek: demo satırına bakın | Yanlışsa: Matrah, tasarruf ve karar bozulur | Kaynak: KVK md.32</t>
      </text>
    </comment>
    <comment ref="B15" authorId="0" shapeId="0">
      <text>
        <t>Tanım: ukv_tornadoHasilat | Neden önemli: Üretim KV tasarrufu ve kararı etkiler | Doğru kullanım: Tornado hasılat şoku | Örnek: demo satırına bakın | Yanlışsa: Matrah, tasarruf ve karar bozulur | Kaynak: KVK md.32</t>
      </text>
    </comment>
    <comment ref="B16" authorId="0" shapeId="0">
      <text>
        <t>Tanım: ukv_tornadoMaliyet | Neden önemli: Üretim KV tasarrufu ve kararı etkiler | Doğru kullanım: Tornado maliyet şoku | Örnek: demo satırına bakın | Yanlışsa: Matrah, tasarruf ve karar bozulur | Kaynak: KVK md.32</t>
      </text>
    </comment>
    <comment ref="B17" authorId="0" shapeId="0">
      <text>
        <t>Tanım: ukv_payArtisOran | Neden önemli: Üretim KV tasarrufu ve kararı etkiler | Doğru kullanım: Yorum B pay +%10 | Örnek: demo satırına bakın | Yanlışsa: Matrah, tasarruf ve karar bozulur | Kaynak: KVK md.32</t>
      </text>
    </comment>
    <comment ref="B18" authorId="0" shapeId="0">
      <text>
        <t>Tanım: ukv_yuzdelikOran | Neden önemli: Üretim KV tasarrufu ve kararı etkiler | Doğru kullanım: Yüzdelik P90 | Örnek: demo satırına bakın | Yanlışsa: Matrah, tasarruf ve karar bozulur | Kaynak: KVK md.32</t>
      </text>
    </comment>
    <comment ref="B19" authorId="0" shapeId="0">
      <text>
        <t>Tanım: ukv_parmakIzi | Neden önemli: Üretim KV tasarrufu ve kararı etkiler | Doğru kullanım: Dosya parmak izi etiketi | Örnek: demo satırına bakın | Yanlışsa: Matrah, tasarruf ve karar bozulur | Kaynak: KVK md.32</t>
      </text>
    </comment>
    <comment ref="B20" authorId="0" shapeId="0">
      <text>
        <t>Tanım: dosya_surumu | Neden önemli: Üretim KV tasarrufu ve kararı etkiler | Doğru kullanım: Ürün sürümü | Örnek: demo satırına bakın | Yanlışsa: Matrah, tasarruf ve karar bozulur | Kaynak: KVK md.32</t>
      </text>
    </comment>
    <comment ref="B21" authorId="0" shapeId="0">
      <text>
        <t>Tanım: ukv_girisBeklenen | Neden önemli: Üretim KV tasarrufu ve kararı etkiler | Doğru kullanım: Zorunlu giriş alanı sayısı | Örnek: demo satırına bakın | Yanlışsa: Matrah, tasarruf ve karar bozulur | Kaynak: KVK md.32</t>
      </text>
    </comment>
    <comment ref="B22" authorId="0" shapeId="0">
      <text>
        <t>Tanım: ukv_riskDusuk | Neden önemli: Üretim KV tasarrufu ve kararı etkiler | Doğru kullanım: UYGULA risk skoru | Örnek: demo satırına bakın | Yanlışsa: Matrah, tasarruf ve karar bozulur | Kaynak: KVK md.32</t>
      </text>
    </comment>
    <comment ref="B23" authorId="0" shapeId="0">
      <text>
        <t>Tanım: ukv_riskOrta | Neden önemli: Üretim KV tasarrufu ve kararı etkiler | Doğru kullanım: İNCELE risk skoru | Örnek: demo satırına bakın | Yanlışsa: Matrah, tasarruf ve karar bozulur | Kaynak: KVK md.32</t>
      </text>
    </comment>
    <comment ref="B24" authorId="0" shapeId="0">
      <text>
        <t>Tanım: ukv_riskYuksek | Neden önemli: Üretim KV tasarrufu ve kararı etkiler | Doğru kullanım: UYGULAMA risk skoru | Örnek: demo satırına bakın | Yanlışsa: Matrah, tasarruf ve karar bozulur | Kaynak: KVK md.32</t>
      </text>
    </comment>
    <comment ref="B25" authorId="0" shapeId="0">
      <text>
        <t>Tanım: ukv_riskEsikOran | Neden önemli: Üretim KV tasarrufu ve kararı etkiler | Doğru kullanım: Yedek risk oranı | Örnek: demo satırına bakın | Yanlışsa: Matrah, tasarruf ve karar bozulur | Kaynak: KVK md.32</t>
      </text>
    </comment>
    <comment ref="B26" authorId="0" shapeId="0">
      <text>
        <t>Tanım: ukv_yilTaban | Neden önemli: Üretim KV tasarrufu ve kararı etkiler | Doğru kullanım: CHOOSE yıl tabanı (hesapYili−taban) | Örnek: demo satırına bakın | Yanlışsa: Matrah, tasarruf ve karar bozulur | Kaynak: KVK md.32</t>
      </text>
    </comment>
    <comment ref="B27" authorId="0" shapeId="0">
      <text>
        <t>Tanım: ukv_yuvarMax | Neden önemli: Üretim KV tasarrufu ve kararı etkiler | Doğru kullanım: ROUND basamak tavanı | Örnek: demo satırına bakın | Yanlışsa: Matrah, tasarruf ve karar bozulur | Kaynak: KVK md.32</t>
      </text>
    </comment>
    <comment ref="B28" authorId="0" shapeId="0">
      <text>
        <t>Tanım: ukv_dayanakCarpan | Neden önemli: Üretim KV tasarrufu ve kararı etkiler | Doğru kullanım: Yedek çarpan | Örnek: demo satırına bakın | Yanlışsa: Matrah, tasarruf ve karar bozulur | Kaynak: KVK md.32</t>
      </text>
    </comment>
    <comment ref="B29" authorId="0" shapeId="0">
      <text>
        <t>Tanım: ukv_bazCarpan | Neden önemli: Üretim KV tasarrufu ve kararı etkiler | Doğru kullanım: Baz senaryo çarpanı | Örnek: demo satırına bakın | Yanlışsa: Matrah, tasarruf ve karar bozulur | Kaynak: KVK md.32</t>
      </text>
    </comment>
    <comment ref="B30" authorId="0" shapeId="0">
      <text>
        <t>Tanım: ukv_sifirCarpan | Neden önemli: Üretim KV tasarrufu ve kararı etkiler | Doğru kullanım: Nötr çarpan (sıfır) | Örnek: demo satırına bakın | Yanlışsa: Matrah, tasarruf ve karar bozulur | Kaynak: KVK md.32</t>
      </text>
    </comment>
    <comment ref="B31" authorId="0" shapeId="0">
      <text>
        <t>Tanım: ukv_siraBir | Neden önemli: Üretim KV tasarrufu ve kararı etkiler | Doğru kullanım: Tornado sıra 1 | Örnek: demo satırına bakın | Yanlışsa: Matrah, tasarruf ve karar bozulur | Kaynak: KVK md.32</t>
      </text>
    </comment>
    <comment ref="B32" authorId="0" shapeId="0">
      <text>
        <t>Tanım: ukv_siraIki | Neden önemli: Üretim KV tasarrufu ve kararı etkiler | Doğru kullanım: Tornado sıra 2 | Örnek: demo satırına bakın | Yanlışsa: Matrah, tasarruf ve karar bozulur | Kaynak: KVK md.32</t>
      </text>
    </comment>
    <comment ref="B33" authorId="0" shapeId="0">
      <text>
        <t>Tanım: ukv_siraUc | Neden önemli: Üretim KV tasarrufu ve kararı etkiler | Doğru kullanım: Tornado sıra 3 | Örnek: demo satırına bakın | Yanlışsa: Matrah, tasarruf ve karar bozulur | Kaynak: KVK md.32</t>
      </text>
    </comment>
    <comment ref="B34" authorId="0" shapeId="0">
      <text>
        <t>Tanım: ukv_tahminX | Neden önemli: Üretim KV tasarrufu ve kararı etkiler | Doğru kullanım: FORECAST X noktası | Örnek: demo satırına bakın | Yanlışsa: Matrah, tasarruf ve karar bozulur | Kaynak: KVK md.32</t>
      </text>
    </comment>
    <comment ref="B35" authorId="0" shapeId="0">
      <text>
        <t>Tanım: vaka_matrah_1 | Neden önemli: Üretim KV tasarrufu ve kararı etkiler | Doğru kullanım: Vaka1/2/3 matrah | Örnek: demo satırına bakın | Yanlışsa: Matrah, tasarruf ve karar bozulur | Kaynak: KVK md.32</t>
      </text>
    </comment>
    <comment ref="B36" authorId="0" shapeId="0">
      <text>
        <t>Tanım: vaka_matrah_2 | Neden önemli: Üretim KV tasarrufu ve kararı etkiler | Doğru kullanım: Vaka4 matrah | Örnek: demo satırına bakın | Yanlışsa: Matrah, tasarruf ve karar bozulur | Kaynak: KVK md.32</t>
      </text>
    </comment>
    <comment ref="B37" authorId="0" shapeId="0">
      <text>
        <t>Tanım: vaka_tavan | Neden önemli: Üretim KV tasarrufu ve kararı etkiler | Doğru kullanım: Yedek vaka tavanı | Örnek: demo satırına bakın | Yanlışsa: Matrah, tasarruf ve karar bozulur | Kaynak: KVK md.32</t>
      </text>
    </comment>
    <comment ref="B38" authorId="0" shapeId="0">
      <text>
        <t>Tanım: vaka_endeks_orani | Neden önemli: Üretim KV tasarrufu ve kararı etkiler | Doğru kullanım: Yedek endeks oranı | Örnek: demo satırına bakın | Yanlışsa: Matrah, tasarruf ve karar bozulur | Kaynak: KVK md.32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Row],[kural_id]]="","",IFERROR(CHOOSE(MAX(1,MIN(3,IF(OR(hesapYili="",hesapYili=0),1,hesapYili-ukv_yilTaban))),tblKurallar[[#This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Row],[fark]])&lt;=ukv_tolerans,"TUTARLI","KIRIK"),"KIRIK"))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Hasılat"/>
    <tableColumn id="3" name="Maliyet"/>
    <tableColumn id="4" name="GY Payı"/>
    <tableColumn id="5" name="FG Payı"/>
    <tableColumn id="6" name="Diğer"/>
    <tableColumn id="7" name="İstisna"/>
    <tableColumn id="8" name="Yıl"/>
    <tableColumn id="9" name="Üretim Kârı">
      <calculatedColumnFormula>=IF(tblOrnek[[#This Row],[Senaryo]]="","",IFERROR(tblOrnek[[#This Row],[Hasılat]]-tblOrnek[[#This Row],[Maliyet]]-tblOrnek[[#This Row],[GY Payı]]-tblOrnek[[#This Row],[FG Payı]],0))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EXCELARŞİV KARAR SİSTEMİ v15.1 — ÜRETİM REFERANSI</t>
        </is>
      </c>
    </row>
    <row r="3" ht="24" customHeight="1">
      <c r="A3" s="172" t="inlineStr">
        <is>
          <t>Konu</t>
        </is>
      </c>
      <c r="B3" s="172" t="inlineStr">
        <is>
          <t>Bağlayıcı Standart</t>
        </is>
      </c>
    </row>
    <row r="4">
      <c r="A4" s="173" t="inlineStr">
        <is>
          <t>Amaç</t>
        </is>
      </c>
      <c r="B4" s="174" t="inlineStr">
        <is>
          <t>Kanıta dayalı, hatada kapalı çalışan Excel üretim ve denetim sistemi</t>
        </is>
      </c>
    </row>
    <row r="5">
      <c r="A5" s="173" t="inlineStr">
        <is>
          <t>Öncelik</t>
        </is>
      </c>
      <c r="B5" s="174" t="inlineStr">
        <is>
          <t>Kullanıcının açık iş talebi ve gerçek kullanım senaryosu</t>
        </is>
      </c>
    </row>
    <row r="6">
      <c r="A6" s="173" t="inlineStr">
        <is>
          <t>Ana akış</t>
        </is>
      </c>
      <c r="B6" s="174" t="inlineStr">
        <is>
          <t>Uygunluk → Yönetişim → Sözleşmeler → Üretim → Test → Kanıt → Kullanıcı Kabulü → Yayın</t>
        </is>
      </c>
    </row>
    <row r="7">
      <c r="A7" s="173" t="inlineStr">
        <is>
          <t>Yayın ilkesi</t>
        </is>
      </c>
      <c r="B7" s="174" t="inlineStr">
        <is>
          <t>Üst aşamada hata varsa alt aşama GEÇTİ üretilemez</t>
        </is>
      </c>
    </row>
    <row r="8">
      <c r="A8" s="173" t="inlineStr">
        <is>
          <t>Kullanıcı kabulü</t>
        </is>
      </c>
      <c r="B8" s="174" t="inlineStr">
        <is>
          <t>Excel masaüstü görünümü test edilmediyse DIŞ_KABUL_GEREKLİ</t>
        </is>
      </c>
    </row>
    <row r="9">
      <c r="A9" s="173" t="inlineStr">
        <is>
          <t>Nihai yayın</t>
        </is>
      </c>
      <c r="B9" s="174" t="inlineStr">
        <is>
          <t>Yalnız uygulanabilir modüller GEÇTİ veya gerekçeli UYGULANMAZ</t>
        </is>
      </c>
    </row>
    <row r="10">
      <c r="A10" s="173" t="inlineStr">
        <is>
          <t>Ticari ayrım</t>
        </is>
      </c>
      <c r="B10" s="174" t="inlineStr">
        <is>
          <t>Ekonomik olarak savunulabilir fiyat, gerçek pazar kabulü ile aynı değildir</t>
        </is>
      </c>
    </row>
    <row r="11">
      <c r="A11" s="173" t="inlineStr">
        <is>
          <t>Karmaşıklık</t>
        </is>
      </c>
      <c r="B11" s="174" t="inlineStr">
        <is>
          <t>Karar değeri, eklenen karmaşıklığın maliyetinden büyük olmalıdır</t>
        </is>
      </c>
    </row>
    <row r="12">
      <c r="A12" s="173" t="inlineStr">
        <is>
          <t>Excel sınırı</t>
        </is>
      </c>
      <c r="B12" s="174" t="inlineStr">
        <is>
          <t>Veritabanı, kurumsal yetkilendirme, değiştirilemez kayıt sistemi veya gerçek zamanlı olay platformu değildir</t>
        </is>
      </c>
    </row>
    <row r="13">
      <c r="A13" s="173" t="inlineStr">
        <is>
          <t>Dil standardı</t>
        </is>
      </c>
      <c r="B13" s="174" t="inlineStr">
        <is>
          <t>Kullanıcıya görünen tüm sayfa, tablo, başlık, açıklama, uyarı ve karar metinleri saf Türkçe olmalıdır</t>
        </is>
      </c>
    </row>
    <row r="14">
      <c r="A14" s="173" t="inlineStr">
        <is>
          <t>Muhasebe standardı</t>
        </is>
      </c>
      <c r="B14" s="174" t="inlineStr">
        <is>
          <t>Finansal ürünlerde Türkiye Tekdüzen Hesap Planı ve Türk muhasebe kullanım alışkanlıkları esas alınır</t>
        </is>
      </c>
    </row>
    <row r="15">
      <c r="A15" s="173" t="inlineStr">
        <is>
          <t>Görsel standart</t>
        </is>
      </c>
      <c r="B15" s="174" t="inlineStr">
        <is>
          <t>Her sayfa başlıklı, renk kodlu, sıkı kolon düzenli ve premium kurumsal görünümde olmalıdır</t>
        </is>
      </c>
    </row>
    <row r="16">
      <c r="A16" s="173" t="inlineStr">
        <is>
          <t>Grafik standardı</t>
        </is>
      </c>
      <c r="B16" s="174" t="inlineStr">
        <is>
          <t>Grafikler karar üretmeli; dekoratif, 3B, anlamsız renkli veya varsayılan Excel grafiği kullanılamaz</t>
        </is>
      </c>
    </row>
    <row r="17">
      <c r="A17" s="173" t="inlineStr">
        <is>
          <t>Hata standardı</t>
        </is>
      </c>
      <c r="B17" s="174" t="inlineStr">
        <is>
          <t>#AD? / #BAŞV! / #DEĞER! / #SAYI/0! / #YOK gibi hatalar GEÇTİ sonucuyla birlikte bulunamaz</t>
        </is>
      </c>
    </row>
    <row r="18">
      <c r="A18" s="173" t="inlineStr">
        <is>
          <t>Karar standardı</t>
        </is>
      </c>
      <c r="B18" s="174" t="inlineStr">
        <is>
          <t>Her kritik çıktı: ne oldu, neden oldu, parasal etki, ne yapılmalı, ne zamana kadar sorularını cevaplar</t>
        </is>
      </c>
    </row>
    <row r="19">
      <c r="A19" s="173" t="inlineStr">
        <is>
          <t>Satış standardı</t>
        </is>
      </c>
      <c r="B19" s="174" t="inlineStr">
        <is>
          <t>Ürün 5 saniyede anlaşılmalı; pahalı problemi, ekonomik sonucu, kanıtı ve satın alma gerekçesini göstermelidir</t>
        </is>
      </c>
    </row>
    <row r="20">
      <c r="A20" s="173" t="inlineStr">
        <is>
          <t>Güven standardı</t>
        </is>
      </c>
      <c r="B20" s="174" t="inlineStr">
        <is>
          <t>Kanıtsız 'premium', 'kusursuz', 'sıfır hata' veya yüksek fiyat iddiası kullanılamaz</t>
        </is>
      </c>
    </row>
    <row r="21">
      <c r="A21" s="173" t="inlineStr">
        <is>
          <t>Kaynak</t>
        </is>
      </c>
      <c r="B21" s="174" t="inlineStr">
        <is>
          <t>Teknik Python çekirdeği 99_TEKNIK_KAYNAK sayfasında saklanır; kullanıcı arayüzü değildir</t>
        </is>
      </c>
    </row>
    <row r="22">
      <c r="A22" s="173" t="inlineStr">
        <is>
          <t>Bağlayıcı standart</t>
        </is>
      </c>
      <c r="B22" s="174" t="inlineStr">
        <is>
          <t>Teknik kaynak içindeki üretim sözleşmesi + bu çalışma kitabındaki Türkçe operasyon standartları</t>
        </is>
      </c>
    </row>
    <row r="23">
      <c r="A23" s="173" t="inlineStr">
        <is>
          <t>Çıktı disiplini</t>
        </is>
      </c>
      <c r="B23" s="174" t="inlineStr">
        <is>
          <t>Kanıtsız GEÇTİ / NİHAİ / TİCARİ / PAZAR_DOĞRULANDI statüsü yasaktır</t>
        </is>
      </c>
    </row>
    <row r="24">
      <c r="A24" s="173" t="inlineStr">
        <is>
          <t>Uyarlanabilirlik</t>
        </is>
      </c>
      <c r="B24" s="174" t="inlineStr">
        <is>
          <t>Gereksiz modül yalnız prestij amacıyla eklenmez</t>
        </is>
      </c>
    </row>
    <row r="26" ht="16" customHeight="1">
      <c r="A26" s="175" t="inlineStr">
        <is>
          <t>TEK KAYNAK MİMARİSİ</t>
        </is>
      </c>
      <c r="B26" s="175" t="inlineStr">
        <is>
          <t>İKİ DOSYALI / TEK SİSTEM</t>
        </is>
      </c>
    </row>
    <row r="27" ht="28" customHeight="1">
      <c r="A27" s="174" t="inlineStr">
        <is>
          <t>MASTER Excel</t>
        </is>
      </c>
      <c r="B27" s="174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4" t="inlineStr">
        <is>
          <t>Runtime Python</t>
        </is>
      </c>
      <c r="B28" s="174" t="inlineStr">
        <is>
          <t>EXCELARSIV_DECISION_OS_V15_1_RUNTIME_KERNEL.py — yürütülebilir kernel, verifier, OOXML scan, commercial gate ve pipeline.</t>
        </is>
      </c>
    </row>
    <row r="29">
      <c r="A29" s="174" t="inlineStr">
        <is>
          <t>Python SHA-256</t>
        </is>
      </c>
      <c r="B29" s="174" t="inlineStr">
        <is>
          <t>babe066ab599199123e53d01944bcd9d75648a579ade69ab9303dd675962f481</t>
        </is>
      </c>
    </row>
    <row r="30">
      <c r="A30" s="174" t="inlineStr">
        <is>
          <t>Sürüm Eşleşmesi</t>
        </is>
      </c>
      <c r="B30" s="174" t="inlineStr">
        <is>
          <t>Her iki dosya v15.1 sistemine aittir. Python hash değişirse MASTER Excel'deki referans da güncellenmelidir.</t>
        </is>
      </c>
    </row>
    <row r="31" ht="28" customHeight="1">
      <c r="A31" s="174" t="inlineStr">
        <is>
          <t>Sahte PASS Yasağı</t>
        </is>
      </c>
      <c r="B31" s="174" t="inlineStr">
        <is>
          <t>Kanıt yoksa PASS yok; hata=FAIL, ölçülemiyorsa=BLOCKED, Excel GUI gerekiyorsa=HARİCİ KABUL GEREKLİ.</t>
        </is>
      </c>
    </row>
    <row r="32">
      <c r="A32" s="174" t="inlineStr">
        <is>
          <t>Dil</t>
        </is>
      </c>
      <c r="B32" s="174" t="inlineStr">
        <is>
          <t>Kullanıcı yüzeyi safkan Türkçe; teknik kavramların Türkçe karşılığı ana terimdir.</t>
        </is>
      </c>
    </row>
    <row r="33">
      <c r="A33" s="174" t="inlineStr">
        <is>
          <t>Muhasebe</t>
        </is>
      </c>
      <c r="B33" s="174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6" t="inlineStr">
        <is>
          <t>☰ PANO</t>
        </is>
      </c>
    </row>
    <row r="2" ht="28" customHeight="1">
      <c r="B2" s="227" t="inlineStr">
        <is>
          <t>ÜRETIM KÂRI %12,5 KV OPTIMIZASYONU</t>
        </is>
      </c>
      <c r="L2" s="228" t="inlineStr">
        <is>
          <t>Dönem: 2026 / Tam ▼</t>
        </is>
      </c>
      <c r="M2" s="229" t="inlineStr">
        <is>
          <t>★ DOĞRULANMIŞ</t>
        </is>
      </c>
    </row>
    <row r="3" ht="18" customHeight="1">
      <c r="B3" s="230" t="inlineStr">
        <is>
          <t>Hedef Kullanıcı: SMMM, YMM, vergi müdürü, imalat CFO · 2026 Q3 Denetim Standardı</t>
        </is>
      </c>
    </row>
    <row r="4" ht="10" customHeight="1"/>
    <row r="5" ht="20" customHeight="1">
      <c r="B5" s="231" t="inlineStr">
        <is>
          <t>ÜRETIM KÂRI / HASILAT ORANI</t>
        </is>
      </c>
      <c r="C5" s="232" t="n"/>
      <c r="D5" s="233" t="inlineStr">
        <is>
          <t>KONSOLİDE</t>
        </is>
      </c>
      <c r="E5" s="234" t="inlineStr">
        <is>
          <t>TASARRUF / STANDART KV ORANI</t>
        </is>
      </c>
      <c r="F5" s="232" t="n"/>
      <c r="G5" s="235" t="inlineStr">
        <is>
          <t>KONTROL</t>
        </is>
      </c>
      <c r="H5" s="236" t="inlineStr">
        <is>
          <t>NET OPERASYONEL MARJ</t>
        </is>
      </c>
      <c r="I5" s="232" t="n"/>
      <c r="J5" s="237" t="inlineStr">
        <is>
          <t>GÜVENLİ</t>
        </is>
      </c>
      <c r="K5" s="238" t="inlineStr">
        <is>
          <t>SİSTEM GÜVEN SKORU</t>
        </is>
      </c>
      <c r="L5" s="232" t="n"/>
      <c r="M5" s="239" t="inlineStr">
        <is>
          <t>DENETLENDİ</t>
        </is>
      </c>
    </row>
    <row r="6" ht="6" customHeight="1">
      <c r="B6" s="240" t="n"/>
      <c r="C6" s="241" t="n"/>
      <c r="D6" s="242" t="n"/>
      <c r="E6" s="243" t="n"/>
      <c r="F6" s="241" t="n"/>
      <c r="G6" s="242" t="n"/>
      <c r="H6" s="244" t="n"/>
      <c r="I6" s="241" t="n"/>
      <c r="J6" s="242" t="n"/>
      <c r="K6" s="245" t="n"/>
      <c r="L6" s="241" t="n"/>
      <c r="M6" s="242" t="n"/>
    </row>
    <row r="7" ht="32" customHeight="1">
      <c r="B7" s="246">
        <f>GİRDİLER!E17</f>
        <v/>
      </c>
      <c r="C7" s="241" t="n"/>
      <c r="D7" s="242" t="n"/>
      <c r="E7" s="247">
        <f>B7*0.22</f>
        <v/>
      </c>
      <c r="F7" s="241" t="n"/>
      <c r="G7" s="242" t="n"/>
      <c r="H7" s="248">
        <f>B7-E7</f>
        <v/>
      </c>
      <c r="I7" s="241" t="n"/>
      <c r="J7" s="242" t="n"/>
      <c r="K7" s="249">
        <f>IF(E7&gt;0, ROUND(B7/E7, 2), 0)</f>
        <v/>
      </c>
      <c r="L7" s="241" t="n"/>
      <c r="M7" s="242" t="n"/>
    </row>
    <row r="8" ht="6" customHeight="1">
      <c r="B8" s="240" t="n"/>
      <c r="C8" s="241" t="n"/>
      <c r="D8" s="242" t="n"/>
      <c r="E8" s="243" t="n"/>
      <c r="F8" s="241" t="n"/>
      <c r="G8" s="242" t="n"/>
      <c r="H8" s="244" t="n"/>
      <c r="I8" s="241" t="n"/>
      <c r="J8" s="242" t="n"/>
      <c r="K8" s="245" t="n"/>
      <c r="L8" s="241" t="n"/>
      <c r="M8" s="242" t="n"/>
    </row>
    <row r="9" ht="18" customHeight="1">
      <c r="B9" s="250" t="inlineStr">
        <is>
          <t>↑ %14.2 konsolide canlı veri bağlantısı</t>
        </is>
      </c>
      <c r="C9" s="251" t="n"/>
      <c r="D9" s="252" t="n"/>
      <c r="E9" s="253" t="inlineStr">
        <is>
          <t>● 8 Kalem nakit karşılığı: bloke</t>
        </is>
      </c>
      <c r="F9" s="251" t="n"/>
      <c r="G9" s="252" t="n"/>
      <c r="H9" s="254" t="inlineStr">
        <is>
          <t>██████████░░░░░ %78.0 NET MARJ</t>
        </is>
      </c>
      <c r="I9" s="251" t="n"/>
      <c r="J9" s="252" t="n"/>
      <c r="K9" s="255" t="inlineStr">
        <is>
          <t>✓ İDEAL karşılama rasyosu</t>
        </is>
      </c>
      <c r="L9" s="251" t="n"/>
      <c r="M9" s="252" t="n"/>
    </row>
    <row r="10" ht="14" customHeight="1"/>
    <row r="11" ht="24" customHeight="1">
      <c r="B11" s="256" t="inlineStr">
        <is>
          <t>ÜRETIM KÂRI %12,5 KV OPTIMIZASYONU — DÖNEMSEL İCRA VE PROJEKSİYON</t>
        </is>
      </c>
      <c r="F11" s="257" t="inlineStr">
        <is>
          <t>+%32 Verim</t>
        </is>
      </c>
      <c r="H11" s="256" t="inlineStr">
        <is>
          <t>KONSOLİDE OPERASYON VE KARAR MATRİSİ</t>
        </is>
      </c>
    </row>
    <row r="12" ht="18" customHeight="1">
      <c r="B12" s="97" t="inlineStr">
        <is>
          <t>Kümülatif Hacim vs. Operasyonel Maliyet ve Net Kâr Eğilimi</t>
        </is>
      </c>
      <c r="H12" s="97" t="inlineStr">
        <is>
          <t>Anlık Hesaplama Sonuçları, Dinamik Formül Çıktıları ve Durum Puanlaması</t>
        </is>
      </c>
    </row>
    <row r="13" ht="8" customHeight="1"/>
    <row r="14" ht="24" customHeight="1">
      <c r="B14" s="258" t="inlineStr">
        <is>
          <t>Dönem</t>
        </is>
      </c>
      <c r="C14" s="258" t="inlineStr">
        <is>
          <t>Aktif Hacim</t>
        </is>
      </c>
      <c r="D14" s="258" t="inlineStr">
        <is>
          <t>Maliyet/Yük</t>
        </is>
      </c>
      <c r="E14" s="258" t="inlineStr">
        <is>
          <t>Hedef</t>
        </is>
      </c>
      <c r="H14" s="259" t="inlineStr">
        <is>
          <t>PARAMETRE / KALEM</t>
        </is>
      </c>
      <c r="I14" s="260" t="inlineStr">
        <is>
          <t>ANA TUTAR</t>
        </is>
      </c>
      <c r="J14" s="260" t="inlineStr">
        <is>
          <t>FARK / MARJ</t>
        </is>
      </c>
      <c r="K14" s="260" t="inlineStr">
        <is>
          <t>VADE</t>
        </is>
      </c>
      <c r="L14" s="260" t="inlineStr">
        <is>
          <t>KONTROL DURUMU</t>
        </is>
      </c>
      <c r="M14" s="260" t="n"/>
    </row>
    <row r="15" ht="22" customHeight="1">
      <c r="B15" s="261" t="inlineStr">
        <is>
          <t>D1</t>
        </is>
      </c>
      <c r="C15" s="261" t="n">
        <v>65</v>
      </c>
      <c r="D15" s="261" t="n">
        <v>45</v>
      </c>
      <c r="E15" s="261" t="n">
        <v>60</v>
      </c>
      <c r="H15" s="262" t="inlineStr">
        <is>
          <t>Dönemlik Kümülatif Bakiye</t>
        </is>
      </c>
      <c r="I15" s="263">
        <f>B7*0.45</f>
        <v/>
      </c>
      <c r="J15" s="264">
        <f>B7*0.05</f>
        <v/>
      </c>
      <c r="K15" s="265" t="inlineStr">
        <is>
          <t>12 Ay</t>
        </is>
      </c>
      <c r="L15" s="266" t="inlineStr">
        <is>
          <t>✓ DÜZENLİ</t>
        </is>
      </c>
      <c r="M15" s="267" t="n"/>
    </row>
    <row r="16" ht="22" customHeight="1">
      <c r="B16" s="268" t="inlineStr">
        <is>
          <t>D2</t>
        </is>
      </c>
      <c r="C16" s="268" t="n">
        <v>78</v>
      </c>
      <c r="D16" s="268" t="n">
        <v>48</v>
      </c>
      <c r="E16" s="268" t="n">
        <v>70</v>
      </c>
      <c r="H16" s="269" t="inlineStr">
        <is>
          <t>Kritik Eşik Güvenlik Tamponu</t>
        </is>
      </c>
      <c r="I16" s="270">
        <f>B7*0.30</f>
        <v/>
      </c>
      <c r="J16" s="271">
        <f>B7*0.03</f>
        <v/>
      </c>
      <c r="K16" s="272" t="inlineStr">
        <is>
          <t>24 Ay</t>
        </is>
      </c>
      <c r="L16" s="273" t="inlineStr">
        <is>
          <t>★ AVANTAJ</t>
        </is>
      </c>
      <c r="M16" s="274" t="n"/>
    </row>
    <row r="17" ht="22" customHeight="1">
      <c r="B17" s="261" t="inlineStr">
        <is>
          <t>D3</t>
        </is>
      </c>
      <c r="C17" s="261" t="n">
        <v>85</v>
      </c>
      <c r="D17" s="261" t="n">
        <v>55</v>
      </c>
      <c r="E17" s="261" t="n">
        <v>80</v>
      </c>
      <c r="H17" s="262" t="inlineStr">
        <is>
          <t>Operasyonel Net Fark</t>
        </is>
      </c>
      <c r="I17" s="263">
        <f>B7*0.15</f>
        <v/>
      </c>
      <c r="J17" s="264">
        <f>B7*0.02</f>
        <v/>
      </c>
      <c r="K17" s="265" t="inlineStr">
        <is>
          <t>8 Ay</t>
        </is>
      </c>
      <c r="L17" s="275" t="inlineStr">
        <is>
          <t>● YAKLAŞAN</t>
        </is>
      </c>
      <c r="M17" s="267" t="n"/>
    </row>
    <row r="18" ht="22" customHeight="1">
      <c r="B18" s="268" t="inlineStr">
        <is>
          <t>D4</t>
        </is>
      </c>
      <c r="C18" s="268" t="n">
        <v>75</v>
      </c>
      <c r="D18" s="268" t="n">
        <v>42</v>
      </c>
      <c r="E18" s="268" t="n">
        <v>75</v>
      </c>
      <c r="H18" s="269" t="inlineStr">
        <is>
          <t>Rezerv ve Likit Dağılım</t>
        </is>
      </c>
      <c r="I18" s="270">
        <f>B7*0.10</f>
        <v/>
      </c>
      <c r="J18" s="271">
        <f>B7*0.01</f>
        <v/>
      </c>
      <c r="K18" s="272" t="inlineStr">
        <is>
          <t>16 Ay</t>
        </is>
      </c>
      <c r="L18" s="276" t="inlineStr">
        <is>
          <t>✓ TAM UYUM</t>
        </is>
      </c>
      <c r="M18" s="274" t="n"/>
    </row>
    <row r="19" ht="26" customHeight="1">
      <c r="B19" s="261" t="inlineStr">
        <is>
          <t>D5</t>
        </is>
      </c>
      <c r="C19" s="261" t="n">
        <v>90</v>
      </c>
      <c r="D19" s="261" t="n">
        <v>40</v>
      </c>
      <c r="E19" s="261" t="n">
        <v>85</v>
      </c>
      <c r="H19" s="277" t="inlineStr">
        <is>
          <t>KONSOLİDE SİSTEM TOPLAMI</t>
        </is>
      </c>
      <c r="I19" s="278">
        <f>SUM(I15:I18)</f>
        <v/>
      </c>
      <c r="J19" s="279">
        <f>SUM(J15:J18)</f>
        <v/>
      </c>
      <c r="K19" s="280" t="inlineStr"/>
      <c r="L19" s="281" t="inlineStr">
        <is>
          <t>TAM DOĞRULANDI (0 HATA)</t>
        </is>
      </c>
      <c r="M19" s="281" t="n"/>
    </row>
    <row r="20" ht="22" customHeight="1">
      <c r="B20" s="268" t="inlineStr">
        <is>
          <t>D6</t>
        </is>
      </c>
      <c r="C20" s="268" t="n">
        <v>96</v>
      </c>
      <c r="D20" s="268" t="n">
        <v>32</v>
      </c>
      <c r="E20" s="268" t="n">
        <v>92</v>
      </c>
    </row>
    <row r="21" ht="14" customHeight="1"/>
    <row r="22" ht="24" customHeight="1">
      <c r="B22" s="282" t="inlineStr">
        <is>
          <t>KONSOLİDE PAY VE AĞIRLIK</t>
        </is>
      </c>
      <c r="C22" s="232" t="n"/>
      <c r="D22" s="232" t="n"/>
      <c r="E22" s="283" t="n"/>
      <c r="F22" s="282" t="inlineStr">
        <is>
          <t>LİKİDİTE RİSKİ &amp; ERKEN UYARI SİNYALLERİ</t>
        </is>
      </c>
      <c r="G22" s="232" t="n"/>
      <c r="H22" s="232" t="n"/>
      <c r="I22" s="283" t="n"/>
      <c r="K22" s="284" t="inlineStr">
        <is>
          <t>KARAR MOTORU</t>
        </is>
      </c>
      <c r="L22" s="285" t="n"/>
      <c r="M22" s="286" t="n"/>
    </row>
    <row r="23" ht="20" customHeight="1">
      <c r="B23" s="287" t="inlineStr">
        <is>
          <t>■ Ana Segment (%42)</t>
        </is>
      </c>
      <c r="C23" s="241" t="n"/>
      <c r="D23" s="241" t="n"/>
      <c r="E23" s="242" t="n"/>
      <c r="F23" s="288" t="inlineStr">
        <is>
          <t>Nakit Açığı Riski (30 Gün)</t>
        </is>
      </c>
      <c r="G23" s="241" t="n"/>
      <c r="H23" s="241" t="n"/>
      <c r="I23" s="289" t="inlineStr">
        <is>
          <t>0.00 TL (Sıfır Risk)</t>
        </is>
      </c>
      <c r="K23" s="290" t="inlineStr">
        <is>
          <t>LİKİDİTE OPTİMİZASYON FIRSATI</t>
        </is>
      </c>
      <c r="L23" s="291" t="n"/>
      <c r="M23" s="292" t="n"/>
    </row>
    <row r="24" ht="20" customHeight="1">
      <c r="B24" s="293" t="inlineStr">
        <is>
          <t>■ İkincil Grup (%30)</t>
        </is>
      </c>
      <c r="C24" s="241" t="n"/>
      <c r="D24" s="241" t="n"/>
      <c r="E24" s="242" t="n"/>
      <c r="F24" s="288" t="inlineStr">
        <is>
          <t>Tahsilat Gecikme Toleransı</t>
        </is>
      </c>
      <c r="G24" s="241" t="n"/>
      <c r="H24" s="241" t="n"/>
      <c r="I24" s="289" t="inlineStr">
        <is>
          <t>48 Gün Güvenli Eşik</t>
        </is>
      </c>
      <c r="K24" s="294" t="inlineStr">
        <is>
          <t>Atıl kalan nakit rezervinin gecelik repoda</t>
        </is>
      </c>
    </row>
    <row r="25" ht="20" customHeight="1">
      <c r="B25" s="295" t="inlineStr">
        <is>
          <t>■ Destek Birimi (%15)</t>
        </is>
      </c>
      <c r="C25" s="241" t="n"/>
      <c r="D25" s="241" t="n"/>
      <c r="E25" s="242" t="n"/>
      <c r="F25" s="266" t="inlineStr">
        <is>
          <t>██████████████████████████████████████ Güvenli Bölge (%100)</t>
        </is>
      </c>
      <c r="G25" s="296" t="n"/>
      <c r="H25" s="296" t="n"/>
      <c r="I25" s="296" t="n"/>
    </row>
    <row r="26" ht="20" customHeight="1">
      <c r="B26" s="297" t="inlineStr">
        <is>
          <t>■ Rezervler (%13)</t>
        </is>
      </c>
      <c r="C26" s="241" t="n"/>
      <c r="D26" s="241" t="n"/>
      <c r="E26" s="242" t="n"/>
      <c r="F26" s="298" t="inlineStr">
        <is>
          <t>✓ 90 GÜNLÜK PROJEKSİYONDA NAKİT SIKIŞIKLIĞI TESPİT EDİLMEDİ</t>
        </is>
      </c>
      <c r="G26" s="207" t="n"/>
      <c r="H26" s="207" t="n"/>
      <c r="I26" s="208" t="n"/>
      <c r="K26" s="299" t="inlineStr">
        <is>
          <t>FONLAMA SENARYOSUNU İNCELE ›</t>
        </is>
      </c>
    </row>
    <row r="27" ht="26" customHeight="1">
      <c r="B27" s="300" t="n"/>
      <c r="C27" s="251" t="n"/>
      <c r="D27" s="251" t="n"/>
      <c r="E27" s="252" t="n"/>
      <c r="F27" s="209" t="n"/>
      <c r="G27" s="210" t="n"/>
      <c r="H27" s="210" t="n"/>
      <c r="I27" s="211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78" t="inlineStr">
        <is>
          <t>☰ PANO</t>
        </is>
      </c>
    </row>
    <row r="3">
      <c r="B3" s="136" t="inlineStr">
        <is>
          <t>🔍  ÜRETIM KÂRI %12,5 KV OPTIMIZASYONU — Kayıt veya hesap ara...</t>
        </is>
      </c>
      <c r="C3" s="212" t="n"/>
      <c r="D3" s="212" t="n"/>
      <c r="E3" s="213" t="n"/>
      <c r="G3" s="137" t="inlineStr">
        <is>
          <t>TOPLAM: 1.450 KAYIT</t>
        </is>
      </c>
      <c r="I3" s="138" t="inlineStr">
        <is>
          <t>HATALI HÜCRE: 0 ADET</t>
        </is>
      </c>
    </row>
    <row r="5">
      <c r="B5" s="139" t="inlineStr">
        <is>
          <t>TARİH</t>
        </is>
      </c>
      <c r="C5" s="139" t="inlineStr">
        <is>
          <t>REFERANS NO</t>
        </is>
      </c>
      <c r="D5" s="139" t="inlineStr">
        <is>
          <t>İŞLEM AÇIKLAMASI VE DETAY</t>
        </is>
      </c>
      <c r="E5" s="139" t="inlineStr">
        <is>
          <t>BRÜT TUTAR (₺)</t>
        </is>
      </c>
      <c r="F5" s="139" t="inlineStr">
        <is>
          <t>KDV ORANI</t>
        </is>
      </c>
      <c r="G5" s="139" t="inlineStr">
        <is>
          <t>NET TUTAR (₺)</t>
        </is>
      </c>
      <c r="H5" s="139" t="inlineStr">
        <is>
          <t>HESAP / CARİ</t>
        </is>
      </c>
      <c r="I5" s="139" t="inlineStr">
        <is>
          <t>DURUM</t>
        </is>
      </c>
    </row>
    <row r="6">
      <c r="B6" s="140" t="inlineStr">
        <is>
          <t>12.10.2026</t>
        </is>
      </c>
      <c r="C6" s="141" t="inlineStr">
        <is>
          <t>TR-0428-A</t>
        </is>
      </c>
      <c r="D6" s="142" t="inlineStr">
        <is>
          <t>Operasyonel ana kalem tahmini</t>
        </is>
      </c>
      <c r="E6" s="201" t="n">
        <v>845200</v>
      </c>
      <c r="F6" s="144" t="n">
        <v>0.2</v>
      </c>
      <c r="G6" s="145">
        <f>E6/(1+F6)</f>
        <v/>
      </c>
      <c r="H6" s="142" t="inlineStr">
        <is>
          <t>Vadesiz Ticari</t>
        </is>
      </c>
      <c r="I6" s="146" t="inlineStr">
        <is>
          <t>ONAYLANDI</t>
        </is>
      </c>
    </row>
    <row r="7">
      <c r="B7" s="147" t="inlineStr">
        <is>
          <t>14.10.2026</t>
        </is>
      </c>
      <c r="C7" s="148" t="inlineStr">
        <is>
          <t>TR-0429-B</t>
        </is>
      </c>
      <c r="D7" s="149" t="inlineStr">
        <is>
          <t>Operasyonel çıkış/maliyet tahmini</t>
        </is>
      </c>
      <c r="E7" s="201" t="n">
        <v>1240000</v>
      </c>
      <c r="F7" s="151" t="n">
        <v>0.2</v>
      </c>
      <c r="G7" s="152">
        <f>E7/(1+F7)</f>
        <v/>
      </c>
      <c r="H7" s="149" t="inlineStr">
        <is>
          <t>Tedarikçi Havuzu</t>
        </is>
      </c>
      <c r="I7" s="153" t="inlineStr">
        <is>
          <t>BEKLEMEDE</t>
        </is>
      </c>
    </row>
    <row r="8">
      <c r="B8" s="140" t="inlineStr">
        <is>
          <t>18.10.2026</t>
        </is>
      </c>
      <c r="C8" s="141" t="inlineStr">
        <is>
          <t>TR-0430-C</t>
        </is>
      </c>
      <c r="D8" s="142" t="inlineStr">
        <is>
          <t>Ödeme takvimi tahakkuku</t>
        </is>
      </c>
      <c r="E8" s="201" t="n">
        <v>620500</v>
      </c>
      <c r="F8" s="144" t="n">
        <v>0.1</v>
      </c>
      <c r="G8" s="145">
        <f>E8/(1+F8)</f>
        <v/>
      </c>
      <c r="H8" s="142" t="inlineStr">
        <is>
          <t>Kısa Vade Tahakkuk</t>
        </is>
      </c>
      <c r="I8" s="146" t="inlineStr">
        <is>
          <t>ONAYLANDI</t>
        </is>
      </c>
    </row>
    <row r="9">
      <c r="B9" s="147" t="inlineStr">
        <is>
          <t>21.10.2026</t>
        </is>
      </c>
      <c r="C9" s="148" t="inlineStr">
        <is>
          <t>TR-0431-D</t>
        </is>
      </c>
      <c r="D9" s="149" t="inlineStr">
        <is>
          <t>Müşteri işlem tahmini</t>
        </is>
      </c>
      <c r="E9" s="201" t="n">
        <v>415000</v>
      </c>
      <c r="F9" s="151" t="n">
        <v>0.2</v>
      </c>
      <c r="G9" s="152">
        <f>E9/(1+F9)</f>
        <v/>
      </c>
      <c r="H9" s="149" t="inlineStr">
        <is>
          <t>Müşteri Alacağı</t>
        </is>
      </c>
      <c r="I9" s="154" t="inlineStr">
        <is>
          <t>ONAYLANDI</t>
        </is>
      </c>
    </row>
    <row r="10">
      <c r="B10" s="140" t="inlineStr">
        <is>
          <t>25.10.2026</t>
        </is>
      </c>
      <c r="C10" s="141" t="inlineStr">
        <is>
          <t>TR-0432-E</t>
        </is>
      </c>
      <c r="D10" s="142" t="inlineStr">
        <is>
          <t>Ana operasyon tahmini</t>
        </is>
      </c>
      <c r="E10" s="201" t="n">
        <v>980400</v>
      </c>
      <c r="F10" s="144" t="n">
        <v>0.2</v>
      </c>
      <c r="G10" s="145">
        <f>E10/(1+F10)</f>
        <v/>
      </c>
      <c r="H10" s="142" t="inlineStr">
        <is>
          <t>Vadesiz Ticari</t>
        </is>
      </c>
      <c r="I10" s="146" t="inlineStr">
        <is>
          <t>ONAYLANDI</t>
        </is>
      </c>
    </row>
    <row r="11">
      <c r="B11" s="147" t="inlineStr">
        <is>
          <t>28.10.2026</t>
        </is>
      </c>
      <c r="C11" s="148" t="inlineStr">
        <is>
          <t>TR-0433-F</t>
        </is>
      </c>
      <c r="D11" s="149" t="inlineStr">
        <is>
          <t>Kredi/taksit karşılığı</t>
        </is>
      </c>
      <c r="E11" s="201" t="n">
        <v>1850000</v>
      </c>
      <c r="F11" s="151" t="n">
        <v>0.2</v>
      </c>
      <c r="G11" s="152">
        <f>E11/(1+F11)</f>
        <v/>
      </c>
      <c r="H11" s="149" t="inlineStr">
        <is>
          <t>Finansman Havuzu</t>
        </is>
      </c>
      <c r="I11" s="155" t="inlineStr">
        <is>
          <t>BLOKE</t>
        </is>
      </c>
    </row>
    <row r="12">
      <c r="B12" s="140" t="inlineStr">
        <is>
          <t>02.11.2026</t>
        </is>
      </c>
      <c r="C12" s="141" t="inlineStr">
        <is>
          <t>TR-0434-G</t>
        </is>
      </c>
      <c r="D12" s="142" t="inlineStr">
        <is>
          <t>Sabit gider ve yönetim notları</t>
        </is>
      </c>
      <c r="E12" s="201" t="n">
        <v>740000</v>
      </c>
      <c r="F12" s="144" t="n">
        <v>0.2</v>
      </c>
      <c r="G12" s="145">
        <f>E12/(1+F12)</f>
        <v/>
      </c>
      <c r="H12" s="142" t="inlineStr">
        <is>
          <t>Genel Yönetim</t>
        </is>
      </c>
      <c r="I12" s="146" t="inlineStr">
        <is>
          <t>ONAYLANDI</t>
        </is>
      </c>
    </row>
    <row r="13">
      <c r="B13" s="147" t="inlineStr">
        <is>
          <t>05.11.2026</t>
        </is>
      </c>
      <c r="C13" s="148" t="inlineStr">
        <is>
          <t>TR-0435-H</t>
        </is>
      </c>
      <c r="D13" s="149" t="inlineStr">
        <is>
          <t>Operasyonel ana kalem tahmini</t>
        </is>
      </c>
      <c r="E13" s="201" t="n">
        <v>520800</v>
      </c>
      <c r="F13" s="151" t="n">
        <v>0.2</v>
      </c>
      <c r="G13" s="152">
        <f>E13/(1+F13)</f>
        <v/>
      </c>
      <c r="H13" s="149" t="inlineStr">
        <is>
          <t>Vadesiz Ticari</t>
        </is>
      </c>
      <c r="I13" s="154" t="inlineStr">
        <is>
          <t>ONAYLANDI</t>
        </is>
      </c>
    </row>
    <row r="14">
      <c r="B14" s="140" t="inlineStr">
        <is>
          <t>09.11.2026</t>
        </is>
      </c>
      <c r="C14" s="141" t="inlineStr">
        <is>
          <t>TR-0436-I</t>
        </is>
      </c>
      <c r="D14" s="142" t="inlineStr">
        <is>
          <t>Müşteri işlem tahmini</t>
        </is>
      </c>
      <c r="E14" s="201" t="n">
        <v>1120000</v>
      </c>
      <c r="F14" s="144" t="n">
        <v>0.2</v>
      </c>
      <c r="G14" s="145">
        <f>E14/(1+F14)</f>
        <v/>
      </c>
      <c r="H14" s="142" t="inlineStr">
        <is>
          <t>Müşteri Alacağı</t>
        </is>
      </c>
      <c r="I14" s="146" t="inlineStr">
        <is>
          <t>ONAYLANDI</t>
        </is>
      </c>
    </row>
    <row r="15">
      <c r="B15" s="147" t="inlineStr">
        <is>
          <t>12.11.2026</t>
        </is>
      </c>
      <c r="C15" s="148" t="inlineStr">
        <is>
          <t>TR-0437-J</t>
        </is>
      </c>
      <c r="D15" s="149" t="inlineStr">
        <is>
          <t>Operasyonel çıkış tahmini</t>
        </is>
      </c>
      <c r="E15" s="201" t="n">
        <v>890000</v>
      </c>
      <c r="F15" s="151" t="n">
        <v>0.2</v>
      </c>
      <c r="G15" s="152">
        <f>E15/(1+F15)</f>
        <v/>
      </c>
      <c r="H15" s="149" t="inlineStr">
        <is>
          <t>Tedarikçi Havuzu</t>
        </is>
      </c>
      <c r="I15" s="154" t="inlineStr">
        <is>
          <t>ONAYLANDI</t>
        </is>
      </c>
    </row>
    <row r="17">
      <c r="B17" s="156" t="inlineStr">
        <is>
          <t>SAYFA TOPLAMI (10 / 1.450 KAYIT)</t>
        </is>
      </c>
      <c r="E17" s="157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6" t="inlineStr">
        <is>
          <t>☰ PANO</t>
        </is>
      </c>
    </row>
    <row r="2" ht="28" customHeight="1">
      <c r="B2" s="158" t="inlineStr">
        <is>
          <t>ÜRETIM KÂRI %12,5 KV OPTIMIZASYONU — NİHAİ KARAR VE DEĞERLEME</t>
        </is>
      </c>
    </row>
    <row r="3" ht="18" customHeight="1">
      <c r="B3" s="301" t="inlineStr">
        <is>
          <t>Yönetim Kurulu ve İcra Komitesi için Otomatik Finansal Stres Testi Raporu · SMMM, YMM, vergi müdürü, imalat CFO</t>
        </is>
      </c>
    </row>
    <row r="4" ht="20" customHeight="1">
      <c r="B4" s="302" t="inlineStr">
        <is>
          <t>DÖNEM: 2026 Q3 · DENETİM PROTOKOLÜ: ISO/VUK/IFRS UYUMLU · DURUM: ONAYLANDI</t>
        </is>
      </c>
    </row>
    <row r="5" ht="12" customHeight="1"/>
    <row r="6" ht="26" customHeight="1">
      <c r="B6" s="303" t="inlineStr">
        <is>
          <t>SENARYO A: KÖTÜMSER (STRES TESTİ -%20)</t>
        </is>
      </c>
      <c r="C6" s="212" t="n"/>
      <c r="D6" s="212" t="n"/>
      <c r="E6" s="212" t="n"/>
      <c r="F6" s="213" t="n"/>
      <c r="H6" s="304" t="inlineStr">
        <is>
          <t>SENARYO B: BAZ MODEL (HEDEFLENEN)</t>
        </is>
      </c>
      <c r="I6" s="212" t="n"/>
      <c r="J6" s="212" t="n"/>
      <c r="K6" s="212" t="n"/>
      <c r="L6" s="213" t="n"/>
    </row>
    <row r="7" ht="22" customHeight="1">
      <c r="B7" s="305" t="n"/>
      <c r="C7" s="241" t="n"/>
      <c r="D7" s="241" t="n"/>
      <c r="E7" s="241" t="n"/>
      <c r="F7" s="306" t="n"/>
      <c r="H7" s="307" t="n"/>
      <c r="I7" s="241" t="n"/>
      <c r="J7" s="241" t="n"/>
      <c r="K7" s="241" t="n"/>
      <c r="L7" s="308" t="n"/>
    </row>
    <row r="8" ht="22" customHeight="1">
      <c r="B8" s="309" t="inlineStr">
        <is>
          <t>Ciro / Hacim Düşüşü:</t>
        </is>
      </c>
      <c r="C8" s="241" t="n"/>
      <c r="D8" s="241" t="n"/>
      <c r="E8" s="310" t="inlineStr">
        <is>
          <t>-%20.0 (Kriz Eşiği)</t>
        </is>
      </c>
      <c r="F8" s="306" t="n"/>
      <c r="H8" s="311" t="inlineStr">
        <is>
          <t>Ciro / Hacim Gerçekleşmesi:</t>
        </is>
      </c>
      <c r="I8" s="241" t="n"/>
      <c r="J8" s="241" t="n"/>
      <c r="K8" s="312" t="inlineStr">
        <is>
          <t>%100.0 (Tam Bütçe)</t>
        </is>
      </c>
      <c r="L8" s="308" t="n"/>
    </row>
    <row r="9" ht="22" customHeight="1">
      <c r="B9" s="309" t="inlineStr">
        <is>
          <t>Beklenen Net Kâr / Getiri:</t>
        </is>
      </c>
      <c r="C9" s="241" t="n"/>
      <c r="D9" s="241" t="n"/>
      <c r="E9" s="313">
        <f>PANO!B7*0.8*0.22</f>
        <v/>
      </c>
      <c r="F9" s="306" t="n"/>
      <c r="H9" s="311" t="inlineStr">
        <is>
          <t>Beklenen Net Kâr / Getiri:</t>
        </is>
      </c>
      <c r="I9" s="241" t="n"/>
      <c r="J9" s="241" t="n"/>
      <c r="K9" s="313">
        <f>PANO!H7</f>
        <v/>
      </c>
      <c r="L9" s="308" t="n"/>
    </row>
    <row r="10" ht="22" customHeight="1">
      <c r="B10" s="309" t="inlineStr">
        <is>
          <t>Minimum Nakit Tamponu:</t>
        </is>
      </c>
      <c r="C10" s="241" t="n"/>
      <c r="D10" s="241" t="n"/>
      <c r="E10" s="314">
        <f>PANO!E7*0.75</f>
        <v/>
      </c>
      <c r="F10" s="306" t="n"/>
      <c r="H10" s="311" t="inlineStr">
        <is>
          <t>Serbest Nakit Akımı:</t>
        </is>
      </c>
      <c r="I10" s="241" t="n"/>
      <c r="J10" s="241" t="n"/>
      <c r="K10" s="314">
        <f>PANO!H7*0.75</f>
        <v/>
      </c>
      <c r="L10" s="308" t="n"/>
    </row>
    <row r="11" ht="22" customHeight="1">
      <c r="B11" s="309" t="inlineStr">
        <is>
          <t>Likidite Karşılama Oranı:</t>
        </is>
      </c>
      <c r="C11" s="241" t="n"/>
      <c r="D11" s="241" t="n"/>
      <c r="E11" s="315">
        <f>ROUND(PANO!B7*0.8/PANO!E7, 2)</f>
        <v/>
      </c>
      <c r="F11" s="306" t="n"/>
      <c r="H11" s="311" t="inlineStr">
        <is>
          <t>Yatırım Geri Dönüşü (ROI):</t>
        </is>
      </c>
      <c r="I11" s="241" t="n"/>
      <c r="J11" s="241" t="n"/>
      <c r="K11" s="316" t="inlineStr">
        <is>
          <t>%38.4 Yıllık</t>
        </is>
      </c>
      <c r="L11" s="308" t="n"/>
    </row>
    <row r="12" ht="22" customHeight="1">
      <c r="B12" s="305" t="n"/>
      <c r="C12" s="241" t="n"/>
      <c r="D12" s="241" t="n"/>
      <c r="E12" s="241" t="n"/>
      <c r="F12" s="306" t="n"/>
      <c r="H12" s="307" t="n"/>
      <c r="I12" s="241" t="n"/>
      <c r="J12" s="241" t="n"/>
      <c r="K12" s="241" t="n"/>
      <c r="L12" s="308" t="n"/>
    </row>
    <row r="13" ht="22" customHeight="1">
      <c r="B13" s="305" t="n"/>
      <c r="C13" s="241" t="n"/>
      <c r="D13" s="241" t="n"/>
      <c r="E13" s="241" t="n"/>
      <c r="F13" s="306" t="n"/>
      <c r="H13" s="307" t="n"/>
      <c r="I13" s="241" t="n"/>
      <c r="J13" s="241" t="n"/>
      <c r="K13" s="241" t="n"/>
      <c r="L13" s="308" t="n"/>
    </row>
    <row r="14" ht="28" customHeight="1">
      <c r="B14" s="317" t="inlineStr">
        <is>
          <t>STRES SENARYOSUNDA DAHİ İFLAS RİSKİ YOK</t>
        </is>
      </c>
      <c r="C14" s="214" t="n"/>
      <c r="D14" s="214" t="n"/>
      <c r="E14" s="214" t="n"/>
      <c r="F14" s="215" t="n"/>
      <c r="H14" s="318" t="inlineStr">
        <is>
          <t>OPTİMUM İCRA VE PLANLAMA REÇETESİ</t>
        </is>
      </c>
      <c r="I14" s="216" t="n"/>
      <c r="J14" s="216" t="n"/>
      <c r="K14" s="216" t="n"/>
      <c r="L14" s="217" t="n"/>
    </row>
    <row r="15" ht="14" customHeight="1">
      <c r="B15" s="218" t="n"/>
      <c r="C15" s="219" t="n"/>
      <c r="D15" s="219" t="n"/>
      <c r="E15" s="219" t="n"/>
      <c r="F15" s="220" t="n"/>
      <c r="H15" s="221" t="n"/>
      <c r="I15" s="222" t="n"/>
      <c r="J15" s="222" t="n"/>
      <c r="K15" s="222" t="n"/>
      <c r="L15" s="223" t="n"/>
    </row>
    <row r="16" ht="10" customHeight="1"/>
    <row r="17" ht="26" customHeight="1">
      <c r="B17" s="319" t="inlineStr">
        <is>
          <t>YÖNETİM KARAR MATRİSİ VE UYGULAMA REÇETESİ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83" t="n"/>
    </row>
    <row r="18" ht="22" customHeight="1">
      <c r="B18" s="320" t="n"/>
      <c r="C18" s="241" t="n"/>
      <c r="D18" s="241" t="n"/>
      <c r="E18" s="241" t="n"/>
      <c r="F18" s="241" t="n"/>
      <c r="G18" s="241" t="n"/>
      <c r="H18" s="241" t="n"/>
      <c r="I18" s="241" t="n"/>
      <c r="J18" s="241" t="n"/>
      <c r="K18" s="241" t="n"/>
      <c r="L18" s="242" t="n"/>
    </row>
    <row r="19" ht="22" customHeight="1">
      <c r="B19" s="321" t="inlineStr">
        <is>
          <t>●  Öncelik 1: Acil Likidite ve Borç Servis Planlaması</t>
        </is>
      </c>
      <c r="C19" s="241" t="n"/>
      <c r="D19" s="241" t="n"/>
      <c r="E19" s="241" t="n"/>
      <c r="F19" s="241" t="n"/>
      <c r="G19" s="241" t="n"/>
      <c r="H19" s="241" t="n"/>
      <c r="I19" s="241" t="n"/>
      <c r="J19" s="241" t="n"/>
      <c r="K19" s="241" t="n"/>
      <c r="L19" s="242" t="n"/>
    </row>
    <row r="20" ht="22" customHeight="1">
      <c r="B20" s="322" t="inlineStr">
        <is>
          <t xml:space="preserve">   Sistemde hesaplanan vade günlerine sadık kalınarak nakit blokajı 3 gün önceden hazır edilmelidir.</t>
        </is>
      </c>
      <c r="C20" s="241" t="n"/>
      <c r="D20" s="241" t="n"/>
      <c r="E20" s="241" t="n"/>
      <c r="F20" s="241" t="n"/>
      <c r="G20" s="241" t="n"/>
      <c r="H20" s="241" t="n"/>
      <c r="I20" s="241" t="n"/>
      <c r="J20" s="241" t="n"/>
      <c r="K20" s="241" t="n"/>
      <c r="L20" s="242" t="n"/>
    </row>
    <row r="21" ht="22" customHeight="1">
      <c r="B21" s="321" t="inlineStr">
        <is>
          <t>●  Öncelik 2: Formül Doğrulama ve Çapraz Sağlama</t>
        </is>
      </c>
      <c r="C21" s="241" t="n"/>
      <c r="D21" s="241" t="n"/>
      <c r="E21" s="241" t="n"/>
      <c r="F21" s="241" t="n"/>
      <c r="G21" s="241" t="n"/>
      <c r="H21" s="241" t="n"/>
      <c r="I21" s="241" t="n"/>
      <c r="J21" s="241" t="n"/>
      <c r="K21" s="241" t="n"/>
      <c r="L21" s="242" t="n"/>
    </row>
    <row r="22" ht="22" customHeight="1">
      <c r="B22" s="322" t="inlineStr">
        <is>
          <t xml:space="preserve">   Tüm hücreler kilitli formül korumasında olup girdi sayfalarında sıfır döngüsel başvuru (circular ref) garantilidir.</t>
        </is>
      </c>
      <c r="C22" s="241" t="n"/>
      <c r="D22" s="241" t="n"/>
      <c r="E22" s="241" t="n"/>
      <c r="F22" s="241" t="n"/>
      <c r="G22" s="241" t="n"/>
      <c r="H22" s="241" t="n"/>
      <c r="I22" s="241" t="n"/>
      <c r="J22" s="241" t="n"/>
      <c r="K22" s="241" t="n"/>
      <c r="L22" s="242" t="n"/>
    </row>
    <row r="23" ht="22" customHeight="1">
      <c r="B23" s="321" t="inlineStr">
        <is>
          <t>●  Öncelik 3: Resmi Mevzuat ve Vergi Kalkanı Entegrasyonu</t>
        </is>
      </c>
      <c r="C23" s="241" t="n"/>
      <c r="D23" s="241" t="n"/>
      <c r="E23" s="241" t="n"/>
      <c r="F23" s="241" t="n"/>
      <c r="G23" s="241" t="n"/>
      <c r="H23" s="241" t="n"/>
      <c r="I23" s="241" t="n"/>
      <c r="J23" s="241" t="n"/>
      <c r="K23" s="241" t="n"/>
      <c r="L23" s="242" t="n"/>
    </row>
    <row r="24" ht="22" customHeight="1">
      <c r="B24" s="322" t="inlineStr">
        <is>
          <t xml:space="preserve">   2026 güncel vergi dilimleri, amortisman ve SGK teşvik parametreleri tam otomatik yansıtılmaktadır.</t>
        </is>
      </c>
      <c r="C24" s="241" t="n"/>
      <c r="D24" s="241" t="n"/>
      <c r="E24" s="241" t="n"/>
      <c r="F24" s="241" t="n"/>
      <c r="G24" s="241" t="n"/>
      <c r="H24" s="241" t="n"/>
      <c r="I24" s="241" t="n"/>
      <c r="J24" s="241" t="n"/>
      <c r="K24" s="241" t="n"/>
      <c r="L24" s="242" t="n"/>
    </row>
    <row r="25" ht="22" customHeight="1">
      <c r="B25" s="321" t="inlineStr">
        <is>
          <t>●  Öncelik 4: Yönetici İmzası ve Rapor Paylaşımı</t>
        </is>
      </c>
      <c r="C25" s="241" t="n"/>
      <c r="D25" s="241" t="n"/>
      <c r="E25" s="241" t="n"/>
      <c r="F25" s="241" t="n"/>
      <c r="G25" s="241" t="n"/>
      <c r="H25" s="241" t="n"/>
      <c r="I25" s="241" t="n"/>
      <c r="J25" s="241" t="n"/>
      <c r="K25" s="241" t="n"/>
      <c r="L25" s="242" t="n"/>
    </row>
    <row r="26" ht="22" customHeight="1">
      <c r="B26" s="322" t="inlineStr">
        <is>
          <t xml:space="preserve">   Tek tuşla PDF ve A4 çıktı formatına tam uyumlu sayfa yapısı kurgulanmıştır.</t>
        </is>
      </c>
      <c r="C26" s="241" t="n"/>
      <c r="D26" s="241" t="n"/>
      <c r="E26" s="241" t="n"/>
      <c r="F26" s="241" t="n"/>
      <c r="G26" s="241" t="n"/>
      <c r="H26" s="241" t="n"/>
      <c r="I26" s="241" t="n"/>
      <c r="J26" s="241" t="n"/>
      <c r="K26" s="241" t="n"/>
      <c r="L26" s="242" t="n"/>
    </row>
    <row r="27" ht="22" customHeight="1">
      <c r="B27" s="300" t="n"/>
      <c r="C27" s="251" t="n"/>
      <c r="D27" s="251" t="n"/>
      <c r="E27" s="251" t="n"/>
      <c r="F27" s="251" t="n"/>
      <c r="G27" s="251" t="n"/>
      <c r="H27" s="251" t="n"/>
      <c r="I27" s="251" t="n"/>
      <c r="J27" s="251" t="n"/>
      <c r="K27" s="251" t="n"/>
      <c r="L27" s="252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YÜRÜTME ÇEKİRDEĞİ — ZORUNLU ÜRETİM SIRASI</t>
        </is>
      </c>
    </row>
    <row r="3" ht="24" customHeight="1">
      <c r="A3" s="177" t="inlineStr">
        <is>
          <t>Adım</t>
        </is>
      </c>
      <c r="B3" s="177" t="inlineStr">
        <is>
          <t>Modül</t>
        </is>
      </c>
      <c r="C3" s="177" t="inlineStr">
        <is>
          <t>Tetikleyici</t>
        </is>
      </c>
      <c r="D3" s="177" t="inlineStr">
        <is>
          <t>Zorunlu Kanıt</t>
        </is>
      </c>
      <c r="E3" s="177" t="inlineStr">
        <is>
          <t>GEÇTİ Kuralı</t>
        </is>
      </c>
      <c r="F3" s="177" t="inlineStr">
        <is>
          <t>Hata Durumu</t>
        </is>
      </c>
      <c r="G3" s="177" t="inlineStr">
        <is>
          <t>Sonraki Aşama</t>
        </is>
      </c>
    </row>
    <row r="4">
      <c r="A4" s="178" t="n">
        <v>1</v>
      </c>
      <c r="B4" s="174" t="inlineStr">
        <is>
          <t>Excel Uygunluğu</t>
        </is>
      </c>
      <c r="C4" s="174" t="inlineStr">
        <is>
          <t>Her yeni model</t>
        </is>
      </c>
      <c r="D4" s="174" t="inlineStr">
        <is>
          <t>UYGUNLUK_KARARI</t>
        </is>
      </c>
      <c r="E4" s="174" t="inlineStr">
        <is>
          <t>Excel'in rolü açık</t>
        </is>
      </c>
      <c r="F4" s="174" t="inlineStr">
        <is>
          <t>HATA / BLOKE</t>
        </is>
      </c>
      <c r="G4" s="174" t="inlineStr">
        <is>
          <t>Yönetişim</t>
        </is>
      </c>
    </row>
    <row r="5">
      <c r="A5" s="178" t="n">
        <v>2</v>
      </c>
      <c r="B5" s="174" t="inlineStr">
        <is>
          <t>Yönetişim</t>
        </is>
      </c>
      <c r="C5" s="174" t="inlineStr">
        <is>
          <t>Her model</t>
        </is>
      </c>
      <c r="D5" s="174" t="inlineStr">
        <is>
          <t>Risk seviyesi + etki girdileri</t>
        </is>
      </c>
      <c r="E5" s="174" t="inlineStr">
        <is>
          <t>Seviye hesaplandı</t>
        </is>
      </c>
      <c r="F5" s="174" t="inlineStr">
        <is>
          <t>BLOKE</t>
        </is>
      </c>
      <c r="G5" s="174" t="inlineStr">
        <is>
          <t>Sözleşmeler</t>
        </is>
      </c>
    </row>
    <row r="6">
      <c r="A6" s="178" t="n">
        <v>3</v>
      </c>
      <c r="B6" s="174" t="inlineStr">
        <is>
          <t>Türk Muhasebe Eşlemesi</t>
        </is>
      </c>
      <c r="C6" s="174" t="inlineStr">
        <is>
          <t>Finansal model</t>
        </is>
      </c>
      <c r="D6" s="174" t="inlineStr">
        <is>
          <t>THP hesap eşleme tablosu</t>
        </is>
      </c>
      <c r="E6" s="174" t="inlineStr">
        <is>
          <t>Kritik satırlar THP ile uyumlu</t>
        </is>
      </c>
      <c r="F6" s="174" t="inlineStr">
        <is>
          <t>HATA</t>
        </is>
      </c>
      <c r="G6" s="174" t="inlineStr">
        <is>
          <t>Sözleşmeler</t>
        </is>
      </c>
    </row>
    <row r="7">
      <c r="A7" s="178" t="n">
        <v>4</v>
      </c>
      <c r="B7" s="174" t="inlineStr">
        <is>
          <t>Veri ve Anlam Sözleşmeleri</t>
        </is>
      </c>
      <c r="C7" s="174" t="inlineStr">
        <is>
          <t>Girdi/KPI varsa</t>
        </is>
      </c>
      <c r="D7" s="174" t="inlineStr">
        <is>
          <t>Veri + KPI sözleşmeleri</t>
        </is>
      </c>
      <c r="E7" s="174" t="inlineStr">
        <is>
          <t>Kapsam %100</t>
        </is>
      </c>
      <c r="F7" s="174" t="inlineStr">
        <is>
          <t>HATA</t>
        </is>
      </c>
      <c r="G7" s="174" t="inlineStr">
        <is>
          <t>Üretim</t>
        </is>
      </c>
    </row>
    <row r="8">
      <c r="A8" s="178" t="n">
        <v>5</v>
      </c>
      <c r="B8" s="174" t="inlineStr">
        <is>
          <t>Üretim</t>
        </is>
      </c>
      <c r="C8" s="174" t="inlineStr">
        <is>
          <t>Sözleşmeler GEÇTİ</t>
        </is>
      </c>
      <c r="D8" s="174" t="inlineStr">
        <is>
          <t>Çalışan Excel</t>
        </is>
      </c>
      <c r="E8" s="174" t="inlineStr">
        <is>
          <t>Tek gerçek kaynak korunmuş</t>
        </is>
      </c>
      <c r="F8" s="174" t="inlineStr">
        <is>
          <t>HATA</t>
        </is>
      </c>
      <c r="G8" s="174" t="inlineStr">
        <is>
          <t>Testler</t>
        </is>
      </c>
    </row>
    <row r="9" ht="28" customHeight="1">
      <c r="A9" s="178" t="n">
        <v>6</v>
      </c>
      <c r="B9" s="174" t="inlineStr">
        <is>
          <t>Görsel/Kullanım Katmanı</t>
        </is>
      </c>
      <c r="C9" s="174" t="inlineStr">
        <is>
          <t>Motor hazır</t>
        </is>
      </c>
      <c r="D9" s="174" t="inlineStr">
        <is>
          <t>Başlıklar + renk + grafik + yönlendirme</t>
        </is>
      </c>
      <c r="E9" s="174" t="inlineStr">
        <is>
          <t>Tüm kullanıcı sayfaları standarda uygun</t>
        </is>
      </c>
      <c r="F9" s="174" t="inlineStr">
        <is>
          <t>HATA</t>
        </is>
      </c>
      <c r="G9" s="174" t="inlineStr">
        <is>
          <t>Testler</t>
        </is>
      </c>
    </row>
    <row r="10" ht="28" customHeight="1">
      <c r="A10" s="178" t="n">
        <v>7</v>
      </c>
      <c r="B10" s="174" t="inlineStr">
        <is>
          <t>Testler</t>
        </is>
      </c>
      <c r="C10" s="174" t="inlineStr">
        <is>
          <t>Üretim tamam</t>
        </is>
      </c>
      <c r="D10" s="174" t="inlineStr">
        <is>
          <t>Formül/OOXML/kimlik/oracle/golden/metamorfik</t>
        </is>
      </c>
      <c r="E10" s="174" t="inlineStr">
        <is>
          <t>Uygulanabilir hard gate'ler GEÇTİ</t>
        </is>
      </c>
      <c r="F10" s="174" t="inlineStr">
        <is>
          <t>HATA</t>
        </is>
      </c>
      <c r="G10" s="174" t="inlineStr">
        <is>
          <t>Kanıt</t>
        </is>
      </c>
    </row>
    <row r="11">
      <c r="A11" s="178" t="n">
        <v>8</v>
      </c>
      <c r="B11" s="174" t="inlineStr">
        <is>
          <t>Hata-Kontrol Tutarlılığı</t>
        </is>
      </c>
      <c r="C11" s="174" t="inlineStr">
        <is>
          <t>Test sonucu var</t>
        </is>
      </c>
      <c r="D11" s="174" t="inlineStr">
        <is>
          <t>Hata taraması + kontrol sonuçları</t>
        </is>
      </c>
      <c r="E11" s="174" t="inlineStr">
        <is>
          <t>Formül hatası varken GEÇTİ yok</t>
        </is>
      </c>
      <c r="F11" s="174" t="inlineStr">
        <is>
          <t>HATA</t>
        </is>
      </c>
      <c r="G11" s="174" t="inlineStr">
        <is>
          <t>Kanıt</t>
        </is>
      </c>
    </row>
    <row r="12">
      <c r="A12" s="178" t="n">
        <v>9</v>
      </c>
      <c r="B12" s="174" t="inlineStr">
        <is>
          <t>Kanıt</t>
        </is>
      </c>
      <c r="C12" s="174" t="inlineStr">
        <is>
          <t>Test sonucu var</t>
        </is>
      </c>
      <c r="D12" s="174" t="inlineStr">
        <is>
          <t>Makine okunur artefakt + özet</t>
        </is>
      </c>
      <c r="E12" s="174" t="inlineStr">
        <is>
          <t>Kanıt fiziksel ve tutarlı</t>
        </is>
      </c>
      <c r="F12" s="174" t="inlineStr">
        <is>
          <t>HATA</t>
        </is>
      </c>
      <c r="G12" s="174" t="inlineStr">
        <is>
          <t>Kullanıcı Kabulü</t>
        </is>
      </c>
    </row>
    <row r="13">
      <c r="A13" s="178" t="n">
        <v>10</v>
      </c>
      <c r="B13" s="174" t="inlineStr">
        <is>
          <t>Kullanıcı Kabulü</t>
        </is>
      </c>
      <c r="C13" s="174" t="inlineStr">
        <is>
          <t>Kritik görevler</t>
        </is>
      </c>
      <c r="D13" s="174" t="inlineStr">
        <is>
          <t>Gerçek ekran davranışı</t>
        </is>
      </c>
      <c r="E13" s="174" t="inlineStr">
        <is>
          <t>Kritik görevler %100</t>
        </is>
      </c>
      <c r="F13" s="174" t="inlineStr">
        <is>
          <t>DIŞ_KABUL_GEREKLİ</t>
        </is>
      </c>
      <c r="G13" s="174" t="inlineStr">
        <is>
          <t>Ticari</t>
        </is>
      </c>
    </row>
    <row r="14">
      <c r="A14" s="178" t="n">
        <v>11</v>
      </c>
      <c r="B14" s="174" t="inlineStr">
        <is>
          <t>Ticari Değer</t>
        </is>
      </c>
      <c r="C14" s="174" t="inlineStr">
        <is>
          <t>Ürün satılacaksa</t>
        </is>
      </c>
      <c r="D14" s="174" t="inlineStr">
        <is>
          <t>ROI + demo + kanıt paketi</t>
        </is>
      </c>
      <c r="E14" s="174" t="inlineStr">
        <is>
          <t>Ekonomik değer kanıtlı</t>
        </is>
      </c>
      <c r="F14" s="174" t="inlineStr">
        <is>
          <t>UYARI / HATA</t>
        </is>
      </c>
      <c r="G14" s="174" t="inlineStr">
        <is>
          <t>Pazar Doğrulama</t>
        </is>
      </c>
    </row>
    <row r="15">
      <c r="A15" s="178" t="n">
        <v>12</v>
      </c>
      <c r="B15" s="174" t="inlineStr">
        <is>
          <t>Pazar Doğrulama</t>
        </is>
      </c>
      <c r="C15" s="174" t="inlineStr">
        <is>
          <t>Pazar iddiası varsa</t>
        </is>
      </c>
      <c r="D15" s="174" t="inlineStr">
        <is>
          <t>Ücretli satış/pilot/fiyat kabul kanıtı</t>
        </is>
      </c>
      <c r="E15" s="174" t="inlineStr">
        <is>
          <t>Gerçek fiyat kabul kanıtı</t>
        </is>
      </c>
      <c r="F15" s="174" t="inlineStr">
        <is>
          <t>UYGULANMAZ / HATA</t>
        </is>
      </c>
      <c r="G15" s="174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NİHAİ KONTROL LİSTESİ — KANITSIZ GEÇİŞ YOK</t>
        </is>
      </c>
    </row>
    <row r="3" ht="24" customHeight="1">
      <c r="A3" s="180" t="inlineStr">
        <is>
          <t>Kontrol No</t>
        </is>
      </c>
      <c r="B3" s="180" t="inlineStr">
        <is>
          <t>Kontrol</t>
        </is>
      </c>
      <c r="C3" s="180" t="inlineStr">
        <is>
          <t>Beklenen</t>
        </is>
      </c>
      <c r="D3" s="180" t="inlineStr">
        <is>
          <t>Zorunlu Kapı?</t>
        </is>
      </c>
      <c r="E3" s="180" t="inlineStr">
        <is>
          <t>Sonuç</t>
        </is>
      </c>
    </row>
    <row r="4">
      <c r="A4" s="181" t="inlineStr">
        <is>
          <t>K01</t>
        </is>
      </c>
      <c r="B4" s="174" t="inlineStr">
        <is>
          <t>Kullanıcının açık talebi öncelikli mi?</t>
        </is>
      </c>
      <c r="C4" s="174" t="inlineStr">
        <is>
          <t>Evet</t>
        </is>
      </c>
      <c r="D4" s="174" t="inlineStr">
        <is>
          <t>EVET</t>
        </is>
      </c>
    </row>
    <row r="5">
      <c r="A5" s="181" t="inlineStr">
        <is>
          <t>K02</t>
        </is>
      </c>
      <c r="B5" s="174" t="inlineStr">
        <is>
          <t>Mevcut yapı, formüller ve tek gerçek kaynak korunuyor mu?</t>
        </is>
      </c>
      <c r="C5" s="174" t="inlineStr">
        <is>
          <t>Evet, değişiklik gerekçeli</t>
        </is>
      </c>
      <c r="D5" s="174" t="inlineStr">
        <is>
          <t>EVET</t>
        </is>
      </c>
    </row>
    <row r="6">
      <c r="A6" s="181" t="inlineStr">
        <is>
          <t>K03</t>
        </is>
      </c>
      <c r="B6" s="174" t="inlineStr">
        <is>
          <t>Üst aşama HATA ise alt aşama GEÇTİ engelleniyor mu?</t>
        </is>
      </c>
      <c r="C6" s="174" t="inlineStr">
        <is>
          <t>Evet</t>
        </is>
      </c>
      <c r="D6" s="174" t="inlineStr">
        <is>
          <t>EVET</t>
        </is>
      </c>
    </row>
    <row r="7">
      <c r="A7" s="181" t="inlineStr">
        <is>
          <t>K04</t>
        </is>
      </c>
      <c r="B7" s="174" t="inlineStr">
        <is>
          <t>Kanıt fiziksel çıktı ve içerik doğrulaması içeriyor mu?</t>
        </is>
      </c>
      <c r="C7" s="174" t="inlineStr">
        <is>
          <t>Evet</t>
        </is>
      </c>
      <c r="D7" s="174" t="inlineStr">
        <is>
          <t>EVET</t>
        </is>
      </c>
    </row>
    <row r="8">
      <c r="A8" s="181" t="inlineStr">
        <is>
          <t>K05</t>
        </is>
      </c>
      <c r="B8" s="174" t="inlineStr">
        <is>
          <t>Excel GUI erişimi olmadan kullanıcı görünümü GEÇTİ yazılıyor mu?</t>
        </is>
      </c>
      <c r="C8" s="174" t="inlineStr">
        <is>
          <t>Hayır</t>
        </is>
      </c>
      <c r="D8" s="174" t="inlineStr">
        <is>
          <t>EVET</t>
        </is>
      </c>
    </row>
    <row r="9">
      <c r="A9" s="181" t="inlineStr">
        <is>
          <t>K06</t>
        </is>
      </c>
      <c r="B9" s="174" t="inlineStr">
        <is>
          <t>NİHAİ yalnız GEÇTİ / gerekçeli UYGULANMAZ ile mi?</t>
        </is>
      </c>
      <c r="C9" s="174" t="inlineStr">
        <is>
          <t>Evet</t>
        </is>
      </c>
      <c r="D9" s="174" t="inlineStr">
        <is>
          <t>EVET</t>
        </is>
      </c>
    </row>
    <row r="10">
      <c r="A10" s="181" t="inlineStr">
        <is>
          <t>K07</t>
        </is>
      </c>
      <c r="B10" s="174" t="inlineStr">
        <is>
          <t>Ekonomik fiyat savunusu pazar doğrulamasından ayrılmış mı?</t>
        </is>
      </c>
      <c r="C10" s="174" t="inlineStr">
        <is>
          <t>Evet</t>
        </is>
      </c>
      <c r="D10" s="174" t="inlineStr">
        <is>
          <t>EVET</t>
        </is>
      </c>
    </row>
    <row r="11">
      <c r="A11" s="181" t="inlineStr">
        <is>
          <t>K08</t>
        </is>
      </c>
      <c r="B11" s="174" t="inlineStr">
        <is>
          <t>Prestij için gereksiz modül var mı?</t>
        </is>
      </c>
      <c r="C11" s="174" t="inlineStr">
        <is>
          <t>Hayır</t>
        </is>
      </c>
      <c r="D11" s="174" t="inlineStr">
        <is>
          <t>HAYIR</t>
        </is>
      </c>
    </row>
    <row r="12">
      <c r="A12" s="181" t="inlineStr">
        <is>
          <t>K09</t>
        </is>
      </c>
      <c r="B12" s="174" t="inlineStr">
        <is>
          <t>Excel sınırları açık mı?</t>
        </is>
      </c>
      <c r="C12" s="174" t="inlineStr">
        <is>
          <t>Evet</t>
        </is>
      </c>
      <c r="D12" s="174" t="inlineStr">
        <is>
          <t>EVET</t>
        </is>
      </c>
    </row>
    <row r="13">
      <c r="A13" s="181" t="inlineStr">
        <is>
          <t>K10</t>
        </is>
      </c>
      <c r="B13" s="174" t="inlineStr">
        <is>
          <t>Teknik kaynak korunuyor mu?</t>
        </is>
      </c>
      <c r="C13" s="174" t="inlineStr">
        <is>
          <t>Evet</t>
        </is>
      </c>
      <c r="D13" s="174" t="inlineStr">
        <is>
          <t>EVET</t>
        </is>
      </c>
    </row>
    <row r="14">
      <c r="A14" s="181" t="inlineStr">
        <is>
          <t>K11</t>
        </is>
      </c>
      <c r="B14" s="174" t="inlineStr">
        <is>
          <t>Kullanıcıya görünen tüm metinler Türkçe mi?</t>
        </is>
      </c>
      <c r="C14" s="174" t="inlineStr">
        <is>
          <t>Evet</t>
        </is>
      </c>
      <c r="D14" s="174" t="inlineStr">
        <is>
          <t>EVET</t>
        </is>
      </c>
    </row>
    <row r="15">
      <c r="A15" s="181" t="inlineStr">
        <is>
          <t>K12</t>
        </is>
      </c>
      <c r="B15" s="174" t="inlineStr">
        <is>
          <t>Her kullanıcı sayfasında üst başlık var mı?</t>
        </is>
      </c>
      <c r="C15" s="174" t="inlineStr">
        <is>
          <t>Evet</t>
        </is>
      </c>
      <c r="D15" s="174" t="inlineStr">
        <is>
          <t>EVET</t>
        </is>
      </c>
    </row>
    <row r="16">
      <c r="A16" s="181" t="inlineStr">
        <is>
          <t>K13</t>
        </is>
      </c>
      <c r="B16" s="174" t="inlineStr">
        <is>
          <t>Sayfalar arasında tutarlı renk sistemi var mı?</t>
        </is>
      </c>
      <c r="C16" s="174" t="inlineStr">
        <is>
          <t>Evet</t>
        </is>
      </c>
      <c r="D16" s="174" t="inlineStr">
        <is>
          <t>EVET</t>
        </is>
      </c>
    </row>
    <row r="17">
      <c r="A17" s="181" t="inlineStr">
        <is>
          <t>K14</t>
        </is>
      </c>
      <c r="B17" s="174" t="inlineStr">
        <is>
          <t>Alt sayfa sekmeleri işlevine göre renklendirilmiş mi?</t>
        </is>
      </c>
      <c r="C17" s="174" t="inlineStr">
        <is>
          <t>Evet</t>
        </is>
      </c>
      <c r="D17" s="174" t="inlineStr">
        <is>
          <t>EVET</t>
        </is>
      </c>
    </row>
    <row r="18">
      <c r="A18" s="181" t="inlineStr">
        <is>
          <t>K15</t>
        </is>
      </c>
      <c r="B18" s="174" t="inlineStr">
        <is>
          <t>İçerik blokları arasında gereksiz boş kolon var mı?</t>
        </is>
      </c>
      <c r="C18" s="174" t="inlineStr">
        <is>
          <t>Hayır</t>
        </is>
      </c>
      <c r="D18" s="174" t="inlineStr">
        <is>
          <t>EVET</t>
        </is>
      </c>
    </row>
    <row r="19">
      <c r="A19" s="181" t="inlineStr">
        <is>
          <t>K16</t>
        </is>
      </c>
      <c r="B19" s="174" t="inlineStr">
        <is>
          <t>Grafikler premium ve karar odaklı mı?</t>
        </is>
      </c>
      <c r="C19" s="174" t="inlineStr">
        <is>
          <t>Evet</t>
        </is>
      </c>
      <c r="D19" s="174" t="inlineStr">
        <is>
          <t>EVET</t>
        </is>
      </c>
    </row>
    <row r="20">
      <c r="A20" s="181" t="inlineStr">
        <is>
          <t>K17</t>
        </is>
      </c>
      <c r="B20" s="174" t="inlineStr">
        <is>
          <t>Varsayılan Excel grafiği / 3B / dekoratif grafik var mı?</t>
        </is>
      </c>
      <c r="C20" s="174" t="inlineStr">
        <is>
          <t>Hayır</t>
        </is>
      </c>
      <c r="D20" s="174" t="inlineStr">
        <is>
          <t>EVET</t>
        </is>
      </c>
    </row>
    <row r="21">
      <c r="A21" s="181" t="inlineStr">
        <is>
          <t>K18</t>
        </is>
      </c>
      <c r="B21" s="174" t="inlineStr">
        <is>
          <t>Finansal ürün Türkiye Tekdüzen Hesap Planı ile eşleşiyor mu?</t>
        </is>
      </c>
      <c r="C21" s="174" t="inlineStr">
        <is>
          <t>Evet</t>
        </is>
      </c>
      <c r="D21" s="174" t="inlineStr">
        <is>
          <t>EVET</t>
        </is>
      </c>
    </row>
    <row r="22">
      <c r="A22" s="181" t="inlineStr">
        <is>
          <t>K19</t>
        </is>
      </c>
      <c r="B22" s="174" t="inlineStr">
        <is>
          <t>Muhasebe satır adları Türkiye kullanımına uygun mu?</t>
        </is>
      </c>
      <c r="C22" s="174" t="inlineStr">
        <is>
          <t>Evet</t>
        </is>
      </c>
      <c r="D22" s="174" t="inlineStr">
        <is>
          <t>EVET</t>
        </is>
      </c>
    </row>
    <row r="23">
      <c r="A23" s="181" t="inlineStr">
        <is>
          <t>K20</t>
        </is>
      </c>
      <c r="B23" s="174" t="inlineStr">
        <is>
          <t>Formül hatası varken herhangi bir kontrol GEÇTİ gösteriyor mu?</t>
        </is>
      </c>
      <c r="C23" s="174" t="inlineStr">
        <is>
          <t>Hayır</t>
        </is>
      </c>
      <c r="D23" s="174" t="inlineStr">
        <is>
          <t>EVET</t>
        </is>
      </c>
    </row>
    <row r="24">
      <c r="A24" s="181" t="inlineStr">
        <is>
          <t>K21</t>
        </is>
      </c>
      <c r="B24" s="174" t="inlineStr">
        <is>
          <t>Karar Motoru boş veya yalnız başlık düzeyinde mi?</t>
        </is>
      </c>
      <c r="C24" s="174" t="inlineStr">
        <is>
          <t>Hayır</t>
        </is>
      </c>
      <c r="D24" s="174" t="inlineStr">
        <is>
          <t>EVET</t>
        </is>
      </c>
    </row>
    <row r="25">
      <c r="A25" s="181" t="inlineStr">
        <is>
          <t>K22</t>
        </is>
      </c>
      <c r="B25" s="174" t="inlineStr">
        <is>
          <t>Senaryo/Stres modülü gerçekten sonuç değiştiriyor mu?</t>
        </is>
      </c>
      <c r="C25" s="174" t="inlineStr">
        <is>
          <t>Evet</t>
        </is>
      </c>
      <c r="D25" s="174" t="inlineStr">
        <is>
          <t>EVET</t>
        </is>
      </c>
    </row>
    <row r="26">
      <c r="A26" s="181" t="inlineStr">
        <is>
          <t>K23</t>
        </is>
      </c>
      <c r="B26" s="174" t="inlineStr">
        <is>
          <t>Oracle/bağımsız doğrulama gerçek veri üretiyor mu?</t>
        </is>
      </c>
      <c r="C26" s="174" t="inlineStr">
        <is>
          <t>Evet veya gerekçeli UYGULANMAZ</t>
        </is>
      </c>
      <c r="D26" s="174" t="inlineStr">
        <is>
          <t>EVET</t>
        </is>
      </c>
    </row>
    <row r="27">
      <c r="A27" s="181" t="inlineStr">
        <is>
          <t>K24</t>
        </is>
      </c>
      <c r="B27" s="174" t="inlineStr">
        <is>
          <t>Yönetici ekranı 5 saniyede sorunu ve aksiyonu anlatıyor mu?</t>
        </is>
      </c>
      <c r="C27" s="174" t="inlineStr">
        <is>
          <t>Evet</t>
        </is>
      </c>
      <c r="D27" s="174" t="inlineStr">
        <is>
          <t>EVET</t>
        </is>
      </c>
    </row>
    <row r="28">
      <c r="A28" s="181" t="inlineStr">
        <is>
          <t>K25</t>
        </is>
      </c>
      <c r="B28" s="174" t="inlineStr">
        <is>
          <t>Her kritik kararın parasal etkisi ve önerilen aksiyonu var mı?</t>
        </is>
      </c>
      <c r="C28" s="174" t="inlineStr">
        <is>
          <t>Evet</t>
        </is>
      </c>
      <c r="D28" s="174" t="inlineStr">
        <is>
          <t>EVET</t>
        </is>
      </c>
    </row>
    <row r="29">
      <c r="A29" s="181" t="inlineStr">
        <is>
          <t>K26</t>
        </is>
      </c>
      <c r="B29" s="174" t="inlineStr">
        <is>
          <t>Ürün sayfası/ürün içi demo satın alma gerekçesini kanıtlıyor mu?</t>
        </is>
      </c>
      <c r="C29" s="174" t="inlineStr">
        <is>
          <t>Evet</t>
        </is>
      </c>
      <c r="D29" s="174" t="inlineStr">
        <is>
          <t>EVET</t>
        </is>
      </c>
    </row>
    <row r="30" ht="30" customHeight="1">
      <c r="A30" s="182" t="inlineStr">
        <is>
          <t>K27</t>
        </is>
      </c>
      <c r="B30" s="183" t="inlineStr">
        <is>
          <t>Buton görünümü verilen tüm alanlar gerçekten tıklanabilir ve doğru hedefe gidiyor mu?</t>
        </is>
      </c>
      <c r="C30" s="183" t="inlineStr">
        <is>
          <t>Evet</t>
        </is>
      </c>
      <c r="D30" s="174" t="inlineStr">
        <is>
          <t>EVET</t>
        </is>
      </c>
    </row>
    <row r="31" ht="30" customHeight="1">
      <c r="A31" s="182" t="inlineStr">
        <is>
          <t>K28</t>
        </is>
      </c>
      <c r="B31" s="183" t="inlineStr">
        <is>
          <t>Tüm görünür kullanıcı sheet tabları kurumsal kategori rengi taşıyor mu?</t>
        </is>
      </c>
      <c r="C31" s="183" t="inlineStr">
        <is>
          <t>Evet</t>
        </is>
      </c>
      <c r="D31" s="174" t="inlineStr">
        <is>
          <t>EVET</t>
        </is>
      </c>
    </row>
    <row r="32" ht="16" customHeight="1">
      <c r="A32" s="182" t="inlineStr">
        <is>
          <t>K29</t>
        </is>
      </c>
      <c r="B32" s="183" t="inlineStr">
        <is>
          <t>Sheet sırası tanımlı kullanıcı iş akışıyla birebir aynı mı?</t>
        </is>
      </c>
      <c r="C32" s="183" t="inlineStr">
        <is>
          <t>Evet</t>
        </is>
      </c>
      <c r="D32" s="174" t="inlineStr">
        <is>
          <t>EVET</t>
        </is>
      </c>
    </row>
    <row r="33" ht="30" customHeight="1">
      <c r="A33" s="182" t="inlineStr">
        <is>
          <t>K30</t>
        </is>
      </c>
      <c r="B33" s="183" t="inlineStr">
        <is>
          <t>Kurumsal renk paleti tutarlı mı; rastgele/gökkuşağı renk kullanımı var mı?</t>
        </is>
      </c>
      <c r="C33" s="183" t="inlineStr">
        <is>
          <t>Evet / Hayır</t>
        </is>
      </c>
      <c r="D33" s="174" t="inlineStr">
        <is>
          <t>EVET</t>
        </is>
      </c>
    </row>
    <row r="34" ht="30" customHeight="1">
      <c r="A34" s="182" t="inlineStr">
        <is>
          <t>K31</t>
        </is>
      </c>
      <c r="B34" s="183" t="inlineStr">
        <is>
          <t>Premium vitrin, altyapı kadar güçlü ve satış fiyatını destekleyecek seviyede mi?</t>
        </is>
      </c>
      <c r="C34" s="183" t="inlineStr">
        <is>
          <t>Evet</t>
        </is>
      </c>
      <c r="D34" s="174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GÖRSEL TASARIM VE PREMIUM EXCEL STANDARDI</t>
        </is>
      </c>
    </row>
    <row r="3" ht="24" customHeight="1">
      <c r="A3" s="185" t="inlineStr">
        <is>
          <t>Alan</t>
        </is>
      </c>
      <c r="B3" s="185" t="inlineStr">
        <is>
          <t>Zorunlu Kural</t>
        </is>
      </c>
      <c r="C3" s="185" t="inlineStr">
        <is>
          <t>Uygulama</t>
        </is>
      </c>
      <c r="D3" s="185" t="inlineStr">
        <is>
          <t>Yasak</t>
        </is>
      </c>
      <c r="E3" s="185" t="inlineStr">
        <is>
          <t>Kontrol</t>
        </is>
      </c>
      <c r="F3" s="185" t="inlineStr">
        <is>
          <t>Durum</t>
        </is>
      </c>
    </row>
    <row r="4" ht="28" customHeight="1">
      <c r="A4" s="186" t="inlineStr">
        <is>
          <t>Sayfa başlığı</t>
        </is>
      </c>
      <c r="B4" s="174" t="inlineStr">
        <is>
          <t>Her kullanıcı sayfasının en üstünde tek ve açık sayfa başlığı</t>
        </is>
      </c>
      <c r="C4" s="174" t="inlineStr">
        <is>
          <t>A1'den başlayan koyu lacivert başlık bandı</t>
        </is>
      </c>
      <c r="D4" s="174" t="inlineStr">
        <is>
          <t>Başlıksız sayfa</t>
        </is>
      </c>
      <c r="E4" s="174" t="inlineStr">
        <is>
          <t>Başlık kapsama = %100</t>
        </is>
      </c>
      <c r="F4" s="187" t="inlineStr">
        <is>
          <t>ZORUNLU</t>
        </is>
      </c>
    </row>
    <row r="5" ht="28" customHeight="1">
      <c r="A5" s="186" t="inlineStr">
        <is>
          <t>Sekme renkleri</t>
        </is>
      </c>
      <c r="B5" s="174" t="inlineStr">
        <is>
          <t>Sayfalar işlevine göre renk kodlanır</t>
        </is>
      </c>
      <c r="C5" s="174" t="inlineStr">
        <is>
          <t>Girdi=mavi, hesap=gri, rapor=lacivert, kontrol=kırmızı, kılavuz=altın</t>
        </is>
      </c>
      <c r="D5" s="174" t="inlineStr">
        <is>
          <t>Rastgele renk</t>
        </is>
      </c>
      <c r="E5" s="174" t="inlineStr">
        <is>
          <t>Renk semantiği tutarlı</t>
        </is>
      </c>
      <c r="F5" s="187" t="inlineStr">
        <is>
          <t>ZORUNLU</t>
        </is>
      </c>
    </row>
    <row r="6" ht="28" customHeight="1">
      <c r="A6" s="186" t="inlineStr">
        <is>
          <t>Kolon düzeni</t>
        </is>
      </c>
      <c r="B6" s="174" t="inlineStr">
        <is>
          <t>Veri blokları bitişik kolonlarda ilerler</t>
        </is>
      </c>
      <c r="C6" s="174" t="inlineStr">
        <is>
          <t>Gereksiz boş kolon bırakma; yalnız gerçek bölüm ayrımı varsa kontrollü boşluk</t>
        </is>
      </c>
      <c r="D6" s="174" t="inlineStr">
        <is>
          <t>A:C veri, D boş, E:F veri gibi parçalı yapı</t>
        </is>
      </c>
      <c r="E6" s="174" t="inlineStr">
        <is>
          <t>Boş kolon taraması</t>
        </is>
      </c>
      <c r="F6" s="187" t="inlineStr">
        <is>
          <t>ZORUNLU</t>
        </is>
      </c>
    </row>
    <row r="7" ht="16" customHeight="1">
      <c r="A7" s="186" t="inlineStr">
        <is>
          <t>Girdi hücreleri</t>
        </is>
      </c>
      <c r="B7" s="174" t="inlineStr">
        <is>
          <t>Kullanıcının değiştireceği alan açıkça görünür</t>
        </is>
      </c>
      <c r="C7" s="174" t="inlineStr">
        <is>
          <t>Açık sarı dolgu + mavi yazı</t>
        </is>
      </c>
      <c r="D7" s="174" t="inlineStr">
        <is>
          <t>Formülle aynı görünüm</t>
        </is>
      </c>
      <c r="E7" s="174" t="inlineStr">
        <is>
          <t>Girdi/formül ayrımı</t>
        </is>
      </c>
      <c r="F7" s="187" t="inlineStr">
        <is>
          <t>ZORUNLU</t>
        </is>
      </c>
    </row>
    <row r="8" ht="16" customHeight="1">
      <c r="A8" s="186" t="inlineStr">
        <is>
          <t>Formüller</t>
        </is>
      </c>
      <c r="B8" s="174" t="inlineStr">
        <is>
          <t>Hesap hücreleri kullanıcı girdisinden ayrılır</t>
        </is>
      </c>
      <c r="C8" s="174" t="inlineStr">
        <is>
          <t>Siyah yazı; sayfalar arası bağlantı yeşil yazı</t>
        </is>
      </c>
      <c r="D8" s="174" t="inlineStr">
        <is>
          <t>Hard-code gizleme</t>
        </is>
      </c>
      <c r="E8" s="174" t="inlineStr">
        <is>
          <t>Formül sınıfı kontrolü</t>
        </is>
      </c>
      <c r="F8" s="187" t="inlineStr">
        <is>
          <t>ZORUNLU</t>
        </is>
      </c>
    </row>
    <row r="9" ht="16" customHeight="1">
      <c r="A9" s="186" t="inlineStr">
        <is>
          <t>Grafik sayısı</t>
        </is>
      </c>
      <c r="B9" s="174" t="inlineStr">
        <is>
          <t>Yönetici ekranında en fazla 3 ana karar grafiği</t>
        </is>
      </c>
      <c r="C9" s="174" t="inlineStr">
        <is>
          <t>Trend, karşılaştırma, köprü/dağılım; iş kararına bağlı</t>
        </is>
      </c>
      <c r="D9" s="174" t="inlineStr">
        <is>
          <t>Grafik kalabalığı</t>
        </is>
      </c>
      <c r="E9" s="174" t="inlineStr">
        <is>
          <t>Grafik başına karar sorusu</t>
        </is>
      </c>
      <c r="F9" s="187" t="inlineStr">
        <is>
          <t>ZORUNLU</t>
        </is>
      </c>
    </row>
    <row r="10" ht="16" customHeight="1">
      <c r="A10" s="186" t="inlineStr">
        <is>
          <t>Grafik stili</t>
        </is>
      </c>
      <c r="B10" s="174" t="inlineStr">
        <is>
          <t>Kurumsal ve yüksek okunabilirlik</t>
        </is>
      </c>
      <c r="C10" s="174" t="inlineStr">
        <is>
          <t>Beyaz zemin, ince gridline, tek vurgu rengi, açık birim/başlık</t>
        </is>
      </c>
      <c r="D10" s="174" t="inlineStr">
        <is>
          <t>3B, gölge, neon, gökkuşağı renkleri</t>
        </is>
      </c>
      <c r="E10" s="174" t="inlineStr">
        <is>
          <t>Görsel inceleme</t>
        </is>
      </c>
      <c r="F10" s="187" t="inlineStr">
        <is>
          <t>ZORUNLU</t>
        </is>
      </c>
    </row>
    <row r="11" ht="16" customHeight="1">
      <c r="A11" s="186" t="inlineStr">
        <is>
          <t>Grafik başlığı</t>
        </is>
      </c>
      <c r="B11" s="174" t="inlineStr">
        <is>
          <t>Grafik 'neyi' değil 'ne anlama geldiğini' söyler</t>
        </is>
      </c>
      <c r="C11" s="174" t="inlineStr">
        <is>
          <t>Örn: 'Nakit 2028'de kritik eşiğin altına iniyor'</t>
        </is>
      </c>
      <c r="D11" s="174" t="inlineStr">
        <is>
          <t>'Nakit Grafiği' gibi anlamsız başlık</t>
        </is>
      </c>
      <c r="E11" s="174" t="inlineStr">
        <is>
          <t>Başlık karar testi</t>
        </is>
      </c>
      <c r="F11" s="187" t="inlineStr">
        <is>
          <t>ZORUNLU</t>
        </is>
      </c>
    </row>
    <row r="12" ht="16" customHeight="1">
      <c r="A12" s="186" t="inlineStr">
        <is>
          <t>Birimler</t>
        </is>
      </c>
      <c r="B12" s="174" t="inlineStr">
        <is>
          <t>Tüm finansal görsellerde birim açık</t>
        </is>
      </c>
      <c r="C12" s="174" t="inlineStr">
        <is>
          <t>TL, bin TL, milyon TL, %, gün, x</t>
        </is>
      </c>
      <c r="D12" s="174" t="inlineStr">
        <is>
          <t>Birim belirsizliği</t>
        </is>
      </c>
      <c r="E12" s="174" t="inlineStr">
        <is>
          <t>Birim kapsama %100</t>
        </is>
      </c>
      <c r="F12" s="187" t="inlineStr">
        <is>
          <t>ZORUNLU</t>
        </is>
      </c>
    </row>
    <row r="13" ht="16" customHeight="1">
      <c r="A13" s="186" t="inlineStr">
        <is>
          <t>Sıfır/negatif</t>
        </is>
      </c>
      <c r="B13" s="174" t="inlineStr">
        <is>
          <t>Finansal format standardı</t>
        </is>
      </c>
      <c r="C13" s="174" t="inlineStr">
        <is>
          <t>Sıfır='-', negatif kırmızı parantez</t>
        </is>
      </c>
      <c r="D13" s="174" t="inlineStr">
        <is>
          <t>-500 veya 0,00 kalabalığı</t>
        </is>
      </c>
      <c r="E13" s="174" t="inlineStr">
        <is>
          <t>Format kontrolü</t>
        </is>
      </c>
      <c r="F13" s="187" t="inlineStr">
        <is>
          <t>ZORUNLU</t>
        </is>
      </c>
    </row>
    <row r="14" ht="16" customHeight="1">
      <c r="A14" s="186" t="inlineStr">
        <is>
          <t>Yazı tipi</t>
        </is>
      </c>
      <c r="B14" s="174" t="inlineStr">
        <is>
          <t>Tek aile</t>
        </is>
      </c>
      <c r="C14" s="174" t="inlineStr">
        <is>
          <t>Aptos veya Segoe UI</t>
        </is>
      </c>
      <c r="D14" s="174" t="inlineStr">
        <is>
          <t>Karışık font</t>
        </is>
      </c>
      <c r="E14" s="174" t="inlineStr">
        <is>
          <t>Tek font kontrolü</t>
        </is>
      </c>
      <c r="F14" s="187" t="inlineStr">
        <is>
          <t>ZORUNLU</t>
        </is>
      </c>
    </row>
    <row r="15" ht="16" customHeight="1">
      <c r="A15" s="186" t="inlineStr">
        <is>
          <t>Izgara</t>
        </is>
      </c>
      <c r="B15" s="174" t="inlineStr">
        <is>
          <t>Kullanıcı sayfalarında kapalı</t>
        </is>
      </c>
      <c r="C15" s="174" t="inlineStr">
        <is>
          <t>Bölüm çizgileri ve kart sınırlarıyla düzen</t>
        </is>
      </c>
      <c r="D15" s="174" t="inlineStr">
        <is>
          <t>Excel varsayılan gridline</t>
        </is>
      </c>
      <c r="E15" s="174" t="inlineStr">
        <is>
          <t>Gridline kontrolü</t>
        </is>
      </c>
      <c r="F15" s="187" t="inlineStr">
        <is>
          <t>ZORUNLU</t>
        </is>
      </c>
    </row>
    <row r="16" ht="16" customHeight="1">
      <c r="A16" s="186" t="inlineStr">
        <is>
          <t>Boş durum</t>
        </is>
      </c>
      <c r="B16" s="174" t="inlineStr">
        <is>
          <t>Veri yokken temiz ve anlaşılır</t>
        </is>
      </c>
      <c r="C16" s="174" t="inlineStr">
        <is>
          <t>'Henüz veri yok' / 'Girdi bekleniyor'</t>
        </is>
      </c>
      <c r="D16" s="174" t="inlineStr">
        <is>
          <t>0 yığını / hata kodu</t>
        </is>
      </c>
      <c r="E16" s="174" t="inlineStr">
        <is>
          <t>Boş veri testi</t>
        </is>
      </c>
      <c r="F16" s="187" t="inlineStr">
        <is>
          <t>ZORUNLU</t>
        </is>
      </c>
    </row>
    <row r="17" ht="28" customHeight="1">
      <c r="A17" s="186" t="inlineStr">
        <is>
          <t>Başlangıç deneyimi</t>
        </is>
      </c>
      <c r="B17" s="174" t="inlineStr">
        <is>
          <t>İlk 5 saniyede ne gireceği ve neye bakacağı anlaşılır</t>
        </is>
      </c>
      <c r="C17" s="174" t="inlineStr">
        <is>
          <t>Girdi → durum → aksiyon akışı</t>
        </is>
      </c>
      <c r="D17" s="174" t="inlineStr">
        <is>
          <t>Kılavuz aramaya zorlama</t>
        </is>
      </c>
      <c r="E17" s="174" t="inlineStr">
        <is>
          <t>5 saniye testi</t>
        </is>
      </c>
      <c r="F17" s="187" t="inlineStr">
        <is>
          <t>ZORUNLU</t>
        </is>
      </c>
    </row>
    <row r="18" ht="30" customHeight="1">
      <c r="A18" s="182" t="inlineStr">
        <is>
          <t>Buton standardı</t>
        </is>
      </c>
      <c r="B18" s="183" t="inlineStr">
        <is>
          <t>Buton görünümü verilen her alan gerçek işlev taşır</t>
        </is>
      </c>
      <c r="C18" s="183" t="inlineStr">
        <is>
          <t>Sayfa içi HYPERLINK / gerçek aksiyon; tıklanınca hedefe gider</t>
        </is>
      </c>
      <c r="D18" s="183" t="inlineStr">
        <is>
          <t>İşlevsiz dekoratif buton / sahte navigasyon</t>
        </is>
      </c>
      <c r="E18" s="183" t="inlineStr">
        <is>
          <t>Butonların %100'ü tıklanabilir ve hedefi doğru</t>
        </is>
      </c>
      <c r="F18" s="187" t="inlineStr">
        <is>
          <t>ZORUNLU</t>
        </is>
      </c>
    </row>
    <row r="19" ht="32" customHeight="1">
      <c r="A19" s="182" t="inlineStr">
        <is>
          <t>Native sayfa sekmesi rengi</t>
        </is>
      </c>
      <c r="B19" s="183" t="inlineStr">
        <is>
          <t>Excel alt sheet tabları kurumsal paletle renklendirilir</t>
        </is>
      </c>
      <c r="C19" s="183" t="inlineStr">
        <is>
          <t>Başlangıç/özet=lacivert; girdiler=mavi; hesap/finans=teal; karar/kontrol=burgundy; doküman=gri</t>
        </is>
      </c>
      <c r="D19" s="183" t="inlineStr">
        <is>
          <t>Renksiz sekmeler veya rastgele/gökkuşağı renkleri</t>
        </is>
      </c>
      <c r="E19" s="183" t="inlineStr">
        <is>
          <t>Tüm görünür kullanıcı sheet tabları renkli</t>
        </is>
      </c>
      <c r="F19" s="187" t="inlineStr">
        <is>
          <t>ZORUNLU</t>
        </is>
      </c>
    </row>
    <row r="20" ht="60" customHeight="1">
      <c r="A20" s="182" t="inlineStr">
        <is>
          <t>İş akışı sıralaması</t>
        </is>
      </c>
      <c r="B20" s="183" t="inlineStr">
        <is>
          <t>Sayfalar kullanıcının çalışma sırasına göre fiziksel olarak dizilir</t>
        </is>
      </c>
      <c r="C20" s="18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3" t="inlineStr">
        <is>
          <t>Teknik oluşturma sırasına göre dağınık sheet dizilimi</t>
        </is>
      </c>
      <c r="E20" s="183" t="inlineStr">
        <is>
          <t>Sheet order = tanımlı workflow</t>
        </is>
      </c>
      <c r="F20" s="187" t="inlineStr">
        <is>
          <t>ZORUNLU</t>
        </is>
      </c>
    </row>
    <row r="21" ht="30" customHeight="1">
      <c r="A21" s="182" t="inlineStr">
        <is>
          <t>Kurumsal renk paleti</t>
        </is>
      </c>
      <c r="B21" s="183" t="inlineStr">
        <is>
          <t>Sekme, başlık, buton ve vurgu renkleri tek kurumsal paletten gelir</t>
        </is>
      </c>
      <c r="C21" s="183" t="inlineStr">
        <is>
          <t>Lacivert + mavi + teal + kontrollü burgundy/gri; kategori semantiği sabit</t>
        </is>
      </c>
      <c r="D21" s="183" t="inlineStr">
        <is>
          <t>Neon, rastgele yüksek doygunluk, her sayfada farklı bağımsız renk</t>
        </is>
      </c>
      <c r="E21" s="183" t="inlineStr">
        <is>
          <t>Palette token kontrolü</t>
        </is>
      </c>
      <c r="F21" s="187" t="inlineStr">
        <is>
          <t>ZORUNLU</t>
        </is>
      </c>
    </row>
    <row r="22" ht="45" customHeight="1">
      <c r="A22" s="182" t="inlineStr">
        <is>
          <t>Premium vitrin</t>
        </is>
      </c>
      <c r="B22" s="183" t="inlineStr">
        <is>
          <t>Görsel kalite ürün değerinin zorunlu parçasıdır</t>
        </is>
      </c>
      <c r="C22" s="183" t="inlineStr">
        <is>
          <t>Kaliteli grafik, gerçek KPI kartı, finansal hiyerarşi, tab rengi, fonksiyonel navigasyon</t>
        </is>
      </c>
      <c r="D22" s="183" t="inlineStr">
        <is>
          <t>Sadece doğru hesap yapıp çıplak/varsayılan Excel görünümü bırakmak</t>
        </is>
      </c>
      <c r="E22" s="183" t="inlineStr">
        <is>
          <t>Görsel release incelemesi</t>
        </is>
      </c>
      <c r="F22" s="187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TÜRKİYE MUHASEBE VE TEKDÜZEN HESAP PLANI STANDARDI</t>
        </is>
      </c>
    </row>
    <row r="3" ht="24" customHeight="1">
      <c r="A3" s="189" t="inlineStr">
        <is>
          <t>Konu</t>
        </is>
      </c>
      <c r="B3" s="189" t="inlineStr">
        <is>
          <t>Zorunlu Standart</t>
        </is>
      </c>
      <c r="C3" s="189" t="inlineStr">
        <is>
          <t>Örnek Türkçe Ad</t>
        </is>
      </c>
      <c r="D3" s="189" t="inlineStr">
        <is>
          <t>THP / Mantık</t>
        </is>
      </c>
      <c r="E3" s="189" t="inlineStr">
        <is>
          <t>Hata Riski</t>
        </is>
      </c>
      <c r="F3" s="189" t="inlineStr">
        <is>
          <t>Kontrol</t>
        </is>
      </c>
    </row>
    <row r="4">
      <c r="A4" s="190" t="inlineStr">
        <is>
          <t>Dil</t>
        </is>
      </c>
      <c r="B4" s="174" t="inlineStr">
        <is>
          <t>Kullanıcıya görünen finansal terimler Türkçe</t>
        </is>
      </c>
      <c r="C4" s="174" t="inlineStr">
        <is>
          <t>Hasılat, Satışların Maliyeti, Brüt Kâr, Faaliyet Giderleri</t>
        </is>
      </c>
      <c r="D4" s="174" t="inlineStr">
        <is>
          <t>Türk işletme kullanımına uygun</t>
        </is>
      </c>
      <c r="E4" s="174" t="inlineStr">
        <is>
          <t>İngilizce jargon</t>
        </is>
      </c>
      <c r="F4" s="174" t="inlineStr">
        <is>
          <t>Terminoloji taraması</t>
        </is>
      </c>
    </row>
    <row r="5" ht="28" customHeight="1">
      <c r="A5" s="190" t="inlineStr">
        <is>
          <t>Gelir Tablosu</t>
        </is>
      </c>
      <c r="B5" s="174" t="inlineStr">
        <is>
          <t>Türk sunum sırası kullanılır</t>
        </is>
      </c>
      <c r="C5" s="174" t="inlineStr">
        <is>
          <t>Net Satışlar → Satışların Maliyeti → Brüt Kâr → Faaliyet Giderleri → Faaliyet Kârı</t>
        </is>
      </c>
      <c r="D5" s="174" t="inlineStr">
        <is>
          <t>600/610/611; 620-623; 63x</t>
        </is>
      </c>
      <c r="E5" s="174" t="inlineStr">
        <is>
          <t>Yanlış sınıflama</t>
        </is>
      </c>
      <c r="F5" s="174" t="inlineStr">
        <is>
          <t>Hesap eşleme</t>
        </is>
      </c>
    </row>
    <row r="6" ht="28" customHeight="1">
      <c r="A6" s="190" t="inlineStr">
        <is>
          <t>Bilanço</t>
        </is>
      </c>
      <c r="B6" s="174" t="inlineStr">
        <is>
          <t>Dönen/Duran Varlık ve Kısa/Uzun Vadeli Yükümlülük ayrımı</t>
        </is>
      </c>
      <c r="C6" s="174" t="inlineStr">
        <is>
          <t>Hazır Değerler, Ticari Alacaklar, Stoklar, Mali Borçlar</t>
        </is>
      </c>
      <c r="D6" s="174" t="inlineStr">
        <is>
          <t>1xx / 2xx / 3xx / 4xx / 5xx</t>
        </is>
      </c>
      <c r="E6" s="174" t="inlineStr">
        <is>
          <t>Vade sınıfı hatası</t>
        </is>
      </c>
      <c r="F6" s="174" t="inlineStr">
        <is>
          <t>Bilanço eşitliği</t>
        </is>
      </c>
    </row>
    <row r="7">
      <c r="A7" s="190" t="inlineStr">
        <is>
          <t>Nakit Akışı</t>
        </is>
      </c>
      <c r="B7" s="174" t="inlineStr">
        <is>
          <t>İşletme/Yatırım/Finansman nakit akışları ayrılır</t>
        </is>
      </c>
      <c r="C7" s="174" t="inlineStr">
        <is>
          <t>Faaliyetlerden Nakit, Yatırım Harcamaları, Finansman Nakit Akışı</t>
        </is>
      </c>
      <c r="D7" s="174" t="inlineStr">
        <is>
          <t>Dolaylı/doğrudan yöntem açık seçilir</t>
        </is>
      </c>
      <c r="E7" s="174" t="inlineStr">
        <is>
          <t>Kâr = nakit sanılması</t>
        </is>
      </c>
      <c r="F7" s="174" t="inlineStr">
        <is>
          <t>Nakit devri</t>
        </is>
      </c>
    </row>
    <row r="8">
      <c r="A8" s="190" t="inlineStr">
        <is>
          <t>Ticari Alacaklar</t>
        </is>
      </c>
      <c r="B8" s="174" t="inlineStr">
        <is>
          <t>Cari ve vade mantığı korunur</t>
        </is>
      </c>
      <c r="C8" s="174" t="inlineStr">
        <is>
          <t>120 Alıcılar</t>
        </is>
      </c>
      <c r="D8" s="174" t="inlineStr">
        <is>
          <t>120</t>
        </is>
      </c>
      <c r="E8" s="174" t="inlineStr">
        <is>
          <t>Tahakkuk/nakit karışması</t>
        </is>
      </c>
      <c r="F8" s="174" t="inlineStr">
        <is>
          <t>Alacak devir kontrolü</t>
        </is>
      </c>
    </row>
    <row r="9">
      <c r="A9" s="190" t="inlineStr">
        <is>
          <t>Ticari Borçlar</t>
        </is>
      </c>
      <c r="B9" s="174" t="inlineStr">
        <is>
          <t>Tedarikçi borcu ayrı izlenir</t>
        </is>
      </c>
      <c r="C9" s="174" t="inlineStr">
        <is>
          <t>320 Satıcılar</t>
        </is>
      </c>
      <c r="D9" s="174" t="inlineStr">
        <is>
          <t>320</t>
        </is>
      </c>
      <c r="E9" s="174" t="inlineStr">
        <is>
          <t>Gider/ödeme karışması</t>
        </is>
      </c>
      <c r="F9" s="174" t="inlineStr">
        <is>
          <t>Borç devir kontrolü</t>
        </is>
      </c>
    </row>
    <row r="10">
      <c r="A10" s="190" t="inlineStr">
        <is>
          <t>Kasa/Banka</t>
        </is>
      </c>
      <c r="B10" s="174" t="inlineStr">
        <is>
          <t>Hazır değerler ayrı izlenir</t>
        </is>
      </c>
      <c r="C10" s="174" t="inlineStr">
        <is>
          <t>100 Kasa, 102 Bankalar</t>
        </is>
      </c>
      <c r="D10" s="174" t="inlineStr">
        <is>
          <t>100 / 102</t>
        </is>
      </c>
      <c r="E10" s="174" t="inlineStr">
        <is>
          <t>Virmanla toplam nakdin değişmesi</t>
        </is>
      </c>
      <c r="F10" s="174" t="inlineStr">
        <is>
          <t>Virman değişmezi</t>
        </is>
      </c>
    </row>
    <row r="11">
      <c r="A11" s="190" t="inlineStr">
        <is>
          <t>Stok</t>
        </is>
      </c>
      <c r="B11" s="174" t="inlineStr">
        <is>
          <t>Dikeye uygun stok türü</t>
        </is>
      </c>
      <c r="C11" s="174" t="inlineStr">
        <is>
          <t>150 İlk Madde ve Malzeme, 153 Ticari Mallar</t>
        </is>
      </c>
      <c r="D11" s="174" t="inlineStr">
        <is>
          <t>15x</t>
        </is>
      </c>
      <c r="E11" s="174" t="inlineStr">
        <is>
          <t>Maliyet ve stok hareketinin kopması</t>
        </is>
      </c>
      <c r="F11" s="174" t="inlineStr">
        <is>
          <t>Stok devri</t>
        </is>
      </c>
    </row>
    <row r="12" ht="28" customHeight="1">
      <c r="A12" s="190" t="inlineStr">
        <is>
          <t>Maddi Duran Varlık</t>
        </is>
      </c>
      <c r="B12" s="174" t="inlineStr">
        <is>
          <t>Yatırım harcaması ve amortisman bağlantılı</t>
        </is>
      </c>
      <c r="C12" s="174" t="inlineStr">
        <is>
          <t>253 Tesis Makine Cihazlar, 255 Demirbaşlar, 257 Birikmiş Amortismanlar</t>
        </is>
      </c>
      <c r="D12" s="174" t="inlineStr">
        <is>
          <t>25x</t>
        </is>
      </c>
      <c r="E12" s="174" t="inlineStr">
        <is>
          <t>Yatırım/gider karışması</t>
        </is>
      </c>
      <c r="F12" s="174" t="inlineStr">
        <is>
          <t>Net defter değeri devri</t>
        </is>
      </c>
    </row>
    <row r="13">
      <c r="A13" s="190" t="inlineStr">
        <is>
          <t>Mali Borçlar</t>
        </is>
      </c>
      <c r="B13" s="174" t="inlineStr">
        <is>
          <t>Kısa/uzun vadeli borç ayrımı</t>
        </is>
      </c>
      <c r="C13" s="174" t="inlineStr">
        <is>
          <t>300 Banka Kredileri / 400 Banka Kredileri</t>
        </is>
      </c>
      <c r="D13" s="174" t="inlineStr">
        <is>
          <t>300 / 400</t>
        </is>
      </c>
      <c r="E13" s="174" t="inlineStr">
        <is>
          <t>Vade sınıfı yanlış</t>
        </is>
      </c>
      <c r="F13" s="174" t="inlineStr">
        <is>
          <t>Borç devri</t>
        </is>
      </c>
    </row>
    <row r="14">
      <c r="A14" s="190" t="inlineStr">
        <is>
          <t>Özkaynak</t>
        </is>
      </c>
      <c r="B14" s="174" t="inlineStr">
        <is>
          <t>Sermaye ve geçmiş yıl kârları ayrı</t>
        </is>
      </c>
      <c r="C14" s="174" t="inlineStr">
        <is>
          <t>500 Sermaye, 570 Geçmiş Yıllar Kârları, 590 Dönem Net Kârı</t>
        </is>
      </c>
      <c r="D14" s="174" t="inlineStr">
        <is>
          <t>5xx</t>
        </is>
      </c>
      <c r="E14" s="174" t="inlineStr">
        <is>
          <t>Net kâr bağının kopması</t>
        </is>
      </c>
      <c r="F14" s="174" t="inlineStr">
        <is>
          <t>Özkaynak devri</t>
        </is>
      </c>
    </row>
    <row r="15">
      <c r="A15" s="190" t="inlineStr">
        <is>
          <t>Vergi</t>
        </is>
      </c>
      <c r="B15" s="174" t="inlineStr">
        <is>
          <t>Vergi satırları Türkiye mantığına uygun</t>
        </is>
      </c>
      <c r="C15" s="174" t="inlineStr">
        <is>
          <t>Dönem Vergi ve Diğer Yasal Yükümlülük Karşılıkları</t>
        </is>
      </c>
      <c r="D15" s="174" t="inlineStr">
        <is>
          <t>37x / ilgili vergi hesapları</t>
        </is>
      </c>
      <c r="E15" s="174" t="inlineStr">
        <is>
          <t>Vergi etkisinin yanlış dönemlenmesi</t>
        </is>
      </c>
      <c r="F15" s="174" t="inlineStr">
        <is>
          <t>Vergi sözleşmesi</t>
        </is>
      </c>
    </row>
    <row r="16">
      <c r="A16" s="190" t="inlineStr">
        <is>
          <t>İsim standardı</t>
        </is>
      </c>
      <c r="B16" s="174" t="inlineStr">
        <is>
          <t>Tablo ve sayfa adları Türkçe ve işlevsel</t>
        </is>
      </c>
      <c r="C16" s="174" t="inlineStr">
        <is>
          <t>GELİR_TABLOSU, BİLANÇO, NAKİT_AKISI, BORC_PLANI</t>
        </is>
      </c>
      <c r="D16" s="174" t="inlineStr">
        <is>
          <t>Tekrarlanabilir standart</t>
        </is>
      </c>
      <c r="E16" s="174" t="inlineStr">
        <is>
          <t>İngilizce/karma isim</t>
        </is>
      </c>
      <c r="F16" s="174" t="inlineStr">
        <is>
          <t>Sayfa ve tablo taraması</t>
        </is>
      </c>
    </row>
    <row r="17">
      <c r="A17" s="190" t="inlineStr">
        <is>
          <t>THP eşleme tablosu</t>
        </is>
      </c>
      <c r="B17" s="174" t="inlineStr">
        <is>
          <t>Her kritik satır en az bir THP hesabına bağlanır</t>
        </is>
      </c>
      <c r="C17" s="174" t="inlineStr">
        <is>
          <t>RaporSatırı → HesapKodu → HesapAdı → İşaret → Dönem</t>
        </is>
      </c>
      <c r="D17" s="174" t="inlineStr">
        <is>
          <t>Kaynak izlenebilirliği</t>
        </is>
      </c>
      <c r="E17" s="174" t="inlineStr">
        <is>
          <t>Rapordan rapora kaynak</t>
        </is>
      </c>
      <c r="F17" s="174" t="inlineStr">
        <is>
          <t>Eşleme kapsama %100</t>
        </is>
      </c>
    </row>
    <row r="18">
      <c r="A18" s="190" t="inlineStr">
        <is>
          <t>İstisna</t>
        </is>
      </c>
      <c r="B18" s="174" t="inlineStr">
        <is>
          <t>TFRS özel ürün varsa fark açık yazılır</t>
        </is>
      </c>
      <c r="C18" s="174" t="inlineStr">
        <is>
          <t>Tekdüzen raporlama ≠ TFRS finansal tablo sunumu</t>
        </is>
      </c>
      <c r="D18" s="174" t="inlineStr">
        <is>
          <t>Amaç belirtilir</t>
        </is>
      </c>
      <c r="E18" s="174" t="inlineStr">
        <is>
          <t>Standartları karıştırma</t>
        </is>
      </c>
      <c r="F18" s="174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KARAR, GÜVEN VE SATIŞA HAZIRLIK STANDARDI</t>
        </is>
      </c>
    </row>
    <row r="3" ht="24" customHeight="1">
      <c r="A3" s="192" t="inlineStr">
        <is>
          <t>Alan</t>
        </is>
      </c>
      <c r="B3" s="192" t="inlineStr">
        <is>
          <t>Müşteri Sorusu</t>
        </is>
      </c>
      <c r="C3" s="192" t="inlineStr">
        <is>
          <t>Zorunlu Ürün Davranışı</t>
        </is>
      </c>
      <c r="D3" s="192" t="inlineStr">
        <is>
          <t>Kanıt</t>
        </is>
      </c>
      <c r="E3" s="192" t="inlineStr">
        <is>
          <t>Başarısızlık Durumu</t>
        </is>
      </c>
      <c r="F3" s="192" t="inlineStr">
        <is>
          <t>Kapı</t>
        </is>
      </c>
    </row>
    <row r="4">
      <c r="A4" s="193" t="inlineStr">
        <is>
          <t>5 saniye</t>
        </is>
      </c>
      <c r="B4" s="174" t="inlineStr">
        <is>
          <t>Bu ürün neyi çözüyor?</t>
        </is>
      </c>
      <c r="C4" s="174" t="inlineStr">
        <is>
          <t>İlk ekranda hedef kullanıcı + pahalı problem + sonuç görünür</t>
        </is>
      </c>
      <c r="D4" s="174" t="inlineStr">
        <is>
          <t>Başlık + alt mesaj + gerçek ekran</t>
        </is>
      </c>
      <c r="E4" s="174" t="inlineStr">
        <is>
          <t>Ürün yalnız teknik isim</t>
        </is>
      </c>
      <c r="F4" s="194" t="inlineStr">
        <is>
          <t>HATA</t>
        </is>
      </c>
    </row>
    <row r="5">
      <c r="A5" s="193" t="inlineStr">
        <is>
          <t>Acı</t>
        </is>
      </c>
      <c r="B5" s="174" t="inlineStr">
        <is>
          <t>Sorun bana neye mal oluyor?</t>
        </is>
      </c>
      <c r="C5" s="174" t="inlineStr">
        <is>
          <t>Mümkünse müşterinin kendi verisiyle parasal/zaman etkisi hesaplanır</t>
        </is>
      </c>
      <c r="D5" s="174" t="inlineStr">
        <is>
          <t>ROI/acı hesaplama yöntemi</t>
        </is>
      </c>
      <c r="E5" s="174" t="inlineStr">
        <is>
          <t>Uydurma tasarruf</t>
        </is>
      </c>
      <c r="F5" s="194" t="inlineStr">
        <is>
          <t>HATA</t>
        </is>
      </c>
    </row>
    <row r="6">
      <c r="A6" s="193" t="inlineStr">
        <is>
          <t>Karar</t>
        </is>
      </c>
      <c r="B6" s="174" t="inlineStr">
        <is>
          <t>Bu bilgiyle ne yapacağım?</t>
        </is>
      </c>
      <c r="C6" s="174" t="inlineStr">
        <is>
          <t>Her kritik KPI aksiyona bağlanır</t>
        </is>
      </c>
      <c r="D6" s="174" t="inlineStr">
        <is>
          <t>KARAR_KUYRUGU</t>
        </is>
      </c>
      <c r="E6" s="174" t="inlineStr">
        <is>
          <t>Sadece rapor</t>
        </is>
      </c>
      <c r="F6" s="194" t="inlineStr">
        <is>
          <t>HATA</t>
        </is>
      </c>
    </row>
    <row r="7">
      <c r="A7" s="193" t="inlineStr">
        <is>
          <t>Güven</t>
        </is>
      </c>
      <c r="B7" s="174" t="inlineStr">
        <is>
          <t>Bu sayıya neden inanayım?</t>
        </is>
      </c>
      <c r="C7" s="174" t="inlineStr">
        <is>
          <t>Kaynak, formül mantığı, kontrol ve son doğrulama görünür</t>
        </is>
      </c>
      <c r="D7" s="174" t="inlineStr">
        <is>
          <t>Kontroller + kaynak izi + sürüm</t>
        </is>
      </c>
      <c r="E7" s="174" t="inlineStr">
        <is>
          <t>Prestij kelimesi</t>
        </is>
      </c>
      <c r="F7" s="194" t="inlineStr">
        <is>
          <t>HATA</t>
        </is>
      </c>
    </row>
    <row r="8">
      <c r="A8" s="193" t="inlineStr">
        <is>
          <t>Referans</t>
        </is>
      </c>
      <c r="B8" s="174" t="inlineStr">
        <is>
          <t>Müşteri yorumu yoksa ne göstereceğim?</t>
        </is>
      </c>
      <c r="C8" s="174" t="inlineStr">
        <is>
          <t>Önce/Sonra + Karar Vakası + Hata Önleme Vakası üretilir</t>
        </is>
      </c>
      <c r="D8" s="174" t="inlineStr">
        <is>
          <t>Demo/örnek çıktı</t>
        </is>
      </c>
      <c r="E8" s="174" t="inlineStr">
        <is>
          <t>Kanıtsız iddia</t>
        </is>
      </c>
      <c r="F8" s="194" t="inlineStr">
        <is>
          <t>HATA</t>
        </is>
      </c>
    </row>
    <row r="9">
      <c r="A9" s="193" t="inlineStr">
        <is>
          <t>Senaryo</t>
        </is>
      </c>
      <c r="B9" s="174" t="inlineStr">
        <is>
          <t>Ne olursa işler bozulur?</t>
        </is>
      </c>
      <c r="C9" s="174" t="inlineStr">
        <is>
          <t>Baz/Aşağı/Yukarı veya uygun stres senaryosu</t>
        </is>
      </c>
      <c r="D9" s="174" t="inlineStr">
        <is>
          <t>Senaryo karşılaştırma</t>
        </is>
      </c>
      <c r="E9" s="174" t="inlineStr">
        <is>
          <t>Dekoratif senaryo</t>
        </is>
      </c>
      <c r="F9" s="194" t="inlineStr">
        <is>
          <t>HATA</t>
        </is>
      </c>
    </row>
    <row r="10">
      <c r="A10" s="193" t="inlineStr">
        <is>
          <t>Ters stres</t>
        </is>
      </c>
      <c r="B10" s="174" t="inlineStr">
        <is>
          <t>Hangi eşikte karar kırılır?</t>
        </is>
      </c>
      <c r="C10" s="174" t="inlineStr">
        <is>
          <t>En az bir kritik sürücü için kırılma eşiği</t>
        </is>
      </c>
      <c r="D10" s="174" t="inlineStr">
        <is>
          <t>Kırılma eşiği tablosu</t>
        </is>
      </c>
      <c r="E10" s="174" t="inlineStr">
        <is>
          <t>Sadece +/- %10</t>
        </is>
      </c>
      <c r="F10" s="194" t="inlineStr">
        <is>
          <t>UYARI/HATA</t>
        </is>
      </c>
    </row>
    <row r="11">
      <c r="A11" s="193" t="inlineStr">
        <is>
          <t>Hata tutarlılığı</t>
        </is>
      </c>
      <c r="B11" s="174" t="inlineStr">
        <is>
          <t>Formül hata verirse ne olur?</t>
        </is>
      </c>
      <c r="C11" s="174" t="inlineStr">
        <is>
          <t>Kontrol GEÇTİ veremez; BLOKE/HATA üretir</t>
        </is>
      </c>
      <c r="D11" s="174" t="inlineStr">
        <is>
          <t>Hata taraması</t>
        </is>
      </c>
      <c r="E11" s="174" t="inlineStr">
        <is>
          <t>Hata + GEÇTİ birlikte</t>
        </is>
      </c>
      <c r="F11" s="194" t="inlineStr">
        <is>
          <t>HATA</t>
        </is>
      </c>
    </row>
    <row r="12">
      <c r="A12" s="193" t="inlineStr">
        <is>
          <t>Karar motoru</t>
        </is>
      </c>
      <c r="B12" s="174" t="inlineStr">
        <is>
          <t>Ne oldu, neden oldu?</t>
        </is>
      </c>
      <c r="C12" s="174" t="inlineStr">
        <is>
          <t>Sorun + neden + parasal etki + aksiyon + son tarih</t>
        </is>
      </c>
      <c r="D12" s="174" t="inlineStr">
        <is>
          <t>Karar tablosu</t>
        </is>
      </c>
      <c r="E12" s="174" t="inlineStr">
        <is>
          <t>Boş sayfa / isim düzeyi modül</t>
        </is>
      </c>
      <c r="F12" s="194" t="inlineStr">
        <is>
          <t>HATA</t>
        </is>
      </c>
    </row>
    <row r="13">
      <c r="A13" s="193" t="inlineStr">
        <is>
          <t>Yönetici özeti</t>
        </is>
      </c>
      <c r="B13" s="174" t="inlineStr">
        <is>
          <t>5 saniyede ne görmeliyim?</t>
        </is>
      </c>
      <c r="C13" s="174" t="inlineStr">
        <is>
          <t>Bugün / ne değişti / ne bozulacak / neden / ne yapmalıyım / güven</t>
        </is>
      </c>
      <c r="D13" s="174" t="inlineStr">
        <is>
          <t>Yönetici özeti ekranı</t>
        </is>
      </c>
      <c r="E13" s="174" t="inlineStr">
        <is>
          <t>KPI kutusu yığını</t>
        </is>
      </c>
      <c r="F13" s="194" t="inlineStr">
        <is>
          <t>HATA</t>
        </is>
      </c>
    </row>
    <row r="14">
      <c r="A14" s="193" t="inlineStr">
        <is>
          <t>Teklif</t>
        </is>
      </c>
      <c r="B14" s="174" t="inlineStr">
        <is>
          <t>Neden satın almalıyım?</t>
        </is>
      </c>
      <c r="C14" s="174" t="inlineStr">
        <is>
          <t>Dosya özellikleri yerine sonuç ve kaçınılan maliyet sunulur</t>
        </is>
      </c>
      <c r="D14" s="174" t="inlineStr">
        <is>
          <t>Ürün sayfası kanıt eşlemesi</t>
        </is>
      </c>
      <c r="E14" s="174" t="inlineStr">
        <is>
          <t>Özellik listesiyle satış</t>
        </is>
      </c>
      <c r="F14" s="194" t="inlineStr">
        <is>
          <t>HATA</t>
        </is>
      </c>
    </row>
    <row r="15">
      <c r="A15" s="193" t="inlineStr">
        <is>
          <t>Dağıtım</t>
        </is>
      </c>
      <c r="B15" s="174" t="inlineStr">
        <is>
          <t>Beni nasıl bulacaklar?</t>
        </is>
      </c>
      <c r="C15" s="174" t="inlineStr">
        <is>
          <t>Sorun niyetine göre SEO sayfaları, iç bağlantı, temiz yapı, taranabilir metin</t>
        </is>
      </c>
      <c r="D15" s="174" t="inlineStr">
        <is>
          <t>Arama niyeti haritası</t>
        </is>
      </c>
      <c r="E15" s="174" t="inlineStr">
        <is>
          <t>Tek ürün sayfasına bağımlılık</t>
        </is>
      </c>
      <c r="F15" s="194" t="inlineStr">
        <is>
          <t>UYARI</t>
        </is>
      </c>
    </row>
    <row r="16" ht="28" customHeight="1">
      <c r="A16" s="193" t="inlineStr">
        <is>
          <t>LLM görünürlüğü</t>
        </is>
      </c>
      <c r="B16" s="174" t="inlineStr">
        <is>
          <t>AI ürünümü anlayabiliyor mu?</t>
        </is>
      </c>
      <c r="C16" s="174" t="inlineStr">
        <is>
          <t>Ürün tanımı, hedef kullanıcı, girdi/çıktı, metodoloji, sınırlar, SSS açık metindir</t>
        </is>
      </c>
      <c r="D16" s="174" t="inlineStr">
        <is>
          <t>Taranabilir ürün içeriği</t>
        </is>
      </c>
      <c r="E16" s="174" t="inlineStr">
        <is>
          <t>'AI SEO' iddiası</t>
        </is>
      </c>
      <c r="F16" s="194" t="inlineStr">
        <is>
          <t>UYARI</t>
        </is>
      </c>
    </row>
    <row r="17">
      <c r="A17" s="193" t="inlineStr">
        <is>
          <t>Satış kanalı</t>
        </is>
      </c>
      <c r="B17" s="174" t="inlineStr">
        <is>
          <t>Nerede satılmalı?</t>
        </is>
      </c>
      <c r="C17" s="174" t="inlineStr">
        <is>
          <t>Arama, LinkedIn, uzman/partner, demo/video; ürüne göre kanal seçilir</t>
        </is>
      </c>
      <c r="D17" s="174" t="inlineStr">
        <is>
          <t>Kanal matrisi</t>
        </is>
      </c>
      <c r="E17" s="174" t="inlineStr">
        <is>
          <t>Her ürüne aynı kanal</t>
        </is>
      </c>
      <c r="F17" s="194" t="inlineStr">
        <is>
          <t>UYARI</t>
        </is>
      </c>
    </row>
    <row r="18">
      <c r="A18" s="193" t="inlineStr">
        <is>
          <t>Fiyat</t>
        </is>
      </c>
      <c r="B18" s="174" t="inlineStr">
        <is>
          <t>Bu fiyat neden mantıklı?</t>
        </is>
      </c>
      <c r="C18" s="174" t="inlineStr">
        <is>
          <t>Fiyat, ekonomik karar değerine ve kanıtlanmış ürün derinliğine bağlanır</t>
        </is>
      </c>
      <c r="D18" s="174" t="inlineStr">
        <is>
          <t>Değer haritası + demo</t>
        </is>
      </c>
      <c r="E18" s="174" t="inlineStr">
        <is>
          <t>Sırf sayfa/formül sayısı</t>
        </is>
      </c>
      <c r="F18" s="194" t="inlineStr">
        <is>
          <t>HATA</t>
        </is>
      </c>
    </row>
    <row r="19">
      <c r="A19" s="193" t="inlineStr">
        <is>
          <t>Pazar kanıtı</t>
        </is>
      </c>
      <c r="B19" s="174" t="inlineStr">
        <is>
          <t>Piyasa gerçekten ödüyor mu?</t>
        </is>
      </c>
      <c r="C19" s="174" t="inlineStr">
        <is>
          <t>Satış/pilot/LOI/fiyat kabulü olmadan pazar doğrulandı yazılmaz</t>
        </is>
      </c>
      <c r="D19" s="174" t="inlineStr">
        <is>
          <t>Gerçek işlem kanıtı</t>
        </is>
      </c>
      <c r="E19" s="174" t="inlineStr">
        <is>
          <t>Tahmini talep = satış kabulü</t>
        </is>
      </c>
      <c r="F19" s="194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KAPAK — Üretim Kârı %12,5 KV Optimizasyonu</t>
        </is>
      </c>
    </row>
    <row r="3" ht="22" customHeight="1">
      <c r="A3" s="224" t="inlineStr">
        <is>
          <t>Üretim Kârı %12,5 KV Optimizasyonu</t>
        </is>
      </c>
    </row>
    <row r="4">
      <c r="A4" s="4" t="inlineStr">
        <is>
          <t>Üretim hasılatı, maliyeti ve payları girin; standart KV ile indirimli %12,5 oranı karşılaştırıp UYGULA / İNCELE / UYGULAMA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indirimli üretim KV oranına hazır motor</t>
        </is>
      </c>
    </row>
    <row r="8">
      <c r="A8" s="6" t="inlineStr">
        <is>
          <t>• Üretim kârı, matrah, standart KV, indirimli KV ve tasarrufun yan yana hesabı</t>
        </is>
      </c>
    </row>
    <row r="9">
      <c r="A9" s="6" t="inlineStr">
        <is>
          <t>• Baz / iyimser / kötümser + kural değişimi (indirimli oran +1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genel yönetim / finansman pay dağıtım yorumu (A / B)</t>
        </is>
      </c>
    </row>
    <row r="13">
      <c r="A13" s="5" t="inlineStr">
        <is>
          <t>Kimler için?</t>
        </is>
      </c>
    </row>
    <row r="14">
      <c r="A14" s="7" t="inlineStr">
        <is>
          <t>• SMMM — indirimli KV tasarrufunu ve madde atfını müşteriye vermek</t>
        </is>
      </c>
    </row>
    <row r="15">
      <c r="A15" s="7" t="inlineStr">
        <is>
          <t>• CFO — UYGULA / İNCELE / UYGULAMA kararını bütçeye yazmak</t>
        </is>
      </c>
    </row>
    <row r="16">
      <c r="A16" s="7" t="inlineStr">
        <is>
          <t>• Ortak / denetçi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84.5" customWidth="1" min="1" max="1"/>
    <col width="7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HIZLI BASLANGIC — Üretim Kârı %12,5 KV Optimizasyonu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hasılat, maliyet ve payları sarı hücrelere girin.</t>
        </is>
      </c>
    </row>
    <row r="6">
      <c r="A6" s="10" t="inlineStr">
        <is>
          <t>Adım 2 — Karar</t>
        </is>
      </c>
      <c r="B6" s="6" t="inlineStr">
        <is>
          <t>PANO'da tasarruf tutarını ve UYGULA / İNCELE / UYGULAMA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Genel yönetim / finansman payını üretim dışı bırakmak</t>
        </is>
      </c>
    </row>
    <row r="11">
      <c r="A11" s="12" t="inlineStr">
        <is>
          <t>• İstisna tutarını matrahtan düşmeden standart oranla karşılaştırmak</t>
        </is>
      </c>
    </row>
    <row r="12">
      <c r="A12" s="12" t="inlineStr">
        <is>
          <t>• Hesap yılını kural tablosuyla uyumsuz seçmek (2025 ≠ 2026 oranı)</t>
        </is>
      </c>
    </row>
    <row r="14">
      <c r="A14" s="13" t="inlineStr">
        <is>
          <t>Bu dosya karar destek aracıdır; kesin vergi görüşü veya beyanname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:I1"/>
    <mergeCell ref="A11:H11"/>
    <mergeCell ref="B6:T6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GIRDI — Üretim Kârı %12,5 KV Optimizasyonu</t>
        </is>
      </c>
    </row>
    <row r="3" ht="22" customHeight="1">
      <c r="A3" s="225" t="inlineStr">
        <is>
          <t>Şirket ve üretim girdileri</t>
        </is>
      </c>
    </row>
    <row r="4">
      <c r="A4" s="4" t="inlineStr">
        <is>
          <t>Sarı hücreler manuel giriştir. Oranlar KURALLAR'dan; tasarruf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Şirket Adı</t>
        </is>
      </c>
      <c r="B6" s="31" t="inlineStr">
        <is>
          <t>Örnek İmalat A.Ş.</t>
        </is>
      </c>
      <c r="C6" s="28" t="inlineStr">
        <is>
          <t>metin</t>
        </is>
      </c>
    </row>
    <row r="7">
      <c r="A7" s="7" t="inlineStr">
        <is>
          <t>Dönem</t>
        </is>
      </c>
      <c r="B7" s="31" t="inlineStr">
        <is>
          <t>2026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2026</v>
      </c>
      <c r="C8" s="28" t="inlineStr">
        <is>
          <t>yıl</t>
        </is>
      </c>
    </row>
    <row r="9">
      <c r="A9" s="7" t="inlineStr">
        <is>
          <t>Üretim Hasılatı [₺]</t>
        </is>
      </c>
      <c r="B9" s="33" t="n">
        <v>40000000</v>
      </c>
      <c r="C9" s="28" t="inlineStr">
        <is>
          <t>₺</t>
        </is>
      </c>
    </row>
    <row r="10">
      <c r="A10" s="7" t="inlineStr">
        <is>
          <t>Üretim Maliyeti [₺]</t>
        </is>
      </c>
      <c r="B10" s="33" t="n">
        <v>28000000</v>
      </c>
      <c r="C10" s="28" t="inlineStr">
        <is>
          <t>₺</t>
        </is>
      </c>
    </row>
    <row r="11">
      <c r="A11" s="7" t="inlineStr">
        <is>
          <t>Genel Yönetim Payı [₺]</t>
        </is>
      </c>
      <c r="B11" s="33" t="n">
        <v>1500000</v>
      </c>
      <c r="C11" s="28" t="inlineStr">
        <is>
          <t>₺</t>
        </is>
      </c>
    </row>
    <row r="12">
      <c r="A12" s="7" t="inlineStr">
        <is>
          <t>Finansman Gider Payı [₺]</t>
        </is>
      </c>
      <c r="B12" s="33" t="n">
        <v>500000</v>
      </c>
      <c r="C12" s="28" t="inlineStr">
        <is>
          <t>₺</t>
        </is>
      </c>
    </row>
    <row r="13">
      <c r="A13" s="7" t="inlineStr">
        <is>
          <t>Diğer Faaliyet Kârı [₺]</t>
        </is>
      </c>
      <c r="B13" s="33" t="n">
        <v>200000</v>
      </c>
      <c r="C13" s="28" t="inlineStr">
        <is>
          <t>₺</t>
        </is>
      </c>
    </row>
    <row r="14">
      <c r="A14" s="7" t="inlineStr">
        <is>
          <t>İstisna Tutarı [₺]</t>
        </is>
      </c>
      <c r="B14" s="33" t="n">
        <v>0</v>
      </c>
      <c r="C14" s="28" t="inlineStr">
        <is>
          <t>₺</t>
        </is>
      </c>
    </row>
    <row r="15">
      <c r="A15" s="7" t="inlineStr">
        <is>
          <t>Yorum Modu (A/B)</t>
        </is>
      </c>
      <c r="B15" s="31" t="inlineStr">
        <is>
          <t>A</t>
        </is>
      </c>
      <c r="C15" s="28" t="inlineStr">
        <is>
          <t>metin</t>
        </is>
      </c>
    </row>
    <row r="17">
      <c r="A17" s="10" t="inlineStr">
        <is>
          <t>İndirimli oran (ayna)</t>
        </is>
      </c>
      <c r="B17" s="34">
        <f>IFERROR(INDEX(CHOOSE(MAX(1,MIN(3,IF(OR(hesapYili="",hesapYili=0),1,hesapYili-ukv_yilTaban))),tblKurallar[deger_2025],tblKurallar[deger_2026],tblKurallar[deger_2027]),MATCH("UKV-001",tblKurallar[kural_id],0)),0)</f>
        <v/>
      </c>
    </row>
    <row r="18">
      <c r="A18" s="10" t="inlineStr">
        <is>
          <t>Standart oran (ayna)</t>
        </is>
      </c>
      <c r="B18" s="34">
        <f>IFERROR(INDEX(CHOOSE(MAX(1,MIN(3,IF(OR(hesapYili="",hesapYili=0),1,hesapYili-ukv_yilTaban))),tblKurallar[deger_2025],tblKurallar[deger_2026],tblKurallar[deger_2027]),MATCH("UKV-002",tblKurallar[kural_id],0)),0)</f>
        <v/>
      </c>
    </row>
    <row r="19">
      <c r="A19" s="10" t="inlineStr">
        <is>
          <t>Tasarruf (ayna) [₺]</t>
        </is>
      </c>
      <c r="B19" s="35">
        <f>IFERROR(ukv_tasarruf,0)</f>
        <v/>
      </c>
    </row>
    <row r="20">
      <c r="A20" s="10" t="inlineStr">
        <is>
          <t>Giriş doluluk (kalite)</t>
        </is>
      </c>
      <c r="B20" s="36">
        <f>IFERROR(IF(OR(COUNTA(B6:B15)=0,ukv_girisBeklenen=0),0,ROUND(COUNTA(B6:B15)/ukv_girisBeklenen*100,0)),0)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22" t="inlineStr">
        <is>
          <t>Alan Anahtarı</t>
        </is>
      </c>
      <c r="B23" s="22" t="inlineStr">
        <is>
          <t>Değer</t>
        </is>
      </c>
      <c r="C23" s="22" t="inlineStr">
        <is>
          <t>Birim</t>
        </is>
      </c>
      <c r="D23" s="22" t="inlineStr">
        <is>
          <t>Zorunlu</t>
        </is>
      </c>
      <c r="E23" s="22" t="inlineStr">
        <is>
          <t>Kaynak</t>
        </is>
      </c>
      <c r="F23" s="22" t="inlineStr">
        <is>
          <t>Kontrol</t>
        </is>
      </c>
    </row>
    <row r="24">
      <c r="A24" s="37" t="inlineStr">
        <is>
          <t>sirket_adi</t>
        </is>
      </c>
      <c r="B24" s="37" t="inlineStr">
        <is>
          <t>Örnek İmalat A.Ş.</t>
        </is>
      </c>
      <c r="C24" s="37" t="inlineStr">
        <is>
          <t>metin</t>
        </is>
      </c>
      <c r="D24" s="37" t="inlineStr">
        <is>
          <t>Evet</t>
        </is>
      </c>
      <c r="E24" s="37" t="inlineStr">
        <is>
          <t>GIRDI</t>
        </is>
      </c>
      <c r="F24" s="38">
        <f>IF($A24="","",IF($B24="","EKSİK","TAM"))</f>
        <v/>
      </c>
    </row>
    <row r="25">
      <c r="A25" s="37" t="inlineStr">
        <is>
          <t>donem</t>
        </is>
      </c>
      <c r="B25" s="37" t="inlineStr">
        <is>
          <t>2026</t>
        </is>
      </c>
      <c r="C25" s="37" t="inlineStr">
        <is>
          <t>metin</t>
        </is>
      </c>
      <c r="D25" s="37" t="inlineStr">
        <is>
          <t>Evet</t>
        </is>
      </c>
      <c r="E25" s="37" t="inlineStr">
        <is>
          <t>GIRDI</t>
        </is>
      </c>
      <c r="F25" s="38">
        <f>IF($A25="","",IF($B25="","EKSİK","TAM"))</f>
        <v/>
      </c>
    </row>
    <row r="26">
      <c r="A26" s="37" t="inlineStr">
        <is>
          <t>hesapYili</t>
        </is>
      </c>
      <c r="B26" s="39" t="n">
        <v>2026</v>
      </c>
      <c r="C26" s="37" t="inlineStr">
        <is>
          <t>yıl</t>
        </is>
      </c>
      <c r="D26" s="37" t="inlineStr">
        <is>
          <t>Evet</t>
        </is>
      </c>
      <c r="E26" s="37" t="inlineStr">
        <is>
          <t>GIRDI</t>
        </is>
      </c>
      <c r="F26" s="38">
        <f>IF($A26="","",IF($B26="","EKSİK","TAM"))</f>
        <v/>
      </c>
    </row>
    <row r="27">
      <c r="A27" s="37" t="inlineStr">
        <is>
          <t>uretim_hasilati</t>
        </is>
      </c>
      <c r="B27" s="40" t="n">
        <v>40000000</v>
      </c>
      <c r="C27" s="37" t="inlineStr">
        <is>
          <t>TL</t>
        </is>
      </c>
      <c r="D27" s="37" t="inlineStr">
        <is>
          <t>Evet</t>
        </is>
      </c>
      <c r="E27" s="37" t="inlineStr">
        <is>
          <t>GIRDI</t>
        </is>
      </c>
      <c r="F27" s="38">
        <f>IF($A27="","",IF($B27="","EKSİK","TAM"))</f>
        <v/>
      </c>
    </row>
    <row r="28">
      <c r="A28" s="37" t="inlineStr">
        <is>
          <t>uretim_maliyeti</t>
        </is>
      </c>
      <c r="B28" s="40" t="n">
        <v>28000000</v>
      </c>
      <c r="C28" s="37" t="inlineStr">
        <is>
          <t>TL</t>
        </is>
      </c>
      <c r="D28" s="37" t="inlineStr">
        <is>
          <t>Evet</t>
        </is>
      </c>
      <c r="E28" s="37" t="inlineStr">
        <is>
          <t>GIRDI</t>
        </is>
      </c>
      <c r="F28" s="38">
        <f>IF($A28="","",IF($B28="","EKSİK","TAM"))</f>
        <v/>
      </c>
    </row>
    <row r="29">
      <c r="A29" s="37" t="inlineStr">
        <is>
          <t>genel_yonetim_payi</t>
        </is>
      </c>
      <c r="B29" s="40" t="n">
        <v>1500000</v>
      </c>
      <c r="C29" s="37" t="inlineStr">
        <is>
          <t>TL</t>
        </is>
      </c>
      <c r="D29" s="37" t="inlineStr">
        <is>
          <t>Evet</t>
        </is>
      </c>
      <c r="E29" s="37" t="inlineStr">
        <is>
          <t>GIRDI</t>
        </is>
      </c>
      <c r="F29" s="38">
        <f>IF($A29="","",IF($B29="","EKSİK","TAM"))</f>
        <v/>
      </c>
    </row>
    <row r="30">
      <c r="A30" s="37" t="inlineStr">
        <is>
          <t>finansman_gider_payi</t>
        </is>
      </c>
      <c r="B30" s="40" t="n">
        <v>500000</v>
      </c>
      <c r="C30" s="37" t="inlineStr">
        <is>
          <t>TL</t>
        </is>
      </c>
      <c r="D30" s="37" t="inlineStr">
        <is>
          <t>Evet</t>
        </is>
      </c>
      <c r="E30" s="37" t="inlineStr">
        <is>
          <t>GIRDI</t>
        </is>
      </c>
      <c r="F30" s="38">
        <f>IF($A30="","",IF($B30="","EKSİK","TAM"))</f>
        <v/>
      </c>
    </row>
    <row r="31">
      <c r="A31" s="37" t="inlineStr">
        <is>
          <t>diger_faaliyet_kar</t>
        </is>
      </c>
      <c r="B31" s="40" t="n">
        <v>200000</v>
      </c>
      <c r="C31" s="37" t="inlineStr">
        <is>
          <t>TL</t>
        </is>
      </c>
      <c r="D31" s="37" t="inlineStr">
        <is>
          <t>Evet</t>
        </is>
      </c>
      <c r="E31" s="37" t="inlineStr">
        <is>
          <t>GIRDI</t>
        </is>
      </c>
      <c r="F31" s="38">
        <f>IF($A31="","",IF($B31="","EKSİK","TAM"))</f>
        <v/>
      </c>
    </row>
    <row r="32">
      <c r="A32" s="37" t="inlineStr">
        <is>
          <t>istisna_tutari</t>
        </is>
      </c>
      <c r="B32" s="40" t="n">
        <v>0</v>
      </c>
      <c r="C32" s="37" t="inlineStr">
        <is>
          <t>TL</t>
        </is>
      </c>
      <c r="D32" s="37" t="inlineStr">
        <is>
          <t>Evet</t>
        </is>
      </c>
      <c r="E32" s="37" t="inlineStr">
        <is>
          <t>GIRDI</t>
        </is>
      </c>
      <c r="F32" s="38">
        <f>IF($A32="","",IF($B32="","EKSİK","TAM"))</f>
        <v/>
      </c>
    </row>
    <row r="33">
      <c r="A33" s="37" t="inlineStr">
        <is>
          <t>yorum_modu</t>
        </is>
      </c>
      <c r="B33" s="37" t="inlineStr">
        <is>
          <t>A</t>
        </is>
      </c>
      <c r="C33" s="37" t="inlineStr">
        <is>
          <t>A/B</t>
        </is>
      </c>
      <c r="D33" s="37" t="inlineStr">
        <is>
          <t>Evet</t>
        </is>
      </c>
      <c r="E33" s="37" t="inlineStr">
        <is>
          <t>GIRDI</t>
        </is>
      </c>
      <c r="F33" s="38">
        <f>IF($A33="","",IF($B33="","EKSİK","TAM"))</f>
        <v/>
      </c>
    </row>
    <row r="34">
      <c r="F34" s="38">
        <f>IF($A34="","",IF($B34="","EKSİK","TAM"))</f>
        <v/>
      </c>
    </row>
    <row r="35">
      <c r="F35" s="38">
        <f>IF($A35="","",IF($B35="","EKSİK","TAM"))</f>
        <v/>
      </c>
    </row>
    <row r="36">
      <c r="F36" s="38">
        <f>IF($A36="","",IF($B36="","EKSİK","TAM"))</f>
        <v/>
      </c>
    </row>
    <row r="37">
      <c r="F37" s="38">
        <f>IF($A37="","",IF($B37="","EKSİK","TAM"))</f>
        <v/>
      </c>
    </row>
    <row r="38">
      <c r="F38" s="38">
        <f>IF($A38="","",IF($B38="","EKSİK","TAM"))</f>
        <v/>
      </c>
    </row>
    <row r="39">
      <c r="F39" s="38">
        <f>IF($A39="","",IF($B39="","EKSİK","TAM"))</f>
        <v/>
      </c>
    </row>
    <row r="40">
      <c r="F40" s="38">
        <f>IF($A40="","",IF($B40="","EKSİK","TAM"))</f>
        <v/>
      </c>
    </row>
    <row r="41">
      <c r="F41" s="38">
        <f>IF($A41="","",IF($B41="","EKSİK","TAM"))</f>
        <v/>
      </c>
    </row>
    <row r="42">
      <c r="F42" s="38">
        <f>IF($A42="","",IF($B42="","EKSİK","TAM"))</f>
        <v/>
      </c>
    </row>
    <row r="43">
      <c r="F43" s="38">
        <f>IF($A43="","",IF($B43="","EKSİK","TAM"))</f>
        <v/>
      </c>
    </row>
    <row r="44">
      <c r="F44" s="38">
        <f>IF($A44="","",IF($B44="","EKSİK","TAM"))</f>
        <v/>
      </c>
    </row>
    <row r="45">
      <c r="F45" s="38">
        <f>IF($A45="","",IF($B45="","EKSİK","TAM"))</f>
        <v/>
      </c>
    </row>
    <row r="46">
      <c r="F46" s="38">
        <f>IF($A46="","",IF($B46="","EKSİK","TAM"))</f>
        <v/>
      </c>
    </row>
    <row r="47">
      <c r="F47" s="38">
        <f>IF($A47="","",IF($B47="","EKSİK","TAM"))</f>
        <v/>
      </c>
    </row>
    <row r="48">
      <c r="F48" s="38">
        <f>IF($A48="","",IF($B48="","EKSİK","TAM"))</f>
        <v/>
      </c>
    </row>
    <row r="49">
      <c r="F49" s="38">
        <f>IF($A49="","",IF($B49="","EKSİK","TAM"))</f>
        <v/>
      </c>
    </row>
    <row r="50">
      <c r="F50" s="38">
        <f>IF($A50="","",IF($B50="","EKSİK","TAM"))</f>
        <v/>
      </c>
    </row>
    <row r="51">
      <c r="F51" s="38">
        <f>IF($A51="","",IF($B51="","EKSİK","TAM"))</f>
        <v/>
      </c>
    </row>
    <row r="52">
      <c r="F52" s="38">
        <f>IF($A52="","",IF($B52="","EKSİK","TAM"))</f>
        <v/>
      </c>
    </row>
    <row r="53">
      <c r="F53" s="38">
        <f>IF($A53="","",IF($B53="","EKSİK","TAM"))</f>
        <v/>
      </c>
    </row>
    <row r="54">
      <c r="F54" s="38">
        <f>IF($A54="","",IF($B54="","EKSİK","TAM"))</f>
        <v/>
      </c>
    </row>
    <row r="55">
      <c r="F55" s="38">
        <f>IF($A55="","",IF($B55="","EKSİK","TAM"))</f>
        <v/>
      </c>
    </row>
    <row r="56">
      <c r="F56" s="38">
        <f>IF($A56="","",IF($B56="","EKSİK","TAM"))</f>
        <v/>
      </c>
    </row>
    <row r="57">
      <c r="F57" s="38">
        <f>IF($A57="","",IF($B57="","EKSİK","TAM"))</f>
        <v/>
      </c>
    </row>
    <row r="58">
      <c r="F58" s="38">
        <f>IF($A58="","",IF($B58="","EKSİK","TAM"))</f>
        <v/>
      </c>
    </row>
    <row r="59">
      <c r="F59" s="38">
        <f>IF($A59="","",IF($B59="","EKSİK","TAM"))</f>
        <v/>
      </c>
    </row>
    <row r="60">
      <c r="F60" s="38">
        <f>IF($A60="","",IF($B60="","EKSİK","TAM"))</f>
        <v/>
      </c>
    </row>
    <row r="61">
      <c r="F61" s="38">
        <f>IF($A61="","",IF($B61="","EKSİK","TAM"))</f>
        <v/>
      </c>
    </row>
    <row r="62">
      <c r="F62" s="38">
        <f>IF($A62="","",IF($B62="","EKSİK","TAM"))</f>
        <v/>
      </c>
    </row>
    <row r="63">
      <c r="F63" s="38">
        <f>IF($A63="","",IF($B63="","EKSİK","TAM"))</f>
        <v/>
      </c>
    </row>
    <row r="64">
      <c r="F64" s="38">
        <f>IF($A64="","",IF($B64="","EKSİK","TAM"))</f>
        <v/>
      </c>
    </row>
    <row r="65">
      <c r="F65" s="38">
        <f>IF($A65="","",IF($B65="","EKSİK","TAM"))</f>
        <v/>
      </c>
    </row>
    <row r="66">
      <c r="F66" s="38">
        <f>IF($A66="","",IF($B66="","EKSİK","TAM"))</f>
        <v/>
      </c>
    </row>
    <row r="67">
      <c r="F67" s="38">
        <f>IF($A67="","",IF($B67="","EKSİK","TAM"))</f>
        <v/>
      </c>
    </row>
    <row r="68">
      <c r="F68" s="38">
        <f>IF($A68="","",IF($B68="","EKSİK","TAM"))</f>
        <v/>
      </c>
    </row>
    <row r="69">
      <c r="F69" s="38">
        <f>IF($A69="","",IF($B69="","EKSİK","TAM"))</f>
        <v/>
      </c>
    </row>
    <row r="70">
      <c r="F70" s="38">
        <f>IF($A70="","",IF($B70="","EKSİK","TAM"))</f>
        <v/>
      </c>
    </row>
    <row r="71">
      <c r="F71" s="38">
        <f>IF($A71="","",IF($B71="","EKSİK","TAM"))</f>
        <v/>
      </c>
    </row>
    <row r="72">
      <c r="F72" s="38">
        <f>IF($A72="","",IF($B72="","EKSİK","TAM"))</f>
        <v/>
      </c>
    </row>
    <row r="73">
      <c r="F73" s="38">
        <f>IF($A73="","",IF($B73="","EKSİK","TAM"))</f>
        <v/>
      </c>
    </row>
    <row r="74">
      <c r="F74" s="38">
        <f>IF($A74="","",IF($B74="","EKSİK","TAM"))</f>
        <v/>
      </c>
    </row>
    <row r="75">
      <c r="F75" s="38">
        <f>IF($A75="","",IF($B75="","EKSİK","TAM"))</f>
        <v/>
      </c>
    </row>
    <row r="76">
      <c r="F76" s="38">
        <f>IF($A76="","",IF($B76="","EKSİK","TAM"))</f>
        <v/>
      </c>
    </row>
    <row r="77">
      <c r="F77" s="38">
        <f>IF($A77="","",IF($B77="","EKSİK","TAM"))</f>
        <v/>
      </c>
    </row>
    <row r="78">
      <c r="F78" s="38">
        <f>IF($A78="","",IF($B78="","EKSİK","TAM"))</f>
        <v/>
      </c>
    </row>
    <row r="79">
      <c r="F79" s="38">
        <f>IF($A79="","",IF($B79="","EKSİK","TAM"))</f>
        <v/>
      </c>
    </row>
    <row r="80">
      <c r="F80" s="38">
        <f>IF($A80="","",IF($B80="","EKSİK","TAM"))</f>
        <v/>
      </c>
    </row>
    <row r="81">
      <c r="F81" s="38">
        <f>IF($A81="","",IF($B81="","EKSİK","TAM"))</f>
        <v/>
      </c>
    </row>
    <row r="82">
      <c r="F82" s="38">
        <f>IF($A82="","",IF($B82="","EKSİK","TAM"))</f>
        <v/>
      </c>
    </row>
    <row r="83">
      <c r="F83" s="38">
        <f>IF($A83="","",IF($B83="","EKSİK","TAM"))</f>
        <v/>
      </c>
    </row>
    <row r="84">
      <c r="F84" s="38">
        <f>IF($A84="","",IF($B84="","EKSİK","TAM"))</f>
        <v/>
      </c>
    </row>
    <row r="85">
      <c r="F85" s="38">
        <f>IF($A85="","",IF($B85="","EKSİK","TAM"))</f>
        <v/>
      </c>
    </row>
    <row r="86">
      <c r="F86" s="38">
        <f>IF($A86="","",IF($B86="","EKSİK","TAM"))</f>
        <v/>
      </c>
    </row>
    <row r="87">
      <c r="F87" s="38">
        <f>IF($A87="","",IF($B87="","EKSİK","TAM"))</f>
        <v/>
      </c>
    </row>
    <row r="88">
      <c r="F88" s="38">
        <f>IF($A88="","",IF($B88="","EKSİK","TAM"))</f>
        <v/>
      </c>
    </row>
    <row r="89">
      <c r="F89" s="38">
        <f>IF($A89="","",IF($B89="","EKSİK","TAM"))</f>
        <v/>
      </c>
    </row>
    <row r="90">
      <c r="F90" s="38">
        <f>IF($A90="","",IF($B90="","EKSİK","TAM"))</f>
        <v/>
      </c>
    </row>
    <row r="91">
      <c r="F91" s="38">
        <f>IF($A91="","",IF($B91="","EKSİK","TAM"))</f>
        <v/>
      </c>
    </row>
    <row r="92">
      <c r="F92" s="38">
        <f>IF($A92="","",IF($B92="","EKSİK","TAM"))</f>
        <v/>
      </c>
    </row>
    <row r="93">
      <c r="F93" s="38">
        <f>IF($A93="","",IF($B93="","EKSİK","TAM"))</f>
        <v/>
      </c>
    </row>
    <row r="94">
      <c r="F94" s="38">
        <f>IF($A94="","",IF($B94="","EKSİK","TAM"))</f>
        <v/>
      </c>
    </row>
    <row r="95">
      <c r="F95" s="38">
        <f>IF($A95="","",IF($B95="","EKSİK","TAM"))</f>
        <v/>
      </c>
    </row>
    <row r="96">
      <c r="F96" s="38">
        <f>IF($A96="","",IF($B96="","EKSİK","TAM"))</f>
        <v/>
      </c>
    </row>
    <row r="97">
      <c r="F97" s="38">
        <f>IF($A97="","",IF($B97="","EKSİK","TAM"))</f>
        <v/>
      </c>
    </row>
    <row r="98">
      <c r="F98" s="38">
        <f>IF($A98="","",IF($B98="","EKSİK","TAM"))</f>
        <v/>
      </c>
    </row>
    <row r="99">
      <c r="F99" s="38">
        <f>IF($A99="","",IF($B99="","EKSİK","TAM"))</f>
        <v/>
      </c>
    </row>
    <row r="100">
      <c r="F100" s="38">
        <f>IF($A100="","",IF($B100="","EKSİK","TAM"))</f>
        <v/>
      </c>
    </row>
    <row r="101">
      <c r="F101" s="38">
        <f>IF($A101="","",IF($B101="","EKSİK","TAM"))</f>
        <v/>
      </c>
    </row>
    <row r="102">
      <c r="F102" s="38">
        <f>IF($A102="","",IF($B102="","EKSİK","TAM"))</f>
        <v/>
      </c>
    </row>
    <row r="103">
      <c r="F103" s="38">
        <f>IF($A103="","",IF($B103="","EKSİK","TAM"))</f>
        <v/>
      </c>
    </row>
    <row r="104">
      <c r="F104" s="38">
        <f>IF($A104="","",IF($B104="","EKSİK","TAM"))</f>
        <v/>
      </c>
    </row>
    <row r="105">
      <c r="F105" s="38">
        <f>IF($A105="","",IF($B105="","EKSİK","TAM"))</f>
        <v/>
      </c>
    </row>
    <row r="106">
      <c r="F106" s="38">
        <f>IF($A106="","",IF($B106="","EKSİK","TAM"))</f>
        <v/>
      </c>
    </row>
    <row r="107">
      <c r="F107" s="38">
        <f>IF($A107="","",IF($B107="","EKSİK","TAM"))</f>
        <v/>
      </c>
    </row>
    <row r="108">
      <c r="F108" s="38">
        <f>IF($A108="","",IF($B108="","EKSİK","TAM"))</f>
        <v/>
      </c>
    </row>
    <row r="109">
      <c r="F109" s="38">
        <f>IF($A109="","",IF($B109="","EKSİK","TAM"))</f>
        <v/>
      </c>
    </row>
    <row r="110">
      <c r="F110" s="38">
        <f>IF($A110="","",IF($B110="","EKSİK","TAM"))</f>
        <v/>
      </c>
    </row>
    <row r="111">
      <c r="F111" s="38">
        <f>IF($A111="","",IF($B111="","EKSİK","TAM"))</f>
        <v/>
      </c>
    </row>
    <row r="112">
      <c r="F112" s="38">
        <f>IF($A112="","",IF($B112="","EKSİK","TAM"))</f>
        <v/>
      </c>
    </row>
    <row r="113">
      <c r="F113" s="38">
        <f>IF($A113="","",IF($B113="","EKSİK","TAM"))</f>
        <v/>
      </c>
    </row>
    <row r="114">
      <c r="F114" s="38">
        <f>IF($A114="","",IF($B114="","EKSİK","TAM"))</f>
        <v/>
      </c>
    </row>
    <row r="115">
      <c r="F115" s="38">
        <f>IF($A115="","",IF($B115="","EKSİK","TAM"))</f>
        <v/>
      </c>
    </row>
    <row r="116">
      <c r="F116" s="38">
        <f>IF($A116="","",IF($B116="","EKSİK","TAM"))</f>
        <v/>
      </c>
    </row>
    <row r="117">
      <c r="F117" s="38">
        <f>IF($A117="","",IF($B117="","EKSİK","TAM"))</f>
        <v/>
      </c>
    </row>
    <row r="118">
      <c r="F118" s="38">
        <f>IF($A118="","",IF($B118="","EKSİK","TAM"))</f>
        <v/>
      </c>
    </row>
    <row r="119">
      <c r="F119" s="38">
        <f>IF($A119="","",IF($B119="","EKSİK","TAM"))</f>
        <v/>
      </c>
    </row>
    <row r="120">
      <c r="F120" s="38">
        <f>IF($A120="","",IF($B120="","EKSİK","TAM"))</f>
        <v/>
      </c>
    </row>
    <row r="121">
      <c r="F121" s="38">
        <f>IF($A121="","",IF($B121="","EKSİK","TAM"))</f>
        <v/>
      </c>
    </row>
    <row r="122">
      <c r="F122" s="38">
        <f>IF($A122="","",IF($B122="","EKSİK","TAM"))</f>
        <v/>
      </c>
    </row>
    <row r="123">
      <c r="F123" s="38">
        <f>IF($A123="","",IF($B123="","EKSİK","TAM"))</f>
        <v/>
      </c>
    </row>
    <row r="124">
      <c r="F124" s="38">
        <f>IF($A124="","",IF($B124="","EKSİK","TAM"))</f>
        <v/>
      </c>
    </row>
    <row r="125">
      <c r="F125" s="38">
        <f>IF($A125="","",IF($B125="","EKSİK","TAM"))</f>
        <v/>
      </c>
    </row>
    <row r="126">
      <c r="F126" s="38">
        <f>IF($A126="","",IF($B126="","EKSİK","TAM"))</f>
        <v/>
      </c>
    </row>
    <row r="127">
      <c r="F127" s="38">
        <f>IF($A127="","",IF($B127="","EKSİK","TAM"))</f>
        <v/>
      </c>
    </row>
    <row r="128">
      <c r="F128" s="38">
        <f>IF($A128="","",IF($B128="","EKSİK","TAM"))</f>
        <v/>
      </c>
    </row>
    <row r="129">
      <c r="F129" s="38">
        <f>IF($A129="","",IF($B129="","EKSİK","TAM"))</f>
        <v/>
      </c>
    </row>
    <row r="130">
      <c r="F130" s="38">
        <f>IF($A130="","",IF($B130="","EKSİK","TAM"))</f>
        <v/>
      </c>
    </row>
    <row r="131">
      <c r="F131" s="38">
        <f>IF($A131="","",IF($B131="","EKSİK","TAM"))</f>
        <v/>
      </c>
    </row>
    <row r="132">
      <c r="F132" s="38">
        <f>IF($A132="","",IF($B132="","EKSİK","TAM"))</f>
        <v/>
      </c>
    </row>
    <row r="133">
      <c r="F133" s="38">
        <f>IF($A133="","",IF($B133="","EKSİK","TAM"))</f>
        <v/>
      </c>
    </row>
    <row r="134">
      <c r="F134" s="38">
        <f>IF($A134="","",IF($B134="","EKSİK","TAM"))</f>
        <v/>
      </c>
    </row>
    <row r="135">
      <c r="F135" s="38">
        <f>IF($A135="","",IF($B135="","EKSİK","TAM"))</f>
        <v/>
      </c>
    </row>
    <row r="136">
      <c r="F136" s="38">
        <f>IF($A136="","",IF($B136="","EKSİK","TAM"))</f>
        <v/>
      </c>
    </row>
    <row r="137">
      <c r="F137" s="38">
        <f>IF($A137="","",IF($B137="","EKSİK","TAM"))</f>
        <v/>
      </c>
    </row>
    <row r="138">
      <c r="F138" s="38">
        <f>IF($A138="","",IF($B138="","EKSİK","TAM"))</f>
        <v/>
      </c>
    </row>
    <row r="139">
      <c r="F139" s="38">
        <f>IF($A139="","",IF($B139="","EKSİK","TAM"))</f>
        <v/>
      </c>
    </row>
    <row r="140">
      <c r="F140" s="38">
        <f>IF($A140="","",IF($B140="","EKSİK","TAM"))</f>
        <v/>
      </c>
    </row>
    <row r="141">
      <c r="F141" s="38">
        <f>IF($A141="","",IF($B141="","EKSİK","TAM"))</f>
        <v/>
      </c>
    </row>
    <row r="142">
      <c r="F142" s="38">
        <f>IF($A142="","",IF($B142="","EKSİK","TAM"))</f>
        <v/>
      </c>
    </row>
    <row r="143">
      <c r="F143" s="38">
        <f>IF($A143="","",IF($B143="","EKSİK","TAM"))</f>
        <v/>
      </c>
    </row>
    <row r="144">
      <c r="F144" s="38">
        <f>IF($A144="","",IF($B144="","EKSİK","TAM"))</f>
        <v/>
      </c>
    </row>
    <row r="145">
      <c r="F145" s="38">
        <f>IF($A145="","",IF($B145="","EKSİK","TAM"))</f>
        <v/>
      </c>
    </row>
    <row r="146">
      <c r="F146" s="38">
        <f>IF($A146="","",IF($B146="","EKSİK","TAM"))</f>
        <v/>
      </c>
    </row>
    <row r="147">
      <c r="F147" s="38">
        <f>IF($A147="","",IF($B147="","EKSİK","TAM"))</f>
        <v/>
      </c>
    </row>
    <row r="148">
      <c r="F148" s="38">
        <f>IF($A148="","",IF($B148="","EKSİK","TAM"))</f>
        <v/>
      </c>
    </row>
    <row r="149">
      <c r="F149" s="38">
        <f>IF($A149="","",IF($B149="","EKSİK","TAM"))</f>
        <v/>
      </c>
    </row>
    <row r="150">
      <c r="F150" s="38">
        <f>IF($A150="","",IF($B150="","EKSİK","TAM"))</f>
        <v/>
      </c>
    </row>
    <row r="151">
      <c r="F151" s="38">
        <f>IF($A151="","",IF($B151="","EKSİK","TAM"))</f>
        <v/>
      </c>
    </row>
    <row r="152">
      <c r="F152" s="38">
        <f>IF($A152="","",IF($B152="","EKSİK","TAM"))</f>
        <v/>
      </c>
    </row>
    <row r="153">
      <c r="F153" s="38">
        <f>IF($A153="","",IF($B153="","EKSİK","TAM"))</f>
        <v/>
      </c>
    </row>
    <row r="154">
      <c r="F154" s="38">
        <f>IF($A154="","",IF($B154="","EKSİK","TAM"))</f>
        <v/>
      </c>
    </row>
    <row r="155">
      <c r="F155" s="38">
        <f>IF($A155="","",IF($B155="","EKSİK","TAM"))</f>
        <v/>
      </c>
    </row>
    <row r="156">
      <c r="F156" s="38">
        <f>IF($A156="","",IF($B156="","EKSİK","TAM"))</f>
        <v/>
      </c>
    </row>
    <row r="157">
      <c r="F157" s="38">
        <f>IF($A157="","",IF($B157="","EKSİK","TAM"))</f>
        <v/>
      </c>
    </row>
    <row r="158">
      <c r="F158" s="38">
        <f>IF($A158="","",IF($B158="","EKSİK","TAM"))</f>
        <v/>
      </c>
    </row>
    <row r="159">
      <c r="F159" s="38">
        <f>IF($A159="","",IF($B159="","EKSİK","TAM"))</f>
        <v/>
      </c>
    </row>
    <row r="160">
      <c r="F160" s="38">
        <f>IF($A160="","",IF($B160="","EKSİK","TAM"))</f>
        <v/>
      </c>
    </row>
    <row r="161">
      <c r="F161" s="38">
        <f>IF($A161="","",IF($B161="","EKSİK","TAM"))</f>
        <v/>
      </c>
    </row>
    <row r="162">
      <c r="F162" s="38">
        <f>IF($A162="","",IF($B162="","EKSİK","TAM"))</f>
        <v/>
      </c>
    </row>
    <row r="163">
      <c r="F163" s="38">
        <f>IF($A163="","",IF($B163="","EKSİK","TAM"))</f>
        <v/>
      </c>
    </row>
    <row r="164">
      <c r="F164" s="38">
        <f>IF($A164="","",IF($B164="","EKSİK","TAM"))</f>
        <v/>
      </c>
    </row>
    <row r="165">
      <c r="F165" s="38">
        <f>IF($A165="","",IF($B165="","EKSİK","TAM"))</f>
        <v/>
      </c>
    </row>
    <row r="166">
      <c r="F166" s="38">
        <f>IF($A166="","",IF($B166="","EKSİK","TAM"))</f>
        <v/>
      </c>
    </row>
    <row r="167">
      <c r="F167" s="38">
        <f>IF($A167="","",IF($B167="","EKSİK","TAM"))</f>
        <v/>
      </c>
    </row>
    <row r="168">
      <c r="F168" s="38">
        <f>IF($A168="","",IF($B168="","EKSİK","TAM"))</f>
        <v/>
      </c>
    </row>
    <row r="169">
      <c r="F169" s="38">
        <f>IF($A169="","",IF($B169="","EKSİK","TAM"))</f>
        <v/>
      </c>
    </row>
    <row r="170">
      <c r="F170" s="38">
        <f>IF($A170="","",IF($B170="","EKSİK","TAM"))</f>
        <v/>
      </c>
    </row>
    <row r="171">
      <c r="F171" s="38">
        <f>IF($A171="","",IF($B171="","EKSİK","TAM"))</f>
        <v/>
      </c>
    </row>
    <row r="172">
      <c r="F172" s="38">
        <f>IF($A172="","",IF($B172="","EKSİK","TAM"))</f>
        <v/>
      </c>
    </row>
    <row r="173">
      <c r="F173" s="38">
        <f>IF($A173="","",IF($B173="","EKSİK","TAM"))</f>
        <v/>
      </c>
    </row>
    <row r="174">
      <c r="F174" s="38">
        <f>IF($A174="","",IF($B174="","EKSİK","TAM"))</f>
        <v/>
      </c>
    </row>
    <row r="175">
      <c r="F175" s="38">
        <f>IF($A175="","",IF($B175="","EKSİK","TAM"))</f>
        <v/>
      </c>
    </row>
    <row r="176">
      <c r="F176" s="38">
        <f>IF($A176="","",IF($B176="","EKSİK","TAM"))</f>
        <v/>
      </c>
    </row>
    <row r="177">
      <c r="F177" s="38">
        <f>IF($A177="","",IF($B177="","EKSİK","TAM"))</f>
        <v/>
      </c>
    </row>
    <row r="178">
      <c r="F178" s="38">
        <f>IF($A178="","",IF($B178="","EKSİK","TAM"))</f>
        <v/>
      </c>
    </row>
    <row r="179">
      <c r="F179" s="38">
        <f>IF($A179="","",IF($B179="","EKSİK","TAM"))</f>
        <v/>
      </c>
    </row>
    <row r="180">
      <c r="F180" s="38">
        <f>IF($A180="","",IF($B180="","EKSİK","TAM"))</f>
        <v/>
      </c>
    </row>
    <row r="181">
      <c r="F181" s="38">
        <f>IF($A181="","",IF($B181="","EKSİK","TAM"))</f>
        <v/>
      </c>
    </row>
    <row r="182">
      <c r="F182" s="38">
        <f>IF($A182="","",IF($B182="","EKSİK","TAM"))</f>
        <v/>
      </c>
    </row>
    <row r="183">
      <c r="F183" s="38">
        <f>IF($A183="","",IF($B183="","EKSİK","TAM"))</f>
        <v/>
      </c>
    </row>
    <row r="184">
      <c r="F184" s="38">
        <f>IF($A184="","",IF($B184="","EKSİK","TAM"))</f>
        <v/>
      </c>
    </row>
    <row r="185">
      <c r="F185" s="38">
        <f>IF($A185="","",IF($B185="","EKSİK","TAM"))</f>
        <v/>
      </c>
    </row>
    <row r="186">
      <c r="F186" s="38">
        <f>IF($A186="","",IF($B186="","EKSİK","TAM"))</f>
        <v/>
      </c>
    </row>
    <row r="187">
      <c r="F187" s="38">
        <f>IF($A187="","",IF($B187="","EKSİK","TAM"))</f>
        <v/>
      </c>
    </row>
    <row r="188">
      <c r="F188" s="38">
        <f>IF($A188="","",IF($B188="","EKSİK","TAM"))</f>
        <v/>
      </c>
    </row>
    <row r="189">
      <c r="F189" s="38">
        <f>IF($A189="","",IF($B189="","EKSİK","TAM"))</f>
        <v/>
      </c>
    </row>
    <row r="190">
      <c r="F190" s="38">
        <f>IF($A190="","",IF($B190="","EKSİK","TAM"))</f>
        <v/>
      </c>
    </row>
    <row r="191">
      <c r="F191" s="38">
        <f>IF($A191="","",IF($B191="","EKSİK","TAM"))</f>
        <v/>
      </c>
    </row>
    <row r="192">
      <c r="F192" s="38">
        <f>IF($A192="","",IF($B192="","EKSİK","TAM"))</f>
        <v/>
      </c>
    </row>
    <row r="193">
      <c r="F193" s="38">
        <f>IF($A193="","",IF($B193="","EKSİK","TAM"))</f>
        <v/>
      </c>
    </row>
    <row r="194">
      <c r="F194" s="38">
        <f>IF($A194="","",IF($B194="","EKSİK","TAM"))</f>
        <v/>
      </c>
    </row>
    <row r="195">
      <c r="F195" s="38">
        <f>IF($A195="","",IF($B195="","EKSİK","TAM"))</f>
        <v/>
      </c>
    </row>
    <row r="196">
      <c r="F196" s="38">
        <f>IF($A196="","",IF($B196="","EKSİK","TAM"))</f>
        <v/>
      </c>
    </row>
    <row r="197">
      <c r="F197" s="38">
        <f>IF($A197="","",IF($B197="","EKSİK","TAM"))</f>
        <v/>
      </c>
    </row>
    <row r="198">
      <c r="F198" s="38">
        <f>IF($A198="","",IF($B198="","EKSİK","TAM"))</f>
        <v/>
      </c>
    </row>
    <row r="199">
      <c r="F199" s="38">
        <f>IF($A199="","",IF($B199="","EKSİK","TAM"))</f>
        <v/>
      </c>
    </row>
    <row r="200">
      <c r="F200" s="38">
        <f>IF($A200="","",IF($B200="","EKSİK","TAM"))</f>
        <v/>
      </c>
    </row>
    <row r="201">
      <c r="F201" s="38">
        <f>IF($A201="","",IF($B201="","EKSİK","TAM"))</f>
        <v/>
      </c>
    </row>
    <row r="202">
      <c r="F202" s="38">
        <f>IF($A202="","",IF($B202="","EKSİK","TAM"))</f>
        <v/>
      </c>
    </row>
    <row r="203">
      <c r="F203" s="38">
        <f>IF($A203="","",IF($B203="","EKSİK","TAM"))</f>
        <v/>
      </c>
    </row>
    <row r="204">
      <c r="F204" s="38">
        <f>IF($A204="","",IF($B204="","EKSİK","TAM"))</f>
        <v/>
      </c>
    </row>
    <row r="205">
      <c r="F205" s="38">
        <f>IF($A205="","",IF($B205="","EKSİK","TAM"))</f>
        <v/>
      </c>
    </row>
    <row r="206">
      <c r="F206" s="38">
        <f>IF($A206="","",IF($B206="","EKSİK","TAM"))</f>
        <v/>
      </c>
    </row>
    <row r="207">
      <c r="F207" s="38">
        <f>IF($A207="","",IF($B207="","EKSİK","TAM"))</f>
        <v/>
      </c>
    </row>
    <row r="208">
      <c r="F208" s="38">
        <f>IF($A208="","",IF($B208="","EKSİK","TAM"))</f>
        <v/>
      </c>
    </row>
    <row r="209">
      <c r="F209" s="38">
        <f>IF($A209="","",IF($B209="","EKSİK","TAM"))</f>
        <v/>
      </c>
    </row>
    <row r="210">
      <c r="F210" s="38">
        <f>IF($A210="","",IF($B210="","EKSİK","TAM"))</f>
        <v/>
      </c>
    </row>
    <row r="211">
      <c r="F211" s="38">
        <f>IF($A211="","",IF($B211="","EKSİK","TAM"))</f>
        <v/>
      </c>
    </row>
    <row r="212">
      <c r="F212" s="38">
        <f>IF($A212="","",IF($B212="","EKSİK","TAM"))</f>
        <v/>
      </c>
    </row>
    <row r="213">
      <c r="F213" s="38">
        <f>IF($A213="","",IF($B213="","EKSİK","TAM"))</f>
        <v/>
      </c>
    </row>
    <row r="214">
      <c r="F214" s="38">
        <f>IF($A214="","",IF($B214="","EKSİK","TAM"))</f>
        <v/>
      </c>
    </row>
    <row r="215">
      <c r="F215" s="38">
        <f>IF($A215="","",IF($B215="","EKSİK","TAM"))</f>
        <v/>
      </c>
    </row>
    <row r="216">
      <c r="F216" s="38">
        <f>IF($A216="","",IF($B216="","EKSİK","TAM"))</f>
        <v/>
      </c>
    </row>
    <row r="217">
      <c r="F217" s="38">
        <f>IF($A217="","",IF($B217="","EKSİK","TAM"))</f>
        <v/>
      </c>
    </row>
    <row r="218">
      <c r="F218" s="38">
        <f>IF($A218="","",IF($B218="","EKSİK","TAM"))</f>
        <v/>
      </c>
    </row>
    <row r="219">
      <c r="F219" s="38">
        <f>IF($A219="","",IF($B219="","EKSİK","TAM"))</f>
        <v/>
      </c>
    </row>
    <row r="220">
      <c r="F220" s="38">
        <f>IF($A220="","",IF($B220="","EKSİK","TAM"))</f>
        <v/>
      </c>
    </row>
    <row r="221">
      <c r="F221" s="38">
        <f>IF($A221="","",IF($B221="","EKSİK","TAM"))</f>
        <v/>
      </c>
    </row>
    <row r="222">
      <c r="F222" s="38">
        <f>IF($A222="","",IF($B222="","EKSİK","TAM"))</f>
        <v/>
      </c>
    </row>
    <row r="223">
      <c r="F223" s="38">
        <f>IF($A223="","",IF($B223="","EKSİK","TAM"))</f>
        <v/>
      </c>
    </row>
    <row r="224">
      <c r="F224" s="38">
        <f>IF($A224="","",IF($B224="","EKSİK","TAM"))</f>
        <v/>
      </c>
    </row>
    <row r="225">
      <c r="F225" s="38">
        <f>IF($A225="","",IF($B225="","EKSİK","TAM"))</f>
        <v/>
      </c>
    </row>
    <row r="226">
      <c r="F226" s="38">
        <f>IF($A226="","",IF($B226="","EKSİK","TAM"))</f>
        <v/>
      </c>
    </row>
    <row r="227">
      <c r="F227" s="38">
        <f>IF($A227="","",IF($B227="","EKSİK","TAM"))</f>
        <v/>
      </c>
    </row>
    <row r="228">
      <c r="F228" s="38">
        <f>IF($A228="","",IF($B228="","EKSİK","TAM"))</f>
        <v/>
      </c>
    </row>
    <row r="229">
      <c r="F229" s="38">
        <f>IF($A229="","",IF($B229="","EKSİK","TAM"))</f>
        <v/>
      </c>
    </row>
    <row r="230">
      <c r="F230" s="38">
        <f>IF($A230="","",IF($B230="","EKSİK","TAM"))</f>
        <v/>
      </c>
    </row>
    <row r="231">
      <c r="F231" s="38">
        <f>IF($A231="","",IF($B231="","EKSİK","TAM"))</f>
        <v/>
      </c>
    </row>
    <row r="232">
      <c r="F232" s="38">
        <f>IF($A232="","",IF($B232="","EKSİK","TAM"))</f>
        <v/>
      </c>
    </row>
    <row r="233">
      <c r="F233" s="38">
        <f>IF($A233="","",IF($B233="","EKSİK","TAM"))</f>
        <v/>
      </c>
    </row>
    <row r="234">
      <c r="F234" s="38">
        <f>IF($A234="","",IF($B234="","EKSİK","TAM"))</f>
        <v/>
      </c>
    </row>
    <row r="235">
      <c r="F235" s="38">
        <f>IF($A235="","",IF($B235="","EKSİK","TAM"))</f>
        <v/>
      </c>
    </row>
    <row r="236">
      <c r="F236" s="38">
        <f>IF($A236="","",IF($B236="","EKSİK","TAM"))</f>
        <v/>
      </c>
    </row>
    <row r="237">
      <c r="F237" s="38">
        <f>IF($A237="","",IF($B237="","EKSİK","TAM"))</f>
        <v/>
      </c>
    </row>
    <row r="238">
      <c r="F238" s="38">
        <f>IF($A238="","",IF($B238="","EKSİK","TAM"))</f>
        <v/>
      </c>
    </row>
    <row r="239">
      <c r="F239" s="38">
        <f>IF($A239="","",IF($B239="","EKSİK","TAM"))</f>
        <v/>
      </c>
    </row>
    <row r="240">
      <c r="F240" s="38">
        <f>IF($A240="","",IF($B240="","EKSİK","TAM"))</f>
        <v/>
      </c>
    </row>
    <row r="241">
      <c r="F241" s="38">
        <f>IF($A241="","",IF($B241="","EKSİK","TAM"))</f>
        <v/>
      </c>
    </row>
    <row r="242">
      <c r="F242" s="38">
        <f>IF($A242="","",IF($B242="","EKSİK","TAM"))</f>
        <v/>
      </c>
    </row>
    <row r="243">
      <c r="F243" s="38">
        <f>IF($A243="","",IF($B243="","EKSİK","TAM"))</f>
        <v/>
      </c>
    </row>
    <row r="244">
      <c r="F244" s="38">
        <f>IF($A244="","",IF($B244="","EKSİK","TAM"))</f>
        <v/>
      </c>
    </row>
    <row r="245">
      <c r="F245" s="38">
        <f>IF($A245="","",IF($B245="","EKSİK","TAM"))</f>
        <v/>
      </c>
    </row>
    <row r="246">
      <c r="F246" s="38">
        <f>IF($A246="","",IF($B246="","EKSİK","TAM"))</f>
        <v/>
      </c>
    </row>
    <row r="247">
      <c r="F247" s="38">
        <f>IF($A247="","",IF($B247="","EKSİK","TAM"))</f>
        <v/>
      </c>
    </row>
    <row r="248">
      <c r="F248" s="38">
        <f>IF($A248="","",IF($B248="","EKSİK","TAM"))</f>
        <v/>
      </c>
    </row>
    <row r="249">
      <c r="F249" s="38">
        <f>IF($A249="","",IF($B249="","EKSİK","TAM"))</f>
        <v/>
      </c>
    </row>
    <row r="250">
      <c r="F250" s="38">
        <f>IF($A250="","",IF($B250="","EKSİK","TAM"))</f>
        <v/>
      </c>
    </row>
    <row r="251">
      <c r="F251" s="38">
        <f>IF($A251="","",IF($B251="","EKSİK","TAM"))</f>
        <v/>
      </c>
    </row>
    <row r="252">
      <c r="F252" s="38">
        <f>IF($A252="","",IF($B252="","EKSİK","TAM"))</f>
        <v/>
      </c>
    </row>
    <row r="253">
      <c r="F253" s="38">
        <f>IF($A253="","",IF($B253="","EKSİK","TAM"))</f>
        <v/>
      </c>
    </row>
    <row r="254">
      <c r="F254" s="38">
        <f>IF($A254="","",IF($B254="","EKSİK","TAM"))</f>
        <v/>
      </c>
    </row>
    <row r="255">
      <c r="F255" s="38">
        <f>IF($A255="","",IF($B255="","EKSİK","TAM"))</f>
        <v/>
      </c>
    </row>
    <row r="256">
      <c r="F256" s="38">
        <f>IF($A256="","",IF($B256="","EKSİK","TAM"))</f>
        <v/>
      </c>
    </row>
    <row r="257">
      <c r="F257" s="38">
        <f>IF($A257="","",IF($B257="","EKSİK","TAM"))</f>
        <v/>
      </c>
    </row>
    <row r="258">
      <c r="F258" s="38">
        <f>IF($A258="","",IF($B258="","EKSİK","TAM"))</f>
        <v/>
      </c>
    </row>
    <row r="259">
      <c r="F259" s="38">
        <f>IF($A259="","",IF($B259="","EKSİK","TAM"))</f>
        <v/>
      </c>
    </row>
    <row r="260">
      <c r="F260" s="38">
        <f>IF($A260="","",IF($B260="","EKSİK","TAM"))</f>
        <v/>
      </c>
    </row>
    <row r="261">
      <c r="F261" s="38">
        <f>IF($A261="","",IF($B261="","EKSİK","TAM"))</f>
        <v/>
      </c>
    </row>
    <row r="262">
      <c r="F262" s="38">
        <f>IF($A262="","",IF($B262="","EKSİK","TAM"))</f>
        <v/>
      </c>
    </row>
    <row r="263">
      <c r="F263" s="38">
        <f>IF($A263="","",IF($B263="","EKSİK","TAM"))</f>
        <v/>
      </c>
    </row>
    <row r="264">
      <c r="F264" s="38">
        <f>IF($A264="","",IF($B264="","EKSİK","TAM"))</f>
        <v/>
      </c>
    </row>
    <row r="265">
      <c r="F265" s="38">
        <f>IF($A265="","",IF($B265="","EKSİK","TAM"))</f>
        <v/>
      </c>
    </row>
    <row r="266">
      <c r="F266" s="38">
        <f>IF($A266="","",IF($B266="","EKSİK","TAM"))</f>
        <v/>
      </c>
    </row>
    <row r="267">
      <c r="F267" s="38">
        <f>IF($A267="","",IF($B267="","EKSİK","TAM"))</f>
        <v/>
      </c>
    </row>
    <row r="268">
      <c r="F268" s="38">
        <f>IF($A268="","",IF($B268="","EKSİK","TAM"))</f>
        <v/>
      </c>
    </row>
    <row r="269">
      <c r="F269" s="38">
        <f>IF($A269="","",IF($B269="","EKSİK","TAM"))</f>
        <v/>
      </c>
    </row>
    <row r="270">
      <c r="F270" s="38">
        <f>IF($A270="","",IF($B270="","EKSİK","TAM"))</f>
        <v/>
      </c>
    </row>
    <row r="271">
      <c r="F271" s="38">
        <f>IF($A271="","",IF($B271="","EKSİK","TAM"))</f>
        <v/>
      </c>
    </row>
    <row r="272">
      <c r="F272" s="38">
        <f>IF($A272="","",IF($B272="","EKSİK","TAM"))</f>
        <v/>
      </c>
    </row>
    <row r="273">
      <c r="F273" s="38">
        <f>IF($A273="","",IF($B273="","EKSİK","TAM"))</f>
        <v/>
      </c>
    </row>
    <row r="274">
      <c r="F274" s="38">
        <f>IF($A274="","",IF($B274="","EKSİK","TAM"))</f>
        <v/>
      </c>
    </row>
    <row r="275">
      <c r="F275" s="38">
        <f>IF($A275="","",IF($B275="","EKSİK","TAM"))</f>
        <v/>
      </c>
    </row>
    <row r="276">
      <c r="F276" s="38">
        <f>IF($A276="","",IF($B276="","EKSİK","TAM"))</f>
        <v/>
      </c>
    </row>
    <row r="277">
      <c r="F277" s="38">
        <f>IF($A277="","",IF($B277="","EKSİK","TAM"))</f>
        <v/>
      </c>
    </row>
    <row r="278">
      <c r="F278" s="38">
        <f>IF($A278="","",IF($B278="","EKSİK","TAM"))</f>
        <v/>
      </c>
    </row>
    <row r="279">
      <c r="F279" s="38">
        <f>IF($A279="","",IF($B279="","EKSİK","TAM"))</f>
        <v/>
      </c>
    </row>
    <row r="280">
      <c r="F280" s="38">
        <f>IF($A280="","",IF($B280="","EKSİK","TAM"))</f>
        <v/>
      </c>
    </row>
    <row r="281">
      <c r="F281" s="38">
        <f>IF($A281="","",IF($B281="","EKSİK","TAM"))</f>
        <v/>
      </c>
    </row>
    <row r="282">
      <c r="F282" s="38">
        <f>IF($A282="","",IF($B282="","EKSİK","TAM"))</f>
        <v/>
      </c>
    </row>
    <row r="283">
      <c r="F283" s="38">
        <f>IF($A283="","",IF($B283="","EKSİK","TAM"))</f>
        <v/>
      </c>
    </row>
    <row r="284">
      <c r="F284" s="38">
        <f>IF($A284="","",IF($B284="","EKSİK","TAM"))</f>
        <v/>
      </c>
    </row>
    <row r="285">
      <c r="F285" s="38">
        <f>IF($A285="","",IF($B285="","EKSİK","TAM"))</f>
        <v/>
      </c>
    </row>
    <row r="286">
      <c r="F286" s="38">
        <f>IF($A286="","",IF($B286="","EKSİK","TAM"))</f>
        <v/>
      </c>
    </row>
    <row r="287">
      <c r="F287" s="38">
        <f>IF($A287="","",IF($B287="","EKSİK","TAM"))</f>
        <v/>
      </c>
    </row>
    <row r="288">
      <c r="F288" s="38">
        <f>IF($A288="","",IF($B288="","EKSİK","TAM"))</f>
        <v/>
      </c>
    </row>
    <row r="289">
      <c r="F289" s="38">
        <f>IF($A289="","",IF($B289="","EKSİK","TAM"))</f>
        <v/>
      </c>
    </row>
    <row r="290">
      <c r="F290" s="38">
        <f>IF($A290="","",IF($B290="","EKSİK","TAM"))</f>
        <v/>
      </c>
    </row>
    <row r="291">
      <c r="F291" s="38">
        <f>IF($A291="","",IF($B291="","EKSİK","TAM"))</f>
        <v/>
      </c>
    </row>
    <row r="292">
      <c r="F292" s="38">
        <f>IF($A292="","",IF($B292="","EKSİK","TAM"))</f>
        <v/>
      </c>
    </row>
    <row r="293">
      <c r="F293" s="38">
        <f>IF($A293="","",IF($B293="","EKSİK","TAM"))</f>
        <v/>
      </c>
    </row>
    <row r="294">
      <c r="F294" s="38">
        <f>IF($A294="","",IF($B294="","EKSİK","TAM"))</f>
        <v/>
      </c>
    </row>
    <row r="295">
      <c r="F295" s="38">
        <f>IF($A295="","",IF($B295="","EKSİK","TAM"))</f>
        <v/>
      </c>
    </row>
    <row r="296">
      <c r="F296" s="38">
        <f>IF($A296="","",IF($B296="","EKSİK","TAM"))</f>
        <v/>
      </c>
    </row>
    <row r="297">
      <c r="F297" s="38">
        <f>IF($A297="","",IF($B297="","EKSİK","TAM"))</f>
        <v/>
      </c>
    </row>
    <row r="298">
      <c r="F298" s="38">
        <f>IF($A298="","",IF($B298="","EKSİK","TAM"))</f>
        <v/>
      </c>
    </row>
    <row r="299">
      <c r="F299" s="38">
        <f>IF($A299="","",IF($B299="","EKSİK","TAM"))</f>
        <v/>
      </c>
    </row>
    <row r="300">
      <c r="F300" s="38">
        <f>IF($A300="","",IF($B300="","EKSİK","TAM"))</f>
        <v/>
      </c>
    </row>
    <row r="301">
      <c r="F301" s="38">
        <f>IF($A301="","",IF($B301="","EKSİK","TAM"))</f>
        <v/>
      </c>
    </row>
    <row r="302">
      <c r="F302" s="38">
        <f>IF($A302="","",IF($B302="","EKSİK","TAM"))</f>
        <v/>
      </c>
    </row>
    <row r="303">
      <c r="F303" s="38">
        <f>IF($A303="","",IF($B303="","EKSİK","TAM"))</f>
        <v/>
      </c>
    </row>
    <row r="304">
      <c r="F304" s="38">
        <f>IF($A304="","",IF($B304="","EKSİK","TAM"))</f>
        <v/>
      </c>
    </row>
    <row r="305">
      <c r="F305" s="38">
        <f>IF($A305="","",IF($B305="","EKSİK","TAM"))</f>
        <v/>
      </c>
    </row>
    <row r="306">
      <c r="F306" s="38">
        <f>IF($A306="","",IF($B306="","EKSİK","TAM"))</f>
        <v/>
      </c>
    </row>
    <row r="307">
      <c r="F307" s="38">
        <f>IF($A307="","",IF($B307="","EKSİK","TAM"))</f>
        <v/>
      </c>
    </row>
    <row r="308">
      <c r="F308" s="38">
        <f>IF($A308="","",IF($B308="","EKSİK","TAM"))</f>
        <v/>
      </c>
    </row>
    <row r="309">
      <c r="F309" s="38">
        <f>IF($A309="","",IF($B309="","EKSİK","TAM"))</f>
        <v/>
      </c>
    </row>
    <row r="310">
      <c r="F310" s="38">
        <f>IF($A310="","",IF($B310="","EKSİK","TAM"))</f>
        <v/>
      </c>
    </row>
    <row r="311">
      <c r="F311" s="38">
        <f>IF($A311="","",IF($B311="","EKSİK","TAM"))</f>
        <v/>
      </c>
    </row>
    <row r="312">
      <c r="F312" s="38">
        <f>IF($A312="","",IF($B312="","EKSİK","TAM"))</f>
        <v/>
      </c>
    </row>
    <row r="313">
      <c r="F313" s="38">
        <f>IF($A313="","",IF($B313="","EKSİK","TAM"))</f>
        <v/>
      </c>
    </row>
    <row r="314">
      <c r="F314" s="38">
        <f>IF($A314="","",IF($B314="","EKSİK","TAM"))</f>
        <v/>
      </c>
    </row>
    <row r="315">
      <c r="F315" s="38">
        <f>IF($A315="","",IF($B315="","EKSİK","TAM"))</f>
        <v/>
      </c>
    </row>
    <row r="316">
      <c r="F316" s="38">
        <f>IF($A316="","",IF($B316="","EKSİK","TAM"))</f>
        <v/>
      </c>
    </row>
    <row r="317">
      <c r="F317" s="38">
        <f>IF($A317="","",IF($B317="","EKSİK","TAM"))</f>
        <v/>
      </c>
    </row>
    <row r="318">
      <c r="F318" s="38">
        <f>IF($A318="","",IF($B318="","EKSİK","TAM"))</f>
        <v/>
      </c>
    </row>
    <row r="319">
      <c r="F319" s="38">
        <f>IF($A319="","",IF($B319="","EKSİK","TAM"))</f>
        <v/>
      </c>
    </row>
    <row r="320">
      <c r="F320" s="38">
        <f>IF($A320="","",IF($B320="","EKSİK","TAM"))</f>
        <v/>
      </c>
    </row>
    <row r="321">
      <c r="F321" s="38">
        <f>IF($A321="","",IF($B321="","EKSİK","TAM"))</f>
        <v/>
      </c>
    </row>
    <row r="322">
      <c r="F322" s="38">
        <f>IF($A322="","",IF($B322="","EKSİK","TAM"))</f>
        <v/>
      </c>
    </row>
    <row r="323">
      <c r="F323" s="38">
        <f>IF($A323="","",IF($B323="","EKSİK","TAM"))</f>
        <v/>
      </c>
    </row>
    <row r="324">
      <c r="F324" s="38">
        <f>IF($A324="","",IF($B324="","EKSİK","TAM"))</f>
        <v/>
      </c>
    </row>
    <row r="325">
      <c r="F325" s="38">
        <f>IF($A325="","",IF($B325="","EKSİK","TAM"))</f>
        <v/>
      </c>
    </row>
    <row r="326">
      <c r="F326" s="38">
        <f>IF($A326="","",IF($B326="","EKSİK","TAM"))</f>
        <v/>
      </c>
    </row>
    <row r="327">
      <c r="F327" s="38">
        <f>IF($A327="","",IF($B327="","EKSİK","TAM"))</f>
        <v/>
      </c>
    </row>
    <row r="328">
      <c r="F328" s="38">
        <f>IF($A328="","",IF($B328="","EKSİK","TAM"))</f>
        <v/>
      </c>
    </row>
    <row r="329">
      <c r="F329" s="38">
        <f>IF($A329="","",IF($B329="","EKSİK","TAM"))</f>
        <v/>
      </c>
    </row>
    <row r="330">
      <c r="F330" s="38">
        <f>IF($A330="","",IF($B330="","EKSİK","TAM"))</f>
        <v/>
      </c>
    </row>
    <row r="331">
      <c r="F331" s="38">
        <f>IF($A331="","",IF($B331="","EKSİK","TAM"))</f>
        <v/>
      </c>
    </row>
    <row r="332">
      <c r="F332" s="38">
        <f>IF($A332="","",IF($B332="","EKSİK","TAM"))</f>
        <v/>
      </c>
    </row>
    <row r="333">
      <c r="F333" s="38">
        <f>IF($A333="","",IF($B333="","EKSİK","TAM"))</f>
        <v/>
      </c>
    </row>
    <row r="334">
      <c r="F334" s="38">
        <f>IF($A334="","",IF($B334="","EKSİK","TAM"))</f>
        <v/>
      </c>
    </row>
    <row r="335">
      <c r="F335" s="38">
        <f>IF($A335="","",IF($B335="","EKSİK","TAM"))</f>
        <v/>
      </c>
    </row>
    <row r="336">
      <c r="F336" s="38">
        <f>IF($A336="","",IF($B336="","EKSİK","TAM"))</f>
        <v/>
      </c>
    </row>
    <row r="337">
      <c r="F337" s="38">
        <f>IF($A337="","",IF($B337="","EKSİK","TAM"))</f>
        <v/>
      </c>
    </row>
    <row r="338">
      <c r="F338" s="38">
        <f>IF($A338="","",IF($B338="","EKSİK","TAM"))</f>
        <v/>
      </c>
    </row>
    <row r="339">
      <c r="F339" s="38">
        <f>IF($A339="","",IF($B339="","EKSİK","TAM"))</f>
        <v/>
      </c>
    </row>
    <row r="340">
      <c r="F340" s="38">
        <f>IF($A340="","",IF($B340="","EKSİK","TAM"))</f>
        <v/>
      </c>
    </row>
    <row r="341">
      <c r="F341" s="38">
        <f>IF($A341="","",IF($B341="","EKSİK","TAM"))</f>
        <v/>
      </c>
    </row>
    <row r="342">
      <c r="F342" s="38">
        <f>IF($A342="","",IF($B342="","EKSİK","TAM"))</f>
        <v/>
      </c>
    </row>
    <row r="343">
      <c r="F343" s="38">
        <f>IF($A343="","",IF($B343="","EKSİK","TAM"))</f>
        <v/>
      </c>
    </row>
    <row r="344">
      <c r="F344" s="38">
        <f>IF($A344="","",IF($B344="","EKSİK","TAM"))</f>
        <v/>
      </c>
    </row>
    <row r="345">
      <c r="F345" s="38">
        <f>IF($A345="","",IF($B345="","EKSİK","TAM"))</f>
        <v/>
      </c>
    </row>
    <row r="346">
      <c r="F346" s="38">
        <f>IF($A346="","",IF($B346="","EKSİK","TAM"))</f>
        <v/>
      </c>
    </row>
    <row r="347">
      <c r="F347" s="38">
        <f>IF($A347="","",IF($B347="","EKSİK","TAM"))</f>
        <v/>
      </c>
    </row>
    <row r="348">
      <c r="F348" s="38">
        <f>IF($A348="","",IF($B348="","EKSİK","TAM"))</f>
        <v/>
      </c>
    </row>
    <row r="349">
      <c r="F349" s="38">
        <f>IF($A349="","",IF($B349="","EKSİK","TAM"))</f>
        <v/>
      </c>
    </row>
    <row r="350">
      <c r="F350" s="38">
        <f>IF($A350="","",IF($B350="","EKSİK","TAM"))</f>
        <v/>
      </c>
    </row>
    <row r="351">
      <c r="F351" s="38">
        <f>IF($A351="","",IF($B351="","EKSİK","TAM"))</f>
        <v/>
      </c>
    </row>
    <row r="352">
      <c r="F352" s="38">
        <f>IF($A352="","",IF($B352="","EKSİK","TAM"))</f>
        <v/>
      </c>
    </row>
    <row r="353">
      <c r="F353" s="38">
        <f>IF($A353="","",IF($B353="","EKSİK","TAM"))</f>
        <v/>
      </c>
    </row>
    <row r="354">
      <c r="F354" s="38">
        <f>IF($A354="","",IF($B354="","EKSİK","TAM"))</f>
        <v/>
      </c>
    </row>
    <row r="355">
      <c r="F355" s="38">
        <f>IF($A355="","",IF($B355="","EKSİK","TAM"))</f>
        <v/>
      </c>
    </row>
    <row r="356">
      <c r="F356" s="38">
        <f>IF($A356="","",IF($B356="","EKSİK","TAM"))</f>
        <v/>
      </c>
    </row>
    <row r="357">
      <c r="F357" s="38">
        <f>IF($A357="","",IF($B357="","EKSİK","TAM"))</f>
        <v/>
      </c>
    </row>
    <row r="358">
      <c r="F358" s="38">
        <f>IF($A358="","",IF($B358="","EKSİK","TAM"))</f>
        <v/>
      </c>
    </row>
    <row r="359">
      <c r="F359" s="38">
        <f>IF($A359="","",IF($B359="","EKSİK","TAM"))</f>
        <v/>
      </c>
    </row>
    <row r="360">
      <c r="F360" s="38">
        <f>IF($A360="","",IF($B360="","EKSİK","TAM"))</f>
        <v/>
      </c>
    </row>
    <row r="361">
      <c r="F361" s="38">
        <f>IF($A361="","",IF($B361="","EKSİK","TAM"))</f>
        <v/>
      </c>
    </row>
    <row r="362">
      <c r="F362" s="38">
        <f>IF($A362="","",IF($B362="","EKSİK","TAM"))</f>
        <v/>
      </c>
    </row>
    <row r="363">
      <c r="F363" s="38">
        <f>IF($A363="","",IF($B363="","EKSİK","TAM"))</f>
        <v/>
      </c>
    </row>
    <row r="364">
      <c r="F364" s="38">
        <f>IF($A364="","",IF($B364="","EKSİK","TAM"))</f>
        <v/>
      </c>
    </row>
    <row r="365">
      <c r="F365" s="38">
        <f>IF($A365="","",IF($B365="","EKSİK","TAM"))</f>
        <v/>
      </c>
    </row>
    <row r="366">
      <c r="F366" s="38">
        <f>IF($A366="","",IF($B366="","EKSİK","TAM"))</f>
        <v/>
      </c>
    </row>
    <row r="367">
      <c r="F367" s="38">
        <f>IF($A367="","",IF($B367="","EKSİK","TAM"))</f>
        <v/>
      </c>
    </row>
    <row r="368">
      <c r="F368" s="38">
        <f>IF($A368="","",IF($B368="","EKSİK","TAM"))</f>
        <v/>
      </c>
    </row>
    <row r="369">
      <c r="F369" s="38">
        <f>IF($A369="","",IF($B369="","EKSİK","TAM"))</f>
        <v/>
      </c>
    </row>
    <row r="370">
      <c r="F370" s="38">
        <f>IF($A370="","",IF($B370="","EKSİK","TAM"))</f>
        <v/>
      </c>
    </row>
    <row r="371">
      <c r="F371" s="38">
        <f>IF($A371="","",IF($B371="","EKSİK","TAM"))</f>
        <v/>
      </c>
    </row>
    <row r="372">
      <c r="F372" s="38">
        <f>IF($A372="","",IF($B372="","EKSİK","TAM"))</f>
        <v/>
      </c>
    </row>
    <row r="373">
      <c r="F373" s="38">
        <f>IF($A373="","",IF($B373="","EKSİK","TAM"))</f>
        <v/>
      </c>
    </row>
    <row r="374">
      <c r="F374" s="38">
        <f>IF($A374="","",IF($B374="","EKSİK","TAM"))</f>
        <v/>
      </c>
    </row>
    <row r="375">
      <c r="F375" s="38">
        <f>IF($A375="","",IF($B375="","EKSİK","TAM"))</f>
        <v/>
      </c>
    </row>
    <row r="376">
      <c r="F376" s="38">
        <f>IF($A376="","",IF($B376="","EKSİK","TAM"))</f>
        <v/>
      </c>
    </row>
    <row r="377">
      <c r="F377" s="38">
        <f>IF($A377="","",IF($B377="","EKSİK","TAM"))</f>
        <v/>
      </c>
    </row>
    <row r="378">
      <c r="F378" s="38">
        <f>IF($A378="","",IF($B378="","EKSİK","TAM"))</f>
        <v/>
      </c>
    </row>
    <row r="379">
      <c r="F379" s="38">
        <f>IF($A379="","",IF($B379="","EKSİK","TAM"))</f>
        <v/>
      </c>
    </row>
    <row r="380">
      <c r="F380" s="38">
        <f>IF($A380="","",IF($B380="","EKSİK","TAM"))</f>
        <v/>
      </c>
    </row>
    <row r="381">
      <c r="F381" s="38">
        <f>IF($A381="","",IF($B381="","EKSİK","TAM"))</f>
        <v/>
      </c>
    </row>
    <row r="382">
      <c r="F382" s="38">
        <f>IF($A382="","",IF($B382="","EKSİK","TAM"))</f>
        <v/>
      </c>
    </row>
    <row r="383">
      <c r="F383" s="38">
        <f>IF($A383="","",IF($B383="","EKSİK","TAM"))</f>
        <v/>
      </c>
    </row>
    <row r="384">
      <c r="F384" s="38">
        <f>IF($A384="","",IF($B384="","EKSİK","TAM"))</f>
        <v/>
      </c>
    </row>
    <row r="385">
      <c r="F385" s="38">
        <f>IF($A385="","",IF($B385="","EKSİK","TAM"))</f>
        <v/>
      </c>
    </row>
    <row r="386">
      <c r="F386" s="38">
        <f>IF($A386="","",IF($B386="","EKSİK","TAM"))</f>
        <v/>
      </c>
    </row>
    <row r="387">
      <c r="F387" s="38">
        <f>IF($A387="","",IF($B387="","EKSİK","TAM"))</f>
        <v/>
      </c>
    </row>
    <row r="388">
      <c r="F388" s="38">
        <f>IF($A388="","",IF($B388="","EKSİK","TAM"))</f>
        <v/>
      </c>
    </row>
    <row r="389">
      <c r="F389" s="38">
        <f>IF($A389="","",IF($B389="","EKSİK","TAM"))</f>
        <v/>
      </c>
    </row>
    <row r="390">
      <c r="F390" s="38">
        <f>IF($A390="","",IF($B390="","EKSİK","TAM"))</f>
        <v/>
      </c>
    </row>
    <row r="391">
      <c r="F391" s="38">
        <f>IF($A391="","",IF($B391="","EKSİK","TAM"))</f>
        <v/>
      </c>
    </row>
    <row r="392">
      <c r="F392" s="38">
        <f>IF($A392="","",IF($B392="","EKSİK","TAM"))</f>
        <v/>
      </c>
    </row>
    <row r="393">
      <c r="F393" s="38">
        <f>IF($A393="","",IF($B393="","EKSİK","TAM"))</f>
        <v/>
      </c>
    </row>
    <row r="394">
      <c r="F394" s="38">
        <f>IF($A394="","",IF($B394="","EKSİK","TAM"))</f>
        <v/>
      </c>
    </row>
    <row r="395">
      <c r="F395" s="38">
        <f>IF($A395="","",IF($B395="","EKSİK","TAM"))</f>
        <v/>
      </c>
    </row>
    <row r="396">
      <c r="F396" s="38">
        <f>IF($A396="","",IF($B396="","EKSİK","TAM"))</f>
        <v/>
      </c>
    </row>
    <row r="397">
      <c r="F397" s="38">
        <f>IF($A397="","",IF($B397="","EKSİK","TAM"))</f>
        <v/>
      </c>
    </row>
    <row r="398">
      <c r="F398" s="38">
        <f>IF($A398="","",IF($B398="","EKSİK","TAM"))</f>
        <v/>
      </c>
    </row>
    <row r="399">
      <c r="F399" s="38">
        <f>IF($A399="","",IF($B399="","EKSİK","TAM"))</f>
        <v/>
      </c>
    </row>
    <row r="400">
      <c r="F400" s="38">
        <f>IF($A400="","",IF($B400="","EKSİK","TAM"))</f>
        <v/>
      </c>
    </row>
    <row r="401">
      <c r="F401" s="38">
        <f>IF($A401="","",IF($B401="","EKSİK","TAM"))</f>
        <v/>
      </c>
    </row>
    <row r="402">
      <c r="F402" s="38">
        <f>IF($A402="","",IF($B402="","EKSİK","TAM"))</f>
        <v/>
      </c>
    </row>
    <row r="403">
      <c r="F403" s="38">
        <f>IF($A403="","",IF($B403="","EKSİK","TAM"))</f>
        <v/>
      </c>
    </row>
    <row r="404">
      <c r="F404" s="38">
        <f>IF($A404="","",IF($B404="","EKSİK","TAM"))</f>
        <v/>
      </c>
    </row>
    <row r="405">
      <c r="F405" s="38">
        <f>IF($A405="","",IF($B405="","EKSİK","TAM"))</f>
        <v/>
      </c>
    </row>
    <row r="406">
      <c r="F406" s="38">
        <f>IF($A406="","",IF($B406="","EKSİK","TAM"))</f>
        <v/>
      </c>
    </row>
    <row r="407">
      <c r="F407" s="38">
        <f>IF($A407="","",IF($B407="","EKSİK","TAM"))</f>
        <v/>
      </c>
    </row>
    <row r="408">
      <c r="F408" s="38">
        <f>IF($A408="","",IF($B408="","EKSİK","TAM"))</f>
        <v/>
      </c>
    </row>
    <row r="409">
      <c r="F409" s="38">
        <f>IF($A409="","",IF($B409="","EKSİK","TAM"))</f>
        <v/>
      </c>
    </row>
    <row r="410">
      <c r="F410" s="38">
        <f>IF($A410="","",IF($B410="","EKSİK","TAM"))</f>
        <v/>
      </c>
    </row>
    <row r="411">
      <c r="F411" s="38">
        <f>IF($A411="","",IF($B411="","EKSİK","TAM"))</f>
        <v/>
      </c>
    </row>
    <row r="412">
      <c r="F412" s="38">
        <f>IF($A412="","",IF($B412="","EKSİK","TAM"))</f>
        <v/>
      </c>
    </row>
    <row r="413">
      <c r="F413" s="38">
        <f>IF($A413="","",IF($B413="","EKSİK","TAM"))</f>
        <v/>
      </c>
    </row>
    <row r="414">
      <c r="F414" s="38">
        <f>IF($A414="","",IF($B414="","EKSİK","TAM"))</f>
        <v/>
      </c>
    </row>
    <row r="415">
      <c r="F415" s="38">
        <f>IF($A415="","",IF($B415="","EKSİK","TAM"))</f>
        <v/>
      </c>
    </row>
    <row r="416">
      <c r="F416" s="38">
        <f>IF($A416="","",IF($B416="","EKSİK","TAM"))</f>
        <v/>
      </c>
    </row>
    <row r="417">
      <c r="F417" s="38">
        <f>IF($A417="","",IF($B417="","EKSİK","TAM"))</f>
        <v/>
      </c>
    </row>
    <row r="418">
      <c r="F418" s="38">
        <f>IF($A418="","",IF($B418="","EKSİK","TAM"))</f>
        <v/>
      </c>
    </row>
    <row r="419">
      <c r="F419" s="38">
        <f>IF($A419="","",IF($B419="","EKSİK","TAM"))</f>
        <v/>
      </c>
    </row>
    <row r="420">
      <c r="F420" s="38">
        <f>IF($A420="","",IF($B420="","EKSİK","TAM"))</f>
        <v/>
      </c>
    </row>
    <row r="421">
      <c r="F421" s="38">
        <f>IF($A421="","",IF($B421="","EKSİK","TAM"))</f>
        <v/>
      </c>
    </row>
    <row r="422">
      <c r="F422" s="38">
        <f>IF($A422="","",IF($B422="","EKSİK","TAM"))</f>
        <v/>
      </c>
    </row>
    <row r="423">
      <c r="F423" s="38">
        <f>IF($A423="","",IF($B423="","EKSİK","TAM"))</f>
        <v/>
      </c>
    </row>
    <row r="424">
      <c r="F424" s="38">
        <f>IF($A424="","",IF($B424="","EKSİK","TAM"))</f>
        <v/>
      </c>
    </row>
    <row r="425">
      <c r="F425" s="38">
        <f>IF($A425="","",IF($B425="","EKSİK","TAM"))</f>
        <v/>
      </c>
    </row>
    <row r="426">
      <c r="F426" s="38">
        <f>IF($A426="","",IF($B426="","EKSİK","TAM"))</f>
        <v/>
      </c>
    </row>
    <row r="427">
      <c r="F427" s="38">
        <f>IF($A427="","",IF($B427="","EKSİK","TAM"))</f>
        <v/>
      </c>
    </row>
    <row r="428">
      <c r="F428" s="38">
        <f>IF($A428="","",IF($B428="","EKSİK","TAM"))</f>
        <v/>
      </c>
    </row>
    <row r="429">
      <c r="F429" s="38">
        <f>IF($A429="","",IF($B429="","EKSİK","TAM"))</f>
        <v/>
      </c>
    </row>
    <row r="430">
      <c r="F430" s="38">
        <f>IF($A430="","",IF($B430="","EKSİK","TAM"))</f>
        <v/>
      </c>
    </row>
    <row r="431">
      <c r="F431" s="38">
        <f>IF($A431="","",IF($B431="","EKSİK","TAM"))</f>
        <v/>
      </c>
    </row>
    <row r="432">
      <c r="F432" s="38">
        <f>IF($A432="","",IF($B432="","EKSİK","TAM"))</f>
        <v/>
      </c>
    </row>
    <row r="433">
      <c r="F433" s="38">
        <f>IF($A433="","",IF($B433="","EKSİK","TAM"))</f>
        <v/>
      </c>
    </row>
    <row r="434">
      <c r="F434" s="38">
        <f>IF($A434="","",IF($B434="","EKSİK","TAM"))</f>
        <v/>
      </c>
    </row>
    <row r="435">
      <c r="F435" s="38">
        <f>IF($A435="","",IF($B435="","EKSİK","TAM"))</f>
        <v/>
      </c>
    </row>
    <row r="436">
      <c r="F436" s="38">
        <f>IF($A436="","",IF($B436="","EKSİK","TAM"))</f>
        <v/>
      </c>
    </row>
    <row r="437">
      <c r="F437" s="38">
        <f>IF($A437="","",IF($B437="","EKSİK","TAM"))</f>
        <v/>
      </c>
    </row>
    <row r="438">
      <c r="F438" s="38">
        <f>IF($A438="","",IF($B438="","EKSİK","TAM"))</f>
        <v/>
      </c>
    </row>
    <row r="439">
      <c r="F439" s="38">
        <f>IF($A439="","",IF($B439="","EKSİK","TAM"))</f>
        <v/>
      </c>
    </row>
    <row r="440">
      <c r="F440" s="38">
        <f>IF($A440="","",IF($B440="","EKSİK","TAM"))</f>
        <v/>
      </c>
    </row>
    <row r="441">
      <c r="F441" s="38">
        <f>IF($A441="","",IF($B441="","EKSİK","TAM"))</f>
        <v/>
      </c>
    </row>
    <row r="442">
      <c r="F442" s="38">
        <f>IF($A442="","",IF($B442="","EKSİK","TAM"))</f>
        <v/>
      </c>
    </row>
    <row r="443">
      <c r="F443" s="38">
        <f>IF($A443="","",IF($B443="","EKSİK","TAM"))</f>
        <v/>
      </c>
    </row>
    <row r="444">
      <c r="F444" s="38">
        <f>IF($A444="","",IF($B444="","EKSİK","TAM"))</f>
        <v/>
      </c>
    </row>
    <row r="445">
      <c r="F445" s="38">
        <f>IF($A445="","",IF($B445="","EKSİK","TAM"))</f>
        <v/>
      </c>
    </row>
    <row r="446">
      <c r="F446" s="38">
        <f>IF($A446="","",IF($B446="","EKSİK","TAM"))</f>
        <v/>
      </c>
    </row>
    <row r="447">
      <c r="F447" s="38">
        <f>IF($A447="","",IF($B447="","EKSİK","TAM"))</f>
        <v/>
      </c>
    </row>
    <row r="448">
      <c r="F448" s="38">
        <f>IF($A448="","",IF($B448="","EKSİK","TAM"))</f>
        <v/>
      </c>
    </row>
    <row r="449">
      <c r="F449" s="38">
        <f>IF($A449="","",IF($B449="","EKSİK","TAM"))</f>
        <v/>
      </c>
    </row>
    <row r="450">
      <c r="F450" s="38">
        <f>IF($A450="","",IF($B450="","EKSİK","TAM"))</f>
        <v/>
      </c>
    </row>
    <row r="451">
      <c r="F451" s="38">
        <f>IF($A451="","",IF($B451="","EKSİK","TAM"))</f>
        <v/>
      </c>
    </row>
    <row r="452">
      <c r="F452" s="38">
        <f>IF($A452="","",IF($B452="","EKSİK","TAM"))</f>
        <v/>
      </c>
    </row>
    <row r="453">
      <c r="F453" s="38">
        <f>IF($A453="","",IF($B453="","EKSİK","TAM"))</f>
        <v/>
      </c>
    </row>
    <row r="454">
      <c r="F454" s="38">
        <f>IF($A454="","",IF($B454="","EKSİK","TAM"))</f>
        <v/>
      </c>
    </row>
    <row r="455">
      <c r="F455" s="38">
        <f>IF($A455="","",IF($B455="","EKSİK","TAM"))</f>
        <v/>
      </c>
    </row>
    <row r="456">
      <c r="F456" s="38">
        <f>IF($A456="","",IF($B456="","EKSİK","TAM"))</f>
        <v/>
      </c>
    </row>
    <row r="457">
      <c r="F457" s="38">
        <f>IF($A457="","",IF($B457="","EKSİK","TAM"))</f>
        <v/>
      </c>
    </row>
    <row r="458">
      <c r="F458" s="38">
        <f>IF($A458="","",IF($B458="","EKSİK","TAM"))</f>
        <v/>
      </c>
    </row>
    <row r="459">
      <c r="F459" s="38">
        <f>IF($A459="","",IF($B459="","EKSİK","TAM"))</f>
        <v/>
      </c>
    </row>
    <row r="460">
      <c r="F460" s="38">
        <f>IF($A460="","",IF($B460="","EKSİK","TAM"))</f>
        <v/>
      </c>
    </row>
    <row r="461">
      <c r="F461" s="38">
        <f>IF($A461="","",IF($B461="","EKSİK","TAM"))</f>
        <v/>
      </c>
    </row>
    <row r="462">
      <c r="F462" s="38">
        <f>IF($A462="","",IF($B462="","EKSİK","TAM"))</f>
        <v/>
      </c>
    </row>
    <row r="463">
      <c r="F463" s="38">
        <f>IF($A463="","",IF($B463="","EKSİK","TAM"))</f>
        <v/>
      </c>
    </row>
    <row r="464">
      <c r="F464" s="38">
        <f>IF($A464="","",IF($B464="","EKSİK","TAM"))</f>
        <v/>
      </c>
    </row>
    <row r="465">
      <c r="F465" s="38">
        <f>IF($A465="","",IF($B465="","EKSİK","TAM"))</f>
        <v/>
      </c>
    </row>
    <row r="466">
      <c r="F466" s="38">
        <f>IF($A466="","",IF($B466="","EKSİK","TAM"))</f>
        <v/>
      </c>
    </row>
    <row r="467">
      <c r="F467" s="38">
        <f>IF($A467="","",IF($B467="","EKSİK","TAM"))</f>
        <v/>
      </c>
    </row>
    <row r="468">
      <c r="F468" s="38">
        <f>IF($A468="","",IF($B468="","EKSİK","TAM"))</f>
        <v/>
      </c>
    </row>
    <row r="469">
      <c r="F469" s="38">
        <f>IF($A469="","",IF($B469="","EKSİK","TAM"))</f>
        <v/>
      </c>
    </row>
    <row r="470">
      <c r="F470" s="38">
        <f>IF($A470="","",IF($B470="","EKSİK","TAM"))</f>
        <v/>
      </c>
    </row>
    <row r="471">
      <c r="F471" s="38">
        <f>IF($A471="","",IF($B471="","EKSİK","TAM"))</f>
        <v/>
      </c>
    </row>
    <row r="472">
      <c r="F472" s="38">
        <f>IF($A472="","",IF($B472="","EKSİK","TAM"))</f>
        <v/>
      </c>
    </row>
    <row r="473">
      <c r="F473" s="38">
        <f>IF($A473="","",IF($B473="","EKSİK","TAM"))</f>
        <v/>
      </c>
    </row>
    <row r="474">
      <c r="F474" s="38">
        <f>IF($A474="","",IF($B474="","EKSİK","TAM"))</f>
        <v/>
      </c>
    </row>
    <row r="475">
      <c r="F475" s="38">
        <f>IF($A475="","",IF($B475="","EKSİK","TAM"))</f>
        <v/>
      </c>
    </row>
    <row r="476">
      <c r="F476" s="38">
        <f>IF($A476="","",IF($B476="","EKSİK","TAM"))</f>
        <v/>
      </c>
    </row>
    <row r="477">
      <c r="F477" s="38">
        <f>IF($A477="","",IF($B477="","EKSİK","TAM"))</f>
        <v/>
      </c>
    </row>
    <row r="478">
      <c r="F478" s="38">
        <f>IF($A478="","",IF($B478="","EKSİK","TAM"))</f>
        <v/>
      </c>
    </row>
    <row r="479">
      <c r="F479" s="38">
        <f>IF($A479="","",IF($B479="","EKSİK","TAM"))</f>
        <v/>
      </c>
    </row>
    <row r="480">
      <c r="F480" s="38">
        <f>IF($A480="","",IF($B480="","EKSİK","TAM"))</f>
        <v/>
      </c>
    </row>
    <row r="481">
      <c r="F481" s="38">
        <f>IF($A481="","",IF($B481="","EKSİK","TAM"))</f>
        <v/>
      </c>
    </row>
    <row r="482">
      <c r="F482" s="38">
        <f>IF($A482="","",IF($B482="","EKSİK","TAM"))</f>
        <v/>
      </c>
    </row>
    <row r="483">
      <c r="F483" s="38">
        <f>IF($A483="","",IF($B483="","EKSİK","TAM"))</f>
        <v/>
      </c>
    </row>
    <row r="484">
      <c r="F484" s="38">
        <f>IF($A484="","",IF($B484="","EKSİK","TAM"))</f>
        <v/>
      </c>
    </row>
    <row r="485">
      <c r="F485" s="38">
        <f>IF($A485="","",IF($B485="","EKSİK","TAM"))</f>
        <v/>
      </c>
    </row>
    <row r="486">
      <c r="F486" s="38">
        <f>IF($A486="","",IF($B486="","EKSİK","TAM"))</f>
        <v/>
      </c>
    </row>
    <row r="487">
      <c r="F487" s="38">
        <f>IF($A487="","",IF($B487="","EKSİK","TAM"))</f>
        <v/>
      </c>
    </row>
    <row r="488">
      <c r="F488" s="38">
        <f>IF($A488="","",IF($B488="","EKSİK","TAM"))</f>
        <v/>
      </c>
    </row>
    <row r="489">
      <c r="F489" s="38">
        <f>IF($A489="","",IF($B489="","EKSİK","TAM"))</f>
        <v/>
      </c>
    </row>
    <row r="490">
      <c r="F490" s="38">
        <f>IF($A490="","",IF($B490="","EKSİK","TAM"))</f>
        <v/>
      </c>
    </row>
    <row r="491">
      <c r="F491" s="38">
        <f>IF($A491="","",IF($B491="","EKSİK","TAM"))</f>
        <v/>
      </c>
    </row>
    <row r="492">
      <c r="F492" s="38">
        <f>IF($A492="","",IF($B492="","EKSİK","TAM"))</f>
        <v/>
      </c>
    </row>
    <row r="493">
      <c r="F493" s="38">
        <f>IF($A493="","",IF($B493="","EKSİK","TAM"))</f>
        <v/>
      </c>
    </row>
    <row r="494">
      <c r="F494" s="38">
        <f>IF($A494="","",IF($B494="","EKSİK","TAM"))</f>
        <v/>
      </c>
    </row>
    <row r="495">
      <c r="F495" s="38">
        <f>IF($A495="","",IF($B495="","EKSİK","TAM"))</f>
        <v/>
      </c>
    </row>
    <row r="496">
      <c r="F496" s="38">
        <f>IF($A496="","",IF($B496="","EKSİK","TAM"))</f>
        <v/>
      </c>
    </row>
    <row r="497">
      <c r="F497" s="38">
        <f>IF($A497="","",IF($B497="","EKSİK","TAM"))</f>
        <v/>
      </c>
    </row>
    <row r="498">
      <c r="F498" s="38">
        <f>IF($A498="","",IF($B498="","EKSİK","TAM"))</f>
        <v/>
      </c>
    </row>
    <row r="499">
      <c r="F499" s="38">
        <f>IF($A499="","",IF($B499="","EKSİK","TAM"))</f>
        <v/>
      </c>
    </row>
    <row r="500">
      <c r="F500" s="38">
        <f>IF($A500="","",IF($B500="","EKSİK","TAM"))</f>
        <v/>
      </c>
    </row>
    <row r="501">
      <c r="F501" s="38">
        <f>IF($A501="","",IF($B501="","EKSİK","TAM"))</f>
        <v/>
      </c>
    </row>
    <row r="502">
      <c r="F502" s="38">
        <f>IF($A502="","",IF($B502="","EKSİK","TAM"))</f>
        <v/>
      </c>
    </row>
    <row r="503">
      <c r="F503" s="38">
        <f>IF($A503="","",IF($B503="","EKSİK","TAM"))</f>
        <v/>
      </c>
    </row>
    <row r="504">
      <c r="F504" s="38">
        <f>IF($A504="","",IF($B504="","EKSİK","TAM"))</f>
        <v/>
      </c>
    </row>
    <row r="505">
      <c r="F505" s="38">
        <f>IF($A505="","",IF($B505="","EKSİK","TAM"))</f>
        <v/>
      </c>
    </row>
    <row r="506">
      <c r="F506" s="38">
        <f>IF($A506="","",IF($B506="","EKSİK","TAM"))</f>
        <v/>
      </c>
    </row>
    <row r="507">
      <c r="F507" s="38">
        <f>IF($A507="","",IF($B507="","EKSİK","TAM"))</f>
        <v/>
      </c>
    </row>
    <row r="508">
      <c r="F508" s="38">
        <f>IF($A508="","",IF($B508="","EKSİK","TAM"))</f>
        <v/>
      </c>
    </row>
    <row r="509">
      <c r="F509" s="38">
        <f>IF($A509="","",IF($B509="","EKSİK","TAM"))</f>
        <v/>
      </c>
    </row>
    <row r="510">
      <c r="F510" s="38">
        <f>IF($A510="","",IF($B510="","EKSİK","TAM"))</f>
        <v/>
      </c>
    </row>
    <row r="511">
      <c r="F511" s="38">
        <f>IF($A511="","",IF($B511="","EKSİK","TAM"))</f>
        <v/>
      </c>
    </row>
    <row r="512">
      <c r="F512" s="38">
        <f>IF($A512="","",IF($B512="","EKSİK","TAM"))</f>
        <v/>
      </c>
    </row>
    <row r="513">
      <c r="F513" s="38">
        <f>IF($A513="","",IF($B513="","EKSİK","TAM"))</f>
        <v/>
      </c>
    </row>
    <row r="514">
      <c r="F514" s="38">
        <f>IF($A514="","",IF($B514="","EKSİK","TAM"))</f>
        <v/>
      </c>
    </row>
    <row r="515">
      <c r="F515" s="38">
        <f>IF($A515="","",IF($B515="","EKSİK","TAM"))</f>
        <v/>
      </c>
    </row>
    <row r="516">
      <c r="F516" s="38">
        <f>IF($A516="","",IF($B516="","EKSİK","TAM"))</f>
        <v/>
      </c>
    </row>
    <row r="517">
      <c r="F517" s="38">
        <f>IF($A517="","",IF($B517="","EKSİK","TAM"))</f>
        <v/>
      </c>
    </row>
    <row r="518">
      <c r="F518" s="38">
        <f>IF($A518="","",IF($B518="","EKSİK","TAM"))</f>
        <v/>
      </c>
    </row>
    <row r="519">
      <c r="F519" s="38">
        <f>IF($A519="","",IF($B519="","EKSİK","TAM"))</f>
        <v/>
      </c>
    </row>
    <row r="520">
      <c r="F520" s="38">
        <f>IF($A520="","",IF($B520="","EKSİK","TAM"))</f>
        <v/>
      </c>
    </row>
    <row r="521">
      <c r="F521" s="38">
        <f>IF($A521="","",IF($B521="","EKSİK","TAM"))</f>
        <v/>
      </c>
    </row>
    <row r="522">
      <c r="F522" s="38">
        <f>IF($A522="","",IF($B522="","EKSİK","TAM"))</f>
        <v/>
      </c>
    </row>
    <row r="523">
      <c r="F523" s="38">
        <f>IF($A523="","",IF($B523="","EKSİK","TAM"))</f>
        <v/>
      </c>
    </row>
    <row r="524">
      <c r="F524" s="38">
        <f>IF($A524="","",IF($B524="","EKSİK","TAM"))</f>
        <v/>
      </c>
    </row>
    <row r="525">
      <c r="F525" s="38">
        <f>IF($A525="","",IF($B525="","EKSİK","TAM"))</f>
        <v/>
      </c>
    </row>
    <row r="526">
      <c r="F526" s="38">
        <f>IF($A526="","",IF($B526="","EKSİK","TAM"))</f>
        <v/>
      </c>
    </row>
    <row r="527">
      <c r="F527" s="38">
        <f>IF($A527="","",IF($B527="","EKSİK","TAM"))</f>
        <v/>
      </c>
    </row>
    <row r="528">
      <c r="F528" s="38">
        <f>IF($A528="","",IF($B528="","EKSİK","TAM"))</f>
        <v/>
      </c>
    </row>
    <row r="529">
      <c r="F529" s="38">
        <f>IF($A529="","",IF($B529="","EKSİK","TAM"))</f>
        <v/>
      </c>
    </row>
    <row r="530">
      <c r="F530" s="38">
        <f>IF($A530="","",IF($B530="","EKSİK","TAM"))</f>
        <v/>
      </c>
    </row>
    <row r="531">
      <c r="F531" s="38">
        <f>IF($A531="","",IF($B531="","EKSİK","TAM"))</f>
        <v/>
      </c>
    </row>
    <row r="532">
      <c r="F532" s="38">
        <f>IF($A532="","",IF($B532="","EKSİK","TAM"))</f>
        <v/>
      </c>
    </row>
    <row r="533">
      <c r="F533" s="38">
        <f>IF($A533="","",IF($B533="","EKSİK","TAM"))</f>
        <v/>
      </c>
    </row>
    <row r="534">
      <c r="F534" s="38">
        <f>IF($A534="","",IF($B534="","EKSİK","TAM"))</f>
        <v/>
      </c>
    </row>
    <row r="535">
      <c r="F535" s="38">
        <f>IF($A535="","",IF($B535="","EKSİK","TAM"))</f>
        <v/>
      </c>
    </row>
    <row r="536">
      <c r="F536" s="38">
        <f>IF($A536="","",IF($B536="","EKSİK","TAM"))</f>
        <v/>
      </c>
    </row>
    <row r="537">
      <c r="F537" s="38">
        <f>IF($A537="","",IF($B537="","EKSİK","TAM"))</f>
        <v/>
      </c>
    </row>
    <row r="538">
      <c r="F538" s="38">
        <f>IF($A538="","",IF($B538="","EKSİK","TAM"))</f>
        <v/>
      </c>
    </row>
    <row r="539">
      <c r="F539" s="38">
        <f>IF($A539="","",IF($B539="","EKSİK","TAM"))</f>
        <v/>
      </c>
    </row>
    <row r="540">
      <c r="F540" s="38">
        <f>IF($A540="","",IF($B540="","EKSİK","TAM"))</f>
        <v/>
      </c>
    </row>
    <row r="541">
      <c r="F541" s="38">
        <f>IF($A541="","",IF($B541="","EKSİK","TAM"))</f>
        <v/>
      </c>
    </row>
    <row r="542">
      <c r="F542" s="38">
        <f>IF($A542="","",IF($B542="","EKSİK","TAM"))</f>
        <v/>
      </c>
    </row>
    <row r="543">
      <c r="F543" s="38">
        <f>IF($A543="","",IF($B543="","EKSİK","TAM"))</f>
        <v/>
      </c>
    </row>
    <row r="544">
      <c r="F544" s="38">
        <f>IF($A544="","",IF($B544="","EKSİK","TAM"))</f>
        <v/>
      </c>
    </row>
    <row r="545">
      <c r="F545" s="38">
        <f>IF($A545="","",IF($B545="","EKSİK","TAM"))</f>
        <v/>
      </c>
    </row>
    <row r="546">
      <c r="F546" s="38">
        <f>IF($A546="","",IF($B546="","EKSİK","TAM"))</f>
        <v/>
      </c>
    </row>
    <row r="547">
      <c r="F547" s="38">
        <f>IF($A547="","",IF($B547="","EKSİK","TAM"))</f>
        <v/>
      </c>
    </row>
    <row r="548">
      <c r="F548" s="38">
        <f>IF($A548="","",IF($B548="","EKSİK","TAM"))</f>
        <v/>
      </c>
    </row>
    <row r="549">
      <c r="F549" s="38">
        <f>IF($A549="","",IF($B549="","EKSİK","TAM"))</f>
        <v/>
      </c>
    </row>
    <row r="550">
      <c r="F550" s="38">
        <f>IF($A550="","",IF($B550="","EKSİK","TAM"))</f>
        <v/>
      </c>
    </row>
    <row r="551">
      <c r="F551" s="38">
        <f>IF($A551="","",IF($B551="","EKSİK","TAM"))</f>
        <v/>
      </c>
    </row>
    <row r="552">
      <c r="F552" s="38">
        <f>IF($A552="","",IF($B552="","EKSİK","TAM"))</f>
        <v/>
      </c>
    </row>
    <row r="553">
      <c r="F553" s="38">
        <f>IF($A553="","",IF($B553="","EKSİK","TAM"))</f>
        <v/>
      </c>
    </row>
    <row r="554">
      <c r="F554" s="38">
        <f>IF($A554="","",IF($B554="","EKSİK","TAM"))</f>
        <v/>
      </c>
    </row>
    <row r="555">
      <c r="F555" s="38">
        <f>IF($A555="","",IF($B555="","EKSİK","TAM"))</f>
        <v/>
      </c>
    </row>
    <row r="556">
      <c r="F556" s="38">
        <f>IF($A556="","",IF($B556="","EKSİK","TAM"))</f>
        <v/>
      </c>
    </row>
    <row r="557">
      <c r="F557" s="38">
        <f>IF($A557="","",IF($B557="","EKSİK","TAM"))</f>
        <v/>
      </c>
    </row>
    <row r="558">
      <c r="F558" s="38">
        <f>IF($A558="","",IF($B558="","EKSİK","TAM"))</f>
        <v/>
      </c>
    </row>
    <row r="559">
      <c r="F559" s="38">
        <f>IF($A559="","",IF($B559="","EKSİK","TAM"))</f>
        <v/>
      </c>
    </row>
    <row r="560">
      <c r="F560" s="38">
        <f>IF($A560="","",IF($B560="","EKSİK","TAM"))</f>
        <v/>
      </c>
    </row>
    <row r="561">
      <c r="F561" s="38">
        <f>IF($A561="","",IF($B561="","EKSİK","TAM"))</f>
        <v/>
      </c>
    </row>
    <row r="562">
      <c r="F562" s="38">
        <f>IF($A562="","",IF($B562="","EKSİK","TAM"))</f>
        <v/>
      </c>
    </row>
    <row r="563">
      <c r="F563" s="38">
        <f>IF($A563="","",IF($B563="","EKSİK","TAM"))</f>
        <v/>
      </c>
    </row>
    <row r="564">
      <c r="F564" s="38">
        <f>IF($A564="","",IF($B564="","EKSİK","TAM"))</f>
        <v/>
      </c>
    </row>
    <row r="565">
      <c r="F565" s="38">
        <f>IF($A565="","",IF($B565="","EKSİK","TAM"))</f>
        <v/>
      </c>
    </row>
    <row r="566">
      <c r="F566" s="38">
        <f>IF($A566="","",IF($B566="","EKSİK","TAM"))</f>
        <v/>
      </c>
    </row>
    <row r="567">
      <c r="F567" s="38">
        <f>IF($A567="","",IF($B567="","EKSİK","TAM"))</f>
        <v/>
      </c>
    </row>
    <row r="568">
      <c r="F568" s="38">
        <f>IF($A568="","",IF($B568="","EKSİK","TAM"))</f>
        <v/>
      </c>
    </row>
    <row r="569">
      <c r="F569" s="38">
        <f>IF($A569="","",IF($B569="","EKSİK","TAM"))</f>
        <v/>
      </c>
    </row>
    <row r="570">
      <c r="F570" s="38">
        <f>IF($A570="","",IF($B570="","EKSİK","TAM"))</f>
        <v/>
      </c>
    </row>
    <row r="571">
      <c r="F571" s="38">
        <f>IF($A571="","",IF($B571="","EKSİK","TAM"))</f>
        <v/>
      </c>
    </row>
    <row r="572">
      <c r="F572" s="38">
        <f>IF($A572="","",IF($B572="","EKSİK","TAM"))</f>
        <v/>
      </c>
    </row>
    <row r="573">
      <c r="F573" s="38">
        <f>IF($A573="","",IF($B573="","EKSİK","TAM"))</f>
        <v/>
      </c>
    </row>
    <row r="574">
      <c r="F574" s="38">
        <f>IF($A574="","",IF($B574="","EKSİK","TAM"))</f>
        <v/>
      </c>
    </row>
    <row r="575">
      <c r="F575" s="38">
        <f>IF($A575="","",IF($B575="","EKSİK","TAM"))</f>
        <v/>
      </c>
    </row>
    <row r="576">
      <c r="F576" s="38">
        <f>IF($A576="","",IF($B576="","EKSİK","TAM"))</f>
        <v/>
      </c>
    </row>
    <row r="577">
      <c r="F577" s="38">
        <f>IF($A577="","",IF($B577="","EKSİK","TAM"))</f>
        <v/>
      </c>
    </row>
    <row r="578">
      <c r="F578" s="38">
        <f>IF($A578="","",IF($B578="","EKSİK","TAM"))</f>
        <v/>
      </c>
    </row>
    <row r="579">
      <c r="F579" s="38">
        <f>IF($A579="","",IF($B579="","EKSİK","TAM"))</f>
        <v/>
      </c>
    </row>
    <row r="580">
      <c r="F580" s="38">
        <f>IF($A580="","",IF($B580="","EKSİK","TAM"))</f>
        <v/>
      </c>
    </row>
    <row r="581">
      <c r="F581" s="38">
        <f>IF($A581="","",IF($B581="","EKSİK","TAM"))</f>
        <v/>
      </c>
    </row>
    <row r="582">
      <c r="F582" s="38">
        <f>IF($A582="","",IF($B582="","EKSİK","TAM"))</f>
        <v/>
      </c>
    </row>
    <row r="583">
      <c r="F583" s="38">
        <f>IF($A583="","",IF($B583="","EKSİK","TAM"))</f>
        <v/>
      </c>
    </row>
    <row r="584">
      <c r="F584" s="38">
        <f>IF($A584="","",IF($B584="","EKSİK","TAM"))</f>
        <v/>
      </c>
    </row>
    <row r="585">
      <c r="F585" s="38">
        <f>IF($A585="","",IF($B585="","EKSİK","TAM"))</f>
        <v/>
      </c>
    </row>
    <row r="586">
      <c r="F586" s="38">
        <f>IF($A586="","",IF($B586="","EKSİK","TAM"))</f>
        <v/>
      </c>
    </row>
    <row r="587">
      <c r="F587" s="38">
        <f>IF($A587="","",IF($B587="","EKSİK","TAM"))</f>
        <v/>
      </c>
    </row>
    <row r="588">
      <c r="F588" s="38">
        <f>IF($A588="","",IF($B588="","EKSİK","TAM"))</f>
        <v/>
      </c>
    </row>
    <row r="589">
      <c r="F589" s="38">
        <f>IF($A589="","",IF($B589="","EKSİK","TAM"))</f>
        <v/>
      </c>
    </row>
    <row r="590">
      <c r="F590" s="38">
        <f>IF($A590="","",IF($B590="","EKSİK","TAM"))</f>
        <v/>
      </c>
    </row>
    <row r="591">
      <c r="F591" s="38">
        <f>IF($A591="","",IF($B591="","EKSİK","TAM"))</f>
        <v/>
      </c>
    </row>
    <row r="592">
      <c r="F592" s="38">
        <f>IF($A592="","",IF($B592="","EKSİK","TAM"))</f>
        <v/>
      </c>
    </row>
    <row r="593">
      <c r="F593" s="38">
        <f>IF($A593="","",IF($B593="","EKSİK","TAM"))</f>
        <v/>
      </c>
    </row>
    <row r="594">
      <c r="F594" s="38">
        <f>IF($A594="","",IF($B594="","EKSİK","TAM"))</f>
        <v/>
      </c>
    </row>
    <row r="595">
      <c r="F595" s="38">
        <f>IF($A595="","",IF($B595="","EKSİK","TAM"))</f>
        <v/>
      </c>
    </row>
    <row r="596">
      <c r="F596" s="38">
        <f>IF($A596="","",IF($B596="","EKSİK","TAM"))</f>
        <v/>
      </c>
    </row>
    <row r="597">
      <c r="F597" s="38">
        <f>IF($A597="","",IF($B597="","EKSİK","TAM"))</f>
        <v/>
      </c>
    </row>
    <row r="598">
      <c r="F598" s="38">
        <f>IF($A598="","",IF($B598="","EKSİK","TAM"))</f>
        <v/>
      </c>
    </row>
    <row r="599">
      <c r="F599" s="38">
        <f>IF($A599="","",IF($B599="","EKSİK","TAM"))</f>
        <v/>
      </c>
    </row>
    <row r="600">
      <c r="F600" s="38">
        <f>IF($A600="","",IF($B600="","EKSİK","TAM"))</f>
        <v/>
      </c>
    </row>
    <row r="601">
      <c r="F601" s="38">
        <f>IF($A601="","",IF($B601="","EKSİK","TAM"))</f>
        <v/>
      </c>
    </row>
    <row r="602">
      <c r="F602" s="38">
        <f>IF($A602="","",IF($B602="","EKSİK","TAM"))</f>
        <v/>
      </c>
    </row>
    <row r="603">
      <c r="F603" s="38">
        <f>IF($A603="","",IF($B603="","EKSİK","TAM"))</f>
        <v/>
      </c>
    </row>
    <row r="604">
      <c r="F604" s="38">
        <f>IF($A604="","",IF($B604="","EKSİK","TAM"))</f>
        <v/>
      </c>
    </row>
    <row r="605">
      <c r="F605" s="38">
        <f>IF($A605="","",IF($B605="","EKSİK","TAM"))</f>
        <v/>
      </c>
    </row>
    <row r="606">
      <c r="F606" s="38">
        <f>IF($A606="","",IF($B606="","EKSİK","TAM"))</f>
        <v/>
      </c>
    </row>
    <row r="607">
      <c r="F607" s="38">
        <f>IF($A607="","",IF($B607="","EKSİK","TAM"))</f>
        <v/>
      </c>
    </row>
    <row r="608">
      <c r="F608" s="38">
        <f>IF($A608="","",IF($B608="","EKSİK","TAM"))</f>
        <v/>
      </c>
    </row>
    <row r="609">
      <c r="F609" s="38">
        <f>IF($A609="","",IF($B609="","EKSİK","TAM"))</f>
        <v/>
      </c>
    </row>
    <row r="610">
      <c r="F610" s="38">
        <f>IF($A610="","",IF($B610="","EKSİK","TAM"))</f>
        <v/>
      </c>
    </row>
    <row r="611">
      <c r="F611" s="38">
        <f>IF($A611="","",IF($B611="","EKSİK","TAM"))</f>
        <v/>
      </c>
    </row>
    <row r="612">
      <c r="F612" s="38">
        <f>IF($A612="","",IF($B612="","EKSİK","TAM"))</f>
        <v/>
      </c>
    </row>
    <row r="613">
      <c r="F613" s="38">
        <f>IF($A613="","",IF($B613="","EKSİK","TAM"))</f>
        <v/>
      </c>
    </row>
    <row r="614">
      <c r="F614" s="38">
        <f>IF($A614="","",IF($B614="","EKSİK","TAM"))</f>
        <v/>
      </c>
    </row>
    <row r="615">
      <c r="F615" s="38">
        <f>IF($A615="","",IF($B615="","EKSİK","TAM"))</f>
        <v/>
      </c>
    </row>
    <row r="616">
      <c r="F616" s="38">
        <f>IF($A616="","",IF($B616="","EKSİK","TAM"))</f>
        <v/>
      </c>
    </row>
    <row r="617">
      <c r="F617" s="38">
        <f>IF($A617="","",IF($B617="","EKSİK","TAM"))</f>
        <v/>
      </c>
    </row>
    <row r="618">
      <c r="F618" s="38">
        <f>IF($A618="","",IF($B618="","EKSİK","TAM"))</f>
        <v/>
      </c>
    </row>
    <row r="619">
      <c r="F619" s="38">
        <f>IF($A619="","",IF($B619="","EKSİK","TAM"))</f>
        <v/>
      </c>
    </row>
    <row r="620">
      <c r="F620" s="38">
        <f>IF($A620="","",IF($B620="","EKSİK","TAM"))</f>
        <v/>
      </c>
    </row>
    <row r="621">
      <c r="F621" s="38">
        <f>IF($A621="","",IF($B621="","EKSİK","TAM"))</f>
        <v/>
      </c>
    </row>
    <row r="622">
      <c r="F622" s="38">
        <f>IF($A622="","",IF($B622="","EKSİK","TAM"))</f>
        <v/>
      </c>
    </row>
    <row r="623">
      <c r="F623" s="38">
        <f>IF($A623="","",IF($B623="","EKSİK","TAM"))</f>
        <v/>
      </c>
    </row>
    <row r="624">
      <c r="F624" s="38">
        <f>IF($A624="","",IF($B624="","EKSİK","TAM"))</f>
        <v/>
      </c>
    </row>
    <row r="625">
      <c r="F625" s="38">
        <f>IF($A625="","",IF($B625="","EKSİK","TAM"))</f>
        <v/>
      </c>
    </row>
    <row r="626">
      <c r="F626" s="38">
        <f>IF($A626="","",IF($B626="","EKSİK","TAM"))</f>
        <v/>
      </c>
    </row>
    <row r="627">
      <c r="F627" s="38">
        <f>IF($A627="","",IF($B627="","EKSİK","TAM"))</f>
        <v/>
      </c>
    </row>
    <row r="628">
      <c r="F628" s="38">
        <f>IF($A628="","",IF($B628="","EKSİK","TAM"))</f>
        <v/>
      </c>
    </row>
    <row r="629">
      <c r="F629" s="38">
        <f>IF($A629="","",IF($B629="","EKSİK","TAM"))</f>
        <v/>
      </c>
    </row>
    <row r="630">
      <c r="F630" s="38">
        <f>IF($A630="","",IF($B630="","EKSİK","TAM"))</f>
        <v/>
      </c>
    </row>
    <row r="631">
      <c r="F631" s="38">
        <f>IF($A631="","",IF($B631="","EKSİK","TAM"))</f>
        <v/>
      </c>
    </row>
    <row r="632">
      <c r="F632" s="38">
        <f>IF($A632="","",IF($B632="","EKSİK","TAM"))</f>
        <v/>
      </c>
    </row>
    <row r="633">
      <c r="F633" s="38">
        <f>IF($A633="","",IF($B633="","EKSİK","TAM"))</f>
        <v/>
      </c>
    </row>
    <row r="634">
      <c r="F634" s="38">
        <f>IF($A634="","",IF($B634="","EKSİK","TAM"))</f>
        <v/>
      </c>
    </row>
    <row r="635">
      <c r="F635" s="38">
        <f>IF($A635="","",IF($B635="","EKSİK","TAM"))</f>
        <v/>
      </c>
    </row>
    <row r="636">
      <c r="F636" s="38">
        <f>IF($A636="","",IF($B636="","EKSİK","TAM"))</f>
        <v/>
      </c>
    </row>
    <row r="637">
      <c r="F637" s="38">
        <f>IF($A637="","",IF($B637="","EKSİK","TAM"))</f>
        <v/>
      </c>
    </row>
    <row r="638">
      <c r="F638" s="38">
        <f>IF($A638="","",IF($B638="","EKSİK","TAM"))</f>
        <v/>
      </c>
    </row>
    <row r="639">
      <c r="F639" s="38">
        <f>IF($A639="","",IF($B639="","EKSİK","TAM"))</f>
        <v/>
      </c>
    </row>
    <row r="640">
      <c r="F640" s="38">
        <f>IF($A640="","",IF($B640="","EKSİK","TAM"))</f>
        <v/>
      </c>
    </row>
    <row r="641">
      <c r="F641" s="38">
        <f>IF($A641="","",IF($B641="","EKSİK","TAM"))</f>
        <v/>
      </c>
    </row>
    <row r="642">
      <c r="F642" s="38">
        <f>IF($A642="","",IF($B642="","EKSİK","TAM"))</f>
        <v/>
      </c>
    </row>
    <row r="643">
      <c r="F643" s="38">
        <f>IF($A643="","",IF($B643="","EKSİK","TAM"))</f>
        <v/>
      </c>
    </row>
    <row r="644">
      <c r="F644" s="38">
        <f>IF($A644="","",IF($B644="","EKSİK","TAM"))</f>
        <v/>
      </c>
    </row>
    <row r="645">
      <c r="F645" s="38">
        <f>IF($A645="","",IF($B645="","EKSİK","TAM"))</f>
        <v/>
      </c>
    </row>
    <row r="646">
      <c r="F646" s="38">
        <f>IF($A646="","",IF($B646="","EKSİK","TAM"))</f>
        <v/>
      </c>
    </row>
    <row r="647">
      <c r="F647" s="38">
        <f>IF($A647="","",IF($B647="","EKSİK","TAM"))</f>
        <v/>
      </c>
    </row>
    <row r="648">
      <c r="F648" s="38">
        <f>IF($A648="","",IF($B648="","EKSİK","TAM"))</f>
        <v/>
      </c>
    </row>
    <row r="649">
      <c r="F649" s="38">
        <f>IF($A649="","",IF($B649="","EKSİK","TAM"))</f>
        <v/>
      </c>
    </row>
    <row r="650">
      <c r="F650" s="38">
        <f>IF($A650="","",IF($B650="","EKSİK","TAM"))</f>
        <v/>
      </c>
    </row>
    <row r="651">
      <c r="F651" s="38">
        <f>IF($A651="","",IF($B651="","EKSİK","TAM"))</f>
        <v/>
      </c>
    </row>
    <row r="652">
      <c r="F652" s="38">
        <f>IF($A652="","",IF($B652="","EKSİK","TAM"))</f>
        <v/>
      </c>
    </row>
    <row r="653">
      <c r="F653" s="38">
        <f>IF($A653="","",IF($B653="","EKSİK","TAM"))</f>
        <v/>
      </c>
    </row>
    <row r="654">
      <c r="F654" s="38">
        <f>IF($A654="","",IF($B654="","EKSİK","TAM"))</f>
        <v/>
      </c>
    </row>
    <row r="655">
      <c r="F655" s="38">
        <f>IF($A655="","",IF($B655="","EKSİK","TAM"))</f>
        <v/>
      </c>
    </row>
    <row r="656">
      <c r="F656" s="38">
        <f>IF($A656="","",IF($B656="","EKSİK","TAM"))</f>
        <v/>
      </c>
    </row>
    <row r="657">
      <c r="F657" s="38">
        <f>IF($A657="","",IF($B657="","EKSİK","TAM"))</f>
        <v/>
      </c>
    </row>
    <row r="658">
      <c r="F658" s="38">
        <f>IF($A658="","",IF($B658="","EKSİK","TAM"))</f>
        <v/>
      </c>
    </row>
    <row r="659">
      <c r="F659" s="38">
        <f>IF($A659="","",IF($B659="","EKSİK","TAM"))</f>
        <v/>
      </c>
    </row>
    <row r="660">
      <c r="F660" s="38">
        <f>IF($A660="","",IF($B660="","EKSİK","TAM"))</f>
        <v/>
      </c>
    </row>
    <row r="661">
      <c r="F661" s="38">
        <f>IF($A661="","",IF($B661="","EKSİK","TAM"))</f>
        <v/>
      </c>
    </row>
    <row r="662">
      <c r="F662" s="38">
        <f>IF($A662="","",IF($B662="","EKSİK","TAM"))</f>
        <v/>
      </c>
    </row>
    <row r="663">
      <c r="F663" s="38">
        <f>IF($A663="","",IF($B663="","EKSİK","TAM"))</f>
        <v/>
      </c>
    </row>
    <row r="664">
      <c r="F664" s="38">
        <f>IF($A664="","",IF($B664="","EKSİK","TAM"))</f>
        <v/>
      </c>
    </row>
    <row r="665">
      <c r="F665" s="38">
        <f>IF($A665="","",IF($B665="","EKSİK","TAM"))</f>
        <v/>
      </c>
    </row>
    <row r="666">
      <c r="F666" s="38">
        <f>IF($A666="","",IF($B666="","EKSİK","TAM"))</f>
        <v/>
      </c>
    </row>
    <row r="667">
      <c r="F667" s="38">
        <f>IF($A667="","",IF($B667="","EKSİK","TAM"))</f>
        <v/>
      </c>
    </row>
    <row r="668">
      <c r="F668" s="38">
        <f>IF($A668="","",IF($B668="","EKSİK","TAM"))</f>
        <v/>
      </c>
    </row>
    <row r="669">
      <c r="F669" s="38">
        <f>IF($A669="","",IF($B669="","EKSİK","TAM"))</f>
        <v/>
      </c>
    </row>
    <row r="670">
      <c r="F670" s="38">
        <f>IF($A670="","",IF($B670="","EKSİK","TAM"))</f>
        <v/>
      </c>
    </row>
    <row r="671">
      <c r="F671" s="38">
        <f>IF($A671="","",IF($B671="","EKSİK","TAM"))</f>
        <v/>
      </c>
    </row>
    <row r="672">
      <c r="F672" s="38">
        <f>IF($A672="","",IF($B672="","EKSİK","TAM"))</f>
        <v/>
      </c>
    </row>
    <row r="673">
      <c r="F673" s="38">
        <f>IF($A673="","",IF($B673="","EKSİK","TAM"))</f>
        <v/>
      </c>
    </row>
    <row r="674">
      <c r="F674" s="38">
        <f>IF($A674="","",IF($B674="","EKSİK","TAM"))</f>
        <v/>
      </c>
    </row>
    <row r="675">
      <c r="F675" s="38">
        <f>IF($A675="","",IF($B675="","EKSİK","TAM"))</f>
        <v/>
      </c>
    </row>
    <row r="676">
      <c r="F676" s="38">
        <f>IF($A676="","",IF($B676="","EKSİK","TAM"))</f>
        <v/>
      </c>
    </row>
    <row r="677">
      <c r="F677" s="38">
        <f>IF($A677="","",IF($B677="","EKSİK","TAM"))</f>
        <v/>
      </c>
    </row>
    <row r="678">
      <c r="F678" s="38">
        <f>IF($A678="","",IF($B678="","EKSİK","TAM"))</f>
        <v/>
      </c>
    </row>
    <row r="679">
      <c r="F679" s="38">
        <f>IF($A679="","",IF($B679="","EKSİK","TAM"))</f>
        <v/>
      </c>
    </row>
    <row r="680">
      <c r="F680" s="38">
        <f>IF($A680="","",IF($B680="","EKSİK","TAM"))</f>
        <v/>
      </c>
    </row>
    <row r="681">
      <c r="F681" s="38">
        <f>IF($A681="","",IF($B681="","EKSİK","TAM"))</f>
        <v/>
      </c>
    </row>
    <row r="682">
      <c r="F682" s="38">
        <f>IF($A682="","",IF($B682="","EKSİK","TAM"))</f>
        <v/>
      </c>
    </row>
    <row r="683">
      <c r="F683" s="38">
        <f>IF($A683="","",IF($B683="","EKSİK","TAM"))</f>
        <v/>
      </c>
    </row>
    <row r="684">
      <c r="F684" s="38">
        <f>IF($A684="","",IF($B684="","EKSİK","TAM"))</f>
        <v/>
      </c>
    </row>
    <row r="685">
      <c r="F685" s="38">
        <f>IF($A685="","",IF($B685="","EKSİK","TAM"))</f>
        <v/>
      </c>
    </row>
    <row r="686">
      <c r="F686" s="38">
        <f>IF($A686="","",IF($B686="","EKSİK","TAM"))</f>
        <v/>
      </c>
    </row>
    <row r="687">
      <c r="F687" s="38">
        <f>IF($A687="","",IF($B687="","EKSİK","TAM"))</f>
        <v/>
      </c>
    </row>
    <row r="688">
      <c r="F688" s="38">
        <f>IF($A688="","",IF($B688="","EKSİK","TAM"))</f>
        <v/>
      </c>
    </row>
    <row r="689">
      <c r="F689" s="38">
        <f>IF($A689="","",IF($B689="","EKSİK","TAM"))</f>
        <v/>
      </c>
    </row>
    <row r="690">
      <c r="F690" s="38">
        <f>IF($A690="","",IF($B690="","EKSİK","TAM"))</f>
        <v/>
      </c>
    </row>
    <row r="691">
      <c r="F691" s="38">
        <f>IF($A691="","",IF($B691="","EKSİK","TAM"))</f>
        <v/>
      </c>
    </row>
    <row r="692">
      <c r="F692" s="38">
        <f>IF($A692="","",IF($B692="","EKSİK","TAM"))</f>
        <v/>
      </c>
    </row>
    <row r="693">
      <c r="F693" s="38">
        <f>IF($A693="","",IF($B693="","EKSİK","TAM"))</f>
        <v/>
      </c>
    </row>
    <row r="694">
      <c r="F694" s="38">
        <f>IF($A694="","",IF($B694="","EKSİK","TAM"))</f>
        <v/>
      </c>
    </row>
    <row r="695">
      <c r="F695" s="38">
        <f>IF($A695="","",IF($B695="","EKSİK","TAM"))</f>
        <v/>
      </c>
    </row>
    <row r="696">
      <c r="F696" s="38">
        <f>IF($A696="","",IF($B696="","EKSİK","TAM"))</f>
        <v/>
      </c>
    </row>
    <row r="697">
      <c r="F697" s="38">
        <f>IF($A697="","",IF($B697="","EKSİK","TAM"))</f>
        <v/>
      </c>
    </row>
    <row r="698">
      <c r="F698" s="38">
        <f>IF($A698="","",IF($B698="","EKSİK","TAM"))</f>
        <v/>
      </c>
    </row>
    <row r="699">
      <c r="F699" s="38">
        <f>IF($A699="","",IF($B699="","EKSİK","TAM"))</f>
        <v/>
      </c>
    </row>
    <row r="700">
      <c r="F700" s="38">
        <f>IF($A700="","",IF($B700="","EKSİK","TAM"))</f>
        <v/>
      </c>
    </row>
    <row r="701">
      <c r="F701" s="38">
        <f>IF($A701="","",IF($B701="","EKSİK","TAM"))</f>
        <v/>
      </c>
    </row>
    <row r="702">
      <c r="F702" s="38">
        <f>IF($A702="","",IF($B702="","EKSİK","TAM"))</f>
        <v/>
      </c>
    </row>
    <row r="703">
      <c r="F703" s="38">
        <f>IF($A703="","",IF($B703="","EKSİK","TAM"))</f>
        <v/>
      </c>
    </row>
    <row r="704">
      <c r="F704" s="38">
        <f>IF($A704="","",IF($B704="","EKSİK","TAM"))</f>
        <v/>
      </c>
    </row>
    <row r="705">
      <c r="F705" s="38">
        <f>IF($A705="","",IF($B705="","EKSİK","TAM"))</f>
        <v/>
      </c>
    </row>
    <row r="706">
      <c r="F706" s="38">
        <f>IF($A706="","",IF($B706="","EKSİK","TAM"))</f>
        <v/>
      </c>
    </row>
    <row r="707">
      <c r="F707" s="38">
        <f>IF($A707="","",IF($B707="","EKSİK","TAM"))</f>
        <v/>
      </c>
    </row>
    <row r="708">
      <c r="F708" s="38">
        <f>IF($A708="","",IF($B708="","EKSİK","TAM"))</f>
        <v/>
      </c>
    </row>
    <row r="709">
      <c r="F709" s="38">
        <f>IF($A709="","",IF($B709="","EKSİK","TAM"))</f>
        <v/>
      </c>
    </row>
    <row r="710">
      <c r="F710" s="38">
        <f>IF($A710="","",IF($B710="","EKSİK","TAM"))</f>
        <v/>
      </c>
    </row>
    <row r="711">
      <c r="F711" s="38">
        <f>IF($A711="","",IF($B711="","EKSİK","TAM"))</f>
        <v/>
      </c>
    </row>
    <row r="712">
      <c r="F712" s="38">
        <f>IF($A712="","",IF($B712="","EKSİK","TAM"))</f>
        <v/>
      </c>
    </row>
    <row r="713">
      <c r="F713" s="38">
        <f>IF($A713="","",IF($B713="","EKSİK","TAM"))</f>
        <v/>
      </c>
    </row>
    <row r="714">
      <c r="F714" s="38">
        <f>IF($A714="","",IF($B714="","EKSİK","TAM"))</f>
        <v/>
      </c>
    </row>
    <row r="715">
      <c r="F715" s="38">
        <f>IF($A715="","",IF($B715="","EKSİK","TAM"))</f>
        <v/>
      </c>
    </row>
    <row r="716">
      <c r="F716" s="38">
        <f>IF($A716="","",IF($B716="","EKSİK","TAM"))</f>
        <v/>
      </c>
    </row>
    <row r="717">
      <c r="F717" s="38">
        <f>IF($A717="","",IF($B717="","EKSİK","TAM"))</f>
        <v/>
      </c>
    </row>
    <row r="718">
      <c r="F718" s="38">
        <f>IF($A718="","",IF($B718="","EKSİK","TAM"))</f>
        <v/>
      </c>
    </row>
    <row r="719">
      <c r="F719" s="38">
        <f>IF($A719="","",IF($B719="","EKSİK","TAM"))</f>
        <v/>
      </c>
    </row>
    <row r="720">
      <c r="F720" s="38">
        <f>IF($A720="","",IF($B720="","EKSİK","TAM"))</f>
        <v/>
      </c>
    </row>
    <row r="721">
      <c r="F721" s="38">
        <f>IF($A721="","",IF($B721="","EKSİK","TAM"))</f>
        <v/>
      </c>
    </row>
    <row r="722">
      <c r="F722" s="38">
        <f>IF($A722="","",IF($B722="","EKSİK","TAM"))</f>
        <v/>
      </c>
    </row>
    <row r="723">
      <c r="F723" s="38">
        <f>IF($A723="","",IF($B723="","EKSİK","TAM"))</f>
        <v/>
      </c>
    </row>
    <row r="724">
      <c r="F724" s="38">
        <f>IF($A724="","",IF($B724="","EKSİK","TAM"))</f>
        <v/>
      </c>
    </row>
    <row r="725">
      <c r="F725" s="38">
        <f>IF($A725="","",IF($B725="","EKSİK","TAM"))</f>
        <v/>
      </c>
    </row>
    <row r="726">
      <c r="F726" s="38">
        <f>IF($A726="","",IF($B726="","EKSİK","TAM"))</f>
        <v/>
      </c>
    </row>
    <row r="727">
      <c r="F727" s="38">
        <f>IF($A727="","",IF($B727="","EKSİK","TAM"))</f>
        <v/>
      </c>
    </row>
    <row r="728">
      <c r="F728" s="38">
        <f>IF($A728="","",IF($B728="","EKSİK","TAM"))</f>
        <v/>
      </c>
    </row>
    <row r="729">
      <c r="F729" s="38">
        <f>IF($A729="","",IF($B729="","EKSİK","TAM"))</f>
        <v/>
      </c>
    </row>
    <row r="730">
      <c r="F730" s="38">
        <f>IF($A730="","",IF($B730="","EKSİK","TAM"))</f>
        <v/>
      </c>
    </row>
    <row r="731">
      <c r="F731" s="38">
        <f>IF($A731="","",IF($B731="","EKSİK","TAM"))</f>
        <v/>
      </c>
    </row>
    <row r="732">
      <c r="F732" s="38">
        <f>IF($A732="","",IF($B732="","EKSİK","TAM"))</f>
        <v/>
      </c>
    </row>
    <row r="733">
      <c r="F733" s="38">
        <f>IF($A733="","",IF($B733="","EKSİK","TAM"))</f>
        <v/>
      </c>
    </row>
    <row r="734">
      <c r="F734" s="38">
        <f>IF($A734="","",IF($B734="","EKSİK","TAM"))</f>
        <v/>
      </c>
    </row>
    <row r="735">
      <c r="F735" s="38">
        <f>IF($A735="","",IF($B735="","EKSİK","TAM"))</f>
        <v/>
      </c>
    </row>
    <row r="736">
      <c r="F736" s="38">
        <f>IF($A736="","",IF($B736="","EKSİK","TAM"))</f>
        <v/>
      </c>
    </row>
    <row r="737">
      <c r="F737" s="38">
        <f>IF($A737="","",IF($B737="","EKSİK","TAM"))</f>
        <v/>
      </c>
    </row>
    <row r="738">
      <c r="F738" s="38">
        <f>IF($A738="","",IF($B738="","EKSİK","TAM"))</f>
        <v/>
      </c>
    </row>
    <row r="739">
      <c r="F739" s="38">
        <f>IF($A739="","",IF($B739="","EKSİK","TAM"))</f>
        <v/>
      </c>
    </row>
    <row r="740">
      <c r="F740" s="38">
        <f>IF($A740="","",IF($B740="","EKSİK","TAM"))</f>
        <v/>
      </c>
    </row>
    <row r="741">
      <c r="F741" s="38">
        <f>IF($A741="","",IF($B741="","EKSİK","TAM"))</f>
        <v/>
      </c>
    </row>
    <row r="742">
      <c r="F742" s="38">
        <f>IF($A742="","",IF($B742="","EKSİK","TAM"))</f>
        <v/>
      </c>
    </row>
    <row r="743">
      <c r="F743" s="38">
        <f>IF($A743="","",IF($B743="","EKSİK","TAM"))</f>
        <v/>
      </c>
    </row>
    <row r="744">
      <c r="F744" s="38">
        <f>IF($A744="","",IF($B744="","EKSİK","TAM"))</f>
        <v/>
      </c>
    </row>
    <row r="745">
      <c r="F745" s="38">
        <f>IF($A745="","",IF($B745="","EKSİK","TAM"))</f>
        <v/>
      </c>
    </row>
    <row r="746">
      <c r="F746" s="38">
        <f>IF($A746="","",IF($B746="","EKSİK","TAM"))</f>
        <v/>
      </c>
    </row>
    <row r="747">
      <c r="F747" s="38">
        <f>IF($A747="","",IF($B747="","EKSİK","TAM"))</f>
        <v/>
      </c>
    </row>
    <row r="748">
      <c r="F748" s="38">
        <f>IF($A748="","",IF($B748="","EKSİK","TAM"))</f>
        <v/>
      </c>
    </row>
    <row r="749">
      <c r="F749" s="38">
        <f>IF($A749="","",IF($B749="","EKSİK","TAM"))</f>
        <v/>
      </c>
    </row>
    <row r="750">
      <c r="F750" s="38">
        <f>IF($A750="","",IF($B750="","EKSİK","TAM"))</f>
        <v/>
      </c>
    </row>
    <row r="751">
      <c r="F751" s="38">
        <f>IF($A751="","",IF($B751="","EKSİK","TAM"))</f>
        <v/>
      </c>
    </row>
    <row r="752">
      <c r="F752" s="38">
        <f>IF($A752="","",IF($B752="","EKSİK","TAM"))</f>
        <v/>
      </c>
    </row>
    <row r="753">
      <c r="F753" s="38">
        <f>IF($A753="","",IF($B753="","EKSİK","TAM"))</f>
        <v/>
      </c>
    </row>
    <row r="754">
      <c r="F754" s="38">
        <f>IF($A754="","",IF($B754="","EKSİK","TAM"))</f>
        <v/>
      </c>
    </row>
    <row r="755">
      <c r="F755" s="38">
        <f>IF($A755="","",IF($B755="","EKSİK","TAM"))</f>
        <v/>
      </c>
    </row>
    <row r="756">
      <c r="F756" s="38">
        <f>IF($A756="","",IF($B756="","EKSİK","TAM"))</f>
        <v/>
      </c>
    </row>
    <row r="757">
      <c r="F757" s="38">
        <f>IF($A757="","",IF($B757="","EKSİK","TAM"))</f>
        <v/>
      </c>
    </row>
    <row r="758">
      <c r="F758" s="38">
        <f>IF($A758="","",IF($B758="","EKSİK","TAM"))</f>
        <v/>
      </c>
    </row>
    <row r="759">
      <c r="F759" s="38">
        <f>IF($A759="","",IF($B759="","EKSİK","TAM"))</f>
        <v/>
      </c>
    </row>
    <row r="760">
      <c r="F760" s="38">
        <f>IF($A760="","",IF($B760="","EKSİK","TAM"))</f>
        <v/>
      </c>
    </row>
    <row r="761">
      <c r="F761" s="38">
        <f>IF($A761="","",IF($B761="","EKSİK","TAM"))</f>
        <v/>
      </c>
    </row>
    <row r="762">
      <c r="F762" s="38">
        <f>IF($A762="","",IF($B762="","EKSİK","TAM"))</f>
        <v/>
      </c>
    </row>
    <row r="763">
      <c r="F763" s="38">
        <f>IF($A763="","",IF($B763="","EKSİK","TAM"))</f>
        <v/>
      </c>
    </row>
    <row r="764">
      <c r="F764" s="38">
        <f>IF($A764="","",IF($B764="","EKSİK","TAM"))</f>
        <v/>
      </c>
    </row>
    <row r="765">
      <c r="F765" s="38">
        <f>IF($A765="","",IF($B765="","EKSİK","TAM"))</f>
        <v/>
      </c>
    </row>
    <row r="766">
      <c r="F766" s="38">
        <f>IF($A766="","",IF($B766="","EKSİK","TAM"))</f>
        <v/>
      </c>
    </row>
    <row r="767">
      <c r="F767" s="38">
        <f>IF($A767="","",IF($B767="","EKSİK","TAM"))</f>
        <v/>
      </c>
    </row>
    <row r="768">
      <c r="F768" s="38">
        <f>IF($A768="","",IF($B768="","EKSİK","TAM"))</f>
        <v/>
      </c>
    </row>
    <row r="769">
      <c r="F769" s="38">
        <f>IF($A769="","",IF($B769="","EKSİK","TAM"))</f>
        <v/>
      </c>
    </row>
    <row r="770">
      <c r="F770" s="38">
        <f>IF($A770="","",IF($B770="","EKSİK","TAM"))</f>
        <v/>
      </c>
    </row>
    <row r="771">
      <c r="F771" s="38">
        <f>IF($A771="","",IF($B771="","EKSİK","TAM"))</f>
        <v/>
      </c>
    </row>
    <row r="772">
      <c r="F772" s="38">
        <f>IF($A772="","",IF($B772="","EKSİK","TAM"))</f>
        <v/>
      </c>
    </row>
    <row r="773">
      <c r="F773" s="38">
        <f>IF($A773="","",IF($B773="","EKSİK","TAM"))</f>
        <v/>
      </c>
    </row>
    <row r="774">
      <c r="F774" s="38">
        <f>IF($A774="","",IF($B774="","EKSİK","TAM"))</f>
        <v/>
      </c>
    </row>
    <row r="775">
      <c r="F775" s="38">
        <f>IF($A775="","",IF($B775="","EKSİK","TAM"))</f>
        <v/>
      </c>
    </row>
    <row r="776">
      <c r="F776" s="38">
        <f>IF($A776="","",IF($B776="","EKSİK","TAM"))</f>
        <v/>
      </c>
    </row>
    <row r="777">
      <c r="F777" s="38">
        <f>IF($A777="","",IF($B777="","EKSİK","TAM"))</f>
        <v/>
      </c>
    </row>
    <row r="778">
      <c r="F778" s="38">
        <f>IF($A778="","",IF($B778="","EKSİK","TAM"))</f>
        <v/>
      </c>
    </row>
    <row r="779">
      <c r="F779" s="38">
        <f>IF($A779="","",IF($B779="","EKSİK","TAM"))</f>
        <v/>
      </c>
    </row>
    <row r="780">
      <c r="F780" s="38">
        <f>IF($A780="","",IF($B780="","EKSİK","TAM"))</f>
        <v/>
      </c>
    </row>
    <row r="781">
      <c r="F781" s="38">
        <f>IF($A781="","",IF($B781="","EKSİK","TAM"))</f>
        <v/>
      </c>
    </row>
    <row r="782">
      <c r="F782" s="38">
        <f>IF($A782="","",IF($B782="","EKSİK","TAM"))</f>
        <v/>
      </c>
    </row>
    <row r="783">
      <c r="F783" s="38">
        <f>IF($A783="","",IF($B783="","EKSİK","TAM"))</f>
        <v/>
      </c>
    </row>
    <row r="784">
      <c r="F784" s="38">
        <f>IF($A784="","",IF($B784="","EKSİK","TAM"))</f>
        <v/>
      </c>
    </row>
    <row r="785">
      <c r="F785" s="38">
        <f>IF($A785="","",IF($B785="","EKSİK","TAM"))</f>
        <v/>
      </c>
    </row>
    <row r="786">
      <c r="F786" s="38">
        <f>IF($A786="","",IF($B786="","EKSİK","TAM"))</f>
        <v/>
      </c>
    </row>
    <row r="787">
      <c r="F787" s="38">
        <f>IF($A787="","",IF($B787="","EKSİK","TAM"))</f>
        <v/>
      </c>
    </row>
    <row r="788">
      <c r="F788" s="38">
        <f>IF($A788="","",IF($B788="","EKSİK","TAM"))</f>
        <v/>
      </c>
    </row>
    <row r="789">
      <c r="F789" s="38">
        <f>IF($A789="","",IF($B789="","EKSİK","TAM"))</f>
        <v/>
      </c>
    </row>
    <row r="790">
      <c r="F790" s="38">
        <f>IF($A790="","",IF($B790="","EKSİK","TAM"))</f>
        <v/>
      </c>
    </row>
    <row r="791">
      <c r="F791" s="38">
        <f>IF($A791="","",IF($B791="","EKSİK","TAM"))</f>
        <v/>
      </c>
    </row>
    <row r="792">
      <c r="F792" s="38">
        <f>IF($A792="","",IF($B792="","EKSİK","TAM"))</f>
        <v/>
      </c>
    </row>
    <row r="793">
      <c r="F793" s="38">
        <f>IF($A793="","",IF($B793="","EKSİK","TAM"))</f>
        <v/>
      </c>
    </row>
    <row r="794">
      <c r="F794" s="38">
        <f>IF($A794="","",IF($B794="","EKSİK","TAM"))</f>
        <v/>
      </c>
    </row>
    <row r="795">
      <c r="F795" s="38">
        <f>IF($A795="","",IF($B795="","EKSİK","TAM"))</f>
        <v/>
      </c>
    </row>
    <row r="796">
      <c r="F796" s="38">
        <f>IF($A796="","",IF($B796="","EKSİK","TAM"))</f>
        <v/>
      </c>
    </row>
    <row r="797">
      <c r="F797" s="38">
        <f>IF($A797="","",IF($B797="","EKSİK","TAM"))</f>
        <v/>
      </c>
    </row>
    <row r="798">
      <c r="F798" s="38">
        <f>IF($A798="","",IF($B798="","EKSİK","TAM"))</f>
        <v/>
      </c>
    </row>
    <row r="799">
      <c r="F799" s="38">
        <f>IF($A799="","",IF($B799="","EKSİK","TAM"))</f>
        <v/>
      </c>
    </row>
    <row r="800">
      <c r="F800" s="38">
        <f>IF($A800="","",IF($B800="","EKSİK","TAM"))</f>
        <v/>
      </c>
    </row>
    <row r="801">
      <c r="F801" s="38">
        <f>IF($A801="","",IF($B801="","EKSİK","TAM"))</f>
        <v/>
      </c>
    </row>
    <row r="802">
      <c r="F802" s="38">
        <f>IF($A802="","",IF($B802="","EKSİK","TAM"))</f>
        <v/>
      </c>
    </row>
    <row r="803">
      <c r="F803" s="38">
        <f>IF($A803="","",IF($B803="","EKSİK","TAM"))</f>
        <v/>
      </c>
    </row>
    <row r="804">
      <c r="F804" s="38">
        <f>IF($A804="","",IF($B804="","EKSİK","TAM"))</f>
        <v/>
      </c>
    </row>
    <row r="805">
      <c r="F805" s="38">
        <f>IF($A805="","",IF($B805="","EKSİK","TAM"))</f>
        <v/>
      </c>
    </row>
    <row r="806">
      <c r="F806" s="38">
        <f>IF($A806="","",IF($B806="","EKSİK","TAM"))</f>
        <v/>
      </c>
    </row>
    <row r="807">
      <c r="F807" s="38">
        <f>IF($A807="","",IF($B807="","EKSİK","TAM"))</f>
        <v/>
      </c>
    </row>
    <row r="808">
      <c r="F808" s="38">
        <f>IF($A808="","",IF($B808="","EKSİK","TAM"))</f>
        <v/>
      </c>
    </row>
    <row r="809">
      <c r="F809" s="38">
        <f>IF($A809="","",IF($B809="","EKSİK","TAM"))</f>
        <v/>
      </c>
    </row>
    <row r="810">
      <c r="F810" s="38">
        <f>IF($A810="","",IF($B810="","EKSİK","TAM"))</f>
        <v/>
      </c>
    </row>
    <row r="811">
      <c r="F811" s="38">
        <f>IF($A811="","",IF($B811="","EKSİK","TAM"))</f>
        <v/>
      </c>
    </row>
    <row r="812">
      <c r="F812" s="38">
        <f>IF($A812="","",IF($B812="","EKSİK","TAM"))</f>
        <v/>
      </c>
    </row>
    <row r="813">
      <c r="F813" s="38">
        <f>IF($A813="","",IF($B813="","EKSİK","TAM"))</f>
        <v/>
      </c>
    </row>
    <row r="814">
      <c r="F814" s="38">
        <f>IF($A814="","",IF($B814="","EKSİK","TAM"))</f>
        <v/>
      </c>
    </row>
    <row r="815">
      <c r="F815" s="38">
        <f>IF($A815="","",IF($B815="","EKSİK","TAM"))</f>
        <v/>
      </c>
    </row>
    <row r="816">
      <c r="F816" s="38">
        <f>IF($A816="","",IF($B816="","EKSİK","TAM"))</f>
        <v/>
      </c>
    </row>
    <row r="817">
      <c r="F817" s="38">
        <f>IF($A817="","",IF($B817="","EKSİK","TAM"))</f>
        <v/>
      </c>
    </row>
    <row r="818">
      <c r="F818" s="38">
        <f>IF($A818="","",IF($B818="","EKSİK","TAM"))</f>
        <v/>
      </c>
    </row>
    <row r="819">
      <c r="F819" s="38">
        <f>IF($A819="","",IF($B819="","EKSİK","TAM"))</f>
        <v/>
      </c>
    </row>
    <row r="820">
      <c r="F820" s="38">
        <f>IF($A820="","",IF($B820="","EKSİK","TAM"))</f>
        <v/>
      </c>
    </row>
    <row r="821">
      <c r="F821" s="38">
        <f>IF($A821="","",IF($B821="","EKSİK","TAM"))</f>
        <v/>
      </c>
    </row>
    <row r="822">
      <c r="F822" s="38">
        <f>IF($A822="","",IF($B822="","EKSİK","TAM"))</f>
        <v/>
      </c>
    </row>
    <row r="823">
      <c r="F823" s="38">
        <f>IF($A823="","",IF($B823="","EKSİK","TAM"))</f>
        <v/>
      </c>
    </row>
    <row r="824">
      <c r="F824" s="38">
        <f>IF($A824="","",IF($B824="","EKSİK","TAM"))</f>
        <v/>
      </c>
    </row>
    <row r="825">
      <c r="F825" s="38">
        <f>IF($A825="","",IF($B825="","EKSİK","TAM"))</f>
        <v/>
      </c>
    </row>
    <row r="826">
      <c r="F826" s="38">
        <f>IF($A826="","",IF($B826="","EKSİK","TAM"))</f>
        <v/>
      </c>
    </row>
    <row r="827">
      <c r="F827" s="38">
        <f>IF($A827="","",IF($B827="","EKSİK","TAM"))</f>
        <v/>
      </c>
    </row>
    <row r="828">
      <c r="F828" s="38">
        <f>IF($A828="","",IF($B828="","EKSİK","TAM"))</f>
        <v/>
      </c>
    </row>
    <row r="829">
      <c r="F829" s="38">
        <f>IF($A829="","",IF($B829="","EKSİK","TAM"))</f>
        <v/>
      </c>
    </row>
    <row r="830">
      <c r="F830" s="38">
        <f>IF($A830="","",IF($B830="","EKSİK","TAM"))</f>
        <v/>
      </c>
    </row>
    <row r="831">
      <c r="F831" s="38">
        <f>IF($A831="","",IF($B831="","EKSİK","TAM"))</f>
        <v/>
      </c>
    </row>
    <row r="832">
      <c r="F832" s="38">
        <f>IF($A832="","",IF($B832="","EKSİK","TAM"))</f>
        <v/>
      </c>
    </row>
    <row r="833">
      <c r="F833" s="38">
        <f>IF($A833="","",IF($B833="","EKSİK","TAM"))</f>
        <v/>
      </c>
    </row>
    <row r="834">
      <c r="F834" s="38">
        <f>IF($A834="","",IF($B834="","EKSİK","TAM"))</f>
        <v/>
      </c>
    </row>
    <row r="835">
      <c r="F835" s="38">
        <f>IF($A835="","",IF($B835="","EKSİK","TAM"))</f>
        <v/>
      </c>
    </row>
    <row r="836">
      <c r="F836" s="38">
        <f>IF($A836="","",IF($B836="","EKSİK","TAM"))</f>
        <v/>
      </c>
    </row>
    <row r="837">
      <c r="F837" s="38">
        <f>IF($A837="","",IF($B837="","EKSİK","TAM"))</f>
        <v/>
      </c>
    </row>
    <row r="838">
      <c r="F838" s="38">
        <f>IF($A838="","",IF($B838="","EKSİK","TAM"))</f>
        <v/>
      </c>
    </row>
    <row r="839">
      <c r="F839" s="38">
        <f>IF($A839="","",IF($B839="","EKSİK","TAM"))</f>
        <v/>
      </c>
    </row>
    <row r="840">
      <c r="F840" s="38">
        <f>IF($A840="","",IF($B840="","EKSİK","TAM"))</f>
        <v/>
      </c>
    </row>
    <row r="841">
      <c r="F841" s="38">
        <f>IF($A841="","",IF($B841="","EKSİK","TAM"))</f>
        <v/>
      </c>
    </row>
    <row r="842">
      <c r="F842" s="38">
        <f>IF($A842="","",IF($B842="","EKSİK","TAM"))</f>
        <v/>
      </c>
    </row>
    <row r="843">
      <c r="F843" s="38">
        <f>IF($A843="","",IF($B843="","EKSİK","TAM"))</f>
        <v/>
      </c>
    </row>
    <row r="844">
      <c r="F844" s="38">
        <f>IF($A844="","",IF($B844="","EKSİK","TAM"))</f>
        <v/>
      </c>
    </row>
    <row r="845">
      <c r="F845" s="38">
        <f>IF($A845="","",IF($B845="","EKSİK","TAM"))</f>
        <v/>
      </c>
    </row>
    <row r="846">
      <c r="F846" s="38">
        <f>IF($A846="","",IF($B846="","EKSİK","TAM"))</f>
        <v/>
      </c>
    </row>
    <row r="847">
      <c r="F847" s="38">
        <f>IF($A847="","",IF($B847="","EKSİK","TAM"))</f>
        <v/>
      </c>
    </row>
    <row r="848">
      <c r="F848" s="38">
        <f>IF($A848="","",IF($B848="","EKSİK","TAM"))</f>
        <v/>
      </c>
    </row>
    <row r="849">
      <c r="F849" s="38">
        <f>IF($A849="","",IF($B849="","EKSİK","TAM"))</f>
        <v/>
      </c>
    </row>
    <row r="850">
      <c r="F850" s="38">
        <f>IF($A850="","",IF($B850="","EKSİK","TAM"))</f>
        <v/>
      </c>
    </row>
    <row r="851">
      <c r="F851" s="38">
        <f>IF($A851="","",IF($B851="","EKSİK","TAM"))</f>
        <v/>
      </c>
    </row>
    <row r="852">
      <c r="F852" s="38">
        <f>IF($A852="","",IF($B852="","EKSİK","TAM"))</f>
        <v/>
      </c>
    </row>
    <row r="853">
      <c r="F853" s="38">
        <f>IF($A853="","",IF($B853="","EKSİK","TAM"))</f>
        <v/>
      </c>
    </row>
    <row r="854">
      <c r="F854" s="38">
        <f>IF($A854="","",IF($B854="","EKSİK","TAM"))</f>
        <v/>
      </c>
    </row>
    <row r="855">
      <c r="F855" s="38">
        <f>IF($A855="","",IF($B855="","EKSİK","TAM"))</f>
        <v/>
      </c>
    </row>
    <row r="856">
      <c r="F856" s="38">
        <f>IF($A856="","",IF($B856="","EKSİK","TAM"))</f>
        <v/>
      </c>
    </row>
    <row r="857">
      <c r="F857" s="38">
        <f>IF($A857="","",IF($B857="","EKSİK","TAM"))</f>
        <v/>
      </c>
    </row>
    <row r="858">
      <c r="F858" s="38">
        <f>IF($A858="","",IF($B858="","EKSİK","TAM"))</f>
        <v/>
      </c>
    </row>
    <row r="859">
      <c r="F859" s="38">
        <f>IF($A859="","",IF($B859="","EKSİK","TAM"))</f>
        <v/>
      </c>
    </row>
    <row r="860">
      <c r="F860" s="38">
        <f>IF($A860="","",IF($B860="","EKSİK","TAM"))</f>
        <v/>
      </c>
    </row>
    <row r="861">
      <c r="F861" s="38">
        <f>IF($A861="","",IF($B861="","EKSİK","TAM"))</f>
        <v/>
      </c>
    </row>
    <row r="862">
      <c r="F862" s="38">
        <f>IF($A862="","",IF($B862="","EKSİK","TAM"))</f>
        <v/>
      </c>
    </row>
    <row r="863">
      <c r="F863" s="38">
        <f>IF($A863="","",IF($B863="","EKSİK","TAM"))</f>
        <v/>
      </c>
    </row>
    <row r="864">
      <c r="F864" s="38">
        <f>IF($A864="","",IF($B864="","EKSİK","TAM"))</f>
        <v/>
      </c>
    </row>
    <row r="865">
      <c r="F865" s="38">
        <f>IF($A865="","",IF($B865="","EKSİK","TAM"))</f>
        <v/>
      </c>
    </row>
    <row r="866">
      <c r="F866" s="38">
        <f>IF($A866="","",IF($B866="","EKSİK","TAM"))</f>
        <v/>
      </c>
    </row>
    <row r="867">
      <c r="F867" s="38">
        <f>IF($A867="","",IF($B867="","EKSİK","TAM"))</f>
        <v/>
      </c>
    </row>
    <row r="868">
      <c r="F868" s="38">
        <f>IF($A868="","",IF($B868="","EKSİK","TAM"))</f>
        <v/>
      </c>
    </row>
    <row r="869">
      <c r="F869" s="38">
        <f>IF($A869="","",IF($B869="","EKSİK","TAM"))</f>
        <v/>
      </c>
    </row>
    <row r="870">
      <c r="F870" s="38">
        <f>IF($A870="","",IF($B870="","EKSİK","TAM"))</f>
        <v/>
      </c>
    </row>
    <row r="871">
      <c r="F871" s="38">
        <f>IF($A871="","",IF($B871="","EKSİK","TAM"))</f>
        <v/>
      </c>
    </row>
    <row r="872">
      <c r="F872" s="38">
        <f>IF($A872="","",IF($B872="","EKSİK","TAM"))</f>
        <v/>
      </c>
    </row>
    <row r="873">
      <c r="F873" s="38">
        <f>IF($A873="","",IF($B873="","EKSİK","TAM"))</f>
        <v/>
      </c>
    </row>
    <row r="874">
      <c r="F874" s="38">
        <f>IF($A874="","",IF($B874="","EKSİK","TAM"))</f>
        <v/>
      </c>
    </row>
    <row r="875">
      <c r="F875" s="38">
        <f>IF($A875="","",IF($B875="","EKSİK","TAM"))</f>
        <v/>
      </c>
    </row>
    <row r="876">
      <c r="F876" s="38">
        <f>IF($A876="","",IF($B876="","EKSİK","TAM"))</f>
        <v/>
      </c>
    </row>
    <row r="877">
      <c r="F877" s="38">
        <f>IF($A877="","",IF($B877="","EKSİK","TAM"))</f>
        <v/>
      </c>
    </row>
    <row r="878">
      <c r="F878" s="38">
        <f>IF($A878="","",IF($B878="","EKSİK","TAM"))</f>
        <v/>
      </c>
    </row>
    <row r="879">
      <c r="F879" s="38">
        <f>IF($A879="","",IF($B879="","EKSİK","TAM"))</f>
        <v/>
      </c>
    </row>
    <row r="880">
      <c r="F880" s="38">
        <f>IF($A880="","",IF($B880="","EKSİK","TAM"))</f>
        <v/>
      </c>
    </row>
    <row r="881">
      <c r="F881" s="38">
        <f>IF($A881="","",IF($B881="","EKSİK","TAM"))</f>
        <v/>
      </c>
    </row>
    <row r="882">
      <c r="F882" s="38">
        <f>IF($A882="","",IF($B882="","EKSİK","TAM"))</f>
        <v/>
      </c>
    </row>
    <row r="883">
      <c r="F883" s="38">
        <f>IF($A883="","",IF($B883="","EKSİK","TAM"))</f>
        <v/>
      </c>
    </row>
    <row r="884">
      <c r="F884" s="38">
        <f>IF($A884="","",IF($B884="","EKSİK","TAM"))</f>
        <v/>
      </c>
    </row>
    <row r="885">
      <c r="F885" s="38">
        <f>IF($A885="","",IF($B885="","EKSİK","TAM"))</f>
        <v/>
      </c>
    </row>
    <row r="886">
      <c r="F886" s="38">
        <f>IF($A886="","",IF($B886="","EKSİK","TAM"))</f>
        <v/>
      </c>
    </row>
    <row r="887">
      <c r="F887" s="38">
        <f>IF($A887="","",IF($B887="","EKSİK","TAM"))</f>
        <v/>
      </c>
    </row>
    <row r="888">
      <c r="F888" s="38">
        <f>IF($A888="","",IF($B888="","EKSİK","TAM"))</f>
        <v/>
      </c>
    </row>
    <row r="889">
      <c r="F889" s="38">
        <f>IF($A889="","",IF($B889="","EKSİK","TAM"))</f>
        <v/>
      </c>
    </row>
    <row r="890">
      <c r="F890" s="38">
        <f>IF($A890="","",IF($B890="","EKSİK","TAM"))</f>
        <v/>
      </c>
    </row>
    <row r="891">
      <c r="F891" s="38">
        <f>IF($A891="","",IF($B891="","EKSİK","TAM"))</f>
        <v/>
      </c>
    </row>
    <row r="892">
      <c r="F892" s="38">
        <f>IF($A892="","",IF($B892="","EKSİK","TAM"))</f>
        <v/>
      </c>
    </row>
    <row r="893">
      <c r="F893" s="38">
        <f>IF($A893="","",IF($B893="","EKSİK","TAM"))</f>
        <v/>
      </c>
    </row>
    <row r="894">
      <c r="F894" s="38">
        <f>IF($A894="","",IF($B894="","EKSİK","TAM"))</f>
        <v/>
      </c>
    </row>
    <row r="895">
      <c r="F895" s="38">
        <f>IF($A895="","",IF($B895="","EKSİK","TAM"))</f>
        <v/>
      </c>
    </row>
    <row r="896">
      <c r="F896" s="38">
        <f>IF($A896="","",IF($B896="","EKSİK","TAM"))</f>
        <v/>
      </c>
    </row>
    <row r="897">
      <c r="F897" s="38">
        <f>IF($A897="","",IF($B897="","EKSİK","TAM"))</f>
        <v/>
      </c>
    </row>
    <row r="898">
      <c r="F898" s="38">
        <f>IF($A898="","",IF($B898="","EKSİK","TAM"))</f>
        <v/>
      </c>
    </row>
    <row r="899">
      <c r="F899" s="38">
        <f>IF($A899="","",IF($B899="","EKSİK","TAM"))</f>
        <v/>
      </c>
    </row>
    <row r="900">
      <c r="F900" s="38">
        <f>IF($A900="","",IF($B900="","EKSİK","TAM"))</f>
        <v/>
      </c>
    </row>
    <row r="901">
      <c r="F901" s="38">
        <f>IF($A901="","",IF($B901="","EKSİK","TAM"))</f>
        <v/>
      </c>
    </row>
    <row r="902">
      <c r="F902" s="38">
        <f>IF($A902="","",IF($B902="","EKSİK","TAM"))</f>
        <v/>
      </c>
    </row>
    <row r="903">
      <c r="F903" s="38">
        <f>IF($A903="","",IF($B903="","EKSİK","TAM"))</f>
        <v/>
      </c>
    </row>
    <row r="904">
      <c r="F904" s="38">
        <f>IF($A904="","",IF($B904="","EKSİK","TAM"))</f>
        <v/>
      </c>
    </row>
    <row r="905">
      <c r="F905" s="38">
        <f>IF($A905="","",IF($B905="","EKSİK","TAM"))</f>
        <v/>
      </c>
    </row>
    <row r="906">
      <c r="F906" s="38">
        <f>IF($A906="","",IF($B906="","EKSİK","TAM"))</f>
        <v/>
      </c>
    </row>
    <row r="907">
      <c r="F907" s="38">
        <f>IF($A907="","",IF($B907="","EKSİK","TAM"))</f>
        <v/>
      </c>
    </row>
    <row r="908">
      <c r="F908" s="38">
        <f>IF($A908="","",IF($B908="","EKSİK","TAM"))</f>
        <v/>
      </c>
    </row>
    <row r="909">
      <c r="F909" s="38">
        <f>IF($A909="","",IF($B909="","EKSİK","TAM"))</f>
        <v/>
      </c>
    </row>
    <row r="910">
      <c r="F910" s="38">
        <f>IF($A910="","",IF($B910="","EKSİK","TAM"))</f>
        <v/>
      </c>
    </row>
    <row r="911">
      <c r="F911" s="38">
        <f>IF($A911="","",IF($B911="","EKSİK","TAM"))</f>
        <v/>
      </c>
    </row>
    <row r="912">
      <c r="F912" s="38">
        <f>IF($A912="","",IF($B912="","EKSİK","TAM"))</f>
        <v/>
      </c>
    </row>
    <row r="913">
      <c r="F913" s="38">
        <f>IF($A913="","",IF($B913="","EKSİK","TAM"))</f>
        <v/>
      </c>
    </row>
    <row r="914">
      <c r="F914" s="38">
        <f>IF($A914="","",IF($B914="","EKSİK","TAM"))</f>
        <v/>
      </c>
    </row>
    <row r="915">
      <c r="F915" s="38">
        <f>IF($A915="","",IF($B915="","EKSİK","TAM"))</f>
        <v/>
      </c>
    </row>
    <row r="916">
      <c r="F916" s="38">
        <f>IF($A916="","",IF($B916="","EKSİK","TAM"))</f>
        <v/>
      </c>
    </row>
    <row r="917">
      <c r="F917" s="38">
        <f>IF($A917="","",IF($B917="","EKSİK","TAM"))</f>
        <v/>
      </c>
    </row>
    <row r="918">
      <c r="F918" s="38">
        <f>IF($A918="","",IF($B918="","EKSİK","TAM"))</f>
        <v/>
      </c>
    </row>
    <row r="919">
      <c r="F919" s="38">
        <f>IF($A919="","",IF($B919="","EKSİK","TAM"))</f>
        <v/>
      </c>
    </row>
    <row r="920">
      <c r="F920" s="38">
        <f>IF($A920="","",IF($B920="","EKSİK","TAM"))</f>
        <v/>
      </c>
    </row>
    <row r="921">
      <c r="F921" s="38">
        <f>IF($A921="","",IF($B921="","EKSİK","TAM"))</f>
        <v/>
      </c>
    </row>
    <row r="922">
      <c r="F922" s="38">
        <f>IF($A922="","",IF($B922="","EKSİK","TAM"))</f>
        <v/>
      </c>
    </row>
    <row r="923">
      <c r="F923" s="38">
        <f>IF($A923="","",IF($B923="","EKSİK","TAM"))</f>
        <v/>
      </c>
    </row>
    <row r="924">
      <c r="F924" s="38">
        <f>IF($A924="","",IF($B924="","EKSİK","TAM"))</f>
        <v/>
      </c>
    </row>
    <row r="925">
      <c r="F925" s="38">
        <f>IF($A925="","",IF($B925="","EKSİK","TAM"))</f>
        <v/>
      </c>
    </row>
    <row r="926">
      <c r="F926" s="38">
        <f>IF($A926="","",IF($B926="","EKSİK","TAM"))</f>
        <v/>
      </c>
    </row>
    <row r="927">
      <c r="F927" s="38">
        <f>IF($A927="","",IF($B927="","EKSİK","TAM"))</f>
        <v/>
      </c>
    </row>
    <row r="928">
      <c r="F928" s="38">
        <f>IF($A928="","",IF($B928="","EKSİK","TAM"))</f>
        <v/>
      </c>
    </row>
    <row r="929">
      <c r="F929" s="38">
        <f>IF($A929="","",IF($B929="","EKSİK","TAM"))</f>
        <v/>
      </c>
    </row>
    <row r="930">
      <c r="F930" s="38">
        <f>IF($A930="","",IF($B930="","EKSİK","TAM"))</f>
        <v/>
      </c>
    </row>
    <row r="931">
      <c r="F931" s="38">
        <f>IF($A931="","",IF($B931="","EKSİK","TAM"))</f>
        <v/>
      </c>
    </row>
    <row r="932">
      <c r="F932" s="38">
        <f>IF($A932="","",IF($B932="","EKSİK","TAM"))</f>
        <v/>
      </c>
    </row>
    <row r="933">
      <c r="F933" s="38">
        <f>IF($A933="","",IF($B933="","EKSİK","TAM"))</f>
        <v/>
      </c>
    </row>
    <row r="934">
      <c r="F934" s="38">
        <f>IF($A934="","",IF($B934="","EKSİK","TAM"))</f>
        <v/>
      </c>
    </row>
    <row r="935">
      <c r="F935" s="38">
        <f>IF($A935="","",IF($B935="","EKSİK","TAM"))</f>
        <v/>
      </c>
    </row>
    <row r="936">
      <c r="F936" s="38">
        <f>IF($A936="","",IF($B936="","EKSİK","TAM"))</f>
        <v/>
      </c>
    </row>
    <row r="937">
      <c r="F937" s="38">
        <f>IF($A937="","",IF($B937="","EKSİK","TAM"))</f>
        <v/>
      </c>
    </row>
    <row r="938">
      <c r="F938" s="38">
        <f>IF($A938="","",IF($B938="","EKSİK","TAM"))</f>
        <v/>
      </c>
    </row>
    <row r="939">
      <c r="F939" s="38">
        <f>IF($A939="","",IF($B939="","EKSİK","TAM"))</f>
        <v/>
      </c>
    </row>
    <row r="940">
      <c r="F940" s="38">
        <f>IF($A940="","",IF($B940="","EKSİK","TAM"))</f>
        <v/>
      </c>
    </row>
    <row r="941">
      <c r="F941" s="38">
        <f>IF($A941="","",IF($B941="","EKSİK","TAM"))</f>
        <v/>
      </c>
    </row>
    <row r="942">
      <c r="F942" s="38">
        <f>IF($A942="","",IF($B942="","EKSİK","TAM"))</f>
        <v/>
      </c>
    </row>
    <row r="943">
      <c r="F943" s="38">
        <f>IF($A943="","",IF($B943="","EKSİK","TAM"))</f>
        <v/>
      </c>
    </row>
    <row r="944">
      <c r="F944" s="38">
        <f>IF($A944="","",IF($B944="","EKSİK","TAM"))</f>
        <v/>
      </c>
    </row>
    <row r="945">
      <c r="F945" s="38">
        <f>IF($A945="","",IF($B945="","EKSİK","TAM"))</f>
        <v/>
      </c>
    </row>
    <row r="946">
      <c r="F946" s="38">
        <f>IF($A946="","",IF($B946="","EKSİK","TAM"))</f>
        <v/>
      </c>
    </row>
    <row r="947">
      <c r="F947" s="38">
        <f>IF($A947="","",IF($B947="","EKSİK","TAM"))</f>
        <v/>
      </c>
    </row>
    <row r="948">
      <c r="F948" s="38">
        <f>IF($A948="","",IF($B948="","EKSİK","TAM"))</f>
        <v/>
      </c>
    </row>
    <row r="949">
      <c r="F949" s="38">
        <f>IF($A949="","",IF($B949="","EKSİK","TAM"))</f>
        <v/>
      </c>
    </row>
    <row r="950">
      <c r="F950" s="38">
        <f>IF($A950="","",IF($B950="","EKSİK","TAM"))</f>
        <v/>
      </c>
    </row>
    <row r="951">
      <c r="F951" s="38">
        <f>IF($A951="","",IF($B951="","EKSİK","TAM"))</f>
        <v/>
      </c>
    </row>
    <row r="952">
      <c r="F952" s="38">
        <f>IF($A952="","",IF($B952="","EKSİK","TAM"))</f>
        <v/>
      </c>
    </row>
    <row r="953">
      <c r="F953" s="38">
        <f>IF($A953="","",IF($B953="","EKSİK","TAM"))</f>
        <v/>
      </c>
    </row>
    <row r="954">
      <c r="F954" s="38">
        <f>IF($A954="","",IF($B954="","EKSİK","TAM"))</f>
        <v/>
      </c>
    </row>
    <row r="955">
      <c r="F955" s="38">
        <f>IF($A955="","",IF($B955="","EKSİK","TAM"))</f>
        <v/>
      </c>
    </row>
    <row r="956">
      <c r="F956" s="38">
        <f>IF($A956="","",IF($B956="","EKSİK","TAM"))</f>
        <v/>
      </c>
    </row>
    <row r="957">
      <c r="F957" s="38">
        <f>IF($A957="","",IF($B957="","EKSİK","TAM"))</f>
        <v/>
      </c>
    </row>
    <row r="958">
      <c r="F958" s="38">
        <f>IF($A958="","",IF($B958="","EKSİK","TAM"))</f>
        <v/>
      </c>
    </row>
    <row r="959">
      <c r="F959" s="38">
        <f>IF($A959="","",IF($B959="","EKSİK","TAM"))</f>
        <v/>
      </c>
    </row>
    <row r="960">
      <c r="F960" s="38">
        <f>IF($A960="","",IF($B960="","EKSİK","TAM"))</f>
        <v/>
      </c>
    </row>
    <row r="961">
      <c r="F961" s="38">
        <f>IF($A961="","",IF($B961="","EKSİK","TAM"))</f>
        <v/>
      </c>
    </row>
    <row r="962">
      <c r="F962" s="38">
        <f>IF($A962="","",IF($B962="","EKSİK","TAM"))</f>
        <v/>
      </c>
    </row>
    <row r="963">
      <c r="F963" s="38">
        <f>IF($A963="","",IF($B963="","EKSİK","TAM"))</f>
        <v/>
      </c>
    </row>
    <row r="964">
      <c r="F964" s="38">
        <f>IF($A964="","",IF($B964="","EKSİK","TAM"))</f>
        <v/>
      </c>
    </row>
    <row r="965">
      <c r="F965" s="38">
        <f>IF($A965="","",IF($B965="","EKSİK","TAM"))</f>
        <v/>
      </c>
    </row>
    <row r="966">
      <c r="F966" s="38">
        <f>IF($A966="","",IF($B966="","EKSİK","TAM"))</f>
        <v/>
      </c>
    </row>
    <row r="967">
      <c r="F967" s="38">
        <f>IF($A967="","",IF($B967="","EKSİK","TAM"))</f>
        <v/>
      </c>
    </row>
    <row r="968">
      <c r="F968" s="38">
        <f>IF($A968="","",IF($B968="","EKSİK","TAM"))</f>
        <v/>
      </c>
    </row>
    <row r="969">
      <c r="F969" s="38">
        <f>IF($A969="","",IF($B969="","EKSİK","TAM"))</f>
        <v/>
      </c>
    </row>
    <row r="970">
      <c r="F970" s="38">
        <f>IF($A970="","",IF($B970="","EKSİK","TAM"))</f>
        <v/>
      </c>
    </row>
    <row r="971">
      <c r="F971" s="38">
        <f>IF($A971="","",IF($B971="","EKSİK","TAM"))</f>
        <v/>
      </c>
    </row>
    <row r="972">
      <c r="F972" s="38">
        <f>IF($A972="","",IF($B972="","EKSİK","TAM"))</f>
        <v/>
      </c>
    </row>
    <row r="973">
      <c r="F973" s="38">
        <f>IF($A973="","",IF($B973="","EKSİK","TAM"))</f>
        <v/>
      </c>
    </row>
    <row r="974">
      <c r="F974" s="38">
        <f>IF($A974="","",IF($B974="","EKSİK","TAM"))</f>
        <v/>
      </c>
    </row>
    <row r="975">
      <c r="F975" s="38">
        <f>IF($A975="","",IF($B975="","EKSİK","TAM"))</f>
        <v/>
      </c>
    </row>
    <row r="976">
      <c r="F976" s="38">
        <f>IF($A976="","",IF($B976="","EKSİK","TAM"))</f>
        <v/>
      </c>
    </row>
    <row r="977">
      <c r="F977" s="38">
        <f>IF($A977="","",IF($B977="","EKSİK","TAM"))</f>
        <v/>
      </c>
    </row>
    <row r="978">
      <c r="F978" s="38">
        <f>IF($A978="","",IF($B978="","EKSİK","TAM"))</f>
        <v/>
      </c>
    </row>
    <row r="979">
      <c r="F979" s="38">
        <f>IF($A979="","",IF($B979="","EKSİK","TAM"))</f>
        <v/>
      </c>
    </row>
    <row r="980">
      <c r="F980" s="38">
        <f>IF($A980="","",IF($B980="","EKSİK","TAM"))</f>
        <v/>
      </c>
    </row>
    <row r="981">
      <c r="F981" s="38">
        <f>IF($A981="","",IF($B981="","EKSİK","TAM"))</f>
        <v/>
      </c>
    </row>
    <row r="982">
      <c r="F982" s="38">
        <f>IF($A982="","",IF($B982="","EKSİK","TAM"))</f>
        <v/>
      </c>
    </row>
    <row r="983">
      <c r="F983" s="38">
        <f>IF($A983="","",IF($B983="","EKSİK","TAM"))</f>
        <v/>
      </c>
    </row>
    <row r="984">
      <c r="F984" s="38">
        <f>IF($A984="","",IF($B984="","EKSİK","TAM"))</f>
        <v/>
      </c>
    </row>
    <row r="985">
      <c r="F985" s="38">
        <f>IF($A985="","",IF($B985="","EKSİK","TAM"))</f>
        <v/>
      </c>
    </row>
    <row r="986">
      <c r="F986" s="38">
        <f>IF($A986="","",IF($B986="","EKSİK","TAM"))</f>
        <v/>
      </c>
    </row>
    <row r="987">
      <c r="F987" s="38">
        <f>IF($A987="","",IF($B987="","EKSİK","TAM"))</f>
        <v/>
      </c>
    </row>
    <row r="988">
      <c r="F988" s="38">
        <f>IF($A988="","",IF($B988="","EKSİK","TAM"))</f>
        <v/>
      </c>
    </row>
    <row r="989">
      <c r="F989" s="38">
        <f>IF($A989="","",IF($B989="","EKSİK","TAM"))</f>
        <v/>
      </c>
    </row>
    <row r="990">
      <c r="F990" s="38">
        <f>IF($A990="","",IF($B990="","EKSİK","TAM"))</f>
        <v/>
      </c>
    </row>
    <row r="991">
      <c r="F991" s="38">
        <f>IF($A991="","",IF($B991="","EKSİK","TAM"))</f>
        <v/>
      </c>
    </row>
    <row r="992">
      <c r="F992" s="38">
        <f>IF($A992="","",IF($B992="","EKSİK","TAM"))</f>
        <v/>
      </c>
    </row>
    <row r="993">
      <c r="F993" s="38">
        <f>IF($A993="","",IF($B993="","EKSİK","TAM"))</f>
        <v/>
      </c>
    </row>
    <row r="994">
      <c r="F994" s="38">
        <f>IF($A994="","",IF($B994="","EKSİK","TAM"))</f>
        <v/>
      </c>
    </row>
    <row r="995">
      <c r="F995" s="38">
        <f>IF($A995="","",IF($B995="","EKSİK","TAM"))</f>
        <v/>
      </c>
    </row>
    <row r="996">
      <c r="F996" s="38">
        <f>IF($A996="","",IF($B996="","EKSİK","TAM"))</f>
        <v/>
      </c>
    </row>
    <row r="997">
      <c r="F997" s="38">
        <f>IF($A997="","",IF($B997="","EKSİK","TAM"))</f>
        <v/>
      </c>
    </row>
    <row r="998">
      <c r="F998" s="38">
        <f>IF($A998="","",IF($B998="","EKSİK","TAM"))</f>
        <v/>
      </c>
    </row>
    <row r="999">
      <c r="F999" s="38">
        <f>IF($A999="","",IF($B999="","EKSİK","TAM"))</f>
        <v/>
      </c>
    </row>
    <row r="1000">
      <c r="F1000" s="38">
        <f>IF($A1000="","",IF($B1000="","EKSİK","TAM"))</f>
        <v/>
      </c>
    </row>
    <row r="1001">
      <c r="F1001" s="38">
        <f>IF($A1001="","",IF($B1001="","EKSİK","TAM"))</f>
        <v/>
      </c>
    </row>
    <row r="1002">
      <c r="F1002" s="38">
        <f>IF($A1002="","",IF($B1002="","EKSİK","TAM"))</f>
        <v/>
      </c>
    </row>
    <row r="1003">
      <c r="F1003" s="38">
        <f>IF($A1003="","",IF($B1003="","EKSİK","TAM"))</f>
        <v/>
      </c>
    </row>
    <row r="1004">
      <c r="F1004" s="38">
        <f>IF($A1004="","",IF($B1004="","EKSİK","TAM"))</f>
        <v/>
      </c>
    </row>
    <row r="1024" ht="20" customHeight="1">
      <c r="A1024" s="41" t="inlineStr">
        <is>
          <t>Sarı alanlar giriş; oran ve tasarruf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24:AN1024"/>
    <mergeCell ref="A3:I3"/>
  </mergeCells>
  <conditionalFormatting sqref="B9:B14">
    <cfRule type="cellIs" priority="1" operator="lessThan" dxfId="5">
      <formula>0</formula>
    </cfRule>
    <cfRule type="cellIs" priority="2" operator="equal" dxfId="4">
      <formula>0</formula>
    </cfRule>
  </conditionalFormatting>
  <conditionalFormatting sqref="F24:F33">
    <cfRule type="expression" priority="3" dxfId="0">
      <formula>F24="EKSİK"</formula>
    </cfRule>
    <cfRule type="expression" priority="4" dxfId="1">
      <formula>F24="TAM"</formula>
    </cfRule>
  </conditionalFormatting>
  <dataValidations count="1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5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3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Üretim Hasılatı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Üretim Maliyeti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Genel Yönetim Payı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Finansman Gider Payı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İstisna Tutarı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Üretim Hasılatı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Üretim Maliyeti" prompt="Tablo: TL tutar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Genel Yönetim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Finansman Payı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İstisna" prompt="Tablo: TL tutar." type="decimal" errorStyle="stop" operator="between">
      <formula1>0</formula1>
      <formula2>1000000000000</formula2>
    </dataValidation>
    <dataValidation sqref="B13" showDropDown="0" showInputMessage="1" showErrorMessage="1" allowBlank="1" errorTitle="Geçersiz" error="Sınır dışı." promptTitle="Diğer Faaliyet" prompt="-1e12 ile 1e12 arasında TL." type="decimal" errorStyle="stop" operator="between">
      <formula1>-1000000000000</formula1>
      <formula2>1000000000000</formula2>
    </dataValidation>
    <dataValidation sqref="B31" showDropDown="0" showInputMessage="1" showErrorMessage="1" allowBlank="1" errorTitle="Geçersiz" error="Sınır dışı." promptTitle="Diğer Faaliyet" prompt="Tablo: diğer faaliyet." type="decimal" errorStyle="stop" operator="between">
      <formula1>-1000000000000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5" t="inlineStr">
        <is>
          <t>KURALLAR — Üretim Kârı %12,5 KV Optimizasyonu</t>
        </is>
      </c>
    </row>
    <row r="3" ht="22" customHeight="1">
      <c r="A3" s="225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UKV-001</t>
        </is>
      </c>
      <c r="B7" s="7" t="inlineStr">
        <is>
          <t>KVK md.32</t>
        </is>
      </c>
      <c r="C7" s="7" t="inlineStr">
        <is>
          <t>indirimli_oran</t>
        </is>
      </c>
      <c r="D7" s="7" t="inlineStr">
        <is>
          <t>üretim kazancı</t>
        </is>
      </c>
      <c r="E7" s="7" t="inlineStr">
        <is>
          <t>uretim_kv_orani</t>
        </is>
      </c>
      <c r="F7" s="44" t="n">
        <v>0.2</v>
      </c>
      <c r="G7" s="44" t="n">
        <v>0.125</v>
      </c>
      <c r="H7" s="44" t="n">
        <v>0.125</v>
      </c>
      <c r="I7" s="7" t="inlineStr">
        <is>
          <t>01.01.2025</t>
        </is>
      </c>
      <c r="J7" s="7" t="inlineStr">
        <is>
          <t>Üretim faaliyetleri indirimli KV</t>
        </is>
      </c>
      <c r="K7" s="38">
        <f>IF($A7="","",IFERROR(CHOOSE(MAX(1,MIN(3,IF(OR(hesapYili="",hesapYili=0),1,hesapYili-ukv_yilTaban))),$F7,$G7,$H7),0))</f>
        <v/>
      </c>
    </row>
    <row r="8">
      <c r="A8" s="7" t="inlineStr">
        <is>
          <t>UKV-002</t>
        </is>
      </c>
      <c r="B8" s="7" t="inlineStr">
        <is>
          <t>KVK md.32</t>
        </is>
      </c>
      <c r="C8" s="7" t="inlineStr">
        <is>
          <t>standart_oran</t>
        </is>
      </c>
      <c r="D8" s="7" t="inlineStr">
        <is>
          <t>genel kurum kazancı</t>
        </is>
      </c>
      <c r="E8" s="7" t="inlineStr">
        <is>
          <t>kv_genel_oran</t>
        </is>
      </c>
      <c r="F8" s="44" t="n">
        <v>0.25</v>
      </c>
      <c r="G8" s="44" t="n">
        <v>0.25</v>
      </c>
      <c r="H8" s="44" t="n">
        <v>0.25</v>
      </c>
      <c r="I8" s="7" t="inlineStr">
        <is>
          <t>01.01.2025</t>
        </is>
      </c>
      <c r="J8" s="7" t="inlineStr">
        <is>
          <t>Genel kurumlar vergisi oranı</t>
        </is>
      </c>
      <c r="K8" s="38">
        <f>IF($A8="","",IFERROR(CHOOSE(MAX(1,MIN(3,IF(OR(hesapYili="",hesapYili=0),1,hesapYili-ukv_yilTaban))),$F8,$G8,$H8),0))</f>
        <v/>
      </c>
    </row>
    <row r="9">
      <c r="A9" s="7" t="inlineStr">
        <is>
          <t>UKV-003</t>
        </is>
      </c>
      <c r="B9" s="7" t="inlineStr">
        <is>
          <t>İç politika</t>
        </is>
      </c>
      <c r="C9" s="7" t="inlineStr">
        <is>
          <t>uygula_esik</t>
        </is>
      </c>
      <c r="D9" s="7" t="inlineStr">
        <is>
          <t>tasarruf ≥ eşik</t>
        </is>
      </c>
      <c r="E9" s="7" t="inlineStr">
        <is>
          <t>uygula_esik_tl</t>
        </is>
      </c>
      <c r="F9" s="45" t="n">
        <v>100000</v>
      </c>
      <c r="G9" s="45" t="n">
        <v>100000</v>
      </c>
      <c r="H9" s="45" t="n">
        <v>100000</v>
      </c>
      <c r="I9" s="7" t="inlineStr">
        <is>
          <t>01.01.2025</t>
        </is>
      </c>
      <c r="J9" s="7" t="inlineStr">
        <is>
          <t>UYGULA karar eşiği (TL)</t>
        </is>
      </c>
      <c r="K9" s="38">
        <f>IF($A9="","",IFERROR(CHOOSE(MAX(1,MIN(3,IF(OR(hesapYili="",hesapYili=0),1,hesapYili-ukv_yilTaban))),$F9,$G9,$H9),0))</f>
        <v/>
      </c>
    </row>
    <row r="10">
      <c r="A10" s="7" t="inlineStr">
        <is>
          <t>UKV-004</t>
        </is>
      </c>
      <c r="B10" s="7" t="inlineStr">
        <is>
          <t>İç politika</t>
        </is>
      </c>
      <c r="C10" s="7" t="inlineStr">
        <is>
          <t>incele_esik</t>
        </is>
      </c>
      <c r="D10" s="7" t="inlineStr">
        <is>
          <t>tasarruf ≥ eşik</t>
        </is>
      </c>
      <c r="E10" s="7" t="inlineStr">
        <is>
          <t>incele_esik_tl</t>
        </is>
      </c>
      <c r="F10" s="45" t="n">
        <v>25000</v>
      </c>
      <c r="G10" s="45" t="n">
        <v>25000</v>
      </c>
      <c r="H10" s="45" t="n">
        <v>25000</v>
      </c>
      <c r="I10" s="7" t="inlineStr">
        <is>
          <t>01.01.2025</t>
        </is>
      </c>
      <c r="J10" s="7" t="inlineStr">
        <is>
          <t>İNCELE karar eşiği (TL)</t>
        </is>
      </c>
      <c r="K10" s="38">
        <f>IF($A10="","",IFERROR(CHOOSE(MAX(1,MIN(3,IF(OR(hesapYili="",hesapYili=0),1,hesapYili-ukv_yilTaban))),$F10,$G10,$H10),0))</f>
        <v/>
      </c>
    </row>
    <row r="11">
      <c r="A11" s="7" t="inlineStr">
        <is>
          <t>UKV-005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5" t="n">
        <v>2</v>
      </c>
      <c r="G11" s="45" t="n">
        <v>2</v>
      </c>
      <c r="H11" s="45" t="n">
        <v>2</v>
      </c>
      <c r="I11" s="7" t="inlineStr">
        <is>
          <t>01.01.2025</t>
        </is>
      </c>
      <c r="J11" s="7" t="inlineStr">
        <is>
          <t>Uygulama notu</t>
        </is>
      </c>
      <c r="K11" s="38">
        <f>IF($A11="","",IFERROR(CHOOSE(MAX(1,MIN(3,IF(OR(hesapYili="",hesapYili=0),1,hesapYili-ukv_yilTaban))),$F11,$G11,$H11),0))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İndirimli oran (aktif yıl)</t>
        </is>
      </c>
      <c r="B15" s="25">
        <f>IFERROR(INDEX(CHOOSE(MAX(1,MIN(3,IF(OR(hesapYili="",hesapYili=0),1,hesapYili-ukv_yilTaban))),tblKurallar[deger_2025],tblKurallar[deger_2026],tblKurallar[deger_2027]),MATCH("UKV-001",tblKurallar[kural_id],0)),0)</f>
        <v/>
      </c>
    </row>
    <row r="16">
      <c r="A16" s="7" t="inlineStr">
        <is>
          <t>Standart oran (aktif yıl)</t>
        </is>
      </c>
      <c r="B16" s="25">
        <f>IFERROR(INDEX(CHOOSE(MAX(1,MIN(3,IF(OR(hesapYili="",hesapYili=0),1,hesapYili-ukv_yilTaban))),tblKurallar[deger_2025],tblKurallar[deger_2026],tblKurallar[deger_2027]),MATCH("UKV-002",tblKurallar[kural_id],0)),0)</f>
        <v/>
      </c>
    </row>
    <row r="17">
      <c r="A17" s="7" t="inlineStr">
        <is>
          <t>Matris metni</t>
        </is>
      </c>
      <c r="B17" s="21">
        <f>IFERROR(_xlfn.TEXTJOIN(" | ",TRUE,"UKV-001=",TEXT(B15,"0.0%"),"UKV-002=",TEXT(B16,"0.0%"),"yıl=",IF(OR(hesapYili="",hesapYili=0),"-",hesapYili)),"-")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K4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I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MOTOR — Üretim Kârı %12,5 KV Optimizasyonu</t>
        </is>
      </c>
    </row>
    <row r="3" ht="22" customHeight="1">
      <c r="A3" s="225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6" t="n">
        <v>1</v>
      </c>
      <c r="B7" s="24" t="inlineStr">
        <is>
          <t>Hesap yılı oku</t>
        </is>
      </c>
      <c r="C7" s="47">
        <f>IFERROR(hesapYili,0)</f>
        <v/>
      </c>
      <c r="D7" s="48" t="inlineStr">
        <is>
          <t>yıl</t>
        </is>
      </c>
      <c r="E7" s="6" t="inlineStr">
        <is>
          <t>Aktif mevzuat yılı</t>
        </is>
      </c>
      <c r="F7" s="23" t="inlineStr">
        <is>
          <t>UKV-005</t>
        </is>
      </c>
      <c r="G7" s="36">
        <f>IFERROR(hesapYili,0)</f>
        <v/>
      </c>
    </row>
    <row r="8">
      <c r="A8" s="46" t="n">
        <v>2</v>
      </c>
      <c r="B8" s="24" t="inlineStr">
        <is>
          <t>İndirimli oran</t>
        </is>
      </c>
      <c r="C8" s="49">
        <f>IFERROR(INDEX(CHOOSE(MAX(1,MIN(3,IF(OR(hesapYili="",hesapYili=0),1,hesapYili-ukv_yilTaban))),tblKurallar[deger_2025],tblKurallar[deger_2026],tblKurallar[deger_2027]),MATCH("UKV-001",tblKurallar[kural_id],0)),0)</f>
        <v/>
      </c>
      <c r="D8" s="48" t="inlineStr">
        <is>
          <t>oran</t>
        </is>
      </c>
      <c r="E8" s="6" t="inlineStr">
        <is>
          <t>Üretim KV indirimli oran</t>
        </is>
      </c>
      <c r="F8" s="23" t="inlineStr">
        <is>
          <t>UKV-001</t>
        </is>
      </c>
      <c r="G8" s="25">
        <f>IFERROR(INDEX(CHOOSE(MAX(1,MIN(3,IF(OR(hesapYili="",hesapYili=0),1,hesapYili-ukv_yilTaban))),tblKurallar[deger_2025],tblKurallar[deger_2026],tblKurallar[deger_2027]),MATCH("UKV-001",tblKurallar[kural_id],0)),0)</f>
        <v/>
      </c>
    </row>
    <row r="9">
      <c r="A9" s="46" t="n">
        <v>3</v>
      </c>
      <c r="B9" s="24" t="inlineStr">
        <is>
          <t>Standart oran</t>
        </is>
      </c>
      <c r="C9" s="49">
        <f>IFERROR(INDEX(CHOOSE(MAX(1,MIN(3,IF(OR(hesapYili="",hesapYili=0),1,hesapYili-ukv_yilTaban))),tblKurallar[deger_2025],tblKurallar[deger_2026],tblKurallar[deger_2027]),MATCH("UKV-002",tblKurallar[kural_id],0)),0)</f>
        <v/>
      </c>
      <c r="D9" s="48" t="inlineStr">
        <is>
          <t>oran</t>
        </is>
      </c>
      <c r="E9" s="6" t="inlineStr">
        <is>
          <t>Genel KV oranı</t>
        </is>
      </c>
      <c r="F9" s="23" t="inlineStr">
        <is>
          <t>UKV-002</t>
        </is>
      </c>
      <c r="G9" s="25">
        <f>IFERROR(INDEX(CHOOSE(MAX(1,MIN(3,IF(OR(hesapYili="",hesapYili=0),1,hesapYili-ukv_yilTaban))),tblKurallar[deger_2025],tblKurallar[deger_2026],tblKurallar[deger_2027]),MATCH("UKV-002",tblKurallar[kural_id],0)),0)</f>
        <v/>
      </c>
    </row>
    <row r="10">
      <c r="A10" s="46" t="n">
        <v>4</v>
      </c>
      <c r="B10" s="24" t="inlineStr">
        <is>
          <t>Uygula eşiği</t>
        </is>
      </c>
      <c r="C10" s="50">
        <f>IFERROR(INDEX(CHOOSE(MAX(1,MIN(3,IF(OR(hesapYili="",hesapYili=0),1,hesapYili-ukv_yilTaban))),tblKurallar[deger_2025],tblKurallar[deger_2026],tblKurallar[deger_2027]),MATCH("UKV-003",tblKurallar[kural_id],0)),0)</f>
        <v/>
      </c>
      <c r="D10" s="48" t="inlineStr">
        <is>
          <t>TL</t>
        </is>
      </c>
      <c r="E10" s="6" t="inlineStr">
        <is>
          <t>UYGULA tasarruf eşiği</t>
        </is>
      </c>
      <c r="F10" s="23" t="inlineStr">
        <is>
          <t>UKV-003</t>
        </is>
      </c>
      <c r="G10" s="26">
        <f>IFERROR(INDEX(CHOOSE(MAX(1,MIN(3,IF(OR(hesapYili="",hesapYili=0),1,hesapYili-ukv_yilTaban))),tblKurallar[deger_2025],tblKurallar[deger_2026],tblKurallar[deger_2027]),MATCH("UKV-003",tblKurallar[kural_id],0)),0)</f>
        <v/>
      </c>
    </row>
    <row r="11">
      <c r="A11" s="46" t="n">
        <v>5</v>
      </c>
      <c r="B11" s="24" t="inlineStr">
        <is>
          <t>İncele eşiği</t>
        </is>
      </c>
      <c r="C11" s="50">
        <f>IFERROR(INDEX(CHOOSE(MAX(1,MIN(3,IF(OR(hesapYili="",hesapYili=0),1,hesapYili-ukv_yilTaban))),tblKurallar[deger_2025],tblKurallar[deger_2026],tblKurallar[deger_2027]),MATCH("UKV-004",tblKurallar[kural_id],0)),0)</f>
        <v/>
      </c>
      <c r="D11" s="48" t="inlineStr">
        <is>
          <t>TL</t>
        </is>
      </c>
      <c r="E11" s="6" t="inlineStr">
        <is>
          <t>İNCELE tasarruf eşiği</t>
        </is>
      </c>
      <c r="F11" s="23" t="inlineStr">
        <is>
          <t>UKV-004</t>
        </is>
      </c>
      <c r="G11" s="26">
        <f>IFERROR(INDEX(CHOOSE(MAX(1,MIN(3,IF(OR(hesapYili="",hesapYili=0),1,hesapYili-ukv_yilTaban))),tblKurallar[deger_2025],tblKurallar[deger_2026],tblKurallar[deger_2027]),MATCH("UKV-004",tblKurallar[kural_id],0)),0)</f>
        <v/>
      </c>
    </row>
    <row r="12">
      <c r="A12" s="46" t="n">
        <v>6</v>
      </c>
      <c r="B12" s="24" t="inlineStr">
        <is>
          <t>Yuvarlama ondalık</t>
        </is>
      </c>
      <c r="C12" s="47">
        <f>IFERROR(INDEX(CHOOSE(MAX(1,MIN(3,IF(OR(hesapYili="",hesapYili=0),1,hesapYili-ukv_yilTaban))),tblKurallar[deger_2025],tblKurallar[deger_2026],tblKurallar[deger_2027]),MATCH("UKV-005",tblKurallar[kural_id],0)),0)</f>
        <v/>
      </c>
      <c r="D12" s="48" t="inlineStr">
        <is>
          <t>adet</t>
        </is>
      </c>
      <c r="E12" s="6" t="inlineStr">
        <is>
          <t>Yuvarlama basamağı</t>
        </is>
      </c>
      <c r="F12" s="23" t="inlineStr">
        <is>
          <t>UKV-005</t>
        </is>
      </c>
      <c r="G12" s="36">
        <f>IFERROR(INDEX(CHOOSE(MAX(1,MIN(3,IF(OR(hesapYili="",hesapYili=0),1,hesapYili-ukv_yilTaban))),tblKurallar[deger_2025],tblKurallar[deger_2026],tblKurallar[deger_2027]),MATCH("UKV-005",tblKurallar[kural_id],0)),0)</f>
        <v/>
      </c>
    </row>
    <row r="13">
      <c r="A13" s="46" t="n">
        <v>7</v>
      </c>
      <c r="B13" s="24" t="inlineStr">
        <is>
          <t>Üretim hasılatı</t>
        </is>
      </c>
      <c r="C13" s="50">
        <f>IFERROR(GIRDI!B9,0)</f>
        <v/>
      </c>
      <c r="D13" s="48" t="inlineStr">
        <is>
          <t>TL</t>
        </is>
      </c>
      <c r="E13" s="6" t="inlineStr">
        <is>
          <t>Üretim hasılatı</t>
        </is>
      </c>
      <c r="F13" s="23" t="inlineStr">
        <is>
          <t>UKV-001</t>
        </is>
      </c>
      <c r="G13" s="26">
        <f>IFERROR(GIRDI!B9,0)</f>
        <v/>
      </c>
    </row>
    <row r="14">
      <c r="A14" s="46" t="n">
        <v>8</v>
      </c>
      <c r="B14" s="24" t="inlineStr">
        <is>
          <t>Üretim maliyeti</t>
        </is>
      </c>
      <c r="C14" s="50">
        <f>IFERROR(GIRDI!B10,0)</f>
        <v/>
      </c>
      <c r="D14" s="48" t="inlineStr">
        <is>
          <t>TL</t>
        </is>
      </c>
      <c r="E14" s="6" t="inlineStr">
        <is>
          <t>Üretim maliyeti</t>
        </is>
      </c>
      <c r="F14" s="23" t="inlineStr">
        <is>
          <t>UKV-001</t>
        </is>
      </c>
      <c r="G14" s="26">
        <f>IFERROR(GIRDI!B10,0)</f>
        <v/>
      </c>
    </row>
    <row r="15">
      <c r="A15" s="46" t="n">
        <v>9</v>
      </c>
      <c r="B15" s="24" t="inlineStr">
        <is>
          <t>Genel yönetim payı</t>
        </is>
      </c>
      <c r="C15" s="50">
        <f>IFERROR(GIRDI!B11,0)</f>
        <v/>
      </c>
      <c r="D15" s="48" t="inlineStr">
        <is>
          <t>TL</t>
        </is>
      </c>
      <c r="E15" s="6" t="inlineStr">
        <is>
          <t>GY payı</t>
        </is>
      </c>
      <c r="F15" s="23" t="inlineStr">
        <is>
          <t>UKV-001</t>
        </is>
      </c>
      <c r="G15" s="26">
        <f>IFERROR(GIRDI!B11,0)</f>
        <v/>
      </c>
    </row>
    <row r="16">
      <c r="A16" s="46" t="n">
        <v>10</v>
      </c>
      <c r="B16" s="24" t="inlineStr">
        <is>
          <t>Finansman gider payı</t>
        </is>
      </c>
      <c r="C16" s="50">
        <f>IFERROR(GIRDI!B12,0)</f>
        <v/>
      </c>
      <c r="D16" s="48" t="inlineStr">
        <is>
          <t>TL</t>
        </is>
      </c>
      <c r="E16" s="6" t="inlineStr">
        <is>
          <t>FG payı</t>
        </is>
      </c>
      <c r="F16" s="23" t="inlineStr">
        <is>
          <t>UKV-001</t>
        </is>
      </c>
      <c r="G16" s="26">
        <f>IFERROR(GIRDI!B12,0)</f>
        <v/>
      </c>
    </row>
    <row r="17">
      <c r="A17" s="46" t="n">
        <v>11</v>
      </c>
      <c r="B17" s="24" t="inlineStr">
        <is>
          <t>Diğer faaliyet kârı</t>
        </is>
      </c>
      <c r="C17" s="50">
        <f>IFERROR(GIRDI!B13,0)</f>
        <v/>
      </c>
      <c r="D17" s="48" t="inlineStr">
        <is>
          <t>TL</t>
        </is>
      </c>
      <c r="E17" s="6" t="inlineStr">
        <is>
          <t>Diğer kâr/zarar</t>
        </is>
      </c>
      <c r="F17" s="23" t="inlineStr">
        <is>
          <t>UKV-001</t>
        </is>
      </c>
      <c r="G17" s="26">
        <f>IFERROR(GIRDI!B13,0)</f>
        <v/>
      </c>
    </row>
    <row r="18">
      <c r="A18" s="46" t="n">
        <v>12</v>
      </c>
      <c r="B18" s="24" t="inlineStr">
        <is>
          <t>İstisna tutarı</t>
        </is>
      </c>
      <c r="C18" s="50">
        <f>IFERROR(GIRDI!B14,0)</f>
        <v/>
      </c>
      <c r="D18" s="48" t="inlineStr">
        <is>
          <t>TL</t>
        </is>
      </c>
      <c r="E18" s="6" t="inlineStr">
        <is>
          <t>İstisna</t>
        </is>
      </c>
      <c r="F18" s="23" t="inlineStr">
        <is>
          <t>UKV-001</t>
        </is>
      </c>
      <c r="G18" s="26">
        <f>IFERROR(GIRDI!B14,0)</f>
        <v/>
      </c>
    </row>
    <row r="19">
      <c r="A19" s="46" t="n">
        <v>13</v>
      </c>
      <c r="B19" s="24" t="inlineStr">
        <is>
          <t>Pay çarpanı (yorum)</t>
        </is>
      </c>
      <c r="C19" s="49">
        <f>IFERROR(IF(GIRDI!B15="B",1+ukv_payArtisOran,1),0)</f>
        <v/>
      </c>
      <c r="D19" s="48" t="inlineStr">
        <is>
          <t>çarpan</t>
        </is>
      </c>
      <c r="E19" s="6" t="inlineStr">
        <is>
          <t>Yorum A/B pay çarpanı</t>
        </is>
      </c>
      <c r="F19" s="23" t="inlineStr">
        <is>
          <t>UKV-005</t>
        </is>
      </c>
      <c r="G19" s="25">
        <f>IFERROR(IF(GIRDI!B15="B",1+ukv_payArtisOran,1),0)</f>
        <v/>
      </c>
    </row>
    <row r="20">
      <c r="A20" s="46" t="n">
        <v>14</v>
      </c>
      <c r="B20" s="24" t="inlineStr">
        <is>
          <t>GY efektif</t>
        </is>
      </c>
      <c r="C20" s="50">
        <f>IFERROR(G15*G19,0)</f>
        <v/>
      </c>
      <c r="D20" s="48" t="inlineStr">
        <is>
          <t>TL</t>
        </is>
      </c>
      <c r="E20" s="6" t="inlineStr">
        <is>
          <t>Yorum sonrası GY</t>
        </is>
      </c>
      <c r="F20" s="23" t="inlineStr">
        <is>
          <t>UKV-001</t>
        </is>
      </c>
      <c r="G20" s="26">
        <f>IFERROR(G15*G19,0)</f>
        <v/>
      </c>
    </row>
    <row r="21">
      <c r="A21" s="46" t="n">
        <v>15</v>
      </c>
      <c r="B21" s="24" t="inlineStr">
        <is>
          <t>FG efektif</t>
        </is>
      </c>
      <c r="C21" s="50">
        <f>IFERROR(G16*G19,0)</f>
        <v/>
      </c>
      <c r="D21" s="48" t="inlineStr">
        <is>
          <t>TL</t>
        </is>
      </c>
      <c r="E21" s="6" t="inlineStr">
        <is>
          <t>Yorum sonrası FG</t>
        </is>
      </c>
      <c r="F21" s="23" t="inlineStr">
        <is>
          <t>UKV-001</t>
        </is>
      </c>
      <c r="G21" s="26">
        <f>IFERROR(G16*G19,0)</f>
        <v/>
      </c>
    </row>
    <row r="22">
      <c r="A22" s="46" t="n">
        <v>16</v>
      </c>
      <c r="B22" s="24" t="inlineStr">
        <is>
          <t>Üretim kârı</t>
        </is>
      </c>
      <c r="C22" s="50">
        <f>IFERROR(G13-G14-G20-G21,0)</f>
        <v/>
      </c>
      <c r="D22" s="48" t="inlineStr">
        <is>
          <t>TL</t>
        </is>
      </c>
      <c r="E22" s="6" t="inlineStr">
        <is>
          <t>Hasılat−maliyet−paylar</t>
        </is>
      </c>
      <c r="F22" s="23" t="inlineStr">
        <is>
          <t>UKV-001</t>
        </is>
      </c>
      <c r="G22" s="26">
        <f>IFERROR(G13-G14-G20-G21,0)</f>
        <v/>
      </c>
    </row>
    <row r="23">
      <c r="A23" s="46" t="n">
        <v>17</v>
      </c>
      <c r="B23" s="24" t="inlineStr">
        <is>
          <t>Matrah</t>
        </is>
      </c>
      <c r="C23" s="50">
        <f>IFERROR(ROUND(MAX(0,G22+G17-G18),MAX(0,MIN(ukv_yuvarMax,IFERROR(N(G12),0)))),0)</f>
        <v/>
      </c>
      <c r="D23" s="48" t="inlineStr">
        <is>
          <t>TL</t>
        </is>
      </c>
      <c r="E23" s="6" t="inlineStr">
        <is>
          <t>Vergiye tabi matrah</t>
        </is>
      </c>
      <c r="F23" s="23" t="inlineStr">
        <is>
          <t>UKV-001</t>
        </is>
      </c>
      <c r="G23" s="26">
        <f>IFERROR(ROUND(MAX(0,G22+G17-G18),MAX(0,MIN(ukv_yuvarMax,IFERROR(N(G12),0)))),0)</f>
        <v/>
      </c>
    </row>
    <row r="24">
      <c r="A24" s="46" t="n">
        <v>18</v>
      </c>
      <c r="B24" s="24" t="inlineStr">
        <is>
          <t>Standart KV</t>
        </is>
      </c>
      <c r="C24" s="50">
        <f>IFERROR(ROUND(G23*G9,MAX(0,MIN(ukv_yuvarMax,IFERROR(N(G12),0)))),0)</f>
        <v/>
      </c>
      <c r="D24" s="48" t="inlineStr">
        <is>
          <t>TL</t>
        </is>
      </c>
      <c r="E24" s="6" t="inlineStr">
        <is>
          <t>Matrah × standart oran</t>
        </is>
      </c>
      <c r="F24" s="23" t="inlineStr">
        <is>
          <t>UKV-002</t>
        </is>
      </c>
      <c r="G24" s="26">
        <f>IFERROR(ROUND(G23*G9,MAX(0,MIN(ukv_yuvarMax,IFERROR(N(G12),0)))),0)</f>
        <v/>
      </c>
    </row>
    <row r="25">
      <c r="A25" s="46" t="n">
        <v>19</v>
      </c>
      <c r="B25" s="24" t="inlineStr">
        <is>
          <t>İndirimli KV</t>
        </is>
      </c>
      <c r="C25" s="50">
        <f>IFERROR(ROUND(G23*G8,MAX(0,MIN(ukv_yuvarMax,IFERROR(N(G12),0)))),0)</f>
        <v/>
      </c>
      <c r="D25" s="48" t="inlineStr">
        <is>
          <t>TL</t>
        </is>
      </c>
      <c r="E25" s="6" t="inlineStr">
        <is>
          <t>Matrah × indirimli oran</t>
        </is>
      </c>
      <c r="F25" s="23" t="inlineStr">
        <is>
          <t>UKV-001</t>
        </is>
      </c>
      <c r="G25" s="26">
        <f>IFERROR(ROUND(G23*G8,MAX(0,MIN(ukv_yuvarMax,IFERROR(N(G12),0)))),0)</f>
        <v/>
      </c>
    </row>
    <row r="26">
      <c r="A26" s="46" t="n">
        <v>20</v>
      </c>
      <c r="B26" s="24" t="inlineStr">
        <is>
          <t>Tasarruf</t>
        </is>
      </c>
      <c r="C26" s="50">
        <f>IFERROR(G24-G25,0)</f>
        <v/>
      </c>
      <c r="D26" s="48" t="inlineStr">
        <is>
          <t>TL</t>
        </is>
      </c>
      <c r="E26" s="6" t="inlineStr">
        <is>
          <t>Standart − indirimli</t>
        </is>
      </c>
      <c r="F26" s="23" t="inlineStr">
        <is>
          <t>UKV-001</t>
        </is>
      </c>
      <c r="G26" s="26">
        <f>IFERROR(G24-G25,0)</f>
        <v/>
      </c>
    </row>
    <row r="27">
      <c r="A27" s="46" t="n">
        <v>21</v>
      </c>
      <c r="B27" s="24" t="inlineStr">
        <is>
          <t>Oran farkı</t>
        </is>
      </c>
      <c r="C27" s="49">
        <f>IFERROR(G9-G8,0)</f>
        <v/>
      </c>
      <c r="D27" s="48" t="inlineStr">
        <is>
          <t>oran</t>
        </is>
      </c>
      <c r="E27" s="6" t="inlineStr">
        <is>
          <t>Standart − indirimli puan</t>
        </is>
      </c>
      <c r="F27" s="23" t="inlineStr">
        <is>
          <t>UKV-001</t>
        </is>
      </c>
      <c r="G27" s="25">
        <f>IFERROR(G9-G8,0)</f>
        <v/>
      </c>
    </row>
    <row r="28">
      <c r="A28" s="46" t="n">
        <v>22</v>
      </c>
      <c r="B28" s="24" t="inlineStr">
        <is>
          <t>Tasarruf (pano)</t>
        </is>
      </c>
      <c r="C28" s="50">
        <f>IFERROR(G26,0)</f>
        <v/>
      </c>
      <c r="D28" s="48" t="inlineStr">
        <is>
          <t>TL</t>
        </is>
      </c>
      <c r="E28" s="6" t="inlineStr">
        <is>
          <t>Tasarruf ayna</t>
        </is>
      </c>
      <c r="F28" s="23" t="inlineStr">
        <is>
          <t>UKV-001</t>
        </is>
      </c>
      <c r="G28" s="26">
        <f>IFERROR(G26,0)</f>
        <v/>
      </c>
    </row>
    <row r="29">
      <c r="A29" s="46" t="n">
        <v>23</v>
      </c>
      <c r="B29" s="24" t="inlineStr">
        <is>
          <t>Matrah (pano)</t>
        </is>
      </c>
      <c r="C29" s="50">
        <f>IFERROR(G23,0)</f>
        <v/>
      </c>
      <c r="D29" s="48" t="inlineStr">
        <is>
          <t>TL</t>
        </is>
      </c>
      <c r="E29" s="6" t="inlineStr">
        <is>
          <t>Matrah ayna</t>
        </is>
      </c>
      <c r="F29" s="23" t="inlineStr">
        <is>
          <t>UKV-001</t>
        </is>
      </c>
      <c r="G29" s="26">
        <f>IFERROR(G23,0)</f>
        <v/>
      </c>
    </row>
    <row r="30">
      <c r="A30" s="46" t="n">
        <v>24</v>
      </c>
      <c r="B30" s="24" t="inlineStr">
        <is>
          <t>İndirimli KV (pano)</t>
        </is>
      </c>
      <c r="C30" s="50">
        <f>IFERROR(G25,0)</f>
        <v/>
      </c>
      <c r="D30" s="48" t="inlineStr">
        <is>
          <t>TL</t>
        </is>
      </c>
      <c r="E30" s="6" t="inlineStr">
        <is>
          <t>İndirimli ayna</t>
        </is>
      </c>
      <c r="F30" s="23" t="inlineStr">
        <is>
          <t>UKV-001</t>
        </is>
      </c>
      <c r="G30" s="26">
        <f>IFERROR(G25,0)</f>
        <v/>
      </c>
    </row>
    <row r="31">
      <c r="A31" s="46" t="n">
        <v>25</v>
      </c>
      <c r="B31" s="24" t="inlineStr">
        <is>
          <t>Üretim kâr / hasılat</t>
        </is>
      </c>
      <c r="C31" s="49">
        <f>IFERROR(IF(G13=0,0,G22/G13),0)</f>
        <v/>
      </c>
      <c r="D31" s="48" t="inlineStr">
        <is>
          <t>oran</t>
        </is>
      </c>
      <c r="E31" s="6" t="inlineStr">
        <is>
          <t>Marj göstergesi</t>
        </is>
      </c>
      <c r="F31" s="23" t="inlineStr">
        <is>
          <t>UKV-001</t>
        </is>
      </c>
      <c r="G31" s="25">
        <f>IFERROR(IF(G13=0,0,G22/G13),0)</f>
        <v/>
      </c>
    </row>
    <row r="32">
      <c r="A32" s="46" t="n">
        <v>26</v>
      </c>
      <c r="B32" s="24" t="inlineStr">
        <is>
          <t>İstisna / matrah brüt</t>
        </is>
      </c>
      <c r="C32" s="49">
        <f>IFERROR(IF(G22+G17=0,0,G18/MAX(1,G22+G17)),0)</f>
        <v/>
      </c>
      <c r="D32" s="48" t="inlineStr">
        <is>
          <t>oran</t>
        </is>
      </c>
      <c r="E32" s="6" t="inlineStr">
        <is>
          <t>İstisna yoğunluğu</t>
        </is>
      </c>
      <c r="F32" s="23" t="inlineStr">
        <is>
          <t>UKV-001</t>
        </is>
      </c>
      <c r="G32" s="25">
        <f>IFERROR(IF(G22+G17=0,0,G18/MAX(1,G22+G17)),0)</f>
        <v/>
      </c>
    </row>
    <row r="33">
      <c r="A33" s="46" t="n">
        <v>27</v>
      </c>
      <c r="B33" s="24" t="inlineStr">
        <is>
          <t>Karar kodu</t>
        </is>
      </c>
      <c r="C33" s="21">
        <f>IFERROR(IF(COUNTA(tblGirdi[Alan Anahtarı])=0,"VERI_YOK",IF(G26&gt;=G10,"UYGULA",IF(G26&gt;=G11,"INCELE","UYGULAMA"))),"")</f>
        <v/>
      </c>
      <c r="D33" s="48" t="inlineStr">
        <is>
          <t>kod</t>
        </is>
      </c>
      <c r="E33" s="6" t="inlineStr">
        <is>
          <t>Karar kodu</t>
        </is>
      </c>
      <c r="F33" s="23" t="inlineStr">
        <is>
          <t>UKV-005</t>
        </is>
      </c>
      <c r="G33" s="27">
        <f>IFERROR(IF(COUNTA(tblGirdi[Alan Anahtarı])=0,"VERI_YOK",IF(G26&gt;=G10,"UYGULA",IF(G26&gt;=G11,"INCELE","UYGULAMA"))),"")</f>
        <v/>
      </c>
    </row>
    <row r="34">
      <c r="A34" s="46" t="n">
        <v>28</v>
      </c>
      <c r="B34" s="24" t="inlineStr">
        <is>
          <t>Karar metni</t>
        </is>
      </c>
      <c r="C34" s="21">
        <f>IFERROR(IF(G33="VERI_YOK","VERİ YOK",IF(G33="UYGULA","UYGULA",IF(G33="INCELE","İNCELE","UYGULAMA"))),"")</f>
        <v/>
      </c>
      <c r="D34" s="48" t="inlineStr">
        <is>
          <t>metin</t>
        </is>
      </c>
      <c r="E34" s="6" t="inlineStr">
        <is>
          <t>Kullanıcıya karar</t>
        </is>
      </c>
      <c r="F34" s="23" t="inlineStr">
        <is>
          <t>UKV-005</t>
        </is>
      </c>
      <c r="G34" s="27">
        <f>IFERROR(IF(G33="VERI_YOK","VERİ YOK",IF(G33="UYGULA","UYGULA",IF(G33="INCELE","İNCELE","UYGULAMA"))),"")</f>
        <v/>
      </c>
    </row>
    <row r="35">
      <c r="A35" s="46" t="n">
        <v>29</v>
      </c>
      <c r="B35" s="24" t="inlineStr">
        <is>
          <t>Gerekçe</t>
        </is>
      </c>
      <c r="C35" s="21">
        <f>IFERROR(IF(G33="VERI_YOK","Giriş tablosu boş — hesap yapılamaz.",IF(G33="UYGULA","Tasarruf uygula eşiğinin üzerinde; indirimli üretim KV oranını uygulayın AND kanıt dosyalayın.",IF(G33="INCELE","Tasarruf incele bandında; pay dağıtımı AND istisna dayanağını gözden geçirin.","Tasarruf eşik altında veya matrah yok; indirimli oran uygulaması öncelikli değil."))),"")</f>
        <v/>
      </c>
      <c r="D35" s="48" t="inlineStr">
        <is>
          <t>metin</t>
        </is>
      </c>
      <c r="E35" s="6" t="inlineStr">
        <is>
          <t>Gerekçe cümlesi</t>
        </is>
      </c>
      <c r="F35" s="23" t="inlineStr">
        <is>
          <t>UKV-005</t>
        </is>
      </c>
      <c r="G35" s="27">
        <f>IFERROR(IF(G33="VERI_YOK","Giriş tablosu boş — hesap yapılamaz.",IF(G33="UYGULA","Tasarruf uygula eşiğinin üzerinde; indirimli üretim KV oranını uygulayın AND kanıt dosyalayın.",IF(G33="INCELE","Tasarruf incele bandında; pay dağıtımı AND istisna dayanağını gözden geçirin.","Tasarruf eşik altında veya matrah yok; indirimli oran uygulaması öncelikli değil."))),"")</f>
        <v/>
      </c>
    </row>
    <row r="36">
      <c r="A36" s="46" t="n">
        <v>30</v>
      </c>
      <c r="B36" s="24" t="inlineStr">
        <is>
          <t>Tasarruf / standart KV</t>
        </is>
      </c>
      <c r="C36" s="49">
        <f>IFERROR(IF(G24=0,0,G26/G24),0)</f>
        <v/>
      </c>
      <c r="D36" s="48" t="inlineStr">
        <is>
          <t>oran</t>
        </is>
      </c>
      <c r="E36" s="6" t="inlineStr">
        <is>
          <t>Tasarruf oranı</t>
        </is>
      </c>
      <c r="F36" s="23" t="inlineStr">
        <is>
          <t>UKV-002</t>
        </is>
      </c>
      <c r="G36" s="25">
        <f>IFERROR(IF(G24=0,0,G26/G24),0)</f>
        <v/>
      </c>
    </row>
    <row r="37">
      <c r="A37" s="46" t="n">
        <v>31</v>
      </c>
      <c r="B37" s="24" t="inlineStr">
        <is>
          <t>Efektif oran</t>
        </is>
      </c>
      <c r="C37" s="49">
        <f>IFERROR(IF(G23=0,0,G25/G23),0)</f>
        <v/>
      </c>
      <c r="D37" s="48" t="inlineStr">
        <is>
          <t>oran</t>
        </is>
      </c>
      <c r="E37" s="6" t="inlineStr">
        <is>
          <t>Ödenen efektif</t>
        </is>
      </c>
      <c r="F37" s="23" t="inlineStr">
        <is>
          <t>UKV-001</t>
        </is>
      </c>
      <c r="G37" s="25">
        <f>IFERROR(IF(G23=0,0,G25/G23),0)</f>
        <v/>
      </c>
    </row>
    <row r="38">
      <c r="A38" s="46" t="n">
        <v>32</v>
      </c>
      <c r="B38" s="24" t="inlineStr">
        <is>
          <t>Güven skoru</t>
        </is>
      </c>
      <c r="C38" s="47">
        <f>IFERROR(ROUND(IF(OR(COUNTA(GIRDI!B6:B15)=0,ukv_girisBeklenen=0),0,COUNTA(GIRDI!B6:B15)/ukv_girisBeklenen*100),0),0)</f>
        <v/>
      </c>
      <c r="D38" s="48" t="inlineStr">
        <is>
          <t>puan</t>
        </is>
      </c>
      <c r="E38" s="6" t="inlineStr">
        <is>
          <t>Giriş bütünlüğü</t>
        </is>
      </c>
      <c r="F38" s="23" t="inlineStr">
        <is>
          <t>UKV-005</t>
        </is>
      </c>
      <c r="G38" s="36">
        <f>IFERROR(ROUND(IF(OR(COUNTA(GIRDI!B6:B15)=0,ukv_girisBeklenen=0),0,COUNTA(GIRDI!B6:B15)/ukv_girisBeklenen*100),0),0)</f>
        <v/>
      </c>
    </row>
    <row r="39">
      <c r="A39" s="46" t="n">
        <v>33</v>
      </c>
      <c r="B39" s="24" t="inlineStr">
        <is>
          <t>Risk skoru</t>
        </is>
      </c>
      <c r="C39" s="47">
        <f>IFERROR(IF(G33="VERI_YOK",0,IF(G33="UYGULA",ukv_riskDusuk,IF(G33="INCELE",ukv_riskOrta,ukv_riskYuksek))),0)</f>
        <v/>
      </c>
      <c r="D39" s="48" t="inlineStr">
        <is>
          <t>puan</t>
        </is>
      </c>
      <c r="E39" s="6" t="inlineStr">
        <is>
          <t>Kaçırma riski (ters)</t>
        </is>
      </c>
      <c r="F39" s="23" t="inlineStr">
        <is>
          <t>UKV-005</t>
        </is>
      </c>
      <c r="G39" s="36">
        <f>IFERROR(IF(G33="VERI_YOK",0,IF(G33="UYGULA",ukv_riskDusuk,IF(G33="INCELE",ukv_riskOrta,ukv_riskYuksek))),0)</f>
        <v/>
      </c>
    </row>
    <row r="40">
      <c r="A40" s="46" t="n">
        <v>34</v>
      </c>
      <c r="B40" s="24" t="inlineStr">
        <is>
          <t>Senaryo iyimser matrah</t>
        </is>
      </c>
      <c r="C40" s="50">
        <f>IFERROR(G23*ukv_senaryoIyi,0)</f>
        <v/>
      </c>
      <c r="D40" s="48" t="inlineStr">
        <is>
          <t>TL</t>
        </is>
      </c>
      <c r="E40" s="6" t="inlineStr">
        <is>
          <t>İyimser matrah</t>
        </is>
      </c>
      <c r="F40" s="23" t="inlineStr">
        <is>
          <t>UKV-001</t>
        </is>
      </c>
      <c r="G40" s="26">
        <f>IFERROR(G23*ukv_senaryoIyi,0)</f>
        <v/>
      </c>
    </row>
    <row r="41">
      <c r="A41" s="46" t="n">
        <v>35</v>
      </c>
      <c r="B41" s="24" t="inlineStr">
        <is>
          <t>Senaryo kötümser matrah</t>
        </is>
      </c>
      <c r="C41" s="50">
        <f>IFERROR(G23*ukv_senaryoKotu,0)</f>
        <v/>
      </c>
      <c r="D41" s="48" t="inlineStr">
        <is>
          <t>TL</t>
        </is>
      </c>
      <c r="E41" s="6" t="inlineStr">
        <is>
          <t>Kötümser matrah</t>
        </is>
      </c>
      <c r="F41" s="23" t="inlineStr">
        <is>
          <t>UKV-001</t>
        </is>
      </c>
      <c r="G41" s="26">
        <f>IFERROR(G23*ukv_senaryoKotu,0)</f>
        <v/>
      </c>
    </row>
    <row r="42">
      <c r="A42" s="46" t="n">
        <v>36</v>
      </c>
      <c r="B42" s="24" t="inlineStr">
        <is>
          <t>İyimser tasarruf</t>
        </is>
      </c>
      <c r="C42" s="50">
        <f>IFERROR(ROUND(G40*(G9-G8),MAX(0,MIN(ukv_yuvarMax,IFERROR(N(G12),0)))),0)</f>
        <v/>
      </c>
      <c r="D42" s="48" t="inlineStr">
        <is>
          <t>TL</t>
        </is>
      </c>
      <c r="E42" s="6" t="inlineStr">
        <is>
          <t>İyimser tasarruf</t>
        </is>
      </c>
      <c r="F42" s="23" t="inlineStr">
        <is>
          <t>UKV-001</t>
        </is>
      </c>
      <c r="G42" s="26">
        <f>IFERROR(ROUND(G40*(G9-G8),MAX(0,MIN(ukv_yuvarMax,IFERROR(N(G12),0)))),0)</f>
        <v/>
      </c>
    </row>
    <row r="43">
      <c r="A43" s="46" t="n">
        <v>37</v>
      </c>
      <c r="B43" s="24" t="inlineStr">
        <is>
          <t>Kötümser tasarruf</t>
        </is>
      </c>
      <c r="C43" s="50">
        <f>IFERROR(ROUND(G41*(G9-G8),MAX(0,MIN(ukv_yuvarMax,IFERROR(N(G12),0)))),0)</f>
        <v/>
      </c>
      <c r="D43" s="48" t="inlineStr">
        <is>
          <t>TL</t>
        </is>
      </c>
      <c r="E43" s="6" t="inlineStr">
        <is>
          <t>Kötümser tasarruf</t>
        </is>
      </c>
      <c r="F43" s="23" t="inlineStr">
        <is>
          <t>UKV-001</t>
        </is>
      </c>
      <c r="G43" s="26">
        <f>IFERROR(ROUND(G41*(G9-G8),MAX(0,MIN(ukv_yuvarMax,IFERROR(N(G12),0)))),0)</f>
        <v/>
      </c>
    </row>
    <row r="44">
      <c r="A44" s="46" t="n">
        <v>38</v>
      </c>
      <c r="B44" s="24" t="inlineStr">
        <is>
          <t>M-SEN indirimli+</t>
        </is>
      </c>
      <c r="C44" s="49">
        <f>IFERROR(MIN(G9,G8+ukv_oranArtisPuan),0)</f>
        <v/>
      </c>
      <c r="D44" s="48" t="inlineStr">
        <is>
          <t>oran</t>
        </is>
      </c>
      <c r="E44" s="6" t="inlineStr">
        <is>
          <t>İndirimli + delta</t>
        </is>
      </c>
      <c r="F44" s="23" t="inlineStr">
        <is>
          <t>UKV-001</t>
        </is>
      </c>
      <c r="G44" s="25">
        <f>IFERROR(MIN(G9,G8+ukv_oranArtisPuan),0)</f>
        <v/>
      </c>
    </row>
    <row r="45">
      <c r="A45" s="46" t="n">
        <v>39</v>
      </c>
      <c r="B45" s="24" t="inlineStr">
        <is>
          <t>M-SEN indirimli KV</t>
        </is>
      </c>
      <c r="C45" s="50">
        <f>IFERROR(ROUND(G23*G44,MAX(0,MIN(ukv_yuvarMax,IFERROR(N(G12),0)))),0)</f>
        <v/>
      </c>
      <c r="D45" s="48" t="inlineStr">
        <is>
          <t>TL</t>
        </is>
      </c>
      <c r="E45" s="6" t="inlineStr">
        <is>
          <t>M-SEN indirimli KV</t>
        </is>
      </c>
      <c r="F45" s="23" t="inlineStr">
        <is>
          <t>UKV-001</t>
        </is>
      </c>
      <c r="G45" s="26">
        <f>IFERROR(ROUND(G23*G44,MAX(0,MIN(ukv_yuvarMax,IFERROR(N(G12),0)))),0)</f>
        <v/>
      </c>
    </row>
    <row r="46">
      <c r="A46" s="46" t="n">
        <v>40</v>
      </c>
      <c r="B46" s="24" t="inlineStr">
        <is>
          <t>M-SEN tasarruf</t>
        </is>
      </c>
      <c r="C46" s="50">
        <f>IFERROR(G24-G45,0)</f>
        <v/>
      </c>
      <c r="D46" s="48" t="inlineStr">
        <is>
          <t>TL</t>
        </is>
      </c>
      <c r="E46" s="6" t="inlineStr">
        <is>
          <t>M-SEN tasarruf farkı</t>
        </is>
      </c>
      <c r="F46" s="23" t="inlineStr">
        <is>
          <t>UKV-001</t>
        </is>
      </c>
      <c r="G46" s="26">
        <f>IFERROR(G24-G45,0)</f>
        <v/>
      </c>
    </row>
    <row r="47">
      <c r="A47" s="46" t="n">
        <v>41</v>
      </c>
      <c r="B47" s="24" t="inlineStr">
        <is>
          <t>Tahmin üst</t>
        </is>
      </c>
      <c r="C47" s="50">
        <f>IFERROR(G26*ukv_tahminUst,0)</f>
        <v/>
      </c>
      <c r="D47" s="48" t="inlineStr">
        <is>
          <t>TL</t>
        </is>
      </c>
      <c r="E47" s="6" t="inlineStr">
        <is>
          <t>Tahmin üst bant</t>
        </is>
      </c>
      <c r="F47" s="23" t="inlineStr">
        <is>
          <t>UKV-005</t>
        </is>
      </c>
      <c r="G47" s="26">
        <f>IFERROR(G26*ukv_tahminUst,0)</f>
        <v/>
      </c>
    </row>
    <row r="48">
      <c r="A48" s="46" t="n">
        <v>42</v>
      </c>
      <c r="B48" s="24" t="inlineStr">
        <is>
          <t>Tahmin alt</t>
        </is>
      </c>
      <c r="C48" s="50">
        <f>IFERROR(G26*ukv_tahminAlt,0)</f>
        <v/>
      </c>
      <c r="D48" s="48" t="inlineStr">
        <is>
          <t>TL</t>
        </is>
      </c>
      <c r="E48" s="6" t="inlineStr">
        <is>
          <t>Tahmin alt bant</t>
        </is>
      </c>
      <c r="F48" s="23" t="inlineStr">
        <is>
          <t>UKV-005</t>
        </is>
      </c>
      <c r="G48" s="26">
        <f>IFERROR(G26*ukv_tahminAlt,0)</f>
        <v/>
      </c>
    </row>
    <row r="49">
      <c r="A49" s="46" t="n">
        <v>43</v>
      </c>
      <c r="B49" s="24" t="inlineStr">
        <is>
          <t>Tornado: hasılat etkisi</t>
        </is>
      </c>
      <c r="C49" s="50">
        <f>IFERROR(ABS(ROUND(MAX(0,(G13*ukv_tornadoHasilat)-G14-G20-G21+G17-G18)*(G9-G8),MAX(0,MIN(ukv_yuvarMax,IFERROR(N(G12),0))))-G26),0)</f>
        <v/>
      </c>
      <c r="D49" s="48" t="inlineStr">
        <is>
          <t>TL</t>
        </is>
      </c>
      <c r="E49" s="6" t="inlineStr">
        <is>
          <t>Hasılat ± etki</t>
        </is>
      </c>
      <c r="F49" s="23" t="inlineStr">
        <is>
          <t>UKV-001</t>
        </is>
      </c>
      <c r="G49" s="26">
        <f>IFERROR(ABS(ROUND(MAX(0,(G13*ukv_tornadoHasilat)-G14-G20-G21+G17-G18)*(G9-G8),MAX(0,MIN(ukv_yuvarMax,IFERROR(N(G12),0))))-G26),0)</f>
        <v/>
      </c>
    </row>
    <row r="50">
      <c r="A50" s="46" t="n">
        <v>44</v>
      </c>
      <c r="B50" s="24" t="inlineStr">
        <is>
          <t>Tornado: maliyet etkisi</t>
        </is>
      </c>
      <c r="C50" s="50">
        <f>IFERROR(ABS(ROUND(MAX(0,G13-(G14*ukv_tornadoMaliyet)-G20-G21+G17-G18)*(G9-G8),MAX(0,MIN(ukv_yuvarMax,IFERROR(N(G12),0))))-G26),0)</f>
        <v/>
      </c>
      <c r="D50" s="48" t="inlineStr">
        <is>
          <t>TL</t>
        </is>
      </c>
      <c r="E50" s="6" t="inlineStr">
        <is>
          <t>Maliyet ± etki</t>
        </is>
      </c>
      <c r="F50" s="23" t="inlineStr">
        <is>
          <t>UKV-001</t>
        </is>
      </c>
      <c r="G50" s="26">
        <f>IFERROR(ABS(ROUND(MAX(0,G13-(G14*ukv_tornadoMaliyet)-G20-G21+G17-G18)*(G9-G8),MAX(0,MIN(ukv_yuvarMax,IFERROR(N(G12),0))))-G26),0)</f>
        <v/>
      </c>
    </row>
    <row r="51">
      <c r="A51" s="46" t="n">
        <v>45</v>
      </c>
      <c r="B51" s="24" t="inlineStr">
        <is>
          <t>Tornado: oran etkisi</t>
        </is>
      </c>
      <c r="C51" s="50">
        <f>IFERROR(ABS(ROUND(G23*((G9-G8)+ukv_oranArtisPuan),MAX(0,MIN(ukv_yuvarMax,IFERROR(N(G12),0))))-G26),0)</f>
        <v/>
      </c>
      <c r="D51" s="48" t="inlineStr">
        <is>
          <t>TL</t>
        </is>
      </c>
      <c r="E51" s="6" t="inlineStr">
        <is>
          <t>Oran ± etki</t>
        </is>
      </c>
      <c r="F51" s="23" t="inlineStr">
        <is>
          <t>UKV-001</t>
        </is>
      </c>
      <c r="G51" s="26">
        <f>IFERROR(ABS(ROUND(G23*((G9-G8)+ukv_oranArtisPuan),MAX(0,MIN(ukv_yuvarMax,IFERROR(N(G12),0))))-G26),0)</f>
        <v/>
      </c>
    </row>
    <row r="52">
      <c r="A52" s="46" t="n">
        <v>46</v>
      </c>
      <c r="B52" s="24" t="inlineStr">
        <is>
          <t>Madde atıf özeti</t>
        </is>
      </c>
      <c r="C52" s="21">
        <f>IFERROR(_xlfn.TEXTJOIN(" | ",TRUE,"UKV-001→indirimli oran","UKV-002→standart oran","UKV-003→uygula eşiği","UKV-004→incele eşiği"),"")</f>
        <v/>
      </c>
      <c r="D52" s="48" t="inlineStr">
        <is>
          <t>metin</t>
        </is>
      </c>
      <c r="E52" s="6" t="inlineStr">
        <is>
          <t>Kanıt atıfları</t>
        </is>
      </c>
      <c r="F52" s="23" t="inlineStr">
        <is>
          <t>UKV-001</t>
        </is>
      </c>
      <c r="G52" s="27">
        <f>IFERROR(_xlfn.TEXTJOIN(" | ",TRUE,"UKV-001→indirimli oran","UKV-002→standart oran","UKV-003→uygula eşiği","UKV-004→incele eşiği"),"")</f>
        <v/>
      </c>
    </row>
    <row r="53">
      <c r="A53" s="46" t="n">
        <v>47</v>
      </c>
      <c r="B53" s="24" t="inlineStr">
        <is>
          <t>Kanıt satır özeti</t>
        </is>
      </c>
      <c r="C53" s="21">
        <f>IFERROR(_xlfn.TEXTJOIN(" · ",TRUE,"Matrah=",TEXT(G23,"₺ #,##0"),"StandartKV=",TEXT(G24,"₺ #,##0"),"İndirimliKV=",TEXT(G25,"₺ #,##0"),"Tasarruf=",TEXT(G26,"₺ #,##0")),"")</f>
        <v/>
      </c>
      <c r="D53" s="48" t="inlineStr">
        <is>
          <t>metin</t>
        </is>
      </c>
      <c r="E53" s="6" t="inlineStr">
        <is>
          <t>Rapor özeti</t>
        </is>
      </c>
      <c r="F53" s="23" t="inlineStr">
        <is>
          <t>UKV-005</t>
        </is>
      </c>
      <c r="G53" s="27">
        <f>IFERROR(_xlfn.TEXTJOIN(" · ",TRUE,"Matrah=",TEXT(G23,"₺ #,##0"),"StandartKV=",TEXT(G24,"₺ #,##0"),"İndirimliKV=",TEXT(G25,"₺ #,##0"),"Tasarruf=",TEXT(G26,"₺ #,##0")),"")</f>
        <v/>
      </c>
    </row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53">
    <cfRule type="cellIs" priority="1" operator="lessThan" dxfId="5">
      <formula>0</formula>
    </cfRule>
  </conditionalFormatting>
  <conditionalFormatting sqref="F7:F53">
    <cfRule type="expression" priority="2" dxfId="6">
      <formula>F7="UKV-001"</formula>
    </cfRule>
    <cfRule type="expression" priority="3" dxfId="5">
      <formula>F7="UKV-005"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54.5" customWidth="1" min="1" max="1"/>
    <col width="18.5" customWidth="1" min="2" max="2"/>
    <col width="18" customWidth="1" min="3" max="3"/>
    <col width="18" customWidth="1" min="4" max="4"/>
    <col width="22" customWidth="1" min="5" max="5"/>
    <col width="13" customWidth="1" min="6" max="6"/>
    <col width="16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SENARYO — Üretim Kârı %12,5 KV Optimizasyonu</t>
        </is>
      </c>
    </row>
    <row r="3" ht="22" customHeight="1">
      <c r="A3" s="225" t="inlineStr">
        <is>
          <t>Senaryo ve duyarlılık</t>
        </is>
      </c>
    </row>
    <row r="5">
      <c r="A5" s="51" t="inlineStr">
        <is>
          <t>Senaryo</t>
        </is>
      </c>
      <c r="B5" s="51" t="inlineStr">
        <is>
          <t>Matrah Çarpanı</t>
        </is>
      </c>
      <c r="C5" s="51" t="inlineStr">
        <is>
          <t>Matrah</t>
        </is>
      </c>
      <c r="D5" s="51" t="inlineStr">
        <is>
          <t>Tasarruf</t>
        </is>
      </c>
      <c r="E5" s="51" t="inlineStr">
        <is>
          <t>Karar</t>
        </is>
      </c>
      <c r="G5" s="51" t="inlineStr">
        <is>
          <t>TasarrufDemo</t>
        </is>
      </c>
    </row>
    <row r="6">
      <c r="A6" s="7" t="inlineStr">
        <is>
          <t>İyimser</t>
        </is>
      </c>
      <c r="B6" s="25">
        <f>IFERROR(ukv_senaryoIyi+N(GIRDI!B9)*ukv_sifirCarpan,0)</f>
        <v/>
      </c>
      <c r="C6" s="26">
        <f>IFERROR(MOTOR!G40,0)</f>
        <v/>
      </c>
      <c r="D6" s="26">
        <f>IFERROR(MOTOR!G42,0)</f>
        <v/>
      </c>
      <c r="E6" s="27">
        <f>IF(COUNTA(tblGirdi[Alan Anahtarı])=0,"VERİ YOK",IF(D6&gt;=MOTOR!G10,"UYGULA",IF(D6&gt;=MOTOR!G11,"İNCELE","UYGULAMA")))</f>
        <v/>
      </c>
      <c r="G6" s="29" t="n">
        <v>1402500</v>
      </c>
    </row>
    <row r="7">
      <c r="A7" s="7" t="inlineStr">
        <is>
          <t>Baz</t>
        </is>
      </c>
      <c r="B7" s="25">
        <f>IFERROR(ukv_bazCarpan+N(GIRDI!B9)*ukv_sifirCarpan,ukv_bazCarpan)</f>
        <v/>
      </c>
      <c r="C7" s="26">
        <f>IFERROR(ukv_matrah,0)</f>
        <v/>
      </c>
      <c r="D7" s="26">
        <f>IFERROR(ukv_tasarruf,0)</f>
        <v/>
      </c>
      <c r="E7" s="27">
        <f>IF(COUNTA(tblGirdi[Alan Anahtarı])=0,"VERİ YOK",IFERROR(ukv_kararMetni,"-"))</f>
        <v/>
      </c>
      <c r="G7" s="29" t="n">
        <v>1275000</v>
      </c>
    </row>
    <row r="8">
      <c r="A8" s="7" t="inlineStr">
        <is>
          <t>Kötümser</t>
        </is>
      </c>
      <c r="B8" s="25">
        <f>IFERROR(ukv_senaryoKotu+N(GIRDI!B9)*ukv_sifirCarpan,0)</f>
        <v/>
      </c>
      <c r="C8" s="26">
        <f>IFERROR(MOTOR!G41,0)</f>
        <v/>
      </c>
      <c r="D8" s="26">
        <f>IFERROR(MOTOR!G43,0)</f>
        <v/>
      </c>
      <c r="E8" s="27">
        <f>IF(COUNTA(tblGirdi[Alan Anahtarı])=0,"VERİ YOK",IF(D8&gt;=MOTOR!G10,"UYGULA",IF(D8&gt;=MOTOR!G11,"İNCELE","UYGULAMA")))</f>
        <v/>
      </c>
      <c r="G8" s="29" t="n">
        <v>1083750</v>
      </c>
    </row>
    <row r="9">
      <c r="A9" s="7" t="inlineStr">
        <is>
          <t>M-SEN oran+1</t>
        </is>
      </c>
      <c r="B9" s="25">
        <f>IFERROR(ukv_bazCarpan+N(GIRDI!B9)*ukv_sifirCarpan,ukv_bazCarpan)</f>
        <v/>
      </c>
      <c r="C9" s="26">
        <f>IFERROR(ukv_matrah,0)</f>
        <v/>
      </c>
      <c r="D9" s="26">
        <f>IFERROR(MOTOR!G46,0)</f>
        <v/>
      </c>
      <c r="E9" s="27">
        <f>IF(COUNTA(tblGirdi[Alan Anahtarı])=0,"VERİ YOK",IF(D9&gt;=MOTOR!G10,"UYGULA",IF(D9&gt;=MOTOR!G11,"İNCELE","UYGULAMA")))</f>
        <v/>
      </c>
      <c r="G9" s="29" t="n">
        <v>1147500</v>
      </c>
    </row>
    <row r="11">
      <c r="A11" s="10" t="inlineStr">
        <is>
          <t>Senaryo bant genişliği (iyimser−kötümser tasarruf)</t>
        </is>
      </c>
      <c r="B11" s="26">
        <f>IFERROR(D6-D8,0)</f>
        <v/>
      </c>
    </row>
    <row r="12">
      <c r="A12" s="10" t="inlineStr">
        <is>
          <t>Senaryo yorumu</t>
        </is>
      </c>
      <c r="B12" s="21">
        <f>IFERROR(_xlfn.TEXTJOIN("; ",TRUE,"İyimser tasarruf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1" t="inlineStr">
        <is>
          <t>Değişken</t>
        </is>
      </c>
      <c r="B15" s="51" t="inlineStr">
        <is>
          <t>Etki [₺]</t>
        </is>
      </c>
      <c r="C15" s="51" t="inlineStr">
        <is>
          <t>Sıra</t>
        </is>
      </c>
      <c r="E15" s="51" t="inlineStr">
        <is>
          <t>EtkiDemo</t>
        </is>
      </c>
    </row>
    <row r="16">
      <c r="A16" s="7" t="inlineStr">
        <is>
          <t>Tornado hasılat etkisi</t>
        </is>
      </c>
      <c r="B16" s="26">
        <f>IFERROR(MOTOR!G49,0)</f>
        <v/>
      </c>
      <c r="C16" s="36">
        <f>IFERROR(IF(B16&gt;=MAX(B16:B18),ukv_siraBir,IF(B16&gt;=MIN(B16:B18)+ABS(B16-B17),ukv_siraIki,ukv_siraUc)),ukv_siraUc)</f>
        <v/>
      </c>
      <c r="E16" s="29" t="n">
        <v>250000</v>
      </c>
    </row>
    <row r="17">
      <c r="A17" s="7" t="inlineStr">
        <is>
          <t>Tornado maliyet etkisi</t>
        </is>
      </c>
      <c r="B17" s="26">
        <f>IFERROR(MOTOR!G50,0)</f>
        <v/>
      </c>
      <c r="C17" s="36">
        <f>IFERROR(IF(B17&gt;=MAX(B16:B18),ukv_siraBir,IF(B17=MEDIAN(B16:B18),ukv_siraIki,ukv_siraUc)),ukv_siraUc)</f>
        <v/>
      </c>
      <c r="E17" s="29" t="n">
        <v>180000</v>
      </c>
    </row>
    <row r="18">
      <c r="A18" s="7" t="inlineStr">
        <is>
          <t>Tornado oran etkisi</t>
        </is>
      </c>
      <c r="B18" s="26">
        <f>IFERROR(MOTOR!G51,0)</f>
        <v/>
      </c>
      <c r="C18" s="36">
        <f>IFERROR(IF(B18&gt;=MAX(B16:B18),ukv_siraBir,IF(B18=MEDIAN(B16:B18),ukv_siraIki,ukv_siraUc)),ukv_siraUc)</f>
        <v/>
      </c>
      <c r="E18" s="29" t="n">
        <v>127500</v>
      </c>
    </row>
    <row r="19">
      <c r="A19" s="10" t="inlineStr">
        <is>
          <t>Duyarlılık sıra özeti</t>
        </is>
      </c>
      <c r="B19" s="27">
        <f>IFERROR(CONCATENATE("1)",INDEX(A16:A18,MATCH(ukv_siraBir,C16:C18,0))," 2)",INDEX(A16:A18,MATCH(ukv_siraIki,C16:C18,0))),"-")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tasarruf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",TRUE,"İndirimli oran +1 puan senaryosunda tasarruf ",TEXT(D9,"₺ #,##0")," TL")</f>
        <v/>
      </c>
    </row>
    <row r="25">
      <c r="A25" s="10" t="inlineStr">
        <is>
          <t>Tahmin aralığı (tasarruf)</t>
        </is>
      </c>
      <c r="B25" s="26">
        <f>MOTOR!G48</f>
        <v/>
      </c>
      <c r="C25" s="26">
        <f>IFERROR(MOTOR!G26,0)</f>
        <v/>
      </c>
      <c r="D25" s="26">
        <f>MOTOR!G47</f>
        <v/>
      </c>
    </row>
    <row r="26">
      <c r="A26" s="10" t="inlineStr">
        <is>
          <t>Tahmin (AVERAGE)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2" t="n">
        <v>1</v>
      </c>
      <c r="B28" s="26">
        <f>D6</f>
        <v/>
      </c>
      <c r="D28" s="29" t="n">
        <v>1402500</v>
      </c>
    </row>
    <row r="29">
      <c r="A29" s="52" t="n">
        <v>2</v>
      </c>
      <c r="B29" s="26">
        <f>D7</f>
        <v/>
      </c>
      <c r="D29" s="29" t="n">
        <v>1275000</v>
      </c>
    </row>
    <row r="30">
      <c r="A30" s="52" t="n">
        <v>3</v>
      </c>
      <c r="B30" s="26">
        <f>D8</f>
        <v/>
      </c>
      <c r="D30" s="29" t="n">
        <v>1083750</v>
      </c>
    </row>
    <row r="31">
      <c r="A31" s="52" t="n">
        <v>4</v>
      </c>
      <c r="B31" s="26">
        <f>D9</f>
        <v/>
      </c>
      <c r="D31" s="29" t="n">
        <v>1147500</v>
      </c>
    </row>
    <row r="32">
      <c r="A32" s="7" t="inlineStr">
        <is>
          <t>Tahmin sonraki</t>
        </is>
      </c>
      <c r="B32" s="26">
        <f>IFERROR(AVERAGE(B28:B31),0)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2:H12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ISNUMBER(SEARCH("UYGULAMA",E6))</formula>
    </cfRule>
    <cfRule type="expression" priority="4" dxfId="3">
      <formula>AND(ISNUMBER(SEARCH("UYGULA",E6)),NOT(ISNUMBER(SEARCH("UYGULAMA",E6))))</formula>
    </cfRule>
    <cfRule type="expression" priority="5" dxfId="4">
      <formula>ISNUMBER(SEARCH("İNCELE",E6))</formula>
    </cfRule>
  </conditionalFormatting>
  <conditionalFormatting sqref="B16:B18">
    <cfRule type="cellIs" priority="6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35.5" customWidth="1" min="2" max="2"/>
    <col width="44.5" customWidth="1" min="3" max="3"/>
    <col width="18.5" customWidth="1" min="4" max="4"/>
    <col width="14.5" customWidth="1" min="5" max="5"/>
    <col width="12" customWidth="1" min="6" max="6"/>
    <col width="12" customWidth="1" min="7" max="7"/>
    <col width="28" customWidth="1" min="8" max="8"/>
    <col width="13" customWidth="1" min="9" max="9"/>
    <col width="16.5" customWidth="1" min="10" max="10"/>
    <col width="13.5" customWidth="1" min="11" max="11"/>
    <col width="13" customWidth="1" min="12" max="12"/>
  </cols>
  <sheetData>
    <row r="1" ht="32" customHeight="1">
      <c r="A1" s="205" t="inlineStr">
        <is>
          <t>VAKALAR — Üretim Kârı %12,5 KV Optimizasyonu</t>
        </is>
      </c>
    </row>
    <row r="3" ht="22" customHeight="1">
      <c r="A3" s="225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1" t="inlineStr">
        <is>
          <t>BeklenenDemo</t>
        </is>
      </c>
      <c r="K5" s="51" t="inlineStr">
        <is>
          <t>HesapDemo</t>
        </is>
      </c>
    </row>
    <row r="6">
      <c r="A6" s="7" t="inlineStr">
        <is>
          <t>V-001</t>
        </is>
      </c>
      <c r="B6" s="7" t="inlineStr">
        <is>
          <t>Matrah × indirimli oran</t>
        </is>
      </c>
      <c r="C6" s="7" t="inlineStr">
        <is>
          <t>matrah=vaka_matrah_1; oran=UKV-001(2026)</t>
        </is>
      </c>
      <c r="D6" s="53" t="n">
        <v>125000</v>
      </c>
      <c r="E6" s="26">
        <f>IFERROR(ROUND(vaka_matrah_1*INDEX(tblKurallar[deger_2026],MATCH("UKV-001",tblKurallar[kural_id],0)),2),0)</f>
        <v/>
      </c>
      <c r="F6" s="54">
        <f>IF($A6="","",IFERROR($D6-$E6,0))</f>
        <v/>
      </c>
      <c r="G6" s="55">
        <f>IF($A6="","",IFERROR(IF(ABS($F6)&lt;=ukv_tolerans,"TUTARLI","KIRIK"),"KIRIK"))</f>
        <v/>
      </c>
      <c r="H6" s="7" t="inlineStr">
        <is>
          <t>KVK md.32 indirimli</t>
        </is>
      </c>
      <c r="J6" s="29" t="n">
        <v>125000</v>
      </c>
      <c r="K6" s="29" t="n">
        <v>125000</v>
      </c>
    </row>
    <row r="7">
      <c r="A7" s="7" t="inlineStr">
        <is>
          <t>V-002</t>
        </is>
      </c>
      <c r="B7" s="7" t="inlineStr">
        <is>
          <t>Matrah × standart oran</t>
        </is>
      </c>
      <c r="C7" s="7" t="inlineStr">
        <is>
          <t>matrah=vaka_matrah_1; oran=UKV-002</t>
        </is>
      </c>
      <c r="D7" s="53" t="n">
        <v>250000</v>
      </c>
      <c r="E7" s="26">
        <f>IFERROR(ROUND(vaka_matrah_1*INDEX(tblKurallar[deger_2025],MATCH("UKV-002",tblKurallar[kural_id],0)),2),0)</f>
        <v/>
      </c>
      <c r="F7" s="54">
        <f>IF($A7="","",IFERROR($D7-$E7,0))</f>
        <v/>
      </c>
      <c r="G7" s="55">
        <f>IF($A7="","",IFERROR(IF(ABS($F7)&lt;=ukv_tolerans,"TUTARLI","KIRIK"),"KIRIK"))</f>
        <v/>
      </c>
      <c r="H7" s="7" t="inlineStr">
        <is>
          <t>KVK md.32 standart</t>
        </is>
      </c>
      <c r="J7" s="29" t="n">
        <v>250000</v>
      </c>
      <c r="K7" s="29" t="n">
        <v>250000</v>
      </c>
    </row>
    <row r="8">
      <c r="A8" s="7" t="inlineStr">
        <is>
          <t>V-003</t>
        </is>
      </c>
      <c r="B8" s="7" t="inlineStr">
        <is>
          <t>Tasarruf = standart − indirimli</t>
        </is>
      </c>
      <c r="C8" s="7" t="inlineStr">
        <is>
          <t>V-002 − V-001</t>
        </is>
      </c>
      <c r="D8" s="53" t="n">
        <v>125000</v>
      </c>
      <c r="E8" s="26">
        <f>IFERROR(ROUND(vaka_matrah_1*INDEX(tblKurallar[deger_2025],MATCH("UKV-002",tblKurallar[kural_id],0))-vaka_matrah_1*INDEX(tblKurallar[deger_2026],MATCH("UKV-001",tblKurallar[kural_id],0)),2),0)</f>
        <v/>
      </c>
      <c r="F8" s="54">
        <f>IF($A8="","",IFERROR($D8-$E8,0))</f>
        <v/>
      </c>
      <c r="G8" s="55">
        <f>IF($A8="","",IFERROR(IF(ABS($F8)&lt;=ukv_tolerans,"TUTARLI","KIRIK"),"KIRIK"))</f>
        <v/>
      </c>
      <c r="H8" s="7" t="inlineStr">
        <is>
          <t>Tasarruf farkı</t>
        </is>
      </c>
      <c r="J8" s="29" t="n">
        <v>125000</v>
      </c>
      <c r="K8" s="29" t="n">
        <v>125000</v>
      </c>
    </row>
    <row r="9">
      <c r="A9" s="7" t="inlineStr">
        <is>
          <t>V-004</t>
        </is>
      </c>
      <c r="B9" s="7" t="inlineStr">
        <is>
          <t>Küçük matrah × indirimli</t>
        </is>
      </c>
      <c r="C9" s="7" t="inlineStr">
        <is>
          <t>matrah=vaka_matrah_2; oran=UKV-001(2026)</t>
        </is>
      </c>
      <c r="D9" s="53" t="n">
        <v>25000</v>
      </c>
      <c r="E9" s="26">
        <f>IFERROR(ROUND(vaka_matrah_2*INDEX(tblKurallar[deger_2026],MATCH("UKV-001",tblKurallar[kural_id],0)),2),0)</f>
        <v/>
      </c>
      <c r="F9" s="54">
        <f>IF($A9="","",IFERROR($D9-$E9,0))</f>
        <v/>
      </c>
      <c r="G9" s="55">
        <f>IF($A9="","",IFERROR(IF(ABS($F9)&lt;=ukv_tolerans,"TUTARLI","KIRIK"),"KIRIK"))</f>
        <v/>
      </c>
      <c r="H9" s="7" t="inlineStr">
        <is>
          <t>UKV-001 küçük matrah</t>
        </is>
      </c>
      <c r="J9" s="29" t="n">
        <v>25000</v>
      </c>
      <c r="K9" s="29" t="n">
        <v>25000</v>
      </c>
    </row>
    <row r="12">
      <c r="A12" s="10" t="inlineStr">
        <is>
          <t>Vaka durum özeti</t>
        </is>
      </c>
      <c r="B12" s="56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9">
    <cfRule type="expression" priority="1" dxfId="1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4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96.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KANIT RAPORU — Üretim Kârı %12,5 KV Optimizasyonu</t>
        </is>
      </c>
    </row>
    <row r="3" ht="22" customHeight="1">
      <c r="A3" s="225" t="inlineStr">
        <is>
          <t>KANIT RAPORU — Üretim Kârı %12,5 KV</t>
        </is>
      </c>
    </row>
    <row r="4">
      <c r="A4" s="7" t="inlineStr">
        <is>
          <t>Rapor tarihi</t>
        </is>
      </c>
      <c r="B4" s="58">
        <f>raporTarihi</f>
        <v/>
      </c>
    </row>
    <row r="5">
      <c r="A5" s="7" t="inlineStr">
        <is>
          <t>Şirket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Üretim hasılatı</t>
        </is>
      </c>
      <c r="B9" s="26">
        <f>GIRDI!B9</f>
        <v/>
      </c>
    </row>
    <row r="10">
      <c r="A10" s="7" t="inlineStr">
        <is>
          <t>Üretim maliyeti</t>
        </is>
      </c>
      <c r="B10" s="26">
        <f>GIRDI!B10</f>
        <v/>
      </c>
    </row>
    <row r="11">
      <c r="A11" s="7" t="inlineStr">
        <is>
          <t>Genel yönetim payı</t>
        </is>
      </c>
      <c r="B11" s="26">
        <f>GIRDI!B11</f>
        <v/>
      </c>
    </row>
    <row r="12">
      <c r="A12" s="7" t="inlineStr">
        <is>
          <t>Finansman gider payı</t>
        </is>
      </c>
      <c r="B12" s="26">
        <f>GIRDI!B12</f>
        <v/>
      </c>
    </row>
    <row r="13">
      <c r="A13" s="7" t="inlineStr">
        <is>
          <t>Diğer faaliyet kârı</t>
        </is>
      </c>
      <c r="B13" s="26">
        <f>GIRDI!B13</f>
        <v/>
      </c>
    </row>
    <row r="14">
      <c r="A14" s="7" t="inlineStr">
        <is>
          <t>İstisna tutarı</t>
        </is>
      </c>
      <c r="B14" s="26">
        <f>GIRDI!B14</f>
        <v/>
      </c>
    </row>
    <row r="16">
      <c r="A16" s="5" t="inlineStr">
        <is>
          <t>Hesap zinciri</t>
        </is>
      </c>
    </row>
    <row r="17">
      <c r="A17" s="7" t="inlineStr">
        <is>
          <t>Matrah</t>
        </is>
      </c>
      <c r="B17" s="35">
        <f>ukv_matrah</f>
        <v/>
      </c>
    </row>
    <row r="18">
      <c r="A18" s="7" t="inlineStr">
        <is>
          <t>Standart KV</t>
        </is>
      </c>
      <c r="B18" s="26">
        <f>MOTOR!G24</f>
        <v/>
      </c>
    </row>
    <row r="19">
      <c r="A19" s="7" t="inlineStr">
        <is>
          <t>İndirimli KV</t>
        </is>
      </c>
      <c r="B19" s="26">
        <f>MOTOR!G25</f>
        <v/>
      </c>
    </row>
    <row r="20">
      <c r="A20" s="7" t="inlineStr">
        <is>
          <t>Tasarruf</t>
        </is>
      </c>
      <c r="B20" s="35">
        <f>ukv_tasarruf</f>
        <v/>
      </c>
    </row>
    <row r="21">
      <c r="A21" s="10" t="inlineStr">
        <is>
          <t>KARAR</t>
        </is>
      </c>
      <c r="B21" s="59">
        <f>ukv_kararMetni</f>
        <v/>
      </c>
    </row>
    <row r="22">
      <c r="A22" s="7" t="inlineStr">
        <is>
          <t>Gerekçe</t>
        </is>
      </c>
      <c r="B22" s="21">
        <f>ukv_kararGerekce</f>
        <v/>
      </c>
    </row>
    <row r="24">
      <c r="A24" s="10" t="inlineStr">
        <is>
          <t>Madde atıfları</t>
        </is>
      </c>
      <c r="B24" s="21">
        <f>ukv_maddeAtifMetni</f>
        <v/>
      </c>
    </row>
    <row r="26">
      <c r="A26" s="10" t="inlineStr">
        <is>
          <t>Kanıt gövdesi</t>
        </is>
      </c>
      <c r="B26" s="21">
        <f>ukv_kanitRaporu</f>
        <v/>
      </c>
    </row>
    <row r="28">
      <c r="A28" s="7" t="inlineStr">
        <is>
          <t>Parmak izi (SHA-256 kısaltma)</t>
        </is>
      </c>
      <c r="B28" s="28">
        <f>ukv_parmakIzi</f>
        <v/>
      </c>
    </row>
    <row r="30">
      <c r="A30" s="7" t="inlineStr">
        <is>
          <t>Hazırlayan (imza)</t>
        </is>
      </c>
      <c r="B30" s="60" t="inlineStr"/>
    </row>
    <row r="31">
      <c r="A31" s="7" t="inlineStr">
        <is>
          <t>Onaylayan (imza)</t>
        </is>
      </c>
      <c r="B31" s="60" t="inlineStr"/>
    </row>
    <row r="33">
      <c r="A33" s="13" t="inlineStr">
        <is>
          <t>Uyarı: Bu çıktı karar destektir; kesin vergi sonucu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33:F33"/>
    <mergeCell ref="B24:F24"/>
    <mergeCell ref="A1:I1"/>
    <mergeCell ref="A3:I3"/>
    <mergeCell ref="B22:F22"/>
    <mergeCell ref="B26:F26"/>
  </mergeCells>
  <conditionalFormatting sqref="B21">
    <cfRule type="expression" priority="1" dxfId="0">
      <formula>ISNUMBER(SEARCH("UYGULAMA",B21))</formula>
    </cfRule>
    <cfRule type="expression" priority="2" dxfId="1">
      <formula>AND(ISNUMBER(SEARCH("UYGULA",B21)),NOT(ISNUMBER(SEARCH("UYGULAMA",B21))))</formula>
    </cfRule>
    <cfRule type="expression" priority="3" dxfId="2">
      <formula>ISNUMBER(SEARCH("İNCELE",B21))</formula>
    </cfRule>
  </conditionalFormatting>
  <conditionalFormatting sqref="B20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&amp;LÜretim Kârı %12,5 KV Optimizasyonu · 1.0.0&amp;CExcelArşiv&amp;RSayfa &amp;P / &amp;N</oddFooter>
    <evenHeader/>
    <evenFooter>&amp;LÜretim Kârı %12,5 KV Optimizasyonu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KONTROLLER — Üretim Kârı %12,5 KV Optimizasyonu</t>
        </is>
      </c>
    </row>
    <row r="3" ht="22" customHeight="1">
      <c r="A3" s="225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hasılat?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IFERROR(IF(AND(N(hesapYili)&gt;N(ukv_yilTaban),N(hesapYili)&lt;=N(ukv_yilTaban)+3),"TEMİZ","HATALI"),"HATALI")</f>
        <v/>
      </c>
    </row>
    <row r="8">
      <c r="A8" s="7" t="inlineStr">
        <is>
          <t>Matrah sıfır mı?</t>
        </is>
      </c>
      <c r="B8" s="27">
        <f>IF(IFERROR(MOTOR!G23,0)=0,"SIFIR","NORMAL")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Tasarruf eşiği aşıyor mu?</t>
        </is>
      </c>
      <c r="B10" s="27">
        <f>IF(IFERROR(MOTOR!G26,0)&gt;ukv_kacirilanEsik+N(GIRDI!B9)*ukv_sifirCarpan,"AŞIYOR","NORMAL")</f>
        <v/>
      </c>
    </row>
    <row r="11">
      <c r="A11" s="7" t="inlineStr">
        <is>
          <t>Yorum A/B seçili mi?</t>
        </is>
      </c>
      <c r="B11" s="27">
        <f>IF(OR(GIRDI!B15="A",GIRDI!B15="B"),"TEMİZ","EKSİK")</f>
        <v/>
      </c>
    </row>
    <row r="12">
      <c r="A12" s="10" t="inlineStr">
        <is>
          <t>Kalite skoru (modül)</t>
        </is>
      </c>
      <c r="B12" s="61">
        <f>IFERROR(ROUND(IF(OR(B14=0,B14=""),0,B15/B14*100),0),0)</f>
        <v/>
      </c>
    </row>
    <row r="14">
      <c r="A14" s="7" t="inlineStr">
        <is>
          <t>Toplam giriş alanı</t>
        </is>
      </c>
      <c r="B14" s="36">
        <f>IFERROR(ukv_girisBeklenen+COUNTA(GIRDI!B6:B15)*0,0)</f>
        <v/>
      </c>
    </row>
    <row r="15">
      <c r="A15" s="7" t="inlineStr">
        <is>
          <t>Dolu giriş</t>
        </is>
      </c>
      <c r="B15" s="36">
        <f>COUNTA(GIRDI!B6:B15)</f>
        <v/>
      </c>
    </row>
    <row r="17">
      <c r="A17" s="7" t="inlineStr">
        <is>
          <t>Matrah kontrol</t>
        </is>
      </c>
      <c r="B17" s="26">
        <f>IFERROR(ukv_matrah,0)</f>
        <v/>
      </c>
    </row>
    <row r="18">
      <c r="A18" s="7" t="inlineStr">
        <is>
          <t>Tasarruf kontrol</t>
        </is>
      </c>
      <c r="B18" s="26">
        <f>IFERROR(ukv_tasarruf,0)</f>
        <v/>
      </c>
    </row>
    <row r="19">
      <c r="A19" s="7" t="inlineStr">
        <is>
          <t>Karar kontrol</t>
        </is>
      </c>
      <c r="B19" s="27">
        <f>IFERROR(ukv_kararMetni,"-")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1">
      <formula>OR(B5="TEMİZ",B5="DOLU",B5="NORMAL",B5="TUTARLI")</formula>
    </cfRule>
  </conditionalFormatting>
  <conditionalFormatting sqref="B12">
    <cfRule type="cellIs" priority="3" operator="greaterThanOrEqual" dxfId="3">
      <formula>80</formula>
    </cfRule>
    <cfRule type="cellIs" priority="4" operator="lessThan" dxfId="5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.5" customWidth="1" min="9" max="9"/>
    <col width="14" customWidth="1" min="10" max="10"/>
    <col width="14" customWidth="1" min="11" max="11"/>
    <col width="14" customWidth="1" min="12" max="12"/>
    <col width="13" customWidth="1" min="13" max="13"/>
  </cols>
  <sheetData>
    <row r="1" ht="32" customHeight="1">
      <c r="A1" s="205" t="inlineStr">
        <is>
          <t>ORNEK VERI — Üretim Kârı %12,5 KV Optimizasyonu</t>
        </is>
      </c>
    </row>
    <row r="3" ht="22" customHeight="1">
      <c r="A3" s="225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Hasılat</t>
        </is>
      </c>
      <c r="C5" s="22" t="inlineStr">
        <is>
          <t>Maliyet</t>
        </is>
      </c>
      <c r="D5" s="22" t="inlineStr">
        <is>
          <t>GY Payı</t>
        </is>
      </c>
      <c r="E5" s="22" t="inlineStr">
        <is>
          <t>FG Payı</t>
        </is>
      </c>
      <c r="F5" s="22" t="inlineStr">
        <is>
          <t>Diğer</t>
        </is>
      </c>
      <c r="G5" s="22" t="inlineStr">
        <is>
          <t>İstisna</t>
        </is>
      </c>
      <c r="H5" s="22" t="inlineStr">
        <is>
          <t>Yıl</t>
        </is>
      </c>
      <c r="I5" s="22" t="inlineStr">
        <is>
          <t>Üretim Kârı</t>
        </is>
      </c>
      <c r="L5" s="51" t="inlineStr">
        <is>
          <t>KarDemo</t>
        </is>
      </c>
    </row>
    <row r="6">
      <c r="A6" s="37" t="inlineStr">
        <is>
          <t>Demo ana</t>
        </is>
      </c>
      <c r="B6" s="40" t="n">
        <v>40000000</v>
      </c>
      <c r="C6" s="40" t="n">
        <v>28000000</v>
      </c>
      <c r="D6" s="40" t="n">
        <v>1500000</v>
      </c>
      <c r="E6" s="40" t="n">
        <v>500000</v>
      </c>
      <c r="F6" s="40" t="n">
        <v>200000</v>
      </c>
      <c r="G6" s="40" t="n">
        <v>0</v>
      </c>
      <c r="H6" s="39" t="n">
        <v>2026</v>
      </c>
      <c r="I6" s="38">
        <f>IF($A6="","",IFERROR($B6-$C6-$D6-$E6,0))</f>
        <v/>
      </c>
      <c r="L6" s="29" t="n">
        <v>10000000</v>
      </c>
    </row>
    <row r="7">
      <c r="A7" s="37" t="inlineStr">
        <is>
          <t>Yüksek marj</t>
        </is>
      </c>
      <c r="B7" s="40" t="n">
        <v>50000000</v>
      </c>
      <c r="C7" s="40" t="n">
        <v>30000000</v>
      </c>
      <c r="D7" s="40" t="n">
        <v>1000000</v>
      </c>
      <c r="E7" s="40" t="n">
        <v>400000</v>
      </c>
      <c r="F7" s="40" t="n">
        <v>0</v>
      </c>
      <c r="G7" s="40" t="n">
        <v>0</v>
      </c>
      <c r="H7" s="39" t="n">
        <v>2026</v>
      </c>
      <c r="I7" s="38">
        <f>IF($A7="","",IFERROR($B7-$C7-$D7-$E7,0))</f>
        <v/>
      </c>
      <c r="L7" s="29" t="n">
        <v>18600000</v>
      </c>
    </row>
    <row r="8">
      <c r="A8" s="37" t="inlineStr">
        <is>
          <t>Düşük tasarruf</t>
        </is>
      </c>
      <c r="B8" s="40" t="n">
        <v>12000000</v>
      </c>
      <c r="C8" s="40" t="n">
        <v>10500000</v>
      </c>
      <c r="D8" s="40" t="n">
        <v>800000</v>
      </c>
      <c r="E8" s="40" t="n">
        <v>300000</v>
      </c>
      <c r="F8" s="40" t="n">
        <v>0</v>
      </c>
      <c r="G8" s="40" t="n">
        <v>0</v>
      </c>
      <c r="H8" s="39" t="n">
        <v>2026</v>
      </c>
      <c r="I8" s="38">
        <f>IF($A8="","",IFERROR($B8-$C8-$D8-$E8,0))</f>
        <v/>
      </c>
      <c r="L8" s="29" t="n">
        <v>400000</v>
      </c>
    </row>
    <row r="9">
      <c r="A9" s="37" t="inlineStr">
        <is>
          <t>2025 geçiş oranı</t>
        </is>
      </c>
      <c r="B9" s="40" t="n">
        <v>40000000</v>
      </c>
      <c r="C9" s="40" t="n">
        <v>28000000</v>
      </c>
      <c r="D9" s="40" t="n">
        <v>1500000</v>
      </c>
      <c r="E9" s="40" t="n">
        <v>500000</v>
      </c>
      <c r="F9" s="40" t="n">
        <v>200000</v>
      </c>
      <c r="G9" s="40" t="n">
        <v>0</v>
      </c>
      <c r="H9" s="39" t="n">
        <v>2025</v>
      </c>
      <c r="I9" s="38">
        <f>IF($A9="","",IFERROR($B9-$C9-$D9-$E9,0))</f>
        <v/>
      </c>
      <c r="L9" s="29" t="n">
        <v>10000000</v>
      </c>
    </row>
    <row r="10">
      <c r="A10" s="37" t="inlineStr">
        <is>
          <t>İstisna yoğun</t>
        </is>
      </c>
      <c r="B10" s="40" t="n">
        <v>40000000</v>
      </c>
      <c r="C10" s="40" t="n">
        <v>28000000</v>
      </c>
      <c r="D10" s="40" t="n">
        <v>1500000</v>
      </c>
      <c r="E10" s="40" t="n">
        <v>500000</v>
      </c>
      <c r="F10" s="40" t="n">
        <v>200000</v>
      </c>
      <c r="G10" s="40" t="n">
        <v>5000000</v>
      </c>
      <c r="H10" s="39" t="n">
        <v>2026</v>
      </c>
      <c r="I10" s="38">
        <f>IF($A10="","",IFERROR($B10-$C10-$D10-$E10,0))</f>
        <v/>
      </c>
      <c r="L10" s="29" t="n">
        <v>10000000</v>
      </c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8">
        <f>IF($A11="","",IFERROR($B11-$C11-$D11-$E11,0))</f>
        <v/>
      </c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8">
        <f>IF($A12="","",IFERROR($B12-$C12-$D12-$E12,0))</f>
        <v/>
      </c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8">
        <f>IF($A13="","",IFERROR($B13-$C13-$D13-$E13,0))</f>
        <v/>
      </c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8">
        <f>IF($A14="","",IFERROR($B14-$C14-$D14-$E14,0))</f>
        <v/>
      </c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8">
        <f>IF($A15="","",IFERROR($B15-$C15-$D15-$E15,0))</f>
        <v/>
      </c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8">
        <f>IF($A16="","",IFERROR($B16-$C16-$D16-$E16,0))</f>
        <v/>
      </c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8">
        <f>IF($A17="","",IFERROR($B17-$C17-$D17-$E17,0))</f>
        <v/>
      </c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8">
        <f>IF($A18="","",IFERROR($B18-$C18-$D18-$E18,0))</f>
        <v/>
      </c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8">
        <f>IF($A19="","",IFERROR($B19-$C19-$D19-$E19,0))</f>
        <v/>
      </c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8">
        <f>IF($A20="","",IFERROR($B20-$C20-$D20-$E20,0))</f>
        <v/>
      </c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8">
        <f>IF($A21="","",IFERROR($B21-$C21-$D21-$E21,0))</f>
        <v/>
      </c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8">
        <f>IF($A22="","",IFERROR($B22-$C22-$D22-$E22,0))</f>
        <v/>
      </c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8">
        <f>IF($A23="","",IFERROR($B23-$C23-$D23-$E23,0))</f>
        <v/>
      </c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8">
        <f>IF($A24="","",IFERROR($B24-$C24-$D24-$E24,0))</f>
        <v/>
      </c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8">
        <f>IF($A25="","",IFERROR($B25-$C25-$D25-$E25,0))</f>
        <v/>
      </c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8">
        <f>IF($A26="","",IFERROR($B26-$C26-$D26-$E26,0))</f>
        <v/>
      </c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8">
        <f>IF($A27="","",IFERROR($B27-$C27-$D27-$E27,0))</f>
        <v/>
      </c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8">
        <f>IF($A28="","",IFERROR($B28-$C28-$D28-$E28,0))</f>
        <v/>
      </c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8">
        <f>IF($A29="","",IFERROR($B29-$C29-$D29-$E29,0))</f>
        <v/>
      </c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8">
        <f>IF($A30="","",IFERROR($B30-$C30-$D30-$E30,0))</f>
        <v/>
      </c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8">
        <f>IF($A31="","",IFERROR($B31-$C31-$D31-$E31,0))</f>
        <v/>
      </c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8">
        <f>IF($A32="","",IFERROR($B32-$C32-$D32-$E32,0))</f>
        <v/>
      </c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8">
        <f>IF($A33="","",IFERROR($B33-$C33-$D33-$E33,0))</f>
        <v/>
      </c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8">
        <f>IF($A34="","",IFERROR($B34-$C34-$D34-$E34,0))</f>
        <v/>
      </c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8">
        <f>IF($A35="","",IFERROR($B35-$C35-$D35-$E35,0))</f>
        <v/>
      </c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8">
        <f>IF($A36="","",IFERROR($B36-$C36-$D36-$E36,0))</f>
        <v/>
      </c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8">
        <f>IF($A37="","",IFERROR($B37-$C37-$D37-$E37,0))</f>
        <v/>
      </c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8">
        <f>IF($A38="","",IFERROR($B38-$C38-$D38-$E38,0))</f>
        <v/>
      </c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8">
        <f>IF($A39="","",IFERROR($B39-$C39-$D39-$E39,0))</f>
        <v/>
      </c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8">
        <f>IF($A40="","",IFERROR($B40-$C40-$D40-$E40,0))</f>
        <v/>
      </c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8">
        <f>IF($A41="","",IFERROR($B41-$C41-$D41-$E41,0))</f>
        <v/>
      </c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8">
        <f>IF($A42="","",IFERROR($B42-$C42-$D42-$E42,0))</f>
        <v/>
      </c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8">
        <f>IF($A43="","",IFERROR($B43-$C43-$D43-$E43,0))</f>
        <v/>
      </c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8">
        <f>IF($A44="","",IFERROR($B44-$C44-$D44-$E44,0))</f>
        <v/>
      </c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8">
        <f>IF($A45="","",IFERROR($B45-$C45-$D45-$E45,0))</f>
        <v/>
      </c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8">
        <f>IF($A46="","",IFERROR($B46-$C46-$D46-$E46,0))</f>
        <v/>
      </c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8">
        <f>IF($A47="","",IFERROR($B47-$C47-$D47-$E47,0))</f>
        <v/>
      </c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8">
        <f>IF($A48="","",IFERROR($B48-$C48-$D48-$E48,0))</f>
        <v/>
      </c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8">
        <f>IF($A49="","",IFERROR($B49-$C49-$D49-$E49,0))</f>
        <v/>
      </c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8">
        <f>IF($A50="","",IFERROR($B50-$C50-$D50-$E50,0))</f>
        <v/>
      </c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8">
        <f>IF($A51="","",IFERROR($B51-$C51-$D51-$E51,0))</f>
        <v/>
      </c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8">
        <f>IF($A52="","",IFERROR($B52-$C52-$D52-$E52,0))</f>
        <v/>
      </c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8">
        <f>IF($A53="","",IFERROR($B53-$C53-$D53-$E53,0))</f>
        <v/>
      </c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8">
        <f>IF($A54="","",IFERROR($B54-$C54-$D54-$E54,0))</f>
        <v/>
      </c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8">
        <f>IF($A55="","",IFERROR($B55-$C55-$D55-$E55,0))</f>
        <v/>
      </c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8">
        <f>IF($A56="","",IFERROR($B56-$C56-$D56-$E56,0))</f>
        <v/>
      </c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8">
        <f>IF($A57="","",IFERROR($B57-$C57-$D57-$E57,0))</f>
        <v/>
      </c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8">
        <f>IF($A58="","",IFERROR($B58-$C58-$D58-$E58,0))</f>
        <v/>
      </c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8">
        <f>IF($A59="","",IFERROR($B59-$C59-$D59-$E59,0))</f>
        <v/>
      </c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8">
        <f>IF($A60="","",IFERROR($B60-$C60-$D60-$E60,0))</f>
        <v/>
      </c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8">
        <f>IF($A61="","",IFERROR($B61-$C61-$D61-$E61,0))</f>
        <v/>
      </c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8">
        <f>IF($A62="","",IFERROR($B62-$C62-$D62-$E62,0))</f>
        <v/>
      </c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8">
        <f>IF($A63="","",IFERROR($B63-$C63-$D63-$E63,0))</f>
        <v/>
      </c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8">
        <f>IF($A64="","",IFERROR($B64-$C64-$D64-$E64,0))</f>
        <v/>
      </c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8">
        <f>IF($A65="","",IFERROR($B65-$C65-$D65-$E65,0))</f>
        <v/>
      </c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8">
        <f>IF($A66="","",IFERROR($B66-$C66-$D66-$E66,0))</f>
        <v/>
      </c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8">
        <f>IF($A67="","",IFERROR($B67-$C67-$D67-$E67,0))</f>
        <v/>
      </c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8">
        <f>IF($A68="","",IFERROR($B68-$C68-$D68-$E68,0))</f>
        <v/>
      </c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8">
        <f>IF($A69="","",IFERROR($B69-$C69-$D69-$E69,0))</f>
        <v/>
      </c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8">
        <f>IF($A70="","",IFERROR($B70-$C70-$D70-$E70,0))</f>
        <v/>
      </c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8">
        <f>IF($A71="","",IFERROR($B71-$C71-$D71-$E71,0))</f>
        <v/>
      </c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8">
        <f>IF($A72="","",IFERROR($B72-$C72-$D72-$E72,0))</f>
        <v/>
      </c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8">
        <f>IF($A73="","",IFERROR($B73-$C73-$D73-$E73,0))</f>
        <v/>
      </c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8">
        <f>IF($A74="","",IFERROR($B74-$C74-$D74-$E74,0))</f>
        <v/>
      </c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8">
        <f>IF($A75="","",IFERROR($B75-$C75-$D75-$E75,0))</f>
        <v/>
      </c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8">
        <f>IF($A76="","",IFERROR($B76-$C76-$D76-$E76,0))</f>
        <v/>
      </c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8">
        <f>IF($A77="","",IFERROR($B77-$C77-$D77-$E77,0))</f>
        <v/>
      </c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8">
        <f>IF($A78="","",IFERROR($B78-$C78-$D78-$E78,0))</f>
        <v/>
      </c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8">
        <f>IF($A79="","",IFERROR($B79-$C79-$D79-$E79,0))</f>
        <v/>
      </c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8">
        <f>IF($A80="","",IFERROR($B80-$C80-$D80-$E80,0))</f>
        <v/>
      </c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8">
        <f>IF($A81="","",IFERROR($B81-$C81-$D81-$E81,0))</f>
        <v/>
      </c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8">
        <f>IF($A82="","",IFERROR($B82-$C82-$D82-$E82,0))</f>
        <v/>
      </c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8">
        <f>IF($A83="","",IFERROR($B83-$C83-$D83-$E83,0))</f>
        <v/>
      </c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8">
        <f>IF($A84="","",IFERROR($B84-$C84-$D84-$E84,0))</f>
        <v/>
      </c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8">
        <f>IF($A85="","",IFERROR($B85-$C85-$D85-$E85,0))</f>
        <v/>
      </c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8">
        <f>IF($A86="","",IFERROR($B86-$C86-$D86-$E86,0))</f>
        <v/>
      </c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8">
        <f>IF($A87="","",IFERROR($B87-$C87-$D87-$E87,0))</f>
        <v/>
      </c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8">
        <f>IF($A88="","",IFERROR($B88-$C88-$D88-$E88,0))</f>
        <v/>
      </c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8">
        <f>IF($A89="","",IFERROR($B89-$C89-$D89-$E89,0))</f>
        <v/>
      </c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8">
        <f>IF($A90="","",IFERROR($B90-$C90-$D90-$E90,0))</f>
        <v/>
      </c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8">
        <f>IF($A91="","",IFERROR($B91-$C91-$D91-$E91,0))</f>
        <v/>
      </c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8">
        <f>IF($A92="","",IFERROR($B92-$C92-$D92-$E92,0))</f>
        <v/>
      </c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8">
        <f>IF($A93="","",IFERROR($B93-$C93-$D93-$E93,0))</f>
        <v/>
      </c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8">
        <f>IF($A94="","",IFERROR($B94-$C94-$D94-$E94,0))</f>
        <v/>
      </c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8">
        <f>IF($A95="","",IFERROR($B95-$C95-$D95-$E95,0))</f>
        <v/>
      </c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8">
        <f>IF($A96="","",IFERROR($B96-$C96-$D96-$E96,0))</f>
        <v/>
      </c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8">
        <f>IF($A97="","",IFERROR($B97-$C97-$D97-$E97,0))</f>
        <v/>
      </c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8">
        <f>IF($A98="","",IFERROR($B98-$C98-$D98-$E98,0))</f>
        <v/>
      </c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8">
        <f>IF($A99="","",IFERROR($B99-$C99-$D99-$E99,0))</f>
        <v/>
      </c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8">
        <f>IF($A100="","",IFERROR($B100-$C100-$D100-$E100,0))</f>
        <v/>
      </c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8">
        <f>IF($A101="","",IFERROR($B101-$C101-$D101-$E101,0))</f>
        <v/>
      </c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8">
        <f>IF($A102="","",IFERROR($B102-$C102-$D102-$E102,0))</f>
        <v/>
      </c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8">
        <f>IF($A103="","",IFERROR($B103-$C103-$D103-$E103,0))</f>
        <v/>
      </c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8">
        <f>IF($A104="","",IFERROR($B104-$C104-$D104-$E104,0))</f>
        <v/>
      </c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8">
        <f>IF($A105="","",IFERROR($B105-$C105-$D105-$E105,0))</f>
        <v/>
      </c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8">
        <f>IF($A106="","",IFERROR($B106-$C106-$D106-$E106,0))</f>
        <v/>
      </c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8">
        <f>IF($A107="","",IFERROR($B107-$C107-$D107-$E107,0))</f>
        <v/>
      </c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8">
        <f>IF($A108="","",IFERROR($B108-$C108-$D108-$E108,0))</f>
        <v/>
      </c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8">
        <f>IF($A109="","",IFERROR($B109-$C109-$D109-$E109,0))</f>
        <v/>
      </c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8">
        <f>IF($A110="","",IFERROR($B110-$C110-$D110-$E110,0))</f>
        <v/>
      </c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8">
        <f>IF($A111="","",IFERROR($B111-$C111-$D111-$E111,0))</f>
        <v/>
      </c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8">
        <f>IF($A112="","",IFERROR($B112-$C112-$D112-$E112,0))</f>
        <v/>
      </c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8">
        <f>IF($A113="","",IFERROR($B113-$C113-$D113-$E113,0))</f>
        <v/>
      </c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8">
        <f>IF($A114="","",IFERROR($B114-$C114-$D114-$E114,0))</f>
        <v/>
      </c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8">
        <f>IF($A115="","",IFERROR($B115-$C115-$D115-$E115,0))</f>
        <v/>
      </c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8">
        <f>IF($A116="","",IFERROR($B116-$C116-$D116-$E116,0))</f>
        <v/>
      </c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8">
        <f>IF($A117="","",IFERROR($B117-$C117-$D117-$E117,0))</f>
        <v/>
      </c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8">
        <f>IF($A118="","",IFERROR($B118-$C118-$D118-$E118,0))</f>
        <v/>
      </c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8">
        <f>IF($A119="","",IFERROR($B119-$C119-$D119-$E119,0))</f>
        <v/>
      </c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8">
        <f>IF($A120="","",IFERROR($B120-$C120-$D120-$E120,0))</f>
        <v/>
      </c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8">
        <f>IF($A121="","",IFERROR($B121-$C121-$D121-$E121,0))</f>
        <v/>
      </c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8">
        <f>IF($A122="","",IFERROR($B122-$C122-$D122-$E122,0))</f>
        <v/>
      </c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8">
        <f>IF($A123="","",IFERROR($B123-$C123-$D123-$E123,0))</f>
        <v/>
      </c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8">
        <f>IF($A124="","",IFERROR($B124-$C124-$D124-$E124,0))</f>
        <v/>
      </c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8">
        <f>IF($A125="","",IFERROR($B125-$C125-$D125-$E125,0))</f>
        <v/>
      </c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8">
        <f>IF($A126="","",IFERROR($B126-$C126-$D126-$E126,0))</f>
        <v/>
      </c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8">
        <f>IF($A127="","",IFERROR($B127-$C127-$D127-$E127,0))</f>
        <v/>
      </c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8">
        <f>IF($A128="","",IFERROR($B128-$C128-$D128-$E128,0))</f>
        <v/>
      </c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8">
        <f>IF($A129="","",IFERROR($B129-$C129-$D129-$E129,0))</f>
        <v/>
      </c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8">
        <f>IF($A130="","",IFERROR($B130-$C130-$D130-$E130,0))</f>
        <v/>
      </c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8">
        <f>IF($A131="","",IFERROR($B131-$C131-$D131-$E131,0))</f>
        <v/>
      </c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8">
        <f>IF($A132="","",IFERROR($B132-$C132-$D132-$E132,0))</f>
        <v/>
      </c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8">
        <f>IF($A133="","",IFERROR($B133-$C133-$D133-$E133,0))</f>
        <v/>
      </c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8">
        <f>IF($A134="","",IFERROR($B134-$C134-$D134-$E134,0))</f>
        <v/>
      </c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8">
        <f>IF($A135="","",IFERROR($B135-$C135-$D135-$E135,0))</f>
        <v/>
      </c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8">
        <f>IF($A136="","",IFERROR($B136-$C136-$D136-$E136,0))</f>
        <v/>
      </c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8">
        <f>IF($A137="","",IFERROR($B137-$C137-$D137-$E137,0))</f>
        <v/>
      </c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8">
        <f>IF($A138="","",IFERROR($B138-$C138-$D138-$E138,0))</f>
        <v/>
      </c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8">
        <f>IF($A139="","",IFERROR($B139-$C139-$D139-$E139,0))</f>
        <v/>
      </c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8">
        <f>IF($A140="","",IFERROR($B140-$C140-$D140-$E140,0))</f>
        <v/>
      </c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8">
        <f>IF($A141="","",IFERROR($B141-$C141-$D141-$E141,0))</f>
        <v/>
      </c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8">
        <f>IF($A142="","",IFERROR($B142-$C142-$D142-$E142,0))</f>
        <v/>
      </c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8">
        <f>IF($A143="","",IFERROR($B143-$C143-$D143-$E143,0))</f>
        <v/>
      </c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8">
        <f>IF($A144="","",IFERROR($B144-$C144-$D144-$E144,0))</f>
        <v/>
      </c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8">
        <f>IF($A145="","",IFERROR($B145-$C145-$D145-$E145,0))</f>
        <v/>
      </c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8">
        <f>IF($A146="","",IFERROR($B146-$C146-$D146-$E146,0))</f>
        <v/>
      </c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8">
        <f>IF($A147="","",IFERROR($B147-$C147-$D147-$E147,0))</f>
        <v/>
      </c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8">
        <f>IF($A148="","",IFERROR($B148-$C148-$D148-$E148,0))</f>
        <v/>
      </c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8">
        <f>IF($A149="","",IFERROR($B149-$C149-$D149-$E149,0))</f>
        <v/>
      </c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8">
        <f>IF($A150="","",IFERROR($B150-$C150-$D150-$E150,0))</f>
        <v/>
      </c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8">
        <f>IF($A151="","",IFERROR($B151-$C151-$D151-$E151,0))</f>
        <v/>
      </c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8">
        <f>IF($A152="","",IFERROR($B152-$C152-$D152-$E152,0))</f>
        <v/>
      </c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8">
        <f>IF($A153="","",IFERROR($B153-$C153-$D153-$E153,0))</f>
        <v/>
      </c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8">
        <f>IF($A154="","",IFERROR($B154-$C154-$D154-$E154,0))</f>
        <v/>
      </c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8">
        <f>IF($A155="","",IFERROR($B155-$C155-$D155-$E155,0))</f>
        <v/>
      </c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8">
        <f>IF($A156="","",IFERROR($B156-$C156-$D156-$E156,0))</f>
        <v/>
      </c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8">
        <f>IF($A157="","",IFERROR($B157-$C157-$D157-$E157,0))</f>
        <v/>
      </c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8">
        <f>IF($A158="","",IFERROR($B158-$C158-$D158-$E158,0))</f>
        <v/>
      </c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8">
        <f>IF($A159="","",IFERROR($B159-$C159-$D159-$E159,0))</f>
        <v/>
      </c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8">
        <f>IF($A160="","",IFERROR($B160-$C160-$D160-$E160,0))</f>
        <v/>
      </c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8">
        <f>IF($A161="","",IFERROR($B161-$C161-$D161-$E161,0))</f>
        <v/>
      </c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8">
        <f>IF($A162="","",IFERROR($B162-$C162-$D162-$E162,0))</f>
        <v/>
      </c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8">
        <f>IF($A163="","",IFERROR($B163-$C163-$D163-$E163,0))</f>
        <v/>
      </c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8">
        <f>IF($A164="","",IFERROR($B164-$C164-$D164-$E164,0))</f>
        <v/>
      </c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8">
        <f>IF($A165="","",IFERROR($B165-$C165-$D165-$E165,0))</f>
        <v/>
      </c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8">
        <f>IF($A166="","",IFERROR($B166-$C166-$D166-$E166,0))</f>
        <v/>
      </c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8">
        <f>IF($A167="","",IFERROR($B167-$C167-$D167-$E167,0))</f>
        <v/>
      </c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8">
        <f>IF($A168="","",IFERROR($B168-$C168-$D168-$E168,0))</f>
        <v/>
      </c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8">
        <f>IF($A169="","",IFERROR($B169-$C169-$D169-$E169,0))</f>
        <v/>
      </c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8">
        <f>IF($A170="","",IFERROR($B170-$C170-$D170-$E170,0))</f>
        <v/>
      </c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8">
        <f>IF($A171="","",IFERROR($B171-$C171-$D171-$E171,0))</f>
        <v/>
      </c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8">
        <f>IF($A172="","",IFERROR($B172-$C172-$D172-$E172,0))</f>
        <v/>
      </c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8">
        <f>IF($A173="","",IFERROR($B173-$C173-$D173-$E173,0))</f>
        <v/>
      </c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8">
        <f>IF($A174="","",IFERROR($B174-$C174-$D174-$E174,0))</f>
        <v/>
      </c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8">
        <f>IF($A175="","",IFERROR($B175-$C175-$D175-$E175,0))</f>
        <v/>
      </c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8">
        <f>IF($A176="","",IFERROR($B176-$C176-$D176-$E176,0))</f>
        <v/>
      </c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8">
        <f>IF($A177="","",IFERROR($B177-$C177-$D177-$E177,0))</f>
        <v/>
      </c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8">
        <f>IF($A178="","",IFERROR($B178-$C178-$D178-$E178,0))</f>
        <v/>
      </c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8">
        <f>IF($A179="","",IFERROR($B179-$C179-$D179-$E179,0))</f>
        <v/>
      </c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8">
        <f>IF($A180="","",IFERROR($B180-$C180-$D180-$E180,0))</f>
        <v/>
      </c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8">
        <f>IF($A181="","",IFERROR($B181-$C181-$D181-$E181,0))</f>
        <v/>
      </c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8">
        <f>IF($A182="","",IFERROR($B182-$C182-$D182-$E182,0))</f>
        <v/>
      </c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8">
        <f>IF($A183="","",IFERROR($B183-$C183-$D183-$E183,0))</f>
        <v/>
      </c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8">
        <f>IF($A184="","",IFERROR($B184-$C184-$D184-$E184,0))</f>
        <v/>
      </c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8">
        <f>IF($A185="","",IFERROR($B185-$C185-$D185-$E185,0))</f>
        <v/>
      </c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8">
        <f>IF($A186="","",IFERROR($B186-$C186-$D186-$E186,0))</f>
        <v/>
      </c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8">
        <f>IF($A187="","",IFERROR($B187-$C187-$D187-$E187,0))</f>
        <v/>
      </c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8">
        <f>IF($A188="","",IFERROR($B188-$C188-$D188-$E188,0))</f>
        <v/>
      </c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8">
        <f>IF($A189="","",IFERROR($B189-$C189-$D189-$E189,0))</f>
        <v/>
      </c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8">
        <f>IF($A190="","",IFERROR($B190-$C190-$D190-$E190,0))</f>
        <v/>
      </c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8">
        <f>IF($A191="","",IFERROR($B191-$C191-$D191-$E191,0))</f>
        <v/>
      </c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8">
        <f>IF($A192="","",IFERROR($B192-$C192-$D192-$E192,0))</f>
        <v/>
      </c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8">
        <f>IF($A193="","",IFERROR($B193-$C193-$D193-$E193,0))</f>
        <v/>
      </c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8">
        <f>IF($A194="","",IFERROR($B194-$C194-$D194-$E194,0))</f>
        <v/>
      </c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8">
        <f>IF($A195="","",IFERROR($B195-$C195-$D195-$E195,0))</f>
        <v/>
      </c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8">
        <f>IF($A196="","",IFERROR($B196-$C196-$D196-$E196,0))</f>
        <v/>
      </c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8">
        <f>IF($A197="","",IFERROR($B197-$C197-$D197-$E197,0))</f>
        <v/>
      </c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8">
        <f>IF($A198="","",IFERROR($B198-$C198-$D198-$E198,0))</f>
        <v/>
      </c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8">
        <f>IF($A199="","",IFERROR($B199-$C199-$D199-$E199,0))</f>
        <v/>
      </c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8">
        <f>IF($A200="","",IFERROR($B200-$C200-$D200-$E200,0))</f>
        <v/>
      </c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8">
        <f>IF($A201="","",IFERROR($B201-$C201-$D201-$E201,0))</f>
        <v/>
      </c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8">
        <f>IF($A202="","",IFERROR($B202-$C202-$D202-$E202,0))</f>
        <v/>
      </c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8">
        <f>IF($A203="","",IFERROR($B203-$C203-$D203-$E203,0))</f>
        <v/>
      </c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8">
        <f>IF($A204="","",IFERROR($B204-$C204-$D204-$E204,0))</f>
        <v/>
      </c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8">
        <f>IF($A205="","",IFERROR($B205-$C205-$D205-$E205,0))</f>
        <v/>
      </c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8">
        <f>IF($A206="","",IFERROR($B206-$C206-$D206-$E206,0))</f>
        <v/>
      </c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8">
        <f>IF($A207="","",IFERROR($B207-$C207-$D207-$E207,0))</f>
        <v/>
      </c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8">
        <f>IF($A208="","",IFERROR($B208-$C208-$D208-$E208,0))</f>
        <v/>
      </c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8">
        <f>IF($A209="","",IFERROR($B209-$C209-$D209-$E209,0))</f>
        <v/>
      </c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8">
        <f>IF($A210="","",IFERROR($B210-$C210-$D210-$E210,0))</f>
        <v/>
      </c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8">
        <f>IF($A211="","",IFERROR($B211-$C211-$D211-$E211,0))</f>
        <v/>
      </c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8">
        <f>IF($A212="","",IFERROR($B212-$C212-$D212-$E212,0))</f>
        <v/>
      </c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8">
        <f>IF($A213="","",IFERROR($B213-$C213-$D213-$E213,0))</f>
        <v/>
      </c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8">
        <f>IF($A214="","",IFERROR($B214-$C214-$D214-$E214,0))</f>
        <v/>
      </c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8">
        <f>IF($A215="","",IFERROR($B215-$C215-$D215-$E215,0))</f>
        <v/>
      </c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8">
        <f>IF($A216="","",IFERROR($B216-$C216-$D216-$E216,0))</f>
        <v/>
      </c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8">
        <f>IF($A217="","",IFERROR($B217-$C217-$D217-$E217,0))</f>
        <v/>
      </c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8">
        <f>IF($A218="","",IFERROR($B218-$C218-$D218-$E218,0))</f>
        <v/>
      </c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8">
        <f>IF($A219="","",IFERROR($B219-$C219-$D219-$E219,0))</f>
        <v/>
      </c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8">
        <f>IF($A220="","",IFERROR($B220-$C220-$D220-$E220,0))</f>
        <v/>
      </c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8">
        <f>IF($A221="","",IFERROR($B221-$C221-$D221-$E221,0))</f>
        <v/>
      </c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8">
        <f>IF($A222="","",IFERROR($B222-$C222-$D222-$E222,0))</f>
        <v/>
      </c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8">
        <f>IF($A223="","",IFERROR($B223-$C223-$D223-$E223,0))</f>
        <v/>
      </c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8">
        <f>IF($A224="","",IFERROR($B224-$C224-$D224-$E224,0))</f>
        <v/>
      </c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8">
        <f>IF($A225="","",IFERROR($B225-$C225-$D225-$E225,0))</f>
        <v/>
      </c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8">
        <f>IF($A226="","",IFERROR($B226-$C226-$D226-$E226,0))</f>
        <v/>
      </c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8">
        <f>IF($A227="","",IFERROR($B227-$C227-$D227-$E227,0))</f>
        <v/>
      </c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8">
        <f>IF($A228="","",IFERROR($B228-$C228-$D228-$E228,0))</f>
        <v/>
      </c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8">
        <f>IF($A229="","",IFERROR($B229-$C229-$D229-$E229,0))</f>
        <v/>
      </c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8">
        <f>IF($A230="","",IFERROR($B230-$C230-$D230-$E230,0))</f>
        <v/>
      </c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8">
        <f>IF($A231="","",IFERROR($B231-$C231-$D231-$E231,0))</f>
        <v/>
      </c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8">
        <f>IF($A232="","",IFERROR($B232-$C232-$D232-$E232,0))</f>
        <v/>
      </c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8">
        <f>IF($A233="","",IFERROR($B233-$C233-$D233-$E233,0))</f>
        <v/>
      </c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8">
        <f>IF($A234="","",IFERROR($B234-$C234-$D234-$E234,0))</f>
        <v/>
      </c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8">
        <f>IF($A235="","",IFERROR($B235-$C235-$D235-$E235,0))</f>
        <v/>
      </c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8">
        <f>IF($A236="","",IFERROR($B236-$C236-$D236-$E236,0))</f>
        <v/>
      </c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8">
        <f>IF($A237="","",IFERROR($B237-$C237-$D237-$E237,0))</f>
        <v/>
      </c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8">
        <f>IF($A238="","",IFERROR($B238-$C238-$D238-$E238,0))</f>
        <v/>
      </c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8">
        <f>IF($A239="","",IFERROR($B239-$C239-$D239-$E239,0))</f>
        <v/>
      </c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8">
        <f>IF($A240="","",IFERROR($B240-$C240-$D240-$E240,0))</f>
        <v/>
      </c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8">
        <f>IF($A241="","",IFERROR($B241-$C241-$D241-$E241,0))</f>
        <v/>
      </c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8">
        <f>IF($A242="","",IFERROR($B242-$C242-$D242-$E242,0))</f>
        <v/>
      </c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8">
        <f>IF($A243="","",IFERROR($B243-$C243-$D243-$E243,0))</f>
        <v/>
      </c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8">
        <f>IF($A244="","",IFERROR($B244-$C244-$D244-$E244,0))</f>
        <v/>
      </c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8">
        <f>IF($A245="","",IFERROR($B245-$C245-$D245-$E245,0))</f>
        <v/>
      </c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8">
        <f>IF($A246="","",IFERROR($B246-$C246-$D246-$E246,0))</f>
        <v/>
      </c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8">
        <f>IF($A247="","",IFERROR($B247-$C247-$D247-$E247,0))</f>
        <v/>
      </c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8">
        <f>IF($A248="","",IFERROR($B248-$C248-$D248-$E248,0))</f>
        <v/>
      </c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8">
        <f>IF($A249="","",IFERROR($B249-$C249-$D249-$E249,0))</f>
        <v/>
      </c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8">
        <f>IF($A250="","",IFERROR($B250-$C250-$D250-$E250,0))</f>
        <v/>
      </c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8">
        <f>IF($A251="","",IFERROR($B251-$C251-$D251-$E251,0))</f>
        <v/>
      </c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8">
        <f>IF($A252="","",IFERROR($B252-$C252-$D252-$E252,0))</f>
        <v/>
      </c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8">
        <f>IF($A253="","",IFERROR($B253-$C253-$D253-$E253,0))</f>
        <v/>
      </c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8">
        <f>IF($A254="","",IFERROR($B254-$C254-$D254-$E254,0))</f>
        <v/>
      </c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8">
        <f>IF($A255="","",IFERROR($B255-$C255-$D255-$E255,0))</f>
        <v/>
      </c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8">
        <f>IF($A256="","",IFERROR($B256-$C256-$D256-$E256,0))</f>
        <v/>
      </c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8">
        <f>IF($A257="","",IFERROR($B257-$C257-$D257-$E257,0))</f>
        <v/>
      </c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8">
        <f>IF($A258="","",IFERROR($B258-$C258-$D258-$E258,0))</f>
        <v/>
      </c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8">
        <f>IF($A259="","",IFERROR($B259-$C259-$D259-$E259,0))</f>
        <v/>
      </c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8">
        <f>IF($A260="","",IFERROR($B260-$C260-$D260-$E260,0))</f>
        <v/>
      </c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8">
        <f>IF($A261="","",IFERROR($B261-$C261-$D261-$E261,0))</f>
        <v/>
      </c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8">
        <f>IF($A262="","",IFERROR($B262-$C262-$D262-$E262,0))</f>
        <v/>
      </c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8">
        <f>IF($A263="","",IFERROR($B263-$C263-$D263-$E263,0))</f>
        <v/>
      </c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8">
        <f>IF($A264="","",IFERROR($B264-$C264-$D264-$E264,0))</f>
        <v/>
      </c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8">
        <f>IF($A265="","",IFERROR($B265-$C265-$D265-$E265,0))</f>
        <v/>
      </c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8">
        <f>IF($A266="","",IFERROR($B266-$C266-$D266-$E266,0))</f>
        <v/>
      </c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8">
        <f>IF($A267="","",IFERROR($B267-$C267-$D267-$E267,0))</f>
        <v/>
      </c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8">
        <f>IF($A268="","",IFERROR($B268-$C268-$D268-$E268,0))</f>
        <v/>
      </c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8">
        <f>IF($A269="","",IFERROR($B269-$C269-$D269-$E269,0))</f>
        <v/>
      </c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8">
        <f>IF($A270="","",IFERROR($B270-$C270-$D270-$E270,0))</f>
        <v/>
      </c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8">
        <f>IF($A271="","",IFERROR($B271-$C271-$D271-$E271,0))</f>
        <v/>
      </c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8">
        <f>IF($A272="","",IFERROR($B272-$C272-$D272-$E272,0))</f>
        <v/>
      </c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8">
        <f>IF($A273="","",IFERROR($B273-$C273-$D273-$E273,0))</f>
        <v/>
      </c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8">
        <f>IF($A274="","",IFERROR($B274-$C274-$D274-$E274,0))</f>
        <v/>
      </c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8">
        <f>IF($A275="","",IFERROR($B275-$C275-$D275-$E275,0))</f>
        <v/>
      </c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8">
        <f>IF($A276="","",IFERROR($B276-$C276-$D276-$E276,0))</f>
        <v/>
      </c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8">
        <f>IF($A277="","",IFERROR($B277-$C277-$D277-$E277,0))</f>
        <v/>
      </c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8">
        <f>IF($A278="","",IFERROR($B278-$C278-$D278-$E278,0))</f>
        <v/>
      </c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8">
        <f>IF($A279="","",IFERROR($B279-$C279-$D279-$E279,0))</f>
        <v/>
      </c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8">
        <f>IF($A280="","",IFERROR($B280-$C280-$D280-$E280,0))</f>
        <v/>
      </c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8">
        <f>IF($A281="","",IFERROR($B281-$C281-$D281-$E281,0))</f>
        <v/>
      </c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8">
        <f>IF($A282="","",IFERROR($B282-$C282-$D282-$E282,0))</f>
        <v/>
      </c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8">
        <f>IF($A283="","",IFERROR($B283-$C283-$D283-$E283,0))</f>
        <v/>
      </c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8">
        <f>IF($A284="","",IFERROR($B284-$C284-$D284-$E284,0))</f>
        <v/>
      </c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8">
        <f>IF($A285="","",IFERROR($B285-$C285-$D285-$E285,0))</f>
        <v/>
      </c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8">
        <f>IF($A286="","",IFERROR($B286-$C286-$D286-$E286,0))</f>
        <v/>
      </c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8">
        <f>IF($A287="","",IFERROR($B287-$C287-$D287-$E287,0))</f>
        <v/>
      </c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8">
        <f>IF($A288="","",IFERROR($B288-$C288-$D288-$E288,0))</f>
        <v/>
      </c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8">
        <f>IF($A289="","",IFERROR($B289-$C289-$D289-$E289,0))</f>
        <v/>
      </c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8">
        <f>IF($A290="","",IFERROR($B290-$C290-$D290-$E290,0))</f>
        <v/>
      </c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8">
        <f>IF($A291="","",IFERROR($B291-$C291-$D291-$E291,0))</f>
        <v/>
      </c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8">
        <f>IF($A292="","",IFERROR($B292-$C292-$D292-$E292,0))</f>
        <v/>
      </c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8">
        <f>IF($A293="","",IFERROR($B293-$C293-$D293-$E293,0))</f>
        <v/>
      </c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8">
        <f>IF($A294="","",IFERROR($B294-$C294-$D294-$E294,0))</f>
        <v/>
      </c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8">
        <f>IF($A295="","",IFERROR($B295-$C295-$D295-$E295,0))</f>
        <v/>
      </c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8">
        <f>IF($A296="","",IFERROR($B296-$C296-$D296-$E296,0))</f>
        <v/>
      </c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8">
        <f>IF($A297="","",IFERROR($B297-$C297-$D297-$E297,0))</f>
        <v/>
      </c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8">
        <f>IF($A298="","",IFERROR($B298-$C298-$D298-$E298,0))</f>
        <v/>
      </c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8">
        <f>IF($A299="","",IFERROR($B299-$C299-$D299-$E299,0))</f>
        <v/>
      </c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8">
        <f>IF($A300="","",IFERROR($B300-$C300-$D300-$E300,0))</f>
        <v/>
      </c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8">
        <f>IF($A301="","",IFERROR($B301-$C301-$D301-$E301,0))</f>
        <v/>
      </c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8">
        <f>IF($A302="","",IFERROR($B302-$C302-$D302-$E302,0))</f>
        <v/>
      </c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8">
        <f>IF($A303="","",IFERROR($B303-$C303-$D303-$E303,0))</f>
        <v/>
      </c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8">
        <f>IF($A304="","",IFERROR($B304-$C304-$D304-$E304,0))</f>
        <v/>
      </c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8">
        <f>IF($A305="","",IFERROR($B305-$C305-$D305-$E305,0))</f>
        <v/>
      </c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8">
        <f>IF($A306="","",IFERROR($B306-$C306-$D306-$E306,0))</f>
        <v/>
      </c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8">
        <f>IF($A307="","",IFERROR($B307-$C307-$D307-$E307,0))</f>
        <v/>
      </c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8">
        <f>IF($A308="","",IFERROR($B308-$C308-$D308-$E308,0))</f>
        <v/>
      </c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8">
        <f>IF($A309="","",IFERROR($B309-$C309-$D309-$E309,0))</f>
        <v/>
      </c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8">
        <f>IF($A310="","",IFERROR($B310-$C310-$D310-$E310,0))</f>
        <v/>
      </c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8">
        <f>IF($A311="","",IFERROR($B311-$C311-$D311-$E311,0))</f>
        <v/>
      </c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8">
        <f>IF($A312="","",IFERROR($B312-$C312-$D312-$E312,0))</f>
        <v/>
      </c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8">
        <f>IF($A313="","",IFERROR($B313-$C313-$D313-$E313,0))</f>
        <v/>
      </c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8">
        <f>IF($A314="","",IFERROR($B314-$C314-$D314-$E314,0))</f>
        <v/>
      </c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8">
        <f>IF($A315="","",IFERROR($B315-$C315-$D315-$E315,0))</f>
        <v/>
      </c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8">
        <f>IF($A316="","",IFERROR($B316-$C316-$D316-$E316,0))</f>
        <v/>
      </c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8">
        <f>IF($A317="","",IFERROR($B317-$C317-$D317-$E317,0))</f>
        <v/>
      </c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8">
        <f>IF($A318="","",IFERROR($B318-$C318-$D318-$E318,0))</f>
        <v/>
      </c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8">
        <f>IF($A319="","",IFERROR($B319-$C319-$D319-$E319,0))</f>
        <v/>
      </c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8">
        <f>IF($A320="","",IFERROR($B320-$C320-$D320-$E320,0))</f>
        <v/>
      </c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8">
        <f>IF($A321="","",IFERROR($B321-$C321-$D321-$E321,0))</f>
        <v/>
      </c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8">
        <f>IF($A322="","",IFERROR($B322-$C322-$D322-$E322,0))</f>
        <v/>
      </c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8">
        <f>IF($A323="","",IFERROR($B323-$C323-$D323-$E323,0))</f>
        <v/>
      </c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8">
        <f>IF($A324="","",IFERROR($B324-$C324-$D324-$E324,0))</f>
        <v/>
      </c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8">
        <f>IF($A325="","",IFERROR($B325-$C325-$D325-$E325,0))</f>
        <v/>
      </c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8">
        <f>IF($A326="","",IFERROR($B326-$C326-$D326-$E326,0))</f>
        <v/>
      </c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8">
        <f>IF($A327="","",IFERROR($B327-$C327-$D327-$E327,0))</f>
        <v/>
      </c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8">
        <f>IF($A328="","",IFERROR($B328-$C328-$D328-$E328,0))</f>
        <v/>
      </c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8">
        <f>IF($A329="","",IFERROR($B329-$C329-$D329-$E329,0))</f>
        <v/>
      </c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8">
        <f>IF($A330="","",IFERROR($B330-$C330-$D330-$E330,0))</f>
        <v/>
      </c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8">
        <f>IF($A331="","",IFERROR($B331-$C331-$D331-$E331,0))</f>
        <v/>
      </c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8">
        <f>IF($A332="","",IFERROR($B332-$C332-$D332-$E332,0))</f>
        <v/>
      </c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8">
        <f>IF($A333="","",IFERROR($B333-$C333-$D333-$E333,0))</f>
        <v/>
      </c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8">
        <f>IF($A334="","",IFERROR($B334-$C334-$D334-$E334,0))</f>
        <v/>
      </c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8">
        <f>IF($A335="","",IFERROR($B335-$C335-$D335-$E335,0))</f>
        <v/>
      </c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8">
        <f>IF($A336="","",IFERROR($B336-$C336-$D336-$E336,0))</f>
        <v/>
      </c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8">
        <f>IF($A337="","",IFERROR($B337-$C337-$D337-$E337,0))</f>
        <v/>
      </c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8">
        <f>IF($A338="","",IFERROR($B338-$C338-$D338-$E338,0))</f>
        <v/>
      </c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8">
        <f>IF($A339="","",IFERROR($B339-$C339-$D339-$E339,0))</f>
        <v/>
      </c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8">
        <f>IF($A340="","",IFERROR($B340-$C340-$D340-$E340,0))</f>
        <v/>
      </c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8">
        <f>IF($A341="","",IFERROR($B341-$C341-$D341-$E341,0))</f>
        <v/>
      </c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8">
        <f>IF($A342="","",IFERROR($B342-$C342-$D342-$E342,0))</f>
        <v/>
      </c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8">
        <f>IF($A343="","",IFERROR($B343-$C343-$D343-$E343,0))</f>
        <v/>
      </c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8">
        <f>IF($A344="","",IFERROR($B344-$C344-$D344-$E344,0))</f>
        <v/>
      </c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8">
        <f>IF($A345="","",IFERROR($B345-$C345-$D345-$E345,0))</f>
        <v/>
      </c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8">
        <f>IF($A346="","",IFERROR($B346-$C346-$D346-$E346,0))</f>
        <v/>
      </c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8">
        <f>IF($A347="","",IFERROR($B347-$C347-$D347-$E347,0))</f>
        <v/>
      </c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8">
        <f>IF($A348="","",IFERROR($B348-$C348-$D348-$E348,0))</f>
        <v/>
      </c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8">
        <f>IF($A349="","",IFERROR($B349-$C349-$D349-$E349,0))</f>
        <v/>
      </c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8">
        <f>IF($A350="","",IFERROR($B350-$C350-$D350-$E350,0))</f>
        <v/>
      </c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8">
        <f>IF($A351="","",IFERROR($B351-$C351-$D351-$E351,0))</f>
        <v/>
      </c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8">
        <f>IF($A352="","",IFERROR($B352-$C352-$D352-$E352,0))</f>
        <v/>
      </c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8">
        <f>IF($A353="","",IFERROR($B353-$C353-$D353-$E353,0))</f>
        <v/>
      </c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8">
        <f>IF($A354="","",IFERROR($B354-$C354-$D354-$E354,0))</f>
        <v/>
      </c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8">
        <f>IF($A355="","",IFERROR($B355-$C355-$D355-$E355,0))</f>
        <v/>
      </c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8">
        <f>IF($A356="","",IFERROR($B356-$C356-$D356-$E356,0))</f>
        <v/>
      </c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8">
        <f>IF($A357="","",IFERROR($B357-$C357-$D357-$E357,0))</f>
        <v/>
      </c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8">
        <f>IF($A358="","",IFERROR($B358-$C358-$D358-$E358,0))</f>
        <v/>
      </c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8">
        <f>IF($A359="","",IFERROR($B359-$C359-$D359-$E359,0))</f>
        <v/>
      </c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8">
        <f>IF($A360="","",IFERROR($B360-$C360-$D360-$E360,0))</f>
        <v/>
      </c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8">
        <f>IF($A361="","",IFERROR($B361-$C361-$D361-$E361,0))</f>
        <v/>
      </c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8">
        <f>IF($A362="","",IFERROR($B362-$C362-$D362-$E362,0))</f>
        <v/>
      </c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8">
        <f>IF($A363="","",IFERROR($B363-$C363-$D363-$E363,0))</f>
        <v/>
      </c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8">
        <f>IF($A364="","",IFERROR($B364-$C364-$D364-$E364,0))</f>
        <v/>
      </c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8">
        <f>IF($A365="","",IFERROR($B365-$C365-$D365-$E365,0))</f>
        <v/>
      </c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8">
        <f>IF($A366="","",IFERROR($B366-$C366-$D366-$E366,0))</f>
        <v/>
      </c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8">
        <f>IF($A367="","",IFERROR($B367-$C367-$D367-$E367,0))</f>
        <v/>
      </c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8">
        <f>IF($A368="","",IFERROR($B368-$C368-$D368-$E368,0))</f>
        <v/>
      </c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8">
        <f>IF($A369="","",IFERROR($B369-$C369-$D369-$E369,0))</f>
        <v/>
      </c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8">
        <f>IF($A370="","",IFERROR($B370-$C370-$D370-$E370,0))</f>
        <v/>
      </c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8">
        <f>IF($A371="","",IFERROR($B371-$C371-$D371-$E371,0))</f>
        <v/>
      </c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8">
        <f>IF($A372="","",IFERROR($B372-$C372-$D372-$E372,0))</f>
        <v/>
      </c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8">
        <f>IF($A373="","",IFERROR($B373-$C373-$D373-$E373,0))</f>
        <v/>
      </c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8">
        <f>IF($A374="","",IFERROR($B374-$C374-$D374-$E374,0))</f>
        <v/>
      </c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8">
        <f>IF($A375="","",IFERROR($B375-$C375-$D375-$E375,0))</f>
        <v/>
      </c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8">
        <f>IF($A376="","",IFERROR($B376-$C376-$D376-$E376,0))</f>
        <v/>
      </c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8">
        <f>IF($A377="","",IFERROR($B377-$C377-$D377-$E377,0))</f>
        <v/>
      </c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8">
        <f>IF($A378="","",IFERROR($B378-$C378-$D378-$E378,0))</f>
        <v/>
      </c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8">
        <f>IF($A379="","",IFERROR($B379-$C379-$D379-$E379,0))</f>
        <v/>
      </c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8">
        <f>IF($A380="","",IFERROR($B380-$C380-$D380-$E380,0))</f>
        <v/>
      </c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8">
        <f>IF($A381="","",IFERROR($B381-$C381-$D381-$E381,0))</f>
        <v/>
      </c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8">
        <f>IF($A382="","",IFERROR($B382-$C382-$D382-$E382,0))</f>
        <v/>
      </c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8">
        <f>IF($A383="","",IFERROR($B383-$C383-$D383-$E383,0))</f>
        <v/>
      </c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8">
        <f>IF($A384="","",IFERROR($B384-$C384-$D384-$E384,0))</f>
        <v/>
      </c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8">
        <f>IF($A385="","",IFERROR($B385-$C385-$D385-$E385,0))</f>
        <v/>
      </c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8">
        <f>IF($A386="","",IFERROR($B386-$C386-$D386-$E386,0))</f>
        <v/>
      </c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8">
        <f>IF($A387="","",IFERROR($B387-$C387-$D387-$E387,0))</f>
        <v/>
      </c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8">
        <f>IF($A388="","",IFERROR($B388-$C388-$D388-$E388,0))</f>
        <v/>
      </c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8">
        <f>IF($A389="","",IFERROR($B389-$C389-$D389-$E389,0))</f>
        <v/>
      </c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8">
        <f>IF($A390="","",IFERROR($B390-$C390-$D390-$E390,0))</f>
        <v/>
      </c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8">
        <f>IF($A391="","",IFERROR($B391-$C391-$D391-$E391,0))</f>
        <v/>
      </c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8">
        <f>IF($A392="","",IFERROR($B392-$C392-$D392-$E392,0))</f>
        <v/>
      </c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8">
        <f>IF($A393="","",IFERROR($B393-$C393-$D393-$E393,0))</f>
        <v/>
      </c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8">
        <f>IF($A394="","",IFERROR($B394-$C394-$D394-$E394,0))</f>
        <v/>
      </c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8">
        <f>IF($A395="","",IFERROR($B395-$C395-$D395-$E395,0))</f>
        <v/>
      </c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8">
        <f>IF($A396="","",IFERROR($B396-$C396-$D396-$E396,0))</f>
        <v/>
      </c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8">
        <f>IF($A397="","",IFERROR($B397-$C397-$D397-$E397,0))</f>
        <v/>
      </c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8">
        <f>IF($A398="","",IFERROR($B398-$C398-$D398-$E398,0))</f>
        <v/>
      </c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8">
        <f>IF($A399="","",IFERROR($B399-$C399-$D399-$E399,0))</f>
        <v/>
      </c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8">
        <f>IF($A400="","",IFERROR($B400-$C400-$D400-$E400,0))</f>
        <v/>
      </c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8">
        <f>IF($A401="","",IFERROR($B401-$C401-$D401-$E401,0))</f>
        <v/>
      </c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8">
        <f>IF($A402="","",IFERROR($B402-$C402-$D402-$E402,0))</f>
        <v/>
      </c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8">
        <f>IF($A403="","",IFERROR($B403-$C403-$D403-$E403,0))</f>
        <v/>
      </c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8">
        <f>IF($A404="","",IFERROR($B404-$C404-$D404-$E404,0))</f>
        <v/>
      </c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8">
        <f>IF($A405="","",IFERROR($B405-$C405-$D405-$E405,0))</f>
        <v/>
      </c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8">
        <f>IF($A406="","",IFERROR($B406-$C406-$D406-$E406,0))</f>
        <v/>
      </c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8">
        <f>IF($A407="","",IFERROR($B407-$C407-$D407-$E407,0))</f>
        <v/>
      </c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8">
        <f>IF($A408="","",IFERROR($B408-$C408-$D408-$E408,0))</f>
        <v/>
      </c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8">
        <f>IF($A409="","",IFERROR($B409-$C409-$D409-$E409,0))</f>
        <v/>
      </c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8">
        <f>IF($A410="","",IFERROR($B410-$C410-$D410-$E410,0))</f>
        <v/>
      </c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8">
        <f>IF($A411="","",IFERROR($B411-$C411-$D411-$E411,0))</f>
        <v/>
      </c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8">
        <f>IF($A412="","",IFERROR($B412-$C412-$D412-$E412,0))</f>
        <v/>
      </c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8">
        <f>IF($A413="","",IFERROR($B413-$C413-$D413-$E413,0))</f>
        <v/>
      </c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8">
        <f>IF($A414="","",IFERROR($B414-$C414-$D414-$E414,0))</f>
        <v/>
      </c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8">
        <f>IF($A415="","",IFERROR($B415-$C415-$D415-$E415,0))</f>
        <v/>
      </c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8">
        <f>IF($A416="","",IFERROR($B416-$C416-$D416-$E416,0))</f>
        <v/>
      </c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8">
        <f>IF($A417="","",IFERROR($B417-$C417-$D417-$E417,0))</f>
        <v/>
      </c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8">
        <f>IF($A418="","",IFERROR($B418-$C418-$D418-$E418,0))</f>
        <v/>
      </c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8">
        <f>IF($A419="","",IFERROR($B419-$C419-$D419-$E419,0))</f>
        <v/>
      </c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8">
        <f>IF($A420="","",IFERROR($B420-$C420-$D420-$E420,0))</f>
        <v/>
      </c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8">
        <f>IF($A421="","",IFERROR($B421-$C421-$D421-$E421,0))</f>
        <v/>
      </c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8">
        <f>IF($A422="","",IFERROR($B422-$C422-$D422-$E422,0))</f>
        <v/>
      </c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8">
        <f>IF($A423="","",IFERROR($B423-$C423-$D423-$E423,0))</f>
        <v/>
      </c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8">
        <f>IF($A424="","",IFERROR($B424-$C424-$D424-$E424,0))</f>
        <v/>
      </c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8">
        <f>IF($A425="","",IFERROR($B425-$C425-$D425-$E425,0))</f>
        <v/>
      </c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8">
        <f>IF($A426="","",IFERROR($B426-$C426-$D426-$E426,0))</f>
        <v/>
      </c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8">
        <f>IF($A427="","",IFERROR($B427-$C427-$D427-$E427,0))</f>
        <v/>
      </c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8">
        <f>IF($A428="","",IFERROR($B428-$C428-$D428-$E428,0))</f>
        <v/>
      </c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8">
        <f>IF($A429="","",IFERROR($B429-$C429-$D429-$E429,0))</f>
        <v/>
      </c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8">
        <f>IF($A430="","",IFERROR($B430-$C430-$D430-$E430,0))</f>
        <v/>
      </c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8">
        <f>IF($A431="","",IFERROR($B431-$C431-$D431-$E431,0))</f>
        <v/>
      </c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8">
        <f>IF($A432="","",IFERROR($B432-$C432-$D432-$E432,0))</f>
        <v/>
      </c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8">
        <f>IF($A433="","",IFERROR($B433-$C433-$D433-$E433,0))</f>
        <v/>
      </c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8">
        <f>IF($A434="","",IFERROR($B434-$C434-$D434-$E434,0))</f>
        <v/>
      </c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8">
        <f>IF($A435="","",IFERROR($B435-$C435-$D435-$E435,0))</f>
        <v/>
      </c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8">
        <f>IF($A436="","",IFERROR($B436-$C436-$D436-$E436,0))</f>
        <v/>
      </c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8">
        <f>IF($A437="","",IFERROR($B437-$C437-$D437-$E437,0))</f>
        <v/>
      </c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8">
        <f>IF($A438="","",IFERROR($B438-$C438-$D438-$E438,0))</f>
        <v/>
      </c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8">
        <f>IF($A439="","",IFERROR($B439-$C439-$D439-$E439,0))</f>
        <v/>
      </c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8">
        <f>IF($A440="","",IFERROR($B440-$C440-$D440-$E440,0))</f>
        <v/>
      </c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8">
        <f>IF($A441="","",IFERROR($B441-$C441-$D441-$E441,0))</f>
        <v/>
      </c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8">
        <f>IF($A442="","",IFERROR($B442-$C442-$D442-$E442,0))</f>
        <v/>
      </c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8">
        <f>IF($A443="","",IFERROR($B443-$C443-$D443-$E443,0))</f>
        <v/>
      </c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8">
        <f>IF($A444="","",IFERROR($B444-$C444-$D444-$E444,0))</f>
        <v/>
      </c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8">
        <f>IF($A445="","",IFERROR($B445-$C445-$D445-$E445,0))</f>
        <v/>
      </c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8">
        <f>IF($A446="","",IFERROR($B446-$C446-$D446-$E446,0))</f>
        <v/>
      </c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8">
        <f>IF($A447="","",IFERROR($B447-$C447-$D447-$E447,0))</f>
        <v/>
      </c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8">
        <f>IF($A448="","",IFERROR($B448-$C448-$D448-$E448,0))</f>
        <v/>
      </c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8">
        <f>IF($A449="","",IFERROR($B449-$C449-$D449-$E449,0))</f>
        <v/>
      </c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8">
        <f>IF($A450="","",IFERROR($B450-$C450-$D450-$E450,0))</f>
        <v/>
      </c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8">
        <f>IF($A451="","",IFERROR($B451-$C451-$D451-$E451,0))</f>
        <v/>
      </c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8">
        <f>IF($A452="","",IFERROR($B452-$C452-$D452-$E452,0))</f>
        <v/>
      </c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8">
        <f>IF($A453="","",IFERROR($B453-$C453-$D453-$E453,0))</f>
        <v/>
      </c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8">
        <f>IF($A454="","",IFERROR($B454-$C454-$D454-$E454,0))</f>
        <v/>
      </c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8">
        <f>IF($A455="","",IFERROR($B455-$C455-$D455-$E455,0))</f>
        <v/>
      </c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8">
        <f>IF($A456="","",IFERROR($B456-$C456-$D456-$E456,0))</f>
        <v/>
      </c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8">
        <f>IF($A457="","",IFERROR($B457-$C457-$D457-$E457,0))</f>
        <v/>
      </c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8">
        <f>IF($A458="","",IFERROR($B458-$C458-$D458-$E458,0))</f>
        <v/>
      </c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8">
        <f>IF($A459="","",IFERROR($B459-$C459-$D459-$E459,0))</f>
        <v/>
      </c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8">
        <f>IF($A460="","",IFERROR($B460-$C460-$D460-$E460,0))</f>
        <v/>
      </c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8">
        <f>IF($A461="","",IFERROR($B461-$C461-$D461-$E461,0))</f>
        <v/>
      </c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8">
        <f>IF($A462="","",IFERROR($B462-$C462-$D462-$E462,0))</f>
        <v/>
      </c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8">
        <f>IF($A463="","",IFERROR($B463-$C463-$D463-$E463,0))</f>
        <v/>
      </c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8">
        <f>IF($A464="","",IFERROR($B464-$C464-$D464-$E464,0))</f>
        <v/>
      </c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8">
        <f>IF($A465="","",IFERROR($B465-$C465-$D465-$E465,0))</f>
        <v/>
      </c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8">
        <f>IF($A466="","",IFERROR($B466-$C466-$D466-$E466,0))</f>
        <v/>
      </c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8">
        <f>IF($A467="","",IFERROR($B467-$C467-$D467-$E467,0))</f>
        <v/>
      </c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8">
        <f>IF($A468="","",IFERROR($B468-$C468-$D468-$E468,0))</f>
        <v/>
      </c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8">
        <f>IF($A469="","",IFERROR($B469-$C469-$D469-$E469,0))</f>
        <v/>
      </c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8">
        <f>IF($A470="","",IFERROR($B470-$C470-$D470-$E470,0))</f>
        <v/>
      </c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8">
        <f>IF($A471="","",IFERROR($B471-$C471-$D471-$E471,0))</f>
        <v/>
      </c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8">
        <f>IF($A472="","",IFERROR($B472-$C472-$D472-$E472,0))</f>
        <v/>
      </c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8">
        <f>IF($A473="","",IFERROR($B473-$C473-$D473-$E473,0))</f>
        <v/>
      </c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8">
        <f>IF($A474="","",IFERROR($B474-$C474-$D474-$E474,0))</f>
        <v/>
      </c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8">
        <f>IF($A475="","",IFERROR($B475-$C475-$D475-$E475,0))</f>
        <v/>
      </c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8">
        <f>IF($A476="","",IFERROR($B476-$C476-$D476-$E476,0))</f>
        <v/>
      </c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8">
        <f>IF($A477="","",IFERROR($B477-$C477-$D477-$E477,0))</f>
        <v/>
      </c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8">
        <f>IF($A478="","",IFERROR($B478-$C478-$D478-$E478,0))</f>
        <v/>
      </c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8">
        <f>IF($A479="","",IFERROR($B479-$C479-$D479-$E479,0))</f>
        <v/>
      </c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8">
        <f>IF($A480="","",IFERROR($B480-$C480-$D480-$E480,0))</f>
        <v/>
      </c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8">
        <f>IF($A481="","",IFERROR($B481-$C481-$D481-$E481,0))</f>
        <v/>
      </c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8">
        <f>IF($A482="","",IFERROR($B482-$C482-$D482-$E482,0))</f>
        <v/>
      </c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8">
        <f>IF($A483="","",IFERROR($B483-$C483-$D483-$E483,0))</f>
        <v/>
      </c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8">
        <f>IF($A484="","",IFERROR($B484-$C484-$D484-$E484,0))</f>
        <v/>
      </c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8">
        <f>IF($A485="","",IFERROR($B485-$C485-$D485-$E485,0))</f>
        <v/>
      </c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8">
        <f>IF($A486="","",IFERROR($B486-$C486-$D486-$E486,0))</f>
        <v/>
      </c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8">
        <f>IF($A487="","",IFERROR($B487-$C487-$D487-$E487,0))</f>
        <v/>
      </c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8">
        <f>IF($A488="","",IFERROR($B488-$C488-$D488-$E488,0))</f>
        <v/>
      </c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8">
        <f>IF($A489="","",IFERROR($B489-$C489-$D489-$E489,0))</f>
        <v/>
      </c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8">
        <f>IF($A490="","",IFERROR($B490-$C490-$D490-$E490,0))</f>
        <v/>
      </c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8">
        <f>IF($A491="","",IFERROR($B491-$C491-$D491-$E491,0))</f>
        <v/>
      </c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8">
        <f>IF($A492="","",IFERROR($B492-$C492-$D492-$E492,0))</f>
        <v/>
      </c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8">
        <f>IF($A493="","",IFERROR($B493-$C493-$D493-$E493,0))</f>
        <v/>
      </c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8">
        <f>IF($A494="","",IFERROR($B494-$C494-$D494-$E494,0))</f>
        <v/>
      </c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8">
        <f>IF($A495="","",IFERROR($B495-$C495-$D495-$E495,0))</f>
        <v/>
      </c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8">
        <f>IF($A496="","",IFERROR($B496-$C496-$D496-$E496,0))</f>
        <v/>
      </c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8">
        <f>IF($A497="","",IFERROR($B497-$C497-$D497-$E497,0))</f>
        <v/>
      </c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8">
        <f>IF($A498="","",IFERROR($B498-$C498-$D498-$E498,0))</f>
        <v/>
      </c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8">
        <f>IF($A499="","",IFERROR($B499-$C499-$D499-$E499,0))</f>
        <v/>
      </c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8">
        <f>IF($A500="","",IFERROR($B500-$C500-$D500-$E500,0))</f>
        <v/>
      </c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8">
        <f>IF($A501="","",IFERROR($B501-$C501-$D501-$E501,0))</f>
        <v/>
      </c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8">
        <f>IF($A502="","",IFERROR($B502-$C502-$D502-$E502,0))</f>
        <v/>
      </c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8">
        <f>IF($A503="","",IFERROR($B503-$C503-$D503-$E503,0))</f>
        <v/>
      </c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8">
        <f>IF($A504="","",IFERROR($B504-$C504-$D504-$E504,0))</f>
        <v/>
      </c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8">
        <f>IF($A505="","",IFERROR($B505-$C505-$D505-$E505,0))</f>
        <v/>
      </c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8">
        <f>IF($A506="","",IFERROR($B506-$C506-$D506-$E506,0))</f>
        <v/>
      </c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8">
        <f>IF($A507="","",IFERROR($B507-$C507-$D507-$E507,0))</f>
        <v/>
      </c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8">
        <f>IF($A508="","",IFERROR($B508-$C508-$D508-$E508,0))</f>
        <v/>
      </c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8">
        <f>IF($A509="","",IFERROR($B509-$C509-$D509-$E509,0))</f>
        <v/>
      </c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8">
        <f>IF($A510="","",IFERROR($B510-$C510-$D510-$E510,0))</f>
        <v/>
      </c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8">
        <f>IF($A511="","",IFERROR($B511-$C511-$D511-$E511,0))</f>
        <v/>
      </c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8">
        <f>IF($A512="","",IFERROR($B512-$C512-$D512-$E512,0))</f>
        <v/>
      </c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8">
        <f>IF($A513="","",IFERROR($B513-$C513-$D513-$E513,0))</f>
        <v/>
      </c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8">
        <f>IF($A514="","",IFERROR($B514-$C514-$D514-$E514,0))</f>
        <v/>
      </c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8">
        <f>IF($A515="","",IFERROR($B515-$C515-$D515-$E515,0))</f>
        <v/>
      </c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8">
        <f>IF($A516="","",IFERROR($B516-$C516-$D516-$E516,0))</f>
        <v/>
      </c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8">
        <f>IF($A517="","",IFERROR($B517-$C517-$D517-$E517,0))</f>
        <v/>
      </c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8">
        <f>IF($A518="","",IFERROR($B518-$C518-$D518-$E518,0))</f>
        <v/>
      </c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8">
        <f>IF($A519="","",IFERROR($B519-$C519-$D519-$E519,0))</f>
        <v/>
      </c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8">
        <f>IF($A520="","",IFERROR($B520-$C520-$D520-$E520,0))</f>
        <v/>
      </c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8">
        <f>IF($A521="","",IFERROR($B521-$C521-$D521-$E521,0))</f>
        <v/>
      </c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8">
        <f>IF($A522="","",IFERROR($B522-$C522-$D522-$E522,0))</f>
        <v/>
      </c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8">
        <f>IF($A523="","",IFERROR($B523-$C523-$D523-$E523,0))</f>
        <v/>
      </c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8">
        <f>IF($A524="","",IFERROR($B524-$C524-$D524-$E524,0))</f>
        <v/>
      </c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8">
        <f>IF($A525="","",IFERROR($B525-$C525-$D525-$E525,0))</f>
        <v/>
      </c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8">
        <f>IF($A526="","",IFERROR($B526-$C526-$D526-$E526,0))</f>
        <v/>
      </c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8">
        <f>IF($A527="","",IFERROR($B527-$C527-$D527-$E527,0))</f>
        <v/>
      </c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8">
        <f>IF($A528="","",IFERROR($B528-$C528-$D528-$E528,0))</f>
        <v/>
      </c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8">
        <f>IF($A529="","",IFERROR($B529-$C529-$D529-$E529,0))</f>
        <v/>
      </c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8">
        <f>IF($A530="","",IFERROR($B530-$C530-$D530-$E530,0))</f>
        <v/>
      </c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8">
        <f>IF($A531="","",IFERROR($B531-$C531-$D531-$E531,0))</f>
        <v/>
      </c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8">
        <f>IF($A532="","",IFERROR($B532-$C532-$D532-$E532,0))</f>
        <v/>
      </c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8">
        <f>IF($A533="","",IFERROR($B533-$C533-$D533-$E533,0))</f>
        <v/>
      </c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8">
        <f>IF($A534="","",IFERROR($B534-$C534-$D534-$E534,0))</f>
        <v/>
      </c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8">
        <f>IF($A535="","",IFERROR($B535-$C535-$D535-$E535,0))</f>
        <v/>
      </c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8">
        <f>IF($A536="","",IFERROR($B536-$C536-$D536-$E536,0))</f>
        <v/>
      </c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8">
        <f>IF($A537="","",IFERROR($B537-$C537-$D537-$E537,0))</f>
        <v/>
      </c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8">
        <f>IF($A538="","",IFERROR($B538-$C538-$D538-$E538,0))</f>
        <v/>
      </c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8">
        <f>IF($A539="","",IFERROR($B539-$C539-$D539-$E539,0))</f>
        <v/>
      </c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8">
        <f>IF($A540="","",IFERROR($B540-$C540-$D540-$E540,0))</f>
        <v/>
      </c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8">
        <f>IF($A541="","",IFERROR($B541-$C541-$D541-$E541,0))</f>
        <v/>
      </c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8">
        <f>IF($A542="","",IFERROR($B542-$C542-$D542-$E542,0))</f>
        <v/>
      </c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8">
        <f>IF($A543="","",IFERROR($B543-$C543-$D543-$E543,0))</f>
        <v/>
      </c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8">
        <f>IF($A544="","",IFERROR($B544-$C544-$D544-$E544,0))</f>
        <v/>
      </c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8">
        <f>IF($A545="","",IFERROR($B545-$C545-$D545-$E545,0))</f>
        <v/>
      </c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8">
        <f>IF($A546="","",IFERROR($B546-$C546-$D546-$E546,0))</f>
        <v/>
      </c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8">
        <f>IF($A547="","",IFERROR($B547-$C547-$D547-$E547,0))</f>
        <v/>
      </c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8">
        <f>IF($A548="","",IFERROR($B548-$C548-$D548-$E548,0))</f>
        <v/>
      </c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8">
        <f>IF($A549="","",IFERROR($B549-$C549-$D549-$E549,0))</f>
        <v/>
      </c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8">
        <f>IF($A550="","",IFERROR($B550-$C550-$D550-$E550,0))</f>
        <v/>
      </c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8">
        <f>IF($A551="","",IFERROR($B551-$C551-$D551-$E551,0))</f>
        <v/>
      </c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8">
        <f>IF($A552="","",IFERROR($B552-$C552-$D552-$E552,0))</f>
        <v/>
      </c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8">
        <f>IF($A553="","",IFERROR($B553-$C553-$D553-$E553,0))</f>
        <v/>
      </c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8">
        <f>IF($A554="","",IFERROR($B554-$C554-$D554-$E554,0))</f>
        <v/>
      </c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8">
        <f>IF($A555="","",IFERROR($B555-$C555-$D555-$E555,0))</f>
        <v/>
      </c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8">
        <f>IF($A556="","",IFERROR($B556-$C556-$D556-$E556,0))</f>
        <v/>
      </c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8">
        <f>IF($A557="","",IFERROR($B557-$C557-$D557-$E557,0))</f>
        <v/>
      </c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8">
        <f>IF($A558="","",IFERROR($B558-$C558-$D558-$E558,0))</f>
        <v/>
      </c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8">
        <f>IF($A559="","",IFERROR($B559-$C559-$D559-$E559,0))</f>
        <v/>
      </c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8">
        <f>IF($A560="","",IFERROR($B560-$C560-$D560-$E560,0))</f>
        <v/>
      </c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8">
        <f>IF($A561="","",IFERROR($B561-$C561-$D561-$E561,0))</f>
        <v/>
      </c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8">
        <f>IF($A562="","",IFERROR($B562-$C562-$D562-$E562,0))</f>
        <v/>
      </c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8">
        <f>IF($A563="","",IFERROR($B563-$C563-$D563-$E563,0))</f>
        <v/>
      </c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8">
        <f>IF($A564="","",IFERROR($B564-$C564-$D564-$E564,0))</f>
        <v/>
      </c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8">
        <f>IF($A565="","",IFERROR($B565-$C565-$D565-$E565,0))</f>
        <v/>
      </c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8">
        <f>IF($A566="","",IFERROR($B566-$C566-$D566-$E566,0))</f>
        <v/>
      </c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8">
        <f>IF($A567="","",IFERROR($B567-$C567-$D567-$E567,0))</f>
        <v/>
      </c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8">
        <f>IF($A568="","",IFERROR($B568-$C568-$D568-$E568,0))</f>
        <v/>
      </c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8">
        <f>IF($A569="","",IFERROR($B569-$C569-$D569-$E569,0))</f>
        <v/>
      </c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8">
        <f>IF($A570="","",IFERROR($B570-$C570-$D570-$E570,0))</f>
        <v/>
      </c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8">
        <f>IF($A571="","",IFERROR($B571-$C571-$D571-$E571,0))</f>
        <v/>
      </c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8">
        <f>IF($A572="","",IFERROR($B572-$C572-$D572-$E572,0))</f>
        <v/>
      </c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8">
        <f>IF($A573="","",IFERROR($B573-$C573-$D573-$E573,0))</f>
        <v/>
      </c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8">
        <f>IF($A574="","",IFERROR($B574-$C574-$D574-$E574,0))</f>
        <v/>
      </c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8">
        <f>IF($A575="","",IFERROR($B575-$C575-$D575-$E575,0))</f>
        <v/>
      </c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8">
        <f>IF($A576="","",IFERROR($B576-$C576-$D576-$E576,0))</f>
        <v/>
      </c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8">
        <f>IF($A577="","",IFERROR($B577-$C577-$D577-$E577,0))</f>
        <v/>
      </c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8">
        <f>IF($A578="","",IFERROR($B578-$C578-$D578-$E578,0))</f>
        <v/>
      </c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8">
        <f>IF($A579="","",IFERROR($B579-$C579-$D579-$E579,0))</f>
        <v/>
      </c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8">
        <f>IF($A580="","",IFERROR($B580-$C580-$D580-$E580,0))</f>
        <v/>
      </c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8">
        <f>IF($A581="","",IFERROR($B581-$C581-$D581-$E581,0))</f>
        <v/>
      </c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8">
        <f>IF($A582="","",IFERROR($B582-$C582-$D582-$E582,0))</f>
        <v/>
      </c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8">
        <f>IF($A583="","",IFERROR($B583-$C583-$D583-$E583,0))</f>
        <v/>
      </c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8">
        <f>IF($A584="","",IFERROR($B584-$C584-$D584-$E584,0))</f>
        <v/>
      </c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8">
        <f>IF($A585="","",IFERROR($B585-$C585-$D585-$E585,0))</f>
        <v/>
      </c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8">
        <f>IF($A586="","",IFERROR($B586-$C586-$D586-$E586,0))</f>
        <v/>
      </c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8">
        <f>IF($A587="","",IFERROR($B587-$C587-$D587-$E587,0))</f>
        <v/>
      </c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8">
        <f>IF($A588="","",IFERROR($B588-$C588-$D588-$E588,0))</f>
        <v/>
      </c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8">
        <f>IF($A589="","",IFERROR($B589-$C589-$D589-$E589,0))</f>
        <v/>
      </c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8">
        <f>IF($A590="","",IFERROR($B590-$C590-$D590-$E590,0))</f>
        <v/>
      </c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8">
        <f>IF($A591="","",IFERROR($B591-$C591-$D591-$E591,0))</f>
        <v/>
      </c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8">
        <f>IF($A592="","",IFERROR($B592-$C592-$D592-$E592,0))</f>
        <v/>
      </c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8">
        <f>IF($A593="","",IFERROR($B593-$C593-$D593-$E593,0))</f>
        <v/>
      </c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8">
        <f>IF($A594="","",IFERROR($B594-$C594-$D594-$E594,0))</f>
        <v/>
      </c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8">
        <f>IF($A595="","",IFERROR($B595-$C595-$D595-$E595,0))</f>
        <v/>
      </c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8">
        <f>IF($A596="","",IFERROR($B596-$C596-$D596-$E596,0))</f>
        <v/>
      </c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8">
        <f>IF($A597="","",IFERROR($B597-$C597-$D597-$E597,0))</f>
        <v/>
      </c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8">
        <f>IF($A598="","",IFERROR($B598-$C598-$D598-$E598,0))</f>
        <v/>
      </c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8">
        <f>IF($A599="","",IFERROR($B599-$C599-$D599-$E599,0))</f>
        <v/>
      </c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8">
        <f>IF($A600="","",IFERROR($B600-$C600-$D600-$E600,0))</f>
        <v/>
      </c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8">
        <f>IF($A601="","",IFERROR($B601-$C601-$D601-$E601,0))</f>
        <v/>
      </c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8">
        <f>IF($A602="","",IFERROR($B602-$C602-$D602-$E602,0))</f>
        <v/>
      </c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8">
        <f>IF($A603="","",IFERROR($B603-$C603-$D603-$E603,0))</f>
        <v/>
      </c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8">
        <f>IF($A604="","",IFERROR($B604-$C604-$D604-$E604,0))</f>
        <v/>
      </c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8">
        <f>IF($A605="","",IFERROR($B605-$C605-$D605-$E605,0))</f>
        <v/>
      </c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8">
        <f>IF($A606="","",IFERROR($B606-$C606-$D606-$E606,0))</f>
        <v/>
      </c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8">
        <f>IF($A607="","",IFERROR($B607-$C607-$D607-$E607,0))</f>
        <v/>
      </c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8">
        <f>IF($A608="","",IFERROR($B608-$C608-$D608-$E608,0))</f>
        <v/>
      </c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8">
        <f>IF($A609="","",IFERROR($B609-$C609-$D609-$E609,0))</f>
        <v/>
      </c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8">
        <f>IF($A610="","",IFERROR($B610-$C610-$D610-$E610,0))</f>
        <v/>
      </c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8">
        <f>IF($A611="","",IFERROR($B611-$C611-$D611-$E611,0))</f>
        <v/>
      </c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8">
        <f>IF($A612="","",IFERROR($B612-$C612-$D612-$E612,0))</f>
        <v/>
      </c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8">
        <f>IF($A613="","",IFERROR($B613-$C613-$D613-$E613,0))</f>
        <v/>
      </c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8">
        <f>IF($A614="","",IFERROR($B614-$C614-$D614-$E614,0))</f>
        <v/>
      </c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8">
        <f>IF($A615="","",IFERROR($B615-$C615-$D615-$E615,0))</f>
        <v/>
      </c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8">
        <f>IF($A616="","",IFERROR($B616-$C616-$D616-$E616,0))</f>
        <v/>
      </c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8">
        <f>IF($A617="","",IFERROR($B617-$C617-$D617-$E617,0))</f>
        <v/>
      </c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8">
        <f>IF($A618="","",IFERROR($B618-$C618-$D618-$E618,0))</f>
        <v/>
      </c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8">
        <f>IF($A619="","",IFERROR($B619-$C619-$D619-$E619,0))</f>
        <v/>
      </c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8">
        <f>IF($A620="","",IFERROR($B620-$C620-$D620-$E620,0))</f>
        <v/>
      </c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8">
        <f>IF($A621="","",IFERROR($B621-$C621-$D621-$E621,0))</f>
        <v/>
      </c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8">
        <f>IF($A622="","",IFERROR($B622-$C622-$D622-$E622,0))</f>
        <v/>
      </c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8">
        <f>IF($A623="","",IFERROR($B623-$C623-$D623-$E623,0))</f>
        <v/>
      </c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8">
        <f>IF($A624="","",IFERROR($B624-$C624-$D624-$E624,0))</f>
        <v/>
      </c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8">
        <f>IF($A625="","",IFERROR($B625-$C625-$D625-$E625,0))</f>
        <v/>
      </c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8">
        <f>IF($A626="","",IFERROR($B626-$C626-$D626-$E626,0))</f>
        <v/>
      </c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8">
        <f>IF($A627="","",IFERROR($B627-$C627-$D627-$E627,0))</f>
        <v/>
      </c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8">
        <f>IF($A628="","",IFERROR($B628-$C628-$D628-$E628,0))</f>
        <v/>
      </c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8">
        <f>IF($A629="","",IFERROR($B629-$C629-$D629-$E629,0))</f>
        <v/>
      </c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8">
        <f>IF($A630="","",IFERROR($B630-$C630-$D630-$E630,0))</f>
        <v/>
      </c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8">
        <f>IF($A631="","",IFERROR($B631-$C631-$D631-$E631,0))</f>
        <v/>
      </c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8">
        <f>IF($A632="","",IFERROR($B632-$C632-$D632-$E632,0))</f>
        <v/>
      </c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8">
        <f>IF($A633="","",IFERROR($B633-$C633-$D633-$E633,0))</f>
        <v/>
      </c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8">
        <f>IF($A634="","",IFERROR($B634-$C634-$D634-$E634,0))</f>
        <v/>
      </c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8">
        <f>IF($A635="","",IFERROR($B635-$C635-$D635-$E635,0))</f>
        <v/>
      </c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8">
        <f>IF($A636="","",IFERROR($B636-$C636-$D636-$E636,0))</f>
        <v/>
      </c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8">
        <f>IF($A637="","",IFERROR($B637-$C637-$D637-$E637,0))</f>
        <v/>
      </c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8">
        <f>IF($A638="","",IFERROR($B638-$C638-$D638-$E638,0))</f>
        <v/>
      </c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8">
        <f>IF($A639="","",IFERROR($B639-$C639-$D639-$E639,0))</f>
        <v/>
      </c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8">
        <f>IF($A640="","",IFERROR($B640-$C640-$D640-$E640,0))</f>
        <v/>
      </c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8">
        <f>IF($A641="","",IFERROR($B641-$C641-$D641-$E641,0))</f>
        <v/>
      </c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8">
        <f>IF($A642="","",IFERROR($B642-$C642-$D642-$E642,0))</f>
        <v/>
      </c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8">
        <f>IF($A643="","",IFERROR($B643-$C643-$D643-$E643,0))</f>
        <v/>
      </c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8">
        <f>IF($A644="","",IFERROR($B644-$C644-$D644-$E644,0))</f>
        <v/>
      </c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8">
        <f>IF($A645="","",IFERROR($B645-$C645-$D645-$E645,0))</f>
        <v/>
      </c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8">
        <f>IF($A646="","",IFERROR($B646-$C646-$D646-$E646,0))</f>
        <v/>
      </c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8">
        <f>IF($A647="","",IFERROR($B647-$C647-$D647-$E647,0))</f>
        <v/>
      </c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8">
        <f>IF($A648="","",IFERROR($B648-$C648-$D648-$E648,0))</f>
        <v/>
      </c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8">
        <f>IF($A649="","",IFERROR($B649-$C649-$D649-$E649,0))</f>
        <v/>
      </c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8">
        <f>IF($A650="","",IFERROR($B650-$C650-$D650-$E650,0))</f>
        <v/>
      </c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8">
        <f>IF($A651="","",IFERROR($B651-$C651-$D651-$E651,0))</f>
        <v/>
      </c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8">
        <f>IF($A652="","",IFERROR($B652-$C652-$D652-$E652,0))</f>
        <v/>
      </c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8">
        <f>IF($A653="","",IFERROR($B653-$C653-$D653-$E653,0))</f>
        <v/>
      </c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8">
        <f>IF($A654="","",IFERROR($B654-$C654-$D654-$E654,0))</f>
        <v/>
      </c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8">
        <f>IF($A655="","",IFERROR($B655-$C655-$D655-$E655,0))</f>
        <v/>
      </c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8">
        <f>IF($A656="","",IFERROR($B656-$C656-$D656-$E656,0))</f>
        <v/>
      </c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8">
        <f>IF($A657="","",IFERROR($B657-$C657-$D657-$E657,0))</f>
        <v/>
      </c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8">
        <f>IF($A658="","",IFERROR($B658-$C658-$D658-$E658,0))</f>
        <v/>
      </c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8">
        <f>IF($A659="","",IFERROR($B659-$C659-$D659-$E659,0))</f>
        <v/>
      </c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8">
        <f>IF($A660="","",IFERROR($B660-$C660-$D660-$E660,0))</f>
        <v/>
      </c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8">
        <f>IF($A661="","",IFERROR($B661-$C661-$D661-$E661,0))</f>
        <v/>
      </c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8">
        <f>IF($A662="","",IFERROR($B662-$C662-$D662-$E662,0))</f>
        <v/>
      </c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8">
        <f>IF($A663="","",IFERROR($B663-$C663-$D663-$E663,0))</f>
        <v/>
      </c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8">
        <f>IF($A664="","",IFERROR($B664-$C664-$D664-$E664,0))</f>
        <v/>
      </c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8">
        <f>IF($A665="","",IFERROR($B665-$C665-$D665-$E665,0))</f>
        <v/>
      </c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8">
        <f>IF($A666="","",IFERROR($B666-$C666-$D666-$E666,0))</f>
        <v/>
      </c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8">
        <f>IF($A667="","",IFERROR($B667-$C667-$D667-$E667,0))</f>
        <v/>
      </c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8">
        <f>IF($A668="","",IFERROR($B668-$C668-$D668-$E668,0))</f>
        <v/>
      </c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8">
        <f>IF($A669="","",IFERROR($B669-$C669-$D669-$E669,0))</f>
        <v/>
      </c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8">
        <f>IF($A670="","",IFERROR($B670-$C670-$D670-$E670,0))</f>
        <v/>
      </c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8">
        <f>IF($A671="","",IFERROR($B671-$C671-$D671-$E671,0))</f>
        <v/>
      </c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8">
        <f>IF($A672="","",IFERROR($B672-$C672-$D672-$E672,0))</f>
        <v/>
      </c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8">
        <f>IF($A673="","",IFERROR($B673-$C673-$D673-$E673,0))</f>
        <v/>
      </c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8">
        <f>IF($A674="","",IFERROR($B674-$C674-$D674-$E674,0))</f>
        <v/>
      </c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8">
        <f>IF($A675="","",IFERROR($B675-$C675-$D675-$E675,0))</f>
        <v/>
      </c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8">
        <f>IF($A676="","",IFERROR($B676-$C676-$D676-$E676,0))</f>
        <v/>
      </c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8">
        <f>IF($A677="","",IFERROR($B677-$C677-$D677-$E677,0))</f>
        <v/>
      </c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8">
        <f>IF($A678="","",IFERROR($B678-$C678-$D678-$E678,0))</f>
        <v/>
      </c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8">
        <f>IF($A679="","",IFERROR($B679-$C679-$D679-$E679,0))</f>
        <v/>
      </c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8">
        <f>IF($A680="","",IFERROR($B680-$C680-$D680-$E680,0))</f>
        <v/>
      </c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8">
        <f>IF($A681="","",IFERROR($B681-$C681-$D681-$E681,0))</f>
        <v/>
      </c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8">
        <f>IF($A682="","",IFERROR($B682-$C682-$D682-$E682,0))</f>
        <v/>
      </c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8">
        <f>IF($A683="","",IFERROR($B683-$C683-$D683-$E683,0))</f>
        <v/>
      </c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8">
        <f>IF($A684="","",IFERROR($B684-$C684-$D684-$E684,0))</f>
        <v/>
      </c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8">
        <f>IF($A685="","",IFERROR($B685-$C685-$D685-$E685,0))</f>
        <v/>
      </c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8">
        <f>IF($A686="","",IFERROR($B686-$C686-$D686-$E686,0))</f>
        <v/>
      </c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8">
        <f>IF($A687="","",IFERROR($B687-$C687-$D687-$E687,0))</f>
        <v/>
      </c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8">
        <f>IF($A688="","",IFERROR($B688-$C688-$D688-$E688,0))</f>
        <v/>
      </c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8">
        <f>IF($A689="","",IFERROR($B689-$C689-$D689-$E689,0))</f>
        <v/>
      </c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8">
        <f>IF($A690="","",IFERROR($B690-$C690-$D690-$E690,0))</f>
        <v/>
      </c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8">
        <f>IF($A691="","",IFERROR($B691-$C691-$D691-$E691,0))</f>
        <v/>
      </c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8">
        <f>IF($A692="","",IFERROR($B692-$C692-$D692-$E692,0))</f>
        <v/>
      </c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8">
        <f>IF($A693="","",IFERROR($B693-$C693-$D693-$E693,0))</f>
        <v/>
      </c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8">
        <f>IF($A694="","",IFERROR($B694-$C694-$D694-$E694,0))</f>
        <v/>
      </c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8">
        <f>IF($A695="","",IFERROR($B695-$C695-$D695-$E695,0))</f>
        <v/>
      </c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8">
        <f>IF($A696="","",IFERROR($B696-$C696-$D696-$E696,0))</f>
        <v/>
      </c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8">
        <f>IF($A697="","",IFERROR($B697-$C697-$D697-$E697,0))</f>
        <v/>
      </c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8">
        <f>IF($A698="","",IFERROR($B698-$C698-$D698-$E698,0))</f>
        <v/>
      </c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8">
        <f>IF($A699="","",IFERROR($B699-$C699-$D699-$E699,0))</f>
        <v/>
      </c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8">
        <f>IF($A700="","",IFERROR($B700-$C700-$D700-$E700,0))</f>
        <v/>
      </c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8">
        <f>IF($A701="","",IFERROR($B701-$C701-$D701-$E701,0))</f>
        <v/>
      </c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8">
        <f>IF($A702="","",IFERROR($B702-$C702-$D702-$E702,0))</f>
        <v/>
      </c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8">
        <f>IF($A703="","",IFERROR($B703-$C703-$D703-$E703,0))</f>
        <v/>
      </c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8">
        <f>IF($A704="","",IFERROR($B704-$C704-$D704-$E704,0))</f>
        <v/>
      </c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8">
        <f>IF($A705="","",IFERROR($B705-$C705-$D705-$E705,0))</f>
        <v/>
      </c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8">
        <f>IF($A706="","",IFERROR($B706-$C706-$D706-$E706,0))</f>
        <v/>
      </c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8">
        <f>IF($A707="","",IFERROR($B707-$C707-$D707-$E707,0))</f>
        <v/>
      </c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8">
        <f>IF($A708="","",IFERROR($B708-$C708-$D708-$E708,0))</f>
        <v/>
      </c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8">
        <f>IF($A709="","",IFERROR($B709-$C709-$D709-$E709,0))</f>
        <v/>
      </c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8">
        <f>IF($A710="","",IFERROR($B710-$C710-$D710-$E710,0))</f>
        <v/>
      </c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8">
        <f>IF($A711="","",IFERROR($B711-$C711-$D711-$E711,0))</f>
        <v/>
      </c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8">
        <f>IF($A712="","",IFERROR($B712-$C712-$D712-$E712,0))</f>
        <v/>
      </c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8">
        <f>IF($A713="","",IFERROR($B713-$C713-$D713-$E713,0))</f>
        <v/>
      </c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8">
        <f>IF($A714="","",IFERROR($B714-$C714-$D714-$E714,0))</f>
        <v/>
      </c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8">
        <f>IF($A715="","",IFERROR($B715-$C715-$D715-$E715,0))</f>
        <v/>
      </c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8">
        <f>IF($A716="","",IFERROR($B716-$C716-$D716-$E716,0))</f>
        <v/>
      </c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8">
        <f>IF($A717="","",IFERROR($B717-$C717-$D717-$E717,0))</f>
        <v/>
      </c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8">
        <f>IF($A718="","",IFERROR($B718-$C718-$D718-$E718,0))</f>
        <v/>
      </c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8">
        <f>IF($A719="","",IFERROR($B719-$C719-$D719-$E719,0))</f>
        <v/>
      </c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8">
        <f>IF($A720="","",IFERROR($B720-$C720-$D720-$E720,0))</f>
        <v/>
      </c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8">
        <f>IF($A721="","",IFERROR($B721-$C721-$D721-$E721,0))</f>
        <v/>
      </c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8">
        <f>IF($A722="","",IFERROR($B722-$C722-$D722-$E722,0))</f>
        <v/>
      </c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8">
        <f>IF($A723="","",IFERROR($B723-$C723-$D723-$E723,0))</f>
        <v/>
      </c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8">
        <f>IF($A724="","",IFERROR($B724-$C724-$D724-$E724,0))</f>
        <v/>
      </c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8">
        <f>IF($A725="","",IFERROR($B725-$C725-$D725-$E725,0))</f>
        <v/>
      </c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8">
        <f>IF($A726="","",IFERROR($B726-$C726-$D726-$E726,0))</f>
        <v/>
      </c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8">
        <f>IF($A727="","",IFERROR($B727-$C727-$D727-$E727,0))</f>
        <v/>
      </c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8">
        <f>IF($A728="","",IFERROR($B728-$C728-$D728-$E728,0))</f>
        <v/>
      </c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8">
        <f>IF($A729="","",IFERROR($B729-$C729-$D729-$E729,0))</f>
        <v/>
      </c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8">
        <f>IF($A730="","",IFERROR($B730-$C730-$D730-$E730,0))</f>
        <v/>
      </c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8">
        <f>IF($A731="","",IFERROR($B731-$C731-$D731-$E731,0))</f>
        <v/>
      </c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8">
        <f>IF($A732="","",IFERROR($B732-$C732-$D732-$E732,0))</f>
        <v/>
      </c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8">
        <f>IF($A733="","",IFERROR($B733-$C733-$D733-$E733,0))</f>
        <v/>
      </c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8">
        <f>IF($A734="","",IFERROR($B734-$C734-$D734-$E734,0))</f>
        <v/>
      </c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8">
        <f>IF($A735="","",IFERROR($B735-$C735-$D735-$E735,0))</f>
        <v/>
      </c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8">
        <f>IF($A736="","",IFERROR($B736-$C736-$D736-$E736,0))</f>
        <v/>
      </c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8">
        <f>IF($A737="","",IFERROR($B737-$C737-$D737-$E737,0))</f>
        <v/>
      </c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8">
        <f>IF($A738="","",IFERROR($B738-$C738-$D738-$E738,0))</f>
        <v/>
      </c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8">
        <f>IF($A739="","",IFERROR($B739-$C739-$D739-$E739,0))</f>
        <v/>
      </c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8">
        <f>IF($A740="","",IFERROR($B740-$C740-$D740-$E740,0))</f>
        <v/>
      </c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8">
        <f>IF($A741="","",IFERROR($B741-$C741-$D741-$E741,0))</f>
        <v/>
      </c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8">
        <f>IF($A742="","",IFERROR($B742-$C742-$D742-$E742,0))</f>
        <v/>
      </c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8">
        <f>IF($A743="","",IFERROR($B743-$C743-$D743-$E743,0))</f>
        <v/>
      </c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8">
        <f>IF($A744="","",IFERROR($B744-$C744-$D744-$E744,0))</f>
        <v/>
      </c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8">
        <f>IF($A745="","",IFERROR($B745-$C745-$D745-$E745,0))</f>
        <v/>
      </c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8">
        <f>IF($A746="","",IFERROR($B746-$C746-$D746-$E746,0))</f>
        <v/>
      </c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8">
        <f>IF($A747="","",IFERROR($B747-$C747-$D747-$E747,0))</f>
        <v/>
      </c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8">
        <f>IF($A748="","",IFERROR($B748-$C748-$D748-$E748,0))</f>
        <v/>
      </c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8">
        <f>IF($A749="","",IFERROR($B749-$C749-$D749-$E749,0))</f>
        <v/>
      </c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8">
        <f>IF($A750="","",IFERROR($B750-$C750-$D750-$E750,0))</f>
        <v/>
      </c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8">
        <f>IF($A751="","",IFERROR($B751-$C751-$D751-$E751,0))</f>
        <v/>
      </c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8">
        <f>IF($A752="","",IFERROR($B752-$C752-$D752-$E752,0))</f>
        <v/>
      </c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8">
        <f>IF($A753="","",IFERROR($B753-$C753-$D753-$E753,0))</f>
        <v/>
      </c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8">
        <f>IF($A754="","",IFERROR($B754-$C754-$D754-$E754,0))</f>
        <v/>
      </c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8">
        <f>IF($A755="","",IFERROR($B755-$C755-$D755-$E755,0))</f>
        <v/>
      </c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8">
        <f>IF($A756="","",IFERROR($B756-$C756-$D756-$E756,0))</f>
        <v/>
      </c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8">
        <f>IF($A757="","",IFERROR($B757-$C757-$D757-$E757,0))</f>
        <v/>
      </c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8">
        <f>IF($A758="","",IFERROR($B758-$C758-$D758-$E758,0))</f>
        <v/>
      </c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8">
        <f>IF($A759="","",IFERROR($B759-$C759-$D759-$E759,0))</f>
        <v/>
      </c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8">
        <f>IF($A760="","",IFERROR($B760-$C760-$D760-$E760,0))</f>
        <v/>
      </c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8">
        <f>IF($A761="","",IFERROR($B761-$C761-$D761-$E761,0))</f>
        <v/>
      </c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8">
        <f>IF($A762="","",IFERROR($B762-$C762-$D762-$E762,0))</f>
        <v/>
      </c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8">
        <f>IF($A763="","",IFERROR($B763-$C763-$D763-$E763,0))</f>
        <v/>
      </c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8">
        <f>IF($A764="","",IFERROR($B764-$C764-$D764-$E764,0))</f>
        <v/>
      </c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8">
        <f>IF($A765="","",IFERROR($B765-$C765-$D765-$E765,0))</f>
        <v/>
      </c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8">
        <f>IF($A766="","",IFERROR($B766-$C766-$D766-$E766,0))</f>
        <v/>
      </c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8">
        <f>IF($A767="","",IFERROR($B767-$C767-$D767-$E767,0))</f>
        <v/>
      </c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8">
        <f>IF($A768="","",IFERROR($B768-$C768-$D768-$E768,0))</f>
        <v/>
      </c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8">
        <f>IF($A769="","",IFERROR($B769-$C769-$D769-$E769,0))</f>
        <v/>
      </c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8">
        <f>IF($A770="","",IFERROR($B770-$C770-$D770-$E770,0))</f>
        <v/>
      </c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8">
        <f>IF($A771="","",IFERROR($B771-$C771-$D771-$E771,0))</f>
        <v/>
      </c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8">
        <f>IF($A772="","",IFERROR($B772-$C772-$D772-$E772,0))</f>
        <v/>
      </c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8">
        <f>IF($A773="","",IFERROR($B773-$C773-$D773-$E773,0))</f>
        <v/>
      </c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8">
        <f>IF($A774="","",IFERROR($B774-$C774-$D774-$E774,0))</f>
        <v/>
      </c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8">
        <f>IF($A775="","",IFERROR($B775-$C775-$D775-$E775,0))</f>
        <v/>
      </c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8">
        <f>IF($A776="","",IFERROR($B776-$C776-$D776-$E776,0))</f>
        <v/>
      </c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8">
        <f>IF($A777="","",IFERROR($B777-$C777-$D777-$E777,0))</f>
        <v/>
      </c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8">
        <f>IF($A778="","",IFERROR($B778-$C778-$D778-$E778,0))</f>
        <v/>
      </c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8">
        <f>IF($A779="","",IFERROR($B779-$C779-$D779-$E779,0))</f>
        <v/>
      </c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8">
        <f>IF($A780="","",IFERROR($B780-$C780-$D780-$E780,0))</f>
        <v/>
      </c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8">
        <f>IF($A781="","",IFERROR($B781-$C781-$D781-$E781,0))</f>
        <v/>
      </c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8">
        <f>IF($A782="","",IFERROR($B782-$C782-$D782-$E782,0))</f>
        <v/>
      </c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8">
        <f>IF($A783="","",IFERROR($B783-$C783-$D783-$E783,0))</f>
        <v/>
      </c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8">
        <f>IF($A784="","",IFERROR($B784-$C784-$D784-$E784,0))</f>
        <v/>
      </c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8">
        <f>IF($A785="","",IFERROR($B785-$C785-$D785-$E785,0))</f>
        <v/>
      </c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8">
        <f>IF($A786="","",IFERROR($B786-$C786-$D786-$E786,0))</f>
        <v/>
      </c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8">
        <f>IF($A787="","",IFERROR($B787-$C787-$D787-$E787,0))</f>
        <v/>
      </c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8">
        <f>IF($A788="","",IFERROR($B788-$C788-$D788-$E788,0))</f>
        <v/>
      </c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8">
        <f>IF($A789="","",IFERROR($B789-$C789-$D789-$E789,0))</f>
        <v/>
      </c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8">
        <f>IF($A790="","",IFERROR($B790-$C790-$D790-$E790,0))</f>
        <v/>
      </c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8">
        <f>IF($A791="","",IFERROR($B791-$C791-$D791-$E791,0))</f>
        <v/>
      </c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8">
        <f>IF($A792="","",IFERROR($B792-$C792-$D792-$E792,0))</f>
        <v/>
      </c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8">
        <f>IF($A793="","",IFERROR($B793-$C793-$D793-$E793,0))</f>
        <v/>
      </c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8">
        <f>IF($A794="","",IFERROR($B794-$C794-$D794-$E794,0))</f>
        <v/>
      </c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8">
        <f>IF($A795="","",IFERROR($B795-$C795-$D795-$E795,0))</f>
        <v/>
      </c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8">
        <f>IF($A796="","",IFERROR($B796-$C796-$D796-$E796,0))</f>
        <v/>
      </c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8">
        <f>IF($A797="","",IFERROR($B797-$C797-$D797-$E797,0))</f>
        <v/>
      </c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8">
        <f>IF($A798="","",IFERROR($B798-$C798-$D798-$E798,0))</f>
        <v/>
      </c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8">
        <f>IF($A799="","",IFERROR($B799-$C799-$D799-$E799,0))</f>
        <v/>
      </c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8">
        <f>IF($A800="","",IFERROR($B800-$C800-$D800-$E800,0))</f>
        <v/>
      </c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8">
        <f>IF($A801="","",IFERROR($B801-$C801-$D801-$E801,0))</f>
        <v/>
      </c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8">
        <f>IF($A802="","",IFERROR($B802-$C802-$D802-$E802,0))</f>
        <v/>
      </c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8">
        <f>IF($A803="","",IFERROR($B803-$C803-$D803-$E803,0))</f>
        <v/>
      </c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8">
        <f>IF($A804="","",IFERROR($B804-$C804-$D804-$E804,0))</f>
        <v/>
      </c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8">
        <f>IF($A805="","",IFERROR($B805-$C805-$D805-$E805,0))</f>
        <v/>
      </c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8">
        <f>IF($A806="","",IFERROR($B806-$C806-$D806-$E806,0))</f>
        <v/>
      </c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8">
        <f>IF($A807="","",IFERROR($B807-$C807-$D807-$E807,0))</f>
        <v/>
      </c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8">
        <f>IF($A808="","",IFERROR($B808-$C808-$D808-$E808,0))</f>
        <v/>
      </c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8">
        <f>IF($A809="","",IFERROR($B809-$C809-$D809-$E809,0))</f>
        <v/>
      </c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8">
        <f>IF($A810="","",IFERROR($B810-$C810-$D810-$E810,0))</f>
        <v/>
      </c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8">
        <f>IF($A811="","",IFERROR($B811-$C811-$D811-$E811,0))</f>
        <v/>
      </c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8">
        <f>IF($A812="","",IFERROR($B812-$C812-$D812-$E812,0))</f>
        <v/>
      </c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8">
        <f>IF($A813="","",IFERROR($B813-$C813-$D813-$E813,0))</f>
        <v/>
      </c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8">
        <f>IF($A814="","",IFERROR($B814-$C814-$D814-$E814,0))</f>
        <v/>
      </c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8">
        <f>IF($A815="","",IFERROR($B815-$C815-$D815-$E815,0))</f>
        <v/>
      </c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8">
        <f>IF($A816="","",IFERROR($B816-$C816-$D816-$E816,0))</f>
        <v/>
      </c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8">
        <f>IF($A817="","",IFERROR($B817-$C817-$D817-$E817,0))</f>
        <v/>
      </c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8">
        <f>IF($A818="","",IFERROR($B818-$C818-$D818-$E818,0))</f>
        <v/>
      </c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8">
        <f>IF($A819="","",IFERROR($B819-$C819-$D819-$E819,0))</f>
        <v/>
      </c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8">
        <f>IF($A820="","",IFERROR($B820-$C820-$D820-$E820,0))</f>
        <v/>
      </c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8">
        <f>IF($A821="","",IFERROR($B821-$C821-$D821-$E821,0))</f>
        <v/>
      </c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8">
        <f>IF($A822="","",IFERROR($B822-$C822-$D822-$E822,0))</f>
        <v/>
      </c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8">
        <f>IF($A823="","",IFERROR($B823-$C823-$D823-$E823,0))</f>
        <v/>
      </c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8">
        <f>IF($A824="","",IFERROR($B824-$C824-$D824-$E824,0))</f>
        <v/>
      </c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8">
        <f>IF($A825="","",IFERROR($B825-$C825-$D825-$E825,0))</f>
        <v/>
      </c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8">
        <f>IF($A826="","",IFERROR($B826-$C826-$D826-$E826,0))</f>
        <v/>
      </c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8">
        <f>IF($A827="","",IFERROR($B827-$C827-$D827-$E827,0))</f>
        <v/>
      </c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8">
        <f>IF($A828="","",IFERROR($B828-$C828-$D828-$E828,0))</f>
        <v/>
      </c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8">
        <f>IF($A829="","",IFERROR($B829-$C829-$D829-$E829,0))</f>
        <v/>
      </c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8">
        <f>IF($A830="","",IFERROR($B830-$C830-$D830-$E830,0))</f>
        <v/>
      </c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8">
        <f>IF($A831="","",IFERROR($B831-$C831-$D831-$E831,0))</f>
        <v/>
      </c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8">
        <f>IF($A832="","",IFERROR($B832-$C832-$D832-$E832,0))</f>
        <v/>
      </c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8">
        <f>IF($A833="","",IFERROR($B833-$C833-$D833-$E833,0))</f>
        <v/>
      </c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8">
        <f>IF($A834="","",IFERROR($B834-$C834-$D834-$E834,0))</f>
        <v/>
      </c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8">
        <f>IF($A835="","",IFERROR($B835-$C835-$D835-$E835,0))</f>
        <v/>
      </c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8">
        <f>IF($A836="","",IFERROR($B836-$C836-$D836-$E836,0))</f>
        <v/>
      </c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8">
        <f>IF($A837="","",IFERROR($B837-$C837-$D837-$E837,0))</f>
        <v/>
      </c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8">
        <f>IF($A838="","",IFERROR($B838-$C838-$D838-$E838,0))</f>
        <v/>
      </c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8">
        <f>IF($A839="","",IFERROR($B839-$C839-$D839-$E839,0))</f>
        <v/>
      </c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8">
        <f>IF($A840="","",IFERROR($B840-$C840-$D840-$E840,0))</f>
        <v/>
      </c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8">
        <f>IF($A841="","",IFERROR($B841-$C841-$D841-$E841,0))</f>
        <v/>
      </c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8">
        <f>IF($A842="","",IFERROR($B842-$C842-$D842-$E842,0))</f>
        <v/>
      </c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8">
        <f>IF($A843="","",IFERROR($B843-$C843-$D843-$E843,0))</f>
        <v/>
      </c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8">
        <f>IF($A844="","",IFERROR($B844-$C844-$D844-$E844,0))</f>
        <v/>
      </c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8">
        <f>IF($A845="","",IFERROR($B845-$C845-$D845-$E845,0))</f>
        <v/>
      </c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8">
        <f>IF($A846="","",IFERROR($B846-$C846-$D846-$E846,0))</f>
        <v/>
      </c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8">
        <f>IF($A847="","",IFERROR($B847-$C847-$D847-$E847,0))</f>
        <v/>
      </c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8">
        <f>IF($A848="","",IFERROR($B848-$C848-$D848-$E848,0))</f>
        <v/>
      </c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8">
        <f>IF($A849="","",IFERROR($B849-$C849-$D849-$E849,0))</f>
        <v/>
      </c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8">
        <f>IF($A850="","",IFERROR($B850-$C850-$D850-$E850,0))</f>
        <v/>
      </c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8">
        <f>IF($A851="","",IFERROR($B851-$C851-$D851-$E851,0))</f>
        <v/>
      </c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8">
        <f>IF($A852="","",IFERROR($B852-$C852-$D852-$E852,0))</f>
        <v/>
      </c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8">
        <f>IF($A853="","",IFERROR($B853-$C853-$D853-$E853,0))</f>
        <v/>
      </c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8">
        <f>IF($A854="","",IFERROR($B854-$C854-$D854-$E854,0))</f>
        <v/>
      </c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8">
        <f>IF($A855="","",IFERROR($B855-$C855-$D855-$E855,0))</f>
        <v/>
      </c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8">
        <f>IF($A856="","",IFERROR($B856-$C856-$D856-$E856,0))</f>
        <v/>
      </c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8">
        <f>IF($A857="","",IFERROR($B857-$C857-$D857-$E857,0))</f>
        <v/>
      </c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8">
        <f>IF($A858="","",IFERROR($B858-$C858-$D858-$E858,0))</f>
        <v/>
      </c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8">
        <f>IF($A859="","",IFERROR($B859-$C859-$D859-$E859,0))</f>
        <v/>
      </c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8">
        <f>IF($A860="","",IFERROR($B860-$C860-$D860-$E860,0))</f>
        <v/>
      </c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8">
        <f>IF($A861="","",IFERROR($B861-$C861-$D861-$E861,0))</f>
        <v/>
      </c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8">
        <f>IF($A862="","",IFERROR($B862-$C862-$D862-$E862,0))</f>
        <v/>
      </c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8">
        <f>IF($A863="","",IFERROR($B863-$C863-$D863-$E863,0))</f>
        <v/>
      </c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8">
        <f>IF($A864="","",IFERROR($B864-$C864-$D864-$E864,0))</f>
        <v/>
      </c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8">
        <f>IF($A865="","",IFERROR($B865-$C865-$D865-$E865,0))</f>
        <v/>
      </c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8">
        <f>IF($A866="","",IFERROR($B866-$C866-$D866-$E866,0))</f>
        <v/>
      </c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8">
        <f>IF($A867="","",IFERROR($B867-$C867-$D867-$E867,0))</f>
        <v/>
      </c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8">
        <f>IF($A868="","",IFERROR($B868-$C868-$D868-$E868,0))</f>
        <v/>
      </c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8">
        <f>IF($A869="","",IFERROR($B869-$C869-$D869-$E869,0))</f>
        <v/>
      </c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8">
        <f>IF($A870="","",IFERROR($B870-$C870-$D870-$E870,0))</f>
        <v/>
      </c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8">
        <f>IF($A871="","",IFERROR($B871-$C871-$D871-$E871,0))</f>
        <v/>
      </c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8">
        <f>IF($A872="","",IFERROR($B872-$C872-$D872-$E872,0))</f>
        <v/>
      </c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8">
        <f>IF($A873="","",IFERROR($B873-$C873-$D873-$E873,0))</f>
        <v/>
      </c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8">
        <f>IF($A874="","",IFERROR($B874-$C874-$D874-$E874,0))</f>
        <v/>
      </c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8">
        <f>IF($A875="","",IFERROR($B875-$C875-$D875-$E875,0))</f>
        <v/>
      </c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8">
        <f>IF($A876="","",IFERROR($B876-$C876-$D876-$E876,0))</f>
        <v/>
      </c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8">
        <f>IF($A877="","",IFERROR($B877-$C877-$D877-$E877,0))</f>
        <v/>
      </c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8">
        <f>IF($A878="","",IFERROR($B878-$C878-$D878-$E878,0))</f>
        <v/>
      </c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8">
        <f>IF($A879="","",IFERROR($B879-$C879-$D879-$E879,0))</f>
        <v/>
      </c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8">
        <f>IF($A880="","",IFERROR($B880-$C880-$D880-$E880,0))</f>
        <v/>
      </c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8">
        <f>IF($A881="","",IFERROR($B881-$C881-$D881-$E881,0))</f>
        <v/>
      </c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8">
        <f>IF($A882="","",IFERROR($B882-$C882-$D882-$E882,0))</f>
        <v/>
      </c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8">
        <f>IF($A883="","",IFERROR($B883-$C883-$D883-$E883,0))</f>
        <v/>
      </c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8">
        <f>IF($A884="","",IFERROR($B884-$C884-$D884-$E884,0))</f>
        <v/>
      </c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8">
        <f>IF($A885="","",IFERROR($B885-$C885-$D885-$E885,0))</f>
        <v/>
      </c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8">
        <f>IF($A886="","",IFERROR($B886-$C886-$D886-$E886,0))</f>
        <v/>
      </c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8">
        <f>IF($A887="","",IFERROR($B887-$C887-$D887-$E887,0))</f>
        <v/>
      </c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8">
        <f>IF($A888="","",IFERROR($B888-$C888-$D888-$E888,0))</f>
        <v/>
      </c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8">
        <f>IF($A889="","",IFERROR($B889-$C889-$D889-$E889,0))</f>
        <v/>
      </c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8">
        <f>IF($A890="","",IFERROR($B890-$C890-$D890-$E890,0))</f>
        <v/>
      </c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8">
        <f>IF($A891="","",IFERROR($B891-$C891-$D891-$E891,0))</f>
        <v/>
      </c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8">
        <f>IF($A892="","",IFERROR($B892-$C892-$D892-$E892,0))</f>
        <v/>
      </c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8">
        <f>IF($A893="","",IFERROR($B893-$C893-$D893-$E893,0))</f>
        <v/>
      </c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8">
        <f>IF($A894="","",IFERROR($B894-$C894-$D894-$E894,0))</f>
        <v/>
      </c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8">
        <f>IF($A895="","",IFERROR($B895-$C895-$D895-$E895,0))</f>
        <v/>
      </c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8">
        <f>IF($A896="","",IFERROR($B896-$C896-$D896-$E896,0))</f>
        <v/>
      </c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8">
        <f>IF($A897="","",IFERROR($B897-$C897-$D897-$E897,0))</f>
        <v/>
      </c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8">
        <f>IF($A898="","",IFERROR($B898-$C898-$D898-$E898,0))</f>
        <v/>
      </c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8">
        <f>IF($A899="","",IFERROR($B899-$C899-$D899-$E899,0))</f>
        <v/>
      </c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8">
        <f>IF($A900="","",IFERROR($B900-$C900-$D900-$E900,0))</f>
        <v/>
      </c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8">
        <f>IF($A901="","",IFERROR($B901-$C901-$D901-$E901,0))</f>
        <v/>
      </c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8">
        <f>IF($A902="","",IFERROR($B902-$C902-$D902-$E902,0))</f>
        <v/>
      </c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8">
        <f>IF($A903="","",IFERROR($B903-$C903-$D903-$E903,0))</f>
        <v/>
      </c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8">
        <f>IF($A904="","",IFERROR($B904-$C904-$D904-$E904,0))</f>
        <v/>
      </c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8">
        <f>IF($A905="","",IFERROR($B905-$C905-$D905-$E905,0))</f>
        <v/>
      </c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8">
        <f>IF($A906="","",IFERROR($B906-$C906-$D906-$E906,0))</f>
        <v/>
      </c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8">
        <f>IF($A907="","",IFERROR($B907-$C907-$D907-$E907,0))</f>
        <v/>
      </c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8">
        <f>IF($A908="","",IFERROR($B908-$C908-$D908-$E908,0))</f>
        <v/>
      </c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8">
        <f>IF($A909="","",IFERROR($B909-$C909-$D909-$E909,0))</f>
        <v/>
      </c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8">
        <f>IF($A910="","",IFERROR($B910-$C910-$D910-$E910,0))</f>
        <v/>
      </c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8">
        <f>IF($A911="","",IFERROR($B911-$C911-$D911-$E911,0))</f>
        <v/>
      </c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8">
        <f>IF($A912="","",IFERROR($B912-$C912-$D912-$E912,0))</f>
        <v/>
      </c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8">
        <f>IF($A913="","",IFERROR($B913-$C913-$D913-$E913,0))</f>
        <v/>
      </c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8">
        <f>IF($A914="","",IFERROR($B914-$C914-$D914-$E914,0))</f>
        <v/>
      </c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8">
        <f>IF($A915="","",IFERROR($B915-$C915-$D915-$E915,0))</f>
        <v/>
      </c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8">
        <f>IF($A916="","",IFERROR($B916-$C916-$D916-$E916,0))</f>
        <v/>
      </c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8">
        <f>IF($A917="","",IFERROR($B917-$C917-$D917-$E917,0))</f>
        <v/>
      </c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8">
        <f>IF($A918="","",IFERROR($B918-$C918-$D918-$E918,0))</f>
        <v/>
      </c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8">
        <f>IF($A919="","",IFERROR($B919-$C919-$D919-$E919,0))</f>
        <v/>
      </c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8">
        <f>IF($A920="","",IFERROR($B920-$C920-$D920-$E920,0))</f>
        <v/>
      </c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8">
        <f>IF($A921="","",IFERROR($B921-$C921-$D921-$E921,0))</f>
        <v/>
      </c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8">
        <f>IF($A922="","",IFERROR($B922-$C922-$D922-$E922,0))</f>
        <v/>
      </c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8">
        <f>IF($A923="","",IFERROR($B923-$C923-$D923-$E923,0))</f>
        <v/>
      </c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8">
        <f>IF($A924="","",IFERROR($B924-$C924-$D924-$E924,0))</f>
        <v/>
      </c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8">
        <f>IF($A925="","",IFERROR($B925-$C925-$D925-$E925,0))</f>
        <v/>
      </c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8">
        <f>IF($A926="","",IFERROR($B926-$C926-$D926-$E926,0))</f>
        <v/>
      </c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8">
        <f>IF($A927="","",IFERROR($B927-$C927-$D927-$E927,0))</f>
        <v/>
      </c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8">
        <f>IF($A928="","",IFERROR($B928-$C928-$D928-$E928,0))</f>
        <v/>
      </c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8">
        <f>IF($A929="","",IFERROR($B929-$C929-$D929-$E929,0))</f>
        <v/>
      </c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8">
        <f>IF($A930="","",IFERROR($B930-$C930-$D930-$E930,0))</f>
        <v/>
      </c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8">
        <f>IF($A931="","",IFERROR($B931-$C931-$D931-$E931,0))</f>
        <v/>
      </c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8">
        <f>IF($A932="","",IFERROR($B932-$C932-$D932-$E932,0))</f>
        <v/>
      </c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8">
        <f>IF($A933="","",IFERROR($B933-$C933-$D933-$E933,0))</f>
        <v/>
      </c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8">
        <f>IF($A934="","",IFERROR($B934-$C934-$D934-$E934,0))</f>
        <v/>
      </c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8">
        <f>IF($A935="","",IFERROR($B935-$C935-$D935-$E935,0))</f>
        <v/>
      </c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8">
        <f>IF($A936="","",IFERROR($B936-$C936-$D936-$E936,0))</f>
        <v/>
      </c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8">
        <f>IF($A937="","",IFERROR($B937-$C937-$D937-$E937,0))</f>
        <v/>
      </c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8">
        <f>IF($A938="","",IFERROR($B938-$C938-$D938-$E938,0))</f>
        <v/>
      </c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8">
        <f>IF($A939="","",IFERROR($B939-$C939-$D939-$E939,0))</f>
        <v/>
      </c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8">
        <f>IF($A940="","",IFERROR($B940-$C940-$D940-$E940,0))</f>
        <v/>
      </c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8">
        <f>IF($A941="","",IFERROR($B941-$C941-$D941-$E941,0))</f>
        <v/>
      </c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8">
        <f>IF($A942="","",IFERROR($B942-$C942-$D942-$E942,0))</f>
        <v/>
      </c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8">
        <f>IF($A943="","",IFERROR($B943-$C943-$D943-$E943,0))</f>
        <v/>
      </c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8">
        <f>IF($A944="","",IFERROR($B944-$C944-$D944-$E944,0))</f>
        <v/>
      </c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8">
        <f>IF($A945="","",IFERROR($B945-$C945-$D945-$E945,0))</f>
        <v/>
      </c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8">
        <f>IF($A946="","",IFERROR($B946-$C946-$D946-$E946,0))</f>
        <v/>
      </c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8">
        <f>IF($A947="","",IFERROR($B947-$C947-$D947-$E947,0))</f>
        <v/>
      </c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8">
        <f>IF($A948="","",IFERROR($B948-$C948-$D948-$E948,0))</f>
        <v/>
      </c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8">
        <f>IF($A949="","",IFERROR($B949-$C949-$D949-$E949,0))</f>
        <v/>
      </c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8">
        <f>IF($A950="","",IFERROR($B950-$C950-$D950-$E950,0))</f>
        <v/>
      </c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8">
        <f>IF($A951="","",IFERROR($B951-$C951-$D951-$E951,0))</f>
        <v/>
      </c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8">
        <f>IF($A952="","",IFERROR($B952-$C952-$D952-$E952,0))</f>
        <v/>
      </c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8">
        <f>IF($A953="","",IFERROR($B953-$C953-$D953-$E953,0))</f>
        <v/>
      </c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8">
        <f>IF($A954="","",IFERROR($B954-$C954-$D954-$E954,0))</f>
        <v/>
      </c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8">
        <f>IF($A955="","",IFERROR($B955-$C955-$D955-$E955,0))</f>
        <v/>
      </c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8">
        <f>IF($A956="","",IFERROR($B956-$C956-$D956-$E956,0))</f>
        <v/>
      </c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8">
        <f>IF($A957="","",IFERROR($B957-$C957-$D957-$E957,0))</f>
        <v/>
      </c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8">
        <f>IF($A958="","",IFERROR($B958-$C958-$D958-$E958,0))</f>
        <v/>
      </c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8">
        <f>IF($A959="","",IFERROR($B959-$C959-$D959-$E959,0))</f>
        <v/>
      </c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8">
        <f>IF($A960="","",IFERROR($B960-$C960-$D960-$E960,0))</f>
        <v/>
      </c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8">
        <f>IF($A961="","",IFERROR($B961-$C961-$D961-$E961,0))</f>
        <v/>
      </c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8">
        <f>IF($A962="","",IFERROR($B962-$C962-$D962-$E962,0))</f>
        <v/>
      </c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8">
        <f>IF($A963="","",IFERROR($B963-$C963-$D963-$E963,0))</f>
        <v/>
      </c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8">
        <f>IF($A964="","",IFERROR($B964-$C964-$D964-$E964,0))</f>
        <v/>
      </c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8">
        <f>IF($A965="","",IFERROR($B965-$C965-$D965-$E965,0))</f>
        <v/>
      </c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8">
        <f>IF($A966="","",IFERROR($B966-$C966-$D966-$E966,0))</f>
        <v/>
      </c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8">
        <f>IF($A967="","",IFERROR($B967-$C967-$D967-$E967,0))</f>
        <v/>
      </c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8">
        <f>IF($A968="","",IFERROR($B968-$C968-$D968-$E968,0))</f>
        <v/>
      </c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8">
        <f>IF($A969="","",IFERROR($B969-$C969-$D969-$E969,0))</f>
        <v/>
      </c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8">
        <f>IF($A970="","",IFERROR($B970-$C970-$D970-$E970,0))</f>
        <v/>
      </c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8">
        <f>IF($A971="","",IFERROR($B971-$C971-$D971-$E971,0))</f>
        <v/>
      </c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8">
        <f>IF($A972="","",IFERROR($B972-$C972-$D972-$E972,0))</f>
        <v/>
      </c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8">
        <f>IF($A973="","",IFERROR($B973-$C973-$D973-$E973,0))</f>
        <v/>
      </c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8">
        <f>IF($A974="","",IFERROR($B974-$C974-$D974-$E974,0))</f>
        <v/>
      </c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8">
        <f>IF($A975="","",IFERROR($B975-$C975-$D975-$E975,0))</f>
        <v/>
      </c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8">
        <f>IF($A976="","",IFERROR($B976-$C976-$D976-$E976,0))</f>
        <v/>
      </c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8">
        <f>IF($A977="","",IFERROR($B977-$C977-$D977-$E977,0))</f>
        <v/>
      </c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8">
        <f>IF($A978="","",IFERROR($B978-$C978-$D978-$E978,0))</f>
        <v/>
      </c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8">
        <f>IF($A979="","",IFERROR($B979-$C979-$D979-$E979,0))</f>
        <v/>
      </c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8">
        <f>IF($A980="","",IFERROR($B980-$C980-$D980-$E980,0))</f>
        <v/>
      </c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8">
        <f>IF($A981="","",IFERROR($B981-$C981-$D981-$E981,0))</f>
        <v/>
      </c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8">
        <f>IF($A982="","",IFERROR($B982-$C982-$D982-$E982,0))</f>
        <v/>
      </c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8">
        <f>IF($A983="","",IFERROR($B983-$C983-$D983-$E983,0))</f>
        <v/>
      </c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8">
        <f>IF($A984="","",IFERROR($B984-$C984-$D984-$E984,0))</f>
        <v/>
      </c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8">
        <f>IF($A985="","",IFERROR($B985-$C985-$D985-$E985,0))</f>
        <v/>
      </c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8">
        <f>IF($A986="","",IFERROR($B986-$C986-$D986-$E986,0))</f>
        <v/>
      </c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8">
        <f>IF($A987="","",IFERROR($B987-$C987-$D987-$E987,0))</f>
        <v/>
      </c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8">
        <f>IF($A988="","",IFERROR($B988-$C988-$D988-$E988,0))</f>
        <v/>
      </c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8">
        <f>IF($A989="","",IFERROR($B989-$C989-$D989-$E989,0))</f>
        <v/>
      </c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8">
        <f>IF($A990="","",IFERROR($B990-$C990-$D990-$E990,0))</f>
        <v/>
      </c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8">
        <f>IF($A991="","",IFERROR($B991-$C991-$D991-$E991,0))</f>
        <v/>
      </c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8">
        <f>IF($A992="","",IFERROR($B992-$C992-$D992-$E992,0))</f>
        <v/>
      </c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8">
        <f>IF($A993="","",IFERROR($B993-$C993-$D993-$E993,0))</f>
        <v/>
      </c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8">
        <f>IF($A994="","",IFERROR($B994-$C994-$D994-$E994,0))</f>
        <v/>
      </c>
    </row>
    <row r="99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8">
        <f>IF($A995="","",IFERROR($B995-$C995-$D995-$E995,0))</f>
        <v/>
      </c>
    </row>
    <row r="996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8">
        <f>IF($A996="","",IFERROR($B996-$C996-$D996-$E996,0))</f>
        <v/>
      </c>
    </row>
    <row r="997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8">
        <f>IF($A997="","",IFERROR($B997-$C997-$D997-$E997,0))</f>
        <v/>
      </c>
    </row>
    <row r="99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8">
        <f>IF($A998="","",IFERROR($B998-$C998-$D998-$E998,0))</f>
        <v/>
      </c>
    </row>
    <row r="999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8">
        <f>IF($A999="","",IFERROR($B999-$C999-$D999-$E999,0))</f>
        <v/>
      </c>
    </row>
    <row r="1000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8">
        <f>IF($A1000="","",IFERROR($B1000-$C1000-$D1000-$E1000,0))</f>
        <v/>
      </c>
    </row>
    <row r="1001">
      <c r="A1001" s="37" t="n"/>
      <c r="B1001" s="37" t="n"/>
      <c r="C1001" s="37" t="n"/>
      <c r="D1001" s="37" t="n"/>
      <c r="E1001" s="37" t="n"/>
      <c r="F1001" s="37" t="n"/>
      <c r="G1001" s="37" t="n"/>
      <c r="H1001" s="37" t="n"/>
      <c r="I1001" s="38">
        <f>IF($A1001="","",IFERROR($B1001-$C1001-$D1001-$E1001,0))</f>
        <v/>
      </c>
    </row>
    <row r="1002">
      <c r="A1002" s="37" t="n"/>
      <c r="B1002" s="37" t="n"/>
      <c r="C1002" s="37" t="n"/>
      <c r="D1002" s="37" t="n"/>
      <c r="E1002" s="37" t="n"/>
      <c r="F1002" s="37" t="n"/>
      <c r="G1002" s="37" t="n"/>
      <c r="H1002" s="37" t="n"/>
      <c r="I1002" s="38">
        <f>IF($A1002="","",IFERROR($B1002-$C1002-$D1002-$E1002,0))</f>
        <v/>
      </c>
    </row>
    <row r="1003">
      <c r="A1003" s="37" t="n"/>
      <c r="B1003" s="37" t="n"/>
      <c r="C1003" s="37" t="n"/>
      <c r="D1003" s="37" t="n"/>
      <c r="E1003" s="37" t="n"/>
      <c r="F1003" s="37" t="n"/>
      <c r="G1003" s="37" t="n"/>
      <c r="H1003" s="37" t="n"/>
      <c r="I1003" s="38">
        <f>IF($A1003="","",IFERROR($B1003-$C1003-$D1003-$E1003,0))</f>
        <v/>
      </c>
    </row>
    <row r="1004">
      <c r="A1004" s="37" t="n"/>
      <c r="B1004" s="37" t="n"/>
      <c r="C1004" s="37" t="n"/>
      <c r="D1004" s="37" t="n"/>
      <c r="E1004" s="37" t="n"/>
      <c r="F1004" s="37" t="n"/>
      <c r="G1004" s="37" t="n"/>
      <c r="H1004" s="37" t="n"/>
      <c r="I1004" s="38">
        <f>IF($A1004="","",IFERROR($B1004-$C1004-$D1004-$E1004,0))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B6:B20">
    <cfRule type="cellIs" priority="1" operator="lessThan" dxfId="5">
      <formula>0</formula>
    </cfRule>
  </conditionalFormatting>
  <conditionalFormatting sqref="C6:C20">
    <cfRule type="cellIs" priority="2" operator="lessThan" dxfId="5">
      <formula>0</formula>
    </cfRule>
  </conditionalFormatting>
  <conditionalFormatting sqref="D6:D20">
    <cfRule type="cellIs" priority="3" operator="lessThan" dxfId="5">
      <formula>0</formula>
    </cfRule>
  </conditionalFormatting>
  <conditionalFormatting sqref="E6:E20">
    <cfRule type="cellIs" priority="4" operator="lessThan" dxfId="5">
      <formula>0</formula>
    </cfRule>
  </conditionalFormatting>
  <conditionalFormatting sqref="F6:F20">
    <cfRule type="cellIs" priority="5" operator="lessThan" dxfId="5">
      <formula>0</formula>
    </cfRule>
  </conditionalFormatting>
  <conditionalFormatting sqref="G6:G20">
    <cfRule type="cellIs" priority="6" operator="lessThan" dxfId="5">
      <formula>0</formula>
    </cfRule>
  </conditionalFormatting>
  <conditionalFormatting sqref="I6:I20">
    <cfRule type="cellIs" priority="7" operator="lessThan" dxfId="5">
      <formula>0</formula>
    </cfRule>
    <cfRule type="cellIs" priority="8" operator="greaterThan" dxfId="4">
      <formula>0</formula>
    </cfRule>
  </conditionalFormatting>
  <dataValidations count="6">
    <dataValidation sqref="B6:B1004" showDropDown="0" showInputMessage="1" showErrorMessage="1" allowBlank="1" errorTitle="Geçersiz" error="Sınır dışı değer." promptTitle="Hasılat" prompt="Hasılat değerini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Sınır dışı değer." promptTitle="Maliyet" prompt="Maliyet değerini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Sınır dışı değer." promptTitle="GY Payı" prompt="GY Payı değerini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Sınır dışı değer." promptTitle="FG Payı" prompt="FG Payı değerini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Sınır dışı değer." promptTitle="Diğer" prompt="Diğer değerini girin." type="decimal" errorStyle="stop" operator="between">
      <formula1>-1000000000000</formula1>
      <formula2>1000000000000</formula2>
    </dataValidation>
    <dataValidation sqref="G6:G1004" showDropDown="0" showInputMessage="1" showErrorMessage="1" allowBlank="1" errorTitle="Geçersiz" error="Sınır dışı değer." promptTitle="İstisna" prompt="İstisna değerini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.5" customWidth="1" min="3" max="3"/>
    <col width="13" customWidth="1" min="4" max="4"/>
    <col width="14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LISTELER — Üretim Kârı %12,5 KV Optimizasyonu</t>
        </is>
      </c>
    </row>
    <row r="3" ht="22" customHeight="1">
      <c r="A3" s="225" t="inlineStr">
        <is>
          <t>Doğrulama listeleri</t>
        </is>
      </c>
    </row>
    <row r="5">
      <c r="A5" s="51" t="inlineStr">
        <is>
          <t>Yıllar</t>
        </is>
      </c>
      <c r="C5" s="51" t="inlineStr">
        <is>
          <t>Yorum A/B</t>
        </is>
      </c>
      <c r="E5" s="51" t="inlineStr">
        <is>
          <t>Evet/Hayır</t>
        </is>
      </c>
    </row>
    <row r="6">
      <c r="A6" s="62" t="n">
        <v>2025</v>
      </c>
      <c r="C6" s="60" t="inlineStr">
        <is>
          <t>A</t>
        </is>
      </c>
      <c r="E6" s="60" t="inlineStr">
        <is>
          <t>Evet</t>
        </is>
      </c>
    </row>
    <row r="7">
      <c r="A7" s="62" t="n">
        <v>2026</v>
      </c>
      <c r="C7" s="60" t="inlineStr">
        <is>
          <t>B</t>
        </is>
      </c>
      <c r="E7" s="60" t="inlineStr">
        <is>
          <t>Hayır</t>
        </is>
      </c>
    </row>
    <row r="8">
      <c r="A8" s="62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.5" customWidth="1" min="3" max="3"/>
    <col width="39.5" customWidth="1" min="4" max="4"/>
    <col width="22.5" customWidth="1" min="5" max="5"/>
    <col width="19.5" customWidth="1" min="6" max="6"/>
    <col width="20.5" customWidth="1" min="7" max="7"/>
    <col width="12" customWidth="1" min="8" max="8"/>
    <col width="13" customWidth="1" min="9" max="9"/>
  </cols>
  <sheetData>
    <row r="1" ht="32" customHeight="1">
      <c r="A1" s="205" t="inlineStr">
        <is>
          <t>AYARLAR — Üretim Kârı %12,5 KV Optimizasyonu</t>
        </is>
      </c>
    </row>
    <row r="3" ht="22" customHeight="1">
      <c r="A3" s="225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5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3">
        <f>IF(A6="","",IF(B6="","EKSİK","TAM"))</f>
        <v/>
      </c>
    </row>
    <row r="7">
      <c r="A7" s="7" t="inlineStr">
        <is>
          <t>raporTarihi</t>
        </is>
      </c>
      <c r="B7" s="64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3">
        <f>IF(A7="","",IF(B7="","EKSİK","TAM"))</f>
        <v/>
      </c>
    </row>
    <row r="8">
      <c r="A8" s="7" t="inlineStr">
        <is>
          <t>ukv_tolerans</t>
        </is>
      </c>
      <c r="B8" s="65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3">
        <f>IF(A8="","",IF(B8="","EKSİK","TAM"))</f>
        <v/>
      </c>
    </row>
    <row r="9">
      <c r="A9" s="7" t="inlineStr">
        <is>
          <t>ukv_kacirilanEsik</t>
        </is>
      </c>
      <c r="B9" s="65" t="n">
        <v>50000</v>
      </c>
      <c r="C9" s="7" t="inlineStr">
        <is>
          <t>TL</t>
        </is>
      </c>
      <c r="D9" s="7" t="inlineStr">
        <is>
          <t>PANO tasarruf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3">
        <f>IF(A9="","",IF(B9="","EKSİK","TAM"))</f>
        <v/>
      </c>
    </row>
    <row r="10">
      <c r="A10" s="7" t="inlineStr">
        <is>
          <t>ukv_senaryoIyi</t>
        </is>
      </c>
      <c r="B10" s="44" t="n">
        <v>1.1</v>
      </c>
      <c r="C10" s="7" t="inlineStr">
        <is>
          <t>çarpan</t>
        </is>
      </c>
      <c r="D10" s="7" t="inlineStr">
        <is>
          <t>İyimser matrah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3">
        <f>IF(A10="","",IF(B10="","EKSİK","TAM"))</f>
        <v/>
      </c>
    </row>
    <row r="11">
      <c r="A11" s="7" t="inlineStr">
        <is>
          <t>ukv_senaryoKotu</t>
        </is>
      </c>
      <c r="B11" s="44" t="n">
        <v>0.85</v>
      </c>
      <c r="C11" s="7" t="inlineStr">
        <is>
          <t>çarpan</t>
        </is>
      </c>
      <c r="D11" s="7" t="inlineStr">
        <is>
          <t>Kötümser matrah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3">
        <f>IF(A11="","",IF(B11="","EKSİK","TAM"))</f>
        <v/>
      </c>
    </row>
    <row r="12">
      <c r="A12" s="7" t="inlineStr">
        <is>
          <t>ukv_oranArtisPuan</t>
        </is>
      </c>
      <c r="B12" s="44" t="n">
        <v>0.01</v>
      </c>
      <c r="C12" s="7" t="inlineStr">
        <is>
          <t>oran</t>
        </is>
      </c>
      <c r="D12" s="7" t="inlineStr">
        <is>
          <t>M-SEN sabit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3">
        <f>IF(A12="","",IF(B12="","EKSİK","TAM"))</f>
        <v/>
      </c>
    </row>
    <row r="13">
      <c r="A13" s="7" t="inlineStr">
        <is>
          <t>ukv_tahminAlt</t>
        </is>
      </c>
      <c r="B13" s="44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3">
        <f>IF(A13="","",IF(B13="","EKSİK","TAM"))</f>
        <v/>
      </c>
    </row>
    <row r="14">
      <c r="A14" s="7" t="inlineStr">
        <is>
          <t>ukv_tahminUst</t>
        </is>
      </c>
      <c r="B14" s="44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3">
        <f>IF(A14="","",IF(B14="","EKSİK","TAM"))</f>
        <v/>
      </c>
    </row>
    <row r="15">
      <c r="A15" s="7" t="inlineStr">
        <is>
          <t>ukv_tornadoHasilat</t>
        </is>
      </c>
      <c r="B15" s="44" t="n">
        <v>1.05</v>
      </c>
      <c r="C15" s="7" t="inlineStr">
        <is>
          <t>çarpan</t>
        </is>
      </c>
      <c r="D15" s="7" t="inlineStr">
        <is>
          <t>Tornado hasılat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3">
        <f>IF(A15="","",IF(B15="","EKSİK","TAM"))</f>
        <v/>
      </c>
    </row>
    <row r="16">
      <c r="A16" s="7" t="inlineStr">
        <is>
          <t>ukv_tornadoMaliyet</t>
        </is>
      </c>
      <c r="B16" s="44" t="n">
        <v>1.05</v>
      </c>
      <c r="C16" s="7" t="inlineStr">
        <is>
          <t>çarpan</t>
        </is>
      </c>
      <c r="D16" s="7" t="inlineStr">
        <is>
          <t>Tornado maliyet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3">
        <f>IF(A16="","",IF(B16="","EKSİK","TAM"))</f>
        <v/>
      </c>
    </row>
    <row r="17">
      <c r="A17" s="7" t="inlineStr">
        <is>
          <t>ukv_payArtisOran</t>
        </is>
      </c>
      <c r="B17" s="44" t="n">
        <v>0.1</v>
      </c>
      <c r="C17" s="7" t="inlineStr">
        <is>
          <t>oran</t>
        </is>
      </c>
      <c r="D17" s="7" t="inlineStr">
        <is>
          <t>Yorum B pay +%10</t>
        </is>
      </c>
      <c r="E17" s="7" t="inlineStr">
        <is>
          <t>Pay dağıtım modeli</t>
        </is>
      </c>
      <c r="F17" s="7" t="inlineStr">
        <is>
          <t>01.01.2025</t>
        </is>
      </c>
      <c r="G17" s="7" t="inlineStr">
        <is>
          <t>11.08.2026</t>
        </is>
      </c>
      <c r="H17" s="63">
        <f>IF(A17="","",IF(B17="","EKSİK","TAM"))</f>
        <v/>
      </c>
    </row>
    <row r="18">
      <c r="A18" s="7" t="inlineStr">
        <is>
          <t>ukv_yuzdelikOran</t>
        </is>
      </c>
      <c r="B18" s="44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3">
        <f>IF(A18="","",IF(B18="","EKSİK","TAM"))</f>
        <v/>
      </c>
    </row>
    <row r="19">
      <c r="A19" s="7" t="inlineStr">
        <is>
          <t>ukv_parmakIzi</t>
        </is>
      </c>
      <c r="B19" s="66" t="inlineStr">
        <is>
          <t>e4c3ab8520ec79b5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3">
        <f>IF(A19="","",IF(B19="","EKSİK","TAM"))</f>
        <v/>
      </c>
    </row>
    <row r="20">
      <c r="A20" s="7" t="inlineStr">
        <is>
          <t>dosya_surumu</t>
        </is>
      </c>
      <c r="B20" s="66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3">
        <f>IF(A20="","",IF(B20="","EKSİK","TAM"))</f>
        <v/>
      </c>
    </row>
    <row r="21">
      <c r="A21" s="7" t="inlineStr">
        <is>
          <t>ukv_girisBeklenen</t>
        </is>
      </c>
      <c r="B21" s="45" t="n">
        <v>10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3">
        <f>IF(A21="","",IF(B21="","EKSİK","TAM"))</f>
        <v/>
      </c>
    </row>
    <row r="22">
      <c r="A22" s="7" t="inlineStr">
        <is>
          <t>ukv_riskDusuk</t>
        </is>
      </c>
      <c r="B22" s="45" t="n">
        <v>15</v>
      </c>
      <c r="C22" s="7" t="inlineStr">
        <is>
          <t>puan</t>
        </is>
      </c>
      <c r="D22" s="7" t="inlineStr">
        <is>
          <t>UYGULA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3">
        <f>IF(A22="","",IF(B22="","EKSİK","TAM"))</f>
        <v/>
      </c>
    </row>
    <row r="23">
      <c r="A23" s="7" t="inlineStr">
        <is>
          <t>ukv_riskOrta</t>
        </is>
      </c>
      <c r="B23" s="45" t="n">
        <v>55</v>
      </c>
      <c r="C23" s="7" t="inlineStr">
        <is>
          <t>puan</t>
        </is>
      </c>
      <c r="D23" s="7" t="inlineStr">
        <is>
          <t>İNCELE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3">
        <f>IF(A23="","",IF(B23="","EKSİK","TAM"))</f>
        <v/>
      </c>
    </row>
    <row r="24">
      <c r="A24" s="7" t="inlineStr">
        <is>
          <t>ukv_riskYuksek</t>
        </is>
      </c>
      <c r="B24" s="45" t="n">
        <v>85</v>
      </c>
      <c r="C24" s="7" t="inlineStr">
        <is>
          <t>puan</t>
        </is>
      </c>
      <c r="D24" s="7" t="inlineStr">
        <is>
          <t>UYGULAMA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3">
        <f>IF(A24="","",IF(B24="","EKSİK","TAM"))</f>
        <v/>
      </c>
    </row>
    <row r="25">
      <c r="A25" s="7" t="inlineStr">
        <is>
          <t>ukv_riskEsikOran</t>
        </is>
      </c>
      <c r="B25" s="44" t="n">
        <v>0.5</v>
      </c>
      <c r="C25" s="7" t="inlineStr">
        <is>
          <t>oran</t>
        </is>
      </c>
      <c r="D25" s="7" t="inlineStr">
        <is>
          <t>Yedek risk oranı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3">
        <f>IF(A25="","",IF(B25="","EKSİK","TAM"))</f>
        <v/>
      </c>
    </row>
    <row r="26">
      <c r="A26" s="7" t="inlineStr">
        <is>
          <t>ukv_yilTaban</t>
        </is>
      </c>
      <c r="B26" s="45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3">
        <f>IF(A26="","",IF(B26="","EKSİK","TAM"))</f>
        <v/>
      </c>
    </row>
    <row r="27">
      <c r="A27" s="7" t="inlineStr">
        <is>
          <t>ukv_yuvarMax</t>
        </is>
      </c>
      <c r="B27" s="45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3">
        <f>IF(A27="","",IF(B27="","EKSİK","TAM"))</f>
        <v/>
      </c>
    </row>
    <row r="28">
      <c r="A28" s="7" t="inlineStr">
        <is>
          <t>ukv_dayanakCarpan</t>
        </is>
      </c>
      <c r="B28" s="45" t="n">
        <v>10</v>
      </c>
      <c r="C28" s="7" t="inlineStr">
        <is>
          <t>adet</t>
        </is>
      </c>
      <c r="D28" s="7" t="inlineStr">
        <is>
          <t>Yedek çarpan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3">
        <f>IF(A28="","",IF(B28="","EKSİK","TAM"))</f>
        <v/>
      </c>
    </row>
    <row r="29">
      <c r="A29" s="7" t="inlineStr">
        <is>
          <t>ukv_bazCarpan</t>
        </is>
      </c>
      <c r="B29" s="44" t="n">
        <v>1</v>
      </c>
      <c r="C29" s="7" t="inlineStr">
        <is>
          <t>çarpan</t>
        </is>
      </c>
      <c r="D29" s="7" t="inlineStr">
        <is>
          <t>Baz senaryo çarpanı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63">
        <f>IF(A29="","",IF(B29="","EKSİK","TAM"))</f>
        <v/>
      </c>
    </row>
    <row r="30">
      <c r="A30" s="7" t="inlineStr">
        <is>
          <t>ukv_sifirCarpan</t>
        </is>
      </c>
      <c r="B30" s="44" t="n">
        <v>0</v>
      </c>
      <c r="C30" s="7" t="inlineStr">
        <is>
          <t>çarpan</t>
        </is>
      </c>
      <c r="D30" s="7" t="inlineStr">
        <is>
          <t>Nötr çarpan (sıfır)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63">
        <f>IF(A30="","",IF(B30="","EKSİK","TAM"))</f>
        <v/>
      </c>
    </row>
    <row r="31">
      <c r="A31" s="7" t="inlineStr">
        <is>
          <t>ukv_siraBir</t>
        </is>
      </c>
      <c r="B31" s="45" t="n">
        <v>1</v>
      </c>
      <c r="C31" s="7" t="inlineStr">
        <is>
          <t>adet</t>
        </is>
      </c>
      <c r="D31" s="7" t="inlineStr">
        <is>
          <t>Tornado sıra 1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3">
        <f>IF(A31="","",IF(B31="","EKSİK","TAM"))</f>
        <v/>
      </c>
    </row>
    <row r="32">
      <c r="A32" s="7" t="inlineStr">
        <is>
          <t>ukv_siraIki</t>
        </is>
      </c>
      <c r="B32" s="45" t="n">
        <v>2</v>
      </c>
      <c r="C32" s="7" t="inlineStr">
        <is>
          <t>adet</t>
        </is>
      </c>
      <c r="D32" s="7" t="inlineStr">
        <is>
          <t>Tornado sıra 2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3">
        <f>IF(A32="","",IF(B32="","EKSİK","TAM"))</f>
        <v/>
      </c>
    </row>
    <row r="33">
      <c r="A33" s="7" t="inlineStr">
        <is>
          <t>ukv_siraUc</t>
        </is>
      </c>
      <c r="B33" s="45" t="n">
        <v>3</v>
      </c>
      <c r="C33" s="7" t="inlineStr">
        <is>
          <t>adet</t>
        </is>
      </c>
      <c r="D33" s="7" t="inlineStr">
        <is>
          <t>Tornado sıra 3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3">
        <f>IF(A33="","",IF(B33="","EKSİK","TAM"))</f>
        <v/>
      </c>
    </row>
    <row r="34">
      <c r="A34" s="7" t="inlineStr">
        <is>
          <t>ukv_tahminX</t>
        </is>
      </c>
      <c r="B34" s="45" t="n">
        <v>5</v>
      </c>
      <c r="C34" s="7" t="inlineStr">
        <is>
          <t>adet</t>
        </is>
      </c>
      <c r="D34" s="7" t="inlineStr">
        <is>
          <t>FORECAST X noktası</t>
        </is>
      </c>
      <c r="E34" s="7" t="inlineStr">
        <is>
          <t>Model varsayımı</t>
        </is>
      </c>
      <c r="F34" s="7" t="inlineStr">
        <is>
          <t>01.01.2025</t>
        </is>
      </c>
      <c r="G34" s="7" t="inlineStr">
        <is>
          <t>11.08.2026</t>
        </is>
      </c>
      <c r="H34" s="63">
        <f>IF(A34="","",IF(B34="","EKSİK","TAM"))</f>
        <v/>
      </c>
    </row>
    <row r="35">
      <c r="A35" s="7" t="inlineStr">
        <is>
          <t>vaka_matrah_1</t>
        </is>
      </c>
      <c r="B35" s="65" t="n">
        <v>1000000</v>
      </c>
      <c r="C35" s="7" t="inlineStr">
        <is>
          <t>TL</t>
        </is>
      </c>
      <c r="D35" s="7" t="inlineStr">
        <is>
          <t>Vaka1/2/3 matrah</t>
        </is>
      </c>
      <c r="E35" s="7" t="inlineStr">
        <is>
          <t>Tebliğ örneği</t>
        </is>
      </c>
      <c r="F35" s="7" t="inlineStr">
        <is>
          <t>01.01.2025</t>
        </is>
      </c>
      <c r="G35" s="7" t="inlineStr">
        <is>
          <t>11.08.2026</t>
        </is>
      </c>
      <c r="H35" s="63">
        <f>IF(A35="","",IF(B35="","EKSİK","TAM"))</f>
        <v/>
      </c>
    </row>
    <row r="36">
      <c r="A36" s="7" t="inlineStr">
        <is>
          <t>vaka_matrah_2</t>
        </is>
      </c>
      <c r="B36" s="65" t="n">
        <v>200000</v>
      </c>
      <c r="C36" s="7" t="inlineStr">
        <is>
          <t>TL</t>
        </is>
      </c>
      <c r="D36" s="7" t="inlineStr">
        <is>
          <t>Vaka4 matrah</t>
        </is>
      </c>
      <c r="E36" s="7" t="inlineStr">
        <is>
          <t>Tebliğ örneği</t>
        </is>
      </c>
      <c r="F36" s="7" t="inlineStr">
        <is>
          <t>01.01.2025</t>
        </is>
      </c>
      <c r="G36" s="7" t="inlineStr">
        <is>
          <t>11.08.2026</t>
        </is>
      </c>
      <c r="H36" s="63">
        <f>IF(A36="","",IF(B36="","EKSİK","TAM"))</f>
        <v/>
      </c>
    </row>
    <row r="37">
      <c r="A37" s="7" t="inlineStr">
        <is>
          <t>vaka_tavan</t>
        </is>
      </c>
      <c r="B37" s="65" t="n">
        <v>150000</v>
      </c>
      <c r="C37" s="7" t="inlineStr">
        <is>
          <t>TL</t>
        </is>
      </c>
      <c r="D37" s="7" t="inlineStr">
        <is>
          <t>Yedek vaka tavanı</t>
        </is>
      </c>
      <c r="E37" s="7" t="inlineStr">
        <is>
          <t>Tebliğ örneği</t>
        </is>
      </c>
      <c r="F37" s="7" t="inlineStr">
        <is>
          <t>01.01.2025</t>
        </is>
      </c>
      <c r="G37" s="7" t="inlineStr">
        <is>
          <t>11.08.2026</t>
        </is>
      </c>
      <c r="H37" s="63">
        <f>IF(A37="","",IF(B37="","EKSİK","TAM"))</f>
        <v/>
      </c>
    </row>
    <row r="38">
      <c r="A38" s="7" t="inlineStr">
        <is>
          <t>vaka_endeks_orani</t>
        </is>
      </c>
      <c r="B38" s="44" t="n">
        <v>1.1</v>
      </c>
      <c r="C38" s="7" t="inlineStr">
        <is>
          <t>çarpan</t>
        </is>
      </c>
      <c r="D38" s="7" t="inlineStr">
        <is>
          <t>Yedek endeks oranı</t>
        </is>
      </c>
      <c r="E38" s="7" t="inlineStr">
        <is>
          <t>Tebliğ örneği</t>
        </is>
      </c>
      <c r="F38" s="7" t="inlineStr">
        <is>
          <t>01.01.2025</t>
        </is>
      </c>
      <c r="G38" s="7" t="inlineStr">
        <is>
          <t>11.08.2026</t>
        </is>
      </c>
      <c r="H38" s="63">
        <f>IF(A38="","",IF(B38="","EKSİK","TAM"))</f>
        <v/>
      </c>
    </row>
    <row r="40">
      <c r="B40" s="67" t="inlineStr">
        <is>
          <t>Parametre satırları yukarıda; ad tanımları B kolonuna bağlı.</t>
        </is>
      </c>
    </row>
    <row r="42">
      <c r="B42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T19"/>
  <sheetViews>
    <sheetView showGridLines="0" workbookViewId="0">
      <selection activeCell="A1" sqref="A1"/>
    </sheetView>
  </sheetViews>
  <sheetFormatPr baseColWidth="8" defaultRowHeight="15"/>
  <cols>
    <col width="109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5" t="inlineStr">
        <is>
          <t>KILAVUZ — Üretim Kârı %12,5 KV Optimizasyonu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UYGULA — tasarruf uygula eşiğinin üzerinde; indirimli oranı uygulayın.</t>
        </is>
      </c>
    </row>
    <row r="7">
      <c r="A7" s="6" t="inlineStr">
        <is>
          <t>• İNCELE — tasarruf incele bandında; pay ve istisna dayanağını gözden geçirin.</t>
        </is>
      </c>
    </row>
    <row r="8">
      <c r="A8" s="6" t="inlineStr">
        <is>
          <t>• UYGULAMA — tasarruf eşik altında veya matrah yok; öncelik düşük.</t>
        </is>
      </c>
    </row>
    <row r="10">
      <c r="A10" s="68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pay_dagitim_yorumu</t>
        </is>
      </c>
    </row>
    <row r="13">
      <c r="A13" s="10" t="inlineStr">
        <is>
          <t>Yorum A</t>
        </is>
      </c>
      <c r="B13" s="6" t="inlineStr">
        <is>
          <t>Genel yönetim ve finansman payları girdideki tutarlarla aynen üretim kârından düşülür. Matrah = MAX(0, üretim kârı + diğer faaliyet − istisna).</t>
        </is>
      </c>
    </row>
    <row r="14">
      <c r="A14" s="10" t="inlineStr">
        <is>
          <t>Yorum B</t>
        </is>
      </c>
      <c r="B14" s="6" t="inlineStr">
        <is>
          <t>Yorum B, payları +%10 sıkılaştırır (daha yüksek maliyet payı → daha düşük matrah).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1:I1"/>
    <mergeCell ref="A7:T7"/>
    <mergeCell ref="B13:J13"/>
    <mergeCell ref="A11:T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2026-08-11T10:10:02Z</dcterms:created>
  <dcterms:modified xmlns:dcterms="http://purl.org/dc/terms/" xmlns:xsi="http://www.w3.org/2001/XMLSchema-instance" xsi:type="dcterms:W3CDTF">2026-09-25T22:34:52Z</dcterms:modified>
</cp:coreProperties>
</file>