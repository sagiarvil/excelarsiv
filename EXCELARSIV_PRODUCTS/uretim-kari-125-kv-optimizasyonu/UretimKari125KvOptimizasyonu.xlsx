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PANO" sheetId="3" state="visible" r:id="rId3"/>
    <sheet name="GIRDI" sheetId="4" state="visible" r:id="rId4"/>
    <sheet name="KURALLAR" sheetId="5" state="visible" r:id="rId5"/>
    <sheet name="MOTOR" sheetId="6" state="visible" r:id="rId6"/>
    <sheet name="SENARYO" sheetId="7" state="visible" r:id="rId7"/>
    <sheet name="VAKALAR" sheetId="8" state="visible" r:id="rId8"/>
    <sheet name="KANIT_RAPORU" sheetId="9" state="visible" r:id="rId9"/>
    <sheet name="KONTROLLER" sheetId="10" state="visible" r:id="rId10"/>
    <sheet name="ORNEK_VER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hesapYili">GIRDI!$B$8</definedName>
    <definedName name="raporTarihi">AYARLAR!$B$7</definedName>
    <definedName name="ukv_matrah">MOTOR!$G$29</definedName>
    <definedName name="ukv_tasarruf">MOTOR!$G$28</definedName>
    <definedName name="ukv_indirimliKv">MOTOR!$G$30</definedName>
    <definedName name="ukv_kacirilan">MOTOR!$G$28</definedName>
    <definedName name="ukv_kararMetni">MOTOR!$G$34</definedName>
    <definedName name="ukv_kararGerekce">MOTOR!$G$35</definedName>
    <definedName name="ukv_maddeAtifMetni">MOTOR!$G$52</definedName>
    <definedName name="ukv_kanitRaporu">MOTOR!$G$53</definedName>
    <definedName name="ukv_kuralYilMatris">KURALLAR!$B$17</definedName>
    <definedName name="ukv_parmakIzi">AYARLAR!$B$19</definedName>
    <definedName name="ukv_senaryoKarsilastirma">SENARYO!$B$11</definedName>
    <definedName name="ukv_yorumSenaryo">SENARYO!$B$12</definedName>
    <definedName name="ukv_duyarlilikSira">SENARYO!$B$19</definedName>
    <definedName name="ukv_yorumDuyarlilik">SENARYO!$B$20</definedName>
    <definedName name="ukv_kuralDegisimSenaryo">SENARYO!$B$22</definedName>
    <definedName name="ukv_yorumKuralDegisim">SENARYO!$B$23</definedName>
    <definedName name="ukv_tahminAralik">SENARYO!$B$32</definedName>
    <definedName name="ukv_yorumTahmin">SENARYO!$B$33</definedName>
    <definedName name="ukv_vakaDurum">VAKALAR!$B$12</definedName>
    <definedName name="ukv_vakaFark">VAKALAR!$B$13</definedName>
    <definedName name="ukv_tolerans">AYARLAR!$B$8</definedName>
    <definedName name="ukv_kacirilanEsik">AYARLAR!$B$9</definedName>
    <definedName name="ukv_senaryoIyi">AYARLAR!$B$10</definedName>
    <definedName name="ukv_senaryoKotu">AYARLAR!$B$11</definedName>
    <definedName name="ukv_oranArtisPuan">AYARLAR!$B$12</definedName>
    <definedName name="ukv_tahminAlt">AYARLAR!$B$13</definedName>
    <definedName name="ukv_tahminUst">AYARLAR!$B$14</definedName>
    <definedName name="ukv_tornadoHasilat">AYARLAR!$B$15</definedName>
    <definedName name="ukv_tornadoMaliyet">AYARLAR!$B$16</definedName>
    <definedName name="ukv_payArtisOran">AYARLAR!$B$17</definedName>
    <definedName name="ukv_yuzdelikOran">AYARLAR!$B$18</definedName>
    <definedName name="ukv_girisBeklenen">AYARLAR!$B$21</definedName>
    <definedName name="ukv_riskDusuk">AYARLAR!$B$22</definedName>
    <definedName name="ukv_riskOrta">AYARLAR!$B$23</definedName>
    <definedName name="ukv_riskYuksek">AYARLAR!$B$24</definedName>
    <definedName name="ukv_riskEsikOran">AYARLAR!$B$25</definedName>
    <definedName name="ukv_yilTaban">AYARLAR!$B$26</definedName>
    <definedName name="ukv_yuvarMax">AYARLAR!$B$27</definedName>
    <definedName name="ukv_dayanakCarpan">AYARLAR!$B$28</definedName>
    <definedName name="ukv_bazCarpan">AYARLAR!$B$29</definedName>
    <definedName name="ukv_sifirCarpan">AYARLAR!$B$30</definedName>
    <definedName name="ukv_siraBir">AYARLAR!$B$31</definedName>
    <definedName name="ukv_siraIki">AYARLAR!$B$32</definedName>
    <definedName name="ukv_siraUc">AYARLAR!$B$33</definedName>
    <definedName name="ukv_tahminX">AYARLAR!$B$34</definedName>
    <definedName name="vaka_matrah_1">AYARLAR!$B$35</definedName>
    <definedName name="vaka_matrah_2">AYARLAR!$B$36</definedName>
    <definedName name="vaka_tavan">AYARLAR!$B$37</definedName>
    <definedName name="vaka_endeks_orani">AYARLAR!$B$38</definedName>
    <definedName name="ukv_modulT1">PANO!$C$11</definedName>
    <definedName name="ukv_modulT1Yorum">PANO!$D$11</definedName>
    <definedName name="ukv_modulT2">PANO!$C$12</definedName>
    <definedName name="ukv_modulT2Yorum">PANO!$D$12</definedName>
    <definedName name="ukv_modulO1">PANO!$C$13</definedName>
    <definedName name="ukv_modulO1Yorum">PANO!$D$13</definedName>
    <definedName name="ukv_modulO6">PANO!$C$16</definedName>
    <definedName name="ukv_modulO6Yorum">PANO!$D$16</definedName>
    <definedName name="ukv_modulO8">PANO!$C$17</definedName>
    <definedName name="ukv_modulO8Yorum">PANO!$D$17</definedName>
    <definedName name="ukv_modulI2">PANO!$C$20</definedName>
    <definedName name="ukv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2">'PANO'!$A$1:$F$34</definedName>
    <definedName name="_xlnm.Print_Area" localSheetId="8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₺ #,##0;[Red](₺ #,##0);-"/>
    <numFmt numFmtId="165" formatCode="0.0%;[Red](0.0%);-"/>
    <numFmt numFmtId="166" formatCode="dd.mm.yyyy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Üretim Bileşenleri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KV / Senaryo Tasarruf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Tasarruf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KPI Matrah / Tasarruf / Standart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Tasarruf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Tasarruf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Senaryo Üretim Kârı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Üretim KV tasarrufu ve kararı etkiler | Doğru kullanım: Sırayla izleyin | Örnek: demo satırına bakın | Yanlışsa: Matrah, tasarruf ve karar bozulur | Kaynak: KVK md.32</t>
      </text>
    </comment>
    <comment ref="A6" authorId="0" shapeId="0">
      <text>
        <t>Tanım: Adım 2 — Karar | Neden önemli: Üretim KV tasarrufu ve kararı etkiler | Doğru kullanım: Sırayla izleyin | Örnek: demo satırına bakın | Yanlışsa: Matrah, tasarruf ve karar bozulur | Kaynak: KVK md.32</t>
      </text>
    </comment>
    <comment ref="A7" authorId="0" shapeId="0">
      <text>
        <t>Tanım: Adım 3 — Kanıt | Neden önemli: Üretim KV tasarrufu ve kararı etkiler | Doğru kullanım: Sırayla izleyin | Örnek: demo satırına bakın | Yanlışsa: Matrah, tasarruf ve karar bozulur | Kaynak: KVK md.32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Üretim KV tasarrufu ve kararı etkiler | Doğru kullanım: Şirket unvanını yazın. | Örnek: demo satırına bakın | Yanlışsa: Matrah, tasarruf ve karar bozulur | Kaynak: KVK md.32</t>
      </text>
    </comment>
    <comment ref="B7" authorId="0" shapeId="0">
      <text>
        <t>Tanım: Dönem | Neden önemli: Üretim KV tasarrufu ve kararı etkiler | Doğru kullanım: Beyan dönemi veya hesap yılı referansını yazın. | Örnek: demo satırına bakın | Yanlışsa: Matrah, tasarruf ve karar bozulur | Kaynak: KVK md.32</t>
      </text>
    </comment>
    <comment ref="B8" authorId="0" shapeId="0">
      <text>
        <t>Tanım: Hesap Yılı | Neden önemli: Üretim KV tasarrufu ve kararı etkiler | Doğru kullanım: 2025, 2026 veya 2027 seçin. | Örnek: demo satırına bakın | Yanlışsa: Matrah, tasarruf ve karar bozulur | Kaynak: KVK md.32</t>
      </text>
    </comment>
    <comment ref="B9" authorId="0" shapeId="0">
      <text>
        <t>Tanım: Üretim Hasılatı [₺] | Neden önemli: Üretim KV tasarrufu ve kararı etkiler | Doğru kullanım: Üretim/imalat faaliyetinden doğan hasılatı TL girin. | Örnek: demo satırına bakın | Yanlışsa: Matrah, tasarruf ve karar bozulur | Kaynak: KVK md.32</t>
      </text>
    </comment>
    <comment ref="B10" authorId="0" shapeId="0">
      <text>
        <t>Tanım: Üretim Maliyeti [₺] | Neden önemli: Üretim KV tasarrufu ve kararı etkiler | Doğru kullanım: Satılan mamul / üretim maliyetini TL girin. | Örnek: demo satırına bakın | Yanlışsa: Matrah, tasarruf ve karar bozulur | Kaynak: KVK md.32</t>
      </text>
    </comment>
    <comment ref="B11" authorId="0" shapeId="0">
      <text>
        <t>Tanım: Genel Yönetim Payı [₺] | Neden önemli: Üretim KV tasarrufu ve kararı etkiler | Doğru kullanım: Üretime düşen genel yönetim gider payını TL girin. | Örnek: demo satırına bakın | Yanlışsa: Matrah, tasarruf ve karar bozulur | Kaynak: KVK md.32</t>
      </text>
    </comment>
    <comment ref="B12" authorId="0" shapeId="0">
      <text>
        <t>Tanım: Finansman Gider Payı [₺] | Neden önemli: Üretim KV tasarrufu ve kararı etkiler | Doğru kullanım: Üretime düşen finansman gider payını TL girin. | Örnek: demo satırına bakın | Yanlışsa: Matrah, tasarruf ve karar bozulur | Kaynak: KVK md.32</t>
      </text>
    </comment>
    <comment ref="B13" authorId="0" shapeId="0">
      <text>
        <t>Tanım: Diğer Faaliyet Kârı [₺] | Neden önemli: Üretim KV tasarrufu ve kararı etkiler | Doğru kullanım: Üretim dışı faaliyet kârını (matraha ek) TL girin; zarar negatif. | Örnek: demo satırına bakın | Yanlışsa: Matrah, tasarruf ve karar bozulur | Kaynak: KVK md.32</t>
      </text>
    </comment>
    <comment ref="B14" authorId="0" shapeId="0">
      <text>
        <t>Tanım: İstisna Tutarı [₺] | Neden önemli: Üretim KV tasarrufu ve kararı etkiler | Doğru kullanım: Matrahtan düşülecek istisna tutarını TL girin. | Örnek: demo satırına bakın | Yanlışsa: Matrah, tasarruf ve karar bozulur | Kaynak: KVK md.32</t>
      </text>
    </comment>
    <comment ref="B15" authorId="0" shapeId="0">
      <text>
        <t>Tanım: Yorum Modu (A/B) | Neden önemli: Üretim KV tasarrufu ve kararı etkiler | Doğru kullanım: Pay dağıtım yorumu A (standart) veya B (sıkı +%10 pay) seçin. | Örnek: demo satırına bakın | Yanlışsa: Matrah, tasarruf ve karar bozulur | Kaynak: KVK md.32</t>
      </text>
    </comment>
    <comment ref="A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B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C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D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E24" authorId="0" shapeId="0">
      <text>
        <t>Tanım: sirket_adi | Neden önemli: Üretim KV tasarrufu ve kararı etkiler | Doğru kullanım: Tablo girişi; PANO ile senkron tutun | Örnek: demo satırına bakın | Yanlışsa: Matrah, tasarruf ve karar bozulur | Kaynak: KVK md.32</t>
      </text>
    </comment>
    <comment ref="A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B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C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D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E25" authorId="0" shapeId="0">
      <text>
        <t>Tanım: donem | Neden önemli: Üretim KV tasarrufu ve kararı etkiler | Doğru kullanım: Tablo girişi; PANO ile senkron tutun | Örnek: demo satırına bakın | Yanlışsa: Matrah, tasarruf ve karar bozulur | Kaynak: KVK md.32</t>
      </text>
    </comment>
    <comment ref="A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B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C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D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E26" authorId="0" shapeId="0">
      <text>
        <t>Tanım: hesapYili | Neden önemli: Üretim KV tasarrufu ve kararı etkiler | Doğru kullanım: Tablo girişi; PANO ile senkron tutun | Örnek: demo satırına bakın | Yanlışsa: Matrah, tasarruf ve karar bozulur | Kaynak: KVK md.32</t>
      </text>
    </comment>
    <comment ref="A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B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C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D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E27" authorId="0" shapeId="0">
      <text>
        <t>Tanım: uretim_hasilati | Neden önemli: Üretim KV tasarrufu ve kararı etkiler | Doğru kullanım: Tablo girişi; PANO ile senkron tutun | Örnek: demo satırına bakın | Yanlışsa: Matrah, tasarruf ve karar bozulur | Kaynak: KVK md.32</t>
      </text>
    </comment>
    <comment ref="A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B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C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D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E28" authorId="0" shapeId="0">
      <text>
        <t>Tanım: uretim_maliyeti | Neden önemli: Üretim KV tasarrufu ve kararı etkiler | Doğru kullanım: Tablo girişi; PANO ile senkron tutun | Örnek: demo satırına bakın | Yanlışsa: Matrah, tasarruf ve karar bozulur | Kaynak: KVK md.32</t>
      </text>
    </comment>
    <comment ref="A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B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C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D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E29" authorId="0" shapeId="0">
      <text>
        <t>Tanım: genel_yonetim_payi | Neden önemli: Üretim KV tasarrufu ve kararı etkiler | Doğru kullanım: Tablo girişi; PANO ile senkron tutun | Örnek: demo satırına bakın | Yanlışsa: Matrah, tasarruf ve karar bozulur | Kaynak: KVK md.32</t>
      </text>
    </comment>
    <comment ref="A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B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C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D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E30" authorId="0" shapeId="0">
      <text>
        <t>Tanım: finansman_gider_payi | Neden önemli: Üretim KV tasarrufu ve kararı etkiler | Doğru kullanım: Tablo girişi; PANO ile senkron tutun | Örnek: demo satırına bakın | Yanlışsa: Matrah, tasarruf ve karar bozulur | Kaynak: KVK md.32</t>
      </text>
    </comment>
    <comment ref="A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B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C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D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E31" authorId="0" shapeId="0">
      <text>
        <t>Tanım: diger_faaliyet_kar | Neden önemli: Üretim KV tasarrufu ve kararı etkiler | Doğru kullanım: Tablo girişi; PANO ile senkron tutun | Örnek: demo satırına bakın | Yanlışsa: Matrah, tasarruf ve karar bozulur | Kaynak: KVK md.32</t>
      </text>
    </comment>
    <comment ref="A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B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C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D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E32" authorId="0" shapeId="0">
      <text>
        <t>Tanım: istisna_tutari | Neden önemli: Üretim KV tasarrufu ve kararı etkiler | Doğru kullanım: Tablo girişi; PANO ile senkron tutun | Örnek: demo satırına bakın | Yanlışsa: Matrah, tasarruf ve karar bozulur | Kaynak: KVK md.32</t>
      </text>
    </comment>
    <comment ref="A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B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C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D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  <comment ref="E33" authorId="0" shapeId="0">
      <text>
        <t>Tanım: yorum_modu | Neden önemli: Üretim KV tasarrufu ve kararı etkiler | Doğru kullanım: Tablo girişi; PANO ile senkron tutun | Örnek: demo satırına bakın | Yanlışsa: Matrah, tasarruf ve karar bozulur | Kaynak: KVK md.32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G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H7" authorId="0" shapeId="0">
      <text>
        <t>Tanım: indirimli_oran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F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G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H8" authorId="0" shapeId="0">
      <text>
        <t>Tanım: standart_oran | Neden önemli: Üretim KV tasarrufu ve kararı etkiler | Doğru kullanım: Yıl bazlı parametre; kaynak kolonuna bakın | Örnek: demo satırına bakın | Yanlışsa: Matrah, tasarruf ve karar bozulur | Kaynak: KVK md.32</t>
      </text>
    </comment>
    <comment ref="F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G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H9" authorId="0" shapeId="0">
      <text>
        <t>Tanım: uygula_esik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F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G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H10" authorId="0" shapeId="0">
      <text>
        <t>Tanım: incele_esik | Neden önemli: Üretim KV tasarrufu ve kararı etkiler | Doğru kullanım: Yıl bazlı parametre; kaynak kolonuna bakın | Örnek: demo satırına bakın | Yanlışsa: Matrah, tasarruf ve karar bozulur | Kaynak: KVK md.32</t>
      </text>
    </comment>
    <comment ref="F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  <comment ref="G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  <comment ref="H11" authorId="0" shapeId="0">
      <text>
        <t>Tanım: yuvarlama | Neden önemli: Üretim KV tasarrufu ve kararı etkiler | Doğru kullanım: Yıl bazlı parametre; kaynak kolonuna bakın | Örnek: demo satırına bakın | Yanlışsa: Matrah, tasarruf ve karar bozulur | Kaynak: KVK md.32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İmza | Neden önemli: Üretim KV tasarrufu ve kararı etkiler | Doğru kullanım: Raporu hazırlayan kişinin adını yazın. | Örnek: demo satırına bakın | Yanlışsa: Matrah, tasarruf ve karar bozulur | Kaynak: KVK md.32</t>
      </text>
    </comment>
    <comment ref="B31" authorId="0" shapeId="0">
      <text>
        <t>Tanım: Onay | Neden önemli: Üretim KV tasarrufu ve kararı etkiler | Doğru kullanım: Onaylayan kişinin adını yazın. | Örnek: demo satırına bakın | Yanlışsa: Matrah, tasarruf ve karar bozulur | Kaynak: KVK md.32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hasılat?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Tasarruf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6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6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6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6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6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6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6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7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7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7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7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7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7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7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7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8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8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8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8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8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8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8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8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9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9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9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9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9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9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9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9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10" authorId="0" shapeId="0">
      <text>
        <t>Tanım: Senaryo | Neden önemli: Üretim KV tasarrufu ve kararı etkiler | Doğru kullanım: Örnek senaryo değeri | Örnek: demo satırına bakın | Yanlışsa: Matrah, tasarruf ve karar bozulur | Kaynak: KVK md.32</t>
      </text>
    </comment>
    <comment ref="B10" authorId="0" shapeId="0">
      <text>
        <t>Tanım: Hasılat | Neden önemli: Üretim KV tasarrufu ve kararı etkiler | Doğru kullanım: Örnek senaryo değeri | Örnek: demo satırına bakın | Yanlışsa: Matrah, tasarruf ve karar bozulur | Kaynak: KVK md.32</t>
      </text>
    </comment>
    <comment ref="C10" authorId="0" shapeId="0">
      <text>
        <t>Tanım: Maliyet | Neden önemli: Üretim KV tasarrufu ve kararı etkiler | Doğru kullanım: Örnek senaryo değeri | Örnek: demo satırına bakın | Yanlışsa: Matrah, tasarruf ve karar bozulur | Kaynak: KVK md.32</t>
      </text>
    </comment>
    <comment ref="D10" authorId="0" shapeId="0">
      <text>
        <t>Tanım: GY Payı | Neden önemli: Üretim KV tasarrufu ve kararı etkiler | Doğru kullanım: Örnek senaryo değeri | Örnek: demo satırına bakın | Yanlışsa: Matrah, tasarruf ve karar bozulur | Kaynak: KVK md.32</t>
      </text>
    </comment>
    <comment ref="E10" authorId="0" shapeId="0">
      <text>
        <t>Tanım: FG Payı | Neden önemli: Üretim KV tasarrufu ve kararı etkiler | Doğru kullanım: Örnek senaryo değeri | Örnek: demo satırına bakın | Yanlışsa: Matrah, tasarruf ve karar bozulur | Kaynak: KVK md.32</t>
      </text>
    </comment>
    <comment ref="F10" authorId="0" shapeId="0">
      <text>
        <t>Tanım: Diğer | Neden önemli: Üretim KV tasarrufu ve kararı etkiler | Doğru kullanım: Örnek senaryo değeri | Örnek: demo satırına bakın | Yanlışsa: Matrah, tasarruf ve karar bozulur | Kaynak: KVK md.32</t>
      </text>
    </comment>
    <comment ref="G10" authorId="0" shapeId="0">
      <text>
        <t>Tanım: İstisna | Neden önemli: Üretim KV tasarrufu ve kararı etkiler | Doğru kullanım: Örnek senaryo değeri | Örnek: demo satırına bakın | Yanlışsa: Matrah, tasarruf ve karar bozulur | Kaynak: KVK md.32</t>
      </text>
    </comment>
    <comment ref="H10" authorId="0" shapeId="0">
      <text>
        <t>Tanım: Yıl | Neden önemli: Üretim KV tasarrufu ve kararı etkiler | Doğru kullanım: Örnek senaryo değeri | Örnek: demo satırına bakın | Yanlışsa: Matrah, tasarruf ve karar bozulur | Kaynak: KVK md.32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  <comment ref="C6" authorId="0" shapeId="0">
      <text>
        <t>Tanım: Yorum | Neden önemli: Üretim KV tasarrufu ve kararı etkiler | Doğru kullanım: Pay dağıtım yorumu | Örnek: demo satırına bakın | Yanlışsa: Matrah, tasarruf ve karar bozulur | Kaynak: KVK md.32</t>
      </text>
    </comment>
    <comment ref="E6" authorId="0" shapeId="0">
      <text>
        <t>Tanım: Seçim | Neden önemli: Üretim KV tasarrufu ve kararı etkiler | Doğru kullanım: Evet veya Hayır | Örnek: demo satırına bakın | Yanlışsa: Matrah, tasarruf ve karar bozulur | Kaynak: KVK md.32</t>
      </text>
    </comment>
    <comment ref="A7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  <comment ref="C7" authorId="0" shapeId="0">
      <text>
        <t>Tanım: Yorum | Neden önemli: Üretim KV tasarrufu ve kararı etkiler | Doğru kullanım: Pay dağıtım yorumu | Örnek: demo satırına bakın | Yanlışsa: Matrah, tasarruf ve karar bozulur | Kaynak: KVK md.32</t>
      </text>
    </comment>
    <comment ref="E7" authorId="0" shapeId="0">
      <text>
        <t>Tanım: Seçim | Neden önemli: Üretim KV tasarrufu ve kararı etkiler | Doğru kullanım: Evet veya Hayır | Örnek: demo satırına bakın | Yanlışsa: Matrah, tasarruf ve karar bozulur | Kaynak: KVK md.32</t>
      </text>
    </comment>
    <comment ref="A8" authorId="0" shapeId="0">
      <text>
        <t>Tanım: Yıl | Neden önemli: Üretim KV tasarrufu ve kararı etkiler | Doğru kullanım: Hesap yılı listesi | Örnek: demo satırına bakın | Yanlışsa: Matrah, tasarruf ve karar bozulur | Kaynak: KVK md.32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Üretim KV tasarrufu ve kararı etkiler | Doğru kullanım: Aktif hesap yılı | Örnek: demo satırına bakın | Yanlışsa: Matrah, tasarruf ve karar bozulur | Kaynak: KVK md.32</t>
      </text>
    </comment>
    <comment ref="B7" authorId="0" shapeId="0">
      <text>
        <t>Tanım: raporTarihi | Neden önemli: Üretim KV tasarrufu ve kararı etkiler | Doğru kullanım: Rapor tarihi (sabit) | Örnek: demo satırına bakın | Yanlışsa: Matrah, tasarruf ve karar bozulur | Kaynak: KVK md.32</t>
      </text>
    </comment>
    <comment ref="B8" authorId="0" shapeId="0">
      <text>
        <t>Tanım: ukv_tolerans | Neden önemli: Üretim KV tasarrufu ve kararı etkiler | Doğru kullanım: Vaka tutarlılık toleransı | Örnek: demo satırına bakın | Yanlışsa: Matrah, tasarruf ve karar bozulur | Kaynak: KVK md.32</t>
      </text>
    </comment>
    <comment ref="B9" authorId="0" shapeId="0">
      <text>
        <t>Tanım: ukv_kacirilanEsik | Neden önemli: Üretim KV tasarrufu ve kararı etkiler | Doğru kullanım: PANO tasarruf uyarı eşiği | Örnek: demo satırına bakın | Yanlışsa: Matrah, tasarruf ve karar bozulur | Kaynak: KVK md.32</t>
      </text>
    </comment>
    <comment ref="B10" authorId="0" shapeId="0">
      <text>
        <t>Tanım: ukv_senaryoIyi | Neden önemli: Üretim KV tasarrufu ve kararı etkiler | Doğru kullanım: İyimser matrah çarpanı | Örnek: demo satırına bakın | Yanlışsa: Matrah, tasarruf ve karar bozulur | Kaynak: KVK md.32</t>
      </text>
    </comment>
    <comment ref="B11" authorId="0" shapeId="0">
      <text>
        <t>Tanım: ukv_senaryoKotu | Neden önemli: Üretim KV tasarrufu ve kararı etkiler | Doğru kullanım: Kötümser matrah çarpanı | Örnek: demo satırına bakın | Yanlışsa: Matrah, tasarruf ve karar bozulur | Kaynak: KVK md.32</t>
      </text>
    </comment>
    <comment ref="B12" authorId="0" shapeId="0">
      <text>
        <t>Tanım: ukv_oranArtisPuan | Neden önemli: Üretim KV tasarrufu ve kararı etkiler | Doğru kullanım: M-SEN sabit +1 puan | Örnek: demo satırına bakın | Yanlışsa: Matrah, tasarruf ve karar bozulur | Kaynak: KVK md.32</t>
      </text>
    </comment>
    <comment ref="B13" authorId="0" shapeId="0">
      <text>
        <t>Tanım: ukv_tahminAlt | Neden önemli: Üretim KV tasarrufu ve kararı etkiler | Doğru kullanım: Tahmin alt bant | Örnek: demo satırına bakın | Yanlışsa: Matrah, tasarruf ve karar bozulur | Kaynak: KVK md.32</t>
      </text>
    </comment>
    <comment ref="B14" authorId="0" shapeId="0">
      <text>
        <t>Tanım: ukv_tahminUst | Neden önemli: Üretim KV tasarrufu ve kararı etkiler | Doğru kullanım: Tahmin üst bant | Örnek: demo satırına bakın | Yanlışsa: Matrah, tasarruf ve karar bozulur | Kaynak: KVK md.32</t>
      </text>
    </comment>
    <comment ref="B15" authorId="0" shapeId="0">
      <text>
        <t>Tanım: ukv_tornadoHasilat | Neden önemli: Üretim KV tasarrufu ve kararı etkiler | Doğru kullanım: Tornado hasılat şoku | Örnek: demo satırına bakın | Yanlışsa: Matrah, tasarruf ve karar bozulur | Kaynak: KVK md.32</t>
      </text>
    </comment>
    <comment ref="B16" authorId="0" shapeId="0">
      <text>
        <t>Tanım: ukv_tornadoMaliyet | Neden önemli: Üretim KV tasarrufu ve kararı etkiler | Doğru kullanım: Tornado maliyet şoku | Örnek: demo satırına bakın | Yanlışsa: Matrah, tasarruf ve karar bozulur | Kaynak: KVK md.32</t>
      </text>
    </comment>
    <comment ref="B17" authorId="0" shapeId="0">
      <text>
        <t>Tanım: ukv_payArtisOran | Neden önemli: Üretim KV tasarrufu ve kararı etkiler | Doğru kullanım: Yorum B pay +%10 | Örnek: demo satırına bakın | Yanlışsa: Matrah, tasarruf ve karar bozulur | Kaynak: KVK md.32</t>
      </text>
    </comment>
    <comment ref="B18" authorId="0" shapeId="0">
      <text>
        <t>Tanım: ukv_yuzdelikOran | Neden önemli: Üretim KV tasarrufu ve kararı etkiler | Doğru kullanım: Yüzdelik P90 | Örnek: demo satırına bakın | Yanlışsa: Matrah, tasarruf ve karar bozulur | Kaynak: KVK md.32</t>
      </text>
    </comment>
    <comment ref="B19" authorId="0" shapeId="0">
      <text>
        <t>Tanım: ukv_parmakIzi | Neden önemli: Üretim KV tasarrufu ve kararı etkiler | Doğru kullanım: Dosya parmak izi etiketi | Örnek: demo satırına bakın | Yanlışsa: Matrah, tasarruf ve karar bozulur | Kaynak: KVK md.32</t>
      </text>
    </comment>
    <comment ref="B20" authorId="0" shapeId="0">
      <text>
        <t>Tanım: dosya_surumu | Neden önemli: Üretim KV tasarrufu ve kararı etkiler | Doğru kullanım: Ürün sürümü | Örnek: demo satırına bakın | Yanlışsa: Matrah, tasarruf ve karar bozulur | Kaynak: KVK md.32</t>
      </text>
    </comment>
    <comment ref="B21" authorId="0" shapeId="0">
      <text>
        <t>Tanım: ukv_girisBeklenen | Neden önemli: Üretim KV tasarrufu ve kararı etkiler | Doğru kullanım: Zorunlu giriş alanı sayısı | Örnek: demo satırına bakın | Yanlışsa: Matrah, tasarruf ve karar bozulur | Kaynak: KVK md.32</t>
      </text>
    </comment>
    <comment ref="B22" authorId="0" shapeId="0">
      <text>
        <t>Tanım: ukv_riskDusuk | Neden önemli: Üretim KV tasarrufu ve kararı etkiler | Doğru kullanım: UYGULA risk skoru | Örnek: demo satırına bakın | Yanlışsa: Matrah, tasarruf ve karar bozulur | Kaynak: KVK md.32</t>
      </text>
    </comment>
    <comment ref="B23" authorId="0" shapeId="0">
      <text>
        <t>Tanım: ukv_riskOrta | Neden önemli: Üretim KV tasarrufu ve kararı etkiler | Doğru kullanım: İNCELE risk skoru | Örnek: demo satırına bakın | Yanlışsa: Matrah, tasarruf ve karar bozulur | Kaynak: KVK md.32</t>
      </text>
    </comment>
    <comment ref="B24" authorId="0" shapeId="0">
      <text>
        <t>Tanım: ukv_riskYuksek | Neden önemli: Üretim KV tasarrufu ve kararı etkiler | Doğru kullanım: UYGULAMA risk skoru | Örnek: demo satırına bakın | Yanlışsa: Matrah, tasarruf ve karar bozulur | Kaynak: KVK md.32</t>
      </text>
    </comment>
    <comment ref="B25" authorId="0" shapeId="0">
      <text>
        <t>Tanım: ukv_riskEsikOran | Neden önemli: Üretim KV tasarrufu ve kararı etkiler | Doğru kullanım: Yedek risk oranı | Örnek: demo satırına bakın | Yanlışsa: Matrah, tasarruf ve karar bozulur | Kaynak: KVK md.32</t>
      </text>
    </comment>
    <comment ref="B26" authorId="0" shapeId="0">
      <text>
        <t>Tanım: ukv_yilTaban | Neden önemli: Üretim KV tasarrufu ve kararı etkiler | Doğru kullanım: CHOOSE yıl tabanı (hesapYili−taban) | Örnek: demo satırına bakın | Yanlışsa: Matrah, tasarruf ve karar bozulur | Kaynak: KVK md.32</t>
      </text>
    </comment>
    <comment ref="B27" authorId="0" shapeId="0">
      <text>
        <t>Tanım: ukv_yuvarMax | Neden önemli: Üretim KV tasarrufu ve kararı etkiler | Doğru kullanım: ROUND basamak tavanı | Örnek: demo satırına bakın | Yanlışsa: Matrah, tasarruf ve karar bozulur | Kaynak: KVK md.32</t>
      </text>
    </comment>
    <comment ref="B28" authorId="0" shapeId="0">
      <text>
        <t>Tanım: ukv_dayanakCarpan | Neden önemli: Üretim KV tasarrufu ve kararı etkiler | Doğru kullanım: Yedek çarpan | Örnek: demo satırına bakın | Yanlışsa: Matrah, tasarruf ve karar bozulur | Kaynak: KVK md.32</t>
      </text>
    </comment>
    <comment ref="B29" authorId="0" shapeId="0">
      <text>
        <t>Tanım: ukv_bazCarpan | Neden önemli: Üretim KV tasarrufu ve kararı etkiler | Doğru kullanım: Baz senaryo çarpanı | Örnek: demo satırına bakın | Yanlışsa: Matrah, tasarruf ve karar bozulur | Kaynak: KVK md.32</t>
      </text>
    </comment>
    <comment ref="B30" authorId="0" shapeId="0">
      <text>
        <t>Tanım: ukv_sifirCarpan | Neden önemli: Üretim KV tasarrufu ve kararı etkiler | Doğru kullanım: Nötr çarpan (sıfır) | Örnek: demo satırına bakın | Yanlışsa: Matrah, tasarruf ve karar bozulur | Kaynak: KVK md.32</t>
      </text>
    </comment>
    <comment ref="B31" authorId="0" shapeId="0">
      <text>
        <t>Tanım: ukv_siraBir | Neden önemli: Üretim KV tasarrufu ve kararı etkiler | Doğru kullanım: Tornado sıra 1 | Örnek: demo satırına bakın | Yanlışsa: Matrah, tasarruf ve karar bozulur | Kaynak: KVK md.32</t>
      </text>
    </comment>
    <comment ref="B32" authorId="0" shapeId="0">
      <text>
        <t>Tanım: ukv_siraIki | Neden önemli: Üretim KV tasarrufu ve kararı etkiler | Doğru kullanım: Tornado sıra 2 | Örnek: demo satırına bakın | Yanlışsa: Matrah, tasarruf ve karar bozulur | Kaynak: KVK md.32</t>
      </text>
    </comment>
    <comment ref="B33" authorId="0" shapeId="0">
      <text>
        <t>Tanım: ukv_siraUc | Neden önemli: Üretim KV tasarrufu ve kararı etkiler | Doğru kullanım: Tornado sıra 3 | Örnek: demo satırına bakın | Yanlışsa: Matrah, tasarruf ve karar bozulur | Kaynak: KVK md.32</t>
      </text>
    </comment>
    <comment ref="B34" authorId="0" shapeId="0">
      <text>
        <t>Tanım: ukv_tahminX | Neden önemli: Üretim KV tasarrufu ve kararı etkiler | Doğru kullanım: FORECAST X noktası | Örnek: demo satırına bakın | Yanlışsa: Matrah, tasarruf ve karar bozulur | Kaynak: KVK md.32</t>
      </text>
    </comment>
    <comment ref="B35" authorId="0" shapeId="0">
      <text>
        <t>Tanım: vaka_matrah_1 | Neden önemli: Üretim KV tasarrufu ve kararı etkiler | Doğru kullanım: Vaka1/2/3 matrah | Örnek: demo satırına bakın | Yanlışsa: Matrah, tasarruf ve karar bozulur | Kaynak: KVK md.32</t>
      </text>
    </comment>
    <comment ref="B36" authorId="0" shapeId="0">
      <text>
        <t>Tanım: vaka_matrah_2 | Neden önemli: Üretim KV tasarrufu ve kararı etkiler | Doğru kullanım: Vaka4 matrah | Örnek: demo satırına bakın | Yanlışsa: Matrah, tasarruf ve karar bozulur | Kaynak: KVK md.32</t>
      </text>
    </comment>
    <comment ref="B37" authorId="0" shapeId="0">
      <text>
        <t>Tanım: vaka_tavan | Neden önemli: Üretim KV tasarrufu ve kararı etkiler | Doğru kullanım: Yedek vaka tavanı | Örnek: demo satırına bakın | Yanlışsa: Matrah, tasarruf ve karar bozulur | Kaynak: KVK md.32</t>
      </text>
    </comment>
    <comment ref="B38" authorId="0" shapeId="0">
      <text>
        <t>Tanım: vaka_endeks_orani | Neden önemli: Üretim KV tasarrufu ve kararı etkiler | Doğru kullanım: Yedek endeks oranı | Örnek: demo satırına bakın | Yanlışsa: Matrah, tasarruf ve karar bozulur | Kaynak: KVK md.32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Row],[kural_id]]="","",IFERROR(CHOOSE(MAX(1,MIN(3,IF(OR(hesapYili="",hesapYili=0),1,hesapYili-ukv_yilTaban))),tblKurallar[[#This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Row],[fark]])&lt;=ukv_tolerans,"TUTARLI","KIRIK"),"KIRIK"))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Hasılat"/>
    <tableColumn id="3" name="Maliyet"/>
    <tableColumn id="4" name="GY Payı"/>
    <tableColumn id="5" name="FG Payı"/>
    <tableColumn id="6" name="Diğer"/>
    <tableColumn id="7" name="İstisna"/>
    <tableColumn id="8" name="Yıl"/>
    <tableColumn id="9" name="Üretim Kârı">
      <calculatedColumnFormula>=IF(tblOrnek[[#This Row],[Senaryo]]="","",IFERROR(tblOrnek[[#This Row],[Hasılat]]-tblOrnek[[#This Row],[Maliyet]]-tblOrnek[[#This Row],[GY Payı]]-tblOrnek[[#This Row],[FG Payı]],0))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3.xml" Id="rId2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4.xml" Id="rId2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Üretim Kârı %12,5 KV Optimizasyonu</t>
        </is>
      </c>
    </row>
    <row r="3" ht="30" customHeight="1">
      <c r="A3" s="3" t="inlineStr">
        <is>
          <t>Üretim Kârı %12,5 KV Optimizasyonu</t>
        </is>
      </c>
    </row>
    <row r="4">
      <c r="A4" s="4" t="inlineStr">
        <is>
          <t>Üretim hasılatı, maliyeti ve payları girin; standart KV ile indirimli %12,5 oranı karşılaştırıp UYGULA / İNCELE / UYGULAMA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indirimli üretim KV oranına hazır motor</t>
        </is>
      </c>
    </row>
    <row r="8">
      <c r="A8" s="6" t="inlineStr">
        <is>
          <t>• Üretim kârı, matrah, standart KV, indirimli KV ve tasarrufun yan yana hesabı</t>
        </is>
      </c>
    </row>
    <row r="9">
      <c r="A9" s="6" t="inlineStr">
        <is>
          <t>• Baz / iyimser / kötümser + kural değişimi (indirimli 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genel yönetim / finansman pay dağıtım yorumu (A / B)</t>
        </is>
      </c>
    </row>
    <row r="13">
      <c r="A13" s="5" t="inlineStr">
        <is>
          <t>Kimler için?</t>
        </is>
      </c>
    </row>
    <row r="14">
      <c r="A14" s="7" t="inlineStr">
        <is>
          <t>• SMMM — indirimli KV tasarrufunu ve madde atfını müşteriye vermek</t>
        </is>
      </c>
    </row>
    <row r="15">
      <c r="A15" s="7" t="inlineStr">
        <is>
          <t>• CFO — UYGULA / İNCELE / UYGULAMA kararını bütçeye yazmak</t>
        </is>
      </c>
    </row>
    <row r="16">
      <c r="A16" s="7" t="inlineStr">
        <is>
          <t>• Ortak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Üretim Kârı %12,5 KV Optimizasyonu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hasılat, maliyet ve payları sarı hücrelere girin.</t>
        </is>
      </c>
    </row>
    <row r="6">
      <c r="A6" s="10" t="inlineStr">
        <is>
          <t>Adım 2 — Karar</t>
        </is>
      </c>
      <c r="B6" s="6" t="inlineStr">
        <is>
          <t>PANO'da tasarruf tutarını ve UYGULA / İNCELE / UYGULAMA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Genel yönetim / finansman payını üretim dışı bırakmak</t>
        </is>
      </c>
    </row>
    <row r="11">
      <c r="A11" s="12" t="inlineStr">
        <is>
          <t>• İstisna tutarını matrahtan düşmeden standart oranla karşılaştırmak</t>
        </is>
      </c>
    </row>
    <row r="12">
      <c r="A12" s="12" t="inlineStr">
        <is>
          <t>• Hesap yılını kural tablosuyla uyumsuz seçmek (2025 ≠ 2026 oranı)</t>
        </is>
      </c>
    </row>
    <row r="14">
      <c r="A14" s="13" t="inlineStr">
        <is>
          <t>Bu dosya karar destek aracıdır; kesin vergi görüşü veya beyanname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Üretim Kârı %12,5 KV Optimizasyonu</t>
        </is>
      </c>
    </row>
    <row r="3">
      <c r="A3" s="14" t="inlineStr">
        <is>
          <t>Yönetim paneli — Üretim KV %12,5</t>
        </is>
      </c>
      <c r="B3" s="15" t="inlineStr">
        <is>
          <t>Matrah</t>
        </is>
      </c>
      <c r="C3" s="15" t="inlineStr">
        <is>
          <t>StandartKV</t>
        </is>
      </c>
      <c r="D3" s="15" t="inlineStr">
        <is>
          <t>İndirimliKV</t>
        </is>
      </c>
      <c r="E3" s="15" t="inlineStr">
        <is>
          <t>Tasarruf</t>
        </is>
      </c>
      <c r="F3" s="15" t="inlineStr">
        <is>
          <t>Güven</t>
        </is>
      </c>
      <c r="G3" s="15" t="inlineStr">
        <is>
          <t>Risk</t>
        </is>
      </c>
      <c r="H3" s="15" t="inlineStr">
        <is>
          <t>İnd.Oran</t>
        </is>
      </c>
      <c r="I3" s="15" t="inlineStr">
        <is>
          <t>Std.Oran</t>
        </is>
      </c>
      <c r="J3" s="15" t="inlineStr">
        <is>
          <t>Marj</t>
        </is>
      </c>
      <c r="K3" s="15" t="inlineStr">
        <is>
          <t>M-SEN</t>
        </is>
      </c>
      <c r="L3" s="15" t="inlineStr">
        <is>
          <t>Tahmin</t>
        </is>
      </c>
      <c r="M3" s="15" t="inlineStr">
        <is>
          <t>Vaka</t>
        </is>
      </c>
    </row>
    <row r="4">
      <c r="B4" s="16">
        <f>IFERROR(ukv_matrah,0)</f>
        <v/>
      </c>
      <c r="C4" s="16">
        <f>IFERROR(MOTOR!G24,0)</f>
        <v/>
      </c>
      <c r="D4" s="16">
        <f>IFERROR(MOTOR!G25,0)</f>
        <v/>
      </c>
      <c r="E4" s="16">
        <f>IFERROR(ukv_tasarruf,0)</f>
        <v/>
      </c>
      <c r="F4" s="17">
        <f>IFERROR(MOTOR!G38,0)</f>
        <v/>
      </c>
      <c r="G4" s="17">
        <f>IFERROR(MOTOR!G39,0)</f>
        <v/>
      </c>
      <c r="H4" s="18">
        <f>IFERROR(MOTOR!G8,0)</f>
        <v/>
      </c>
      <c r="I4" s="18">
        <f>IFERROR(MOTOR!G9,0)</f>
        <v/>
      </c>
      <c r="J4" s="18">
        <f>IFERROR(MOTOR!G31,0)</f>
        <v/>
      </c>
      <c r="K4" s="16">
        <f>IFERROR(ukv_kuralDegisimSenaryo,0)</f>
        <v/>
      </c>
      <c r="L4" s="16">
        <f>IFERROR(SENARYO!B32,0)</f>
        <v/>
      </c>
      <c r="M4" s="19">
        <f>IFERROR(ukv_vakaDurum,"-")</f>
        <v/>
      </c>
    </row>
    <row r="6">
      <c r="A6" s="14" t="inlineStr">
        <is>
          <t>KARAR</t>
        </is>
      </c>
      <c r="B6" s="20">
        <f>ukv_kararMetni</f>
        <v/>
      </c>
    </row>
    <row r="7">
      <c r="A7" s="10" t="inlineStr">
        <is>
          <t>Gerekçe</t>
        </is>
      </c>
      <c r="B7" s="21">
        <f>ukv_kararGerekce</f>
        <v/>
      </c>
    </row>
    <row r="9">
      <c r="A9" s="5" t="inlineStr">
        <is>
          <t>Analitik modüller</t>
        </is>
      </c>
    </row>
    <row r="10" ht="30" customHeight="1">
      <c r="A10" s="22" t="inlineStr">
        <is>
          <t>Kod</t>
        </is>
      </c>
      <c r="B10" s="22" t="inlineStr">
        <is>
          <t>Gösterge</t>
        </is>
      </c>
      <c r="C10" s="22" t="inlineStr">
        <is>
          <t>Değer</t>
        </is>
      </c>
      <c r="D10" s="22" t="inlineStr">
        <is>
          <t>Makine Yorumu</t>
        </is>
      </c>
    </row>
    <row r="11" ht="28" customHeight="1">
      <c r="A11" s="23" t="inlineStr">
        <is>
          <t>T1</t>
        </is>
      </c>
      <c r="B11" s="24" t="inlineStr">
        <is>
          <t>Üretim kârı / hasılat</t>
        </is>
      </c>
      <c r="C11" s="25">
        <f>IFERROR(MOTOR!G31,0)</f>
        <v/>
      </c>
      <c r="D11" s="21">
        <f>_xlfn.TEXTJOIN("; ",TRUE,"Marj ",TEXT(C11,"0.0%")," — üretim kârı / hasılat")</f>
        <v/>
      </c>
    </row>
    <row r="12" ht="28" customHeight="1">
      <c r="A12" s="23" t="inlineStr">
        <is>
          <t>T2</t>
        </is>
      </c>
      <c r="B12" s="24" t="inlineStr">
        <is>
          <t>Tasarruf / standart KV</t>
        </is>
      </c>
      <c r="C12" s="25">
        <f>IFERROR(MOTOR!G36,0)</f>
        <v/>
      </c>
      <c r="D12" s="21">
        <f>_xlfn.TEXTJOIN("; ",TRUE,"Tasarruf oranı ",TEXT(C12,"0.0%"))</f>
        <v/>
      </c>
    </row>
    <row r="13" ht="28" customHeight="1">
      <c r="A13" s="23" t="inlineStr">
        <is>
          <t>O1</t>
        </is>
      </c>
      <c r="B13" s="24" t="inlineStr">
        <is>
          <t>Senaryo tasarruf sapması</t>
        </is>
      </c>
      <c r="C13" s="26">
        <f>IFERROR(IF(COUNT(SENARYO!D6:D9)&lt;2,0,STDEV.P(SENARYO!D6:D9)),0)</f>
        <v/>
      </c>
      <c r="D13" s="21">
        <f>_xlfn.TEXTJOIN("; ",TRUE,"Senaryo sapması ",TEXT(C13,"₺ #,##0")," TL")</f>
        <v/>
      </c>
    </row>
    <row r="14" ht="28" customHeight="1">
      <c r="A14" s="23" t="inlineStr">
        <is>
          <t>O2</t>
        </is>
      </c>
      <c r="B14" s="24" t="inlineStr">
        <is>
          <t>Tornado max etki</t>
        </is>
      </c>
      <c r="C14" s="27">
        <f>IFERROR(ukv_duyarlilikSira,"-")</f>
        <v/>
      </c>
      <c r="D14" s="21">
        <f>IFERROR(ukv_yorumDuyarlilik,"-")</f>
        <v/>
      </c>
    </row>
    <row r="15" ht="28" customHeight="1">
      <c r="A15" s="23" t="inlineStr">
        <is>
          <t>O3</t>
        </is>
      </c>
      <c r="B15" s="24" t="inlineStr">
        <is>
          <t>Senaryo bant</t>
        </is>
      </c>
      <c r="C15" s="26">
        <f>IFERROR(ukv_senaryoKarsilastirma,0)</f>
        <v/>
      </c>
      <c r="D15" s="21">
        <f>IFERROR(ukv_yorumSenaryo,"-")</f>
        <v/>
      </c>
    </row>
    <row r="16" ht="28" customHeight="1">
      <c r="A16" s="23" t="inlineStr">
        <is>
          <t>O6</t>
        </is>
      </c>
      <c r="B16" s="24" t="inlineStr">
        <is>
          <t>İstisna / matrah brüt</t>
        </is>
      </c>
      <c r="C16" s="25">
        <f>IFERROR(MOTOR!G32,0)</f>
        <v/>
      </c>
      <c r="D16" s="21">
        <f>_xlfn.TEXTJOIN("; ",TRUE,"İstisna yoğunluğu ",TEXT(C16,"0.0%"))</f>
        <v/>
      </c>
    </row>
    <row r="17" ht="28" customHeight="1">
      <c r="A17" s="23" t="inlineStr">
        <is>
          <t>O8</t>
        </is>
      </c>
      <c r="B17" s="24" t="inlineStr">
        <is>
          <t>Kalite skoru</t>
        </is>
      </c>
      <c r="C17" s="26">
        <f>IFERROR(KONTROLLER!B12,0)</f>
        <v/>
      </c>
      <c r="D17" s="21">
        <f>_xlfn.TEXTJOIN("; ",TRUE,"Kalite ",TEXT(C17,"0")," puan")</f>
        <v/>
      </c>
    </row>
    <row r="18" ht="28" customHeight="1">
      <c r="A18" s="23" t="inlineStr">
        <is>
          <t>M</t>
        </is>
      </c>
      <c r="B18" s="24" t="inlineStr">
        <is>
          <t>M-SEN tasarruf</t>
        </is>
      </c>
      <c r="C18" s="26">
        <f>IFERROR(ukv_kuralDegisimSenaryo,0)</f>
        <v/>
      </c>
      <c r="D18" s="21">
        <f>IFERROR(ukv_yorumKuralDegisim,"-")</f>
        <v/>
      </c>
    </row>
    <row r="19" ht="28" customHeight="1">
      <c r="A19" s="23" t="inlineStr">
        <is>
          <t>I1</t>
        </is>
      </c>
      <c r="B19" s="24" t="inlineStr">
        <is>
          <t>Tahmin aralık</t>
        </is>
      </c>
      <c r="C19" s="26">
        <f>IFERROR(ukv_tahminAralik,0)</f>
        <v/>
      </c>
      <c r="D19" s="21">
        <f>IFERROR(ukv_yorumTahmin,"-")</f>
        <v/>
      </c>
    </row>
    <row r="20" ht="28" customHeight="1">
      <c r="A20" s="23" t="inlineStr">
        <is>
          <t>I2</t>
        </is>
      </c>
      <c r="B20" s="24" t="inlineStr">
        <is>
          <t>Senaryo tasarruf P90</t>
        </is>
      </c>
      <c r="C20" s="26">
        <f>IFERROR(IF(COUNT(SENARYO!D6:D9)&lt;2,0,_xlfn.PERCENTILE.INC(SENARYO!D6:D9,ukv_yuzdelikOran)),0)</f>
        <v/>
      </c>
      <c r="D20" s="21">
        <f>_xlfn.TEXTJOIN("; ",TRUE,"P90 tasarruf ",TEXT(C20,"₺ #,##0")," TL")</f>
        <v/>
      </c>
    </row>
    <row r="23">
      <c r="A23" s="10" t="inlineStr">
        <is>
          <t>Kalem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28" t="inlineStr">
        <is>
          <t>Üretim hasılatı</t>
        </is>
      </c>
      <c r="B24" s="29" t="n">
        <v>40000000</v>
      </c>
      <c r="D24" s="28" t="inlineStr">
        <is>
          <t>Standart KV</t>
        </is>
      </c>
      <c r="E24" s="29" t="n">
        <v>2550000</v>
      </c>
    </row>
    <row r="25">
      <c r="A25" s="28" t="inlineStr">
        <is>
          <t>Üretim maliyeti</t>
        </is>
      </c>
      <c r="B25" s="29" t="n">
        <v>28000000</v>
      </c>
      <c r="D25" s="28" t="inlineStr">
        <is>
          <t>İndirimli KV</t>
        </is>
      </c>
      <c r="E25" s="29" t="n">
        <v>1275000</v>
      </c>
    </row>
    <row r="26">
      <c r="A26" s="28" t="inlineStr">
        <is>
          <t>Üretim kârı</t>
        </is>
      </c>
      <c r="B26" s="29" t="n">
        <v>10000000</v>
      </c>
      <c r="D26" s="28" t="inlineStr">
        <is>
          <t>İyimser tasarruf</t>
        </is>
      </c>
      <c r="E26" s="29" t="n">
        <v>1402500</v>
      </c>
    </row>
    <row r="27">
      <c r="A27" s="28" t="inlineStr">
        <is>
          <t>Matrah</t>
        </is>
      </c>
      <c r="B27" s="29" t="n">
        <v>10200000</v>
      </c>
      <c r="D27" s="28" t="inlineStr">
        <is>
          <t>Kötümser tasarruf</t>
        </is>
      </c>
      <c r="E27" s="29" t="n">
        <v>1083750</v>
      </c>
    </row>
    <row r="28">
      <c r="A28" s="28" t="inlineStr">
        <is>
          <t>Tasarruf</t>
        </is>
      </c>
      <c r="B28" s="29" t="n">
        <v>1275000</v>
      </c>
      <c r="D28" s="28" t="inlineStr">
        <is>
          <t>M-SEN tasarruf</t>
        </is>
      </c>
      <c r="E28" s="29" t="n">
        <v>1147500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28" t="inlineStr">
        <is>
          <t>Matrah</t>
        </is>
      </c>
      <c r="B31" s="29" t="n">
        <v>10200000</v>
      </c>
    </row>
    <row r="32">
      <c r="A32" s="28" t="inlineStr">
        <is>
          <t>Tasarruf</t>
        </is>
      </c>
      <c r="B32" s="29" t="n">
        <v>1275000</v>
      </c>
    </row>
    <row r="33">
      <c r="A33" s="28" t="inlineStr">
        <is>
          <t>Standart KV</t>
        </is>
      </c>
      <c r="B33" s="29" t="n">
        <v>2550000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ISNUMBER(SEARCH("VERİ YOK",B6))</formula>
    </cfRule>
    <cfRule type="expression" priority="2" dxfId="0">
      <formula>ISNUMBER(SEARCH("UYGULAMA",B6))</formula>
    </cfRule>
    <cfRule type="expression" priority="3" dxfId="1">
      <formula>AND(ISNUMBER(SEARCH("UYGULA",B6)),NOT(ISNUMBER(SEARCH("UYGULAMA",B6))))</formula>
    </cfRule>
    <cfRule type="expression" priority="4" dxfId="2">
      <formula>ISNUMBER(SEARCH("İNCELE",B6))</formula>
    </cfRule>
  </conditionalFormatting>
  <conditionalFormatting sqref="E4">
    <cfRule type="cellIs" priority="5" operator="greaterThan" dxfId="3">
      <formula>0</formula>
    </cfRule>
    <cfRule type="cellIs" priority="6" operator="equal" dxfId="4">
      <formula>0</formula>
    </cfRule>
    <cfRule type="cellIs" priority="16" operator="lessThan" dxfId="5">
      <formula>0</formula>
    </cfRule>
  </conditionalFormatting>
  <conditionalFormatting sqref="F4">
    <cfRule type="cellIs" priority="7" operator="greaterThanOrEqual" dxfId="3">
      <formula>80</formula>
    </cfRule>
    <cfRule type="cellIs" priority="8" operator="between" dxfId="4">
      <formula>50</formula>
      <formula>79</formula>
    </cfRule>
    <cfRule type="cellIs" priority="9" operator="lessThan" dxfId="5">
      <formula>50</formula>
    </cfRule>
    <cfRule type="cellIs" priority="17" operator="lessThan" dxfId="5">
      <formula>0</formula>
    </cfRule>
  </conditionalFormatting>
  <conditionalFormatting sqref="G4">
    <cfRule type="cellIs" priority="10" operator="greaterThanOrEqual" dxfId="5">
      <formula>70</formula>
    </cfRule>
    <cfRule type="cellIs" priority="11" operator="between" dxfId="4">
      <formula>40</formula>
      <formula>69</formula>
    </cfRule>
    <cfRule type="cellIs" priority="12" operator="lessThan" dxfId="3">
      <formula>40</formula>
    </cfRule>
    <cfRule type="cellIs" priority="18" operator="lessThan" dxfId="5">
      <formula>0</formula>
    </cfRule>
  </conditionalFormatting>
  <conditionalFormatting sqref="B4">
    <cfRule type="cellIs" priority="13" operator="lessThan" dxfId="5">
      <formula>0</formula>
    </cfRule>
  </conditionalFormatting>
  <conditionalFormatting sqref="C4">
    <cfRule type="cellIs" priority="14" operator="lessThan" dxfId="5">
      <formula>0</formula>
    </cfRule>
  </conditionalFormatting>
  <conditionalFormatting sqref="D4">
    <cfRule type="cellIs" priority="15" operator="lessThan" dxfId="5">
      <formula>0</formula>
    </cfRule>
  </conditionalFormatting>
  <conditionalFormatting sqref="H4">
    <cfRule type="cellIs" priority="19" operator="lessThan" dxfId="5">
      <formula>0</formula>
    </cfRule>
  </conditionalFormatting>
  <conditionalFormatting sqref="I4">
    <cfRule type="cellIs" priority="20" operator="lessThan" dxfId="5">
      <formula>0</formula>
    </cfRule>
  </conditionalFormatting>
  <conditionalFormatting sqref="J4">
    <cfRule type="cellIs" priority="21" operator="lessThan" dxfId="5">
      <formula>0</formula>
    </cfRule>
  </conditionalFormatting>
  <conditionalFormatting sqref="K4">
    <cfRule type="cellIs" priority="22" operator="lessThan" dxfId="5">
      <formula>0</formula>
    </cfRule>
  </conditionalFormatting>
  <conditionalFormatting sqref="L4">
    <cfRule type="cellIs" priority="23" operator="lessThan" dxfId="5">
      <formula>0</formula>
    </cfRule>
  </conditionalFormatting>
  <conditionalFormatting sqref="M4">
    <cfRule type="cellIs" priority="24" operator="less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&amp;LÜretim Kârı %12,5 KV Optimizasyonu · PANO&amp;CExcelArşiv&amp;RSayfa &amp;P / &amp;N</oddFooter>
    <evenHeader/>
    <evenFooter>&amp;LÜretim Kârı %12,5 KV Optimizasyonu · PANO&amp;CExcelArşiv&amp;RSayfa &amp;P / &amp;N</evenFooter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Üretim Kârı %12,5 KV Optimizasyonu</t>
        </is>
      </c>
    </row>
    <row r="3">
      <c r="A3" s="9" t="inlineStr">
        <is>
          <t>Şirket ve üretim girdileri</t>
        </is>
      </c>
    </row>
    <row r="4">
      <c r="A4" s="4" t="inlineStr">
        <is>
          <t>Sarı hücreler manuel giriştir. Oranlar KURALLAR'dan; tasarruf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Şirket Adı</t>
        </is>
      </c>
      <c r="B6" s="31" t="inlineStr">
        <is>
          <t>Örnek İmalat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2026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2026</v>
      </c>
      <c r="C8" s="28" t="inlineStr">
        <is>
          <t>yıl</t>
        </is>
      </c>
    </row>
    <row r="9">
      <c r="A9" s="7" t="inlineStr">
        <is>
          <t>Üretim Hasılatı [₺]</t>
        </is>
      </c>
      <c r="B9" s="33" t="n">
        <v>40000000</v>
      </c>
      <c r="C9" s="28" t="inlineStr">
        <is>
          <t>₺</t>
        </is>
      </c>
    </row>
    <row r="10">
      <c r="A10" s="7" t="inlineStr">
        <is>
          <t>Üretim Maliyeti [₺]</t>
        </is>
      </c>
      <c r="B10" s="33" t="n">
        <v>28000000</v>
      </c>
      <c r="C10" s="28" t="inlineStr">
        <is>
          <t>₺</t>
        </is>
      </c>
    </row>
    <row r="11">
      <c r="A11" s="7" t="inlineStr">
        <is>
          <t>Genel Yönetim Payı [₺]</t>
        </is>
      </c>
      <c r="B11" s="33" t="n">
        <v>1500000</v>
      </c>
      <c r="C11" s="28" t="inlineStr">
        <is>
          <t>₺</t>
        </is>
      </c>
    </row>
    <row r="12">
      <c r="A12" s="7" t="inlineStr">
        <is>
          <t>Finansman Gider Payı [₺]</t>
        </is>
      </c>
      <c r="B12" s="33" t="n">
        <v>500000</v>
      </c>
      <c r="C12" s="28" t="inlineStr">
        <is>
          <t>₺</t>
        </is>
      </c>
    </row>
    <row r="13">
      <c r="A13" s="7" t="inlineStr">
        <is>
          <t>Diğer Faaliyet Kârı [₺]</t>
        </is>
      </c>
      <c r="B13" s="33" t="n">
        <v>200000</v>
      </c>
      <c r="C13" s="28" t="inlineStr">
        <is>
          <t>₺</t>
        </is>
      </c>
    </row>
    <row r="14">
      <c r="A14" s="7" t="inlineStr">
        <is>
          <t>İstisna Tutarı [₺]</t>
        </is>
      </c>
      <c r="B14" s="33" t="n">
        <v>0</v>
      </c>
      <c r="C14" s="28" t="inlineStr">
        <is>
          <t>₺</t>
        </is>
      </c>
    </row>
    <row r="15">
      <c r="A15" s="7" t="inlineStr">
        <is>
          <t>Yorum Modu (A/B)</t>
        </is>
      </c>
      <c r="B15" s="31" t="inlineStr">
        <is>
          <t>A</t>
        </is>
      </c>
      <c r="C15" s="28" t="inlineStr">
        <is>
          <t>metin</t>
        </is>
      </c>
    </row>
    <row r="17">
      <c r="A17" s="10" t="inlineStr">
        <is>
          <t>İndirimli oran (ayna)</t>
        </is>
      </c>
      <c r="B17" s="34">
        <f>IFERROR(INDEX(CHOOSE(MAX(1,MIN(3,IF(OR(hesapYili="",hesapYili=0),1,hesapYili-ukv_yilTaban))),tblKurallar[deger_2025],tblKurallar[deger_2026],tblKurallar[deger_2027]),MATCH("UKV-001",tblKurallar[kural_id],0)),0)</f>
        <v/>
      </c>
    </row>
    <row r="18">
      <c r="A18" s="10" t="inlineStr">
        <is>
          <t>Standart oran (ayna)</t>
        </is>
      </c>
      <c r="B18" s="34">
        <f>IFERROR(INDEX(CHOOSE(MAX(1,MIN(3,IF(OR(hesapYili="",hesapYili=0),1,hesapYili-ukv_yilTaban))),tblKurallar[deger_2025],tblKurallar[deger_2026],tblKurallar[deger_2027]),MATCH("UKV-002",tblKurallar[kural_id],0)),0)</f>
        <v/>
      </c>
    </row>
    <row r="19">
      <c r="A19" s="10" t="inlineStr">
        <is>
          <t>Tasarruf (ayna) [₺]</t>
        </is>
      </c>
      <c r="B19" s="35">
        <f>IFERROR(ukv_tasarruf,0)</f>
        <v/>
      </c>
    </row>
    <row r="20">
      <c r="A20" s="10" t="inlineStr">
        <is>
          <t>Giriş doluluk (kalite)</t>
        </is>
      </c>
      <c r="B20" s="36">
        <f>IFERROR(IF(OR(COUNTA(B6:B15)=0,ukv_girisBeklenen=0),0,ROUND(COUNTA(B6:B15)/ukv_girisBeklenen*100,0)),0)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7" t="inlineStr">
        <is>
          <t>sirket_adi</t>
        </is>
      </c>
      <c r="B24" s="37" t="inlineStr">
        <is>
          <t>Örnek İmalat A.Ş.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donem</t>
        </is>
      </c>
      <c r="B25" s="37" t="inlineStr">
        <is>
          <t>2026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2026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uretim_hasilati</t>
        </is>
      </c>
      <c r="B27" s="40" t="n">
        <v>40000000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uretim_maliyeti</t>
        </is>
      </c>
      <c r="B28" s="40" t="n">
        <v>28000000</v>
      </c>
      <c r="C28" s="37" t="inlineStr">
        <is>
          <t>TL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genel_yonetim_payi</t>
        </is>
      </c>
      <c r="B29" s="40" t="n">
        <v>1500000</v>
      </c>
      <c r="C29" s="37" t="inlineStr">
        <is>
          <t>TL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finansman_gider_payi</t>
        </is>
      </c>
      <c r="B30" s="40" t="n">
        <v>500000</v>
      </c>
      <c r="C30" s="37" t="inlineStr">
        <is>
          <t>TL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diger_faaliyet_kar</t>
        </is>
      </c>
      <c r="B31" s="40" t="n">
        <v>200000</v>
      </c>
      <c r="C31" s="37" t="inlineStr">
        <is>
          <t>TL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istisna_tutari</t>
        </is>
      </c>
      <c r="B32" s="40" t="n">
        <v>0</v>
      </c>
      <c r="C32" s="37" t="inlineStr">
        <is>
          <t>TL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yorum_modu</t>
        </is>
      </c>
      <c r="B33" s="37" t="inlineStr">
        <is>
          <t>A</t>
        </is>
      </c>
      <c r="C33" s="37" t="inlineStr">
        <is>
          <t>A/B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24" ht="20" customHeight="1">
      <c r="A1024" s="41" t="inlineStr">
        <is>
          <t>Sarı alanlar giriş; oran ve tasarruf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4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4:F33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5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Üretim Hasılatı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Üretim Maliyeti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Genel Yönetim Payı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Finansman Gider Payı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İstisna Tutarı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Üretim Hasılatı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Üretim Maliyeti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Genel Yönetim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Finansman Payı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İstisna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Sınır dışı." promptTitle="Diğer Faaliyet" prompt="-1e12 ile 1e12 arasında TL." type="decimal" errorStyle="stop" operator="between">
      <formula1>-1000000000000</formula1>
      <formula2>1000000000000</formula2>
    </dataValidation>
    <dataValidation sqref="B31" showDropDown="0" showInputMessage="1" showErrorMessage="1" allowBlank="1" errorTitle="Geçersiz" error="Sınır dışı." promptTitle="Diğer Faaliyet" prompt="Tablo: diğer faaliyet." type="decimal" errorStyle="stop" operator="between">
      <formula1>-1000000000000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Üretim Kârı %12,5 KV Optimizasyonu</t>
        </is>
      </c>
    </row>
    <row r="3">
      <c r="A3" s="43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UKV-001</t>
        </is>
      </c>
      <c r="B7" s="7" t="inlineStr">
        <is>
          <t>KVK md.32</t>
        </is>
      </c>
      <c r="C7" s="7" t="inlineStr">
        <is>
          <t>indirimli_oran</t>
        </is>
      </c>
      <c r="D7" s="7" t="inlineStr">
        <is>
          <t>üretim kazancı</t>
        </is>
      </c>
      <c r="E7" s="7" t="inlineStr">
        <is>
          <t>uretim_kv_orani</t>
        </is>
      </c>
      <c r="F7" s="44" t="n">
        <v>0.2</v>
      </c>
      <c r="G7" s="44" t="n">
        <v>0.125</v>
      </c>
      <c r="H7" s="44" t="n">
        <v>0.125</v>
      </c>
      <c r="I7" s="7" t="inlineStr">
        <is>
          <t>01.01.2025</t>
        </is>
      </c>
      <c r="J7" s="7" t="inlineStr">
        <is>
          <t>Üretim faaliyetleri indirimli KV</t>
        </is>
      </c>
      <c r="K7" s="38">
        <f>IF($A7="","",IFERROR(CHOOSE(MAX(1,MIN(3,IF(OR(hesapYili="",hesapYili=0),1,hesapYili-ukv_yilTaban))),$F7,$G7,$H7),0))</f>
        <v/>
      </c>
    </row>
    <row r="8">
      <c r="A8" s="7" t="inlineStr">
        <is>
          <t>UKV-002</t>
        </is>
      </c>
      <c r="B8" s="7" t="inlineStr">
        <is>
          <t>KVK md.32</t>
        </is>
      </c>
      <c r="C8" s="7" t="inlineStr">
        <is>
          <t>standart_oran</t>
        </is>
      </c>
      <c r="D8" s="7" t="inlineStr">
        <is>
          <t>genel kurum kazancı</t>
        </is>
      </c>
      <c r="E8" s="7" t="inlineStr">
        <is>
          <t>kv_genel_oran</t>
        </is>
      </c>
      <c r="F8" s="44" t="n">
        <v>0.25</v>
      </c>
      <c r="G8" s="44" t="n">
        <v>0.25</v>
      </c>
      <c r="H8" s="44" t="n">
        <v>0.25</v>
      </c>
      <c r="I8" s="7" t="inlineStr">
        <is>
          <t>01.01.2025</t>
        </is>
      </c>
      <c r="J8" s="7" t="inlineStr">
        <is>
          <t>Genel kurumlar vergisi oranı</t>
        </is>
      </c>
      <c r="K8" s="38">
        <f>IF($A8="","",IFERROR(CHOOSE(MAX(1,MIN(3,IF(OR(hesapYili="",hesapYili=0),1,hesapYili-ukv_yilTaban))),$F8,$G8,$H8),0))</f>
        <v/>
      </c>
    </row>
    <row r="9">
      <c r="A9" s="7" t="inlineStr">
        <is>
          <t>UKV-003</t>
        </is>
      </c>
      <c r="B9" s="7" t="inlineStr">
        <is>
          <t>İç politika</t>
        </is>
      </c>
      <c r="C9" s="7" t="inlineStr">
        <is>
          <t>uygula_esik</t>
        </is>
      </c>
      <c r="D9" s="7" t="inlineStr">
        <is>
          <t>tasarruf ≥ eşik</t>
        </is>
      </c>
      <c r="E9" s="7" t="inlineStr">
        <is>
          <t>uygula_esik_tl</t>
        </is>
      </c>
      <c r="F9" s="45" t="n">
        <v>100000</v>
      </c>
      <c r="G9" s="45" t="n">
        <v>100000</v>
      </c>
      <c r="H9" s="45" t="n">
        <v>100000</v>
      </c>
      <c r="I9" s="7" t="inlineStr">
        <is>
          <t>01.01.2025</t>
        </is>
      </c>
      <c r="J9" s="7" t="inlineStr">
        <is>
          <t>UYGULA karar eşiği (TL)</t>
        </is>
      </c>
      <c r="K9" s="38">
        <f>IF($A9="","",IFERROR(CHOOSE(MAX(1,MIN(3,IF(OR(hesapYili="",hesapYili=0),1,hesapYili-ukv_yilTaban))),$F9,$G9,$H9),0))</f>
        <v/>
      </c>
    </row>
    <row r="10">
      <c r="A10" s="7" t="inlineStr">
        <is>
          <t>UKV-004</t>
        </is>
      </c>
      <c r="B10" s="7" t="inlineStr">
        <is>
          <t>İç politika</t>
        </is>
      </c>
      <c r="C10" s="7" t="inlineStr">
        <is>
          <t>incele_esik</t>
        </is>
      </c>
      <c r="D10" s="7" t="inlineStr">
        <is>
          <t>tasarruf ≥ eşik</t>
        </is>
      </c>
      <c r="E10" s="7" t="inlineStr">
        <is>
          <t>incele_esik_tl</t>
        </is>
      </c>
      <c r="F10" s="45" t="n">
        <v>25000</v>
      </c>
      <c r="G10" s="45" t="n">
        <v>25000</v>
      </c>
      <c r="H10" s="45" t="n">
        <v>25000</v>
      </c>
      <c r="I10" s="7" t="inlineStr">
        <is>
          <t>01.01.2025</t>
        </is>
      </c>
      <c r="J10" s="7" t="inlineStr">
        <is>
          <t>İNCELE karar eşiği (TL)</t>
        </is>
      </c>
      <c r="K10" s="38">
        <f>IF($A10="","",IFERROR(CHOOSE(MAX(1,MIN(3,IF(OR(hesapYili="",hesapYili=0),1,hesapYili-ukv_yilTaban))),$F10,$G10,$H10),0))</f>
        <v/>
      </c>
    </row>
    <row r="11">
      <c r="A11" s="7" t="inlineStr">
        <is>
          <t>UKV-005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8">
        <f>IF($A11="","",IFERROR(CHOOSE(MAX(1,MIN(3,IF(OR(hesapYili="",hesapYili=0),1,hesapYili-ukv_yilTaban))),$F11,$G11,$H11),0))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İndirimli oran (aktif yıl)</t>
        </is>
      </c>
      <c r="B15" s="25">
        <f>IFERROR(INDEX(CHOOSE(MAX(1,MIN(3,IF(OR(hesapYili="",hesapYili=0),1,hesapYili-ukv_yilTaban))),tblKurallar[deger_2025],tblKurallar[deger_2026],tblKurallar[deger_2027]),MATCH("UKV-001",tblKurallar[kural_id],0)),0)</f>
        <v/>
      </c>
    </row>
    <row r="16">
      <c r="A16" s="7" t="inlineStr">
        <is>
          <t>Standart oran (aktif yıl)</t>
        </is>
      </c>
      <c r="B16" s="25">
        <f>IFERROR(INDEX(CHOOSE(MAX(1,MIN(3,IF(OR(hesapYili="",hesapYili=0),1,hesapYili-ukv_yilTaban))),tblKurallar[deger_2025],tblKurallar[deger_2026],tblKurallar[deger_2027]),MATCH("UKV-002",tblKurallar[kural_id],0)),0)</f>
        <v/>
      </c>
    </row>
    <row r="17">
      <c r="A17" s="7" t="inlineStr">
        <is>
          <t>Matris metni</t>
        </is>
      </c>
      <c r="B17" s="21">
        <f>IFERROR(_xlfn.TEXTJOIN(" | ",TRUE,"UKV-001=",TEXT(B15,"0.0%"),"UKV-002=",TEXT(B16,"0.0%"),"yıl=",IF(OR(hesapYili="",hesapYili=0),"-",hesapYili)),"-")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Üretim Kârı %12,5 KV Optimizasyonu</t>
        </is>
      </c>
    </row>
    <row r="3">
      <c r="A3" s="43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UKV-005</t>
        </is>
      </c>
      <c r="G7" s="36">
        <f>IFERROR(hesapYili,0)</f>
        <v/>
      </c>
    </row>
    <row r="8">
      <c r="A8" s="46" t="n">
        <v>2</v>
      </c>
      <c r="B8" s="24" t="inlineStr">
        <is>
          <t>İndirimli oran</t>
        </is>
      </c>
      <c r="C8" s="49">
        <f>IFERROR(INDEX(CHOOSE(MAX(1,MIN(3,IF(OR(hesapYili="",hesapYili=0),1,hesapYili-ukv_yilTaban))),tblKurallar[deger_2025],tblKurallar[deger_2026],tblKurallar[deger_2027]),MATCH("UKV-001",tblKurallar[kural_id],0)),0)</f>
        <v/>
      </c>
      <c r="D8" s="48" t="inlineStr">
        <is>
          <t>oran</t>
        </is>
      </c>
      <c r="E8" s="6" t="inlineStr">
        <is>
          <t>Üretim KV indirimli oran</t>
        </is>
      </c>
      <c r="F8" s="23" t="inlineStr">
        <is>
          <t>UKV-001</t>
        </is>
      </c>
      <c r="G8" s="25">
        <f>IFERROR(INDEX(CHOOSE(MAX(1,MIN(3,IF(OR(hesapYili="",hesapYili=0),1,hesapYili-ukv_yilTaban))),tblKurallar[deger_2025],tblKurallar[deger_2026],tblKurallar[deger_2027]),MATCH("UKV-001",tblKurallar[kural_id],0)),0)</f>
        <v/>
      </c>
    </row>
    <row r="9">
      <c r="A9" s="46" t="n">
        <v>3</v>
      </c>
      <c r="B9" s="24" t="inlineStr">
        <is>
          <t>Standart oran</t>
        </is>
      </c>
      <c r="C9" s="49">
        <f>IFERROR(INDEX(CHOOSE(MAX(1,MIN(3,IF(OR(hesapYili="",hesapYili=0),1,hesapYili-ukv_yilTaban))),tblKurallar[deger_2025],tblKurallar[deger_2026],tblKurallar[deger_2027]),MATCH("UKV-002",tblKurallar[kural_id],0)),0)</f>
        <v/>
      </c>
      <c r="D9" s="48" t="inlineStr">
        <is>
          <t>oran</t>
        </is>
      </c>
      <c r="E9" s="6" t="inlineStr">
        <is>
          <t>Genel KV oranı</t>
        </is>
      </c>
      <c r="F9" s="23" t="inlineStr">
        <is>
          <t>UKV-002</t>
        </is>
      </c>
      <c r="G9" s="25">
        <f>IFERROR(INDEX(CHOOSE(MAX(1,MIN(3,IF(OR(hesapYili="",hesapYili=0),1,hesapYili-ukv_yilTaban))),tblKurallar[deger_2025],tblKurallar[deger_2026],tblKurallar[deger_2027]),MATCH("UKV-002",tblKurallar[kural_id],0)),0)</f>
        <v/>
      </c>
    </row>
    <row r="10">
      <c r="A10" s="46" t="n">
        <v>4</v>
      </c>
      <c r="B10" s="24" t="inlineStr">
        <is>
          <t>Uygula eşiği</t>
        </is>
      </c>
      <c r="C10" s="50">
        <f>IFERROR(INDEX(CHOOSE(MAX(1,MIN(3,IF(OR(hesapYili="",hesapYili=0),1,hesapYili-ukv_yilTaban))),tblKurallar[deger_2025],tblKurallar[deger_2026],tblKurallar[deger_2027]),MATCH("UKV-003",tblKurallar[kural_id],0)),0)</f>
        <v/>
      </c>
      <c r="D10" s="48" t="inlineStr">
        <is>
          <t>TL</t>
        </is>
      </c>
      <c r="E10" s="6" t="inlineStr">
        <is>
          <t>UYGULA tasarruf eşiği</t>
        </is>
      </c>
      <c r="F10" s="23" t="inlineStr">
        <is>
          <t>UKV-003</t>
        </is>
      </c>
      <c r="G10" s="26">
        <f>IFERROR(INDEX(CHOOSE(MAX(1,MIN(3,IF(OR(hesapYili="",hesapYili=0),1,hesapYili-ukv_yilTaban))),tblKurallar[deger_2025],tblKurallar[deger_2026],tblKurallar[deger_2027]),MATCH("UKV-003",tblKurallar[kural_id],0)),0)</f>
        <v/>
      </c>
    </row>
    <row r="11">
      <c r="A11" s="46" t="n">
        <v>5</v>
      </c>
      <c r="B11" s="24" t="inlineStr">
        <is>
          <t>İncele eşiği</t>
        </is>
      </c>
      <c r="C11" s="50">
        <f>IFERROR(INDEX(CHOOSE(MAX(1,MIN(3,IF(OR(hesapYili="",hesapYili=0),1,hesapYili-ukv_yilTaban))),tblKurallar[deger_2025],tblKurallar[deger_2026],tblKurallar[deger_2027]),MATCH("UKV-004",tblKurallar[kural_id],0)),0)</f>
        <v/>
      </c>
      <c r="D11" s="48" t="inlineStr">
        <is>
          <t>TL</t>
        </is>
      </c>
      <c r="E11" s="6" t="inlineStr">
        <is>
          <t>İNCELE tasarruf eşiği</t>
        </is>
      </c>
      <c r="F11" s="23" t="inlineStr">
        <is>
          <t>UKV-004</t>
        </is>
      </c>
      <c r="G11" s="26">
        <f>IFERROR(INDEX(CHOOSE(MAX(1,MIN(3,IF(OR(hesapYili="",hesapYili=0),1,hesapYili-ukv_yilTaban))),tblKurallar[deger_2025],tblKurallar[deger_2026],tblKurallar[deger_2027]),MATCH("UKV-004",tblKurallar[kural_id],0)),0)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IFERROR(INDEX(CHOOSE(MAX(1,MIN(3,IF(OR(hesapYili="",hesapYili=0),1,hesapYili-ukv_yilTaban))),tblKurallar[deger_2025],tblKurallar[deger_2026],tblKurallar[deger_2027]),MATCH("UKV-005",tblKurallar[kural_id],0)),0)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UKV-005</t>
        </is>
      </c>
      <c r="G12" s="36">
        <f>IFERROR(INDEX(CHOOSE(MAX(1,MIN(3,IF(OR(hesapYili="",hesapYili=0),1,hesapYili-ukv_yilTaban))),tblKurallar[deger_2025],tblKurallar[deger_2026],tblKurallar[deger_2027]),MATCH("UKV-005",tblKurallar[kural_id],0)),0)</f>
        <v/>
      </c>
    </row>
    <row r="13">
      <c r="A13" s="46" t="n">
        <v>7</v>
      </c>
      <c r="B13" s="24" t="inlineStr">
        <is>
          <t>Üretim hasılatı</t>
        </is>
      </c>
      <c r="C13" s="50">
        <f>IFERROR(GIRDI!B9,0)</f>
        <v/>
      </c>
      <c r="D13" s="48" t="inlineStr">
        <is>
          <t>TL</t>
        </is>
      </c>
      <c r="E13" s="6" t="inlineStr">
        <is>
          <t>Üretim hasılatı</t>
        </is>
      </c>
      <c r="F13" s="23" t="inlineStr">
        <is>
          <t>UKV-001</t>
        </is>
      </c>
      <c r="G13" s="26">
        <f>IFERROR(GIRDI!B9,0)</f>
        <v/>
      </c>
    </row>
    <row r="14">
      <c r="A14" s="46" t="n">
        <v>8</v>
      </c>
      <c r="B14" s="24" t="inlineStr">
        <is>
          <t>Üretim maliyeti</t>
        </is>
      </c>
      <c r="C14" s="50">
        <f>IFERROR(GIRDI!B10,0)</f>
        <v/>
      </c>
      <c r="D14" s="48" t="inlineStr">
        <is>
          <t>TL</t>
        </is>
      </c>
      <c r="E14" s="6" t="inlineStr">
        <is>
          <t>Üretim maliyeti</t>
        </is>
      </c>
      <c r="F14" s="23" t="inlineStr">
        <is>
          <t>UKV-001</t>
        </is>
      </c>
      <c r="G14" s="26">
        <f>IFERROR(GIRDI!B10,0)</f>
        <v/>
      </c>
    </row>
    <row r="15">
      <c r="A15" s="46" t="n">
        <v>9</v>
      </c>
      <c r="B15" s="24" t="inlineStr">
        <is>
          <t>Genel yönetim payı</t>
        </is>
      </c>
      <c r="C15" s="50">
        <f>IFERROR(GIRDI!B11,0)</f>
        <v/>
      </c>
      <c r="D15" s="48" t="inlineStr">
        <is>
          <t>TL</t>
        </is>
      </c>
      <c r="E15" s="6" t="inlineStr">
        <is>
          <t>GY payı</t>
        </is>
      </c>
      <c r="F15" s="23" t="inlineStr">
        <is>
          <t>UKV-001</t>
        </is>
      </c>
      <c r="G15" s="26">
        <f>IFERROR(GIRDI!B11,0)</f>
        <v/>
      </c>
    </row>
    <row r="16">
      <c r="A16" s="46" t="n">
        <v>10</v>
      </c>
      <c r="B16" s="24" t="inlineStr">
        <is>
          <t>Finansman gider payı</t>
        </is>
      </c>
      <c r="C16" s="50">
        <f>IFERROR(GIRDI!B12,0)</f>
        <v/>
      </c>
      <c r="D16" s="48" t="inlineStr">
        <is>
          <t>TL</t>
        </is>
      </c>
      <c r="E16" s="6" t="inlineStr">
        <is>
          <t>FG payı</t>
        </is>
      </c>
      <c r="F16" s="23" t="inlineStr">
        <is>
          <t>UKV-001</t>
        </is>
      </c>
      <c r="G16" s="26">
        <f>IFERROR(GIRDI!B12,0)</f>
        <v/>
      </c>
    </row>
    <row r="17">
      <c r="A17" s="46" t="n">
        <v>11</v>
      </c>
      <c r="B17" s="24" t="inlineStr">
        <is>
          <t>Diğer faaliyet kârı</t>
        </is>
      </c>
      <c r="C17" s="50">
        <f>IFERROR(GIRDI!B13,0)</f>
        <v/>
      </c>
      <c r="D17" s="48" t="inlineStr">
        <is>
          <t>TL</t>
        </is>
      </c>
      <c r="E17" s="6" t="inlineStr">
        <is>
          <t>Diğer kâr/zarar</t>
        </is>
      </c>
      <c r="F17" s="23" t="inlineStr">
        <is>
          <t>UKV-001</t>
        </is>
      </c>
      <c r="G17" s="26">
        <f>IFERROR(GIRDI!B13,0)</f>
        <v/>
      </c>
    </row>
    <row r="18">
      <c r="A18" s="46" t="n">
        <v>12</v>
      </c>
      <c r="B18" s="24" t="inlineStr">
        <is>
          <t>İstisna tutarı</t>
        </is>
      </c>
      <c r="C18" s="50">
        <f>IFERROR(GIRDI!B14,0)</f>
        <v/>
      </c>
      <c r="D18" s="48" t="inlineStr">
        <is>
          <t>TL</t>
        </is>
      </c>
      <c r="E18" s="6" t="inlineStr">
        <is>
          <t>İstisna</t>
        </is>
      </c>
      <c r="F18" s="23" t="inlineStr">
        <is>
          <t>UKV-001</t>
        </is>
      </c>
      <c r="G18" s="26">
        <f>IFERROR(GIRDI!B14,0)</f>
        <v/>
      </c>
    </row>
    <row r="19">
      <c r="A19" s="46" t="n">
        <v>13</v>
      </c>
      <c r="B19" s="24" t="inlineStr">
        <is>
          <t>Pay çarpanı (yorum)</t>
        </is>
      </c>
      <c r="C19" s="49">
        <f>IFERROR(IF(GIRDI!B15="B",1+ukv_payArtisOran,1),0)</f>
        <v/>
      </c>
      <c r="D19" s="48" t="inlineStr">
        <is>
          <t>çarpan</t>
        </is>
      </c>
      <c r="E19" s="6" t="inlineStr">
        <is>
          <t>Yorum A/B pay çarpanı</t>
        </is>
      </c>
      <c r="F19" s="23" t="inlineStr">
        <is>
          <t>UKV-005</t>
        </is>
      </c>
      <c r="G19" s="25">
        <f>IFERROR(IF(GIRDI!B15="B",1+ukv_payArtisOran,1),0)</f>
        <v/>
      </c>
    </row>
    <row r="20">
      <c r="A20" s="46" t="n">
        <v>14</v>
      </c>
      <c r="B20" s="24" t="inlineStr">
        <is>
          <t>GY efektif</t>
        </is>
      </c>
      <c r="C20" s="50">
        <f>IFERROR(G15*G19,0)</f>
        <v/>
      </c>
      <c r="D20" s="48" t="inlineStr">
        <is>
          <t>TL</t>
        </is>
      </c>
      <c r="E20" s="6" t="inlineStr">
        <is>
          <t>Yorum sonrası GY</t>
        </is>
      </c>
      <c r="F20" s="23" t="inlineStr">
        <is>
          <t>UKV-001</t>
        </is>
      </c>
      <c r="G20" s="26">
        <f>IFERROR(G15*G19,0)</f>
        <v/>
      </c>
    </row>
    <row r="21">
      <c r="A21" s="46" t="n">
        <v>15</v>
      </c>
      <c r="B21" s="24" t="inlineStr">
        <is>
          <t>FG efektif</t>
        </is>
      </c>
      <c r="C21" s="50">
        <f>IFERROR(G16*G19,0)</f>
        <v/>
      </c>
      <c r="D21" s="48" t="inlineStr">
        <is>
          <t>TL</t>
        </is>
      </c>
      <c r="E21" s="6" t="inlineStr">
        <is>
          <t>Yorum sonrası FG</t>
        </is>
      </c>
      <c r="F21" s="23" t="inlineStr">
        <is>
          <t>UKV-001</t>
        </is>
      </c>
      <c r="G21" s="26">
        <f>IFERROR(G16*G19,0)</f>
        <v/>
      </c>
    </row>
    <row r="22">
      <c r="A22" s="46" t="n">
        <v>16</v>
      </c>
      <c r="B22" s="24" t="inlineStr">
        <is>
          <t>Üretim kârı</t>
        </is>
      </c>
      <c r="C22" s="50">
        <f>IFERROR(G13-G14-G20-G21,0)</f>
        <v/>
      </c>
      <c r="D22" s="48" t="inlineStr">
        <is>
          <t>TL</t>
        </is>
      </c>
      <c r="E22" s="6" t="inlineStr">
        <is>
          <t>Hasılat−maliyet−paylar</t>
        </is>
      </c>
      <c r="F22" s="23" t="inlineStr">
        <is>
          <t>UKV-001</t>
        </is>
      </c>
      <c r="G22" s="26">
        <f>IFERROR(G13-G14-G20-G21,0)</f>
        <v/>
      </c>
    </row>
    <row r="23">
      <c r="A23" s="46" t="n">
        <v>17</v>
      </c>
      <c r="B23" s="24" t="inlineStr">
        <is>
          <t>Matrah</t>
        </is>
      </c>
      <c r="C23" s="50">
        <f>IFERROR(ROUND(MAX(0,G22+G17-G18),MAX(0,MIN(ukv_yuvarMax,IFERROR(N(G12),0)))),0)</f>
        <v/>
      </c>
      <c r="D23" s="48" t="inlineStr">
        <is>
          <t>TL</t>
        </is>
      </c>
      <c r="E23" s="6" t="inlineStr">
        <is>
          <t>Vergiye tabi matrah</t>
        </is>
      </c>
      <c r="F23" s="23" t="inlineStr">
        <is>
          <t>UKV-001</t>
        </is>
      </c>
      <c r="G23" s="26">
        <f>IFERROR(ROUND(MAX(0,G22+G17-G18),MAX(0,MIN(ukv_yuvarMax,IFERROR(N(G12),0)))),0)</f>
        <v/>
      </c>
    </row>
    <row r="24">
      <c r="A24" s="46" t="n">
        <v>18</v>
      </c>
      <c r="B24" s="24" t="inlineStr">
        <is>
          <t>Standart KV</t>
        </is>
      </c>
      <c r="C24" s="50">
        <f>IFERROR(ROUND(G23*G9,MAX(0,MIN(ukv_yuvarMax,IFERROR(N(G12),0)))),0)</f>
        <v/>
      </c>
      <c r="D24" s="48" t="inlineStr">
        <is>
          <t>TL</t>
        </is>
      </c>
      <c r="E24" s="6" t="inlineStr">
        <is>
          <t>Matrah × standart oran</t>
        </is>
      </c>
      <c r="F24" s="23" t="inlineStr">
        <is>
          <t>UKV-002</t>
        </is>
      </c>
      <c r="G24" s="26">
        <f>IFERROR(ROUND(G23*G9,MAX(0,MIN(ukv_yuvarMax,IFERROR(N(G12),0)))),0)</f>
        <v/>
      </c>
    </row>
    <row r="25">
      <c r="A25" s="46" t="n">
        <v>19</v>
      </c>
      <c r="B25" s="24" t="inlineStr">
        <is>
          <t>İndirimli KV</t>
        </is>
      </c>
      <c r="C25" s="50">
        <f>IFERROR(ROUND(G23*G8,MAX(0,MIN(ukv_yuvarMax,IFERROR(N(G12),0)))),0)</f>
        <v/>
      </c>
      <c r="D25" s="48" t="inlineStr">
        <is>
          <t>TL</t>
        </is>
      </c>
      <c r="E25" s="6" t="inlineStr">
        <is>
          <t>Matrah × indirimli oran</t>
        </is>
      </c>
      <c r="F25" s="23" t="inlineStr">
        <is>
          <t>UKV-001</t>
        </is>
      </c>
      <c r="G25" s="26">
        <f>IFERROR(ROUND(G23*G8,MAX(0,MIN(ukv_yuvarMax,IFERROR(N(G12),0)))),0)</f>
        <v/>
      </c>
    </row>
    <row r="26">
      <c r="A26" s="46" t="n">
        <v>20</v>
      </c>
      <c r="B26" s="24" t="inlineStr">
        <is>
          <t>Tasarruf</t>
        </is>
      </c>
      <c r="C26" s="50">
        <f>IFERROR(G24-G25,0)</f>
        <v/>
      </c>
      <c r="D26" s="48" t="inlineStr">
        <is>
          <t>TL</t>
        </is>
      </c>
      <c r="E26" s="6" t="inlineStr">
        <is>
          <t>Standart − indirimli</t>
        </is>
      </c>
      <c r="F26" s="23" t="inlineStr">
        <is>
          <t>UKV-001</t>
        </is>
      </c>
      <c r="G26" s="26">
        <f>IFERROR(G24-G25,0)</f>
        <v/>
      </c>
    </row>
    <row r="27">
      <c r="A27" s="46" t="n">
        <v>21</v>
      </c>
      <c r="B27" s="24" t="inlineStr">
        <is>
          <t>Oran farkı</t>
        </is>
      </c>
      <c r="C27" s="49">
        <f>IFERROR(G9-G8,0)</f>
        <v/>
      </c>
      <c r="D27" s="48" t="inlineStr">
        <is>
          <t>oran</t>
        </is>
      </c>
      <c r="E27" s="6" t="inlineStr">
        <is>
          <t>Standart − indirimli puan</t>
        </is>
      </c>
      <c r="F27" s="23" t="inlineStr">
        <is>
          <t>UKV-001</t>
        </is>
      </c>
      <c r="G27" s="25">
        <f>IFERROR(G9-G8,0)</f>
        <v/>
      </c>
    </row>
    <row r="28">
      <c r="A28" s="46" t="n">
        <v>22</v>
      </c>
      <c r="B28" s="24" t="inlineStr">
        <is>
          <t>Tasarruf (pano)</t>
        </is>
      </c>
      <c r="C28" s="50">
        <f>IFERROR(G26,0)</f>
        <v/>
      </c>
      <c r="D28" s="48" t="inlineStr">
        <is>
          <t>TL</t>
        </is>
      </c>
      <c r="E28" s="6" t="inlineStr">
        <is>
          <t>Tasarruf ayna</t>
        </is>
      </c>
      <c r="F28" s="23" t="inlineStr">
        <is>
          <t>UKV-001</t>
        </is>
      </c>
      <c r="G28" s="26">
        <f>IFERROR(G26,0)</f>
        <v/>
      </c>
    </row>
    <row r="29">
      <c r="A29" s="46" t="n">
        <v>23</v>
      </c>
      <c r="B29" s="24" t="inlineStr">
        <is>
          <t>Matrah (pano)</t>
        </is>
      </c>
      <c r="C29" s="50">
        <f>IFERROR(G23,0)</f>
        <v/>
      </c>
      <c r="D29" s="48" t="inlineStr">
        <is>
          <t>TL</t>
        </is>
      </c>
      <c r="E29" s="6" t="inlineStr">
        <is>
          <t>Matrah ayna</t>
        </is>
      </c>
      <c r="F29" s="23" t="inlineStr">
        <is>
          <t>UKV-001</t>
        </is>
      </c>
      <c r="G29" s="26">
        <f>IFERROR(G23,0)</f>
        <v/>
      </c>
    </row>
    <row r="30">
      <c r="A30" s="46" t="n">
        <v>24</v>
      </c>
      <c r="B30" s="24" t="inlineStr">
        <is>
          <t>İndirimli KV (pano)</t>
        </is>
      </c>
      <c r="C30" s="50">
        <f>IFERROR(G25,0)</f>
        <v/>
      </c>
      <c r="D30" s="48" t="inlineStr">
        <is>
          <t>TL</t>
        </is>
      </c>
      <c r="E30" s="6" t="inlineStr">
        <is>
          <t>İndirimli ayna</t>
        </is>
      </c>
      <c r="F30" s="23" t="inlineStr">
        <is>
          <t>UKV-001</t>
        </is>
      </c>
      <c r="G30" s="26">
        <f>IFERROR(G25,0)</f>
        <v/>
      </c>
    </row>
    <row r="31">
      <c r="A31" s="46" t="n">
        <v>25</v>
      </c>
      <c r="B31" s="24" t="inlineStr">
        <is>
          <t>Üretim kâr / hasılat</t>
        </is>
      </c>
      <c r="C31" s="49">
        <f>IFERROR(IF(G13=0,0,G22/G13),0)</f>
        <v/>
      </c>
      <c r="D31" s="48" t="inlineStr">
        <is>
          <t>oran</t>
        </is>
      </c>
      <c r="E31" s="6" t="inlineStr">
        <is>
          <t>Marj göstergesi</t>
        </is>
      </c>
      <c r="F31" s="23" t="inlineStr">
        <is>
          <t>UKV-001</t>
        </is>
      </c>
      <c r="G31" s="25">
        <f>IFERROR(IF(G13=0,0,G22/G13),0)</f>
        <v/>
      </c>
    </row>
    <row r="32">
      <c r="A32" s="46" t="n">
        <v>26</v>
      </c>
      <c r="B32" s="24" t="inlineStr">
        <is>
          <t>İstisna / matrah brüt</t>
        </is>
      </c>
      <c r="C32" s="49">
        <f>IFERROR(IF(G22+G17=0,0,G18/MAX(1,G22+G17)),0)</f>
        <v/>
      </c>
      <c r="D32" s="48" t="inlineStr">
        <is>
          <t>oran</t>
        </is>
      </c>
      <c r="E32" s="6" t="inlineStr">
        <is>
          <t>İstisna yoğunluğu</t>
        </is>
      </c>
      <c r="F32" s="23" t="inlineStr">
        <is>
          <t>UKV-001</t>
        </is>
      </c>
      <c r="G32" s="25">
        <f>IFERROR(IF(G22+G17=0,0,G18/MAX(1,G22+G17)),0)</f>
        <v/>
      </c>
    </row>
    <row r="33">
      <c r="A33" s="46" t="n">
        <v>27</v>
      </c>
      <c r="B33" s="24" t="inlineStr">
        <is>
          <t>Karar kodu</t>
        </is>
      </c>
      <c r="C33" s="21">
        <f>IFERROR(IF(COUNTA(tblGirdi[Alan Anahtarı])=0,"VERI_YOK",IF(G26&gt;=G10,"UYGULA",IF(G26&gt;=G11,"INCELE","UYGULAMA"))),"")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UKV-005</t>
        </is>
      </c>
      <c r="G33" s="27">
        <f>IFERROR(IF(COUNTA(tblGirdi[Alan Anahtarı])=0,"VERI_YOK",IF(G26&gt;=G10,"UYGULA",IF(G26&gt;=G11,"INCELE","UYGULAMA"))),"")</f>
        <v/>
      </c>
    </row>
    <row r="34">
      <c r="A34" s="46" t="n">
        <v>28</v>
      </c>
      <c r="B34" s="24" t="inlineStr">
        <is>
          <t>Karar metni</t>
        </is>
      </c>
      <c r="C34" s="21">
        <f>IFERROR(IF(G33="VERI_YOK","VERİ YOK",IF(G33="UYGULA","UYGULA",IF(G33="INCELE","İNCELE","UYGULAMA"))),"")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UKV-005</t>
        </is>
      </c>
      <c r="G34" s="27">
        <f>IFERROR(IF(G33="VERI_YOK","VERİ YOK",IF(G33="UYGULA","UYGULA",IF(G33="INCELE","İNCELE","UYGULAMA"))),"")</f>
        <v/>
      </c>
    </row>
    <row r="35">
      <c r="A35" s="46" t="n">
        <v>29</v>
      </c>
      <c r="B35" s="24" t="inlineStr">
        <is>
          <t>Gerekçe</t>
        </is>
      </c>
      <c r="C35" s="21">
        <f>IFERROR(IF(G33="VERI_YOK","Giriş tablosu boş — hesap yapılamaz.",IF(G33="UYGULA","Tasarruf uygula eşiğinin üzerinde; indirimli üretim KV oranını uygulayın ve kanıt dosyalayın.",IF(G33="INCELE","Tasarruf incele bandında; pay dağıtımı ve istisna dayanağını gözden geçirin.","Tasarruf eşik altında veya matrah yok; indirimli oran uygulaması öncelikli değil."))),"")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UKV-005</t>
        </is>
      </c>
      <c r="G35" s="27">
        <f>IFERROR(IF(G33="VERI_YOK","Giriş tablosu boş — hesap yapılamaz.",IF(G33="UYGULA","Tasarruf uygula eşiğinin üzerinde; indirimli üretim KV oranını uygulayın ve kanıt dosyalayın.",IF(G33="INCELE","Tasarruf incele bandında; pay dağıtımı ve istisna dayanağını gözden geçirin.","Tasarruf eşik altında veya matrah yok; indirimli oran uygulaması öncelikli değil."))),"")</f>
        <v/>
      </c>
    </row>
    <row r="36">
      <c r="A36" s="46" t="n">
        <v>30</v>
      </c>
      <c r="B36" s="24" t="inlineStr">
        <is>
          <t>Tasarruf / standart KV</t>
        </is>
      </c>
      <c r="C36" s="49">
        <f>IFERROR(IF(G24=0,0,G26/G24),0)</f>
        <v/>
      </c>
      <c r="D36" s="48" t="inlineStr">
        <is>
          <t>oran</t>
        </is>
      </c>
      <c r="E36" s="6" t="inlineStr">
        <is>
          <t>Tasarruf oranı</t>
        </is>
      </c>
      <c r="F36" s="23" t="inlineStr">
        <is>
          <t>UKV-002</t>
        </is>
      </c>
      <c r="G36" s="25">
        <f>IFERROR(IF(G24=0,0,G26/G24),0)</f>
        <v/>
      </c>
    </row>
    <row r="37">
      <c r="A37" s="46" t="n">
        <v>31</v>
      </c>
      <c r="B37" s="24" t="inlineStr">
        <is>
          <t>Efektif oran</t>
        </is>
      </c>
      <c r="C37" s="49">
        <f>IFERROR(IF(G23=0,0,G25/G23),0)</f>
        <v/>
      </c>
      <c r="D37" s="48" t="inlineStr">
        <is>
          <t>oran</t>
        </is>
      </c>
      <c r="E37" s="6" t="inlineStr">
        <is>
          <t>Ödenen efektif</t>
        </is>
      </c>
      <c r="F37" s="23" t="inlineStr">
        <is>
          <t>UKV-001</t>
        </is>
      </c>
      <c r="G37" s="25">
        <f>IFERROR(IF(G23=0,0,G25/G23),0)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IFERROR(ROUND(IF(OR(COUNTA(GIRDI!B6:B15)=0,ukv_girisBeklenen=0),0,COUNTA(GIRDI!B6:B15)/ukv_girisBeklenen*100),0),0)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UKV-005</t>
        </is>
      </c>
      <c r="G38" s="36">
        <f>IFERROR(ROUND(IF(OR(COUNTA(GIRDI!B6:B15)=0,ukv_girisBeklenen=0),0,COUNTA(GIRDI!B6:B15)/ukv_girisBeklenen*100),0),0)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IFERROR(IF(G33="VERI_YOK",0,IF(G33="UYGULA",ukv_riskDusuk,IF(G33="INCELE",ukv_riskOrta,ukv_riskYuksek))),0)</f>
        <v/>
      </c>
      <c r="D39" s="48" t="inlineStr">
        <is>
          <t>puan</t>
        </is>
      </c>
      <c r="E39" s="6" t="inlineStr">
        <is>
          <t>Kaçırma riski (ters)</t>
        </is>
      </c>
      <c r="F39" s="23" t="inlineStr">
        <is>
          <t>UKV-005</t>
        </is>
      </c>
      <c r="G39" s="36">
        <f>IFERROR(IF(G33="VERI_YOK",0,IF(G33="UYGULA",ukv_riskDusuk,IF(G33="INCELE",ukv_riskOrta,ukv_riskYuksek))),0)</f>
        <v/>
      </c>
    </row>
    <row r="40">
      <c r="A40" s="46" t="n">
        <v>34</v>
      </c>
      <c r="B40" s="24" t="inlineStr">
        <is>
          <t>Senaryo iyimser matrah</t>
        </is>
      </c>
      <c r="C40" s="50">
        <f>IFERROR(G23*ukv_senaryoIyi,0)</f>
        <v/>
      </c>
      <c r="D40" s="48" t="inlineStr">
        <is>
          <t>TL</t>
        </is>
      </c>
      <c r="E40" s="6" t="inlineStr">
        <is>
          <t>İyimser matrah</t>
        </is>
      </c>
      <c r="F40" s="23" t="inlineStr">
        <is>
          <t>UKV-001</t>
        </is>
      </c>
      <c r="G40" s="26">
        <f>IFERROR(G23*ukv_senaryoIyi,0)</f>
        <v/>
      </c>
    </row>
    <row r="41">
      <c r="A41" s="46" t="n">
        <v>35</v>
      </c>
      <c r="B41" s="24" t="inlineStr">
        <is>
          <t>Senaryo kötümser matrah</t>
        </is>
      </c>
      <c r="C41" s="50">
        <f>IFERROR(G23*ukv_senaryoKotu,0)</f>
        <v/>
      </c>
      <c r="D41" s="48" t="inlineStr">
        <is>
          <t>TL</t>
        </is>
      </c>
      <c r="E41" s="6" t="inlineStr">
        <is>
          <t>Kötümser matrah</t>
        </is>
      </c>
      <c r="F41" s="23" t="inlineStr">
        <is>
          <t>UKV-001</t>
        </is>
      </c>
      <c r="G41" s="26">
        <f>IFERROR(G23*ukv_senaryoKotu,0)</f>
        <v/>
      </c>
    </row>
    <row r="42">
      <c r="A42" s="46" t="n">
        <v>36</v>
      </c>
      <c r="B42" s="24" t="inlineStr">
        <is>
          <t>İyimser tasarruf</t>
        </is>
      </c>
      <c r="C42" s="50">
        <f>IFERROR(ROUND(G40*(G9-G8),MAX(0,MIN(ukv_yuvarMax,IFERROR(N(G12),0)))),0)</f>
        <v/>
      </c>
      <c r="D42" s="48" t="inlineStr">
        <is>
          <t>TL</t>
        </is>
      </c>
      <c r="E42" s="6" t="inlineStr">
        <is>
          <t>İyimser tasarruf</t>
        </is>
      </c>
      <c r="F42" s="23" t="inlineStr">
        <is>
          <t>UKV-001</t>
        </is>
      </c>
      <c r="G42" s="26">
        <f>IFERROR(ROUND(G40*(G9-G8),MAX(0,MIN(ukv_yuvarMax,IFERROR(N(G12),0)))),0)</f>
        <v/>
      </c>
    </row>
    <row r="43">
      <c r="A43" s="46" t="n">
        <v>37</v>
      </c>
      <c r="B43" s="24" t="inlineStr">
        <is>
          <t>Kötümser tasarruf</t>
        </is>
      </c>
      <c r="C43" s="50">
        <f>IFERROR(ROUND(G41*(G9-G8),MAX(0,MIN(ukv_yuvarMax,IFERROR(N(G12),0)))),0)</f>
        <v/>
      </c>
      <c r="D43" s="48" t="inlineStr">
        <is>
          <t>TL</t>
        </is>
      </c>
      <c r="E43" s="6" t="inlineStr">
        <is>
          <t>Kötümser tasarruf</t>
        </is>
      </c>
      <c r="F43" s="23" t="inlineStr">
        <is>
          <t>UKV-001</t>
        </is>
      </c>
      <c r="G43" s="26">
        <f>IFERROR(ROUND(G41*(G9-G8),MAX(0,MIN(ukv_yuvarMax,IFERROR(N(G12),0)))),0)</f>
        <v/>
      </c>
    </row>
    <row r="44">
      <c r="A44" s="46" t="n">
        <v>38</v>
      </c>
      <c r="B44" s="24" t="inlineStr">
        <is>
          <t>M-SEN indirimli+</t>
        </is>
      </c>
      <c r="C44" s="49">
        <f>IFERROR(MIN(G9,G8+ukv_oranArtisPuan),0)</f>
        <v/>
      </c>
      <c r="D44" s="48" t="inlineStr">
        <is>
          <t>oran</t>
        </is>
      </c>
      <c r="E44" s="6" t="inlineStr">
        <is>
          <t>İndirimli + delta</t>
        </is>
      </c>
      <c r="F44" s="23" t="inlineStr">
        <is>
          <t>UKV-001</t>
        </is>
      </c>
      <c r="G44" s="25">
        <f>IFERROR(MIN(G9,G8+ukv_oranArtisPuan),0)</f>
        <v/>
      </c>
    </row>
    <row r="45">
      <c r="A45" s="46" t="n">
        <v>39</v>
      </c>
      <c r="B45" s="24" t="inlineStr">
        <is>
          <t>M-SEN indirimli KV</t>
        </is>
      </c>
      <c r="C45" s="50">
        <f>IFERROR(ROUND(G23*G44,MAX(0,MIN(ukv_yuvarMax,IFERROR(N(G12),0)))),0)</f>
        <v/>
      </c>
      <c r="D45" s="48" t="inlineStr">
        <is>
          <t>TL</t>
        </is>
      </c>
      <c r="E45" s="6" t="inlineStr">
        <is>
          <t>M-SEN indirimli KV</t>
        </is>
      </c>
      <c r="F45" s="23" t="inlineStr">
        <is>
          <t>UKV-001</t>
        </is>
      </c>
      <c r="G45" s="26">
        <f>IFERROR(ROUND(G23*G44,MAX(0,MIN(ukv_yuvarMax,IFERROR(N(G12),0)))),0)</f>
        <v/>
      </c>
    </row>
    <row r="46">
      <c r="A46" s="46" t="n">
        <v>40</v>
      </c>
      <c r="B46" s="24" t="inlineStr">
        <is>
          <t>M-SEN tasarruf</t>
        </is>
      </c>
      <c r="C46" s="50">
        <f>IFERROR(G24-G45,0)</f>
        <v/>
      </c>
      <c r="D46" s="48" t="inlineStr">
        <is>
          <t>TL</t>
        </is>
      </c>
      <c r="E46" s="6" t="inlineStr">
        <is>
          <t>M-SEN tasarruf farkı</t>
        </is>
      </c>
      <c r="F46" s="23" t="inlineStr">
        <is>
          <t>UKV-001</t>
        </is>
      </c>
      <c r="G46" s="26">
        <f>IFERROR(G24-G45,0)</f>
        <v/>
      </c>
    </row>
    <row r="47">
      <c r="A47" s="46" t="n">
        <v>41</v>
      </c>
      <c r="B47" s="24" t="inlineStr">
        <is>
          <t>Tahmin üst</t>
        </is>
      </c>
      <c r="C47" s="50">
        <f>IFERROR(G26*ukv_tahminUst,0)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UKV-005</t>
        </is>
      </c>
      <c r="G47" s="26">
        <f>IFERROR(G26*ukv_tahminUst,0)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IFERROR(G26*ukv_tahminAlt,0)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UKV-005</t>
        </is>
      </c>
      <c r="G48" s="26">
        <f>IFERROR(G26*ukv_tahminAlt,0)</f>
        <v/>
      </c>
    </row>
    <row r="49">
      <c r="A49" s="46" t="n">
        <v>43</v>
      </c>
      <c r="B49" s="24" t="inlineStr">
        <is>
          <t>Tornado: hasılat etkisi</t>
        </is>
      </c>
      <c r="C49" s="50">
        <f>IFERROR(ABS(ROUND(MAX(0,(G13*ukv_tornadoHasilat)-G14-G20-G21+G17-G18)*(G9-G8),MAX(0,MIN(ukv_yuvarMax,IFERROR(N(G12),0))))-G26),0)</f>
        <v/>
      </c>
      <c r="D49" s="48" t="inlineStr">
        <is>
          <t>TL</t>
        </is>
      </c>
      <c r="E49" s="6" t="inlineStr">
        <is>
          <t>Hasılat ± etki</t>
        </is>
      </c>
      <c r="F49" s="23" t="inlineStr">
        <is>
          <t>UKV-001</t>
        </is>
      </c>
      <c r="G49" s="26">
        <f>IFERROR(ABS(ROUND(MAX(0,(G13*ukv_tornadoHasilat)-G14-G20-G21+G17-G18)*(G9-G8),MAX(0,MIN(ukv_yuvarMax,IFERROR(N(G12),0))))-G26),0)</f>
        <v/>
      </c>
    </row>
    <row r="50">
      <c r="A50" s="46" t="n">
        <v>44</v>
      </c>
      <c r="B50" s="24" t="inlineStr">
        <is>
          <t>Tornado: maliyet etkisi</t>
        </is>
      </c>
      <c r="C50" s="50">
        <f>IFERROR(ABS(ROUND(MAX(0,G13-(G14*ukv_tornadoMaliyet)-G20-G21+G17-G18)*(G9-G8),MAX(0,MIN(ukv_yuvarMax,IFERROR(N(G12),0))))-G26),0)</f>
        <v/>
      </c>
      <c r="D50" s="48" t="inlineStr">
        <is>
          <t>TL</t>
        </is>
      </c>
      <c r="E50" s="6" t="inlineStr">
        <is>
          <t>Maliyet ± etki</t>
        </is>
      </c>
      <c r="F50" s="23" t="inlineStr">
        <is>
          <t>UKV-001</t>
        </is>
      </c>
      <c r="G50" s="26">
        <f>IFERROR(ABS(ROUND(MAX(0,G13-(G14*ukv_tornadoMaliyet)-G20-G21+G17-G18)*(G9-G8),MAX(0,MIN(ukv_yuvarMax,IFERROR(N(G12),0))))-G26),0)</f>
        <v/>
      </c>
    </row>
    <row r="51">
      <c r="A51" s="46" t="n">
        <v>45</v>
      </c>
      <c r="B51" s="24" t="inlineStr">
        <is>
          <t>Tornado: oran etkisi</t>
        </is>
      </c>
      <c r="C51" s="50">
        <f>IFERROR(ABS(ROUND(G23*((G9-G8)+ukv_oranArtisPuan),MAX(0,MIN(ukv_yuvarMax,IFERROR(N(G12),0))))-G26),0)</f>
        <v/>
      </c>
      <c r="D51" s="48" t="inlineStr">
        <is>
          <t>TL</t>
        </is>
      </c>
      <c r="E51" s="6" t="inlineStr">
        <is>
          <t>Oran ± etki</t>
        </is>
      </c>
      <c r="F51" s="23" t="inlineStr">
        <is>
          <t>UKV-001</t>
        </is>
      </c>
      <c r="G51" s="26">
        <f>IFERROR(ABS(ROUND(G23*((G9-G8)+ukv_oranArtisPuan),MAX(0,MIN(ukv_yuvarMax,IFERROR(N(G12),0))))-G26),0)</f>
        <v/>
      </c>
    </row>
    <row r="52">
      <c r="A52" s="46" t="n">
        <v>46</v>
      </c>
      <c r="B52" s="24" t="inlineStr">
        <is>
          <t>Madde atıf özeti</t>
        </is>
      </c>
      <c r="C52" s="21">
        <f>IFERROR(_xlfn.TEXTJOIN(" | ",TRUE,"UKV-001→indirimli oran","UKV-002→standart oran","UKV-003→uygula eşiği","UKV-004→incele eşiği"),"")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UKV-001</t>
        </is>
      </c>
      <c r="G52" s="27">
        <f>IFERROR(_xlfn.TEXTJOIN(" | ",TRUE,"UKV-001→indirimli oran","UKV-002→standart oran","UKV-003→uygula eşiği","UKV-004→incele eşiği"),"")</f>
        <v/>
      </c>
    </row>
    <row r="53">
      <c r="A53" s="46" t="n">
        <v>47</v>
      </c>
      <c r="B53" s="24" t="inlineStr">
        <is>
          <t>Kanıt satır özeti</t>
        </is>
      </c>
      <c r="C53" s="21">
        <f>IFERROR(_xlfn.TEXTJOIN(" · ",TRUE,"Matrah=",TEXT(G23,"₺ #,##0"),"StandartKV=",TEXT(G24,"₺ #,##0"),"İndirimliKV=",TEXT(G25,"₺ #,##0"),"Tasarruf=",TEXT(G26,"₺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UKV-005</t>
        </is>
      </c>
      <c r="G53" s="27">
        <f>IFERROR(_xlfn.TEXTJOIN(" · ",TRUE,"Matrah=",TEXT(G23,"₺ #,##0"),"StandartKV=",TEXT(G24,"₺ #,##0"),"İndirimliKV=",TEXT(G25,"₺ #,##0"),"Tasarruf=",TEXT(G26,"₺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F7="UKV-001"</formula>
    </cfRule>
    <cfRule type="expression" priority="3" dxfId="5">
      <formula>F7="UKV-005"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Üretim Kârı %12,5 KV Optimizasyonu</t>
        </is>
      </c>
    </row>
    <row r="3">
      <c r="A3" s="9" t="inlineStr">
        <is>
          <t>Senaryo ve duyarlılık</t>
        </is>
      </c>
    </row>
    <row r="5">
      <c r="A5" s="51" t="inlineStr">
        <is>
          <t>Senaryo</t>
        </is>
      </c>
      <c r="B5" s="51" t="inlineStr">
        <is>
          <t>Matrah Çarpanı</t>
        </is>
      </c>
      <c r="C5" s="51" t="inlineStr">
        <is>
          <t>Matrah</t>
        </is>
      </c>
      <c r="D5" s="51" t="inlineStr">
        <is>
          <t>Tasarruf</t>
        </is>
      </c>
      <c r="E5" s="51" t="inlineStr">
        <is>
          <t>Karar</t>
        </is>
      </c>
      <c r="G5" s="51" t="inlineStr">
        <is>
          <t>TasarrufDemo</t>
        </is>
      </c>
    </row>
    <row r="6">
      <c r="A6" s="7" t="inlineStr">
        <is>
          <t>İyimser</t>
        </is>
      </c>
      <c r="B6" s="25">
        <f>IFERROR(ukv_senaryoIyi+N(GIRDI!B9)*ukv_sifirCarpan,0)</f>
        <v/>
      </c>
      <c r="C6" s="26">
        <f>IFERROR(MOTOR!G40,0)</f>
        <v/>
      </c>
      <c r="D6" s="26">
        <f>IFERROR(MOTOR!G42,0)</f>
        <v/>
      </c>
      <c r="E6" s="27">
        <f>IF(COUNTA(tblGirdi[Alan Anahtarı])=0,"VERİ YOK",IF(D6&gt;=MOTOR!G10,"UYGULA",IF(D6&gt;=MOTOR!G11,"İNCELE","UYGULAMA")))</f>
        <v/>
      </c>
      <c r="G6" s="29" t="n">
        <v>1402500</v>
      </c>
    </row>
    <row r="7">
      <c r="A7" s="7" t="inlineStr">
        <is>
          <t>Baz</t>
        </is>
      </c>
      <c r="B7" s="25">
        <f>IFERROR(ukv_bazCarpan+N(GIRDI!B9)*ukv_sifirCarpan,ukv_bazCarpan)</f>
        <v/>
      </c>
      <c r="C7" s="26">
        <f>IFERROR(ukv_matrah,0)</f>
        <v/>
      </c>
      <c r="D7" s="26">
        <f>IFERROR(ukv_tasarruf,0)</f>
        <v/>
      </c>
      <c r="E7" s="27">
        <f>IF(COUNTA(tblGirdi[Alan Anahtarı])=0,"VERİ YOK",IFERROR(ukv_kararMetni,"-"))</f>
        <v/>
      </c>
      <c r="G7" s="29" t="n">
        <v>1275000</v>
      </c>
    </row>
    <row r="8">
      <c r="A8" s="7" t="inlineStr">
        <is>
          <t>Kötümser</t>
        </is>
      </c>
      <c r="B8" s="25">
        <f>IFERROR(ukv_senaryoKotu+N(GIRDI!B9)*ukv_sifirCarpan,0)</f>
        <v/>
      </c>
      <c r="C8" s="26">
        <f>IFERROR(MOTOR!G41,0)</f>
        <v/>
      </c>
      <c r="D8" s="26">
        <f>IFERROR(MOTOR!G43,0)</f>
        <v/>
      </c>
      <c r="E8" s="27">
        <f>IF(COUNTA(tblGirdi[Alan Anahtarı])=0,"VERİ YOK",IF(D8&gt;=MOTOR!G10,"UYGULA",IF(D8&gt;=MOTOR!G11,"İNCELE","UYGULAMA")))</f>
        <v/>
      </c>
      <c r="G8" s="29" t="n">
        <v>1083750</v>
      </c>
    </row>
    <row r="9">
      <c r="A9" s="7" t="inlineStr">
        <is>
          <t>M-SEN oran+1</t>
        </is>
      </c>
      <c r="B9" s="25">
        <f>IFERROR(ukv_bazCarpan+N(GIRDI!B9)*ukv_sifirCarpan,ukv_bazCarpan)</f>
        <v/>
      </c>
      <c r="C9" s="26">
        <f>IFERROR(ukv_matrah,0)</f>
        <v/>
      </c>
      <c r="D9" s="26">
        <f>IFERROR(MOTOR!G46,0)</f>
        <v/>
      </c>
      <c r="E9" s="27">
        <f>IF(COUNTA(tblGirdi[Alan Anahtarı])=0,"VERİ YOK",IF(D9&gt;=MOTOR!G10,"UYGULA",IF(D9&gt;=MOTOR!G11,"İNCELE","UYGULAMA")))</f>
        <v/>
      </c>
      <c r="G9" s="29" t="n">
        <v>1147500</v>
      </c>
    </row>
    <row r="11">
      <c r="A11" s="10" t="inlineStr">
        <is>
          <t>Senaryo bant genişliği (iyimser−kötümser tasarruf)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tasarruf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[₺]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Tornado hasılat etkisi</t>
        </is>
      </c>
      <c r="B16" s="26">
        <f>IFERROR(MOTOR!G49,0)</f>
        <v/>
      </c>
      <c r="C16" s="36">
        <f>IFERROR(IF(B16&gt;=MAX(B16:B18),ukv_siraBir,IF(B16&gt;=MIN(B16:B18)+ABS(B16-B17),ukv_siraIki,ukv_siraUc)),ukv_siraUc)</f>
        <v/>
      </c>
      <c r="E16" s="29" t="n">
        <v>250000</v>
      </c>
    </row>
    <row r="17">
      <c r="A17" s="7" t="inlineStr">
        <is>
          <t>Tornado maliyet etkisi</t>
        </is>
      </c>
      <c r="B17" s="26">
        <f>IFERROR(MOTOR!G50,0)</f>
        <v/>
      </c>
      <c r="C17" s="36">
        <f>IFERROR(IF(B17&gt;=MAX(B16:B18),ukv_siraBir,IF(B17=MEDIAN(B16:B18),ukv_siraIki,ukv_siraUc)),ukv_siraUc)</f>
        <v/>
      </c>
      <c r="E17" s="29" t="n">
        <v>180000</v>
      </c>
    </row>
    <row r="18">
      <c r="A18" s="7" t="inlineStr">
        <is>
          <t>Tornado oran etkisi</t>
        </is>
      </c>
      <c r="B18" s="26">
        <f>IFERROR(MOTOR!G51,0)</f>
        <v/>
      </c>
      <c r="C18" s="36">
        <f>IFERROR(IF(B18&gt;=MAX(B16:B18),ukv_siraBir,IF(B18=MEDIAN(B16:B18),ukv_siraIki,ukv_siraUc)),ukv_siraUc)</f>
        <v/>
      </c>
      <c r="E18" s="29" t="n">
        <v>127500</v>
      </c>
    </row>
    <row r="19">
      <c r="A19" s="10" t="inlineStr">
        <is>
          <t>Duyarlılık sıra özeti</t>
        </is>
      </c>
      <c r="B19" s="27">
        <f>IFERROR(CONCATENATE("1)",INDEX(A16:A18,MATCH(ukv_siraBir,C16:C18,0))," 2)",INDEX(A16:A18,MATCH(ukv_siraIki,C16:C18,0))),"-")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tasarruf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",TRUE,"İndirimli oran +1 puan senaryosunda tasarruf ",TEXT(D9,"₺ #,##0")," TL")</f>
        <v/>
      </c>
    </row>
    <row r="25">
      <c r="A25" s="10" t="inlineStr">
        <is>
          <t>Tahmin aralığı (tasarruf)</t>
        </is>
      </c>
      <c r="B25" s="26">
        <f>MOTOR!G48</f>
        <v/>
      </c>
      <c r="C25" s="26">
        <f>IFERROR(MOTOR!G26,0)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2" t="n">
        <v>1</v>
      </c>
      <c r="B28" s="26">
        <f>D6</f>
        <v/>
      </c>
      <c r="D28" s="29" t="n">
        <v>1402500</v>
      </c>
    </row>
    <row r="29">
      <c r="A29" s="52" t="n">
        <v>2</v>
      </c>
      <c r="B29" s="26">
        <f>D7</f>
        <v/>
      </c>
      <c r="D29" s="29" t="n">
        <v>1275000</v>
      </c>
    </row>
    <row r="30">
      <c r="A30" s="52" t="n">
        <v>3</v>
      </c>
      <c r="B30" s="26">
        <f>D8</f>
        <v/>
      </c>
      <c r="D30" s="29" t="n">
        <v>1083750</v>
      </c>
    </row>
    <row r="31">
      <c r="A31" s="52" t="n">
        <v>4</v>
      </c>
      <c r="B31" s="26">
        <f>D9</f>
        <v/>
      </c>
      <c r="D31" s="29" t="n">
        <v>1147500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ISNUMBER(SEARCH("UYGULAMA",E6))</formula>
    </cfRule>
    <cfRule type="expression" priority="4" dxfId="3">
      <formula>AND(ISNUMBER(SEARCH("UYGULA",E6)),NOT(ISNUMBER(SEARCH("UYGULAMA",E6))))</formula>
    </cfRule>
    <cfRule type="expression" priority="5" dxfId="4">
      <formula>ISNUMBER(SEARCH("İNCELE",E6))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Üretim Kârı %12,5 KV Optimizasyonu</t>
        </is>
      </c>
    </row>
    <row r="3">
      <c r="A3" s="43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Matrah × indirimli oran</t>
        </is>
      </c>
      <c r="C6" s="7" t="inlineStr">
        <is>
          <t>matrah=vaka_matrah_1; oran=UKV-001(2026)</t>
        </is>
      </c>
      <c r="D6" s="53" t="n">
        <v>125000</v>
      </c>
      <c r="E6" s="26">
        <f>IFERROR(ROUND(vaka_matrah_1*INDEX(tblKurallar[deger_2026],MATCH("UKV-001",tblKurallar[kural_id],0)),2),0)</f>
        <v/>
      </c>
      <c r="F6" s="54">
        <f>IF($A6="","",IFERROR($D6-$E6,0))</f>
        <v/>
      </c>
      <c r="G6" s="55">
        <f>IF($A6="","",IFERROR(IF(ABS($F6)&lt;=ukv_tolerans,"TUTARLI","KIRIK"),"KIRIK"))</f>
        <v/>
      </c>
      <c r="H6" s="7" t="inlineStr">
        <is>
          <t>KVK md.32 indirimli</t>
        </is>
      </c>
      <c r="J6" s="29" t="n">
        <v>125000</v>
      </c>
      <c r="K6" s="29" t="n">
        <v>125000</v>
      </c>
    </row>
    <row r="7">
      <c r="A7" s="7" t="inlineStr">
        <is>
          <t>V-002</t>
        </is>
      </c>
      <c r="B7" s="7" t="inlineStr">
        <is>
          <t>Matrah × standart oran</t>
        </is>
      </c>
      <c r="C7" s="7" t="inlineStr">
        <is>
          <t>matrah=vaka_matrah_1; oran=UKV-002</t>
        </is>
      </c>
      <c r="D7" s="53" t="n">
        <v>250000</v>
      </c>
      <c r="E7" s="26">
        <f>IFERROR(ROUND(vaka_matrah_1*INDEX(tblKurallar[deger_2025],MATCH("UKV-002",tblKurallar[kural_id],0)),2),0)</f>
        <v/>
      </c>
      <c r="F7" s="54">
        <f>IF($A7="","",IFERROR($D7-$E7,0))</f>
        <v/>
      </c>
      <c r="G7" s="55">
        <f>IF($A7="","",IFERROR(IF(ABS($F7)&lt;=ukv_tolerans,"TUTARLI","KIRIK"),"KIRIK"))</f>
        <v/>
      </c>
      <c r="H7" s="7" t="inlineStr">
        <is>
          <t>KVK md.32 standart</t>
        </is>
      </c>
      <c r="J7" s="29" t="n">
        <v>250000</v>
      </c>
      <c r="K7" s="29" t="n">
        <v>250000</v>
      </c>
    </row>
    <row r="8">
      <c r="A8" s="7" t="inlineStr">
        <is>
          <t>V-003</t>
        </is>
      </c>
      <c r="B8" s="7" t="inlineStr">
        <is>
          <t>Tasarruf = standart − indirimli</t>
        </is>
      </c>
      <c r="C8" s="7" t="inlineStr">
        <is>
          <t>V-002 − V-001</t>
        </is>
      </c>
      <c r="D8" s="53" t="n">
        <v>125000</v>
      </c>
      <c r="E8" s="26">
        <f>IFERROR(ROUND(vaka_matrah_1*INDEX(tblKurallar[deger_2025],MATCH("UKV-002",tblKurallar[kural_id],0))-vaka_matrah_1*INDEX(tblKurallar[deger_2026],MATCH("UKV-001",tblKurallar[kural_id],0)),2),0)</f>
        <v/>
      </c>
      <c r="F8" s="54">
        <f>IF($A8="","",IFERROR($D8-$E8,0))</f>
        <v/>
      </c>
      <c r="G8" s="55">
        <f>IF($A8="","",IFERROR(IF(ABS($F8)&lt;=ukv_tolerans,"TUTARLI","KIRIK"),"KIRIK"))</f>
        <v/>
      </c>
      <c r="H8" s="7" t="inlineStr">
        <is>
          <t>Tasarruf farkı</t>
        </is>
      </c>
      <c r="J8" s="29" t="n">
        <v>125000</v>
      </c>
      <c r="K8" s="29" t="n">
        <v>125000</v>
      </c>
    </row>
    <row r="9">
      <c r="A9" s="7" t="inlineStr">
        <is>
          <t>V-004</t>
        </is>
      </c>
      <c r="B9" s="7" t="inlineStr">
        <is>
          <t>Küçük matrah × indirimli</t>
        </is>
      </c>
      <c r="C9" s="7" t="inlineStr">
        <is>
          <t>matrah=vaka_matrah_2; oran=UKV-001(2026)</t>
        </is>
      </c>
      <c r="D9" s="53" t="n">
        <v>25000</v>
      </c>
      <c r="E9" s="26">
        <f>IFERROR(ROUND(vaka_matrah_2*INDEX(tblKurallar[deger_2026],MATCH("UKV-001",tblKurallar[kural_id],0)),2),0)</f>
        <v/>
      </c>
      <c r="F9" s="54">
        <f>IF($A9="","",IFERROR($D9-$E9,0))</f>
        <v/>
      </c>
      <c r="G9" s="55">
        <f>IF($A9="","",IFERROR(IF(ABS($F9)&lt;=ukv_tolerans,"TUTARLI","KIRIK"),"KIRIK"))</f>
        <v/>
      </c>
      <c r="H9" s="7" t="inlineStr">
        <is>
          <t>UKV-001 küçük matrah</t>
        </is>
      </c>
      <c r="J9" s="29" t="n">
        <v>25000</v>
      </c>
      <c r="K9" s="29" t="n">
        <v>25000</v>
      </c>
    </row>
    <row r="12">
      <c r="A12" s="10" t="inlineStr">
        <is>
          <t>Vaka durum özeti</t>
        </is>
      </c>
      <c r="B12" s="56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Üretim Kârı %12,5 KV Optimizasyonu</t>
        </is>
      </c>
    </row>
    <row r="3">
      <c r="A3" s="57" t="inlineStr">
        <is>
          <t>KANIT RAPORU — Üretim Kârı %12,5 KV</t>
        </is>
      </c>
    </row>
    <row r="4">
      <c r="A4" s="7" t="inlineStr">
        <is>
          <t>Rapor tarihi</t>
        </is>
      </c>
      <c r="B4" s="58">
        <f>raporTarihi</f>
        <v/>
      </c>
    </row>
    <row r="5">
      <c r="A5" s="7" t="inlineStr">
        <is>
          <t>Şirket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Üretim hasılatı</t>
        </is>
      </c>
      <c r="B9" s="26">
        <f>GIRDI!B9</f>
        <v/>
      </c>
    </row>
    <row r="10">
      <c r="A10" s="7" t="inlineStr">
        <is>
          <t>Üretim maliyeti</t>
        </is>
      </c>
      <c r="B10" s="26">
        <f>GIRDI!B10</f>
        <v/>
      </c>
    </row>
    <row r="11">
      <c r="A11" s="7" t="inlineStr">
        <is>
          <t>Genel yönetim payı</t>
        </is>
      </c>
      <c r="B11" s="26">
        <f>GIRDI!B11</f>
        <v/>
      </c>
    </row>
    <row r="12">
      <c r="A12" s="7" t="inlineStr">
        <is>
          <t>Finansman gider payı</t>
        </is>
      </c>
      <c r="B12" s="26">
        <f>GIRDI!B12</f>
        <v/>
      </c>
    </row>
    <row r="13">
      <c r="A13" s="7" t="inlineStr">
        <is>
          <t>Diğer faaliyet kârı</t>
        </is>
      </c>
      <c r="B13" s="26">
        <f>GIRDI!B13</f>
        <v/>
      </c>
    </row>
    <row r="14">
      <c r="A14" s="7" t="inlineStr">
        <is>
          <t>İstisna tutarı</t>
        </is>
      </c>
      <c r="B14" s="26">
        <f>GIRDI!B14</f>
        <v/>
      </c>
    </row>
    <row r="16">
      <c r="A16" s="5" t="inlineStr">
        <is>
          <t>Hesap zinciri</t>
        </is>
      </c>
    </row>
    <row r="17">
      <c r="A17" s="7" t="inlineStr">
        <is>
          <t>Matrah</t>
        </is>
      </c>
      <c r="B17" s="35">
        <f>ukv_matrah</f>
        <v/>
      </c>
    </row>
    <row r="18">
      <c r="A18" s="7" t="inlineStr">
        <is>
          <t>Standart KV</t>
        </is>
      </c>
      <c r="B18" s="26">
        <f>MOTOR!G24</f>
        <v/>
      </c>
    </row>
    <row r="19">
      <c r="A19" s="7" t="inlineStr">
        <is>
          <t>İndirimli KV</t>
        </is>
      </c>
      <c r="B19" s="26">
        <f>MOTOR!G25</f>
        <v/>
      </c>
    </row>
    <row r="20">
      <c r="A20" s="7" t="inlineStr">
        <is>
          <t>Tasarruf</t>
        </is>
      </c>
      <c r="B20" s="35">
        <f>ukv_tasarruf</f>
        <v/>
      </c>
    </row>
    <row r="21">
      <c r="A21" s="10" t="inlineStr">
        <is>
          <t>KARAR</t>
        </is>
      </c>
      <c r="B21" s="59">
        <f>ukv_kararMetni</f>
        <v/>
      </c>
    </row>
    <row r="22">
      <c r="A22" s="7" t="inlineStr">
        <is>
          <t>Gerekçe</t>
        </is>
      </c>
      <c r="B22" s="21">
        <f>ukv_kararGerekce</f>
        <v/>
      </c>
    </row>
    <row r="24">
      <c r="A24" s="10" t="inlineStr">
        <is>
          <t>Madde atıfları</t>
        </is>
      </c>
      <c r="B24" s="21">
        <f>ukv_maddeAtifMetni</f>
        <v/>
      </c>
    </row>
    <row r="26">
      <c r="A26" s="10" t="inlineStr">
        <is>
          <t>Kanıt gövdesi</t>
        </is>
      </c>
      <c r="B26" s="21">
        <f>ukv_kanitRaporu</f>
        <v/>
      </c>
    </row>
    <row r="28">
      <c r="A28" s="7" t="inlineStr">
        <is>
          <t>Parmak izi (SHA-256 kısaltma)</t>
        </is>
      </c>
      <c r="B28" s="28">
        <f>ukv_parmakIzi</f>
        <v/>
      </c>
    </row>
    <row r="30">
      <c r="A30" s="7" t="inlineStr">
        <is>
          <t>Hazırlayan (imza)</t>
        </is>
      </c>
      <c r="B30" s="60" t="inlineStr"/>
    </row>
    <row r="31">
      <c r="A31" s="7" t="inlineStr">
        <is>
          <t>Onaylayan (imza)</t>
        </is>
      </c>
      <c r="B31" s="60" t="inlineStr"/>
    </row>
    <row r="33">
      <c r="A33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33:F33"/>
    <mergeCell ref="B24:F24"/>
    <mergeCell ref="A1:L1"/>
    <mergeCell ref="B22:F22"/>
    <mergeCell ref="A3:F3"/>
    <mergeCell ref="B26:F26"/>
  </mergeCells>
  <conditionalFormatting sqref="B21">
    <cfRule type="expression" priority="1" dxfId="0">
      <formula>ISNUMBER(SEARCH("UYGULAMA",B21))</formula>
    </cfRule>
    <cfRule type="expression" priority="2" dxfId="1">
      <formula>AND(ISNUMBER(SEARCH("UYGULA",B21)),NOT(ISNUMBER(SEARCH("UYGULAMA",B21))))</formula>
    </cfRule>
    <cfRule type="expression" priority="3" dxfId="2">
      <formula>ISNUMBER(SEARCH("İNCELE",B21))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&amp;LÜretim Kârı %12,5 KV Optimizasyonu · 1.0.0&amp;CExcelArşiv&amp;RSayfa &amp;P / &amp;N</oddFooter>
    <evenHeader/>
    <evenFooter>&amp;LÜretim Kârı %12,5 KV Optimizasyonu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Üretim Kârı %12,5 KV Optimizasyonu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hasılat?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IFERROR(IF(AND(N(hesapYili)&gt;N(ukv_yilTaban),N(hesapYili)&lt;=N(ukv_yilTaban)+3),"TEMİZ","HATALI"),"HATALI")</f>
        <v/>
      </c>
    </row>
    <row r="8">
      <c r="A8" s="7" t="inlineStr">
        <is>
          <t>Matrah sıfır mı?</t>
        </is>
      </c>
      <c r="B8" s="27">
        <f>IF(IFERROR(MOTOR!G23,0)=0,"SIFIR","NORMAL")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Tasarruf eşiği aşıyor mu?</t>
        </is>
      </c>
      <c r="B10" s="27">
        <f>IF(IFERROR(MOTOR!G26,0)&gt;ukv_kacirilanEsik+N(GIRDI!B9)*ukv_sifirCarpan,"AŞIYOR","NORMAL")</f>
        <v/>
      </c>
    </row>
    <row r="11">
      <c r="A11" s="7" t="inlineStr">
        <is>
          <t>Yorum A/B seçili mi?</t>
        </is>
      </c>
      <c r="B11" s="27">
        <f>IF(OR(GIRDI!B15="A",GIRDI!B15="B"),"TEMİZ","EKSİK")</f>
        <v/>
      </c>
    </row>
    <row r="12">
      <c r="A12" s="10" t="inlineStr">
        <is>
          <t>Kalite skoru (modül)</t>
        </is>
      </c>
      <c r="B12" s="61">
        <f>IFERROR(ROUND(IF(OR(B14=0,B14=""),0,B15/B14*100),0),0)</f>
        <v/>
      </c>
    </row>
    <row r="14">
      <c r="A14" s="7" t="inlineStr">
        <is>
          <t>Toplam giriş alanı</t>
        </is>
      </c>
      <c r="B14" s="36">
        <f>IFERROR(ukv_girisBeklenen+COUNTA(GIRDI!B6:B15)*0,0)</f>
        <v/>
      </c>
    </row>
    <row r="15">
      <c r="A15" s="7" t="inlineStr">
        <is>
          <t>Dolu giriş</t>
        </is>
      </c>
      <c r="B15" s="36">
        <f>COUNTA(GIRDI!B6:B15)</f>
        <v/>
      </c>
    </row>
    <row r="17">
      <c r="A17" s="7" t="inlineStr">
        <is>
          <t>Matrah kontrol</t>
        </is>
      </c>
      <c r="B17" s="26">
        <f>IFERROR(ukv_matrah,0)</f>
        <v/>
      </c>
    </row>
    <row r="18">
      <c r="A18" s="7" t="inlineStr">
        <is>
          <t>Tasarruf kontrol</t>
        </is>
      </c>
      <c r="B18" s="26">
        <f>IFERROR(ukv_tasarruf,0)</f>
        <v/>
      </c>
    </row>
    <row r="19">
      <c r="A19" s="7" t="inlineStr">
        <is>
          <t>Karar kontrol</t>
        </is>
      </c>
      <c r="B19" s="27">
        <f>IFERROR(ukv_kararMetni,"-")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Üretim Kârı %12,5 KV Optimizasyonu</t>
        </is>
      </c>
    </row>
    <row r="3">
      <c r="A3" s="43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Hasılat</t>
        </is>
      </c>
      <c r="C5" s="22" t="inlineStr">
        <is>
          <t>Maliyet</t>
        </is>
      </c>
      <c r="D5" s="22" t="inlineStr">
        <is>
          <t>GY Payı</t>
        </is>
      </c>
      <c r="E5" s="22" t="inlineStr">
        <is>
          <t>FG Payı</t>
        </is>
      </c>
      <c r="F5" s="22" t="inlineStr">
        <is>
          <t>Diğer</t>
        </is>
      </c>
      <c r="G5" s="22" t="inlineStr">
        <is>
          <t>İstisna</t>
        </is>
      </c>
      <c r="H5" s="22" t="inlineStr">
        <is>
          <t>Yıl</t>
        </is>
      </c>
      <c r="I5" s="22" t="inlineStr">
        <is>
          <t>Üretim Kârı</t>
        </is>
      </c>
      <c r="L5" s="51" t="inlineStr">
        <is>
          <t>KarDemo</t>
        </is>
      </c>
    </row>
    <row r="6">
      <c r="A6" s="37" t="inlineStr">
        <is>
          <t>Demo ana</t>
        </is>
      </c>
      <c r="B6" s="40" t="n">
        <v>40000000</v>
      </c>
      <c r="C6" s="40" t="n">
        <v>28000000</v>
      </c>
      <c r="D6" s="40" t="n">
        <v>1500000</v>
      </c>
      <c r="E6" s="40" t="n">
        <v>500000</v>
      </c>
      <c r="F6" s="40" t="n">
        <v>200000</v>
      </c>
      <c r="G6" s="40" t="n">
        <v>0</v>
      </c>
      <c r="H6" s="39" t="n">
        <v>2026</v>
      </c>
      <c r="I6" s="38">
        <f>IF($A6="","",IFERROR($B6-$C6-$D6-$E6,0))</f>
        <v/>
      </c>
      <c r="L6" s="29" t="n">
        <v>10000000</v>
      </c>
    </row>
    <row r="7">
      <c r="A7" s="37" t="inlineStr">
        <is>
          <t>Yüksek marj</t>
        </is>
      </c>
      <c r="B7" s="40" t="n">
        <v>50000000</v>
      </c>
      <c r="C7" s="40" t="n">
        <v>30000000</v>
      </c>
      <c r="D7" s="40" t="n">
        <v>1000000</v>
      </c>
      <c r="E7" s="40" t="n">
        <v>400000</v>
      </c>
      <c r="F7" s="40" t="n">
        <v>0</v>
      </c>
      <c r="G7" s="40" t="n">
        <v>0</v>
      </c>
      <c r="H7" s="39" t="n">
        <v>2026</v>
      </c>
      <c r="I7" s="38">
        <f>IF($A7="","",IFERROR($B7-$C7-$D7-$E7,0))</f>
        <v/>
      </c>
      <c r="L7" s="29" t="n">
        <v>18600000</v>
      </c>
    </row>
    <row r="8">
      <c r="A8" s="37" t="inlineStr">
        <is>
          <t>Düşük tasarruf</t>
        </is>
      </c>
      <c r="B8" s="40" t="n">
        <v>12000000</v>
      </c>
      <c r="C8" s="40" t="n">
        <v>10500000</v>
      </c>
      <c r="D8" s="40" t="n">
        <v>800000</v>
      </c>
      <c r="E8" s="40" t="n">
        <v>300000</v>
      </c>
      <c r="F8" s="40" t="n">
        <v>0</v>
      </c>
      <c r="G8" s="40" t="n">
        <v>0</v>
      </c>
      <c r="H8" s="39" t="n">
        <v>2026</v>
      </c>
      <c r="I8" s="38">
        <f>IF($A8="","",IFERROR($B8-$C8-$D8-$E8,0))</f>
        <v/>
      </c>
      <c r="L8" s="29" t="n">
        <v>400000</v>
      </c>
    </row>
    <row r="9">
      <c r="A9" s="37" t="inlineStr">
        <is>
          <t>2025 geçiş oranı</t>
        </is>
      </c>
      <c r="B9" s="40" t="n">
        <v>40000000</v>
      </c>
      <c r="C9" s="40" t="n">
        <v>28000000</v>
      </c>
      <c r="D9" s="40" t="n">
        <v>1500000</v>
      </c>
      <c r="E9" s="40" t="n">
        <v>500000</v>
      </c>
      <c r="F9" s="40" t="n">
        <v>200000</v>
      </c>
      <c r="G9" s="40" t="n">
        <v>0</v>
      </c>
      <c r="H9" s="39" t="n">
        <v>2025</v>
      </c>
      <c r="I9" s="38">
        <f>IF($A9="","",IFERROR($B9-$C9-$D9-$E9,0))</f>
        <v/>
      </c>
      <c r="L9" s="29" t="n">
        <v>10000000</v>
      </c>
    </row>
    <row r="10">
      <c r="A10" s="37" t="inlineStr">
        <is>
          <t>İstisna yoğun</t>
        </is>
      </c>
      <c r="B10" s="40" t="n">
        <v>40000000</v>
      </c>
      <c r="C10" s="40" t="n">
        <v>28000000</v>
      </c>
      <c r="D10" s="40" t="n">
        <v>1500000</v>
      </c>
      <c r="E10" s="40" t="n">
        <v>500000</v>
      </c>
      <c r="F10" s="40" t="n">
        <v>200000</v>
      </c>
      <c r="G10" s="40" t="n">
        <v>5000000</v>
      </c>
      <c r="H10" s="39" t="n">
        <v>2026</v>
      </c>
      <c r="I10" s="38">
        <f>IF($A10="","",IFERROR($B10-$C10-$D10-$E10,0))</f>
        <v/>
      </c>
      <c r="L10" s="29" t="n">
        <v>10000000</v>
      </c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8">
        <f>IF($A11="","",IFERROR($B11-$C11-$D11-$E11,0))</f>
        <v/>
      </c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8">
        <f>IF($A12="","",IFERROR($B12-$C12-$D12-$E12,0))</f>
        <v/>
      </c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8">
        <f>IF($A13="","",IFERROR($B13-$C13-$D13-$E13,0))</f>
        <v/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8">
        <f>IF($A14="","",IFERROR($B14-$C14-$D14-$E14,0))</f>
        <v/>
      </c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8">
        <f>IF($A15="","",IFERROR($B15-$C15-$D15-$E15,0))</f>
        <v/>
      </c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8">
        <f>IF($A16="","",IFERROR($B16-$C16-$D16-$E16,0))</f>
        <v/>
      </c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8">
        <f>IF($A17="","",IFERROR($B17-$C17-$D17-$E17,0))</f>
        <v/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8">
        <f>IF($A18="","",IFERROR($B18-$C18-$D18-$E18,0))</f>
        <v/>
      </c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8">
        <f>IF($A19="","",IFERROR($B19-$C19-$D19-$E19,0))</f>
        <v/>
      </c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8">
        <f>IF($A20="","",IFERROR($B20-$C20-$D20-$E20,0))</f>
        <v/>
      </c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8">
        <f>IF($A21="","",IFERROR($B21-$C21-$D21-$E21,0))</f>
        <v/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8">
        <f>IF($A22="","",IFERROR($B22-$C22-$D22-$E22,0))</f>
        <v/>
      </c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8">
        <f>IF($A23="","",IFERROR($B23-$C23-$D23-$E23,0))</f>
        <v/>
      </c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8">
        <f>IF($A24="","",IFERROR($B24-$C24-$D24-$E24,0))</f>
        <v/>
      </c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8">
        <f>IF($A25="","",IFERROR($B25-$C25-$D25-$E25,0))</f>
        <v/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8">
        <f>IF($A26="","",IFERROR($B26-$C26-$D26-$E26,0))</f>
        <v/>
      </c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8">
        <f>IF($A27="","",IFERROR($B27-$C27-$D27-$E27,0))</f>
        <v/>
      </c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8">
        <f>IF($A28="","",IFERROR($B28-$C28-$D28-$E28,0))</f>
        <v/>
      </c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8">
        <f>IF($A29="","",IFERROR($B29-$C29-$D29-$E29,0))</f>
        <v/>
      </c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8">
        <f>IF($A30="","",IFERROR($B30-$C30-$D30-$E30,0))</f>
        <v/>
      </c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8">
        <f>IF($A31="","",IFERROR($B31-$C31-$D31-$E31,0))</f>
        <v/>
      </c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8">
        <f>IF($A32="","",IFERROR($B32-$C32-$D32-$E32,0))</f>
        <v/>
      </c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8">
        <f>IF($A33="","",IFERROR($B33-$C33-$D33-$E33,0))</f>
        <v/>
      </c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8">
        <f>IF($A34="","",IFERROR($B34-$C34-$D34-$E34,0))</f>
        <v/>
      </c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8">
        <f>IF($A35="","",IFERROR($B35-$C35-$D35-$E35,0))</f>
        <v/>
      </c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8">
        <f>IF($A36="","",IFERROR($B36-$C36-$D36-$E36,0))</f>
        <v/>
      </c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8">
        <f>IF($A37="","",IFERROR($B37-$C37-$D37-$E37,0))</f>
        <v/>
      </c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8">
        <f>IF($A38="","",IFERROR($B38-$C38-$D38-$E38,0))</f>
        <v/>
      </c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8">
        <f>IF($A39="","",IFERROR($B39-$C39-$D39-$E39,0))</f>
        <v/>
      </c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8">
        <f>IF($A40="","",IFERROR($B40-$C40-$D40-$E40,0))</f>
        <v/>
      </c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8">
        <f>IF($A41="","",IFERROR($B41-$C41-$D41-$E41,0))</f>
        <v/>
      </c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8">
        <f>IF($A42="","",IFERROR($B42-$C42-$D42-$E42,0))</f>
        <v/>
      </c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8">
        <f>IF($A43="","",IFERROR($B43-$C43-$D43-$E43,0))</f>
        <v/>
      </c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8">
        <f>IF($A44="","",IFERROR($B44-$C44-$D44-$E44,0))</f>
        <v/>
      </c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8">
        <f>IF($A45="","",IFERROR($B45-$C45-$D45-$E45,0))</f>
        <v/>
      </c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8">
        <f>IF($A46="","",IFERROR($B46-$C46-$D46-$E46,0))</f>
        <v/>
      </c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8">
        <f>IF($A47="","",IFERROR($B47-$C47-$D47-$E47,0))</f>
        <v/>
      </c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8">
        <f>IF($A48="","",IFERROR($B48-$C48-$D48-$E48,0))</f>
        <v/>
      </c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8">
        <f>IF($A49="","",IFERROR($B49-$C49-$D49-$E49,0))</f>
        <v/>
      </c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8">
        <f>IF($A50="","",IFERROR($B50-$C50-$D50-$E50,0))</f>
        <v/>
      </c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8">
        <f>IF($A51="","",IFERROR($B51-$C51-$D51-$E51,0))</f>
        <v/>
      </c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8">
        <f>IF($A52="","",IFERROR($B52-$C52-$D52-$E52,0))</f>
        <v/>
      </c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8">
        <f>IF($A53="","",IFERROR($B53-$C53-$D53-$E53,0))</f>
        <v/>
      </c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8">
        <f>IF($A54="","",IFERROR($B54-$C54-$D54-$E54,0))</f>
        <v/>
      </c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8">
        <f>IF($A55="","",IFERROR($B55-$C55-$D55-$E55,0))</f>
        <v/>
      </c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8">
        <f>IF($A56="","",IFERROR($B56-$C56-$D56-$E56,0))</f>
        <v/>
      </c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8">
        <f>IF($A57="","",IFERROR($B57-$C57-$D57-$E57,0))</f>
        <v/>
      </c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8">
        <f>IF($A58="","",IFERROR($B58-$C58-$D58-$E58,0))</f>
        <v/>
      </c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8">
        <f>IF($A59="","",IFERROR($B59-$C59-$D59-$E59,0))</f>
        <v/>
      </c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8">
        <f>IF($A60="","",IFERROR($B60-$C60-$D60-$E60,0))</f>
        <v/>
      </c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8">
        <f>IF($A61="","",IFERROR($B61-$C61-$D61-$E61,0))</f>
        <v/>
      </c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8">
        <f>IF($A62="","",IFERROR($B62-$C62-$D62-$E62,0))</f>
        <v/>
      </c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8">
        <f>IF($A63="","",IFERROR($B63-$C63-$D63-$E63,0))</f>
        <v/>
      </c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8">
        <f>IF($A64="","",IFERROR($B64-$C64-$D64-$E64,0))</f>
        <v/>
      </c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8">
        <f>IF($A65="","",IFERROR($B65-$C65-$D65-$E65,0))</f>
        <v/>
      </c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8">
        <f>IF($A66="","",IFERROR($B66-$C66-$D66-$E66,0))</f>
        <v/>
      </c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8">
        <f>IF($A67="","",IFERROR($B67-$C67-$D67-$E67,0))</f>
        <v/>
      </c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8">
        <f>IF($A68="","",IFERROR($B68-$C68-$D68-$E68,0))</f>
        <v/>
      </c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8">
        <f>IF($A69="","",IFERROR($B69-$C69-$D69-$E69,0))</f>
        <v/>
      </c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8">
        <f>IF($A70="","",IFERROR($B70-$C70-$D70-$E70,0))</f>
        <v/>
      </c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8">
        <f>IF($A71="","",IFERROR($B71-$C71-$D71-$E71,0))</f>
        <v/>
      </c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8">
        <f>IF($A72="","",IFERROR($B72-$C72-$D72-$E72,0))</f>
        <v/>
      </c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8">
        <f>IF($A73="","",IFERROR($B73-$C73-$D73-$E73,0))</f>
        <v/>
      </c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8">
        <f>IF($A74="","",IFERROR($B74-$C74-$D74-$E74,0))</f>
        <v/>
      </c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8">
        <f>IF($A75="","",IFERROR($B75-$C75-$D75-$E75,0))</f>
        <v/>
      </c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8">
        <f>IF($A76="","",IFERROR($B76-$C76-$D76-$E76,0))</f>
        <v/>
      </c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8">
        <f>IF($A77="","",IFERROR($B77-$C77-$D77-$E77,0))</f>
        <v/>
      </c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8">
        <f>IF($A78="","",IFERROR($B78-$C78-$D78-$E78,0))</f>
        <v/>
      </c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8">
        <f>IF($A79="","",IFERROR($B79-$C79-$D79-$E79,0))</f>
        <v/>
      </c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8">
        <f>IF($A80="","",IFERROR($B80-$C80-$D80-$E80,0))</f>
        <v/>
      </c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8">
        <f>IF($A81="","",IFERROR($B81-$C81-$D81-$E81,0))</f>
        <v/>
      </c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8">
        <f>IF($A82="","",IFERROR($B82-$C82-$D82-$E82,0))</f>
        <v/>
      </c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8">
        <f>IF($A83="","",IFERROR($B83-$C83-$D83-$E83,0))</f>
        <v/>
      </c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8">
        <f>IF($A84="","",IFERROR($B84-$C84-$D84-$E84,0))</f>
        <v/>
      </c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8">
        <f>IF($A85="","",IFERROR($B85-$C85-$D85-$E85,0))</f>
        <v/>
      </c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8">
        <f>IF($A86="","",IFERROR($B86-$C86-$D86-$E86,0))</f>
        <v/>
      </c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8">
        <f>IF($A87="","",IFERROR($B87-$C87-$D87-$E87,0))</f>
        <v/>
      </c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8">
        <f>IF($A88="","",IFERROR($B88-$C88-$D88-$E88,0))</f>
        <v/>
      </c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8">
        <f>IF($A89="","",IFERROR($B89-$C89-$D89-$E89,0))</f>
        <v/>
      </c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8">
        <f>IF($A90="","",IFERROR($B90-$C90-$D90-$E90,0))</f>
        <v/>
      </c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8">
        <f>IF($A91="","",IFERROR($B91-$C91-$D91-$E91,0))</f>
        <v/>
      </c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8">
        <f>IF($A92="","",IFERROR($B92-$C92-$D92-$E92,0))</f>
        <v/>
      </c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8">
        <f>IF($A93="","",IFERROR($B93-$C93-$D93-$E93,0))</f>
        <v/>
      </c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8">
        <f>IF($A94="","",IFERROR($B94-$C94-$D94-$E94,0))</f>
        <v/>
      </c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8">
        <f>IF($A95="","",IFERROR($B95-$C95-$D95-$E95,0))</f>
        <v/>
      </c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8">
        <f>IF($A96="","",IFERROR($B96-$C96-$D96-$E96,0))</f>
        <v/>
      </c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8">
        <f>IF($A97="","",IFERROR($B97-$C97-$D97-$E97,0))</f>
        <v/>
      </c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8">
        <f>IF($A98="","",IFERROR($B98-$C98-$D98-$E98,0))</f>
        <v/>
      </c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8">
        <f>IF($A99="","",IFERROR($B99-$C99-$D99-$E99,0))</f>
        <v/>
      </c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8">
        <f>IF($A100="","",IFERROR($B100-$C100-$D100-$E100,0))</f>
        <v/>
      </c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8">
        <f>IF($A101="","",IFERROR($B101-$C101-$D101-$E101,0))</f>
        <v/>
      </c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8">
        <f>IF($A102="","",IFERROR($B102-$C102-$D102-$E102,0))</f>
        <v/>
      </c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8">
        <f>IF($A103="","",IFERROR($B103-$C103-$D103-$E103,0))</f>
        <v/>
      </c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8">
        <f>IF($A104="","",IFERROR($B104-$C104-$D104-$E104,0))</f>
        <v/>
      </c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8">
        <f>IF($A105="","",IFERROR($B105-$C105-$D105-$E105,0))</f>
        <v/>
      </c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8">
        <f>IF($A106="","",IFERROR($B106-$C106-$D106-$E106,0))</f>
        <v/>
      </c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8">
        <f>IF($A107="","",IFERROR($B107-$C107-$D107-$E107,0))</f>
        <v/>
      </c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8">
        <f>IF($A108="","",IFERROR($B108-$C108-$D108-$E108,0))</f>
        <v/>
      </c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8">
        <f>IF($A109="","",IFERROR($B109-$C109-$D109-$E109,0))</f>
        <v/>
      </c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8">
        <f>IF($A110="","",IFERROR($B110-$C110-$D110-$E110,0))</f>
        <v/>
      </c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8">
        <f>IF($A111="","",IFERROR($B111-$C111-$D111-$E111,0))</f>
        <v/>
      </c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8">
        <f>IF($A112="","",IFERROR($B112-$C112-$D112-$E112,0))</f>
        <v/>
      </c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8">
        <f>IF($A113="","",IFERROR($B113-$C113-$D113-$E113,0))</f>
        <v/>
      </c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8">
        <f>IF($A114="","",IFERROR($B114-$C114-$D114-$E114,0))</f>
        <v/>
      </c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8">
        <f>IF($A115="","",IFERROR($B115-$C115-$D115-$E115,0))</f>
        <v/>
      </c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8">
        <f>IF($A116="","",IFERROR($B116-$C116-$D116-$E116,0))</f>
        <v/>
      </c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8">
        <f>IF($A117="","",IFERROR($B117-$C117-$D117-$E117,0))</f>
        <v/>
      </c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8">
        <f>IF($A118="","",IFERROR($B118-$C118-$D118-$E118,0))</f>
        <v/>
      </c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8">
        <f>IF($A119="","",IFERROR($B119-$C119-$D119-$E119,0))</f>
        <v/>
      </c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8">
        <f>IF($A120="","",IFERROR($B120-$C120-$D120-$E120,0))</f>
        <v/>
      </c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8">
        <f>IF($A121="","",IFERROR($B121-$C121-$D121-$E121,0))</f>
        <v/>
      </c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8">
        <f>IF($A122="","",IFERROR($B122-$C122-$D122-$E122,0))</f>
        <v/>
      </c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8">
        <f>IF($A123="","",IFERROR($B123-$C123-$D123-$E123,0))</f>
        <v/>
      </c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8">
        <f>IF($A124="","",IFERROR($B124-$C124-$D124-$E124,0))</f>
        <v/>
      </c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8">
        <f>IF($A125="","",IFERROR($B125-$C125-$D125-$E125,0))</f>
        <v/>
      </c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8">
        <f>IF($A126="","",IFERROR($B126-$C126-$D126-$E126,0))</f>
        <v/>
      </c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8">
        <f>IF($A127="","",IFERROR($B127-$C127-$D127-$E127,0))</f>
        <v/>
      </c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8">
        <f>IF($A128="","",IFERROR($B128-$C128-$D128-$E128,0))</f>
        <v/>
      </c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8">
        <f>IF($A129="","",IFERROR($B129-$C129-$D129-$E129,0))</f>
        <v/>
      </c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8">
        <f>IF($A130="","",IFERROR($B130-$C130-$D130-$E130,0))</f>
        <v/>
      </c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8">
        <f>IF($A131="","",IFERROR($B131-$C131-$D131-$E131,0))</f>
        <v/>
      </c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8">
        <f>IF($A132="","",IFERROR($B132-$C132-$D132-$E132,0))</f>
        <v/>
      </c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8">
        <f>IF($A133="","",IFERROR($B133-$C133-$D133-$E133,0))</f>
        <v/>
      </c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8">
        <f>IF($A134="","",IFERROR($B134-$C134-$D134-$E134,0))</f>
        <v/>
      </c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8">
        <f>IF($A135="","",IFERROR($B135-$C135-$D135-$E135,0))</f>
        <v/>
      </c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8">
        <f>IF($A136="","",IFERROR($B136-$C136-$D136-$E136,0))</f>
        <v/>
      </c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8">
        <f>IF($A137="","",IFERROR($B137-$C137-$D137-$E137,0))</f>
        <v/>
      </c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8">
        <f>IF($A138="","",IFERROR($B138-$C138-$D138-$E138,0))</f>
        <v/>
      </c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8">
        <f>IF($A139="","",IFERROR($B139-$C139-$D139-$E139,0))</f>
        <v/>
      </c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8">
        <f>IF($A140="","",IFERROR($B140-$C140-$D140-$E140,0))</f>
        <v/>
      </c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8">
        <f>IF($A141="","",IFERROR($B141-$C141-$D141-$E141,0))</f>
        <v/>
      </c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8">
        <f>IF($A142="","",IFERROR($B142-$C142-$D142-$E142,0))</f>
        <v/>
      </c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8">
        <f>IF($A143="","",IFERROR($B143-$C143-$D143-$E143,0))</f>
        <v/>
      </c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8">
        <f>IF($A144="","",IFERROR($B144-$C144-$D144-$E144,0))</f>
        <v/>
      </c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8">
        <f>IF($A145="","",IFERROR($B145-$C145-$D145-$E145,0))</f>
        <v/>
      </c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8">
        <f>IF($A146="","",IFERROR($B146-$C146-$D146-$E146,0))</f>
        <v/>
      </c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8">
        <f>IF($A147="","",IFERROR($B147-$C147-$D147-$E147,0))</f>
        <v/>
      </c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8">
        <f>IF($A148="","",IFERROR($B148-$C148-$D148-$E148,0))</f>
        <v/>
      </c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8">
        <f>IF($A149="","",IFERROR($B149-$C149-$D149-$E149,0))</f>
        <v/>
      </c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8">
        <f>IF($A150="","",IFERROR($B150-$C150-$D150-$E150,0))</f>
        <v/>
      </c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8">
        <f>IF($A151="","",IFERROR($B151-$C151-$D151-$E151,0))</f>
        <v/>
      </c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8">
        <f>IF($A152="","",IFERROR($B152-$C152-$D152-$E152,0))</f>
        <v/>
      </c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8">
        <f>IF($A153="","",IFERROR($B153-$C153-$D153-$E153,0))</f>
        <v/>
      </c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8">
        <f>IF($A154="","",IFERROR($B154-$C154-$D154-$E154,0))</f>
        <v/>
      </c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8">
        <f>IF($A155="","",IFERROR($B155-$C155-$D155-$E155,0))</f>
        <v/>
      </c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8">
        <f>IF($A156="","",IFERROR($B156-$C156-$D156-$E156,0))</f>
        <v/>
      </c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8">
        <f>IF($A157="","",IFERROR($B157-$C157-$D157-$E157,0))</f>
        <v/>
      </c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8">
        <f>IF($A158="","",IFERROR($B158-$C158-$D158-$E158,0))</f>
        <v/>
      </c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8">
        <f>IF($A159="","",IFERROR($B159-$C159-$D159-$E159,0))</f>
        <v/>
      </c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8">
        <f>IF($A160="","",IFERROR($B160-$C160-$D160-$E160,0))</f>
        <v/>
      </c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8">
        <f>IF($A161="","",IFERROR($B161-$C161-$D161-$E161,0))</f>
        <v/>
      </c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8">
        <f>IF($A162="","",IFERROR($B162-$C162-$D162-$E162,0))</f>
        <v/>
      </c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8">
        <f>IF($A163="","",IFERROR($B163-$C163-$D163-$E163,0))</f>
        <v/>
      </c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8">
        <f>IF($A164="","",IFERROR($B164-$C164-$D164-$E164,0))</f>
        <v/>
      </c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8">
        <f>IF($A165="","",IFERROR($B165-$C165-$D165-$E165,0))</f>
        <v/>
      </c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8">
        <f>IF($A166="","",IFERROR($B166-$C166-$D166-$E166,0))</f>
        <v/>
      </c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8">
        <f>IF($A167="","",IFERROR($B167-$C167-$D167-$E167,0))</f>
        <v/>
      </c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8">
        <f>IF($A168="","",IFERROR($B168-$C168-$D168-$E168,0))</f>
        <v/>
      </c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8">
        <f>IF($A169="","",IFERROR($B169-$C169-$D169-$E169,0))</f>
        <v/>
      </c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8">
        <f>IF($A170="","",IFERROR($B170-$C170-$D170-$E170,0))</f>
        <v/>
      </c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8">
        <f>IF($A171="","",IFERROR($B171-$C171-$D171-$E171,0))</f>
        <v/>
      </c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8">
        <f>IF($A172="","",IFERROR($B172-$C172-$D172-$E172,0))</f>
        <v/>
      </c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8">
        <f>IF($A173="","",IFERROR($B173-$C173-$D173-$E173,0))</f>
        <v/>
      </c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8">
        <f>IF($A174="","",IFERROR($B174-$C174-$D174-$E174,0))</f>
        <v/>
      </c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8">
        <f>IF($A175="","",IFERROR($B175-$C175-$D175-$E175,0))</f>
        <v/>
      </c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8">
        <f>IF($A176="","",IFERROR($B176-$C176-$D176-$E176,0))</f>
        <v/>
      </c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8">
        <f>IF($A177="","",IFERROR($B177-$C177-$D177-$E177,0))</f>
        <v/>
      </c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8">
        <f>IF($A178="","",IFERROR($B178-$C178-$D178-$E178,0))</f>
        <v/>
      </c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8">
        <f>IF($A179="","",IFERROR($B179-$C179-$D179-$E179,0))</f>
        <v/>
      </c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8">
        <f>IF($A180="","",IFERROR($B180-$C180-$D180-$E180,0))</f>
        <v/>
      </c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8">
        <f>IF($A181="","",IFERROR($B181-$C181-$D181-$E181,0))</f>
        <v/>
      </c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8">
        <f>IF($A182="","",IFERROR($B182-$C182-$D182-$E182,0))</f>
        <v/>
      </c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8">
        <f>IF($A183="","",IFERROR($B183-$C183-$D183-$E183,0))</f>
        <v/>
      </c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8">
        <f>IF($A184="","",IFERROR($B184-$C184-$D184-$E184,0))</f>
        <v/>
      </c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8">
        <f>IF($A185="","",IFERROR($B185-$C185-$D185-$E185,0))</f>
        <v/>
      </c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8">
        <f>IF($A186="","",IFERROR($B186-$C186-$D186-$E186,0))</f>
        <v/>
      </c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8">
        <f>IF($A187="","",IFERROR($B187-$C187-$D187-$E187,0))</f>
        <v/>
      </c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8">
        <f>IF($A188="","",IFERROR($B188-$C188-$D188-$E188,0))</f>
        <v/>
      </c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8">
        <f>IF($A189="","",IFERROR($B189-$C189-$D189-$E189,0))</f>
        <v/>
      </c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8">
        <f>IF($A190="","",IFERROR($B190-$C190-$D190-$E190,0))</f>
        <v/>
      </c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8">
        <f>IF($A191="","",IFERROR($B191-$C191-$D191-$E191,0))</f>
        <v/>
      </c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8">
        <f>IF($A192="","",IFERROR($B192-$C192-$D192-$E192,0))</f>
        <v/>
      </c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8">
        <f>IF($A193="","",IFERROR($B193-$C193-$D193-$E193,0))</f>
        <v/>
      </c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8">
        <f>IF($A194="","",IFERROR($B194-$C194-$D194-$E194,0))</f>
        <v/>
      </c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8">
        <f>IF($A195="","",IFERROR($B195-$C195-$D195-$E195,0))</f>
        <v/>
      </c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8">
        <f>IF($A196="","",IFERROR($B196-$C196-$D196-$E196,0))</f>
        <v/>
      </c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8">
        <f>IF($A197="","",IFERROR($B197-$C197-$D197-$E197,0))</f>
        <v/>
      </c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8">
        <f>IF($A198="","",IFERROR($B198-$C198-$D198-$E198,0))</f>
        <v/>
      </c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8">
        <f>IF($A199="","",IFERROR($B199-$C199-$D199-$E199,0))</f>
        <v/>
      </c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8">
        <f>IF($A200="","",IFERROR($B200-$C200-$D200-$E200,0))</f>
        <v/>
      </c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8">
        <f>IF($A201="","",IFERROR($B201-$C201-$D201-$E201,0))</f>
        <v/>
      </c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8">
        <f>IF($A202="","",IFERROR($B202-$C202-$D202-$E202,0))</f>
        <v/>
      </c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8">
        <f>IF($A203="","",IFERROR($B203-$C203-$D203-$E203,0))</f>
        <v/>
      </c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8">
        <f>IF($A204="","",IFERROR($B204-$C204-$D204-$E204,0))</f>
        <v/>
      </c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8">
        <f>IF($A205="","",IFERROR($B205-$C205-$D205-$E205,0))</f>
        <v/>
      </c>
    </row>
    <row r="206">
      <c r="A206" s="37" t="n"/>
      <c r="B206" s="37" t="n"/>
      <c r="C206" s="37" t="n"/>
      <c r="D206" s="37" t="n"/>
      <c r="E206" s="37" t="n"/>
      <c r="F206" s="37" t="n"/>
      <c r="G206" s="37" t="n"/>
      <c r="H206" s="37" t="n"/>
      <c r="I206" s="38">
        <f>IF($A206="","",IFERROR($B206-$C206-$D206-$E206,0))</f>
        <v/>
      </c>
    </row>
    <row r="207">
      <c r="A207" s="37" t="n"/>
      <c r="B207" s="37" t="n"/>
      <c r="C207" s="37" t="n"/>
      <c r="D207" s="37" t="n"/>
      <c r="E207" s="37" t="n"/>
      <c r="F207" s="37" t="n"/>
      <c r="G207" s="37" t="n"/>
      <c r="H207" s="37" t="n"/>
      <c r="I207" s="38">
        <f>IF($A207="","",IFERROR($B207-$C207-$D207-$E207,0))</f>
        <v/>
      </c>
    </row>
    <row r="208">
      <c r="A208" s="37" t="n"/>
      <c r="B208" s="37" t="n"/>
      <c r="C208" s="37" t="n"/>
      <c r="D208" s="37" t="n"/>
      <c r="E208" s="37" t="n"/>
      <c r="F208" s="37" t="n"/>
      <c r="G208" s="37" t="n"/>
      <c r="H208" s="37" t="n"/>
      <c r="I208" s="38">
        <f>IF($A208="","",IFERROR($B208-$C208-$D208-$E208,0))</f>
        <v/>
      </c>
    </row>
    <row r="209">
      <c r="A209" s="37" t="n"/>
      <c r="B209" s="37" t="n"/>
      <c r="C209" s="37" t="n"/>
      <c r="D209" s="37" t="n"/>
      <c r="E209" s="37" t="n"/>
      <c r="F209" s="37" t="n"/>
      <c r="G209" s="37" t="n"/>
      <c r="H209" s="37" t="n"/>
      <c r="I209" s="38">
        <f>IF($A209="","",IFERROR($B209-$C209-$D209-$E209,0))</f>
        <v/>
      </c>
    </row>
    <row r="210">
      <c r="A210" s="37" t="n"/>
      <c r="B210" s="37" t="n"/>
      <c r="C210" s="37" t="n"/>
      <c r="D210" s="37" t="n"/>
      <c r="E210" s="37" t="n"/>
      <c r="F210" s="37" t="n"/>
      <c r="G210" s="37" t="n"/>
      <c r="H210" s="37" t="n"/>
      <c r="I210" s="38">
        <f>IF($A210="","",IFERROR($B210-$C210-$D210-$E210,0))</f>
        <v/>
      </c>
    </row>
    <row r="211">
      <c r="A211" s="37" t="n"/>
      <c r="B211" s="37" t="n"/>
      <c r="C211" s="37" t="n"/>
      <c r="D211" s="37" t="n"/>
      <c r="E211" s="37" t="n"/>
      <c r="F211" s="37" t="n"/>
      <c r="G211" s="37" t="n"/>
      <c r="H211" s="37" t="n"/>
      <c r="I211" s="38">
        <f>IF($A211="","",IFERROR($B211-$C211-$D211-$E211,0))</f>
        <v/>
      </c>
    </row>
    <row r="212">
      <c r="A212" s="37" t="n"/>
      <c r="B212" s="37" t="n"/>
      <c r="C212" s="37" t="n"/>
      <c r="D212" s="37" t="n"/>
      <c r="E212" s="37" t="n"/>
      <c r="F212" s="37" t="n"/>
      <c r="G212" s="37" t="n"/>
      <c r="H212" s="37" t="n"/>
      <c r="I212" s="38">
        <f>IF($A212="","",IFERROR($B212-$C212-$D212-$E212,0))</f>
        <v/>
      </c>
    </row>
    <row r="213">
      <c r="A213" s="37" t="n"/>
      <c r="B213" s="37" t="n"/>
      <c r="C213" s="37" t="n"/>
      <c r="D213" s="37" t="n"/>
      <c r="E213" s="37" t="n"/>
      <c r="F213" s="37" t="n"/>
      <c r="G213" s="37" t="n"/>
      <c r="H213" s="37" t="n"/>
      <c r="I213" s="38">
        <f>IF($A213="","",IFERROR($B213-$C213-$D213-$E213,0))</f>
        <v/>
      </c>
    </row>
    <row r="214">
      <c r="A214" s="37" t="n"/>
      <c r="B214" s="37" t="n"/>
      <c r="C214" s="37" t="n"/>
      <c r="D214" s="37" t="n"/>
      <c r="E214" s="37" t="n"/>
      <c r="F214" s="37" t="n"/>
      <c r="G214" s="37" t="n"/>
      <c r="H214" s="37" t="n"/>
      <c r="I214" s="38">
        <f>IF($A214="","",IFERROR($B214-$C214-$D214-$E214,0))</f>
        <v/>
      </c>
    </row>
    <row r="215">
      <c r="A215" s="37" t="n"/>
      <c r="B215" s="37" t="n"/>
      <c r="C215" s="37" t="n"/>
      <c r="D215" s="37" t="n"/>
      <c r="E215" s="37" t="n"/>
      <c r="F215" s="37" t="n"/>
      <c r="G215" s="37" t="n"/>
      <c r="H215" s="37" t="n"/>
      <c r="I215" s="38">
        <f>IF($A215="","",IFERROR($B215-$C215-$D215-$E215,0))</f>
        <v/>
      </c>
    </row>
    <row r="216">
      <c r="A216" s="37" t="n"/>
      <c r="B216" s="37" t="n"/>
      <c r="C216" s="37" t="n"/>
      <c r="D216" s="37" t="n"/>
      <c r="E216" s="37" t="n"/>
      <c r="F216" s="37" t="n"/>
      <c r="G216" s="37" t="n"/>
      <c r="H216" s="37" t="n"/>
      <c r="I216" s="38">
        <f>IF($A216="","",IFERROR($B216-$C216-$D216-$E216,0))</f>
        <v/>
      </c>
    </row>
    <row r="217">
      <c r="A217" s="37" t="n"/>
      <c r="B217" s="37" t="n"/>
      <c r="C217" s="37" t="n"/>
      <c r="D217" s="37" t="n"/>
      <c r="E217" s="37" t="n"/>
      <c r="F217" s="37" t="n"/>
      <c r="G217" s="37" t="n"/>
      <c r="H217" s="37" t="n"/>
      <c r="I217" s="38">
        <f>IF($A217="","",IFERROR($B217-$C217-$D217-$E217,0))</f>
        <v/>
      </c>
    </row>
    <row r="218">
      <c r="A218" s="37" t="n"/>
      <c r="B218" s="37" t="n"/>
      <c r="C218" s="37" t="n"/>
      <c r="D218" s="37" t="n"/>
      <c r="E218" s="37" t="n"/>
      <c r="F218" s="37" t="n"/>
      <c r="G218" s="37" t="n"/>
      <c r="H218" s="37" t="n"/>
      <c r="I218" s="38">
        <f>IF($A218="","",IFERROR($B218-$C218-$D218-$E218,0))</f>
        <v/>
      </c>
    </row>
    <row r="219">
      <c r="A219" s="37" t="n"/>
      <c r="B219" s="37" t="n"/>
      <c r="C219" s="37" t="n"/>
      <c r="D219" s="37" t="n"/>
      <c r="E219" s="37" t="n"/>
      <c r="F219" s="37" t="n"/>
      <c r="G219" s="37" t="n"/>
      <c r="H219" s="37" t="n"/>
      <c r="I219" s="38">
        <f>IF($A219="","",IFERROR($B219-$C219-$D219-$E219,0))</f>
        <v/>
      </c>
    </row>
    <row r="220">
      <c r="A220" s="37" t="n"/>
      <c r="B220" s="37" t="n"/>
      <c r="C220" s="37" t="n"/>
      <c r="D220" s="37" t="n"/>
      <c r="E220" s="37" t="n"/>
      <c r="F220" s="37" t="n"/>
      <c r="G220" s="37" t="n"/>
      <c r="H220" s="37" t="n"/>
      <c r="I220" s="38">
        <f>IF($A220="","",IFERROR($B220-$C220-$D220-$E220,0))</f>
        <v/>
      </c>
    </row>
    <row r="221">
      <c r="A221" s="37" t="n"/>
      <c r="B221" s="37" t="n"/>
      <c r="C221" s="37" t="n"/>
      <c r="D221" s="37" t="n"/>
      <c r="E221" s="37" t="n"/>
      <c r="F221" s="37" t="n"/>
      <c r="G221" s="37" t="n"/>
      <c r="H221" s="37" t="n"/>
      <c r="I221" s="38">
        <f>IF($A221="","",IFERROR($B221-$C221-$D221-$E221,0))</f>
        <v/>
      </c>
    </row>
    <row r="222">
      <c r="A222" s="37" t="n"/>
      <c r="B222" s="37" t="n"/>
      <c r="C222" s="37" t="n"/>
      <c r="D222" s="37" t="n"/>
      <c r="E222" s="37" t="n"/>
      <c r="F222" s="37" t="n"/>
      <c r="G222" s="37" t="n"/>
      <c r="H222" s="37" t="n"/>
      <c r="I222" s="38">
        <f>IF($A222="","",IFERROR($B222-$C222-$D222-$E222,0))</f>
        <v/>
      </c>
    </row>
    <row r="223">
      <c r="A223" s="37" t="n"/>
      <c r="B223" s="37" t="n"/>
      <c r="C223" s="37" t="n"/>
      <c r="D223" s="37" t="n"/>
      <c r="E223" s="37" t="n"/>
      <c r="F223" s="37" t="n"/>
      <c r="G223" s="37" t="n"/>
      <c r="H223" s="37" t="n"/>
      <c r="I223" s="38">
        <f>IF($A223="","",IFERROR($B223-$C223-$D223-$E223,0))</f>
        <v/>
      </c>
    </row>
    <row r="224">
      <c r="A224" s="37" t="n"/>
      <c r="B224" s="37" t="n"/>
      <c r="C224" s="37" t="n"/>
      <c r="D224" s="37" t="n"/>
      <c r="E224" s="37" t="n"/>
      <c r="F224" s="37" t="n"/>
      <c r="G224" s="37" t="n"/>
      <c r="H224" s="37" t="n"/>
      <c r="I224" s="38">
        <f>IF($A224="","",IFERROR($B224-$C224-$D224-$E224,0))</f>
        <v/>
      </c>
    </row>
    <row r="225">
      <c r="A225" s="37" t="n"/>
      <c r="B225" s="37" t="n"/>
      <c r="C225" s="37" t="n"/>
      <c r="D225" s="37" t="n"/>
      <c r="E225" s="37" t="n"/>
      <c r="F225" s="37" t="n"/>
      <c r="G225" s="37" t="n"/>
      <c r="H225" s="37" t="n"/>
      <c r="I225" s="38">
        <f>IF($A225="","",IFERROR($B225-$C225-$D225-$E225,0))</f>
        <v/>
      </c>
    </row>
    <row r="226">
      <c r="A226" s="37" t="n"/>
      <c r="B226" s="37" t="n"/>
      <c r="C226" s="37" t="n"/>
      <c r="D226" s="37" t="n"/>
      <c r="E226" s="37" t="n"/>
      <c r="F226" s="37" t="n"/>
      <c r="G226" s="37" t="n"/>
      <c r="H226" s="37" t="n"/>
      <c r="I226" s="38">
        <f>IF($A226="","",IFERROR($B226-$C226-$D226-$E226,0))</f>
        <v/>
      </c>
    </row>
    <row r="227">
      <c r="A227" s="37" t="n"/>
      <c r="B227" s="37" t="n"/>
      <c r="C227" s="37" t="n"/>
      <c r="D227" s="37" t="n"/>
      <c r="E227" s="37" t="n"/>
      <c r="F227" s="37" t="n"/>
      <c r="G227" s="37" t="n"/>
      <c r="H227" s="37" t="n"/>
      <c r="I227" s="38">
        <f>IF($A227="","",IFERROR($B227-$C227-$D227-$E227,0))</f>
        <v/>
      </c>
    </row>
    <row r="228">
      <c r="A228" s="37" t="n"/>
      <c r="B228" s="37" t="n"/>
      <c r="C228" s="37" t="n"/>
      <c r="D228" s="37" t="n"/>
      <c r="E228" s="37" t="n"/>
      <c r="F228" s="37" t="n"/>
      <c r="G228" s="37" t="n"/>
      <c r="H228" s="37" t="n"/>
      <c r="I228" s="38">
        <f>IF($A228="","",IFERROR($B228-$C228-$D228-$E228,0))</f>
        <v/>
      </c>
    </row>
    <row r="229">
      <c r="A229" s="37" t="n"/>
      <c r="B229" s="37" t="n"/>
      <c r="C229" s="37" t="n"/>
      <c r="D229" s="37" t="n"/>
      <c r="E229" s="37" t="n"/>
      <c r="F229" s="37" t="n"/>
      <c r="G229" s="37" t="n"/>
      <c r="H229" s="37" t="n"/>
      <c r="I229" s="38">
        <f>IF($A229="","",IFERROR($B229-$C229-$D229-$E229,0))</f>
        <v/>
      </c>
    </row>
    <row r="230">
      <c r="A230" s="37" t="n"/>
      <c r="B230" s="37" t="n"/>
      <c r="C230" s="37" t="n"/>
      <c r="D230" s="37" t="n"/>
      <c r="E230" s="37" t="n"/>
      <c r="F230" s="37" t="n"/>
      <c r="G230" s="37" t="n"/>
      <c r="H230" s="37" t="n"/>
      <c r="I230" s="38">
        <f>IF($A230="","",IFERROR($B230-$C230-$D230-$E230,0))</f>
        <v/>
      </c>
    </row>
    <row r="231">
      <c r="A231" s="37" t="n"/>
      <c r="B231" s="37" t="n"/>
      <c r="C231" s="37" t="n"/>
      <c r="D231" s="37" t="n"/>
      <c r="E231" s="37" t="n"/>
      <c r="F231" s="37" t="n"/>
      <c r="G231" s="37" t="n"/>
      <c r="H231" s="37" t="n"/>
      <c r="I231" s="38">
        <f>IF($A231="","",IFERROR($B231-$C231-$D231-$E231,0))</f>
        <v/>
      </c>
    </row>
    <row r="232">
      <c r="A232" s="37" t="n"/>
      <c r="B232" s="37" t="n"/>
      <c r="C232" s="37" t="n"/>
      <c r="D232" s="37" t="n"/>
      <c r="E232" s="37" t="n"/>
      <c r="F232" s="37" t="n"/>
      <c r="G232" s="37" t="n"/>
      <c r="H232" s="37" t="n"/>
      <c r="I232" s="38">
        <f>IF($A232="","",IFERROR($B232-$C232-$D232-$E232,0))</f>
        <v/>
      </c>
    </row>
    <row r="233">
      <c r="A233" s="37" t="n"/>
      <c r="B233" s="37" t="n"/>
      <c r="C233" s="37" t="n"/>
      <c r="D233" s="37" t="n"/>
      <c r="E233" s="37" t="n"/>
      <c r="F233" s="37" t="n"/>
      <c r="G233" s="37" t="n"/>
      <c r="H233" s="37" t="n"/>
      <c r="I233" s="38">
        <f>IF($A233="","",IFERROR($B233-$C233-$D233-$E233,0))</f>
        <v/>
      </c>
    </row>
    <row r="234">
      <c r="A234" s="37" t="n"/>
      <c r="B234" s="37" t="n"/>
      <c r="C234" s="37" t="n"/>
      <c r="D234" s="37" t="n"/>
      <c r="E234" s="37" t="n"/>
      <c r="F234" s="37" t="n"/>
      <c r="G234" s="37" t="n"/>
      <c r="H234" s="37" t="n"/>
      <c r="I234" s="38">
        <f>IF($A234="","",IFERROR($B234-$C234-$D234-$E234,0))</f>
        <v/>
      </c>
    </row>
    <row r="235">
      <c r="A235" s="37" t="n"/>
      <c r="B235" s="37" t="n"/>
      <c r="C235" s="37" t="n"/>
      <c r="D235" s="37" t="n"/>
      <c r="E235" s="37" t="n"/>
      <c r="F235" s="37" t="n"/>
      <c r="G235" s="37" t="n"/>
      <c r="H235" s="37" t="n"/>
      <c r="I235" s="38">
        <f>IF($A235="","",IFERROR($B235-$C235-$D235-$E235,0))</f>
        <v/>
      </c>
    </row>
    <row r="236">
      <c r="A236" s="37" t="n"/>
      <c r="B236" s="37" t="n"/>
      <c r="C236" s="37" t="n"/>
      <c r="D236" s="37" t="n"/>
      <c r="E236" s="37" t="n"/>
      <c r="F236" s="37" t="n"/>
      <c r="G236" s="37" t="n"/>
      <c r="H236" s="37" t="n"/>
      <c r="I236" s="38">
        <f>IF($A236="","",IFERROR($B236-$C236-$D236-$E236,0))</f>
        <v/>
      </c>
    </row>
    <row r="237">
      <c r="A237" s="37" t="n"/>
      <c r="B237" s="37" t="n"/>
      <c r="C237" s="37" t="n"/>
      <c r="D237" s="37" t="n"/>
      <c r="E237" s="37" t="n"/>
      <c r="F237" s="37" t="n"/>
      <c r="G237" s="37" t="n"/>
      <c r="H237" s="37" t="n"/>
      <c r="I237" s="38">
        <f>IF($A237="","",IFERROR($B237-$C237-$D237-$E237,0))</f>
        <v/>
      </c>
    </row>
    <row r="238">
      <c r="A238" s="37" t="n"/>
      <c r="B238" s="37" t="n"/>
      <c r="C238" s="37" t="n"/>
      <c r="D238" s="37" t="n"/>
      <c r="E238" s="37" t="n"/>
      <c r="F238" s="37" t="n"/>
      <c r="G238" s="37" t="n"/>
      <c r="H238" s="37" t="n"/>
      <c r="I238" s="38">
        <f>IF($A238="","",IFERROR($B238-$C238-$D238-$E238,0))</f>
        <v/>
      </c>
    </row>
    <row r="239">
      <c r="A239" s="37" t="n"/>
      <c r="B239" s="37" t="n"/>
      <c r="C239" s="37" t="n"/>
      <c r="D239" s="37" t="n"/>
      <c r="E239" s="37" t="n"/>
      <c r="F239" s="37" t="n"/>
      <c r="G239" s="37" t="n"/>
      <c r="H239" s="37" t="n"/>
      <c r="I239" s="38">
        <f>IF($A239="","",IFERROR($B239-$C239-$D239-$E239,0))</f>
        <v/>
      </c>
    </row>
    <row r="240">
      <c r="A240" s="37" t="n"/>
      <c r="B240" s="37" t="n"/>
      <c r="C240" s="37" t="n"/>
      <c r="D240" s="37" t="n"/>
      <c r="E240" s="37" t="n"/>
      <c r="F240" s="37" t="n"/>
      <c r="G240" s="37" t="n"/>
      <c r="H240" s="37" t="n"/>
      <c r="I240" s="38">
        <f>IF($A240="","",IFERROR($B240-$C240-$D240-$E240,0))</f>
        <v/>
      </c>
    </row>
    <row r="241">
      <c r="A241" s="37" t="n"/>
      <c r="B241" s="37" t="n"/>
      <c r="C241" s="37" t="n"/>
      <c r="D241" s="37" t="n"/>
      <c r="E241" s="37" t="n"/>
      <c r="F241" s="37" t="n"/>
      <c r="G241" s="37" t="n"/>
      <c r="H241" s="37" t="n"/>
      <c r="I241" s="38">
        <f>IF($A241="","",IFERROR($B241-$C241-$D241-$E241,0))</f>
        <v/>
      </c>
    </row>
    <row r="242">
      <c r="A242" s="37" t="n"/>
      <c r="B242" s="37" t="n"/>
      <c r="C242" s="37" t="n"/>
      <c r="D242" s="37" t="n"/>
      <c r="E242" s="37" t="n"/>
      <c r="F242" s="37" t="n"/>
      <c r="G242" s="37" t="n"/>
      <c r="H242" s="37" t="n"/>
      <c r="I242" s="38">
        <f>IF($A242="","",IFERROR($B242-$C242-$D242-$E242,0))</f>
        <v/>
      </c>
    </row>
    <row r="243">
      <c r="A243" s="37" t="n"/>
      <c r="B243" s="37" t="n"/>
      <c r="C243" s="37" t="n"/>
      <c r="D243" s="37" t="n"/>
      <c r="E243" s="37" t="n"/>
      <c r="F243" s="37" t="n"/>
      <c r="G243" s="37" t="n"/>
      <c r="H243" s="37" t="n"/>
      <c r="I243" s="38">
        <f>IF($A243="","",IFERROR($B243-$C243-$D243-$E243,0))</f>
        <v/>
      </c>
    </row>
    <row r="244">
      <c r="A244" s="37" t="n"/>
      <c r="B244" s="37" t="n"/>
      <c r="C244" s="37" t="n"/>
      <c r="D244" s="37" t="n"/>
      <c r="E244" s="37" t="n"/>
      <c r="F244" s="37" t="n"/>
      <c r="G244" s="37" t="n"/>
      <c r="H244" s="37" t="n"/>
      <c r="I244" s="38">
        <f>IF($A244="","",IFERROR($B244-$C244-$D244-$E244,0))</f>
        <v/>
      </c>
    </row>
    <row r="245">
      <c r="A245" s="37" t="n"/>
      <c r="B245" s="37" t="n"/>
      <c r="C245" s="37" t="n"/>
      <c r="D245" s="37" t="n"/>
      <c r="E245" s="37" t="n"/>
      <c r="F245" s="37" t="n"/>
      <c r="G245" s="37" t="n"/>
      <c r="H245" s="37" t="n"/>
      <c r="I245" s="38">
        <f>IF($A245="","",IFERROR($B245-$C245-$D245-$E245,0))</f>
        <v/>
      </c>
    </row>
    <row r="246">
      <c r="A246" s="37" t="n"/>
      <c r="B246" s="37" t="n"/>
      <c r="C246" s="37" t="n"/>
      <c r="D246" s="37" t="n"/>
      <c r="E246" s="37" t="n"/>
      <c r="F246" s="37" t="n"/>
      <c r="G246" s="37" t="n"/>
      <c r="H246" s="37" t="n"/>
      <c r="I246" s="38">
        <f>IF($A246="","",IFERROR($B246-$C246-$D246-$E246,0))</f>
        <v/>
      </c>
    </row>
    <row r="247">
      <c r="A247" s="37" t="n"/>
      <c r="B247" s="37" t="n"/>
      <c r="C247" s="37" t="n"/>
      <c r="D247" s="37" t="n"/>
      <c r="E247" s="37" t="n"/>
      <c r="F247" s="37" t="n"/>
      <c r="G247" s="37" t="n"/>
      <c r="H247" s="37" t="n"/>
      <c r="I247" s="38">
        <f>IF($A247="","",IFERROR($B247-$C247-$D247-$E247,0))</f>
        <v/>
      </c>
    </row>
    <row r="248">
      <c r="A248" s="37" t="n"/>
      <c r="B248" s="37" t="n"/>
      <c r="C248" s="37" t="n"/>
      <c r="D248" s="37" t="n"/>
      <c r="E248" s="37" t="n"/>
      <c r="F248" s="37" t="n"/>
      <c r="G248" s="37" t="n"/>
      <c r="H248" s="37" t="n"/>
      <c r="I248" s="38">
        <f>IF($A248="","",IFERROR($B248-$C248-$D248-$E248,0))</f>
        <v/>
      </c>
    </row>
    <row r="249">
      <c r="A249" s="37" t="n"/>
      <c r="B249" s="37" t="n"/>
      <c r="C249" s="37" t="n"/>
      <c r="D249" s="37" t="n"/>
      <c r="E249" s="37" t="n"/>
      <c r="F249" s="37" t="n"/>
      <c r="G249" s="37" t="n"/>
      <c r="H249" s="37" t="n"/>
      <c r="I249" s="38">
        <f>IF($A249="","",IFERROR($B249-$C249-$D249-$E249,0))</f>
        <v/>
      </c>
    </row>
    <row r="250">
      <c r="A250" s="37" t="n"/>
      <c r="B250" s="37" t="n"/>
      <c r="C250" s="37" t="n"/>
      <c r="D250" s="37" t="n"/>
      <c r="E250" s="37" t="n"/>
      <c r="F250" s="37" t="n"/>
      <c r="G250" s="37" t="n"/>
      <c r="H250" s="37" t="n"/>
      <c r="I250" s="38">
        <f>IF($A250="","",IFERROR($B250-$C250-$D250-$E250,0))</f>
        <v/>
      </c>
    </row>
    <row r="251">
      <c r="A251" s="37" t="n"/>
      <c r="B251" s="37" t="n"/>
      <c r="C251" s="37" t="n"/>
      <c r="D251" s="37" t="n"/>
      <c r="E251" s="37" t="n"/>
      <c r="F251" s="37" t="n"/>
      <c r="G251" s="37" t="n"/>
      <c r="H251" s="37" t="n"/>
      <c r="I251" s="38">
        <f>IF($A251="","",IFERROR($B251-$C251-$D251-$E251,0))</f>
        <v/>
      </c>
    </row>
    <row r="252">
      <c r="A252" s="37" t="n"/>
      <c r="B252" s="37" t="n"/>
      <c r="C252" s="37" t="n"/>
      <c r="D252" s="37" t="n"/>
      <c r="E252" s="37" t="n"/>
      <c r="F252" s="37" t="n"/>
      <c r="G252" s="37" t="n"/>
      <c r="H252" s="37" t="n"/>
      <c r="I252" s="38">
        <f>IF($A252="","",IFERROR($B252-$C252-$D252-$E252,0))</f>
        <v/>
      </c>
    </row>
    <row r="253">
      <c r="A253" s="37" t="n"/>
      <c r="B253" s="37" t="n"/>
      <c r="C253" s="37" t="n"/>
      <c r="D253" s="37" t="n"/>
      <c r="E253" s="37" t="n"/>
      <c r="F253" s="37" t="n"/>
      <c r="G253" s="37" t="n"/>
      <c r="H253" s="37" t="n"/>
      <c r="I253" s="38">
        <f>IF($A253="","",IFERROR($B253-$C253-$D253-$E253,0))</f>
        <v/>
      </c>
    </row>
    <row r="254">
      <c r="A254" s="37" t="n"/>
      <c r="B254" s="37" t="n"/>
      <c r="C254" s="37" t="n"/>
      <c r="D254" s="37" t="n"/>
      <c r="E254" s="37" t="n"/>
      <c r="F254" s="37" t="n"/>
      <c r="G254" s="37" t="n"/>
      <c r="H254" s="37" t="n"/>
      <c r="I254" s="38">
        <f>IF($A254="","",IFERROR($B254-$C254-$D254-$E254,0))</f>
        <v/>
      </c>
    </row>
    <row r="255">
      <c r="A255" s="37" t="n"/>
      <c r="B255" s="37" t="n"/>
      <c r="C255" s="37" t="n"/>
      <c r="D255" s="37" t="n"/>
      <c r="E255" s="37" t="n"/>
      <c r="F255" s="37" t="n"/>
      <c r="G255" s="37" t="n"/>
      <c r="H255" s="37" t="n"/>
      <c r="I255" s="38">
        <f>IF($A255="","",IFERROR($B255-$C255-$D255-$E255,0))</f>
        <v/>
      </c>
    </row>
    <row r="256">
      <c r="A256" s="37" t="n"/>
      <c r="B256" s="37" t="n"/>
      <c r="C256" s="37" t="n"/>
      <c r="D256" s="37" t="n"/>
      <c r="E256" s="37" t="n"/>
      <c r="F256" s="37" t="n"/>
      <c r="G256" s="37" t="n"/>
      <c r="H256" s="37" t="n"/>
      <c r="I256" s="38">
        <f>IF($A256="","",IFERROR($B256-$C256-$D256-$E256,0))</f>
        <v/>
      </c>
    </row>
    <row r="257">
      <c r="A257" s="37" t="n"/>
      <c r="B257" s="37" t="n"/>
      <c r="C257" s="37" t="n"/>
      <c r="D257" s="37" t="n"/>
      <c r="E257" s="37" t="n"/>
      <c r="F257" s="37" t="n"/>
      <c r="G257" s="37" t="n"/>
      <c r="H257" s="37" t="n"/>
      <c r="I257" s="38">
        <f>IF($A257="","",IFERROR($B257-$C257-$D257-$E257,0))</f>
        <v/>
      </c>
    </row>
    <row r="258">
      <c r="A258" s="37" t="n"/>
      <c r="B258" s="37" t="n"/>
      <c r="C258" s="37" t="n"/>
      <c r="D258" s="37" t="n"/>
      <c r="E258" s="37" t="n"/>
      <c r="F258" s="37" t="n"/>
      <c r="G258" s="37" t="n"/>
      <c r="H258" s="37" t="n"/>
      <c r="I258" s="38">
        <f>IF($A258="","",IFERROR($B258-$C258-$D258-$E258,0))</f>
        <v/>
      </c>
    </row>
    <row r="259">
      <c r="A259" s="37" t="n"/>
      <c r="B259" s="37" t="n"/>
      <c r="C259" s="37" t="n"/>
      <c r="D259" s="37" t="n"/>
      <c r="E259" s="37" t="n"/>
      <c r="F259" s="37" t="n"/>
      <c r="G259" s="37" t="n"/>
      <c r="H259" s="37" t="n"/>
      <c r="I259" s="38">
        <f>IF($A259="","",IFERROR($B259-$C259-$D259-$E259,0))</f>
        <v/>
      </c>
    </row>
    <row r="260">
      <c r="A260" s="37" t="n"/>
      <c r="B260" s="37" t="n"/>
      <c r="C260" s="37" t="n"/>
      <c r="D260" s="37" t="n"/>
      <c r="E260" s="37" t="n"/>
      <c r="F260" s="37" t="n"/>
      <c r="G260" s="37" t="n"/>
      <c r="H260" s="37" t="n"/>
      <c r="I260" s="38">
        <f>IF($A260="","",IFERROR($B260-$C260-$D260-$E260,0))</f>
        <v/>
      </c>
    </row>
    <row r="261">
      <c r="A261" s="37" t="n"/>
      <c r="B261" s="37" t="n"/>
      <c r="C261" s="37" t="n"/>
      <c r="D261" s="37" t="n"/>
      <c r="E261" s="37" t="n"/>
      <c r="F261" s="37" t="n"/>
      <c r="G261" s="37" t="n"/>
      <c r="H261" s="37" t="n"/>
      <c r="I261" s="38">
        <f>IF($A261="","",IFERROR($B261-$C261-$D261-$E261,0))</f>
        <v/>
      </c>
    </row>
    <row r="262">
      <c r="A262" s="37" t="n"/>
      <c r="B262" s="37" t="n"/>
      <c r="C262" s="37" t="n"/>
      <c r="D262" s="37" t="n"/>
      <c r="E262" s="37" t="n"/>
      <c r="F262" s="37" t="n"/>
      <c r="G262" s="37" t="n"/>
      <c r="H262" s="37" t="n"/>
      <c r="I262" s="38">
        <f>IF($A262="","",IFERROR($B262-$C262-$D262-$E262,0))</f>
        <v/>
      </c>
    </row>
    <row r="263">
      <c r="A263" s="37" t="n"/>
      <c r="B263" s="37" t="n"/>
      <c r="C263" s="37" t="n"/>
      <c r="D263" s="37" t="n"/>
      <c r="E263" s="37" t="n"/>
      <c r="F263" s="37" t="n"/>
      <c r="G263" s="37" t="n"/>
      <c r="H263" s="37" t="n"/>
      <c r="I263" s="38">
        <f>IF($A263="","",IFERROR($B263-$C263-$D263-$E263,0))</f>
        <v/>
      </c>
    </row>
    <row r="264">
      <c r="A264" s="37" t="n"/>
      <c r="B264" s="37" t="n"/>
      <c r="C264" s="37" t="n"/>
      <c r="D264" s="37" t="n"/>
      <c r="E264" s="37" t="n"/>
      <c r="F264" s="37" t="n"/>
      <c r="G264" s="37" t="n"/>
      <c r="H264" s="37" t="n"/>
      <c r="I264" s="38">
        <f>IF($A264="","",IFERROR($B264-$C264-$D264-$E264,0))</f>
        <v/>
      </c>
    </row>
    <row r="265">
      <c r="A265" s="37" t="n"/>
      <c r="B265" s="37" t="n"/>
      <c r="C265" s="37" t="n"/>
      <c r="D265" s="37" t="n"/>
      <c r="E265" s="37" t="n"/>
      <c r="F265" s="37" t="n"/>
      <c r="G265" s="37" t="n"/>
      <c r="H265" s="37" t="n"/>
      <c r="I265" s="38">
        <f>IF($A265="","",IFERROR($B265-$C265-$D265-$E265,0))</f>
        <v/>
      </c>
    </row>
    <row r="266">
      <c r="A266" s="37" t="n"/>
      <c r="B266" s="37" t="n"/>
      <c r="C266" s="37" t="n"/>
      <c r="D266" s="37" t="n"/>
      <c r="E266" s="37" t="n"/>
      <c r="F266" s="37" t="n"/>
      <c r="G266" s="37" t="n"/>
      <c r="H266" s="37" t="n"/>
      <c r="I266" s="38">
        <f>IF($A266="","",IFERROR($B266-$C266-$D266-$E266,0))</f>
        <v/>
      </c>
    </row>
    <row r="267">
      <c r="A267" s="37" t="n"/>
      <c r="B267" s="37" t="n"/>
      <c r="C267" s="37" t="n"/>
      <c r="D267" s="37" t="n"/>
      <c r="E267" s="37" t="n"/>
      <c r="F267" s="37" t="n"/>
      <c r="G267" s="37" t="n"/>
      <c r="H267" s="37" t="n"/>
      <c r="I267" s="38">
        <f>IF($A267="","",IFERROR($B267-$C267-$D267-$E267,0))</f>
        <v/>
      </c>
    </row>
    <row r="268">
      <c r="A268" s="37" t="n"/>
      <c r="B268" s="37" t="n"/>
      <c r="C268" s="37" t="n"/>
      <c r="D268" s="37" t="n"/>
      <c r="E268" s="37" t="n"/>
      <c r="F268" s="37" t="n"/>
      <c r="G268" s="37" t="n"/>
      <c r="H268" s="37" t="n"/>
      <c r="I268" s="38">
        <f>IF($A268="","",IFERROR($B268-$C268-$D268-$E268,0))</f>
        <v/>
      </c>
    </row>
    <row r="269">
      <c r="A269" s="37" t="n"/>
      <c r="B269" s="37" t="n"/>
      <c r="C269" s="37" t="n"/>
      <c r="D269" s="37" t="n"/>
      <c r="E269" s="37" t="n"/>
      <c r="F269" s="37" t="n"/>
      <c r="G269" s="37" t="n"/>
      <c r="H269" s="37" t="n"/>
      <c r="I269" s="38">
        <f>IF($A269="","",IFERROR($B269-$C269-$D269-$E269,0))</f>
        <v/>
      </c>
    </row>
    <row r="270">
      <c r="A270" s="37" t="n"/>
      <c r="B270" s="37" t="n"/>
      <c r="C270" s="37" t="n"/>
      <c r="D270" s="37" t="n"/>
      <c r="E270" s="37" t="n"/>
      <c r="F270" s="37" t="n"/>
      <c r="G270" s="37" t="n"/>
      <c r="H270" s="37" t="n"/>
      <c r="I270" s="38">
        <f>IF($A270="","",IFERROR($B270-$C270-$D270-$E270,0))</f>
        <v/>
      </c>
    </row>
    <row r="271">
      <c r="A271" s="37" t="n"/>
      <c r="B271" s="37" t="n"/>
      <c r="C271" s="37" t="n"/>
      <c r="D271" s="37" t="n"/>
      <c r="E271" s="37" t="n"/>
      <c r="F271" s="37" t="n"/>
      <c r="G271" s="37" t="n"/>
      <c r="H271" s="37" t="n"/>
      <c r="I271" s="38">
        <f>IF($A271="","",IFERROR($B271-$C271-$D271-$E271,0))</f>
        <v/>
      </c>
    </row>
    <row r="272">
      <c r="A272" s="37" t="n"/>
      <c r="B272" s="37" t="n"/>
      <c r="C272" s="37" t="n"/>
      <c r="D272" s="37" t="n"/>
      <c r="E272" s="37" t="n"/>
      <c r="F272" s="37" t="n"/>
      <c r="G272" s="37" t="n"/>
      <c r="H272" s="37" t="n"/>
      <c r="I272" s="38">
        <f>IF($A272="","",IFERROR($B272-$C272-$D272-$E272,0))</f>
        <v/>
      </c>
    </row>
    <row r="273">
      <c r="A273" s="37" t="n"/>
      <c r="B273" s="37" t="n"/>
      <c r="C273" s="37" t="n"/>
      <c r="D273" s="37" t="n"/>
      <c r="E273" s="37" t="n"/>
      <c r="F273" s="37" t="n"/>
      <c r="G273" s="37" t="n"/>
      <c r="H273" s="37" t="n"/>
      <c r="I273" s="38">
        <f>IF($A273="","",IFERROR($B273-$C273-$D273-$E273,0))</f>
        <v/>
      </c>
    </row>
    <row r="274">
      <c r="A274" s="37" t="n"/>
      <c r="B274" s="37" t="n"/>
      <c r="C274" s="37" t="n"/>
      <c r="D274" s="37" t="n"/>
      <c r="E274" s="37" t="n"/>
      <c r="F274" s="37" t="n"/>
      <c r="G274" s="37" t="n"/>
      <c r="H274" s="37" t="n"/>
      <c r="I274" s="38">
        <f>IF($A274="","",IFERROR($B274-$C274-$D274-$E274,0))</f>
        <v/>
      </c>
    </row>
    <row r="275">
      <c r="A275" s="37" t="n"/>
      <c r="B275" s="37" t="n"/>
      <c r="C275" s="37" t="n"/>
      <c r="D275" s="37" t="n"/>
      <c r="E275" s="37" t="n"/>
      <c r="F275" s="37" t="n"/>
      <c r="G275" s="37" t="n"/>
      <c r="H275" s="37" t="n"/>
      <c r="I275" s="38">
        <f>IF($A275="","",IFERROR($B275-$C275-$D275-$E275,0))</f>
        <v/>
      </c>
    </row>
    <row r="276">
      <c r="A276" s="37" t="n"/>
      <c r="B276" s="37" t="n"/>
      <c r="C276" s="37" t="n"/>
      <c r="D276" s="37" t="n"/>
      <c r="E276" s="37" t="n"/>
      <c r="F276" s="37" t="n"/>
      <c r="G276" s="37" t="n"/>
      <c r="H276" s="37" t="n"/>
      <c r="I276" s="38">
        <f>IF($A276="","",IFERROR($B276-$C276-$D276-$E276,0))</f>
        <v/>
      </c>
    </row>
    <row r="277">
      <c r="A277" s="37" t="n"/>
      <c r="B277" s="37" t="n"/>
      <c r="C277" s="37" t="n"/>
      <c r="D277" s="37" t="n"/>
      <c r="E277" s="37" t="n"/>
      <c r="F277" s="37" t="n"/>
      <c r="G277" s="37" t="n"/>
      <c r="H277" s="37" t="n"/>
      <c r="I277" s="38">
        <f>IF($A277="","",IFERROR($B277-$C277-$D277-$E277,0))</f>
        <v/>
      </c>
    </row>
    <row r="278">
      <c r="A278" s="37" t="n"/>
      <c r="B278" s="37" t="n"/>
      <c r="C278" s="37" t="n"/>
      <c r="D278" s="37" t="n"/>
      <c r="E278" s="37" t="n"/>
      <c r="F278" s="37" t="n"/>
      <c r="G278" s="37" t="n"/>
      <c r="H278" s="37" t="n"/>
      <c r="I278" s="38">
        <f>IF($A278="","",IFERROR($B278-$C278-$D278-$E278,0))</f>
        <v/>
      </c>
    </row>
    <row r="279">
      <c r="A279" s="37" t="n"/>
      <c r="B279" s="37" t="n"/>
      <c r="C279" s="37" t="n"/>
      <c r="D279" s="37" t="n"/>
      <c r="E279" s="37" t="n"/>
      <c r="F279" s="37" t="n"/>
      <c r="G279" s="37" t="n"/>
      <c r="H279" s="37" t="n"/>
      <c r="I279" s="38">
        <f>IF($A279="","",IFERROR($B279-$C279-$D279-$E279,0))</f>
        <v/>
      </c>
    </row>
    <row r="280">
      <c r="A280" s="37" t="n"/>
      <c r="B280" s="37" t="n"/>
      <c r="C280" s="37" t="n"/>
      <c r="D280" s="37" t="n"/>
      <c r="E280" s="37" t="n"/>
      <c r="F280" s="37" t="n"/>
      <c r="G280" s="37" t="n"/>
      <c r="H280" s="37" t="n"/>
      <c r="I280" s="38">
        <f>IF($A280="","",IFERROR($B280-$C280-$D280-$E280,0))</f>
        <v/>
      </c>
    </row>
    <row r="281">
      <c r="A281" s="37" t="n"/>
      <c r="B281" s="37" t="n"/>
      <c r="C281" s="37" t="n"/>
      <c r="D281" s="37" t="n"/>
      <c r="E281" s="37" t="n"/>
      <c r="F281" s="37" t="n"/>
      <c r="G281" s="37" t="n"/>
      <c r="H281" s="37" t="n"/>
      <c r="I281" s="38">
        <f>IF($A281="","",IFERROR($B281-$C281-$D281-$E281,0))</f>
        <v/>
      </c>
    </row>
    <row r="282">
      <c r="A282" s="37" t="n"/>
      <c r="B282" s="37" t="n"/>
      <c r="C282" s="37" t="n"/>
      <c r="D282" s="37" t="n"/>
      <c r="E282" s="37" t="n"/>
      <c r="F282" s="37" t="n"/>
      <c r="G282" s="37" t="n"/>
      <c r="H282" s="37" t="n"/>
      <c r="I282" s="38">
        <f>IF($A282="","",IFERROR($B282-$C282-$D282-$E282,0))</f>
        <v/>
      </c>
    </row>
    <row r="283">
      <c r="A283" s="37" t="n"/>
      <c r="B283" s="37" t="n"/>
      <c r="C283" s="37" t="n"/>
      <c r="D283" s="37" t="n"/>
      <c r="E283" s="37" t="n"/>
      <c r="F283" s="37" t="n"/>
      <c r="G283" s="37" t="n"/>
      <c r="H283" s="37" t="n"/>
      <c r="I283" s="38">
        <f>IF($A283="","",IFERROR($B283-$C283-$D283-$E283,0))</f>
        <v/>
      </c>
    </row>
    <row r="284">
      <c r="A284" s="37" t="n"/>
      <c r="B284" s="37" t="n"/>
      <c r="C284" s="37" t="n"/>
      <c r="D284" s="37" t="n"/>
      <c r="E284" s="37" t="n"/>
      <c r="F284" s="37" t="n"/>
      <c r="G284" s="37" t="n"/>
      <c r="H284" s="37" t="n"/>
      <c r="I284" s="38">
        <f>IF($A284="","",IFERROR($B284-$C284-$D284-$E284,0))</f>
        <v/>
      </c>
    </row>
    <row r="285">
      <c r="A285" s="37" t="n"/>
      <c r="B285" s="37" t="n"/>
      <c r="C285" s="37" t="n"/>
      <c r="D285" s="37" t="n"/>
      <c r="E285" s="37" t="n"/>
      <c r="F285" s="37" t="n"/>
      <c r="G285" s="37" t="n"/>
      <c r="H285" s="37" t="n"/>
      <c r="I285" s="38">
        <f>IF($A285="","",IFERROR($B285-$C285-$D285-$E285,0))</f>
        <v/>
      </c>
    </row>
    <row r="286">
      <c r="A286" s="37" t="n"/>
      <c r="B286" s="37" t="n"/>
      <c r="C286" s="37" t="n"/>
      <c r="D286" s="37" t="n"/>
      <c r="E286" s="37" t="n"/>
      <c r="F286" s="37" t="n"/>
      <c r="G286" s="37" t="n"/>
      <c r="H286" s="37" t="n"/>
      <c r="I286" s="38">
        <f>IF($A286="","",IFERROR($B286-$C286-$D286-$E286,0))</f>
        <v/>
      </c>
    </row>
    <row r="287">
      <c r="A287" s="37" t="n"/>
      <c r="B287" s="37" t="n"/>
      <c r="C287" s="37" t="n"/>
      <c r="D287" s="37" t="n"/>
      <c r="E287" s="37" t="n"/>
      <c r="F287" s="37" t="n"/>
      <c r="G287" s="37" t="n"/>
      <c r="H287" s="37" t="n"/>
      <c r="I287" s="38">
        <f>IF($A287="","",IFERROR($B287-$C287-$D287-$E287,0))</f>
        <v/>
      </c>
    </row>
    <row r="288">
      <c r="A288" s="37" t="n"/>
      <c r="B288" s="37" t="n"/>
      <c r="C288" s="37" t="n"/>
      <c r="D288" s="37" t="n"/>
      <c r="E288" s="37" t="n"/>
      <c r="F288" s="37" t="n"/>
      <c r="G288" s="37" t="n"/>
      <c r="H288" s="37" t="n"/>
      <c r="I288" s="38">
        <f>IF($A288="","",IFERROR($B288-$C288-$D288-$E288,0))</f>
        <v/>
      </c>
    </row>
    <row r="289">
      <c r="A289" s="37" t="n"/>
      <c r="B289" s="37" t="n"/>
      <c r="C289" s="37" t="n"/>
      <c r="D289" s="37" t="n"/>
      <c r="E289" s="37" t="n"/>
      <c r="F289" s="37" t="n"/>
      <c r="G289" s="37" t="n"/>
      <c r="H289" s="37" t="n"/>
      <c r="I289" s="38">
        <f>IF($A289="","",IFERROR($B289-$C289-$D289-$E289,0))</f>
        <v/>
      </c>
    </row>
    <row r="290">
      <c r="A290" s="37" t="n"/>
      <c r="B290" s="37" t="n"/>
      <c r="C290" s="37" t="n"/>
      <c r="D290" s="37" t="n"/>
      <c r="E290" s="37" t="n"/>
      <c r="F290" s="37" t="n"/>
      <c r="G290" s="37" t="n"/>
      <c r="H290" s="37" t="n"/>
      <c r="I290" s="38">
        <f>IF($A290="","",IFERROR($B290-$C290-$D290-$E290,0))</f>
        <v/>
      </c>
    </row>
    <row r="291">
      <c r="A291" s="37" t="n"/>
      <c r="B291" s="37" t="n"/>
      <c r="C291" s="37" t="n"/>
      <c r="D291" s="37" t="n"/>
      <c r="E291" s="37" t="n"/>
      <c r="F291" s="37" t="n"/>
      <c r="G291" s="37" t="n"/>
      <c r="H291" s="37" t="n"/>
      <c r="I291" s="38">
        <f>IF($A291="","",IFERROR($B291-$C291-$D291-$E291,0))</f>
        <v/>
      </c>
    </row>
    <row r="292">
      <c r="A292" s="37" t="n"/>
      <c r="B292" s="37" t="n"/>
      <c r="C292" s="37" t="n"/>
      <c r="D292" s="37" t="n"/>
      <c r="E292" s="37" t="n"/>
      <c r="F292" s="37" t="n"/>
      <c r="G292" s="37" t="n"/>
      <c r="H292" s="37" t="n"/>
      <c r="I292" s="38">
        <f>IF($A292="","",IFERROR($B292-$C292-$D292-$E292,0))</f>
        <v/>
      </c>
    </row>
    <row r="293">
      <c r="A293" s="37" t="n"/>
      <c r="B293" s="37" t="n"/>
      <c r="C293" s="37" t="n"/>
      <c r="D293" s="37" t="n"/>
      <c r="E293" s="37" t="n"/>
      <c r="F293" s="37" t="n"/>
      <c r="G293" s="37" t="n"/>
      <c r="H293" s="37" t="n"/>
      <c r="I293" s="38">
        <f>IF($A293="","",IFERROR($B293-$C293-$D293-$E293,0))</f>
        <v/>
      </c>
    </row>
    <row r="294">
      <c r="A294" s="37" t="n"/>
      <c r="B294" s="37" t="n"/>
      <c r="C294" s="37" t="n"/>
      <c r="D294" s="37" t="n"/>
      <c r="E294" s="37" t="n"/>
      <c r="F294" s="37" t="n"/>
      <c r="G294" s="37" t="n"/>
      <c r="H294" s="37" t="n"/>
      <c r="I294" s="38">
        <f>IF($A294="","",IFERROR($B294-$C294-$D294-$E294,0))</f>
        <v/>
      </c>
    </row>
    <row r="295">
      <c r="A295" s="37" t="n"/>
      <c r="B295" s="37" t="n"/>
      <c r="C295" s="37" t="n"/>
      <c r="D295" s="37" t="n"/>
      <c r="E295" s="37" t="n"/>
      <c r="F295" s="37" t="n"/>
      <c r="G295" s="37" t="n"/>
      <c r="H295" s="37" t="n"/>
      <c r="I295" s="38">
        <f>IF($A295="","",IFERROR($B295-$C295-$D295-$E295,0))</f>
        <v/>
      </c>
    </row>
    <row r="296">
      <c r="A296" s="37" t="n"/>
      <c r="B296" s="37" t="n"/>
      <c r="C296" s="37" t="n"/>
      <c r="D296" s="37" t="n"/>
      <c r="E296" s="37" t="n"/>
      <c r="F296" s="37" t="n"/>
      <c r="G296" s="37" t="n"/>
      <c r="H296" s="37" t="n"/>
      <c r="I296" s="38">
        <f>IF($A296="","",IFERROR($B296-$C296-$D296-$E296,0))</f>
        <v/>
      </c>
    </row>
    <row r="297">
      <c r="A297" s="37" t="n"/>
      <c r="B297" s="37" t="n"/>
      <c r="C297" s="37" t="n"/>
      <c r="D297" s="37" t="n"/>
      <c r="E297" s="37" t="n"/>
      <c r="F297" s="37" t="n"/>
      <c r="G297" s="37" t="n"/>
      <c r="H297" s="37" t="n"/>
      <c r="I297" s="38">
        <f>IF($A297="","",IFERROR($B297-$C297-$D297-$E297,0))</f>
        <v/>
      </c>
    </row>
    <row r="298">
      <c r="A298" s="37" t="n"/>
      <c r="B298" s="37" t="n"/>
      <c r="C298" s="37" t="n"/>
      <c r="D298" s="37" t="n"/>
      <c r="E298" s="37" t="n"/>
      <c r="F298" s="37" t="n"/>
      <c r="G298" s="37" t="n"/>
      <c r="H298" s="37" t="n"/>
      <c r="I298" s="38">
        <f>IF($A298="","",IFERROR($B298-$C298-$D298-$E298,0))</f>
        <v/>
      </c>
    </row>
    <row r="299">
      <c r="A299" s="37" t="n"/>
      <c r="B299" s="37" t="n"/>
      <c r="C299" s="37" t="n"/>
      <c r="D299" s="37" t="n"/>
      <c r="E299" s="37" t="n"/>
      <c r="F299" s="37" t="n"/>
      <c r="G299" s="37" t="n"/>
      <c r="H299" s="37" t="n"/>
      <c r="I299" s="38">
        <f>IF($A299="","",IFERROR($B299-$C299-$D299-$E299,0))</f>
        <v/>
      </c>
    </row>
    <row r="300">
      <c r="A300" s="37" t="n"/>
      <c r="B300" s="37" t="n"/>
      <c r="C300" s="37" t="n"/>
      <c r="D300" s="37" t="n"/>
      <c r="E300" s="37" t="n"/>
      <c r="F300" s="37" t="n"/>
      <c r="G300" s="37" t="n"/>
      <c r="H300" s="37" t="n"/>
      <c r="I300" s="38">
        <f>IF($A300="","",IFERROR($B300-$C300-$D300-$E300,0))</f>
        <v/>
      </c>
    </row>
    <row r="301">
      <c r="A301" s="37" t="n"/>
      <c r="B301" s="37" t="n"/>
      <c r="C301" s="37" t="n"/>
      <c r="D301" s="37" t="n"/>
      <c r="E301" s="37" t="n"/>
      <c r="F301" s="37" t="n"/>
      <c r="G301" s="37" t="n"/>
      <c r="H301" s="37" t="n"/>
      <c r="I301" s="38">
        <f>IF($A301="","",IFERROR($B301-$C301-$D301-$E301,0))</f>
        <v/>
      </c>
    </row>
    <row r="302">
      <c r="A302" s="37" t="n"/>
      <c r="B302" s="37" t="n"/>
      <c r="C302" s="37" t="n"/>
      <c r="D302" s="37" t="n"/>
      <c r="E302" s="37" t="n"/>
      <c r="F302" s="37" t="n"/>
      <c r="G302" s="37" t="n"/>
      <c r="H302" s="37" t="n"/>
      <c r="I302" s="38">
        <f>IF($A302="","",IFERROR($B302-$C302-$D302-$E302,0))</f>
        <v/>
      </c>
    </row>
    <row r="303">
      <c r="A303" s="37" t="n"/>
      <c r="B303" s="37" t="n"/>
      <c r="C303" s="37" t="n"/>
      <c r="D303" s="37" t="n"/>
      <c r="E303" s="37" t="n"/>
      <c r="F303" s="37" t="n"/>
      <c r="G303" s="37" t="n"/>
      <c r="H303" s="37" t="n"/>
      <c r="I303" s="38">
        <f>IF($A303="","",IFERROR($B303-$C303-$D303-$E303,0))</f>
        <v/>
      </c>
    </row>
    <row r="304">
      <c r="A304" s="37" t="n"/>
      <c r="B304" s="37" t="n"/>
      <c r="C304" s="37" t="n"/>
      <c r="D304" s="37" t="n"/>
      <c r="E304" s="37" t="n"/>
      <c r="F304" s="37" t="n"/>
      <c r="G304" s="37" t="n"/>
      <c r="H304" s="37" t="n"/>
      <c r="I304" s="38">
        <f>IF($A304="","",IFERROR($B304-$C304-$D304-$E304,0))</f>
        <v/>
      </c>
    </row>
    <row r="305">
      <c r="A305" s="37" t="n"/>
      <c r="B305" s="37" t="n"/>
      <c r="C305" s="37" t="n"/>
      <c r="D305" s="37" t="n"/>
      <c r="E305" s="37" t="n"/>
      <c r="F305" s="37" t="n"/>
      <c r="G305" s="37" t="n"/>
      <c r="H305" s="37" t="n"/>
      <c r="I305" s="38">
        <f>IF($A305="","",IFERROR($B305-$C305-$D305-$E305,0))</f>
        <v/>
      </c>
    </row>
    <row r="306">
      <c r="A306" s="37" t="n"/>
      <c r="B306" s="37" t="n"/>
      <c r="C306" s="37" t="n"/>
      <c r="D306" s="37" t="n"/>
      <c r="E306" s="37" t="n"/>
      <c r="F306" s="37" t="n"/>
      <c r="G306" s="37" t="n"/>
      <c r="H306" s="37" t="n"/>
      <c r="I306" s="38">
        <f>IF($A306="","",IFERROR($B306-$C306-$D306-$E306,0))</f>
        <v/>
      </c>
    </row>
    <row r="307">
      <c r="A307" s="37" t="n"/>
      <c r="B307" s="37" t="n"/>
      <c r="C307" s="37" t="n"/>
      <c r="D307" s="37" t="n"/>
      <c r="E307" s="37" t="n"/>
      <c r="F307" s="37" t="n"/>
      <c r="G307" s="37" t="n"/>
      <c r="H307" s="37" t="n"/>
      <c r="I307" s="38">
        <f>IF($A307="","",IFERROR($B307-$C307-$D307-$E307,0))</f>
        <v/>
      </c>
    </row>
    <row r="308">
      <c r="A308" s="37" t="n"/>
      <c r="B308" s="37" t="n"/>
      <c r="C308" s="37" t="n"/>
      <c r="D308" s="37" t="n"/>
      <c r="E308" s="37" t="n"/>
      <c r="F308" s="37" t="n"/>
      <c r="G308" s="37" t="n"/>
      <c r="H308" s="37" t="n"/>
      <c r="I308" s="38">
        <f>IF($A308="","",IFERROR($B308-$C308-$D308-$E308,0))</f>
        <v/>
      </c>
    </row>
    <row r="309">
      <c r="A309" s="37" t="n"/>
      <c r="B309" s="37" t="n"/>
      <c r="C309" s="37" t="n"/>
      <c r="D309" s="37" t="n"/>
      <c r="E309" s="37" t="n"/>
      <c r="F309" s="37" t="n"/>
      <c r="G309" s="37" t="n"/>
      <c r="H309" s="37" t="n"/>
      <c r="I309" s="38">
        <f>IF($A309="","",IFERROR($B309-$C309-$D309-$E309,0))</f>
        <v/>
      </c>
    </row>
    <row r="310">
      <c r="A310" s="37" t="n"/>
      <c r="B310" s="37" t="n"/>
      <c r="C310" s="37" t="n"/>
      <c r="D310" s="37" t="n"/>
      <c r="E310" s="37" t="n"/>
      <c r="F310" s="37" t="n"/>
      <c r="G310" s="37" t="n"/>
      <c r="H310" s="37" t="n"/>
      <c r="I310" s="38">
        <f>IF($A310="","",IFERROR($B310-$C310-$D310-$E310,0))</f>
        <v/>
      </c>
    </row>
    <row r="311">
      <c r="A311" s="37" t="n"/>
      <c r="B311" s="37" t="n"/>
      <c r="C311" s="37" t="n"/>
      <c r="D311" s="37" t="n"/>
      <c r="E311" s="37" t="n"/>
      <c r="F311" s="37" t="n"/>
      <c r="G311" s="37" t="n"/>
      <c r="H311" s="37" t="n"/>
      <c r="I311" s="38">
        <f>IF($A311="","",IFERROR($B311-$C311-$D311-$E311,0))</f>
        <v/>
      </c>
    </row>
    <row r="312">
      <c r="A312" s="37" t="n"/>
      <c r="B312" s="37" t="n"/>
      <c r="C312" s="37" t="n"/>
      <c r="D312" s="37" t="n"/>
      <c r="E312" s="37" t="n"/>
      <c r="F312" s="37" t="n"/>
      <c r="G312" s="37" t="n"/>
      <c r="H312" s="37" t="n"/>
      <c r="I312" s="38">
        <f>IF($A312="","",IFERROR($B312-$C312-$D312-$E312,0))</f>
        <v/>
      </c>
    </row>
    <row r="313">
      <c r="A313" s="37" t="n"/>
      <c r="B313" s="37" t="n"/>
      <c r="C313" s="37" t="n"/>
      <c r="D313" s="37" t="n"/>
      <c r="E313" s="37" t="n"/>
      <c r="F313" s="37" t="n"/>
      <c r="G313" s="37" t="n"/>
      <c r="H313" s="37" t="n"/>
      <c r="I313" s="38">
        <f>IF($A313="","",IFERROR($B313-$C313-$D313-$E313,0))</f>
        <v/>
      </c>
    </row>
    <row r="314">
      <c r="A314" s="37" t="n"/>
      <c r="B314" s="37" t="n"/>
      <c r="C314" s="37" t="n"/>
      <c r="D314" s="37" t="n"/>
      <c r="E314" s="37" t="n"/>
      <c r="F314" s="37" t="n"/>
      <c r="G314" s="37" t="n"/>
      <c r="H314" s="37" t="n"/>
      <c r="I314" s="38">
        <f>IF($A314="","",IFERROR($B314-$C314-$D314-$E314,0))</f>
        <v/>
      </c>
    </row>
    <row r="315">
      <c r="A315" s="37" t="n"/>
      <c r="B315" s="37" t="n"/>
      <c r="C315" s="37" t="n"/>
      <c r="D315" s="37" t="n"/>
      <c r="E315" s="37" t="n"/>
      <c r="F315" s="37" t="n"/>
      <c r="G315" s="37" t="n"/>
      <c r="H315" s="37" t="n"/>
      <c r="I315" s="38">
        <f>IF($A315="","",IFERROR($B315-$C315-$D315-$E315,0))</f>
        <v/>
      </c>
    </row>
    <row r="316">
      <c r="A316" s="37" t="n"/>
      <c r="B316" s="37" t="n"/>
      <c r="C316" s="37" t="n"/>
      <c r="D316" s="37" t="n"/>
      <c r="E316" s="37" t="n"/>
      <c r="F316" s="37" t="n"/>
      <c r="G316" s="37" t="n"/>
      <c r="H316" s="37" t="n"/>
      <c r="I316" s="38">
        <f>IF($A316="","",IFERROR($B316-$C316-$D316-$E316,0))</f>
        <v/>
      </c>
    </row>
    <row r="317">
      <c r="A317" s="37" t="n"/>
      <c r="B317" s="37" t="n"/>
      <c r="C317" s="37" t="n"/>
      <c r="D317" s="37" t="n"/>
      <c r="E317" s="37" t="n"/>
      <c r="F317" s="37" t="n"/>
      <c r="G317" s="37" t="n"/>
      <c r="H317" s="37" t="n"/>
      <c r="I317" s="38">
        <f>IF($A317="","",IFERROR($B317-$C317-$D317-$E317,0))</f>
        <v/>
      </c>
    </row>
    <row r="318">
      <c r="A318" s="37" t="n"/>
      <c r="B318" s="37" t="n"/>
      <c r="C318" s="37" t="n"/>
      <c r="D318" s="37" t="n"/>
      <c r="E318" s="37" t="n"/>
      <c r="F318" s="37" t="n"/>
      <c r="G318" s="37" t="n"/>
      <c r="H318" s="37" t="n"/>
      <c r="I318" s="38">
        <f>IF($A318="","",IFERROR($B318-$C318-$D318-$E318,0))</f>
        <v/>
      </c>
    </row>
    <row r="319">
      <c r="A319" s="37" t="n"/>
      <c r="B319" s="37" t="n"/>
      <c r="C319" s="37" t="n"/>
      <c r="D319" s="37" t="n"/>
      <c r="E319" s="37" t="n"/>
      <c r="F319" s="37" t="n"/>
      <c r="G319" s="37" t="n"/>
      <c r="H319" s="37" t="n"/>
      <c r="I319" s="38">
        <f>IF($A319="","",IFERROR($B319-$C319-$D319-$E319,0))</f>
        <v/>
      </c>
    </row>
    <row r="320">
      <c r="A320" s="37" t="n"/>
      <c r="B320" s="37" t="n"/>
      <c r="C320" s="37" t="n"/>
      <c r="D320" s="37" t="n"/>
      <c r="E320" s="37" t="n"/>
      <c r="F320" s="37" t="n"/>
      <c r="G320" s="37" t="n"/>
      <c r="H320" s="37" t="n"/>
      <c r="I320" s="38">
        <f>IF($A320="","",IFERROR($B320-$C320-$D320-$E320,0))</f>
        <v/>
      </c>
    </row>
    <row r="321">
      <c r="A321" s="37" t="n"/>
      <c r="B321" s="37" t="n"/>
      <c r="C321" s="37" t="n"/>
      <c r="D321" s="37" t="n"/>
      <c r="E321" s="37" t="n"/>
      <c r="F321" s="37" t="n"/>
      <c r="G321" s="37" t="n"/>
      <c r="H321" s="37" t="n"/>
      <c r="I321" s="38">
        <f>IF($A321="","",IFERROR($B321-$C321-$D321-$E321,0))</f>
        <v/>
      </c>
    </row>
    <row r="322">
      <c r="A322" s="37" t="n"/>
      <c r="B322" s="37" t="n"/>
      <c r="C322" s="37" t="n"/>
      <c r="D322" s="37" t="n"/>
      <c r="E322" s="37" t="n"/>
      <c r="F322" s="37" t="n"/>
      <c r="G322" s="37" t="n"/>
      <c r="H322" s="37" t="n"/>
      <c r="I322" s="38">
        <f>IF($A322="","",IFERROR($B322-$C322-$D322-$E322,0))</f>
        <v/>
      </c>
    </row>
    <row r="323">
      <c r="A323" s="37" t="n"/>
      <c r="B323" s="37" t="n"/>
      <c r="C323" s="37" t="n"/>
      <c r="D323" s="37" t="n"/>
      <c r="E323" s="37" t="n"/>
      <c r="F323" s="37" t="n"/>
      <c r="G323" s="37" t="n"/>
      <c r="H323" s="37" t="n"/>
      <c r="I323" s="38">
        <f>IF($A323="","",IFERROR($B323-$C323-$D323-$E323,0))</f>
        <v/>
      </c>
    </row>
    <row r="324">
      <c r="A324" s="37" t="n"/>
      <c r="B324" s="37" t="n"/>
      <c r="C324" s="37" t="n"/>
      <c r="D324" s="37" t="n"/>
      <c r="E324" s="37" t="n"/>
      <c r="F324" s="37" t="n"/>
      <c r="G324" s="37" t="n"/>
      <c r="H324" s="37" t="n"/>
      <c r="I324" s="38">
        <f>IF($A324="","",IFERROR($B324-$C324-$D324-$E324,0))</f>
        <v/>
      </c>
    </row>
    <row r="325">
      <c r="A325" s="37" t="n"/>
      <c r="B325" s="37" t="n"/>
      <c r="C325" s="37" t="n"/>
      <c r="D325" s="37" t="n"/>
      <c r="E325" s="37" t="n"/>
      <c r="F325" s="37" t="n"/>
      <c r="G325" s="37" t="n"/>
      <c r="H325" s="37" t="n"/>
      <c r="I325" s="38">
        <f>IF($A325="","",IFERROR($B325-$C325-$D325-$E325,0))</f>
        <v/>
      </c>
    </row>
    <row r="326">
      <c r="A326" s="37" t="n"/>
      <c r="B326" s="37" t="n"/>
      <c r="C326" s="37" t="n"/>
      <c r="D326" s="37" t="n"/>
      <c r="E326" s="37" t="n"/>
      <c r="F326" s="37" t="n"/>
      <c r="G326" s="37" t="n"/>
      <c r="H326" s="37" t="n"/>
      <c r="I326" s="38">
        <f>IF($A326="","",IFERROR($B326-$C326-$D326-$E326,0))</f>
        <v/>
      </c>
    </row>
    <row r="327">
      <c r="A327" s="37" t="n"/>
      <c r="B327" s="37" t="n"/>
      <c r="C327" s="37" t="n"/>
      <c r="D327" s="37" t="n"/>
      <c r="E327" s="37" t="n"/>
      <c r="F327" s="37" t="n"/>
      <c r="G327" s="37" t="n"/>
      <c r="H327" s="37" t="n"/>
      <c r="I327" s="38">
        <f>IF($A327="","",IFERROR($B327-$C327-$D327-$E327,0))</f>
        <v/>
      </c>
    </row>
    <row r="328">
      <c r="A328" s="37" t="n"/>
      <c r="B328" s="37" t="n"/>
      <c r="C328" s="37" t="n"/>
      <c r="D328" s="37" t="n"/>
      <c r="E328" s="37" t="n"/>
      <c r="F328" s="37" t="n"/>
      <c r="G328" s="37" t="n"/>
      <c r="H328" s="37" t="n"/>
      <c r="I328" s="38">
        <f>IF($A328="","",IFERROR($B328-$C328-$D328-$E328,0))</f>
        <v/>
      </c>
    </row>
    <row r="329">
      <c r="A329" s="37" t="n"/>
      <c r="B329" s="37" t="n"/>
      <c r="C329" s="37" t="n"/>
      <c r="D329" s="37" t="n"/>
      <c r="E329" s="37" t="n"/>
      <c r="F329" s="37" t="n"/>
      <c r="G329" s="37" t="n"/>
      <c r="H329" s="37" t="n"/>
      <c r="I329" s="38">
        <f>IF($A329="","",IFERROR($B329-$C329-$D329-$E329,0))</f>
        <v/>
      </c>
    </row>
    <row r="330">
      <c r="A330" s="37" t="n"/>
      <c r="B330" s="37" t="n"/>
      <c r="C330" s="37" t="n"/>
      <c r="D330" s="37" t="n"/>
      <c r="E330" s="37" t="n"/>
      <c r="F330" s="37" t="n"/>
      <c r="G330" s="37" t="n"/>
      <c r="H330" s="37" t="n"/>
      <c r="I330" s="38">
        <f>IF($A330="","",IFERROR($B330-$C330-$D330-$E330,0))</f>
        <v/>
      </c>
    </row>
    <row r="331">
      <c r="A331" s="37" t="n"/>
      <c r="B331" s="37" t="n"/>
      <c r="C331" s="37" t="n"/>
      <c r="D331" s="37" t="n"/>
      <c r="E331" s="37" t="n"/>
      <c r="F331" s="37" t="n"/>
      <c r="G331" s="37" t="n"/>
      <c r="H331" s="37" t="n"/>
      <c r="I331" s="38">
        <f>IF($A331="","",IFERROR($B331-$C331-$D331-$E331,0))</f>
        <v/>
      </c>
    </row>
    <row r="332">
      <c r="A332" s="37" t="n"/>
      <c r="B332" s="37" t="n"/>
      <c r="C332" s="37" t="n"/>
      <c r="D332" s="37" t="n"/>
      <c r="E332" s="37" t="n"/>
      <c r="F332" s="37" t="n"/>
      <c r="G332" s="37" t="n"/>
      <c r="H332" s="37" t="n"/>
      <c r="I332" s="38">
        <f>IF($A332="","",IFERROR($B332-$C332-$D332-$E332,0))</f>
        <v/>
      </c>
    </row>
    <row r="333">
      <c r="A333" s="37" t="n"/>
      <c r="B333" s="37" t="n"/>
      <c r="C333" s="37" t="n"/>
      <c r="D333" s="37" t="n"/>
      <c r="E333" s="37" t="n"/>
      <c r="F333" s="37" t="n"/>
      <c r="G333" s="37" t="n"/>
      <c r="H333" s="37" t="n"/>
      <c r="I333" s="38">
        <f>IF($A333="","",IFERROR($B333-$C333-$D333-$E333,0))</f>
        <v/>
      </c>
    </row>
    <row r="334">
      <c r="A334" s="37" t="n"/>
      <c r="B334" s="37" t="n"/>
      <c r="C334" s="37" t="n"/>
      <c r="D334" s="37" t="n"/>
      <c r="E334" s="37" t="n"/>
      <c r="F334" s="37" t="n"/>
      <c r="G334" s="37" t="n"/>
      <c r="H334" s="37" t="n"/>
      <c r="I334" s="38">
        <f>IF($A334="","",IFERROR($B334-$C334-$D334-$E334,0))</f>
        <v/>
      </c>
    </row>
    <row r="335">
      <c r="A335" s="37" t="n"/>
      <c r="B335" s="37" t="n"/>
      <c r="C335" s="37" t="n"/>
      <c r="D335" s="37" t="n"/>
      <c r="E335" s="37" t="n"/>
      <c r="F335" s="37" t="n"/>
      <c r="G335" s="37" t="n"/>
      <c r="H335" s="37" t="n"/>
      <c r="I335" s="38">
        <f>IF($A335="","",IFERROR($B335-$C335-$D335-$E335,0))</f>
        <v/>
      </c>
    </row>
    <row r="336">
      <c r="A336" s="37" t="n"/>
      <c r="B336" s="37" t="n"/>
      <c r="C336" s="37" t="n"/>
      <c r="D336" s="37" t="n"/>
      <c r="E336" s="37" t="n"/>
      <c r="F336" s="37" t="n"/>
      <c r="G336" s="37" t="n"/>
      <c r="H336" s="37" t="n"/>
      <c r="I336" s="38">
        <f>IF($A336="","",IFERROR($B336-$C336-$D336-$E336,0))</f>
        <v/>
      </c>
    </row>
    <row r="337">
      <c r="A337" s="37" t="n"/>
      <c r="B337" s="37" t="n"/>
      <c r="C337" s="37" t="n"/>
      <c r="D337" s="37" t="n"/>
      <c r="E337" s="37" t="n"/>
      <c r="F337" s="37" t="n"/>
      <c r="G337" s="37" t="n"/>
      <c r="H337" s="37" t="n"/>
      <c r="I337" s="38">
        <f>IF($A337="","",IFERROR($B337-$C337-$D337-$E337,0))</f>
        <v/>
      </c>
    </row>
    <row r="338">
      <c r="A338" s="37" t="n"/>
      <c r="B338" s="37" t="n"/>
      <c r="C338" s="37" t="n"/>
      <c r="D338" s="37" t="n"/>
      <c r="E338" s="37" t="n"/>
      <c r="F338" s="37" t="n"/>
      <c r="G338" s="37" t="n"/>
      <c r="H338" s="37" t="n"/>
      <c r="I338" s="38">
        <f>IF($A338="","",IFERROR($B338-$C338-$D338-$E338,0))</f>
        <v/>
      </c>
    </row>
    <row r="339">
      <c r="A339" s="37" t="n"/>
      <c r="B339" s="37" t="n"/>
      <c r="C339" s="37" t="n"/>
      <c r="D339" s="37" t="n"/>
      <c r="E339" s="37" t="n"/>
      <c r="F339" s="37" t="n"/>
      <c r="G339" s="37" t="n"/>
      <c r="H339" s="37" t="n"/>
      <c r="I339" s="38">
        <f>IF($A339="","",IFERROR($B339-$C339-$D339-$E339,0))</f>
        <v/>
      </c>
    </row>
    <row r="340">
      <c r="A340" s="37" t="n"/>
      <c r="B340" s="37" t="n"/>
      <c r="C340" s="37" t="n"/>
      <c r="D340" s="37" t="n"/>
      <c r="E340" s="37" t="n"/>
      <c r="F340" s="37" t="n"/>
      <c r="G340" s="37" t="n"/>
      <c r="H340" s="37" t="n"/>
      <c r="I340" s="38">
        <f>IF($A340="","",IFERROR($B340-$C340-$D340-$E340,0))</f>
        <v/>
      </c>
    </row>
    <row r="341">
      <c r="A341" s="37" t="n"/>
      <c r="B341" s="37" t="n"/>
      <c r="C341" s="37" t="n"/>
      <c r="D341" s="37" t="n"/>
      <c r="E341" s="37" t="n"/>
      <c r="F341" s="37" t="n"/>
      <c r="G341" s="37" t="n"/>
      <c r="H341" s="37" t="n"/>
      <c r="I341" s="38">
        <f>IF($A341="","",IFERROR($B341-$C341-$D341-$E341,0))</f>
        <v/>
      </c>
    </row>
    <row r="342">
      <c r="A342" s="37" t="n"/>
      <c r="B342" s="37" t="n"/>
      <c r="C342" s="37" t="n"/>
      <c r="D342" s="37" t="n"/>
      <c r="E342" s="37" t="n"/>
      <c r="F342" s="37" t="n"/>
      <c r="G342" s="37" t="n"/>
      <c r="H342" s="37" t="n"/>
      <c r="I342" s="38">
        <f>IF($A342="","",IFERROR($B342-$C342-$D342-$E342,0))</f>
        <v/>
      </c>
    </row>
    <row r="343">
      <c r="A343" s="37" t="n"/>
      <c r="B343" s="37" t="n"/>
      <c r="C343" s="37" t="n"/>
      <c r="D343" s="37" t="n"/>
      <c r="E343" s="37" t="n"/>
      <c r="F343" s="37" t="n"/>
      <c r="G343" s="37" t="n"/>
      <c r="H343" s="37" t="n"/>
      <c r="I343" s="38">
        <f>IF($A343="","",IFERROR($B343-$C343-$D343-$E343,0))</f>
        <v/>
      </c>
    </row>
    <row r="344">
      <c r="A344" s="37" t="n"/>
      <c r="B344" s="37" t="n"/>
      <c r="C344" s="37" t="n"/>
      <c r="D344" s="37" t="n"/>
      <c r="E344" s="37" t="n"/>
      <c r="F344" s="37" t="n"/>
      <c r="G344" s="37" t="n"/>
      <c r="H344" s="37" t="n"/>
      <c r="I344" s="38">
        <f>IF($A344="","",IFERROR($B344-$C344-$D344-$E344,0))</f>
        <v/>
      </c>
    </row>
    <row r="345">
      <c r="A345" s="37" t="n"/>
      <c r="B345" s="37" t="n"/>
      <c r="C345" s="37" t="n"/>
      <c r="D345" s="37" t="n"/>
      <c r="E345" s="37" t="n"/>
      <c r="F345" s="37" t="n"/>
      <c r="G345" s="37" t="n"/>
      <c r="H345" s="37" t="n"/>
      <c r="I345" s="38">
        <f>IF($A345="","",IFERROR($B345-$C345-$D345-$E345,0))</f>
        <v/>
      </c>
    </row>
    <row r="346">
      <c r="A346" s="37" t="n"/>
      <c r="B346" s="37" t="n"/>
      <c r="C346" s="37" t="n"/>
      <c r="D346" s="37" t="n"/>
      <c r="E346" s="37" t="n"/>
      <c r="F346" s="37" t="n"/>
      <c r="G346" s="37" t="n"/>
      <c r="H346" s="37" t="n"/>
      <c r="I346" s="38">
        <f>IF($A346="","",IFERROR($B346-$C346-$D346-$E346,0))</f>
        <v/>
      </c>
    </row>
    <row r="347">
      <c r="A347" s="37" t="n"/>
      <c r="B347" s="37" t="n"/>
      <c r="C347" s="37" t="n"/>
      <c r="D347" s="37" t="n"/>
      <c r="E347" s="37" t="n"/>
      <c r="F347" s="37" t="n"/>
      <c r="G347" s="37" t="n"/>
      <c r="H347" s="37" t="n"/>
      <c r="I347" s="38">
        <f>IF($A347="","",IFERROR($B347-$C347-$D347-$E347,0))</f>
        <v/>
      </c>
    </row>
    <row r="348">
      <c r="A348" s="37" t="n"/>
      <c r="B348" s="37" t="n"/>
      <c r="C348" s="37" t="n"/>
      <c r="D348" s="37" t="n"/>
      <c r="E348" s="37" t="n"/>
      <c r="F348" s="37" t="n"/>
      <c r="G348" s="37" t="n"/>
      <c r="H348" s="37" t="n"/>
      <c r="I348" s="38">
        <f>IF($A348="","",IFERROR($B348-$C348-$D348-$E348,0))</f>
        <v/>
      </c>
    </row>
    <row r="349">
      <c r="A349" s="37" t="n"/>
      <c r="B349" s="37" t="n"/>
      <c r="C349" s="37" t="n"/>
      <c r="D349" s="37" t="n"/>
      <c r="E349" s="37" t="n"/>
      <c r="F349" s="37" t="n"/>
      <c r="G349" s="37" t="n"/>
      <c r="H349" s="37" t="n"/>
      <c r="I349" s="38">
        <f>IF($A349="","",IFERROR($B349-$C349-$D349-$E349,0))</f>
        <v/>
      </c>
    </row>
    <row r="350">
      <c r="A350" s="37" t="n"/>
      <c r="B350" s="37" t="n"/>
      <c r="C350" s="37" t="n"/>
      <c r="D350" s="37" t="n"/>
      <c r="E350" s="37" t="n"/>
      <c r="F350" s="37" t="n"/>
      <c r="G350" s="37" t="n"/>
      <c r="H350" s="37" t="n"/>
      <c r="I350" s="38">
        <f>IF($A350="","",IFERROR($B350-$C350-$D350-$E350,0))</f>
        <v/>
      </c>
    </row>
    <row r="351">
      <c r="A351" s="37" t="n"/>
      <c r="B351" s="37" t="n"/>
      <c r="C351" s="37" t="n"/>
      <c r="D351" s="37" t="n"/>
      <c r="E351" s="37" t="n"/>
      <c r="F351" s="37" t="n"/>
      <c r="G351" s="37" t="n"/>
      <c r="H351" s="37" t="n"/>
      <c r="I351" s="38">
        <f>IF($A351="","",IFERROR($B351-$C351-$D351-$E351,0))</f>
        <v/>
      </c>
    </row>
    <row r="352">
      <c r="A352" s="37" t="n"/>
      <c r="B352" s="37" t="n"/>
      <c r="C352" s="37" t="n"/>
      <c r="D352" s="37" t="n"/>
      <c r="E352" s="37" t="n"/>
      <c r="F352" s="37" t="n"/>
      <c r="G352" s="37" t="n"/>
      <c r="H352" s="37" t="n"/>
      <c r="I352" s="38">
        <f>IF($A352="","",IFERROR($B352-$C352-$D352-$E352,0))</f>
        <v/>
      </c>
    </row>
    <row r="353">
      <c r="A353" s="37" t="n"/>
      <c r="B353" s="37" t="n"/>
      <c r="C353" s="37" t="n"/>
      <c r="D353" s="37" t="n"/>
      <c r="E353" s="37" t="n"/>
      <c r="F353" s="37" t="n"/>
      <c r="G353" s="37" t="n"/>
      <c r="H353" s="37" t="n"/>
      <c r="I353" s="38">
        <f>IF($A353="","",IFERROR($B353-$C353-$D353-$E353,0))</f>
        <v/>
      </c>
    </row>
    <row r="354">
      <c r="A354" s="37" t="n"/>
      <c r="B354" s="37" t="n"/>
      <c r="C354" s="37" t="n"/>
      <c r="D354" s="37" t="n"/>
      <c r="E354" s="37" t="n"/>
      <c r="F354" s="37" t="n"/>
      <c r="G354" s="37" t="n"/>
      <c r="H354" s="37" t="n"/>
      <c r="I354" s="38">
        <f>IF($A354="","",IFERROR($B354-$C354-$D354-$E354,0))</f>
        <v/>
      </c>
    </row>
    <row r="355">
      <c r="A355" s="37" t="n"/>
      <c r="B355" s="37" t="n"/>
      <c r="C355" s="37" t="n"/>
      <c r="D355" s="37" t="n"/>
      <c r="E355" s="37" t="n"/>
      <c r="F355" s="37" t="n"/>
      <c r="G355" s="37" t="n"/>
      <c r="H355" s="37" t="n"/>
      <c r="I355" s="38">
        <f>IF($A355="","",IFERROR($B355-$C355-$D355-$E355,0))</f>
        <v/>
      </c>
    </row>
    <row r="356">
      <c r="A356" s="37" t="n"/>
      <c r="B356" s="37" t="n"/>
      <c r="C356" s="37" t="n"/>
      <c r="D356" s="37" t="n"/>
      <c r="E356" s="37" t="n"/>
      <c r="F356" s="37" t="n"/>
      <c r="G356" s="37" t="n"/>
      <c r="H356" s="37" t="n"/>
      <c r="I356" s="38">
        <f>IF($A356="","",IFERROR($B356-$C356-$D356-$E356,0))</f>
        <v/>
      </c>
    </row>
    <row r="357">
      <c r="A357" s="37" t="n"/>
      <c r="B357" s="37" t="n"/>
      <c r="C357" s="37" t="n"/>
      <c r="D357" s="37" t="n"/>
      <c r="E357" s="37" t="n"/>
      <c r="F357" s="37" t="n"/>
      <c r="G357" s="37" t="n"/>
      <c r="H357" s="37" t="n"/>
      <c r="I357" s="38">
        <f>IF($A357="","",IFERROR($B357-$C357-$D357-$E357,0))</f>
        <v/>
      </c>
    </row>
    <row r="358">
      <c r="A358" s="37" t="n"/>
      <c r="B358" s="37" t="n"/>
      <c r="C358" s="37" t="n"/>
      <c r="D358" s="37" t="n"/>
      <c r="E358" s="37" t="n"/>
      <c r="F358" s="37" t="n"/>
      <c r="G358" s="37" t="n"/>
      <c r="H358" s="37" t="n"/>
      <c r="I358" s="38">
        <f>IF($A358="","",IFERROR($B358-$C358-$D358-$E358,0))</f>
        <v/>
      </c>
    </row>
    <row r="359">
      <c r="A359" s="37" t="n"/>
      <c r="B359" s="37" t="n"/>
      <c r="C359" s="37" t="n"/>
      <c r="D359" s="37" t="n"/>
      <c r="E359" s="37" t="n"/>
      <c r="F359" s="37" t="n"/>
      <c r="G359" s="37" t="n"/>
      <c r="H359" s="37" t="n"/>
      <c r="I359" s="38">
        <f>IF($A359="","",IFERROR($B359-$C359-$D359-$E359,0))</f>
        <v/>
      </c>
    </row>
    <row r="360">
      <c r="A360" s="37" t="n"/>
      <c r="B360" s="37" t="n"/>
      <c r="C360" s="37" t="n"/>
      <c r="D360" s="37" t="n"/>
      <c r="E360" s="37" t="n"/>
      <c r="F360" s="37" t="n"/>
      <c r="G360" s="37" t="n"/>
      <c r="H360" s="37" t="n"/>
      <c r="I360" s="38">
        <f>IF($A360="","",IFERROR($B360-$C360-$D360-$E360,0))</f>
        <v/>
      </c>
    </row>
    <row r="361">
      <c r="A361" s="37" t="n"/>
      <c r="B361" s="37" t="n"/>
      <c r="C361" s="37" t="n"/>
      <c r="D361" s="37" t="n"/>
      <c r="E361" s="37" t="n"/>
      <c r="F361" s="37" t="n"/>
      <c r="G361" s="37" t="n"/>
      <c r="H361" s="37" t="n"/>
      <c r="I361" s="38">
        <f>IF($A361="","",IFERROR($B361-$C361-$D361-$E361,0))</f>
        <v/>
      </c>
    </row>
    <row r="362">
      <c r="A362" s="37" t="n"/>
      <c r="B362" s="37" t="n"/>
      <c r="C362" s="37" t="n"/>
      <c r="D362" s="37" t="n"/>
      <c r="E362" s="37" t="n"/>
      <c r="F362" s="37" t="n"/>
      <c r="G362" s="37" t="n"/>
      <c r="H362" s="37" t="n"/>
      <c r="I362" s="38">
        <f>IF($A362="","",IFERROR($B362-$C362-$D362-$E362,0))</f>
        <v/>
      </c>
    </row>
    <row r="363">
      <c r="A363" s="37" t="n"/>
      <c r="B363" s="37" t="n"/>
      <c r="C363" s="37" t="n"/>
      <c r="D363" s="37" t="n"/>
      <c r="E363" s="37" t="n"/>
      <c r="F363" s="37" t="n"/>
      <c r="G363" s="37" t="n"/>
      <c r="H363" s="37" t="n"/>
      <c r="I363" s="38">
        <f>IF($A363="","",IFERROR($B363-$C363-$D363-$E363,0))</f>
        <v/>
      </c>
    </row>
    <row r="364">
      <c r="A364" s="37" t="n"/>
      <c r="B364" s="37" t="n"/>
      <c r="C364" s="37" t="n"/>
      <c r="D364" s="37" t="n"/>
      <c r="E364" s="37" t="n"/>
      <c r="F364" s="37" t="n"/>
      <c r="G364" s="37" t="n"/>
      <c r="H364" s="37" t="n"/>
      <c r="I364" s="38">
        <f>IF($A364="","",IFERROR($B364-$C364-$D364-$E364,0))</f>
        <v/>
      </c>
    </row>
    <row r="365">
      <c r="A365" s="37" t="n"/>
      <c r="B365" s="37" t="n"/>
      <c r="C365" s="37" t="n"/>
      <c r="D365" s="37" t="n"/>
      <c r="E365" s="37" t="n"/>
      <c r="F365" s="37" t="n"/>
      <c r="G365" s="37" t="n"/>
      <c r="H365" s="37" t="n"/>
      <c r="I365" s="38">
        <f>IF($A365="","",IFERROR($B365-$C365-$D365-$E365,0))</f>
        <v/>
      </c>
    </row>
    <row r="366">
      <c r="A366" s="37" t="n"/>
      <c r="B366" s="37" t="n"/>
      <c r="C366" s="37" t="n"/>
      <c r="D366" s="37" t="n"/>
      <c r="E366" s="37" t="n"/>
      <c r="F366" s="37" t="n"/>
      <c r="G366" s="37" t="n"/>
      <c r="H366" s="37" t="n"/>
      <c r="I366" s="38">
        <f>IF($A366="","",IFERROR($B366-$C366-$D366-$E366,0))</f>
        <v/>
      </c>
    </row>
    <row r="367">
      <c r="A367" s="37" t="n"/>
      <c r="B367" s="37" t="n"/>
      <c r="C367" s="37" t="n"/>
      <c r="D367" s="37" t="n"/>
      <c r="E367" s="37" t="n"/>
      <c r="F367" s="37" t="n"/>
      <c r="G367" s="37" t="n"/>
      <c r="H367" s="37" t="n"/>
      <c r="I367" s="38">
        <f>IF($A367="","",IFERROR($B367-$C367-$D367-$E367,0))</f>
        <v/>
      </c>
    </row>
    <row r="368">
      <c r="A368" s="37" t="n"/>
      <c r="B368" s="37" t="n"/>
      <c r="C368" s="37" t="n"/>
      <c r="D368" s="37" t="n"/>
      <c r="E368" s="37" t="n"/>
      <c r="F368" s="37" t="n"/>
      <c r="G368" s="37" t="n"/>
      <c r="H368" s="37" t="n"/>
      <c r="I368" s="38">
        <f>IF($A368="","",IFERROR($B368-$C368-$D368-$E368,0))</f>
        <v/>
      </c>
    </row>
    <row r="369">
      <c r="A369" s="37" t="n"/>
      <c r="B369" s="37" t="n"/>
      <c r="C369" s="37" t="n"/>
      <c r="D369" s="37" t="n"/>
      <c r="E369" s="37" t="n"/>
      <c r="F369" s="37" t="n"/>
      <c r="G369" s="37" t="n"/>
      <c r="H369" s="37" t="n"/>
      <c r="I369" s="38">
        <f>IF($A369="","",IFERROR($B369-$C369-$D369-$E369,0))</f>
        <v/>
      </c>
    </row>
    <row r="370">
      <c r="A370" s="37" t="n"/>
      <c r="B370" s="37" t="n"/>
      <c r="C370" s="37" t="n"/>
      <c r="D370" s="37" t="n"/>
      <c r="E370" s="37" t="n"/>
      <c r="F370" s="37" t="n"/>
      <c r="G370" s="37" t="n"/>
      <c r="H370" s="37" t="n"/>
      <c r="I370" s="38">
        <f>IF($A370="","",IFERROR($B370-$C370-$D370-$E370,0))</f>
        <v/>
      </c>
    </row>
    <row r="371">
      <c r="A371" s="37" t="n"/>
      <c r="B371" s="37" t="n"/>
      <c r="C371" s="37" t="n"/>
      <c r="D371" s="37" t="n"/>
      <c r="E371" s="37" t="n"/>
      <c r="F371" s="37" t="n"/>
      <c r="G371" s="37" t="n"/>
      <c r="H371" s="37" t="n"/>
      <c r="I371" s="38">
        <f>IF($A371="","",IFERROR($B371-$C371-$D371-$E371,0))</f>
        <v/>
      </c>
    </row>
    <row r="372">
      <c r="A372" s="37" t="n"/>
      <c r="B372" s="37" t="n"/>
      <c r="C372" s="37" t="n"/>
      <c r="D372" s="37" t="n"/>
      <c r="E372" s="37" t="n"/>
      <c r="F372" s="37" t="n"/>
      <c r="G372" s="37" t="n"/>
      <c r="H372" s="37" t="n"/>
      <c r="I372" s="38">
        <f>IF($A372="","",IFERROR($B372-$C372-$D372-$E372,0))</f>
        <v/>
      </c>
    </row>
    <row r="373">
      <c r="A373" s="37" t="n"/>
      <c r="B373" s="37" t="n"/>
      <c r="C373" s="37" t="n"/>
      <c r="D373" s="37" t="n"/>
      <c r="E373" s="37" t="n"/>
      <c r="F373" s="37" t="n"/>
      <c r="G373" s="37" t="n"/>
      <c r="H373" s="37" t="n"/>
      <c r="I373" s="38">
        <f>IF($A373="","",IFERROR($B373-$C373-$D373-$E373,0))</f>
        <v/>
      </c>
    </row>
    <row r="374">
      <c r="A374" s="37" t="n"/>
      <c r="B374" s="37" t="n"/>
      <c r="C374" s="37" t="n"/>
      <c r="D374" s="37" t="n"/>
      <c r="E374" s="37" t="n"/>
      <c r="F374" s="37" t="n"/>
      <c r="G374" s="37" t="n"/>
      <c r="H374" s="37" t="n"/>
      <c r="I374" s="38">
        <f>IF($A374="","",IFERROR($B374-$C374-$D374-$E374,0))</f>
        <v/>
      </c>
    </row>
    <row r="375">
      <c r="A375" s="37" t="n"/>
      <c r="B375" s="37" t="n"/>
      <c r="C375" s="37" t="n"/>
      <c r="D375" s="37" t="n"/>
      <c r="E375" s="37" t="n"/>
      <c r="F375" s="37" t="n"/>
      <c r="G375" s="37" t="n"/>
      <c r="H375" s="37" t="n"/>
      <c r="I375" s="38">
        <f>IF($A375="","",IFERROR($B375-$C375-$D375-$E375,0))</f>
        <v/>
      </c>
    </row>
    <row r="376">
      <c r="A376" s="37" t="n"/>
      <c r="B376" s="37" t="n"/>
      <c r="C376" s="37" t="n"/>
      <c r="D376" s="37" t="n"/>
      <c r="E376" s="37" t="n"/>
      <c r="F376" s="37" t="n"/>
      <c r="G376" s="37" t="n"/>
      <c r="H376" s="37" t="n"/>
      <c r="I376" s="38">
        <f>IF($A376="","",IFERROR($B376-$C376-$D376-$E376,0))</f>
        <v/>
      </c>
    </row>
    <row r="377">
      <c r="A377" s="37" t="n"/>
      <c r="B377" s="37" t="n"/>
      <c r="C377" s="37" t="n"/>
      <c r="D377" s="37" t="n"/>
      <c r="E377" s="37" t="n"/>
      <c r="F377" s="37" t="n"/>
      <c r="G377" s="37" t="n"/>
      <c r="H377" s="37" t="n"/>
      <c r="I377" s="38">
        <f>IF($A377="","",IFERROR($B377-$C377-$D377-$E377,0))</f>
        <v/>
      </c>
    </row>
    <row r="378">
      <c r="A378" s="37" t="n"/>
      <c r="B378" s="37" t="n"/>
      <c r="C378" s="37" t="n"/>
      <c r="D378" s="37" t="n"/>
      <c r="E378" s="37" t="n"/>
      <c r="F378" s="37" t="n"/>
      <c r="G378" s="37" t="n"/>
      <c r="H378" s="37" t="n"/>
      <c r="I378" s="38">
        <f>IF($A378="","",IFERROR($B378-$C378-$D378-$E378,0))</f>
        <v/>
      </c>
    </row>
    <row r="379">
      <c r="A379" s="37" t="n"/>
      <c r="B379" s="37" t="n"/>
      <c r="C379" s="37" t="n"/>
      <c r="D379" s="37" t="n"/>
      <c r="E379" s="37" t="n"/>
      <c r="F379" s="37" t="n"/>
      <c r="G379" s="37" t="n"/>
      <c r="H379" s="37" t="n"/>
      <c r="I379" s="38">
        <f>IF($A379="","",IFERROR($B379-$C379-$D379-$E379,0))</f>
        <v/>
      </c>
    </row>
    <row r="380">
      <c r="A380" s="37" t="n"/>
      <c r="B380" s="37" t="n"/>
      <c r="C380" s="37" t="n"/>
      <c r="D380" s="37" t="n"/>
      <c r="E380" s="37" t="n"/>
      <c r="F380" s="37" t="n"/>
      <c r="G380" s="37" t="n"/>
      <c r="H380" s="37" t="n"/>
      <c r="I380" s="38">
        <f>IF($A380="","",IFERROR($B380-$C380-$D380-$E380,0))</f>
        <v/>
      </c>
    </row>
    <row r="381">
      <c r="A381" s="37" t="n"/>
      <c r="B381" s="37" t="n"/>
      <c r="C381" s="37" t="n"/>
      <c r="D381" s="37" t="n"/>
      <c r="E381" s="37" t="n"/>
      <c r="F381" s="37" t="n"/>
      <c r="G381" s="37" t="n"/>
      <c r="H381" s="37" t="n"/>
      <c r="I381" s="38">
        <f>IF($A381="","",IFERROR($B381-$C381-$D381-$E381,0))</f>
        <v/>
      </c>
    </row>
    <row r="382">
      <c r="A382" s="37" t="n"/>
      <c r="B382" s="37" t="n"/>
      <c r="C382" s="37" t="n"/>
      <c r="D382" s="37" t="n"/>
      <c r="E382" s="37" t="n"/>
      <c r="F382" s="37" t="n"/>
      <c r="G382" s="37" t="n"/>
      <c r="H382" s="37" t="n"/>
      <c r="I382" s="38">
        <f>IF($A382="","",IFERROR($B382-$C382-$D382-$E382,0))</f>
        <v/>
      </c>
    </row>
    <row r="383">
      <c r="A383" s="37" t="n"/>
      <c r="B383" s="37" t="n"/>
      <c r="C383" s="37" t="n"/>
      <c r="D383" s="37" t="n"/>
      <c r="E383" s="37" t="n"/>
      <c r="F383" s="37" t="n"/>
      <c r="G383" s="37" t="n"/>
      <c r="H383" s="37" t="n"/>
      <c r="I383" s="38">
        <f>IF($A383="","",IFERROR($B383-$C383-$D383-$E383,0))</f>
        <v/>
      </c>
    </row>
    <row r="384">
      <c r="A384" s="37" t="n"/>
      <c r="B384" s="37" t="n"/>
      <c r="C384" s="37" t="n"/>
      <c r="D384" s="37" t="n"/>
      <c r="E384" s="37" t="n"/>
      <c r="F384" s="37" t="n"/>
      <c r="G384" s="37" t="n"/>
      <c r="H384" s="37" t="n"/>
      <c r="I384" s="38">
        <f>IF($A384="","",IFERROR($B384-$C384-$D384-$E384,0))</f>
        <v/>
      </c>
    </row>
    <row r="385">
      <c r="A385" s="37" t="n"/>
      <c r="B385" s="37" t="n"/>
      <c r="C385" s="37" t="n"/>
      <c r="D385" s="37" t="n"/>
      <c r="E385" s="37" t="n"/>
      <c r="F385" s="37" t="n"/>
      <c r="G385" s="37" t="n"/>
      <c r="H385" s="37" t="n"/>
      <c r="I385" s="38">
        <f>IF($A385="","",IFERROR($B385-$C385-$D385-$E385,0))</f>
        <v/>
      </c>
    </row>
    <row r="386">
      <c r="A386" s="37" t="n"/>
      <c r="B386" s="37" t="n"/>
      <c r="C386" s="37" t="n"/>
      <c r="D386" s="37" t="n"/>
      <c r="E386" s="37" t="n"/>
      <c r="F386" s="37" t="n"/>
      <c r="G386" s="37" t="n"/>
      <c r="H386" s="37" t="n"/>
      <c r="I386" s="38">
        <f>IF($A386="","",IFERROR($B386-$C386-$D386-$E386,0))</f>
        <v/>
      </c>
    </row>
    <row r="387">
      <c r="A387" s="37" t="n"/>
      <c r="B387" s="37" t="n"/>
      <c r="C387" s="37" t="n"/>
      <c r="D387" s="37" t="n"/>
      <c r="E387" s="37" t="n"/>
      <c r="F387" s="37" t="n"/>
      <c r="G387" s="37" t="n"/>
      <c r="H387" s="37" t="n"/>
      <c r="I387" s="38">
        <f>IF($A387="","",IFERROR($B387-$C387-$D387-$E387,0))</f>
        <v/>
      </c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8">
        <f>IF($A388="","",IFERROR($B388-$C388-$D388-$E388,0))</f>
        <v/>
      </c>
    </row>
    <row r="389">
      <c r="A389" s="37" t="n"/>
      <c r="B389" s="37" t="n"/>
      <c r="C389" s="37" t="n"/>
      <c r="D389" s="37" t="n"/>
      <c r="E389" s="37" t="n"/>
      <c r="F389" s="37" t="n"/>
      <c r="G389" s="37" t="n"/>
      <c r="H389" s="37" t="n"/>
      <c r="I389" s="38">
        <f>IF($A389="","",IFERROR($B389-$C389-$D389-$E389,0))</f>
        <v/>
      </c>
    </row>
    <row r="390">
      <c r="A390" s="37" t="n"/>
      <c r="B390" s="37" t="n"/>
      <c r="C390" s="37" t="n"/>
      <c r="D390" s="37" t="n"/>
      <c r="E390" s="37" t="n"/>
      <c r="F390" s="37" t="n"/>
      <c r="G390" s="37" t="n"/>
      <c r="H390" s="37" t="n"/>
      <c r="I390" s="38">
        <f>IF($A390="","",IFERROR($B390-$C390-$D390-$E390,0))</f>
        <v/>
      </c>
    </row>
    <row r="391">
      <c r="A391" s="37" t="n"/>
      <c r="B391" s="37" t="n"/>
      <c r="C391" s="37" t="n"/>
      <c r="D391" s="37" t="n"/>
      <c r="E391" s="37" t="n"/>
      <c r="F391" s="37" t="n"/>
      <c r="G391" s="37" t="n"/>
      <c r="H391" s="37" t="n"/>
      <c r="I391" s="38">
        <f>IF($A391="","",IFERROR($B391-$C391-$D391-$E391,0))</f>
        <v/>
      </c>
    </row>
    <row r="392">
      <c r="A392" s="37" t="n"/>
      <c r="B392" s="37" t="n"/>
      <c r="C392" s="37" t="n"/>
      <c r="D392" s="37" t="n"/>
      <c r="E392" s="37" t="n"/>
      <c r="F392" s="37" t="n"/>
      <c r="G392" s="37" t="n"/>
      <c r="H392" s="37" t="n"/>
      <c r="I392" s="38">
        <f>IF($A392="","",IFERROR($B392-$C392-$D392-$E392,0))</f>
        <v/>
      </c>
    </row>
    <row r="393">
      <c r="A393" s="37" t="n"/>
      <c r="B393" s="37" t="n"/>
      <c r="C393" s="37" t="n"/>
      <c r="D393" s="37" t="n"/>
      <c r="E393" s="37" t="n"/>
      <c r="F393" s="37" t="n"/>
      <c r="G393" s="37" t="n"/>
      <c r="H393" s="37" t="n"/>
      <c r="I393" s="38">
        <f>IF($A393="","",IFERROR($B393-$C393-$D393-$E393,0))</f>
        <v/>
      </c>
    </row>
    <row r="394">
      <c r="A394" s="37" t="n"/>
      <c r="B394" s="37" t="n"/>
      <c r="C394" s="37" t="n"/>
      <c r="D394" s="37" t="n"/>
      <c r="E394" s="37" t="n"/>
      <c r="F394" s="37" t="n"/>
      <c r="G394" s="37" t="n"/>
      <c r="H394" s="37" t="n"/>
      <c r="I394" s="38">
        <f>IF($A394="","",IFERROR($B394-$C394-$D394-$E394,0))</f>
        <v/>
      </c>
    </row>
    <row r="395">
      <c r="A395" s="37" t="n"/>
      <c r="B395" s="37" t="n"/>
      <c r="C395" s="37" t="n"/>
      <c r="D395" s="37" t="n"/>
      <c r="E395" s="37" t="n"/>
      <c r="F395" s="37" t="n"/>
      <c r="G395" s="37" t="n"/>
      <c r="H395" s="37" t="n"/>
      <c r="I395" s="38">
        <f>IF($A395="","",IFERROR($B395-$C395-$D395-$E395,0))</f>
        <v/>
      </c>
    </row>
    <row r="396">
      <c r="A396" s="37" t="n"/>
      <c r="B396" s="37" t="n"/>
      <c r="C396" s="37" t="n"/>
      <c r="D396" s="37" t="n"/>
      <c r="E396" s="37" t="n"/>
      <c r="F396" s="37" t="n"/>
      <c r="G396" s="37" t="n"/>
      <c r="H396" s="37" t="n"/>
      <c r="I396" s="38">
        <f>IF($A396="","",IFERROR($B396-$C396-$D396-$E396,0))</f>
        <v/>
      </c>
    </row>
    <row r="397">
      <c r="A397" s="37" t="n"/>
      <c r="B397" s="37" t="n"/>
      <c r="C397" s="37" t="n"/>
      <c r="D397" s="37" t="n"/>
      <c r="E397" s="37" t="n"/>
      <c r="F397" s="37" t="n"/>
      <c r="G397" s="37" t="n"/>
      <c r="H397" s="37" t="n"/>
      <c r="I397" s="38">
        <f>IF($A397="","",IFERROR($B397-$C397-$D397-$E397,0))</f>
        <v/>
      </c>
    </row>
    <row r="398">
      <c r="A398" s="37" t="n"/>
      <c r="B398" s="37" t="n"/>
      <c r="C398" s="37" t="n"/>
      <c r="D398" s="37" t="n"/>
      <c r="E398" s="37" t="n"/>
      <c r="F398" s="37" t="n"/>
      <c r="G398" s="37" t="n"/>
      <c r="H398" s="37" t="n"/>
      <c r="I398" s="38">
        <f>IF($A398="","",IFERROR($B398-$C398-$D398-$E398,0))</f>
        <v/>
      </c>
    </row>
    <row r="399">
      <c r="A399" s="37" t="n"/>
      <c r="B399" s="37" t="n"/>
      <c r="C399" s="37" t="n"/>
      <c r="D399" s="37" t="n"/>
      <c r="E399" s="37" t="n"/>
      <c r="F399" s="37" t="n"/>
      <c r="G399" s="37" t="n"/>
      <c r="H399" s="37" t="n"/>
      <c r="I399" s="38">
        <f>IF($A399="","",IFERROR($B399-$C399-$D399-$E399,0))</f>
        <v/>
      </c>
    </row>
    <row r="400">
      <c r="A400" s="37" t="n"/>
      <c r="B400" s="37" t="n"/>
      <c r="C400" s="37" t="n"/>
      <c r="D400" s="37" t="n"/>
      <c r="E400" s="37" t="n"/>
      <c r="F400" s="37" t="n"/>
      <c r="G400" s="37" t="n"/>
      <c r="H400" s="37" t="n"/>
      <c r="I400" s="38">
        <f>IF($A400="","",IFERROR($B400-$C400-$D400-$E400,0))</f>
        <v/>
      </c>
    </row>
    <row r="401">
      <c r="A401" s="37" t="n"/>
      <c r="B401" s="37" t="n"/>
      <c r="C401" s="37" t="n"/>
      <c r="D401" s="37" t="n"/>
      <c r="E401" s="37" t="n"/>
      <c r="F401" s="37" t="n"/>
      <c r="G401" s="37" t="n"/>
      <c r="H401" s="37" t="n"/>
      <c r="I401" s="38">
        <f>IF($A401="","",IFERROR($B401-$C401-$D401-$E401,0))</f>
        <v/>
      </c>
    </row>
    <row r="402">
      <c r="A402" s="37" t="n"/>
      <c r="B402" s="37" t="n"/>
      <c r="C402" s="37" t="n"/>
      <c r="D402" s="37" t="n"/>
      <c r="E402" s="37" t="n"/>
      <c r="F402" s="37" t="n"/>
      <c r="G402" s="37" t="n"/>
      <c r="H402" s="37" t="n"/>
      <c r="I402" s="38">
        <f>IF($A402="","",IFERROR($B402-$C402-$D402-$E402,0))</f>
        <v/>
      </c>
    </row>
    <row r="403">
      <c r="A403" s="37" t="n"/>
      <c r="B403" s="37" t="n"/>
      <c r="C403" s="37" t="n"/>
      <c r="D403" s="37" t="n"/>
      <c r="E403" s="37" t="n"/>
      <c r="F403" s="37" t="n"/>
      <c r="G403" s="37" t="n"/>
      <c r="H403" s="37" t="n"/>
      <c r="I403" s="38">
        <f>IF($A403="","",IFERROR($B403-$C403-$D403-$E403,0))</f>
        <v/>
      </c>
    </row>
    <row r="404">
      <c r="A404" s="37" t="n"/>
      <c r="B404" s="37" t="n"/>
      <c r="C404" s="37" t="n"/>
      <c r="D404" s="37" t="n"/>
      <c r="E404" s="37" t="n"/>
      <c r="F404" s="37" t="n"/>
      <c r="G404" s="37" t="n"/>
      <c r="H404" s="37" t="n"/>
      <c r="I404" s="38">
        <f>IF($A404="","",IFERROR($B404-$C404-$D404-$E404,0))</f>
        <v/>
      </c>
    </row>
    <row r="405">
      <c r="A405" s="37" t="n"/>
      <c r="B405" s="37" t="n"/>
      <c r="C405" s="37" t="n"/>
      <c r="D405" s="37" t="n"/>
      <c r="E405" s="37" t="n"/>
      <c r="F405" s="37" t="n"/>
      <c r="G405" s="37" t="n"/>
      <c r="H405" s="37" t="n"/>
      <c r="I405" s="38">
        <f>IF($A405="","",IFERROR($B405-$C405-$D405-$E405,0))</f>
        <v/>
      </c>
    </row>
    <row r="406">
      <c r="A406" s="37" t="n"/>
      <c r="B406" s="37" t="n"/>
      <c r="C406" s="37" t="n"/>
      <c r="D406" s="37" t="n"/>
      <c r="E406" s="37" t="n"/>
      <c r="F406" s="37" t="n"/>
      <c r="G406" s="37" t="n"/>
      <c r="H406" s="37" t="n"/>
      <c r="I406" s="38">
        <f>IF($A406="","",IFERROR($B406-$C406-$D406-$E406,0))</f>
        <v/>
      </c>
    </row>
    <row r="407">
      <c r="A407" s="37" t="n"/>
      <c r="B407" s="37" t="n"/>
      <c r="C407" s="37" t="n"/>
      <c r="D407" s="37" t="n"/>
      <c r="E407" s="37" t="n"/>
      <c r="F407" s="37" t="n"/>
      <c r="G407" s="37" t="n"/>
      <c r="H407" s="37" t="n"/>
      <c r="I407" s="38">
        <f>IF($A407="","",IFERROR($B407-$C407-$D407-$E407,0))</f>
        <v/>
      </c>
    </row>
    <row r="408">
      <c r="A408" s="37" t="n"/>
      <c r="B408" s="37" t="n"/>
      <c r="C408" s="37" t="n"/>
      <c r="D408" s="37" t="n"/>
      <c r="E408" s="37" t="n"/>
      <c r="F408" s="37" t="n"/>
      <c r="G408" s="37" t="n"/>
      <c r="H408" s="37" t="n"/>
      <c r="I408" s="38">
        <f>IF($A408="","",IFERROR($B408-$C408-$D408-$E408,0))</f>
        <v/>
      </c>
    </row>
    <row r="409">
      <c r="A409" s="37" t="n"/>
      <c r="B409" s="37" t="n"/>
      <c r="C409" s="37" t="n"/>
      <c r="D409" s="37" t="n"/>
      <c r="E409" s="37" t="n"/>
      <c r="F409" s="37" t="n"/>
      <c r="G409" s="37" t="n"/>
      <c r="H409" s="37" t="n"/>
      <c r="I409" s="38">
        <f>IF($A409="","",IFERROR($B409-$C409-$D409-$E409,0))</f>
        <v/>
      </c>
    </row>
    <row r="410">
      <c r="A410" s="37" t="n"/>
      <c r="B410" s="37" t="n"/>
      <c r="C410" s="37" t="n"/>
      <c r="D410" s="37" t="n"/>
      <c r="E410" s="37" t="n"/>
      <c r="F410" s="37" t="n"/>
      <c r="G410" s="37" t="n"/>
      <c r="H410" s="37" t="n"/>
      <c r="I410" s="38">
        <f>IF($A410="","",IFERROR($B410-$C410-$D410-$E410,0))</f>
        <v/>
      </c>
    </row>
    <row r="411">
      <c r="A411" s="37" t="n"/>
      <c r="B411" s="37" t="n"/>
      <c r="C411" s="37" t="n"/>
      <c r="D411" s="37" t="n"/>
      <c r="E411" s="37" t="n"/>
      <c r="F411" s="37" t="n"/>
      <c r="G411" s="37" t="n"/>
      <c r="H411" s="37" t="n"/>
      <c r="I411" s="38">
        <f>IF($A411="","",IFERROR($B411-$C411-$D411-$E411,0))</f>
        <v/>
      </c>
    </row>
    <row r="412">
      <c r="A412" s="37" t="n"/>
      <c r="B412" s="37" t="n"/>
      <c r="C412" s="37" t="n"/>
      <c r="D412" s="37" t="n"/>
      <c r="E412" s="37" t="n"/>
      <c r="F412" s="37" t="n"/>
      <c r="G412" s="37" t="n"/>
      <c r="H412" s="37" t="n"/>
      <c r="I412" s="38">
        <f>IF($A412="","",IFERROR($B412-$C412-$D412-$E412,0))</f>
        <v/>
      </c>
    </row>
    <row r="413">
      <c r="A413" s="37" t="n"/>
      <c r="B413" s="37" t="n"/>
      <c r="C413" s="37" t="n"/>
      <c r="D413" s="37" t="n"/>
      <c r="E413" s="37" t="n"/>
      <c r="F413" s="37" t="n"/>
      <c r="G413" s="37" t="n"/>
      <c r="H413" s="37" t="n"/>
      <c r="I413" s="38">
        <f>IF($A413="","",IFERROR($B413-$C413-$D413-$E413,0))</f>
        <v/>
      </c>
    </row>
    <row r="414">
      <c r="A414" s="37" t="n"/>
      <c r="B414" s="37" t="n"/>
      <c r="C414" s="37" t="n"/>
      <c r="D414" s="37" t="n"/>
      <c r="E414" s="37" t="n"/>
      <c r="F414" s="37" t="n"/>
      <c r="G414" s="37" t="n"/>
      <c r="H414" s="37" t="n"/>
      <c r="I414" s="38">
        <f>IF($A414="","",IFERROR($B414-$C414-$D414-$E414,0))</f>
        <v/>
      </c>
    </row>
    <row r="415">
      <c r="A415" s="37" t="n"/>
      <c r="B415" s="37" t="n"/>
      <c r="C415" s="37" t="n"/>
      <c r="D415" s="37" t="n"/>
      <c r="E415" s="37" t="n"/>
      <c r="F415" s="37" t="n"/>
      <c r="G415" s="37" t="n"/>
      <c r="H415" s="37" t="n"/>
      <c r="I415" s="38">
        <f>IF($A415="","",IFERROR($B415-$C415-$D415-$E415,0))</f>
        <v/>
      </c>
    </row>
    <row r="416">
      <c r="A416" s="37" t="n"/>
      <c r="B416" s="37" t="n"/>
      <c r="C416" s="37" t="n"/>
      <c r="D416" s="37" t="n"/>
      <c r="E416" s="37" t="n"/>
      <c r="F416" s="37" t="n"/>
      <c r="G416" s="37" t="n"/>
      <c r="H416" s="37" t="n"/>
      <c r="I416" s="38">
        <f>IF($A416="","",IFERROR($B416-$C416-$D416-$E416,0))</f>
        <v/>
      </c>
    </row>
    <row r="417">
      <c r="A417" s="37" t="n"/>
      <c r="B417" s="37" t="n"/>
      <c r="C417" s="37" t="n"/>
      <c r="D417" s="37" t="n"/>
      <c r="E417" s="37" t="n"/>
      <c r="F417" s="37" t="n"/>
      <c r="G417" s="37" t="n"/>
      <c r="H417" s="37" t="n"/>
      <c r="I417" s="38">
        <f>IF($A417="","",IFERROR($B417-$C417-$D417-$E417,0))</f>
        <v/>
      </c>
    </row>
    <row r="418">
      <c r="A418" s="37" t="n"/>
      <c r="B418" s="37" t="n"/>
      <c r="C418" s="37" t="n"/>
      <c r="D418" s="37" t="n"/>
      <c r="E418" s="37" t="n"/>
      <c r="F418" s="37" t="n"/>
      <c r="G418" s="37" t="n"/>
      <c r="H418" s="37" t="n"/>
      <c r="I418" s="38">
        <f>IF($A418="","",IFERROR($B418-$C418-$D418-$E418,0))</f>
        <v/>
      </c>
    </row>
    <row r="419">
      <c r="A419" s="37" t="n"/>
      <c r="B419" s="37" t="n"/>
      <c r="C419" s="37" t="n"/>
      <c r="D419" s="37" t="n"/>
      <c r="E419" s="37" t="n"/>
      <c r="F419" s="37" t="n"/>
      <c r="G419" s="37" t="n"/>
      <c r="H419" s="37" t="n"/>
      <c r="I419" s="38">
        <f>IF($A419="","",IFERROR($B419-$C419-$D419-$E419,0))</f>
        <v/>
      </c>
    </row>
    <row r="420">
      <c r="A420" s="37" t="n"/>
      <c r="B420" s="37" t="n"/>
      <c r="C420" s="37" t="n"/>
      <c r="D420" s="37" t="n"/>
      <c r="E420" s="37" t="n"/>
      <c r="F420" s="37" t="n"/>
      <c r="G420" s="37" t="n"/>
      <c r="H420" s="37" t="n"/>
      <c r="I420" s="38">
        <f>IF($A420="","",IFERROR($B420-$C420-$D420-$E420,0))</f>
        <v/>
      </c>
    </row>
    <row r="421">
      <c r="A421" s="37" t="n"/>
      <c r="B421" s="37" t="n"/>
      <c r="C421" s="37" t="n"/>
      <c r="D421" s="37" t="n"/>
      <c r="E421" s="37" t="n"/>
      <c r="F421" s="37" t="n"/>
      <c r="G421" s="37" t="n"/>
      <c r="H421" s="37" t="n"/>
      <c r="I421" s="38">
        <f>IF($A421="","",IFERROR($B421-$C421-$D421-$E421,0))</f>
        <v/>
      </c>
    </row>
    <row r="422">
      <c r="A422" s="37" t="n"/>
      <c r="B422" s="37" t="n"/>
      <c r="C422" s="37" t="n"/>
      <c r="D422" s="37" t="n"/>
      <c r="E422" s="37" t="n"/>
      <c r="F422" s="37" t="n"/>
      <c r="G422" s="37" t="n"/>
      <c r="H422" s="37" t="n"/>
      <c r="I422" s="38">
        <f>IF($A422="","",IFERROR($B422-$C422-$D422-$E422,0))</f>
        <v/>
      </c>
    </row>
    <row r="423">
      <c r="A423" s="37" t="n"/>
      <c r="B423" s="37" t="n"/>
      <c r="C423" s="37" t="n"/>
      <c r="D423" s="37" t="n"/>
      <c r="E423" s="37" t="n"/>
      <c r="F423" s="37" t="n"/>
      <c r="G423" s="37" t="n"/>
      <c r="H423" s="37" t="n"/>
      <c r="I423" s="38">
        <f>IF($A423="","",IFERROR($B423-$C423-$D423-$E423,0))</f>
        <v/>
      </c>
    </row>
    <row r="424">
      <c r="A424" s="37" t="n"/>
      <c r="B424" s="37" t="n"/>
      <c r="C424" s="37" t="n"/>
      <c r="D424" s="37" t="n"/>
      <c r="E424" s="37" t="n"/>
      <c r="F424" s="37" t="n"/>
      <c r="G424" s="37" t="n"/>
      <c r="H424" s="37" t="n"/>
      <c r="I424" s="38">
        <f>IF($A424="","",IFERROR($B424-$C424-$D424-$E424,0))</f>
        <v/>
      </c>
    </row>
    <row r="425">
      <c r="A425" s="37" t="n"/>
      <c r="B425" s="37" t="n"/>
      <c r="C425" s="37" t="n"/>
      <c r="D425" s="37" t="n"/>
      <c r="E425" s="37" t="n"/>
      <c r="F425" s="37" t="n"/>
      <c r="G425" s="37" t="n"/>
      <c r="H425" s="37" t="n"/>
      <c r="I425" s="38">
        <f>IF($A425="","",IFERROR($B425-$C425-$D425-$E425,0))</f>
        <v/>
      </c>
    </row>
    <row r="426">
      <c r="A426" s="37" t="n"/>
      <c r="B426" s="37" t="n"/>
      <c r="C426" s="37" t="n"/>
      <c r="D426" s="37" t="n"/>
      <c r="E426" s="37" t="n"/>
      <c r="F426" s="37" t="n"/>
      <c r="G426" s="37" t="n"/>
      <c r="H426" s="37" t="n"/>
      <c r="I426" s="38">
        <f>IF($A426="","",IFERROR($B426-$C426-$D426-$E426,0))</f>
        <v/>
      </c>
    </row>
    <row r="427">
      <c r="A427" s="37" t="n"/>
      <c r="B427" s="37" t="n"/>
      <c r="C427" s="37" t="n"/>
      <c r="D427" s="37" t="n"/>
      <c r="E427" s="37" t="n"/>
      <c r="F427" s="37" t="n"/>
      <c r="G427" s="37" t="n"/>
      <c r="H427" s="37" t="n"/>
      <c r="I427" s="38">
        <f>IF($A427="","",IFERROR($B427-$C427-$D427-$E427,0))</f>
        <v/>
      </c>
    </row>
    <row r="428">
      <c r="A428" s="37" t="n"/>
      <c r="B428" s="37" t="n"/>
      <c r="C428" s="37" t="n"/>
      <c r="D428" s="37" t="n"/>
      <c r="E428" s="37" t="n"/>
      <c r="F428" s="37" t="n"/>
      <c r="G428" s="37" t="n"/>
      <c r="H428" s="37" t="n"/>
      <c r="I428" s="38">
        <f>IF($A428="","",IFERROR($B428-$C428-$D428-$E428,0))</f>
        <v/>
      </c>
    </row>
    <row r="429">
      <c r="A429" s="37" t="n"/>
      <c r="B429" s="37" t="n"/>
      <c r="C429" s="37" t="n"/>
      <c r="D429" s="37" t="n"/>
      <c r="E429" s="37" t="n"/>
      <c r="F429" s="37" t="n"/>
      <c r="G429" s="37" t="n"/>
      <c r="H429" s="37" t="n"/>
      <c r="I429" s="38">
        <f>IF($A429="","",IFERROR($B429-$C429-$D429-$E429,0))</f>
        <v/>
      </c>
    </row>
    <row r="430">
      <c r="A430" s="37" t="n"/>
      <c r="B430" s="37" t="n"/>
      <c r="C430" s="37" t="n"/>
      <c r="D430" s="37" t="n"/>
      <c r="E430" s="37" t="n"/>
      <c r="F430" s="37" t="n"/>
      <c r="G430" s="37" t="n"/>
      <c r="H430" s="37" t="n"/>
      <c r="I430" s="38">
        <f>IF($A430="","",IFERROR($B430-$C430-$D430-$E430,0))</f>
        <v/>
      </c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8">
        <f>IF($A431="","",IFERROR($B431-$C431-$D431-$E431,0))</f>
        <v/>
      </c>
    </row>
    <row r="432">
      <c r="A432" s="37" t="n"/>
      <c r="B432" s="37" t="n"/>
      <c r="C432" s="37" t="n"/>
      <c r="D432" s="37" t="n"/>
      <c r="E432" s="37" t="n"/>
      <c r="F432" s="37" t="n"/>
      <c r="G432" s="37" t="n"/>
      <c r="H432" s="37" t="n"/>
      <c r="I432" s="38">
        <f>IF($A432="","",IFERROR($B432-$C432-$D432-$E432,0))</f>
        <v/>
      </c>
    </row>
    <row r="433">
      <c r="A433" s="37" t="n"/>
      <c r="B433" s="37" t="n"/>
      <c r="C433" s="37" t="n"/>
      <c r="D433" s="37" t="n"/>
      <c r="E433" s="37" t="n"/>
      <c r="F433" s="37" t="n"/>
      <c r="G433" s="37" t="n"/>
      <c r="H433" s="37" t="n"/>
      <c r="I433" s="38">
        <f>IF($A433="","",IFERROR($B433-$C433-$D433-$E433,0))</f>
        <v/>
      </c>
    </row>
    <row r="434">
      <c r="A434" s="37" t="n"/>
      <c r="B434" s="37" t="n"/>
      <c r="C434" s="37" t="n"/>
      <c r="D434" s="37" t="n"/>
      <c r="E434" s="37" t="n"/>
      <c r="F434" s="37" t="n"/>
      <c r="G434" s="37" t="n"/>
      <c r="H434" s="37" t="n"/>
      <c r="I434" s="38">
        <f>IF($A434="","",IFERROR($B434-$C434-$D434-$E434,0))</f>
        <v/>
      </c>
    </row>
    <row r="435">
      <c r="A435" s="37" t="n"/>
      <c r="B435" s="37" t="n"/>
      <c r="C435" s="37" t="n"/>
      <c r="D435" s="37" t="n"/>
      <c r="E435" s="37" t="n"/>
      <c r="F435" s="37" t="n"/>
      <c r="G435" s="37" t="n"/>
      <c r="H435" s="37" t="n"/>
      <c r="I435" s="38">
        <f>IF($A435="","",IFERROR($B435-$C435-$D435-$E435,0))</f>
        <v/>
      </c>
    </row>
    <row r="436">
      <c r="A436" s="37" t="n"/>
      <c r="B436" s="37" t="n"/>
      <c r="C436" s="37" t="n"/>
      <c r="D436" s="37" t="n"/>
      <c r="E436" s="37" t="n"/>
      <c r="F436" s="37" t="n"/>
      <c r="G436" s="37" t="n"/>
      <c r="H436" s="37" t="n"/>
      <c r="I436" s="38">
        <f>IF($A436="","",IFERROR($B436-$C436-$D436-$E436,0))</f>
        <v/>
      </c>
    </row>
    <row r="437">
      <c r="A437" s="37" t="n"/>
      <c r="B437" s="37" t="n"/>
      <c r="C437" s="37" t="n"/>
      <c r="D437" s="37" t="n"/>
      <c r="E437" s="37" t="n"/>
      <c r="F437" s="37" t="n"/>
      <c r="G437" s="37" t="n"/>
      <c r="H437" s="37" t="n"/>
      <c r="I437" s="38">
        <f>IF($A437="","",IFERROR($B437-$C437-$D437-$E437,0))</f>
        <v/>
      </c>
    </row>
    <row r="438">
      <c r="A438" s="37" t="n"/>
      <c r="B438" s="37" t="n"/>
      <c r="C438" s="37" t="n"/>
      <c r="D438" s="37" t="n"/>
      <c r="E438" s="37" t="n"/>
      <c r="F438" s="37" t="n"/>
      <c r="G438" s="37" t="n"/>
      <c r="H438" s="37" t="n"/>
      <c r="I438" s="38">
        <f>IF($A438="","",IFERROR($B438-$C438-$D438-$E438,0))</f>
        <v/>
      </c>
    </row>
    <row r="439">
      <c r="A439" s="37" t="n"/>
      <c r="B439" s="37" t="n"/>
      <c r="C439" s="37" t="n"/>
      <c r="D439" s="37" t="n"/>
      <c r="E439" s="37" t="n"/>
      <c r="F439" s="37" t="n"/>
      <c r="G439" s="37" t="n"/>
      <c r="H439" s="37" t="n"/>
      <c r="I439" s="38">
        <f>IF($A439="","",IFERROR($B439-$C439-$D439-$E439,0))</f>
        <v/>
      </c>
    </row>
    <row r="440">
      <c r="A440" s="37" t="n"/>
      <c r="B440" s="37" t="n"/>
      <c r="C440" s="37" t="n"/>
      <c r="D440" s="37" t="n"/>
      <c r="E440" s="37" t="n"/>
      <c r="F440" s="37" t="n"/>
      <c r="G440" s="37" t="n"/>
      <c r="H440" s="37" t="n"/>
      <c r="I440" s="38">
        <f>IF($A440="","",IFERROR($B440-$C440-$D440-$E440,0))</f>
        <v/>
      </c>
    </row>
    <row r="441">
      <c r="A441" s="37" t="n"/>
      <c r="B441" s="37" t="n"/>
      <c r="C441" s="37" t="n"/>
      <c r="D441" s="37" t="n"/>
      <c r="E441" s="37" t="n"/>
      <c r="F441" s="37" t="n"/>
      <c r="G441" s="37" t="n"/>
      <c r="H441" s="37" t="n"/>
      <c r="I441" s="38">
        <f>IF($A441="","",IFERROR($B441-$C441-$D441-$E441,0))</f>
        <v/>
      </c>
    </row>
    <row r="442">
      <c r="A442" s="37" t="n"/>
      <c r="B442" s="37" t="n"/>
      <c r="C442" s="37" t="n"/>
      <c r="D442" s="37" t="n"/>
      <c r="E442" s="37" t="n"/>
      <c r="F442" s="37" t="n"/>
      <c r="G442" s="37" t="n"/>
      <c r="H442" s="37" t="n"/>
      <c r="I442" s="38">
        <f>IF($A442="","",IFERROR($B442-$C442-$D442-$E442,0))</f>
        <v/>
      </c>
    </row>
    <row r="443">
      <c r="A443" s="37" t="n"/>
      <c r="B443" s="37" t="n"/>
      <c r="C443" s="37" t="n"/>
      <c r="D443" s="37" t="n"/>
      <c r="E443" s="37" t="n"/>
      <c r="F443" s="37" t="n"/>
      <c r="G443" s="37" t="n"/>
      <c r="H443" s="37" t="n"/>
      <c r="I443" s="38">
        <f>IF($A443="","",IFERROR($B443-$C443-$D443-$E443,0))</f>
        <v/>
      </c>
    </row>
    <row r="444">
      <c r="A444" s="37" t="n"/>
      <c r="B444" s="37" t="n"/>
      <c r="C444" s="37" t="n"/>
      <c r="D444" s="37" t="n"/>
      <c r="E444" s="37" t="n"/>
      <c r="F444" s="37" t="n"/>
      <c r="G444" s="37" t="n"/>
      <c r="H444" s="37" t="n"/>
      <c r="I444" s="38">
        <f>IF($A444="","",IFERROR($B444-$C444-$D444-$E444,0))</f>
        <v/>
      </c>
    </row>
    <row r="445">
      <c r="A445" s="37" t="n"/>
      <c r="B445" s="37" t="n"/>
      <c r="C445" s="37" t="n"/>
      <c r="D445" s="37" t="n"/>
      <c r="E445" s="37" t="n"/>
      <c r="F445" s="37" t="n"/>
      <c r="G445" s="37" t="n"/>
      <c r="H445" s="37" t="n"/>
      <c r="I445" s="38">
        <f>IF($A445="","",IFERROR($B445-$C445-$D445-$E445,0))</f>
        <v/>
      </c>
    </row>
    <row r="446">
      <c r="A446" s="37" t="n"/>
      <c r="B446" s="37" t="n"/>
      <c r="C446" s="37" t="n"/>
      <c r="D446" s="37" t="n"/>
      <c r="E446" s="37" t="n"/>
      <c r="F446" s="37" t="n"/>
      <c r="G446" s="37" t="n"/>
      <c r="H446" s="37" t="n"/>
      <c r="I446" s="38">
        <f>IF($A446="","",IFERROR($B446-$C446-$D446-$E446,0))</f>
        <v/>
      </c>
    </row>
    <row r="447">
      <c r="A447" s="37" t="n"/>
      <c r="B447" s="37" t="n"/>
      <c r="C447" s="37" t="n"/>
      <c r="D447" s="37" t="n"/>
      <c r="E447" s="37" t="n"/>
      <c r="F447" s="37" t="n"/>
      <c r="G447" s="37" t="n"/>
      <c r="H447" s="37" t="n"/>
      <c r="I447" s="38">
        <f>IF($A447="","",IFERROR($B447-$C447-$D447-$E447,0))</f>
        <v/>
      </c>
    </row>
    <row r="448">
      <c r="A448" s="37" t="n"/>
      <c r="B448" s="37" t="n"/>
      <c r="C448" s="37" t="n"/>
      <c r="D448" s="37" t="n"/>
      <c r="E448" s="37" t="n"/>
      <c r="F448" s="37" t="n"/>
      <c r="G448" s="37" t="n"/>
      <c r="H448" s="37" t="n"/>
      <c r="I448" s="38">
        <f>IF($A448="","",IFERROR($B448-$C448-$D448-$E448,0))</f>
        <v/>
      </c>
    </row>
    <row r="449">
      <c r="A449" s="37" t="n"/>
      <c r="B449" s="37" t="n"/>
      <c r="C449" s="37" t="n"/>
      <c r="D449" s="37" t="n"/>
      <c r="E449" s="37" t="n"/>
      <c r="F449" s="37" t="n"/>
      <c r="G449" s="37" t="n"/>
      <c r="H449" s="37" t="n"/>
      <c r="I449" s="38">
        <f>IF($A449="","",IFERROR($B449-$C449-$D449-$E449,0))</f>
        <v/>
      </c>
    </row>
    <row r="450">
      <c r="A450" s="37" t="n"/>
      <c r="B450" s="37" t="n"/>
      <c r="C450" s="37" t="n"/>
      <c r="D450" s="37" t="n"/>
      <c r="E450" s="37" t="n"/>
      <c r="F450" s="37" t="n"/>
      <c r="G450" s="37" t="n"/>
      <c r="H450" s="37" t="n"/>
      <c r="I450" s="38">
        <f>IF($A450="","",IFERROR($B450-$C450-$D450-$E450,0))</f>
        <v/>
      </c>
    </row>
    <row r="451">
      <c r="A451" s="37" t="n"/>
      <c r="B451" s="37" t="n"/>
      <c r="C451" s="37" t="n"/>
      <c r="D451" s="37" t="n"/>
      <c r="E451" s="37" t="n"/>
      <c r="F451" s="37" t="n"/>
      <c r="G451" s="37" t="n"/>
      <c r="H451" s="37" t="n"/>
      <c r="I451" s="38">
        <f>IF($A451="","",IFERROR($B451-$C451-$D451-$E451,0))</f>
        <v/>
      </c>
    </row>
    <row r="452">
      <c r="A452" s="37" t="n"/>
      <c r="B452" s="37" t="n"/>
      <c r="C452" s="37" t="n"/>
      <c r="D452" s="37" t="n"/>
      <c r="E452" s="37" t="n"/>
      <c r="F452" s="37" t="n"/>
      <c r="G452" s="37" t="n"/>
      <c r="H452" s="37" t="n"/>
      <c r="I452" s="38">
        <f>IF($A452="","",IFERROR($B452-$C452-$D452-$E452,0))</f>
        <v/>
      </c>
    </row>
    <row r="453">
      <c r="A453" s="37" t="n"/>
      <c r="B453" s="37" t="n"/>
      <c r="C453" s="37" t="n"/>
      <c r="D453" s="37" t="n"/>
      <c r="E453" s="37" t="n"/>
      <c r="F453" s="37" t="n"/>
      <c r="G453" s="37" t="n"/>
      <c r="H453" s="37" t="n"/>
      <c r="I453" s="38">
        <f>IF($A453="","",IFERROR($B453-$C453-$D453-$E453,0))</f>
        <v/>
      </c>
    </row>
    <row r="454">
      <c r="A454" s="37" t="n"/>
      <c r="B454" s="37" t="n"/>
      <c r="C454" s="37" t="n"/>
      <c r="D454" s="37" t="n"/>
      <c r="E454" s="37" t="n"/>
      <c r="F454" s="37" t="n"/>
      <c r="G454" s="37" t="n"/>
      <c r="H454" s="37" t="n"/>
      <c r="I454" s="38">
        <f>IF($A454="","",IFERROR($B454-$C454-$D454-$E454,0))</f>
        <v/>
      </c>
    </row>
    <row r="455">
      <c r="A455" s="37" t="n"/>
      <c r="B455" s="37" t="n"/>
      <c r="C455" s="37" t="n"/>
      <c r="D455" s="37" t="n"/>
      <c r="E455" s="37" t="n"/>
      <c r="F455" s="37" t="n"/>
      <c r="G455" s="37" t="n"/>
      <c r="H455" s="37" t="n"/>
      <c r="I455" s="38">
        <f>IF($A455="","",IFERROR($B455-$C455-$D455-$E455,0))</f>
        <v/>
      </c>
    </row>
    <row r="456">
      <c r="A456" s="37" t="n"/>
      <c r="B456" s="37" t="n"/>
      <c r="C456" s="37" t="n"/>
      <c r="D456" s="37" t="n"/>
      <c r="E456" s="37" t="n"/>
      <c r="F456" s="37" t="n"/>
      <c r="G456" s="37" t="n"/>
      <c r="H456" s="37" t="n"/>
      <c r="I456" s="38">
        <f>IF($A456="","",IFERROR($B456-$C456-$D456-$E456,0))</f>
        <v/>
      </c>
    </row>
    <row r="457">
      <c r="A457" s="37" t="n"/>
      <c r="B457" s="37" t="n"/>
      <c r="C457" s="37" t="n"/>
      <c r="D457" s="37" t="n"/>
      <c r="E457" s="37" t="n"/>
      <c r="F457" s="37" t="n"/>
      <c r="G457" s="37" t="n"/>
      <c r="H457" s="37" t="n"/>
      <c r="I457" s="38">
        <f>IF($A457="","",IFERROR($B457-$C457-$D457-$E457,0))</f>
        <v/>
      </c>
    </row>
    <row r="458">
      <c r="A458" s="37" t="n"/>
      <c r="B458" s="37" t="n"/>
      <c r="C458" s="37" t="n"/>
      <c r="D458" s="37" t="n"/>
      <c r="E458" s="37" t="n"/>
      <c r="F458" s="37" t="n"/>
      <c r="G458" s="37" t="n"/>
      <c r="H458" s="37" t="n"/>
      <c r="I458" s="38">
        <f>IF($A458="","",IFERROR($B458-$C458-$D458-$E458,0))</f>
        <v/>
      </c>
    </row>
    <row r="459">
      <c r="A459" s="37" t="n"/>
      <c r="B459" s="37" t="n"/>
      <c r="C459" s="37" t="n"/>
      <c r="D459" s="37" t="n"/>
      <c r="E459" s="37" t="n"/>
      <c r="F459" s="37" t="n"/>
      <c r="G459" s="37" t="n"/>
      <c r="H459" s="37" t="n"/>
      <c r="I459" s="38">
        <f>IF($A459="","",IFERROR($B459-$C459-$D459-$E459,0))</f>
        <v/>
      </c>
    </row>
    <row r="460">
      <c r="A460" s="37" t="n"/>
      <c r="B460" s="37" t="n"/>
      <c r="C460" s="37" t="n"/>
      <c r="D460" s="37" t="n"/>
      <c r="E460" s="37" t="n"/>
      <c r="F460" s="37" t="n"/>
      <c r="G460" s="37" t="n"/>
      <c r="H460" s="37" t="n"/>
      <c r="I460" s="38">
        <f>IF($A460="","",IFERROR($B460-$C460-$D460-$E460,0))</f>
        <v/>
      </c>
    </row>
    <row r="461">
      <c r="A461" s="37" t="n"/>
      <c r="B461" s="37" t="n"/>
      <c r="C461" s="37" t="n"/>
      <c r="D461" s="37" t="n"/>
      <c r="E461" s="37" t="n"/>
      <c r="F461" s="37" t="n"/>
      <c r="G461" s="37" t="n"/>
      <c r="H461" s="37" t="n"/>
      <c r="I461" s="38">
        <f>IF($A461="","",IFERROR($B461-$C461-$D461-$E461,0))</f>
        <v/>
      </c>
    </row>
    <row r="462">
      <c r="A462" s="37" t="n"/>
      <c r="B462" s="37" t="n"/>
      <c r="C462" s="37" t="n"/>
      <c r="D462" s="37" t="n"/>
      <c r="E462" s="37" t="n"/>
      <c r="F462" s="37" t="n"/>
      <c r="G462" s="37" t="n"/>
      <c r="H462" s="37" t="n"/>
      <c r="I462" s="38">
        <f>IF($A462="","",IFERROR($B462-$C462-$D462-$E462,0))</f>
        <v/>
      </c>
    </row>
    <row r="463">
      <c r="A463" s="37" t="n"/>
      <c r="B463" s="37" t="n"/>
      <c r="C463" s="37" t="n"/>
      <c r="D463" s="37" t="n"/>
      <c r="E463" s="37" t="n"/>
      <c r="F463" s="37" t="n"/>
      <c r="G463" s="37" t="n"/>
      <c r="H463" s="37" t="n"/>
      <c r="I463" s="38">
        <f>IF($A463="","",IFERROR($B463-$C463-$D463-$E463,0))</f>
        <v/>
      </c>
    </row>
    <row r="464">
      <c r="A464" s="37" t="n"/>
      <c r="B464" s="37" t="n"/>
      <c r="C464" s="37" t="n"/>
      <c r="D464" s="37" t="n"/>
      <c r="E464" s="37" t="n"/>
      <c r="F464" s="37" t="n"/>
      <c r="G464" s="37" t="n"/>
      <c r="H464" s="37" t="n"/>
      <c r="I464" s="38">
        <f>IF($A464="","",IFERROR($B464-$C464-$D464-$E464,0))</f>
        <v/>
      </c>
    </row>
    <row r="465">
      <c r="A465" s="37" t="n"/>
      <c r="B465" s="37" t="n"/>
      <c r="C465" s="37" t="n"/>
      <c r="D465" s="37" t="n"/>
      <c r="E465" s="37" t="n"/>
      <c r="F465" s="37" t="n"/>
      <c r="G465" s="37" t="n"/>
      <c r="H465" s="37" t="n"/>
      <c r="I465" s="38">
        <f>IF($A465="","",IFERROR($B465-$C465-$D465-$E465,0))</f>
        <v/>
      </c>
    </row>
    <row r="466">
      <c r="A466" s="37" t="n"/>
      <c r="B466" s="37" t="n"/>
      <c r="C466" s="37" t="n"/>
      <c r="D466" s="37" t="n"/>
      <c r="E466" s="37" t="n"/>
      <c r="F466" s="37" t="n"/>
      <c r="G466" s="37" t="n"/>
      <c r="H466" s="37" t="n"/>
      <c r="I466" s="38">
        <f>IF($A466="","",IFERROR($B466-$C466-$D466-$E466,0))</f>
        <v/>
      </c>
    </row>
    <row r="467">
      <c r="A467" s="37" t="n"/>
      <c r="B467" s="37" t="n"/>
      <c r="C467" s="37" t="n"/>
      <c r="D467" s="37" t="n"/>
      <c r="E467" s="37" t="n"/>
      <c r="F467" s="37" t="n"/>
      <c r="G467" s="37" t="n"/>
      <c r="H467" s="37" t="n"/>
      <c r="I467" s="38">
        <f>IF($A467="","",IFERROR($B467-$C467-$D467-$E467,0))</f>
        <v/>
      </c>
    </row>
    <row r="468">
      <c r="A468" s="37" t="n"/>
      <c r="B468" s="37" t="n"/>
      <c r="C468" s="37" t="n"/>
      <c r="D468" s="37" t="n"/>
      <c r="E468" s="37" t="n"/>
      <c r="F468" s="37" t="n"/>
      <c r="G468" s="37" t="n"/>
      <c r="H468" s="37" t="n"/>
      <c r="I468" s="38">
        <f>IF($A468="","",IFERROR($B468-$C468-$D468-$E468,0))</f>
        <v/>
      </c>
    </row>
    <row r="469">
      <c r="A469" s="37" t="n"/>
      <c r="B469" s="37" t="n"/>
      <c r="C469" s="37" t="n"/>
      <c r="D469" s="37" t="n"/>
      <c r="E469" s="37" t="n"/>
      <c r="F469" s="37" t="n"/>
      <c r="G469" s="37" t="n"/>
      <c r="H469" s="37" t="n"/>
      <c r="I469" s="38">
        <f>IF($A469="","",IFERROR($B469-$C469-$D469-$E469,0))</f>
        <v/>
      </c>
    </row>
    <row r="470">
      <c r="A470" s="37" t="n"/>
      <c r="B470" s="37" t="n"/>
      <c r="C470" s="37" t="n"/>
      <c r="D470" s="37" t="n"/>
      <c r="E470" s="37" t="n"/>
      <c r="F470" s="37" t="n"/>
      <c r="G470" s="37" t="n"/>
      <c r="H470" s="37" t="n"/>
      <c r="I470" s="38">
        <f>IF($A470="","",IFERROR($B470-$C470-$D470-$E470,0))</f>
        <v/>
      </c>
    </row>
    <row r="471">
      <c r="A471" s="37" t="n"/>
      <c r="B471" s="37" t="n"/>
      <c r="C471" s="37" t="n"/>
      <c r="D471" s="37" t="n"/>
      <c r="E471" s="37" t="n"/>
      <c r="F471" s="37" t="n"/>
      <c r="G471" s="37" t="n"/>
      <c r="H471" s="37" t="n"/>
      <c r="I471" s="38">
        <f>IF($A471="","",IFERROR($B471-$C471-$D471-$E471,0))</f>
        <v/>
      </c>
    </row>
    <row r="472">
      <c r="A472" s="37" t="n"/>
      <c r="B472" s="37" t="n"/>
      <c r="C472" s="37" t="n"/>
      <c r="D472" s="37" t="n"/>
      <c r="E472" s="37" t="n"/>
      <c r="F472" s="37" t="n"/>
      <c r="G472" s="37" t="n"/>
      <c r="H472" s="37" t="n"/>
      <c r="I472" s="38">
        <f>IF($A472="","",IFERROR($B472-$C472-$D472-$E472,0))</f>
        <v/>
      </c>
    </row>
    <row r="473">
      <c r="A473" s="37" t="n"/>
      <c r="B473" s="37" t="n"/>
      <c r="C473" s="37" t="n"/>
      <c r="D473" s="37" t="n"/>
      <c r="E473" s="37" t="n"/>
      <c r="F473" s="37" t="n"/>
      <c r="G473" s="37" t="n"/>
      <c r="H473" s="37" t="n"/>
      <c r="I473" s="38">
        <f>IF($A473="","",IFERROR($B473-$C473-$D473-$E473,0))</f>
        <v/>
      </c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8">
        <f>IF($A474="","",IFERROR($B474-$C474-$D474-$E474,0))</f>
        <v/>
      </c>
    </row>
    <row r="475">
      <c r="A475" s="37" t="n"/>
      <c r="B475" s="37" t="n"/>
      <c r="C475" s="37" t="n"/>
      <c r="D475" s="37" t="n"/>
      <c r="E475" s="37" t="n"/>
      <c r="F475" s="37" t="n"/>
      <c r="G475" s="37" t="n"/>
      <c r="H475" s="37" t="n"/>
      <c r="I475" s="38">
        <f>IF($A475="","",IFERROR($B475-$C475-$D475-$E475,0))</f>
        <v/>
      </c>
    </row>
    <row r="476">
      <c r="A476" s="37" t="n"/>
      <c r="B476" s="37" t="n"/>
      <c r="C476" s="37" t="n"/>
      <c r="D476" s="37" t="n"/>
      <c r="E476" s="37" t="n"/>
      <c r="F476" s="37" t="n"/>
      <c r="G476" s="37" t="n"/>
      <c r="H476" s="37" t="n"/>
      <c r="I476" s="38">
        <f>IF($A476="","",IFERROR($B476-$C476-$D476-$E476,0))</f>
        <v/>
      </c>
    </row>
    <row r="477">
      <c r="A477" s="37" t="n"/>
      <c r="B477" s="37" t="n"/>
      <c r="C477" s="37" t="n"/>
      <c r="D477" s="37" t="n"/>
      <c r="E477" s="37" t="n"/>
      <c r="F477" s="37" t="n"/>
      <c r="G477" s="37" t="n"/>
      <c r="H477" s="37" t="n"/>
      <c r="I477" s="38">
        <f>IF($A477="","",IFERROR($B477-$C477-$D477-$E477,0))</f>
        <v/>
      </c>
    </row>
    <row r="478">
      <c r="A478" s="37" t="n"/>
      <c r="B478" s="37" t="n"/>
      <c r="C478" s="37" t="n"/>
      <c r="D478" s="37" t="n"/>
      <c r="E478" s="37" t="n"/>
      <c r="F478" s="37" t="n"/>
      <c r="G478" s="37" t="n"/>
      <c r="H478" s="37" t="n"/>
      <c r="I478" s="38">
        <f>IF($A478="","",IFERROR($B478-$C478-$D478-$E478,0))</f>
        <v/>
      </c>
    </row>
    <row r="479">
      <c r="A479" s="37" t="n"/>
      <c r="B479" s="37" t="n"/>
      <c r="C479" s="37" t="n"/>
      <c r="D479" s="37" t="n"/>
      <c r="E479" s="37" t="n"/>
      <c r="F479" s="37" t="n"/>
      <c r="G479" s="37" t="n"/>
      <c r="H479" s="37" t="n"/>
      <c r="I479" s="38">
        <f>IF($A479="","",IFERROR($B479-$C479-$D479-$E479,0))</f>
        <v/>
      </c>
    </row>
    <row r="480">
      <c r="A480" s="37" t="n"/>
      <c r="B480" s="37" t="n"/>
      <c r="C480" s="37" t="n"/>
      <c r="D480" s="37" t="n"/>
      <c r="E480" s="37" t="n"/>
      <c r="F480" s="37" t="n"/>
      <c r="G480" s="37" t="n"/>
      <c r="H480" s="37" t="n"/>
      <c r="I480" s="38">
        <f>IF($A480="","",IFERROR($B480-$C480-$D480-$E480,0))</f>
        <v/>
      </c>
    </row>
    <row r="481">
      <c r="A481" s="37" t="n"/>
      <c r="B481" s="37" t="n"/>
      <c r="C481" s="37" t="n"/>
      <c r="D481" s="37" t="n"/>
      <c r="E481" s="37" t="n"/>
      <c r="F481" s="37" t="n"/>
      <c r="G481" s="37" t="n"/>
      <c r="H481" s="37" t="n"/>
      <c r="I481" s="38">
        <f>IF($A481="","",IFERROR($B481-$C481-$D481-$E481,0))</f>
        <v/>
      </c>
    </row>
    <row r="482">
      <c r="A482" s="37" t="n"/>
      <c r="B482" s="37" t="n"/>
      <c r="C482" s="37" t="n"/>
      <c r="D482" s="37" t="n"/>
      <c r="E482" s="37" t="n"/>
      <c r="F482" s="37" t="n"/>
      <c r="G482" s="37" t="n"/>
      <c r="H482" s="37" t="n"/>
      <c r="I482" s="38">
        <f>IF($A482="","",IFERROR($B482-$C482-$D482-$E482,0))</f>
        <v/>
      </c>
    </row>
    <row r="483">
      <c r="A483" s="37" t="n"/>
      <c r="B483" s="37" t="n"/>
      <c r="C483" s="37" t="n"/>
      <c r="D483" s="37" t="n"/>
      <c r="E483" s="37" t="n"/>
      <c r="F483" s="37" t="n"/>
      <c r="G483" s="37" t="n"/>
      <c r="H483" s="37" t="n"/>
      <c r="I483" s="38">
        <f>IF($A483="","",IFERROR($B483-$C483-$D483-$E483,0))</f>
        <v/>
      </c>
    </row>
    <row r="484">
      <c r="A484" s="37" t="n"/>
      <c r="B484" s="37" t="n"/>
      <c r="C484" s="37" t="n"/>
      <c r="D484" s="37" t="n"/>
      <c r="E484" s="37" t="n"/>
      <c r="F484" s="37" t="n"/>
      <c r="G484" s="37" t="n"/>
      <c r="H484" s="37" t="n"/>
      <c r="I484" s="38">
        <f>IF($A484="","",IFERROR($B484-$C484-$D484-$E484,0))</f>
        <v/>
      </c>
    </row>
    <row r="485">
      <c r="A485" s="37" t="n"/>
      <c r="B485" s="37" t="n"/>
      <c r="C485" s="37" t="n"/>
      <c r="D485" s="37" t="n"/>
      <c r="E485" s="37" t="n"/>
      <c r="F485" s="37" t="n"/>
      <c r="G485" s="37" t="n"/>
      <c r="H485" s="37" t="n"/>
      <c r="I485" s="38">
        <f>IF($A485="","",IFERROR($B485-$C485-$D485-$E485,0))</f>
        <v/>
      </c>
    </row>
    <row r="486">
      <c r="A486" s="37" t="n"/>
      <c r="B486" s="37" t="n"/>
      <c r="C486" s="37" t="n"/>
      <c r="D486" s="37" t="n"/>
      <c r="E486" s="37" t="n"/>
      <c r="F486" s="37" t="n"/>
      <c r="G486" s="37" t="n"/>
      <c r="H486" s="37" t="n"/>
      <c r="I486" s="38">
        <f>IF($A486="","",IFERROR($B486-$C486-$D486-$E486,0))</f>
        <v/>
      </c>
    </row>
    <row r="487">
      <c r="A487" s="37" t="n"/>
      <c r="B487" s="37" t="n"/>
      <c r="C487" s="37" t="n"/>
      <c r="D487" s="37" t="n"/>
      <c r="E487" s="37" t="n"/>
      <c r="F487" s="37" t="n"/>
      <c r="G487" s="37" t="n"/>
      <c r="H487" s="37" t="n"/>
      <c r="I487" s="38">
        <f>IF($A487="","",IFERROR($B487-$C487-$D487-$E487,0))</f>
        <v/>
      </c>
    </row>
    <row r="488">
      <c r="A488" s="37" t="n"/>
      <c r="B488" s="37" t="n"/>
      <c r="C488" s="37" t="n"/>
      <c r="D488" s="37" t="n"/>
      <c r="E488" s="37" t="n"/>
      <c r="F488" s="37" t="n"/>
      <c r="G488" s="37" t="n"/>
      <c r="H488" s="37" t="n"/>
      <c r="I488" s="38">
        <f>IF($A488="","",IFERROR($B488-$C488-$D488-$E488,0))</f>
        <v/>
      </c>
    </row>
    <row r="489">
      <c r="A489" s="37" t="n"/>
      <c r="B489" s="37" t="n"/>
      <c r="C489" s="37" t="n"/>
      <c r="D489" s="37" t="n"/>
      <c r="E489" s="37" t="n"/>
      <c r="F489" s="37" t="n"/>
      <c r="G489" s="37" t="n"/>
      <c r="H489" s="37" t="n"/>
      <c r="I489" s="38">
        <f>IF($A489="","",IFERROR($B489-$C489-$D489-$E489,0))</f>
        <v/>
      </c>
    </row>
    <row r="490">
      <c r="A490" s="37" t="n"/>
      <c r="B490" s="37" t="n"/>
      <c r="C490" s="37" t="n"/>
      <c r="D490" s="37" t="n"/>
      <c r="E490" s="37" t="n"/>
      <c r="F490" s="37" t="n"/>
      <c r="G490" s="37" t="n"/>
      <c r="H490" s="37" t="n"/>
      <c r="I490" s="38">
        <f>IF($A490="","",IFERROR($B490-$C490-$D490-$E490,0))</f>
        <v/>
      </c>
    </row>
    <row r="491">
      <c r="A491" s="37" t="n"/>
      <c r="B491" s="37" t="n"/>
      <c r="C491" s="37" t="n"/>
      <c r="D491" s="37" t="n"/>
      <c r="E491" s="37" t="n"/>
      <c r="F491" s="37" t="n"/>
      <c r="G491" s="37" t="n"/>
      <c r="H491" s="37" t="n"/>
      <c r="I491" s="38">
        <f>IF($A491="","",IFERROR($B491-$C491-$D491-$E491,0))</f>
        <v/>
      </c>
    </row>
    <row r="492">
      <c r="A492" s="37" t="n"/>
      <c r="B492" s="37" t="n"/>
      <c r="C492" s="37" t="n"/>
      <c r="D492" s="37" t="n"/>
      <c r="E492" s="37" t="n"/>
      <c r="F492" s="37" t="n"/>
      <c r="G492" s="37" t="n"/>
      <c r="H492" s="37" t="n"/>
      <c r="I492" s="38">
        <f>IF($A492="","",IFERROR($B492-$C492-$D492-$E492,0))</f>
        <v/>
      </c>
    </row>
    <row r="493">
      <c r="A493" s="37" t="n"/>
      <c r="B493" s="37" t="n"/>
      <c r="C493" s="37" t="n"/>
      <c r="D493" s="37" t="n"/>
      <c r="E493" s="37" t="n"/>
      <c r="F493" s="37" t="n"/>
      <c r="G493" s="37" t="n"/>
      <c r="H493" s="37" t="n"/>
      <c r="I493" s="38">
        <f>IF($A493="","",IFERROR($B493-$C493-$D493-$E493,0))</f>
        <v/>
      </c>
    </row>
    <row r="494">
      <c r="A494" s="37" t="n"/>
      <c r="B494" s="37" t="n"/>
      <c r="C494" s="37" t="n"/>
      <c r="D494" s="37" t="n"/>
      <c r="E494" s="37" t="n"/>
      <c r="F494" s="37" t="n"/>
      <c r="G494" s="37" t="n"/>
      <c r="H494" s="37" t="n"/>
      <c r="I494" s="38">
        <f>IF($A494="","",IFERROR($B494-$C494-$D494-$E494,0))</f>
        <v/>
      </c>
    </row>
    <row r="495">
      <c r="A495" s="37" t="n"/>
      <c r="B495" s="37" t="n"/>
      <c r="C495" s="37" t="n"/>
      <c r="D495" s="37" t="n"/>
      <c r="E495" s="37" t="n"/>
      <c r="F495" s="37" t="n"/>
      <c r="G495" s="37" t="n"/>
      <c r="H495" s="37" t="n"/>
      <c r="I495" s="38">
        <f>IF($A495="","",IFERROR($B495-$C495-$D495-$E495,0))</f>
        <v/>
      </c>
    </row>
    <row r="496">
      <c r="A496" s="37" t="n"/>
      <c r="B496" s="37" t="n"/>
      <c r="C496" s="37" t="n"/>
      <c r="D496" s="37" t="n"/>
      <c r="E496" s="37" t="n"/>
      <c r="F496" s="37" t="n"/>
      <c r="G496" s="37" t="n"/>
      <c r="H496" s="37" t="n"/>
      <c r="I496" s="38">
        <f>IF($A496="","",IFERROR($B496-$C496-$D496-$E496,0))</f>
        <v/>
      </c>
    </row>
    <row r="497">
      <c r="A497" s="37" t="n"/>
      <c r="B497" s="37" t="n"/>
      <c r="C497" s="37" t="n"/>
      <c r="D497" s="37" t="n"/>
      <c r="E497" s="37" t="n"/>
      <c r="F497" s="37" t="n"/>
      <c r="G497" s="37" t="n"/>
      <c r="H497" s="37" t="n"/>
      <c r="I497" s="38">
        <f>IF($A497="","",IFERROR($B497-$C497-$D497-$E497,0))</f>
        <v/>
      </c>
    </row>
    <row r="498">
      <c r="A498" s="37" t="n"/>
      <c r="B498" s="37" t="n"/>
      <c r="C498" s="37" t="n"/>
      <c r="D498" s="37" t="n"/>
      <c r="E498" s="37" t="n"/>
      <c r="F498" s="37" t="n"/>
      <c r="G498" s="37" t="n"/>
      <c r="H498" s="37" t="n"/>
      <c r="I498" s="38">
        <f>IF($A498="","",IFERROR($B498-$C498-$D498-$E498,0))</f>
        <v/>
      </c>
    </row>
    <row r="499">
      <c r="A499" s="37" t="n"/>
      <c r="B499" s="37" t="n"/>
      <c r="C499" s="37" t="n"/>
      <c r="D499" s="37" t="n"/>
      <c r="E499" s="37" t="n"/>
      <c r="F499" s="37" t="n"/>
      <c r="G499" s="37" t="n"/>
      <c r="H499" s="37" t="n"/>
      <c r="I499" s="38">
        <f>IF($A499="","",IFERROR($B499-$C499-$D499-$E499,0))</f>
        <v/>
      </c>
    </row>
    <row r="500">
      <c r="A500" s="37" t="n"/>
      <c r="B500" s="37" t="n"/>
      <c r="C500" s="37" t="n"/>
      <c r="D500" s="37" t="n"/>
      <c r="E500" s="37" t="n"/>
      <c r="F500" s="37" t="n"/>
      <c r="G500" s="37" t="n"/>
      <c r="H500" s="37" t="n"/>
      <c r="I500" s="38">
        <f>IF($A500="","",IFERROR($B500-$C500-$D500-$E500,0))</f>
        <v/>
      </c>
    </row>
    <row r="501">
      <c r="A501" s="37" t="n"/>
      <c r="B501" s="37" t="n"/>
      <c r="C501" s="37" t="n"/>
      <c r="D501" s="37" t="n"/>
      <c r="E501" s="37" t="n"/>
      <c r="F501" s="37" t="n"/>
      <c r="G501" s="37" t="n"/>
      <c r="H501" s="37" t="n"/>
      <c r="I501" s="38">
        <f>IF($A501="","",IFERROR($B501-$C501-$D501-$E501,0))</f>
        <v/>
      </c>
    </row>
    <row r="502">
      <c r="A502" s="37" t="n"/>
      <c r="B502" s="37" t="n"/>
      <c r="C502" s="37" t="n"/>
      <c r="D502" s="37" t="n"/>
      <c r="E502" s="37" t="n"/>
      <c r="F502" s="37" t="n"/>
      <c r="G502" s="37" t="n"/>
      <c r="H502" s="37" t="n"/>
      <c r="I502" s="38">
        <f>IF($A502="","",IFERROR($B502-$C502-$D502-$E502,0))</f>
        <v/>
      </c>
    </row>
    <row r="503">
      <c r="A503" s="37" t="n"/>
      <c r="B503" s="37" t="n"/>
      <c r="C503" s="37" t="n"/>
      <c r="D503" s="37" t="n"/>
      <c r="E503" s="37" t="n"/>
      <c r="F503" s="37" t="n"/>
      <c r="G503" s="37" t="n"/>
      <c r="H503" s="37" t="n"/>
      <c r="I503" s="38">
        <f>IF($A503="","",IFERROR($B503-$C503-$D503-$E503,0))</f>
        <v/>
      </c>
    </row>
    <row r="504">
      <c r="A504" s="37" t="n"/>
      <c r="B504" s="37" t="n"/>
      <c r="C504" s="37" t="n"/>
      <c r="D504" s="37" t="n"/>
      <c r="E504" s="37" t="n"/>
      <c r="F504" s="37" t="n"/>
      <c r="G504" s="37" t="n"/>
      <c r="H504" s="37" t="n"/>
      <c r="I504" s="38">
        <f>IF($A504="","",IFERROR($B504-$C504-$D504-$E504,0))</f>
        <v/>
      </c>
    </row>
    <row r="505">
      <c r="A505" s="37" t="n"/>
      <c r="B505" s="37" t="n"/>
      <c r="C505" s="37" t="n"/>
      <c r="D505" s="37" t="n"/>
      <c r="E505" s="37" t="n"/>
      <c r="F505" s="37" t="n"/>
      <c r="G505" s="37" t="n"/>
      <c r="H505" s="37" t="n"/>
      <c r="I505" s="38">
        <f>IF($A505="","",IFERROR($B505-$C505-$D505-$E505,0))</f>
        <v/>
      </c>
    </row>
    <row r="506">
      <c r="A506" s="37" t="n"/>
      <c r="B506" s="37" t="n"/>
      <c r="C506" s="37" t="n"/>
      <c r="D506" s="37" t="n"/>
      <c r="E506" s="37" t="n"/>
      <c r="F506" s="37" t="n"/>
      <c r="G506" s="37" t="n"/>
      <c r="H506" s="37" t="n"/>
      <c r="I506" s="38">
        <f>IF($A506="","",IFERROR($B506-$C506-$D506-$E506,0))</f>
        <v/>
      </c>
    </row>
    <row r="507">
      <c r="A507" s="37" t="n"/>
      <c r="B507" s="37" t="n"/>
      <c r="C507" s="37" t="n"/>
      <c r="D507" s="37" t="n"/>
      <c r="E507" s="37" t="n"/>
      <c r="F507" s="37" t="n"/>
      <c r="G507" s="37" t="n"/>
      <c r="H507" s="37" t="n"/>
      <c r="I507" s="38">
        <f>IF($A507="","",IFERROR($B507-$C507-$D507-$E507,0))</f>
        <v/>
      </c>
    </row>
    <row r="508">
      <c r="A508" s="37" t="n"/>
      <c r="B508" s="37" t="n"/>
      <c r="C508" s="37" t="n"/>
      <c r="D508" s="37" t="n"/>
      <c r="E508" s="37" t="n"/>
      <c r="F508" s="37" t="n"/>
      <c r="G508" s="37" t="n"/>
      <c r="H508" s="37" t="n"/>
      <c r="I508" s="38">
        <f>IF($A508="","",IFERROR($B508-$C508-$D508-$E508,0))</f>
        <v/>
      </c>
    </row>
    <row r="509">
      <c r="A509" s="37" t="n"/>
      <c r="B509" s="37" t="n"/>
      <c r="C509" s="37" t="n"/>
      <c r="D509" s="37" t="n"/>
      <c r="E509" s="37" t="n"/>
      <c r="F509" s="37" t="n"/>
      <c r="G509" s="37" t="n"/>
      <c r="H509" s="37" t="n"/>
      <c r="I509" s="38">
        <f>IF($A509="","",IFERROR($B509-$C509-$D509-$E509,0))</f>
        <v/>
      </c>
    </row>
    <row r="510">
      <c r="A510" s="37" t="n"/>
      <c r="B510" s="37" t="n"/>
      <c r="C510" s="37" t="n"/>
      <c r="D510" s="37" t="n"/>
      <c r="E510" s="37" t="n"/>
      <c r="F510" s="37" t="n"/>
      <c r="G510" s="37" t="n"/>
      <c r="H510" s="37" t="n"/>
      <c r="I510" s="38">
        <f>IF($A510="","",IFERROR($B510-$C510-$D510-$E510,0))</f>
        <v/>
      </c>
    </row>
    <row r="511">
      <c r="A511" s="37" t="n"/>
      <c r="B511" s="37" t="n"/>
      <c r="C511" s="37" t="n"/>
      <c r="D511" s="37" t="n"/>
      <c r="E511" s="37" t="n"/>
      <c r="F511" s="37" t="n"/>
      <c r="G511" s="37" t="n"/>
      <c r="H511" s="37" t="n"/>
      <c r="I511" s="38">
        <f>IF($A511="","",IFERROR($B511-$C511-$D511-$E511,0))</f>
        <v/>
      </c>
    </row>
    <row r="512">
      <c r="A512" s="37" t="n"/>
      <c r="B512" s="37" t="n"/>
      <c r="C512" s="37" t="n"/>
      <c r="D512" s="37" t="n"/>
      <c r="E512" s="37" t="n"/>
      <c r="F512" s="37" t="n"/>
      <c r="G512" s="37" t="n"/>
      <c r="H512" s="37" t="n"/>
      <c r="I512" s="38">
        <f>IF($A512="","",IFERROR($B512-$C512-$D512-$E512,0))</f>
        <v/>
      </c>
    </row>
    <row r="513">
      <c r="A513" s="37" t="n"/>
      <c r="B513" s="37" t="n"/>
      <c r="C513" s="37" t="n"/>
      <c r="D513" s="37" t="n"/>
      <c r="E513" s="37" t="n"/>
      <c r="F513" s="37" t="n"/>
      <c r="G513" s="37" t="n"/>
      <c r="H513" s="37" t="n"/>
      <c r="I513" s="38">
        <f>IF($A513="","",IFERROR($B513-$C513-$D513-$E513,0))</f>
        <v/>
      </c>
    </row>
    <row r="514">
      <c r="A514" s="37" t="n"/>
      <c r="B514" s="37" t="n"/>
      <c r="C514" s="37" t="n"/>
      <c r="D514" s="37" t="n"/>
      <c r="E514" s="37" t="n"/>
      <c r="F514" s="37" t="n"/>
      <c r="G514" s="37" t="n"/>
      <c r="H514" s="37" t="n"/>
      <c r="I514" s="38">
        <f>IF($A514="","",IFERROR($B514-$C514-$D514-$E514,0))</f>
        <v/>
      </c>
    </row>
    <row r="515">
      <c r="A515" s="37" t="n"/>
      <c r="B515" s="37" t="n"/>
      <c r="C515" s="37" t="n"/>
      <c r="D515" s="37" t="n"/>
      <c r="E515" s="37" t="n"/>
      <c r="F515" s="37" t="n"/>
      <c r="G515" s="37" t="n"/>
      <c r="H515" s="37" t="n"/>
      <c r="I515" s="38">
        <f>IF($A515="","",IFERROR($B515-$C515-$D515-$E515,0))</f>
        <v/>
      </c>
    </row>
    <row r="516">
      <c r="A516" s="37" t="n"/>
      <c r="B516" s="37" t="n"/>
      <c r="C516" s="37" t="n"/>
      <c r="D516" s="37" t="n"/>
      <c r="E516" s="37" t="n"/>
      <c r="F516" s="37" t="n"/>
      <c r="G516" s="37" t="n"/>
      <c r="H516" s="37" t="n"/>
      <c r="I516" s="38">
        <f>IF($A516="","",IFERROR($B516-$C516-$D516-$E516,0))</f>
        <v/>
      </c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8">
        <f>IF($A517="","",IFERROR($B517-$C517-$D517-$E517,0))</f>
        <v/>
      </c>
    </row>
    <row r="518">
      <c r="A518" s="37" t="n"/>
      <c r="B518" s="37" t="n"/>
      <c r="C518" s="37" t="n"/>
      <c r="D518" s="37" t="n"/>
      <c r="E518" s="37" t="n"/>
      <c r="F518" s="37" t="n"/>
      <c r="G518" s="37" t="n"/>
      <c r="H518" s="37" t="n"/>
      <c r="I518" s="38">
        <f>IF($A518="","",IFERROR($B518-$C518-$D518-$E518,0))</f>
        <v/>
      </c>
    </row>
    <row r="519">
      <c r="A519" s="37" t="n"/>
      <c r="B519" s="37" t="n"/>
      <c r="C519" s="37" t="n"/>
      <c r="D519" s="37" t="n"/>
      <c r="E519" s="37" t="n"/>
      <c r="F519" s="37" t="n"/>
      <c r="G519" s="37" t="n"/>
      <c r="H519" s="37" t="n"/>
      <c r="I519" s="38">
        <f>IF($A519="","",IFERROR($B519-$C519-$D519-$E519,0))</f>
        <v/>
      </c>
    </row>
    <row r="520">
      <c r="A520" s="37" t="n"/>
      <c r="B520" s="37" t="n"/>
      <c r="C520" s="37" t="n"/>
      <c r="D520" s="37" t="n"/>
      <c r="E520" s="37" t="n"/>
      <c r="F520" s="37" t="n"/>
      <c r="G520" s="37" t="n"/>
      <c r="H520" s="37" t="n"/>
      <c r="I520" s="38">
        <f>IF($A520="","",IFERROR($B520-$C520-$D520-$E520,0))</f>
        <v/>
      </c>
    </row>
    <row r="521">
      <c r="A521" s="37" t="n"/>
      <c r="B521" s="37" t="n"/>
      <c r="C521" s="37" t="n"/>
      <c r="D521" s="37" t="n"/>
      <c r="E521" s="37" t="n"/>
      <c r="F521" s="37" t="n"/>
      <c r="G521" s="37" t="n"/>
      <c r="H521" s="37" t="n"/>
      <c r="I521" s="38">
        <f>IF($A521="","",IFERROR($B521-$C521-$D521-$E521,0))</f>
        <v/>
      </c>
    </row>
    <row r="522">
      <c r="A522" s="37" t="n"/>
      <c r="B522" s="37" t="n"/>
      <c r="C522" s="37" t="n"/>
      <c r="D522" s="37" t="n"/>
      <c r="E522" s="37" t="n"/>
      <c r="F522" s="37" t="n"/>
      <c r="G522" s="37" t="n"/>
      <c r="H522" s="37" t="n"/>
      <c r="I522" s="38">
        <f>IF($A522="","",IFERROR($B522-$C522-$D522-$E522,0))</f>
        <v/>
      </c>
    </row>
    <row r="523">
      <c r="A523" s="37" t="n"/>
      <c r="B523" s="37" t="n"/>
      <c r="C523" s="37" t="n"/>
      <c r="D523" s="37" t="n"/>
      <c r="E523" s="37" t="n"/>
      <c r="F523" s="37" t="n"/>
      <c r="G523" s="37" t="n"/>
      <c r="H523" s="37" t="n"/>
      <c r="I523" s="38">
        <f>IF($A523="","",IFERROR($B523-$C523-$D523-$E523,0))</f>
        <v/>
      </c>
    </row>
    <row r="524">
      <c r="A524" s="37" t="n"/>
      <c r="B524" s="37" t="n"/>
      <c r="C524" s="37" t="n"/>
      <c r="D524" s="37" t="n"/>
      <c r="E524" s="37" t="n"/>
      <c r="F524" s="37" t="n"/>
      <c r="G524" s="37" t="n"/>
      <c r="H524" s="37" t="n"/>
      <c r="I524" s="38">
        <f>IF($A524="","",IFERROR($B524-$C524-$D524-$E524,0))</f>
        <v/>
      </c>
    </row>
    <row r="525">
      <c r="A525" s="37" t="n"/>
      <c r="B525" s="37" t="n"/>
      <c r="C525" s="37" t="n"/>
      <c r="D525" s="37" t="n"/>
      <c r="E525" s="37" t="n"/>
      <c r="F525" s="37" t="n"/>
      <c r="G525" s="37" t="n"/>
      <c r="H525" s="37" t="n"/>
      <c r="I525" s="38">
        <f>IF($A525="","",IFERROR($B525-$C525-$D525-$E525,0))</f>
        <v/>
      </c>
    </row>
    <row r="526">
      <c r="A526" s="37" t="n"/>
      <c r="B526" s="37" t="n"/>
      <c r="C526" s="37" t="n"/>
      <c r="D526" s="37" t="n"/>
      <c r="E526" s="37" t="n"/>
      <c r="F526" s="37" t="n"/>
      <c r="G526" s="37" t="n"/>
      <c r="H526" s="37" t="n"/>
      <c r="I526" s="38">
        <f>IF($A526="","",IFERROR($B526-$C526-$D526-$E526,0))</f>
        <v/>
      </c>
    </row>
    <row r="527">
      <c r="A527" s="37" t="n"/>
      <c r="B527" s="37" t="n"/>
      <c r="C527" s="37" t="n"/>
      <c r="D527" s="37" t="n"/>
      <c r="E527" s="37" t="n"/>
      <c r="F527" s="37" t="n"/>
      <c r="G527" s="37" t="n"/>
      <c r="H527" s="37" t="n"/>
      <c r="I527" s="38">
        <f>IF($A527="","",IFERROR($B527-$C527-$D527-$E527,0))</f>
        <v/>
      </c>
    </row>
    <row r="528">
      <c r="A528" s="37" t="n"/>
      <c r="B528" s="37" t="n"/>
      <c r="C528" s="37" t="n"/>
      <c r="D528" s="37" t="n"/>
      <c r="E528" s="37" t="n"/>
      <c r="F528" s="37" t="n"/>
      <c r="G528" s="37" t="n"/>
      <c r="H528" s="37" t="n"/>
      <c r="I528" s="38">
        <f>IF($A528="","",IFERROR($B528-$C528-$D528-$E528,0))</f>
        <v/>
      </c>
    </row>
    <row r="529">
      <c r="A529" s="37" t="n"/>
      <c r="B529" s="37" t="n"/>
      <c r="C529" s="37" t="n"/>
      <c r="D529" s="37" t="n"/>
      <c r="E529" s="37" t="n"/>
      <c r="F529" s="37" t="n"/>
      <c r="G529" s="37" t="n"/>
      <c r="H529" s="37" t="n"/>
      <c r="I529" s="38">
        <f>IF($A529="","",IFERROR($B529-$C529-$D529-$E529,0))</f>
        <v/>
      </c>
    </row>
    <row r="530">
      <c r="A530" s="37" t="n"/>
      <c r="B530" s="37" t="n"/>
      <c r="C530" s="37" t="n"/>
      <c r="D530" s="37" t="n"/>
      <c r="E530" s="37" t="n"/>
      <c r="F530" s="37" t="n"/>
      <c r="G530" s="37" t="n"/>
      <c r="H530" s="37" t="n"/>
      <c r="I530" s="38">
        <f>IF($A530="","",IFERROR($B530-$C530-$D530-$E530,0))</f>
        <v/>
      </c>
    </row>
    <row r="531">
      <c r="A531" s="37" t="n"/>
      <c r="B531" s="37" t="n"/>
      <c r="C531" s="37" t="n"/>
      <c r="D531" s="37" t="n"/>
      <c r="E531" s="37" t="n"/>
      <c r="F531" s="37" t="n"/>
      <c r="G531" s="37" t="n"/>
      <c r="H531" s="37" t="n"/>
      <c r="I531" s="38">
        <f>IF($A531="","",IFERROR($B531-$C531-$D531-$E531,0))</f>
        <v/>
      </c>
    </row>
    <row r="532">
      <c r="A532" s="37" t="n"/>
      <c r="B532" s="37" t="n"/>
      <c r="C532" s="37" t="n"/>
      <c r="D532" s="37" t="n"/>
      <c r="E532" s="37" t="n"/>
      <c r="F532" s="37" t="n"/>
      <c r="G532" s="37" t="n"/>
      <c r="H532" s="37" t="n"/>
      <c r="I532" s="38">
        <f>IF($A532="","",IFERROR($B532-$C532-$D532-$E532,0))</f>
        <v/>
      </c>
    </row>
    <row r="533">
      <c r="A533" s="37" t="n"/>
      <c r="B533" s="37" t="n"/>
      <c r="C533" s="37" t="n"/>
      <c r="D533" s="37" t="n"/>
      <c r="E533" s="37" t="n"/>
      <c r="F533" s="37" t="n"/>
      <c r="G533" s="37" t="n"/>
      <c r="H533" s="37" t="n"/>
      <c r="I533" s="38">
        <f>IF($A533="","",IFERROR($B533-$C533-$D533-$E533,0))</f>
        <v/>
      </c>
    </row>
    <row r="534">
      <c r="A534" s="37" t="n"/>
      <c r="B534" s="37" t="n"/>
      <c r="C534" s="37" t="n"/>
      <c r="D534" s="37" t="n"/>
      <c r="E534" s="37" t="n"/>
      <c r="F534" s="37" t="n"/>
      <c r="G534" s="37" t="n"/>
      <c r="H534" s="37" t="n"/>
      <c r="I534" s="38">
        <f>IF($A534="","",IFERROR($B534-$C534-$D534-$E534,0))</f>
        <v/>
      </c>
    </row>
    <row r="535">
      <c r="A535" s="37" t="n"/>
      <c r="B535" s="37" t="n"/>
      <c r="C535" s="37" t="n"/>
      <c r="D535" s="37" t="n"/>
      <c r="E535" s="37" t="n"/>
      <c r="F535" s="37" t="n"/>
      <c r="G535" s="37" t="n"/>
      <c r="H535" s="37" t="n"/>
      <c r="I535" s="38">
        <f>IF($A535="","",IFERROR($B535-$C535-$D535-$E535,0))</f>
        <v/>
      </c>
    </row>
    <row r="536">
      <c r="A536" s="37" t="n"/>
      <c r="B536" s="37" t="n"/>
      <c r="C536" s="37" t="n"/>
      <c r="D536" s="37" t="n"/>
      <c r="E536" s="37" t="n"/>
      <c r="F536" s="37" t="n"/>
      <c r="G536" s="37" t="n"/>
      <c r="H536" s="37" t="n"/>
      <c r="I536" s="38">
        <f>IF($A536="","",IFERROR($B536-$C536-$D536-$E536,0))</f>
        <v/>
      </c>
    </row>
    <row r="537">
      <c r="A537" s="37" t="n"/>
      <c r="B537" s="37" t="n"/>
      <c r="C537" s="37" t="n"/>
      <c r="D537" s="37" t="n"/>
      <c r="E537" s="37" t="n"/>
      <c r="F537" s="37" t="n"/>
      <c r="G537" s="37" t="n"/>
      <c r="H537" s="37" t="n"/>
      <c r="I537" s="38">
        <f>IF($A537="","",IFERROR($B537-$C537-$D537-$E537,0))</f>
        <v/>
      </c>
    </row>
    <row r="538">
      <c r="A538" s="37" t="n"/>
      <c r="B538" s="37" t="n"/>
      <c r="C538" s="37" t="n"/>
      <c r="D538" s="37" t="n"/>
      <c r="E538" s="37" t="n"/>
      <c r="F538" s="37" t="n"/>
      <c r="G538" s="37" t="n"/>
      <c r="H538" s="37" t="n"/>
      <c r="I538" s="38">
        <f>IF($A538="","",IFERROR($B538-$C538-$D538-$E538,0))</f>
        <v/>
      </c>
    </row>
    <row r="539">
      <c r="A539" s="37" t="n"/>
      <c r="B539" s="37" t="n"/>
      <c r="C539" s="37" t="n"/>
      <c r="D539" s="37" t="n"/>
      <c r="E539" s="37" t="n"/>
      <c r="F539" s="37" t="n"/>
      <c r="G539" s="37" t="n"/>
      <c r="H539" s="37" t="n"/>
      <c r="I539" s="38">
        <f>IF($A539="","",IFERROR($B539-$C539-$D539-$E539,0))</f>
        <v/>
      </c>
    </row>
    <row r="540">
      <c r="A540" s="37" t="n"/>
      <c r="B540" s="37" t="n"/>
      <c r="C540" s="37" t="n"/>
      <c r="D540" s="37" t="n"/>
      <c r="E540" s="37" t="n"/>
      <c r="F540" s="37" t="n"/>
      <c r="G540" s="37" t="n"/>
      <c r="H540" s="37" t="n"/>
      <c r="I540" s="38">
        <f>IF($A540="","",IFERROR($B540-$C540-$D540-$E540,0))</f>
        <v/>
      </c>
    </row>
    <row r="541">
      <c r="A541" s="37" t="n"/>
      <c r="B541" s="37" t="n"/>
      <c r="C541" s="37" t="n"/>
      <c r="D541" s="37" t="n"/>
      <c r="E541" s="37" t="n"/>
      <c r="F541" s="37" t="n"/>
      <c r="G541" s="37" t="n"/>
      <c r="H541" s="37" t="n"/>
      <c r="I541" s="38">
        <f>IF($A541="","",IFERROR($B541-$C541-$D541-$E541,0))</f>
        <v/>
      </c>
    </row>
    <row r="542">
      <c r="A542" s="37" t="n"/>
      <c r="B542" s="37" t="n"/>
      <c r="C542" s="37" t="n"/>
      <c r="D542" s="37" t="n"/>
      <c r="E542" s="37" t="n"/>
      <c r="F542" s="37" t="n"/>
      <c r="G542" s="37" t="n"/>
      <c r="H542" s="37" t="n"/>
      <c r="I542" s="38">
        <f>IF($A542="","",IFERROR($B542-$C542-$D542-$E542,0))</f>
        <v/>
      </c>
    </row>
    <row r="543">
      <c r="A543" s="37" t="n"/>
      <c r="B543" s="37" t="n"/>
      <c r="C543" s="37" t="n"/>
      <c r="D543" s="37" t="n"/>
      <c r="E543" s="37" t="n"/>
      <c r="F543" s="37" t="n"/>
      <c r="G543" s="37" t="n"/>
      <c r="H543" s="37" t="n"/>
      <c r="I543" s="38">
        <f>IF($A543="","",IFERROR($B543-$C543-$D543-$E543,0))</f>
        <v/>
      </c>
    </row>
    <row r="544">
      <c r="A544" s="37" t="n"/>
      <c r="B544" s="37" t="n"/>
      <c r="C544" s="37" t="n"/>
      <c r="D544" s="37" t="n"/>
      <c r="E544" s="37" t="n"/>
      <c r="F544" s="37" t="n"/>
      <c r="G544" s="37" t="n"/>
      <c r="H544" s="37" t="n"/>
      <c r="I544" s="38">
        <f>IF($A544="","",IFERROR($B544-$C544-$D544-$E544,0))</f>
        <v/>
      </c>
    </row>
    <row r="545">
      <c r="A545" s="37" t="n"/>
      <c r="B545" s="37" t="n"/>
      <c r="C545" s="37" t="n"/>
      <c r="D545" s="37" t="n"/>
      <c r="E545" s="37" t="n"/>
      <c r="F545" s="37" t="n"/>
      <c r="G545" s="37" t="n"/>
      <c r="H545" s="37" t="n"/>
      <c r="I545" s="38">
        <f>IF($A545="","",IFERROR($B545-$C545-$D545-$E545,0))</f>
        <v/>
      </c>
    </row>
    <row r="546">
      <c r="A546" s="37" t="n"/>
      <c r="B546" s="37" t="n"/>
      <c r="C546" s="37" t="n"/>
      <c r="D546" s="37" t="n"/>
      <c r="E546" s="37" t="n"/>
      <c r="F546" s="37" t="n"/>
      <c r="G546" s="37" t="n"/>
      <c r="H546" s="37" t="n"/>
      <c r="I546" s="38">
        <f>IF($A546="","",IFERROR($B546-$C546-$D546-$E546,0))</f>
        <v/>
      </c>
    </row>
    <row r="547">
      <c r="A547" s="37" t="n"/>
      <c r="B547" s="37" t="n"/>
      <c r="C547" s="37" t="n"/>
      <c r="D547" s="37" t="n"/>
      <c r="E547" s="37" t="n"/>
      <c r="F547" s="37" t="n"/>
      <c r="G547" s="37" t="n"/>
      <c r="H547" s="37" t="n"/>
      <c r="I547" s="38">
        <f>IF($A547="","",IFERROR($B547-$C547-$D547-$E547,0))</f>
        <v/>
      </c>
    </row>
    <row r="548">
      <c r="A548" s="37" t="n"/>
      <c r="B548" s="37" t="n"/>
      <c r="C548" s="37" t="n"/>
      <c r="D548" s="37" t="n"/>
      <c r="E548" s="37" t="n"/>
      <c r="F548" s="37" t="n"/>
      <c r="G548" s="37" t="n"/>
      <c r="H548" s="37" t="n"/>
      <c r="I548" s="38">
        <f>IF($A548="","",IFERROR($B548-$C548-$D548-$E548,0))</f>
        <v/>
      </c>
    </row>
    <row r="549">
      <c r="A549" s="37" t="n"/>
      <c r="B549" s="37" t="n"/>
      <c r="C549" s="37" t="n"/>
      <c r="D549" s="37" t="n"/>
      <c r="E549" s="37" t="n"/>
      <c r="F549" s="37" t="n"/>
      <c r="G549" s="37" t="n"/>
      <c r="H549" s="37" t="n"/>
      <c r="I549" s="38">
        <f>IF($A549="","",IFERROR($B549-$C549-$D549-$E549,0))</f>
        <v/>
      </c>
    </row>
    <row r="550">
      <c r="A550" s="37" t="n"/>
      <c r="B550" s="37" t="n"/>
      <c r="C550" s="37" t="n"/>
      <c r="D550" s="37" t="n"/>
      <c r="E550" s="37" t="n"/>
      <c r="F550" s="37" t="n"/>
      <c r="G550" s="37" t="n"/>
      <c r="H550" s="37" t="n"/>
      <c r="I550" s="38">
        <f>IF($A550="","",IFERROR($B550-$C550-$D550-$E550,0))</f>
        <v/>
      </c>
    </row>
    <row r="551">
      <c r="A551" s="37" t="n"/>
      <c r="B551" s="37" t="n"/>
      <c r="C551" s="37" t="n"/>
      <c r="D551" s="37" t="n"/>
      <c r="E551" s="37" t="n"/>
      <c r="F551" s="37" t="n"/>
      <c r="G551" s="37" t="n"/>
      <c r="H551" s="37" t="n"/>
      <c r="I551" s="38">
        <f>IF($A551="","",IFERROR($B551-$C551-$D551-$E551,0))</f>
        <v/>
      </c>
    </row>
    <row r="552">
      <c r="A552" s="37" t="n"/>
      <c r="B552" s="37" t="n"/>
      <c r="C552" s="37" t="n"/>
      <c r="D552" s="37" t="n"/>
      <c r="E552" s="37" t="n"/>
      <c r="F552" s="37" t="n"/>
      <c r="G552" s="37" t="n"/>
      <c r="H552" s="37" t="n"/>
      <c r="I552" s="38">
        <f>IF($A552="","",IFERROR($B552-$C552-$D552-$E552,0))</f>
        <v/>
      </c>
    </row>
    <row r="553">
      <c r="A553" s="37" t="n"/>
      <c r="B553" s="37" t="n"/>
      <c r="C553" s="37" t="n"/>
      <c r="D553" s="37" t="n"/>
      <c r="E553" s="37" t="n"/>
      <c r="F553" s="37" t="n"/>
      <c r="G553" s="37" t="n"/>
      <c r="H553" s="37" t="n"/>
      <c r="I553" s="38">
        <f>IF($A553="","",IFERROR($B553-$C553-$D553-$E553,0))</f>
        <v/>
      </c>
    </row>
    <row r="554">
      <c r="A554" s="37" t="n"/>
      <c r="B554" s="37" t="n"/>
      <c r="C554" s="37" t="n"/>
      <c r="D554" s="37" t="n"/>
      <c r="E554" s="37" t="n"/>
      <c r="F554" s="37" t="n"/>
      <c r="G554" s="37" t="n"/>
      <c r="H554" s="37" t="n"/>
      <c r="I554" s="38">
        <f>IF($A554="","",IFERROR($B554-$C554-$D554-$E554,0))</f>
        <v/>
      </c>
    </row>
    <row r="555">
      <c r="A555" s="37" t="n"/>
      <c r="B555" s="37" t="n"/>
      <c r="C555" s="37" t="n"/>
      <c r="D555" s="37" t="n"/>
      <c r="E555" s="37" t="n"/>
      <c r="F555" s="37" t="n"/>
      <c r="G555" s="37" t="n"/>
      <c r="H555" s="37" t="n"/>
      <c r="I555" s="38">
        <f>IF($A555="","",IFERROR($B555-$C555-$D555-$E555,0))</f>
        <v/>
      </c>
    </row>
    <row r="556">
      <c r="A556" s="37" t="n"/>
      <c r="B556" s="37" t="n"/>
      <c r="C556" s="37" t="n"/>
      <c r="D556" s="37" t="n"/>
      <c r="E556" s="37" t="n"/>
      <c r="F556" s="37" t="n"/>
      <c r="G556" s="37" t="n"/>
      <c r="H556" s="37" t="n"/>
      <c r="I556" s="38">
        <f>IF($A556="","",IFERROR($B556-$C556-$D556-$E556,0))</f>
        <v/>
      </c>
    </row>
    <row r="557">
      <c r="A557" s="37" t="n"/>
      <c r="B557" s="37" t="n"/>
      <c r="C557" s="37" t="n"/>
      <c r="D557" s="37" t="n"/>
      <c r="E557" s="37" t="n"/>
      <c r="F557" s="37" t="n"/>
      <c r="G557" s="37" t="n"/>
      <c r="H557" s="37" t="n"/>
      <c r="I557" s="38">
        <f>IF($A557="","",IFERROR($B557-$C557-$D557-$E557,0))</f>
        <v/>
      </c>
    </row>
    <row r="558">
      <c r="A558" s="37" t="n"/>
      <c r="B558" s="37" t="n"/>
      <c r="C558" s="37" t="n"/>
      <c r="D558" s="37" t="n"/>
      <c r="E558" s="37" t="n"/>
      <c r="F558" s="37" t="n"/>
      <c r="G558" s="37" t="n"/>
      <c r="H558" s="37" t="n"/>
      <c r="I558" s="38">
        <f>IF($A558="","",IFERROR($B558-$C558-$D558-$E558,0))</f>
        <v/>
      </c>
    </row>
    <row r="559">
      <c r="A559" s="37" t="n"/>
      <c r="B559" s="37" t="n"/>
      <c r="C559" s="37" t="n"/>
      <c r="D559" s="37" t="n"/>
      <c r="E559" s="37" t="n"/>
      <c r="F559" s="37" t="n"/>
      <c r="G559" s="37" t="n"/>
      <c r="H559" s="37" t="n"/>
      <c r="I559" s="38">
        <f>IF($A559="","",IFERROR($B559-$C559-$D559-$E559,0))</f>
        <v/>
      </c>
    </row>
    <row r="560">
      <c r="A560" s="37" t="n"/>
      <c r="B560" s="37" t="n"/>
      <c r="C560" s="37" t="n"/>
      <c r="D560" s="37" t="n"/>
      <c r="E560" s="37" t="n"/>
      <c r="F560" s="37" t="n"/>
      <c r="G560" s="37" t="n"/>
      <c r="H560" s="37" t="n"/>
      <c r="I560" s="38">
        <f>IF($A560="","",IFERROR($B560-$C560-$D560-$E560,0))</f>
        <v/>
      </c>
    </row>
    <row r="561">
      <c r="A561" s="37" t="n"/>
      <c r="B561" s="37" t="n"/>
      <c r="C561" s="37" t="n"/>
      <c r="D561" s="37" t="n"/>
      <c r="E561" s="37" t="n"/>
      <c r="F561" s="37" t="n"/>
      <c r="G561" s="37" t="n"/>
      <c r="H561" s="37" t="n"/>
      <c r="I561" s="38">
        <f>IF($A561="","",IFERROR($B561-$C561-$D561-$E561,0))</f>
        <v/>
      </c>
    </row>
    <row r="562">
      <c r="A562" s="37" t="n"/>
      <c r="B562" s="37" t="n"/>
      <c r="C562" s="37" t="n"/>
      <c r="D562" s="37" t="n"/>
      <c r="E562" s="37" t="n"/>
      <c r="F562" s="37" t="n"/>
      <c r="G562" s="37" t="n"/>
      <c r="H562" s="37" t="n"/>
      <c r="I562" s="38">
        <f>IF($A562="","",IFERROR($B562-$C562-$D562-$E562,0))</f>
        <v/>
      </c>
    </row>
    <row r="563">
      <c r="A563" s="37" t="n"/>
      <c r="B563" s="37" t="n"/>
      <c r="C563" s="37" t="n"/>
      <c r="D563" s="37" t="n"/>
      <c r="E563" s="37" t="n"/>
      <c r="F563" s="37" t="n"/>
      <c r="G563" s="37" t="n"/>
      <c r="H563" s="37" t="n"/>
      <c r="I563" s="38">
        <f>IF($A563="","",IFERROR($B563-$C563-$D563-$E563,0))</f>
        <v/>
      </c>
    </row>
    <row r="564">
      <c r="A564" s="37" t="n"/>
      <c r="B564" s="37" t="n"/>
      <c r="C564" s="37" t="n"/>
      <c r="D564" s="37" t="n"/>
      <c r="E564" s="37" t="n"/>
      <c r="F564" s="37" t="n"/>
      <c r="G564" s="37" t="n"/>
      <c r="H564" s="37" t="n"/>
      <c r="I564" s="38">
        <f>IF($A564="","",IFERROR($B564-$C564-$D564-$E564,0))</f>
        <v/>
      </c>
    </row>
    <row r="565">
      <c r="A565" s="37" t="n"/>
      <c r="B565" s="37" t="n"/>
      <c r="C565" s="37" t="n"/>
      <c r="D565" s="37" t="n"/>
      <c r="E565" s="37" t="n"/>
      <c r="F565" s="37" t="n"/>
      <c r="G565" s="37" t="n"/>
      <c r="H565" s="37" t="n"/>
      <c r="I565" s="38">
        <f>IF($A565="","",IFERROR($B565-$C565-$D565-$E565,0))</f>
        <v/>
      </c>
    </row>
    <row r="566">
      <c r="A566" s="37" t="n"/>
      <c r="B566" s="37" t="n"/>
      <c r="C566" s="37" t="n"/>
      <c r="D566" s="37" t="n"/>
      <c r="E566" s="37" t="n"/>
      <c r="F566" s="37" t="n"/>
      <c r="G566" s="37" t="n"/>
      <c r="H566" s="37" t="n"/>
      <c r="I566" s="38">
        <f>IF($A566="","",IFERROR($B566-$C566-$D566-$E566,0))</f>
        <v/>
      </c>
    </row>
    <row r="567">
      <c r="A567" s="37" t="n"/>
      <c r="B567" s="37" t="n"/>
      <c r="C567" s="37" t="n"/>
      <c r="D567" s="37" t="n"/>
      <c r="E567" s="37" t="n"/>
      <c r="F567" s="37" t="n"/>
      <c r="G567" s="37" t="n"/>
      <c r="H567" s="37" t="n"/>
      <c r="I567" s="38">
        <f>IF($A567="","",IFERROR($B567-$C567-$D567-$E567,0))</f>
        <v/>
      </c>
    </row>
    <row r="568">
      <c r="A568" s="37" t="n"/>
      <c r="B568" s="37" t="n"/>
      <c r="C568" s="37" t="n"/>
      <c r="D568" s="37" t="n"/>
      <c r="E568" s="37" t="n"/>
      <c r="F568" s="37" t="n"/>
      <c r="G568" s="37" t="n"/>
      <c r="H568" s="37" t="n"/>
      <c r="I568" s="38">
        <f>IF($A568="","",IFERROR($B568-$C568-$D568-$E568,0))</f>
        <v/>
      </c>
    </row>
    <row r="569">
      <c r="A569" s="37" t="n"/>
      <c r="B569" s="37" t="n"/>
      <c r="C569" s="37" t="n"/>
      <c r="D569" s="37" t="n"/>
      <c r="E569" s="37" t="n"/>
      <c r="F569" s="37" t="n"/>
      <c r="G569" s="37" t="n"/>
      <c r="H569" s="37" t="n"/>
      <c r="I569" s="38">
        <f>IF($A569="","",IFERROR($B569-$C569-$D569-$E569,0))</f>
        <v/>
      </c>
    </row>
    <row r="570">
      <c r="A570" s="37" t="n"/>
      <c r="B570" s="37" t="n"/>
      <c r="C570" s="37" t="n"/>
      <c r="D570" s="37" t="n"/>
      <c r="E570" s="37" t="n"/>
      <c r="F570" s="37" t="n"/>
      <c r="G570" s="37" t="n"/>
      <c r="H570" s="37" t="n"/>
      <c r="I570" s="38">
        <f>IF($A570="","",IFERROR($B570-$C570-$D570-$E570,0))</f>
        <v/>
      </c>
    </row>
    <row r="571">
      <c r="A571" s="37" t="n"/>
      <c r="B571" s="37" t="n"/>
      <c r="C571" s="37" t="n"/>
      <c r="D571" s="37" t="n"/>
      <c r="E571" s="37" t="n"/>
      <c r="F571" s="37" t="n"/>
      <c r="G571" s="37" t="n"/>
      <c r="H571" s="37" t="n"/>
      <c r="I571" s="38">
        <f>IF($A571="","",IFERROR($B571-$C571-$D571-$E571,0))</f>
        <v/>
      </c>
    </row>
    <row r="572">
      <c r="A572" s="37" t="n"/>
      <c r="B572" s="37" t="n"/>
      <c r="C572" s="37" t="n"/>
      <c r="D572" s="37" t="n"/>
      <c r="E572" s="37" t="n"/>
      <c r="F572" s="37" t="n"/>
      <c r="G572" s="37" t="n"/>
      <c r="H572" s="37" t="n"/>
      <c r="I572" s="38">
        <f>IF($A572="","",IFERROR($B572-$C572-$D572-$E572,0))</f>
        <v/>
      </c>
    </row>
    <row r="573">
      <c r="A573" s="37" t="n"/>
      <c r="B573" s="37" t="n"/>
      <c r="C573" s="37" t="n"/>
      <c r="D573" s="37" t="n"/>
      <c r="E573" s="37" t="n"/>
      <c r="F573" s="37" t="n"/>
      <c r="G573" s="37" t="n"/>
      <c r="H573" s="37" t="n"/>
      <c r="I573" s="38">
        <f>IF($A573="","",IFERROR($B573-$C573-$D573-$E573,0))</f>
        <v/>
      </c>
    </row>
    <row r="574">
      <c r="A574" s="37" t="n"/>
      <c r="B574" s="37" t="n"/>
      <c r="C574" s="37" t="n"/>
      <c r="D574" s="37" t="n"/>
      <c r="E574" s="37" t="n"/>
      <c r="F574" s="37" t="n"/>
      <c r="G574" s="37" t="n"/>
      <c r="H574" s="37" t="n"/>
      <c r="I574" s="38">
        <f>IF($A574="","",IFERROR($B574-$C574-$D574-$E574,0))</f>
        <v/>
      </c>
    </row>
    <row r="575">
      <c r="A575" s="37" t="n"/>
      <c r="B575" s="37" t="n"/>
      <c r="C575" s="37" t="n"/>
      <c r="D575" s="37" t="n"/>
      <c r="E575" s="37" t="n"/>
      <c r="F575" s="37" t="n"/>
      <c r="G575" s="37" t="n"/>
      <c r="H575" s="37" t="n"/>
      <c r="I575" s="38">
        <f>IF($A575="","",IFERROR($B575-$C575-$D575-$E575,0))</f>
        <v/>
      </c>
    </row>
    <row r="576">
      <c r="A576" s="37" t="n"/>
      <c r="B576" s="37" t="n"/>
      <c r="C576" s="37" t="n"/>
      <c r="D576" s="37" t="n"/>
      <c r="E576" s="37" t="n"/>
      <c r="F576" s="37" t="n"/>
      <c r="G576" s="37" t="n"/>
      <c r="H576" s="37" t="n"/>
      <c r="I576" s="38">
        <f>IF($A576="","",IFERROR($B576-$C576-$D576-$E576,0))</f>
        <v/>
      </c>
    </row>
    <row r="577">
      <c r="A577" s="37" t="n"/>
      <c r="B577" s="37" t="n"/>
      <c r="C577" s="37" t="n"/>
      <c r="D577" s="37" t="n"/>
      <c r="E577" s="37" t="n"/>
      <c r="F577" s="37" t="n"/>
      <c r="G577" s="37" t="n"/>
      <c r="H577" s="37" t="n"/>
      <c r="I577" s="38">
        <f>IF($A577="","",IFERROR($B577-$C577-$D577-$E577,0))</f>
        <v/>
      </c>
    </row>
    <row r="578">
      <c r="A578" s="37" t="n"/>
      <c r="B578" s="37" t="n"/>
      <c r="C578" s="37" t="n"/>
      <c r="D578" s="37" t="n"/>
      <c r="E578" s="37" t="n"/>
      <c r="F578" s="37" t="n"/>
      <c r="G578" s="37" t="n"/>
      <c r="H578" s="37" t="n"/>
      <c r="I578" s="38">
        <f>IF($A578="","",IFERROR($B578-$C578-$D578-$E578,0))</f>
        <v/>
      </c>
    </row>
    <row r="579">
      <c r="A579" s="37" t="n"/>
      <c r="B579" s="37" t="n"/>
      <c r="C579" s="37" t="n"/>
      <c r="D579" s="37" t="n"/>
      <c r="E579" s="37" t="n"/>
      <c r="F579" s="37" t="n"/>
      <c r="G579" s="37" t="n"/>
      <c r="H579" s="37" t="n"/>
      <c r="I579" s="38">
        <f>IF($A579="","",IFERROR($B579-$C579-$D579-$E579,0))</f>
        <v/>
      </c>
    </row>
    <row r="580">
      <c r="A580" s="37" t="n"/>
      <c r="B580" s="37" t="n"/>
      <c r="C580" s="37" t="n"/>
      <c r="D580" s="37" t="n"/>
      <c r="E580" s="37" t="n"/>
      <c r="F580" s="37" t="n"/>
      <c r="G580" s="37" t="n"/>
      <c r="H580" s="37" t="n"/>
      <c r="I580" s="38">
        <f>IF($A580="","",IFERROR($B580-$C580-$D580-$E580,0))</f>
        <v/>
      </c>
    </row>
    <row r="581">
      <c r="A581" s="37" t="n"/>
      <c r="B581" s="37" t="n"/>
      <c r="C581" s="37" t="n"/>
      <c r="D581" s="37" t="n"/>
      <c r="E581" s="37" t="n"/>
      <c r="F581" s="37" t="n"/>
      <c r="G581" s="37" t="n"/>
      <c r="H581" s="37" t="n"/>
      <c r="I581" s="38">
        <f>IF($A581="","",IFERROR($B581-$C581-$D581-$E581,0))</f>
        <v/>
      </c>
    </row>
    <row r="582">
      <c r="A582" s="37" t="n"/>
      <c r="B582" s="37" t="n"/>
      <c r="C582" s="37" t="n"/>
      <c r="D582" s="37" t="n"/>
      <c r="E582" s="37" t="n"/>
      <c r="F582" s="37" t="n"/>
      <c r="G582" s="37" t="n"/>
      <c r="H582" s="37" t="n"/>
      <c r="I582" s="38">
        <f>IF($A582="","",IFERROR($B582-$C582-$D582-$E582,0))</f>
        <v/>
      </c>
    </row>
    <row r="583">
      <c r="A583" s="37" t="n"/>
      <c r="B583" s="37" t="n"/>
      <c r="C583" s="37" t="n"/>
      <c r="D583" s="37" t="n"/>
      <c r="E583" s="37" t="n"/>
      <c r="F583" s="37" t="n"/>
      <c r="G583" s="37" t="n"/>
      <c r="H583" s="37" t="n"/>
      <c r="I583" s="38">
        <f>IF($A583="","",IFERROR($B583-$C583-$D583-$E583,0))</f>
        <v/>
      </c>
    </row>
    <row r="584">
      <c r="A584" s="37" t="n"/>
      <c r="B584" s="37" t="n"/>
      <c r="C584" s="37" t="n"/>
      <c r="D584" s="37" t="n"/>
      <c r="E584" s="37" t="n"/>
      <c r="F584" s="37" t="n"/>
      <c r="G584" s="37" t="n"/>
      <c r="H584" s="37" t="n"/>
      <c r="I584" s="38">
        <f>IF($A584="","",IFERROR($B584-$C584-$D584-$E584,0))</f>
        <v/>
      </c>
    </row>
    <row r="585">
      <c r="A585" s="37" t="n"/>
      <c r="B585" s="37" t="n"/>
      <c r="C585" s="37" t="n"/>
      <c r="D585" s="37" t="n"/>
      <c r="E585" s="37" t="n"/>
      <c r="F585" s="37" t="n"/>
      <c r="G585" s="37" t="n"/>
      <c r="H585" s="37" t="n"/>
      <c r="I585" s="38">
        <f>IF($A585="","",IFERROR($B585-$C585-$D585-$E585,0))</f>
        <v/>
      </c>
    </row>
    <row r="586">
      <c r="A586" s="37" t="n"/>
      <c r="B586" s="37" t="n"/>
      <c r="C586" s="37" t="n"/>
      <c r="D586" s="37" t="n"/>
      <c r="E586" s="37" t="n"/>
      <c r="F586" s="37" t="n"/>
      <c r="G586" s="37" t="n"/>
      <c r="H586" s="37" t="n"/>
      <c r="I586" s="38">
        <f>IF($A586="","",IFERROR($B586-$C586-$D586-$E586,0))</f>
        <v/>
      </c>
    </row>
    <row r="587">
      <c r="A587" s="37" t="n"/>
      <c r="B587" s="37" t="n"/>
      <c r="C587" s="37" t="n"/>
      <c r="D587" s="37" t="n"/>
      <c r="E587" s="37" t="n"/>
      <c r="F587" s="37" t="n"/>
      <c r="G587" s="37" t="n"/>
      <c r="H587" s="37" t="n"/>
      <c r="I587" s="38">
        <f>IF($A587="","",IFERROR($B587-$C587-$D587-$E587,0))</f>
        <v/>
      </c>
    </row>
    <row r="588">
      <c r="A588" s="37" t="n"/>
      <c r="B588" s="37" t="n"/>
      <c r="C588" s="37" t="n"/>
      <c r="D588" s="37" t="n"/>
      <c r="E588" s="37" t="n"/>
      <c r="F588" s="37" t="n"/>
      <c r="G588" s="37" t="n"/>
      <c r="H588" s="37" t="n"/>
      <c r="I588" s="38">
        <f>IF($A588="","",IFERROR($B588-$C588-$D588-$E588,0))</f>
        <v/>
      </c>
    </row>
    <row r="589">
      <c r="A589" s="37" t="n"/>
      <c r="B589" s="37" t="n"/>
      <c r="C589" s="37" t="n"/>
      <c r="D589" s="37" t="n"/>
      <c r="E589" s="37" t="n"/>
      <c r="F589" s="37" t="n"/>
      <c r="G589" s="37" t="n"/>
      <c r="H589" s="37" t="n"/>
      <c r="I589" s="38">
        <f>IF($A589="","",IFERROR($B589-$C589-$D589-$E589,0))</f>
        <v/>
      </c>
    </row>
    <row r="590">
      <c r="A590" s="37" t="n"/>
      <c r="B590" s="37" t="n"/>
      <c r="C590" s="37" t="n"/>
      <c r="D590" s="37" t="n"/>
      <c r="E590" s="37" t="n"/>
      <c r="F590" s="37" t="n"/>
      <c r="G590" s="37" t="n"/>
      <c r="H590" s="37" t="n"/>
      <c r="I590" s="38">
        <f>IF($A590="","",IFERROR($B590-$C590-$D590-$E590,0))</f>
        <v/>
      </c>
    </row>
    <row r="591">
      <c r="A591" s="37" t="n"/>
      <c r="B591" s="37" t="n"/>
      <c r="C591" s="37" t="n"/>
      <c r="D591" s="37" t="n"/>
      <c r="E591" s="37" t="n"/>
      <c r="F591" s="37" t="n"/>
      <c r="G591" s="37" t="n"/>
      <c r="H591" s="37" t="n"/>
      <c r="I591" s="38">
        <f>IF($A591="","",IFERROR($B591-$C591-$D591-$E591,0))</f>
        <v/>
      </c>
    </row>
    <row r="592">
      <c r="A592" s="37" t="n"/>
      <c r="B592" s="37" t="n"/>
      <c r="C592" s="37" t="n"/>
      <c r="D592" s="37" t="n"/>
      <c r="E592" s="37" t="n"/>
      <c r="F592" s="37" t="n"/>
      <c r="G592" s="37" t="n"/>
      <c r="H592" s="37" t="n"/>
      <c r="I592" s="38">
        <f>IF($A592="","",IFERROR($B592-$C592-$D592-$E592,0))</f>
        <v/>
      </c>
    </row>
    <row r="593">
      <c r="A593" s="37" t="n"/>
      <c r="B593" s="37" t="n"/>
      <c r="C593" s="37" t="n"/>
      <c r="D593" s="37" t="n"/>
      <c r="E593" s="37" t="n"/>
      <c r="F593" s="37" t="n"/>
      <c r="G593" s="37" t="n"/>
      <c r="H593" s="37" t="n"/>
      <c r="I593" s="38">
        <f>IF($A593="","",IFERROR($B593-$C593-$D593-$E593,0))</f>
        <v/>
      </c>
    </row>
    <row r="594">
      <c r="A594" s="37" t="n"/>
      <c r="B594" s="37" t="n"/>
      <c r="C594" s="37" t="n"/>
      <c r="D594" s="37" t="n"/>
      <c r="E594" s="37" t="n"/>
      <c r="F594" s="37" t="n"/>
      <c r="G594" s="37" t="n"/>
      <c r="H594" s="37" t="n"/>
      <c r="I594" s="38">
        <f>IF($A594="","",IFERROR($B594-$C594-$D594-$E594,0))</f>
        <v/>
      </c>
    </row>
    <row r="595">
      <c r="A595" s="37" t="n"/>
      <c r="B595" s="37" t="n"/>
      <c r="C595" s="37" t="n"/>
      <c r="D595" s="37" t="n"/>
      <c r="E595" s="37" t="n"/>
      <c r="F595" s="37" t="n"/>
      <c r="G595" s="37" t="n"/>
      <c r="H595" s="37" t="n"/>
      <c r="I595" s="38">
        <f>IF($A595="","",IFERROR($B595-$C595-$D595-$E595,0))</f>
        <v/>
      </c>
    </row>
    <row r="596">
      <c r="A596" s="37" t="n"/>
      <c r="B596" s="37" t="n"/>
      <c r="C596" s="37" t="n"/>
      <c r="D596" s="37" t="n"/>
      <c r="E596" s="37" t="n"/>
      <c r="F596" s="37" t="n"/>
      <c r="G596" s="37" t="n"/>
      <c r="H596" s="37" t="n"/>
      <c r="I596" s="38">
        <f>IF($A596="","",IFERROR($B596-$C596-$D596-$E596,0))</f>
        <v/>
      </c>
    </row>
    <row r="597">
      <c r="A597" s="37" t="n"/>
      <c r="B597" s="37" t="n"/>
      <c r="C597" s="37" t="n"/>
      <c r="D597" s="37" t="n"/>
      <c r="E597" s="37" t="n"/>
      <c r="F597" s="37" t="n"/>
      <c r="G597" s="37" t="n"/>
      <c r="H597" s="37" t="n"/>
      <c r="I597" s="38">
        <f>IF($A597="","",IFERROR($B597-$C597-$D597-$E597,0))</f>
        <v/>
      </c>
    </row>
    <row r="598">
      <c r="A598" s="37" t="n"/>
      <c r="B598" s="37" t="n"/>
      <c r="C598" s="37" t="n"/>
      <c r="D598" s="37" t="n"/>
      <c r="E598" s="37" t="n"/>
      <c r="F598" s="37" t="n"/>
      <c r="G598" s="37" t="n"/>
      <c r="H598" s="37" t="n"/>
      <c r="I598" s="38">
        <f>IF($A598="","",IFERROR($B598-$C598-$D598-$E598,0))</f>
        <v/>
      </c>
    </row>
    <row r="599">
      <c r="A599" s="37" t="n"/>
      <c r="B599" s="37" t="n"/>
      <c r="C599" s="37" t="n"/>
      <c r="D599" s="37" t="n"/>
      <c r="E599" s="37" t="n"/>
      <c r="F599" s="37" t="n"/>
      <c r="G599" s="37" t="n"/>
      <c r="H599" s="37" t="n"/>
      <c r="I599" s="38">
        <f>IF($A599="","",IFERROR($B599-$C599-$D599-$E599,0))</f>
        <v/>
      </c>
    </row>
    <row r="600">
      <c r="A600" s="37" t="n"/>
      <c r="B600" s="37" t="n"/>
      <c r="C600" s="37" t="n"/>
      <c r="D600" s="37" t="n"/>
      <c r="E600" s="37" t="n"/>
      <c r="F600" s="37" t="n"/>
      <c r="G600" s="37" t="n"/>
      <c r="H600" s="37" t="n"/>
      <c r="I600" s="38">
        <f>IF($A600="","",IFERROR($B600-$C600-$D600-$E600,0))</f>
        <v/>
      </c>
    </row>
    <row r="601">
      <c r="A601" s="37" t="n"/>
      <c r="B601" s="37" t="n"/>
      <c r="C601" s="37" t="n"/>
      <c r="D601" s="37" t="n"/>
      <c r="E601" s="37" t="n"/>
      <c r="F601" s="37" t="n"/>
      <c r="G601" s="37" t="n"/>
      <c r="H601" s="37" t="n"/>
      <c r="I601" s="38">
        <f>IF($A601="","",IFERROR($B601-$C601-$D601-$E601,0))</f>
        <v/>
      </c>
    </row>
    <row r="602">
      <c r="A602" s="37" t="n"/>
      <c r="B602" s="37" t="n"/>
      <c r="C602" s="37" t="n"/>
      <c r="D602" s="37" t="n"/>
      <c r="E602" s="37" t="n"/>
      <c r="F602" s="37" t="n"/>
      <c r="G602" s="37" t="n"/>
      <c r="H602" s="37" t="n"/>
      <c r="I602" s="38">
        <f>IF($A602="","",IFERROR($B602-$C602-$D602-$E602,0))</f>
        <v/>
      </c>
    </row>
    <row r="603">
      <c r="A603" s="37" t="n"/>
      <c r="B603" s="37" t="n"/>
      <c r="C603" s="37" t="n"/>
      <c r="D603" s="37" t="n"/>
      <c r="E603" s="37" t="n"/>
      <c r="F603" s="37" t="n"/>
      <c r="G603" s="37" t="n"/>
      <c r="H603" s="37" t="n"/>
      <c r="I603" s="38">
        <f>IF($A603="","",IFERROR($B603-$C603-$D603-$E603,0))</f>
        <v/>
      </c>
    </row>
    <row r="604">
      <c r="A604" s="37" t="n"/>
      <c r="B604" s="37" t="n"/>
      <c r="C604" s="37" t="n"/>
      <c r="D604" s="37" t="n"/>
      <c r="E604" s="37" t="n"/>
      <c r="F604" s="37" t="n"/>
      <c r="G604" s="37" t="n"/>
      <c r="H604" s="37" t="n"/>
      <c r="I604" s="38">
        <f>IF($A604="","",IFERROR($B604-$C604-$D604-$E604,0))</f>
        <v/>
      </c>
    </row>
    <row r="605">
      <c r="A605" s="37" t="n"/>
      <c r="B605" s="37" t="n"/>
      <c r="C605" s="37" t="n"/>
      <c r="D605" s="37" t="n"/>
      <c r="E605" s="37" t="n"/>
      <c r="F605" s="37" t="n"/>
      <c r="G605" s="37" t="n"/>
      <c r="H605" s="37" t="n"/>
      <c r="I605" s="38">
        <f>IF($A605="","",IFERROR($B605-$C605-$D605-$E605,0))</f>
        <v/>
      </c>
    </row>
    <row r="606">
      <c r="A606" s="37" t="n"/>
      <c r="B606" s="37" t="n"/>
      <c r="C606" s="37" t="n"/>
      <c r="D606" s="37" t="n"/>
      <c r="E606" s="37" t="n"/>
      <c r="F606" s="37" t="n"/>
      <c r="G606" s="37" t="n"/>
      <c r="H606" s="37" t="n"/>
      <c r="I606" s="38">
        <f>IF($A606="","",IFERROR($B606-$C606-$D606-$E606,0))</f>
        <v/>
      </c>
    </row>
    <row r="607">
      <c r="A607" s="37" t="n"/>
      <c r="B607" s="37" t="n"/>
      <c r="C607" s="37" t="n"/>
      <c r="D607" s="37" t="n"/>
      <c r="E607" s="37" t="n"/>
      <c r="F607" s="37" t="n"/>
      <c r="G607" s="37" t="n"/>
      <c r="H607" s="37" t="n"/>
      <c r="I607" s="38">
        <f>IF($A607="","",IFERROR($B607-$C607-$D607-$E607,0))</f>
        <v/>
      </c>
    </row>
    <row r="608">
      <c r="A608" s="37" t="n"/>
      <c r="B608" s="37" t="n"/>
      <c r="C608" s="37" t="n"/>
      <c r="D608" s="37" t="n"/>
      <c r="E608" s="37" t="n"/>
      <c r="F608" s="37" t="n"/>
      <c r="G608" s="37" t="n"/>
      <c r="H608" s="37" t="n"/>
      <c r="I608" s="38">
        <f>IF($A608="","",IFERROR($B608-$C608-$D608-$E608,0))</f>
        <v/>
      </c>
    </row>
    <row r="609">
      <c r="A609" s="37" t="n"/>
      <c r="B609" s="37" t="n"/>
      <c r="C609" s="37" t="n"/>
      <c r="D609" s="37" t="n"/>
      <c r="E609" s="37" t="n"/>
      <c r="F609" s="37" t="n"/>
      <c r="G609" s="37" t="n"/>
      <c r="H609" s="37" t="n"/>
      <c r="I609" s="38">
        <f>IF($A609="","",IFERROR($B609-$C609-$D609-$E609,0))</f>
        <v/>
      </c>
    </row>
    <row r="610">
      <c r="A610" s="37" t="n"/>
      <c r="B610" s="37" t="n"/>
      <c r="C610" s="37" t="n"/>
      <c r="D610" s="37" t="n"/>
      <c r="E610" s="37" t="n"/>
      <c r="F610" s="37" t="n"/>
      <c r="G610" s="37" t="n"/>
      <c r="H610" s="37" t="n"/>
      <c r="I610" s="38">
        <f>IF($A610="","",IFERROR($B610-$C610-$D610-$E610,0))</f>
        <v/>
      </c>
    </row>
    <row r="611">
      <c r="A611" s="37" t="n"/>
      <c r="B611" s="37" t="n"/>
      <c r="C611" s="37" t="n"/>
      <c r="D611" s="37" t="n"/>
      <c r="E611" s="37" t="n"/>
      <c r="F611" s="37" t="n"/>
      <c r="G611" s="37" t="n"/>
      <c r="H611" s="37" t="n"/>
      <c r="I611" s="38">
        <f>IF($A611="","",IFERROR($B611-$C611-$D611-$E611,0))</f>
        <v/>
      </c>
    </row>
    <row r="612">
      <c r="A612" s="37" t="n"/>
      <c r="B612" s="37" t="n"/>
      <c r="C612" s="37" t="n"/>
      <c r="D612" s="37" t="n"/>
      <c r="E612" s="37" t="n"/>
      <c r="F612" s="37" t="n"/>
      <c r="G612" s="37" t="n"/>
      <c r="H612" s="37" t="n"/>
      <c r="I612" s="38">
        <f>IF($A612="","",IFERROR($B612-$C612-$D612-$E612,0))</f>
        <v/>
      </c>
    </row>
    <row r="613">
      <c r="A613" s="37" t="n"/>
      <c r="B613" s="37" t="n"/>
      <c r="C613" s="37" t="n"/>
      <c r="D613" s="37" t="n"/>
      <c r="E613" s="37" t="n"/>
      <c r="F613" s="37" t="n"/>
      <c r="G613" s="37" t="n"/>
      <c r="H613" s="37" t="n"/>
      <c r="I613" s="38">
        <f>IF($A613="","",IFERROR($B613-$C613-$D613-$E613,0))</f>
        <v/>
      </c>
    </row>
    <row r="614">
      <c r="A614" s="37" t="n"/>
      <c r="B614" s="37" t="n"/>
      <c r="C614" s="37" t="n"/>
      <c r="D614" s="37" t="n"/>
      <c r="E614" s="37" t="n"/>
      <c r="F614" s="37" t="n"/>
      <c r="G614" s="37" t="n"/>
      <c r="H614" s="37" t="n"/>
      <c r="I614" s="38">
        <f>IF($A614="","",IFERROR($B614-$C614-$D614-$E614,0))</f>
        <v/>
      </c>
    </row>
    <row r="615">
      <c r="A615" s="37" t="n"/>
      <c r="B615" s="37" t="n"/>
      <c r="C615" s="37" t="n"/>
      <c r="D615" s="37" t="n"/>
      <c r="E615" s="37" t="n"/>
      <c r="F615" s="37" t="n"/>
      <c r="G615" s="37" t="n"/>
      <c r="H615" s="37" t="n"/>
      <c r="I615" s="38">
        <f>IF($A615="","",IFERROR($B615-$C615-$D615-$E615,0))</f>
        <v/>
      </c>
    </row>
    <row r="616">
      <c r="A616" s="37" t="n"/>
      <c r="B616" s="37" t="n"/>
      <c r="C616" s="37" t="n"/>
      <c r="D616" s="37" t="n"/>
      <c r="E616" s="37" t="n"/>
      <c r="F616" s="37" t="n"/>
      <c r="G616" s="37" t="n"/>
      <c r="H616" s="37" t="n"/>
      <c r="I616" s="38">
        <f>IF($A616="","",IFERROR($B616-$C616-$D616-$E616,0))</f>
        <v/>
      </c>
    </row>
    <row r="617">
      <c r="A617" s="37" t="n"/>
      <c r="B617" s="37" t="n"/>
      <c r="C617" s="37" t="n"/>
      <c r="D617" s="37" t="n"/>
      <c r="E617" s="37" t="n"/>
      <c r="F617" s="37" t="n"/>
      <c r="G617" s="37" t="n"/>
      <c r="H617" s="37" t="n"/>
      <c r="I617" s="38">
        <f>IF($A617="","",IFERROR($B617-$C617-$D617-$E617,0))</f>
        <v/>
      </c>
    </row>
    <row r="618">
      <c r="A618" s="37" t="n"/>
      <c r="B618" s="37" t="n"/>
      <c r="C618" s="37" t="n"/>
      <c r="D618" s="37" t="n"/>
      <c r="E618" s="37" t="n"/>
      <c r="F618" s="37" t="n"/>
      <c r="G618" s="37" t="n"/>
      <c r="H618" s="37" t="n"/>
      <c r="I618" s="38">
        <f>IF($A618="","",IFERROR($B618-$C618-$D618-$E618,0))</f>
        <v/>
      </c>
    </row>
    <row r="619">
      <c r="A619" s="37" t="n"/>
      <c r="B619" s="37" t="n"/>
      <c r="C619" s="37" t="n"/>
      <c r="D619" s="37" t="n"/>
      <c r="E619" s="37" t="n"/>
      <c r="F619" s="37" t="n"/>
      <c r="G619" s="37" t="n"/>
      <c r="H619" s="37" t="n"/>
      <c r="I619" s="38">
        <f>IF($A619="","",IFERROR($B619-$C619-$D619-$E619,0))</f>
        <v/>
      </c>
    </row>
    <row r="620">
      <c r="A620" s="37" t="n"/>
      <c r="B620" s="37" t="n"/>
      <c r="C620" s="37" t="n"/>
      <c r="D620" s="37" t="n"/>
      <c r="E620" s="37" t="n"/>
      <c r="F620" s="37" t="n"/>
      <c r="G620" s="37" t="n"/>
      <c r="H620" s="37" t="n"/>
      <c r="I620" s="38">
        <f>IF($A620="","",IFERROR($B620-$C620-$D620-$E620,0))</f>
        <v/>
      </c>
    </row>
    <row r="621">
      <c r="A621" s="37" t="n"/>
      <c r="B621" s="37" t="n"/>
      <c r="C621" s="37" t="n"/>
      <c r="D621" s="37" t="n"/>
      <c r="E621" s="37" t="n"/>
      <c r="F621" s="37" t="n"/>
      <c r="G621" s="37" t="n"/>
      <c r="H621" s="37" t="n"/>
      <c r="I621" s="38">
        <f>IF($A621="","",IFERROR($B621-$C621-$D621-$E621,0))</f>
        <v/>
      </c>
    </row>
    <row r="622">
      <c r="A622" s="37" t="n"/>
      <c r="B622" s="37" t="n"/>
      <c r="C622" s="37" t="n"/>
      <c r="D622" s="37" t="n"/>
      <c r="E622" s="37" t="n"/>
      <c r="F622" s="37" t="n"/>
      <c r="G622" s="37" t="n"/>
      <c r="H622" s="37" t="n"/>
      <c r="I622" s="38">
        <f>IF($A622="","",IFERROR($B622-$C622-$D622-$E622,0))</f>
        <v/>
      </c>
    </row>
    <row r="623">
      <c r="A623" s="37" t="n"/>
      <c r="B623" s="37" t="n"/>
      <c r="C623" s="37" t="n"/>
      <c r="D623" s="37" t="n"/>
      <c r="E623" s="37" t="n"/>
      <c r="F623" s="37" t="n"/>
      <c r="G623" s="37" t="n"/>
      <c r="H623" s="37" t="n"/>
      <c r="I623" s="38">
        <f>IF($A623="","",IFERROR($B623-$C623-$D623-$E623,0))</f>
        <v/>
      </c>
    </row>
    <row r="624">
      <c r="A624" s="37" t="n"/>
      <c r="B624" s="37" t="n"/>
      <c r="C624" s="37" t="n"/>
      <c r="D624" s="37" t="n"/>
      <c r="E624" s="37" t="n"/>
      <c r="F624" s="37" t="n"/>
      <c r="G624" s="37" t="n"/>
      <c r="H624" s="37" t="n"/>
      <c r="I624" s="38">
        <f>IF($A624="","",IFERROR($B624-$C624-$D624-$E624,0))</f>
        <v/>
      </c>
    </row>
    <row r="625">
      <c r="A625" s="37" t="n"/>
      <c r="B625" s="37" t="n"/>
      <c r="C625" s="37" t="n"/>
      <c r="D625" s="37" t="n"/>
      <c r="E625" s="37" t="n"/>
      <c r="F625" s="37" t="n"/>
      <c r="G625" s="37" t="n"/>
      <c r="H625" s="37" t="n"/>
      <c r="I625" s="38">
        <f>IF($A625="","",IFERROR($B625-$C625-$D625-$E625,0))</f>
        <v/>
      </c>
    </row>
    <row r="626">
      <c r="A626" s="37" t="n"/>
      <c r="B626" s="37" t="n"/>
      <c r="C626" s="37" t="n"/>
      <c r="D626" s="37" t="n"/>
      <c r="E626" s="37" t="n"/>
      <c r="F626" s="37" t="n"/>
      <c r="G626" s="37" t="n"/>
      <c r="H626" s="37" t="n"/>
      <c r="I626" s="38">
        <f>IF($A626="","",IFERROR($B626-$C626-$D626-$E626,0))</f>
        <v/>
      </c>
    </row>
    <row r="627">
      <c r="A627" s="37" t="n"/>
      <c r="B627" s="37" t="n"/>
      <c r="C627" s="37" t="n"/>
      <c r="D627" s="37" t="n"/>
      <c r="E627" s="37" t="n"/>
      <c r="F627" s="37" t="n"/>
      <c r="G627" s="37" t="n"/>
      <c r="H627" s="37" t="n"/>
      <c r="I627" s="38">
        <f>IF($A627="","",IFERROR($B627-$C627-$D627-$E627,0))</f>
        <v/>
      </c>
    </row>
    <row r="628">
      <c r="A628" s="37" t="n"/>
      <c r="B628" s="37" t="n"/>
      <c r="C628" s="37" t="n"/>
      <c r="D628" s="37" t="n"/>
      <c r="E628" s="37" t="n"/>
      <c r="F628" s="37" t="n"/>
      <c r="G628" s="37" t="n"/>
      <c r="H628" s="37" t="n"/>
      <c r="I628" s="38">
        <f>IF($A628="","",IFERROR($B628-$C628-$D628-$E628,0))</f>
        <v/>
      </c>
    </row>
    <row r="629">
      <c r="A629" s="37" t="n"/>
      <c r="B629" s="37" t="n"/>
      <c r="C629" s="37" t="n"/>
      <c r="D629" s="37" t="n"/>
      <c r="E629" s="37" t="n"/>
      <c r="F629" s="37" t="n"/>
      <c r="G629" s="37" t="n"/>
      <c r="H629" s="37" t="n"/>
      <c r="I629" s="38">
        <f>IF($A629="","",IFERROR($B629-$C629-$D629-$E629,0))</f>
        <v/>
      </c>
    </row>
    <row r="630">
      <c r="A630" s="37" t="n"/>
      <c r="B630" s="37" t="n"/>
      <c r="C630" s="37" t="n"/>
      <c r="D630" s="37" t="n"/>
      <c r="E630" s="37" t="n"/>
      <c r="F630" s="37" t="n"/>
      <c r="G630" s="37" t="n"/>
      <c r="H630" s="37" t="n"/>
      <c r="I630" s="38">
        <f>IF($A630="","",IFERROR($B630-$C630-$D630-$E630,0))</f>
        <v/>
      </c>
    </row>
    <row r="631">
      <c r="A631" s="37" t="n"/>
      <c r="B631" s="37" t="n"/>
      <c r="C631" s="37" t="n"/>
      <c r="D631" s="37" t="n"/>
      <c r="E631" s="37" t="n"/>
      <c r="F631" s="37" t="n"/>
      <c r="G631" s="37" t="n"/>
      <c r="H631" s="37" t="n"/>
      <c r="I631" s="38">
        <f>IF($A631="","",IFERROR($B631-$C631-$D631-$E631,0))</f>
        <v/>
      </c>
    </row>
    <row r="632">
      <c r="A632" s="37" t="n"/>
      <c r="B632" s="37" t="n"/>
      <c r="C632" s="37" t="n"/>
      <c r="D632" s="37" t="n"/>
      <c r="E632" s="37" t="n"/>
      <c r="F632" s="37" t="n"/>
      <c r="G632" s="37" t="n"/>
      <c r="H632" s="37" t="n"/>
      <c r="I632" s="38">
        <f>IF($A632="","",IFERROR($B632-$C632-$D632-$E632,0))</f>
        <v/>
      </c>
    </row>
    <row r="633">
      <c r="A633" s="37" t="n"/>
      <c r="B633" s="37" t="n"/>
      <c r="C633" s="37" t="n"/>
      <c r="D633" s="37" t="n"/>
      <c r="E633" s="37" t="n"/>
      <c r="F633" s="37" t="n"/>
      <c r="G633" s="37" t="n"/>
      <c r="H633" s="37" t="n"/>
      <c r="I633" s="38">
        <f>IF($A633="","",IFERROR($B633-$C633-$D633-$E633,0))</f>
        <v/>
      </c>
    </row>
    <row r="634">
      <c r="A634" s="37" t="n"/>
      <c r="B634" s="37" t="n"/>
      <c r="C634" s="37" t="n"/>
      <c r="D634" s="37" t="n"/>
      <c r="E634" s="37" t="n"/>
      <c r="F634" s="37" t="n"/>
      <c r="G634" s="37" t="n"/>
      <c r="H634" s="37" t="n"/>
      <c r="I634" s="38">
        <f>IF($A634="","",IFERROR($B634-$C634-$D634-$E634,0))</f>
        <v/>
      </c>
    </row>
    <row r="635">
      <c r="A635" s="37" t="n"/>
      <c r="B635" s="37" t="n"/>
      <c r="C635" s="37" t="n"/>
      <c r="D635" s="37" t="n"/>
      <c r="E635" s="37" t="n"/>
      <c r="F635" s="37" t="n"/>
      <c r="G635" s="37" t="n"/>
      <c r="H635" s="37" t="n"/>
      <c r="I635" s="38">
        <f>IF($A635="","",IFERROR($B635-$C635-$D635-$E635,0))</f>
        <v/>
      </c>
    </row>
    <row r="636">
      <c r="A636" s="37" t="n"/>
      <c r="B636" s="37" t="n"/>
      <c r="C636" s="37" t="n"/>
      <c r="D636" s="37" t="n"/>
      <c r="E636" s="37" t="n"/>
      <c r="F636" s="37" t="n"/>
      <c r="G636" s="37" t="n"/>
      <c r="H636" s="37" t="n"/>
      <c r="I636" s="38">
        <f>IF($A636="","",IFERROR($B636-$C636-$D636-$E636,0))</f>
        <v/>
      </c>
    </row>
    <row r="637">
      <c r="A637" s="37" t="n"/>
      <c r="B637" s="37" t="n"/>
      <c r="C637" s="37" t="n"/>
      <c r="D637" s="37" t="n"/>
      <c r="E637" s="37" t="n"/>
      <c r="F637" s="37" t="n"/>
      <c r="G637" s="37" t="n"/>
      <c r="H637" s="37" t="n"/>
      <c r="I637" s="38">
        <f>IF($A637="","",IFERROR($B637-$C637-$D637-$E637,0))</f>
        <v/>
      </c>
    </row>
    <row r="638">
      <c r="A638" s="37" t="n"/>
      <c r="B638" s="37" t="n"/>
      <c r="C638" s="37" t="n"/>
      <c r="D638" s="37" t="n"/>
      <c r="E638" s="37" t="n"/>
      <c r="F638" s="37" t="n"/>
      <c r="G638" s="37" t="n"/>
      <c r="H638" s="37" t="n"/>
      <c r="I638" s="38">
        <f>IF($A638="","",IFERROR($B638-$C638-$D638-$E638,0))</f>
        <v/>
      </c>
    </row>
    <row r="639">
      <c r="A639" s="37" t="n"/>
      <c r="B639" s="37" t="n"/>
      <c r="C639" s="37" t="n"/>
      <c r="D639" s="37" t="n"/>
      <c r="E639" s="37" t="n"/>
      <c r="F639" s="37" t="n"/>
      <c r="G639" s="37" t="n"/>
      <c r="H639" s="37" t="n"/>
      <c r="I639" s="38">
        <f>IF($A639="","",IFERROR($B639-$C639-$D639-$E639,0))</f>
        <v/>
      </c>
    </row>
    <row r="640">
      <c r="A640" s="37" t="n"/>
      <c r="B640" s="37" t="n"/>
      <c r="C640" s="37" t="n"/>
      <c r="D640" s="37" t="n"/>
      <c r="E640" s="37" t="n"/>
      <c r="F640" s="37" t="n"/>
      <c r="G640" s="37" t="n"/>
      <c r="H640" s="37" t="n"/>
      <c r="I640" s="38">
        <f>IF($A640="","",IFERROR($B640-$C640-$D640-$E640,0))</f>
        <v/>
      </c>
    </row>
    <row r="641">
      <c r="A641" s="37" t="n"/>
      <c r="B641" s="37" t="n"/>
      <c r="C641" s="37" t="n"/>
      <c r="D641" s="37" t="n"/>
      <c r="E641" s="37" t="n"/>
      <c r="F641" s="37" t="n"/>
      <c r="G641" s="37" t="n"/>
      <c r="H641" s="37" t="n"/>
      <c r="I641" s="38">
        <f>IF($A641="","",IFERROR($B641-$C641-$D641-$E641,0))</f>
        <v/>
      </c>
    </row>
    <row r="642">
      <c r="A642" s="37" t="n"/>
      <c r="B642" s="37" t="n"/>
      <c r="C642" s="37" t="n"/>
      <c r="D642" s="37" t="n"/>
      <c r="E642" s="37" t="n"/>
      <c r="F642" s="37" t="n"/>
      <c r="G642" s="37" t="n"/>
      <c r="H642" s="37" t="n"/>
      <c r="I642" s="38">
        <f>IF($A642="","",IFERROR($B642-$C642-$D642-$E642,0))</f>
        <v/>
      </c>
    </row>
    <row r="643">
      <c r="A643" s="37" t="n"/>
      <c r="B643" s="37" t="n"/>
      <c r="C643" s="37" t="n"/>
      <c r="D643" s="37" t="n"/>
      <c r="E643" s="37" t="n"/>
      <c r="F643" s="37" t="n"/>
      <c r="G643" s="37" t="n"/>
      <c r="H643" s="37" t="n"/>
      <c r="I643" s="38">
        <f>IF($A643="","",IFERROR($B643-$C643-$D643-$E643,0))</f>
        <v/>
      </c>
    </row>
    <row r="644">
      <c r="A644" s="37" t="n"/>
      <c r="B644" s="37" t="n"/>
      <c r="C644" s="37" t="n"/>
      <c r="D644" s="37" t="n"/>
      <c r="E644" s="37" t="n"/>
      <c r="F644" s="37" t="n"/>
      <c r="G644" s="37" t="n"/>
      <c r="H644" s="37" t="n"/>
      <c r="I644" s="38">
        <f>IF($A644="","",IFERROR($B644-$C644-$D644-$E644,0))</f>
        <v/>
      </c>
    </row>
    <row r="645">
      <c r="A645" s="37" t="n"/>
      <c r="B645" s="37" t="n"/>
      <c r="C645" s="37" t="n"/>
      <c r="D645" s="37" t="n"/>
      <c r="E645" s="37" t="n"/>
      <c r="F645" s="37" t="n"/>
      <c r="G645" s="37" t="n"/>
      <c r="H645" s="37" t="n"/>
      <c r="I645" s="38">
        <f>IF($A645="","",IFERROR($B645-$C645-$D645-$E645,0))</f>
        <v/>
      </c>
    </row>
    <row r="646">
      <c r="A646" s="37" t="n"/>
      <c r="B646" s="37" t="n"/>
      <c r="C646" s="37" t="n"/>
      <c r="D646" s="37" t="n"/>
      <c r="E646" s="37" t="n"/>
      <c r="F646" s="37" t="n"/>
      <c r="G646" s="37" t="n"/>
      <c r="H646" s="37" t="n"/>
      <c r="I646" s="38">
        <f>IF($A646="","",IFERROR($B646-$C646-$D646-$E646,0))</f>
        <v/>
      </c>
    </row>
    <row r="647">
      <c r="A647" s="37" t="n"/>
      <c r="B647" s="37" t="n"/>
      <c r="C647" s="37" t="n"/>
      <c r="D647" s="37" t="n"/>
      <c r="E647" s="37" t="n"/>
      <c r="F647" s="37" t="n"/>
      <c r="G647" s="37" t="n"/>
      <c r="H647" s="37" t="n"/>
      <c r="I647" s="38">
        <f>IF($A647="","",IFERROR($B647-$C647-$D647-$E647,0))</f>
        <v/>
      </c>
    </row>
    <row r="648">
      <c r="A648" s="37" t="n"/>
      <c r="B648" s="37" t="n"/>
      <c r="C648" s="37" t="n"/>
      <c r="D648" s="37" t="n"/>
      <c r="E648" s="37" t="n"/>
      <c r="F648" s="37" t="n"/>
      <c r="G648" s="37" t="n"/>
      <c r="H648" s="37" t="n"/>
      <c r="I648" s="38">
        <f>IF($A648="","",IFERROR($B648-$C648-$D648-$E648,0))</f>
        <v/>
      </c>
    </row>
    <row r="649">
      <c r="A649" s="37" t="n"/>
      <c r="B649" s="37" t="n"/>
      <c r="C649" s="37" t="n"/>
      <c r="D649" s="37" t="n"/>
      <c r="E649" s="37" t="n"/>
      <c r="F649" s="37" t="n"/>
      <c r="G649" s="37" t="n"/>
      <c r="H649" s="37" t="n"/>
      <c r="I649" s="38">
        <f>IF($A649="","",IFERROR($B649-$C649-$D649-$E649,0))</f>
        <v/>
      </c>
    </row>
    <row r="650">
      <c r="A650" s="37" t="n"/>
      <c r="B650" s="37" t="n"/>
      <c r="C650" s="37" t="n"/>
      <c r="D650" s="37" t="n"/>
      <c r="E650" s="37" t="n"/>
      <c r="F650" s="37" t="n"/>
      <c r="G650" s="37" t="n"/>
      <c r="H650" s="37" t="n"/>
      <c r="I650" s="38">
        <f>IF($A650="","",IFERROR($B650-$C650-$D650-$E650,0))</f>
        <v/>
      </c>
    </row>
    <row r="651">
      <c r="A651" s="37" t="n"/>
      <c r="B651" s="37" t="n"/>
      <c r="C651" s="37" t="n"/>
      <c r="D651" s="37" t="n"/>
      <c r="E651" s="37" t="n"/>
      <c r="F651" s="37" t="n"/>
      <c r="G651" s="37" t="n"/>
      <c r="H651" s="37" t="n"/>
      <c r="I651" s="38">
        <f>IF($A651="","",IFERROR($B651-$C651-$D651-$E651,0))</f>
        <v/>
      </c>
    </row>
    <row r="652">
      <c r="A652" s="37" t="n"/>
      <c r="B652" s="37" t="n"/>
      <c r="C652" s="37" t="n"/>
      <c r="D652" s="37" t="n"/>
      <c r="E652" s="37" t="n"/>
      <c r="F652" s="37" t="n"/>
      <c r="G652" s="37" t="n"/>
      <c r="H652" s="37" t="n"/>
      <c r="I652" s="38">
        <f>IF($A652="","",IFERROR($B652-$C652-$D652-$E652,0))</f>
        <v/>
      </c>
    </row>
    <row r="653">
      <c r="A653" s="37" t="n"/>
      <c r="B653" s="37" t="n"/>
      <c r="C653" s="37" t="n"/>
      <c r="D653" s="37" t="n"/>
      <c r="E653" s="37" t="n"/>
      <c r="F653" s="37" t="n"/>
      <c r="G653" s="37" t="n"/>
      <c r="H653" s="37" t="n"/>
      <c r="I653" s="38">
        <f>IF($A653="","",IFERROR($B653-$C653-$D653-$E653,0))</f>
        <v/>
      </c>
    </row>
    <row r="654">
      <c r="A654" s="37" t="n"/>
      <c r="B654" s="37" t="n"/>
      <c r="C654" s="37" t="n"/>
      <c r="D654" s="37" t="n"/>
      <c r="E654" s="37" t="n"/>
      <c r="F654" s="37" t="n"/>
      <c r="G654" s="37" t="n"/>
      <c r="H654" s="37" t="n"/>
      <c r="I654" s="38">
        <f>IF($A654="","",IFERROR($B654-$C654-$D654-$E654,0))</f>
        <v/>
      </c>
    </row>
    <row r="655">
      <c r="A655" s="37" t="n"/>
      <c r="B655" s="37" t="n"/>
      <c r="C655" s="37" t="n"/>
      <c r="D655" s="37" t="n"/>
      <c r="E655" s="37" t="n"/>
      <c r="F655" s="37" t="n"/>
      <c r="G655" s="37" t="n"/>
      <c r="H655" s="37" t="n"/>
      <c r="I655" s="38">
        <f>IF($A655="","",IFERROR($B655-$C655-$D655-$E655,0))</f>
        <v/>
      </c>
    </row>
    <row r="656">
      <c r="A656" s="37" t="n"/>
      <c r="B656" s="37" t="n"/>
      <c r="C656" s="37" t="n"/>
      <c r="D656" s="37" t="n"/>
      <c r="E656" s="37" t="n"/>
      <c r="F656" s="37" t="n"/>
      <c r="G656" s="37" t="n"/>
      <c r="H656" s="37" t="n"/>
      <c r="I656" s="38">
        <f>IF($A656="","",IFERROR($B656-$C656-$D656-$E656,0))</f>
        <v/>
      </c>
    </row>
    <row r="657">
      <c r="A657" s="37" t="n"/>
      <c r="B657" s="37" t="n"/>
      <c r="C657" s="37" t="n"/>
      <c r="D657" s="37" t="n"/>
      <c r="E657" s="37" t="n"/>
      <c r="F657" s="37" t="n"/>
      <c r="G657" s="37" t="n"/>
      <c r="H657" s="37" t="n"/>
      <c r="I657" s="38">
        <f>IF($A657="","",IFERROR($B657-$C657-$D657-$E657,0))</f>
        <v/>
      </c>
    </row>
    <row r="658">
      <c r="A658" s="37" t="n"/>
      <c r="B658" s="37" t="n"/>
      <c r="C658" s="37" t="n"/>
      <c r="D658" s="37" t="n"/>
      <c r="E658" s="37" t="n"/>
      <c r="F658" s="37" t="n"/>
      <c r="G658" s="37" t="n"/>
      <c r="H658" s="37" t="n"/>
      <c r="I658" s="38">
        <f>IF($A658="","",IFERROR($B658-$C658-$D658-$E658,0))</f>
        <v/>
      </c>
    </row>
    <row r="659">
      <c r="A659" s="37" t="n"/>
      <c r="B659" s="37" t="n"/>
      <c r="C659" s="37" t="n"/>
      <c r="D659" s="37" t="n"/>
      <c r="E659" s="37" t="n"/>
      <c r="F659" s="37" t="n"/>
      <c r="G659" s="37" t="n"/>
      <c r="H659" s="37" t="n"/>
      <c r="I659" s="38">
        <f>IF($A659="","",IFERROR($B659-$C659-$D659-$E659,0))</f>
        <v/>
      </c>
    </row>
    <row r="660">
      <c r="A660" s="37" t="n"/>
      <c r="B660" s="37" t="n"/>
      <c r="C660" s="37" t="n"/>
      <c r="D660" s="37" t="n"/>
      <c r="E660" s="37" t="n"/>
      <c r="F660" s="37" t="n"/>
      <c r="G660" s="37" t="n"/>
      <c r="H660" s="37" t="n"/>
      <c r="I660" s="38">
        <f>IF($A660="","",IFERROR($B660-$C660-$D660-$E660,0))</f>
        <v/>
      </c>
    </row>
    <row r="661">
      <c r="A661" s="37" t="n"/>
      <c r="B661" s="37" t="n"/>
      <c r="C661" s="37" t="n"/>
      <c r="D661" s="37" t="n"/>
      <c r="E661" s="37" t="n"/>
      <c r="F661" s="37" t="n"/>
      <c r="G661" s="37" t="n"/>
      <c r="H661" s="37" t="n"/>
      <c r="I661" s="38">
        <f>IF($A661="","",IFERROR($B661-$C661-$D661-$E661,0))</f>
        <v/>
      </c>
    </row>
    <row r="662">
      <c r="A662" s="37" t="n"/>
      <c r="B662" s="37" t="n"/>
      <c r="C662" s="37" t="n"/>
      <c r="D662" s="37" t="n"/>
      <c r="E662" s="37" t="n"/>
      <c r="F662" s="37" t="n"/>
      <c r="G662" s="37" t="n"/>
      <c r="H662" s="37" t="n"/>
      <c r="I662" s="38">
        <f>IF($A662="","",IFERROR($B662-$C662-$D662-$E662,0))</f>
        <v/>
      </c>
    </row>
    <row r="663">
      <c r="A663" s="37" t="n"/>
      <c r="B663" s="37" t="n"/>
      <c r="C663" s="37" t="n"/>
      <c r="D663" s="37" t="n"/>
      <c r="E663" s="37" t="n"/>
      <c r="F663" s="37" t="n"/>
      <c r="G663" s="37" t="n"/>
      <c r="H663" s="37" t="n"/>
      <c r="I663" s="38">
        <f>IF($A663="","",IFERROR($B663-$C663-$D663-$E663,0))</f>
        <v/>
      </c>
    </row>
    <row r="664">
      <c r="A664" s="37" t="n"/>
      <c r="B664" s="37" t="n"/>
      <c r="C664" s="37" t="n"/>
      <c r="D664" s="37" t="n"/>
      <c r="E664" s="37" t="n"/>
      <c r="F664" s="37" t="n"/>
      <c r="G664" s="37" t="n"/>
      <c r="H664" s="37" t="n"/>
      <c r="I664" s="38">
        <f>IF($A664="","",IFERROR($B664-$C664-$D664-$E664,0))</f>
        <v/>
      </c>
    </row>
    <row r="665">
      <c r="A665" s="37" t="n"/>
      <c r="B665" s="37" t="n"/>
      <c r="C665" s="37" t="n"/>
      <c r="D665" s="37" t="n"/>
      <c r="E665" s="37" t="n"/>
      <c r="F665" s="37" t="n"/>
      <c r="G665" s="37" t="n"/>
      <c r="H665" s="37" t="n"/>
      <c r="I665" s="38">
        <f>IF($A665="","",IFERROR($B665-$C665-$D665-$E665,0))</f>
        <v/>
      </c>
    </row>
    <row r="666">
      <c r="A666" s="37" t="n"/>
      <c r="B666" s="37" t="n"/>
      <c r="C666" s="37" t="n"/>
      <c r="D666" s="37" t="n"/>
      <c r="E666" s="37" t="n"/>
      <c r="F666" s="37" t="n"/>
      <c r="G666" s="37" t="n"/>
      <c r="H666" s="37" t="n"/>
      <c r="I666" s="38">
        <f>IF($A666="","",IFERROR($B666-$C666-$D666-$E666,0))</f>
        <v/>
      </c>
    </row>
    <row r="667">
      <c r="A667" s="37" t="n"/>
      <c r="B667" s="37" t="n"/>
      <c r="C667" s="37" t="n"/>
      <c r="D667" s="37" t="n"/>
      <c r="E667" s="37" t="n"/>
      <c r="F667" s="37" t="n"/>
      <c r="G667" s="37" t="n"/>
      <c r="H667" s="37" t="n"/>
      <c r="I667" s="38">
        <f>IF($A667="","",IFERROR($B667-$C667-$D667-$E667,0))</f>
        <v/>
      </c>
    </row>
    <row r="668">
      <c r="A668" s="37" t="n"/>
      <c r="B668" s="37" t="n"/>
      <c r="C668" s="37" t="n"/>
      <c r="D668" s="37" t="n"/>
      <c r="E668" s="37" t="n"/>
      <c r="F668" s="37" t="n"/>
      <c r="G668" s="37" t="n"/>
      <c r="H668" s="37" t="n"/>
      <c r="I668" s="38">
        <f>IF($A668="","",IFERROR($B668-$C668-$D668-$E668,0))</f>
        <v/>
      </c>
    </row>
    <row r="669">
      <c r="A669" s="37" t="n"/>
      <c r="B669" s="37" t="n"/>
      <c r="C669" s="37" t="n"/>
      <c r="D669" s="37" t="n"/>
      <c r="E669" s="37" t="n"/>
      <c r="F669" s="37" t="n"/>
      <c r="G669" s="37" t="n"/>
      <c r="H669" s="37" t="n"/>
      <c r="I669" s="38">
        <f>IF($A669="","",IFERROR($B669-$C669-$D669-$E669,0))</f>
        <v/>
      </c>
    </row>
    <row r="670">
      <c r="A670" s="37" t="n"/>
      <c r="B670" s="37" t="n"/>
      <c r="C670" s="37" t="n"/>
      <c r="D670" s="37" t="n"/>
      <c r="E670" s="37" t="n"/>
      <c r="F670" s="37" t="n"/>
      <c r="G670" s="37" t="n"/>
      <c r="H670" s="37" t="n"/>
      <c r="I670" s="38">
        <f>IF($A670="","",IFERROR($B670-$C670-$D670-$E670,0))</f>
        <v/>
      </c>
    </row>
    <row r="671">
      <c r="A671" s="37" t="n"/>
      <c r="B671" s="37" t="n"/>
      <c r="C671" s="37" t="n"/>
      <c r="D671" s="37" t="n"/>
      <c r="E671" s="37" t="n"/>
      <c r="F671" s="37" t="n"/>
      <c r="G671" s="37" t="n"/>
      <c r="H671" s="37" t="n"/>
      <c r="I671" s="38">
        <f>IF($A671="","",IFERROR($B671-$C671-$D671-$E671,0))</f>
        <v/>
      </c>
    </row>
    <row r="672">
      <c r="A672" s="37" t="n"/>
      <c r="B672" s="37" t="n"/>
      <c r="C672" s="37" t="n"/>
      <c r="D672" s="37" t="n"/>
      <c r="E672" s="37" t="n"/>
      <c r="F672" s="37" t="n"/>
      <c r="G672" s="37" t="n"/>
      <c r="H672" s="37" t="n"/>
      <c r="I672" s="38">
        <f>IF($A672="","",IFERROR($B672-$C672-$D672-$E672,0))</f>
        <v/>
      </c>
    </row>
    <row r="673">
      <c r="A673" s="37" t="n"/>
      <c r="B673" s="37" t="n"/>
      <c r="C673" s="37" t="n"/>
      <c r="D673" s="37" t="n"/>
      <c r="E673" s="37" t="n"/>
      <c r="F673" s="37" t="n"/>
      <c r="G673" s="37" t="n"/>
      <c r="H673" s="37" t="n"/>
      <c r="I673" s="38">
        <f>IF($A673="","",IFERROR($B673-$C673-$D673-$E673,0))</f>
        <v/>
      </c>
    </row>
    <row r="674">
      <c r="A674" s="37" t="n"/>
      <c r="B674" s="37" t="n"/>
      <c r="C674" s="37" t="n"/>
      <c r="D674" s="37" t="n"/>
      <c r="E674" s="37" t="n"/>
      <c r="F674" s="37" t="n"/>
      <c r="G674" s="37" t="n"/>
      <c r="H674" s="37" t="n"/>
      <c r="I674" s="38">
        <f>IF($A674="","",IFERROR($B674-$C674-$D674-$E674,0))</f>
        <v/>
      </c>
    </row>
    <row r="675">
      <c r="A675" s="37" t="n"/>
      <c r="B675" s="37" t="n"/>
      <c r="C675" s="37" t="n"/>
      <c r="D675" s="37" t="n"/>
      <c r="E675" s="37" t="n"/>
      <c r="F675" s="37" t="n"/>
      <c r="G675" s="37" t="n"/>
      <c r="H675" s="37" t="n"/>
      <c r="I675" s="38">
        <f>IF($A675="","",IFERROR($B675-$C675-$D675-$E675,0))</f>
        <v/>
      </c>
    </row>
    <row r="676">
      <c r="A676" s="37" t="n"/>
      <c r="B676" s="37" t="n"/>
      <c r="C676" s="37" t="n"/>
      <c r="D676" s="37" t="n"/>
      <c r="E676" s="37" t="n"/>
      <c r="F676" s="37" t="n"/>
      <c r="G676" s="37" t="n"/>
      <c r="H676" s="37" t="n"/>
      <c r="I676" s="38">
        <f>IF($A676="","",IFERROR($B676-$C676-$D676-$E676,0))</f>
        <v/>
      </c>
    </row>
    <row r="677">
      <c r="A677" s="37" t="n"/>
      <c r="B677" s="37" t="n"/>
      <c r="C677" s="37" t="n"/>
      <c r="D677" s="37" t="n"/>
      <c r="E677" s="37" t="n"/>
      <c r="F677" s="37" t="n"/>
      <c r="G677" s="37" t="n"/>
      <c r="H677" s="37" t="n"/>
      <c r="I677" s="38">
        <f>IF($A677="","",IFERROR($B677-$C677-$D677-$E677,0))</f>
        <v/>
      </c>
    </row>
    <row r="678">
      <c r="A678" s="37" t="n"/>
      <c r="B678" s="37" t="n"/>
      <c r="C678" s="37" t="n"/>
      <c r="D678" s="37" t="n"/>
      <c r="E678" s="37" t="n"/>
      <c r="F678" s="37" t="n"/>
      <c r="G678" s="37" t="n"/>
      <c r="H678" s="37" t="n"/>
      <c r="I678" s="38">
        <f>IF($A678="","",IFERROR($B678-$C678-$D678-$E678,0))</f>
        <v/>
      </c>
    </row>
    <row r="679">
      <c r="A679" s="37" t="n"/>
      <c r="B679" s="37" t="n"/>
      <c r="C679" s="37" t="n"/>
      <c r="D679" s="37" t="n"/>
      <c r="E679" s="37" t="n"/>
      <c r="F679" s="37" t="n"/>
      <c r="G679" s="37" t="n"/>
      <c r="H679" s="37" t="n"/>
      <c r="I679" s="38">
        <f>IF($A679="","",IFERROR($B679-$C679-$D679-$E679,0))</f>
        <v/>
      </c>
    </row>
    <row r="680">
      <c r="A680" s="37" t="n"/>
      <c r="B680" s="37" t="n"/>
      <c r="C680" s="37" t="n"/>
      <c r="D680" s="37" t="n"/>
      <c r="E680" s="37" t="n"/>
      <c r="F680" s="37" t="n"/>
      <c r="G680" s="37" t="n"/>
      <c r="H680" s="37" t="n"/>
      <c r="I680" s="38">
        <f>IF($A680="","",IFERROR($B680-$C680-$D680-$E680,0))</f>
        <v/>
      </c>
    </row>
    <row r="681">
      <c r="A681" s="37" t="n"/>
      <c r="B681" s="37" t="n"/>
      <c r="C681" s="37" t="n"/>
      <c r="D681" s="37" t="n"/>
      <c r="E681" s="37" t="n"/>
      <c r="F681" s="37" t="n"/>
      <c r="G681" s="37" t="n"/>
      <c r="H681" s="37" t="n"/>
      <c r="I681" s="38">
        <f>IF($A681="","",IFERROR($B681-$C681-$D681-$E681,0))</f>
        <v/>
      </c>
    </row>
    <row r="682">
      <c r="A682" s="37" t="n"/>
      <c r="B682" s="37" t="n"/>
      <c r="C682" s="37" t="n"/>
      <c r="D682" s="37" t="n"/>
      <c r="E682" s="37" t="n"/>
      <c r="F682" s="37" t="n"/>
      <c r="G682" s="37" t="n"/>
      <c r="H682" s="37" t="n"/>
      <c r="I682" s="38">
        <f>IF($A682="","",IFERROR($B682-$C682-$D682-$E682,0))</f>
        <v/>
      </c>
    </row>
    <row r="683">
      <c r="A683" s="37" t="n"/>
      <c r="B683" s="37" t="n"/>
      <c r="C683" s="37" t="n"/>
      <c r="D683" s="37" t="n"/>
      <c r="E683" s="37" t="n"/>
      <c r="F683" s="37" t="n"/>
      <c r="G683" s="37" t="n"/>
      <c r="H683" s="37" t="n"/>
      <c r="I683" s="38">
        <f>IF($A683="","",IFERROR($B683-$C683-$D683-$E683,0))</f>
        <v/>
      </c>
    </row>
    <row r="684">
      <c r="A684" s="37" t="n"/>
      <c r="B684" s="37" t="n"/>
      <c r="C684" s="37" t="n"/>
      <c r="D684" s="37" t="n"/>
      <c r="E684" s="37" t="n"/>
      <c r="F684" s="37" t="n"/>
      <c r="G684" s="37" t="n"/>
      <c r="H684" s="37" t="n"/>
      <c r="I684" s="38">
        <f>IF($A684="","",IFERROR($B684-$C684-$D684-$E684,0))</f>
        <v/>
      </c>
    </row>
    <row r="685">
      <c r="A685" s="37" t="n"/>
      <c r="B685" s="37" t="n"/>
      <c r="C685" s="37" t="n"/>
      <c r="D685" s="37" t="n"/>
      <c r="E685" s="37" t="n"/>
      <c r="F685" s="37" t="n"/>
      <c r="G685" s="37" t="n"/>
      <c r="H685" s="37" t="n"/>
      <c r="I685" s="38">
        <f>IF($A685="","",IFERROR($B685-$C685-$D685-$E685,0))</f>
        <v/>
      </c>
    </row>
    <row r="686">
      <c r="A686" s="37" t="n"/>
      <c r="B686" s="37" t="n"/>
      <c r="C686" s="37" t="n"/>
      <c r="D686" s="37" t="n"/>
      <c r="E686" s="37" t="n"/>
      <c r="F686" s="37" t="n"/>
      <c r="G686" s="37" t="n"/>
      <c r="H686" s="37" t="n"/>
      <c r="I686" s="38">
        <f>IF($A686="","",IFERROR($B686-$C686-$D686-$E686,0))</f>
        <v/>
      </c>
    </row>
    <row r="687">
      <c r="A687" s="37" t="n"/>
      <c r="B687" s="37" t="n"/>
      <c r="C687" s="37" t="n"/>
      <c r="D687" s="37" t="n"/>
      <c r="E687" s="37" t="n"/>
      <c r="F687" s="37" t="n"/>
      <c r="G687" s="37" t="n"/>
      <c r="H687" s="37" t="n"/>
      <c r="I687" s="38">
        <f>IF($A687="","",IFERROR($B687-$C687-$D687-$E687,0))</f>
        <v/>
      </c>
    </row>
    <row r="688">
      <c r="A688" s="37" t="n"/>
      <c r="B688" s="37" t="n"/>
      <c r="C688" s="37" t="n"/>
      <c r="D688" s="37" t="n"/>
      <c r="E688" s="37" t="n"/>
      <c r="F688" s="37" t="n"/>
      <c r="G688" s="37" t="n"/>
      <c r="H688" s="37" t="n"/>
      <c r="I688" s="38">
        <f>IF($A688="","",IFERROR($B688-$C688-$D688-$E688,0))</f>
        <v/>
      </c>
    </row>
    <row r="689">
      <c r="A689" s="37" t="n"/>
      <c r="B689" s="37" t="n"/>
      <c r="C689" s="37" t="n"/>
      <c r="D689" s="37" t="n"/>
      <c r="E689" s="37" t="n"/>
      <c r="F689" s="37" t="n"/>
      <c r="G689" s="37" t="n"/>
      <c r="H689" s="37" t="n"/>
      <c r="I689" s="38">
        <f>IF($A689="","",IFERROR($B689-$C689-$D689-$E689,0))</f>
        <v/>
      </c>
    </row>
    <row r="690">
      <c r="A690" s="37" t="n"/>
      <c r="B690" s="37" t="n"/>
      <c r="C690" s="37" t="n"/>
      <c r="D690" s="37" t="n"/>
      <c r="E690" s="37" t="n"/>
      <c r="F690" s="37" t="n"/>
      <c r="G690" s="37" t="n"/>
      <c r="H690" s="37" t="n"/>
      <c r="I690" s="38">
        <f>IF($A690="","",IFERROR($B690-$C690-$D690-$E690,0))</f>
        <v/>
      </c>
    </row>
    <row r="691">
      <c r="A691" s="37" t="n"/>
      <c r="B691" s="37" t="n"/>
      <c r="C691" s="37" t="n"/>
      <c r="D691" s="37" t="n"/>
      <c r="E691" s="37" t="n"/>
      <c r="F691" s="37" t="n"/>
      <c r="G691" s="37" t="n"/>
      <c r="H691" s="37" t="n"/>
      <c r="I691" s="38">
        <f>IF($A691="","",IFERROR($B691-$C691-$D691-$E691,0))</f>
        <v/>
      </c>
    </row>
    <row r="692">
      <c r="A692" s="37" t="n"/>
      <c r="B692" s="37" t="n"/>
      <c r="C692" s="37" t="n"/>
      <c r="D692" s="37" t="n"/>
      <c r="E692" s="37" t="n"/>
      <c r="F692" s="37" t="n"/>
      <c r="G692" s="37" t="n"/>
      <c r="H692" s="37" t="n"/>
      <c r="I692" s="38">
        <f>IF($A692="","",IFERROR($B692-$C692-$D692-$E692,0))</f>
        <v/>
      </c>
    </row>
    <row r="693">
      <c r="A693" s="37" t="n"/>
      <c r="B693" s="37" t="n"/>
      <c r="C693" s="37" t="n"/>
      <c r="D693" s="37" t="n"/>
      <c r="E693" s="37" t="n"/>
      <c r="F693" s="37" t="n"/>
      <c r="G693" s="37" t="n"/>
      <c r="H693" s="37" t="n"/>
      <c r="I693" s="38">
        <f>IF($A693="","",IFERROR($B693-$C693-$D693-$E693,0))</f>
        <v/>
      </c>
    </row>
    <row r="694">
      <c r="A694" s="37" t="n"/>
      <c r="B694" s="37" t="n"/>
      <c r="C694" s="37" t="n"/>
      <c r="D694" s="37" t="n"/>
      <c r="E694" s="37" t="n"/>
      <c r="F694" s="37" t="n"/>
      <c r="G694" s="37" t="n"/>
      <c r="H694" s="37" t="n"/>
      <c r="I694" s="38">
        <f>IF($A694="","",IFERROR($B694-$C694-$D694-$E694,0))</f>
        <v/>
      </c>
    </row>
    <row r="695">
      <c r="A695" s="37" t="n"/>
      <c r="B695" s="37" t="n"/>
      <c r="C695" s="37" t="n"/>
      <c r="D695" s="37" t="n"/>
      <c r="E695" s="37" t="n"/>
      <c r="F695" s="37" t="n"/>
      <c r="G695" s="37" t="n"/>
      <c r="H695" s="37" t="n"/>
      <c r="I695" s="38">
        <f>IF($A695="","",IFERROR($B695-$C695-$D695-$E695,0))</f>
        <v/>
      </c>
    </row>
    <row r="696">
      <c r="A696" s="37" t="n"/>
      <c r="B696" s="37" t="n"/>
      <c r="C696" s="37" t="n"/>
      <c r="D696" s="37" t="n"/>
      <c r="E696" s="37" t="n"/>
      <c r="F696" s="37" t="n"/>
      <c r="G696" s="37" t="n"/>
      <c r="H696" s="37" t="n"/>
      <c r="I696" s="38">
        <f>IF($A696="","",IFERROR($B696-$C696-$D696-$E696,0))</f>
        <v/>
      </c>
    </row>
    <row r="697">
      <c r="A697" s="37" t="n"/>
      <c r="B697" s="37" t="n"/>
      <c r="C697" s="37" t="n"/>
      <c r="D697" s="37" t="n"/>
      <c r="E697" s="37" t="n"/>
      <c r="F697" s="37" t="n"/>
      <c r="G697" s="37" t="n"/>
      <c r="H697" s="37" t="n"/>
      <c r="I697" s="38">
        <f>IF($A697="","",IFERROR($B697-$C697-$D697-$E697,0))</f>
        <v/>
      </c>
    </row>
    <row r="698">
      <c r="A698" s="37" t="n"/>
      <c r="B698" s="37" t="n"/>
      <c r="C698" s="37" t="n"/>
      <c r="D698" s="37" t="n"/>
      <c r="E698" s="37" t="n"/>
      <c r="F698" s="37" t="n"/>
      <c r="G698" s="37" t="n"/>
      <c r="H698" s="37" t="n"/>
      <c r="I698" s="38">
        <f>IF($A698="","",IFERROR($B698-$C698-$D698-$E698,0))</f>
        <v/>
      </c>
    </row>
    <row r="699">
      <c r="A699" s="37" t="n"/>
      <c r="B699" s="37" t="n"/>
      <c r="C699" s="37" t="n"/>
      <c r="D699" s="37" t="n"/>
      <c r="E699" s="37" t="n"/>
      <c r="F699" s="37" t="n"/>
      <c r="G699" s="37" t="n"/>
      <c r="H699" s="37" t="n"/>
      <c r="I699" s="38">
        <f>IF($A699="","",IFERROR($B699-$C699-$D699-$E699,0))</f>
        <v/>
      </c>
    </row>
    <row r="700">
      <c r="A700" s="37" t="n"/>
      <c r="B700" s="37" t="n"/>
      <c r="C700" s="37" t="n"/>
      <c r="D700" s="37" t="n"/>
      <c r="E700" s="37" t="n"/>
      <c r="F700" s="37" t="n"/>
      <c r="G700" s="37" t="n"/>
      <c r="H700" s="37" t="n"/>
      <c r="I700" s="38">
        <f>IF($A700="","",IFERROR($B700-$C700-$D700-$E700,0))</f>
        <v/>
      </c>
    </row>
    <row r="701">
      <c r="A701" s="37" t="n"/>
      <c r="B701" s="37" t="n"/>
      <c r="C701" s="37" t="n"/>
      <c r="D701" s="37" t="n"/>
      <c r="E701" s="37" t="n"/>
      <c r="F701" s="37" t="n"/>
      <c r="G701" s="37" t="n"/>
      <c r="H701" s="37" t="n"/>
      <c r="I701" s="38">
        <f>IF($A701="","",IFERROR($B701-$C701-$D701-$E701,0))</f>
        <v/>
      </c>
    </row>
    <row r="702">
      <c r="A702" s="37" t="n"/>
      <c r="B702" s="37" t="n"/>
      <c r="C702" s="37" t="n"/>
      <c r="D702" s="37" t="n"/>
      <c r="E702" s="37" t="n"/>
      <c r="F702" s="37" t="n"/>
      <c r="G702" s="37" t="n"/>
      <c r="H702" s="37" t="n"/>
      <c r="I702" s="38">
        <f>IF($A702="","",IFERROR($B702-$C702-$D702-$E702,0))</f>
        <v/>
      </c>
    </row>
    <row r="703">
      <c r="A703" s="37" t="n"/>
      <c r="B703" s="37" t="n"/>
      <c r="C703" s="37" t="n"/>
      <c r="D703" s="37" t="n"/>
      <c r="E703" s="37" t="n"/>
      <c r="F703" s="37" t="n"/>
      <c r="G703" s="37" t="n"/>
      <c r="H703" s="37" t="n"/>
      <c r="I703" s="38">
        <f>IF($A703="","",IFERROR($B703-$C703-$D703-$E703,0))</f>
        <v/>
      </c>
    </row>
    <row r="704">
      <c r="A704" s="37" t="n"/>
      <c r="B704" s="37" t="n"/>
      <c r="C704" s="37" t="n"/>
      <c r="D704" s="37" t="n"/>
      <c r="E704" s="37" t="n"/>
      <c r="F704" s="37" t="n"/>
      <c r="G704" s="37" t="n"/>
      <c r="H704" s="37" t="n"/>
      <c r="I704" s="38">
        <f>IF($A704="","",IFERROR($B704-$C704-$D704-$E704,0))</f>
        <v/>
      </c>
    </row>
    <row r="705">
      <c r="A705" s="37" t="n"/>
      <c r="B705" s="37" t="n"/>
      <c r="C705" s="37" t="n"/>
      <c r="D705" s="37" t="n"/>
      <c r="E705" s="37" t="n"/>
      <c r="F705" s="37" t="n"/>
      <c r="G705" s="37" t="n"/>
      <c r="H705" s="37" t="n"/>
      <c r="I705" s="38">
        <f>IF($A705="","",IFERROR($B705-$C705-$D705-$E705,0))</f>
        <v/>
      </c>
    </row>
    <row r="706">
      <c r="A706" s="37" t="n"/>
      <c r="B706" s="37" t="n"/>
      <c r="C706" s="37" t="n"/>
      <c r="D706" s="37" t="n"/>
      <c r="E706" s="37" t="n"/>
      <c r="F706" s="37" t="n"/>
      <c r="G706" s="37" t="n"/>
      <c r="H706" s="37" t="n"/>
      <c r="I706" s="38">
        <f>IF($A706="","",IFERROR($B706-$C706-$D706-$E706,0))</f>
        <v/>
      </c>
    </row>
    <row r="707">
      <c r="A707" s="37" t="n"/>
      <c r="B707" s="37" t="n"/>
      <c r="C707" s="37" t="n"/>
      <c r="D707" s="37" t="n"/>
      <c r="E707" s="37" t="n"/>
      <c r="F707" s="37" t="n"/>
      <c r="G707" s="37" t="n"/>
      <c r="H707" s="37" t="n"/>
      <c r="I707" s="38">
        <f>IF($A707="","",IFERROR($B707-$C707-$D707-$E707,0))</f>
        <v/>
      </c>
    </row>
    <row r="708">
      <c r="A708" s="37" t="n"/>
      <c r="B708" s="37" t="n"/>
      <c r="C708" s="37" t="n"/>
      <c r="D708" s="37" t="n"/>
      <c r="E708" s="37" t="n"/>
      <c r="F708" s="37" t="n"/>
      <c r="G708" s="37" t="n"/>
      <c r="H708" s="37" t="n"/>
      <c r="I708" s="38">
        <f>IF($A708="","",IFERROR($B708-$C708-$D708-$E708,0))</f>
        <v/>
      </c>
    </row>
    <row r="709">
      <c r="A709" s="37" t="n"/>
      <c r="B709" s="37" t="n"/>
      <c r="C709" s="37" t="n"/>
      <c r="D709" s="37" t="n"/>
      <c r="E709" s="37" t="n"/>
      <c r="F709" s="37" t="n"/>
      <c r="G709" s="37" t="n"/>
      <c r="H709" s="37" t="n"/>
      <c r="I709" s="38">
        <f>IF($A709="","",IFERROR($B709-$C709-$D709-$E709,0))</f>
        <v/>
      </c>
    </row>
    <row r="710">
      <c r="A710" s="37" t="n"/>
      <c r="B710" s="37" t="n"/>
      <c r="C710" s="37" t="n"/>
      <c r="D710" s="37" t="n"/>
      <c r="E710" s="37" t="n"/>
      <c r="F710" s="37" t="n"/>
      <c r="G710" s="37" t="n"/>
      <c r="H710" s="37" t="n"/>
      <c r="I710" s="38">
        <f>IF($A710="","",IFERROR($B710-$C710-$D710-$E710,0))</f>
        <v/>
      </c>
    </row>
    <row r="711">
      <c r="A711" s="37" t="n"/>
      <c r="B711" s="37" t="n"/>
      <c r="C711" s="37" t="n"/>
      <c r="D711" s="37" t="n"/>
      <c r="E711" s="37" t="n"/>
      <c r="F711" s="37" t="n"/>
      <c r="G711" s="37" t="n"/>
      <c r="H711" s="37" t="n"/>
      <c r="I711" s="38">
        <f>IF($A711="","",IFERROR($B711-$C711-$D711-$E711,0))</f>
        <v/>
      </c>
    </row>
    <row r="712">
      <c r="A712" s="37" t="n"/>
      <c r="B712" s="37" t="n"/>
      <c r="C712" s="37" t="n"/>
      <c r="D712" s="37" t="n"/>
      <c r="E712" s="37" t="n"/>
      <c r="F712" s="37" t="n"/>
      <c r="G712" s="37" t="n"/>
      <c r="H712" s="37" t="n"/>
      <c r="I712" s="38">
        <f>IF($A712="","",IFERROR($B712-$C712-$D712-$E712,0))</f>
        <v/>
      </c>
    </row>
    <row r="713">
      <c r="A713" s="37" t="n"/>
      <c r="B713" s="37" t="n"/>
      <c r="C713" s="37" t="n"/>
      <c r="D713" s="37" t="n"/>
      <c r="E713" s="37" t="n"/>
      <c r="F713" s="37" t="n"/>
      <c r="G713" s="37" t="n"/>
      <c r="H713" s="37" t="n"/>
      <c r="I713" s="38">
        <f>IF($A713="","",IFERROR($B713-$C713-$D713-$E713,0))</f>
        <v/>
      </c>
    </row>
    <row r="714">
      <c r="A714" s="37" t="n"/>
      <c r="B714" s="37" t="n"/>
      <c r="C714" s="37" t="n"/>
      <c r="D714" s="37" t="n"/>
      <c r="E714" s="37" t="n"/>
      <c r="F714" s="37" t="n"/>
      <c r="G714" s="37" t="n"/>
      <c r="H714" s="37" t="n"/>
      <c r="I714" s="38">
        <f>IF($A714="","",IFERROR($B714-$C714-$D714-$E714,0))</f>
        <v/>
      </c>
    </row>
    <row r="715">
      <c r="A715" s="37" t="n"/>
      <c r="B715" s="37" t="n"/>
      <c r="C715" s="37" t="n"/>
      <c r="D715" s="37" t="n"/>
      <c r="E715" s="37" t="n"/>
      <c r="F715" s="37" t="n"/>
      <c r="G715" s="37" t="n"/>
      <c r="H715" s="37" t="n"/>
      <c r="I715" s="38">
        <f>IF($A715="","",IFERROR($B715-$C715-$D715-$E715,0))</f>
        <v/>
      </c>
    </row>
    <row r="716">
      <c r="A716" s="37" t="n"/>
      <c r="B716" s="37" t="n"/>
      <c r="C716" s="37" t="n"/>
      <c r="D716" s="37" t="n"/>
      <c r="E716" s="37" t="n"/>
      <c r="F716" s="37" t="n"/>
      <c r="G716" s="37" t="n"/>
      <c r="H716" s="37" t="n"/>
      <c r="I716" s="38">
        <f>IF($A716="","",IFERROR($B716-$C716-$D716-$E716,0))</f>
        <v/>
      </c>
    </row>
    <row r="717">
      <c r="A717" s="37" t="n"/>
      <c r="B717" s="37" t="n"/>
      <c r="C717" s="37" t="n"/>
      <c r="D717" s="37" t="n"/>
      <c r="E717" s="37" t="n"/>
      <c r="F717" s="37" t="n"/>
      <c r="G717" s="37" t="n"/>
      <c r="H717" s="37" t="n"/>
      <c r="I717" s="38">
        <f>IF($A717="","",IFERROR($B717-$C717-$D717-$E717,0))</f>
        <v/>
      </c>
    </row>
    <row r="718">
      <c r="A718" s="37" t="n"/>
      <c r="B718" s="37" t="n"/>
      <c r="C718" s="37" t="n"/>
      <c r="D718" s="37" t="n"/>
      <c r="E718" s="37" t="n"/>
      <c r="F718" s="37" t="n"/>
      <c r="G718" s="37" t="n"/>
      <c r="H718" s="37" t="n"/>
      <c r="I718" s="38">
        <f>IF($A718="","",IFERROR($B718-$C718-$D718-$E718,0))</f>
        <v/>
      </c>
    </row>
    <row r="719">
      <c r="A719" s="37" t="n"/>
      <c r="B719" s="37" t="n"/>
      <c r="C719" s="37" t="n"/>
      <c r="D719" s="37" t="n"/>
      <c r="E719" s="37" t="n"/>
      <c r="F719" s="37" t="n"/>
      <c r="G719" s="37" t="n"/>
      <c r="H719" s="37" t="n"/>
      <c r="I719" s="38">
        <f>IF($A719="","",IFERROR($B719-$C719-$D719-$E719,0))</f>
        <v/>
      </c>
    </row>
    <row r="720">
      <c r="A720" s="37" t="n"/>
      <c r="B720" s="37" t="n"/>
      <c r="C720" s="37" t="n"/>
      <c r="D720" s="37" t="n"/>
      <c r="E720" s="37" t="n"/>
      <c r="F720" s="37" t="n"/>
      <c r="G720" s="37" t="n"/>
      <c r="H720" s="37" t="n"/>
      <c r="I720" s="38">
        <f>IF($A720="","",IFERROR($B720-$C720-$D720-$E720,0))</f>
        <v/>
      </c>
    </row>
    <row r="721">
      <c r="A721" s="37" t="n"/>
      <c r="B721" s="37" t="n"/>
      <c r="C721" s="37" t="n"/>
      <c r="D721" s="37" t="n"/>
      <c r="E721" s="37" t="n"/>
      <c r="F721" s="37" t="n"/>
      <c r="G721" s="37" t="n"/>
      <c r="H721" s="37" t="n"/>
      <c r="I721" s="38">
        <f>IF($A721="","",IFERROR($B721-$C721-$D721-$E721,0))</f>
        <v/>
      </c>
    </row>
    <row r="722">
      <c r="A722" s="37" t="n"/>
      <c r="B722" s="37" t="n"/>
      <c r="C722" s="37" t="n"/>
      <c r="D722" s="37" t="n"/>
      <c r="E722" s="37" t="n"/>
      <c r="F722" s="37" t="n"/>
      <c r="G722" s="37" t="n"/>
      <c r="H722" s="37" t="n"/>
      <c r="I722" s="38">
        <f>IF($A722="","",IFERROR($B722-$C722-$D722-$E722,0))</f>
        <v/>
      </c>
    </row>
    <row r="723">
      <c r="A723" s="37" t="n"/>
      <c r="B723" s="37" t="n"/>
      <c r="C723" s="37" t="n"/>
      <c r="D723" s="37" t="n"/>
      <c r="E723" s="37" t="n"/>
      <c r="F723" s="37" t="n"/>
      <c r="G723" s="37" t="n"/>
      <c r="H723" s="37" t="n"/>
      <c r="I723" s="38">
        <f>IF($A723="","",IFERROR($B723-$C723-$D723-$E723,0))</f>
        <v/>
      </c>
    </row>
    <row r="724">
      <c r="A724" s="37" t="n"/>
      <c r="B724" s="37" t="n"/>
      <c r="C724" s="37" t="n"/>
      <c r="D724" s="37" t="n"/>
      <c r="E724" s="37" t="n"/>
      <c r="F724" s="37" t="n"/>
      <c r="G724" s="37" t="n"/>
      <c r="H724" s="37" t="n"/>
      <c r="I724" s="38">
        <f>IF($A724="","",IFERROR($B724-$C724-$D724-$E724,0))</f>
        <v/>
      </c>
    </row>
    <row r="725">
      <c r="A725" s="37" t="n"/>
      <c r="B725" s="37" t="n"/>
      <c r="C725" s="37" t="n"/>
      <c r="D725" s="37" t="n"/>
      <c r="E725" s="37" t="n"/>
      <c r="F725" s="37" t="n"/>
      <c r="G725" s="37" t="n"/>
      <c r="H725" s="37" t="n"/>
      <c r="I725" s="38">
        <f>IF($A725="","",IFERROR($B725-$C725-$D725-$E725,0))</f>
        <v/>
      </c>
    </row>
    <row r="726">
      <c r="A726" s="37" t="n"/>
      <c r="B726" s="37" t="n"/>
      <c r="C726" s="37" t="n"/>
      <c r="D726" s="37" t="n"/>
      <c r="E726" s="37" t="n"/>
      <c r="F726" s="37" t="n"/>
      <c r="G726" s="37" t="n"/>
      <c r="H726" s="37" t="n"/>
      <c r="I726" s="38">
        <f>IF($A726="","",IFERROR($B726-$C726-$D726-$E726,0))</f>
        <v/>
      </c>
    </row>
    <row r="727">
      <c r="A727" s="37" t="n"/>
      <c r="B727" s="37" t="n"/>
      <c r="C727" s="37" t="n"/>
      <c r="D727" s="37" t="n"/>
      <c r="E727" s="37" t="n"/>
      <c r="F727" s="37" t="n"/>
      <c r="G727" s="37" t="n"/>
      <c r="H727" s="37" t="n"/>
      <c r="I727" s="38">
        <f>IF($A727="","",IFERROR($B727-$C727-$D727-$E727,0))</f>
        <v/>
      </c>
    </row>
    <row r="728">
      <c r="A728" s="37" t="n"/>
      <c r="B728" s="37" t="n"/>
      <c r="C728" s="37" t="n"/>
      <c r="D728" s="37" t="n"/>
      <c r="E728" s="37" t="n"/>
      <c r="F728" s="37" t="n"/>
      <c r="G728" s="37" t="n"/>
      <c r="H728" s="37" t="n"/>
      <c r="I728" s="38">
        <f>IF($A728="","",IFERROR($B728-$C728-$D728-$E728,0))</f>
        <v/>
      </c>
    </row>
    <row r="729">
      <c r="A729" s="37" t="n"/>
      <c r="B729" s="37" t="n"/>
      <c r="C729" s="37" t="n"/>
      <c r="D729" s="37" t="n"/>
      <c r="E729" s="37" t="n"/>
      <c r="F729" s="37" t="n"/>
      <c r="G729" s="37" t="n"/>
      <c r="H729" s="37" t="n"/>
      <c r="I729" s="38">
        <f>IF($A729="","",IFERROR($B729-$C729-$D729-$E729,0))</f>
        <v/>
      </c>
    </row>
    <row r="730">
      <c r="A730" s="37" t="n"/>
      <c r="B730" s="37" t="n"/>
      <c r="C730" s="37" t="n"/>
      <c r="D730" s="37" t="n"/>
      <c r="E730" s="37" t="n"/>
      <c r="F730" s="37" t="n"/>
      <c r="G730" s="37" t="n"/>
      <c r="H730" s="37" t="n"/>
      <c r="I730" s="38">
        <f>IF($A730="","",IFERROR($B730-$C730-$D730-$E730,0))</f>
        <v/>
      </c>
    </row>
    <row r="731">
      <c r="A731" s="37" t="n"/>
      <c r="B731" s="37" t="n"/>
      <c r="C731" s="37" t="n"/>
      <c r="D731" s="37" t="n"/>
      <c r="E731" s="37" t="n"/>
      <c r="F731" s="37" t="n"/>
      <c r="G731" s="37" t="n"/>
      <c r="H731" s="37" t="n"/>
      <c r="I731" s="38">
        <f>IF($A731="","",IFERROR($B731-$C731-$D731-$E731,0))</f>
        <v/>
      </c>
    </row>
    <row r="732">
      <c r="A732" s="37" t="n"/>
      <c r="B732" s="37" t="n"/>
      <c r="C732" s="37" t="n"/>
      <c r="D732" s="37" t="n"/>
      <c r="E732" s="37" t="n"/>
      <c r="F732" s="37" t="n"/>
      <c r="G732" s="37" t="n"/>
      <c r="H732" s="37" t="n"/>
      <c r="I732" s="38">
        <f>IF($A732="","",IFERROR($B732-$C732-$D732-$E732,0))</f>
        <v/>
      </c>
    </row>
    <row r="733">
      <c r="A733" s="37" t="n"/>
      <c r="B733" s="37" t="n"/>
      <c r="C733" s="37" t="n"/>
      <c r="D733" s="37" t="n"/>
      <c r="E733" s="37" t="n"/>
      <c r="F733" s="37" t="n"/>
      <c r="G733" s="37" t="n"/>
      <c r="H733" s="37" t="n"/>
      <c r="I733" s="38">
        <f>IF($A733="","",IFERROR($B733-$C733-$D733-$E733,0))</f>
        <v/>
      </c>
    </row>
    <row r="734">
      <c r="A734" s="37" t="n"/>
      <c r="B734" s="37" t="n"/>
      <c r="C734" s="37" t="n"/>
      <c r="D734" s="37" t="n"/>
      <c r="E734" s="37" t="n"/>
      <c r="F734" s="37" t="n"/>
      <c r="G734" s="37" t="n"/>
      <c r="H734" s="37" t="n"/>
      <c r="I734" s="38">
        <f>IF($A734="","",IFERROR($B734-$C734-$D734-$E734,0))</f>
        <v/>
      </c>
    </row>
    <row r="735">
      <c r="A735" s="37" t="n"/>
      <c r="B735" s="37" t="n"/>
      <c r="C735" s="37" t="n"/>
      <c r="D735" s="37" t="n"/>
      <c r="E735" s="37" t="n"/>
      <c r="F735" s="37" t="n"/>
      <c r="G735" s="37" t="n"/>
      <c r="H735" s="37" t="n"/>
      <c r="I735" s="38">
        <f>IF($A735="","",IFERROR($B735-$C735-$D735-$E735,0))</f>
        <v/>
      </c>
    </row>
    <row r="736">
      <c r="A736" s="37" t="n"/>
      <c r="B736" s="37" t="n"/>
      <c r="C736" s="37" t="n"/>
      <c r="D736" s="37" t="n"/>
      <c r="E736" s="37" t="n"/>
      <c r="F736" s="37" t="n"/>
      <c r="G736" s="37" t="n"/>
      <c r="H736" s="37" t="n"/>
      <c r="I736" s="38">
        <f>IF($A736="","",IFERROR($B736-$C736-$D736-$E736,0))</f>
        <v/>
      </c>
    </row>
    <row r="737">
      <c r="A737" s="37" t="n"/>
      <c r="B737" s="37" t="n"/>
      <c r="C737" s="37" t="n"/>
      <c r="D737" s="37" t="n"/>
      <c r="E737" s="37" t="n"/>
      <c r="F737" s="37" t="n"/>
      <c r="G737" s="37" t="n"/>
      <c r="H737" s="37" t="n"/>
      <c r="I737" s="38">
        <f>IF($A737="","",IFERROR($B737-$C737-$D737-$E737,0))</f>
        <v/>
      </c>
    </row>
    <row r="738">
      <c r="A738" s="37" t="n"/>
      <c r="B738" s="37" t="n"/>
      <c r="C738" s="37" t="n"/>
      <c r="D738" s="37" t="n"/>
      <c r="E738" s="37" t="n"/>
      <c r="F738" s="37" t="n"/>
      <c r="G738" s="37" t="n"/>
      <c r="H738" s="37" t="n"/>
      <c r="I738" s="38">
        <f>IF($A738="","",IFERROR($B738-$C738-$D738-$E738,0))</f>
        <v/>
      </c>
    </row>
    <row r="739">
      <c r="A739" s="37" t="n"/>
      <c r="B739" s="37" t="n"/>
      <c r="C739" s="37" t="n"/>
      <c r="D739" s="37" t="n"/>
      <c r="E739" s="37" t="n"/>
      <c r="F739" s="37" t="n"/>
      <c r="G739" s="37" t="n"/>
      <c r="H739" s="37" t="n"/>
      <c r="I739" s="38">
        <f>IF($A739="","",IFERROR($B739-$C739-$D739-$E739,0))</f>
        <v/>
      </c>
    </row>
    <row r="740">
      <c r="A740" s="37" t="n"/>
      <c r="B740" s="37" t="n"/>
      <c r="C740" s="37" t="n"/>
      <c r="D740" s="37" t="n"/>
      <c r="E740" s="37" t="n"/>
      <c r="F740" s="37" t="n"/>
      <c r="G740" s="37" t="n"/>
      <c r="H740" s="37" t="n"/>
      <c r="I740" s="38">
        <f>IF($A740="","",IFERROR($B740-$C740-$D740-$E740,0))</f>
        <v/>
      </c>
    </row>
    <row r="741">
      <c r="A741" s="37" t="n"/>
      <c r="B741" s="37" t="n"/>
      <c r="C741" s="37" t="n"/>
      <c r="D741" s="37" t="n"/>
      <c r="E741" s="37" t="n"/>
      <c r="F741" s="37" t="n"/>
      <c r="G741" s="37" t="n"/>
      <c r="H741" s="37" t="n"/>
      <c r="I741" s="38">
        <f>IF($A741="","",IFERROR($B741-$C741-$D741-$E741,0))</f>
        <v/>
      </c>
    </row>
    <row r="742">
      <c r="A742" s="37" t="n"/>
      <c r="B742" s="37" t="n"/>
      <c r="C742" s="37" t="n"/>
      <c r="D742" s="37" t="n"/>
      <c r="E742" s="37" t="n"/>
      <c r="F742" s="37" t="n"/>
      <c r="G742" s="37" t="n"/>
      <c r="H742" s="37" t="n"/>
      <c r="I742" s="38">
        <f>IF($A742="","",IFERROR($B742-$C742-$D742-$E742,0))</f>
        <v/>
      </c>
    </row>
    <row r="743">
      <c r="A743" s="37" t="n"/>
      <c r="B743" s="37" t="n"/>
      <c r="C743" s="37" t="n"/>
      <c r="D743" s="37" t="n"/>
      <c r="E743" s="37" t="n"/>
      <c r="F743" s="37" t="n"/>
      <c r="G743" s="37" t="n"/>
      <c r="H743" s="37" t="n"/>
      <c r="I743" s="38">
        <f>IF($A743="","",IFERROR($B743-$C743-$D743-$E743,0))</f>
        <v/>
      </c>
    </row>
    <row r="744">
      <c r="A744" s="37" t="n"/>
      <c r="B744" s="37" t="n"/>
      <c r="C744" s="37" t="n"/>
      <c r="D744" s="37" t="n"/>
      <c r="E744" s="37" t="n"/>
      <c r="F744" s="37" t="n"/>
      <c r="G744" s="37" t="n"/>
      <c r="H744" s="37" t="n"/>
      <c r="I744" s="38">
        <f>IF($A744="","",IFERROR($B744-$C744-$D744-$E744,0))</f>
        <v/>
      </c>
    </row>
    <row r="745">
      <c r="A745" s="37" t="n"/>
      <c r="B745" s="37" t="n"/>
      <c r="C745" s="37" t="n"/>
      <c r="D745" s="37" t="n"/>
      <c r="E745" s="37" t="n"/>
      <c r="F745" s="37" t="n"/>
      <c r="G745" s="37" t="n"/>
      <c r="H745" s="37" t="n"/>
      <c r="I745" s="38">
        <f>IF($A745="","",IFERROR($B745-$C745-$D745-$E745,0))</f>
        <v/>
      </c>
    </row>
    <row r="746">
      <c r="A746" s="37" t="n"/>
      <c r="B746" s="37" t="n"/>
      <c r="C746" s="37" t="n"/>
      <c r="D746" s="37" t="n"/>
      <c r="E746" s="37" t="n"/>
      <c r="F746" s="37" t="n"/>
      <c r="G746" s="37" t="n"/>
      <c r="H746" s="37" t="n"/>
      <c r="I746" s="38">
        <f>IF($A746="","",IFERROR($B746-$C746-$D746-$E746,0))</f>
        <v/>
      </c>
    </row>
    <row r="747">
      <c r="A747" s="37" t="n"/>
      <c r="B747" s="37" t="n"/>
      <c r="C747" s="37" t="n"/>
      <c r="D747" s="37" t="n"/>
      <c r="E747" s="37" t="n"/>
      <c r="F747" s="37" t="n"/>
      <c r="G747" s="37" t="n"/>
      <c r="H747" s="37" t="n"/>
      <c r="I747" s="38">
        <f>IF($A747="","",IFERROR($B747-$C747-$D747-$E747,0))</f>
        <v/>
      </c>
    </row>
    <row r="748">
      <c r="A748" s="37" t="n"/>
      <c r="B748" s="37" t="n"/>
      <c r="C748" s="37" t="n"/>
      <c r="D748" s="37" t="n"/>
      <c r="E748" s="37" t="n"/>
      <c r="F748" s="37" t="n"/>
      <c r="G748" s="37" t="n"/>
      <c r="H748" s="37" t="n"/>
      <c r="I748" s="38">
        <f>IF($A748="","",IFERROR($B748-$C748-$D748-$E748,0))</f>
        <v/>
      </c>
    </row>
    <row r="749">
      <c r="A749" s="37" t="n"/>
      <c r="B749" s="37" t="n"/>
      <c r="C749" s="37" t="n"/>
      <c r="D749" s="37" t="n"/>
      <c r="E749" s="37" t="n"/>
      <c r="F749" s="37" t="n"/>
      <c r="G749" s="37" t="n"/>
      <c r="H749" s="37" t="n"/>
      <c r="I749" s="38">
        <f>IF($A749="","",IFERROR($B749-$C749-$D749-$E749,0))</f>
        <v/>
      </c>
    </row>
    <row r="750">
      <c r="A750" s="37" t="n"/>
      <c r="B750" s="37" t="n"/>
      <c r="C750" s="37" t="n"/>
      <c r="D750" s="37" t="n"/>
      <c r="E750" s="37" t="n"/>
      <c r="F750" s="37" t="n"/>
      <c r="G750" s="37" t="n"/>
      <c r="H750" s="37" t="n"/>
      <c r="I750" s="38">
        <f>IF($A750="","",IFERROR($B750-$C750-$D750-$E750,0))</f>
        <v/>
      </c>
    </row>
    <row r="751">
      <c r="A751" s="37" t="n"/>
      <c r="B751" s="37" t="n"/>
      <c r="C751" s="37" t="n"/>
      <c r="D751" s="37" t="n"/>
      <c r="E751" s="37" t="n"/>
      <c r="F751" s="37" t="n"/>
      <c r="G751" s="37" t="n"/>
      <c r="H751" s="37" t="n"/>
      <c r="I751" s="38">
        <f>IF($A751="","",IFERROR($B751-$C751-$D751-$E751,0))</f>
        <v/>
      </c>
    </row>
    <row r="752">
      <c r="A752" s="37" t="n"/>
      <c r="B752" s="37" t="n"/>
      <c r="C752" s="37" t="n"/>
      <c r="D752" s="37" t="n"/>
      <c r="E752" s="37" t="n"/>
      <c r="F752" s="37" t="n"/>
      <c r="G752" s="37" t="n"/>
      <c r="H752" s="37" t="n"/>
      <c r="I752" s="38">
        <f>IF($A752="","",IFERROR($B752-$C752-$D752-$E752,0))</f>
        <v/>
      </c>
    </row>
    <row r="753">
      <c r="A753" s="37" t="n"/>
      <c r="B753" s="37" t="n"/>
      <c r="C753" s="37" t="n"/>
      <c r="D753" s="37" t="n"/>
      <c r="E753" s="37" t="n"/>
      <c r="F753" s="37" t="n"/>
      <c r="G753" s="37" t="n"/>
      <c r="H753" s="37" t="n"/>
      <c r="I753" s="38">
        <f>IF($A753="","",IFERROR($B753-$C753-$D753-$E753,0))</f>
        <v/>
      </c>
    </row>
    <row r="754">
      <c r="A754" s="37" t="n"/>
      <c r="B754" s="37" t="n"/>
      <c r="C754" s="37" t="n"/>
      <c r="D754" s="37" t="n"/>
      <c r="E754" s="37" t="n"/>
      <c r="F754" s="37" t="n"/>
      <c r="G754" s="37" t="n"/>
      <c r="H754" s="37" t="n"/>
      <c r="I754" s="38">
        <f>IF($A754="","",IFERROR($B754-$C754-$D754-$E754,0))</f>
        <v/>
      </c>
    </row>
    <row r="755">
      <c r="A755" s="37" t="n"/>
      <c r="B755" s="37" t="n"/>
      <c r="C755" s="37" t="n"/>
      <c r="D755" s="37" t="n"/>
      <c r="E755" s="37" t="n"/>
      <c r="F755" s="37" t="n"/>
      <c r="G755" s="37" t="n"/>
      <c r="H755" s="37" t="n"/>
      <c r="I755" s="38">
        <f>IF($A755="","",IFERROR($B755-$C755-$D755-$E755,0))</f>
        <v/>
      </c>
    </row>
    <row r="756">
      <c r="A756" s="37" t="n"/>
      <c r="B756" s="37" t="n"/>
      <c r="C756" s="37" t="n"/>
      <c r="D756" s="37" t="n"/>
      <c r="E756" s="37" t="n"/>
      <c r="F756" s="37" t="n"/>
      <c r="G756" s="37" t="n"/>
      <c r="H756" s="37" t="n"/>
      <c r="I756" s="38">
        <f>IF($A756="","",IFERROR($B756-$C756-$D756-$E756,0))</f>
        <v/>
      </c>
    </row>
    <row r="757">
      <c r="A757" s="37" t="n"/>
      <c r="B757" s="37" t="n"/>
      <c r="C757" s="37" t="n"/>
      <c r="D757" s="37" t="n"/>
      <c r="E757" s="37" t="n"/>
      <c r="F757" s="37" t="n"/>
      <c r="G757" s="37" t="n"/>
      <c r="H757" s="37" t="n"/>
      <c r="I757" s="38">
        <f>IF($A757="","",IFERROR($B757-$C757-$D757-$E757,0))</f>
        <v/>
      </c>
    </row>
    <row r="758">
      <c r="A758" s="37" t="n"/>
      <c r="B758" s="37" t="n"/>
      <c r="C758" s="37" t="n"/>
      <c r="D758" s="37" t="n"/>
      <c r="E758" s="37" t="n"/>
      <c r="F758" s="37" t="n"/>
      <c r="G758" s="37" t="n"/>
      <c r="H758" s="37" t="n"/>
      <c r="I758" s="38">
        <f>IF($A758="","",IFERROR($B758-$C758-$D758-$E758,0))</f>
        <v/>
      </c>
    </row>
    <row r="759">
      <c r="A759" s="37" t="n"/>
      <c r="B759" s="37" t="n"/>
      <c r="C759" s="37" t="n"/>
      <c r="D759" s="37" t="n"/>
      <c r="E759" s="37" t="n"/>
      <c r="F759" s="37" t="n"/>
      <c r="G759" s="37" t="n"/>
      <c r="H759" s="37" t="n"/>
      <c r="I759" s="38">
        <f>IF($A759="","",IFERROR($B759-$C759-$D759-$E759,0))</f>
        <v/>
      </c>
    </row>
    <row r="760">
      <c r="A760" s="37" t="n"/>
      <c r="B760" s="37" t="n"/>
      <c r="C760" s="37" t="n"/>
      <c r="D760" s="37" t="n"/>
      <c r="E760" s="37" t="n"/>
      <c r="F760" s="37" t="n"/>
      <c r="G760" s="37" t="n"/>
      <c r="H760" s="37" t="n"/>
      <c r="I760" s="38">
        <f>IF($A760="","",IFERROR($B760-$C760-$D760-$E760,0))</f>
        <v/>
      </c>
    </row>
    <row r="761">
      <c r="A761" s="37" t="n"/>
      <c r="B761" s="37" t="n"/>
      <c r="C761" s="37" t="n"/>
      <c r="D761" s="37" t="n"/>
      <c r="E761" s="37" t="n"/>
      <c r="F761" s="37" t="n"/>
      <c r="G761" s="37" t="n"/>
      <c r="H761" s="37" t="n"/>
      <c r="I761" s="38">
        <f>IF($A761="","",IFERROR($B761-$C761-$D761-$E761,0))</f>
        <v/>
      </c>
    </row>
    <row r="762">
      <c r="A762" s="37" t="n"/>
      <c r="B762" s="37" t="n"/>
      <c r="C762" s="37" t="n"/>
      <c r="D762" s="37" t="n"/>
      <c r="E762" s="37" t="n"/>
      <c r="F762" s="37" t="n"/>
      <c r="G762" s="37" t="n"/>
      <c r="H762" s="37" t="n"/>
      <c r="I762" s="38">
        <f>IF($A762="","",IFERROR($B762-$C762-$D762-$E762,0))</f>
        <v/>
      </c>
    </row>
    <row r="763">
      <c r="A763" s="37" t="n"/>
      <c r="B763" s="37" t="n"/>
      <c r="C763" s="37" t="n"/>
      <c r="D763" s="37" t="n"/>
      <c r="E763" s="37" t="n"/>
      <c r="F763" s="37" t="n"/>
      <c r="G763" s="37" t="n"/>
      <c r="H763" s="37" t="n"/>
      <c r="I763" s="38">
        <f>IF($A763="","",IFERROR($B763-$C763-$D763-$E763,0))</f>
        <v/>
      </c>
    </row>
    <row r="764">
      <c r="A764" s="37" t="n"/>
      <c r="B764" s="37" t="n"/>
      <c r="C764" s="37" t="n"/>
      <c r="D764" s="37" t="n"/>
      <c r="E764" s="37" t="n"/>
      <c r="F764" s="37" t="n"/>
      <c r="G764" s="37" t="n"/>
      <c r="H764" s="37" t="n"/>
      <c r="I764" s="38">
        <f>IF($A764="","",IFERROR($B764-$C764-$D764-$E764,0))</f>
        <v/>
      </c>
    </row>
    <row r="765">
      <c r="A765" s="37" t="n"/>
      <c r="B765" s="37" t="n"/>
      <c r="C765" s="37" t="n"/>
      <c r="D765" s="37" t="n"/>
      <c r="E765" s="37" t="n"/>
      <c r="F765" s="37" t="n"/>
      <c r="G765" s="37" t="n"/>
      <c r="H765" s="37" t="n"/>
      <c r="I765" s="38">
        <f>IF($A765="","",IFERROR($B765-$C765-$D765-$E765,0))</f>
        <v/>
      </c>
    </row>
    <row r="766">
      <c r="A766" s="37" t="n"/>
      <c r="B766" s="37" t="n"/>
      <c r="C766" s="37" t="n"/>
      <c r="D766" s="37" t="n"/>
      <c r="E766" s="37" t="n"/>
      <c r="F766" s="37" t="n"/>
      <c r="G766" s="37" t="n"/>
      <c r="H766" s="37" t="n"/>
      <c r="I766" s="38">
        <f>IF($A766="","",IFERROR($B766-$C766-$D766-$E766,0))</f>
        <v/>
      </c>
    </row>
    <row r="767">
      <c r="A767" s="37" t="n"/>
      <c r="B767" s="37" t="n"/>
      <c r="C767" s="37" t="n"/>
      <c r="D767" s="37" t="n"/>
      <c r="E767" s="37" t="n"/>
      <c r="F767" s="37" t="n"/>
      <c r="G767" s="37" t="n"/>
      <c r="H767" s="37" t="n"/>
      <c r="I767" s="38">
        <f>IF($A767="","",IFERROR($B767-$C767-$D767-$E767,0))</f>
        <v/>
      </c>
    </row>
    <row r="768">
      <c r="A768" s="37" t="n"/>
      <c r="B768" s="37" t="n"/>
      <c r="C768" s="37" t="n"/>
      <c r="D768" s="37" t="n"/>
      <c r="E768" s="37" t="n"/>
      <c r="F768" s="37" t="n"/>
      <c r="G768" s="37" t="n"/>
      <c r="H768" s="37" t="n"/>
      <c r="I768" s="38">
        <f>IF($A768="","",IFERROR($B768-$C768-$D768-$E768,0))</f>
        <v/>
      </c>
    </row>
    <row r="769">
      <c r="A769" s="37" t="n"/>
      <c r="B769" s="37" t="n"/>
      <c r="C769" s="37" t="n"/>
      <c r="D769" s="37" t="n"/>
      <c r="E769" s="37" t="n"/>
      <c r="F769" s="37" t="n"/>
      <c r="G769" s="37" t="n"/>
      <c r="H769" s="37" t="n"/>
      <c r="I769" s="38">
        <f>IF($A769="","",IFERROR($B769-$C769-$D769-$E769,0))</f>
        <v/>
      </c>
    </row>
    <row r="770">
      <c r="A770" s="37" t="n"/>
      <c r="B770" s="37" t="n"/>
      <c r="C770" s="37" t="n"/>
      <c r="D770" s="37" t="n"/>
      <c r="E770" s="37" t="n"/>
      <c r="F770" s="37" t="n"/>
      <c r="G770" s="37" t="n"/>
      <c r="H770" s="37" t="n"/>
      <c r="I770" s="38">
        <f>IF($A770="","",IFERROR($B770-$C770-$D770-$E770,0))</f>
        <v/>
      </c>
    </row>
    <row r="771">
      <c r="A771" s="37" t="n"/>
      <c r="B771" s="37" t="n"/>
      <c r="C771" s="37" t="n"/>
      <c r="D771" s="37" t="n"/>
      <c r="E771" s="37" t="n"/>
      <c r="F771" s="37" t="n"/>
      <c r="G771" s="37" t="n"/>
      <c r="H771" s="37" t="n"/>
      <c r="I771" s="38">
        <f>IF($A771="","",IFERROR($B771-$C771-$D771-$E771,0))</f>
        <v/>
      </c>
    </row>
    <row r="772">
      <c r="A772" s="37" t="n"/>
      <c r="B772" s="37" t="n"/>
      <c r="C772" s="37" t="n"/>
      <c r="D772" s="37" t="n"/>
      <c r="E772" s="37" t="n"/>
      <c r="F772" s="37" t="n"/>
      <c r="G772" s="37" t="n"/>
      <c r="H772" s="37" t="n"/>
      <c r="I772" s="38">
        <f>IF($A772="","",IFERROR($B772-$C772-$D772-$E772,0))</f>
        <v/>
      </c>
    </row>
    <row r="773">
      <c r="A773" s="37" t="n"/>
      <c r="B773" s="37" t="n"/>
      <c r="C773" s="37" t="n"/>
      <c r="D773" s="37" t="n"/>
      <c r="E773" s="37" t="n"/>
      <c r="F773" s="37" t="n"/>
      <c r="G773" s="37" t="n"/>
      <c r="H773" s="37" t="n"/>
      <c r="I773" s="38">
        <f>IF($A773="","",IFERROR($B773-$C773-$D773-$E773,0))</f>
        <v/>
      </c>
    </row>
    <row r="774">
      <c r="A774" s="37" t="n"/>
      <c r="B774" s="37" t="n"/>
      <c r="C774" s="37" t="n"/>
      <c r="D774" s="37" t="n"/>
      <c r="E774" s="37" t="n"/>
      <c r="F774" s="37" t="n"/>
      <c r="G774" s="37" t="n"/>
      <c r="H774" s="37" t="n"/>
      <c r="I774" s="38">
        <f>IF($A774="","",IFERROR($B774-$C774-$D774-$E774,0))</f>
        <v/>
      </c>
    </row>
    <row r="775">
      <c r="A775" s="37" t="n"/>
      <c r="B775" s="37" t="n"/>
      <c r="C775" s="37" t="n"/>
      <c r="D775" s="37" t="n"/>
      <c r="E775" s="37" t="n"/>
      <c r="F775" s="37" t="n"/>
      <c r="G775" s="37" t="n"/>
      <c r="H775" s="37" t="n"/>
      <c r="I775" s="38">
        <f>IF($A775="","",IFERROR($B775-$C775-$D775-$E775,0))</f>
        <v/>
      </c>
    </row>
    <row r="776">
      <c r="A776" s="37" t="n"/>
      <c r="B776" s="37" t="n"/>
      <c r="C776" s="37" t="n"/>
      <c r="D776" s="37" t="n"/>
      <c r="E776" s="37" t="n"/>
      <c r="F776" s="37" t="n"/>
      <c r="G776" s="37" t="n"/>
      <c r="H776" s="37" t="n"/>
      <c r="I776" s="38">
        <f>IF($A776="","",IFERROR($B776-$C776-$D776-$E776,0))</f>
        <v/>
      </c>
    </row>
    <row r="777">
      <c r="A777" s="37" t="n"/>
      <c r="B777" s="37" t="n"/>
      <c r="C777" s="37" t="n"/>
      <c r="D777" s="37" t="n"/>
      <c r="E777" s="37" t="n"/>
      <c r="F777" s="37" t="n"/>
      <c r="G777" s="37" t="n"/>
      <c r="H777" s="37" t="n"/>
      <c r="I777" s="38">
        <f>IF($A777="","",IFERROR($B777-$C777-$D777-$E777,0))</f>
        <v/>
      </c>
    </row>
    <row r="778">
      <c r="A778" s="37" t="n"/>
      <c r="B778" s="37" t="n"/>
      <c r="C778" s="37" t="n"/>
      <c r="D778" s="37" t="n"/>
      <c r="E778" s="37" t="n"/>
      <c r="F778" s="37" t="n"/>
      <c r="G778" s="37" t="n"/>
      <c r="H778" s="37" t="n"/>
      <c r="I778" s="38">
        <f>IF($A778="","",IFERROR($B778-$C778-$D778-$E778,0))</f>
        <v/>
      </c>
    </row>
    <row r="779">
      <c r="A779" s="37" t="n"/>
      <c r="B779" s="37" t="n"/>
      <c r="C779" s="37" t="n"/>
      <c r="D779" s="37" t="n"/>
      <c r="E779" s="37" t="n"/>
      <c r="F779" s="37" t="n"/>
      <c r="G779" s="37" t="n"/>
      <c r="H779" s="37" t="n"/>
      <c r="I779" s="38">
        <f>IF($A779="","",IFERROR($B779-$C779-$D779-$E779,0))</f>
        <v/>
      </c>
    </row>
    <row r="780">
      <c r="A780" s="37" t="n"/>
      <c r="B780" s="37" t="n"/>
      <c r="C780" s="37" t="n"/>
      <c r="D780" s="37" t="n"/>
      <c r="E780" s="37" t="n"/>
      <c r="F780" s="37" t="n"/>
      <c r="G780" s="37" t="n"/>
      <c r="H780" s="37" t="n"/>
      <c r="I780" s="38">
        <f>IF($A780="","",IFERROR($B780-$C780-$D780-$E780,0))</f>
        <v/>
      </c>
    </row>
    <row r="781">
      <c r="A781" s="37" t="n"/>
      <c r="B781" s="37" t="n"/>
      <c r="C781" s="37" t="n"/>
      <c r="D781" s="37" t="n"/>
      <c r="E781" s="37" t="n"/>
      <c r="F781" s="37" t="n"/>
      <c r="G781" s="37" t="n"/>
      <c r="H781" s="37" t="n"/>
      <c r="I781" s="38">
        <f>IF($A781="","",IFERROR($B781-$C781-$D781-$E781,0))</f>
        <v/>
      </c>
    </row>
    <row r="782">
      <c r="A782" s="37" t="n"/>
      <c r="B782" s="37" t="n"/>
      <c r="C782" s="37" t="n"/>
      <c r="D782" s="37" t="n"/>
      <c r="E782" s="37" t="n"/>
      <c r="F782" s="37" t="n"/>
      <c r="G782" s="37" t="n"/>
      <c r="H782" s="37" t="n"/>
      <c r="I782" s="38">
        <f>IF($A782="","",IFERROR($B782-$C782-$D782-$E782,0))</f>
        <v/>
      </c>
    </row>
    <row r="783">
      <c r="A783" s="37" t="n"/>
      <c r="B783" s="37" t="n"/>
      <c r="C783" s="37" t="n"/>
      <c r="D783" s="37" t="n"/>
      <c r="E783" s="37" t="n"/>
      <c r="F783" s="37" t="n"/>
      <c r="G783" s="37" t="n"/>
      <c r="H783" s="37" t="n"/>
      <c r="I783" s="38">
        <f>IF($A783="","",IFERROR($B783-$C783-$D783-$E783,0))</f>
        <v/>
      </c>
    </row>
    <row r="784">
      <c r="A784" s="37" t="n"/>
      <c r="B784" s="37" t="n"/>
      <c r="C784" s="37" t="n"/>
      <c r="D784" s="37" t="n"/>
      <c r="E784" s="37" t="n"/>
      <c r="F784" s="37" t="n"/>
      <c r="G784" s="37" t="n"/>
      <c r="H784" s="37" t="n"/>
      <c r="I784" s="38">
        <f>IF($A784="","",IFERROR($B784-$C784-$D784-$E784,0))</f>
        <v/>
      </c>
    </row>
    <row r="785">
      <c r="A785" s="37" t="n"/>
      <c r="B785" s="37" t="n"/>
      <c r="C785" s="37" t="n"/>
      <c r="D785" s="37" t="n"/>
      <c r="E785" s="37" t="n"/>
      <c r="F785" s="37" t="n"/>
      <c r="G785" s="37" t="n"/>
      <c r="H785" s="37" t="n"/>
      <c r="I785" s="38">
        <f>IF($A785="","",IFERROR($B785-$C785-$D785-$E785,0))</f>
        <v/>
      </c>
    </row>
    <row r="786">
      <c r="A786" s="37" t="n"/>
      <c r="B786" s="37" t="n"/>
      <c r="C786" s="37" t="n"/>
      <c r="D786" s="37" t="n"/>
      <c r="E786" s="37" t="n"/>
      <c r="F786" s="37" t="n"/>
      <c r="G786" s="37" t="n"/>
      <c r="H786" s="37" t="n"/>
      <c r="I786" s="38">
        <f>IF($A786="","",IFERROR($B786-$C786-$D786-$E786,0))</f>
        <v/>
      </c>
    </row>
    <row r="787">
      <c r="A787" s="37" t="n"/>
      <c r="B787" s="37" t="n"/>
      <c r="C787" s="37" t="n"/>
      <c r="D787" s="37" t="n"/>
      <c r="E787" s="37" t="n"/>
      <c r="F787" s="37" t="n"/>
      <c r="G787" s="37" t="n"/>
      <c r="H787" s="37" t="n"/>
      <c r="I787" s="38">
        <f>IF($A787="","",IFERROR($B787-$C787-$D787-$E787,0))</f>
        <v/>
      </c>
    </row>
    <row r="788">
      <c r="A788" s="37" t="n"/>
      <c r="B788" s="37" t="n"/>
      <c r="C788" s="37" t="n"/>
      <c r="D788" s="37" t="n"/>
      <c r="E788" s="37" t="n"/>
      <c r="F788" s="37" t="n"/>
      <c r="G788" s="37" t="n"/>
      <c r="H788" s="37" t="n"/>
      <c r="I788" s="38">
        <f>IF($A788="","",IFERROR($B788-$C788-$D788-$E788,0))</f>
        <v/>
      </c>
    </row>
    <row r="789">
      <c r="A789" s="37" t="n"/>
      <c r="B789" s="37" t="n"/>
      <c r="C789" s="37" t="n"/>
      <c r="D789" s="37" t="n"/>
      <c r="E789" s="37" t="n"/>
      <c r="F789" s="37" t="n"/>
      <c r="G789" s="37" t="n"/>
      <c r="H789" s="37" t="n"/>
      <c r="I789" s="38">
        <f>IF($A789="","",IFERROR($B789-$C789-$D789-$E789,0))</f>
        <v/>
      </c>
    </row>
    <row r="790">
      <c r="A790" s="37" t="n"/>
      <c r="B790" s="37" t="n"/>
      <c r="C790" s="37" t="n"/>
      <c r="D790" s="37" t="n"/>
      <c r="E790" s="37" t="n"/>
      <c r="F790" s="37" t="n"/>
      <c r="G790" s="37" t="n"/>
      <c r="H790" s="37" t="n"/>
      <c r="I790" s="38">
        <f>IF($A790="","",IFERROR($B790-$C790-$D790-$E790,0))</f>
        <v/>
      </c>
    </row>
    <row r="791">
      <c r="A791" s="37" t="n"/>
      <c r="B791" s="37" t="n"/>
      <c r="C791" s="37" t="n"/>
      <c r="D791" s="37" t="n"/>
      <c r="E791" s="37" t="n"/>
      <c r="F791" s="37" t="n"/>
      <c r="G791" s="37" t="n"/>
      <c r="H791" s="37" t="n"/>
      <c r="I791" s="38">
        <f>IF($A791="","",IFERROR($B791-$C791-$D791-$E791,0))</f>
        <v/>
      </c>
    </row>
    <row r="792">
      <c r="A792" s="37" t="n"/>
      <c r="B792" s="37" t="n"/>
      <c r="C792" s="37" t="n"/>
      <c r="D792" s="37" t="n"/>
      <c r="E792" s="37" t="n"/>
      <c r="F792" s="37" t="n"/>
      <c r="G792" s="37" t="n"/>
      <c r="H792" s="37" t="n"/>
      <c r="I792" s="38">
        <f>IF($A792="","",IFERROR($B792-$C792-$D792-$E792,0))</f>
        <v/>
      </c>
    </row>
    <row r="793">
      <c r="A793" s="37" t="n"/>
      <c r="B793" s="37" t="n"/>
      <c r="C793" s="37" t="n"/>
      <c r="D793" s="37" t="n"/>
      <c r="E793" s="37" t="n"/>
      <c r="F793" s="37" t="n"/>
      <c r="G793" s="37" t="n"/>
      <c r="H793" s="37" t="n"/>
      <c r="I793" s="38">
        <f>IF($A793="","",IFERROR($B793-$C793-$D793-$E793,0))</f>
        <v/>
      </c>
    </row>
    <row r="794">
      <c r="A794" s="37" t="n"/>
      <c r="B794" s="37" t="n"/>
      <c r="C794" s="37" t="n"/>
      <c r="D794" s="37" t="n"/>
      <c r="E794" s="37" t="n"/>
      <c r="F794" s="37" t="n"/>
      <c r="G794" s="37" t="n"/>
      <c r="H794" s="37" t="n"/>
      <c r="I794" s="38">
        <f>IF($A794="","",IFERROR($B794-$C794-$D794-$E794,0))</f>
        <v/>
      </c>
    </row>
    <row r="795">
      <c r="A795" s="37" t="n"/>
      <c r="B795" s="37" t="n"/>
      <c r="C795" s="37" t="n"/>
      <c r="D795" s="37" t="n"/>
      <c r="E795" s="37" t="n"/>
      <c r="F795" s="37" t="n"/>
      <c r="G795" s="37" t="n"/>
      <c r="H795" s="37" t="n"/>
      <c r="I795" s="38">
        <f>IF($A795="","",IFERROR($B795-$C795-$D795-$E795,0))</f>
        <v/>
      </c>
    </row>
    <row r="796">
      <c r="A796" s="37" t="n"/>
      <c r="B796" s="37" t="n"/>
      <c r="C796" s="37" t="n"/>
      <c r="D796" s="37" t="n"/>
      <c r="E796" s="37" t="n"/>
      <c r="F796" s="37" t="n"/>
      <c r="G796" s="37" t="n"/>
      <c r="H796" s="37" t="n"/>
      <c r="I796" s="38">
        <f>IF($A796="","",IFERROR($B796-$C796-$D796-$E796,0))</f>
        <v/>
      </c>
    </row>
    <row r="797">
      <c r="A797" s="37" t="n"/>
      <c r="B797" s="37" t="n"/>
      <c r="C797" s="37" t="n"/>
      <c r="D797" s="37" t="n"/>
      <c r="E797" s="37" t="n"/>
      <c r="F797" s="37" t="n"/>
      <c r="G797" s="37" t="n"/>
      <c r="H797" s="37" t="n"/>
      <c r="I797" s="38">
        <f>IF($A797="","",IFERROR($B797-$C797-$D797-$E797,0))</f>
        <v/>
      </c>
    </row>
    <row r="798">
      <c r="A798" s="37" t="n"/>
      <c r="B798" s="37" t="n"/>
      <c r="C798" s="37" t="n"/>
      <c r="D798" s="37" t="n"/>
      <c r="E798" s="37" t="n"/>
      <c r="F798" s="37" t="n"/>
      <c r="G798" s="37" t="n"/>
      <c r="H798" s="37" t="n"/>
      <c r="I798" s="38">
        <f>IF($A798="","",IFERROR($B798-$C798-$D798-$E798,0))</f>
        <v/>
      </c>
    </row>
    <row r="799">
      <c r="A799" s="37" t="n"/>
      <c r="B799" s="37" t="n"/>
      <c r="C799" s="37" t="n"/>
      <c r="D799" s="37" t="n"/>
      <c r="E799" s="37" t="n"/>
      <c r="F799" s="37" t="n"/>
      <c r="G799" s="37" t="n"/>
      <c r="H799" s="37" t="n"/>
      <c r="I799" s="38">
        <f>IF($A799="","",IFERROR($B799-$C799-$D799-$E799,0))</f>
        <v/>
      </c>
    </row>
    <row r="800">
      <c r="A800" s="37" t="n"/>
      <c r="B800" s="37" t="n"/>
      <c r="C800" s="37" t="n"/>
      <c r="D800" s="37" t="n"/>
      <c r="E800" s="37" t="n"/>
      <c r="F800" s="37" t="n"/>
      <c r="G800" s="37" t="n"/>
      <c r="H800" s="37" t="n"/>
      <c r="I800" s="38">
        <f>IF($A800="","",IFERROR($B800-$C800-$D800-$E800,0))</f>
        <v/>
      </c>
    </row>
    <row r="801">
      <c r="A801" s="37" t="n"/>
      <c r="B801" s="37" t="n"/>
      <c r="C801" s="37" t="n"/>
      <c r="D801" s="37" t="n"/>
      <c r="E801" s="37" t="n"/>
      <c r="F801" s="37" t="n"/>
      <c r="G801" s="37" t="n"/>
      <c r="H801" s="37" t="n"/>
      <c r="I801" s="38">
        <f>IF($A801="","",IFERROR($B801-$C801-$D801-$E801,0))</f>
        <v/>
      </c>
    </row>
    <row r="802">
      <c r="A802" s="37" t="n"/>
      <c r="B802" s="37" t="n"/>
      <c r="C802" s="37" t="n"/>
      <c r="D802" s="37" t="n"/>
      <c r="E802" s="37" t="n"/>
      <c r="F802" s="37" t="n"/>
      <c r="G802" s="37" t="n"/>
      <c r="H802" s="37" t="n"/>
      <c r="I802" s="38">
        <f>IF($A802="","",IFERROR($B802-$C802-$D802-$E802,0))</f>
        <v/>
      </c>
    </row>
    <row r="803">
      <c r="A803" s="37" t="n"/>
      <c r="B803" s="37" t="n"/>
      <c r="C803" s="37" t="n"/>
      <c r="D803" s="37" t="n"/>
      <c r="E803" s="37" t="n"/>
      <c r="F803" s="37" t="n"/>
      <c r="G803" s="37" t="n"/>
      <c r="H803" s="37" t="n"/>
      <c r="I803" s="38">
        <f>IF($A803="","",IFERROR($B803-$C803-$D803-$E803,0))</f>
        <v/>
      </c>
    </row>
    <row r="804">
      <c r="A804" s="37" t="n"/>
      <c r="B804" s="37" t="n"/>
      <c r="C804" s="37" t="n"/>
      <c r="D804" s="37" t="n"/>
      <c r="E804" s="37" t="n"/>
      <c r="F804" s="37" t="n"/>
      <c r="G804" s="37" t="n"/>
      <c r="H804" s="37" t="n"/>
      <c r="I804" s="38">
        <f>IF($A804="","",IFERROR($B804-$C804-$D804-$E804,0))</f>
        <v/>
      </c>
    </row>
    <row r="805">
      <c r="A805" s="37" t="n"/>
      <c r="B805" s="37" t="n"/>
      <c r="C805" s="37" t="n"/>
      <c r="D805" s="37" t="n"/>
      <c r="E805" s="37" t="n"/>
      <c r="F805" s="37" t="n"/>
      <c r="G805" s="37" t="n"/>
      <c r="H805" s="37" t="n"/>
      <c r="I805" s="38">
        <f>IF($A805="","",IFERROR($B805-$C805-$D805-$E805,0))</f>
        <v/>
      </c>
    </row>
    <row r="806">
      <c r="A806" s="37" t="n"/>
      <c r="B806" s="37" t="n"/>
      <c r="C806" s="37" t="n"/>
      <c r="D806" s="37" t="n"/>
      <c r="E806" s="37" t="n"/>
      <c r="F806" s="37" t="n"/>
      <c r="G806" s="37" t="n"/>
      <c r="H806" s="37" t="n"/>
      <c r="I806" s="38">
        <f>IF($A806="","",IFERROR($B806-$C806-$D806-$E806,0))</f>
        <v/>
      </c>
    </row>
    <row r="807">
      <c r="A807" s="37" t="n"/>
      <c r="B807" s="37" t="n"/>
      <c r="C807" s="37" t="n"/>
      <c r="D807" s="37" t="n"/>
      <c r="E807" s="37" t="n"/>
      <c r="F807" s="37" t="n"/>
      <c r="G807" s="37" t="n"/>
      <c r="H807" s="37" t="n"/>
      <c r="I807" s="38">
        <f>IF($A807="","",IFERROR($B807-$C807-$D807-$E807,0))</f>
        <v/>
      </c>
    </row>
    <row r="808">
      <c r="A808" s="37" t="n"/>
      <c r="B808" s="37" t="n"/>
      <c r="C808" s="37" t="n"/>
      <c r="D808" s="37" t="n"/>
      <c r="E808" s="37" t="n"/>
      <c r="F808" s="37" t="n"/>
      <c r="G808" s="37" t="n"/>
      <c r="H808" s="37" t="n"/>
      <c r="I808" s="38">
        <f>IF($A808="","",IFERROR($B808-$C808-$D808-$E808,0))</f>
        <v/>
      </c>
    </row>
    <row r="809">
      <c r="A809" s="37" t="n"/>
      <c r="B809" s="37" t="n"/>
      <c r="C809" s="37" t="n"/>
      <c r="D809" s="37" t="n"/>
      <c r="E809" s="37" t="n"/>
      <c r="F809" s="37" t="n"/>
      <c r="G809" s="37" t="n"/>
      <c r="H809" s="37" t="n"/>
      <c r="I809" s="38">
        <f>IF($A809="","",IFERROR($B809-$C809-$D809-$E809,0))</f>
        <v/>
      </c>
    </row>
    <row r="810">
      <c r="A810" s="37" t="n"/>
      <c r="B810" s="37" t="n"/>
      <c r="C810" s="37" t="n"/>
      <c r="D810" s="37" t="n"/>
      <c r="E810" s="37" t="n"/>
      <c r="F810" s="37" t="n"/>
      <c r="G810" s="37" t="n"/>
      <c r="H810" s="37" t="n"/>
      <c r="I810" s="38">
        <f>IF($A810="","",IFERROR($B810-$C810-$D810-$E810,0))</f>
        <v/>
      </c>
    </row>
    <row r="811">
      <c r="A811" s="37" t="n"/>
      <c r="B811" s="37" t="n"/>
      <c r="C811" s="37" t="n"/>
      <c r="D811" s="37" t="n"/>
      <c r="E811" s="37" t="n"/>
      <c r="F811" s="37" t="n"/>
      <c r="G811" s="37" t="n"/>
      <c r="H811" s="37" t="n"/>
      <c r="I811" s="38">
        <f>IF($A811="","",IFERROR($B811-$C811-$D811-$E811,0))</f>
        <v/>
      </c>
    </row>
    <row r="812">
      <c r="A812" s="37" t="n"/>
      <c r="B812" s="37" t="n"/>
      <c r="C812" s="37" t="n"/>
      <c r="D812" s="37" t="n"/>
      <c r="E812" s="37" t="n"/>
      <c r="F812" s="37" t="n"/>
      <c r="G812" s="37" t="n"/>
      <c r="H812" s="37" t="n"/>
      <c r="I812" s="38">
        <f>IF($A812="","",IFERROR($B812-$C812-$D812-$E812,0))</f>
        <v/>
      </c>
    </row>
    <row r="813">
      <c r="A813" s="37" t="n"/>
      <c r="B813" s="37" t="n"/>
      <c r="C813" s="37" t="n"/>
      <c r="D813" s="37" t="n"/>
      <c r="E813" s="37" t="n"/>
      <c r="F813" s="37" t="n"/>
      <c r="G813" s="37" t="n"/>
      <c r="H813" s="37" t="n"/>
      <c r="I813" s="38">
        <f>IF($A813="","",IFERROR($B813-$C813-$D813-$E813,0))</f>
        <v/>
      </c>
    </row>
    <row r="814">
      <c r="A814" s="37" t="n"/>
      <c r="B814" s="37" t="n"/>
      <c r="C814" s="37" t="n"/>
      <c r="D814" s="37" t="n"/>
      <c r="E814" s="37" t="n"/>
      <c r="F814" s="37" t="n"/>
      <c r="G814" s="37" t="n"/>
      <c r="H814" s="37" t="n"/>
      <c r="I814" s="38">
        <f>IF($A814="","",IFERROR($B814-$C814-$D814-$E814,0))</f>
        <v/>
      </c>
    </row>
    <row r="815">
      <c r="A815" s="37" t="n"/>
      <c r="B815" s="37" t="n"/>
      <c r="C815" s="37" t="n"/>
      <c r="D815" s="37" t="n"/>
      <c r="E815" s="37" t="n"/>
      <c r="F815" s="37" t="n"/>
      <c r="G815" s="37" t="n"/>
      <c r="H815" s="37" t="n"/>
      <c r="I815" s="38">
        <f>IF($A815="","",IFERROR($B815-$C815-$D815-$E815,0))</f>
        <v/>
      </c>
    </row>
    <row r="816">
      <c r="A816" s="37" t="n"/>
      <c r="B816" s="37" t="n"/>
      <c r="C816" s="37" t="n"/>
      <c r="D816" s="37" t="n"/>
      <c r="E816" s="37" t="n"/>
      <c r="F816" s="37" t="n"/>
      <c r="G816" s="37" t="n"/>
      <c r="H816" s="37" t="n"/>
      <c r="I816" s="38">
        <f>IF($A816="","",IFERROR($B816-$C816-$D816-$E816,0))</f>
        <v/>
      </c>
    </row>
    <row r="817">
      <c r="A817" s="37" t="n"/>
      <c r="B817" s="37" t="n"/>
      <c r="C817" s="37" t="n"/>
      <c r="D817" s="37" t="n"/>
      <c r="E817" s="37" t="n"/>
      <c r="F817" s="37" t="n"/>
      <c r="G817" s="37" t="n"/>
      <c r="H817" s="37" t="n"/>
      <c r="I817" s="38">
        <f>IF($A817="","",IFERROR($B817-$C817-$D817-$E817,0))</f>
        <v/>
      </c>
    </row>
    <row r="818">
      <c r="A818" s="37" t="n"/>
      <c r="B818" s="37" t="n"/>
      <c r="C818" s="37" t="n"/>
      <c r="D818" s="37" t="n"/>
      <c r="E818" s="37" t="n"/>
      <c r="F818" s="37" t="n"/>
      <c r="G818" s="37" t="n"/>
      <c r="H818" s="37" t="n"/>
      <c r="I818" s="38">
        <f>IF($A818="","",IFERROR($B818-$C818-$D818-$E818,0))</f>
        <v/>
      </c>
    </row>
    <row r="819">
      <c r="A819" s="37" t="n"/>
      <c r="B819" s="37" t="n"/>
      <c r="C819" s="37" t="n"/>
      <c r="D819" s="37" t="n"/>
      <c r="E819" s="37" t="n"/>
      <c r="F819" s="37" t="n"/>
      <c r="G819" s="37" t="n"/>
      <c r="H819" s="37" t="n"/>
      <c r="I819" s="38">
        <f>IF($A819="","",IFERROR($B819-$C819-$D819-$E819,0))</f>
        <v/>
      </c>
    </row>
    <row r="820">
      <c r="A820" s="37" t="n"/>
      <c r="B820" s="37" t="n"/>
      <c r="C820" s="37" t="n"/>
      <c r="D820" s="37" t="n"/>
      <c r="E820" s="37" t="n"/>
      <c r="F820" s="37" t="n"/>
      <c r="G820" s="37" t="n"/>
      <c r="H820" s="37" t="n"/>
      <c r="I820" s="38">
        <f>IF($A820="","",IFERROR($B820-$C820-$D820-$E820,0))</f>
        <v/>
      </c>
    </row>
    <row r="821">
      <c r="A821" s="37" t="n"/>
      <c r="B821" s="37" t="n"/>
      <c r="C821" s="37" t="n"/>
      <c r="D821" s="37" t="n"/>
      <c r="E821" s="37" t="n"/>
      <c r="F821" s="37" t="n"/>
      <c r="G821" s="37" t="n"/>
      <c r="H821" s="37" t="n"/>
      <c r="I821" s="38">
        <f>IF($A821="","",IFERROR($B821-$C821-$D821-$E821,0))</f>
        <v/>
      </c>
    </row>
    <row r="822">
      <c r="A822" s="37" t="n"/>
      <c r="B822" s="37" t="n"/>
      <c r="C822" s="37" t="n"/>
      <c r="D822" s="37" t="n"/>
      <c r="E822" s="37" t="n"/>
      <c r="F822" s="37" t="n"/>
      <c r="G822" s="37" t="n"/>
      <c r="H822" s="37" t="n"/>
      <c r="I822" s="38">
        <f>IF($A822="","",IFERROR($B822-$C822-$D822-$E822,0))</f>
        <v/>
      </c>
    </row>
    <row r="823">
      <c r="A823" s="37" t="n"/>
      <c r="B823" s="37" t="n"/>
      <c r="C823" s="37" t="n"/>
      <c r="D823" s="37" t="n"/>
      <c r="E823" s="37" t="n"/>
      <c r="F823" s="37" t="n"/>
      <c r="G823" s="37" t="n"/>
      <c r="H823" s="37" t="n"/>
      <c r="I823" s="38">
        <f>IF($A823="","",IFERROR($B823-$C823-$D823-$E823,0))</f>
        <v/>
      </c>
    </row>
    <row r="824">
      <c r="A824" s="37" t="n"/>
      <c r="B824" s="37" t="n"/>
      <c r="C824" s="37" t="n"/>
      <c r="D824" s="37" t="n"/>
      <c r="E824" s="37" t="n"/>
      <c r="F824" s="37" t="n"/>
      <c r="G824" s="37" t="n"/>
      <c r="H824" s="37" t="n"/>
      <c r="I824" s="38">
        <f>IF($A824="","",IFERROR($B824-$C824-$D824-$E824,0))</f>
        <v/>
      </c>
    </row>
    <row r="825">
      <c r="A825" s="37" t="n"/>
      <c r="B825" s="37" t="n"/>
      <c r="C825" s="37" t="n"/>
      <c r="D825" s="37" t="n"/>
      <c r="E825" s="37" t="n"/>
      <c r="F825" s="37" t="n"/>
      <c r="G825" s="37" t="n"/>
      <c r="H825" s="37" t="n"/>
      <c r="I825" s="38">
        <f>IF($A825="","",IFERROR($B825-$C825-$D825-$E825,0))</f>
        <v/>
      </c>
    </row>
    <row r="826">
      <c r="A826" s="37" t="n"/>
      <c r="B826" s="37" t="n"/>
      <c r="C826" s="37" t="n"/>
      <c r="D826" s="37" t="n"/>
      <c r="E826" s="37" t="n"/>
      <c r="F826" s="37" t="n"/>
      <c r="G826" s="37" t="n"/>
      <c r="H826" s="37" t="n"/>
      <c r="I826" s="38">
        <f>IF($A826="","",IFERROR($B826-$C826-$D826-$E826,0))</f>
        <v/>
      </c>
    </row>
    <row r="827">
      <c r="A827" s="37" t="n"/>
      <c r="B827" s="37" t="n"/>
      <c r="C827" s="37" t="n"/>
      <c r="D827" s="37" t="n"/>
      <c r="E827" s="37" t="n"/>
      <c r="F827" s="37" t="n"/>
      <c r="G827" s="37" t="n"/>
      <c r="H827" s="37" t="n"/>
      <c r="I827" s="38">
        <f>IF($A827="","",IFERROR($B827-$C827-$D827-$E827,0))</f>
        <v/>
      </c>
    </row>
    <row r="828">
      <c r="A828" s="37" t="n"/>
      <c r="B828" s="37" t="n"/>
      <c r="C828" s="37" t="n"/>
      <c r="D828" s="37" t="n"/>
      <c r="E828" s="37" t="n"/>
      <c r="F828" s="37" t="n"/>
      <c r="G828" s="37" t="n"/>
      <c r="H828" s="37" t="n"/>
      <c r="I828" s="38">
        <f>IF($A828="","",IFERROR($B828-$C828-$D828-$E828,0))</f>
        <v/>
      </c>
    </row>
    <row r="829">
      <c r="A829" s="37" t="n"/>
      <c r="B829" s="37" t="n"/>
      <c r="C829" s="37" t="n"/>
      <c r="D829" s="37" t="n"/>
      <c r="E829" s="37" t="n"/>
      <c r="F829" s="37" t="n"/>
      <c r="G829" s="37" t="n"/>
      <c r="H829" s="37" t="n"/>
      <c r="I829" s="38">
        <f>IF($A829="","",IFERROR($B829-$C829-$D829-$E829,0))</f>
        <v/>
      </c>
    </row>
    <row r="830">
      <c r="A830" s="37" t="n"/>
      <c r="B830" s="37" t="n"/>
      <c r="C830" s="37" t="n"/>
      <c r="D830" s="37" t="n"/>
      <c r="E830" s="37" t="n"/>
      <c r="F830" s="37" t="n"/>
      <c r="G830" s="37" t="n"/>
      <c r="H830" s="37" t="n"/>
      <c r="I830" s="38">
        <f>IF($A830="","",IFERROR($B830-$C830-$D830-$E830,0))</f>
        <v/>
      </c>
    </row>
    <row r="831">
      <c r="A831" s="37" t="n"/>
      <c r="B831" s="37" t="n"/>
      <c r="C831" s="37" t="n"/>
      <c r="D831" s="37" t="n"/>
      <c r="E831" s="37" t="n"/>
      <c r="F831" s="37" t="n"/>
      <c r="G831" s="37" t="n"/>
      <c r="H831" s="37" t="n"/>
      <c r="I831" s="38">
        <f>IF($A831="","",IFERROR($B831-$C831-$D831-$E831,0))</f>
        <v/>
      </c>
    </row>
    <row r="832">
      <c r="A832" s="37" t="n"/>
      <c r="B832" s="37" t="n"/>
      <c r="C832" s="37" t="n"/>
      <c r="D832" s="37" t="n"/>
      <c r="E832" s="37" t="n"/>
      <c r="F832" s="37" t="n"/>
      <c r="G832" s="37" t="n"/>
      <c r="H832" s="37" t="n"/>
      <c r="I832" s="38">
        <f>IF($A832="","",IFERROR($B832-$C832-$D832-$E832,0))</f>
        <v/>
      </c>
    </row>
    <row r="833">
      <c r="A833" s="37" t="n"/>
      <c r="B833" s="37" t="n"/>
      <c r="C833" s="37" t="n"/>
      <c r="D833" s="37" t="n"/>
      <c r="E833" s="37" t="n"/>
      <c r="F833" s="37" t="n"/>
      <c r="G833" s="37" t="n"/>
      <c r="H833" s="37" t="n"/>
      <c r="I833" s="38">
        <f>IF($A833="","",IFERROR($B833-$C833-$D833-$E833,0))</f>
        <v/>
      </c>
    </row>
    <row r="834">
      <c r="A834" s="37" t="n"/>
      <c r="B834" s="37" t="n"/>
      <c r="C834" s="37" t="n"/>
      <c r="D834" s="37" t="n"/>
      <c r="E834" s="37" t="n"/>
      <c r="F834" s="37" t="n"/>
      <c r="G834" s="37" t="n"/>
      <c r="H834" s="37" t="n"/>
      <c r="I834" s="38">
        <f>IF($A834="","",IFERROR($B834-$C834-$D834-$E834,0))</f>
        <v/>
      </c>
    </row>
    <row r="835">
      <c r="A835" s="37" t="n"/>
      <c r="B835" s="37" t="n"/>
      <c r="C835" s="37" t="n"/>
      <c r="D835" s="37" t="n"/>
      <c r="E835" s="37" t="n"/>
      <c r="F835" s="37" t="n"/>
      <c r="G835" s="37" t="n"/>
      <c r="H835" s="37" t="n"/>
      <c r="I835" s="38">
        <f>IF($A835="","",IFERROR($B835-$C835-$D835-$E835,0))</f>
        <v/>
      </c>
    </row>
    <row r="836">
      <c r="A836" s="37" t="n"/>
      <c r="B836" s="37" t="n"/>
      <c r="C836" s="37" t="n"/>
      <c r="D836" s="37" t="n"/>
      <c r="E836" s="37" t="n"/>
      <c r="F836" s="37" t="n"/>
      <c r="G836" s="37" t="n"/>
      <c r="H836" s="37" t="n"/>
      <c r="I836" s="38">
        <f>IF($A836="","",IFERROR($B836-$C836-$D836-$E836,0))</f>
        <v/>
      </c>
    </row>
    <row r="837">
      <c r="A837" s="37" t="n"/>
      <c r="B837" s="37" t="n"/>
      <c r="C837" s="37" t="n"/>
      <c r="D837" s="37" t="n"/>
      <c r="E837" s="37" t="n"/>
      <c r="F837" s="37" t="n"/>
      <c r="G837" s="37" t="n"/>
      <c r="H837" s="37" t="n"/>
      <c r="I837" s="38">
        <f>IF($A837="","",IFERROR($B837-$C837-$D837-$E837,0))</f>
        <v/>
      </c>
    </row>
    <row r="838">
      <c r="A838" s="37" t="n"/>
      <c r="B838" s="37" t="n"/>
      <c r="C838" s="37" t="n"/>
      <c r="D838" s="37" t="n"/>
      <c r="E838" s="37" t="n"/>
      <c r="F838" s="37" t="n"/>
      <c r="G838" s="37" t="n"/>
      <c r="H838" s="37" t="n"/>
      <c r="I838" s="38">
        <f>IF($A838="","",IFERROR($B838-$C838-$D838-$E838,0))</f>
        <v/>
      </c>
    </row>
    <row r="839">
      <c r="A839" s="37" t="n"/>
      <c r="B839" s="37" t="n"/>
      <c r="C839" s="37" t="n"/>
      <c r="D839" s="37" t="n"/>
      <c r="E839" s="37" t="n"/>
      <c r="F839" s="37" t="n"/>
      <c r="G839" s="37" t="n"/>
      <c r="H839" s="37" t="n"/>
      <c r="I839" s="38">
        <f>IF($A839="","",IFERROR($B839-$C839-$D839-$E839,0))</f>
        <v/>
      </c>
    </row>
    <row r="840">
      <c r="A840" s="37" t="n"/>
      <c r="B840" s="37" t="n"/>
      <c r="C840" s="37" t="n"/>
      <c r="D840" s="37" t="n"/>
      <c r="E840" s="37" t="n"/>
      <c r="F840" s="37" t="n"/>
      <c r="G840" s="37" t="n"/>
      <c r="H840" s="37" t="n"/>
      <c r="I840" s="38">
        <f>IF($A840="","",IFERROR($B840-$C840-$D840-$E840,0))</f>
        <v/>
      </c>
    </row>
    <row r="841">
      <c r="A841" s="37" t="n"/>
      <c r="B841" s="37" t="n"/>
      <c r="C841" s="37" t="n"/>
      <c r="D841" s="37" t="n"/>
      <c r="E841" s="37" t="n"/>
      <c r="F841" s="37" t="n"/>
      <c r="G841" s="37" t="n"/>
      <c r="H841" s="37" t="n"/>
      <c r="I841" s="38">
        <f>IF($A841="","",IFERROR($B841-$C841-$D841-$E841,0))</f>
        <v/>
      </c>
    </row>
    <row r="842">
      <c r="A842" s="37" t="n"/>
      <c r="B842" s="37" t="n"/>
      <c r="C842" s="37" t="n"/>
      <c r="D842" s="37" t="n"/>
      <c r="E842" s="37" t="n"/>
      <c r="F842" s="37" t="n"/>
      <c r="G842" s="37" t="n"/>
      <c r="H842" s="37" t="n"/>
      <c r="I842" s="38">
        <f>IF($A842="","",IFERROR($B842-$C842-$D842-$E842,0))</f>
        <v/>
      </c>
    </row>
    <row r="843">
      <c r="A843" s="37" t="n"/>
      <c r="B843" s="37" t="n"/>
      <c r="C843" s="37" t="n"/>
      <c r="D843" s="37" t="n"/>
      <c r="E843" s="37" t="n"/>
      <c r="F843" s="37" t="n"/>
      <c r="G843" s="37" t="n"/>
      <c r="H843" s="37" t="n"/>
      <c r="I843" s="38">
        <f>IF($A843="","",IFERROR($B843-$C843-$D843-$E843,0))</f>
        <v/>
      </c>
    </row>
    <row r="844">
      <c r="A844" s="37" t="n"/>
      <c r="B844" s="37" t="n"/>
      <c r="C844" s="37" t="n"/>
      <c r="D844" s="37" t="n"/>
      <c r="E844" s="37" t="n"/>
      <c r="F844" s="37" t="n"/>
      <c r="G844" s="37" t="n"/>
      <c r="H844" s="37" t="n"/>
      <c r="I844" s="38">
        <f>IF($A844="","",IFERROR($B844-$C844-$D844-$E844,0))</f>
        <v/>
      </c>
    </row>
    <row r="845">
      <c r="A845" s="37" t="n"/>
      <c r="B845" s="37" t="n"/>
      <c r="C845" s="37" t="n"/>
      <c r="D845" s="37" t="n"/>
      <c r="E845" s="37" t="n"/>
      <c r="F845" s="37" t="n"/>
      <c r="G845" s="37" t="n"/>
      <c r="H845" s="37" t="n"/>
      <c r="I845" s="38">
        <f>IF($A845="","",IFERROR($B845-$C845-$D845-$E845,0))</f>
        <v/>
      </c>
    </row>
    <row r="846">
      <c r="A846" s="37" t="n"/>
      <c r="B846" s="37" t="n"/>
      <c r="C846" s="37" t="n"/>
      <c r="D846" s="37" t="n"/>
      <c r="E846" s="37" t="n"/>
      <c r="F846" s="37" t="n"/>
      <c r="G846" s="37" t="n"/>
      <c r="H846" s="37" t="n"/>
      <c r="I846" s="38">
        <f>IF($A846="","",IFERROR($B846-$C846-$D846-$E846,0))</f>
        <v/>
      </c>
    </row>
    <row r="847">
      <c r="A847" s="37" t="n"/>
      <c r="B847" s="37" t="n"/>
      <c r="C847" s="37" t="n"/>
      <c r="D847" s="37" t="n"/>
      <c r="E847" s="37" t="n"/>
      <c r="F847" s="37" t="n"/>
      <c r="G847" s="37" t="n"/>
      <c r="H847" s="37" t="n"/>
      <c r="I847" s="38">
        <f>IF($A847="","",IFERROR($B847-$C847-$D847-$E847,0))</f>
        <v/>
      </c>
    </row>
    <row r="848">
      <c r="A848" s="37" t="n"/>
      <c r="B848" s="37" t="n"/>
      <c r="C848" s="37" t="n"/>
      <c r="D848" s="37" t="n"/>
      <c r="E848" s="37" t="n"/>
      <c r="F848" s="37" t="n"/>
      <c r="G848" s="37" t="n"/>
      <c r="H848" s="37" t="n"/>
      <c r="I848" s="38">
        <f>IF($A848="","",IFERROR($B848-$C848-$D848-$E848,0))</f>
        <v/>
      </c>
    </row>
    <row r="849">
      <c r="A849" s="37" t="n"/>
      <c r="B849" s="37" t="n"/>
      <c r="C849" s="37" t="n"/>
      <c r="D849" s="37" t="n"/>
      <c r="E849" s="37" t="n"/>
      <c r="F849" s="37" t="n"/>
      <c r="G849" s="37" t="n"/>
      <c r="H849" s="37" t="n"/>
      <c r="I849" s="38">
        <f>IF($A849="","",IFERROR($B849-$C849-$D849-$E849,0))</f>
        <v/>
      </c>
    </row>
    <row r="850">
      <c r="A850" s="37" t="n"/>
      <c r="B850" s="37" t="n"/>
      <c r="C850" s="37" t="n"/>
      <c r="D850" s="37" t="n"/>
      <c r="E850" s="37" t="n"/>
      <c r="F850" s="37" t="n"/>
      <c r="G850" s="37" t="n"/>
      <c r="H850" s="37" t="n"/>
      <c r="I850" s="38">
        <f>IF($A850="","",IFERROR($B850-$C850-$D850-$E850,0))</f>
        <v/>
      </c>
    </row>
    <row r="851">
      <c r="A851" s="37" t="n"/>
      <c r="B851" s="37" t="n"/>
      <c r="C851" s="37" t="n"/>
      <c r="D851" s="37" t="n"/>
      <c r="E851" s="37" t="n"/>
      <c r="F851" s="37" t="n"/>
      <c r="G851" s="37" t="n"/>
      <c r="H851" s="37" t="n"/>
      <c r="I851" s="38">
        <f>IF($A851="","",IFERROR($B851-$C851-$D851-$E851,0))</f>
        <v/>
      </c>
    </row>
    <row r="852">
      <c r="A852" s="37" t="n"/>
      <c r="B852" s="37" t="n"/>
      <c r="C852" s="37" t="n"/>
      <c r="D852" s="37" t="n"/>
      <c r="E852" s="37" t="n"/>
      <c r="F852" s="37" t="n"/>
      <c r="G852" s="37" t="n"/>
      <c r="H852" s="37" t="n"/>
      <c r="I852" s="38">
        <f>IF($A852="","",IFERROR($B852-$C852-$D852-$E852,0))</f>
        <v/>
      </c>
    </row>
    <row r="853">
      <c r="A853" s="37" t="n"/>
      <c r="B853" s="37" t="n"/>
      <c r="C853" s="37" t="n"/>
      <c r="D853" s="37" t="n"/>
      <c r="E853" s="37" t="n"/>
      <c r="F853" s="37" t="n"/>
      <c r="G853" s="37" t="n"/>
      <c r="H853" s="37" t="n"/>
      <c r="I853" s="38">
        <f>IF($A853="","",IFERROR($B853-$C853-$D853-$E853,0))</f>
        <v/>
      </c>
    </row>
    <row r="854">
      <c r="A854" s="37" t="n"/>
      <c r="B854" s="37" t="n"/>
      <c r="C854" s="37" t="n"/>
      <c r="D854" s="37" t="n"/>
      <c r="E854" s="37" t="n"/>
      <c r="F854" s="37" t="n"/>
      <c r="G854" s="37" t="n"/>
      <c r="H854" s="37" t="n"/>
      <c r="I854" s="38">
        <f>IF($A854="","",IFERROR($B854-$C854-$D854-$E854,0))</f>
        <v/>
      </c>
    </row>
    <row r="855">
      <c r="A855" s="37" t="n"/>
      <c r="B855" s="37" t="n"/>
      <c r="C855" s="37" t="n"/>
      <c r="D855" s="37" t="n"/>
      <c r="E855" s="37" t="n"/>
      <c r="F855" s="37" t="n"/>
      <c r="G855" s="37" t="n"/>
      <c r="H855" s="37" t="n"/>
      <c r="I855" s="38">
        <f>IF($A855="","",IFERROR($B855-$C855-$D855-$E855,0))</f>
        <v/>
      </c>
    </row>
    <row r="856">
      <c r="A856" s="37" t="n"/>
      <c r="B856" s="37" t="n"/>
      <c r="C856" s="37" t="n"/>
      <c r="D856" s="37" t="n"/>
      <c r="E856" s="37" t="n"/>
      <c r="F856" s="37" t="n"/>
      <c r="G856" s="37" t="n"/>
      <c r="H856" s="37" t="n"/>
      <c r="I856" s="38">
        <f>IF($A856="","",IFERROR($B856-$C856-$D856-$E856,0))</f>
        <v/>
      </c>
    </row>
    <row r="857">
      <c r="A857" s="37" t="n"/>
      <c r="B857" s="37" t="n"/>
      <c r="C857" s="37" t="n"/>
      <c r="D857" s="37" t="n"/>
      <c r="E857" s="37" t="n"/>
      <c r="F857" s="37" t="n"/>
      <c r="G857" s="37" t="n"/>
      <c r="H857" s="37" t="n"/>
      <c r="I857" s="38">
        <f>IF($A857="","",IFERROR($B857-$C857-$D857-$E857,0))</f>
        <v/>
      </c>
    </row>
    <row r="858">
      <c r="A858" s="37" t="n"/>
      <c r="B858" s="37" t="n"/>
      <c r="C858" s="37" t="n"/>
      <c r="D858" s="37" t="n"/>
      <c r="E858" s="37" t="n"/>
      <c r="F858" s="37" t="n"/>
      <c r="G858" s="37" t="n"/>
      <c r="H858" s="37" t="n"/>
      <c r="I858" s="38">
        <f>IF($A858="","",IFERROR($B858-$C858-$D858-$E858,0))</f>
        <v/>
      </c>
    </row>
    <row r="859">
      <c r="A859" s="37" t="n"/>
      <c r="B859" s="37" t="n"/>
      <c r="C859" s="37" t="n"/>
      <c r="D859" s="37" t="n"/>
      <c r="E859" s="37" t="n"/>
      <c r="F859" s="37" t="n"/>
      <c r="G859" s="37" t="n"/>
      <c r="H859" s="37" t="n"/>
      <c r="I859" s="38">
        <f>IF($A859="","",IFERROR($B859-$C859-$D859-$E859,0))</f>
        <v/>
      </c>
    </row>
    <row r="860">
      <c r="A860" s="37" t="n"/>
      <c r="B860" s="37" t="n"/>
      <c r="C860" s="37" t="n"/>
      <c r="D860" s="37" t="n"/>
      <c r="E860" s="37" t="n"/>
      <c r="F860" s="37" t="n"/>
      <c r="G860" s="37" t="n"/>
      <c r="H860" s="37" t="n"/>
      <c r="I860" s="38">
        <f>IF($A860="","",IFERROR($B860-$C860-$D860-$E860,0))</f>
        <v/>
      </c>
    </row>
    <row r="861">
      <c r="A861" s="37" t="n"/>
      <c r="B861" s="37" t="n"/>
      <c r="C861" s="37" t="n"/>
      <c r="D861" s="37" t="n"/>
      <c r="E861" s="37" t="n"/>
      <c r="F861" s="37" t="n"/>
      <c r="G861" s="37" t="n"/>
      <c r="H861" s="37" t="n"/>
      <c r="I861" s="38">
        <f>IF($A861="","",IFERROR($B861-$C861-$D861-$E861,0))</f>
        <v/>
      </c>
    </row>
    <row r="862">
      <c r="A862" s="37" t="n"/>
      <c r="B862" s="37" t="n"/>
      <c r="C862" s="37" t="n"/>
      <c r="D862" s="37" t="n"/>
      <c r="E862" s="37" t="n"/>
      <c r="F862" s="37" t="n"/>
      <c r="G862" s="37" t="n"/>
      <c r="H862" s="37" t="n"/>
      <c r="I862" s="38">
        <f>IF($A862="","",IFERROR($B862-$C862-$D862-$E862,0))</f>
        <v/>
      </c>
    </row>
    <row r="863">
      <c r="A863" s="37" t="n"/>
      <c r="B863" s="37" t="n"/>
      <c r="C863" s="37" t="n"/>
      <c r="D863" s="37" t="n"/>
      <c r="E863" s="37" t="n"/>
      <c r="F863" s="37" t="n"/>
      <c r="G863" s="37" t="n"/>
      <c r="H863" s="37" t="n"/>
      <c r="I863" s="38">
        <f>IF($A863="","",IFERROR($B863-$C863-$D863-$E863,0))</f>
        <v/>
      </c>
    </row>
    <row r="864">
      <c r="A864" s="37" t="n"/>
      <c r="B864" s="37" t="n"/>
      <c r="C864" s="37" t="n"/>
      <c r="D864" s="37" t="n"/>
      <c r="E864" s="37" t="n"/>
      <c r="F864" s="37" t="n"/>
      <c r="G864" s="37" t="n"/>
      <c r="H864" s="37" t="n"/>
      <c r="I864" s="38">
        <f>IF($A864="","",IFERROR($B864-$C864-$D864-$E864,0))</f>
        <v/>
      </c>
    </row>
    <row r="865">
      <c r="A865" s="37" t="n"/>
      <c r="B865" s="37" t="n"/>
      <c r="C865" s="37" t="n"/>
      <c r="D865" s="37" t="n"/>
      <c r="E865" s="37" t="n"/>
      <c r="F865" s="37" t="n"/>
      <c r="G865" s="37" t="n"/>
      <c r="H865" s="37" t="n"/>
      <c r="I865" s="38">
        <f>IF($A865="","",IFERROR($B865-$C865-$D865-$E865,0))</f>
        <v/>
      </c>
    </row>
    <row r="866">
      <c r="A866" s="37" t="n"/>
      <c r="B866" s="37" t="n"/>
      <c r="C866" s="37" t="n"/>
      <c r="D866" s="37" t="n"/>
      <c r="E866" s="37" t="n"/>
      <c r="F866" s="37" t="n"/>
      <c r="G866" s="37" t="n"/>
      <c r="H866" s="37" t="n"/>
      <c r="I866" s="38">
        <f>IF($A866="","",IFERROR($B866-$C866-$D866-$E866,0))</f>
        <v/>
      </c>
    </row>
    <row r="867">
      <c r="A867" s="37" t="n"/>
      <c r="B867" s="37" t="n"/>
      <c r="C867" s="37" t="n"/>
      <c r="D867" s="37" t="n"/>
      <c r="E867" s="37" t="n"/>
      <c r="F867" s="37" t="n"/>
      <c r="G867" s="37" t="n"/>
      <c r="H867" s="37" t="n"/>
      <c r="I867" s="38">
        <f>IF($A867="","",IFERROR($B867-$C867-$D867-$E867,0))</f>
        <v/>
      </c>
    </row>
    <row r="868">
      <c r="A868" s="37" t="n"/>
      <c r="B868" s="37" t="n"/>
      <c r="C868" s="37" t="n"/>
      <c r="D868" s="37" t="n"/>
      <c r="E868" s="37" t="n"/>
      <c r="F868" s="37" t="n"/>
      <c r="G868" s="37" t="n"/>
      <c r="H868" s="37" t="n"/>
      <c r="I868" s="38">
        <f>IF($A868="","",IFERROR($B868-$C868-$D868-$E868,0))</f>
        <v/>
      </c>
    </row>
    <row r="869">
      <c r="A869" s="37" t="n"/>
      <c r="B869" s="37" t="n"/>
      <c r="C869" s="37" t="n"/>
      <c r="D869" s="37" t="n"/>
      <c r="E869" s="37" t="n"/>
      <c r="F869" s="37" t="n"/>
      <c r="G869" s="37" t="n"/>
      <c r="H869" s="37" t="n"/>
      <c r="I869" s="38">
        <f>IF($A869="","",IFERROR($B869-$C869-$D869-$E869,0))</f>
        <v/>
      </c>
    </row>
    <row r="870">
      <c r="A870" s="37" t="n"/>
      <c r="B870" s="37" t="n"/>
      <c r="C870" s="37" t="n"/>
      <c r="D870" s="37" t="n"/>
      <c r="E870" s="37" t="n"/>
      <c r="F870" s="37" t="n"/>
      <c r="G870" s="37" t="n"/>
      <c r="H870" s="37" t="n"/>
      <c r="I870" s="38">
        <f>IF($A870="","",IFERROR($B870-$C870-$D870-$E870,0))</f>
        <v/>
      </c>
    </row>
    <row r="871">
      <c r="A871" s="37" t="n"/>
      <c r="B871" s="37" t="n"/>
      <c r="C871" s="37" t="n"/>
      <c r="D871" s="37" t="n"/>
      <c r="E871" s="37" t="n"/>
      <c r="F871" s="37" t="n"/>
      <c r="G871" s="37" t="n"/>
      <c r="H871" s="37" t="n"/>
      <c r="I871" s="38">
        <f>IF($A871="","",IFERROR($B871-$C871-$D871-$E871,0))</f>
        <v/>
      </c>
    </row>
    <row r="872">
      <c r="A872" s="37" t="n"/>
      <c r="B872" s="37" t="n"/>
      <c r="C872" s="37" t="n"/>
      <c r="D872" s="37" t="n"/>
      <c r="E872" s="37" t="n"/>
      <c r="F872" s="37" t="n"/>
      <c r="G872" s="37" t="n"/>
      <c r="H872" s="37" t="n"/>
      <c r="I872" s="38">
        <f>IF($A872="","",IFERROR($B872-$C872-$D872-$E872,0))</f>
        <v/>
      </c>
    </row>
    <row r="873">
      <c r="A873" s="37" t="n"/>
      <c r="B873" s="37" t="n"/>
      <c r="C873" s="37" t="n"/>
      <c r="D873" s="37" t="n"/>
      <c r="E873" s="37" t="n"/>
      <c r="F873" s="37" t="n"/>
      <c r="G873" s="37" t="n"/>
      <c r="H873" s="37" t="n"/>
      <c r="I873" s="38">
        <f>IF($A873="","",IFERROR($B873-$C873-$D873-$E873,0))</f>
        <v/>
      </c>
    </row>
    <row r="874">
      <c r="A874" s="37" t="n"/>
      <c r="B874" s="37" t="n"/>
      <c r="C874" s="37" t="n"/>
      <c r="D874" s="37" t="n"/>
      <c r="E874" s="37" t="n"/>
      <c r="F874" s="37" t="n"/>
      <c r="G874" s="37" t="n"/>
      <c r="H874" s="37" t="n"/>
      <c r="I874" s="38">
        <f>IF($A874="","",IFERROR($B874-$C874-$D874-$E874,0))</f>
        <v/>
      </c>
    </row>
    <row r="875">
      <c r="A875" s="37" t="n"/>
      <c r="B875" s="37" t="n"/>
      <c r="C875" s="37" t="n"/>
      <c r="D875" s="37" t="n"/>
      <c r="E875" s="37" t="n"/>
      <c r="F875" s="37" t="n"/>
      <c r="G875" s="37" t="n"/>
      <c r="H875" s="37" t="n"/>
      <c r="I875" s="38">
        <f>IF($A875="","",IFERROR($B875-$C875-$D875-$E875,0))</f>
        <v/>
      </c>
    </row>
    <row r="876">
      <c r="A876" s="37" t="n"/>
      <c r="B876" s="37" t="n"/>
      <c r="C876" s="37" t="n"/>
      <c r="D876" s="37" t="n"/>
      <c r="E876" s="37" t="n"/>
      <c r="F876" s="37" t="n"/>
      <c r="G876" s="37" t="n"/>
      <c r="H876" s="37" t="n"/>
      <c r="I876" s="38">
        <f>IF($A876="","",IFERROR($B876-$C876-$D876-$E876,0))</f>
        <v/>
      </c>
    </row>
    <row r="877">
      <c r="A877" s="37" t="n"/>
      <c r="B877" s="37" t="n"/>
      <c r="C877" s="37" t="n"/>
      <c r="D877" s="37" t="n"/>
      <c r="E877" s="37" t="n"/>
      <c r="F877" s="37" t="n"/>
      <c r="G877" s="37" t="n"/>
      <c r="H877" s="37" t="n"/>
      <c r="I877" s="38">
        <f>IF($A877="","",IFERROR($B877-$C877-$D877-$E877,0))</f>
        <v/>
      </c>
    </row>
    <row r="878">
      <c r="A878" s="37" t="n"/>
      <c r="B878" s="37" t="n"/>
      <c r="C878" s="37" t="n"/>
      <c r="D878" s="37" t="n"/>
      <c r="E878" s="37" t="n"/>
      <c r="F878" s="37" t="n"/>
      <c r="G878" s="37" t="n"/>
      <c r="H878" s="37" t="n"/>
      <c r="I878" s="38">
        <f>IF($A878="","",IFERROR($B878-$C878-$D878-$E878,0))</f>
        <v/>
      </c>
    </row>
    <row r="879">
      <c r="A879" s="37" t="n"/>
      <c r="B879" s="37" t="n"/>
      <c r="C879" s="37" t="n"/>
      <c r="D879" s="37" t="n"/>
      <c r="E879" s="37" t="n"/>
      <c r="F879" s="37" t="n"/>
      <c r="G879" s="37" t="n"/>
      <c r="H879" s="37" t="n"/>
      <c r="I879" s="38">
        <f>IF($A879="","",IFERROR($B879-$C879-$D879-$E879,0))</f>
        <v/>
      </c>
    </row>
    <row r="880">
      <c r="A880" s="37" t="n"/>
      <c r="B880" s="37" t="n"/>
      <c r="C880" s="37" t="n"/>
      <c r="D880" s="37" t="n"/>
      <c r="E880" s="37" t="n"/>
      <c r="F880" s="37" t="n"/>
      <c r="G880" s="37" t="n"/>
      <c r="H880" s="37" t="n"/>
      <c r="I880" s="38">
        <f>IF($A880="","",IFERROR($B880-$C880-$D880-$E880,0))</f>
        <v/>
      </c>
    </row>
    <row r="881">
      <c r="A881" s="37" t="n"/>
      <c r="B881" s="37" t="n"/>
      <c r="C881" s="37" t="n"/>
      <c r="D881" s="37" t="n"/>
      <c r="E881" s="37" t="n"/>
      <c r="F881" s="37" t="n"/>
      <c r="G881" s="37" t="n"/>
      <c r="H881" s="37" t="n"/>
      <c r="I881" s="38">
        <f>IF($A881="","",IFERROR($B881-$C881-$D881-$E881,0))</f>
        <v/>
      </c>
    </row>
    <row r="882">
      <c r="A882" s="37" t="n"/>
      <c r="B882" s="37" t="n"/>
      <c r="C882" s="37" t="n"/>
      <c r="D882" s="37" t="n"/>
      <c r="E882" s="37" t="n"/>
      <c r="F882" s="37" t="n"/>
      <c r="G882" s="37" t="n"/>
      <c r="H882" s="37" t="n"/>
      <c r="I882" s="38">
        <f>IF($A882="","",IFERROR($B882-$C882-$D882-$E882,0))</f>
        <v/>
      </c>
    </row>
    <row r="883">
      <c r="A883" s="37" t="n"/>
      <c r="B883" s="37" t="n"/>
      <c r="C883" s="37" t="n"/>
      <c r="D883" s="37" t="n"/>
      <c r="E883" s="37" t="n"/>
      <c r="F883" s="37" t="n"/>
      <c r="G883" s="37" t="n"/>
      <c r="H883" s="37" t="n"/>
      <c r="I883" s="38">
        <f>IF($A883="","",IFERROR($B883-$C883-$D883-$E883,0))</f>
        <v/>
      </c>
    </row>
    <row r="884">
      <c r="A884" s="37" t="n"/>
      <c r="B884" s="37" t="n"/>
      <c r="C884" s="37" t="n"/>
      <c r="D884" s="37" t="n"/>
      <c r="E884" s="37" t="n"/>
      <c r="F884" s="37" t="n"/>
      <c r="G884" s="37" t="n"/>
      <c r="H884" s="37" t="n"/>
      <c r="I884" s="38">
        <f>IF($A884="","",IFERROR($B884-$C884-$D884-$E884,0))</f>
        <v/>
      </c>
    </row>
    <row r="885">
      <c r="A885" s="37" t="n"/>
      <c r="B885" s="37" t="n"/>
      <c r="C885" s="37" t="n"/>
      <c r="D885" s="37" t="n"/>
      <c r="E885" s="37" t="n"/>
      <c r="F885" s="37" t="n"/>
      <c r="G885" s="37" t="n"/>
      <c r="H885" s="37" t="n"/>
      <c r="I885" s="38">
        <f>IF($A885="","",IFERROR($B885-$C885-$D885-$E885,0))</f>
        <v/>
      </c>
    </row>
    <row r="886">
      <c r="A886" s="37" t="n"/>
      <c r="B886" s="37" t="n"/>
      <c r="C886" s="37" t="n"/>
      <c r="D886" s="37" t="n"/>
      <c r="E886" s="37" t="n"/>
      <c r="F886" s="37" t="n"/>
      <c r="G886" s="37" t="n"/>
      <c r="H886" s="37" t="n"/>
      <c r="I886" s="38">
        <f>IF($A886="","",IFERROR($B886-$C886-$D886-$E886,0))</f>
        <v/>
      </c>
    </row>
    <row r="887">
      <c r="A887" s="37" t="n"/>
      <c r="B887" s="37" t="n"/>
      <c r="C887" s="37" t="n"/>
      <c r="D887" s="37" t="n"/>
      <c r="E887" s="37" t="n"/>
      <c r="F887" s="37" t="n"/>
      <c r="G887" s="37" t="n"/>
      <c r="H887" s="37" t="n"/>
      <c r="I887" s="38">
        <f>IF($A887="","",IFERROR($B887-$C887-$D887-$E887,0))</f>
        <v/>
      </c>
    </row>
    <row r="888">
      <c r="A888" s="37" t="n"/>
      <c r="B888" s="37" t="n"/>
      <c r="C888" s="37" t="n"/>
      <c r="D888" s="37" t="n"/>
      <c r="E888" s="37" t="n"/>
      <c r="F888" s="37" t="n"/>
      <c r="G888" s="37" t="n"/>
      <c r="H888" s="37" t="n"/>
      <c r="I888" s="38">
        <f>IF($A888="","",IFERROR($B888-$C888-$D888-$E888,0))</f>
        <v/>
      </c>
    </row>
    <row r="889">
      <c r="A889" s="37" t="n"/>
      <c r="B889" s="37" t="n"/>
      <c r="C889" s="37" t="n"/>
      <c r="D889" s="37" t="n"/>
      <c r="E889" s="37" t="n"/>
      <c r="F889" s="37" t="n"/>
      <c r="G889" s="37" t="n"/>
      <c r="H889" s="37" t="n"/>
      <c r="I889" s="38">
        <f>IF($A889="","",IFERROR($B889-$C889-$D889-$E889,0))</f>
        <v/>
      </c>
    </row>
    <row r="890">
      <c r="A890" s="37" t="n"/>
      <c r="B890" s="37" t="n"/>
      <c r="C890" s="37" t="n"/>
      <c r="D890" s="37" t="n"/>
      <c r="E890" s="37" t="n"/>
      <c r="F890" s="37" t="n"/>
      <c r="G890" s="37" t="n"/>
      <c r="H890" s="37" t="n"/>
      <c r="I890" s="38">
        <f>IF($A890="","",IFERROR($B890-$C890-$D890-$E890,0))</f>
        <v/>
      </c>
    </row>
    <row r="891">
      <c r="A891" s="37" t="n"/>
      <c r="B891" s="37" t="n"/>
      <c r="C891" s="37" t="n"/>
      <c r="D891" s="37" t="n"/>
      <c r="E891" s="37" t="n"/>
      <c r="F891" s="37" t="n"/>
      <c r="G891" s="37" t="n"/>
      <c r="H891" s="37" t="n"/>
      <c r="I891" s="38">
        <f>IF($A891="","",IFERROR($B891-$C891-$D891-$E891,0))</f>
        <v/>
      </c>
    </row>
    <row r="892">
      <c r="A892" s="37" t="n"/>
      <c r="B892" s="37" t="n"/>
      <c r="C892" s="37" t="n"/>
      <c r="D892" s="37" t="n"/>
      <c r="E892" s="37" t="n"/>
      <c r="F892" s="37" t="n"/>
      <c r="G892" s="37" t="n"/>
      <c r="H892" s="37" t="n"/>
      <c r="I892" s="38">
        <f>IF($A892="","",IFERROR($B892-$C892-$D892-$E892,0))</f>
        <v/>
      </c>
    </row>
    <row r="893">
      <c r="A893" s="37" t="n"/>
      <c r="B893" s="37" t="n"/>
      <c r="C893" s="37" t="n"/>
      <c r="D893" s="37" t="n"/>
      <c r="E893" s="37" t="n"/>
      <c r="F893" s="37" t="n"/>
      <c r="G893" s="37" t="n"/>
      <c r="H893" s="37" t="n"/>
      <c r="I893" s="38">
        <f>IF($A893="","",IFERROR($B893-$C893-$D893-$E893,0))</f>
        <v/>
      </c>
    </row>
    <row r="894">
      <c r="A894" s="37" t="n"/>
      <c r="B894" s="37" t="n"/>
      <c r="C894" s="37" t="n"/>
      <c r="D894" s="37" t="n"/>
      <c r="E894" s="37" t="n"/>
      <c r="F894" s="37" t="n"/>
      <c r="G894" s="37" t="n"/>
      <c r="H894" s="37" t="n"/>
      <c r="I894" s="38">
        <f>IF($A894="","",IFERROR($B894-$C894-$D894-$E894,0))</f>
        <v/>
      </c>
    </row>
    <row r="895">
      <c r="A895" s="37" t="n"/>
      <c r="B895" s="37" t="n"/>
      <c r="C895" s="37" t="n"/>
      <c r="D895" s="37" t="n"/>
      <c r="E895" s="37" t="n"/>
      <c r="F895" s="37" t="n"/>
      <c r="G895" s="37" t="n"/>
      <c r="H895" s="37" t="n"/>
      <c r="I895" s="38">
        <f>IF($A895="","",IFERROR($B895-$C895-$D895-$E895,0))</f>
        <v/>
      </c>
    </row>
    <row r="896">
      <c r="A896" s="37" t="n"/>
      <c r="B896" s="37" t="n"/>
      <c r="C896" s="37" t="n"/>
      <c r="D896" s="37" t="n"/>
      <c r="E896" s="37" t="n"/>
      <c r="F896" s="37" t="n"/>
      <c r="G896" s="37" t="n"/>
      <c r="H896" s="37" t="n"/>
      <c r="I896" s="38">
        <f>IF($A896="","",IFERROR($B896-$C896-$D896-$E896,0))</f>
        <v/>
      </c>
    </row>
    <row r="897">
      <c r="A897" s="37" t="n"/>
      <c r="B897" s="37" t="n"/>
      <c r="C897" s="37" t="n"/>
      <c r="D897" s="37" t="n"/>
      <c r="E897" s="37" t="n"/>
      <c r="F897" s="37" t="n"/>
      <c r="G897" s="37" t="n"/>
      <c r="H897" s="37" t="n"/>
      <c r="I897" s="38">
        <f>IF($A897="","",IFERROR($B897-$C897-$D897-$E897,0))</f>
        <v/>
      </c>
    </row>
    <row r="898">
      <c r="A898" s="37" t="n"/>
      <c r="B898" s="37" t="n"/>
      <c r="C898" s="37" t="n"/>
      <c r="D898" s="37" t="n"/>
      <c r="E898" s="37" t="n"/>
      <c r="F898" s="37" t="n"/>
      <c r="G898" s="37" t="n"/>
      <c r="H898" s="37" t="n"/>
      <c r="I898" s="38">
        <f>IF($A898="","",IFERROR($B898-$C898-$D898-$E898,0))</f>
        <v/>
      </c>
    </row>
    <row r="899">
      <c r="A899" s="37" t="n"/>
      <c r="B899" s="37" t="n"/>
      <c r="C899" s="37" t="n"/>
      <c r="D899" s="37" t="n"/>
      <c r="E899" s="37" t="n"/>
      <c r="F899" s="37" t="n"/>
      <c r="G899" s="37" t="n"/>
      <c r="H899" s="37" t="n"/>
      <c r="I899" s="38">
        <f>IF($A899="","",IFERROR($B899-$C899-$D899-$E899,0))</f>
        <v/>
      </c>
    </row>
    <row r="900">
      <c r="A900" s="37" t="n"/>
      <c r="B900" s="37" t="n"/>
      <c r="C900" s="37" t="n"/>
      <c r="D900" s="37" t="n"/>
      <c r="E900" s="37" t="n"/>
      <c r="F900" s="37" t="n"/>
      <c r="G900" s="37" t="n"/>
      <c r="H900" s="37" t="n"/>
      <c r="I900" s="38">
        <f>IF($A900="","",IFERROR($B900-$C900-$D900-$E900,0))</f>
        <v/>
      </c>
    </row>
    <row r="901">
      <c r="A901" s="37" t="n"/>
      <c r="B901" s="37" t="n"/>
      <c r="C901" s="37" t="n"/>
      <c r="D901" s="37" t="n"/>
      <c r="E901" s="37" t="n"/>
      <c r="F901" s="37" t="n"/>
      <c r="G901" s="37" t="n"/>
      <c r="H901" s="37" t="n"/>
      <c r="I901" s="38">
        <f>IF($A901="","",IFERROR($B901-$C901-$D901-$E901,0))</f>
        <v/>
      </c>
    </row>
    <row r="902">
      <c r="A902" s="37" t="n"/>
      <c r="B902" s="37" t="n"/>
      <c r="C902" s="37" t="n"/>
      <c r="D902" s="37" t="n"/>
      <c r="E902" s="37" t="n"/>
      <c r="F902" s="37" t="n"/>
      <c r="G902" s="37" t="n"/>
      <c r="H902" s="37" t="n"/>
      <c r="I902" s="38">
        <f>IF($A902="","",IFERROR($B902-$C902-$D902-$E902,0))</f>
        <v/>
      </c>
    </row>
    <row r="903">
      <c r="A903" s="37" t="n"/>
      <c r="B903" s="37" t="n"/>
      <c r="C903" s="37" t="n"/>
      <c r="D903" s="37" t="n"/>
      <c r="E903" s="37" t="n"/>
      <c r="F903" s="37" t="n"/>
      <c r="G903" s="37" t="n"/>
      <c r="H903" s="37" t="n"/>
      <c r="I903" s="38">
        <f>IF($A903="","",IFERROR($B903-$C903-$D903-$E903,0))</f>
        <v/>
      </c>
    </row>
    <row r="904">
      <c r="A904" s="37" t="n"/>
      <c r="B904" s="37" t="n"/>
      <c r="C904" s="37" t="n"/>
      <c r="D904" s="37" t="n"/>
      <c r="E904" s="37" t="n"/>
      <c r="F904" s="37" t="n"/>
      <c r="G904" s="37" t="n"/>
      <c r="H904" s="37" t="n"/>
      <c r="I904" s="38">
        <f>IF($A904="","",IFERROR($B904-$C904-$D904-$E904,0))</f>
        <v/>
      </c>
    </row>
    <row r="905">
      <c r="A905" s="37" t="n"/>
      <c r="B905" s="37" t="n"/>
      <c r="C905" s="37" t="n"/>
      <c r="D905" s="37" t="n"/>
      <c r="E905" s="37" t="n"/>
      <c r="F905" s="37" t="n"/>
      <c r="G905" s="37" t="n"/>
      <c r="H905" s="37" t="n"/>
      <c r="I905" s="38">
        <f>IF($A905="","",IFERROR($B905-$C905-$D905-$E905,0))</f>
        <v/>
      </c>
    </row>
    <row r="906">
      <c r="A906" s="37" t="n"/>
      <c r="B906" s="37" t="n"/>
      <c r="C906" s="37" t="n"/>
      <c r="D906" s="37" t="n"/>
      <c r="E906" s="37" t="n"/>
      <c r="F906" s="37" t="n"/>
      <c r="G906" s="37" t="n"/>
      <c r="H906" s="37" t="n"/>
      <c r="I906" s="38">
        <f>IF($A906="","",IFERROR($B906-$C906-$D906-$E906,0))</f>
        <v/>
      </c>
    </row>
    <row r="907">
      <c r="A907" s="37" t="n"/>
      <c r="B907" s="37" t="n"/>
      <c r="C907" s="37" t="n"/>
      <c r="D907" s="37" t="n"/>
      <c r="E907" s="37" t="n"/>
      <c r="F907" s="37" t="n"/>
      <c r="G907" s="37" t="n"/>
      <c r="H907" s="37" t="n"/>
      <c r="I907" s="38">
        <f>IF($A907="","",IFERROR($B907-$C907-$D907-$E907,0))</f>
        <v/>
      </c>
    </row>
    <row r="908">
      <c r="A908" s="37" t="n"/>
      <c r="B908" s="37" t="n"/>
      <c r="C908" s="37" t="n"/>
      <c r="D908" s="37" t="n"/>
      <c r="E908" s="37" t="n"/>
      <c r="F908" s="37" t="n"/>
      <c r="G908" s="37" t="n"/>
      <c r="H908" s="37" t="n"/>
      <c r="I908" s="38">
        <f>IF($A908="","",IFERROR($B908-$C908-$D908-$E908,0))</f>
        <v/>
      </c>
    </row>
    <row r="909">
      <c r="A909" s="37" t="n"/>
      <c r="B909" s="37" t="n"/>
      <c r="C909" s="37" t="n"/>
      <c r="D909" s="37" t="n"/>
      <c r="E909" s="37" t="n"/>
      <c r="F909" s="37" t="n"/>
      <c r="G909" s="37" t="n"/>
      <c r="H909" s="37" t="n"/>
      <c r="I909" s="38">
        <f>IF($A909="","",IFERROR($B909-$C909-$D909-$E909,0))</f>
        <v/>
      </c>
    </row>
    <row r="910">
      <c r="A910" s="37" t="n"/>
      <c r="B910" s="37" t="n"/>
      <c r="C910" s="37" t="n"/>
      <c r="D910" s="37" t="n"/>
      <c r="E910" s="37" t="n"/>
      <c r="F910" s="37" t="n"/>
      <c r="G910" s="37" t="n"/>
      <c r="H910" s="37" t="n"/>
      <c r="I910" s="38">
        <f>IF($A910="","",IFERROR($B910-$C910-$D910-$E910,0))</f>
        <v/>
      </c>
    </row>
    <row r="911">
      <c r="A911" s="37" t="n"/>
      <c r="B911" s="37" t="n"/>
      <c r="C911" s="37" t="n"/>
      <c r="D911" s="37" t="n"/>
      <c r="E911" s="37" t="n"/>
      <c r="F911" s="37" t="n"/>
      <c r="G911" s="37" t="n"/>
      <c r="H911" s="37" t="n"/>
      <c r="I911" s="38">
        <f>IF($A911="","",IFERROR($B911-$C911-$D911-$E911,0))</f>
        <v/>
      </c>
    </row>
    <row r="912">
      <c r="A912" s="37" t="n"/>
      <c r="B912" s="37" t="n"/>
      <c r="C912" s="37" t="n"/>
      <c r="D912" s="37" t="n"/>
      <c r="E912" s="37" t="n"/>
      <c r="F912" s="37" t="n"/>
      <c r="G912" s="37" t="n"/>
      <c r="H912" s="37" t="n"/>
      <c r="I912" s="38">
        <f>IF($A912="","",IFERROR($B912-$C912-$D912-$E912,0))</f>
        <v/>
      </c>
    </row>
    <row r="913">
      <c r="A913" s="37" t="n"/>
      <c r="B913" s="37" t="n"/>
      <c r="C913" s="37" t="n"/>
      <c r="D913" s="37" t="n"/>
      <c r="E913" s="37" t="n"/>
      <c r="F913" s="37" t="n"/>
      <c r="G913" s="37" t="n"/>
      <c r="H913" s="37" t="n"/>
      <c r="I913" s="38">
        <f>IF($A913="","",IFERROR($B913-$C913-$D913-$E913,0))</f>
        <v/>
      </c>
    </row>
    <row r="914">
      <c r="A914" s="37" t="n"/>
      <c r="B914" s="37" t="n"/>
      <c r="C914" s="37" t="n"/>
      <c r="D914" s="37" t="n"/>
      <c r="E914" s="37" t="n"/>
      <c r="F914" s="37" t="n"/>
      <c r="G914" s="37" t="n"/>
      <c r="H914" s="37" t="n"/>
      <c r="I914" s="38">
        <f>IF($A914="","",IFERROR($B914-$C914-$D914-$E914,0))</f>
        <v/>
      </c>
    </row>
    <row r="915">
      <c r="A915" s="37" t="n"/>
      <c r="B915" s="37" t="n"/>
      <c r="C915" s="37" t="n"/>
      <c r="D915" s="37" t="n"/>
      <c r="E915" s="37" t="n"/>
      <c r="F915" s="37" t="n"/>
      <c r="G915" s="37" t="n"/>
      <c r="H915" s="37" t="n"/>
      <c r="I915" s="38">
        <f>IF($A915="","",IFERROR($B915-$C915-$D915-$E915,0))</f>
        <v/>
      </c>
    </row>
    <row r="916">
      <c r="A916" s="37" t="n"/>
      <c r="B916" s="37" t="n"/>
      <c r="C916" s="37" t="n"/>
      <c r="D916" s="37" t="n"/>
      <c r="E916" s="37" t="n"/>
      <c r="F916" s="37" t="n"/>
      <c r="G916" s="37" t="n"/>
      <c r="H916" s="37" t="n"/>
      <c r="I916" s="38">
        <f>IF($A916="","",IFERROR($B916-$C916-$D916-$E916,0))</f>
        <v/>
      </c>
    </row>
    <row r="917">
      <c r="A917" s="37" t="n"/>
      <c r="B917" s="37" t="n"/>
      <c r="C917" s="37" t="n"/>
      <c r="D917" s="37" t="n"/>
      <c r="E917" s="37" t="n"/>
      <c r="F917" s="37" t="n"/>
      <c r="G917" s="37" t="n"/>
      <c r="H917" s="37" t="n"/>
      <c r="I917" s="38">
        <f>IF($A917="","",IFERROR($B917-$C917-$D917-$E917,0))</f>
        <v/>
      </c>
    </row>
    <row r="918">
      <c r="A918" s="37" t="n"/>
      <c r="B918" s="37" t="n"/>
      <c r="C918" s="37" t="n"/>
      <c r="D918" s="37" t="n"/>
      <c r="E918" s="37" t="n"/>
      <c r="F918" s="37" t="n"/>
      <c r="G918" s="37" t="n"/>
      <c r="H918" s="37" t="n"/>
      <c r="I918" s="38">
        <f>IF($A918="","",IFERROR($B918-$C918-$D918-$E918,0))</f>
        <v/>
      </c>
    </row>
    <row r="919">
      <c r="A919" s="37" t="n"/>
      <c r="B919" s="37" t="n"/>
      <c r="C919" s="37" t="n"/>
      <c r="D919" s="37" t="n"/>
      <c r="E919" s="37" t="n"/>
      <c r="F919" s="37" t="n"/>
      <c r="G919" s="37" t="n"/>
      <c r="H919" s="37" t="n"/>
      <c r="I919" s="38">
        <f>IF($A919="","",IFERROR($B919-$C919-$D919-$E919,0))</f>
        <v/>
      </c>
    </row>
    <row r="920">
      <c r="A920" s="37" t="n"/>
      <c r="B920" s="37" t="n"/>
      <c r="C920" s="37" t="n"/>
      <c r="D920" s="37" t="n"/>
      <c r="E920" s="37" t="n"/>
      <c r="F920" s="37" t="n"/>
      <c r="G920" s="37" t="n"/>
      <c r="H920" s="37" t="n"/>
      <c r="I920" s="38">
        <f>IF($A920="","",IFERROR($B920-$C920-$D920-$E920,0))</f>
        <v/>
      </c>
    </row>
    <row r="921">
      <c r="A921" s="37" t="n"/>
      <c r="B921" s="37" t="n"/>
      <c r="C921" s="37" t="n"/>
      <c r="D921" s="37" t="n"/>
      <c r="E921" s="37" t="n"/>
      <c r="F921" s="37" t="n"/>
      <c r="G921" s="37" t="n"/>
      <c r="H921" s="37" t="n"/>
      <c r="I921" s="38">
        <f>IF($A921="","",IFERROR($B921-$C921-$D921-$E921,0))</f>
        <v/>
      </c>
    </row>
    <row r="922">
      <c r="A922" s="37" t="n"/>
      <c r="B922" s="37" t="n"/>
      <c r="C922" s="37" t="n"/>
      <c r="D922" s="37" t="n"/>
      <c r="E922" s="37" t="n"/>
      <c r="F922" s="37" t="n"/>
      <c r="G922" s="37" t="n"/>
      <c r="H922" s="37" t="n"/>
      <c r="I922" s="38">
        <f>IF($A922="","",IFERROR($B922-$C922-$D922-$E922,0))</f>
        <v/>
      </c>
    </row>
    <row r="923">
      <c r="A923" s="37" t="n"/>
      <c r="B923" s="37" t="n"/>
      <c r="C923" s="37" t="n"/>
      <c r="D923" s="37" t="n"/>
      <c r="E923" s="37" t="n"/>
      <c r="F923" s="37" t="n"/>
      <c r="G923" s="37" t="n"/>
      <c r="H923" s="37" t="n"/>
      <c r="I923" s="38">
        <f>IF($A923="","",IFERROR($B923-$C923-$D923-$E923,0))</f>
        <v/>
      </c>
    </row>
    <row r="924">
      <c r="A924" s="37" t="n"/>
      <c r="B924" s="37" t="n"/>
      <c r="C924" s="37" t="n"/>
      <c r="D924" s="37" t="n"/>
      <c r="E924" s="37" t="n"/>
      <c r="F924" s="37" t="n"/>
      <c r="G924" s="37" t="n"/>
      <c r="H924" s="37" t="n"/>
      <c r="I924" s="38">
        <f>IF($A924="","",IFERROR($B924-$C924-$D924-$E924,0))</f>
        <v/>
      </c>
    </row>
    <row r="925">
      <c r="A925" s="37" t="n"/>
      <c r="B925" s="37" t="n"/>
      <c r="C925" s="37" t="n"/>
      <c r="D925" s="37" t="n"/>
      <c r="E925" s="37" t="n"/>
      <c r="F925" s="37" t="n"/>
      <c r="G925" s="37" t="n"/>
      <c r="H925" s="37" t="n"/>
      <c r="I925" s="38">
        <f>IF($A925="","",IFERROR($B925-$C925-$D925-$E925,0))</f>
        <v/>
      </c>
    </row>
    <row r="926">
      <c r="A926" s="37" t="n"/>
      <c r="B926" s="37" t="n"/>
      <c r="C926" s="37" t="n"/>
      <c r="D926" s="37" t="n"/>
      <c r="E926" s="37" t="n"/>
      <c r="F926" s="37" t="n"/>
      <c r="G926" s="37" t="n"/>
      <c r="H926" s="37" t="n"/>
      <c r="I926" s="38">
        <f>IF($A926="","",IFERROR($B926-$C926-$D926-$E926,0))</f>
        <v/>
      </c>
    </row>
    <row r="927">
      <c r="A927" s="37" t="n"/>
      <c r="B927" s="37" t="n"/>
      <c r="C927" s="37" t="n"/>
      <c r="D927" s="37" t="n"/>
      <c r="E927" s="37" t="n"/>
      <c r="F927" s="37" t="n"/>
      <c r="G927" s="37" t="n"/>
      <c r="H927" s="37" t="n"/>
      <c r="I927" s="38">
        <f>IF($A927="","",IFERROR($B927-$C927-$D927-$E927,0))</f>
        <v/>
      </c>
    </row>
    <row r="928">
      <c r="A928" s="37" t="n"/>
      <c r="B928" s="37" t="n"/>
      <c r="C928" s="37" t="n"/>
      <c r="D928" s="37" t="n"/>
      <c r="E928" s="37" t="n"/>
      <c r="F928" s="37" t="n"/>
      <c r="G928" s="37" t="n"/>
      <c r="H928" s="37" t="n"/>
      <c r="I928" s="38">
        <f>IF($A928="","",IFERROR($B928-$C928-$D928-$E928,0))</f>
        <v/>
      </c>
    </row>
    <row r="929">
      <c r="A929" s="37" t="n"/>
      <c r="B929" s="37" t="n"/>
      <c r="C929" s="37" t="n"/>
      <c r="D929" s="37" t="n"/>
      <c r="E929" s="37" t="n"/>
      <c r="F929" s="37" t="n"/>
      <c r="G929" s="37" t="n"/>
      <c r="H929" s="37" t="n"/>
      <c r="I929" s="38">
        <f>IF($A929="","",IFERROR($B929-$C929-$D929-$E929,0))</f>
        <v/>
      </c>
    </row>
    <row r="930">
      <c r="A930" s="37" t="n"/>
      <c r="B930" s="37" t="n"/>
      <c r="C930" s="37" t="n"/>
      <c r="D930" s="37" t="n"/>
      <c r="E930" s="37" t="n"/>
      <c r="F930" s="37" t="n"/>
      <c r="G930" s="37" t="n"/>
      <c r="H930" s="37" t="n"/>
      <c r="I930" s="38">
        <f>IF($A930="","",IFERROR($B930-$C930-$D930-$E930,0))</f>
        <v/>
      </c>
    </row>
    <row r="931">
      <c r="A931" s="37" t="n"/>
      <c r="B931" s="37" t="n"/>
      <c r="C931" s="37" t="n"/>
      <c r="D931" s="37" t="n"/>
      <c r="E931" s="37" t="n"/>
      <c r="F931" s="37" t="n"/>
      <c r="G931" s="37" t="n"/>
      <c r="H931" s="37" t="n"/>
      <c r="I931" s="38">
        <f>IF($A931="","",IFERROR($B931-$C931-$D931-$E931,0))</f>
        <v/>
      </c>
    </row>
    <row r="932">
      <c r="A932" s="37" t="n"/>
      <c r="B932" s="37" t="n"/>
      <c r="C932" s="37" t="n"/>
      <c r="D932" s="37" t="n"/>
      <c r="E932" s="37" t="n"/>
      <c r="F932" s="37" t="n"/>
      <c r="G932" s="37" t="n"/>
      <c r="H932" s="37" t="n"/>
      <c r="I932" s="38">
        <f>IF($A932="","",IFERROR($B932-$C932-$D932-$E932,0))</f>
        <v/>
      </c>
    </row>
    <row r="933">
      <c r="A933" s="37" t="n"/>
      <c r="B933" s="37" t="n"/>
      <c r="C933" s="37" t="n"/>
      <c r="D933" s="37" t="n"/>
      <c r="E933" s="37" t="n"/>
      <c r="F933" s="37" t="n"/>
      <c r="G933" s="37" t="n"/>
      <c r="H933" s="37" t="n"/>
      <c r="I933" s="38">
        <f>IF($A933="","",IFERROR($B933-$C933-$D933-$E933,0))</f>
        <v/>
      </c>
    </row>
    <row r="934">
      <c r="A934" s="37" t="n"/>
      <c r="B934" s="37" t="n"/>
      <c r="C934" s="37" t="n"/>
      <c r="D934" s="37" t="n"/>
      <c r="E934" s="37" t="n"/>
      <c r="F934" s="37" t="n"/>
      <c r="G934" s="37" t="n"/>
      <c r="H934" s="37" t="n"/>
      <c r="I934" s="38">
        <f>IF($A934="","",IFERROR($B934-$C934-$D934-$E934,0))</f>
        <v/>
      </c>
    </row>
    <row r="935">
      <c r="A935" s="37" t="n"/>
      <c r="B935" s="37" t="n"/>
      <c r="C935" s="37" t="n"/>
      <c r="D935" s="37" t="n"/>
      <c r="E935" s="37" t="n"/>
      <c r="F935" s="37" t="n"/>
      <c r="G935" s="37" t="n"/>
      <c r="H935" s="37" t="n"/>
      <c r="I935" s="38">
        <f>IF($A935="","",IFERROR($B935-$C935-$D935-$E935,0))</f>
        <v/>
      </c>
    </row>
    <row r="936">
      <c r="A936" s="37" t="n"/>
      <c r="B936" s="37" t="n"/>
      <c r="C936" s="37" t="n"/>
      <c r="D936" s="37" t="n"/>
      <c r="E936" s="37" t="n"/>
      <c r="F936" s="37" t="n"/>
      <c r="G936" s="37" t="n"/>
      <c r="H936" s="37" t="n"/>
      <c r="I936" s="38">
        <f>IF($A936="","",IFERROR($B936-$C936-$D936-$E936,0))</f>
        <v/>
      </c>
    </row>
    <row r="937">
      <c r="A937" s="37" t="n"/>
      <c r="B937" s="37" t="n"/>
      <c r="C937" s="37" t="n"/>
      <c r="D937" s="37" t="n"/>
      <c r="E937" s="37" t="n"/>
      <c r="F937" s="37" t="n"/>
      <c r="G937" s="37" t="n"/>
      <c r="H937" s="37" t="n"/>
      <c r="I937" s="38">
        <f>IF($A937="","",IFERROR($B937-$C937-$D937-$E937,0))</f>
        <v/>
      </c>
    </row>
    <row r="938">
      <c r="A938" s="37" t="n"/>
      <c r="B938" s="37" t="n"/>
      <c r="C938" s="37" t="n"/>
      <c r="D938" s="37" t="n"/>
      <c r="E938" s="37" t="n"/>
      <c r="F938" s="37" t="n"/>
      <c r="G938" s="37" t="n"/>
      <c r="H938" s="37" t="n"/>
      <c r="I938" s="38">
        <f>IF($A938="","",IFERROR($B938-$C938-$D938-$E938,0))</f>
        <v/>
      </c>
    </row>
    <row r="939">
      <c r="A939" s="37" t="n"/>
      <c r="B939" s="37" t="n"/>
      <c r="C939" s="37" t="n"/>
      <c r="D939" s="37" t="n"/>
      <c r="E939" s="37" t="n"/>
      <c r="F939" s="37" t="n"/>
      <c r="G939" s="37" t="n"/>
      <c r="H939" s="37" t="n"/>
      <c r="I939" s="38">
        <f>IF($A939="","",IFERROR($B939-$C939-$D939-$E939,0))</f>
        <v/>
      </c>
    </row>
    <row r="940">
      <c r="A940" s="37" t="n"/>
      <c r="B940" s="37" t="n"/>
      <c r="C940" s="37" t="n"/>
      <c r="D940" s="37" t="n"/>
      <c r="E940" s="37" t="n"/>
      <c r="F940" s="37" t="n"/>
      <c r="G940" s="37" t="n"/>
      <c r="H940" s="37" t="n"/>
      <c r="I940" s="38">
        <f>IF($A940="","",IFERROR($B940-$C940-$D940-$E940,0))</f>
        <v/>
      </c>
    </row>
    <row r="941">
      <c r="A941" s="37" t="n"/>
      <c r="B941" s="37" t="n"/>
      <c r="C941" s="37" t="n"/>
      <c r="D941" s="37" t="n"/>
      <c r="E941" s="37" t="n"/>
      <c r="F941" s="37" t="n"/>
      <c r="G941" s="37" t="n"/>
      <c r="H941" s="37" t="n"/>
      <c r="I941" s="38">
        <f>IF($A941="","",IFERROR($B941-$C941-$D941-$E941,0))</f>
        <v/>
      </c>
    </row>
    <row r="942">
      <c r="A942" s="37" t="n"/>
      <c r="B942" s="37" t="n"/>
      <c r="C942" s="37" t="n"/>
      <c r="D942" s="37" t="n"/>
      <c r="E942" s="37" t="n"/>
      <c r="F942" s="37" t="n"/>
      <c r="G942" s="37" t="n"/>
      <c r="H942" s="37" t="n"/>
      <c r="I942" s="38">
        <f>IF($A942="","",IFERROR($B942-$C942-$D942-$E942,0))</f>
        <v/>
      </c>
    </row>
    <row r="943">
      <c r="A943" s="37" t="n"/>
      <c r="B943" s="37" t="n"/>
      <c r="C943" s="37" t="n"/>
      <c r="D943" s="37" t="n"/>
      <c r="E943" s="37" t="n"/>
      <c r="F943" s="37" t="n"/>
      <c r="G943" s="37" t="n"/>
      <c r="H943" s="37" t="n"/>
      <c r="I943" s="38">
        <f>IF($A943="","",IFERROR($B943-$C943-$D943-$E943,0))</f>
        <v/>
      </c>
    </row>
    <row r="944">
      <c r="A944" s="37" t="n"/>
      <c r="B944" s="37" t="n"/>
      <c r="C944" s="37" t="n"/>
      <c r="D944" s="37" t="n"/>
      <c r="E944" s="37" t="n"/>
      <c r="F944" s="37" t="n"/>
      <c r="G944" s="37" t="n"/>
      <c r="H944" s="37" t="n"/>
      <c r="I944" s="38">
        <f>IF($A944="","",IFERROR($B944-$C944-$D944-$E944,0))</f>
        <v/>
      </c>
    </row>
    <row r="945">
      <c r="A945" s="37" t="n"/>
      <c r="B945" s="37" t="n"/>
      <c r="C945" s="37" t="n"/>
      <c r="D945" s="37" t="n"/>
      <c r="E945" s="37" t="n"/>
      <c r="F945" s="37" t="n"/>
      <c r="G945" s="37" t="n"/>
      <c r="H945" s="37" t="n"/>
      <c r="I945" s="38">
        <f>IF($A945="","",IFERROR($B945-$C945-$D945-$E945,0))</f>
        <v/>
      </c>
    </row>
    <row r="946">
      <c r="A946" s="37" t="n"/>
      <c r="B946" s="37" t="n"/>
      <c r="C946" s="37" t="n"/>
      <c r="D946" s="37" t="n"/>
      <c r="E946" s="37" t="n"/>
      <c r="F946" s="37" t="n"/>
      <c r="G946" s="37" t="n"/>
      <c r="H946" s="37" t="n"/>
      <c r="I946" s="38">
        <f>IF($A946="","",IFERROR($B946-$C946-$D946-$E946,0))</f>
        <v/>
      </c>
    </row>
    <row r="947">
      <c r="A947" s="37" t="n"/>
      <c r="B947" s="37" t="n"/>
      <c r="C947" s="37" t="n"/>
      <c r="D947" s="37" t="n"/>
      <c r="E947" s="37" t="n"/>
      <c r="F947" s="37" t="n"/>
      <c r="G947" s="37" t="n"/>
      <c r="H947" s="37" t="n"/>
      <c r="I947" s="38">
        <f>IF($A947="","",IFERROR($B947-$C947-$D947-$E947,0))</f>
        <v/>
      </c>
    </row>
    <row r="948">
      <c r="A948" s="37" t="n"/>
      <c r="B948" s="37" t="n"/>
      <c r="C948" s="37" t="n"/>
      <c r="D948" s="37" t="n"/>
      <c r="E948" s="37" t="n"/>
      <c r="F948" s="37" t="n"/>
      <c r="G948" s="37" t="n"/>
      <c r="H948" s="37" t="n"/>
      <c r="I948" s="38">
        <f>IF($A948="","",IFERROR($B948-$C948-$D948-$E948,0))</f>
        <v/>
      </c>
    </row>
    <row r="949">
      <c r="A949" s="37" t="n"/>
      <c r="B949" s="37" t="n"/>
      <c r="C949" s="37" t="n"/>
      <c r="D949" s="37" t="n"/>
      <c r="E949" s="37" t="n"/>
      <c r="F949" s="37" t="n"/>
      <c r="G949" s="37" t="n"/>
      <c r="H949" s="37" t="n"/>
      <c r="I949" s="38">
        <f>IF($A949="","",IFERROR($B949-$C949-$D949-$E949,0))</f>
        <v/>
      </c>
    </row>
    <row r="950">
      <c r="A950" s="37" t="n"/>
      <c r="B950" s="37" t="n"/>
      <c r="C950" s="37" t="n"/>
      <c r="D950" s="37" t="n"/>
      <c r="E950" s="37" t="n"/>
      <c r="F950" s="37" t="n"/>
      <c r="G950" s="37" t="n"/>
      <c r="H950" s="37" t="n"/>
      <c r="I950" s="38">
        <f>IF($A950="","",IFERROR($B950-$C950-$D950-$E950,0))</f>
        <v/>
      </c>
    </row>
    <row r="951">
      <c r="A951" s="37" t="n"/>
      <c r="B951" s="37" t="n"/>
      <c r="C951" s="37" t="n"/>
      <c r="D951" s="37" t="n"/>
      <c r="E951" s="37" t="n"/>
      <c r="F951" s="37" t="n"/>
      <c r="G951" s="37" t="n"/>
      <c r="H951" s="37" t="n"/>
      <c r="I951" s="38">
        <f>IF($A951="","",IFERROR($B951-$C951-$D951-$E951,0))</f>
        <v/>
      </c>
    </row>
    <row r="952">
      <c r="A952" s="37" t="n"/>
      <c r="B952" s="37" t="n"/>
      <c r="C952" s="37" t="n"/>
      <c r="D952" s="37" t="n"/>
      <c r="E952" s="37" t="n"/>
      <c r="F952" s="37" t="n"/>
      <c r="G952" s="37" t="n"/>
      <c r="H952" s="37" t="n"/>
      <c r="I952" s="38">
        <f>IF($A952="","",IFERROR($B952-$C952-$D952-$E952,0))</f>
        <v/>
      </c>
    </row>
    <row r="953">
      <c r="A953" s="37" t="n"/>
      <c r="B953" s="37" t="n"/>
      <c r="C953" s="37" t="n"/>
      <c r="D953" s="37" t="n"/>
      <c r="E953" s="37" t="n"/>
      <c r="F953" s="37" t="n"/>
      <c r="G953" s="37" t="n"/>
      <c r="H953" s="37" t="n"/>
      <c r="I953" s="38">
        <f>IF($A953="","",IFERROR($B953-$C953-$D953-$E953,0))</f>
        <v/>
      </c>
    </row>
    <row r="954">
      <c r="A954" s="37" t="n"/>
      <c r="B954" s="37" t="n"/>
      <c r="C954" s="37" t="n"/>
      <c r="D954" s="37" t="n"/>
      <c r="E954" s="37" t="n"/>
      <c r="F954" s="37" t="n"/>
      <c r="G954" s="37" t="n"/>
      <c r="H954" s="37" t="n"/>
      <c r="I954" s="38">
        <f>IF($A954="","",IFERROR($B954-$C954-$D954-$E954,0))</f>
        <v/>
      </c>
    </row>
    <row r="955">
      <c r="A955" s="37" t="n"/>
      <c r="B955" s="37" t="n"/>
      <c r="C955" s="37" t="n"/>
      <c r="D955" s="37" t="n"/>
      <c r="E955" s="37" t="n"/>
      <c r="F955" s="37" t="n"/>
      <c r="G955" s="37" t="n"/>
      <c r="H955" s="37" t="n"/>
      <c r="I955" s="38">
        <f>IF($A955="","",IFERROR($B955-$C955-$D955-$E955,0))</f>
        <v/>
      </c>
    </row>
    <row r="956">
      <c r="A956" s="37" t="n"/>
      <c r="B956" s="37" t="n"/>
      <c r="C956" s="37" t="n"/>
      <c r="D956" s="37" t="n"/>
      <c r="E956" s="37" t="n"/>
      <c r="F956" s="37" t="n"/>
      <c r="G956" s="37" t="n"/>
      <c r="H956" s="37" t="n"/>
      <c r="I956" s="38">
        <f>IF($A956="","",IFERROR($B956-$C956-$D956-$E956,0))</f>
        <v/>
      </c>
    </row>
    <row r="957">
      <c r="A957" s="37" t="n"/>
      <c r="B957" s="37" t="n"/>
      <c r="C957" s="37" t="n"/>
      <c r="D957" s="37" t="n"/>
      <c r="E957" s="37" t="n"/>
      <c r="F957" s="37" t="n"/>
      <c r="G957" s="37" t="n"/>
      <c r="H957" s="37" t="n"/>
      <c r="I957" s="38">
        <f>IF($A957="","",IFERROR($B957-$C957-$D957-$E957,0))</f>
        <v/>
      </c>
    </row>
    <row r="958">
      <c r="A958" s="37" t="n"/>
      <c r="B958" s="37" t="n"/>
      <c r="C958" s="37" t="n"/>
      <c r="D958" s="37" t="n"/>
      <c r="E958" s="37" t="n"/>
      <c r="F958" s="37" t="n"/>
      <c r="G958" s="37" t="n"/>
      <c r="H958" s="37" t="n"/>
      <c r="I958" s="38">
        <f>IF($A958="","",IFERROR($B958-$C958-$D958-$E958,0))</f>
        <v/>
      </c>
    </row>
    <row r="959">
      <c r="A959" s="37" t="n"/>
      <c r="B959" s="37" t="n"/>
      <c r="C959" s="37" t="n"/>
      <c r="D959" s="37" t="n"/>
      <c r="E959" s="37" t="n"/>
      <c r="F959" s="37" t="n"/>
      <c r="G959" s="37" t="n"/>
      <c r="H959" s="37" t="n"/>
      <c r="I959" s="38">
        <f>IF($A959="","",IFERROR($B959-$C959-$D959-$E959,0))</f>
        <v/>
      </c>
    </row>
    <row r="960">
      <c r="A960" s="37" t="n"/>
      <c r="B960" s="37" t="n"/>
      <c r="C960" s="37" t="n"/>
      <c r="D960" s="37" t="n"/>
      <c r="E960" s="37" t="n"/>
      <c r="F960" s="37" t="n"/>
      <c r="G960" s="37" t="n"/>
      <c r="H960" s="37" t="n"/>
      <c r="I960" s="38">
        <f>IF($A960="","",IFERROR($B960-$C960-$D960-$E960,0))</f>
        <v/>
      </c>
    </row>
    <row r="961">
      <c r="A961" s="37" t="n"/>
      <c r="B961" s="37" t="n"/>
      <c r="C961" s="37" t="n"/>
      <c r="D961" s="37" t="n"/>
      <c r="E961" s="37" t="n"/>
      <c r="F961" s="37" t="n"/>
      <c r="G961" s="37" t="n"/>
      <c r="H961" s="37" t="n"/>
      <c r="I961" s="38">
        <f>IF($A961="","",IFERROR($B961-$C961-$D961-$E961,0))</f>
        <v/>
      </c>
    </row>
    <row r="962">
      <c r="A962" s="37" t="n"/>
      <c r="B962" s="37" t="n"/>
      <c r="C962" s="37" t="n"/>
      <c r="D962" s="37" t="n"/>
      <c r="E962" s="37" t="n"/>
      <c r="F962" s="37" t="n"/>
      <c r="G962" s="37" t="n"/>
      <c r="H962" s="37" t="n"/>
      <c r="I962" s="38">
        <f>IF($A962="","",IFERROR($B962-$C962-$D962-$E962,0))</f>
        <v/>
      </c>
    </row>
    <row r="963">
      <c r="A963" s="37" t="n"/>
      <c r="B963" s="37" t="n"/>
      <c r="C963" s="37" t="n"/>
      <c r="D963" s="37" t="n"/>
      <c r="E963" s="37" t="n"/>
      <c r="F963" s="37" t="n"/>
      <c r="G963" s="37" t="n"/>
      <c r="H963" s="37" t="n"/>
      <c r="I963" s="38">
        <f>IF($A963="","",IFERROR($B963-$C963-$D963-$E963,0))</f>
        <v/>
      </c>
    </row>
    <row r="964">
      <c r="A964" s="37" t="n"/>
      <c r="B964" s="37" t="n"/>
      <c r="C964" s="37" t="n"/>
      <c r="D964" s="37" t="n"/>
      <c r="E964" s="37" t="n"/>
      <c r="F964" s="37" t="n"/>
      <c r="G964" s="37" t="n"/>
      <c r="H964" s="37" t="n"/>
      <c r="I964" s="38">
        <f>IF($A964="","",IFERROR($B964-$C964-$D964-$E964,0))</f>
        <v/>
      </c>
    </row>
    <row r="965">
      <c r="A965" s="37" t="n"/>
      <c r="B965" s="37" t="n"/>
      <c r="C965" s="37" t="n"/>
      <c r="D965" s="37" t="n"/>
      <c r="E965" s="37" t="n"/>
      <c r="F965" s="37" t="n"/>
      <c r="G965" s="37" t="n"/>
      <c r="H965" s="37" t="n"/>
      <c r="I965" s="38">
        <f>IF($A965="","",IFERROR($B965-$C965-$D965-$E965,0))</f>
        <v/>
      </c>
    </row>
    <row r="966">
      <c r="A966" s="37" t="n"/>
      <c r="B966" s="37" t="n"/>
      <c r="C966" s="37" t="n"/>
      <c r="D966" s="37" t="n"/>
      <c r="E966" s="37" t="n"/>
      <c r="F966" s="37" t="n"/>
      <c r="G966" s="37" t="n"/>
      <c r="H966" s="37" t="n"/>
      <c r="I966" s="38">
        <f>IF($A966="","",IFERROR($B966-$C966-$D966-$E966,0))</f>
        <v/>
      </c>
    </row>
    <row r="967">
      <c r="A967" s="37" t="n"/>
      <c r="B967" s="37" t="n"/>
      <c r="C967" s="37" t="n"/>
      <c r="D967" s="37" t="n"/>
      <c r="E967" s="37" t="n"/>
      <c r="F967" s="37" t="n"/>
      <c r="G967" s="37" t="n"/>
      <c r="H967" s="37" t="n"/>
      <c r="I967" s="38">
        <f>IF($A967="","",IFERROR($B967-$C967-$D967-$E967,0))</f>
        <v/>
      </c>
    </row>
    <row r="968">
      <c r="A968" s="37" t="n"/>
      <c r="B968" s="37" t="n"/>
      <c r="C968" s="37" t="n"/>
      <c r="D968" s="37" t="n"/>
      <c r="E968" s="37" t="n"/>
      <c r="F968" s="37" t="n"/>
      <c r="G968" s="37" t="n"/>
      <c r="H968" s="37" t="n"/>
      <c r="I968" s="38">
        <f>IF($A968="","",IFERROR($B968-$C968-$D968-$E968,0))</f>
        <v/>
      </c>
    </row>
    <row r="969">
      <c r="A969" s="37" t="n"/>
      <c r="B969" s="37" t="n"/>
      <c r="C969" s="37" t="n"/>
      <c r="D969" s="37" t="n"/>
      <c r="E969" s="37" t="n"/>
      <c r="F969" s="37" t="n"/>
      <c r="G969" s="37" t="n"/>
      <c r="H969" s="37" t="n"/>
      <c r="I969" s="38">
        <f>IF($A969="","",IFERROR($B969-$C969-$D969-$E969,0))</f>
        <v/>
      </c>
    </row>
    <row r="970">
      <c r="A970" s="37" t="n"/>
      <c r="B970" s="37" t="n"/>
      <c r="C970" s="37" t="n"/>
      <c r="D970" s="37" t="n"/>
      <c r="E970" s="37" t="n"/>
      <c r="F970" s="37" t="n"/>
      <c r="G970" s="37" t="n"/>
      <c r="H970" s="37" t="n"/>
      <c r="I970" s="38">
        <f>IF($A970="","",IFERROR($B970-$C970-$D970-$E970,0))</f>
        <v/>
      </c>
    </row>
    <row r="971">
      <c r="A971" s="37" t="n"/>
      <c r="B971" s="37" t="n"/>
      <c r="C971" s="37" t="n"/>
      <c r="D971" s="37" t="n"/>
      <c r="E971" s="37" t="n"/>
      <c r="F971" s="37" t="n"/>
      <c r="G971" s="37" t="n"/>
      <c r="H971" s="37" t="n"/>
      <c r="I971" s="38">
        <f>IF($A971="","",IFERROR($B971-$C971-$D971-$E971,0))</f>
        <v/>
      </c>
    </row>
    <row r="972">
      <c r="A972" s="37" t="n"/>
      <c r="B972" s="37" t="n"/>
      <c r="C972" s="37" t="n"/>
      <c r="D972" s="37" t="n"/>
      <c r="E972" s="37" t="n"/>
      <c r="F972" s="37" t="n"/>
      <c r="G972" s="37" t="n"/>
      <c r="H972" s="37" t="n"/>
      <c r="I972" s="38">
        <f>IF($A972="","",IFERROR($B972-$C972-$D972-$E972,0))</f>
        <v/>
      </c>
    </row>
    <row r="973">
      <c r="A973" s="37" t="n"/>
      <c r="B973" s="37" t="n"/>
      <c r="C973" s="37" t="n"/>
      <c r="D973" s="37" t="n"/>
      <c r="E973" s="37" t="n"/>
      <c r="F973" s="37" t="n"/>
      <c r="G973" s="37" t="n"/>
      <c r="H973" s="37" t="n"/>
      <c r="I973" s="38">
        <f>IF($A973="","",IFERROR($B973-$C973-$D973-$E973,0))</f>
        <v/>
      </c>
    </row>
    <row r="974">
      <c r="A974" s="37" t="n"/>
      <c r="B974" s="37" t="n"/>
      <c r="C974" s="37" t="n"/>
      <c r="D974" s="37" t="n"/>
      <c r="E974" s="37" t="n"/>
      <c r="F974" s="37" t="n"/>
      <c r="G974" s="37" t="n"/>
      <c r="H974" s="37" t="n"/>
      <c r="I974" s="38">
        <f>IF($A974="","",IFERROR($B974-$C974-$D974-$E974,0))</f>
        <v/>
      </c>
    </row>
    <row r="975">
      <c r="A975" s="37" t="n"/>
      <c r="B975" s="37" t="n"/>
      <c r="C975" s="37" t="n"/>
      <c r="D975" s="37" t="n"/>
      <c r="E975" s="37" t="n"/>
      <c r="F975" s="37" t="n"/>
      <c r="G975" s="37" t="n"/>
      <c r="H975" s="37" t="n"/>
      <c r="I975" s="38">
        <f>IF($A975="","",IFERROR($B975-$C975-$D975-$E975,0))</f>
        <v/>
      </c>
    </row>
    <row r="976">
      <c r="A976" s="37" t="n"/>
      <c r="B976" s="37" t="n"/>
      <c r="C976" s="37" t="n"/>
      <c r="D976" s="37" t="n"/>
      <c r="E976" s="37" t="n"/>
      <c r="F976" s="37" t="n"/>
      <c r="G976" s="37" t="n"/>
      <c r="H976" s="37" t="n"/>
      <c r="I976" s="38">
        <f>IF($A976="","",IFERROR($B976-$C976-$D976-$E976,0))</f>
        <v/>
      </c>
    </row>
    <row r="977">
      <c r="A977" s="37" t="n"/>
      <c r="B977" s="37" t="n"/>
      <c r="C977" s="37" t="n"/>
      <c r="D977" s="37" t="n"/>
      <c r="E977" s="37" t="n"/>
      <c r="F977" s="37" t="n"/>
      <c r="G977" s="37" t="n"/>
      <c r="H977" s="37" t="n"/>
      <c r="I977" s="38">
        <f>IF($A977="","",IFERROR($B977-$C977-$D977-$E977,0))</f>
        <v/>
      </c>
    </row>
    <row r="978">
      <c r="A978" s="37" t="n"/>
      <c r="B978" s="37" t="n"/>
      <c r="C978" s="37" t="n"/>
      <c r="D978" s="37" t="n"/>
      <c r="E978" s="37" t="n"/>
      <c r="F978" s="37" t="n"/>
      <c r="G978" s="37" t="n"/>
      <c r="H978" s="37" t="n"/>
      <c r="I978" s="38">
        <f>IF($A978="","",IFERROR($B978-$C978-$D978-$E978,0))</f>
        <v/>
      </c>
    </row>
    <row r="979">
      <c r="A979" s="37" t="n"/>
      <c r="B979" s="37" t="n"/>
      <c r="C979" s="37" t="n"/>
      <c r="D979" s="37" t="n"/>
      <c r="E979" s="37" t="n"/>
      <c r="F979" s="37" t="n"/>
      <c r="G979" s="37" t="n"/>
      <c r="H979" s="37" t="n"/>
      <c r="I979" s="38">
        <f>IF($A979="","",IFERROR($B979-$C979-$D979-$E979,0))</f>
        <v/>
      </c>
    </row>
    <row r="980">
      <c r="A980" s="37" t="n"/>
      <c r="B980" s="37" t="n"/>
      <c r="C980" s="37" t="n"/>
      <c r="D980" s="37" t="n"/>
      <c r="E980" s="37" t="n"/>
      <c r="F980" s="37" t="n"/>
      <c r="G980" s="37" t="n"/>
      <c r="H980" s="37" t="n"/>
      <c r="I980" s="38">
        <f>IF($A980="","",IFERROR($B980-$C980-$D980-$E980,0))</f>
        <v/>
      </c>
    </row>
    <row r="981">
      <c r="A981" s="37" t="n"/>
      <c r="B981" s="37" t="n"/>
      <c r="C981" s="37" t="n"/>
      <c r="D981" s="37" t="n"/>
      <c r="E981" s="37" t="n"/>
      <c r="F981" s="37" t="n"/>
      <c r="G981" s="37" t="n"/>
      <c r="H981" s="37" t="n"/>
      <c r="I981" s="38">
        <f>IF($A981="","",IFERROR($B981-$C981-$D981-$E981,0))</f>
        <v/>
      </c>
    </row>
    <row r="982">
      <c r="A982" s="37" t="n"/>
      <c r="B982" s="37" t="n"/>
      <c r="C982" s="37" t="n"/>
      <c r="D982" s="37" t="n"/>
      <c r="E982" s="37" t="n"/>
      <c r="F982" s="37" t="n"/>
      <c r="G982" s="37" t="n"/>
      <c r="H982" s="37" t="n"/>
      <c r="I982" s="38">
        <f>IF($A982="","",IFERROR($B982-$C982-$D982-$E982,0))</f>
        <v/>
      </c>
    </row>
    <row r="983">
      <c r="A983" s="37" t="n"/>
      <c r="B983" s="37" t="n"/>
      <c r="C983" s="37" t="n"/>
      <c r="D983" s="37" t="n"/>
      <c r="E983" s="37" t="n"/>
      <c r="F983" s="37" t="n"/>
      <c r="G983" s="37" t="n"/>
      <c r="H983" s="37" t="n"/>
      <c r="I983" s="38">
        <f>IF($A983="","",IFERROR($B983-$C983-$D983-$E983,0))</f>
        <v/>
      </c>
    </row>
    <row r="984">
      <c r="A984" s="37" t="n"/>
      <c r="B984" s="37" t="n"/>
      <c r="C984" s="37" t="n"/>
      <c r="D984" s="37" t="n"/>
      <c r="E984" s="37" t="n"/>
      <c r="F984" s="37" t="n"/>
      <c r="G984" s="37" t="n"/>
      <c r="H984" s="37" t="n"/>
      <c r="I984" s="38">
        <f>IF($A984="","",IFERROR($B984-$C984-$D984-$E984,0))</f>
        <v/>
      </c>
    </row>
    <row r="985">
      <c r="A985" s="37" t="n"/>
      <c r="B985" s="37" t="n"/>
      <c r="C985" s="37" t="n"/>
      <c r="D985" s="37" t="n"/>
      <c r="E985" s="37" t="n"/>
      <c r="F985" s="37" t="n"/>
      <c r="G985" s="37" t="n"/>
      <c r="H985" s="37" t="n"/>
      <c r="I985" s="38">
        <f>IF($A985="","",IFERROR($B985-$C985-$D985-$E985,0))</f>
        <v/>
      </c>
    </row>
    <row r="986">
      <c r="A986" s="37" t="n"/>
      <c r="B986" s="37" t="n"/>
      <c r="C986" s="37" t="n"/>
      <c r="D986" s="37" t="n"/>
      <c r="E986" s="37" t="n"/>
      <c r="F986" s="37" t="n"/>
      <c r="G986" s="37" t="n"/>
      <c r="H986" s="37" t="n"/>
      <c r="I986" s="38">
        <f>IF($A986="","",IFERROR($B986-$C986-$D986-$E986,0))</f>
        <v/>
      </c>
    </row>
    <row r="987">
      <c r="A987" s="37" t="n"/>
      <c r="B987" s="37" t="n"/>
      <c r="C987" s="37" t="n"/>
      <c r="D987" s="37" t="n"/>
      <c r="E987" s="37" t="n"/>
      <c r="F987" s="37" t="n"/>
      <c r="G987" s="37" t="n"/>
      <c r="H987" s="37" t="n"/>
      <c r="I987" s="38">
        <f>IF($A987="","",IFERROR($B987-$C987-$D987-$E987,0))</f>
        <v/>
      </c>
    </row>
    <row r="988">
      <c r="A988" s="37" t="n"/>
      <c r="B988" s="37" t="n"/>
      <c r="C988" s="37" t="n"/>
      <c r="D988" s="37" t="n"/>
      <c r="E988" s="37" t="n"/>
      <c r="F988" s="37" t="n"/>
      <c r="G988" s="37" t="n"/>
      <c r="H988" s="37" t="n"/>
      <c r="I988" s="38">
        <f>IF($A988="","",IFERROR($B988-$C988-$D988-$E988,0))</f>
        <v/>
      </c>
    </row>
    <row r="989">
      <c r="A989" s="37" t="n"/>
      <c r="B989" s="37" t="n"/>
      <c r="C989" s="37" t="n"/>
      <c r="D989" s="37" t="n"/>
      <c r="E989" s="37" t="n"/>
      <c r="F989" s="37" t="n"/>
      <c r="G989" s="37" t="n"/>
      <c r="H989" s="37" t="n"/>
      <c r="I989" s="38">
        <f>IF($A989="","",IFERROR($B989-$C989-$D989-$E989,0))</f>
        <v/>
      </c>
    </row>
    <row r="990">
      <c r="A990" s="37" t="n"/>
      <c r="B990" s="37" t="n"/>
      <c r="C990" s="37" t="n"/>
      <c r="D990" s="37" t="n"/>
      <c r="E990" s="37" t="n"/>
      <c r="F990" s="37" t="n"/>
      <c r="G990" s="37" t="n"/>
      <c r="H990" s="37" t="n"/>
      <c r="I990" s="38">
        <f>IF($A990="","",IFERROR($B990-$C990-$D990-$E990,0))</f>
        <v/>
      </c>
    </row>
    <row r="991">
      <c r="A991" s="37" t="n"/>
      <c r="B991" s="37" t="n"/>
      <c r="C991" s="37" t="n"/>
      <c r="D991" s="37" t="n"/>
      <c r="E991" s="37" t="n"/>
      <c r="F991" s="37" t="n"/>
      <c r="G991" s="37" t="n"/>
      <c r="H991" s="37" t="n"/>
      <c r="I991" s="38">
        <f>IF($A991="","",IFERROR($B991-$C991-$D991-$E991,0))</f>
        <v/>
      </c>
    </row>
    <row r="992">
      <c r="A992" s="37" t="n"/>
      <c r="B992" s="37" t="n"/>
      <c r="C992" s="37" t="n"/>
      <c r="D992" s="37" t="n"/>
      <c r="E992" s="37" t="n"/>
      <c r="F992" s="37" t="n"/>
      <c r="G992" s="37" t="n"/>
      <c r="H992" s="37" t="n"/>
      <c r="I992" s="38">
        <f>IF($A992="","",IFERROR($B992-$C992-$D992-$E992,0))</f>
        <v/>
      </c>
    </row>
    <row r="993">
      <c r="A993" s="37" t="n"/>
      <c r="B993" s="37" t="n"/>
      <c r="C993" s="37" t="n"/>
      <c r="D993" s="37" t="n"/>
      <c r="E993" s="37" t="n"/>
      <c r="F993" s="37" t="n"/>
      <c r="G993" s="37" t="n"/>
      <c r="H993" s="37" t="n"/>
      <c r="I993" s="38">
        <f>IF($A993="","",IFERROR($B993-$C993-$D993-$E993,0))</f>
        <v/>
      </c>
    </row>
    <row r="994">
      <c r="A994" s="37" t="n"/>
      <c r="B994" s="37" t="n"/>
      <c r="C994" s="37" t="n"/>
      <c r="D994" s="37" t="n"/>
      <c r="E994" s="37" t="n"/>
      <c r="F994" s="37" t="n"/>
      <c r="G994" s="37" t="n"/>
      <c r="H994" s="37" t="n"/>
      <c r="I994" s="38">
        <f>IF($A994="","",IFERROR($B994-$C994-$D994-$E994,0))</f>
        <v/>
      </c>
    </row>
    <row r="995">
      <c r="A995" s="37" t="n"/>
      <c r="B995" s="37" t="n"/>
      <c r="C995" s="37" t="n"/>
      <c r="D995" s="37" t="n"/>
      <c r="E995" s="37" t="n"/>
      <c r="F995" s="37" t="n"/>
      <c r="G995" s="37" t="n"/>
      <c r="H995" s="37" t="n"/>
      <c r="I995" s="38">
        <f>IF($A995="","",IFERROR($B995-$C995-$D995-$E995,0))</f>
        <v/>
      </c>
    </row>
    <row r="996">
      <c r="A996" s="37" t="n"/>
      <c r="B996" s="37" t="n"/>
      <c r="C996" s="37" t="n"/>
      <c r="D996" s="37" t="n"/>
      <c r="E996" s="37" t="n"/>
      <c r="F996" s="37" t="n"/>
      <c r="G996" s="37" t="n"/>
      <c r="H996" s="37" t="n"/>
      <c r="I996" s="38">
        <f>IF($A996="","",IFERROR($B996-$C996-$D996-$E996,0))</f>
        <v/>
      </c>
    </row>
    <row r="997">
      <c r="A997" s="37" t="n"/>
      <c r="B997" s="37" t="n"/>
      <c r="C997" s="37" t="n"/>
      <c r="D997" s="37" t="n"/>
      <c r="E997" s="37" t="n"/>
      <c r="F997" s="37" t="n"/>
      <c r="G997" s="37" t="n"/>
      <c r="H997" s="37" t="n"/>
      <c r="I997" s="38">
        <f>IF($A997="","",IFERROR($B997-$C997-$D997-$E997,0))</f>
        <v/>
      </c>
    </row>
    <row r="998">
      <c r="A998" s="37" t="n"/>
      <c r="B998" s="37" t="n"/>
      <c r="C998" s="37" t="n"/>
      <c r="D998" s="37" t="n"/>
      <c r="E998" s="37" t="n"/>
      <c r="F998" s="37" t="n"/>
      <c r="G998" s="37" t="n"/>
      <c r="H998" s="37" t="n"/>
      <c r="I998" s="38">
        <f>IF($A998="","",IFERROR($B998-$C998-$D998-$E998,0))</f>
        <v/>
      </c>
    </row>
    <row r="999">
      <c r="A999" s="37" t="n"/>
      <c r="B999" s="37" t="n"/>
      <c r="C999" s="37" t="n"/>
      <c r="D999" s="37" t="n"/>
      <c r="E999" s="37" t="n"/>
      <c r="F999" s="37" t="n"/>
      <c r="G999" s="37" t="n"/>
      <c r="H999" s="37" t="n"/>
      <c r="I999" s="38">
        <f>IF($A999="","",IFERROR($B999-$C999-$D999-$E999,0))</f>
        <v/>
      </c>
    </row>
    <row r="1000">
      <c r="A1000" s="37" t="n"/>
      <c r="B1000" s="37" t="n"/>
      <c r="C1000" s="37" t="n"/>
      <c r="D1000" s="37" t="n"/>
      <c r="E1000" s="37" t="n"/>
      <c r="F1000" s="37" t="n"/>
      <c r="G1000" s="37" t="n"/>
      <c r="H1000" s="37" t="n"/>
      <c r="I1000" s="38">
        <f>IF($A1000="","",IFERROR($B1000-$C1000-$D1000-$E1000,0))</f>
        <v/>
      </c>
    </row>
    <row r="1001">
      <c r="A1001" s="37" t="n"/>
      <c r="B1001" s="37" t="n"/>
      <c r="C1001" s="37" t="n"/>
      <c r="D1001" s="37" t="n"/>
      <c r="E1001" s="37" t="n"/>
      <c r="F1001" s="37" t="n"/>
      <c r="G1001" s="37" t="n"/>
      <c r="H1001" s="37" t="n"/>
      <c r="I1001" s="38">
        <f>IF($A1001="","",IFERROR($B1001-$C1001-$D1001-$E1001,0))</f>
        <v/>
      </c>
    </row>
    <row r="1002">
      <c r="A1002" s="37" t="n"/>
      <c r="B1002" s="37" t="n"/>
      <c r="C1002" s="37" t="n"/>
      <c r="D1002" s="37" t="n"/>
      <c r="E1002" s="37" t="n"/>
      <c r="F1002" s="37" t="n"/>
      <c r="G1002" s="37" t="n"/>
      <c r="H1002" s="37" t="n"/>
      <c r="I1002" s="38">
        <f>IF($A1002="","",IFERROR($B1002-$C1002-$D1002-$E1002,0))</f>
        <v/>
      </c>
    </row>
    <row r="1003">
      <c r="A1003" s="37" t="n"/>
      <c r="B1003" s="37" t="n"/>
      <c r="C1003" s="37" t="n"/>
      <c r="D1003" s="37" t="n"/>
      <c r="E1003" s="37" t="n"/>
      <c r="F1003" s="37" t="n"/>
      <c r="G1003" s="37" t="n"/>
      <c r="H1003" s="37" t="n"/>
      <c r="I1003" s="38">
        <f>IF($A1003="","",IFERROR($B1003-$C1003-$D1003-$E1003,0))</f>
        <v/>
      </c>
    </row>
    <row r="1004">
      <c r="A1004" s="37" t="n"/>
      <c r="B1004" s="37" t="n"/>
      <c r="C1004" s="37" t="n"/>
      <c r="D1004" s="37" t="n"/>
      <c r="E1004" s="37" t="n"/>
      <c r="F1004" s="37" t="n"/>
      <c r="G1004" s="37" t="n"/>
      <c r="H1004" s="37" t="n"/>
      <c r="I1004" s="38">
        <f>IF($A1004="","",IFERROR($B1004-$C1004-$D1004-$E1004,0))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F6:F20">
    <cfRule type="cellIs" priority="5" operator="lessThan" dxfId="5">
      <formula>0</formula>
    </cfRule>
  </conditionalFormatting>
  <conditionalFormatting sqref="G6:G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  <cfRule type="cellIs" priority="8" operator="greaterThan" dxfId="4">
      <formula>0</formula>
    </cfRule>
  </conditionalFormatting>
  <dataValidations count="6">
    <dataValidation sqref="B6:B1004" showDropDown="0" showInputMessage="1" showErrorMessage="1" allowBlank="1" errorTitle="Geçersiz" error="Sınır dışı değer." promptTitle="Hasılat" prompt="Hasılat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 değer." promptTitle="Maliyet" prompt="Maliyet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 değer." promptTitle="GY Payı" prompt="GY Payı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Sınır dışı değer." promptTitle="FG Payı" prompt="FG Payı değerini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Sınır dışı değer." promptTitle="Diğer" prompt="Diğer değerini girin." type="decimal" errorStyle="stop" operator="between">
      <formula1>-1000000000000</formula1>
      <formula2>1000000000000</formula2>
    </dataValidation>
    <dataValidation sqref="G6:G1004" showDropDown="0" showInputMessage="1" showErrorMessage="1" allowBlank="1" errorTitle="Geçersiz" error="Sınır dışı değer." promptTitle="İstisna" prompt="İstisna değerini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Üretim Kârı %12,5 KV Optimizasyonu</t>
        </is>
      </c>
    </row>
    <row r="3">
      <c r="A3" s="10" t="inlineStr">
        <is>
          <t>Doğrulama listeleri</t>
        </is>
      </c>
    </row>
    <row r="5">
      <c r="A5" s="51" t="inlineStr">
        <is>
          <t>Yıllar</t>
        </is>
      </c>
      <c r="C5" s="51" t="inlineStr">
        <is>
          <t>Yorum A/B</t>
        </is>
      </c>
      <c r="E5" s="51" t="inlineStr">
        <is>
          <t>Evet/Hayır</t>
        </is>
      </c>
    </row>
    <row r="6">
      <c r="A6" s="62" t="n">
        <v>2025</v>
      </c>
      <c r="C6" s="60" t="inlineStr">
        <is>
          <t>A</t>
        </is>
      </c>
      <c r="E6" s="60" t="inlineStr">
        <is>
          <t>Evet</t>
        </is>
      </c>
    </row>
    <row r="7">
      <c r="A7" s="62" t="n">
        <v>2026</v>
      </c>
      <c r="C7" s="60" t="inlineStr">
        <is>
          <t>B</t>
        </is>
      </c>
      <c r="E7" s="60" t="inlineStr">
        <is>
          <t>Hayır</t>
        </is>
      </c>
    </row>
    <row r="8">
      <c r="A8" s="62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AD4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Üretim Kârı %12,5 KV Optimizasyonu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3">
        <f>IF(A6="","",IF(B6="","EKSİK","TAM"))</f>
        <v/>
      </c>
    </row>
    <row r="7">
      <c r="A7" s="7" t="inlineStr">
        <is>
          <t>raporTarihi</t>
        </is>
      </c>
      <c r="B7" s="64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3">
        <f>IF(A7="","",IF(B7="","EKSİK","TAM"))</f>
        <v/>
      </c>
    </row>
    <row r="8">
      <c r="A8" s="7" t="inlineStr">
        <is>
          <t>ukv_tolerans</t>
        </is>
      </c>
      <c r="B8" s="65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3">
        <f>IF(A8="","",IF(B8="","EKSİK","TAM"))</f>
        <v/>
      </c>
    </row>
    <row r="9">
      <c r="A9" s="7" t="inlineStr">
        <is>
          <t>ukv_kacirilanEsik</t>
        </is>
      </c>
      <c r="B9" s="65" t="n">
        <v>50000</v>
      </c>
      <c r="C9" s="7" t="inlineStr">
        <is>
          <t>TL</t>
        </is>
      </c>
      <c r="D9" s="7" t="inlineStr">
        <is>
          <t>PANO tasarruf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3">
        <f>IF(A9="","",IF(B9="","EKSİK","TAM"))</f>
        <v/>
      </c>
    </row>
    <row r="10">
      <c r="A10" s="7" t="inlineStr">
        <is>
          <t>ukv_senaryoIyi</t>
        </is>
      </c>
      <c r="B10" s="44" t="n">
        <v>1.1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3">
        <f>IF(A10="","",IF(B10="","EKSİK","TAM"))</f>
        <v/>
      </c>
    </row>
    <row r="11">
      <c r="A11" s="7" t="inlineStr">
        <is>
          <t>ukv_senaryoKotu</t>
        </is>
      </c>
      <c r="B11" s="44" t="n">
        <v>0.85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3">
        <f>IF(A11="","",IF(B11="","EKSİK","TAM"))</f>
        <v/>
      </c>
    </row>
    <row r="12">
      <c r="A12" s="7" t="inlineStr">
        <is>
          <t>ukv_oranArtisPuan</t>
        </is>
      </c>
      <c r="B12" s="44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3">
        <f>IF(A12="","",IF(B12="","EKSİK","TAM"))</f>
        <v/>
      </c>
    </row>
    <row r="13">
      <c r="A13" s="7" t="inlineStr">
        <is>
          <t>ukv_tahminAlt</t>
        </is>
      </c>
      <c r="B13" s="44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3">
        <f>IF(A13="","",IF(B13="","EKSİK","TAM"))</f>
        <v/>
      </c>
    </row>
    <row r="14">
      <c r="A14" s="7" t="inlineStr">
        <is>
          <t>ukv_tahminUst</t>
        </is>
      </c>
      <c r="B14" s="44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3">
        <f>IF(A14="","",IF(B14="","EKSİK","TAM"))</f>
        <v/>
      </c>
    </row>
    <row r="15">
      <c r="A15" s="7" t="inlineStr">
        <is>
          <t>ukv_tornadoHasilat</t>
        </is>
      </c>
      <c r="B15" s="44" t="n">
        <v>1.05</v>
      </c>
      <c r="C15" s="7" t="inlineStr">
        <is>
          <t>çarpan</t>
        </is>
      </c>
      <c r="D15" s="7" t="inlineStr">
        <is>
          <t>Tornado hasılat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3">
        <f>IF(A15="","",IF(B15="","EKSİK","TAM"))</f>
        <v/>
      </c>
    </row>
    <row r="16">
      <c r="A16" s="7" t="inlineStr">
        <is>
          <t>ukv_tornadoMaliyet</t>
        </is>
      </c>
      <c r="B16" s="44" t="n">
        <v>1.05</v>
      </c>
      <c r="C16" s="7" t="inlineStr">
        <is>
          <t>çarpan</t>
        </is>
      </c>
      <c r="D16" s="7" t="inlineStr">
        <is>
          <t>Tornado maliyet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3">
        <f>IF(A16="","",IF(B16="","EKSİK","TAM"))</f>
        <v/>
      </c>
    </row>
    <row r="17">
      <c r="A17" s="7" t="inlineStr">
        <is>
          <t>ukv_payArtisOran</t>
        </is>
      </c>
      <c r="B17" s="44" t="n">
        <v>0.1</v>
      </c>
      <c r="C17" s="7" t="inlineStr">
        <is>
          <t>oran</t>
        </is>
      </c>
      <c r="D17" s="7" t="inlineStr">
        <is>
          <t>Yorum B pay +%10</t>
        </is>
      </c>
      <c r="E17" s="7" t="inlineStr">
        <is>
          <t>Pay dağıtım modeli</t>
        </is>
      </c>
      <c r="F17" s="7" t="inlineStr">
        <is>
          <t>01.01.2025</t>
        </is>
      </c>
      <c r="G17" s="7" t="inlineStr">
        <is>
          <t>11.08.2026</t>
        </is>
      </c>
      <c r="H17" s="63">
        <f>IF(A17="","",IF(B17="","EKSİK","TAM"))</f>
        <v/>
      </c>
    </row>
    <row r="18">
      <c r="A18" s="7" t="inlineStr">
        <is>
          <t>ukv_yuzdelikOran</t>
        </is>
      </c>
      <c r="B18" s="44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3">
        <f>IF(A18="","",IF(B18="","EKSİK","TAM"))</f>
        <v/>
      </c>
    </row>
    <row r="19">
      <c r="A19" s="7" t="inlineStr">
        <is>
          <t>ukv_parmakIzi</t>
        </is>
      </c>
      <c r="B19" s="66" t="inlineStr">
        <is>
          <t>e4c3ab8520ec79b5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3">
        <f>IF(A19="","",IF(B19="","EKSİK","TAM"))</f>
        <v/>
      </c>
    </row>
    <row r="20">
      <c r="A20" s="7" t="inlineStr">
        <is>
          <t>dosya_surumu</t>
        </is>
      </c>
      <c r="B20" s="66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3">
        <f>IF(A20="","",IF(B20="","EKSİK","TAM"))</f>
        <v/>
      </c>
    </row>
    <row r="21">
      <c r="A21" s="7" t="inlineStr">
        <is>
          <t>ukv_girisBeklenen</t>
        </is>
      </c>
      <c r="B21" s="45" t="n">
        <v>10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3">
        <f>IF(A21="","",IF(B21="","EKSİK","TAM"))</f>
        <v/>
      </c>
    </row>
    <row r="22">
      <c r="A22" s="7" t="inlineStr">
        <is>
          <t>ukv_riskDusuk</t>
        </is>
      </c>
      <c r="B22" s="45" t="n">
        <v>15</v>
      </c>
      <c r="C22" s="7" t="inlineStr">
        <is>
          <t>puan</t>
        </is>
      </c>
      <c r="D22" s="7" t="inlineStr">
        <is>
          <t>UYGULA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3">
        <f>IF(A22="","",IF(B22="","EKSİK","TAM"))</f>
        <v/>
      </c>
    </row>
    <row r="23">
      <c r="A23" s="7" t="inlineStr">
        <is>
          <t>ukv_riskOrta</t>
        </is>
      </c>
      <c r="B23" s="45" t="n">
        <v>55</v>
      </c>
      <c r="C23" s="7" t="inlineStr">
        <is>
          <t>puan</t>
        </is>
      </c>
      <c r="D23" s="7" t="inlineStr">
        <is>
          <t>İNCELE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3">
        <f>IF(A23="","",IF(B23="","EKSİK","TAM"))</f>
        <v/>
      </c>
    </row>
    <row r="24">
      <c r="A24" s="7" t="inlineStr">
        <is>
          <t>ukv_riskYuksek</t>
        </is>
      </c>
      <c r="B24" s="45" t="n">
        <v>85</v>
      </c>
      <c r="C24" s="7" t="inlineStr">
        <is>
          <t>puan</t>
        </is>
      </c>
      <c r="D24" s="7" t="inlineStr">
        <is>
          <t>UYGULAMA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3">
        <f>IF(A24="","",IF(B24="","EKSİK","TAM"))</f>
        <v/>
      </c>
    </row>
    <row r="25">
      <c r="A25" s="7" t="inlineStr">
        <is>
          <t>ukv_riskEsikOran</t>
        </is>
      </c>
      <c r="B25" s="44" t="n">
        <v>0.5</v>
      </c>
      <c r="C25" s="7" t="inlineStr">
        <is>
          <t>oran</t>
        </is>
      </c>
      <c r="D25" s="7" t="inlineStr">
        <is>
          <t>Yedek risk oranı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3">
        <f>IF(A25="","",IF(B25="","EKSİK","TAM"))</f>
        <v/>
      </c>
    </row>
    <row r="26">
      <c r="A26" s="7" t="inlineStr">
        <is>
          <t>ukv_yilTaban</t>
        </is>
      </c>
      <c r="B26" s="45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3">
        <f>IF(A26="","",IF(B26="","EKSİK","TAM"))</f>
        <v/>
      </c>
    </row>
    <row r="27">
      <c r="A27" s="7" t="inlineStr">
        <is>
          <t>ukv_yuvarMax</t>
        </is>
      </c>
      <c r="B27" s="45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3">
        <f>IF(A27="","",IF(B27="","EKSİK","TAM"))</f>
        <v/>
      </c>
    </row>
    <row r="28">
      <c r="A28" s="7" t="inlineStr">
        <is>
          <t>ukv_dayanakCarpan</t>
        </is>
      </c>
      <c r="B28" s="45" t="n">
        <v>10</v>
      </c>
      <c r="C28" s="7" t="inlineStr">
        <is>
          <t>adet</t>
        </is>
      </c>
      <c r="D28" s="7" t="inlineStr">
        <is>
          <t>Yedek çarpan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3">
        <f>IF(A28="","",IF(B28="","EKSİK","TAM"))</f>
        <v/>
      </c>
    </row>
    <row r="29">
      <c r="A29" s="7" t="inlineStr">
        <is>
          <t>ukv_bazCarpan</t>
        </is>
      </c>
      <c r="B29" s="44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3">
        <f>IF(A29="","",IF(B29="","EKSİK","TAM"))</f>
        <v/>
      </c>
    </row>
    <row r="30">
      <c r="A30" s="7" t="inlineStr">
        <is>
          <t>ukv_sifirCarpan</t>
        </is>
      </c>
      <c r="B30" s="44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3">
        <f>IF(A30="","",IF(B30="","EKSİK","TAM"))</f>
        <v/>
      </c>
    </row>
    <row r="31">
      <c r="A31" s="7" t="inlineStr">
        <is>
          <t>ukv_siraBir</t>
        </is>
      </c>
      <c r="B31" s="45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3">
        <f>IF(A31="","",IF(B31="","EKSİK","TAM"))</f>
        <v/>
      </c>
    </row>
    <row r="32">
      <c r="A32" s="7" t="inlineStr">
        <is>
          <t>ukv_siraIki</t>
        </is>
      </c>
      <c r="B32" s="45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3">
        <f>IF(A32="","",IF(B32="","EKSİK","TAM"))</f>
        <v/>
      </c>
    </row>
    <row r="33">
      <c r="A33" s="7" t="inlineStr">
        <is>
          <t>ukv_siraUc</t>
        </is>
      </c>
      <c r="B33" s="45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3">
        <f>IF(A33="","",IF(B33="","EKSİK","TAM"))</f>
        <v/>
      </c>
    </row>
    <row r="34">
      <c r="A34" s="7" t="inlineStr">
        <is>
          <t>ukv_tahminX</t>
        </is>
      </c>
      <c r="B34" s="45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3">
        <f>IF(A34="","",IF(B34="","EKSİK","TAM"))</f>
        <v/>
      </c>
    </row>
    <row r="35">
      <c r="A35" s="7" t="inlineStr">
        <is>
          <t>vaka_matrah_1</t>
        </is>
      </c>
      <c r="B35" s="65" t="n">
        <v>1000000</v>
      </c>
      <c r="C35" s="7" t="inlineStr">
        <is>
          <t>TL</t>
        </is>
      </c>
      <c r="D35" s="7" t="inlineStr">
        <is>
          <t>Vaka1/2/3 matrah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3">
        <f>IF(A35="","",IF(B35="","EKSİK","TAM"))</f>
        <v/>
      </c>
    </row>
    <row r="36">
      <c r="A36" s="7" t="inlineStr">
        <is>
          <t>vaka_matrah_2</t>
        </is>
      </c>
      <c r="B36" s="65" t="n">
        <v>200000</v>
      </c>
      <c r="C36" s="7" t="inlineStr">
        <is>
          <t>TL</t>
        </is>
      </c>
      <c r="D36" s="7" t="inlineStr">
        <is>
          <t>Vaka4 matrah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3">
        <f>IF(A36="","",IF(B36="","EKSİK","TAM"))</f>
        <v/>
      </c>
    </row>
    <row r="37">
      <c r="A37" s="7" t="inlineStr">
        <is>
          <t>vaka_tavan</t>
        </is>
      </c>
      <c r="B37" s="65" t="n">
        <v>150000</v>
      </c>
      <c r="C37" s="7" t="inlineStr">
        <is>
          <t>TL</t>
        </is>
      </c>
      <c r="D37" s="7" t="inlineStr">
        <is>
          <t>Yedek vaka tavanı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3">
        <f>IF(A37="","",IF(B37="","EKSİK","TAM"))</f>
        <v/>
      </c>
    </row>
    <row r="38">
      <c r="A38" s="7" t="inlineStr">
        <is>
          <t>vaka_endeks_orani</t>
        </is>
      </c>
      <c r="B38" s="44" t="n">
        <v>1.1</v>
      </c>
      <c r="C38" s="7" t="inlineStr">
        <is>
          <t>çarpan</t>
        </is>
      </c>
      <c r="D38" s="7" t="inlineStr">
        <is>
          <t>Yedek endeks oranı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3">
        <f>IF(A38="","",IF(B38="","EKSİK","TAM"))</f>
        <v/>
      </c>
    </row>
    <row r="40">
      <c r="B40" s="67" t="inlineStr">
        <is>
          <t>Parametre satırları yukarıda; ad tanımları B kolonuna bağlı.</t>
        </is>
      </c>
    </row>
    <row r="42">
      <c r="B42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Üretim Kârı %12,5 KV Optimizasyonu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UYGULA — tasarruf uygula eşiğinin üzerinde; indirimli oranı uygulayın.</t>
        </is>
      </c>
    </row>
    <row r="7">
      <c r="A7" s="6" t="inlineStr">
        <is>
          <t>• İNCELE — tasarruf incele bandında; pay ve istisna dayanağını gözden geçirin.</t>
        </is>
      </c>
    </row>
    <row r="8">
      <c r="A8" s="6" t="inlineStr">
        <is>
          <t>• UYGULAMA — tasarruf eşik altında veya matrah yok; öncelik düşük.</t>
        </is>
      </c>
    </row>
    <row r="10">
      <c r="A10" s="68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pay_dagitim_yorumu</t>
        </is>
      </c>
    </row>
    <row r="13">
      <c r="A13" s="10" t="inlineStr">
        <is>
          <t>Yorum A</t>
        </is>
      </c>
      <c r="B13" s="6" t="inlineStr">
        <is>
          <t>Genel yönetim ve finansman payları girdideki tutarlarla aynen üretim kârından düşülür. Matrah = MAX(0, üretim kârı + diğer faaliyet − istisna).</t>
        </is>
      </c>
    </row>
    <row r="14">
      <c r="A14" s="10" t="inlineStr">
        <is>
          <t>Yorum B</t>
        </is>
      </c>
      <c r="B14" s="6" t="inlineStr">
        <is>
          <t>Yorum B, payları +%10 sıkılaştırır (daha yüksek maliyet payı → daha düşük matrah).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2026-08-11T10:10:02Z</dcterms:created>
  <dcterms:modified xsi:type="dcterms:W3CDTF">2026-08-11T10:10:03Z</dcterms:modified>
</cp:coreProperties>
</file>