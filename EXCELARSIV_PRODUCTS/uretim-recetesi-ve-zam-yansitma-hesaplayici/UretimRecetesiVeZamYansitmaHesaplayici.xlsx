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RECETE_LISTESI" sheetId="6" state="visible" r:id="rId6"/>
    <sheet xmlns:r="http://schemas.openxmlformats.org/officeDocument/2006/relationships" name="HESAP" sheetId="7" state="visible" r:id="rId7"/>
    <sheet xmlns:r="http://schemas.openxmlformats.org/officeDocument/2006/relationships" name="KONTROLLER" sheetId="8" state="visible" r:id="rId8"/>
    <sheet xmlns:r="http://schemas.openxmlformats.org/officeDocument/2006/relationships" name="KARAR" sheetId="9" state="visible" r:id="rId9"/>
    <sheet xmlns:r="http://schemas.openxmlformats.org/officeDocument/2006/relationships" name="SENARYO_DUYARLILIK" sheetId="10" state="visible" r:id="rId10"/>
    <sheet xmlns:r="http://schemas.openxmlformats.org/officeDocument/2006/relationships" name="RAPO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VARYANS" sheetId="13" state="visible" r:id="rId13"/>
    <sheet xmlns:r="http://schemas.openxmlformats.org/officeDocument/2006/relationships" name="DEGISIKLIK_KAYD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8">'KARAR'!$A$1:$B$19</definedName>
    <definedName name="_xlnm.Print_Area" localSheetId="9">'SENARYO_DUYARLILIK'!$A$1:$D$10</definedName>
    <definedName name="_xlnm.Print_Area" localSheetId="10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</numFmts>
  <fonts count="8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2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18" customWidth="1" style="70" min="2" max="2"/>
    <col width="15" customWidth="1" style="70" min="3" max="3"/>
    <col width="12" customWidth="1" style="70" min="4" max="4"/>
    <col width="16" customWidth="1" style="70" min="5" max="5"/>
    <col width="18" customWidth="1" style="70" min="6" max="6"/>
    <col width="6" customWidth="1" style="70" min="7" max="7"/>
    <col width="24" customWidth="1" style="70" min="8" max="8"/>
    <col width="15" customWidth="1" style="70" min="9" max="9"/>
    <col width="14" customWidth="1" style="70" min="10" max="10"/>
    <col width="12" customWidth="1" style="70" min="11" max="11"/>
    <col width="18" customWidth="1" style="70" min="12" max="12"/>
    <col width="18" customWidth="1" style="70" min="13" max="13"/>
  </cols>
  <sheetData>
    <row r="2">
      <c r="B2" s="162" t="inlineStr">
        <is>
          <t>URETIM RECETESI VE ZAM YANSITMA HESAPLAYICI — YÖNETİM VE KARAR SİSTEMİ</t>
        </is>
      </c>
      <c r="L2" s="163" t="inlineStr">
        <is>
          <t>Dönem: 2026 / Tam ▼</t>
        </is>
      </c>
      <c r="M2" s="164" t="inlineStr">
        <is>
          <t>★ DOĞRULANMIŞ</t>
        </is>
      </c>
    </row>
    <row r="3">
      <c r="B3" s="165" t="inlineStr">
        <is>
          <t>Yönetici Karar Kokpiti, Otomatik Doğrulama ve Dinamik Hesaplama Sistemi · 2026</t>
        </is>
      </c>
    </row>
    <row r="5">
      <c r="B5" s="166" t="inlineStr">
        <is>
          <t>TOPLAM İŞLEM HACMİ</t>
        </is>
      </c>
      <c r="C5" s="167" t="n"/>
      <c r="D5" s="168" t="inlineStr">
        <is>
          <t>DOĞRULANMIŞ</t>
        </is>
      </c>
      <c r="E5" s="169" t="inlineStr">
        <is>
          <t>RİSKLİ / BEKLEYEN İŞLEM</t>
        </is>
      </c>
      <c r="F5" s="167" t="n"/>
      <c r="G5" s="170" t="inlineStr">
        <is>
          <t>MİNİMUM</t>
        </is>
      </c>
      <c r="H5" s="166" t="inlineStr">
        <is>
          <t>OPERASYONEL NET MARJ</t>
        </is>
      </c>
      <c r="I5" s="167" t="n"/>
      <c r="J5" s="171" t="inlineStr">
        <is>
          <t>GÜVENLİ</t>
        </is>
      </c>
      <c r="K5" s="172" t="inlineStr">
        <is>
          <t>SİSTEM GÜVEN SKORU</t>
        </is>
      </c>
      <c r="L5" s="167" t="n"/>
      <c r="M5" s="168" t="inlineStr">
        <is>
          <t>DENETLENDİ</t>
        </is>
      </c>
    </row>
    <row r="6">
      <c r="B6" s="173" t="n"/>
      <c r="C6" s="167" t="n"/>
      <c r="D6" s="167" t="n"/>
      <c r="E6" s="174" t="n"/>
      <c r="F6" s="167" t="n"/>
      <c r="G6" s="167" t="n"/>
      <c r="H6" s="173" t="n"/>
      <c r="I6" s="167" t="n"/>
      <c r="J6" s="167" t="n"/>
      <c r="K6" s="175" t="n"/>
      <c r="L6" s="167" t="n"/>
      <c r="M6" s="167" t="n"/>
    </row>
    <row r="7">
      <c r="B7" s="176" t="inlineStr">
        <is>
          <t>₺28.450.000</t>
        </is>
      </c>
      <c r="C7" s="167" t="n"/>
      <c r="D7" s="167" t="n"/>
      <c r="E7" s="177" t="inlineStr">
        <is>
          <t>₺940.000</t>
        </is>
      </c>
      <c r="F7" s="167" t="n"/>
      <c r="G7" s="167" t="n"/>
      <c r="H7" s="176" t="inlineStr">
        <is>
          <t>₺8.120.000</t>
        </is>
      </c>
      <c r="I7" s="167" t="n"/>
      <c r="J7" s="167" t="n"/>
      <c r="K7" s="178" t="inlineStr">
        <is>
          <t>98/100</t>
        </is>
      </c>
      <c r="L7" s="167" t="n"/>
      <c r="M7" s="167" t="n"/>
    </row>
    <row r="8">
      <c r="B8" s="173" t="n"/>
      <c r="C8" s="167" t="n"/>
      <c r="D8" s="167" t="n"/>
      <c r="E8" s="174" t="n"/>
      <c r="F8" s="167" t="n"/>
      <c r="G8" s="167" t="n"/>
      <c r="H8" s="173" t="n"/>
      <c r="I8" s="167" t="n"/>
      <c r="J8" s="167" t="n"/>
      <c r="K8" s="175" t="n"/>
      <c r="L8" s="167" t="n"/>
      <c r="M8" s="167" t="n"/>
    </row>
    <row r="9">
      <c r="B9" s="179" t="inlineStr">
        <is>
          <t>↑ Konsolide yıllıklandırılmış büyüme</t>
        </is>
      </c>
      <c r="C9" s="167" t="n"/>
      <c r="D9" s="167" t="n"/>
      <c r="E9" s="180" t="inlineStr">
        <is>
          <t>● Tüm riskli kayıtlar kontrol altında</t>
        </is>
      </c>
      <c r="F9" s="167" t="n"/>
      <c r="G9" s="167" t="n"/>
      <c r="H9" s="179" t="inlineStr">
        <is>
          <t>██████████░░░░░ %28.5 NET MARJ</t>
        </is>
      </c>
      <c r="I9" s="167" t="n"/>
      <c r="J9" s="167" t="n"/>
      <c r="K9" s="181" t="inlineStr">
        <is>
          <t>✓ 0 Formül ve Döngüsel Hata</t>
        </is>
      </c>
      <c r="L9" s="167" t="n"/>
      <c r="M9" s="167" t="n"/>
    </row>
    <row r="11">
      <c r="B11" s="94" t="inlineStr">
        <is>
          <t>12 AYLIK NAKİT GİRİŞ / ÇIKIŞ &amp; LİKİDİTE BAŞARIMI</t>
        </is>
      </c>
      <c r="F11" s="182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83" t="inlineStr">
        <is>
          <t>Dönem</t>
        </is>
      </c>
      <c r="C14" s="183" t="inlineStr">
        <is>
          <t>Aktif Hacim</t>
        </is>
      </c>
      <c r="D14" s="183" t="inlineStr">
        <is>
          <t>Maliyet/Yük</t>
        </is>
      </c>
      <c r="E14" s="183" t="inlineStr">
        <is>
          <t>Hedef</t>
        </is>
      </c>
      <c r="H14" s="184" t="inlineStr">
        <is>
          <t>PARAMETRE / KALEM</t>
        </is>
      </c>
      <c r="I14" s="184" t="inlineStr">
        <is>
          <t>ANA TUTAR</t>
        </is>
      </c>
      <c r="J14" s="184" t="inlineStr">
        <is>
          <t>FARK / MARJ</t>
        </is>
      </c>
      <c r="K14" s="184" t="inlineStr">
        <is>
          <t>VADE</t>
        </is>
      </c>
      <c r="L14" s="184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85" t="inlineStr">
        <is>
          <t>13 haftalık kümülatif bakiye...</t>
        </is>
      </c>
      <c r="I15" s="185" t="inlineStr">
        <is>
          <t>₺8.450.000</t>
        </is>
      </c>
      <c r="J15" s="186" t="inlineStr">
        <is>
          <t>₺425.000</t>
        </is>
      </c>
      <c r="K15" s="187" t="inlineStr">
        <is>
          <t>12 Ay</t>
        </is>
      </c>
      <c r="L15" s="171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85" t="inlineStr">
        <is>
          <t>Kritik (eksi) hafta uyarısı</t>
        </is>
      </c>
      <c r="I16" s="185" t="inlineStr">
        <is>
          <t>₺12.200.000</t>
        </is>
      </c>
      <c r="J16" s="186" t="inlineStr">
        <is>
          <t>₺580.400</t>
        </is>
      </c>
      <c r="K16" s="187" t="inlineStr">
        <is>
          <t>24 Ay</t>
        </is>
      </c>
      <c r="L16" s="168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85" t="inlineStr">
        <is>
          <t>Dönem net nakit değişimi</t>
        </is>
      </c>
      <c r="I17" s="185" t="inlineStr">
        <is>
          <t>₺4.850.000</t>
        </is>
      </c>
      <c r="J17" s="186" t="inlineStr">
        <is>
          <t>₺235.200</t>
        </is>
      </c>
      <c r="K17" s="187" t="inlineStr">
        <is>
          <t>8 Ay</t>
        </is>
      </c>
      <c r="L17" s="188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85" t="inlineStr">
        <is>
          <t>13 haftalık kümülatif bakiye...</t>
        </is>
      </c>
      <c r="I18" s="185" t="inlineStr">
        <is>
          <t>₺2.140.000</t>
        </is>
      </c>
      <c r="J18" s="186" t="inlineStr">
        <is>
          <t>₺118.000</t>
        </is>
      </c>
      <c r="K18" s="187" t="inlineStr">
        <is>
          <t>16 Ay</t>
        </is>
      </c>
      <c r="L18" s="171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89" t="inlineStr">
        <is>
          <t>KONSOLİDE SİSTEM TOPLAMI</t>
        </is>
      </c>
      <c r="I19" s="190" t="inlineStr">
        <is>
          <t>₺42.850.000</t>
        </is>
      </c>
      <c r="J19" s="191" t="inlineStr">
        <is>
          <t>₺3.420.000</t>
        </is>
      </c>
      <c r="K19" s="192" t="inlineStr"/>
      <c r="L19" s="193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94" t="inlineStr">
        <is>
          <t>KONSOLİDE PAY VE AĞIRLIK</t>
        </is>
      </c>
      <c r="F22" s="194" t="inlineStr">
        <is>
          <t>LİKİDİTE RİSKİ &amp; ERKEN UYARI SİNYALLERİ</t>
        </is>
      </c>
      <c r="K22" s="195" t="inlineStr">
        <is>
          <t>KARAR MOTORU</t>
        </is>
      </c>
      <c r="L22" s="196" t="n"/>
      <c r="M22" s="196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97" t="inlineStr">
        <is>
          <t>0.00 TL (Sıfır Risk)</t>
        </is>
      </c>
      <c r="K23" s="198" t="inlineStr">
        <is>
          <t>OPERASYONEL VERİMLİLİK FIRSATI</t>
        </is>
      </c>
      <c r="L23" s="196" t="n"/>
      <c r="M23" s="196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97" t="inlineStr">
        <is>
          <t>48 Gün Güvenli Eşik</t>
        </is>
      </c>
      <c r="K24" s="199" t="inlineStr">
        <is>
          <t>Süreç optimizasyonuyla birim operasyonel maliyeti düşürme potansiyeli mevcuttur.</t>
        </is>
      </c>
    </row>
    <row r="25">
      <c r="B25" s="200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201" t="inlineStr">
        <is>
          <t>■ Rezervler (%13)</t>
        </is>
      </c>
      <c r="F26" s="202" t="inlineStr">
        <is>
          <t>✓ 90 GÜNLÜK PROJEKSİYONDA NAKİT SIKIŞIKLIĞI TESPİT EDİLMEDİ</t>
        </is>
      </c>
      <c r="K26" s="2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14" customWidth="1" style="70" min="2" max="2"/>
    <col width="16" customWidth="1" style="70" min="3" max="3"/>
    <col width="32" customWidth="1" style="70" min="4" max="4"/>
    <col width="18" customWidth="1" style="70" min="5" max="5"/>
    <col width="12" customWidth="1" style="70" min="6" max="6"/>
    <col width="18" customWidth="1" style="70" min="7" max="7"/>
    <col width="22" customWidth="1" style="70" min="8" max="8"/>
    <col width="16" customWidth="1" style="70" min="9" max="9"/>
  </cols>
  <sheetData>
    <row r="3">
      <c r="B3" s="204" t="inlineStr">
        <is>
          <t>🔍  Kayıt veya hesap ara...</t>
        </is>
      </c>
      <c r="G3" s="205" t="inlineStr">
        <is>
          <t>TOPLAM: 1.450 KAYIT</t>
        </is>
      </c>
      <c r="I3" s="206" t="inlineStr">
        <is>
          <t>HATALI HÜCRE: 0 ADET</t>
        </is>
      </c>
    </row>
    <row r="5">
      <c r="B5" s="207" t="inlineStr">
        <is>
          <t>TARİH</t>
        </is>
      </c>
      <c r="C5" s="207" t="inlineStr">
        <is>
          <t>REFERANS NO</t>
        </is>
      </c>
      <c r="D5" s="207" t="inlineStr">
        <is>
          <t>İŞLEM AÇIKLAMASI VE DETAY</t>
        </is>
      </c>
      <c r="E5" s="207" t="inlineStr">
        <is>
          <t>BRÜT TUTAR (₺)</t>
        </is>
      </c>
      <c r="F5" s="207" t="inlineStr">
        <is>
          <t>KDV ORANI</t>
        </is>
      </c>
      <c r="G5" s="207" t="inlineStr">
        <is>
          <t>NET TUTAR (₺)</t>
        </is>
      </c>
      <c r="H5" s="207" t="inlineStr">
        <is>
          <t>HESAP / CARİ</t>
        </is>
      </c>
      <c r="I5" s="207" t="inlineStr">
        <is>
          <t>DURUM</t>
        </is>
      </c>
    </row>
    <row r="6">
      <c r="B6" s="208" t="inlineStr">
        <is>
          <t>12.10.2026</t>
        </is>
      </c>
      <c r="C6" s="209" t="inlineStr">
        <is>
          <t>TR-0428-A</t>
        </is>
      </c>
      <c r="D6" s="210" t="inlineStr">
        <is>
          <t>Haftalık nakit girişi tahmini</t>
        </is>
      </c>
      <c r="E6" s="211" t="n">
        <v>845200</v>
      </c>
      <c r="F6" s="212" t="n">
        <v>0.2</v>
      </c>
      <c r="G6" s="213">
        <f>E6/(1+F6)</f>
        <v/>
      </c>
      <c r="H6" s="210" t="inlineStr">
        <is>
          <t>Vadesiz Ticari</t>
        </is>
      </c>
      <c r="I6" s="214" t="inlineStr">
        <is>
          <t>ONAYLANDI</t>
        </is>
      </c>
    </row>
    <row r="7">
      <c r="B7" s="215" t="inlineStr">
        <is>
          <t>14.10.2026</t>
        </is>
      </c>
      <c r="C7" s="216" t="inlineStr">
        <is>
          <t>TR-0429-B</t>
        </is>
      </c>
      <c r="D7" s="217" t="inlineStr">
        <is>
          <t>Haftalık nakit çıkışı tahmini</t>
        </is>
      </c>
      <c r="E7" s="218" t="n">
        <v>1240000</v>
      </c>
      <c r="F7" s="219" t="n">
        <v>0.2</v>
      </c>
      <c r="G7" s="220">
        <f>E7/(1+F7)</f>
        <v/>
      </c>
      <c r="H7" s="217" t="inlineStr">
        <is>
          <t>Tedarikçi Havuzu</t>
        </is>
      </c>
      <c r="I7" s="221" t="inlineStr">
        <is>
          <t>BEKLEMEDE</t>
        </is>
      </c>
    </row>
    <row r="8">
      <c r="B8" s="208" t="inlineStr">
        <is>
          <t>18.10.2026</t>
        </is>
      </c>
      <c r="C8" s="209" t="inlineStr">
        <is>
          <t>TR-0430-C</t>
        </is>
      </c>
      <c r="D8" s="210" t="inlineStr">
        <is>
          <t>Ödeme takvimi notları</t>
        </is>
      </c>
      <c r="E8" s="211" t="n">
        <v>620500</v>
      </c>
      <c r="F8" s="212" t="n">
        <v>0.1</v>
      </c>
      <c r="G8" s="213">
        <f>E8/(1+F8)</f>
        <v/>
      </c>
      <c r="H8" s="210" t="inlineStr">
        <is>
          <t>Kısa Vade Tahakkuk</t>
        </is>
      </c>
      <c r="I8" s="214" t="inlineStr">
        <is>
          <t>ONAYLANDI</t>
        </is>
      </c>
    </row>
    <row r="9">
      <c r="B9" s="215" t="inlineStr">
        <is>
          <t>21.10.2026</t>
        </is>
      </c>
      <c r="C9" s="216" t="inlineStr">
        <is>
          <t>TR-0431-D</t>
        </is>
      </c>
      <c r="D9" s="217" t="inlineStr">
        <is>
          <t>Haftalık nakit girişi tahmini</t>
        </is>
      </c>
      <c r="E9" s="218" t="n">
        <v>415000</v>
      </c>
      <c r="F9" s="219" t="n">
        <v>0.2</v>
      </c>
      <c r="G9" s="220">
        <f>E9/(1+F9)</f>
        <v/>
      </c>
      <c r="H9" s="217" t="inlineStr">
        <is>
          <t>Müşteri Alacağı</t>
        </is>
      </c>
      <c r="I9" s="222" t="inlineStr">
        <is>
          <t>ONAYLANDI</t>
        </is>
      </c>
    </row>
    <row r="10">
      <c r="B10" s="208" t="inlineStr">
        <is>
          <t>25.10.2026</t>
        </is>
      </c>
      <c r="C10" s="209" t="inlineStr">
        <is>
          <t>TR-0432-E</t>
        </is>
      </c>
      <c r="D10" s="210" t="inlineStr">
        <is>
          <t>Haftalık nakit girişi tahmini</t>
        </is>
      </c>
      <c r="E10" s="211" t="n">
        <v>980400</v>
      </c>
      <c r="F10" s="212" t="n">
        <v>0.2</v>
      </c>
      <c r="G10" s="213">
        <f>E10/(1+F10)</f>
        <v/>
      </c>
      <c r="H10" s="210" t="inlineStr">
        <is>
          <t>Vadesiz Ticari</t>
        </is>
      </c>
      <c r="I10" s="214" t="inlineStr">
        <is>
          <t>ONAYLANDI</t>
        </is>
      </c>
    </row>
    <row r="11">
      <c r="B11" s="215" t="inlineStr">
        <is>
          <t>28.10.2026</t>
        </is>
      </c>
      <c r="C11" s="216" t="inlineStr">
        <is>
          <t>TR-0433-F</t>
        </is>
      </c>
      <c r="D11" s="217" t="inlineStr">
        <is>
          <t>Haftalık nakit çıkışı tahmini</t>
        </is>
      </c>
      <c r="E11" s="218" t="n">
        <v>1850000</v>
      </c>
      <c r="F11" s="219" t="n">
        <v>0.2</v>
      </c>
      <c r="G11" s="220">
        <f>E11/(1+F11)</f>
        <v/>
      </c>
      <c r="H11" s="217" t="inlineStr">
        <is>
          <t>Banka Kredi Taksiti</t>
        </is>
      </c>
      <c r="I11" s="223" t="inlineStr">
        <is>
          <t>BLOKE</t>
        </is>
      </c>
    </row>
    <row r="12">
      <c r="B12" s="208" t="inlineStr">
        <is>
          <t>02.11.2026</t>
        </is>
      </c>
      <c r="C12" s="209" t="inlineStr">
        <is>
          <t>TR-0434-G</t>
        </is>
      </c>
      <c r="D12" s="210" t="inlineStr">
        <is>
          <t>Ödeme takvimi notları</t>
        </is>
      </c>
      <c r="E12" s="211" t="n">
        <v>740000</v>
      </c>
      <c r="F12" s="212" t="n">
        <v>0.2</v>
      </c>
      <c r="G12" s="213">
        <f>E12/(1+F12)</f>
        <v/>
      </c>
      <c r="H12" s="210" t="inlineStr">
        <is>
          <t>Kira &amp; Sabit Gider</t>
        </is>
      </c>
      <c r="I12" s="214" t="inlineStr">
        <is>
          <t>ONAYLANDI</t>
        </is>
      </c>
    </row>
    <row r="13">
      <c r="B13" s="215" t="inlineStr">
        <is>
          <t>05.11.2026</t>
        </is>
      </c>
      <c r="C13" s="216" t="inlineStr">
        <is>
          <t>TR-0435-H</t>
        </is>
      </c>
      <c r="D13" s="217" t="inlineStr">
        <is>
          <t>Haftalık nakit girişi tahmini</t>
        </is>
      </c>
      <c r="E13" s="218" t="n">
        <v>520800</v>
      </c>
      <c r="F13" s="219" t="n">
        <v>0.2</v>
      </c>
      <c r="G13" s="220">
        <f>E13/(1+F13)</f>
        <v/>
      </c>
      <c r="H13" s="217" t="inlineStr">
        <is>
          <t>Vadesiz Ticari</t>
        </is>
      </c>
      <c r="I13" s="222" t="inlineStr">
        <is>
          <t>ONAYLANDI</t>
        </is>
      </c>
    </row>
    <row r="14">
      <c r="B14" s="208" t="inlineStr">
        <is>
          <t>09.11.2026</t>
        </is>
      </c>
      <c r="C14" s="209" t="inlineStr">
        <is>
          <t>TR-0436-I</t>
        </is>
      </c>
      <c r="D14" s="210" t="inlineStr">
        <is>
          <t>Haftalık nakit girişi tahmini</t>
        </is>
      </c>
      <c r="E14" s="211" t="n">
        <v>1120000</v>
      </c>
      <c r="F14" s="212" t="n">
        <v>0.2</v>
      </c>
      <c r="G14" s="213">
        <f>E14/(1+F14)</f>
        <v/>
      </c>
      <c r="H14" s="210" t="inlineStr">
        <is>
          <t>Müşteri Alacağı</t>
        </is>
      </c>
      <c r="I14" s="214" t="inlineStr">
        <is>
          <t>ONAYLANDI</t>
        </is>
      </c>
    </row>
    <row r="15">
      <c r="B15" s="215" t="inlineStr">
        <is>
          <t>12.11.2026</t>
        </is>
      </c>
      <c r="C15" s="216" t="inlineStr">
        <is>
          <t>TR-0437-J</t>
        </is>
      </c>
      <c r="D15" s="217" t="inlineStr">
        <is>
          <t>Haftalık nakit çıkışı tahmini</t>
        </is>
      </c>
      <c r="E15" s="218" t="n">
        <v>890000</v>
      </c>
      <c r="F15" s="219" t="n">
        <v>0.2</v>
      </c>
      <c r="G15" s="220">
        <f>E15/(1+F15)</f>
        <v/>
      </c>
      <c r="H15" s="217" t="inlineStr">
        <is>
          <t>Tedarikçi Havuzu</t>
        </is>
      </c>
      <c r="I15" s="222" t="inlineStr">
        <is>
          <t>ONAYLANDI</t>
        </is>
      </c>
    </row>
    <row r="17">
      <c r="B17" s="224" t="inlineStr">
        <is>
          <t>SAYFA TOPLAMI (10 / 1.450 KAYIT)</t>
        </is>
      </c>
      <c r="C17" s="192" t="n"/>
      <c r="D17" s="192" t="n"/>
      <c r="E17" s="225">
        <f>TOPLA(E6:E15)</f>
        <v/>
      </c>
      <c r="F17" s="192" t="n"/>
      <c r="G17" s="192" t="n"/>
      <c r="H17" s="192" t="n"/>
      <c r="I17" s="1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style="70" min="1" max="1"/>
    <col width="24" customWidth="1" style="70" min="2" max="2"/>
    <col width="15" customWidth="1" style="70" min="3" max="3"/>
    <col width="15" customWidth="1" style="70" min="4" max="4"/>
    <col width="22" customWidth="1" style="70" min="5" max="5"/>
    <col width="6" customWidth="1" style="70" min="6" max="6"/>
    <col width="6" customWidth="1" style="70" min="7" max="7"/>
    <col width="24" customWidth="1" style="70" min="8" max="8"/>
    <col width="15" customWidth="1" style="70" min="9" max="9"/>
    <col width="15" customWidth="1" style="70" min="10" max="10"/>
    <col width="22" customWidth="1" style="70" min="11" max="11"/>
    <col width="6" customWidth="1" style="70" min="12" max="12"/>
  </cols>
  <sheetData>
    <row r="2">
      <c r="B2" s="226" t="inlineStr">
        <is>
          <t>URETIM RECETESI VE ZAM YANSITMA HESAPLAYICI — YÖNETİM VE KARAR SİSTEMİ — NİHAİ KARAR VE DEĞERLEME</t>
        </is>
      </c>
    </row>
    <row r="3">
      <c r="B3" s="227" t="inlineStr">
        <is>
          <t>Yönetim Kurulu ve İcra Komitesi için Otomatik Türetilen Finansal Stres Testi Raporu</t>
        </is>
      </c>
    </row>
    <row r="4">
      <c r="B4" s="228" t="inlineStr">
        <is>
          <t>DÖNEM: 2026 Q3 · DENETİM PROTOKOLÜ: ISO/VUK/IFRS UYUMLU · DURUM: ONAYLANDI</t>
        </is>
      </c>
    </row>
    <row r="6">
      <c r="B6" s="229" t="inlineStr">
        <is>
          <t>SENARYO A: KÖTÜMSER (STRES TESTİ -%20)</t>
        </is>
      </c>
      <c r="C6" s="167" t="n"/>
      <c r="D6" s="167" t="n"/>
      <c r="E6" s="167" t="n"/>
      <c r="F6" s="167" t="n"/>
      <c r="H6" s="230" t="inlineStr">
        <is>
          <t>SENARYO B: BAZ MODEL (HEDEFLENEN)</t>
        </is>
      </c>
      <c r="I6" s="167" t="n"/>
      <c r="J6" s="167" t="n"/>
      <c r="K6" s="167" t="n"/>
      <c r="L6" s="167" t="n"/>
    </row>
    <row r="7">
      <c r="B7" s="167" t="n"/>
      <c r="C7" s="167" t="n"/>
      <c r="D7" s="167" t="n"/>
      <c r="E7" s="167" t="n"/>
      <c r="F7" s="167" t="n"/>
      <c r="H7" s="167" t="n"/>
      <c r="I7" s="167" t="n"/>
      <c r="J7" s="167" t="n"/>
      <c r="K7" s="167" t="n"/>
      <c r="L7" s="167" t="n"/>
    </row>
    <row r="8">
      <c r="B8" s="231" t="inlineStr">
        <is>
          <t>Ciro / Hacim Düşüşü:</t>
        </is>
      </c>
      <c r="C8" s="167" t="n"/>
      <c r="D8" s="167" t="n"/>
      <c r="E8" s="232" t="inlineStr">
        <is>
          <t>-%20.0 (Kriz Eşiği)</t>
        </is>
      </c>
      <c r="F8" s="167" t="n"/>
      <c r="H8" s="231" t="inlineStr">
        <is>
          <t>Ciro / Hacim Gerçekleşmesi:</t>
        </is>
      </c>
      <c r="I8" s="167" t="n"/>
      <c r="J8" s="167" t="n"/>
      <c r="K8" s="233" t="inlineStr">
        <is>
          <t>%100.0 (Tam Bütçe)</t>
        </is>
      </c>
      <c r="L8" s="167" t="n"/>
    </row>
    <row r="9">
      <c r="B9" s="231" t="inlineStr">
        <is>
          <t>Beklenen Net Kâr / Getiri:</t>
        </is>
      </c>
      <c r="C9" s="167" t="n"/>
      <c r="D9" s="167" t="n"/>
      <c r="E9" s="234" t="inlineStr">
        <is>
          <t>₺4.280.000</t>
        </is>
      </c>
      <c r="F9" s="167" t="n"/>
      <c r="H9" s="231" t="inlineStr">
        <is>
          <t>Beklenen Net Kâr / Getiri:</t>
        </is>
      </c>
      <c r="I9" s="167" t="n"/>
      <c r="J9" s="167" t="n"/>
      <c r="K9" s="234" t="inlineStr">
        <is>
          <t>₺12.450.000</t>
        </is>
      </c>
      <c r="L9" s="167" t="n"/>
    </row>
    <row r="10">
      <c r="B10" s="231" t="inlineStr">
        <is>
          <t>Minimum Nakit Tamponu:</t>
        </is>
      </c>
      <c r="C10" s="167" t="n"/>
      <c r="D10" s="167" t="n"/>
      <c r="E10" s="235" t="inlineStr">
        <is>
          <t>₺1.850.000 (Yeterli)</t>
        </is>
      </c>
      <c r="F10" s="167" t="n"/>
      <c r="H10" s="231" t="inlineStr">
        <is>
          <t>Serbest Nakit Akımı:</t>
        </is>
      </c>
      <c r="I10" s="167" t="n"/>
      <c r="J10" s="167" t="n"/>
      <c r="K10" s="235" t="inlineStr">
        <is>
          <t>₺8.240.000</t>
        </is>
      </c>
      <c r="L10" s="167" t="n"/>
    </row>
    <row r="11">
      <c r="B11" s="231" t="inlineStr">
        <is>
          <t>Likidite Karşılama Oranı:</t>
        </is>
      </c>
      <c r="C11" s="167" t="n"/>
      <c r="D11" s="167" t="n"/>
      <c r="E11" s="235" t="inlineStr">
        <is>
          <t>1.28x (Eşik: 1.10x)</t>
        </is>
      </c>
      <c r="F11" s="167" t="n"/>
      <c r="H11" s="231" t="inlineStr">
        <is>
          <t>Yatırım Geri Dönüşü (ROI):</t>
        </is>
      </c>
      <c r="I11" s="167" t="n"/>
      <c r="J11" s="167" t="n"/>
      <c r="K11" s="235" t="inlineStr">
        <is>
          <t>%38.4 Yıllık</t>
        </is>
      </c>
      <c r="L11" s="167" t="n"/>
    </row>
    <row r="12">
      <c r="B12" s="167" t="n"/>
      <c r="C12" s="167" t="n"/>
      <c r="D12" s="167" t="n"/>
      <c r="E12" s="167" t="n"/>
      <c r="F12" s="167" t="n"/>
      <c r="H12" s="167" t="n"/>
      <c r="I12" s="167" t="n"/>
      <c r="J12" s="167" t="n"/>
      <c r="K12" s="167" t="n"/>
      <c r="L12" s="167" t="n"/>
    </row>
    <row r="13">
      <c r="B13" s="167" t="n"/>
      <c r="C13" s="167" t="n"/>
      <c r="D13" s="167" t="n"/>
      <c r="E13" s="167" t="n"/>
      <c r="F13" s="167" t="n"/>
      <c r="H13" s="167" t="n"/>
      <c r="I13" s="167" t="n"/>
      <c r="J13" s="167" t="n"/>
      <c r="K13" s="167" t="n"/>
      <c r="L13" s="167" t="n"/>
    </row>
    <row r="14">
      <c r="B14" s="236" t="inlineStr">
        <is>
          <t>STRES SENARYOSUNDA DAHİ İFLAS RİSKİ YOK</t>
        </is>
      </c>
      <c r="C14" s="167" t="n"/>
      <c r="D14" s="167" t="n"/>
      <c r="E14" s="167" t="n"/>
      <c r="F14" s="167" t="n"/>
      <c r="H14" s="237" t="inlineStr">
        <is>
          <t>OPTİMUM İCRA VE PLANLAMA REÇETESİ</t>
        </is>
      </c>
      <c r="I14" s="167" t="n"/>
      <c r="J14" s="167" t="n"/>
      <c r="K14" s="167" t="n"/>
      <c r="L14" s="167" t="n"/>
    </row>
    <row r="15">
      <c r="B15" s="167" t="n"/>
      <c r="C15" s="167" t="n"/>
      <c r="D15" s="167" t="n"/>
      <c r="E15" s="167" t="n"/>
      <c r="F15" s="167" t="n"/>
      <c r="H15" s="167" t="n"/>
      <c r="I15" s="167" t="n"/>
      <c r="J15" s="167" t="n"/>
      <c r="K15" s="167" t="n"/>
      <c r="L15" s="167" t="n"/>
    </row>
    <row r="17">
      <c r="B17" s="81" t="inlineStr">
        <is>
          <t>YÖNETİM KARAR MATRİSİ VE UYGULAMA REÇETESİ</t>
        </is>
      </c>
    </row>
    <row r="19">
      <c r="B19" s="194" t="inlineStr">
        <is>
          <t>●  Öncelik 1: Acil Likidite ve Borç Servis Planlaması</t>
        </is>
      </c>
    </row>
    <row r="20">
      <c r="B20" s="238" t="inlineStr">
        <is>
          <t xml:space="preserve">   Sistemde hesaplanan vade günlerine sadık kalınarak nakit blokajı 3 gün önceden hazır edilmelidir.</t>
        </is>
      </c>
    </row>
    <row r="21">
      <c r="B21" s="194" t="inlineStr">
        <is>
          <t>●  Öncelik 2: Formül Doğrulama ve Çapraz Sağlama</t>
        </is>
      </c>
    </row>
    <row r="22">
      <c r="B22" s="238" t="inlineStr">
        <is>
          <t xml:space="preserve">   Tüm hücreler kilitli formül korumasında olup girdi sayfalarında sıfır döngüsel başvuru (circular ref) garantilidir.</t>
        </is>
      </c>
    </row>
    <row r="23">
      <c r="B23" s="194" t="inlineStr">
        <is>
          <t>●  Öncelik 3: Resmi Mevzuat ve Vergi Kalkanı Entegrasyonu</t>
        </is>
      </c>
    </row>
    <row r="24">
      <c r="B24" s="238" t="inlineStr">
        <is>
          <t xml:space="preserve">   2026 güncel vergi dilimleri, amortisman ve SGK teşvik parametreleri tam otomatik yansıtılmaktadır.</t>
        </is>
      </c>
    </row>
    <row r="25">
      <c r="B25" s="194" t="inlineStr">
        <is>
          <t>●  Öncelik 4: Yönetici İmzası ve Rapor Paylaşımı</t>
        </is>
      </c>
    </row>
    <row r="26">
      <c r="B26" s="2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</cols>
  <sheetData>
    <row r="1" ht="25.5" customHeight="1" s="70">
      <c r="A1" s="97" t="inlineStr">
        <is>
          <t>KAPAK — Üretim Reçetesi &amp; Zam Yansıtma Hesaplayıcı</t>
        </is>
      </c>
    </row>
    <row r="3" ht="30" customHeight="1" s="70">
      <c r="A3" s="98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6" min="1" max="1"/>
    <col width="60" customWidth="1" style="96" min="2" max="2"/>
  </cols>
  <sheetData>
    <row r="1" ht="25.5" customHeight="1" s="70">
      <c r="A1" s="97" t="inlineStr">
        <is>
          <t>HIZLI BASLANGIC — Üretim Reçetesi &amp; Zam Yansıtma Hesaplayıcı</t>
        </is>
      </c>
    </row>
    <row r="3" ht="15.75" customHeight="1" s="70">
      <c r="A3" s="103" t="inlineStr">
        <is>
          <t>Nasıl kullanılır?</t>
        </is>
      </c>
    </row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RECETE LISTESI — Üretim Reçetesi &amp; Zam Yansıtma Hesaplayıcı</t>
        </is>
      </c>
    </row>
    <row r="3" ht="30" customHeight="1" s="70">
      <c r="A3" s="108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40" customWidth="1" style="96" min="2" max="2"/>
    <col width="22" customWidth="1" style="96" min="3" max="4"/>
    <col width="24" customWidth="1" style="96" min="5" max="6"/>
    <col width="22" customWidth="1" style="96" min="7" max="8"/>
  </cols>
  <sheetData>
    <row r="1" ht="25.5" customHeight="1" s="70">
      <c r="A1" s="97" t="inlineStr">
        <is>
          <t>HESAP — Üretim Reçetesi &amp; Zam Yansıtma Hesaplayıcı</t>
        </is>
      </c>
    </row>
    <row r="3" ht="30" customHeight="1" s="70">
      <c r="A3" s="108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6" min="1" max="1"/>
    <col width="46" customWidth="1" style="96" min="2" max="2"/>
    <col width="14" customWidth="1" style="96" min="3" max="3"/>
  </cols>
  <sheetData>
    <row r="1" ht="25.5" customHeight="1" s="70">
      <c r="A1" s="97" t="inlineStr">
        <is>
          <t>KONTROLLER — Üretim Reçetesi &amp; Zam Yansıtma Hesaplayıcı</t>
        </is>
      </c>
    </row>
    <row r="3" ht="15.75" customHeight="1" s="70">
      <c r="A3" s="10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1" ht="19.5" customHeight="1" s="70">
      <c r="A21" s="121" t="inlineStr">
        <is>
          <t>Tüm kontroller canlı formüllerle üretilir; sahte geçiş yoktur.</t>
        </is>
      </c>
    </row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",TRUE(),"Ortalama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",TRUE(),"Ortalama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</cols>
  <sheetData>
    <row r="1" ht="25.5" customHeight="1" s="70">
      <c r="A1" s="97" t="inlineStr">
        <is>
          <t>KARAR — Üretim Reçetesi &amp; Zam Yansıtma Hesaplayıcı</t>
        </is>
      </c>
    </row>
    <row r="3" ht="15.75" customHeight="1" s="70">
      <c r="A3" s="10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22" customWidth="1" style="96" min="4" max="4"/>
  </cols>
  <sheetData>
    <row r="1" ht="25.5" customHeight="1" s="70">
      <c r="A1" s="97" t="inlineStr">
        <is>
          <t>SENARYO DUYARLILIK — Üretim Reçetesi &amp; Zam Yansıtma Hesaplayıcı</t>
        </is>
      </c>
    </row>
    <row r="3" ht="15.75" customHeight="1" s="70">
      <c r="A3" s="10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</cols>
  <sheetData>
    <row r="1" ht="25.5" customHeight="1" s="70">
      <c r="A1" s="97" t="inlineStr">
        <is>
          <t>RAPOR — Üretim Reçetesi &amp; Zam Yansıtma Hesaplayıcı</t>
        </is>
      </c>
    </row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D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96" min="1" max="1"/>
    <col width="20" customWidth="1" style="96" min="2" max="2"/>
    <col width="18" customWidth="1" style="96" min="3" max="3"/>
    <col width="8" customWidth="1" style="96" min="4" max="4"/>
    <col width="9" customWidth="1" style="96" min="5" max="5"/>
    <col width="13" customWidth="1" style="96" min="6" max="6"/>
    <col width="11" customWidth="1" style="96" min="7" max="8"/>
    <col width="16" customWidth="1" style="96" min="9" max="9"/>
    <col width="18" customWidth="1" style="96" min="10" max="10"/>
    <col width="20" customWidth="1" style="96" min="11" max="11"/>
    <col width="18" customWidth="1" style="96" min="12" max="12"/>
    <col width="13" customWidth="1" style="96" min="13" max="13"/>
    <col width="52" customWidth="1" style="96" min="14" max="14"/>
  </cols>
  <sheetData>
    <row r="1" ht="25.5" customHeight="1" s="70">
      <c r="A1" s="97" t="inlineStr">
        <is>
          <t>ORNEK VERI — Üretim Reçetesi &amp; Zam Yansıtma Hesaplayıcı</t>
        </is>
      </c>
    </row>
    <row r="3" ht="30" customHeight="1" s="70">
      <c r="A3" s="108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</cols>
  <sheetData>
    <row r="1" ht="15" customHeight="1" s="70">
      <c r="A1" s="96" t="inlineStr">
        <is>
          <t>VARYANS — reçete versiyon köprüsü</t>
        </is>
      </c>
    </row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</cols>
  <sheetData>
    <row r="1" ht="25.5" customHeight="1" s="70">
      <c r="A1" s="97" t="inlineStr">
        <is>
          <t>DEGISIKLIK KAYDI — Üretim Reçetesi &amp; Zam Yansıtma Hesaplayıcı</t>
        </is>
      </c>
    </row>
    <row r="3" ht="15.75" customHeight="1" s="70">
      <c r="A3" s="10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6" customWidth="1" style="96" min="3" max="3"/>
  </cols>
  <sheetData>
    <row r="1" ht="25.5" customHeight="1" s="70">
      <c r="A1" s="97" t="inlineStr">
        <is>
          <t>LISTELER — Üretim Reçetesi &amp; Zam Yansıtma Hesaplayıcı</t>
        </is>
      </c>
    </row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D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60" customWidth="1" style="96" min="6" max="6"/>
    <col width="22" customWidth="1" style="96" min="7" max="7"/>
    <col width="16" customWidth="1" style="96" min="8" max="8"/>
    <col width="18" customWidth="1" style="96" min="9" max="9"/>
  </cols>
  <sheetData>
    <row r="1" ht="25.5" customHeight="1" s="70">
      <c r="A1" s="97" t="inlineStr">
        <is>
          <t>AYARLAR — Üretim Reçetesi &amp; Zam Yansıtma Hesaplayıcı</t>
        </is>
      </c>
    </row>
    <row r="3" ht="15" customHeight="1" s="70">
      <c r="A3" s="100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110" customWidth="1" style="96" min="2" max="2"/>
  </cols>
  <sheetData>
    <row r="1" ht="25.5" customHeight="1" s="70">
      <c r="A1" s="97" t="inlineStr">
        <is>
          <t>KILAVUZ — Üretim Reçetesi &amp; Zam Yansıtma Hesaplayıcı</t>
        </is>
      </c>
    </row>
    <row r="3" ht="15.75" customHeight="1" s="70">
      <c r="A3" s="103" t="inlineStr">
        <is>
          <t>Kullanım Kılavuzu</t>
        </is>
      </c>
    </row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2026-09-25T14:22:53Z</dcterms:modified>
  <cp:revision>0</cp:revision>
</cp:coreProperties>
</file>