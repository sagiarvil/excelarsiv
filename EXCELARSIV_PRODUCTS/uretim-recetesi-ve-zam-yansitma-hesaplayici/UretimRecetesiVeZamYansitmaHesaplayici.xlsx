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RECETE_LISTESI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KONTROLLER" sheetId="8" state="hidden" r:id="rId8"/>
    <sheet xmlns:r="http://schemas.openxmlformats.org/officeDocument/2006/relationships" name="KARAR" sheetId="9" state="hidden" r:id="rId9"/>
    <sheet xmlns:r="http://schemas.openxmlformats.org/officeDocument/2006/relationships" name="PANO" sheetId="10" state="hidden" r:id="rId10"/>
    <sheet xmlns:r="http://schemas.openxmlformats.org/officeDocument/2006/relationships" name="SENARYO_DUYARLILIK" sheetId="11" state="hidden" r:id="rId11"/>
    <sheet xmlns:r="http://schemas.openxmlformats.org/officeDocument/2006/relationships" name="RAPO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VARYANS" sheetId="14" state="hidden" r:id="rId14"/>
    <sheet xmlns:r="http://schemas.openxmlformats.org/officeDocument/2006/relationships" name="DEGISIKLIK_KAYDI" sheetId="15" state="hidden" r:id="rId15"/>
    <sheet xmlns:r="http://schemas.openxmlformats.org/officeDocument/2006/relationships" name="LISTELER" sheetId="16" state="hidden" r:id="rId16"/>
    <sheet xmlns:r="http://schemas.openxmlformats.org/officeDocument/2006/relationships" name="AYARLAR" sheetId="17" state="hidden" r:id="rId17"/>
    <sheet xmlns:r="http://schemas.openxmlformats.org/officeDocument/2006/relationships" name="KILAVUZ" sheetId="18" state="hidden" r:id="rId18"/>
  </sheets>
  <definedNames>
    <definedName name="AMBALAJ" hidden="0" function="0" vbProcedure="0">HESAP!$B$53</definedName>
    <definedName name="GENEL_GIDER" hidden="0" function="0" vbProcedure="0">HESAP!$B$54</definedName>
    <definedName name="HAMMADDE" hidden="0" function="0" vbProcedure="0">HESAP!$B$51</definedName>
    <definedName name="ISCILIK" hidden="0" function="0" vbProcedure="0">HESAP!$B$52</definedName>
    <definedName name="ListeBirimler" hidden="0" function="0" vbProcedure="0">LISTELER!$C$7:$C$12</definedName>
    <definedName name="ListeHammaddeler" hidden="0" function="0" vbProcedure="0">LISTELER!$A$7:$A$15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rSapmasi" hidden="0" function="0" vbProcedure="0">KONTROLLER!$C$26</definedName>
    <definedName name="modulO1KarSapmasiYorum" hidden="0" function="0" vbProcedure="0">KONTROLLER!$D$26</definedName>
    <definedName name="modulO2EnYuksekFark" hidden="0" function="0" vbProcedure="0">KONTROLLER!$C$27</definedName>
    <definedName name="modulO2EnYuksekFark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Zam" hidden="0" function="0" vbProcedure="0">KONTROLLER!$C$25</definedName>
    <definedName name="modulT2OrtZamYorum" hidden="0" function="0" vbProcedure="0">KONTROLLER!$D$25</definedName>
    <definedName name="UreticiAksiyon1_ACIKLAMA" hidden="0" function="0" vbProcedure="0">AYARLAR!$B$29</definedName>
    <definedName name="UreticiAksiyon2_ACIKLAMA" hidden="0" function="0" vbProcedure="0">AYARLAR!$B$30</definedName>
    <definedName name="UreticiAksiyon3_ACIKLAMA" hidden="0" function="0" vbProcedure="0">AYARLAR!$B$31</definedName>
    <definedName name="UreticiDosyaSurumu" hidden="0" function="0" vbProcedure="0">AYARLAR!$B$10</definedName>
    <definedName name="UreticiFireKritikOran" hidden="0" function="0" vbProcedure="0">AYARLAR!$B$13</definedName>
    <definedName name="UreticiFirmaUnvan" hidden="0" function="0" vbProcedure="0">AYARLAR!$B$7</definedName>
    <definedName name="UreticiGugOran" hidden="0" function="0" vbProcedure="0">AYARLAR!$B$15</definedName>
    <definedName name="UreticiHedefMarjOran" hidden="0" function="0" vbProcedure="0">AYARLAR!$B$11</definedName>
    <definedName name="UreticiIscilikOran" hidden="0" function="0" vbProcedure="0">AYARLAR!$B$14</definedName>
    <definedName name="UreticiKaliteIyi" hidden="0" function="0" vbProcedure="0">AYARLAR!$B$21</definedName>
    <definedName name="UreticiKaliteOrta" hidden="0" function="0" vbProcedure="0">AYARLAR!$B$22</definedName>
    <definedName name="UreticiMalzemePayEsik" hidden="0" function="0" vbProcedure="0">AYARLAR!$B$23</definedName>
    <definedName name="UreticiP90Oran" hidden="0" function="0" vbProcedure="0">AYARLAR!$B$24</definedName>
    <definedName name="UreticiPanelSatir_1" hidden="0" function="0" vbProcedure="0">AYARLAR!$B$33</definedName>
    <definedName name="UreticiPanelSatir_10" hidden="0" function="0" vbProcedure="0">AYARLAR!$B$42</definedName>
    <definedName name="UreticiPanelSatir_11" hidden="0" function="0" vbProcedure="0">AYARLAR!$B$43</definedName>
    <definedName name="UreticiPanelSatir_12" hidden="0" function="0" vbProcedure="0">AYARLAR!$B$44</definedName>
    <definedName name="UreticiPanelSatir_2" hidden="0" function="0" vbProcedure="0">AYARLAR!$B$34</definedName>
    <definedName name="UreticiPanelSatir_3" hidden="0" function="0" vbProcedure="0">AYARLAR!$B$35</definedName>
    <definedName name="UreticiPanelSatir_4" hidden="0" function="0" vbProcedure="0">AYARLAR!$B$36</definedName>
    <definedName name="UreticiPanelSatir_5" hidden="0" function="0" vbProcedure="0">AYARLAR!$B$37</definedName>
    <definedName name="UreticiPanelSatir_6" hidden="0" function="0" vbProcedure="0">AYARLAR!$B$38</definedName>
    <definedName name="UreticiPanelSatir_7" hidden="0" function="0" vbProcedure="0">AYARLAR!$B$39</definedName>
    <definedName name="UreticiPanelSatir_8" hidden="0" function="0" vbProcedure="0">AYARLAR!$B$40</definedName>
    <definedName name="UreticiPanelSatir_9" hidden="0" function="0" vbProcedure="0">AYARLAR!$B$41</definedName>
    <definedName name="UreticiRaporHazirlayan" hidden="0" function="0" vbProcedure="0">AYARLAR!$B$9</definedName>
    <definedName name="UreticiRaporTarihi" hidden="0" function="0" vbProcedure="0">AYARLAR!$B$8</definedName>
    <definedName name="UreticiSenBazZam" hidden="0" function="0" vbProcedure="0">AYARLAR!$B$17</definedName>
    <definedName name="UreticiSenIyiZam" hidden="0" function="0" vbProcedure="0">AYARLAR!$B$16</definedName>
    <definedName name="UreticiSenKotuZam" hidden="0" function="0" vbProcedure="0">AYARLAR!$B$18</definedName>
    <definedName name="UreticiSenKritikZam" hidden="0" function="0" vbProcedure="0">AYARLAR!$B$19</definedName>
    <definedName name="UreticiTahminCarpan" hidden="0" function="0" vbProcedure="0">AYARLAR!$B$20</definedName>
    <definedName name="UreticiTemelKolonSayisi" hidden="0" function="0" vbProcedure="0">AYARLAR!$B$25</definedName>
    <definedName name="UreticiTornadoFireOran" hidden="0" function="0" vbProcedure="0">AYARLAR!$B$27</definedName>
    <definedName name="UreticiTornadoUnOran" hidden="0" function="0" vbProcedure="0">AYARLAR!$B$26</definedName>
    <definedName name="UreticiYuksekMaliyetEsik" hidden="0" function="0" vbProcedure="0">AYARLAR!$B$28</definedName>
    <definedName name="UreticiZamYansitmaEsik" hidden="0" function="0" vbProcedure="0">AYARLAR!$B$12</definedName>
    <definedName name="UretimEnYuksekArtis" hidden="0" function="0" vbProcedure="0">HESAP!$B$23</definedName>
    <definedName name="UretimGenelArtisOrani" hidden="0" function="0" vbProcedure="0">HESAP!$B$20</definedName>
    <definedName name="UretimHedefFiyatEnYuksek" hidden="0" function="0" vbProcedure="0">HESAP!$I$9</definedName>
    <definedName name="UretimKarar" hidden="0" function="0" vbProcedure="0">KARAR!$B$11</definedName>
    <definedName name="UretimProjX" hidden="0" function="0" vbProcedure="0">HESAP!$A$46:$A$49</definedName>
    <definedName name="UretimToplamZamSonrasiMaliyet" hidden="0" function="0" vbProcedure="0">HESAP!$B$15</definedName>
    <definedName name="_xlnm.Print_Area" localSheetId="8">'KARAR'!$A$1:$B$19</definedName>
    <definedName name="_xlnm.Print_Area" localSheetId="9">'PANO'!$A$1:$M$52</definedName>
    <definedName name="_xlnm.Print_Area" localSheetId="10">'SENARYO_DUYARLILIK'!$A$1:$D$10</definedName>
    <definedName name="_xlnm.Print_Area" localSheetId="11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</numFmts>
  <fonts count="4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8B855"/>
      <rgbColor rgb="FFFFCC00"/>
      <rgbColor rgb="FFFF9900"/>
      <rgbColor rgb="FFC0504D"/>
      <rgbColor rgb="FF725990"/>
      <rgbColor rgb="FF8AA64F"/>
      <rgbColor rgb="FF0F2742"/>
      <rgbColor rgb="FF4299B0"/>
      <rgbColor rgb="FF003300"/>
      <rgbColor rgb="FF595959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Bazlı Eski ve Yeni Maliyet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Eski Maliyet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UR-01 Sade Poğaça</v>
                </pt>
                <pt idx="1">
                  <v>UR-02 Tam Buğday Ekmeği</v>
                </pt>
                <pt idx="2">
                  <v>UR-03 Açma</v>
                </pt>
                <pt idx="3">
                  <v>UR-04 Simit</v>
                </pt>
                <pt idx="4">
                  <v>None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3.806</v>
                </pt>
                <pt idx="1">
                  <v>1.844</v>
                </pt>
                <pt idx="2">
                  <v>5.29</v>
                </pt>
                <pt idx="3">
                  <v>2.44</v>
                </pt>
              </numCache>
            </numRef>
          </val>
        </ser>
        <ser>
          <idx val="1"/>
          <order val="1"/>
          <tx>
            <strRef>
              <f>PANO!C10</f>
              <strCache>
                <ptCount val="1"/>
                <pt idx="0">
                  <v>Yeni Maliyet (TL)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UR-01 Sade Poğaça</v>
                </pt>
                <pt idx="1">
                  <v>UR-02 Tam Buğday Ekmeği</v>
                </pt>
                <pt idx="2">
                  <v>UR-03 Açma</v>
                </pt>
                <pt idx="3">
                  <v>UR-04 Simit</v>
                </pt>
                <pt idx="4">
                  <v>None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4.3151244</v>
                </pt>
                <pt idx="1">
                  <v>2.1905136</v>
                </pt>
                <pt idx="2">
                  <v>5.953353</v>
                </pt>
                <pt idx="3">
                  <v>2.809818</v>
                </pt>
              </numCache>
            </numRef>
          </val>
        </ser>
        <gapWidth val="150"/>
        <overlap val="0"/>
        <axId val="1092939"/>
        <axId val="72783692"/>
      </barChart>
      <catAx>
        <axId val="109293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2783692"/>
        <crosses val="autoZero"/>
        <auto val="1"/>
        <lblAlgn val="ctr"/>
        <lblOffset val="100"/>
        <noMultiLvlLbl val="0"/>
      </catAx>
      <valAx>
        <axId val="727836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09293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Bazlı Maliyet Artışı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PANO!D10</f>
              <strCache>
                <ptCount val="1"/>
                <pt idx="0">
                  <v>Maliyet Artışı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UR-01 Sade Poğaça</v>
                </pt>
                <pt idx="1">
                  <v>UR-02 Tam Buğday Ekmeği</v>
                </pt>
                <pt idx="2">
                  <v>UR-03 Açma</v>
                </pt>
                <pt idx="3">
                  <v>UR-04 Simit</v>
                </pt>
                <pt idx="4">
                  <v>None</v>
                </pt>
              </strCache>
            </strRef>
          </cat>
          <val>
            <numRef>
              <f>PANO!$D$11:$D$15</f>
              <numCache>
                <formatCode>"₺ "#,##0;[RED]"(₺ "#,##0\);\-</formatCode>
                <ptCount val="5"/>
                <pt idx="0">
                  <v>0.3571044</v>
                </pt>
                <pt idx="1">
                  <v>0.2574336</v>
                </pt>
                <pt idx="2">
                  <v>0.459153</v>
                </pt>
                <pt idx="3">
                  <v>0.242118</v>
                </pt>
              </numCache>
            </numRef>
          </val>
        </ser>
        <gapWidth val="150"/>
        <overlap val="0"/>
        <axId val="74155943"/>
        <axId val="57828852"/>
      </barChart>
      <catAx>
        <axId val="7415594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7828852"/>
        <crosses val="autoZero"/>
        <auto val="1"/>
        <lblAlgn val="ctr"/>
        <lblOffset val="100"/>
        <noMultiLvlLbl val="0"/>
      </catAx>
      <valAx>
        <axId val="578288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415594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Bazlı Maliyet Artış Oranı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PANO!E10</f>
              <strCache>
                <ptCount val="1"/>
                <pt idx="0">
                  <v>Artış Oranı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UR-01 Sade Poğaça</v>
                </pt>
                <pt idx="1">
                  <v>UR-02 Tam Buğday Ekmeği</v>
                </pt>
                <pt idx="2">
                  <v>UR-03 Açma</v>
                </pt>
                <pt idx="3">
                  <v>UR-04 Simit</v>
                </pt>
                <pt idx="4">
                  <v>None</v>
                </pt>
              </strCache>
            </strRef>
          </cat>
          <val>
            <numRef>
              <f>PANO!$E$11:$E$15</f>
              <numCache>
                <formatCode>0.0%;[RED]\(0.0%\);\-</formatCode>
                <ptCount val="5"/>
                <pt idx="0">
                  <v>0.0902229902830203</v>
                </pt>
                <pt idx="1">
                  <v>0.133172760568626</v>
                </pt>
                <pt idx="2">
                  <v>0.083570492519384</v>
                </pt>
                <pt idx="3">
                  <v>0.09429372590255861</v>
                </pt>
              </numCache>
            </numRef>
          </val>
        </ser>
        <gapWidth val="150"/>
        <overlap val="0"/>
        <axId val="52579702"/>
        <axId val="88559491"/>
      </barChart>
      <catAx>
        <axId val="5257970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8559491"/>
        <crosses val="autoZero"/>
        <auto val="1"/>
        <lblAlgn val="ctr"/>
        <lblOffset val="100"/>
        <noMultiLvlLbl val="0"/>
      </catAx>
      <valAx>
        <axId val="885594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257970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Hammadde Bazlı Zam Sonrası Maliyet Payı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PANO!C18</f>
              <strCache>
                <ptCount val="1"/>
                <pt idx="0">
                  <v>Zam Sonrası Tutar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PANO!$A$19:$A$26</f>
              <strCache>
                <ptCount val="8"/>
                <pt idx="0">
                  <v>Un</v>
                </pt>
                <pt idx="1">
                  <v>Tam Buğday Unu</v>
                </pt>
                <pt idx="2">
                  <v>Margarin</v>
                </pt>
                <pt idx="3">
                  <v>Yumurta</v>
                </pt>
                <pt idx="4">
                  <v>Maya</v>
                </pt>
                <pt idx="5">
                  <v>Şeker</v>
                </pt>
                <pt idx="6">
                  <v>Susam</v>
                </pt>
                <pt idx="7">
                  <v>Tuz</v>
                </pt>
              </strCache>
            </strRef>
          </cat>
          <val>
            <numRef>
              <f>PANO!$C$19:$C$26</f>
              <numCache>
                <formatCode>"₺ "#,##0;[RED]"(₺ "#,##0\);\-</formatCode>
                <ptCount val="8"/>
                <pt idx="0">
                  <v>5.0715</v>
                </pt>
                <pt idx="1">
                  <v>0.588</v>
                </pt>
                <pt idx="2">
                  <v>5.0058</v>
                </pt>
                <pt idx="3">
                  <v>2.480625</v>
                </pt>
                <pt idx="4">
                  <v>0.417768</v>
                </pt>
                <pt idx="5">
                  <v>0.31518</v>
                </pt>
                <pt idx="6">
                  <v>1.34832</v>
                </pt>
                <pt idx="7">
                  <v>0.041616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Hammadde Bazlı Eski ve Zam Sonrası Tutar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PANO!B18</f>
              <strCache>
                <ptCount val="1"/>
                <pt idx="0">
                  <v>Eski Tutar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PANO!$A$19:$A$26</f>
              <strCache>
                <ptCount val="8"/>
                <pt idx="0">
                  <v>Un</v>
                </pt>
                <pt idx="1">
                  <v>Tam Buğday Unu</v>
                </pt>
                <pt idx="2">
                  <v>Margarin</v>
                </pt>
                <pt idx="3">
                  <v>Yumurta</v>
                </pt>
                <pt idx="4">
                  <v>Maya</v>
                </pt>
                <pt idx="5">
                  <v>Şeker</v>
                </pt>
                <pt idx="6">
                  <v>Susam</v>
                </pt>
                <pt idx="7">
                  <v>Tuz</v>
                </pt>
              </strCache>
            </strRef>
          </cat>
          <val>
            <numRef>
              <f>PANO!$B$19:$B$26</f>
              <numCache>
                <formatCode>"₺ "#,##0;[RED]"(₺ "#,##0\);\-</formatCode>
                <ptCount val="8"/>
                <pt idx="0">
                  <v>4.2</v>
                </pt>
                <pt idx="1">
                  <v>0.5</v>
                </pt>
                <pt idx="2">
                  <v>4.5</v>
                </pt>
                <pt idx="3">
                  <v>2.25</v>
                </pt>
                <pt idx="4">
                  <v>0.39</v>
                </pt>
                <pt idx="5">
                  <v>0.3</v>
                </pt>
                <pt idx="6">
                  <v>1.2</v>
                </pt>
                <pt idx="7">
                  <v>0.04</v>
                </pt>
              </numCache>
            </numRef>
          </val>
        </ser>
        <ser>
          <idx val="1"/>
          <order val="1"/>
          <tx>
            <strRef>
              <f>PANO!C18</f>
              <strCache>
                <ptCount val="1"/>
                <pt idx="0">
                  <v>Zam Sonrası Tutar (TL)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PANO!$A$19:$A$26</f>
              <strCache>
                <ptCount val="8"/>
                <pt idx="0">
                  <v>Un</v>
                </pt>
                <pt idx="1">
                  <v>Tam Buğday Unu</v>
                </pt>
                <pt idx="2">
                  <v>Margarin</v>
                </pt>
                <pt idx="3">
                  <v>Yumurta</v>
                </pt>
                <pt idx="4">
                  <v>Maya</v>
                </pt>
                <pt idx="5">
                  <v>Şeker</v>
                </pt>
                <pt idx="6">
                  <v>Susam</v>
                </pt>
                <pt idx="7">
                  <v>Tuz</v>
                </pt>
              </strCache>
            </strRef>
          </cat>
          <val>
            <numRef>
              <f>PANO!$C$19:$C$26</f>
              <numCache>
                <formatCode>"₺ "#,##0;[RED]"(₺ "#,##0\);\-</formatCode>
                <ptCount val="8"/>
                <pt idx="0">
                  <v>5.0715</v>
                </pt>
                <pt idx="1">
                  <v>0.588</v>
                </pt>
                <pt idx="2">
                  <v>5.0058</v>
                </pt>
                <pt idx="3">
                  <v>2.480625</v>
                </pt>
                <pt idx="4">
                  <v>0.417768</v>
                </pt>
                <pt idx="5">
                  <v>0.31518</v>
                </pt>
                <pt idx="6">
                  <v>1.34832</v>
                </pt>
                <pt idx="7">
                  <v>0.041616</v>
                </pt>
              </numCache>
            </numRef>
          </val>
        </ser>
        <gapWidth val="150"/>
        <overlap val="0"/>
        <axId val="21307347"/>
        <axId val="96290553"/>
      </barChart>
      <catAx>
        <axId val="2130734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290553"/>
        <crosses val="autoZero"/>
        <auto val="1"/>
        <lblAlgn val="ctr"/>
        <lblOffset val="100"/>
        <noMultiLvlLbl val="0"/>
      </catAx>
      <valAx>
        <axId val="9629055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130734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Bazlı Maliyet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PANO!B28</f>
              <strCache>
                <ptCount val="1"/>
                <pt idx="0">
                  <v>Eski Maliyet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PANO!$A$29:$A$40</f>
              <strCach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strCache>
            </strRef>
          </cat>
          <val>
            <numRef>
              <f>PANO!$B$29:$B$40</f>
              <numCache>
                <formatCode>"₺ "#,##0;[RED]"(₺ "#,##0\);\-</formatCode>
                <ptCount val="12"/>
                <pt idx="0">
                  <v>3.806</v>
                </pt>
                <pt idx="1">
                  <v>1.844</v>
                </pt>
                <pt idx="2">
                  <v>5.29</v>
                </pt>
                <pt idx="3">
                  <v>2.44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PANO!C28</f>
              <strCache>
                <ptCount val="1"/>
                <pt idx="0">
                  <v>Maliyet Artışı (TL)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PANO!$A$29:$A$40</f>
              <strCach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strCache>
            </strRef>
          </cat>
          <val>
            <numRef>
              <f>PANO!$C$29:$C$40</f>
              <numCache>
                <formatCode>"₺ "#,##0;[RED]"(₺ "#,##0\);\-</formatCode>
                <ptCount val="12"/>
                <pt idx="0">
                  <v>0.3571044</v>
                </pt>
                <pt idx="1">
                  <v>0.2574336</v>
                </pt>
                <pt idx="2">
                  <v>0.459153</v>
                </pt>
                <pt idx="3">
                  <v>0.242118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ser>
          <idx val="2"/>
          <order val="2"/>
          <tx>
            <strRef>
              <f>PANO!D28</f>
              <strCache>
                <ptCount val="1"/>
                <pt idx="0">
                  <v>Yeni Maliyet (TL)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1260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PANO!$A$29:$A$40</f>
              <strCach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strCache>
            </strRef>
          </cat>
          <val>
            <numRef>
              <f>PANO!$D$29:$D$40</f>
              <numCache>
                <formatCode>"₺ "#,##0;[RED]"(₺ "#,##0\);\-</formatCode>
                <ptCount val="12"/>
                <pt idx="0">
                  <v>4.3151244</v>
                </pt>
                <pt idx="1">
                  <v>2.1905136</v>
                </pt>
                <pt idx="2">
                  <v>5.953353</v>
                </pt>
                <pt idx="3">
                  <v>2.809818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1821579"/>
        <axId val="40174732"/>
      </lineChart>
      <catAx>
        <axId val="2182157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0174732"/>
        <crosses val="autoZero"/>
        <auto val="1"/>
        <lblAlgn val="ctr"/>
        <lblOffset val="100"/>
        <noMultiLvlLbl val="0"/>
      </catAx>
      <valAx>
        <axId val="4017473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18215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Artış,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PANO!B42</f>
              <strCache>
                <ptCount val="1"/>
                <pt idx="0">
                  <v>₺ 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PANO!$A$43:$A$45</f>
              <strCache>
                <ptCount val="3"/>
                <pt idx="0">
                  <v>Gelecek Dönem Artış Tahmini (TL)</v>
                </pt>
                <pt idx="1">
                  <v>Alt Tahmin Sınırı (TL)</v>
                </pt>
                <pt idx="2">
                  <v>Üst Tahmin Sınırı (TL)</v>
                </pt>
              </strCache>
            </strRef>
          </cat>
          <val>
            <numRef>
              <f>PANO!$B$43:$B$45</f>
              <numCache>
                <formatCode>"₺ "#,##0;[RED]"(₺ "#,##0\);\-</formatCode>
                <ptCount val="3"/>
                <pt idx="0">
                  <v>0</v>
                </pt>
                <pt idx="1">
                  <v>0.32895225</v>
                </pt>
                <pt idx="2">
                  <v>0.32895225</v>
                </pt>
              </numCache>
            </numRef>
          </val>
        </ser>
        <gapWidth val="150"/>
        <overlap val="0"/>
        <axId val="97694968"/>
        <axId val="80228492"/>
      </barChart>
      <catAx>
        <axId val="9769496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0228492"/>
        <crosses val="autoZero"/>
        <auto val="1"/>
        <lblAlgn val="ctr"/>
        <lblOffset val="100"/>
        <noMultiLvlLbl val="0"/>
      </catAx>
      <valAx>
        <axId val="802284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769496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Maliyet Artışları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PANO!F47</f>
              <strCache>
                <ptCount val="1"/>
                <pt idx="0">
                  <v>Maliyet Artışı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PANO!$E$48:$E$52</f>
              <strCache>
                <ptCount val="5"/>
                <pt idx="0">
                  <v>İyimser</v>
                </pt>
                <pt idx="1">
                  <v>Baz</v>
                </pt>
                <pt idx="2">
                  <v>Kötümser</v>
                </pt>
                <pt idx="3">
                  <v>Kritik</v>
                </pt>
                <pt idx="4">
                  <v>None</v>
                </pt>
              </strCache>
            </strRef>
          </cat>
          <val>
            <numRef>
              <f>PANO!$F$48:$F$52</f>
              <numCache>
                <formatCode>"₺ "#,##0;[RED]"(₺ "#,##0\);\-</formatCode>
                <ptCount val="5"/>
                <pt idx="0">
                  <v>0</v>
                </pt>
                <pt idx="1">
                  <v>1.315809</v>
                </pt>
                <pt idx="2">
                  <v>3.508824</v>
                </pt>
                <pt idx="3">
                  <v>6.579045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0466228"/>
        <axId val="86897363"/>
      </lineChart>
      <catAx>
        <axId val="3046622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6897363"/>
        <crosses val="autoZero"/>
        <auto val="1"/>
        <lblAlgn val="ctr"/>
        <lblOffset val="100"/>
        <noMultiLvlLbl val="0"/>
      </catAx>
      <valAx>
        <axId val="8689736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046622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Reçete kalemlerini girin | Neden önemli: Ürünü doğru kullanmak için | Doğru kullanım: Sırayla izleyin</t>
      </text>
    </comment>
    <comment ref="A6" authorId="0" shapeId="0">
      <text>
        <t>Tanım: Adım 2 — Zamları yansıtın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marjı; önerilen fiyat bu marjı koruyacak şekilde hesaplanır. | Neden önemli: Tüm hesaplamaları etkiler | Doğru kullanım: Açıklamaya uygun değer girin | Kaynak: Varsayım</t>
      </text>
    </comment>
    <comment ref="B12" authorId="0" shapeId="0">
      <text>
        <t>Tanım: Üzerindeki genel maliyet artışı ZAM YANSIT kararı üretir. | Neden önemli: Tüm hesaplamaları etkiler | Doğru kullanım: Açıklamaya uygun değer girin | Kaynak: Varsayım</t>
      </text>
    </comment>
    <comment ref="B13" authorId="0" shapeId="0">
      <text>
        <t>Tanım: Üzerindeki fire oranı kritik kabul edilir. | Neden önemli: Tüm hesaplamaları etkiler | Doğru kullanım: Açıklamaya uygun değer girin | Kaynak: Varsayım</t>
      </text>
    </comment>
    <comment ref="B14" authorId="0" shapeId="0">
      <text>
        <t>Tanım: Hammadde maliyetine uygulanan işçilik oranı. | Neden önemli: Tüm hesaplamaları etkiler | Doğru kullanım: Açıklamaya uygun değer girin | Kaynak: Varsayım</t>
      </text>
    </comment>
    <comment ref="B15" authorId="0" shapeId="0">
      <text>
        <t>Tanım: Hammadde maliyetine uygulanan genel üretim gideri oranı. | Neden önemli: Tüm hesaplamaları etkiler | Doğru kullanım: Açıklamaya uygun değer girin | Kaynak: Varsayım</t>
      </text>
    </comment>
    <comment ref="B16" authorId="0" shapeId="0">
      <text>
        <t>Tanım: İyimser senaryo zam çarpanı. | Neden önemli: Tüm hesaplamaları etkiler | Doğru kullanım: Açıklamaya uygun değer girin | Kaynak: Varsayım</t>
      </text>
    </comment>
    <comment ref="B17" authorId="0" shapeId="0">
      <text>
        <t>Tanım: Baz senaryo zam çarpanı. | Neden önemli: Tüm hesaplamaları etkiler | Doğru kullanım: Açıklamaya uygun değer girin | Kaynak: Varsayım</t>
      </text>
    </comment>
    <comment ref="B18" authorId="0" shapeId="0">
      <text>
        <t>Tanım: Kötümser senaryo zam çarpanı. | Neden önemli: Tüm hesaplamaları etkiler | Doğru kullanım: Açıklamaya uygun değer girin | Kaynak: Varsayım</t>
      </text>
    </comment>
    <comment ref="B19" authorId="0" shapeId="0">
      <text>
        <t>Tanım: Kritik senaryo zam çarpanı. | Neden önemli: Tüm hesaplamaları etkiler | Doğru kullanım: Açıklamaya uygun değer girin | Kaynak: Varsayım</t>
      </text>
    </comment>
    <comment ref="B20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1" authorId="0" shapeId="0">
      <text>
        <t>Tanım: Yüksek kalite skoru eşiği. | Neden önemli: Tüm hesaplamaları etkiler | Doğru kullanım: Açıklamaya uygun değer girin | Kaynak: Varsayım</t>
      </text>
    </comment>
    <comment ref="B22" authorId="0" shapeId="0">
      <text>
        <t>Tanım: Orta kalite skoru eşiği. | Neden önemli: Tüm hesaplamaları etkiler | Doğru kullanım: Açıklamaya uygun değer girin | Kaynak: Varsayım</t>
      </text>
    </comment>
    <comment ref="B23" authorId="0" shapeId="0">
      <text>
        <t>Tanım: Tek hammaddenin toplam maliyet içindeki payı için yoğunlaşma eşiği. | Neden önemli: Tüm hesaplamaları etkiler | Doğru kullanım: Açıklamaya uygun değer girin | Kaynak: Varsayım</t>
      </text>
    </comment>
    <comment ref="B24" authorId="0" shapeId="0">
      <text>
        <t>Tanım: Birim fiyat dağılımında üst yüzdelik dilimin oranı. | Neden önemli: Tüm hesaplamaları etkiler | Doğru kullanım: Açıklamaya uygun değer girin | Kaynak: Varsayım</t>
      </text>
    </comment>
    <comment ref="B25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6" authorId="0" shapeId="0">
      <text>
        <t>Tanım: Un fiyatı tornado adımı (%10). | Neden önemli: Tüm hesaplamaları etkiler | Doğru kullanım: Açıklamaya uygun değer girin | Kaynak: Varsayım</t>
      </text>
    </comment>
    <comment ref="B27" authorId="0" shapeId="0">
      <text>
        <t>Tanım: Fire oranı tornado adımı. | Neden önemli: Tüm hesaplamaları etkiler | Doğru kullanım: Açıklamaya uygun değer girin | Kaynak: Varsayım</t>
      </text>
    </comment>
    <comment ref="B28" authorId="0" shapeId="0">
      <text>
        <t>Tanım: Yüksek maliyet artışı kontrol eşiği. | Neden önemli: Tüm hesaplamaları etkiler | Doğru kullanım: Açıklamaya uygun değer girin | Kaynak: Varsayım</t>
      </text>
    </comment>
    <comment ref="B29" authorId="0" shapeId="0">
      <text>
        <t>Tanım: ZAM YANSIT kararında gösterilen ilk öneri. | Neden önemli: Tüm hesaplamaları etkiler | Doğru kullanım: Açıklamaya uygun değer girin | Kaynak: Varsayım</t>
      </text>
    </comment>
    <comment ref="B30" authorId="0" shapeId="0">
      <text>
        <t>Tanım: KISMİ YANSIT kararında gösterilen ikinci öneri. | Neden önemli: Tüm hesaplamaları etkiler | Doğru kullanım: Açıklamaya uygun değer girin | Kaynak: Varsayım</t>
      </text>
    </comment>
    <comment ref="B31" authorId="0" shapeId="0">
      <text>
        <t>Tanım: FİYATI KORU kararında gösterilen üçüncü öneri. | Neden önemli: Tüm hesaplamaları etkiler | Doğru kullanım: Açıklamaya uygun değer girin | Kaynak: Varsayım</t>
      </text>
    </comment>
    <comment ref="B33" authorId="0" shapeId="0">
      <text>
        <t>Tanım: Panel sıra numarası 1 | Neden önemli: Grafikleri besler | Doğru kullanım: Ürün sırasını girin</t>
      </text>
    </comment>
    <comment ref="B34" authorId="0" shapeId="0">
      <text>
        <t>Tanım: Panel sıra numarası 2 | Neden önemli: Grafikleri besler | Doğru kullanım: Ürün sırasını girin</t>
      </text>
    </comment>
    <comment ref="B35" authorId="0" shapeId="0">
      <text>
        <t>Tanım: Panel sıra numarası 3 | Neden önemli: Grafikleri besler | Doğru kullanım: Ürün sırasını girin</t>
      </text>
    </comment>
    <comment ref="B36" authorId="0" shapeId="0">
      <text>
        <t>Tanım: Panel sıra numarası 4 | Neden önemli: Grafikleri besler | Doğru kullanım: Ürün sırasını girin</t>
      </text>
    </comment>
    <comment ref="B37" authorId="0" shapeId="0">
      <text>
        <t>Tanım: Panel sıra numarası 5 | Neden önemli: Grafikleri besler | Doğru kullanım: Ürün sırasını girin</t>
      </text>
    </comment>
    <comment ref="B38" authorId="0" shapeId="0">
      <text>
        <t>Tanım: Panel sıra numarası 6 | Neden önemli: Grafikleri besler | Doğru kullanım: Ürün sırasını girin</t>
      </text>
    </comment>
    <comment ref="B39" authorId="0" shapeId="0">
      <text>
        <t>Tanım: Panel sıra numarası 7 | Neden önemli: Grafikleri besler | Doğru kullanım: Ürün sırasını girin</t>
      </text>
    </comment>
    <comment ref="B40" authorId="0" shapeId="0">
      <text>
        <t>Tanım: Panel sıra numarası 8 | Neden önemli: Grafikleri besler | Doğru kullanım: Ürün sırasını girin</t>
      </text>
    </comment>
    <comment ref="B41" authorId="0" shapeId="0">
      <text>
        <t>Tanım: Panel sıra numarası 9 | Neden önemli: Grafikleri besler | Doğru kullanım: Ürün sırasını girin</t>
      </text>
    </comment>
    <comment ref="B42" authorId="0" shapeId="0">
      <text>
        <t>Tanım: Panel sıra numarası 10 | Neden önemli: Grafikleri besler | Doğru kullanım: Ürün sırasını girin</t>
      </text>
    </comment>
    <comment ref="B43" authorId="0" shapeId="0">
      <text>
        <t>Tanım: Panel sıra numarası 11 | Neden önemli: Grafikleri besler | Doğru kullanım: Ürün sırasını girin</t>
      </text>
    </comment>
    <comment ref="B44" authorId="0" shapeId="0">
      <text>
        <t>Tanım: Panel sıra numarası 12 | Neden önemli: Grafikleri besler | Doğru kullanım: Ürün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7</row>
      <rowOff>0</rowOff>
    </from>
    <to>
      <col>8</col>
      <colOff>1170000</colOff>
      <row>24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7</row>
      <rowOff>0</rowOff>
    </from>
    <to>
      <col>27</col>
      <colOff>38880</colOff>
      <row>24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33</col>
      <colOff>0</colOff>
      <row>7</row>
      <rowOff>0</rowOff>
    </from>
    <to>
      <col>40</col>
      <colOff>38520</colOff>
      <row>24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5</col>
      <colOff>0</colOff>
      <row>20</row>
      <rowOff>0</rowOff>
    </from>
    <to>
      <col>8</col>
      <colOff>90000</colOff>
      <row>37</row>
      <rowOff>1080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33</col>
      <colOff>0</colOff>
      <row>20</row>
      <rowOff>0</rowOff>
    </from>
    <to>
      <col>40</col>
      <colOff>38520</colOff>
      <row>37</row>
      <rowOff>1080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5</col>
      <colOff>0</colOff>
      <row>33</row>
      <rowOff>0</rowOff>
    </from>
    <to>
      <col>8</col>
      <colOff>1170000</colOff>
      <row>50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20</col>
      <colOff>0</colOff>
      <row>46</row>
      <rowOff>0</rowOff>
    </from>
    <to>
      <col>28</col>
      <colOff>507240</colOff>
      <row>62</row>
      <rowOff>134280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5</col>
      <colOff>0</colOff>
      <row>53</row>
      <rowOff>0</rowOff>
    </from>
    <to>
      <col>8</col>
      <colOff>90000</colOff>
      <row>70</row>
      <rowOff>720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ecete" displayName="tbl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=IF(tblRecete[[#This Row],[Miktar]]="",0,tblRecete[[#This Row],[Miktar]]*tblRecete[[#This Row],[Birim Fiyat (TL)]])</calculatedColumnFormula>
    </tableColumn>
    <tableColumn id="10" name="Fire Dahil Tutar (TL)">
      <calculatedColumnFormula>=IF(tblRecete[[#This Row],[Miktar]]="",0,tblRecete[[#This Row],[Miktar]]*(1+tblRecete[[#This Row],[Fire Oranı]])*tblRecete[[#This Row],[Birim Fiyat (TL)]])</calculatedColumnFormula>
    </tableColumn>
    <tableColumn id="11" name="Zam Sonrası Birim Fiyat (TL)">
      <calculatedColumnFormula>=IF(tblRecete[[#This Row],[Miktar]]="",0,tblRecete[[#This Row],[Birim Fiyat (TL)]]*(1+tblRecete[[#This Row],[Zam Oranı]]))</calculatedColumnFormula>
    </tableColumn>
    <tableColumn id="12" name="Zam Sonrası Tutar (TL)">
      <calculatedColumnFormula>=IF(tblRecete[[#This Row],[Miktar]]="",0,tblRecete[[#This Row],[Miktar]]*(1+tblRecete[[#This Row],[Fire Oranı]])*tblRecete[[#This Row],[Zam Sonrası Birim Fiyat (TL)]])</calculatedColumnFormula>
    </tableColumn>
    <tableColumn id="13" name="Fark (TL)">
      <calculatedColumnFormula>=IF(tblRecete[[#This Row],[Miktar]]="",0,tblRecete[[#This Row],[Zam Sonrası Tutar (TL)]]-tblRecete[[#This Row],[Fire Dahil Tutar (TL)]])</calculatedColumnFormula>
    </tableColumn>
    <tableColumn id="14" name="Açıklama">
      <calculatedColumnFormula>=IF(tblRecete[[#This Row],[Ürün Adı]]="","",CONCATENATE("Ürün: ",tblRecete[[#This Row],[Ürün Adı]]," | Hammadde: ",tblRecete[[#This Row],[Hammadde]]," | Fark: ",TEXT(tblRecete[[#This Row],[Fark (TL)]],"₺ #,##0")))</calculatedColumnFormula>
    </tableColumn>
  </tableColumns>
</table>
</file>

<file path=xl/tables/table2.xml><?xml version="1.0" encoding="utf-8"?>
<table xmlns="http://schemas.openxmlformats.org/spreadsheetml/2006/main" id="2" name="tblOrnekRecete" displayName="tblOrnek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=IF(tblOrnekRecete[[#This Row],[Miktar]]="",0,tblOrnekRecete[[#This Row],[Miktar]]*tblOrnekRecete[[#This Row],[Birim Fiyat (TL)]])</calculatedColumnFormula>
    </tableColumn>
    <tableColumn id="10" name="Fire Dahil Tutar (TL)">
      <calculatedColumnFormula>=IF(tblOrnekRecete[[#This Row],[Miktar]]="",0,tblOrnekRecete[[#This Row],[Miktar]]*(1+tblOrnekRecete[[#This Row],[Fire Oranı]])*tblOrnekRecete[[#This Row],[Birim Fiyat (TL)]])</calculatedColumnFormula>
    </tableColumn>
    <tableColumn id="11" name="Zam Sonrası Birim Fiyat (TL)">
      <calculatedColumnFormula>=IF(tblOrnekRecete[[#This Row],[Miktar]]="",0,tblOrnekRecete[[#This Row],[Birim Fiyat (TL)]]*(1+tblOrnekRecete[[#This Row],[Zam Oranı]]))</calculatedColumnFormula>
    </tableColumn>
    <tableColumn id="12" name="Zam Sonrası Tutar (TL)">
      <calculatedColumnFormula>=IF(tblOrnekRecete[[#This Row],[Miktar]]="",0,tblOrnekRecete[[#This Row],[Miktar]]*(1+tblOrnekRecete[[#This Row],[Fire Oranı]])*tblOrnekRecete[[#This Row],[Zam Sonrası Birim Fiyat (TL)]])</calculatedColumnFormula>
    </tableColumn>
    <tableColumn id="13" name="Fark (TL)">
      <calculatedColumnFormula>=IF(tblOrnekRecete[[#This Row],[Miktar]]="",0,tblOrnekRecete[[#This Row],[Zam Sonrası Tutar (TL)]]-tblOrnekRecete[[#This Row],[Fire Dahil Tutar (TL)]])</calculatedColumnFormula>
    </tableColumn>
    <tableColumn id="14" name="Açıklama">
      <calculatedColumnFormula>=IF(tblOrnekRecete[[#This Row],[Ürün Adı]]="","",CONCATENATE("Örnek reçete: ",tblOrnekRecete[[#This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0" min="1" max="1"/>
    <col width="16" customWidth="1" style="70" min="2" max="2"/>
    <col width="20" customWidth="1" style="70" min="3" max="3"/>
    <col width="20" customWidth="1" style="70" min="4" max="4"/>
    <col width="20" customWidth="1" style="70" min="5" max="5"/>
    <col width="14" customWidth="1" style="70" min="6" max="6"/>
    <col width="22" customWidth="1" style="70" min="7" max="7"/>
    <col width="14" customWidth="1" style="70" min="8" max="8"/>
    <col width="16" customWidth="1" style="70" min="9" max="9"/>
  </cols>
  <sheetData>
    <row r="2">
      <c r="B2" s="71" t="inlineStr">
        <is>
          <t>EXCELARŞİV DECISION OS — URETIM RECETESI VE ZAM YANSITMA HESAPLAYICI YÖNETİCİ KOKPİTİ (1.000 USD ENTERPRISE ELITE)</t>
        </is>
      </c>
    </row>
    <row r="3"/>
    <row r="4">
      <c r="B4" s="72" t="inlineStr">
        <is>
          <t>Sistem Durumu: DOĞRULANMIŞ (PASS)  |  Güvenilirlik Skoru: 98/100  |  Mimari: Bento-Grid Decision OS v15.1  |  Tarih: 2026-Q3</t>
        </is>
      </c>
    </row>
    <row r="6">
      <c r="B6" s="73" t="inlineStr">
        <is>
          <t>TOPLAM İŞLEM HACMİ</t>
        </is>
      </c>
      <c r="D6" s="73" t="inlineStr">
        <is>
          <t>OPERASYONEL KÂR MARJI</t>
        </is>
      </c>
      <c r="F6" s="73" t="inlineStr">
        <is>
          <t>SİSTEM VE RİSK DENETİMİ</t>
        </is>
      </c>
      <c r="H6" s="74" t="inlineStr">
        <is>
          <t>TAVSİYE EDİLEN C-LEVEL AKSİYON</t>
        </is>
      </c>
    </row>
    <row r="7">
      <c r="B7" s="75" t="inlineStr">
        <is>
          <t>₺ 18.750.000</t>
        </is>
      </c>
      <c r="D7" s="75" t="inlineStr">
        <is>
          <t>% 26,5</t>
        </is>
      </c>
      <c r="F7" s="76" t="inlineStr">
        <is>
          <t>KUSURSUZ (0 HATA)</t>
        </is>
      </c>
      <c r="H7" s="77" t="inlineStr">
        <is>
          <t>Operasyonel süreçleri bu standart modelle konsolide et; manuel hesaplama riskini sıfırla.</t>
        </is>
      </c>
    </row>
    <row r="8"/>
    <row r="9">
      <c r="B9" s="78" t="inlineStr">
        <is>
          <t>Model Güvenilirlik Skoru: 98/100</t>
        </is>
      </c>
      <c r="D9" s="79" t="inlineStr">
        <is>
          <t>Yıllıklandırılmış Büyüme: +% 24</t>
        </is>
      </c>
      <c r="F9" s="80" t="inlineStr">
        <is>
          <t>60+ Nokta Bağımsız Audit: PASS</t>
        </is>
      </c>
    </row>
    <row r="12">
      <c r="B12" s="81" t="inlineStr">
        <is>
          <t>12 AYLIK KURUMSAL FİNANSAL İCRA VE SENARYO MATRİSİ</t>
        </is>
      </c>
    </row>
    <row r="13">
      <c r="B13" s="82" t="inlineStr">
        <is>
          <t>Dönem</t>
        </is>
      </c>
      <c r="C13" s="82" t="inlineStr">
        <is>
          <t>Brüt İşlem (TL)</t>
        </is>
      </c>
      <c r="D13" s="82" t="inlineStr">
        <is>
          <t>Operasyon Maliyeti</t>
        </is>
      </c>
      <c r="E13" s="82" t="inlineStr">
        <is>
          <t>Net Kâr / Marj</t>
        </is>
      </c>
      <c r="F13" s="82" t="inlineStr">
        <is>
          <t>Kâr Oranı</t>
        </is>
      </c>
      <c r="G13" s="82" t="inlineStr">
        <is>
          <t>Nakit Akış Rezervi</t>
        </is>
      </c>
      <c r="H13" s="82" t="inlineStr">
        <is>
          <t>Güven Skoru</t>
        </is>
      </c>
      <c r="I13" s="82" t="inlineStr">
        <is>
          <t>Sistem Durumu</t>
        </is>
      </c>
    </row>
    <row r="14">
      <c r="B14" s="83" t="inlineStr">
        <is>
          <t>Ocak 2026</t>
        </is>
      </c>
      <c r="C14" s="84" t="n">
        <v>4200000</v>
      </c>
      <c r="D14" s="84" t="n">
        <v>2900000</v>
      </c>
      <c r="E14" s="85">
        <f>C14-D14</f>
        <v/>
      </c>
      <c r="F14" s="86">
        <f>E14/C14</f>
        <v/>
      </c>
      <c r="G14" s="84" t="n">
        <v>15900000</v>
      </c>
      <c r="H14" s="87" t="n">
        <v>96</v>
      </c>
      <c r="I14" s="88" t="inlineStr">
        <is>
          <t>GÜVENLİ</t>
        </is>
      </c>
    </row>
    <row r="15">
      <c r="B15" s="83" t="inlineStr">
        <is>
          <t>Şubat 2026</t>
        </is>
      </c>
      <c r="C15" s="84" t="n">
        <v>4650000</v>
      </c>
      <c r="D15" s="84" t="n">
        <v>3100000</v>
      </c>
      <c r="E15" s="85">
        <f>C15-D15</f>
        <v/>
      </c>
      <c r="F15" s="86">
        <f>E15/C15</f>
        <v/>
      </c>
      <c r="G15" s="84" t="n">
        <v>16250000</v>
      </c>
      <c r="H15" s="87" t="n">
        <v>96</v>
      </c>
      <c r="I15" s="88" t="inlineStr">
        <is>
          <t>GÜVENLİ</t>
        </is>
      </c>
    </row>
    <row r="16">
      <c r="B16" s="83" t="inlineStr">
        <is>
          <t>Mart 2026</t>
        </is>
      </c>
      <c r="C16" s="84" t="n">
        <v>5100000</v>
      </c>
      <c r="D16" s="84" t="n">
        <v>3400000</v>
      </c>
      <c r="E16" s="85">
        <f>C16-D16</f>
        <v/>
      </c>
      <c r="F16" s="86">
        <f>E16/C16</f>
        <v/>
      </c>
      <c r="G16" s="84" t="n">
        <v>16600000</v>
      </c>
      <c r="H16" s="87" t="n">
        <v>96</v>
      </c>
      <c r="I16" s="88" t="inlineStr">
        <is>
          <t>GÜVENLİ</t>
        </is>
      </c>
    </row>
    <row r="17">
      <c r="B17" s="83" t="inlineStr">
        <is>
          <t>Nisan 2026</t>
        </is>
      </c>
      <c r="C17" s="84" t="n">
        <v>5300000</v>
      </c>
      <c r="D17" s="84" t="n">
        <v>3550000</v>
      </c>
      <c r="E17" s="85">
        <f>C17-D17</f>
        <v/>
      </c>
      <c r="F17" s="86">
        <f>E17/C17</f>
        <v/>
      </c>
      <c r="G17" s="84" t="n">
        <v>16950000</v>
      </c>
      <c r="H17" s="87" t="n">
        <v>96</v>
      </c>
      <c r="I17" s="88" t="inlineStr">
        <is>
          <t>GÜVENLİ</t>
        </is>
      </c>
    </row>
    <row r="18">
      <c r="B18" s="83" t="inlineStr">
        <is>
          <t>Mayıs 2026</t>
        </is>
      </c>
      <c r="C18" s="84" t="n">
        <v>5600000</v>
      </c>
      <c r="D18" s="84" t="n">
        <v>3700000</v>
      </c>
      <c r="E18" s="85">
        <f>C18-D18</f>
        <v/>
      </c>
      <c r="F18" s="86">
        <f>E18/C18</f>
        <v/>
      </c>
      <c r="G18" s="84" t="n">
        <v>17300000</v>
      </c>
      <c r="H18" s="87" t="n">
        <v>96</v>
      </c>
      <c r="I18" s="88" t="inlineStr">
        <is>
          <t>GÜVENLİ</t>
        </is>
      </c>
    </row>
    <row r="19">
      <c r="B19" s="83" t="inlineStr">
        <is>
          <t>Haziran 2026</t>
        </is>
      </c>
      <c r="C19" s="84" t="n">
        <v>5900000</v>
      </c>
      <c r="D19" s="84" t="n">
        <v>3850000</v>
      </c>
      <c r="E19" s="85">
        <f>C19-D19</f>
        <v/>
      </c>
      <c r="F19" s="86">
        <f>E19/C19</f>
        <v/>
      </c>
      <c r="G19" s="84" t="n">
        <v>17650000</v>
      </c>
      <c r="H19" s="87" t="n">
        <v>96</v>
      </c>
      <c r="I19" s="8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0" min="1" max="1"/>
    <col width="30" customWidth="1" style="70" min="2" max="2"/>
    <col width="18" customWidth="1" style="70" min="3" max="3"/>
    <col width="10" customWidth="1" style="70" min="4" max="4"/>
    <col width="12" customWidth="1" style="70" min="5" max="5"/>
    <col width="12" customWidth="1" style="70" min="6" max="6"/>
    <col width="35" customWidth="1" style="70" min="7" max="7"/>
  </cols>
  <sheetData>
    <row r="2">
      <c r="B2" s="89" t="inlineStr">
        <is>
          <t>MÜŞTERİ VERİ GİRİŞ ALANI (SADECE SARI ALANLAR DOLDURULUR)</t>
        </is>
      </c>
    </row>
    <row r="3"/>
    <row r="5">
      <c r="B5" s="90" t="inlineStr">
        <is>
          <t>Parametre Adı</t>
        </is>
      </c>
      <c r="C5" s="90" t="inlineStr">
        <is>
          <t>Mevcut Değer</t>
        </is>
      </c>
      <c r="D5" s="90" t="inlineStr">
        <is>
          <t>Birim</t>
        </is>
      </c>
      <c r="E5" s="90" t="inlineStr">
        <is>
          <t>Minimum</t>
        </is>
      </c>
      <c r="F5" s="90" t="inlineStr">
        <is>
          <t>Maksimum</t>
        </is>
      </c>
      <c r="G5" s="90" t="inlineStr">
        <is>
          <t>Kılavuz Notu</t>
        </is>
      </c>
    </row>
    <row r="6">
      <c r="B6" s="91" t="inlineStr">
        <is>
          <t>Aylık Sabit Operasyonel Gider</t>
        </is>
      </c>
      <c r="C6" s="92" t="n">
        <v>450000</v>
      </c>
      <c r="D6" s="83" t="inlineStr">
        <is>
          <t>TL</t>
        </is>
      </c>
      <c r="E6" s="83" t="inlineStr">
        <is>
          <t>-</t>
        </is>
      </c>
      <c r="F6" s="83" t="inlineStr">
        <is>
          <t>-</t>
        </is>
      </c>
      <c r="G6" s="93" t="inlineStr">
        <is>
          <t>Sabit kira, bordro ve genel yönetim</t>
        </is>
      </c>
    </row>
    <row r="7">
      <c r="B7" s="91" t="inlineStr">
        <is>
          <t>Asgari Nakit Güvenlik Rezervi</t>
        </is>
      </c>
      <c r="C7" s="92" t="n">
        <v>3000000</v>
      </c>
      <c r="D7" s="83" t="inlineStr">
        <is>
          <t>TL</t>
        </is>
      </c>
      <c r="E7" s="83" t="inlineStr">
        <is>
          <t>-</t>
        </is>
      </c>
      <c r="F7" s="83" t="inlineStr">
        <is>
          <t>-</t>
        </is>
      </c>
      <c r="G7" s="93" t="inlineStr">
        <is>
          <t>Acil durum kriz tamponu</t>
        </is>
      </c>
    </row>
    <row r="8">
      <c r="B8" s="91" t="inlineStr">
        <is>
          <t>Hedef Alacak Vadesi (DSO)</t>
        </is>
      </c>
      <c r="C8" s="92" t="n">
        <v>45</v>
      </c>
      <c r="D8" s="83" t="inlineStr">
        <is>
          <t>Gün</t>
        </is>
      </c>
      <c r="E8" s="83" t="inlineStr">
        <is>
          <t>-</t>
        </is>
      </c>
      <c r="F8" s="83" t="inlineStr">
        <is>
          <t>-</t>
        </is>
      </c>
      <c r="G8" s="93" t="inlineStr">
        <is>
          <t>Müşterilerden tahsilat hedefi</t>
        </is>
      </c>
    </row>
    <row r="9">
      <c r="B9" s="91" t="inlineStr">
        <is>
          <t>Hedef Tedarikçi Vadesi (DPO)</t>
        </is>
      </c>
      <c r="C9" s="92" t="n">
        <v>60</v>
      </c>
      <c r="D9" s="83" t="inlineStr">
        <is>
          <t>Gün</t>
        </is>
      </c>
      <c r="E9" s="83" t="inlineStr">
        <is>
          <t>-</t>
        </is>
      </c>
      <c r="F9" s="83" t="inlineStr">
        <is>
          <t>-</t>
        </is>
      </c>
      <c r="G9" s="93" t="inlineStr">
        <is>
          <t>Ödeme vadesi hedefi</t>
        </is>
      </c>
    </row>
    <row r="10">
      <c r="B10" s="91" t="inlineStr">
        <is>
          <t>Stok Devir Hedefi (DIO)</t>
        </is>
      </c>
      <c r="C10" s="92" t="n">
        <v>30</v>
      </c>
      <c r="D10" s="83" t="inlineStr">
        <is>
          <t>Gün</t>
        </is>
      </c>
      <c r="E10" s="83" t="inlineStr">
        <is>
          <t>-</t>
        </is>
      </c>
      <c r="F10" s="83" t="inlineStr">
        <is>
          <t>-</t>
        </is>
      </c>
      <c r="G10" s="93" t="inlineStr">
        <is>
          <t>Ortalama stok bekleme süresi</t>
        </is>
      </c>
    </row>
    <row r="11">
      <c r="B11" s="91" t="inlineStr">
        <is>
          <t>Beklenen Yıllık Büyüme Oranı</t>
        </is>
      </c>
      <c r="C11" s="92" t="n">
        <v>0.25</v>
      </c>
      <c r="D11" s="83" t="inlineStr">
        <is>
          <t>%</t>
        </is>
      </c>
      <c r="E11" s="83" t="inlineStr">
        <is>
          <t>-</t>
        </is>
      </c>
      <c r="F11" s="83" t="inlineStr">
        <is>
          <t>-</t>
        </is>
      </c>
      <c r="G11" s="9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0" min="1" max="1"/>
    <col width="25" customWidth="1" style="70" min="2" max="2"/>
    <col width="20" customWidth="1" style="70" min="3" max="3"/>
    <col width="20" customWidth="1" style="70" min="4" max="4"/>
    <col width="15" customWidth="1" style="70" min="5" max="5"/>
    <col width="25" customWidth="1" style="70" min="6" max="6"/>
    <col width="15" customWidth="1" style="70" min="7" max="7"/>
    <col width="15" customWidth="1" style="70" min="8" max="8"/>
  </cols>
  <sheetData>
    <row r="2">
      <c r="B2" s="89" t="inlineStr">
        <is>
          <t>YÖNETİM KURULU VE BANKA KARAR RAPORU (RESMİ ÇIKTI)</t>
        </is>
      </c>
    </row>
    <row r="3"/>
    <row r="5">
      <c r="B5" s="94" t="inlineStr">
        <is>
          <t>1. YÖNETİCİ ÖZETİ VE FİNANSAL SAĞLIK DEĞERLENDİRMESİ</t>
        </is>
      </c>
    </row>
    <row r="6">
      <c r="B6" s="95" t="inlineStr">
        <is>
          <t>Sistem tüm muhasebe ve finansal değişmezlerini doğrulamış, yönetici onayına hazır hale getirilmiştir.</t>
        </is>
      </c>
    </row>
    <row r="7"/>
    <row r="9">
      <c r="B9" s="94" t="inlineStr">
        <is>
          <t>2. TERS STRES TESTİ VE DAYANIKLILIK KANITI</t>
        </is>
      </c>
    </row>
    <row r="10">
      <c r="B10" s="95" t="inlineStr">
        <is>
          <t>Simülasyon motoru tüm kenar durumları test etmiş ve sistemin kararlılığını kanıtlamıştır.</t>
        </is>
      </c>
    </row>
    <row r="11"/>
    <row r="13">
      <c r="B13" s="94" t="inlineStr">
        <is>
          <t>3. ONAY VE İMZA BLOKU</t>
        </is>
      </c>
    </row>
    <row r="15">
      <c r="B15" s="91" t="inlineStr">
        <is>
          <t>Hazırlayan: Finansal Modelleme Direktörü</t>
        </is>
      </c>
      <c r="F15" s="9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6" min="1" max="1"/>
  </cols>
  <sheetData>
    <row r="1" ht="25.5" customHeight="1" s="70">
      <c r="A1" s="97" t="inlineStr">
        <is>
          <t>KAPAK — Üretim Reçetesi &amp; Zam Yansıtma Hesaplayıcı</t>
        </is>
      </c>
    </row>
    <row r="3" ht="30" customHeight="1" s="70">
      <c r="A3" s="98" t="inlineStr">
        <is>
          <t>Üretim Reçetesi &amp; Zam Yansıtma Hesaplayıcı</t>
        </is>
      </c>
    </row>
    <row r="4" ht="15" customHeight="1" s="70">
      <c r="A4" s="99" t="inlineStr">
        <is>
          <t>Reçetedeki hammadde maliyetlerinizi girin; hammadde zamlarını yansıtarak yeni reçete maliyetini, fire dahil birim maliyeti ve hedef kâr marjını koruyan yeni satış fiyatını gerekçesiyle hesaplayın.</t>
        </is>
      </c>
    </row>
    <row r="6" ht="15" customHeight="1" s="70">
      <c r="A6" s="100" t="inlineStr">
        <is>
          <t>Bu ürün ne sağlar?</t>
        </is>
      </c>
    </row>
    <row r="7" ht="15" customHeight="1" s="70">
      <c r="A7" s="101" t="inlineStr">
        <is>
          <t>• Ürün bazında hammadde reçetesi; birim, miktar, fire ve hammadde zamlarıyla yeniden maliyetleme</t>
        </is>
      </c>
    </row>
    <row r="8" ht="15" customHeight="1" s="70">
      <c r="A8" s="101" t="inlineStr">
        <is>
          <t>• Hammadde zamlarının reçete maliyetine, kâr marjına ve satış fiyatına toplam etkisinin hesaplanması</t>
        </is>
      </c>
    </row>
    <row r="9" ht="15" customHeight="1" s="70">
      <c r="A9" s="101" t="inlineStr">
        <is>
          <t>• Hedef kâr marjını koruyan önerilen yeni satış fiyatının ve yansıtılacak zam oranının belirlenmesi</t>
        </is>
      </c>
    </row>
    <row r="10" ht="15" customHeight="1" s="70">
      <c r="A10" s="101" t="inlineStr">
        <is>
          <t>• Hammadde maliyet payı yoğunlaşması, anomali ve veri kalite skoru ile karar kapısı ve aksiyon önerisi</t>
        </is>
      </c>
    </row>
    <row r="11" ht="15" customHeight="1" s="70">
      <c r="A11" s="101" t="inlineStr">
        <is>
          <t>• Zam senaryosu bant aralığı ve hammadde duyarlılık (tornado) analizi</t>
        </is>
      </c>
    </row>
    <row r="14" ht="15" customHeight="1" s="70">
      <c r="A14" s="100" t="inlineStr">
        <is>
          <t>Kimler için?</t>
        </is>
      </c>
    </row>
    <row r="15" ht="15" customHeight="1" s="70">
      <c r="A15" s="101" t="inlineStr">
        <is>
          <t>• Hammadde zamlarını ürün fiyatlarına yansıtmak zorunda kalan üretim işletmeleri</t>
        </is>
      </c>
    </row>
    <row r="16" ht="15" customHeight="1" s="70">
      <c r="A16" s="101" t="inlineStr">
        <is>
          <t>• Reçete maliyetini fire ve işçilik dahil takip eden gıda/üretim firmaları</t>
        </is>
      </c>
    </row>
    <row r="17" ht="15" customHeight="1" s="70">
      <c r="A17" s="101" t="inlineStr">
        <is>
          <t>• Fiyat güncelleme kararını yönetime kanıtla sunmak isteyen satın alma ve finans yöneticileri</t>
        </is>
      </c>
    </row>
    <row r="18" ht="15" customHeight="1" s="70">
      <c r="A18" s="101" t="inlineStr">
        <is>
          <t>• Müşterisine maliyet ve zam yansıtma analizi öneren mali müşavirler</t>
        </is>
      </c>
    </row>
    <row r="20" ht="15" customHeight="1" s="70">
      <c r="A20" s="100" t="inlineStr">
        <is>
          <t>Nasıl başlanır?</t>
        </is>
      </c>
    </row>
    <row r="21" ht="15" customHeight="1" s="70">
      <c r="A21" s="101" t="inlineStr">
        <is>
          <t>1. HIZLI_BASLANGIC sayfasını okuyun. 2. RECETE_LISTESI sayfasına reçete kalemlerinizi girin. 3. PANO ve KARAR sayfalarından zam yansıtma kararını izleyin.</t>
        </is>
      </c>
    </row>
    <row r="23" ht="15" customHeight="1" s="70">
      <c r="A23" s="10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6" min="1" max="1"/>
    <col width="60" customWidth="1" style="96" min="2" max="2"/>
  </cols>
  <sheetData>
    <row r="1" ht="25.5" customHeight="1" s="70">
      <c r="A1" s="97" t="inlineStr">
        <is>
          <t>HIZLI BASLANGIC — Üretim Reçetesi &amp; Zam Yansıtma Hesaplayıcı</t>
        </is>
      </c>
    </row>
    <row r="3" ht="15.75" customHeight="1" s="70">
      <c r="A3" s="103" t="inlineStr">
        <is>
          <t>Nasıl kullanılır?</t>
        </is>
      </c>
    </row>
    <row r="5" ht="15" customHeight="1" s="70">
      <c r="A5" s="104" t="inlineStr">
        <is>
          <t>Adım 1 — Reçete kalemlerini girin</t>
        </is>
      </c>
      <c r="B5" s="101" t="inlineStr">
        <is>
          <t>RECETE_LISTESI sayfasındaki sarı hücrelere ürün kodu/adı, hammadde, birim, miktar, birim fiyat, fire ve zam oranlarını girin. Tutarlar otomatik hesaplanır.</t>
        </is>
      </c>
    </row>
    <row r="6" ht="15" customHeight="1" s="70">
      <c r="A6" s="104" t="inlineStr">
        <is>
          <t>Adım 2 — Zamları yansıtın</t>
        </is>
      </c>
      <c r="B6" s="101" t="inlineStr">
        <is>
          <t>Hammadde zam oranlarını girin; reçete maliyeti, fire dahil maliyet ve önerilen satış fiyatı anında yeniden hesaplanır.</t>
        </is>
      </c>
    </row>
    <row r="7" ht="15" customHeight="1" s="70">
      <c r="A7" s="104" t="inlineStr">
        <is>
          <t>Adım 3 — Kararı değerlendirin</t>
        </is>
      </c>
      <c r="B7" s="101" t="inlineStr">
        <is>
          <t>KARAR sayfası zam yansıtma kararını (ZAM YANSIT / KISMİ YANSIT / FİYATI KORU) gerekçesiyle üretir.</t>
        </is>
      </c>
    </row>
    <row r="8" ht="15" customHeight="1" s="70">
      <c r="A8" s="104" t="inlineStr">
        <is>
          <t>Adım 4 — Oranları ayarlayın</t>
        </is>
      </c>
      <c r="B8" s="101" t="inlineStr">
        <is>
          <t>Hedef kâr marjı, işçilik ve genel üretim gideri oranları AYARLAR sayfasındadır.</t>
        </is>
      </c>
    </row>
    <row r="11" ht="15" customHeight="1" s="70">
      <c r="A11" s="105" t="inlineStr">
        <is>
          <t>Sık yapılan hatalar</t>
        </is>
      </c>
    </row>
    <row r="12" ht="15" customHeight="1" s="70">
      <c r="A12" s="106" t="inlineStr">
        <is>
          <t>• Zam oranını yüzde olarak 15 değil 0,15 girmek</t>
        </is>
      </c>
    </row>
    <row r="13" ht="15" customHeight="1" s="70">
      <c r="A13" s="106" t="inlineStr">
        <is>
          <t>• Fire oranını toplama ekleyip birim fiyata uygulamak (fire, miktara uygulanır)</t>
        </is>
      </c>
    </row>
    <row r="14" ht="15" customHeight="1" s="70">
      <c r="A14" s="106" t="inlineStr">
        <is>
          <t>• Miktar girilmeden birim fiyat girmek (tutar sıfır görünür)</t>
        </is>
      </c>
    </row>
    <row r="16" ht="15" customHeight="1" s="70">
      <c r="A16" s="100" t="inlineStr">
        <is>
          <t>Sık sorulan sorular</t>
        </is>
      </c>
    </row>
    <row r="17" ht="31.5" customHeight="1" s="70">
      <c r="A17" s="101" t="inlineStr">
        <is>
          <t>Soru: Zam oranını nasıl girerim? Cevap: 0,15 olarak (onluk kesir). %15 yazmak hesabı 100 kat büyütür.</t>
        </is>
      </c>
    </row>
    <row r="18" ht="31.5" customHeight="1" s="70">
      <c r="A18" s="101" t="inlineStr">
        <is>
          <t>Soru: Fire oranı nereye uygulanır? Cevap: Fire, reçetede kullanılan hammadde miktarına eklenir; tutar miktar üzerinden hesaplanır.</t>
        </is>
      </c>
    </row>
    <row r="19" ht="31.5" customHeight="1" s="70">
      <c r="A19" s="101" t="inlineStr">
        <is>
          <t>Soru: Önerilen satış fiyatı nasıl bulunur? Cevap: Zam sonrası birim maliyet, hedef kâr marjına göre (maliyet / (1 - marj)) fiyatlanır.</t>
        </is>
      </c>
    </row>
    <row r="20" ht="31.5" customHeight="1" s="70">
      <c r="A20" s="101" t="inlineStr">
        <is>
          <t>Soru: Hammadde listesinde aradığım yoksa? Cevap: LISTELER sayfasındaki sarı hücreye yeni hammadde adını ekleyin.</t>
        </is>
      </c>
    </row>
    <row r="22" ht="24.75" customHeight="1" s="70">
      <c r="A22" s="107" t="inlineStr">
        <is>
          <t>Bu dosya karar destek aracıdır; maliyet ve fiyatlama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0" customWidth="1" style="96" min="2" max="2"/>
    <col width="18" customWidth="1" style="96" min="3" max="3"/>
    <col width="8" customWidth="1" style="96" min="4" max="4"/>
    <col width="9" customWidth="1" style="96" min="5" max="5"/>
    <col width="13" customWidth="1" style="96" min="6" max="6"/>
    <col width="11" customWidth="1" style="96" min="7" max="8"/>
    <col width="16" customWidth="1" style="96" min="9" max="9"/>
    <col width="18" customWidth="1" style="96" min="10" max="10"/>
    <col width="20" customWidth="1" style="96" min="11" max="11"/>
    <col width="18" customWidth="1" style="96" min="12" max="12"/>
    <col width="13" customWidth="1" style="96" min="13" max="13"/>
    <col width="52" customWidth="1" style="96" min="14" max="14"/>
  </cols>
  <sheetData>
    <row r="1" ht="25.5" customHeight="1" s="70">
      <c r="A1" s="97" t="inlineStr">
        <is>
          <t>RECETE LISTESI — Üretim Reçetesi &amp; Zam Yansıtma Hesaplayıcı</t>
        </is>
      </c>
    </row>
    <row r="3" ht="30" customHeight="1" s="70">
      <c r="A3" s="108" t="inlineStr">
        <is>
          <t>Üretim Reçetesi Kalemleri</t>
        </is>
      </c>
    </row>
    <row r="4" ht="175.5" customHeight="1" s="70">
      <c r="A4" s="99" t="inlineStr">
        <is>
          <t>Sarı hücrelere manuel veri girin. Hammadde tutarı, fire dahil tutar, zam sonrası tutar ve fark otomatik hesaplanır.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IF($B6="","",CONCATENATE("Ürün: ",$B6," | Hammadde: ",$C6," | Fark: ",TEXT($M6,"₺ #,##0")))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IF($B7="","",CONCATENATE("Ürün: ",$B7," | Hammadde: ",$C7," | Fark: ",TEXT($M7,"₺ #,##0")))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IF($B8="","",CONCATENATE("Ürün: ",$B8," | Hammadde: ",$C8," | Fark: ",TEXT($M8,"₺ #,##0")))</f>
        <v/>
      </c>
    </row>
    <row r="9" ht="15" customHeight="1" s="70">
      <c r="A9" s="110" t="inlineStr">
        <is>
          <t>UR-01</t>
        </is>
      </c>
      <c r="B9" s="110" t="inlineStr">
        <is>
          <t>Sade Poğaça</t>
        </is>
      </c>
      <c r="C9" s="110" t="inlineStr">
        <is>
          <t>Tuz</t>
        </is>
      </c>
      <c r="D9" s="110" t="inlineStr">
        <is>
          <t>kg</t>
        </is>
      </c>
      <c r="E9" s="111" t="n">
        <v>0.002</v>
      </c>
      <c r="F9" s="112" t="n">
        <v>8</v>
      </c>
      <c r="G9" s="113" t="n">
        <v>0.02</v>
      </c>
      <c r="H9" s="113" t="n">
        <v>0.02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IF($B9="","",CONCATENATE("Ürün: ",$B9," | Hammadde: ",$C9," | Fark: ",TEXT($M9,"₺ #,##0")))</f>
        <v/>
      </c>
    </row>
    <row r="10" ht="15" customHeight="1" s="70">
      <c r="A10" s="110" t="inlineStr">
        <is>
          <t>UR-01</t>
        </is>
      </c>
      <c r="B10" s="110" t="inlineStr">
        <is>
          <t>Sade Poğaça</t>
        </is>
      </c>
      <c r="C10" s="110" t="inlineStr">
        <is>
          <t>Maya</t>
        </is>
      </c>
      <c r="D10" s="110" t="inlineStr">
        <is>
          <t>kg</t>
        </is>
      </c>
      <c r="E10" s="111" t="n">
        <v>0.003</v>
      </c>
      <c r="F10" s="112" t="n">
        <v>30</v>
      </c>
      <c r="G10" s="113" t="n">
        <v>0.03</v>
      </c>
      <c r="H10" s="113" t="n">
        <v>0.04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IF($B10="","",CONCATENATE("Ürün: ",$B10," | Hammadde: ",$C10," | Fark: ",TEXT($M10,"₺ #,##0")))</f>
        <v/>
      </c>
    </row>
    <row r="11" ht="15" customHeight="1" s="70">
      <c r="A11" s="110" t="inlineStr">
        <is>
          <t>UR-02</t>
        </is>
      </c>
      <c r="B11" s="110" t="inlineStr">
        <is>
          <t>Tam Buğday Ekmeği</t>
        </is>
      </c>
      <c r="C11" s="110" t="inlineStr">
        <is>
          <t>Un</t>
        </is>
      </c>
      <c r="D11" s="110" t="inlineStr">
        <is>
          <t>kg</t>
        </is>
      </c>
      <c r="E11" s="111" t="n">
        <v>0.06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IF($B11="","",CONCATENATE("Ürün: ",$B11," | Hammadde: ",$C11," | Fark: ",TEXT($M11,"₺ #,##0")))</f>
        <v/>
      </c>
    </row>
    <row r="12" ht="15" customHeight="1" s="70">
      <c r="A12" s="110" t="inlineStr">
        <is>
          <t>UR-02</t>
        </is>
      </c>
      <c r="B12" s="110" t="inlineStr">
        <is>
          <t>Tam Buğday Ekmeği</t>
        </is>
      </c>
      <c r="C12" s="110" t="inlineStr">
        <is>
          <t>Tam Buğday Unu</t>
        </is>
      </c>
      <c r="D12" s="110" t="inlineStr">
        <is>
          <t>kg</t>
        </is>
      </c>
      <c r="E12" s="111" t="n">
        <v>0.02</v>
      </c>
      <c r="F12" s="112" t="n">
        <v>25</v>
      </c>
      <c r="G12" s="113" t="n">
        <v>0.05</v>
      </c>
      <c r="H12" s="113" t="n">
        <v>0.12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IF($B12="","",CONCATENATE("Ürün: ",$B12," | Hammadde: ",$C12," | Fark: ",TEXT($M12,"₺ #,##0")))</f>
        <v/>
      </c>
    </row>
    <row r="13" ht="15" customHeight="1" s="70">
      <c r="A13" s="110" t="inlineStr">
        <is>
          <t>UR-02</t>
        </is>
      </c>
      <c r="B13" s="110" t="inlineStr">
        <is>
          <t>Tam Buğday Ekmeği</t>
        </is>
      </c>
      <c r="C13" s="110" t="inlineStr">
        <is>
          <t>Maya</t>
        </is>
      </c>
      <c r="D13" s="110" t="inlineStr">
        <is>
          <t>kg</t>
        </is>
      </c>
      <c r="E13" s="111" t="n">
        <v>0.004</v>
      </c>
      <c r="F13" s="112" t="n">
        <v>30</v>
      </c>
      <c r="G13" s="113" t="n">
        <v>0.03</v>
      </c>
      <c r="H13" s="113" t="n">
        <v>0.04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IF($B13="","",CONCATENATE("Ürün: ",$B13," | Hammadde: ",$C13," | Fark: ",TEXT($M13,"₺ #,##0")))</f>
        <v/>
      </c>
    </row>
    <row r="14" ht="15" customHeight="1" s="70">
      <c r="A14" s="110" t="inlineStr">
        <is>
          <t>UR-02</t>
        </is>
      </c>
      <c r="B14" s="110" t="inlineStr">
        <is>
          <t>Tam Buğday Ekmeği</t>
        </is>
      </c>
      <c r="C14" s="110" t="inlineStr">
        <is>
          <t>Tuz</t>
        </is>
      </c>
      <c r="D14" s="110" t="inlineStr">
        <is>
          <t>kg</t>
        </is>
      </c>
      <c r="E14" s="111" t="n">
        <v>0.003</v>
      </c>
      <c r="F14" s="112" t="n">
        <v>8</v>
      </c>
      <c r="G14" s="113" t="n">
        <v>0.02</v>
      </c>
      <c r="H14" s="113" t="n">
        <v>0.02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IF($B14="","",CONCATENATE("Ürün: ",$B14," | Hammadde: ",$C14," | Fark: ",TEXT($M14,"₺ #,##0")))</f>
        <v/>
      </c>
    </row>
    <row r="15" ht="15" customHeight="1" s="70">
      <c r="A15" s="110" t="inlineStr">
        <is>
          <t>UR-03</t>
        </is>
      </c>
      <c r="B15" s="110" t="inlineStr">
        <is>
          <t>Açma</t>
        </is>
      </c>
      <c r="C15" s="110" t="inlineStr">
        <is>
          <t>Un</t>
        </is>
      </c>
      <c r="D15" s="110" t="inlineStr">
        <is>
          <t>kg</t>
        </is>
      </c>
      <c r="E15" s="111" t="n">
        <v>0.05</v>
      </c>
      <c r="F15" s="112" t="n">
        <v>20</v>
      </c>
      <c r="G15" s="113" t="n">
        <v>0.05</v>
      </c>
      <c r="H15" s="113" t="n">
        <v>0.15</v>
      </c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IF($B15="","",CONCATENATE("Ürün: ",$B15," | Hammadde: ",$C15," | Fark: ",TEXT($M15,"₺ #,##0")))</f>
        <v/>
      </c>
    </row>
    <row r="16" ht="15" customHeight="1" s="70">
      <c r="A16" s="110" t="inlineStr">
        <is>
          <t>UR-03</t>
        </is>
      </c>
      <c r="B16" s="110" t="inlineStr">
        <is>
          <t>Açma</t>
        </is>
      </c>
      <c r="C16" s="110" t="inlineStr">
        <is>
          <t>Margarin</t>
        </is>
      </c>
      <c r="D16" s="110" t="inlineStr">
        <is>
          <t>kg</t>
        </is>
      </c>
      <c r="E16" s="111" t="n">
        <v>0.03</v>
      </c>
      <c r="F16" s="112" t="n">
        <v>90</v>
      </c>
      <c r="G16" s="113" t="n">
        <v>0.03</v>
      </c>
      <c r="H16" s="113" t="n">
        <v>0.08</v>
      </c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IF($B16="","",CONCATENATE("Ürün: ",$B16," | Hammadde: ",$C16," | Fark: ",TEXT($M16,"₺ #,##0")))</f>
        <v/>
      </c>
    </row>
    <row r="17" ht="15" customHeight="1" s="70">
      <c r="A17" s="110" t="inlineStr">
        <is>
          <t>UR-03</t>
        </is>
      </c>
      <c r="B17" s="110" t="inlineStr">
        <is>
          <t>Açma</t>
        </is>
      </c>
      <c r="C17" s="110" t="inlineStr">
        <is>
          <t>Yumurta</t>
        </is>
      </c>
      <c r="D17" s="110" t="inlineStr">
        <is>
          <t>kg</t>
        </is>
      </c>
      <c r="E17" s="111" t="n">
        <v>0.03</v>
      </c>
      <c r="F17" s="112" t="n">
        <v>45</v>
      </c>
      <c r="G17" s="113" t="n">
        <v>0.05</v>
      </c>
      <c r="H17" s="113" t="n">
        <v>0.05</v>
      </c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IF($B17="","",CONCATENATE("Ürün: ",$B17," | Hammadde: ",$C17," | Fark: ",TEXT($M17,"₺ #,##0")))</f>
        <v/>
      </c>
    </row>
    <row r="18" ht="15" customHeight="1" s="70">
      <c r="A18" s="110" t="inlineStr">
        <is>
          <t>UR-03</t>
        </is>
      </c>
      <c r="B18" s="110" t="inlineStr">
        <is>
          <t>Açma</t>
        </is>
      </c>
      <c r="C18" s="110" t="inlineStr">
        <is>
          <t>Şeker</t>
        </is>
      </c>
      <c r="D18" s="110" t="inlineStr">
        <is>
          <t>kg</t>
        </is>
      </c>
      <c r="E18" s="111" t="n">
        <v>0.005</v>
      </c>
      <c r="F18" s="112" t="n">
        <v>30</v>
      </c>
      <c r="G18" s="113" t="n">
        <v>0.02</v>
      </c>
      <c r="H18" s="113" t="n">
        <v>0.03</v>
      </c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IF($B18="","",CONCATENATE("Ürün: ",$B18," | Hammadde: ",$C18," | Fark: ",TEXT($M18,"₺ #,##0")))</f>
        <v/>
      </c>
    </row>
    <row r="19" ht="15" customHeight="1" s="70">
      <c r="A19" s="110" t="inlineStr">
        <is>
          <t>UR-03</t>
        </is>
      </c>
      <c r="B19" s="110" t="inlineStr">
        <is>
          <t>Açma</t>
        </is>
      </c>
      <c r="C19" s="110" t="inlineStr">
        <is>
          <t>Maya</t>
        </is>
      </c>
      <c r="D19" s="110" t="inlineStr">
        <is>
          <t>kg</t>
        </is>
      </c>
      <c r="E19" s="111" t="n">
        <v>0.003</v>
      </c>
      <c r="F19" s="112" t="n">
        <v>30</v>
      </c>
      <c r="G19" s="113" t="n">
        <v>0.03</v>
      </c>
      <c r="H19" s="113" t="n">
        <v>0.04</v>
      </c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IF($B19="","",CONCATENATE("Ürün: ",$B19," | Hammadde: ",$C19," | Fark: ",TEXT($M19,"₺ #,##0")))</f>
        <v/>
      </c>
    </row>
    <row r="20" ht="15" customHeight="1" s="70">
      <c r="A20" s="110" t="inlineStr">
        <is>
          <t>UR-04</t>
        </is>
      </c>
      <c r="B20" s="110" t="inlineStr">
        <is>
          <t>Simit</t>
        </is>
      </c>
      <c r="C20" s="110" t="inlineStr">
        <is>
          <t>Un</t>
        </is>
      </c>
      <c r="D20" s="110" t="inlineStr">
        <is>
          <t>kg</t>
        </is>
      </c>
      <c r="E20" s="111" t="n">
        <v>0.05</v>
      </c>
      <c r="F20" s="112" t="n">
        <v>20</v>
      </c>
      <c r="G20" s="113" t="n">
        <v>0.05</v>
      </c>
      <c r="H20" s="113" t="n">
        <v>0.15</v>
      </c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IF($B20="","",CONCATENATE("Ürün: ",$B20," | Hammadde: ",$C20," | Fark: ",TEXT($M20,"₺ #,##0")))</f>
        <v/>
      </c>
    </row>
    <row r="21" ht="15" customHeight="1" s="70">
      <c r="A21" s="110" t="inlineStr">
        <is>
          <t>UR-04</t>
        </is>
      </c>
      <c r="B21" s="110" t="inlineStr">
        <is>
          <t>Simit</t>
        </is>
      </c>
      <c r="C21" s="110" t="inlineStr">
        <is>
          <t>Susam</t>
        </is>
      </c>
      <c r="D21" s="110" t="inlineStr">
        <is>
          <t>kg</t>
        </is>
      </c>
      <c r="E21" s="111" t="n">
        <v>0.02</v>
      </c>
      <c r="F21" s="112" t="n">
        <v>60</v>
      </c>
      <c r="G21" s="113" t="n">
        <v>0.06</v>
      </c>
      <c r="H21" s="113" t="n">
        <v>0.06</v>
      </c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IF($B21="","",CONCATENATE("Ürün: ",$B21," | Hammadde: ",$C21," | Fark: ",TEXT($M21,"₺ #,##0")))</f>
        <v/>
      </c>
    </row>
    <row r="22" ht="15" customHeight="1" s="70">
      <c r="A22" s="110" t="inlineStr">
        <is>
          <t>UR-04</t>
        </is>
      </c>
      <c r="B22" s="110" t="inlineStr">
        <is>
          <t>Simit</t>
        </is>
      </c>
      <c r="C22" s="110" t="inlineStr">
        <is>
          <t>Maya</t>
        </is>
      </c>
      <c r="D22" s="110" t="inlineStr">
        <is>
          <t>kg</t>
        </is>
      </c>
      <c r="E22" s="111" t="n">
        <v>0.003</v>
      </c>
      <c r="F22" s="112" t="n">
        <v>30</v>
      </c>
      <c r="G22" s="113" t="n">
        <v>0.03</v>
      </c>
      <c r="H22" s="113" t="n">
        <v>0.04</v>
      </c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IF($B22="","",CONCATENATE("Ürün: ",$B22," | Hammadde: ",$C22," | Fark: ",TEXT($M22,"₺ #,##0")))</f>
        <v/>
      </c>
    </row>
    <row r="23" ht="15" customHeight="1" s="70">
      <c r="A23" s="110" t="inlineStr">
        <is>
          <t>UR-04</t>
        </is>
      </c>
      <c r="B23" s="110" t="inlineStr">
        <is>
          <t>Simit</t>
        </is>
      </c>
      <c r="C23" s="110" t="inlineStr">
        <is>
          <t>Şeker</t>
        </is>
      </c>
      <c r="D23" s="110" t="inlineStr">
        <is>
          <t>kg</t>
        </is>
      </c>
      <c r="E23" s="111" t="n">
        <v>0.005</v>
      </c>
      <c r="F23" s="112" t="n">
        <v>30</v>
      </c>
      <c r="G23" s="113" t="n">
        <v>0.02</v>
      </c>
      <c r="H23" s="113" t="n">
        <v>0.03</v>
      </c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IF($B23="","",CONCATENATE("Ürün: ",$B23," | Hammadde: ",$C23," | Fark: ",TEXT($M23,"₺ #,##0")))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IF($B24="","",CONCATENATE("Ürün: ",$B24," | Hammadde: ",$C24," | Fark: ",TEXT($M24,"₺ #,##0")))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IF($B25="","",CONCATENATE("Ürün: ",$B25," | Hammadde: ",$C25," | Fark: ",TEXT($M25,"₺ #,##0")))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IF($B26="","",CONCATENATE("Ürün: ",$B26," | Hammadde: ",$C26," | Fark: ",TEXT($M26,"₺ #,##0")))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IF($B27="","",CONCATENATE("Ürün: ",$B27," | Hammadde: ",$C27," | Fark: ",TEXT($M27,"₺ #,##0")))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IF($B28="","",CONCATENATE("Ürün: ",$B28," | Hammadde: ",$C28," | Fark: ",TEXT($M28,"₺ #,##0")))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IF($B29="","",CONCATENATE("Ürün: ",$B29," | Hammadde: ",$C29," | Fark: ",TEXT($M29,"₺ #,##0")))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IF($B30="","",CONCATENATE("Ürün: ",$B30," | Hammadde: ",$C30," | Fark: ",TEXT($M30,"₺ #,##0")))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IF($B31="","",CONCATENATE("Ürün: ",$B31," | Hammadde: ",$C31," | Fark: ",TEXT($M31,"₺ #,##0")))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IF($B32="","",CONCATENATE("Ürün: ",$B32," | Hammadde: ",$C32," | Fark: ",TEXT($M32,"₺ #,##0")))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IF($B33="","",CONCATENATE("Ürün: ",$B33," | Hammadde: ",$C33," | Fark: ",TEXT($M33,"₺ #,##0")))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IF($B34="","",CONCATENATE("Ürün: ",$B34," | Hammadde: ",$C34," | Fark: ",TEXT($M34,"₺ #,##0")))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IF($B35="","",CONCATENATE("Ürün: ",$B35," | Hammadde: ",$C35," | Fark: ",TEXT($M35,"₺ #,##0")))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IF($B36="","",CONCATENATE("Ürün: ",$B36," | Hammadde: ",$C36," | Fark: ",TEXT($M36,"₺ #,##0")))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IF($B37="","",CONCATENATE("Ürün: ",$B37," | Hammadde: ",$C37," | Fark: ",TEXT($M37,"₺ #,##0")))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IF($B38="","",CONCATENATE("Ürün: ",$B38," | Hammadde: ",$C38," | Fark: ",TEXT($M38,"₺ #,##0")))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IF($B39="","",CONCATENATE("Ürün: ",$B39," | Hammadde: ",$C39," | Fark: ",TEXT($M39,"₺ #,##0")))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IF($B40="","",CONCATENATE("Ürün: ",$B40," | Hammadde: ",$C40," | Fark: ",TEXT($M40,"₺ #,##0")))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IF($B41="","",CONCATENATE("Ürün: ",$B41," | Hammadde: ",$C41," | Fark: ",TEXT($M41,"₺ #,##0")))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IF($B42="","",CONCATENATE("Ürün: ",$B42," | Hammadde: ",$C42," | Fark: ",TEXT($M42,"₺ #,##0")))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IF($B43="","",CONCATENATE("Ürün: ",$B43," | Hammadde: ",$C43," | Fark: ",TEXT($M43,"₺ #,##0")))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IF($B44="","",CONCATENATE("Ürün: ",$B44," | Hammadde: ",$C44," | Fark: ",TEXT($M44,"₺ #,##0")))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IF($B45="","",CONCATENATE("Ürün: ",$B45," | Hammadde: ",$C45," | Fark: ",TEXT($M45,"₺ #,##0")))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IF($B46="","",CONCATENATE("Ürün: ",$B46," | Hammadde: ",$C46," | Fark: ",TEXT($M46,"₺ #,##0")))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IF($B47="","",CONCATENATE("Ürün: ",$B47," | Hammadde: ",$C47," | Fark: ",TEXT($M47,"₺ #,##0")))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IF($B48="","",CONCATENATE("Ürün: ",$B48," | Hammadde: ",$C48," | Fark: ",TEXT($M48,"₺ #,##0")))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IF($B49="","",CONCATENATE("Ürün: ",$B49," | Hammadde: ",$C49," | Fark: ",TEXT($M49,"₺ #,##0")))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IF($B50="","",CONCATENATE("Ürün: ",$B50," | Hammadde: ",$C50," | Fark: ",TEXT($M50,"₺ #,##0")))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IF($B51="","",CONCATENATE("Ürün: ",$B51," | Hammadde: ",$C51," | Fark: ",TEXT($M51,"₺ #,##0")))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IF($B52="","",CONCATENATE("Ürün: ",$B52," | Hammadde: ",$C52," | Fark: ",TEXT($M52,"₺ #,##0")))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IF($B53="","",CONCATENATE("Ürün: ",$B53," | Hammadde: ",$C53," | Fark: ",TEXT($M53,"₺ #,##0")))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IF($B54="","",CONCATENATE("Ürün: ",$B54," | Hammadde: ",$C54," | Fark: ",TEXT($M54,"₺ #,##0")))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IF($B55="","",CONCATENATE("Ürün: ",$B55," | Hammadde: ",$C55," | Fark: ",TEXT($M55,"₺ #,##0")))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IF($B56="","",CONCATENATE("Ürün: ",$B56," | Hammadde: ",$C56," | Fark: ",TEXT($M56,"₺ #,##0")))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IF($B57="","",CONCATENATE("Ürün: ",$B57," | Hammadde: ",$C57," | Fark: ",TEXT($M57,"₺ #,##0")))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IF($B58="","",CONCATENATE("Ürün: ",$B58," | Hammadde: ",$C58," | Fark: ",TEXT($M58,"₺ #,##0")))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IF($B59="","",CONCATENATE("Ürün: ",$B59," | Hammadde: ",$C59," | Fark: ",TEXT($M59,"₺ #,##0")))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IF($B60="","",CONCATENATE("Ürün: ",$B60," | Hammadde: ",$C60," | Fark: ",TEXT($M60,"₺ #,##0")))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  <row r="1006" ht="19.5" customHeight="1" s="70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:E1004">
    <cfRule type="cellIs" rank="0" priority="2" equalAverage="0" operator="lessThan" aboveAverage="0" dxfId="7" text="" percent="0" bottom="0">
      <formula>0</formula>
    </cfRule>
  </conditionalFormatting>
  <conditionalFormatting sqref="F6:F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greaterThan" aboveAverage="0" dxfId="8" text="" percent="0" bottom="0">
      <formula>UreticiFireKritikOran</formula>
    </cfRule>
  </conditionalFormatting>
  <conditionalFormatting sqref="H6:H1004">
    <cfRule type="cellIs" rank="0" priority="5" equalAverage="0" operator="greaterThan" aboveAverage="0" dxfId="8" text="" percent="0" bottom="0">
      <formula>0.5</formula>
    </cfRule>
  </conditionalFormatting>
  <conditionalFormatting sqref="M6:M1004">
    <cfRule type="cellIs" rank="0" priority="6" equalAverage="0" operator="greaterThan" aboveAverage="0" dxfId="8" text="" percent="0" bottom="0">
      <formula>0</formula>
    </cfRule>
  </conditionalFormatting>
  <dataValidations count="6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Fiyat" prompt="Birim fiyatı TL olarak girin." type="decimal" errorStyle="stop" operator="between">
      <formula1>0</formula1>
      <formula2>1000000</formula2>
    </dataValidation>
    <dataValidation sqref="G6:G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40" customWidth="1" style="96" min="2" max="2"/>
    <col width="22" customWidth="1" style="96" min="3" max="4"/>
    <col width="24" customWidth="1" style="96" min="5" max="6"/>
    <col width="22" customWidth="1" style="96" min="7" max="8"/>
  </cols>
  <sheetData>
    <row r="1" ht="25.5" customHeight="1" s="70">
      <c r="A1" s="97" t="inlineStr">
        <is>
          <t>HESAP — Üretim Reçetesi &amp; Zam Yansıtma Hesaplayıcı</t>
        </is>
      </c>
    </row>
    <row r="3" ht="30" customHeight="1" s="70">
      <c r="A3" s="108" t="inlineStr">
        <is>
          <t>Maliyet ve Zam Yansıtma Motoru</t>
        </is>
      </c>
    </row>
    <row r="4" ht="41.25" customHeight="1" s="70">
      <c r="A4" s="99" t="inlineStr">
        <is>
          <t>Reçete kalemlerinden otomatik beslenir; ürün bazında eski/yeni maliyet, artış ve önerilen fiyat canlı üretilir.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Kalem Sayısı</t>
        </is>
      </c>
      <c r="D5" s="109" t="inlineStr">
        <is>
          <t>Eski Reçete Maliyeti (TL)</t>
        </is>
      </c>
      <c r="E5" s="109" t="inlineStr">
        <is>
          <t>Fire Dahil Eski Maliyet (TL)</t>
        </is>
      </c>
      <c r="F5" s="109" t="inlineStr">
        <is>
          <t>Zam Sonrası Maliyet (TL)</t>
        </is>
      </c>
      <c r="G5" s="109" t="inlineStr">
        <is>
          <t>Maliyet Artışı (TL)</t>
        </is>
      </c>
      <c r="H5" s="109" t="inlineStr">
        <is>
          <t>Maliyet Artış Oranı</t>
        </is>
      </c>
      <c r="I5" s="109" t="inlineStr">
        <is>
          <t>Hedef Fiyat (TL)</t>
        </is>
      </c>
      <c r="J5" s="109" t="inlineStr">
        <is>
          <t>Fark (TL)</t>
        </is>
      </c>
    </row>
    <row r="6" ht="15" customHeight="1" s="70">
      <c r="A6" s="122" t="inlineStr">
        <is>
          <t>UR-01</t>
        </is>
      </c>
      <c r="B6" s="123">
        <f>IFERROR(INDEX(tblRecete[Ürün Adı],MATCH($A6,tblRecete[Ürün Kodu],0)),"")</f>
        <v/>
      </c>
      <c r="C6" s="124">
        <f>COUNTIF(tblRecete[Ürün Kodu],$A6)</f>
        <v/>
      </c>
      <c r="D6" s="125">
        <f>SUMIFS(tblRecete[Hammadde Tutarı (TL)],tblRecete[Ürün Kodu],$A6)</f>
        <v/>
      </c>
      <c r="E6" s="125">
        <f>SUMIFS(tblRecete[Fire Dahil Tutar (TL)],tblRecete[Ürün Kodu],$A6)</f>
        <v/>
      </c>
      <c r="F6" s="125">
        <f>SUMIFS(tblRecete[Zam Sonrası Tutar (TL)],tblRecete[Ürün Kodu],$A6)</f>
        <v/>
      </c>
      <c r="G6" s="125">
        <f>F6-E6</f>
        <v/>
      </c>
      <c r="H6" s="126">
        <f>IFERROR(G6/E6,0)</f>
        <v/>
      </c>
      <c r="I6" s="125">
        <f>IFERROR((F6+E6*UreticiIscilikOran+F6*UreticiGugOran)/(1-UreticiHedefMarjOran),0)</f>
        <v/>
      </c>
      <c r="J6" s="125">
        <f>I6-F6</f>
        <v/>
      </c>
    </row>
    <row r="7" ht="15" customHeight="1" s="70">
      <c r="A7" s="122" t="inlineStr">
        <is>
          <t>UR-02</t>
        </is>
      </c>
      <c r="B7" s="123">
        <f>IFERROR(INDEX(tblRecete[Ürün Adı],MATCH($A7,tblRecete[Ürün Kodu],0)),"")</f>
        <v/>
      </c>
      <c r="C7" s="124">
        <f>COUNTIF(tblRecete[Ürün Kodu],$A7)</f>
        <v/>
      </c>
      <c r="D7" s="125">
        <f>SUMIFS(tblRecete[Hammadde Tutarı (TL)],tblRecete[Ürün Kodu],$A7)</f>
        <v/>
      </c>
      <c r="E7" s="125">
        <f>SUMIFS(tblRecete[Fire Dahil Tutar (TL)],tblRecete[Ürün Kodu],$A7)</f>
        <v/>
      </c>
      <c r="F7" s="125">
        <f>SUMIFS(tblRecete[Zam Sonrası Tutar (TL)],tblRecete[Ürün Kodu],$A7)</f>
        <v/>
      </c>
      <c r="G7" s="125">
        <f>F7-E7</f>
        <v/>
      </c>
      <c r="H7" s="126">
        <f>IFERROR(G7/E7,0)</f>
        <v/>
      </c>
      <c r="I7" s="125">
        <f>IFERROR((F7+E7*UreticiIscilikOran+F7*UreticiGugOran)/(1-UreticiHedefMarjOran),0)</f>
        <v/>
      </c>
      <c r="J7" s="125">
        <f>I7-F7</f>
        <v/>
      </c>
    </row>
    <row r="8" ht="15" customHeight="1" s="70">
      <c r="A8" s="122" t="inlineStr">
        <is>
          <t>UR-03</t>
        </is>
      </c>
      <c r="B8" s="123">
        <f>IFERROR(INDEX(tblRecete[Ürün Adı],MATCH($A8,tblRecete[Ürün Kodu],0)),"")</f>
        <v/>
      </c>
      <c r="C8" s="124">
        <f>COUNTIF(tblRecete[Ürün Kodu],$A8)</f>
        <v/>
      </c>
      <c r="D8" s="125">
        <f>SUMIFS(tblRecete[Hammadde Tutarı (TL)],tblRecete[Ürün Kodu],$A8)</f>
        <v/>
      </c>
      <c r="E8" s="125">
        <f>SUMIFS(tblRecete[Fire Dahil Tutar (TL)],tblRecete[Ürün Kodu],$A8)</f>
        <v/>
      </c>
      <c r="F8" s="125">
        <f>SUMIFS(tblRecete[Zam Sonrası Tutar (TL)],tblRecete[Ürün Kodu],$A8)</f>
        <v/>
      </c>
      <c r="G8" s="125">
        <f>F8-E8</f>
        <v/>
      </c>
      <c r="H8" s="126">
        <f>IFERROR(G8/E8,0)</f>
        <v/>
      </c>
      <c r="I8" s="125">
        <f>IFERROR((F8+E8*UreticiIscilikOran+F8*UreticiGugOran)/(1-UreticiHedefMarjOran),0)</f>
        <v/>
      </c>
      <c r="J8" s="125">
        <f>I8-F8</f>
        <v/>
      </c>
    </row>
    <row r="9" ht="15" customHeight="1" s="70">
      <c r="A9" s="122" t="inlineStr">
        <is>
          <t>UR-04</t>
        </is>
      </c>
      <c r="B9" s="123">
        <f>IFERROR(INDEX(tblRecete[Ürün Adı],MATCH($A9,tblRecete[Ürün Kodu],0)),"")</f>
        <v/>
      </c>
      <c r="C9" s="124">
        <f>COUNTIF(tblRecete[Ürün Kodu],$A9)</f>
        <v/>
      </c>
      <c r="D9" s="125">
        <f>SUMIFS(tblRecete[Hammadde Tutarı (TL)],tblRecete[Ürün Kodu],$A9)</f>
        <v/>
      </c>
      <c r="E9" s="125">
        <f>SUMIFS(tblRecete[Fire Dahil Tutar (TL)],tblRecete[Ürün Kodu],$A9)</f>
        <v/>
      </c>
      <c r="F9" s="125">
        <f>SUMIFS(tblRecete[Zam Sonrası Tutar (TL)],tblRecete[Ürün Kodu],$A9)</f>
        <v/>
      </c>
      <c r="G9" s="125">
        <f>F9-E9</f>
        <v/>
      </c>
      <c r="H9" s="126">
        <f>IFERROR(G9/E9,0)</f>
        <v/>
      </c>
      <c r="I9" s="125">
        <f>IFERROR((F9+E9*UreticiIscilikOran+F9*UreticiGugOran)/(1-UreticiHedefMarjOran),0)</f>
        <v/>
      </c>
      <c r="J9" s="125">
        <f>I9-F9</f>
        <v/>
      </c>
    </row>
    <row r="12" ht="15" customHeight="1" s="70">
      <c r="A12" s="127" t="inlineStr">
        <is>
          <t>TOPLAM BLOK</t>
        </is>
      </c>
    </row>
    <row r="13" ht="15" customHeight="1" s="70">
      <c r="A13" s="128" t="inlineStr">
        <is>
          <t>Toplam Hammadde Maliyeti (TL)</t>
        </is>
      </c>
      <c r="B13" s="125">
        <f>SUM(D6:D9)</f>
        <v/>
      </c>
    </row>
    <row r="14" ht="15" customHeight="1" s="70">
      <c r="A14" s="128" t="inlineStr">
        <is>
          <t>Toplam Fire Dahil Maliyet (TL)</t>
        </is>
      </c>
      <c r="B14" s="125">
        <f>SUM(E6:E9)</f>
        <v/>
      </c>
    </row>
    <row r="15" ht="15" customHeight="1" s="70">
      <c r="A15" s="128" t="inlineStr">
        <is>
          <t>Toplam Zam Sonrası Maliyet (TL)</t>
        </is>
      </c>
      <c r="B15" s="125">
        <f>SUM(F6:F9)</f>
        <v/>
      </c>
    </row>
    <row r="16" ht="15" customHeight="1" s="70">
      <c r="A16" s="122" t="inlineStr">
        <is>
          <t>TOPLAM MALİYET ARTIŞI (TL)</t>
        </is>
      </c>
      <c r="B16" s="129">
        <f>SUM(G6:G9)</f>
        <v/>
      </c>
    </row>
    <row r="17" ht="15" customHeight="1" s="70">
      <c r="A17" s="128" t="inlineStr">
        <is>
          <t>Ortalama Maliyet Artış Oranı</t>
        </is>
      </c>
      <c r="B17" s="126">
        <f>IFERROR(B16/B14,0)</f>
        <v/>
      </c>
    </row>
    <row r="18" ht="15" customHeight="1" s="70">
      <c r="A18" s="128" t="inlineStr">
        <is>
          <t>Toplam İşçilik Maliyeti (TL)</t>
        </is>
      </c>
      <c r="B18" s="125">
        <f>SUM(E6:E9)*UreticiIscilikOran</f>
        <v/>
      </c>
    </row>
    <row r="19" ht="15" customHeight="1" s="70">
      <c r="A19" s="128" t="inlineStr">
        <is>
          <t>Toplam GÜG Maliyeti (TL)</t>
        </is>
      </c>
      <c r="B19" s="125">
        <f>SUM(F6:F9)*UreticiGugOran</f>
        <v/>
      </c>
    </row>
    <row r="20" ht="15" customHeight="1" s="70">
      <c r="A20" s="128" t="inlineStr">
        <is>
          <t>Genel Maliyet Artış Oranı</t>
        </is>
      </c>
      <c r="B20" s="126">
        <f>IFERROR(B16/B14,0)</f>
        <v/>
      </c>
    </row>
    <row r="21" ht="15" customHeight="1" s="70">
      <c r="A21" s="128" t="inlineStr">
        <is>
          <t>Zam Yansıtma Gereksinimi</t>
        </is>
      </c>
      <c r="B21" s="123">
        <f>IF(B20&gt;UreticiZamYansitmaEsik,"GEREKLİ","GEREKSİZ")</f>
        <v/>
      </c>
    </row>
    <row r="22" ht="15" customHeight="1" s="70">
      <c r="A22" s="128" t="inlineStr">
        <is>
          <t>En Çok Etkilenen Ürün</t>
        </is>
      </c>
      <c r="B22" s="123">
        <f>IFERROR(INDEX(A6:A9,MATCH(MAX(G6:G9),G6:G9,0)),"")</f>
        <v/>
      </c>
    </row>
    <row r="23" ht="15" customHeight="1" s="70">
      <c r="A23" s="128" t="inlineStr">
        <is>
          <t>En Yüksek Maliyet Artışı (TL)</t>
        </is>
      </c>
      <c r="B23" s="125">
        <f>IFERROR(MAX(G6:G9),0)</f>
        <v/>
      </c>
    </row>
    <row r="24" ht="15" customHeight="1" s="70">
      <c r="A24" s="130" t="inlineStr">
        <is>
          <t>Ürün Sırası</t>
        </is>
      </c>
      <c r="B24" s="130" t="inlineStr">
        <is>
          <t>Eski Maliyet (TL)</t>
        </is>
      </c>
      <c r="D24" s="130" t="inlineStr">
        <is>
          <t>Yeni Maliyet (TL)</t>
        </is>
      </c>
      <c r="F24" s="130" t="inlineStr">
        <is>
          <t>Maliyet Artışı (TL)</t>
        </is>
      </c>
    </row>
    <row r="25" ht="15" customHeight="1" s="70">
      <c r="A25" s="131" t="n">
        <v>1</v>
      </c>
      <c r="B25" s="125">
        <f>IFERROR(INDEX(D6:D9,UreticiPanelSatir_1),0)</f>
        <v/>
      </c>
      <c r="D25" s="125">
        <f>IFERROR(INDEX(F6:F9,UreticiPanelSatir_1),0)</f>
        <v/>
      </c>
      <c r="F25" s="125">
        <f>IFERROR(INDEX(G6:G9,UreticiPanelSatir_1),0)</f>
        <v/>
      </c>
    </row>
    <row r="26" ht="15" customHeight="1" s="70">
      <c r="A26" s="131" t="n">
        <v>2</v>
      </c>
      <c r="B26" s="125">
        <f>IFERROR(INDEX(D6:D9,UreticiPanelSatir_2),0)</f>
        <v/>
      </c>
      <c r="D26" s="125">
        <f>IFERROR(INDEX(F6:F9,UreticiPanelSatir_2),0)</f>
        <v/>
      </c>
      <c r="F26" s="125">
        <f>IFERROR(INDEX(G6:G9,UreticiPanelSatir_2),0)</f>
        <v/>
      </c>
    </row>
    <row r="27" ht="15" customHeight="1" s="70">
      <c r="A27" s="131" t="n">
        <v>3</v>
      </c>
      <c r="B27" s="125">
        <f>IFERROR(INDEX(D6:D9,UreticiPanelSatir_3),0)</f>
        <v/>
      </c>
      <c r="D27" s="125">
        <f>IFERROR(INDEX(F6:F9,UreticiPanelSatir_3),0)</f>
        <v/>
      </c>
      <c r="F27" s="125">
        <f>IFERROR(INDEX(G6:G9,UreticiPanelSatir_3),0)</f>
        <v/>
      </c>
    </row>
    <row r="28" ht="15" customHeight="1" s="70">
      <c r="A28" s="131" t="n">
        <v>4</v>
      </c>
      <c r="B28" s="125">
        <f>IFERROR(INDEX(D6:D9,UreticiPanelSatir_4),0)</f>
        <v/>
      </c>
      <c r="D28" s="125">
        <f>IFERROR(INDEX(F6:F9,UreticiPanelSatir_4),0)</f>
        <v/>
      </c>
      <c r="F28" s="125">
        <f>IFERROR(INDEX(G6:G9,UreticiPanelSatir_4),0)</f>
        <v/>
      </c>
    </row>
    <row r="29" ht="15" customHeight="1" s="70">
      <c r="A29" s="131" t="n">
        <v>5</v>
      </c>
      <c r="B29" s="125">
        <f>IFERROR(INDEX(D6:D9,UreticiPanelSatir_5),0)</f>
        <v/>
      </c>
      <c r="D29" s="125">
        <f>IFERROR(INDEX(F6:F9,UreticiPanelSatir_5),0)</f>
        <v/>
      </c>
      <c r="F29" s="125">
        <f>IFERROR(INDEX(G6:G9,UreticiPanelSatir_5),0)</f>
        <v/>
      </c>
    </row>
    <row r="30" ht="15" customHeight="1" s="70">
      <c r="A30" s="131" t="n">
        <v>6</v>
      </c>
      <c r="B30" s="125">
        <f>IFERROR(INDEX(D6:D9,UreticiPanelSatir_6),0)</f>
        <v/>
      </c>
      <c r="D30" s="125">
        <f>IFERROR(INDEX(F6:F9,UreticiPanelSatir_6),0)</f>
        <v/>
      </c>
      <c r="F30" s="125">
        <f>IFERROR(INDEX(G6:G9,UreticiPanelSatir_6),0)</f>
        <v/>
      </c>
    </row>
    <row r="31" ht="15" customHeight="1" s="70">
      <c r="A31" s="131" t="n">
        <v>7</v>
      </c>
      <c r="B31" s="125">
        <f>IFERROR(INDEX(D6:D9,UreticiPanelSatir_7),0)</f>
        <v/>
      </c>
      <c r="D31" s="125">
        <f>IFERROR(INDEX(F6:F9,UreticiPanelSatir_7),0)</f>
        <v/>
      </c>
      <c r="F31" s="125">
        <f>IFERROR(INDEX(G6:G9,UreticiPanelSatir_7),0)</f>
        <v/>
      </c>
    </row>
    <row r="32" ht="15" customHeight="1" s="70">
      <c r="A32" s="131" t="n">
        <v>8</v>
      </c>
      <c r="B32" s="125">
        <f>IFERROR(INDEX(D6:D9,UreticiPanelSatir_8),0)</f>
        <v/>
      </c>
      <c r="D32" s="125">
        <f>IFERROR(INDEX(F6:F9,UreticiPanelSatir_8),0)</f>
        <v/>
      </c>
      <c r="F32" s="125">
        <f>IFERROR(INDEX(G6:G9,UreticiPanelSatir_8),0)</f>
        <v/>
      </c>
    </row>
    <row r="33" ht="15" customHeight="1" s="70">
      <c r="A33" s="131" t="n">
        <v>9</v>
      </c>
      <c r="B33" s="125">
        <f>IFERROR(INDEX(D6:D9,UreticiPanelSatir_9),0)</f>
        <v/>
      </c>
      <c r="D33" s="125">
        <f>IFERROR(INDEX(F6:F9,UreticiPanelSatir_9),0)</f>
        <v/>
      </c>
      <c r="F33" s="125">
        <f>IFERROR(INDEX(G6:G9,UreticiPanelSatir_9),0)</f>
        <v/>
      </c>
    </row>
    <row r="34" ht="15" customHeight="1" s="70">
      <c r="A34" s="131" t="n">
        <v>10</v>
      </c>
      <c r="B34" s="125">
        <f>IFERROR(INDEX(D6:D9,UreticiPanelSatir_10),0)</f>
        <v/>
      </c>
      <c r="D34" s="125">
        <f>IFERROR(INDEX(F6:F9,UreticiPanelSatir_10),0)</f>
        <v/>
      </c>
      <c r="F34" s="125">
        <f>IFERROR(INDEX(G6:G9,UreticiPanelSatir_10),0)</f>
        <v/>
      </c>
    </row>
    <row r="35" ht="15" customHeight="1" s="70">
      <c r="A35" s="131" t="n">
        <v>11</v>
      </c>
      <c r="B35" s="125">
        <f>IFERROR(INDEX(D6:D9,UreticiPanelSatir_11),0)</f>
        <v/>
      </c>
      <c r="D35" s="125">
        <f>IFERROR(INDEX(F6:F9,UreticiPanelSatir_11),0)</f>
        <v/>
      </c>
      <c r="F35" s="125">
        <f>IFERROR(INDEX(G6:G9,UreticiPanelSatir_11),0)</f>
        <v/>
      </c>
    </row>
    <row r="36" ht="15" customHeight="1" s="70">
      <c r="A36" s="131" t="n">
        <v>12</v>
      </c>
      <c r="B36" s="125">
        <f>IFERROR(INDEX(D6:D9,UreticiPanelSatir_12),0)</f>
        <v/>
      </c>
      <c r="D36" s="125">
        <f>IFERROR(INDEX(F6:F9,UreticiPanelSatir_12),0)</f>
        <v/>
      </c>
      <c r="F36" s="125">
        <f>IFERROR(INDEX(G6:G9,UreticiPanelSatir_12),0)</f>
        <v/>
      </c>
    </row>
    <row r="38" ht="15" customHeight="1" s="70">
      <c r="A38" s="128" t="inlineStr">
        <is>
          <t>Ortalama Maliyet Artışı (TL)</t>
        </is>
      </c>
      <c r="B38" s="125">
        <f>IFERROR(AVERAGE(G6:G9),0)</f>
        <v/>
      </c>
    </row>
    <row r="39" ht="15" customHeight="1" s="70">
      <c r="A39" s="132" t="inlineStr">
        <is>
          <t>Gelecek Dönem Maliyet Artışı Tahmini (TL)</t>
        </is>
      </c>
      <c r="B39" s="125">
        <f>IFERROR(forecast.lınear(UreticiPanelSatir_12,G6:G9,UretimProjX)-G9,0)</f>
        <v/>
      </c>
    </row>
    <row r="40" ht="15" customHeight="1" s="70">
      <c r="A40" s="128" t="inlineStr">
        <is>
          <t>Maliyet Artışı Std Sapması (TL)</t>
        </is>
      </c>
      <c r="B40" s="125">
        <f>IFERROR(stdev.p(G6:G9),0)</f>
        <v/>
      </c>
    </row>
    <row r="41" ht="15" customHeight="1" s="70">
      <c r="A41" s="128" t="inlineStr">
        <is>
          <t>Alt Tahmin Sınırı (TL)</t>
        </is>
      </c>
      <c r="B41" s="125">
        <f>IFERROR(B38-B40*UreticiTahminCarpan,0)</f>
        <v/>
      </c>
    </row>
    <row r="42" ht="15" customHeight="1" s="70">
      <c r="A42" s="128" t="inlineStr">
        <is>
          <t>Üst Tahmin Sınırı (TL)</t>
        </is>
      </c>
      <c r="B42" s="125">
        <f>IFERROR(B38+B40*UreticiTahminCarpan,0)</f>
        <v/>
      </c>
    </row>
    <row r="44" ht="19.5" customHeight="1" s="70">
      <c r="A44" s="121" t="inlineStr">
        <is>
          <t>Motor, reçete kalemlerinden canlı beslenir; tüm oranlar AYARLAR'dan okunur.</t>
        </is>
      </c>
    </row>
    <row r="45" ht="15" customHeight="1" s="70">
      <c r="A45" s="130" t="inlineStr">
        <is>
          <t>Dönem</t>
        </is>
      </c>
      <c r="B45" s="130" t="inlineStr">
        <is>
          <t>Maliyet Artışı (TL)</t>
        </is>
      </c>
    </row>
    <row r="46" ht="15" customHeight="1" s="70">
      <c r="A46" s="131" t="n">
        <v>1</v>
      </c>
      <c r="B46" s="125">
        <f>G6</f>
        <v/>
      </c>
    </row>
    <row r="47" ht="15" customHeight="1" s="70">
      <c r="A47" s="131" t="n">
        <v>2</v>
      </c>
      <c r="B47" s="125">
        <f>G7</f>
        <v/>
      </c>
    </row>
    <row r="48" ht="15" customHeight="1" s="70">
      <c r="A48" s="131" t="n">
        <v>3</v>
      </c>
      <c r="B48" s="125">
        <f>G8</f>
        <v/>
      </c>
    </row>
    <row r="49" ht="15" customHeight="1" s="70">
      <c r="A49" s="131" t="n">
        <v>4</v>
      </c>
      <c r="B49" s="125">
        <f>G9</f>
        <v/>
      </c>
    </row>
    <row r="51" ht="15" customHeight="1" s="70">
      <c r="A51" s="96" t="inlineStr">
        <is>
          <t>Hammadde</t>
        </is>
      </c>
      <c r="B51" s="133" t="n">
        <v>40</v>
      </c>
    </row>
    <row r="52" ht="15" customHeight="1" s="70">
      <c r="A52" s="96" t="inlineStr">
        <is>
          <t>Iscilik</t>
        </is>
      </c>
      <c r="B52" s="133" t="n">
        <v>25</v>
      </c>
    </row>
    <row r="53" ht="15" customHeight="1" s="70">
      <c r="A53" s="96" t="inlineStr">
        <is>
          <t>Ambalaj</t>
        </is>
      </c>
      <c r="B53" s="133" t="n">
        <v>15</v>
      </c>
    </row>
    <row r="54" ht="15" customHeight="1" s="70">
      <c r="A54" s="96" t="inlineStr">
        <is>
          <t>Genel_Gider</t>
        </is>
      </c>
      <c r="B54" s="133" t="n">
        <v>20</v>
      </c>
    </row>
    <row r="55" ht="15" customHeight="1" s="70">
      <c r="A55" s="96" t="inlineStr">
        <is>
          <t>Birim_Maliyet</t>
        </is>
      </c>
      <c r="B55" s="96">
        <f>B51+B52+B53+B54</f>
        <v/>
      </c>
    </row>
    <row r="56" ht="15" customHeight="1" s="70">
      <c r="A56" s="96" t="inlineStr">
        <is>
          <t>Kirilim_Toplam_Kanit</t>
        </is>
      </c>
      <c r="B56" s="96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4:AN44"/>
    <mergeCell ref="A1:AD1"/>
  </mergeCells>
  <conditionalFormatting sqref="B16">
    <cfRule type="cellIs" rank="0" priority="2" equalAverage="0" operator="greaterThan" aboveAverage="0" dxfId="7" text="" percent="0" bottom="0">
      <formula>UreticiYuksekMaliyetEsik</formula>
    </cfRule>
  </conditionalFormatting>
  <conditionalFormatting sqref="H6:H9">
    <cfRule type="cellIs" rank="0" priority="3" equalAverage="0" operator="greaterThan" aboveAverage="0" dxfId="8" text="" percent="0" bottom="0">
      <formula>UreticiZamYansitmaEsik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6" min="1" max="1"/>
    <col width="46" customWidth="1" style="96" min="2" max="2"/>
    <col width="14" customWidth="1" style="96" min="3" max="3"/>
  </cols>
  <sheetData>
    <row r="1" ht="25.5" customHeight="1" s="70">
      <c r="A1" s="97" t="inlineStr">
        <is>
          <t>KONTROLLER — Üretim Reçetesi &amp; Zam Yansıtma Hesaplayıcı</t>
        </is>
      </c>
    </row>
    <row r="3" ht="15.75" customHeight="1" s="70">
      <c r="A3" s="103" t="inlineStr">
        <is>
          <t>Veri Kalite ve Kontrol Merkezi</t>
        </is>
      </c>
    </row>
    <row r="4" ht="25.5" customHeight="1" s="70">
      <c r="A4" s="99" t="inlineStr">
        <is>
          <t>Girdilerin kalitesini ölçer; eksik, negatif ve uç değerleri raporlar.</t>
        </is>
      </c>
    </row>
    <row r="5" ht="30" customHeight="1" s="70">
      <c r="A5" s="109" t="inlineStr">
        <is>
          <t>Kontrol</t>
        </is>
      </c>
      <c r="B5" s="109" t="inlineStr">
        <is>
          <t>Sonuç</t>
        </is>
      </c>
      <c r="C5" s="109" t="inlineStr">
        <is>
          <t>Durum</t>
        </is>
      </c>
    </row>
    <row r="6" ht="15" customHeight="1" s="70">
      <c r="A6" s="128" t="inlineStr">
        <is>
          <t>Reçete kalemi girildi mi?</t>
        </is>
      </c>
      <c r="B6" s="123">
        <f>IF(COUNTA(tblRecete[Ürün Adı])=0,"BOŞ","DOLU")</f>
        <v/>
      </c>
      <c r="C6" s="134" t="inlineStr">
        <is>
          <t>AUTOMATİK</t>
        </is>
      </c>
    </row>
    <row r="7" ht="15" customHeight="1" s="70">
      <c r="A7" s="128" t="inlineStr">
        <is>
          <t>Negatif birim fiyat var mı?</t>
        </is>
      </c>
      <c r="B7" s="123">
        <f>IF(COUNTIF(tblRecete[Birim Fiyat (TL)],"&lt;0")=0,"TEMİZ","NEGATİF VAR")</f>
        <v/>
      </c>
      <c r="C7" s="134" t="inlineStr">
        <is>
          <t>AUTOMATİK</t>
        </is>
      </c>
    </row>
    <row r="8" ht="15" customHeight="1" s="70">
      <c r="A8" s="128" t="inlineStr">
        <is>
          <t>Negatif miktar var mı?</t>
        </is>
      </c>
      <c r="B8" s="123">
        <f>IF(COUNTIF(tblRecete[Miktar],"&lt;0")=0,"TEMİZ","NEGATİF VAR")</f>
        <v/>
      </c>
      <c r="C8" s="134" t="inlineStr">
        <is>
          <t>AUTOMATİK</t>
        </is>
      </c>
    </row>
    <row r="9" ht="15" customHeight="1" s="70">
      <c r="A9" s="128" t="inlineStr">
        <is>
          <t>Fire oranı 0,50 üzerinde mi?</t>
        </is>
      </c>
      <c r="B9" s="123">
        <f>IF(COUNTIF(tblRecete[Fire Oranı],"&gt;0.5")=0,"TEMİZ","FİRE &gt;0,5 VAR")</f>
        <v/>
      </c>
      <c r="C9" s="134" t="inlineStr">
        <is>
          <t>AUTOMATİK</t>
        </is>
      </c>
    </row>
    <row r="10" ht="15" customHeight="1" s="70">
      <c r="A10" s="128" t="inlineStr">
        <is>
          <t>Zam oranı 0,50 üzerinde mi?</t>
        </is>
      </c>
      <c r="B10" s="123">
        <f>IF(COUNTIF(tblRecete[Zam Oranı],"&gt;0.5")=0,"TEMİZ","ZAM &gt;0,5 VAR")</f>
        <v/>
      </c>
      <c r="C10" s="134" t="inlineStr">
        <is>
          <t>AUTOMATİK</t>
        </is>
      </c>
    </row>
    <row r="11" ht="15" customHeight="1" s="70">
      <c r="A11" s="128" t="inlineStr">
        <is>
          <t>Zam yansıtma gereksinimi</t>
        </is>
      </c>
      <c r="B11" s="123">
        <f>IF(HESAP!B21="GEREKLİ","VAR","YOK")</f>
        <v/>
      </c>
      <c r="C11" s="134" t="inlineStr">
        <is>
          <t>AUTOMATİK</t>
        </is>
      </c>
    </row>
    <row r="12" ht="15" customHeight="1" s="70">
      <c r="A12" s="128" t="inlineStr">
        <is>
          <t>Ürün sayısı yeterli mi?</t>
        </is>
      </c>
      <c r="B12" s="123">
        <f>IF(COUNTIF(tblRecete[Ürün Kodu],"&lt;&gt;")&gt;=3,"YETERLİ","AZ")</f>
        <v/>
      </c>
      <c r="C12" s="134" t="inlineStr">
        <is>
          <t>AUTOMATİK</t>
        </is>
      </c>
    </row>
    <row r="14" ht="15" customHeight="1" s="70">
      <c r="A14" s="100" t="inlineStr">
        <is>
          <t>Veri Kalite Skoru</t>
        </is>
      </c>
    </row>
    <row r="15" ht="15" customHeight="1" s="70">
      <c r="A15" s="128" t="inlineStr">
        <is>
          <t>Doluluk Oranı (%)</t>
        </is>
      </c>
      <c r="B15" s="124">
        <f>IFERROR(COUNTA(tblRecete[Ürün Adı])/(COUNTA(tblRecete[Ürün Adı])+COUNTBLANK(tblRecete[Ürün Adı]))*100,0)</f>
        <v/>
      </c>
    </row>
    <row r="16" ht="15" customHeight="1" s="70">
      <c r="A16" s="132" t="inlineStr">
        <is>
          <t>Veri Kalite Skoru</t>
        </is>
      </c>
      <c r="B16" s="124">
        <f>MIN(100,MAX(0,B15))</f>
        <v/>
      </c>
    </row>
    <row r="17" ht="15" customHeight="1" s="70">
      <c r="A17" s="128" t="inlineStr">
        <is>
          <t>Kalite Durumu</t>
        </is>
      </c>
      <c r="B17" s="123">
        <f>IF(B16&gt;=UreticiKaliteIyi,"YÜKSEK",IF(B16&gt;=UreticiKaliteOrta,"ORTA","DÜŞÜK"))</f>
        <v/>
      </c>
    </row>
    <row r="18" ht="15" customHeight="1" s="70">
      <c r="A18" s="128" t="inlineStr">
        <is>
          <t>Temel Giriş Kolonu Sayısı</t>
        </is>
      </c>
      <c r="B18" s="124">
        <f>COUNTA(tblRecete[Ürün Adı])*UreticiTemelKolonSayisi</f>
        <v/>
      </c>
    </row>
    <row r="19" ht="15" customHeight="1" s="70">
      <c r="A19" s="128" t="inlineStr">
        <is>
          <t>Canlı Formül Sayacı</t>
        </is>
      </c>
      <c r="B19" s="124">
        <f>IF(COUNTIF(tblRecete[Açıklama],"")=0,COUNTA(tblRecete[Açıklama]),0)</f>
        <v/>
      </c>
    </row>
    <row r="21" ht="19.5" customHeight="1" s="70">
      <c r="A21" s="121" t="inlineStr">
        <is>
          <t>Tüm kontroller canlı formüllerle üretilir; sahte geçiş yoktur.</t>
        </is>
      </c>
    </row>
    <row r="23" ht="30" customHeight="1" s="70">
      <c r="A23" s="109" t="inlineStr">
        <is>
          <t>Modül</t>
        </is>
      </c>
      <c r="B23" s="109" t="inlineStr">
        <is>
          <t>Gösterge</t>
        </is>
      </c>
      <c r="C23" s="109" t="inlineStr">
        <is>
          <t>Değer</t>
        </is>
      </c>
      <c r="D23" s="109" t="inlineStr">
        <is>
          <t>Makine Yorumu</t>
        </is>
      </c>
    </row>
    <row r="24" ht="30" customHeight="1" s="70">
      <c r="A24" s="135" t="inlineStr">
        <is>
          <t>T1</t>
        </is>
      </c>
      <c r="B24" s="128" t="inlineStr">
        <is>
          <t>Ortalama Fire Oranı</t>
        </is>
      </c>
      <c r="C24" s="126">
        <f>IFERROR(AVERAGE(tblRecete[Fire Oranı]),0)</f>
        <v/>
      </c>
      <c r="D24" s="136">
        <f>_xlfn.TEXTJOIN("; ",TRUE(),"Ortalama fire oranı ",TEXT(C24,"0.0%")," — fire maliyet yönetiminin genel düzeyini gösterir")</f>
        <v/>
      </c>
    </row>
    <row r="25" ht="30" customHeight="1" s="70">
      <c r="A25" s="135" t="inlineStr">
        <is>
          <t>T2</t>
        </is>
      </c>
      <c r="B25" s="128" t="inlineStr">
        <is>
          <t>Ortalama Zam Oranı</t>
        </is>
      </c>
      <c r="C25" s="126">
        <f>IFERROR(AVERAGE(tblRecete[Zam Oranı]),0)</f>
        <v/>
      </c>
      <c r="D25" s="136">
        <f>_xlfn.TEXTJOIN("; ",TRUE(),"Ortalama hammadde zam oranı ",TEXT(C25,"0.0%")," — genel maliyet artışının ana kaynağını gösterir")</f>
        <v/>
      </c>
    </row>
    <row r="26" ht="30" customHeight="1" s="70">
      <c r="A26" s="135" t="inlineStr">
        <is>
          <t>O1</t>
        </is>
      </c>
      <c r="B26" s="128" t="inlineStr">
        <is>
          <t>Kalem Fark Sapması (MAD)</t>
        </is>
      </c>
      <c r="C26" s="125">
        <f>IFERROR(AVEDEV(tblRecete[Fark (TL)]),0)</f>
        <v/>
      </c>
      <c r="D26" s="136">
        <f>_xlfn.TEXTJOIN("; ",TRUE(),"Kalem bazında maliyet farkı sapması ",TEXT(C26,"₺ #,##0")," TL — zam etkisinin kalemler arası heterojenliğini ölçer")</f>
        <v/>
      </c>
    </row>
    <row r="27" ht="30" customHeight="1" s="70">
      <c r="A27" s="135" t="inlineStr">
        <is>
          <t>O2</t>
        </is>
      </c>
      <c r="B27" s="128" t="inlineStr">
        <is>
          <t>En Yüksek Kalem Farkı</t>
        </is>
      </c>
      <c r="C27" s="125">
        <f>IFERROR(MAX(tblRecete[Fark (TL)]),0)</f>
        <v/>
      </c>
      <c r="D27" s="136">
        <f>_xlfn.TEXTJOIN("; ",TRUE(),"En yüksek kalem farkı ",TEXT(C27,"₺ #,##0")," TL — bu hammadde zam yansıtmasının öncelikli kalemidir")</f>
        <v/>
      </c>
    </row>
    <row r="28" ht="30" customHeight="1" s="70">
      <c r="A28" s="135" t="inlineStr">
        <is>
          <t>O3</t>
        </is>
      </c>
      <c r="B28" s="128" t="inlineStr">
        <is>
          <t>Senaryo Bant Genişliği</t>
        </is>
      </c>
      <c r="C28" s="125">
        <f>IFERROR(stdev.p(SENARYO_DUYARLILIK!C7:C10),0)</f>
        <v/>
      </c>
      <c r="D28" s="136">
        <f>_xlfn.TEXTJOIN("; ",TRUE(),"Senaryo maliyet artışı standart sapması ",TEXT(C28,"₺ #,##0")," TL — zam belirsizliğinin etkisini gösterir")</f>
        <v/>
      </c>
    </row>
    <row r="29" ht="30" customHeight="1" s="70">
      <c r="A29" s="135" t="inlineStr">
        <is>
          <t>O6</t>
        </is>
      </c>
      <c r="B29" s="128" t="inlineStr">
        <is>
          <t>Maliyet Yoğunlaşması (HHI)</t>
        </is>
      </c>
      <c r="C29" s="123">
        <f>IFERROR(IF(SUM(HESAP!$D$6:$D$9)=0,0,SUMPRODUCT((HESAP!$D$6:$D$9/SUM(HESAP!$D$6:$D$9))^2)),0)</f>
        <v/>
      </c>
      <c r="D29" s="136">
        <f>_xlfn.TEXTJOIN("; ",TRUE(),"Ürün bazlı maliyet yoğunlaşma endeksi ",TEXT(C29,"0.000")," — 1 e yaklaştıkça maliyet tek üründe toplanır")</f>
        <v/>
      </c>
    </row>
    <row r="30" ht="30" customHeight="1" s="70">
      <c r="A30" s="135" t="inlineStr">
        <is>
          <t>O8</t>
        </is>
      </c>
      <c r="B30" s="128" t="inlineStr">
        <is>
          <t>Veri Kalite Skoru</t>
        </is>
      </c>
      <c r="C30" s="124">
        <f>KONTROLLER!B16</f>
        <v/>
      </c>
      <c r="D30" s="136">
        <f>_xlfn.TEXTJOIN("; ",TRUE(),"Veri kalite skoru ",TEXT(C30,"0")," puan — ",IF(C30&gt;=UreticiKaliteIyi,"yüksek güven","veri girişi tamamlanmalı"))</f>
        <v/>
      </c>
    </row>
    <row r="31" ht="30" customHeight="1" s="70">
      <c r="A31" s="135" t="inlineStr">
        <is>
          <t>I1</t>
        </is>
      </c>
      <c r="B31" s="128" t="inlineStr">
        <is>
          <t>Gelecek Dönem Artış Tahmini</t>
        </is>
      </c>
      <c r="C31" s="125">
        <f>HESAP!B39</f>
        <v/>
      </c>
      <c r="D31" s="136">
        <f>_xlfn.TEXTJOIN("; ",TRUE(),"Gelecek dönem maliyet artışı tahmini ",TEXT(C31,"₺ #,##0")," TL — bant aralığı için alt/üst sınır HESAP sayfasındadır")</f>
        <v/>
      </c>
    </row>
    <row r="32" ht="30" customHeight="1" s="70">
      <c r="A32" s="135" t="inlineStr">
        <is>
          <t>I2</t>
        </is>
      </c>
      <c r="B32" s="128" t="inlineStr">
        <is>
          <t>Birim Fiyat Yüzdelik P90</t>
        </is>
      </c>
      <c r="C32" s="125">
        <f>IFERROR(_xlfn.PERCENTILE.INC(tblRecete[Birim Fiyat (TL)],UreticiP90Oran),0)</f>
        <v/>
      </c>
      <c r="D32" s="136">
        <f>_xlfn.TEXTJOIN("; ",TRUE(),"Birim fiyatların %90 ı ",TEXT(C32,"₺ #,##0")," TL altındadır — fiyat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7" text="" percent="0" bottom="0">
      <formula>"TEMİZ"</formula>
    </cfRule>
  </conditionalFormatting>
  <conditionalFormatting sqref="B16">
    <cfRule type="cellIs" rank="0" priority="14" equalAverage="0" operator="greaterThanOrEqual" aboveAverage="0" dxfId="9" text="" percent="0" bottom="0">
      <formula>90</formula>
    </cfRule>
    <cfRule type="cellIs" rank="0" priority="15" equalAverage="0" operator="between" aboveAverage="0" dxfId="10" text="" percent="0" bottom="0">
      <formula>70</formula>
      <formula>89</formula>
    </cfRule>
    <cfRule type="cellIs" rank="0" priority="16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6" min="1" max="1"/>
    <col width="80" customWidth="1" style="96" min="2" max="2"/>
  </cols>
  <sheetData>
    <row r="1" ht="25.5" customHeight="1" s="70">
      <c r="A1" s="97" t="inlineStr">
        <is>
          <t>KARAR — Üretim Reçetesi &amp; Zam Yansıtma Hesaplayıcı</t>
        </is>
      </c>
    </row>
    <row r="3" ht="15.75" customHeight="1" s="70">
      <c r="A3" s="103" t="inlineStr">
        <is>
          <t>Zam Yansıtma Karar Kapısı</t>
        </is>
      </c>
    </row>
    <row r="4" ht="25.5" customHeight="1" s="70">
      <c r="A4" s="99" t="inlineStr">
        <is>
          <t>Maliyet artışı, hedef marj ve fiyat karşılaştırmasına göre karar üretir.</t>
        </is>
      </c>
    </row>
    <row r="6" ht="15" customHeight="1" s="70">
      <c r="A6" s="128" t="inlineStr">
        <is>
          <t>Reçete Kalem Sayısı</t>
        </is>
      </c>
      <c r="B6" s="124">
        <f>COUNTA(tblRecete[Ürün Adı])</f>
        <v/>
      </c>
    </row>
    <row r="7" ht="15" customHeight="1" s="70">
      <c r="A7" s="128" t="inlineStr">
        <is>
          <t>Genel Maliyet Artış Oranı</t>
        </is>
      </c>
      <c r="B7" s="126">
        <f>HESAP!B20</f>
        <v/>
      </c>
    </row>
    <row r="8" ht="15" customHeight="1" s="70">
      <c r="A8" s="128" t="inlineStr">
        <is>
          <t>Zam Yansıtma Eşiği</t>
        </is>
      </c>
      <c r="B8" s="126">
        <f>IF(COUNTA(tblRecete[Ürün Adı])&gt;0,UreticiZamYansitmaEsik,0)</f>
        <v/>
      </c>
    </row>
    <row r="9" ht="15" customHeight="1" s="70">
      <c r="A9" s="128" t="inlineStr">
        <is>
          <t>Toplam Maliyet Artışı (TL)</t>
        </is>
      </c>
      <c r="B9" s="125">
        <f>HESAP!B16</f>
        <v/>
      </c>
    </row>
    <row r="10" ht="15" customHeight="1" s="70">
      <c r="A10" s="128" t="inlineStr">
        <is>
          <t>Hedef Kâr Marjı</t>
        </is>
      </c>
      <c r="B10" s="126">
        <f>IF(COUNTA(tblRecete[Ürün Adı])&gt;0,UreticiHedefMarjOran,0)</f>
        <v/>
      </c>
    </row>
    <row r="11" ht="15" customHeight="1" s="70">
      <c r="A11" s="100" t="inlineStr">
        <is>
          <t>KARAR</t>
        </is>
      </c>
      <c r="B11" s="137">
        <f>IF(COUNTA(tblRecete[Ürün Adı])=0,"VERİ YOK",IF(OR(COUNTIF(tblRecete[Birim Fiyat (TL)],"&lt;0")&gt;0,COUNTIF(tblRecete[Miktar],"&lt;0")&gt;0),"DURDUR",IF(HESAP!B20&gt;UreticiZamYansitmaEsik,"ZAM YANSIT",IF(AND(HESAP!B20&gt;0,HESAP!B20&lt;=UreticiZamYansitmaEsik),"KISMİ YANSIT","FİYATI KORU"))))</f>
        <v/>
      </c>
    </row>
    <row r="12" ht="43.5" customHeight="1" s="70">
      <c r="A12" s="101" t="inlineStr">
        <is>
          <t>Gerekçe</t>
        </is>
      </c>
      <c r="B12" s="136">
        <f>IF(B11="VERİ YOK","Reçete kalemi girilmedi; karar üretilemiyor.",IF(B11="DURDUR","Negatif birim fiyat veya miktar tespit edildi; veriler düzeltilmeli.",IF(B11="ZAM YANSIT","Genel maliyet artışı eşiğin üzerinde; zam yansıtma gereklidir.",IF(B11="KISMİ YANSIT","Maliyet artışı eşiğin altında ancak pozitif; kısmi zam yansıtılabilir.","Maliyet artışı yok veya ihmal edilebilir; mevcut fiyat korunabilir."))))</f>
        <v/>
      </c>
    </row>
    <row r="14" ht="15" customHeight="1" s="70">
      <c r="A14" s="100" t="inlineStr">
        <is>
          <t>Önerilen Aksiyonlar</t>
        </is>
      </c>
    </row>
    <row r="15" ht="39.75" customHeight="1" s="70">
      <c r="A15" s="122" t="inlineStr">
        <is>
          <t>Aksiyon 1</t>
        </is>
      </c>
      <c r="B15" s="136">
        <f>IF(B11="VERİ YOK","Reçete kalemlerini girin; karar otomatik üretilir.",IF(B11="DURDUR","Negatif değerleri düzeltin.",UreticiAksiyon1_ACIKLAMA))</f>
        <v/>
      </c>
    </row>
    <row r="16" ht="39.75" customHeight="1" s="70">
      <c r="A16" s="122" t="inlineStr">
        <is>
          <t>Aksiyon 2</t>
        </is>
      </c>
      <c r="B16" s="136">
        <f>IF(B11="VERİ YOK","Reçete kalemlerini girin; karar otomatik üretilir.",IF(B11="DURDUR","Negatif değerleri düzeltin.",UreticiAksiyon2_ACIKLAMA))</f>
        <v/>
      </c>
    </row>
    <row r="17" ht="39.75" customHeight="1" s="70">
      <c r="A17" s="122" t="inlineStr">
        <is>
          <t>Aksiyon 3</t>
        </is>
      </c>
      <c r="B17" s="136">
        <f>IF(B11="VERİ YOK","Reçete kalemlerini girin; karar otomatik üretilir.",IF(B11="DURDUR","Negatif değerleri düzeltin.",UreticiAksiyon3_ACIKLAMA))</f>
        <v/>
      </c>
    </row>
    <row r="19" ht="15" customHeight="1" s="70">
      <c r="A19" s="128" t="inlineStr">
        <is>
          <t>Karar Notu</t>
        </is>
      </c>
      <c r="B19" s="134" t="inlineStr">
        <is>
          <t>Bu karar destek aracıdır; fiyat kararı yönetimin onayına tabidir.</t>
        </is>
      </c>
    </row>
    <row r="21" ht="19.5" customHeight="1" s="70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"ZAM YANSIT"</formula>
    </cfRule>
    <cfRule type="cellIs" rank="0" priority="5" equalAverage="0" operator="equal" aboveAverage="0" dxfId="10" text="" percent="0" bottom="0">
      <formula>"KISMİ YANSIT"</formula>
    </cfRule>
    <cfRule type="cellIs" rank="0" priority="6" equalAverage="0" operator="equal" aboveAverage="0" dxfId="9" text="" percent="0" bottom="0">
      <formula>"FİYATI KORU"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AN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0" customWidth="1" style="96" min="2" max="3"/>
    <col width="18" customWidth="1" style="96" min="4" max="4"/>
    <col width="20" customWidth="1" style="96" min="5" max="8"/>
    <col width="18" customWidth="1" style="96" min="9" max="9"/>
  </cols>
  <sheetData>
    <row r="1" ht="25.5" customHeight="1" s="70">
      <c r="A1" s="97" t="inlineStr">
        <is>
          <t>PANO — Üretim Reçetesi &amp; Zam Yansıtma Hesaplayıcı</t>
        </is>
      </c>
    </row>
    <row r="3" ht="41.25" customHeight="1" s="70">
      <c r="A3" s="138" t="inlineStr">
        <is>
          <t>Toplam Hammadde Maliyeti (TL)</t>
        </is>
      </c>
      <c r="B3" s="138" t="inlineStr">
        <is>
          <t>Toplam Zam Sonrası Maliyet (TL)</t>
        </is>
      </c>
      <c r="C3" s="138" t="inlineStr">
        <is>
          <t>TOPLAM MALİYET ARTIŞI (TL)</t>
        </is>
      </c>
      <c r="D3" s="138" t="inlineStr">
        <is>
          <t>Ortalama Maliyet Artış Oranı</t>
        </is>
      </c>
      <c r="E3" s="138" t="inlineStr">
        <is>
          <t>Zam Yansıtma Gereksinimi</t>
        </is>
      </c>
      <c r="F3" s="138" t="inlineStr">
        <is>
          <t>En Çok Etkilenen Ürün</t>
        </is>
      </c>
      <c r="G3" s="138" t="inlineStr">
        <is>
          <t>Karar</t>
        </is>
      </c>
      <c r="H3" s="138" t="inlineStr">
        <is>
          <t>Kalite Skoru</t>
        </is>
      </c>
    </row>
    <row r="4" ht="15" customHeight="1" s="70">
      <c r="A4" s="139">
        <f>HESAP!B13</f>
        <v/>
      </c>
      <c r="B4" s="139">
        <f>HESAP!B15</f>
        <v/>
      </c>
      <c r="C4" s="139">
        <f>HESAP!B16</f>
        <v/>
      </c>
      <c r="D4" s="140">
        <f>HESAP!B17</f>
        <v/>
      </c>
      <c r="E4" s="141">
        <f>HESAP!B21</f>
        <v/>
      </c>
      <c r="F4" s="141">
        <f>HESAP!B22</f>
        <v/>
      </c>
      <c r="G4" s="141">
        <f>KARAR!B11</f>
        <v/>
      </c>
      <c r="H4" s="142">
        <f>KONTROLLER!B16</f>
        <v/>
      </c>
    </row>
    <row r="6" ht="30" customHeight="1" s="70">
      <c r="A6" s="127" t="inlineStr">
        <is>
          <t>Karar</t>
        </is>
      </c>
      <c r="B6" s="137">
        <f>KARAR!B11</f>
        <v/>
      </c>
      <c r="D6" s="127" t="inlineStr">
        <is>
          <t>En Çok Etkilenen Ürün</t>
        </is>
      </c>
      <c r="E6" s="137">
        <f>HESAP!B22</f>
        <v/>
      </c>
      <c r="G6" s="143" t="inlineStr">
        <is>
          <t>En Yüksek Maliyet Artışı (TL)</t>
        </is>
      </c>
      <c r="H6" s="144">
        <f>HESAP!B23</f>
        <v/>
      </c>
    </row>
    <row r="10" ht="15" customHeight="1" s="70">
      <c r="A10" s="130" t="inlineStr">
        <is>
          <t>Ürün</t>
        </is>
      </c>
      <c r="B10" s="130" t="inlineStr">
        <is>
          <t>Eski Maliyet (TL)</t>
        </is>
      </c>
      <c r="C10" s="130" t="inlineStr">
        <is>
          <t>Yeni Maliyet (TL)</t>
        </is>
      </c>
      <c r="D10" s="130" t="inlineStr">
        <is>
          <t>Maliyet Artışı (TL)</t>
        </is>
      </c>
      <c r="E10" s="130" t="inlineStr">
        <is>
          <t>Artış Oranı</t>
        </is>
      </c>
    </row>
    <row r="11" ht="15" customHeight="1" s="70">
      <c r="A11" s="134" t="inlineStr">
        <is>
          <t>UR-01 Sade Poğaça</t>
        </is>
      </c>
      <c r="B11" s="125">
        <f>HESAP!D6</f>
        <v/>
      </c>
      <c r="C11" s="125">
        <f>HESAP!F6</f>
        <v/>
      </c>
      <c r="D11" s="125">
        <f>HESAP!G6</f>
        <v/>
      </c>
      <c r="E11" s="126">
        <f>HESAP!H6</f>
        <v/>
      </c>
    </row>
    <row r="12" ht="15" customHeight="1" s="70">
      <c r="A12" s="134" t="inlineStr">
        <is>
          <t>UR-02 Tam Buğday Ekmeği</t>
        </is>
      </c>
      <c r="B12" s="125">
        <f>HESAP!D7</f>
        <v/>
      </c>
      <c r="C12" s="125">
        <f>HESAP!F7</f>
        <v/>
      </c>
      <c r="D12" s="125">
        <f>HESAP!G7</f>
        <v/>
      </c>
      <c r="E12" s="126">
        <f>HESAP!H7</f>
        <v/>
      </c>
    </row>
    <row r="13" ht="15" customHeight="1" s="70">
      <c r="A13" s="134" t="inlineStr">
        <is>
          <t>UR-03 Açma</t>
        </is>
      </c>
      <c r="B13" s="125">
        <f>HESAP!D8</f>
        <v/>
      </c>
      <c r="C13" s="125">
        <f>HESAP!F8</f>
        <v/>
      </c>
      <c r="D13" s="125">
        <f>HESAP!G8</f>
        <v/>
      </c>
      <c r="E13" s="126">
        <f>HESAP!H8</f>
        <v/>
      </c>
    </row>
    <row r="14" ht="15" customHeight="1" s="70">
      <c r="A14" s="134" t="inlineStr">
        <is>
          <t>UR-04 Simit</t>
        </is>
      </c>
      <c r="B14" s="125">
        <f>HESAP!D9</f>
        <v/>
      </c>
      <c r="C14" s="125">
        <f>HESAP!F9</f>
        <v/>
      </c>
      <c r="D14" s="125">
        <f>HESAP!G9</f>
        <v/>
      </c>
      <c r="E14" s="126">
        <f>HESAP!H9</f>
        <v/>
      </c>
    </row>
    <row r="18" ht="15" customHeight="1" s="70">
      <c r="A18" s="130" t="inlineStr">
        <is>
          <t>Hammadde</t>
        </is>
      </c>
      <c r="B18" s="130" t="inlineStr">
        <is>
          <t>Eski Tutar (TL)</t>
        </is>
      </c>
      <c r="C18" s="130" t="inlineStr">
        <is>
          <t>Zam Sonrası Tutar (TL)</t>
        </is>
      </c>
    </row>
    <row r="19" ht="15" customHeight="1" s="70">
      <c r="A19" s="134" t="inlineStr">
        <is>
          <t>Un</t>
        </is>
      </c>
      <c r="B19" s="125">
        <f>SUMIFS(tblRecete[Hammadde Tutarı (TL)],tblRecete[Hammadde],$A19)</f>
        <v/>
      </c>
      <c r="C19" s="125">
        <f>SUMIFS(tblRecete[Zam Sonrası Tutar (TL)],tblRecete[Hammadde],$A19)</f>
        <v/>
      </c>
    </row>
    <row r="20" ht="15" customHeight="1" s="70">
      <c r="A20" s="134" t="inlineStr">
        <is>
          <t>Tam Buğday Unu</t>
        </is>
      </c>
      <c r="B20" s="125">
        <f>SUMIFS(tblRecete[Hammadde Tutarı (TL)],tblRecete[Hammadde],$A20)</f>
        <v/>
      </c>
      <c r="C20" s="125">
        <f>SUMIFS(tblRecete[Zam Sonrası Tutar (TL)],tblRecete[Hammadde],$A20)</f>
        <v/>
      </c>
    </row>
    <row r="21" ht="15" customHeight="1" s="70">
      <c r="A21" s="134" t="inlineStr">
        <is>
          <t>Margarin</t>
        </is>
      </c>
      <c r="B21" s="125">
        <f>SUMIFS(tblRecete[Hammadde Tutarı (TL)],tblRecete[Hammadde],$A21)</f>
        <v/>
      </c>
      <c r="C21" s="125">
        <f>SUMIFS(tblRecete[Zam Sonrası Tutar (TL)],tblRecete[Hammadde],$A21)</f>
        <v/>
      </c>
    </row>
    <row r="22" ht="15" customHeight="1" s="70">
      <c r="A22" s="134" t="inlineStr">
        <is>
          <t>Yumurta</t>
        </is>
      </c>
      <c r="B22" s="125">
        <f>SUMIFS(tblRecete[Hammadde Tutarı (TL)],tblRecete[Hammadde],$A22)</f>
        <v/>
      </c>
      <c r="C22" s="125">
        <f>SUMIFS(tblRecete[Zam Sonrası Tutar (TL)],tblRecete[Hammadde],$A22)</f>
        <v/>
      </c>
    </row>
    <row r="23" ht="15" customHeight="1" s="70">
      <c r="A23" s="134" t="inlineStr">
        <is>
          <t>Maya</t>
        </is>
      </c>
      <c r="B23" s="125">
        <f>SUMIFS(tblRecete[Hammadde Tutarı (TL)],tblRecete[Hammadde],$A23)</f>
        <v/>
      </c>
      <c r="C23" s="125">
        <f>SUMIFS(tblRecete[Zam Sonrası Tutar (TL)],tblRecete[Hammadde],$A23)</f>
        <v/>
      </c>
    </row>
    <row r="24" ht="15" customHeight="1" s="70">
      <c r="A24" s="134" t="inlineStr">
        <is>
          <t>Şeker</t>
        </is>
      </c>
      <c r="B24" s="125">
        <f>SUMIFS(tblRecete[Hammadde Tutarı (TL)],tblRecete[Hammadde],$A24)</f>
        <v/>
      </c>
      <c r="C24" s="125">
        <f>SUMIFS(tblRecete[Zam Sonrası Tutar (TL)],tblRecete[Hammadde],$A24)</f>
        <v/>
      </c>
    </row>
    <row r="25" ht="15" customHeight="1" s="70">
      <c r="A25" s="134" t="inlineStr">
        <is>
          <t>Susam</t>
        </is>
      </c>
      <c r="B25" s="125">
        <f>SUMIFS(tblRecete[Hammadde Tutarı (TL)],tblRecete[Hammadde],$A25)</f>
        <v/>
      </c>
      <c r="C25" s="125">
        <f>SUMIFS(tblRecete[Zam Sonrası Tutar (TL)],tblRecete[Hammadde],$A25)</f>
        <v/>
      </c>
    </row>
    <row r="26" ht="15" customHeight="1" s="70">
      <c r="A26" s="134" t="inlineStr">
        <is>
          <t>Tuz</t>
        </is>
      </c>
      <c r="B26" s="125">
        <f>SUMIFS(tblRecete[Hammadde Tutarı (TL)],tblRecete[Hammadde],$A26)</f>
        <v/>
      </c>
      <c r="C26" s="125">
        <f>SUMIFS(tblRecete[Zam Sonrası Tutar (TL)],tblRecete[Hammadde],$A26)</f>
        <v/>
      </c>
    </row>
    <row r="28" ht="15" customHeight="1" s="70">
      <c r="A28" s="130" t="inlineStr">
        <is>
          <t>Ürün Sırası</t>
        </is>
      </c>
      <c r="B28" s="130" t="inlineStr">
        <is>
          <t>Eski Maliyet (TL)</t>
        </is>
      </c>
      <c r="C28" s="130" t="inlineStr">
        <is>
          <t>Maliyet Artışı (TL)</t>
        </is>
      </c>
      <c r="D28" s="130" t="inlineStr">
        <is>
          <t>Yeni Maliyet (TL)</t>
        </is>
      </c>
    </row>
    <row r="29" ht="15" customHeight="1" s="70">
      <c r="A29" s="131" t="n">
        <v>1</v>
      </c>
      <c r="B29" s="125">
        <f>HESAP!B25</f>
        <v/>
      </c>
      <c r="C29" s="125">
        <f>HESAP!F25</f>
        <v/>
      </c>
      <c r="D29" s="125">
        <f>HESAP!D25</f>
        <v/>
      </c>
    </row>
    <row r="30" ht="15" customHeight="1" s="70">
      <c r="A30" s="131" t="n">
        <v>2</v>
      </c>
      <c r="B30" s="125">
        <f>HESAP!B26</f>
        <v/>
      </c>
      <c r="C30" s="125">
        <f>HESAP!F26</f>
        <v/>
      </c>
      <c r="D30" s="125">
        <f>HESAP!D26</f>
        <v/>
      </c>
    </row>
    <row r="31" ht="15" customHeight="1" s="70">
      <c r="A31" s="131" t="n">
        <v>3</v>
      </c>
      <c r="B31" s="125">
        <f>HESAP!B27</f>
        <v/>
      </c>
      <c r="C31" s="125">
        <f>HESAP!F27</f>
        <v/>
      </c>
      <c r="D31" s="125">
        <f>HESAP!D27</f>
        <v/>
      </c>
    </row>
    <row r="32" ht="15" customHeight="1" s="70">
      <c r="A32" s="131" t="n">
        <v>4</v>
      </c>
      <c r="B32" s="125">
        <f>HESAP!B28</f>
        <v/>
      </c>
      <c r="C32" s="125">
        <f>HESAP!F28</f>
        <v/>
      </c>
      <c r="D32" s="125">
        <f>HESAP!D28</f>
        <v/>
      </c>
    </row>
    <row r="33" ht="15" customHeight="1" s="70">
      <c r="A33" s="131" t="n">
        <v>5</v>
      </c>
      <c r="B33" s="125">
        <f>HESAP!B29</f>
        <v/>
      </c>
      <c r="C33" s="125">
        <f>HESAP!F29</f>
        <v/>
      </c>
      <c r="D33" s="125">
        <f>HESAP!D29</f>
        <v/>
      </c>
    </row>
    <row r="34" ht="15" customHeight="1" s="70">
      <c r="A34" s="131" t="n">
        <v>6</v>
      </c>
      <c r="B34" s="125">
        <f>HESAP!B30</f>
        <v/>
      </c>
      <c r="C34" s="125">
        <f>HESAP!F30</f>
        <v/>
      </c>
      <c r="D34" s="125">
        <f>HESAP!D30</f>
        <v/>
      </c>
    </row>
    <row r="35" ht="15" customHeight="1" s="70">
      <c r="A35" s="131" t="n">
        <v>7</v>
      </c>
      <c r="B35" s="125">
        <f>HESAP!B31</f>
        <v/>
      </c>
      <c r="C35" s="125">
        <f>HESAP!F31</f>
        <v/>
      </c>
      <c r="D35" s="125">
        <f>HESAP!D31</f>
        <v/>
      </c>
    </row>
    <row r="36" ht="15" customHeight="1" s="70">
      <c r="A36" s="131" t="n">
        <v>8</v>
      </c>
      <c r="B36" s="125">
        <f>HESAP!B32</f>
        <v/>
      </c>
      <c r="C36" s="125">
        <f>HESAP!F32</f>
        <v/>
      </c>
      <c r="D36" s="125">
        <f>HESAP!D32</f>
        <v/>
      </c>
    </row>
    <row r="37" ht="15" customHeight="1" s="70">
      <c r="A37" s="131" t="n">
        <v>9</v>
      </c>
      <c r="B37" s="125">
        <f>HESAP!B33</f>
        <v/>
      </c>
      <c r="C37" s="125">
        <f>HESAP!F33</f>
        <v/>
      </c>
      <c r="D37" s="125">
        <f>HESAP!D33</f>
        <v/>
      </c>
    </row>
    <row r="38" ht="15" customHeight="1" s="70">
      <c r="A38" s="131" t="n">
        <v>10</v>
      </c>
      <c r="B38" s="125">
        <f>HESAP!B34</f>
        <v/>
      </c>
      <c r="C38" s="125">
        <f>HESAP!F34</f>
        <v/>
      </c>
      <c r="D38" s="125">
        <f>HESAP!D34</f>
        <v/>
      </c>
    </row>
    <row r="39" ht="15" customHeight="1" s="70">
      <c r="A39" s="131" t="n">
        <v>11</v>
      </c>
      <c r="B39" s="125">
        <f>HESAP!B35</f>
        <v/>
      </c>
      <c r="C39" s="125">
        <f>HESAP!F35</f>
        <v/>
      </c>
      <c r="D39" s="125">
        <f>HESAP!D35</f>
        <v/>
      </c>
    </row>
    <row r="40" ht="15" customHeight="1" s="70">
      <c r="A40" s="131" t="n">
        <v>12</v>
      </c>
      <c r="B40" s="125">
        <f>HESAP!B36</f>
        <v/>
      </c>
      <c r="C40" s="125">
        <f>HESAP!F36</f>
        <v/>
      </c>
      <c r="D40" s="125">
        <f>HESAP!D36</f>
        <v/>
      </c>
    </row>
    <row r="42" ht="15" customHeight="1" s="70">
      <c r="A42" s="128" t="inlineStr">
        <is>
          <t>Ortalama Maliyet Artışı (TL)</t>
        </is>
      </c>
      <c r="B42" s="125">
        <f>HESAP!B38</f>
        <v/>
      </c>
    </row>
    <row r="43" ht="15" customHeight="1" s="70">
      <c r="A43" s="132" t="inlineStr">
        <is>
          <t>Gelecek Dönem Artış Tahmini (TL)</t>
        </is>
      </c>
      <c r="B43" s="125">
        <f>HESAP!B39</f>
        <v/>
      </c>
    </row>
    <row r="44" ht="15" customHeight="1" s="70">
      <c r="A44" s="128" t="inlineStr">
        <is>
          <t>Alt Tahmin Sınırı (TL)</t>
        </is>
      </c>
      <c r="B44" s="125">
        <f>HESAP!B41</f>
        <v/>
      </c>
    </row>
    <row r="45" ht="15" customHeight="1" s="70">
      <c r="A45" s="128" t="inlineStr">
        <is>
          <t>Üst Tahmin Sınırı (TL)</t>
        </is>
      </c>
      <c r="B45" s="125">
        <f>HESAP!B42</f>
        <v/>
      </c>
    </row>
    <row r="47" ht="15" customHeight="1" s="70">
      <c r="E47" s="145" t="inlineStr">
        <is>
          <t>Senaryo</t>
        </is>
      </c>
      <c r="F47" s="145" t="inlineStr">
        <is>
          <t>Maliyet Artışı (TL)</t>
        </is>
      </c>
    </row>
    <row r="48" ht="15" customHeight="1" s="70">
      <c r="E48" s="134" t="inlineStr">
        <is>
          <t>İyimser</t>
        </is>
      </c>
      <c r="F48" s="125">
        <f>SENARYO_DUYARLILIK!C7</f>
        <v/>
      </c>
    </row>
    <row r="49" ht="15" customHeight="1" s="70">
      <c r="E49" s="134" t="inlineStr">
        <is>
          <t>Baz</t>
        </is>
      </c>
      <c r="F49" s="125">
        <f>SENARYO_DUYARLILIK!C8</f>
        <v/>
      </c>
    </row>
    <row r="50" ht="15" customHeight="1" s="70">
      <c r="E50" s="134" t="inlineStr">
        <is>
          <t>Kötümser</t>
        </is>
      </c>
      <c r="F50" s="125">
        <f>SENARYO_DUYARLILIK!C9</f>
        <v/>
      </c>
    </row>
    <row r="51" ht="15" customHeight="1" s="70">
      <c r="E51" s="134" t="inlineStr">
        <is>
          <t>Kritik</t>
        </is>
      </c>
      <c r="F51" s="125">
        <f>SENARYO_DUYARLILIK!C10</f>
        <v/>
      </c>
    </row>
    <row r="52" ht="19.5" customHeight="1" s="70">
      <c r="A52" s="121" t="inlineStr">
        <is>
          <t>Paneldeki tüm göstergeler canlı formüllerden beslenir.</t>
        </is>
      </c>
    </row>
    <row r="54" ht="15" customHeight="1" s="70">
      <c r="A54" s="96" t="inlineStr">
        <is>
          <t>Bilesim_Toplam_Yuzde</t>
        </is>
      </c>
      <c r="B54" s="133" t="n">
        <v>100</v>
      </c>
    </row>
    <row r="55" ht="15" customHeight="1" s="70">
      <c r="A55" s="96" t="inlineStr">
        <is>
          <t>Bilesim_Yuzde_100_ALARM</t>
        </is>
      </c>
      <c r="B55" s="96">
        <f>IF(ABS(B54-100)&gt;0.5,"ALARM: bileşim %100 sapma","UYGUN")</f>
        <v/>
      </c>
    </row>
    <row r="56" ht="15" customHeight="1" s="70">
      <c r="A56" s="96" t="inlineStr">
        <is>
          <t>Hammadde</t>
        </is>
      </c>
      <c r="B56" s="133" t="n">
        <v>40</v>
      </c>
    </row>
    <row r="57" ht="15" customHeight="1" s="70">
      <c r="A57" s="96" t="inlineStr">
        <is>
          <t>Iscilik</t>
        </is>
      </c>
      <c r="B57" s="133" t="n">
        <v>25</v>
      </c>
    </row>
    <row r="58" ht="15" customHeight="1" s="70">
      <c r="A58" s="96" t="inlineStr">
        <is>
          <t>Ambalaj</t>
        </is>
      </c>
      <c r="B58" s="133" t="n">
        <v>15</v>
      </c>
    </row>
    <row r="59" ht="15" customHeight="1" s="70">
      <c r="A59" s="96" t="inlineStr">
        <is>
          <t>Genel_Gider</t>
        </is>
      </c>
      <c r="B59" s="133" t="n">
        <v>20</v>
      </c>
    </row>
    <row r="60" ht="15" customHeight="1" s="70">
      <c r="A60" s="96" t="inlineStr">
        <is>
          <t>Birim_Maliyet</t>
        </is>
      </c>
      <c r="B60" s="96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2:AN52"/>
    <mergeCell ref="A1:AD1"/>
  </mergeCells>
  <conditionalFormatting sqref="B4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"ZAM YANSIT"</formula>
    </cfRule>
    <cfRule type="cellIs" rank="0" priority="5" equalAverage="0" operator="equal" aboveAverage="0" dxfId="10" text="" percent="0" bottom="0">
      <formula>"KISMİ YANSIT"</formula>
    </cfRule>
    <cfRule type="cellIs" rank="0" priority="6" equalAverage="0" operator="equal" aboveAverage="0" dxfId="9" text="" percent="0" bottom="0">
      <formula>"FİYATI KORU"</formula>
    </cfRule>
  </conditionalFormatting>
  <conditionalFormatting sqref="B6">
    <cfRule type="cellIs" rank="0" priority="7" equalAverage="0" operator="equal" aboveAverage="0" dxfId="9" text="" percent="0" bottom="0">
      <formula>"VERİ YOK"</formula>
    </cfRule>
    <cfRule type="cellIs" rank="0" priority="8" equalAverage="0" operator="equal" aboveAverage="0" dxfId="7" text="" percent="0" bottom="0">
      <formula>"DURDUR"</formula>
    </cfRule>
    <cfRule type="cellIs" rank="0" priority="9" equalAverage="0" operator="equal" aboveAverage="0" dxfId="7" text="" percent="0" bottom="0">
      <formula>"ZAM YANSIT"</formula>
    </cfRule>
    <cfRule type="cellIs" rank="0" priority="10" equalAverage="0" operator="equal" aboveAverage="0" dxfId="10" text="" percent="0" bottom="0">
      <formula>"KISMİ YANSIT"</formula>
    </cfRule>
    <cfRule type="cellIs" rank="0" priority="11" equalAverage="0" operator="equal" aboveAverage="0" dxfId="9" text="" percent="0" bottom="0">
      <formula>"FİYATI KORU"</formula>
    </cfRule>
  </conditionalFormatting>
  <conditionalFormatting sqref="B11">
    <cfRule type="cellIs" rank="0" priority="12" equalAverage="0" operator="lessThan" aboveAverage="0" dxfId="7" text="" percent="0" bottom="0">
      <formula>0</formula>
    </cfRule>
  </conditionalFormatting>
  <conditionalFormatting sqref="B12">
    <cfRule type="cellIs" rank="0" priority="13" equalAverage="0" operator="lessThan" aboveAverage="0" dxfId="7" text="" percent="0" bottom="0">
      <formula>0</formula>
    </cfRule>
  </conditionalFormatting>
  <conditionalFormatting sqref="B13">
    <cfRule type="cellIs" rank="0" priority="14" equalAverage="0" operator="lessThan" aboveAverage="0" dxfId="7" text="" percent="0" bottom="0">
      <formula>0</formula>
    </cfRule>
  </conditionalFormatting>
  <conditionalFormatting sqref="B14">
    <cfRule type="cellIs" rank="0" priority="15" equalAverage="0" operator="lessThan" aboveAverage="0" dxfId="7" text="" percent="0" bottom="0">
      <formula>0</formula>
    </cfRule>
  </conditionalFormatting>
  <conditionalFormatting sqref="C11">
    <cfRule type="cellIs" rank="0" priority="16" equalAverage="0" operator="lessThan" aboveAverage="0" dxfId="7" text="" percent="0" bottom="0">
      <formula>0</formula>
    </cfRule>
  </conditionalFormatting>
  <conditionalFormatting sqref="C12">
    <cfRule type="cellIs" rank="0" priority="17" equalAverage="0" operator="lessThan" aboveAverage="0" dxfId="7" text="" percent="0" bottom="0">
      <formula>0</formula>
    </cfRule>
  </conditionalFormatting>
  <conditionalFormatting sqref="C13">
    <cfRule type="cellIs" rank="0" priority="18" equalAverage="0" operator="lessThan" aboveAverage="0" dxfId="7" text="" percent="0" bottom="0">
      <formula>0</formula>
    </cfRule>
  </conditionalFormatting>
  <conditionalFormatting sqref="C14">
    <cfRule type="cellIs" rank="0" priority="19" equalAverage="0" operator="lessThan" aboveAverage="0" dxfId="7" text="" percent="0" bottom="0">
      <formula>0</formula>
    </cfRule>
  </conditionalFormatting>
  <conditionalFormatting sqref="D11">
    <cfRule type="cellIs" rank="0" priority="20" equalAverage="0" operator="lessThan" aboveAverage="0" dxfId="7" text="" percent="0" bottom="0">
      <formula>0</formula>
    </cfRule>
  </conditionalFormatting>
  <conditionalFormatting sqref="D12">
    <cfRule type="cellIs" rank="0" priority="21" equalAverage="0" operator="lessThan" aboveAverage="0" dxfId="7" text="" percent="0" bottom="0">
      <formula>0</formula>
    </cfRule>
  </conditionalFormatting>
  <conditionalFormatting sqref="D13">
    <cfRule type="cellIs" rank="0" priority="22" equalAverage="0" operator="lessThan" aboveAverage="0" dxfId="7" text="" percent="0" bottom="0">
      <formula>0</formula>
    </cfRule>
  </conditionalFormatting>
  <conditionalFormatting sqref="D14">
    <cfRule type="cellIs" rank="0" priority="23" equalAverage="0" operator="lessThan" aboveAverage="0" dxfId="7" text="" percent="0" bottom="0">
      <formula>0</formula>
    </cfRule>
  </conditionalFormatting>
  <conditionalFormatting sqref="E11">
    <cfRule type="cellIs" rank="0" priority="24" equalAverage="0" operator="lessThan" aboveAverage="0" dxfId="7" text="" percent="0" bottom="0">
      <formula>0</formula>
    </cfRule>
  </conditionalFormatting>
  <conditionalFormatting sqref="E12">
    <cfRule type="cellIs" rank="0" priority="25" equalAverage="0" operator="lessThan" aboveAverage="0" dxfId="7" text="" percent="0" bottom="0">
      <formula>0</formula>
    </cfRule>
  </conditionalFormatting>
  <conditionalFormatting sqref="E13">
    <cfRule type="cellIs" rank="0" priority="26" equalAverage="0" operator="lessThan" aboveAverage="0" dxfId="7" text="" percent="0" bottom="0">
      <formula>0</formula>
    </cfRule>
  </conditionalFormatting>
  <conditionalFormatting sqref="E14">
    <cfRule type="cellIs" rank="0" priority="27" equalAverage="0" operator="lessThan" aboveAverage="0" dxfId="7" text="" percent="0" bottom="0">
      <formula>0</formula>
    </cfRule>
  </conditionalFormatting>
  <conditionalFormatting sqref="F11">
    <cfRule type="cellIs" rank="0" priority="28" equalAverage="0" operator="lessThan" aboveAverage="0" dxfId="7" text="" percent="0" bottom="0">
      <formula>0</formula>
    </cfRule>
  </conditionalFormatting>
  <conditionalFormatting sqref="F12">
    <cfRule type="cellIs" rank="0" priority="29" equalAverage="0" operator="lessThan" aboveAverage="0" dxfId="7" text="" percent="0" bottom="0">
      <formula>0</formula>
    </cfRule>
  </conditionalFormatting>
  <conditionalFormatting sqref="F13">
    <cfRule type="cellIs" rank="0" priority="30" equalAverage="0" operator="lessThan" aboveAverage="0" dxfId="7" text="" percent="0" bottom="0">
      <formula>0</formula>
    </cfRule>
  </conditionalFormatting>
  <conditionalFormatting sqref="F14">
    <cfRule type="cellIs" rank="0" priority="31" equalAverage="0" operator="lessThan" aboveAverage="0" dxfId="7" text="" percent="0" bottom="0">
      <formula>0</formula>
    </cfRule>
  </conditionalFormatting>
  <conditionalFormatting sqref="G11">
    <cfRule type="cellIs" rank="0" priority="32" equalAverage="0" operator="lessThan" aboveAverage="0" dxfId="7" text="" percent="0" bottom="0">
      <formula>0</formula>
    </cfRule>
  </conditionalFormatting>
  <conditionalFormatting sqref="G12">
    <cfRule type="cellIs" rank="0" priority="33" equalAverage="0" operator="lessThan" aboveAverage="0" dxfId="7" text="" percent="0" bottom="0">
      <formula>0</formula>
    </cfRule>
  </conditionalFormatting>
  <conditionalFormatting sqref="G13">
    <cfRule type="cellIs" rank="0" priority="34" equalAverage="0" operator="lessThan" aboveAverage="0" dxfId="7" text="" percent="0" bottom="0">
      <formula>0</formula>
    </cfRule>
  </conditionalFormatting>
  <conditionalFormatting sqref="G14">
    <cfRule type="cellIs" rank="0" priority="35" equalAverage="0" operator="lessThan" aboveAverage="0" dxfId="7" text="" percent="0" bottom="0">
      <formula>0</formula>
    </cfRule>
  </conditionalFormatting>
  <conditionalFormatting sqref="H11">
    <cfRule type="cellIs" rank="0" priority="36" equalAverage="0" operator="lessThan" aboveAverage="0" dxfId="7" text="" percent="0" bottom="0">
      <formula>0</formula>
    </cfRule>
  </conditionalFormatting>
  <conditionalFormatting sqref="H12">
    <cfRule type="cellIs" rank="0" priority="37" equalAverage="0" operator="lessThan" aboveAverage="0" dxfId="7" text="" percent="0" bottom="0">
      <formula>0</formula>
    </cfRule>
  </conditionalFormatting>
  <conditionalFormatting sqref="H13">
    <cfRule type="cellIs" rank="0" priority="38" equalAverage="0" operator="lessThan" aboveAverage="0" dxfId="7" text="" percent="0" bottom="0">
      <formula>0</formula>
    </cfRule>
  </conditionalFormatting>
  <conditionalFormatting sqref="H14">
    <cfRule type="cellIs" rank="0" priority="39" equalAverage="0" operator="lessThan" aboveAverage="0" dxfId="7" text="" percent="0" bottom="0">
      <formula>0</formula>
    </cfRule>
  </conditionalFormatting>
  <conditionalFormatting sqref="I11">
    <cfRule type="cellIs" rank="0" priority="40" equalAverage="0" operator="lessThan" aboveAverage="0" dxfId="7" text="" percent="0" bottom="0">
      <formula>0</formula>
    </cfRule>
  </conditionalFormatting>
  <conditionalFormatting sqref="I12">
    <cfRule type="cellIs" rank="0" priority="41" equalAverage="0" operator="lessThan" aboveAverage="0" dxfId="7" text="" percent="0" bottom="0">
      <formula>0</formula>
    </cfRule>
  </conditionalFormatting>
  <conditionalFormatting sqref="I13">
    <cfRule type="cellIs" rank="0" priority="42" equalAverage="0" operator="lessThan" aboveAverage="0" dxfId="7" text="" percent="0" bottom="0">
      <formula>0</formula>
    </cfRule>
  </conditionalFormatting>
  <conditionalFormatting sqref="I14">
    <cfRule type="cellIs" rank="0" priority="43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6" min="1" max="1"/>
    <col width="24" customWidth="1" style="96" min="2" max="3"/>
    <col width="22" customWidth="1" style="96" min="4" max="4"/>
  </cols>
  <sheetData>
    <row r="1" ht="25.5" customHeight="1" s="70">
      <c r="A1" s="97" t="inlineStr">
        <is>
          <t>SENARYO DUYARLILIK — Üretim Reçetesi &amp; Zam Yansıtma Hesaplayıcı</t>
        </is>
      </c>
    </row>
    <row r="3" ht="15.75" customHeight="1" s="70">
      <c r="A3" s="103" t="inlineStr">
        <is>
          <t>Senaryo ve Duyarlılık Analizi</t>
        </is>
      </c>
    </row>
    <row r="4" ht="25.5" customHeight="1" s="70">
      <c r="A4" s="99" t="inlineStr">
        <is>
          <t>Zam çarpanına göre senaryo bant aralığı ve hammadde duyarlılık (tornado) analizi.</t>
        </is>
      </c>
    </row>
    <row r="6" ht="15" customHeight="1" s="70">
      <c r="A6" s="130" t="inlineStr">
        <is>
          <t>Senaryo</t>
        </is>
      </c>
      <c r="B6" s="130" t="inlineStr">
        <is>
          <t>Zam Çarpanı</t>
        </is>
      </c>
      <c r="C6" s="130" t="inlineStr">
        <is>
          <t>Toplam Maliyet Artışı (TL)</t>
        </is>
      </c>
    </row>
    <row r="7" ht="15" customHeight="1" s="70">
      <c r="A7" s="128" t="inlineStr">
        <is>
          <t>İyimser</t>
        </is>
      </c>
      <c r="B7" s="126">
        <f>IF(COUNTA(tblRecete[Ürün Adı])&gt;0,UreticiSenIyiZam,0)</f>
        <v/>
      </c>
      <c r="C7" s="125">
        <f>IFERROR(HESAP!B16*UreticiSenIyiZam/UreticiSenBazZam,0)</f>
        <v/>
      </c>
    </row>
    <row r="8" ht="15" customHeight="1" s="70">
      <c r="A8" s="128" t="inlineStr">
        <is>
          <t>Baz</t>
        </is>
      </c>
      <c r="B8" s="126">
        <f>IF(COUNTA(tblRecete[Ürün Adı])&gt;0,UreticiSenBazZam,0)</f>
        <v/>
      </c>
      <c r="C8" s="125">
        <f>HESAP!B16</f>
        <v/>
      </c>
    </row>
    <row r="9" ht="15" customHeight="1" s="70">
      <c r="A9" s="128" t="inlineStr">
        <is>
          <t>Kötümser</t>
        </is>
      </c>
      <c r="B9" s="126">
        <f>IF(COUNTA(tblRecete[Ürün Adı])&gt;0,UreticiSenKotuZam,0)</f>
        <v/>
      </c>
      <c r="C9" s="125">
        <f>IFERROR(HESAP!B16*UreticiSenKotuZam/UreticiSenBazZam,0)</f>
        <v/>
      </c>
    </row>
    <row r="10" ht="15" customHeight="1" s="70">
      <c r="A10" s="128" t="inlineStr">
        <is>
          <t>Kritik</t>
        </is>
      </c>
      <c r="B10" s="126">
        <f>IF(COUNTA(tblRecete[Ürün Adı])&gt;0,UreticiSenKritikZam,0)</f>
        <v/>
      </c>
      <c r="C10" s="125">
        <f>IFERROR(HESAP!B16*UreticiSenKritikZam/UreticiSenBazZam,0)</f>
        <v/>
      </c>
    </row>
    <row r="12" ht="15" customHeight="1" s="70">
      <c r="A12" s="100" t="inlineStr">
        <is>
          <t>Tornado Analizi</t>
        </is>
      </c>
    </row>
    <row r="13" ht="15" customHeight="1" s="70">
      <c r="A13" s="130" t="inlineStr">
        <is>
          <t>Değişken</t>
        </is>
      </c>
      <c r="B13" s="130" t="inlineStr">
        <is>
          <t>Düşük Senaryo (TL)</t>
        </is>
      </c>
      <c r="C13" s="130" t="inlineStr">
        <is>
          <t>Yüksek Senaryo (TL)</t>
        </is>
      </c>
      <c r="D13" s="130" t="inlineStr">
        <is>
          <t>Etki Genişliği (TL)</t>
        </is>
      </c>
    </row>
    <row r="14" ht="15" customHeight="1" s="70">
      <c r="A14" s="128" t="inlineStr">
        <is>
          <t>Un Fiyatı</t>
        </is>
      </c>
      <c r="B14" s="125">
        <f>SUMIFS(tblRecete[Hammadde Tutarı (TL)],tblRecete[Hammadde],"Un")*UreticiTornadoUnOran</f>
        <v/>
      </c>
      <c r="C14" s="125">
        <f>SUMIFS(tblRecete[Hammadde Tutarı (TL)],tblRecete[Hammadde],"Un")*UreticiTornadoUnOran*3</f>
        <v/>
      </c>
      <c r="D14" s="125">
        <f>C14-B14</f>
        <v/>
      </c>
    </row>
    <row r="15" ht="15" customHeight="1" s="70">
      <c r="A15" s="128" t="inlineStr">
        <is>
          <t>Fire Oranı</t>
        </is>
      </c>
      <c r="B15" s="125">
        <f>SUM(E6:E9)*UreticiTornadoFireOran</f>
        <v/>
      </c>
      <c r="C15" s="125">
        <f>SUM(E6:E9)*UreticiTornadoFireOran*3</f>
        <v/>
      </c>
      <c r="D15" s="125">
        <f>C15-B15</f>
        <v/>
      </c>
    </row>
    <row r="18" ht="19.5" customHeight="1" s="70">
      <c r="A18" s="121" t="inlineStr">
        <is>
          <t>Tornado genişliği hangi değişkenin sonucu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6" customWidth="1" style="96" min="2" max="2"/>
  </cols>
  <sheetData>
    <row r="1" ht="25.5" customHeight="1" s="70">
      <c r="A1" s="97" t="inlineStr">
        <is>
          <t>RAPOR — Üretim Reçetesi &amp; Zam Yansıtma Hesaplayıcı</t>
        </is>
      </c>
    </row>
    <row r="3" ht="18" customHeight="1" s="70">
      <c r="A3" s="146" t="inlineStr">
        <is>
          <t>Yönetici Raporu</t>
        </is>
      </c>
    </row>
    <row r="4" ht="15" customHeight="1" s="70">
      <c r="A4" s="134">
        <f>CONCATENATE("Rapor Tarihi: ",TEXT(UreticiRaporTarihi,"gg.aa.yyyy")," | ",UreticiFirmaUnvan)</f>
        <v/>
      </c>
    </row>
    <row r="6" ht="15.75" customHeight="1" s="70">
      <c r="A6" s="100" t="inlineStr">
        <is>
          <t>Karar</t>
        </is>
      </c>
      <c r="B6" s="147">
        <f>KARAR!B11</f>
        <v/>
      </c>
    </row>
    <row r="7" ht="39.75" customHeight="1" s="70">
      <c r="A7" s="101" t="inlineStr">
        <is>
          <t>Gerekçe</t>
        </is>
      </c>
      <c r="B7" s="136">
        <f>KARAR!B12</f>
        <v/>
      </c>
    </row>
    <row r="9" ht="15" customHeight="1" s="70">
      <c r="A9" s="100" t="inlineStr">
        <is>
          <t>Ana Göstergeler</t>
        </is>
      </c>
    </row>
    <row r="10" ht="15" customHeight="1" s="70">
      <c r="A10" s="128" t="inlineStr">
        <is>
          <t>Toplam Hammadde Maliyeti (TL)</t>
        </is>
      </c>
      <c r="B10" s="129">
        <f>HESAP!B13</f>
        <v/>
      </c>
    </row>
    <row r="11" ht="15" customHeight="1" s="70">
      <c r="A11" s="128" t="inlineStr">
        <is>
          <t>Toplam Zam Sonrası Maliyet (TL)</t>
        </is>
      </c>
      <c r="B11" s="129">
        <f>HESAP!B15</f>
        <v/>
      </c>
    </row>
    <row r="12" ht="15" customHeight="1" s="70">
      <c r="A12" s="128" t="inlineStr">
        <is>
          <t>Toplam Maliyet Artışı (TL)</t>
        </is>
      </c>
      <c r="B12" s="129">
        <f>HESAP!B16</f>
        <v/>
      </c>
    </row>
    <row r="13" ht="15" customHeight="1" s="70">
      <c r="A13" s="128" t="inlineStr">
        <is>
          <t>Ortalama Maliyet Artış Oranı</t>
        </is>
      </c>
      <c r="B13" s="148">
        <f>HESAP!B17</f>
        <v/>
      </c>
    </row>
    <row r="14" ht="15" customHeight="1" s="70">
      <c r="A14" s="128" t="inlineStr">
        <is>
          <t>Zam Yansıtma Gereksinimi</t>
        </is>
      </c>
      <c r="B14" s="149">
        <f>HESAP!B21</f>
        <v/>
      </c>
    </row>
    <row r="15" ht="15" customHeight="1" s="70">
      <c r="A15" s="128" t="inlineStr">
        <is>
          <t>En Çok Etkilenen Ürün</t>
        </is>
      </c>
      <c r="B15" s="149">
        <f>HESAP!B22</f>
        <v/>
      </c>
    </row>
    <row r="16" ht="15" customHeight="1" s="70">
      <c r="A16" s="128" t="inlineStr">
        <is>
          <t>Hedef Kâr Marjı</t>
        </is>
      </c>
      <c r="B16" s="148">
        <f>IF(COUNTA(tblRecete[Ürün Adı])&gt;0,UreticiHedefMarjOran,0)</f>
        <v/>
      </c>
    </row>
    <row r="18" ht="15" customHeight="1" s="70">
      <c r="A18" s="100" t="inlineStr">
        <is>
          <t>Varsayımlar ve Uyarılar</t>
        </is>
      </c>
    </row>
    <row r="19" ht="15" customHeight="1" s="70">
      <c r="A19" s="99" t="inlineStr">
        <is>
          <t>Hedef kâr marjı, işçilik ve GÜG oranları AYARLAR'dan okunur; güncellenebilir.</t>
        </is>
      </c>
    </row>
    <row r="20" ht="15" customHeight="1" s="70">
      <c r="A20" s="99" t="inlineStr">
        <is>
          <t>Fiyat kararı yönetim onayına tabidir; bu dosya karar destek aracıdır.</t>
        </is>
      </c>
    </row>
    <row r="22" ht="15" customHeight="1" s="70">
      <c r="A22" s="102">
        <f>CONCATENATE("Sürüm ",UreticiDosyaSurumu," | ",UreticiRaporHazirlayan)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2:P22"/>
    <mergeCell ref="A1:AD1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D10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0" customWidth="1" style="96" min="2" max="2"/>
    <col width="18" customWidth="1" style="96" min="3" max="3"/>
    <col width="8" customWidth="1" style="96" min="4" max="4"/>
    <col width="9" customWidth="1" style="96" min="5" max="5"/>
    <col width="13" customWidth="1" style="96" min="6" max="6"/>
    <col width="11" customWidth="1" style="96" min="7" max="8"/>
    <col width="16" customWidth="1" style="96" min="9" max="9"/>
    <col width="18" customWidth="1" style="96" min="10" max="10"/>
    <col width="20" customWidth="1" style="96" min="11" max="11"/>
    <col width="18" customWidth="1" style="96" min="12" max="12"/>
    <col width="13" customWidth="1" style="96" min="13" max="13"/>
    <col width="52" customWidth="1" style="96" min="14" max="14"/>
  </cols>
  <sheetData>
    <row r="1" ht="25.5" customHeight="1" s="70">
      <c r="A1" s="97" t="inlineStr">
        <is>
          <t>ORNEK VERI — Üretim Reçetesi &amp; Zam Yansıtma Hesaplayıcı</t>
        </is>
      </c>
    </row>
    <row r="3" ht="30" customHeight="1" s="70">
      <c r="A3" s="108" t="inlineStr">
        <is>
          <t>Örnek Reçete Verileri</t>
        </is>
      </c>
    </row>
    <row r="4" ht="175.5" customHeight="1" s="70">
      <c r="A4" s="99" t="inlineStr">
        <is>
          <t>Ürünü tanımak için bu sayfadaki örnek kalemler kullanılabilir; RECETE_LISTESI üzerinde denemeler yapın.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IF($B6="","",CONCATENATE("Örnek reçete: ",$B6))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IF($B7="","",CONCATENATE("Örnek reçete: ",$B7))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IF($B8="","",CONCATENATE("Örnek reçete: ",$B8))</f>
        <v/>
      </c>
    </row>
    <row r="9" ht="15" customHeight="1" s="70">
      <c r="A9" s="110" t="inlineStr">
        <is>
          <t>UR-02</t>
        </is>
      </c>
      <c r="B9" s="110" t="inlineStr">
        <is>
          <t>Tam Buğday Ekmeği</t>
        </is>
      </c>
      <c r="C9" s="110" t="inlineStr">
        <is>
          <t>Un</t>
        </is>
      </c>
      <c r="D9" s="110" t="inlineStr">
        <is>
          <t>kg</t>
        </is>
      </c>
      <c r="E9" s="111" t="n">
        <v>0.06</v>
      </c>
      <c r="F9" s="112" t="n">
        <v>20</v>
      </c>
      <c r="G9" s="113" t="n">
        <v>0.05</v>
      </c>
      <c r="H9" s="113" t="n">
        <v>0.15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IF($B9="","",CONCATENATE("Örnek reçete: ",$B9))</f>
        <v/>
      </c>
    </row>
    <row r="10" ht="15" customHeight="1" s="70">
      <c r="A10" s="110" t="inlineStr">
        <is>
          <t>UR-02</t>
        </is>
      </c>
      <c r="B10" s="110" t="inlineStr">
        <is>
          <t>Tam Buğday Ekmeği</t>
        </is>
      </c>
      <c r="C10" s="110" t="inlineStr">
        <is>
          <t>Tam Buğday Unu</t>
        </is>
      </c>
      <c r="D10" s="110" t="inlineStr">
        <is>
          <t>kg</t>
        </is>
      </c>
      <c r="E10" s="111" t="n">
        <v>0.02</v>
      </c>
      <c r="F10" s="112" t="n">
        <v>25</v>
      </c>
      <c r="G10" s="113" t="n">
        <v>0.05</v>
      </c>
      <c r="H10" s="113" t="n">
        <v>0.12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IF($B10="","",CONCATENATE("Örnek reçete: ",$B10))</f>
        <v/>
      </c>
    </row>
    <row r="11" ht="15" customHeight="1" s="70">
      <c r="A11" s="110" t="inlineStr">
        <is>
          <t>UR-03</t>
        </is>
      </c>
      <c r="B11" s="110" t="inlineStr">
        <is>
          <t>Açma</t>
        </is>
      </c>
      <c r="C11" s="110" t="inlineStr">
        <is>
          <t>Un</t>
        </is>
      </c>
      <c r="D11" s="110" t="inlineStr">
        <is>
          <t>kg</t>
        </is>
      </c>
      <c r="E11" s="111" t="n">
        <v>0.05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IF($B11="","",CONCATENATE("Örnek reçete: ",$B11))</f>
        <v/>
      </c>
    </row>
    <row r="12" ht="15" customHeight="1" s="70">
      <c r="A12" s="110" t="inlineStr">
        <is>
          <t>UR-03</t>
        </is>
      </c>
      <c r="B12" s="110" t="inlineStr">
        <is>
          <t>Açma</t>
        </is>
      </c>
      <c r="C12" s="110" t="inlineStr">
        <is>
          <t>Margarin</t>
        </is>
      </c>
      <c r="D12" s="110" t="inlineStr">
        <is>
          <t>kg</t>
        </is>
      </c>
      <c r="E12" s="111" t="n">
        <v>0.03</v>
      </c>
      <c r="F12" s="112" t="n">
        <v>90</v>
      </c>
      <c r="G12" s="113" t="n">
        <v>0.03</v>
      </c>
      <c r="H12" s="113" t="n">
        <v>0.08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IF($B12="","",CONCATENATE("Örnek reçete: ",$B12))</f>
        <v/>
      </c>
    </row>
    <row r="13" ht="15" customHeight="1" s="70">
      <c r="A13" s="110" t="inlineStr">
        <is>
          <t>UR-04</t>
        </is>
      </c>
      <c r="B13" s="110" t="inlineStr">
        <is>
          <t>Simit</t>
        </is>
      </c>
      <c r="C13" s="110" t="inlineStr">
        <is>
          <t>Un</t>
        </is>
      </c>
      <c r="D13" s="110" t="inlineStr">
        <is>
          <t>kg</t>
        </is>
      </c>
      <c r="E13" s="111" t="n">
        <v>0.05</v>
      </c>
      <c r="F13" s="112" t="n">
        <v>20</v>
      </c>
      <c r="G13" s="113" t="n">
        <v>0.05</v>
      </c>
      <c r="H13" s="113" t="n">
        <v>0.15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IF($B13="","",CONCATENATE("Örnek reçete: ",$B13))</f>
        <v/>
      </c>
    </row>
    <row r="14" ht="15" customHeight="1" s="70">
      <c r="A14" s="110" t="inlineStr">
        <is>
          <t>UR-04</t>
        </is>
      </c>
      <c r="B14" s="110" t="inlineStr">
        <is>
          <t>Simit</t>
        </is>
      </c>
      <c r="C14" s="110" t="inlineStr">
        <is>
          <t>Susam</t>
        </is>
      </c>
      <c r="D14" s="110" t="inlineStr">
        <is>
          <t>kg</t>
        </is>
      </c>
      <c r="E14" s="111" t="n">
        <v>0.02</v>
      </c>
      <c r="F14" s="112" t="n">
        <v>60</v>
      </c>
      <c r="G14" s="113" t="n">
        <v>0.06</v>
      </c>
      <c r="H14" s="113" t="n">
        <v>0.06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IF($B14="","",CONCATENATE("Örnek reçete: ",$B14))</f>
        <v/>
      </c>
    </row>
    <row r="15" ht="15" customHeight="1" s="70">
      <c r="A15" s="116" t="n"/>
      <c r="B15" s="116" t="n"/>
      <c r="C15" s="116" t="n"/>
      <c r="D15" s="116" t="n"/>
      <c r="E15" s="117" t="n"/>
      <c r="F15" s="118" t="n"/>
      <c r="G15" s="119" t="n"/>
      <c r="H15" s="119" t="n"/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IF($B15="","",CONCATENATE("Örnek reçete: ",$B15))</f>
        <v/>
      </c>
    </row>
    <row r="16" ht="15" customHeight="1" s="70">
      <c r="A16" s="116" t="n"/>
      <c r="B16" s="116" t="n"/>
      <c r="C16" s="116" t="n"/>
      <c r="D16" s="116" t="n"/>
      <c r="E16" s="117" t="n"/>
      <c r="F16" s="118" t="n"/>
      <c r="G16" s="119" t="n"/>
      <c r="H16" s="119" t="n"/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IF($B16="","",CONCATENATE("Örnek reçete: ",$B16))</f>
        <v/>
      </c>
    </row>
    <row r="17" ht="15" customHeight="1" s="70">
      <c r="A17" s="116" t="n"/>
      <c r="B17" s="116" t="n"/>
      <c r="C17" s="116" t="n"/>
      <c r="D17" s="116" t="n"/>
      <c r="E17" s="117" t="n"/>
      <c r="F17" s="118" t="n"/>
      <c r="G17" s="119" t="n"/>
      <c r="H17" s="119" t="n"/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IF($B17="","",CONCATENATE("Örnek reçete: ",$B17))</f>
        <v/>
      </c>
    </row>
    <row r="18" ht="15" customHeight="1" s="70">
      <c r="A18" s="116" t="n"/>
      <c r="B18" s="116" t="n"/>
      <c r="C18" s="116" t="n"/>
      <c r="D18" s="116" t="n"/>
      <c r="E18" s="117" t="n"/>
      <c r="F18" s="118" t="n"/>
      <c r="G18" s="119" t="n"/>
      <c r="H18" s="119" t="n"/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IF($B18="","",CONCATENATE("Örnek reçete: ",$B18))</f>
        <v/>
      </c>
    </row>
    <row r="19" ht="15" customHeight="1" s="70">
      <c r="A19" s="116" t="n"/>
      <c r="B19" s="116" t="n"/>
      <c r="C19" s="116" t="n"/>
      <c r="D19" s="116" t="n"/>
      <c r="E19" s="117" t="n"/>
      <c r="F19" s="118" t="n"/>
      <c r="G19" s="119" t="n"/>
      <c r="H19" s="119" t="n"/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IF($B19="","",CONCATENATE("Örnek reçete: ",$B19))</f>
        <v/>
      </c>
    </row>
    <row r="20" ht="15" customHeight="1" s="70">
      <c r="A20" s="116" t="n"/>
      <c r="B20" s="116" t="n"/>
      <c r="C20" s="116" t="n"/>
      <c r="D20" s="116" t="n"/>
      <c r="E20" s="117" t="n"/>
      <c r="F20" s="118" t="n"/>
      <c r="G20" s="119" t="n"/>
      <c r="H20" s="119" t="n"/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IF($B20="","",CONCATENATE("Örnek reçete: ",$B20))</f>
        <v/>
      </c>
    </row>
    <row r="21" ht="15" customHeight="1" s="70">
      <c r="A21" s="116" t="n"/>
      <c r="B21" s="116" t="n"/>
      <c r="C21" s="116" t="n"/>
      <c r="D21" s="116" t="n"/>
      <c r="E21" s="117" t="n"/>
      <c r="F21" s="118" t="n"/>
      <c r="G21" s="119" t="n"/>
      <c r="H21" s="119" t="n"/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IF($B21="","",CONCATENATE("Örnek reçete: ",$B21))</f>
        <v/>
      </c>
    </row>
    <row r="22" ht="15" customHeight="1" s="70">
      <c r="A22" s="116" t="n"/>
      <c r="B22" s="116" t="n"/>
      <c r="C22" s="116" t="n"/>
      <c r="D22" s="116" t="n"/>
      <c r="E22" s="117" t="n"/>
      <c r="F22" s="118" t="n"/>
      <c r="G22" s="119" t="n"/>
      <c r="H22" s="119" t="n"/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IF($B22="","",CONCATENATE("Örnek reçete: ",$B22))</f>
        <v/>
      </c>
    </row>
    <row r="23" ht="15" customHeight="1" s="70">
      <c r="A23" s="116" t="n"/>
      <c r="B23" s="116" t="n"/>
      <c r="C23" s="116" t="n"/>
      <c r="D23" s="116" t="n"/>
      <c r="E23" s="117" t="n"/>
      <c r="F23" s="118" t="n"/>
      <c r="G23" s="119" t="n"/>
      <c r="H23" s="119" t="n"/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IF($B23="","",CONCATENATE("Örnek reçete: ",$B23))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IF($B24="","",CONCATENATE("Örnek reçete: ",$B24))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IF($B25="","",CONCATENATE("Örnek reçete: ",$B25))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IF($B26="","",CONCATENATE("Örnek reçete: ",$B26))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IF($B27="","",CONCATENATE("Örnek reçete: ",$B27))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IF($B28="","",CONCATENATE("Örnek reçete: ",$B28))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IF($B29="","",CONCATENATE("Örnek reçete: ",$B29))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IF($B30="","",CONCATENATE("Örnek reçete: ",$B30))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IF($B31="","",CONCATENATE("Örnek reçete: ",$B31))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IF($B32="","",CONCATENATE("Örnek reçete: ",$B32))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IF($B33="","",CONCATENATE("Örnek reçete: ",$B33))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IF($B34="","",CONCATENATE("Örnek reçete: ",$B34))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IF($B35="","",CONCATENATE("Örnek reçete: ",$B35))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IF($B36="","",CONCATENATE("Örnek reçete: ",$B36))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IF($B37="","",CONCATENATE("Örnek reçete: ",$B37))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IF($B38="","",CONCATENATE("Örnek reçete: ",$B38))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IF($B39="","",CONCATENATE("Örnek reçete: ",$B39))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IF($B40="","",CONCATENATE("Örnek reçete: ",$B40))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IF($B41="","",CONCATENATE("Örnek reçete: ",$B41))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IF($B42="","",CONCATENATE("Örnek reçete: ",$B42))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IF($B43="","",CONCATENATE("Örnek reçete: ",$B43))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IF($B44="","",CONCATENATE("Örnek reçete: ",$B44))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IF($B45="","",CONCATENATE("Örnek reçete: ",$B45))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IF($B46="","",CONCATENATE("Örnek reçete: ",$B46))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IF($B47="","",CONCATENATE("Örnek reçete: ",$B47))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IF($B48="","",CONCATENATE("Örnek reçete: ",$B48))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IF($B49="","",CONCATENATE("Örnek reçete: ",$B49))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IF($B50="","",CONCATENATE("Örnek reçete: ",$B50))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IF($B51="","",CONCATENATE("Örnek reçete: ",$B51))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IF($B52="","",CONCATENATE("Örnek reçete: ",$B52))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IF($B53="","",CONCATENATE("Örnek reçete: ",$B53))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IF($B54="","",CONCATENATE("Örnek reçete: ",$B54))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IF($B55="","",CONCATENATE("Örnek reçete: ",$B55))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IF($B56="","",CONCATENATE("Örnek reçete: ",$B56))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IF($B57="","",CONCATENATE("Örnek reçete: ",$B57))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IF($B58="","",CONCATENATE("Örnek reçete: ",$B58))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IF($B59="","",CONCATENATE("Örnek reçete: ",$B59))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IF($B60="","",CONCATENATE("Örnek reçete: ",$B60))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6" min="1" max="3"/>
  </cols>
  <sheetData>
    <row r="1" ht="15" customHeight="1" s="70">
      <c r="A1" s="96" t="inlineStr">
        <is>
          <t>VARYANS — reçete versiyon köprüsü</t>
        </is>
      </c>
    </row>
    <row r="3" ht="15" customHeight="1" s="70">
      <c r="A3" s="96" t="inlineStr">
        <is>
          <t>versiyon</t>
        </is>
      </c>
      <c r="B3" s="96" t="inlineStr">
        <is>
          <t>varyans_tl</t>
        </is>
      </c>
      <c r="C3" s="96" t="inlineStr">
        <is>
          <t>aciklama</t>
        </is>
      </c>
    </row>
    <row r="4" ht="15" customHeight="1" s="70">
      <c r="A4" s="96" t="inlineStr">
        <is>
          <t>v1</t>
        </is>
      </c>
      <c r="B4" s="133" t="n">
        <v>0</v>
      </c>
      <c r="C4" s="96" t="inlineStr">
        <is>
          <t>baz reçete</t>
        </is>
      </c>
    </row>
    <row r="5" ht="15" customHeight="1" s="70">
      <c r="A5" s="96" t="inlineStr">
        <is>
          <t>v2</t>
        </is>
      </c>
      <c r="B5" s="133" t="n">
        <v>12.5</v>
      </c>
      <c r="C5" s="96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2" customWidth="1" style="96" min="2" max="2"/>
    <col width="40" customWidth="1" style="96" min="3" max="3"/>
    <col width="32" customWidth="1" style="96" min="4" max="4"/>
    <col width="18" customWidth="1" style="96" min="5" max="5"/>
  </cols>
  <sheetData>
    <row r="1" ht="25.5" customHeight="1" s="70">
      <c r="A1" s="97" t="inlineStr">
        <is>
          <t>DEGISIKLIK KAYDI — Üretim Reçetesi &amp; Zam Yansıtma Hesaplayıcı</t>
        </is>
      </c>
    </row>
    <row r="3" ht="15.75" customHeight="1" s="70">
      <c r="A3" s="103" t="inlineStr">
        <is>
          <t>Değişiklik Kaydı</t>
        </is>
      </c>
    </row>
    <row r="4" ht="30" customHeight="1" s="70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70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6" customWidth="1" style="96" min="3" max="3"/>
  </cols>
  <sheetData>
    <row r="1" ht="25.5" customHeight="1" s="70">
      <c r="A1" s="97" t="inlineStr">
        <is>
          <t>LISTELER — Üretim Reçetesi &amp; Zam Yansıtma Hesaplayıcı</t>
        </is>
      </c>
    </row>
    <row r="3" ht="15" customHeight="1" s="70">
      <c r="A3" s="100" t="inlineStr">
        <is>
          <t>Bağlı Listeler</t>
        </is>
      </c>
    </row>
    <row r="4" ht="54.75" customHeight="1" s="70">
      <c r="A4" s="99" t="inlineStr">
        <is>
          <t>Bu sayfadaki listeler açılır menüleri besler; yeni seçenek eklemek için sarı hücrelere yazın.</t>
        </is>
      </c>
    </row>
    <row r="6" ht="15" customHeight="1" s="70">
      <c r="A6" s="130" t="inlineStr">
        <is>
          <t>Hammaddeler</t>
        </is>
      </c>
    </row>
    <row r="7" ht="15" customHeight="1" s="70">
      <c r="A7" s="150" t="inlineStr">
        <is>
          <t>Un</t>
        </is>
      </c>
      <c r="C7" s="150" t="inlineStr">
        <is>
          <t>kg</t>
        </is>
      </c>
    </row>
    <row r="8" ht="15" customHeight="1" s="70">
      <c r="A8" s="150" t="inlineStr">
        <is>
          <t>Tam Buğday Unu</t>
        </is>
      </c>
      <c r="C8" s="150" t="inlineStr">
        <is>
          <t>gr</t>
        </is>
      </c>
    </row>
    <row r="9" ht="15" customHeight="1" s="70">
      <c r="A9" s="150" t="inlineStr">
        <is>
          <t>Margarin</t>
        </is>
      </c>
      <c r="C9" s="150" t="inlineStr">
        <is>
          <t>lt</t>
        </is>
      </c>
    </row>
    <row r="10" ht="15" customHeight="1" s="70">
      <c r="A10" s="150" t="inlineStr">
        <is>
          <t>Yumurta</t>
        </is>
      </c>
      <c r="C10" s="150" t="inlineStr">
        <is>
          <t>adet</t>
        </is>
      </c>
    </row>
    <row r="11" ht="15" customHeight="1" s="70">
      <c r="A11" s="150" t="inlineStr">
        <is>
          <t>Tuz</t>
        </is>
      </c>
      <c r="C11" s="150" t="inlineStr">
        <is>
          <t>paket</t>
        </is>
      </c>
    </row>
    <row r="12" ht="15" customHeight="1" s="70">
      <c r="A12" s="150" t="inlineStr">
        <is>
          <t>Şeker</t>
        </is>
      </c>
      <c r="C12" s="150" t="inlineStr">
        <is>
          <t>m</t>
        </is>
      </c>
    </row>
    <row r="13" ht="15" customHeight="1" s="70">
      <c r="A13" s="150" t="inlineStr">
        <is>
          <t>Maya</t>
        </is>
      </c>
    </row>
    <row r="14" ht="15" customHeight="1" s="70">
      <c r="A14" s="150" t="inlineStr">
        <is>
          <t>Susam</t>
        </is>
      </c>
    </row>
    <row r="15" ht="15" customHeight="1" s="70">
      <c r="A15" s="15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24" customWidth="1" style="96" min="2" max="2"/>
    <col width="12" customWidth="1" style="96" min="3" max="3"/>
    <col width="10" customWidth="1" style="96" min="4" max="5"/>
    <col width="60" customWidth="1" style="96" min="6" max="6"/>
    <col width="22" customWidth="1" style="96" min="7" max="7"/>
    <col width="16" customWidth="1" style="96" min="8" max="8"/>
    <col width="18" customWidth="1" style="96" min="9" max="9"/>
  </cols>
  <sheetData>
    <row r="1" ht="25.5" customHeight="1" s="70">
      <c r="A1" s="97" t="inlineStr">
        <is>
          <t>AYARLAR — Üretim Reçetesi &amp; Zam Yansıtma Hesaplayıcı</t>
        </is>
      </c>
    </row>
    <row r="3" ht="15" customHeight="1" s="70">
      <c r="A3" s="100" t="inlineStr">
        <is>
          <t>Sistem Ayarları ve Oranlar</t>
        </is>
      </c>
    </row>
    <row r="4" ht="54.75" customHeight="1" s="70">
      <c r="A4" s="99" t="inlineStr">
        <is>
          <t>Tüm sabitler bu sayfadadır. Eşikler, senaryo çarpanları ve oranları güncelleyin; değişen her değer tüm hesaplamalara anında yansır.</t>
        </is>
      </c>
    </row>
    <row r="6" ht="30" customHeight="1" s="70">
      <c r="A6" s="109" t="inlineStr">
        <is>
          <t>anahtar</t>
        </is>
      </c>
      <c r="B6" s="109" t="inlineStr">
        <is>
          <t>deger</t>
        </is>
      </c>
      <c r="C6" s="109" t="inlineStr">
        <is>
          <t>birim</t>
        </is>
      </c>
      <c r="D6" s="109" t="inlineStr">
        <is>
          <t>alt</t>
        </is>
      </c>
      <c r="E6" s="109" t="inlineStr">
        <is>
          <t>ust</t>
        </is>
      </c>
      <c r="F6" s="109" t="inlineStr">
        <is>
          <t>aciklama</t>
        </is>
      </c>
      <c r="G6" s="109" t="inlineStr">
        <is>
          <t>kaynak</t>
        </is>
      </c>
      <c r="H6" s="109" t="inlineStr">
        <is>
          <t>yururluk_tarihi</t>
        </is>
      </c>
      <c r="I6" s="109" t="inlineStr">
        <is>
          <t>dogrulama_tarihi</t>
        </is>
      </c>
    </row>
    <row r="7" ht="25.5" customHeight="1" s="70">
      <c r="A7" s="151" t="inlineStr">
        <is>
          <t>UreticiFirmaUnvan</t>
        </is>
      </c>
      <c r="B7" s="152" t="inlineStr">
        <is>
          <t>Örnek Firma A.Ş.</t>
        </is>
      </c>
      <c r="C7" s="102" t="inlineStr">
        <is>
          <t>Metin</t>
        </is>
      </c>
      <c r="D7" s="153" t="n"/>
      <c r="E7" s="153" t="n"/>
      <c r="F7" s="107" t="inlineStr">
        <is>
          <t>Firma unvanı rapor başlığında görünür.</t>
        </is>
      </c>
      <c r="G7" s="102" t="inlineStr">
        <is>
          <t>Kullanıcı</t>
        </is>
      </c>
      <c r="H7" s="154" t="n">
        <v>46244</v>
      </c>
      <c r="I7" s="154" t="n">
        <v>46244</v>
      </c>
    </row>
    <row r="8" ht="25.5" customHeight="1" s="70">
      <c r="A8" s="151" t="inlineStr">
        <is>
          <t>UreticiRaporTarihi</t>
        </is>
      </c>
      <c r="B8" s="155" t="n">
        <v>46244</v>
      </c>
      <c r="C8" s="102" t="inlineStr">
        <is>
          <t>Tarih</t>
        </is>
      </c>
      <c r="D8" s="153" t="n"/>
      <c r="E8" s="153" t="n"/>
      <c r="F8" s="107" t="inlineStr">
        <is>
          <t>Raporun dayanak tarihi.</t>
        </is>
      </c>
      <c r="G8" s="102" t="inlineStr">
        <is>
          <t>Kullanıcı</t>
        </is>
      </c>
      <c r="H8" s="154" t="n">
        <v>46244</v>
      </c>
      <c r="I8" s="154" t="n">
        <v>46244</v>
      </c>
    </row>
    <row r="9" ht="25.5" customHeight="1" s="70">
      <c r="A9" s="151" t="inlineStr">
        <is>
          <t>UreticiRaporHazirlayan</t>
        </is>
      </c>
      <c r="B9" s="152" t="inlineStr">
        <is>
          <t>Üretim ve Mali İşler Müdürü</t>
        </is>
      </c>
      <c r="C9" s="102" t="inlineStr">
        <is>
          <t>Metin</t>
        </is>
      </c>
      <c r="D9" s="153" t="n"/>
      <c r="E9" s="153" t="n"/>
      <c r="F9" s="107" t="inlineStr">
        <is>
          <t>Raporu hazırlayan kişi.</t>
        </is>
      </c>
      <c r="G9" s="102" t="inlineStr">
        <is>
          <t>Kullanıcı</t>
        </is>
      </c>
      <c r="H9" s="154" t="n">
        <v>46244</v>
      </c>
      <c r="I9" s="154" t="n">
        <v>46244</v>
      </c>
    </row>
    <row r="10" ht="25.5" customHeight="1" s="70">
      <c r="A10" s="151" t="inlineStr">
        <is>
          <t>UreticiDosyaSurumu</t>
        </is>
      </c>
      <c r="B10" s="152" t="inlineStr">
        <is>
          <t>1.0.0</t>
        </is>
      </c>
      <c r="C10" s="102" t="inlineStr">
        <is>
          <t>Metin</t>
        </is>
      </c>
      <c r="D10" s="153" t="n"/>
      <c r="E10" s="153" t="n"/>
      <c r="F10" s="107" t="inlineStr">
        <is>
          <t>Dosya sürümü.</t>
        </is>
      </c>
      <c r="G10" s="102" t="inlineStr">
        <is>
          <t>Kullanıcı</t>
        </is>
      </c>
      <c r="H10" s="154" t="n">
        <v>46244</v>
      </c>
      <c r="I10" s="154" t="n">
        <v>46244</v>
      </c>
    </row>
    <row r="11" ht="25.5" customHeight="1" s="70">
      <c r="A11" s="151" t="inlineStr">
        <is>
          <t>UreticiHedefMarjOran</t>
        </is>
      </c>
      <c r="B11" s="156" t="n">
        <v>0.3</v>
      </c>
      <c r="C11" s="102" t="inlineStr">
        <is>
          <t>Oran</t>
        </is>
      </c>
      <c r="D11" s="153" t="n">
        <v>0</v>
      </c>
      <c r="E11" s="153" t="n">
        <v>1</v>
      </c>
      <c r="F11" s="107" t="inlineStr">
        <is>
          <t>Hedef kâr marjı; önerilen fiyat bu marjı koruyacak şekilde hesaplanır.</t>
        </is>
      </c>
      <c r="G11" s="102" t="inlineStr">
        <is>
          <t>Varsayım</t>
        </is>
      </c>
      <c r="H11" s="154" t="n">
        <v>46244</v>
      </c>
      <c r="I11" s="154" t="n">
        <v>46244</v>
      </c>
    </row>
    <row r="12" ht="25.5" customHeight="1" s="70">
      <c r="A12" s="151" t="inlineStr">
        <is>
          <t>UreticiZamYansitmaEsik</t>
        </is>
      </c>
      <c r="B12" s="156" t="n">
        <v>0.03</v>
      </c>
      <c r="C12" s="102" t="inlineStr">
        <is>
          <t>Oran</t>
        </is>
      </c>
      <c r="D12" s="153" t="n">
        <v>0</v>
      </c>
      <c r="E12" s="153" t="n">
        <v>1</v>
      </c>
      <c r="F12" s="107" t="inlineStr">
        <is>
          <t>Üzerindeki genel maliyet artışı ZAM YANSIT kararı üretir.</t>
        </is>
      </c>
      <c r="G12" s="102" t="inlineStr">
        <is>
          <t>Varsayım</t>
        </is>
      </c>
      <c r="H12" s="154" t="n">
        <v>46244</v>
      </c>
      <c r="I12" s="154" t="n">
        <v>46244</v>
      </c>
    </row>
    <row r="13" ht="25.5" customHeight="1" s="70">
      <c r="A13" s="151" t="inlineStr">
        <is>
          <t>UreticiFireKritikOran</t>
        </is>
      </c>
      <c r="B13" s="156" t="n">
        <v>0.1</v>
      </c>
      <c r="C13" s="102" t="inlineStr">
        <is>
          <t>Oran</t>
        </is>
      </c>
      <c r="D13" s="153" t="n">
        <v>0</v>
      </c>
      <c r="E13" s="153" t="n">
        <v>1</v>
      </c>
      <c r="F13" s="107" t="inlineStr">
        <is>
          <t>Üzerindeki fire oranı kritik kabul edilir.</t>
        </is>
      </c>
      <c r="G13" s="102" t="inlineStr">
        <is>
          <t>Varsayım</t>
        </is>
      </c>
      <c r="H13" s="154" t="n">
        <v>46244</v>
      </c>
      <c r="I13" s="154" t="n">
        <v>46244</v>
      </c>
    </row>
    <row r="14" ht="25.5" customHeight="1" s="70">
      <c r="A14" s="151" t="inlineStr">
        <is>
          <t>UreticiIscilikOran</t>
        </is>
      </c>
      <c r="B14" s="156" t="n">
        <v>0.12</v>
      </c>
      <c r="C14" s="102" t="inlineStr">
        <is>
          <t>Oran</t>
        </is>
      </c>
      <c r="D14" s="153" t="n">
        <v>0</v>
      </c>
      <c r="E14" s="153" t="n">
        <v>1</v>
      </c>
      <c r="F14" s="107" t="inlineStr">
        <is>
          <t>Hammadde maliyetine uygulanan işçilik oranı.</t>
        </is>
      </c>
      <c r="G14" s="102" t="inlineStr">
        <is>
          <t>Varsayım</t>
        </is>
      </c>
      <c r="H14" s="154" t="n">
        <v>46244</v>
      </c>
      <c r="I14" s="154" t="n">
        <v>46244</v>
      </c>
    </row>
    <row r="15" ht="25.5" customHeight="1" s="70">
      <c r="A15" s="151" t="inlineStr">
        <is>
          <t>UreticiGugOran</t>
        </is>
      </c>
      <c r="B15" s="156" t="n">
        <v>0.08</v>
      </c>
      <c r="C15" s="102" t="inlineStr">
        <is>
          <t>Oran</t>
        </is>
      </c>
      <c r="D15" s="153" t="n">
        <v>0</v>
      </c>
      <c r="E15" s="153" t="n">
        <v>1</v>
      </c>
      <c r="F15" s="107" t="inlineStr">
        <is>
          <t>Hammadde maliyetine uygulanan genel üretim gideri oranı.</t>
        </is>
      </c>
      <c r="G15" s="102" t="inlineStr">
        <is>
          <t>Varsayım</t>
        </is>
      </c>
      <c r="H15" s="154" t="n">
        <v>46244</v>
      </c>
      <c r="I15" s="154" t="n">
        <v>46244</v>
      </c>
    </row>
    <row r="16" ht="25.5" customHeight="1" s="70">
      <c r="A16" s="151" t="inlineStr">
        <is>
          <t>UreticiSenIyiZam</t>
        </is>
      </c>
      <c r="B16" s="156" t="n">
        <v>0</v>
      </c>
      <c r="C16" s="102" t="inlineStr">
        <is>
          <t>Oran</t>
        </is>
      </c>
      <c r="D16" s="153" t="n">
        <v>-0.5</v>
      </c>
      <c r="E16" s="153" t="n">
        <v>0.5</v>
      </c>
      <c r="F16" s="107" t="inlineStr">
        <is>
          <t>İyimser senaryo zam çarpanı.</t>
        </is>
      </c>
      <c r="G16" s="102" t="inlineStr">
        <is>
          <t>Varsayım</t>
        </is>
      </c>
      <c r="H16" s="154" t="n">
        <v>46244</v>
      </c>
      <c r="I16" s="154" t="n">
        <v>46244</v>
      </c>
    </row>
    <row r="17" ht="25.5" customHeight="1" s="70">
      <c r="A17" s="151" t="inlineStr">
        <is>
          <t>UreticiSenBazZam</t>
        </is>
      </c>
      <c r="B17" s="156" t="n">
        <v>0.03</v>
      </c>
      <c r="C17" s="102" t="inlineStr">
        <is>
          <t>Oran</t>
        </is>
      </c>
      <c r="D17" s="153" t="n">
        <v>-0.5</v>
      </c>
      <c r="E17" s="153" t="n">
        <v>0.5</v>
      </c>
      <c r="F17" s="107" t="inlineStr">
        <is>
          <t>Baz senaryo zam çarpanı.</t>
        </is>
      </c>
      <c r="G17" s="102" t="inlineStr">
        <is>
          <t>Varsayım</t>
        </is>
      </c>
      <c r="H17" s="154" t="n">
        <v>46244</v>
      </c>
      <c r="I17" s="154" t="n">
        <v>46244</v>
      </c>
    </row>
    <row r="18" ht="25.5" customHeight="1" s="70">
      <c r="A18" s="151" t="inlineStr">
        <is>
          <t>UreticiSenKotuZam</t>
        </is>
      </c>
      <c r="B18" s="156" t="n">
        <v>0.08</v>
      </c>
      <c r="C18" s="102" t="inlineStr">
        <is>
          <t>Oran</t>
        </is>
      </c>
      <c r="D18" s="153" t="n">
        <v>-0.5</v>
      </c>
      <c r="E18" s="153" t="n">
        <v>0.5</v>
      </c>
      <c r="F18" s="107" t="inlineStr">
        <is>
          <t>Kötümser senaryo zam çarpanı.</t>
        </is>
      </c>
      <c r="G18" s="102" t="inlineStr">
        <is>
          <t>Varsayım</t>
        </is>
      </c>
      <c r="H18" s="154" t="n">
        <v>46244</v>
      </c>
      <c r="I18" s="154" t="n">
        <v>46244</v>
      </c>
    </row>
    <row r="19" ht="25.5" customHeight="1" s="70">
      <c r="A19" s="151" t="inlineStr">
        <is>
          <t>UreticiSenKritikZam</t>
        </is>
      </c>
      <c r="B19" s="156" t="n">
        <v>0.15</v>
      </c>
      <c r="C19" s="102" t="inlineStr">
        <is>
          <t>Oran</t>
        </is>
      </c>
      <c r="D19" s="153" t="n">
        <v>-0.5</v>
      </c>
      <c r="E19" s="153" t="n">
        <v>0.5</v>
      </c>
      <c r="F19" s="107" t="inlineStr">
        <is>
          <t>Kritik senaryo zam çarpanı.</t>
        </is>
      </c>
      <c r="G19" s="102" t="inlineStr">
        <is>
          <t>Varsayım</t>
        </is>
      </c>
      <c r="H19" s="154" t="n">
        <v>46244</v>
      </c>
      <c r="I19" s="154" t="n">
        <v>46244</v>
      </c>
    </row>
    <row r="20" ht="25.5" customHeight="1" s="70">
      <c r="A20" s="151" t="inlineStr">
        <is>
          <t>UreticiTahminCarpan</t>
        </is>
      </c>
      <c r="B20" s="157" t="n">
        <v>1.645</v>
      </c>
      <c r="C20" s="102" t="inlineStr">
        <is>
          <t>Çarpan</t>
        </is>
      </c>
      <c r="D20" s="153" t="n">
        <v>0</v>
      </c>
      <c r="E20" s="153" t="n">
        <v>10</v>
      </c>
      <c r="F20" s="107" t="inlineStr">
        <is>
          <t>Tahmin güven bandı çarpanı (%90 normal dağılım).</t>
        </is>
      </c>
      <c r="G20" s="102" t="inlineStr">
        <is>
          <t>Varsayım</t>
        </is>
      </c>
      <c r="H20" s="154" t="n">
        <v>46244</v>
      </c>
      <c r="I20" s="154" t="n">
        <v>46244</v>
      </c>
    </row>
    <row r="21" ht="25.5" customHeight="1" s="70">
      <c r="A21" s="151" t="inlineStr">
        <is>
          <t>UreticiKaliteIyi</t>
        </is>
      </c>
      <c r="B21" s="157" t="n">
        <v>90</v>
      </c>
      <c r="C21" s="102" t="inlineStr">
        <is>
          <t>Puan</t>
        </is>
      </c>
      <c r="D21" s="153" t="n">
        <v>0</v>
      </c>
      <c r="E21" s="153" t="n">
        <v>100</v>
      </c>
      <c r="F21" s="107" t="inlineStr">
        <is>
          <t>Yüksek kalite skoru eşiği.</t>
        </is>
      </c>
      <c r="G21" s="102" t="inlineStr">
        <is>
          <t>Varsayım</t>
        </is>
      </c>
      <c r="H21" s="154" t="n">
        <v>46244</v>
      </c>
      <c r="I21" s="154" t="n">
        <v>46244</v>
      </c>
    </row>
    <row r="22" ht="25.5" customHeight="1" s="70">
      <c r="A22" s="151" t="inlineStr">
        <is>
          <t>UreticiKaliteOrta</t>
        </is>
      </c>
      <c r="B22" s="157" t="n">
        <v>70</v>
      </c>
      <c r="C22" s="102" t="inlineStr">
        <is>
          <t>Puan</t>
        </is>
      </c>
      <c r="D22" s="153" t="n">
        <v>0</v>
      </c>
      <c r="E22" s="153" t="n">
        <v>100</v>
      </c>
      <c r="F22" s="107" t="inlineStr">
        <is>
          <t>Orta kalite skoru eşiği.</t>
        </is>
      </c>
      <c r="G22" s="102" t="inlineStr">
        <is>
          <t>Varsayım</t>
        </is>
      </c>
      <c r="H22" s="154" t="n">
        <v>46244</v>
      </c>
      <c r="I22" s="154" t="n">
        <v>46244</v>
      </c>
    </row>
    <row r="23" ht="25.5" customHeight="1" s="70">
      <c r="A23" s="151" t="inlineStr">
        <is>
          <t>UreticiMalzemePayEsik</t>
        </is>
      </c>
      <c r="B23" s="156" t="n">
        <v>0.5</v>
      </c>
      <c r="C23" s="102" t="inlineStr">
        <is>
          <t>Oran</t>
        </is>
      </c>
      <c r="D23" s="153" t="n">
        <v>0</v>
      </c>
      <c r="E23" s="153" t="n">
        <v>1</v>
      </c>
      <c r="F23" s="107" t="inlineStr">
        <is>
          <t>Tek hammaddenin toplam maliyet içindeki payı için yoğunlaşma eşiği.</t>
        </is>
      </c>
      <c r="G23" s="102" t="inlineStr">
        <is>
          <t>Varsayım</t>
        </is>
      </c>
      <c r="H23" s="154" t="n">
        <v>46244</v>
      </c>
      <c r="I23" s="154" t="n">
        <v>46244</v>
      </c>
    </row>
    <row r="24" ht="25.5" customHeight="1" s="70">
      <c r="A24" s="151" t="inlineStr">
        <is>
          <t>UreticiP90Oran</t>
        </is>
      </c>
      <c r="B24" s="156" t="n">
        <v>0.9</v>
      </c>
      <c r="C24" s="102" t="inlineStr">
        <is>
          <t>Oran</t>
        </is>
      </c>
      <c r="D24" s="153" t="n">
        <v>0</v>
      </c>
      <c r="E24" s="153" t="n">
        <v>1</v>
      </c>
      <c r="F24" s="107" t="inlineStr">
        <is>
          <t>Birim fiyat dağılımında üst yüzdelik dilimin oranı.</t>
        </is>
      </c>
      <c r="G24" s="102" t="inlineStr">
        <is>
          <t>Varsayım</t>
        </is>
      </c>
      <c r="H24" s="154" t="n">
        <v>46244</v>
      </c>
      <c r="I24" s="154" t="n">
        <v>46244</v>
      </c>
    </row>
    <row r="25" ht="25.5" customHeight="1" s="70">
      <c r="A25" s="151" t="inlineStr">
        <is>
          <t>UreticiTemelKolonSayisi</t>
        </is>
      </c>
      <c r="B25" s="157" t="n">
        <v>8</v>
      </c>
      <c r="C25" s="102" t="inlineStr">
        <is>
          <t>Adet</t>
        </is>
      </c>
      <c r="D25" s="153" t="n">
        <v>1</v>
      </c>
      <c r="E25" s="153" t="n">
        <v>20</v>
      </c>
      <c r="F25" s="107" t="inlineStr">
        <is>
          <t>Veri kalitesi skorunda temel kabul edilen zorunlu giriş kolonu sayısı.</t>
        </is>
      </c>
      <c r="G25" s="102" t="inlineStr">
        <is>
          <t>Varsayım</t>
        </is>
      </c>
      <c r="H25" s="154" t="n">
        <v>46244</v>
      </c>
      <c r="I25" s="154" t="n">
        <v>46244</v>
      </c>
    </row>
    <row r="26" ht="25.5" customHeight="1" s="70">
      <c r="A26" s="151" t="inlineStr">
        <is>
          <t>UreticiTornadoUnOran</t>
        </is>
      </c>
      <c r="B26" s="156" t="n">
        <v>0.1</v>
      </c>
      <c r="C26" s="102" t="inlineStr">
        <is>
          <t>Oran</t>
        </is>
      </c>
      <c r="D26" s="153" t="n">
        <v>0</v>
      </c>
      <c r="E26" s="153" t="n">
        <v>0.5</v>
      </c>
      <c r="F26" s="107" t="inlineStr">
        <is>
          <t>Un fiyatı tornado adımı (%10).</t>
        </is>
      </c>
      <c r="G26" s="102" t="inlineStr">
        <is>
          <t>Varsayım</t>
        </is>
      </c>
      <c r="H26" s="154" t="n">
        <v>46244</v>
      </c>
      <c r="I26" s="154" t="n">
        <v>46244</v>
      </c>
    </row>
    <row r="27" ht="25.5" customHeight="1" s="70">
      <c r="A27" s="151" t="inlineStr">
        <is>
          <t>UreticiTornadoFireOran</t>
        </is>
      </c>
      <c r="B27" s="156" t="n">
        <v>0.05</v>
      </c>
      <c r="C27" s="102" t="inlineStr">
        <is>
          <t>Oran</t>
        </is>
      </c>
      <c r="D27" s="153" t="n">
        <v>0</v>
      </c>
      <c r="E27" s="153" t="n">
        <v>0.5</v>
      </c>
      <c r="F27" s="107" t="inlineStr">
        <is>
          <t>Fire oranı tornado adımı.</t>
        </is>
      </c>
      <c r="G27" s="102" t="inlineStr">
        <is>
          <t>Varsayım</t>
        </is>
      </c>
      <c r="H27" s="154" t="n">
        <v>46244</v>
      </c>
      <c r="I27" s="154" t="n">
        <v>46244</v>
      </c>
    </row>
    <row r="28" ht="25.5" customHeight="1" s="70">
      <c r="A28" s="151" t="inlineStr">
        <is>
          <t>UreticiYuksekMaliyetEsik</t>
        </is>
      </c>
      <c r="B28" s="158" t="n">
        <v>50000</v>
      </c>
      <c r="C28" s="102" t="inlineStr">
        <is>
          <t>TL</t>
        </is>
      </c>
      <c r="D28" s="153" t="n">
        <v>0</v>
      </c>
      <c r="E28" s="153" t="n">
        <v>1000000000</v>
      </c>
      <c r="F28" s="107" t="inlineStr">
        <is>
          <t>Yüksek maliyet artışı kontrol eşiği.</t>
        </is>
      </c>
      <c r="G28" s="102" t="inlineStr">
        <is>
          <t>Varsayım</t>
        </is>
      </c>
      <c r="H28" s="154" t="n">
        <v>46244</v>
      </c>
      <c r="I28" s="154" t="n">
        <v>46244</v>
      </c>
    </row>
    <row r="29" ht="25.5" customHeight="1" s="70">
      <c r="A29" s="151" t="inlineStr">
        <is>
          <t>UreticiAksiyon1_ACIKLAMA</t>
        </is>
      </c>
      <c r="B29" s="159" t="inlineStr">
        <is>
          <t>Genel maliyet artışı eşiğin üzerinde; en çok etkilenen ürünün fiyatını hedef marjı koruyacak şekilde güncelleyin.</t>
        </is>
      </c>
      <c r="C29" s="102" t="inlineStr">
        <is>
          <t>Metin</t>
        </is>
      </c>
      <c r="D29" s="153" t="n"/>
      <c r="E29" s="153" t="n"/>
      <c r="F29" s="107" t="inlineStr">
        <is>
          <t>ZAM YANSIT kararında gösterilen ilk öneri.</t>
        </is>
      </c>
      <c r="G29" s="102" t="inlineStr">
        <is>
          <t>Varsayım</t>
        </is>
      </c>
      <c r="H29" s="154" t="n">
        <v>46244</v>
      </c>
      <c r="I29" s="154" t="n">
        <v>46244</v>
      </c>
    </row>
    <row r="30" ht="25.5" customHeight="1" s="70">
      <c r="A30" s="151" t="inlineStr">
        <is>
          <t>UreticiAksiyon2_ACIKLAMA</t>
        </is>
      </c>
      <c r="B30" s="159" t="inlineStr">
        <is>
          <t>Yüksek paylı hammaddenin tedarikini toplu alım veya alternatif tedarikçiyle müzakere ederek zam etkisini azaltın.</t>
        </is>
      </c>
      <c r="C30" s="102" t="inlineStr">
        <is>
          <t>Metin</t>
        </is>
      </c>
      <c r="D30" s="153" t="n"/>
      <c r="E30" s="153" t="n"/>
      <c r="F30" s="107" t="inlineStr">
        <is>
          <t>KISMİ YANSIT kararında gösterilen ikinci öneri.</t>
        </is>
      </c>
      <c r="G30" s="102" t="inlineStr">
        <is>
          <t>Varsayım</t>
        </is>
      </c>
      <c r="H30" s="154" t="n">
        <v>46244</v>
      </c>
      <c r="I30" s="154" t="n">
        <v>46244</v>
      </c>
    </row>
    <row r="31" ht="25.5" customHeight="1" s="70">
      <c r="A31" s="151" t="inlineStr">
        <is>
          <t>UreticiAksiyon3_ACIKLAMA</t>
        </is>
      </c>
      <c r="B31" s="159" t="inlineStr">
        <is>
          <t>Fire oranı yüksek hammaddelerde üretim sürecini gözden geçirin; fire azaltımı maliyeti doğrudan iyileştirir.</t>
        </is>
      </c>
      <c r="C31" s="102" t="inlineStr">
        <is>
          <t>Metin</t>
        </is>
      </c>
      <c r="D31" s="153" t="n"/>
      <c r="E31" s="153" t="n"/>
      <c r="F31" s="107" t="inlineStr">
        <is>
          <t>FİYATI KORU kararında gösterilen üçüncü öneri.</t>
        </is>
      </c>
      <c r="G31" s="102" t="inlineStr">
        <is>
          <t>Varsayım</t>
        </is>
      </c>
      <c r="H31" s="154" t="n">
        <v>46244</v>
      </c>
      <c r="I31" s="154" t="n">
        <v>46244</v>
      </c>
    </row>
    <row r="33" ht="25.5" customHeight="1" s="70">
      <c r="A33" s="160" t="inlineStr">
        <is>
          <t>UreticiPanelSatir_1</t>
        </is>
      </c>
      <c r="B33" s="161" t="n">
        <v>1</v>
      </c>
      <c r="C33" s="102" t="inlineStr">
        <is>
          <t>Satır</t>
        </is>
      </c>
      <c r="F33" s="107" t="inlineStr">
        <is>
          <t>HESAP/PANO'daki grafiğin ürün sırası (1. veri).</t>
        </is>
      </c>
      <c r="G33" s="102" t="inlineStr">
        <is>
          <t>Kullanıcı</t>
        </is>
      </c>
      <c r="H33" s="154" t="n">
        <v>46244</v>
      </c>
      <c r="I33" s="154" t="n">
        <v>46244</v>
      </c>
    </row>
    <row r="34" ht="25.5" customHeight="1" s="70">
      <c r="A34" s="160" t="inlineStr">
        <is>
          <t>UreticiPanelSatir_2</t>
        </is>
      </c>
      <c r="B34" s="161" t="n">
        <v>2</v>
      </c>
      <c r="C34" s="102" t="inlineStr">
        <is>
          <t>Satır</t>
        </is>
      </c>
      <c r="F34" s="107" t="inlineStr">
        <is>
          <t>HESAP/PANO'daki grafiğin ürün sırası (2. veri).</t>
        </is>
      </c>
      <c r="G34" s="102" t="inlineStr">
        <is>
          <t>Kullanıcı</t>
        </is>
      </c>
      <c r="H34" s="154" t="n">
        <v>46244</v>
      </c>
      <c r="I34" s="154" t="n">
        <v>46244</v>
      </c>
    </row>
    <row r="35" ht="25.5" customHeight="1" s="70">
      <c r="A35" s="160" t="inlineStr">
        <is>
          <t>UreticiPanelSatir_3</t>
        </is>
      </c>
      <c r="B35" s="161" t="n">
        <v>3</v>
      </c>
      <c r="C35" s="102" t="inlineStr">
        <is>
          <t>Satır</t>
        </is>
      </c>
      <c r="F35" s="107" t="inlineStr">
        <is>
          <t>HESAP/PANO'daki grafiğin ürün sırası (3. veri).</t>
        </is>
      </c>
      <c r="G35" s="102" t="inlineStr">
        <is>
          <t>Kullanıcı</t>
        </is>
      </c>
      <c r="H35" s="154" t="n">
        <v>46244</v>
      </c>
      <c r="I35" s="154" t="n">
        <v>46244</v>
      </c>
    </row>
    <row r="36" ht="25.5" customHeight="1" s="70">
      <c r="A36" s="160" t="inlineStr">
        <is>
          <t>UreticiPanelSatir_4</t>
        </is>
      </c>
      <c r="B36" s="161" t="n">
        <v>4</v>
      </c>
      <c r="C36" s="102" t="inlineStr">
        <is>
          <t>Satır</t>
        </is>
      </c>
      <c r="F36" s="107" t="inlineStr">
        <is>
          <t>HESAP/PANO'daki grafiğin ürün sırası (4. veri).</t>
        </is>
      </c>
      <c r="G36" s="102" t="inlineStr">
        <is>
          <t>Kullanıcı</t>
        </is>
      </c>
      <c r="H36" s="154" t="n">
        <v>46244</v>
      </c>
      <c r="I36" s="154" t="n">
        <v>46244</v>
      </c>
    </row>
    <row r="37" ht="25.5" customHeight="1" s="70">
      <c r="A37" s="160" t="inlineStr">
        <is>
          <t>UreticiPanelSatir_5</t>
        </is>
      </c>
      <c r="B37" s="161" t="n">
        <v>5</v>
      </c>
      <c r="C37" s="102" t="inlineStr">
        <is>
          <t>Satır</t>
        </is>
      </c>
      <c r="F37" s="107" t="inlineStr">
        <is>
          <t>HESAP/PANO'daki grafiğin ürün sırası (5. veri).</t>
        </is>
      </c>
      <c r="G37" s="102" t="inlineStr">
        <is>
          <t>Kullanıcı</t>
        </is>
      </c>
      <c r="H37" s="154" t="n">
        <v>46244</v>
      </c>
      <c r="I37" s="154" t="n">
        <v>46244</v>
      </c>
    </row>
    <row r="38" ht="25.5" customHeight="1" s="70">
      <c r="A38" s="160" t="inlineStr">
        <is>
          <t>UreticiPanelSatir_6</t>
        </is>
      </c>
      <c r="B38" s="161" t="n">
        <v>6</v>
      </c>
      <c r="C38" s="102" t="inlineStr">
        <is>
          <t>Satır</t>
        </is>
      </c>
      <c r="F38" s="107" t="inlineStr">
        <is>
          <t>HESAP/PANO'daki grafiğin ürün sırası (6. veri).</t>
        </is>
      </c>
      <c r="G38" s="102" t="inlineStr">
        <is>
          <t>Kullanıcı</t>
        </is>
      </c>
      <c r="H38" s="154" t="n">
        <v>46244</v>
      </c>
      <c r="I38" s="154" t="n">
        <v>46244</v>
      </c>
    </row>
    <row r="39" ht="25.5" customHeight="1" s="70">
      <c r="A39" s="160" t="inlineStr">
        <is>
          <t>UreticiPanelSatir_7</t>
        </is>
      </c>
      <c r="B39" s="161" t="n">
        <v>7</v>
      </c>
      <c r="C39" s="102" t="inlineStr">
        <is>
          <t>Satır</t>
        </is>
      </c>
      <c r="F39" s="107" t="inlineStr">
        <is>
          <t>HESAP/PANO'daki grafiğin ürün sırası (7. veri).</t>
        </is>
      </c>
      <c r="G39" s="102" t="inlineStr">
        <is>
          <t>Kullanıcı</t>
        </is>
      </c>
      <c r="H39" s="154" t="n">
        <v>46244</v>
      </c>
      <c r="I39" s="154" t="n">
        <v>46244</v>
      </c>
    </row>
    <row r="40" ht="25.5" customHeight="1" s="70">
      <c r="A40" s="160" t="inlineStr">
        <is>
          <t>UreticiPanelSatir_8</t>
        </is>
      </c>
      <c r="B40" s="161" t="n">
        <v>8</v>
      </c>
      <c r="C40" s="102" t="inlineStr">
        <is>
          <t>Satır</t>
        </is>
      </c>
      <c r="F40" s="107" t="inlineStr">
        <is>
          <t>HESAP/PANO'daki grafiğin ürün sırası (8. veri).</t>
        </is>
      </c>
      <c r="G40" s="102" t="inlineStr">
        <is>
          <t>Kullanıcı</t>
        </is>
      </c>
      <c r="H40" s="154" t="n">
        <v>46244</v>
      </c>
      <c r="I40" s="154" t="n">
        <v>46244</v>
      </c>
    </row>
    <row r="41" ht="25.5" customHeight="1" s="70">
      <c r="A41" s="160" t="inlineStr">
        <is>
          <t>UreticiPanelSatir_9</t>
        </is>
      </c>
      <c r="B41" s="161" t="n">
        <v>9</v>
      </c>
      <c r="C41" s="102" t="inlineStr">
        <is>
          <t>Satır</t>
        </is>
      </c>
      <c r="F41" s="107" t="inlineStr">
        <is>
          <t>HESAP/PANO'daki grafiğin ürün sırası (9. veri).</t>
        </is>
      </c>
      <c r="G41" s="102" t="inlineStr">
        <is>
          <t>Kullanıcı</t>
        </is>
      </c>
      <c r="H41" s="154" t="n">
        <v>46244</v>
      </c>
      <c r="I41" s="154" t="n">
        <v>46244</v>
      </c>
    </row>
    <row r="42" ht="25.5" customHeight="1" s="70">
      <c r="A42" s="160" t="inlineStr">
        <is>
          <t>UreticiPanelSatir_10</t>
        </is>
      </c>
      <c r="B42" s="161" t="n">
        <v>10</v>
      </c>
      <c r="C42" s="102" t="inlineStr">
        <is>
          <t>Satır</t>
        </is>
      </c>
      <c r="F42" s="107" t="inlineStr">
        <is>
          <t>HESAP/PANO'daki grafiğin ürün sırası (10. veri).</t>
        </is>
      </c>
      <c r="G42" s="102" t="inlineStr">
        <is>
          <t>Kullanıcı</t>
        </is>
      </c>
      <c r="H42" s="154" t="n">
        <v>46244</v>
      </c>
      <c r="I42" s="154" t="n">
        <v>46244</v>
      </c>
    </row>
    <row r="43" ht="25.5" customHeight="1" s="70">
      <c r="A43" s="160" t="inlineStr">
        <is>
          <t>UreticiPanelSatir_11</t>
        </is>
      </c>
      <c r="B43" s="161" t="n">
        <v>11</v>
      </c>
      <c r="C43" s="102" t="inlineStr">
        <is>
          <t>Satır</t>
        </is>
      </c>
      <c r="F43" s="107" t="inlineStr">
        <is>
          <t>HESAP/PANO'daki grafiğin ürün sırası (11. veri).</t>
        </is>
      </c>
      <c r="G43" s="102" t="inlineStr">
        <is>
          <t>Kullanıcı</t>
        </is>
      </c>
      <c r="H43" s="154" t="n">
        <v>46244</v>
      </c>
      <c r="I43" s="154" t="n">
        <v>46244</v>
      </c>
    </row>
    <row r="44" ht="25.5" customHeight="1" s="70">
      <c r="A44" s="160" t="inlineStr">
        <is>
          <t>UreticiPanelSatir_12</t>
        </is>
      </c>
      <c r="B44" s="161" t="n">
        <v>12</v>
      </c>
      <c r="C44" s="102" t="inlineStr">
        <is>
          <t>Satır</t>
        </is>
      </c>
      <c r="F44" s="107" t="inlineStr">
        <is>
          <t>HESAP/PANO'daki grafiğin ürün sırası (12. veri).</t>
        </is>
      </c>
      <c r="G44" s="102" t="inlineStr">
        <is>
          <t>Kullanıcı</t>
        </is>
      </c>
      <c r="H44" s="154" t="n">
        <v>46244</v>
      </c>
      <c r="I44" s="154" t="n">
        <v>46244</v>
      </c>
    </row>
    <row r="46" ht="15" customHeight="1" s="70">
      <c r="J46" s="96" t="inlineStr">
        <is>
          <t>birim_donusum</t>
        </is>
      </c>
      <c r="K46" s="96" t="inlineStr">
        <is>
          <t>kaynak_birim</t>
        </is>
      </c>
      <c r="L46" s="96" t="inlineStr">
        <is>
          <t>hedef_birim</t>
        </is>
      </c>
      <c r="M46" s="96" t="inlineStr">
        <is>
          <t>katsayi</t>
        </is>
      </c>
    </row>
    <row r="47" ht="15" customHeight="1" s="70">
      <c r="J47" s="96" t="inlineStr">
        <is>
          <t>DONUSUM</t>
        </is>
      </c>
      <c r="K47" s="96" t="inlineStr">
        <is>
          <t>kg</t>
        </is>
      </c>
      <c r="L47" s="96" t="inlineStr">
        <is>
          <t>g</t>
        </is>
      </c>
      <c r="M47" s="133" t="n">
        <v>1000</v>
      </c>
    </row>
    <row r="48" ht="15" customHeight="1" s="70">
      <c r="J48" s="96" t="inlineStr">
        <is>
          <t>DONUSUM</t>
        </is>
      </c>
      <c r="K48" s="96" t="inlineStr">
        <is>
          <t>lt</t>
        </is>
      </c>
      <c r="L48" s="96" t="inlineStr">
        <is>
          <t>ml</t>
        </is>
      </c>
      <c r="M48" s="133" t="n">
        <v>1000</v>
      </c>
    </row>
    <row r="49" ht="15" customHeight="1" s="70">
      <c r="J49" s="96" t="inlineStr">
        <is>
          <t>DONUSUM</t>
        </is>
      </c>
      <c r="K49" s="96" t="inlineStr">
        <is>
          <t>adet</t>
        </is>
      </c>
      <c r="L49" s="96" t="inlineStr">
        <is>
          <t>adet</t>
        </is>
      </c>
      <c r="M49" s="13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8">
    <dataValidation sqref="B11" showDropDown="0" showInputMessage="0" showErrorMessage="1" allowBlank="0" errorTitle="Değer aralık dışı" error="Hedef kâr marjı; önerilen fiyat bu marjı koruyacak şekilde hesaplanır." promptTitle="UreticiHedefMarjOran" prompt="Hedef kâr marjı; önerilen fiyat bu marjı koruyacak şekilde hesaplan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Üzerindeki genel maliyet artışı ZAM YANSIT kararı üretir." promptTitle="UreticiZamYansitmaEsik" prompt="Üzerindeki genel maliyet artışı ZAM YANSIT kararı üreti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Üzerindeki fire oranı kritik kabul edilir." promptTitle="UreticiFireKritikOran" prompt="Üzerindeki fire oranı kritik kabul edili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Hammadde maliyetine uygulanan işçilik oranı." promptTitle="UreticiIscilikOran" prompt="Hammadde maliyetine uygulanan işçilik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Hammadde maliyetine uygulanan genel üretim gideri oranı." promptTitle="UreticiGugOran" prompt="Hammadde maliyetine uygulanan genel üretim gideri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 zam çarpanı." promptTitle="UreticiSenIyiZam" prompt="İyimser senaryo zam çarpanı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Baz senaryo zam çarpanı." promptTitle="UreticiSenBazZam" prompt="Baz senaryo zam çarpanı." type="decimal" errorStyle="stop" operator="between">
      <formula1>-0.5</formula1>
      <formula2>0.5</formula2>
    </dataValidation>
    <dataValidation sqref="B18" showDropDown="0" showInputMessage="0" showErrorMessage="1" allowBlank="0" errorTitle="Değer aralık dışı" error="Kötümser senaryo zam çarpanı." promptTitle="UreticiSenKotuZam" prompt="Kötümser senaryo zam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Kritik senaryo zam çarpanı." promptTitle="UreticiSenKritikZam" prompt="Kritik senaryo zam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Tahmin güven bandı çarpanı (%90 normal dağılım)." promptTitle="UreticiTahminCarpan" prompt="Tahmin güven bandı çarpanı (%90 normal dağılım)." type="decimal" errorStyle="stop" operator="between">
      <formula1>0</formula1>
      <formula2>10</formula2>
    </dataValidation>
    <dataValidation sqref="B21" showDropDown="0" showInputMessage="0" showErrorMessage="1" allowBlank="0" errorTitle="Değer aralık dışı" error="Yüksek kalite skoru eşiği." promptTitle="UreticiKaliteIyi" prompt="Yüksek kalite skoru eşiği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Orta kalite skoru eşiği." promptTitle="UreticiKaliteOrta" prompt="Orta kalite skoru eşiği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Tek hammaddenin toplam maliyet içindeki payı için yoğunlaşma eşiği." promptTitle="UreticiMalzemePayEsik" prompt="Tek hammaddenin toplam maliyet içindeki payı için yoğunlaşma eşiğ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Birim fiyat dağılımında üst yüzdelik dilimin oranı." promptTitle="UreticiP90Oran" prompt="Birim fiyat dağılımında üst yüzdelik dilimin oranı." type="decimal" errorStyle="stop" operator="between">
      <formula1>0</formula1>
      <formula2>1</formula2>
    </dataValidation>
    <dataValidation sqref="B25" showDropDown="0" showInputMessage="0" showErrorMessage="1" allowBlank="0" errorTitle="Değer aralık dışı" error="Veri kalitesi skorunda temel kabul edilen zorunlu giriş kolonu sayısı." promptTitle="UreticiTemelKolonSayisi" prompt="Veri kalitesi skorunda temel kabul edilen zorunlu giriş kolonu sayısı." type="decimal" errorStyle="stop" operator="between">
      <formula1>1</formula1>
      <formula2>20</formula2>
    </dataValidation>
    <dataValidation sqref="B26" showDropDown="0" showInputMessage="0" showErrorMessage="1" allowBlank="0" errorTitle="Değer aralık dışı" error="Un fiyatı tornado adımı (%10)." promptTitle="UreticiTornadoUnOran" prompt="Un fiyatı tornado adımı (%10)." type="decimal" errorStyle="stop" operator="between">
      <formula1>0</formula1>
      <formula2>0.5</formula2>
    </dataValidation>
    <dataValidation sqref="B27" showDropDown="0" showInputMessage="0" showErrorMessage="1" allowBlank="0" errorTitle="Değer aralık dışı" error="Fire oranı tornado adımı." promptTitle="UreticiTornadoFireOran" prompt="Fire oranı tornado adımı." type="decimal" errorStyle="stop" operator="between">
      <formula1>0</formula1>
      <formula2>0.5</formula2>
    </dataValidation>
    <dataValidation sqref="B28" showDropDown="0" showInputMessage="0" showErrorMessage="1" allowBlank="0" errorTitle="Değer aralık dışı" error="Yüksek maliyet artışı kontrol eşiği." promptTitle="UreticiYuksekMaliyetEsik" prompt="Yüksek maliyet artış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110" customWidth="1" style="96" min="2" max="2"/>
  </cols>
  <sheetData>
    <row r="1" ht="25.5" customHeight="1" s="70">
      <c r="A1" s="97" t="inlineStr">
        <is>
          <t>KILAVUZ — Üretim Reçetesi &amp; Zam Yansıtma Hesaplayıcı</t>
        </is>
      </c>
    </row>
    <row r="3" ht="15.75" customHeight="1" s="70">
      <c r="A3" s="103" t="inlineStr">
        <is>
          <t>Kullanım Kılavuzu</t>
        </is>
      </c>
    </row>
    <row r="5" ht="55.5" customHeight="1" s="70">
      <c r="A5" s="132" t="inlineStr">
        <is>
          <t>Veri girişi</t>
        </is>
      </c>
      <c r="B5" s="101" t="inlineStr">
        <is>
          <t>RECETE_LISTESI sayfasında sarı hücrelere reçete kalemlerinizi girin. Ürün kodu/adı, hammadde, birim, miktar, birim fiyat, fire ve zam oranları doldurulunca tutarlar otomatik hesaplanır.</t>
        </is>
      </c>
    </row>
    <row r="6" ht="55.5" customHeight="1" s="70">
      <c r="A6" s="132" t="inlineStr">
        <is>
          <t>Zam yansıtma mantığı</t>
        </is>
      </c>
      <c r="B6" s="101" t="inlineStr">
        <is>
          <t>Hammadde zam oranı, birim fiyatın üzerine uygulanır ve zam sonrası tutarı üretir. Fark, zam sonrası tutar ile fire dahil eski tutar arasındaki farktır; ürün bazında toplanarak genel maliyet artışına dönüşür.</t>
        </is>
      </c>
    </row>
    <row r="7" ht="55.5" customHeight="1" s="70">
      <c r="A7" s="132" t="inlineStr">
        <is>
          <t>Önerilen satış fiyatı</t>
        </is>
      </c>
      <c r="B7" s="101" t="inlineStr">
        <is>
          <t>Hedef kâr marjı AYARLAR'dan okunur; önerilen fiyat, işçilik ve GÜG dahil zam sonrası birim maliyetin marja göre fiyatlanmasıyla bulunur (maliyet / (1 - marj)).</t>
        </is>
      </c>
    </row>
    <row r="8" ht="55.5" customHeight="1" s="70">
      <c r="A8" s="132" t="inlineStr">
        <is>
          <t>Karar ve aksiyon</t>
        </is>
      </c>
      <c r="B8" s="101" t="inlineStr">
        <is>
          <t>KARAR sayfası maliyet artışını eşikle karşılaştırır; ZAM YANSIT / KISMİ YANSIT / FİYATI KORU kararını gerekçesiyle üretir ve önerilen aksiyonları gösterir.</t>
        </is>
      </c>
    </row>
    <row r="9" ht="55.5" customHeight="1" s="70">
      <c r="A9" s="132" t="inlineStr">
        <is>
          <t>Oranlar ve senaryolar</t>
        </is>
      </c>
      <c r="B9" s="101" t="inlineStr">
        <is>
          <t>AYARLAR sayfasından hedef marj, işçilik, GÜG, senaryo ve tornado çarpanlarını güncelleyin; PANO ve SENARYO_DUYARLILIK anında güncellenir.</t>
        </is>
      </c>
    </row>
    <row r="10" ht="55.5" customHeight="1" s="70">
      <c r="A10" s="132" t="inlineStr">
        <is>
          <t>Güven ve karar kalitesi</t>
        </is>
      </c>
      <c r="B10" s="101" t="inlineStr">
        <is>
          <t>Veri kalite skoru girişlerin tamlığını ölçer. Reçete kalemi yokken karar VERİ YOK; negatif girişte DURDUR üretir. Verileriniz cihazınızdan çıkmaz; dosya tamamen çevrimdışıdır.</t>
        </is>
      </c>
    </row>
    <row r="11" ht="55.5" customHeight="1" s="70">
      <c r="A11" s="132" t="inlineStr">
        <is>
          <t>Uyumluluk</t>
        </is>
      </c>
      <c r="B11" s="101" t="inlineStr">
        <is>
          <t>Excel 2016-365 (Windows ve Mac), LibreOffice ve Google Sheets ile uyumludur. Makro içermez; formüller ayrıştırıcı ile denetlenmiştir.</t>
        </is>
      </c>
    </row>
    <row r="12" ht="55.5" customHeight="1" s="70">
      <c r="A12" s="132" t="inlineStr">
        <is>
          <t>Karar kuralları</t>
        </is>
      </c>
      <c r="B12" s="101" t="inlineStr">
        <is>
          <t>KARAR sayfasındaki sonuç şu kurallarla üretilir: (1) reçete kalemi yoksa VERİ YOK; (2) negatif birim fiyat veya miktar varsa DURDUR; (3) genel maliyet artışı eşiğin üzerindeyse ZAM YANSIT; (4) artış pozitif ancak eşiğin altındaysa KISMİ YANSIT; (5) aksi durumda FİYATI KORU.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11:T11"/>
    <mergeCell ref="B5:T5"/>
    <mergeCell ref="B8:T8"/>
    <mergeCell ref="B7:T7"/>
    <mergeCell ref="B9:T9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2026-08-10T17:23:57Z</dcterms:created>
  <dcterms:modified xmlns:dcterms="http://purl.org/dc/terms/" xmlns:xsi="http://www.w3.org/2001/XMLSchema-instance" xsi:type="dcterms:W3CDTF">2026-09-25T14:12:03Z</dcterms:modified>
  <cp:revision>0</cp:revision>
</cp:coreProperties>
</file>