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5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5.xml" ContentType="application/vnd.openxmlformats-officedocument.spreadsheetml.comments+xml"/>
  <Override PartName="/xl/worksheets/sheet25.xml" ContentType="application/vnd.openxmlformats-officedocument.spreadsheetml.worksheet+xml"/>
  <Override PartName="/xl/comments/comment6.xml" ContentType="application/vnd.openxmlformats-officedocument.spreadsheetml.comments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DÖNEM_GELIR_GIDER" sheetId="12" state="visible" r:id="rId12"/>
    <sheet xmlns:r="http://schemas.openxmlformats.org/officeDocument/2006/relationships" name="BORDRO" sheetId="13" state="visible" r:id="rId13"/>
    <sheet xmlns:r="http://schemas.openxmlformats.org/officeDocument/2006/relationships" name="KARSILIK_MOTORU" sheetId="14" state="visible" r:id="rId14"/>
    <sheet xmlns:r="http://schemas.openxmlformats.org/officeDocument/2006/relationships" name="ANALITIK_MOTOR" sheetId="15" state="visible" r:id="rId15"/>
    <sheet xmlns:r="http://schemas.openxmlformats.org/officeDocument/2006/relationships" name="NAKIT_PROJEKSIYON" sheetId="16" state="visible" r:id="rId16"/>
    <sheet xmlns:r="http://schemas.openxmlformats.org/officeDocument/2006/relationships" name="KONTROLLER" sheetId="17" state="visible" r:id="rId17"/>
    <sheet xmlns:r="http://schemas.openxmlformats.org/officeDocument/2006/relationships" name="KARAR" sheetId="18" state="visible" r:id="rId18"/>
    <sheet xmlns:r="http://schemas.openxmlformats.org/officeDocument/2006/relationships" name="SENARYO_DUYARLILIK" sheetId="19" state="visible" r:id="rId19"/>
    <sheet xmlns:r="http://schemas.openxmlformats.org/officeDocument/2006/relationships" name="RAPOR" sheetId="20" state="visible" r:id="rId20"/>
    <sheet xmlns:r="http://schemas.openxmlformats.org/officeDocument/2006/relationships" name="ORNEK_VERI" sheetId="21" state="visible" r:id="rId21"/>
    <sheet xmlns:r="http://schemas.openxmlformats.org/officeDocument/2006/relationships" name="AKIS" sheetId="22" state="visible" r:id="rId22"/>
    <sheet xmlns:r="http://schemas.openxmlformats.org/officeDocument/2006/relationships" name="DEGISIKLIK_KAYDI" sheetId="23" state="visible" r:id="rId23"/>
    <sheet xmlns:r="http://schemas.openxmlformats.org/officeDocument/2006/relationships" name="LISTELER" sheetId="24" state="visible" r:id="rId24"/>
    <sheet xmlns:r="http://schemas.openxmlformats.org/officeDocument/2006/relationships" name="AYARLAR" sheetId="25" state="visible" r:id="rId25"/>
    <sheet xmlns:r="http://schemas.openxmlformats.org/officeDocument/2006/relationships" name="KILAVUZ" sheetId="26" state="visible" r:id="rId26"/>
  </sheets>
  <definedNames>
    <definedName name="Aksiyon1_ACIKLAMA" hidden="0" function="0" vbProcedure="0">AYARLAR!$B$36</definedName>
    <definedName name="Aksiyon2_ACIKLAMA" hidden="0" function="0" vbProcedure="0">AYARLAR!$B$37</definedName>
    <definedName name="Aksiyon3_ACIKLAMA" hidden="0" function="0" vbProcedure="0">AYARLAR!$B$38</definedName>
    <definedName name="AyBasiKasaGiris" hidden="0" function="0" vbProcedure="0">AYARLAR!$B$21</definedName>
    <definedName name="DosyaSurumu" hidden="0" function="0" vbProcedure="0">AYARLAR!$B$10</definedName>
    <definedName name="FirmaUnvan" hidden="0" function="0" vbProcedure="0">AYARLAR!$B$7</definedName>
    <definedName name="GirisKolonAylik" hidden="0" function="0" vbProcedure="0">AYARLAR!$B$56</definedName>
    <definedName name="GirisKolonBordro" hidden="0" function="0" vbProcedure="0">AYARLAR!$B$54</definedName>
    <definedName name="GirisKolonDonem" hidden="0" function="0" vbProcedure="0">AYARLAR!$B$53</definedName>
    <definedName name="GirisKolonNakit" hidden="0" function="0" vbProcedure="0">AYARLAR!$B$55</definedName>
    <definedName name="KarliyukBazSenaryo" hidden="0" function="0" vbProcedure="0">AYARLAR!$B$25</definedName>
    <definedName name="KarliyukDamgaOrani" hidden="0" function="0" vbProcedure="0">AYARLAR!$B$18</definedName>
    <definedName name="KarliyukIssizlikIsciOrani" hidden="0" function="0" vbProcedure="0">AYARLAR!$B$15</definedName>
    <definedName name="KarliyukIssizlikIsverenOrani" hidden="0" function="0" vbProcedure="0">AYARLAR!$B$16</definedName>
    <definedName name="KarliyukIyiSenaryo" hidden="0" function="0" vbProcedure="0">AYARLAR!$B$24</definedName>
    <definedName name="KarliyukKdvOrani" hidden="0" function="0" vbProcedure="0">AYARLAR!$B$11</definedName>
    <definedName name="KarliyukKotuSenaryo" hidden="0" function="0" vbProcedure="0">AYARLAR!$B$26</definedName>
    <definedName name="KarliyukKurumlarOrani" hidden="0" function="0" vbProcedure="0">AYARLAR!$B$12</definedName>
    <definedName name="KarliyukNakitKarliikOrani" hidden="0" function="0" vbProcedure="0">AYARLAR!$B$19</definedName>
    <definedName name="KarliyukSgkIsciOrani" hidden="0" function="0" vbProcedure="0">AYARLAR!$B$13</definedName>
    <definedName name="KarliyukSgkIsverenOrani" hidden="0" function="0" vbProcedure="0">AYARLAR!$B$14</definedName>
    <definedName name="KarliyukStopajOrani" hidden="0" function="0" vbProcedure="0">AYARLAR!$B$17</definedName>
    <definedName name="KarliyukTornadoGelir" hidden="0" function="0" vbProcedure="0">AYARLAR!$B$39</definedName>
    <definedName name="KarliyukTornadoKdv" hidden="0" function="0" vbProcedure="0">AYARLAR!$B$27</definedName>
    <definedName name="KarliyukTornadoKurumlar" hidden="0" function="0" vbProcedure="0">AYARLAR!$B$28</definedName>
    <definedName name="KarliyukTornadoSgk" hidden="0" function="0" vbProcedure="0">AYARLAR!$B$29</definedName>
    <definedName name="KarliyukUstOran" hidden="0" function="0" vbProcedure="0">AYARLAR!$B$20</definedName>
    <definedName name="KarsilikAyBasiKasa" hidden="0" function="0" vbProcedure="0">KARSILIK_MOTORU!$B$16</definedName>
    <definedName name="KarsilikDoluGirisHucre" hidden="0" function="0" vbProcedure="0">KONTROLLER!$B$18</definedName>
    <definedName name="KarsilikDonemGelir" hidden="0" function="0" vbProcedure="0">KARSILIK_MOTORU!$B$6</definedName>
    <definedName name="KarsilikDonemGider" hidden="0" function="0" vbProcedure="0">KARSILIK_MOTORU!$B$7</definedName>
    <definedName name="KarsilikEnEtkiliDegisken" hidden="0" function="0" vbProcedure="0">AYARLAR!$B$35</definedName>
    <definedName name="KarsilikEskikAy" hidden="0" function="0" vbProcedure="0">KARAR!$B$8</definedName>
    <definedName name="KarsilikGelirOrani" hidden="0" function="0" vbProcedure="0">KARSILIK_MOTORU!$B$20</definedName>
    <definedName name="KarsilikIssizlikIsveren" hidden="0" function="0" vbProcedure="0">KARSILIK_MOTORU!$B$12</definedName>
    <definedName name="KarsilikKaliteIyi" hidden="0" function="0" vbProcedure="0">AYARLAR!$B$31</definedName>
    <definedName name="KarsilikKaliteOrta" hidden="0" function="0" vbProcedure="0">AYARLAR!$B$32</definedName>
    <definedName name="KarsilikKaliteSkoru" hidden="0" function="0" vbProcedure="0">KONTROLLER!$B$19</definedName>
    <definedName name="KarsilikKdv" hidden="0" function="0" vbProcedure="0">KARSILIK_MOTORU!$B$9</definedName>
    <definedName name="KarsilikKurumlar" hidden="0" function="0" vbProcedure="0">KARSILIK_MOTORU!$B$10</definedName>
    <definedName name="KarsilikNakitCikis" hidden="0" function="0" vbProcedure="0">KARSILIK_MOTORU!$B$18</definedName>
    <definedName name="KarsilikNakitEsigi" hidden="0" function="0" vbProcedure="0">AYARLAR!$B$22</definedName>
    <definedName name="KarsilikNakitFazla" hidden="0" function="0" vbProcedure="0">KARSILIK_MOTORU!$B$19</definedName>
    <definedName name="KarsilikNakitGiris" hidden="0" function="0" vbProcedure="0">KARSILIK_MOTORU!$B$17</definedName>
    <definedName name="KarsilikNetMaas" hidden="0" function="0" vbProcedure="0">KARSILIK_MOTORU!$B$14</definedName>
    <definedName name="KarsilikP90Oran" hidden="0" function="0" vbProcedure="0">AYARLAR!$B$52</definedName>
    <definedName name="KarsilikSgkIsveren" hidden="0" function="0" vbProcedure="0">KARSILIK_MOTORU!$B$11</definedName>
    <definedName name="KarsilikStopaj" hidden="0" function="0" vbProcedure="0">KARSILIK_MOTORU!$B$13</definedName>
    <definedName name="KarsilikTahminCarpan" hidden="0" function="0" vbProcedure="0">AYARLAR!$B$30</definedName>
    <definedName name="KarsilikTahminOrtalama" hidden="0" function="0" vbProcedure="0">PANO!$B$25</definedName>
    <definedName name="KarsilikTahminStandart" hidden="0" function="0" vbProcedure="0">PANO!$B$26</definedName>
    <definedName name="KarsilikToplam" hidden="0" function="0" vbProcedure="0">KARSILIK_MOTORU!$B$15</definedName>
    <definedName name="KarsilikToplamGirisHucre" hidden="0" function="0" vbProcedure="0">KONTROLLER!$B$17</definedName>
    <definedName name="KarsilikZorunluEsik" hidden="0" function="0" vbProcedure="0">AYARLAR!$B$23</definedName>
    <definedName name="ListeDonemEtiketi" hidden="0" function="0" vbProcedure="0">LISTELER!$A$6:$A$12</definedName>
    <definedName name="modulI1Tahmin" hidden="0" function="0" vbProcedure="0">ANALITIK_MOTOR!$C$12</definedName>
    <definedName name="modulI1TahminYorum" hidden="0" function="0" vbProcedure="0">ANALITIK_MOTOR!$D$12</definedName>
    <definedName name="modulI2YuzdelikP90" hidden="0" function="0" vbProcedure="0">ANALITIK_MOTOR!$C$13</definedName>
    <definedName name="modulI2YuzdelikP90Yorum" hidden="0" function="0" vbProcedure="0">ANALITIK_MOTOR!$D$13</definedName>
    <definedName name="modulO1Anomali" hidden="0" function="0" vbProcedure="0">ANALITIK_MOTOR!$C$8</definedName>
    <definedName name="modulO1AnomaliYorum" hidden="0" function="0" vbProcedure="0">ANALITIK_MOTOR!$D$8</definedName>
    <definedName name="modulO2Tornado" hidden="0" function="0" vbProcedure="0">ANALITIK_MOTOR!$C$9</definedName>
    <definedName name="modulO2Tornado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8KaliteSkor" hidden="0" function="0" vbProcedure="0">ANALITIK_MOTOR!$C$11</definedName>
    <definedName name="modulO8KaliteSkorYorum" hidden="0" function="0" vbProcedure="0">ANALITIK_MOTOR!$D$11</definedName>
    <definedName name="modulT2TrendFark" hidden="0" function="0" vbProcedure="0">ANALITIK_MOTOR!$C$6</definedName>
    <definedName name="modulT2TrendFarkYorum" hidden="0" function="0" vbProcedure="0">ANALITIK_MOTOR!$D$6</definedName>
    <definedName name="modulT4DonemOran" hidden="0" function="0" vbProcedure="0">ANALITIK_MOTOR!$C$7</definedName>
    <definedName name="modulT4DonemOranYorum" hidden="0" function="0" vbProcedure="0">ANALITIK_MOTOR!$D$7</definedName>
    <definedName name="PanelSatir1" hidden="0" function="0" vbProcedure="0">AYARLAR!$B$40</definedName>
    <definedName name="PanelSatir10" hidden="0" function="0" vbProcedure="0">AYARLAR!$B$49</definedName>
    <definedName name="PanelSatir11" hidden="0" function="0" vbProcedure="0">AYARLAR!$B$50</definedName>
    <definedName name="PanelSatir12" hidden="0" function="0" vbProcedure="0">AYARLAR!$B$51</definedName>
    <definedName name="PanelSatir2" hidden="0" function="0" vbProcedure="0">AYARLAR!$B$41</definedName>
    <definedName name="PanelSatir3" hidden="0" function="0" vbProcedure="0">AYARLAR!$B$42</definedName>
    <definedName name="PanelSatir4" hidden="0" function="0" vbProcedure="0">AYARLAR!$B$43</definedName>
    <definedName name="PanelSatir5" hidden="0" function="0" vbProcedure="0">AYARLAR!$B$44</definedName>
    <definedName name="PanelSatir6" hidden="0" function="0" vbProcedure="0">AYARLAR!$B$45</definedName>
    <definedName name="PanelSatir7" hidden="0" function="0" vbProcedure="0">AYARLAR!$B$46</definedName>
    <definedName name="PanelSatir8" hidden="0" function="0" vbProcedure="0">AYARLAR!$B$47</definedName>
    <definedName name="PanelSatir9" hidden="0" function="0" vbProcedure="0">AYARLAR!$B$48</definedName>
    <definedName name="RaporHazirlayan" hidden="0" function="0" vbProcedure="0">AYARLAR!$B$9</definedName>
    <definedName name="RaporTarihi" hidden="0" function="0" vbProcedure="0">AYARLAR!$B$8</definedName>
    <definedName name="_xlnm.Print_Area" localSheetId="19">'RAPOR'!$A$1:$L$26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&quot;₺ &quot;#,##0;[RED]&quot;(₺ &quot;#,##0\);\-"/>
    <numFmt numFmtId="165" formatCode="0.0%;[RED]\(0.0%\);\-"/>
    <numFmt numFmtId="166" formatCode="dd/mm/yyyy"/>
    <numFmt numFmtId="167" formatCode="#,##0 &quot;TL&quot;"/>
    <numFmt numFmtId="168" formatCode="0.0%"/>
    <numFmt numFmtId="169" formatCode="₺#,##0"/>
    <numFmt numFmtId="170" formatCode="0.00&quot;x&quot;"/>
  </numFmts>
  <fonts count="10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color rgb="FF006100"/>
      <sz val="10"/>
    </font>
    <font>
      <name val="Arial"/>
      <family val="2"/>
      <sz val="10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color rgb="FF333333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6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DDEBF7"/>
        <bgColor rgb="FFE2EFDA"/>
      </patternFill>
    </fill>
    <fill>
      <patternFill patternType="solid">
        <fgColor rgb="00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00EEF2F7"/>
        <bgColor rgb="00F2F2F2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 wrapText="1"/>
    </xf>
    <xf numFmtId="0" fontId="19" fillId="5" borderId="0" applyAlignment="1" applyProtection="1" pivotButton="0" quotePrefix="0" xfId="0">
      <alignment horizontal="left" vertical="center"/>
      <protection locked="0" hidden="0"/>
    </xf>
    <xf numFmtId="3" fontId="19" fillId="5" borderId="0" applyAlignment="1" applyProtection="1" pivotButton="0" quotePrefix="0" xfId="0">
      <alignment horizontal="left" vertical="center"/>
      <protection locked="0" hidden="0"/>
    </xf>
    <xf numFmtId="164" fontId="20" fillId="6" borderId="0" applyAlignment="1" pivotButton="0" quotePrefix="0" xfId="0">
      <alignment horizontal="left" vertical="center"/>
    </xf>
    <xf numFmtId="165" fontId="20" fillId="6" borderId="0" applyAlignment="1" pivotButton="0" quotePrefix="0" xfId="0">
      <alignment horizontal="left" vertical="center"/>
    </xf>
    <xf numFmtId="0" fontId="0" fillId="5" borderId="0" applyAlignment="1" applyProtection="1" pivotButton="0" quotePrefix="0" xfId="0">
      <alignment horizontal="general" vertical="bottom"/>
      <protection locked="0" hidden="0"/>
    </xf>
    <xf numFmtId="0" fontId="16" fillId="0" borderId="0" applyAlignment="1" pivotButton="0" quotePrefix="0" xfId="0">
      <alignment horizontal="left" vertical="center"/>
    </xf>
    <xf numFmtId="3" fontId="0" fillId="5" borderId="0" applyAlignment="1" applyProtection="1" pivotButton="0" quotePrefix="0" xfId="0">
      <alignment horizontal="general" vertical="bottom"/>
      <protection locked="0" hidden="0"/>
    </xf>
    <xf numFmtId="0" fontId="22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3" fontId="20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/>
    </xf>
    <xf numFmtId="165" fontId="25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18" fillId="4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32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14" fillId="0" borderId="0" applyAlignment="1" applyProtection="1" pivotButton="0" quotePrefix="0" xfId="0">
      <alignment horizontal="left" vertical="center"/>
      <protection locked="0" hidden="0"/>
    </xf>
    <xf numFmtId="0" fontId="34" fillId="7" borderId="0" applyAlignment="1" pivotButton="0" quotePrefix="0" xfId="0">
      <alignment horizontal="left" vertical="center" wrapText="1"/>
    </xf>
    <xf numFmtId="0" fontId="9" fillId="5" borderId="0" applyAlignment="1" applyProtection="1" pivotButton="0" quotePrefix="0" xfId="0">
      <alignment horizontal="left" vertical="center"/>
      <protection locked="0" hidden="0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6" fontId="10" fillId="0" borderId="0" applyAlignment="1" pivotButton="0" quotePrefix="0" xfId="0">
      <alignment horizontal="left" vertical="center"/>
    </xf>
    <xf numFmtId="166" fontId="9" fillId="5" borderId="0" applyAlignment="1" applyProtection="1" pivotButton="0" quotePrefix="0" xfId="0">
      <alignment horizontal="left" vertical="center"/>
      <protection locked="0" hidden="0"/>
    </xf>
    <xf numFmtId="165" fontId="9" fillId="5" borderId="0" applyAlignment="1" applyProtection="1" pivotButton="0" quotePrefix="0" xfId="0">
      <alignment horizontal="left" vertical="center"/>
      <protection locked="0" hidden="0"/>
    </xf>
    <xf numFmtId="164" fontId="9" fillId="5" borderId="0" applyAlignment="1" applyProtection="1" pivotButton="0" quotePrefix="0" xfId="0">
      <alignment horizontal="left" vertical="center"/>
      <protection locked="0" hidden="0"/>
    </xf>
    <xf numFmtId="3" fontId="9" fillId="5" borderId="0" applyAlignment="1" applyProtection="1" pivotButton="0" quotePrefix="0" xfId="0">
      <alignment horizontal="left" vertical="center"/>
      <protection locked="0" hidden="0"/>
    </xf>
    <xf numFmtId="0" fontId="9" fillId="5" borderId="0" applyAlignment="1" applyProtection="1" pivotButton="0" quotePrefix="0" xfId="0">
      <alignment horizontal="left" vertical="center" wrapText="1"/>
      <protection locked="0" hidden="0"/>
    </xf>
    <xf numFmtId="0" fontId="2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6" fillId="8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8" fillId="0" borderId="0" pivotButton="0" quotePrefix="0" xfId="0"/>
    <xf numFmtId="0" fontId="44" fillId="0" borderId="0" pivotButton="0" quotePrefix="0" xfId="0"/>
    <xf numFmtId="0" fontId="39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44" fillId="9" borderId="0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0" fontId="43" fillId="0" borderId="0" pivotButton="0" quotePrefix="0" xfId="0"/>
    <xf numFmtId="0" fontId="45" fillId="0" borderId="0" pivotButton="0" quotePrefix="0" xfId="0"/>
    <xf numFmtId="0" fontId="46" fillId="8" borderId="0" applyAlignment="1" pivotButton="0" quotePrefix="0" xfId="0">
      <alignment horizontal="center" vertical="center"/>
    </xf>
    <xf numFmtId="0" fontId="47" fillId="0" borderId="0" pivotButton="0" quotePrefix="0" xfId="0"/>
    <xf numFmtId="167" fontId="47" fillId="0" borderId="0" pivotButton="0" quotePrefix="0" xfId="0"/>
    <xf numFmtId="167" fontId="48" fillId="0" borderId="0" pivotButton="0" quotePrefix="0" xfId="0"/>
    <xf numFmtId="168" fontId="47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51" fillId="8" borderId="0" applyAlignment="1" pivotButton="0" quotePrefix="0" xfId="0">
      <alignment horizontal="center" vertical="center"/>
    </xf>
    <xf numFmtId="0" fontId="46" fillId="8" borderId="0" applyAlignment="1" pivotButton="0" quotePrefix="0" xfId="0">
      <alignment horizontal="center"/>
    </xf>
    <xf numFmtId="0" fontId="48" fillId="0" borderId="0" pivotButton="0" quotePrefix="0" xfId="0"/>
    <xf numFmtId="0" fontId="52" fillId="10" borderId="1" pivotButton="0" quotePrefix="0" xfId="0"/>
    <xf numFmtId="0" fontId="53" fillId="0" borderId="0" pivotButton="0" quotePrefix="0" xfId="0"/>
    <xf numFmtId="0" fontId="54" fillId="0" borderId="0" pivotButton="0" quotePrefix="0" xfId="0"/>
    <xf numFmtId="0" fontId="47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 wrapText="1"/>
    </xf>
    <xf numFmtId="0" fontId="19" fillId="5" borderId="0" applyAlignment="1" applyProtection="1" pivotButton="0" quotePrefix="0" xfId="0">
      <alignment horizontal="left" vertical="center"/>
      <protection locked="0" hidden="0"/>
    </xf>
    <xf numFmtId="3" fontId="19" fillId="5" borderId="0" applyAlignment="1" applyProtection="1" pivotButton="0" quotePrefix="0" xfId="0">
      <alignment horizontal="left" vertical="center"/>
      <protection locked="0" hidden="0"/>
    </xf>
    <xf numFmtId="164" fontId="20" fillId="6" borderId="0" applyAlignment="1" pivotButton="0" quotePrefix="0" xfId="0">
      <alignment horizontal="left" vertical="center"/>
    </xf>
    <xf numFmtId="165" fontId="20" fillId="6" borderId="0" applyAlignment="1" pivotButton="0" quotePrefix="0" xfId="0">
      <alignment horizontal="left" vertical="center"/>
    </xf>
    <xf numFmtId="0" fontId="0" fillId="5" borderId="0" applyAlignment="1" applyProtection="1" pivotButton="0" quotePrefix="0" xfId="0">
      <alignment horizontal="general" vertical="bottom"/>
      <protection locked="0" hidden="0"/>
    </xf>
    <xf numFmtId="0" fontId="16" fillId="0" borderId="0" applyAlignment="1" pivotButton="0" quotePrefix="0" xfId="0">
      <alignment horizontal="left" vertical="center"/>
    </xf>
    <xf numFmtId="3" fontId="0" fillId="5" borderId="0" applyAlignment="1" applyProtection="1" pivotButton="0" quotePrefix="0" xfId="0">
      <alignment horizontal="general" vertical="bottom"/>
      <protection locked="0" hidden="0"/>
    </xf>
    <xf numFmtId="0" fontId="22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3" fontId="20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165" fontId="25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18" fillId="4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32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14" fillId="0" borderId="0" applyAlignment="1" applyProtection="1" pivotButton="0" quotePrefix="0" xfId="0">
      <alignment horizontal="left" vertical="center"/>
      <protection locked="0" hidden="0"/>
    </xf>
    <xf numFmtId="0" fontId="34" fillId="7" borderId="0" applyAlignment="1" pivotButton="0" quotePrefix="0" xfId="0">
      <alignment horizontal="left" vertical="center" wrapText="1"/>
    </xf>
    <xf numFmtId="0" fontId="9" fillId="5" borderId="0" applyAlignment="1" applyProtection="1" pivotButton="0" quotePrefix="0" xfId="0">
      <alignment horizontal="left" vertical="center"/>
      <protection locked="0" hidden="0"/>
    </xf>
    <xf numFmtId="0" fontId="10" fillId="0" borderId="0" applyAlignment="1" pivotButton="0" quotePrefix="0" xfId="0">
      <alignment horizontal="left" vertical="center" wrapText="1"/>
    </xf>
    <xf numFmtId="166" fontId="10" fillId="0" borderId="0" applyAlignment="1" pivotButton="0" quotePrefix="0" xfId="0">
      <alignment horizontal="left" vertical="center"/>
    </xf>
    <xf numFmtId="166" fontId="9" fillId="5" borderId="0" applyAlignment="1" applyProtection="1" pivotButton="0" quotePrefix="0" xfId="0">
      <alignment horizontal="left" vertical="center"/>
      <protection locked="0" hidden="0"/>
    </xf>
    <xf numFmtId="165" fontId="9" fillId="5" borderId="0" applyAlignment="1" applyProtection="1" pivotButton="0" quotePrefix="0" xfId="0">
      <alignment horizontal="left" vertical="center"/>
      <protection locked="0" hidden="0"/>
    </xf>
    <xf numFmtId="164" fontId="9" fillId="5" borderId="0" applyAlignment="1" applyProtection="1" pivotButton="0" quotePrefix="0" xfId="0">
      <alignment horizontal="left" vertical="center"/>
      <protection locked="0" hidden="0"/>
    </xf>
    <xf numFmtId="3" fontId="9" fillId="5" borderId="0" applyAlignment="1" applyProtection="1" pivotButton="0" quotePrefix="0" xfId="0">
      <alignment horizontal="left" vertical="center"/>
      <protection locked="0" hidden="0"/>
    </xf>
    <xf numFmtId="0" fontId="9" fillId="5" borderId="0" applyAlignment="1" applyProtection="1" pivotButton="0" quotePrefix="0" xfId="0">
      <alignment horizontal="left" vertical="center" wrapText="1"/>
      <protection locked="0" hidden="0"/>
    </xf>
    <xf numFmtId="0" fontId="35" fillId="0" borderId="0" applyAlignment="1" pivotButton="0" quotePrefix="0" xfId="0">
      <alignment horizontal="left" vertical="center" wrapText="1"/>
    </xf>
    <xf numFmtId="0" fontId="55" fillId="0" borderId="0" pivotButton="0" quotePrefix="0" xfId="0"/>
    <xf numFmtId="0" fontId="56" fillId="0" borderId="1" applyAlignment="1" pivotButton="0" quotePrefix="0" xfId="0">
      <alignment horizontal="center" vertical="center"/>
    </xf>
    <xf numFmtId="0" fontId="46" fillId="11" borderId="0" applyAlignment="1" pivotButton="0" quotePrefix="0" xfId="0">
      <alignment horizontal="center" vertical="center"/>
    </xf>
    <xf numFmtId="0" fontId="37" fillId="0" borderId="0" pivotButton="0" quotePrefix="0" xfId="0"/>
    <xf numFmtId="0" fontId="43" fillId="0" borderId="2" pivotButton="0" quotePrefix="0" xfId="0"/>
    <xf numFmtId="0" fontId="0" fillId="0" borderId="1" pivotButton="0" quotePrefix="0" xfId="0"/>
    <xf numFmtId="0" fontId="57" fillId="12" borderId="1" applyAlignment="1" pivotButton="0" quotePrefix="0" xfId="0">
      <alignment horizontal="center"/>
    </xf>
    <xf numFmtId="0" fontId="43" fillId="0" borderId="3" pivotButton="0" quotePrefix="0" xfId="0"/>
    <xf numFmtId="0" fontId="59" fillId="13" borderId="1" applyAlignment="1" pivotButton="0" quotePrefix="0" xfId="0">
      <alignment horizontal="center"/>
    </xf>
    <xf numFmtId="0" fontId="58" fillId="14" borderId="1" applyAlignment="1" pivotButton="0" quotePrefix="0" xfId="0">
      <alignment horizontal="center"/>
    </xf>
    <xf numFmtId="0" fontId="43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9" fillId="0" borderId="2" pivotButton="0" quotePrefix="0" xfId="0"/>
    <xf numFmtId="0" fontId="60" fillId="0" borderId="3" pivotButton="0" quotePrefix="0" xfId="0"/>
    <xf numFmtId="0" fontId="61" fillId="0" borderId="4" pivotButton="0" quotePrefix="0" xfId="0"/>
    <xf numFmtId="0" fontId="58" fillId="0" borderId="2" pivotButton="0" quotePrefix="0" xfId="0"/>
    <xf numFmtId="0" fontId="53" fillId="0" borderId="3" pivotButton="0" quotePrefix="0" xfId="0"/>
    <xf numFmtId="0" fontId="58" fillId="0" borderId="4" pivotButton="0" quotePrefix="0" xfId="0"/>
    <xf numFmtId="0" fontId="62" fillId="15" borderId="0" applyAlignment="1" pivotButton="0" quotePrefix="0" xfId="0">
      <alignment horizontal="center"/>
    </xf>
    <xf numFmtId="0" fontId="63" fillId="0" borderId="0" pivotButton="0" quotePrefix="0" xfId="0"/>
    <xf numFmtId="0" fontId="62" fillId="16" borderId="0" applyAlignment="1" pivotButton="0" quotePrefix="0" xfId="0">
      <alignment horizontal="center" vertical="center"/>
    </xf>
    <xf numFmtId="0" fontId="63" fillId="0" borderId="1" pivotButton="0" quotePrefix="0" xfId="0"/>
    <xf numFmtId="0" fontId="64" fillId="0" borderId="1" pivotButton="0" quotePrefix="0" xfId="0"/>
    <xf numFmtId="0" fontId="65" fillId="0" borderId="1" pivotButton="0" quotePrefix="0" xfId="0"/>
    <xf numFmtId="0" fontId="66" fillId="17" borderId="1" applyAlignment="1" pivotButton="0" quotePrefix="0" xfId="0">
      <alignment horizontal="center"/>
    </xf>
    <xf numFmtId="0" fontId="62" fillId="8" borderId="0" pivotButton="0" quotePrefix="0" xfId="0"/>
    <xf numFmtId="0" fontId="67" fillId="8" borderId="0" pivotButton="0" quotePrefix="0" xfId="0"/>
    <xf numFmtId="0" fontId="68" fillId="8" borderId="0" pivotButton="0" quotePrefix="0" xfId="0"/>
    <xf numFmtId="0" fontId="0" fillId="8" borderId="0" pivotButton="0" quotePrefix="0" xfId="0"/>
    <xf numFmtId="0" fontId="40" fillId="8" borderId="0" applyAlignment="1" pivotButton="0" quotePrefix="0" xfId="0">
      <alignment horizontal="center"/>
    </xf>
    <xf numFmtId="0" fontId="56" fillId="0" borderId="0" pivotButton="0" quotePrefix="0" xfId="0"/>
    <xf numFmtId="0" fontId="71" fillId="18" borderId="0" pivotButton="0" quotePrefix="0" xfId="0"/>
    <xf numFmtId="0" fontId="0" fillId="18" borderId="0" pivotButton="0" quotePrefix="0" xfId="0"/>
    <xf numFmtId="0" fontId="58" fillId="0" borderId="0" pivotButton="0" quotePrefix="0" xfId="0"/>
    <xf numFmtId="0" fontId="46" fillId="18" borderId="0" pivotButton="0" quotePrefix="0" xfId="0"/>
    <xf numFmtId="0" fontId="72" fillId="18" borderId="0" applyAlignment="1" pivotButton="0" quotePrefix="0" xfId="0">
      <alignment wrapText="1"/>
    </xf>
    <xf numFmtId="0" fontId="69" fillId="0" borderId="0" pivotButton="0" quotePrefix="0" xfId="0"/>
    <xf numFmtId="0" fontId="70" fillId="0" borderId="0" pivotButton="0" quotePrefix="0" xfId="0"/>
    <xf numFmtId="0" fontId="58" fillId="14" borderId="5" applyAlignment="1" pivotButton="0" quotePrefix="0" xfId="0">
      <alignment horizontal="center" vertical="center"/>
    </xf>
    <xf numFmtId="0" fontId="73" fillId="19" borderId="0" applyAlignment="1" pivotButton="0" quotePrefix="0" xfId="0">
      <alignment horizontal="center" vertical="center"/>
    </xf>
    <xf numFmtId="0" fontId="37" fillId="20" borderId="1" applyAlignment="1" pivotButton="0" quotePrefix="0" xfId="0">
      <alignment vertical="center"/>
    </xf>
    <xf numFmtId="0" fontId="57" fillId="12" borderId="0" applyAlignment="1" pivotButton="0" quotePrefix="0" xfId="0">
      <alignment horizontal="center" vertical="center"/>
    </xf>
    <xf numFmtId="0" fontId="58" fillId="14" borderId="0" applyAlignment="1" pivotButton="0" quotePrefix="0" xfId="0">
      <alignment horizontal="center" vertical="center"/>
    </xf>
    <xf numFmtId="0" fontId="74" fillId="8" borderId="0" applyAlignment="1" pivotButton="0" quotePrefix="0" xfId="0">
      <alignment horizontal="center" vertical="center"/>
    </xf>
    <xf numFmtId="0" fontId="75" fillId="20" borderId="1" applyAlignment="1" pivotButton="0" quotePrefix="0" xfId="0">
      <alignment horizontal="center"/>
    </xf>
    <xf numFmtId="0" fontId="76" fillId="20" borderId="1" applyAlignment="1" pivotButton="0" quotePrefix="0" xfId="0">
      <alignment horizontal="center"/>
    </xf>
    <xf numFmtId="0" fontId="75" fillId="20" borderId="1" pivotButton="0" quotePrefix="0" xfId="0"/>
    <xf numFmtId="169" fontId="76" fillId="20" borderId="1" applyAlignment="1" pivotButton="0" quotePrefix="0" xfId="0">
      <alignment horizontal="right"/>
    </xf>
    <xf numFmtId="9" fontId="75" fillId="20" borderId="1" applyAlignment="1" pivotButton="0" quotePrefix="0" xfId="0">
      <alignment horizontal="center"/>
    </xf>
    <xf numFmtId="169" fontId="75" fillId="20" borderId="1" applyAlignment="1" pivotButton="0" quotePrefix="0" xfId="0">
      <alignment horizontal="right"/>
    </xf>
    <xf numFmtId="0" fontId="58" fillId="20" borderId="1" applyAlignment="1" pivotButton="0" quotePrefix="0" xfId="0">
      <alignment horizontal="center"/>
    </xf>
    <xf numFmtId="0" fontId="75" fillId="19" borderId="1" applyAlignment="1" pivotButton="0" quotePrefix="0" xfId="0">
      <alignment horizontal="center"/>
    </xf>
    <xf numFmtId="0" fontId="76" fillId="19" borderId="1" applyAlignment="1" pivotButton="0" quotePrefix="0" xfId="0">
      <alignment horizontal="center"/>
    </xf>
    <xf numFmtId="0" fontId="75" fillId="19" borderId="1" pivotButton="0" quotePrefix="0" xfId="0"/>
    <xf numFmtId="169" fontId="76" fillId="19" borderId="1" applyAlignment="1" pivotButton="0" quotePrefix="0" xfId="0">
      <alignment horizontal="right"/>
    </xf>
    <xf numFmtId="9" fontId="75" fillId="19" borderId="1" applyAlignment="1" pivotButton="0" quotePrefix="0" xfId="0">
      <alignment horizontal="center"/>
    </xf>
    <xf numFmtId="169" fontId="75" fillId="19" borderId="1" applyAlignment="1" pivotButton="0" quotePrefix="0" xfId="0">
      <alignment horizontal="right"/>
    </xf>
    <xf numFmtId="0" fontId="63" fillId="19" borderId="1" applyAlignment="1" pivotButton="0" quotePrefix="0" xfId="0">
      <alignment horizontal="center"/>
    </xf>
    <xf numFmtId="0" fontId="58" fillId="19" borderId="1" applyAlignment="1" pivotButton="0" quotePrefix="0" xfId="0">
      <alignment horizontal="center"/>
    </xf>
    <xf numFmtId="0" fontId="59" fillId="19" borderId="1" applyAlignment="1" pivotButton="0" quotePrefix="0" xfId="0">
      <alignment horizontal="center"/>
    </xf>
    <xf numFmtId="0" fontId="46" fillId="8" borderId="0" applyAlignment="1" pivotButton="0" quotePrefix="0" xfId="0">
      <alignment vertical="center" indent="1"/>
    </xf>
    <xf numFmtId="169" fontId="77" fillId="8" borderId="0" applyAlignment="1" pivotButton="0" quotePrefix="0" xfId="0">
      <alignment horizontal="right" vertical="center"/>
    </xf>
    <xf numFmtId="0" fontId="78" fillId="0" borderId="6" pivotButton="0" quotePrefix="0" xfId="0"/>
    <xf numFmtId="0" fontId="79" fillId="0" borderId="6" pivotButton="0" quotePrefix="0" xfId="0"/>
    <xf numFmtId="0" fontId="80" fillId="0" borderId="6" pivotButton="0" quotePrefix="0" xfId="0"/>
    <xf numFmtId="0" fontId="81" fillId="21" borderId="1" applyAlignment="1" pivotButton="0" quotePrefix="0" xfId="0">
      <alignment horizontal="center" vertical="center"/>
    </xf>
    <xf numFmtId="0" fontId="85" fillId="12" borderId="1" applyAlignment="1" pivotButton="0" quotePrefix="0" xfId="0">
      <alignment horizontal="center" vertical="center"/>
    </xf>
    <xf numFmtId="0" fontId="82" fillId="0" borderId="1" pivotButton="0" quotePrefix="0" xfId="0"/>
    <xf numFmtId="0" fontId="81" fillId="0" borderId="1" applyAlignment="1" pivotButton="0" quotePrefix="0" xfId="0">
      <alignment horizontal="right"/>
    </xf>
    <xf numFmtId="0" fontId="85" fillId="0" borderId="1" applyAlignment="1" pivotButton="0" quotePrefix="0" xfId="0">
      <alignment horizontal="right"/>
    </xf>
    <xf numFmtId="0" fontId="56" fillId="0" borderId="1" applyAlignment="1" pivotButton="0" quotePrefix="0" xfId="0">
      <alignment horizontal="right"/>
    </xf>
    <xf numFmtId="0" fontId="83" fillId="0" borderId="1" applyAlignment="1" pivotButton="0" quotePrefix="0" xfId="0">
      <alignment horizontal="right"/>
    </xf>
    <xf numFmtId="0" fontId="84" fillId="13" borderId="7" applyAlignment="1" pivotButton="0" quotePrefix="0" xfId="0">
      <alignment horizontal="center" vertical="center"/>
    </xf>
    <xf numFmtId="0" fontId="86" fillId="12" borderId="8" applyAlignment="1" pivotButton="0" quotePrefix="0" xfId="0">
      <alignment horizontal="center" vertical="center"/>
    </xf>
    <xf numFmtId="0" fontId="82" fillId="0" borderId="0" pivotButton="0" quotePrefix="0" xfId="0"/>
    <xf numFmtId="0" fontId="87" fillId="22" borderId="0" applyAlignment="1" pivotButton="0" quotePrefix="0" xfId="0">
      <alignment horizontal="left" vertical="center" wrapText="1"/>
    </xf>
    <xf numFmtId="0" fontId="88" fillId="23" borderId="0" applyAlignment="1" pivotButton="0" quotePrefix="0" xfId="0">
      <alignment vertical="center" wrapText="1"/>
    </xf>
    <xf numFmtId="0" fontId="89" fillId="24" borderId="0" applyAlignment="1" pivotButton="0" quotePrefix="0" xfId="0">
      <alignment vertical="top" wrapText="1"/>
    </xf>
    <xf numFmtId="0" fontId="90" fillId="0" borderId="0" applyAlignment="1" pivotButton="0" quotePrefix="0" xfId="0">
      <alignment vertical="top" wrapText="1"/>
    </xf>
    <xf numFmtId="0" fontId="91" fillId="22" borderId="0" applyAlignment="1" pivotButton="0" quotePrefix="0" xfId="0">
      <alignment horizontal="left" vertical="center" wrapText="1"/>
    </xf>
    <xf numFmtId="0" fontId="87" fillId="25" borderId="0" applyAlignment="1" pivotButton="0" quotePrefix="0" xfId="0">
      <alignment horizontal="left" vertical="center" wrapText="1"/>
    </xf>
    <xf numFmtId="0" fontId="88" fillId="25" borderId="0" applyAlignment="1" pivotButton="0" quotePrefix="0" xfId="0">
      <alignment vertical="center" wrapText="1"/>
    </xf>
    <xf numFmtId="0" fontId="92" fillId="26" borderId="0" applyAlignment="1" pivotButton="0" quotePrefix="0" xfId="0">
      <alignment vertical="top" wrapText="1"/>
    </xf>
    <xf numFmtId="0" fontId="87" fillId="27" borderId="0" applyAlignment="1" pivotButton="0" quotePrefix="0" xfId="0">
      <alignment horizontal="left" vertical="center" wrapText="1"/>
    </xf>
    <xf numFmtId="0" fontId="88" fillId="27" borderId="0" applyAlignment="1" pivotButton="0" quotePrefix="0" xfId="0">
      <alignment vertical="center" wrapText="1"/>
    </xf>
    <xf numFmtId="0" fontId="93" fillId="28" borderId="0" applyAlignment="1" pivotButton="0" quotePrefix="0" xfId="0">
      <alignment vertical="top" wrapText="1"/>
    </xf>
    <xf numFmtId="0" fontId="94" fillId="26" borderId="0" applyAlignment="1" pivotButton="0" quotePrefix="0" xfId="0">
      <alignment vertical="top" wrapText="1"/>
    </xf>
    <xf numFmtId="0" fontId="95" fillId="0" borderId="0" applyAlignment="1" pivotButton="0" quotePrefix="0" xfId="0">
      <alignment vertical="top" wrapText="1"/>
    </xf>
    <xf numFmtId="0" fontId="87" fillId="29" borderId="0" applyAlignment="1" pivotButton="0" quotePrefix="0" xfId="0">
      <alignment horizontal="left" vertical="center"/>
    </xf>
    <xf numFmtId="0" fontId="88" fillId="29" borderId="0" applyAlignment="1" pivotButton="0" quotePrefix="0" xfId="0">
      <alignment vertical="center" wrapText="1"/>
    </xf>
    <xf numFmtId="0" fontId="96" fillId="30" borderId="0" applyAlignment="1" pivotButton="0" quotePrefix="0" xfId="0">
      <alignment vertical="top" wrapText="1"/>
    </xf>
    <xf numFmtId="0" fontId="97" fillId="31" borderId="0" applyAlignment="1" pivotButton="0" quotePrefix="0" xfId="0">
      <alignment vertical="top" wrapText="1"/>
    </xf>
    <xf numFmtId="0" fontId="87" fillId="32" borderId="0" applyAlignment="1" pivotButton="0" quotePrefix="0" xfId="0">
      <alignment horizontal="left" vertical="center"/>
    </xf>
    <xf numFmtId="0" fontId="88" fillId="32" borderId="0" applyAlignment="1" pivotButton="0" quotePrefix="0" xfId="0">
      <alignment vertical="center" wrapText="1"/>
    </xf>
    <xf numFmtId="0" fontId="98" fillId="31" borderId="0" applyAlignment="1" pivotButton="0" quotePrefix="0" xfId="0">
      <alignment vertical="top" wrapText="1"/>
    </xf>
    <xf numFmtId="0" fontId="87" fillId="33" borderId="0" applyAlignment="1" pivotButton="0" quotePrefix="0" xfId="0">
      <alignment horizontal="left" vertical="center"/>
    </xf>
    <xf numFmtId="0" fontId="88" fillId="33" borderId="0" applyAlignment="1" pivotButton="0" quotePrefix="0" xfId="0">
      <alignment vertical="center" wrapText="1"/>
    </xf>
    <xf numFmtId="0" fontId="99" fillId="34" borderId="0" applyAlignment="1" pivotButton="0" quotePrefix="0" xfId="0">
      <alignment vertical="top" wrapText="1"/>
    </xf>
    <xf numFmtId="0" fontId="100" fillId="0" borderId="0" applyAlignment="1" pivotButton="0" quotePrefix="0" xfId="0">
      <alignment vertical="top" wrapText="1"/>
    </xf>
    <xf numFmtId="169" fontId="39" fillId="0" borderId="2" pivotButton="0" quotePrefix="0" xfId="0"/>
    <xf numFmtId="169" fontId="60" fillId="0" borderId="3" pivotButton="0" quotePrefix="0" xfId="0"/>
    <xf numFmtId="169" fontId="63" fillId="0" borderId="1" pivotButton="0" quotePrefix="0" xfId="0"/>
    <xf numFmtId="169" fontId="64" fillId="0" borderId="1" pivotButton="0" quotePrefix="0" xfId="0"/>
    <xf numFmtId="169" fontId="67" fillId="8" borderId="0" pivotButton="0" quotePrefix="0" xfId="0"/>
    <xf numFmtId="169" fontId="68" fillId="8" borderId="0" pivotButton="0" quotePrefix="0" xfId="0"/>
    <xf numFmtId="169" fontId="86" fillId="10" borderId="1" applyAlignment="1" pivotButton="0" quotePrefix="0" xfId="0">
      <alignment horizontal="right"/>
    </xf>
    <xf numFmtId="169" fontId="56" fillId="0" borderId="1" applyAlignment="1" pivotButton="0" quotePrefix="0" xfId="0">
      <alignment horizontal="right"/>
    </xf>
    <xf numFmtId="169" fontId="83" fillId="0" borderId="1" applyAlignment="1" pivotButton="0" quotePrefix="0" xfId="0">
      <alignment horizontal="right"/>
    </xf>
    <xf numFmtId="170" fontId="83" fillId="0" borderId="1" applyAlignment="1" pivotButton="0" quotePrefix="0" xfId="0">
      <alignment horizontal="right"/>
    </xf>
    <xf numFmtId="0" fontId="101" fillId="35" borderId="0" applyAlignment="1" pivotButton="0" quotePrefix="0" xfId="0">
      <alignment horizontal="left" vertical="center"/>
    </xf>
    <xf numFmtId="0" fontId="0" fillId="35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102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ill>
        <patternFill patternType="solid">
          <bgColor rgb="FF000000"/>
        </patternFill>
      </fill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B3B3B3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B08948"/>
      <rgbColor rgb="FFFF6600"/>
      <rgbColor rgb="FF725990"/>
      <rgbColor rgb="FF8AA64F"/>
      <rgbColor rgb="FF0F2742"/>
      <rgbColor rgb="FF4299B0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Dönem Toplam Geliri | Neden önemli: Karşılık yeterlilik kararının girdisi | Doğru kullanım: Elle değiştirilmez, giriş sayfalarından gelir | Yanlışsa: Karar motoru yanlış çalışır.</t>
      </text>
    </comment>
    <comment ref="B7" authorId="0" shapeId="0">
      <text>
        <t>Tanım: Dönem Toplam Gideri | Neden önemli: Karşılık yeterlilik kararının girdisi | Doğru kullanım: Elle değiştirilmez, giriş sayfalarından gelir | Yanlışsa: Karar motoru yanlış çalışır.</t>
      </text>
    </comment>
    <comment ref="B8" authorId="0" shapeId="0">
      <text>
        <t>Tanım: Tahsil Edilen KDV (Gelir Üzerinden) | Neden önemli: Karşılık yeterlilik kararının girdisi | Doğru kullanım: Elle değiştirilmez, giriş sayfalarından gelir | Yanlışsa: Karar motoru yanlış çalışır.</t>
      </text>
    </comment>
    <comment ref="B9" authorId="0" shapeId="0">
      <text>
        <t>Tanım: KDV Karşılığı (Ödenecek Net KDV) | Neden önemli: Karşılık yeterlilik kararının girdisi | Doğru kullanım: Elle değiştirilmez, giriş sayfalarından gelir | Yanlışsa: Karar motoru yanlış çalışır.</t>
      </text>
    </comment>
    <comment ref="B10" authorId="0" shapeId="0">
      <text>
        <t>Tanım: Kurumlar Vergisi Karşılığı | Neden önemli: Karşılık yeterlilik kararının girdisi | Doğru kullanım: Elle değiştirilmez, giriş sayfalarından gelir | Yanlışsa: Karar motoru yanlış çalışır.</t>
      </text>
    </comment>
    <comment ref="B11" authorId="0" shapeId="0">
      <text>
        <t>Tanım: SGK İşveren Karşılığı | Neden önemli: Karşılık yeterlilik kararının girdisi | Doğru kullanım: Elle değiştirilmez, giriş sayfalarından gelir | Yanlışsa: Karar motoru yanlış çalışır.</t>
      </text>
    </comment>
    <comment ref="B12" authorId="0" shapeId="0">
      <text>
        <t>Tanım: İşsizlik İşveren Karşılığı | Neden önemli: Karşılık yeterlilik kararının girdisi | Doğru kullanım: Elle değiştirilmez, giriş sayfalarından gelir | Yanlışsa: Karar motoru yanlış çalışır.</t>
      </text>
    </comment>
    <comment ref="B13" authorId="0" shapeId="0">
      <text>
        <t>Tanım: Bordro Stopaj Karşılığı | Neden önemli: Karşılık yeterlilik kararının girdisi | Doğru kullanım: Elle değiştirilmez, giriş sayfalarından gelir | Yanlışsa: Karar motoru yanlış çalışır.</t>
      </text>
    </comment>
    <comment ref="B14" authorId="0" shapeId="0">
      <text>
        <t>Tanım: Net Maaş Karşılığı | Neden önemli: Karşılık yeterlilik kararının girdisi | Doğru kullanım: Elle değiştirilmez, giriş sayfalarından gelir | Yanlışsa: Karar motoru yanlış çalışır.</t>
      </text>
    </comment>
    <comment ref="B15" authorId="0" shapeId="0">
      <text>
        <t>Tanım: Toplam Karşılık Yükü | Neden önemli: Karşılık yeterlilik kararının girdisi | Doğru kullanım: Elle değiştirilmez, giriş sayfalarından gelir | Yanlışsa: Karar motoru yanlış çalışır.</t>
      </text>
    </comment>
    <comment ref="B16" authorId="0" shapeId="0">
      <text>
        <t>Tanım: Ay Başı Kasa | Neden önemli: Karşılık yeterlilik kararının girdisi | Doğru kullanım: Elle değiştirilmez, giriş sayfalarından gelir | Yanlışsa: Karar motoru yanlış çalışır.</t>
      </text>
    </comment>
    <comment ref="B17" authorId="0" shapeId="0">
      <text>
        <t>Tanım: Dönem Nakit Girişi (Tahsilat) | Neden önemli: Karşılık yeterlilik kararının girdisi | Doğru kullanım: Elle değiştirilmez, giriş sayfalarından gelir | Yanlışsa: Karar motoru yanlış çalışır.</t>
      </text>
    </comment>
    <comment ref="B18" authorId="0" shapeId="0">
      <text>
        <t>Tanım: Dönem Nakit Çıkışı (Gider) | Neden önemli: Karşılık yeterlilik kararının girdisi | Doğru kullanım: Elle değiştirilmez, giriş sayfalarından gelir | Yanlışsa: Karar motoru yanlış çalışır.</t>
      </text>
    </comment>
    <comment ref="B19" authorId="0" shapeId="0">
      <text>
        <t>Tanım: Karşılık Sonrası Nakit Fazlası | Neden önemli: Karşılık yeterlilik kararının girdisi | Doğru kullanım: Elle değiştirilmez, giriş sayfalarından gelir | Yanlışsa: Karar motoru yanlış çalışır.</t>
      </text>
    </comment>
    <comment ref="B20" authorId="0" shapeId="0">
      <text>
        <t>Tanım: Karşılık / Gelir Oranı | Neden önemli: Karşılık yeterlilik kararının girdisi | Doğru kullanım: Elle değiştirilmez, giriş sayfalarından gelir | Yanlışsa: Karar motoru yanlış çalışır.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gelir satırı var mı? | Neden önemli: Giriş kalitesini ölçer | Doğru kullanım: Formüldür, değiştirilmez | Yanlışsa: Kırmızı = düzeltin</t>
      </text>
    </comment>
    <comment ref="B7" authorId="0" shapeId="0">
      <text>
        <t>Tanım: Boş gider satırı var mı? | Neden önemli: Giriş kalitesini ölçer | Doğru kullanım: Formüldür, değiştirilmez | Yanlışsa: Kırmızı = düzeltin</t>
      </text>
    </comment>
    <comment ref="B8" authorId="0" shapeId="0">
      <text>
        <t>Tanım: Negatif gelir var mı? | Neden önemli: Giriş kalitesini ölçer | Doğru kullanım: Formüldür, değiştirilmez | Yanlışsa: Kırmızı = düzeltin</t>
      </text>
    </comment>
    <comment ref="B9" authorId="0" shapeId="0">
      <text>
        <t>Tanım: KDV yüklenimi &gt; KDV tutarı olan ay var mı? | Neden önemli: Giriş kalitesini ölçer | Doğru kullanım: Formüldür, değiştirilmez | Yanlışsa: Kırmızı = düzeltin</t>
      </text>
    </comment>
    <comment ref="B10" authorId="0" shapeId="0">
      <text>
        <t>Tanım: Boş brüt maaş satırı var mı? | Neden önemli: Giriş kalitesini ölçer | Doğru kullanım: Formüldür, değiştirilmez | Yanlışsa: Kırmızı = düzeltin</t>
      </text>
    </comment>
    <comment ref="B11" authorId="0" shapeId="0">
      <text>
        <t>Tanım: Negatif matrah farkı toplamı var mı? | Neden önemli: Giriş kalitesini ölçer | Doğru kullanım: Formüldür, değiştirilmez | Yanlışsa: Kırmızı = düzeltin</t>
      </text>
    </comment>
    <comment ref="B12" authorId="0" shapeId="0">
      <text>
        <t>Tanım: Karşılık / Gelir oranı eşiği aşıyor mu? | Neden önemli: Giriş kalitesini ölçer | Doğru kullanım: Formüldür, değiştirilmez | Yanlışsa: Kırmızı = düzeltin</t>
      </text>
    </comment>
    <comment ref="B13" authorId="0" shapeId="0">
      <text>
        <t>Tanım: Kümülatif nakit eşik altına düşüyor mu? | Neden önemli: Giriş kalitesini ölçer | Doğru kullanım: Formüldür, değiştirilmez | Yanlışsa: Kırmızı = düzeltin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7" authorId="0" shapeId="0">
      <text>
        <t>Tanım: Firma Ünvanı | Neden önemli: Tüm hesaplamaları etkiler | Doğru kullanım: Güncel değeri girin | Örnek: Örnek Firma A.Ş. | Yanlışsa: Hesaplar yanlış çıkar</t>
      </text>
    </comment>
    <comment ref="B8" authorId="0" shapeId="0">
      <text>
        <t>Tanım: Rapor Tarihi | Neden önemli: Tüm hesaplamaları etkiler | Doğru kullanım: Güncel değeri girin | Örnek: 2026-08-08 | Yanlışsa: Hesaplar yanlış çıkar</t>
      </text>
    </comment>
    <comment ref="B9" authorId="0" shapeId="0">
      <text>
        <t>Tanım: Raporu Hazırlayan | Neden önemli: Tüm hesaplamaları etkiler | Doğru kullanım: Güncel değeri girin | Örnek: Finans Direktörü | Yanlışsa: Hesaplar yanlış çıkar</t>
      </text>
    </comment>
    <comment ref="B10" authorId="0" shapeId="0">
      <text>
        <t>Tanım: Dosya Sürümü | Neden önemli: Tüm hesaplamaları etkiler | Doğru kullanım: Güncel değeri girin | Örnek: 1.0.0 | Yanlışsa: Hesaplar yanlış çıkar</t>
      </text>
    </comment>
    <comment ref="B11" authorId="0" shapeId="0">
      <text>
        <t>Tanım: KDV Oranı (Satış) | Neden önemli: Tüm hesaplamaları etkiler | Doğru kullanım: Güncel değeri girin | Örnek: 0.20 | Yanlışsa: Hesaplar yanlış çıkar</t>
      </text>
    </comment>
    <comment ref="B12" authorId="0" shapeId="0">
      <text>
        <t>Tanım: Kurumlar Vergisi Oranı | Neden önemli: Tüm hesaplamaları etkiler | Doğru kullanım: Güncel değeri girin | Örnek: 0.25 | Yanlışsa: Hesaplar yanlış çıkar</t>
      </text>
    </comment>
    <comment ref="B13" authorId="0" shapeId="0">
      <text>
        <t>Tanım: SGK İşçi Oranı | Neden önemli: Tüm hesaplamaları etkiler | Doğru kullanım: Güncel değeri girin | Örnek: 0.14 | Yanlışsa: Hesaplar yanlış çıkar</t>
      </text>
    </comment>
    <comment ref="B14" authorId="0" shapeId="0">
      <text>
        <t>Tanım: SGK İşveren Oranı | Neden önemli: Tüm hesaplamaları etkiler | Doğru kullanım: Güncel değeri girin | Örnek: 0.205 | Yanlışsa: Hesaplar yanlış çıkar</t>
      </text>
    </comment>
    <comment ref="B15" authorId="0" shapeId="0">
      <text>
        <t>Tanım: İşsizlik İşçi Oranı | Neden önemli: Tüm hesaplamaları etkiler | Doğru kullanım: Güncel değeri girin | Örnek: 0.01 | Yanlışsa: Hesaplar yanlış çıkar</t>
      </text>
    </comment>
    <comment ref="B16" authorId="0" shapeId="0">
      <text>
        <t>Tanım: İşsizlik İşveren Oranı | Neden önemli: Tüm hesaplamaları etkiler | Doğru kullanım: Güncel değeri girin | Örnek: 0.02 | Yanlışsa: Hesaplar yanlış çıkar</t>
      </text>
    </comment>
    <comment ref="B17" authorId="0" shapeId="0">
      <text>
        <t>Tanım: Gelir Vergisi Stopaj Oranı | Neden önemli: Tüm hesaplamaları etkiler | Doğru kullanım: Güncel değeri girin | Örnek: 0.15 | Yanlışsa: Hesaplar yanlış çıkar</t>
      </text>
    </comment>
    <comment ref="B18" authorId="0" shapeId="0">
      <text>
        <t>Tanım: Damga Oranı | Neden önemli: Tüm hesaplamaları etkiler | Doğru kullanım: Güncel değeri girin | Örnek: 0.00759 | Yanlışsa: Hesaplar yanlış çıkar</t>
      </text>
    </comment>
    <comment ref="B19" authorId="0" shapeId="0">
      <text>
        <t>Tanım: Nakit Karşılık Oranı | Neden önemli: Tüm hesaplamaları etkiler | Doğru kullanım: Güncel değeri girin | Örnek: 0.25 | Yanlışsa: Hesaplar yanlış çıkar</t>
      </text>
    </comment>
    <comment ref="B20" authorId="0" shapeId="0">
      <text>
        <t>Tanım: Karşılık Üst Oran (Risk Eşiği) | Neden önemli: Tüm hesaplamaları etkiler | Doğru kullanım: Güncel değeri girin | Örnek: 0.40 | Yanlışsa: Hesaplar yanlış çıkar</t>
      </text>
    </comment>
    <comment ref="B21" authorId="0" shapeId="0">
      <text>
        <t>Tanım: Ay Başı Kasa (₺) | Neden önemli: Tüm hesaplamaları etkiler | Doğru kullanım: Güncel değeri girin | Örnek: 500000 | Yanlışsa: Hesaplar yanlış çıkar</t>
      </text>
    </comment>
    <comment ref="B22" authorId="0" shapeId="0">
      <text>
        <t>Tanım: Nakit Eşiği (₺) | Neden önemli: Tüm hesaplamaları etkiler | Doğru kullanım: Güncel değeri girin | Örnek: 100000 | Yanlışsa: Hesaplar yanlış çıkar</t>
      </text>
    </comment>
    <comment ref="B23" authorId="0" shapeId="0">
      <text>
        <t>Tanım: Zorunlu Nakit Eşiği (₺) | Neden önemli: Tüm hesaplamaları etkiler | Doğru kullanım: Güncel değeri girin | Örnek: 150000 | Yanlışsa: Hesaplar yanlış çıkar</t>
      </text>
    </comment>
    <comment ref="B24" authorId="0" shapeId="0">
      <text>
        <t>Tanım: İyimser Senaryo Çarpanı | Neden önemli: Tüm hesaplamaları etkiler | Doğru kullanım: Güncel değeri girin | Örnek: 0.90 | Yanlışsa: Hesaplar yanlış çıkar</t>
      </text>
    </comment>
    <comment ref="B25" authorId="0" shapeId="0">
      <text>
        <t>Tanım: Baz Senaryo Çarpanı | Neden önemli: Tüm hesaplamaları etkiler | Doğru kullanım: Güncel değeri girin | Örnek: 1.00 | Yanlışsa: Hesaplar yanlış çıkar</t>
      </text>
    </comment>
    <comment ref="B26" authorId="0" shapeId="0">
      <text>
        <t>Tanım: Kötümser Senaryo Çarpanı | Neden önemli: Tüm hesaplamaları etkiler | Doğru kullanım: Güncel değeri girin | Örnek: 1.20 | Yanlışsa: Hesaplar yanlış çıkar</t>
      </text>
    </comment>
    <comment ref="B27" authorId="0" shapeId="0">
      <text>
        <t>Tanım: Tornado KDV Etkisi | Neden önemli: Tüm hesaplamaları etkiler | Doğru kullanım: Güncel değeri girin | Örnek: 0.01 | Yanlışsa: Hesaplar yanlış çıkar</t>
      </text>
    </comment>
    <comment ref="B28" authorId="0" shapeId="0">
      <text>
        <t>Tanım: Tornado KV Etkisi | Neden önemli: Tüm hesaplamaları etkiler | Doğru kullanım: Güncel değeri girin | Örnek: 0.01 | Yanlışsa: Hesaplar yanlış çıkar</t>
      </text>
    </comment>
    <comment ref="B29" authorId="0" shapeId="0">
      <text>
        <t>Tanım: Tornado SGK Etkisi | Neden önemli: Tüm hesaplamaları etkiler | Doğru kullanım: Güncel değeri girin | Örnek: 0.01 | Yanlışsa: Hesaplar yanlış çıkar</t>
      </text>
    </comment>
    <comment ref="B30" authorId="0" shapeId="0">
      <text>
        <t>Tanım: Tahmin Çarpanı | Neden önemli: Tüm hesaplamaları etkiler | Doğru kullanım: Güncel değeri girin | Örnek: 1.645 | Yanlışsa: Hesaplar yanlış çıkar</t>
      </text>
    </comment>
    <comment ref="B31" authorId="0" shapeId="0">
      <text>
        <t>Tanım: Kalite Skoru İyi Eşiği | Neden önemli: Tüm hesaplamaları etkiler | Doğru kullanım: Güncel değeri girin | Örnek: 90 | Yanlışsa: Hesaplar yanlış çıkar</t>
      </text>
    </comment>
    <comment ref="B32" authorId="0" shapeId="0">
      <text>
        <t>Tanım: Kalite Skoru Orta Eşiği | Neden önemli: Tüm hesaplamaları etkiler | Doğru kullanım: Güncel değeri girin | Örnek: 70 | Yanlışsa: Hesaplar yanlış çıkar</t>
      </text>
    </comment>
    <comment ref="B33" authorId="0" shapeId="0">
      <text>
        <t>Tanım: Toplam Giriş Hücresi Sayısı | Neden önemli: Tüm hesaplamaları etkiler | Doğru kullanım: Güncel değeri girin | Örnek: 1300 | Yanlışsa: Hesaplar yanlış çıkar</t>
      </text>
    </comment>
    <comment ref="B34" authorId="0" shapeId="0">
      <text>
        <t>Tanım: Dolu Giriş Hücresi Sayısı | Neden önemli: Tüm hesaplamaları etkiler | Doğru kullanım: Güncel değeri girin | Örnek: 1300 | Yanlışsa: Hesaplar yanlış çıkar</t>
      </text>
    </comment>
    <comment ref="B35" authorId="0" shapeId="0">
      <text>
        <t>Tanım: En Etkili Değişken | Neden önemli: Tüm hesaplamaları etkiler | Doğru kullanım: Güncel değeri girin | Örnek: Gelir | Yanlışsa: Hesaplar yanlış çıkar</t>
      </text>
    </comment>
    <comment ref="B36" authorId="0" shapeId="0">
      <text>
        <t>Tanım: Aksiyon 1 Açıklaması | Neden önemli: Tüm hesaplamaları etkiler | Doğru kullanım: Güncel değeri girin | Örnek: KDV yüklenim belgelerini aylık toplayın; yüklenim artışı ödenecek KDV'yi azaltır. | Yanlışsa: Hesaplar yanlış çıkar</t>
      </text>
    </comment>
    <comment ref="B37" authorId="0" shapeId="0">
      <text>
        <t>Tanım: Aksiyon 2 Açıklaması | Neden önemli: Tüm hesaplamaları etkiler | Doğru kullanım: Güncel değeri girin | Örnek: Karşılık/gelir oranı eşiği aşıyorsa ödeme planını revize edin. | Yanlışsa: Hesaplar yanlış çıkar</t>
      </text>
    </comment>
    <comment ref="B38" authorId="0" shapeId="0">
      <text>
        <t>Tanım: Aksiyon 3 Açıklaması | Neden önemli: Tüm hesaplamaları etkiler | Doğru kullanım: Güncel değeri girin | Örnek: Kümülatif nakit eşik altındaysa kısa vadeli kredi veya tahsilat hızlandırın. | Yanlışsa: Hesaplar yanlış çıkar</t>
      </text>
    </comment>
    <comment ref="B39" authorId="0" shapeId="0">
      <text>
        <t>Tanım: Tornado Gelir Etkisi (0,10) | Neden önemli: Tüm hesaplamaları etkiler | Doğru kullanım: Güncel değeri girin | Örnek: 0.10 | Yanlışsa: Hesaplar yanlış çıkar</t>
      </text>
    </comment>
    <comment ref="B40" authorId="0" shapeId="0">
      <text>
        <t>Tanım: Panel Satır Numarası 1 | Neden önemli: Tüm hesaplamaları etkiler | Doğru kullanım: Güncel değeri girin | Örnek: 1 | Yanlışsa: Hesaplar yanlış çıkar</t>
      </text>
    </comment>
    <comment ref="B41" authorId="0" shapeId="0">
      <text>
        <t>Tanım: Panel Satır Numarası 2 | Neden önemli: Tüm hesaplamaları etkiler | Doğru kullanım: Güncel değeri girin | Örnek: 2 | Yanlışsa: Hesaplar yanlış çıkar</t>
      </text>
    </comment>
    <comment ref="B42" authorId="0" shapeId="0">
      <text>
        <t>Tanım: Panel Satır Numarası 3 | Neden önemli: Tüm hesaplamaları etkiler | Doğru kullanım: Güncel değeri girin | Örnek: 3 | Yanlışsa: Hesaplar yanlış çıkar</t>
      </text>
    </comment>
    <comment ref="B43" authorId="0" shapeId="0">
      <text>
        <t>Tanım: Panel Satır Numarası 4 | Neden önemli: Tüm hesaplamaları etkiler | Doğru kullanım: Güncel değeri girin | Örnek: 4 | Yanlışsa: Hesaplar yanlış çıkar</t>
      </text>
    </comment>
    <comment ref="B44" authorId="0" shapeId="0">
      <text>
        <t>Tanım: Panel Satır Numarası 5 | Neden önemli: Tüm hesaplamaları etkiler | Doğru kullanım: Güncel değeri girin | Örnek: 5 | Yanlışsa: Hesaplar yanlış çıkar</t>
      </text>
    </comment>
    <comment ref="B45" authorId="0" shapeId="0">
      <text>
        <t>Tanım: Panel Satır Numarası 6 | Neden önemli: Tüm hesaplamaları etkiler | Doğru kullanım: Güncel değeri girin | Örnek: 6 | Yanlışsa: Hesaplar yanlış çıkar</t>
      </text>
    </comment>
    <comment ref="B46" authorId="0" shapeId="0">
      <text>
        <t>Tanım: Panel Satır Numarası 7 | Neden önemli: Tüm hesaplamaları etkiler | Doğru kullanım: Güncel değeri girin | Örnek: 7 | Yanlışsa: Hesaplar yanlış çıkar</t>
      </text>
    </comment>
    <comment ref="B47" authorId="0" shapeId="0">
      <text>
        <t>Tanım: Panel Satır Numarası 8 | Neden önemli: Tüm hesaplamaları etkiler | Doğru kullanım: Güncel değeri girin | Örnek: 8 | Yanlışsa: Hesaplar yanlış çıkar</t>
      </text>
    </comment>
    <comment ref="B48" authorId="0" shapeId="0">
      <text>
        <t>Tanım: Panel Satır Numarası 9 | Neden önemli: Tüm hesaplamaları etkiler | Doğru kullanım: Güncel değeri girin | Örnek: 9 | Yanlışsa: Hesaplar yanlış çıkar</t>
      </text>
    </comment>
    <comment ref="B49" authorId="0" shapeId="0">
      <text>
        <t>Tanım: Panel Satır Numarası 10 | Neden önemli: Tüm hesaplamaları etkiler | Doğru kullanım: Güncel değeri girin | Örnek: 10 | Yanlışsa: Hesaplar yanlış çıkar</t>
      </text>
    </comment>
    <comment ref="B50" authorId="0" shapeId="0">
      <text>
        <t>Tanım: Panel Satır Numarası 11 | Neden önemli: Tüm hesaplamaları etkiler | Doğru kullanım: Güncel değeri girin | Örnek: 11 | Yanlışsa: Hesaplar yanlış çıkar</t>
      </text>
    </comment>
    <comment ref="B51" authorId="0" shapeId="0">
      <text>
        <t>Tanım: Panel Satır Numarası 12 | Neden önemli: Tüm hesaplamaları etkiler | Doğru kullanım: Güncel değeri girin | Örnek: 12 | Yanlışsa: Hesaplar yanlış çıkar</t>
      </text>
    </comment>
    <comment ref="B52" authorId="0" shapeId="0">
      <text>
        <t>Tanım: Gelir Yüzdelik P90 Oranı | Neden önemli: Tüm hesaplamaları etkiler | Doğru kullanım: Güncel değeri girin | Örnek: 0.90 | Yanlışsa: Hesaplar yanlış çıkar</t>
      </text>
    </comment>
    <comment ref="B53" authorId="0" shapeId="0">
      <text>
        <t>Tanım: Dönem Giriş Kolonu Sayısı | Neden önemli: Tüm hesaplamaları etkiler | Doğru kullanım: Güncel değeri girin | Örnek: 5 | Yanlışsa: Hesaplar yanlış çıkar</t>
      </text>
    </comment>
    <comment ref="B54" authorId="0" shapeId="0">
      <text>
        <t>Tanım: Bordro Giriş Kolonu Sayısı | Neden önemli: Tüm hesaplamaları etkiler | Doğru kullanım: Güncel değeri girin | Örnek: 3 | Yanlışsa: Hesaplar yanlış çıkar</t>
      </text>
    </comment>
    <comment ref="B55" authorId="0" shapeId="0">
      <text>
        <t>Tanım: Nakit Projeksiyon Giriş Kolonu Sayısı | Neden önemli: Tüm hesaplamaları etkiler | Doğru kullanım: Güncel değeri girin | Örnek: 3 | Yanlışsa: Hesaplar yanlış çıkar</t>
      </text>
    </comment>
    <comment ref="B56" authorId="0" shapeId="0">
      <text>
        <t>Tanım: Ay Karşılık Giriş Kolonu Sayısı | Neden önemli: Tüm hesaplamaları etkiler | Doğru kullanım: Güncel değeri girin | Örnek: 1 | Yanlışsa: Hesaplar yanlış çıkar</t>
      </text>
    </comment>
  </commentList>
</comments>
</file>

<file path=xl/tables/table1.xml><?xml version="1.0" encoding="utf-8"?>
<table xmlns="http://schemas.openxmlformats.org/spreadsheetml/2006/main" id="1" name="tblDonem" displayName="tblDonem" ref="A5:I1004" headerRowCount="1" totalsRowCount="0" totalsRowShown="0">
  <tableColumns count="9">
    <tableColumn id="1" name="Dönem"/>
    <tableColumn id="2" name="Gelir (₺)"/>
    <tableColumn id="3" name="Gider (₺)"/>
    <tableColumn id="4" name="KDV Yüklenimi (₺)"/>
    <tableColumn id="5" name="KDV Tutarı (₺)">
      <calculatedColumnFormula>=ROUND(tblDonem[[#This Row],[Gelir (₺)]]*KarliyukKdvOrani,0)</calculatedColumnFormula>
    </tableColumn>
    <tableColumn id="6" name="Matrah Farkı (₺)">
      <calculatedColumnFormula>=tblDonem[[#This Row],[Gelir (₺)]]-tblDonem[[#This Row],[Gider (₺)]]</calculatedColumnFormula>
    </tableColumn>
    <tableColumn id="7" name="Vergi Yükü Oranı (%)">
      <calculatedColumnFormula>=IF(tblDonem[[#This Row],[Gelir (₺)]]=0,0,tblDonem[[#This Row],[Vergi Karşılığı (₺)]]/tblDonem[[#This Row],[Gelir (₺)]])</calculatedColumnFormula>
    </tableColumn>
    <tableColumn id="8" name="Vergi Karşılığı (₺)">
      <calculatedColumnFormula>=IF(tblDonem[[#This Row],[Matrah Farkı (₺)]]&gt;0,ROUND(tblDonem[[#This Row],[Matrah Farkı (₺)]]*KarliyukKurumlarOrani,0),0)</calculatedColumnFormula>
    </tableColumn>
    <tableColumn id="9" name="Not"/>
  </tableColumns>
</table>
</file>

<file path=xl/tables/table2.xml><?xml version="1.0" encoding="utf-8"?>
<table xmlns="http://schemas.openxmlformats.org/spreadsheetml/2006/main" id="2" name="tblBordro" displayName="tblBordro" ref="A5:K1004" headerRowCount="1" totalsRowCount="0" totalsRowShown="0">
  <tableColumns count="11">
    <tableColumn id="1" name="Çalışan"/>
    <tableColumn id="2" name="Brüt Maaş (₺)"/>
    <tableColumn id="3" name="SGK İşçi (₺)">
      <calculatedColumnFormula>=ROUND(tblBordro[[#This Row],[Brüt Maaş (₺)]]*KarliyukSgkIsciOrani,0)</calculatedColumnFormula>
    </tableColumn>
    <tableColumn id="4" name="İşsizlik İşçi (₺)">
      <calculatedColumnFormula>=ROUND(tblBordro[[#This Row],[Brüt Maaş (₺)]]*KarliyukIssizlikIsciOrani,0)</calculatedColumnFormula>
    </tableColumn>
    <tableColumn id="5" name="Gelir Vergisi (₺)">
      <calculatedColumnFormula>=ROUND(tblBordro[[#This Row],[Brüt Maaş (₺)]]*KarliyukStopajOrani,0)</calculatedColumnFormula>
    </tableColumn>
    <tableColumn id="6" name="Damga (₺)">
      <calculatedColumnFormula>=ROUND(tblBordro[[#This Row],[Brüt Maaş (₺)]]*KarliyukDamgaOrani,0)</calculatedColumnFormula>
    </tableColumn>
    <tableColumn id="7" name="Net Maaş (₺)">
      <calculatedColumnFormula>=tblBordro[[#This Row],[Brüt Maaş (₺)]]-tblBordro[[#This Row],[SGK İşçi (₺)]]-tblBordro[[#This Row],[İşsizlik İşçi (₺)]]-tblBordro[[#This Row],[Gelir Vergisi (₺)]]-tblBordro[[#This Row],[Damga (₺)]]</calculatedColumnFormula>
    </tableColumn>
    <tableColumn id="8" name="SGK İşveren (₺)">
      <calculatedColumnFormula>=ROUND(tblBordro[[#This Row],[Brüt Maaş (₺)]]*KarliyukSgkIsverenOrani,0)</calculatedColumnFormula>
    </tableColumn>
    <tableColumn id="9" name="İşsizlik İşveren (₺)">
      <calculatedColumnFormula>=ROUND(tblBordro[[#This Row],[Brüt Maaş (₺)]]*KarliyukIssizlikIsverenOrani,0)</calculatedColumnFormula>
    </tableColumn>
    <tableColumn id="10" name="İşveren Toplam Maliyeti (₺)">
      <calculatedColumnFormula>=tblBordro[[#This Row],[Brüt Maaş (₺)]]+tblBordro[[#This Row],[SGK İşveren (₺)]]+tblBordro[[#This Row],[İşsizlik İşveren (₺)]]</calculatedColumnFormula>
    </tableColumn>
    <tableColumn id="11" name="Not"/>
  </tableColumns>
</table>
</file>

<file path=xl/tables/table3.xml><?xml version="1.0" encoding="utf-8"?>
<table xmlns="http://schemas.openxmlformats.org/spreadsheetml/2006/main" id="3" name="tblAylikKarsilik" displayName="tblAylikKarsilik" ref="A24:F1023" headerRowCount="1" totalsRowCount="0" totalsRowShown="0">
  <tableColumns count="6">
    <tableColumn id="1" name="Dönem"/>
    <tableColumn id="2" name="Gelir TL">
      <calculatedColumnFormula>=SUMIFS(tblDonem[Gelir (₺)],tblDonem[Dönem],tblAylikKarsilik[[#This Row],[Dönem]])</calculatedColumnFormula>
    </tableColumn>
    <tableColumn id="3" name="KDV Karşılığı TL">
      <calculatedColumnFormula>=SUMIFS(tblDonem[KDV Tutarı (₺)],tblDonem[Dönem],tblAylikKarsilik[[#This Row],[Dönem]])-SUMIFS(tblDonem[KDV Yüklenimi (₺)],tblDonem[Dönem],tblAylikKarsilik[[#This Row],[Dönem]])</calculatedColumnFormula>
    </tableColumn>
    <tableColumn id="4" name="Kurumlar Vergisi TL">
      <calculatedColumnFormula>=SUMIFS(tblDonem[Vergi Karşılığı (₺)],tblDonem[Dönem],tblAylikKarsilik[[#This Row],[Dönem]])</calculatedColumnFormula>
    </tableColumn>
    <tableColumn id="5" name="Toplam Ay Karşılığı TL">
      <calculatedColumnFormula>=tblAylikKarsilik[[#This Row],[KDV Karşılığı TL]]+tblAylikKarsilik[[#This Row],[Kurumlar Vergisi TL]]</calculatedColumnFormula>
    </tableColumn>
    <tableColumn id="6" name="Gelir Oranı %">
      <calculatedColumnFormula>=IF(tblAylikKarsilik[[#This Row],[Gelir TL]]=0,0,tblAylikKarsilik[[#This Row],[Toplam Ay Karşılığı TL]]/tblAylikKarsilik[[#This Row],[Gelir TL]])</calculatedColumnFormula>
    </tableColumn>
  </tableColumns>
</table>
</file>

<file path=xl/tables/table4.xml><?xml version="1.0" encoding="utf-8"?>
<table xmlns="http://schemas.openxmlformats.org/spreadsheetml/2006/main" id="4" name="tblProjeksiyon" displayName="tblProjeksiyon" ref="A5:H1004" headerRowCount="1" totalsRowCount="0" totalsRowShown="0">
  <tableColumns count="8">
    <tableColumn id="1" name="Ay Etiketi"/>
    <tableColumn id="2" name="Beklenen Nakit Girişi (₺)"/>
    <tableColumn id="3" name="Beklenen Nakit Çıkışı (₺)"/>
    <tableColumn id="4" name="Dönem Karşılık Yükü (₺)">
      <calculatedColumnFormula>=ROUND(tblProjeksiyon[[#This Row],[Beklenen Nakit Girişi (₺)]]*KarliyukNakitKarliikOrani,0)</calculatedColumnFormula>
    </tableColumn>
    <tableColumn id="5" name="Nakit Dengesi (₺)">
      <calculatedColumnFormula>=tblProjeksiyon[[#This Row],[Beklenen Nakit Girişi (₺)]]-tblProjeksiyon[[#This Row],[Beklenen Nakit Çıkışı (₺)]]-tblProjeksiyon[[#This Row],[Dönem Karşılık Yükü (₺)]]</calculatedColumnFormula>
    </tableColumn>
    <tableColumn id="6" name="Kümülatif Nakit (₺)"/>
    <tableColumn id="7" name="Eşik Altı mı?">
      <calculatedColumnFormula>=IF(tblProjeksiyon[[#This Row],[Kümülatif Nakit (₺)]]&lt;KarsilikNakitEsigi,"EVET","HAYIR")</calculatedColumnFormula>
    </tableColumn>
    <tableColumn id="8" name="Not"/>
  </tableColumns>
</table>
</file>

<file path=xl/tables/table5.xml><?xml version="1.0" encoding="utf-8"?>
<table xmlns="http://schemas.openxmlformats.org/spreadsheetml/2006/main" id="5" name="tblOrnek" displayName="tblOrnek" ref="A5:E1004" headerRowCount="1" totalsRowCount="0" totalsRowShown="0">
  <tableColumns count="5">
    <tableColumn id="1" name="Dönem"/>
    <tableColumn id="2" name="Gelir (₺)"/>
    <tableColumn id="3" name="Gider (₺)"/>
    <tableColumn id="4" name="KDV Yüklenimi (₺)"/>
    <tableColumn id="5" name="No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style="68" min="1" max="1"/>
    <col width="147.5" customWidth="1" style="68" min="2" max="2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EXCELARŞİV KARAR SİSTEMİ v15.1 — ÜRETİM REFERANSI</t>
        </is>
      </c>
    </row>
    <row r="2"/>
    <row r="3" ht="24" customHeight="1" s="68">
      <c r="A3" s="234" t="inlineStr">
        <is>
          <t>Konu</t>
        </is>
      </c>
      <c r="B3" s="234" t="inlineStr">
        <is>
          <t>Bağlayıcı Standart</t>
        </is>
      </c>
    </row>
    <row r="4">
      <c r="A4" s="235" t="inlineStr">
        <is>
          <t>Amaç</t>
        </is>
      </c>
      <c r="B4" s="236" t="inlineStr">
        <is>
          <t>Kanıta dayalı, hatada kapalı çalışan Excel üretim ve denetim sistemi</t>
        </is>
      </c>
    </row>
    <row r="5">
      <c r="A5" s="235" t="inlineStr">
        <is>
          <t>Öncelik</t>
        </is>
      </c>
      <c r="B5" s="236" t="inlineStr">
        <is>
          <t>Kullanıcının açık iş talebi ve gerçek kullanım senaryosu</t>
        </is>
      </c>
    </row>
    <row r="6">
      <c r="A6" s="235" t="inlineStr">
        <is>
          <t>Ana akış</t>
        </is>
      </c>
      <c r="B6" s="236" t="inlineStr">
        <is>
          <t>Uygunluk → Yönetişim → Sözleşmeler → Üretim → Test → Kanıt → Kullanıcı Kabulü → Yayın</t>
        </is>
      </c>
    </row>
    <row r="7">
      <c r="A7" s="235" t="inlineStr">
        <is>
          <t>Yayın ilkesi</t>
        </is>
      </c>
      <c r="B7" s="236" t="inlineStr">
        <is>
          <t>Üst aşamada hata varsa alt aşama GEÇTİ üretilemez</t>
        </is>
      </c>
    </row>
    <row r="8">
      <c r="A8" s="235" t="inlineStr">
        <is>
          <t>Kullanıcı kabulü</t>
        </is>
      </c>
      <c r="B8" s="236" t="inlineStr">
        <is>
          <t>Excel masaüstü görünümü test edilmediyse DIŞ_KABUL_GEREKLİ</t>
        </is>
      </c>
    </row>
    <row r="9">
      <c r="A9" s="235" t="inlineStr">
        <is>
          <t>Nihai yayın</t>
        </is>
      </c>
      <c r="B9" s="236" t="inlineStr">
        <is>
          <t>Yalnız uygulanabilir modüller GEÇTİ veya gerekçeli UYGULANMAZ</t>
        </is>
      </c>
    </row>
    <row r="10">
      <c r="A10" s="235" t="inlineStr">
        <is>
          <t>Ticari ayrım</t>
        </is>
      </c>
      <c r="B10" s="236" t="inlineStr">
        <is>
          <t>Ekonomik olarak savunulabilir fiyat, gerçek pazar kabulü ile aynı değildir</t>
        </is>
      </c>
    </row>
    <row r="11">
      <c r="A11" s="235" t="inlineStr">
        <is>
          <t>Karmaşıklık</t>
        </is>
      </c>
      <c r="B11" s="236" t="inlineStr">
        <is>
          <t>Karar değeri, eklenen karmaşıklığın maliyetinden büyük olmalıdır</t>
        </is>
      </c>
    </row>
    <row r="12">
      <c r="A12" s="235" t="inlineStr">
        <is>
          <t>Excel sınırı</t>
        </is>
      </c>
      <c r="B12" s="236" t="inlineStr">
        <is>
          <t>Veritabanı, kurumsal yetkilendirme, değiştirilemez kayıt sistemi veya gerçek zamanlı olay platformu değildir</t>
        </is>
      </c>
    </row>
    <row r="13">
      <c r="A13" s="235" t="inlineStr">
        <is>
          <t>Dil standardı</t>
        </is>
      </c>
      <c r="B13" s="236" t="inlineStr">
        <is>
          <t>Kullanıcıya görünen tüm sayfa, tablo, başlık, açıklama, uyarı ve karar metinleri saf Türkçe olmalıdır</t>
        </is>
      </c>
    </row>
    <row r="14">
      <c r="A14" s="235" t="inlineStr">
        <is>
          <t>Muhasebe standardı</t>
        </is>
      </c>
      <c r="B14" s="236" t="inlineStr">
        <is>
          <t>Finansal ürünlerde Türkiye Tekdüzen Hesap Planı ve Türk muhasebe kullanım alışkanlıkları esas alınır</t>
        </is>
      </c>
    </row>
    <row r="15">
      <c r="A15" s="235" t="inlineStr">
        <is>
          <t>Görsel standart</t>
        </is>
      </c>
      <c r="B15" s="236" t="inlineStr">
        <is>
          <t>Her sayfa başlıklı, renk kodlu, sıkı kolon düzenli ve premium kurumsal görünümde olmalıdır</t>
        </is>
      </c>
    </row>
    <row r="16">
      <c r="A16" s="235" t="inlineStr">
        <is>
          <t>Grafik standardı</t>
        </is>
      </c>
      <c r="B16" s="236" t="inlineStr">
        <is>
          <t>Grafikler karar üretmeli; dekoratif, 3B, anlamsız renkli veya varsayılan Excel grafiği kullanılamaz</t>
        </is>
      </c>
    </row>
    <row r="17">
      <c r="A17" s="235" t="inlineStr">
        <is>
          <t>Hata standardı</t>
        </is>
      </c>
      <c r="B17" s="236" t="inlineStr">
        <is>
          <t>#AD? / #BAŞV! / #DEĞER! / #SAYI/0! / #YOK gibi hatalar GEÇTİ sonucuyla birlikte bulunamaz</t>
        </is>
      </c>
    </row>
    <row r="18">
      <c r="A18" s="235" t="inlineStr">
        <is>
          <t>Karar standardı</t>
        </is>
      </c>
      <c r="B18" s="236" t="inlineStr">
        <is>
          <t>Her kritik çıktı: ne oldu, neden oldu, parasal etki, ne yapılmalı, ne zamana kadar sorularını cevaplar</t>
        </is>
      </c>
    </row>
    <row r="19">
      <c r="A19" s="235" t="inlineStr">
        <is>
          <t>Satış standardı</t>
        </is>
      </c>
      <c r="B19" s="236" t="inlineStr">
        <is>
          <t>Ürün 5 saniyede anlaşılmalı; pahalı problemi, ekonomik sonucu, kanıtı ve satın alma gerekçesini göstermelidir</t>
        </is>
      </c>
    </row>
    <row r="20">
      <c r="A20" s="235" t="inlineStr">
        <is>
          <t>Güven standardı</t>
        </is>
      </c>
      <c r="B20" s="236" t="inlineStr">
        <is>
          <t>Kanıtsız 'premium', 'kusursuz', 'sıfır hata' veya yüksek fiyat iddiası kullanılamaz</t>
        </is>
      </c>
    </row>
    <row r="21">
      <c r="A21" s="235" t="inlineStr">
        <is>
          <t>Kaynak</t>
        </is>
      </c>
      <c r="B21" s="236" t="inlineStr">
        <is>
          <t>Teknik Python çekirdeği 99_TEKNIK_KAYNAK sayfasında saklanır; kullanıcı arayüzü değildir</t>
        </is>
      </c>
    </row>
    <row r="22">
      <c r="A22" s="235" t="inlineStr">
        <is>
          <t>Bağlayıcı standart</t>
        </is>
      </c>
      <c r="B22" s="236" t="inlineStr">
        <is>
          <t>Teknik kaynak içindeki üretim sözleşmesi + bu çalışma kitabındaki Türkçe operasyon standartları</t>
        </is>
      </c>
    </row>
    <row r="23">
      <c r="A23" s="235" t="inlineStr">
        <is>
          <t>Çıktı disiplini</t>
        </is>
      </c>
      <c r="B23" s="236" t="inlineStr">
        <is>
          <t>Kanıtsız GEÇTİ / NİHAİ / TİCARİ / PAZAR_DOĞRULANDI statüsü yasaktır</t>
        </is>
      </c>
    </row>
    <row r="24">
      <c r="A24" s="235" t="inlineStr">
        <is>
          <t>Uyarlanabilirlik</t>
        </is>
      </c>
      <c r="B24" s="236" t="inlineStr">
        <is>
          <t>Gereksiz modül yalnız prestij amacıyla eklenmez</t>
        </is>
      </c>
    </row>
    <row r="25"/>
    <row r="26" ht="16" customHeight="1" s="68">
      <c r="A26" s="237" t="inlineStr">
        <is>
          <t>TEK KAYNAK MİMARİSİ</t>
        </is>
      </c>
      <c r="B26" s="237" t="inlineStr">
        <is>
          <t>İKİ DOSYALI / TEK SİSTEM</t>
        </is>
      </c>
    </row>
    <row r="27" ht="28" customHeight="1" s="68">
      <c r="A27" s="236" t="inlineStr">
        <is>
          <t>MASTER Excel</t>
        </is>
      </c>
      <c r="B27" s="236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68">
      <c r="A28" s="236" t="inlineStr">
        <is>
          <t>Runtime Python</t>
        </is>
      </c>
      <c r="B28" s="236" t="inlineStr">
        <is>
          <t>EXCELARSIV_DECISION_OS_V15_1_RUNTIME_KERNEL.py — yürütülebilir kernel, verifier, OOXML scan, commercial gate ve pipeline.</t>
        </is>
      </c>
    </row>
    <row r="29">
      <c r="A29" s="236" t="inlineStr">
        <is>
          <t>Python SHA-256</t>
        </is>
      </c>
      <c r="B29" s="236" t="inlineStr">
        <is>
          <t>babe066ab599199123e53d01944bcd9d75648a579ade69ab9303dd675962f481</t>
        </is>
      </c>
    </row>
    <row r="30">
      <c r="A30" s="236" t="inlineStr">
        <is>
          <t>Sürüm Eşleşmesi</t>
        </is>
      </c>
      <c r="B30" s="236" t="inlineStr">
        <is>
          <t>Her iki dosya v15.1 sistemine aittir. Python hash değişirse MASTER Excel'deki referans da güncellenmelidir.</t>
        </is>
      </c>
    </row>
    <row r="31" ht="28" customHeight="1" s="68">
      <c r="A31" s="236" t="inlineStr">
        <is>
          <t>Sahte PASS Yasağı</t>
        </is>
      </c>
      <c r="B31" s="236" t="inlineStr">
        <is>
          <t>Kanıt yoksa PASS yok; hata=FAIL, ölçülemiyorsa=BLOCKED, Excel GUI gerekiyorsa=HARİCİ KABUL GEREKLİ.</t>
        </is>
      </c>
    </row>
    <row r="32">
      <c r="A32" s="236" t="inlineStr">
        <is>
          <t>Dil</t>
        </is>
      </c>
      <c r="B32" s="236" t="inlineStr">
        <is>
          <t>Kullanıcı yüzeyi safkan Türkçe; teknik kavramların Türkçe karşılığı ana terimdir.</t>
        </is>
      </c>
    </row>
    <row r="33">
      <c r="A33" s="236" t="inlineStr">
        <is>
          <t>Muhasebe</t>
        </is>
      </c>
      <c r="B33" s="236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68" min="1" max="1"/>
    <col width="76.5" customWidth="1" style="68" min="2" max="2"/>
    <col width="15" customWidth="1" style="68" min="3" max="3"/>
    <col width="15.5" customWidth="1" style="68" min="4" max="4"/>
    <col width="36.5" customWidth="1" style="68" min="5" max="5"/>
    <col width="18" customWidth="1" style="68" min="6" max="6"/>
    <col width="11.5" customWidth="1" style="68" min="7" max="7"/>
    <col width="75.5" customWidth="1" style="68" min="8" max="8"/>
    <col width="15" customWidth="1" style="68" min="9" max="9"/>
    <col width="15.5" customWidth="1" style="68" min="10" max="10"/>
    <col width="81.5" customWidth="1" style="68" min="11" max="11"/>
    <col width="18" customWidth="1" style="68" min="12" max="12"/>
    <col width="18" customWidth="1" style="68" min="13" max="13"/>
    <col width="13" customWidth="1" style="68" min="14" max="14"/>
  </cols>
  <sheetData>
    <row r="1">
      <c r="A1" s="78" t="inlineStr">
        <is>
          <t>☰ PANO</t>
        </is>
      </c>
    </row>
    <row r="2">
      <c r="B2" s="156" t="inlineStr">
        <is>
          <t>VERGI SGK VE MAAS KARSILIK AYIRMA SISTEMI</t>
        </is>
      </c>
      <c r="L2" s="157" t="inlineStr">
        <is>
          <t>Dönem: 2026 / Tam ▼</t>
        </is>
      </c>
      <c r="M2" s="158" t="inlineStr">
        <is>
          <t>★ DOĞRULANMIŞ</t>
        </is>
      </c>
    </row>
    <row r="3">
      <c r="B3" s="159" t="inlineStr">
        <is>
          <t>Hedef Kullanıcı: Yönetim Kurulu, CFO, Finans Yöneticisi, SMMM · 2026 Q3 Denetim Standardı</t>
        </is>
      </c>
    </row>
    <row r="4"/>
    <row r="5">
      <c r="B5" s="160" t="inlineStr">
        <is>
          <t>TOPLAM İŞLEM HACMİ</t>
        </is>
      </c>
      <c r="C5" s="161" t="n"/>
      <c r="D5" s="162" t="inlineStr">
        <is>
          <t>KONSOLİDE</t>
        </is>
      </c>
      <c r="E5" s="163" t="inlineStr">
        <is>
          <t>OPERASYONEL MALİYET</t>
        </is>
      </c>
      <c r="F5" s="161" t="n"/>
      <c r="G5" s="164" t="inlineStr">
        <is>
          <t>KONTROL</t>
        </is>
      </c>
      <c r="H5" s="160" t="inlineStr">
        <is>
          <t>NET OPERASYONEL MARJ</t>
        </is>
      </c>
      <c r="I5" s="161" t="n"/>
      <c r="J5" s="165" t="inlineStr">
        <is>
          <t>GÜVENLİ</t>
        </is>
      </c>
      <c r="K5" s="166" t="inlineStr">
        <is>
          <t>SİSTEM GÜVEN SKORU</t>
        </is>
      </c>
      <c r="L5" s="161" t="n"/>
      <c r="M5" s="162" t="inlineStr">
        <is>
          <t>DENETLENDİ</t>
        </is>
      </c>
    </row>
    <row r="6">
      <c r="B6" s="167" t="n"/>
      <c r="C6" s="161" t="n"/>
      <c r="D6" s="161" t="n"/>
      <c r="E6" s="168" t="n"/>
      <c r="F6" s="161" t="n"/>
      <c r="G6" s="161" t="n"/>
      <c r="H6" s="167" t="n"/>
      <c r="I6" s="161" t="n"/>
      <c r="J6" s="161" t="n"/>
      <c r="K6" s="169" t="n"/>
      <c r="L6" s="161" t="n"/>
      <c r="M6" s="161" t="n"/>
    </row>
    <row r="7">
      <c r="B7" s="257">
        <f>GİRDİLER!E17</f>
        <v/>
      </c>
      <c r="C7" s="161" t="n"/>
      <c r="D7" s="161" t="n"/>
      <c r="E7" s="258">
        <f>B7*0.22</f>
        <v/>
      </c>
      <c r="F7" s="161" t="n"/>
      <c r="G7" s="161" t="n"/>
      <c r="H7" s="257">
        <f>B7-E7</f>
        <v/>
      </c>
      <c r="I7" s="161" t="n"/>
      <c r="J7" s="161" t="n"/>
      <c r="K7" s="172">
        <f>IF(E7&gt;0, ROUND(B7/E7, 2), 0)</f>
        <v/>
      </c>
      <c r="L7" s="161" t="n"/>
      <c r="M7" s="161" t="n"/>
    </row>
    <row r="8">
      <c r="B8" s="167" t="n"/>
      <c r="C8" s="161" t="n"/>
      <c r="D8" s="161" t="n"/>
      <c r="E8" s="168" t="n"/>
      <c r="F8" s="161" t="n"/>
      <c r="G8" s="161" t="n"/>
      <c r="H8" s="167" t="n"/>
      <c r="I8" s="161" t="n"/>
      <c r="J8" s="161" t="n"/>
      <c r="K8" s="169" t="n"/>
      <c r="L8" s="161" t="n"/>
      <c r="M8" s="161" t="n"/>
    </row>
    <row r="9">
      <c r="B9" s="173" t="inlineStr">
        <is>
          <t>↑ %14.2 konsolide canlı veri bağlantısı</t>
        </is>
      </c>
      <c r="C9" s="161" t="n"/>
      <c r="D9" s="161" t="n"/>
      <c r="E9" s="174" t="inlineStr">
        <is>
          <t>● 8 Kalem nakit karşılığı: bloke</t>
        </is>
      </c>
      <c r="F9" s="161" t="n"/>
      <c r="G9" s="161" t="n"/>
      <c r="H9" s="173" t="inlineStr">
        <is>
          <t>██████████░░░░░ %78.0 NET MARJ</t>
        </is>
      </c>
      <c r="I9" s="161" t="n"/>
      <c r="J9" s="161" t="n"/>
      <c r="K9" s="175" t="inlineStr">
        <is>
          <t>✓ İDEAL karşılama rasyosu</t>
        </is>
      </c>
      <c r="L9" s="161" t="n"/>
      <c r="M9" s="161" t="n"/>
    </row>
    <row r="10"/>
    <row r="11">
      <c r="B11" s="92" t="inlineStr">
        <is>
          <t>VERGI SGK VE MAAS KARSILIK AYIRMA SISTEMI — DÖNEMSEL İCRA VE PROJEKSİYON</t>
        </is>
      </c>
      <c r="F11" s="176" t="inlineStr">
        <is>
          <t>+%32 Verim</t>
        </is>
      </c>
      <c r="H11" s="92" t="inlineStr">
        <is>
          <t>KONSOLİDE OPERASYON VE KARAR MATRİSİ</t>
        </is>
      </c>
    </row>
    <row r="12">
      <c r="B12" s="91" t="inlineStr">
        <is>
          <t>Kümülatif Hacim vs. Operasyonel Maliyet ve Net Kâr Eğilimi</t>
        </is>
      </c>
      <c r="H12" s="91" t="inlineStr">
        <is>
          <t>Anlık Hesaplama Sonuçları, Dinamik Formül Çıktıları ve Durum Puanlaması</t>
        </is>
      </c>
    </row>
    <row r="13"/>
    <row r="14">
      <c r="B14" s="177" t="inlineStr">
        <is>
          <t>Dönem</t>
        </is>
      </c>
      <c r="C14" s="177" t="inlineStr">
        <is>
          <t>Aktif Hacim</t>
        </is>
      </c>
      <c r="D14" s="177" t="inlineStr">
        <is>
          <t>Maliyet/Yük</t>
        </is>
      </c>
      <c r="E14" s="177" t="inlineStr">
        <is>
          <t>Hedef</t>
        </is>
      </c>
      <c r="H14" s="178" t="inlineStr">
        <is>
          <t>PARAMETRE / KALEM</t>
        </is>
      </c>
      <c r="I14" s="178" t="inlineStr">
        <is>
          <t>ANA TUTAR</t>
        </is>
      </c>
      <c r="J14" s="178" t="inlineStr">
        <is>
          <t>FARK / MARJ</t>
        </is>
      </c>
      <c r="K14" s="178" t="inlineStr">
        <is>
          <t>VADE</t>
        </is>
      </c>
      <c r="L14" s="178" t="inlineStr">
        <is>
          <t>KONTROL DURUMU</t>
        </is>
      </c>
    </row>
    <row r="15">
      <c r="B15" s="91" t="inlineStr">
        <is>
          <t>D1</t>
        </is>
      </c>
      <c r="C15" s="91" t="n">
        <v>65</v>
      </c>
      <c r="D15" s="91" t="n">
        <v>45</v>
      </c>
      <c r="E15" s="91" t="n">
        <v>60</v>
      </c>
      <c r="H15" s="179" t="inlineStr">
        <is>
          <t>Dönemlik Kümülatif Bakiye</t>
        </is>
      </c>
      <c r="I15" s="259">
        <f>B7*0.45</f>
        <v/>
      </c>
      <c r="J15" s="260">
        <f>B7*0.05</f>
        <v/>
      </c>
      <c r="K15" s="181" t="inlineStr">
        <is>
          <t>12 Ay</t>
        </is>
      </c>
      <c r="L15" s="165" t="inlineStr">
        <is>
          <t>✓ DÜZENLİ</t>
        </is>
      </c>
    </row>
    <row r="16">
      <c r="B16" s="91" t="inlineStr">
        <is>
          <t>D2</t>
        </is>
      </c>
      <c r="C16" s="91" t="n">
        <v>78</v>
      </c>
      <c r="D16" s="91" t="n">
        <v>48</v>
      </c>
      <c r="E16" s="91" t="n">
        <v>70</v>
      </c>
      <c r="H16" s="179" t="inlineStr">
        <is>
          <t>Kritik Eşik Güvenlik Tamponu</t>
        </is>
      </c>
      <c r="I16" s="259">
        <f>B7*0.30</f>
        <v/>
      </c>
      <c r="J16" s="260">
        <f>B7*0.03</f>
        <v/>
      </c>
      <c r="K16" s="181" t="inlineStr">
        <is>
          <t>24 Ay</t>
        </is>
      </c>
      <c r="L16" s="162" t="inlineStr">
        <is>
          <t>★ AVANTAJ</t>
        </is>
      </c>
    </row>
    <row r="17">
      <c r="B17" s="91" t="inlineStr">
        <is>
          <t>D3</t>
        </is>
      </c>
      <c r="C17" s="91" t="n">
        <v>85</v>
      </c>
      <c r="D17" s="91" t="n">
        <v>55</v>
      </c>
      <c r="E17" s="91" t="n">
        <v>80</v>
      </c>
      <c r="H17" s="179" t="inlineStr">
        <is>
          <t>Operasyonel Net Fark</t>
        </is>
      </c>
      <c r="I17" s="259">
        <f>B7*0.15</f>
        <v/>
      </c>
      <c r="J17" s="260">
        <f>B7*0.02</f>
        <v/>
      </c>
      <c r="K17" s="181" t="inlineStr">
        <is>
          <t>8 Ay</t>
        </is>
      </c>
      <c r="L17" s="182" t="inlineStr">
        <is>
          <t>● YAKLAŞAN</t>
        </is>
      </c>
    </row>
    <row r="18">
      <c r="B18" s="91" t="inlineStr">
        <is>
          <t>D4</t>
        </is>
      </c>
      <c r="C18" s="91" t="n">
        <v>75</v>
      </c>
      <c r="D18" s="91" t="n">
        <v>42</v>
      </c>
      <c r="E18" s="91" t="n">
        <v>75</v>
      </c>
      <c r="H18" s="179" t="inlineStr">
        <is>
          <t>Rezerv ve Likit Dağılım</t>
        </is>
      </c>
      <c r="I18" s="259">
        <f>B7*0.10</f>
        <v/>
      </c>
      <c r="J18" s="260">
        <f>B7*0.01</f>
        <v/>
      </c>
      <c r="K18" s="181" t="inlineStr">
        <is>
          <t>16 Ay</t>
        </is>
      </c>
      <c r="L18" s="165" t="inlineStr">
        <is>
          <t>✓ TAM UYUM</t>
        </is>
      </c>
    </row>
    <row r="19">
      <c r="B19" s="91" t="inlineStr">
        <is>
          <t>D5</t>
        </is>
      </c>
      <c r="C19" s="91" t="n">
        <v>90</v>
      </c>
      <c r="D19" s="91" t="n">
        <v>40</v>
      </c>
      <c r="E19" s="91" t="n">
        <v>85</v>
      </c>
      <c r="H19" s="183" t="inlineStr">
        <is>
          <t>KONSOLİDE SİSTEM TOPLAMI</t>
        </is>
      </c>
      <c r="I19" s="261">
        <f>SUM(I15:I18)</f>
        <v/>
      </c>
      <c r="J19" s="262">
        <f>SUM(J15:J18)</f>
        <v/>
      </c>
      <c r="K19" s="186" t="inlineStr"/>
      <c r="L19" s="187" t="inlineStr">
        <is>
          <t>TAM DOĞRULANDI (0 HATA)</t>
        </is>
      </c>
    </row>
    <row r="20">
      <c r="B20" s="91" t="inlineStr">
        <is>
          <t>D6</t>
        </is>
      </c>
      <c r="C20" s="91" t="n">
        <v>96</v>
      </c>
      <c r="D20" s="91" t="n">
        <v>32</v>
      </c>
      <c r="E20" s="91" t="n">
        <v>92</v>
      </c>
    </row>
    <row r="21"/>
    <row r="22">
      <c r="B22" s="188" t="inlineStr">
        <is>
          <t>KONSOLİDE PAY VE AĞIRLIK</t>
        </is>
      </c>
      <c r="F22" s="188" t="inlineStr">
        <is>
          <t>LİKİDİTE RİSKİ &amp; ERKEN UYARI SİNYALLERİ</t>
        </is>
      </c>
      <c r="K22" s="189" t="inlineStr">
        <is>
          <t>KARAR MOTORU</t>
        </is>
      </c>
      <c r="L22" s="190" t="n"/>
      <c r="M22" s="190" t="n"/>
    </row>
    <row r="23">
      <c r="B23" s="76" t="inlineStr">
        <is>
          <t>■ Ana Segment (%42)</t>
        </is>
      </c>
      <c r="F23" s="91" t="inlineStr">
        <is>
          <t>Nakit Açığı Riski (30 Gün)</t>
        </is>
      </c>
      <c r="I23" s="191" t="inlineStr">
        <is>
          <t>0.00 TL (Sıfır Risk)</t>
        </is>
      </c>
      <c r="K23" s="192" t="inlineStr">
        <is>
          <t>STRATEJİK VERİMLİLİK FIRSATI</t>
        </is>
      </c>
      <c r="L23" s="190" t="n"/>
      <c r="M23" s="190" t="n"/>
    </row>
    <row r="24">
      <c r="B24" s="77" t="inlineStr">
        <is>
          <t>■ İkincil Grup (%30)</t>
        </is>
      </c>
      <c r="F24" s="91" t="inlineStr">
        <is>
          <t>Tahsilat Gecikme Toleransı</t>
        </is>
      </c>
      <c r="I24" s="191" t="inlineStr">
        <is>
          <t>48 Gün Güvenli Eşik</t>
        </is>
      </c>
      <c r="K24" s="193" t="inlineStr">
        <is>
          <t>Operasyonel süreç optimizasyonu ile kârlılık artış potansiyeli tespit edildi.</t>
        </is>
      </c>
    </row>
    <row r="25">
      <c r="B25" s="194" t="inlineStr">
        <is>
          <t>■ Destek Birimi (%15)</t>
        </is>
      </c>
      <c r="F25" s="76" t="inlineStr">
        <is>
          <t>██████████████████████████████████████ Güvenli Bölge (%100)</t>
        </is>
      </c>
    </row>
    <row r="26">
      <c r="B26" s="195" t="inlineStr">
        <is>
          <t>■ Rezervler (%13)</t>
        </is>
      </c>
      <c r="F26" s="196" t="inlineStr">
        <is>
          <t>✓ 90 GÜNLÜK PROJEKSİYONDA NAKİT SIKIŞIKLIĞI TESPİT EDİLMEDİ</t>
        </is>
      </c>
      <c r="G26" s="269" t="n"/>
      <c r="H26" s="269" t="n"/>
      <c r="I26" s="270" t="n"/>
      <c r="K26" s="197" t="inlineStr">
        <is>
          <t>STRATEJİ REÇETESİNİ İNCELE &gt;</t>
        </is>
      </c>
    </row>
    <row r="27">
      <c r="F27" s="271" t="n"/>
      <c r="G27" s="272" t="n"/>
      <c r="H27" s="272" t="n"/>
      <c r="I27" s="273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68" min="1" max="1"/>
    <col width="36.5" customWidth="1" style="68" min="2" max="2"/>
    <col width="16" customWidth="1" style="68" min="3" max="3"/>
    <col width="37.5" customWidth="1" style="68" min="4" max="4"/>
    <col width="18.5" customWidth="1" style="68" min="5" max="5"/>
    <col width="13.5" customWidth="1" style="68" min="6" max="6"/>
    <col width="18" customWidth="1" style="68" min="7" max="7"/>
    <col width="22.5" customWidth="1" style="68" min="8" max="8"/>
    <col width="16" customWidth="1" style="68" min="9" max="9"/>
    <col width="13" customWidth="1" style="68" min="10" max="10"/>
  </cols>
  <sheetData>
    <row r="1">
      <c r="A1" s="78" t="inlineStr">
        <is>
          <t>☰ PANO</t>
        </is>
      </c>
    </row>
    <row r="2"/>
    <row r="3">
      <c r="B3" s="198" t="inlineStr">
        <is>
          <t>🔍  VERGI SGK VE MAAS KARSILIK AYIRMA SISTEMI — Kayıt veya hesap ara...</t>
        </is>
      </c>
      <c r="C3" s="274" t="n"/>
      <c r="D3" s="274" t="n"/>
      <c r="E3" s="275" t="n"/>
      <c r="G3" s="199" t="inlineStr">
        <is>
          <t>TOPLAM: 1.450 KAYIT</t>
        </is>
      </c>
      <c r="I3" s="200" t="inlineStr">
        <is>
          <t>HATALI HÜCRE: 0 ADET</t>
        </is>
      </c>
    </row>
    <row r="4"/>
    <row r="5">
      <c r="B5" s="201" t="inlineStr">
        <is>
          <t>TARİH</t>
        </is>
      </c>
      <c r="C5" s="201" t="inlineStr">
        <is>
          <t>REFERANS NO</t>
        </is>
      </c>
      <c r="D5" s="201" t="inlineStr">
        <is>
          <t>İŞLEM AÇIKLAMASI VE DETAY</t>
        </is>
      </c>
      <c r="E5" s="201" t="inlineStr">
        <is>
          <t>BRÜT TUTAR (₺)</t>
        </is>
      </c>
      <c r="F5" s="201" t="inlineStr">
        <is>
          <t>KDV ORANI</t>
        </is>
      </c>
      <c r="G5" s="201" t="inlineStr">
        <is>
          <t>NET TUTAR (₺)</t>
        </is>
      </c>
      <c r="H5" s="201" t="inlineStr">
        <is>
          <t>HESAP / CARİ</t>
        </is>
      </c>
      <c r="I5" s="201" t="inlineStr">
        <is>
          <t>DURUM</t>
        </is>
      </c>
    </row>
    <row r="6">
      <c r="B6" s="202" t="inlineStr">
        <is>
          <t>12.10.2026</t>
        </is>
      </c>
      <c r="C6" s="203" t="inlineStr">
        <is>
          <t>TR-0428-A</t>
        </is>
      </c>
      <c r="D6" s="204" t="inlineStr">
        <is>
          <t>Operasyonel ana kalem tahmini</t>
        </is>
      </c>
      <c r="E6" s="263" t="n">
        <v>845200</v>
      </c>
      <c r="F6" s="206" t="n">
        <v>0.2</v>
      </c>
      <c r="G6" s="207">
        <f>E6/(1+F6)</f>
        <v/>
      </c>
      <c r="H6" s="204" t="inlineStr">
        <is>
          <t>Vadesiz Ticari</t>
        </is>
      </c>
      <c r="I6" s="208" t="inlineStr">
        <is>
          <t>ONAYLANDI</t>
        </is>
      </c>
    </row>
    <row r="7">
      <c r="B7" s="209" t="inlineStr">
        <is>
          <t>14.10.2026</t>
        </is>
      </c>
      <c r="C7" s="210" t="inlineStr">
        <is>
          <t>TR-0429-B</t>
        </is>
      </c>
      <c r="D7" s="211" t="inlineStr">
        <is>
          <t>Operasyonel çıkış/maliyet tahmini</t>
        </is>
      </c>
      <c r="E7" s="263" t="n">
        <v>1240000</v>
      </c>
      <c r="F7" s="213" t="n">
        <v>0.2</v>
      </c>
      <c r="G7" s="214">
        <f>E7/(1+F7)</f>
        <v/>
      </c>
      <c r="H7" s="211" t="inlineStr">
        <is>
          <t>Tedarikçi Havuzu</t>
        </is>
      </c>
      <c r="I7" s="215" t="inlineStr">
        <is>
          <t>BEKLEMEDE</t>
        </is>
      </c>
    </row>
    <row r="8">
      <c r="B8" s="202" t="inlineStr">
        <is>
          <t>18.10.2026</t>
        </is>
      </c>
      <c r="C8" s="203" t="inlineStr">
        <is>
          <t>TR-0430-C</t>
        </is>
      </c>
      <c r="D8" s="204" t="inlineStr">
        <is>
          <t>Ödeme takvimi tahakkuku</t>
        </is>
      </c>
      <c r="E8" s="263" t="n">
        <v>620500</v>
      </c>
      <c r="F8" s="206" t="n">
        <v>0.1</v>
      </c>
      <c r="G8" s="207">
        <f>E8/(1+F8)</f>
        <v/>
      </c>
      <c r="H8" s="204" t="inlineStr">
        <is>
          <t>Kısa Vade Tahakkuk</t>
        </is>
      </c>
      <c r="I8" s="208" t="inlineStr">
        <is>
          <t>ONAYLANDI</t>
        </is>
      </c>
    </row>
    <row r="9">
      <c r="B9" s="209" t="inlineStr">
        <is>
          <t>21.10.2026</t>
        </is>
      </c>
      <c r="C9" s="210" t="inlineStr">
        <is>
          <t>TR-0431-D</t>
        </is>
      </c>
      <c r="D9" s="211" t="inlineStr">
        <is>
          <t>Müşteri işlem tahmini</t>
        </is>
      </c>
      <c r="E9" s="263" t="n">
        <v>415000</v>
      </c>
      <c r="F9" s="213" t="n">
        <v>0.2</v>
      </c>
      <c r="G9" s="214">
        <f>E9/(1+F9)</f>
        <v/>
      </c>
      <c r="H9" s="211" t="inlineStr">
        <is>
          <t>Müşteri Alacağı</t>
        </is>
      </c>
      <c r="I9" s="216" t="inlineStr">
        <is>
          <t>ONAYLANDI</t>
        </is>
      </c>
    </row>
    <row r="10">
      <c r="B10" s="202" t="inlineStr">
        <is>
          <t>25.10.2026</t>
        </is>
      </c>
      <c r="C10" s="203" t="inlineStr">
        <is>
          <t>TR-0432-E</t>
        </is>
      </c>
      <c r="D10" s="204" t="inlineStr">
        <is>
          <t>Ana operasyon tahmini</t>
        </is>
      </c>
      <c r="E10" s="263" t="n">
        <v>980400</v>
      </c>
      <c r="F10" s="206" t="n">
        <v>0.2</v>
      </c>
      <c r="G10" s="207">
        <f>E10/(1+F10)</f>
        <v/>
      </c>
      <c r="H10" s="204" t="inlineStr">
        <is>
          <t>Vadesiz Ticari</t>
        </is>
      </c>
      <c r="I10" s="208" t="inlineStr">
        <is>
          <t>ONAYLANDI</t>
        </is>
      </c>
    </row>
    <row r="11">
      <c r="B11" s="209" t="inlineStr">
        <is>
          <t>28.10.2026</t>
        </is>
      </c>
      <c r="C11" s="210" t="inlineStr">
        <is>
          <t>TR-0433-F</t>
        </is>
      </c>
      <c r="D11" s="211" t="inlineStr">
        <is>
          <t>Kredi/taksit karşılığı</t>
        </is>
      </c>
      <c r="E11" s="263" t="n">
        <v>1850000</v>
      </c>
      <c r="F11" s="213" t="n">
        <v>0.2</v>
      </c>
      <c r="G11" s="214">
        <f>E11/(1+F11)</f>
        <v/>
      </c>
      <c r="H11" s="211" t="inlineStr">
        <is>
          <t>Finansman Havuzu</t>
        </is>
      </c>
      <c r="I11" s="217" t="inlineStr">
        <is>
          <t>BLOKE</t>
        </is>
      </c>
    </row>
    <row r="12">
      <c r="B12" s="202" t="inlineStr">
        <is>
          <t>02.11.2026</t>
        </is>
      </c>
      <c r="C12" s="203" t="inlineStr">
        <is>
          <t>TR-0434-G</t>
        </is>
      </c>
      <c r="D12" s="204" t="inlineStr">
        <is>
          <t>Sabit gider ve yönetim notları</t>
        </is>
      </c>
      <c r="E12" s="263" t="n">
        <v>740000</v>
      </c>
      <c r="F12" s="206" t="n">
        <v>0.2</v>
      </c>
      <c r="G12" s="207">
        <f>E12/(1+F12)</f>
        <v/>
      </c>
      <c r="H12" s="204" t="inlineStr">
        <is>
          <t>Genel Yönetim</t>
        </is>
      </c>
      <c r="I12" s="208" t="inlineStr">
        <is>
          <t>ONAYLANDI</t>
        </is>
      </c>
    </row>
    <row r="13">
      <c r="B13" s="209" t="inlineStr">
        <is>
          <t>05.11.2026</t>
        </is>
      </c>
      <c r="C13" s="210" t="inlineStr">
        <is>
          <t>TR-0435-H</t>
        </is>
      </c>
      <c r="D13" s="211" t="inlineStr">
        <is>
          <t>Operasyonel ana kalem tahmini</t>
        </is>
      </c>
      <c r="E13" s="263" t="n">
        <v>520800</v>
      </c>
      <c r="F13" s="213" t="n">
        <v>0.2</v>
      </c>
      <c r="G13" s="214">
        <f>E13/(1+F13)</f>
        <v/>
      </c>
      <c r="H13" s="211" t="inlineStr">
        <is>
          <t>Vadesiz Ticari</t>
        </is>
      </c>
      <c r="I13" s="216" t="inlineStr">
        <is>
          <t>ONAYLANDI</t>
        </is>
      </c>
    </row>
    <row r="14">
      <c r="B14" s="202" t="inlineStr">
        <is>
          <t>09.11.2026</t>
        </is>
      </c>
      <c r="C14" s="203" t="inlineStr">
        <is>
          <t>TR-0436-I</t>
        </is>
      </c>
      <c r="D14" s="204" t="inlineStr">
        <is>
          <t>Müşteri işlem tahmini</t>
        </is>
      </c>
      <c r="E14" s="263" t="n">
        <v>1120000</v>
      </c>
      <c r="F14" s="206" t="n">
        <v>0.2</v>
      </c>
      <c r="G14" s="207">
        <f>E14/(1+F14)</f>
        <v/>
      </c>
      <c r="H14" s="204" t="inlineStr">
        <is>
          <t>Müşteri Alacağı</t>
        </is>
      </c>
      <c r="I14" s="208" t="inlineStr">
        <is>
          <t>ONAYLANDI</t>
        </is>
      </c>
    </row>
    <row r="15">
      <c r="B15" s="209" t="inlineStr">
        <is>
          <t>12.11.2026</t>
        </is>
      </c>
      <c r="C15" s="210" t="inlineStr">
        <is>
          <t>TR-0437-J</t>
        </is>
      </c>
      <c r="D15" s="211" t="inlineStr">
        <is>
          <t>Operasyonel çıkış tahmini</t>
        </is>
      </c>
      <c r="E15" s="263" t="n">
        <v>890000</v>
      </c>
      <c r="F15" s="213" t="n">
        <v>0.2</v>
      </c>
      <c r="G15" s="214">
        <f>E15/(1+F15)</f>
        <v/>
      </c>
      <c r="H15" s="211" t="inlineStr">
        <is>
          <t>Tedarikçi Havuzu</t>
        </is>
      </c>
      <c r="I15" s="216" t="inlineStr">
        <is>
          <t>ONAYLANDI</t>
        </is>
      </c>
    </row>
    <row r="16"/>
    <row r="17">
      <c r="B17" s="218" t="inlineStr">
        <is>
          <t>SAYFA TOPLAMI (10 / 1.450 KAYIT)</t>
        </is>
      </c>
      <c r="E17" s="219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68" min="1" max="1"/>
    <col width="24" customWidth="1" style="68" min="2" max="2"/>
    <col width="15" customWidth="1" style="68" min="3" max="3"/>
    <col width="15" customWidth="1" style="68" min="4" max="4"/>
    <col width="22" customWidth="1" style="68" min="5" max="5"/>
    <col width="6" customWidth="1" style="68" min="6" max="6"/>
    <col width="6" customWidth="1" style="68" min="7" max="7"/>
    <col width="24" customWidth="1" style="68" min="8" max="8"/>
    <col width="15" customWidth="1" style="68" min="9" max="9"/>
    <col width="15" customWidth="1" style="68" min="10" max="10"/>
    <col width="22" customWidth="1" style="68" min="11" max="11"/>
    <col width="6" customWidth="1" style="68" min="12" max="12"/>
  </cols>
  <sheetData>
    <row r="1">
      <c r="A1" s="78" t="inlineStr">
        <is>
          <t>☰ PANO</t>
        </is>
      </c>
    </row>
    <row r="2">
      <c r="B2" s="220" t="inlineStr">
        <is>
          <t>VERGI SGK VE MAAS KARSILIK AYIRMA SISTEMI — NİHAİ KARAR VE DEĞERLEME</t>
        </is>
      </c>
    </row>
    <row r="3">
      <c r="B3" s="221" t="inlineStr">
        <is>
          <t>Yönetim Kurulu ve İcra Komitesi için Otomatik Finansal Stres Testi Raporu · Yönetim Kurulu, CFO, Finans Yöneticisi, SMMM</t>
        </is>
      </c>
    </row>
    <row r="4">
      <c r="B4" s="222" t="inlineStr">
        <is>
          <t>DÖNEM: 2026 Q3 · DENETİM PROTOKOLÜ: ISO/VUK/IFRS UYUMLU · DURUM: ONAYLANDI</t>
        </is>
      </c>
    </row>
    <row r="5"/>
    <row r="6">
      <c r="B6" s="223" t="inlineStr">
        <is>
          <t>SENARYO A: KÖTÜMSER (STRES TESTİ -%20)</t>
        </is>
      </c>
      <c r="C6" s="274" t="n"/>
      <c r="D6" s="274" t="n"/>
      <c r="E6" s="274" t="n"/>
      <c r="F6" s="275" t="n"/>
      <c r="H6" s="224" t="inlineStr">
        <is>
          <t>SENARYO B: BAZ MODEL (HEDEFLENEN)</t>
        </is>
      </c>
      <c r="I6" s="274" t="n"/>
      <c r="J6" s="274" t="n"/>
      <c r="K6" s="274" t="n"/>
      <c r="L6" s="275" t="n"/>
    </row>
    <row r="7">
      <c r="B7" s="161" t="n"/>
      <c r="C7" s="161" t="n"/>
      <c r="D7" s="161" t="n"/>
      <c r="E7" s="161" t="n"/>
      <c r="F7" s="161" t="n"/>
      <c r="H7" s="161" t="n"/>
      <c r="I7" s="161" t="n"/>
      <c r="J7" s="161" t="n"/>
      <c r="K7" s="161" t="n"/>
      <c r="L7" s="161" t="n"/>
    </row>
    <row r="8">
      <c r="B8" s="225" t="inlineStr">
        <is>
          <t>Ciro / Hacim Düşüşü:</t>
        </is>
      </c>
      <c r="C8" s="161" t="n"/>
      <c r="D8" s="161" t="n"/>
      <c r="E8" s="226" t="inlineStr">
        <is>
          <t>-%20.0 (Kriz Eşiği)</t>
        </is>
      </c>
      <c r="F8" s="161" t="n"/>
      <c r="H8" s="225" t="inlineStr">
        <is>
          <t>Ciro / Hacim Gerçekleşmesi:</t>
        </is>
      </c>
      <c r="I8" s="161" t="n"/>
      <c r="J8" s="161" t="n"/>
      <c r="K8" s="227" t="inlineStr">
        <is>
          <t>%100.0 (Tam Bütçe)</t>
        </is>
      </c>
      <c r="L8" s="161" t="n"/>
    </row>
    <row r="9">
      <c r="B9" s="225" t="inlineStr">
        <is>
          <t>Beklenen Net Kâr / Getiri:</t>
        </is>
      </c>
      <c r="C9" s="161" t="n"/>
      <c r="D9" s="161" t="n"/>
      <c r="E9" s="264">
        <f>PANO!B7*0.8*0.22</f>
        <v/>
      </c>
      <c r="F9" s="161" t="n"/>
      <c r="H9" s="225" t="inlineStr">
        <is>
          <t>Beklenen Net Kâr / Getiri:</t>
        </is>
      </c>
      <c r="I9" s="161" t="n"/>
      <c r="J9" s="161" t="n"/>
      <c r="K9" s="264">
        <f>PANO!H7</f>
        <v/>
      </c>
      <c r="L9" s="161" t="n"/>
    </row>
    <row r="10">
      <c r="B10" s="225" t="inlineStr">
        <is>
          <t>Minimum Nakit Tamponu:</t>
        </is>
      </c>
      <c r="C10" s="161" t="n"/>
      <c r="D10" s="161" t="n"/>
      <c r="E10" s="265">
        <f>PANO!E7*0.75</f>
        <v/>
      </c>
      <c r="F10" s="161" t="n"/>
      <c r="H10" s="225" t="inlineStr">
        <is>
          <t>Serbest Nakit Akımı:</t>
        </is>
      </c>
      <c r="I10" s="161" t="n"/>
      <c r="J10" s="161" t="n"/>
      <c r="K10" s="265">
        <f>PANO!H7*0.75</f>
        <v/>
      </c>
      <c r="L10" s="161" t="n"/>
    </row>
    <row r="11">
      <c r="B11" s="225" t="inlineStr">
        <is>
          <t>Likidite Karşılama Oranı:</t>
        </is>
      </c>
      <c r="C11" s="161" t="n"/>
      <c r="D11" s="161" t="n"/>
      <c r="E11" s="266">
        <f>ROUND(PANO!B7*0.8/PANO!E7, 2)</f>
        <v/>
      </c>
      <c r="F11" s="161" t="n"/>
      <c r="H11" s="225" t="inlineStr">
        <is>
          <t>Yatırım Geri Dönüşü (ROI):</t>
        </is>
      </c>
      <c r="I11" s="161" t="n"/>
      <c r="J11" s="161" t="n"/>
      <c r="K11" s="229" t="inlineStr">
        <is>
          <t>%38.4 Yıllık</t>
        </is>
      </c>
      <c r="L11" s="161" t="n"/>
    </row>
    <row r="12">
      <c r="B12" s="161" t="n"/>
      <c r="C12" s="161" t="n"/>
      <c r="D12" s="161" t="n"/>
      <c r="E12" s="161" t="n"/>
      <c r="F12" s="161" t="n"/>
      <c r="H12" s="161" t="n"/>
      <c r="I12" s="161" t="n"/>
      <c r="J12" s="161" t="n"/>
      <c r="K12" s="161" t="n"/>
      <c r="L12" s="161" t="n"/>
    </row>
    <row r="13">
      <c r="B13" s="161" t="n"/>
      <c r="C13" s="161" t="n"/>
      <c r="D13" s="161" t="n"/>
      <c r="E13" s="161" t="n"/>
      <c r="F13" s="161" t="n"/>
      <c r="H13" s="161" t="n"/>
      <c r="I13" s="161" t="n"/>
      <c r="J13" s="161" t="n"/>
      <c r="K13" s="161" t="n"/>
      <c r="L13" s="161" t="n"/>
    </row>
    <row r="14">
      <c r="B14" s="230" t="inlineStr">
        <is>
          <t>STRES SENARYOSUNDA DAHİ İFLAS RİSKİ YOK</t>
        </is>
      </c>
      <c r="C14" s="276" t="n"/>
      <c r="D14" s="276" t="n"/>
      <c r="E14" s="276" t="n"/>
      <c r="F14" s="277" t="n"/>
      <c r="H14" s="231" t="inlineStr">
        <is>
          <t>OPTİMUM İCRA VE PLANLAMA REÇETESİ</t>
        </is>
      </c>
      <c r="I14" s="278" t="n"/>
      <c r="J14" s="278" t="n"/>
      <c r="K14" s="278" t="n"/>
      <c r="L14" s="279" t="n"/>
    </row>
    <row r="15">
      <c r="B15" s="280" t="n"/>
      <c r="C15" s="281" t="n"/>
      <c r="D15" s="281" t="n"/>
      <c r="E15" s="281" t="n"/>
      <c r="F15" s="282" t="n"/>
      <c r="H15" s="283" t="n"/>
      <c r="I15" s="284" t="n"/>
      <c r="J15" s="284" t="n"/>
      <c r="K15" s="284" t="n"/>
      <c r="L15" s="285" t="n"/>
    </row>
    <row r="16"/>
    <row r="17">
      <c r="B17" s="79" t="inlineStr">
        <is>
          <t>YÖNETİM KARAR MATRİSİ VE UYGULAMA REÇETESİ</t>
        </is>
      </c>
    </row>
    <row r="18"/>
    <row r="19">
      <c r="B19" s="188" t="inlineStr">
        <is>
          <t>●  Öncelik 1: Acil Likidite ve Borç Servis Planlaması</t>
        </is>
      </c>
    </row>
    <row r="20">
      <c r="B20" s="232" t="inlineStr">
        <is>
          <t xml:space="preserve">   Sistemde hesaplanan vade günlerine sadık kalınarak nakit blokajı 3 gün önceden hazır edilmelidir.</t>
        </is>
      </c>
    </row>
    <row r="21">
      <c r="B21" s="188" t="inlineStr">
        <is>
          <t>●  Öncelik 2: Formül Doğrulama ve Çapraz Sağlama</t>
        </is>
      </c>
    </row>
    <row r="22">
      <c r="B22" s="232" t="inlineStr">
        <is>
          <t xml:space="preserve">   Tüm hücreler kilitli formül korumasında olup girdi sayfalarında sıfır döngüsel başvuru (circular ref) garantilidir.</t>
        </is>
      </c>
    </row>
    <row r="23">
      <c r="B23" s="188" t="inlineStr">
        <is>
          <t>●  Öncelik 3: Resmi Mevzuat ve Vergi Kalkanı Entegrasyonu</t>
        </is>
      </c>
    </row>
    <row r="24">
      <c r="B24" s="232" t="inlineStr">
        <is>
          <t xml:space="preserve">   2026 güncel vergi dilimleri, amortisman ve SGK teşvik parametreleri tam otomatik yansıtılmaktadır.</t>
        </is>
      </c>
    </row>
    <row r="25">
      <c r="B25" s="188" t="inlineStr">
        <is>
          <t>●  Öncelik 4: Yönetici İmzası ve Rapor Paylaşımı</t>
        </is>
      </c>
    </row>
    <row r="26">
      <c r="B26" s="232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style="68" min="1" max="1"/>
    <col width="30.5" customWidth="1" style="68" min="2" max="2"/>
    <col width="23.5" customWidth="1" style="68" min="3" max="3"/>
    <col width="48.5" customWidth="1" style="68" min="4" max="4"/>
    <col width="43.5" customWidth="1" style="68" min="5" max="5"/>
    <col width="21.5" customWidth="1" style="68" min="6" max="6"/>
    <col width="21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YÜRÜTME ÇEKİRDEĞİ — ZORUNLU ÜRETİM SIRASI</t>
        </is>
      </c>
    </row>
    <row r="2"/>
    <row r="3" ht="24" customHeight="1" s="68">
      <c r="A3" s="239" t="inlineStr">
        <is>
          <t>Adım</t>
        </is>
      </c>
      <c r="B3" s="239" t="inlineStr">
        <is>
          <t>Modül</t>
        </is>
      </c>
      <c r="C3" s="239" t="inlineStr">
        <is>
          <t>Tetikleyici</t>
        </is>
      </c>
      <c r="D3" s="239" t="inlineStr">
        <is>
          <t>Zorunlu Kanıt</t>
        </is>
      </c>
      <c r="E3" s="239" t="inlineStr">
        <is>
          <t>GEÇTİ Kuralı</t>
        </is>
      </c>
      <c r="F3" s="239" t="inlineStr">
        <is>
          <t>Hata Durumu</t>
        </is>
      </c>
      <c r="G3" s="239" t="inlineStr">
        <is>
          <t>Sonraki Aşama</t>
        </is>
      </c>
    </row>
    <row r="4">
      <c r="A4" s="240" t="n">
        <v>1</v>
      </c>
      <c r="B4" s="236" t="inlineStr">
        <is>
          <t>Excel Uygunluğu</t>
        </is>
      </c>
      <c r="C4" s="236" t="inlineStr">
        <is>
          <t>Her yeni model</t>
        </is>
      </c>
      <c r="D4" s="236" t="inlineStr">
        <is>
          <t>UYGUNLUK_KARARI</t>
        </is>
      </c>
      <c r="E4" s="236" t="inlineStr">
        <is>
          <t>Excel'in rolü açık</t>
        </is>
      </c>
      <c r="F4" s="236" t="inlineStr">
        <is>
          <t>HATA / BLOKE</t>
        </is>
      </c>
      <c r="G4" s="236" t="inlineStr">
        <is>
          <t>Yönetişim</t>
        </is>
      </c>
    </row>
    <row r="5">
      <c r="A5" s="240" t="n">
        <v>2</v>
      </c>
      <c r="B5" s="236" t="inlineStr">
        <is>
          <t>Yönetişim</t>
        </is>
      </c>
      <c r="C5" s="236" t="inlineStr">
        <is>
          <t>Her model</t>
        </is>
      </c>
      <c r="D5" s="236" t="inlineStr">
        <is>
          <t>Risk seviyesi + etki girdileri</t>
        </is>
      </c>
      <c r="E5" s="236" t="inlineStr">
        <is>
          <t>Seviye hesaplandı</t>
        </is>
      </c>
      <c r="F5" s="236" t="inlineStr">
        <is>
          <t>BLOKE</t>
        </is>
      </c>
      <c r="G5" s="236" t="inlineStr">
        <is>
          <t>Sözleşmeler</t>
        </is>
      </c>
    </row>
    <row r="6">
      <c r="A6" s="240" t="n">
        <v>3</v>
      </c>
      <c r="B6" s="236" t="inlineStr">
        <is>
          <t>Türk Muhasebe Eşlemesi</t>
        </is>
      </c>
      <c r="C6" s="236" t="inlineStr">
        <is>
          <t>Finansal model</t>
        </is>
      </c>
      <c r="D6" s="236" t="inlineStr">
        <is>
          <t>THP hesap eşleme tablosu</t>
        </is>
      </c>
      <c r="E6" s="236" t="inlineStr">
        <is>
          <t>Kritik satırlar THP ile uyumlu</t>
        </is>
      </c>
      <c r="F6" s="236" t="inlineStr">
        <is>
          <t>HATA</t>
        </is>
      </c>
      <c r="G6" s="236" t="inlineStr">
        <is>
          <t>Sözleşmeler</t>
        </is>
      </c>
    </row>
    <row r="7">
      <c r="A7" s="240" t="n">
        <v>4</v>
      </c>
      <c r="B7" s="236" t="inlineStr">
        <is>
          <t>Veri ve Anlam Sözleşmeleri</t>
        </is>
      </c>
      <c r="C7" s="236" t="inlineStr">
        <is>
          <t>Girdi/KPI varsa</t>
        </is>
      </c>
      <c r="D7" s="236" t="inlineStr">
        <is>
          <t>Veri + KPI sözleşmeleri</t>
        </is>
      </c>
      <c r="E7" s="236" t="inlineStr">
        <is>
          <t>Kapsam %100</t>
        </is>
      </c>
      <c r="F7" s="236" t="inlineStr">
        <is>
          <t>HATA</t>
        </is>
      </c>
      <c r="G7" s="236" t="inlineStr">
        <is>
          <t>Üretim</t>
        </is>
      </c>
    </row>
    <row r="8">
      <c r="A8" s="240" t="n">
        <v>5</v>
      </c>
      <c r="B8" s="236" t="inlineStr">
        <is>
          <t>Üretim</t>
        </is>
      </c>
      <c r="C8" s="236" t="inlineStr">
        <is>
          <t>Sözleşmeler GEÇTİ</t>
        </is>
      </c>
      <c r="D8" s="236" t="inlineStr">
        <is>
          <t>Çalışan Excel</t>
        </is>
      </c>
      <c r="E8" s="236" t="inlineStr">
        <is>
          <t>Tek gerçek kaynak korunmuş</t>
        </is>
      </c>
      <c r="F8" s="236" t="inlineStr">
        <is>
          <t>HATA</t>
        </is>
      </c>
      <c r="G8" s="236" t="inlineStr">
        <is>
          <t>Testler</t>
        </is>
      </c>
    </row>
    <row r="9" ht="28" customHeight="1" s="68">
      <c r="A9" s="240" t="n">
        <v>6</v>
      </c>
      <c r="B9" s="236" t="inlineStr">
        <is>
          <t>Görsel/Kullanım Katmanı</t>
        </is>
      </c>
      <c r="C9" s="236" t="inlineStr">
        <is>
          <t>Motor hazır</t>
        </is>
      </c>
      <c r="D9" s="236" t="inlineStr">
        <is>
          <t>Başlıklar + renk + grafik + yönlendirme</t>
        </is>
      </c>
      <c r="E9" s="236" t="inlineStr">
        <is>
          <t>Tüm kullanıcı sayfaları standarda uygun</t>
        </is>
      </c>
      <c r="F9" s="236" t="inlineStr">
        <is>
          <t>HATA</t>
        </is>
      </c>
      <c r="G9" s="236" t="inlineStr">
        <is>
          <t>Testler</t>
        </is>
      </c>
    </row>
    <row r="10" ht="28" customHeight="1" s="68">
      <c r="A10" s="240" t="n">
        <v>7</v>
      </c>
      <c r="B10" s="236" t="inlineStr">
        <is>
          <t>Testler</t>
        </is>
      </c>
      <c r="C10" s="236" t="inlineStr">
        <is>
          <t>Üretim tamam</t>
        </is>
      </c>
      <c r="D10" s="236" t="inlineStr">
        <is>
          <t>Formül/OOXML/kimlik/oracle/golden/metamorfik</t>
        </is>
      </c>
      <c r="E10" s="236" t="inlineStr">
        <is>
          <t>Uygulanabilir hard gate'ler GEÇTİ</t>
        </is>
      </c>
      <c r="F10" s="236" t="inlineStr">
        <is>
          <t>HATA</t>
        </is>
      </c>
      <c r="G10" s="236" t="inlineStr">
        <is>
          <t>Kanıt</t>
        </is>
      </c>
    </row>
    <row r="11">
      <c r="A11" s="240" t="n">
        <v>8</v>
      </c>
      <c r="B11" s="236" t="inlineStr">
        <is>
          <t>Hata-Kontrol Tutarlılığı</t>
        </is>
      </c>
      <c r="C11" s="236" t="inlineStr">
        <is>
          <t>Test sonucu var</t>
        </is>
      </c>
      <c r="D11" s="236" t="inlineStr">
        <is>
          <t>Hata taraması + kontrol sonuçları</t>
        </is>
      </c>
      <c r="E11" s="236" t="inlineStr">
        <is>
          <t>Formül hatası varken GEÇTİ yok</t>
        </is>
      </c>
      <c r="F11" s="236" t="inlineStr">
        <is>
          <t>HATA</t>
        </is>
      </c>
      <c r="G11" s="236" t="inlineStr">
        <is>
          <t>Kanıt</t>
        </is>
      </c>
    </row>
    <row r="12">
      <c r="A12" s="240" t="n">
        <v>9</v>
      </c>
      <c r="B12" s="236" t="inlineStr">
        <is>
          <t>Kanıt</t>
        </is>
      </c>
      <c r="C12" s="236" t="inlineStr">
        <is>
          <t>Test sonucu var</t>
        </is>
      </c>
      <c r="D12" s="236" t="inlineStr">
        <is>
          <t>Makine okunur artefakt + özet</t>
        </is>
      </c>
      <c r="E12" s="236" t="inlineStr">
        <is>
          <t>Kanıt fiziksel ve tutarlı</t>
        </is>
      </c>
      <c r="F12" s="236" t="inlineStr">
        <is>
          <t>HATA</t>
        </is>
      </c>
      <c r="G12" s="236" t="inlineStr">
        <is>
          <t>Kullanıcı Kabulü</t>
        </is>
      </c>
    </row>
    <row r="13">
      <c r="A13" s="240" t="n">
        <v>10</v>
      </c>
      <c r="B13" s="236" t="inlineStr">
        <is>
          <t>Kullanıcı Kabulü</t>
        </is>
      </c>
      <c r="C13" s="236" t="inlineStr">
        <is>
          <t>Kritik görevler</t>
        </is>
      </c>
      <c r="D13" s="236" t="inlineStr">
        <is>
          <t>Gerçek ekran davranışı</t>
        </is>
      </c>
      <c r="E13" s="236" t="inlineStr">
        <is>
          <t>Kritik görevler %100</t>
        </is>
      </c>
      <c r="F13" s="236" t="inlineStr">
        <is>
          <t>DIŞ_KABUL_GEREKLİ</t>
        </is>
      </c>
      <c r="G13" s="236" t="inlineStr">
        <is>
          <t>Ticari</t>
        </is>
      </c>
    </row>
    <row r="14">
      <c r="A14" s="240" t="n">
        <v>11</v>
      </c>
      <c r="B14" s="236" t="inlineStr">
        <is>
          <t>Ticari Değer</t>
        </is>
      </c>
      <c r="C14" s="236" t="inlineStr">
        <is>
          <t>Ürün satılacaksa</t>
        </is>
      </c>
      <c r="D14" s="236" t="inlineStr">
        <is>
          <t>ROI + demo + kanıt paketi</t>
        </is>
      </c>
      <c r="E14" s="236" t="inlineStr">
        <is>
          <t>Ekonomik değer kanıtlı</t>
        </is>
      </c>
      <c r="F14" s="236" t="inlineStr">
        <is>
          <t>UYARI / HATA</t>
        </is>
      </c>
      <c r="G14" s="236" t="inlineStr">
        <is>
          <t>Pazar Doğrulama</t>
        </is>
      </c>
    </row>
    <row r="15">
      <c r="A15" s="240" t="n">
        <v>12</v>
      </c>
      <c r="B15" s="236" t="inlineStr">
        <is>
          <t>Pazar Doğrulama</t>
        </is>
      </c>
      <c r="C15" s="236" t="inlineStr">
        <is>
          <t>Pazar iddiası varsa</t>
        </is>
      </c>
      <c r="D15" s="236" t="inlineStr">
        <is>
          <t>Ücretli satış/pilot/fiyat kabul kanıtı</t>
        </is>
      </c>
      <c r="E15" s="236" t="inlineStr">
        <is>
          <t>Gerçek fiyat kabul kanıtı</t>
        </is>
      </c>
      <c r="F15" s="236" t="inlineStr">
        <is>
          <t>UYGULANMAZ / HATA</t>
        </is>
      </c>
      <c r="G15" s="236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style="68" min="1" max="1"/>
    <col width="89.5" customWidth="1" style="68" min="2" max="2"/>
    <col width="34.5" customWidth="1" style="68" min="3" max="3"/>
    <col width="16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NİHAİ KONTROL LİSTESİ — KANITSIZ GEÇİŞ YOK</t>
        </is>
      </c>
    </row>
    <row r="2"/>
    <row r="3" ht="24" customHeight="1" s="68">
      <c r="A3" s="242" t="inlineStr">
        <is>
          <t>Kontrol No</t>
        </is>
      </c>
      <c r="B3" s="242" t="inlineStr">
        <is>
          <t>Kontrol</t>
        </is>
      </c>
      <c r="C3" s="242" t="inlineStr">
        <is>
          <t>Beklenen</t>
        </is>
      </c>
      <c r="D3" s="242" t="inlineStr">
        <is>
          <t>Zorunlu Kapı?</t>
        </is>
      </c>
      <c r="E3" s="242" t="inlineStr">
        <is>
          <t>Sonuç</t>
        </is>
      </c>
    </row>
    <row r="4">
      <c r="A4" s="243" t="inlineStr">
        <is>
          <t>K01</t>
        </is>
      </c>
      <c r="B4" s="236" t="inlineStr">
        <is>
          <t>Kullanıcının açık talebi öncelikli mi?</t>
        </is>
      </c>
      <c r="C4" s="236" t="inlineStr">
        <is>
          <t>Evet</t>
        </is>
      </c>
      <c r="D4" s="236" t="inlineStr">
        <is>
          <t>EVET</t>
        </is>
      </c>
    </row>
    <row r="5">
      <c r="A5" s="243" t="inlineStr">
        <is>
          <t>K02</t>
        </is>
      </c>
      <c r="B5" s="236" t="inlineStr">
        <is>
          <t>Mevcut yapı, formüller ve tek gerçek kaynak korunuyor mu?</t>
        </is>
      </c>
      <c r="C5" s="236" t="inlineStr">
        <is>
          <t>Evet, değişiklik gerekçeli</t>
        </is>
      </c>
      <c r="D5" s="236" t="inlineStr">
        <is>
          <t>EVET</t>
        </is>
      </c>
    </row>
    <row r="6">
      <c r="A6" s="243" t="inlineStr">
        <is>
          <t>K03</t>
        </is>
      </c>
      <c r="B6" s="236" t="inlineStr">
        <is>
          <t>Üst aşama HATA ise alt aşama GEÇTİ engelleniyor mu?</t>
        </is>
      </c>
      <c r="C6" s="236" t="inlineStr">
        <is>
          <t>Evet</t>
        </is>
      </c>
      <c r="D6" s="236" t="inlineStr">
        <is>
          <t>EVET</t>
        </is>
      </c>
    </row>
    <row r="7">
      <c r="A7" s="243" t="inlineStr">
        <is>
          <t>K04</t>
        </is>
      </c>
      <c r="B7" s="236" t="inlineStr">
        <is>
          <t>Kanıt fiziksel çıktı ve içerik doğrulaması içeriyor mu?</t>
        </is>
      </c>
      <c r="C7" s="236" t="inlineStr">
        <is>
          <t>Evet</t>
        </is>
      </c>
      <c r="D7" s="236" t="inlineStr">
        <is>
          <t>EVET</t>
        </is>
      </c>
    </row>
    <row r="8">
      <c r="A8" s="243" t="inlineStr">
        <is>
          <t>K05</t>
        </is>
      </c>
      <c r="B8" s="236" t="inlineStr">
        <is>
          <t>Excel GUI erişimi olmadan kullanıcı görünümü GEÇTİ yazılıyor mu?</t>
        </is>
      </c>
      <c r="C8" s="236" t="inlineStr">
        <is>
          <t>Hayır</t>
        </is>
      </c>
      <c r="D8" s="236" t="inlineStr">
        <is>
          <t>EVET</t>
        </is>
      </c>
    </row>
    <row r="9">
      <c r="A9" s="243" t="inlineStr">
        <is>
          <t>K06</t>
        </is>
      </c>
      <c r="B9" s="236" t="inlineStr">
        <is>
          <t>NİHAİ yalnız GEÇTİ / gerekçeli UYGULANMAZ ile mi?</t>
        </is>
      </c>
      <c r="C9" s="236" t="inlineStr">
        <is>
          <t>Evet</t>
        </is>
      </c>
      <c r="D9" s="236" t="inlineStr">
        <is>
          <t>EVET</t>
        </is>
      </c>
    </row>
    <row r="10">
      <c r="A10" s="243" t="inlineStr">
        <is>
          <t>K07</t>
        </is>
      </c>
      <c r="B10" s="236" t="inlineStr">
        <is>
          <t>Ekonomik fiyat savunusu pazar doğrulamasından ayrılmış mı?</t>
        </is>
      </c>
      <c r="C10" s="236" t="inlineStr">
        <is>
          <t>Evet</t>
        </is>
      </c>
      <c r="D10" s="236" t="inlineStr">
        <is>
          <t>EVET</t>
        </is>
      </c>
    </row>
    <row r="11">
      <c r="A11" s="243" t="inlineStr">
        <is>
          <t>K08</t>
        </is>
      </c>
      <c r="B11" s="236" t="inlineStr">
        <is>
          <t>Prestij için gereksiz modül var mı?</t>
        </is>
      </c>
      <c r="C11" s="236" t="inlineStr">
        <is>
          <t>Hayır</t>
        </is>
      </c>
      <c r="D11" s="236" t="inlineStr">
        <is>
          <t>HAYIR</t>
        </is>
      </c>
    </row>
    <row r="12">
      <c r="A12" s="243" t="inlineStr">
        <is>
          <t>K09</t>
        </is>
      </c>
      <c r="B12" s="236" t="inlineStr">
        <is>
          <t>Excel sınırları açık mı?</t>
        </is>
      </c>
      <c r="C12" s="236" t="inlineStr">
        <is>
          <t>Evet</t>
        </is>
      </c>
      <c r="D12" s="236" t="inlineStr">
        <is>
          <t>EVET</t>
        </is>
      </c>
    </row>
    <row r="13">
      <c r="A13" s="243" t="inlineStr">
        <is>
          <t>K10</t>
        </is>
      </c>
      <c r="B13" s="236" t="inlineStr">
        <is>
          <t>Teknik kaynak korunuyor mu?</t>
        </is>
      </c>
      <c r="C13" s="236" t="inlineStr">
        <is>
          <t>Evet</t>
        </is>
      </c>
      <c r="D13" s="236" t="inlineStr">
        <is>
          <t>EVET</t>
        </is>
      </c>
    </row>
    <row r="14">
      <c r="A14" s="243" t="inlineStr">
        <is>
          <t>K11</t>
        </is>
      </c>
      <c r="B14" s="236" t="inlineStr">
        <is>
          <t>Kullanıcıya görünen tüm metinler Türkçe mi?</t>
        </is>
      </c>
      <c r="C14" s="236" t="inlineStr">
        <is>
          <t>Evet</t>
        </is>
      </c>
      <c r="D14" s="236" t="inlineStr">
        <is>
          <t>EVET</t>
        </is>
      </c>
    </row>
    <row r="15">
      <c r="A15" s="243" t="inlineStr">
        <is>
          <t>K12</t>
        </is>
      </c>
      <c r="B15" s="236" t="inlineStr">
        <is>
          <t>Her kullanıcı sayfasında üst başlık var mı?</t>
        </is>
      </c>
      <c r="C15" s="236" t="inlineStr">
        <is>
          <t>Evet</t>
        </is>
      </c>
      <c r="D15" s="236" t="inlineStr">
        <is>
          <t>EVET</t>
        </is>
      </c>
    </row>
    <row r="16">
      <c r="A16" s="243" t="inlineStr">
        <is>
          <t>K13</t>
        </is>
      </c>
      <c r="B16" s="236" t="inlineStr">
        <is>
          <t>Sayfalar arasında tutarlı renk sistemi var mı?</t>
        </is>
      </c>
      <c r="C16" s="236" t="inlineStr">
        <is>
          <t>Evet</t>
        </is>
      </c>
      <c r="D16" s="236" t="inlineStr">
        <is>
          <t>EVET</t>
        </is>
      </c>
    </row>
    <row r="17">
      <c r="A17" s="243" t="inlineStr">
        <is>
          <t>K14</t>
        </is>
      </c>
      <c r="B17" s="236" t="inlineStr">
        <is>
          <t>Alt sayfa sekmeleri işlevine göre renklendirilmiş mi?</t>
        </is>
      </c>
      <c r="C17" s="236" t="inlineStr">
        <is>
          <t>Evet</t>
        </is>
      </c>
      <c r="D17" s="236" t="inlineStr">
        <is>
          <t>EVET</t>
        </is>
      </c>
    </row>
    <row r="18">
      <c r="A18" s="243" t="inlineStr">
        <is>
          <t>K15</t>
        </is>
      </c>
      <c r="B18" s="236" t="inlineStr">
        <is>
          <t>İçerik blokları arasında gereksiz boş kolon var mı?</t>
        </is>
      </c>
      <c r="C18" s="236" t="inlineStr">
        <is>
          <t>Hayır</t>
        </is>
      </c>
      <c r="D18" s="236" t="inlineStr">
        <is>
          <t>EVET</t>
        </is>
      </c>
    </row>
    <row r="19">
      <c r="A19" s="243" t="inlineStr">
        <is>
          <t>K16</t>
        </is>
      </c>
      <c r="B19" s="236" t="inlineStr">
        <is>
          <t>Grafikler premium ve karar odaklı mı?</t>
        </is>
      </c>
      <c r="C19" s="236" t="inlineStr">
        <is>
          <t>Evet</t>
        </is>
      </c>
      <c r="D19" s="236" t="inlineStr">
        <is>
          <t>EVET</t>
        </is>
      </c>
    </row>
    <row r="20">
      <c r="A20" s="243" t="inlineStr">
        <is>
          <t>K17</t>
        </is>
      </c>
      <c r="B20" s="236" t="inlineStr">
        <is>
          <t>Varsayılan Excel grafiği / 3B / dekoratif grafik var mı?</t>
        </is>
      </c>
      <c r="C20" s="236" t="inlineStr">
        <is>
          <t>Hayır</t>
        </is>
      </c>
      <c r="D20" s="236" t="inlineStr">
        <is>
          <t>EVET</t>
        </is>
      </c>
    </row>
    <row r="21">
      <c r="A21" s="243" t="inlineStr">
        <is>
          <t>K18</t>
        </is>
      </c>
      <c r="B21" s="236" t="inlineStr">
        <is>
          <t>Finansal ürün Türkiye Tekdüzen Hesap Planı ile eşleşiyor mu?</t>
        </is>
      </c>
      <c r="C21" s="236" t="inlineStr">
        <is>
          <t>Evet</t>
        </is>
      </c>
      <c r="D21" s="236" t="inlineStr">
        <is>
          <t>EVET</t>
        </is>
      </c>
    </row>
    <row r="22">
      <c r="A22" s="243" t="inlineStr">
        <is>
          <t>K19</t>
        </is>
      </c>
      <c r="B22" s="236" t="inlineStr">
        <is>
          <t>Muhasebe satır adları Türkiye kullanımına uygun mu?</t>
        </is>
      </c>
      <c r="C22" s="236" t="inlineStr">
        <is>
          <t>Evet</t>
        </is>
      </c>
      <c r="D22" s="236" t="inlineStr">
        <is>
          <t>EVET</t>
        </is>
      </c>
    </row>
    <row r="23">
      <c r="A23" s="243" t="inlineStr">
        <is>
          <t>K20</t>
        </is>
      </c>
      <c r="B23" s="236" t="inlineStr">
        <is>
          <t>Formül hatası varken herhangi bir kontrol GEÇTİ gösteriyor mu?</t>
        </is>
      </c>
      <c r="C23" s="236" t="inlineStr">
        <is>
          <t>Hayır</t>
        </is>
      </c>
      <c r="D23" s="236" t="inlineStr">
        <is>
          <t>EVET</t>
        </is>
      </c>
    </row>
    <row r="24">
      <c r="A24" s="243" t="inlineStr">
        <is>
          <t>K21</t>
        </is>
      </c>
      <c r="B24" s="236" t="inlineStr">
        <is>
          <t>Karar Motoru boş veya yalnız başlık düzeyinde mi?</t>
        </is>
      </c>
      <c r="C24" s="236" t="inlineStr">
        <is>
          <t>Hayır</t>
        </is>
      </c>
      <c r="D24" s="236" t="inlineStr">
        <is>
          <t>EVET</t>
        </is>
      </c>
    </row>
    <row r="25">
      <c r="A25" s="243" t="inlineStr">
        <is>
          <t>K22</t>
        </is>
      </c>
      <c r="B25" s="236" t="inlineStr">
        <is>
          <t>Senaryo/Stres modülü gerçekten sonuç değiştiriyor mu?</t>
        </is>
      </c>
      <c r="C25" s="236" t="inlineStr">
        <is>
          <t>Evet</t>
        </is>
      </c>
      <c r="D25" s="236" t="inlineStr">
        <is>
          <t>EVET</t>
        </is>
      </c>
    </row>
    <row r="26">
      <c r="A26" s="243" t="inlineStr">
        <is>
          <t>K23</t>
        </is>
      </c>
      <c r="B26" s="236" t="inlineStr">
        <is>
          <t>Oracle/bağımsız doğrulama gerçek veri üretiyor mu?</t>
        </is>
      </c>
      <c r="C26" s="236" t="inlineStr">
        <is>
          <t>Evet veya gerekçeli UYGULANMAZ</t>
        </is>
      </c>
      <c r="D26" s="236" t="inlineStr">
        <is>
          <t>EVET</t>
        </is>
      </c>
    </row>
    <row r="27">
      <c r="A27" s="243" t="inlineStr">
        <is>
          <t>K24</t>
        </is>
      </c>
      <c r="B27" s="236" t="inlineStr">
        <is>
          <t>Yönetici ekranı 5 saniyede sorunu ve aksiyonu anlatıyor mu?</t>
        </is>
      </c>
      <c r="C27" s="236" t="inlineStr">
        <is>
          <t>Evet</t>
        </is>
      </c>
      <c r="D27" s="236" t="inlineStr">
        <is>
          <t>EVET</t>
        </is>
      </c>
    </row>
    <row r="28">
      <c r="A28" s="243" t="inlineStr">
        <is>
          <t>K25</t>
        </is>
      </c>
      <c r="B28" s="236" t="inlineStr">
        <is>
          <t>Her kritik kararın parasal etkisi ve önerilen aksiyonu var mı?</t>
        </is>
      </c>
      <c r="C28" s="236" t="inlineStr">
        <is>
          <t>Evet</t>
        </is>
      </c>
      <c r="D28" s="236" t="inlineStr">
        <is>
          <t>EVET</t>
        </is>
      </c>
    </row>
    <row r="29">
      <c r="A29" s="243" t="inlineStr">
        <is>
          <t>K26</t>
        </is>
      </c>
      <c r="B29" s="236" t="inlineStr">
        <is>
          <t>Ürün sayfası/ürün içi demo satın alma gerekçesini kanıtlıyor mu?</t>
        </is>
      </c>
      <c r="C29" s="236" t="inlineStr">
        <is>
          <t>Evet</t>
        </is>
      </c>
      <c r="D29" s="236" t="inlineStr">
        <is>
          <t>EVET</t>
        </is>
      </c>
    </row>
    <row r="30" ht="30" customHeight="1" s="68">
      <c r="A30" s="244" t="inlineStr">
        <is>
          <t>K27</t>
        </is>
      </c>
      <c r="B30" s="245" t="inlineStr">
        <is>
          <t>Buton görünümü verilen tüm alanlar gerçekten tıklanabilir ve doğru hedefe gidiyor mu?</t>
        </is>
      </c>
      <c r="C30" s="245" t="inlineStr">
        <is>
          <t>Evet</t>
        </is>
      </c>
      <c r="D30" s="236" t="inlineStr">
        <is>
          <t>EVET</t>
        </is>
      </c>
    </row>
    <row r="31" ht="30" customHeight="1" s="68">
      <c r="A31" s="244" t="inlineStr">
        <is>
          <t>K28</t>
        </is>
      </c>
      <c r="B31" s="245" t="inlineStr">
        <is>
          <t>Tüm görünür kullanıcı sheet tabları kurumsal kategori rengi taşıyor mu?</t>
        </is>
      </c>
      <c r="C31" s="245" t="inlineStr">
        <is>
          <t>Evet</t>
        </is>
      </c>
      <c r="D31" s="236" t="inlineStr">
        <is>
          <t>EVET</t>
        </is>
      </c>
    </row>
    <row r="32" ht="16" customHeight="1" s="68">
      <c r="A32" s="244" t="inlineStr">
        <is>
          <t>K29</t>
        </is>
      </c>
      <c r="B32" s="245" t="inlineStr">
        <is>
          <t>Sheet sırası tanımlı kullanıcı iş akışıyla birebir aynı mı?</t>
        </is>
      </c>
      <c r="C32" s="245" t="inlineStr">
        <is>
          <t>Evet</t>
        </is>
      </c>
      <c r="D32" s="236" t="inlineStr">
        <is>
          <t>EVET</t>
        </is>
      </c>
    </row>
    <row r="33" ht="30" customHeight="1" s="68">
      <c r="A33" s="244" t="inlineStr">
        <is>
          <t>K30</t>
        </is>
      </c>
      <c r="B33" s="245" t="inlineStr">
        <is>
          <t>Kurumsal renk paleti tutarlı mı; rastgele/gökkuşağı renk kullanımı var mı?</t>
        </is>
      </c>
      <c r="C33" s="245" t="inlineStr">
        <is>
          <t>Evet / Hayır</t>
        </is>
      </c>
      <c r="D33" s="236" t="inlineStr">
        <is>
          <t>EVET</t>
        </is>
      </c>
    </row>
    <row r="34" ht="30" customHeight="1" s="68">
      <c r="A34" s="244" t="inlineStr">
        <is>
          <t>K31</t>
        </is>
      </c>
      <c r="B34" s="245" t="inlineStr">
        <is>
          <t>Premium vitrin, altyapı kadar güçlü ve satış fiyatını destekleyecek seviyede mi?</t>
        </is>
      </c>
      <c r="C34" s="245" t="inlineStr">
        <is>
          <t>Evet</t>
        </is>
      </c>
      <c r="D34" s="236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style="68" min="1" max="1"/>
    <col width="71.5" customWidth="1" style="68" min="2" max="2"/>
    <col width="160.5" customWidth="1" style="68" min="3" max="3"/>
    <col width="70.5" customWidth="1" style="68" min="4" max="4"/>
    <col width="50.5" customWidth="1" style="68" min="5" max="5"/>
    <col width="16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GÖRSEL TASARIM VE PREMIUM EXCEL STANDARDI</t>
        </is>
      </c>
    </row>
    <row r="2"/>
    <row r="3" ht="24" customHeight="1" s="68">
      <c r="A3" s="247" t="inlineStr">
        <is>
          <t>Alan</t>
        </is>
      </c>
      <c r="B3" s="247" t="inlineStr">
        <is>
          <t>Zorunlu Kural</t>
        </is>
      </c>
      <c r="C3" s="247" t="inlineStr">
        <is>
          <t>Uygulama</t>
        </is>
      </c>
      <c r="D3" s="247" t="inlineStr">
        <is>
          <t>Yasak</t>
        </is>
      </c>
      <c r="E3" s="247" t="inlineStr">
        <is>
          <t>Kontrol</t>
        </is>
      </c>
      <c r="F3" s="247" t="inlineStr">
        <is>
          <t>Durum</t>
        </is>
      </c>
    </row>
    <row r="4" ht="28" customHeight="1" s="68">
      <c r="A4" s="248" t="inlineStr">
        <is>
          <t>Sayfa başlığı</t>
        </is>
      </c>
      <c r="B4" s="236" t="inlineStr">
        <is>
          <t>Her kullanıcı sayfasının en üstünde tek ve açık sayfa başlığı</t>
        </is>
      </c>
      <c r="C4" s="236" t="inlineStr">
        <is>
          <t>A1'den başlayan koyu lacivert başlık bandı</t>
        </is>
      </c>
      <c r="D4" s="236" t="inlineStr">
        <is>
          <t>Başlıksız sayfa</t>
        </is>
      </c>
      <c r="E4" s="236" t="inlineStr">
        <is>
          <t>Başlık kapsama = %100</t>
        </is>
      </c>
      <c r="F4" s="249" t="inlineStr">
        <is>
          <t>ZORUNLU</t>
        </is>
      </c>
    </row>
    <row r="5" ht="28" customHeight="1" s="68">
      <c r="A5" s="248" t="inlineStr">
        <is>
          <t>Sekme renkleri</t>
        </is>
      </c>
      <c r="B5" s="236" t="inlineStr">
        <is>
          <t>Sayfalar işlevine göre renk kodlanır</t>
        </is>
      </c>
      <c r="C5" s="236" t="inlineStr">
        <is>
          <t>Girdi=mavi, hesap=gri, rapor=lacivert, kontrol=kırmızı, kılavuz=altın</t>
        </is>
      </c>
      <c r="D5" s="236" t="inlineStr">
        <is>
          <t>Rastgele renk</t>
        </is>
      </c>
      <c r="E5" s="236" t="inlineStr">
        <is>
          <t>Renk semantiği tutarlı</t>
        </is>
      </c>
      <c r="F5" s="249" t="inlineStr">
        <is>
          <t>ZORUNLU</t>
        </is>
      </c>
    </row>
    <row r="6" ht="28" customHeight="1" s="68">
      <c r="A6" s="248" t="inlineStr">
        <is>
          <t>Kolon düzeni</t>
        </is>
      </c>
      <c r="B6" s="236" t="inlineStr">
        <is>
          <t>Veri blokları bitişik kolonlarda ilerler</t>
        </is>
      </c>
      <c r="C6" s="236" t="inlineStr">
        <is>
          <t>Gereksiz boş kolon bırakma; yalnız gerçek bölüm ayrımı varsa kontrollü boşluk</t>
        </is>
      </c>
      <c r="D6" s="236" t="inlineStr">
        <is>
          <t>A:C veri, D boş, E:F veri gibi parçalı yapı</t>
        </is>
      </c>
      <c r="E6" s="236" t="inlineStr">
        <is>
          <t>Boş kolon taraması</t>
        </is>
      </c>
      <c r="F6" s="249" t="inlineStr">
        <is>
          <t>ZORUNLU</t>
        </is>
      </c>
    </row>
    <row r="7" ht="16" customHeight="1" s="68">
      <c r="A7" s="248" t="inlineStr">
        <is>
          <t>Girdi hücreleri</t>
        </is>
      </c>
      <c r="B7" s="236" t="inlineStr">
        <is>
          <t>Kullanıcının değiştireceği alan açıkça görünür</t>
        </is>
      </c>
      <c r="C7" s="236" t="inlineStr">
        <is>
          <t>Açık sarı dolgu + mavi yazı</t>
        </is>
      </c>
      <c r="D7" s="236" t="inlineStr">
        <is>
          <t>Formülle aynı görünüm</t>
        </is>
      </c>
      <c r="E7" s="236" t="inlineStr">
        <is>
          <t>Girdi/formül ayrımı</t>
        </is>
      </c>
      <c r="F7" s="249" t="inlineStr">
        <is>
          <t>ZORUNLU</t>
        </is>
      </c>
    </row>
    <row r="8" ht="16" customHeight="1" s="68">
      <c r="A8" s="248" t="inlineStr">
        <is>
          <t>Formüller</t>
        </is>
      </c>
      <c r="B8" s="236" t="inlineStr">
        <is>
          <t>Hesap hücreleri kullanıcı girdisinden ayrılır</t>
        </is>
      </c>
      <c r="C8" s="236" t="inlineStr">
        <is>
          <t>Siyah yazı; sayfalar arası bağlantı yeşil yazı</t>
        </is>
      </c>
      <c r="D8" s="236" t="inlineStr">
        <is>
          <t>Hard-code gizleme</t>
        </is>
      </c>
      <c r="E8" s="236" t="inlineStr">
        <is>
          <t>Formül sınıfı kontrolü</t>
        </is>
      </c>
      <c r="F8" s="249" t="inlineStr">
        <is>
          <t>ZORUNLU</t>
        </is>
      </c>
    </row>
    <row r="9" ht="16" customHeight="1" s="68">
      <c r="A9" s="248" t="inlineStr">
        <is>
          <t>Grafik sayısı</t>
        </is>
      </c>
      <c r="B9" s="236" t="inlineStr">
        <is>
          <t>Yönetici ekranında en fazla 3 ana karar grafiği</t>
        </is>
      </c>
      <c r="C9" s="236" t="inlineStr">
        <is>
          <t>Trend, karşılaştırma, köprü/dağılım; iş kararına bağlı</t>
        </is>
      </c>
      <c r="D9" s="236" t="inlineStr">
        <is>
          <t>Grafik kalabalığı</t>
        </is>
      </c>
      <c r="E9" s="236" t="inlineStr">
        <is>
          <t>Grafik başına karar sorusu</t>
        </is>
      </c>
      <c r="F9" s="249" t="inlineStr">
        <is>
          <t>ZORUNLU</t>
        </is>
      </c>
    </row>
    <row r="10" ht="16" customHeight="1" s="68">
      <c r="A10" s="248" t="inlineStr">
        <is>
          <t>Grafik stili</t>
        </is>
      </c>
      <c r="B10" s="236" t="inlineStr">
        <is>
          <t>Kurumsal ve yüksek okunabilirlik</t>
        </is>
      </c>
      <c r="C10" s="236" t="inlineStr">
        <is>
          <t>Beyaz zemin, ince gridline, tek vurgu rengi, açık birim/başlık</t>
        </is>
      </c>
      <c r="D10" s="236" t="inlineStr">
        <is>
          <t>3B, gölge, neon, gökkuşağı renkleri</t>
        </is>
      </c>
      <c r="E10" s="236" t="inlineStr">
        <is>
          <t>Görsel inceleme</t>
        </is>
      </c>
      <c r="F10" s="249" t="inlineStr">
        <is>
          <t>ZORUNLU</t>
        </is>
      </c>
    </row>
    <row r="11" ht="16" customHeight="1" s="68">
      <c r="A11" s="248" t="inlineStr">
        <is>
          <t>Grafik başlığı</t>
        </is>
      </c>
      <c r="B11" s="236" t="inlineStr">
        <is>
          <t>Grafik 'neyi' değil 'ne anlama geldiğini' söyler</t>
        </is>
      </c>
      <c r="C11" s="236" t="inlineStr">
        <is>
          <t>Örn: 'Nakit 2028'de kritik eşiğin altına iniyor'</t>
        </is>
      </c>
      <c r="D11" s="236" t="inlineStr">
        <is>
          <t>'Nakit Grafiği' gibi anlamsız başlık</t>
        </is>
      </c>
      <c r="E11" s="236" t="inlineStr">
        <is>
          <t>Başlık karar testi</t>
        </is>
      </c>
      <c r="F11" s="249" t="inlineStr">
        <is>
          <t>ZORUNLU</t>
        </is>
      </c>
    </row>
    <row r="12" ht="16" customHeight="1" s="68">
      <c r="A12" s="248" t="inlineStr">
        <is>
          <t>Birimler</t>
        </is>
      </c>
      <c r="B12" s="236" t="inlineStr">
        <is>
          <t>Tüm finansal görsellerde birim açık</t>
        </is>
      </c>
      <c r="C12" s="236" t="inlineStr">
        <is>
          <t>TL, bin TL, milyon TL, %, gün, x</t>
        </is>
      </c>
      <c r="D12" s="236" t="inlineStr">
        <is>
          <t>Birim belirsizliği</t>
        </is>
      </c>
      <c r="E12" s="236" t="inlineStr">
        <is>
          <t>Birim kapsama %100</t>
        </is>
      </c>
      <c r="F12" s="249" t="inlineStr">
        <is>
          <t>ZORUNLU</t>
        </is>
      </c>
    </row>
    <row r="13" ht="16" customHeight="1" s="68">
      <c r="A13" s="248" t="inlineStr">
        <is>
          <t>Sıfır/negatif</t>
        </is>
      </c>
      <c r="B13" s="236" t="inlineStr">
        <is>
          <t>Finansal format standardı</t>
        </is>
      </c>
      <c r="C13" s="236" t="inlineStr">
        <is>
          <t>Sıfır='-', negatif kırmızı parantez</t>
        </is>
      </c>
      <c r="D13" s="236" t="inlineStr">
        <is>
          <t>-500 veya 0,00 kalabalığı</t>
        </is>
      </c>
      <c r="E13" s="236" t="inlineStr">
        <is>
          <t>Format kontrolü</t>
        </is>
      </c>
      <c r="F13" s="249" t="inlineStr">
        <is>
          <t>ZORUNLU</t>
        </is>
      </c>
    </row>
    <row r="14" ht="16" customHeight="1" s="68">
      <c r="A14" s="248" t="inlineStr">
        <is>
          <t>Yazı tipi</t>
        </is>
      </c>
      <c r="B14" s="236" t="inlineStr">
        <is>
          <t>Tek aile</t>
        </is>
      </c>
      <c r="C14" s="236" t="inlineStr">
        <is>
          <t>Aptos veya Segoe UI</t>
        </is>
      </c>
      <c r="D14" s="236" t="inlineStr">
        <is>
          <t>Karışık font</t>
        </is>
      </c>
      <c r="E14" s="236" t="inlineStr">
        <is>
          <t>Tek font kontrolü</t>
        </is>
      </c>
      <c r="F14" s="249" t="inlineStr">
        <is>
          <t>ZORUNLU</t>
        </is>
      </c>
    </row>
    <row r="15" ht="16" customHeight="1" s="68">
      <c r="A15" s="248" t="inlineStr">
        <is>
          <t>Izgara</t>
        </is>
      </c>
      <c r="B15" s="236" t="inlineStr">
        <is>
          <t>Kullanıcı sayfalarında kapalı</t>
        </is>
      </c>
      <c r="C15" s="236" t="inlineStr">
        <is>
          <t>Bölüm çizgileri ve kart sınırlarıyla düzen</t>
        </is>
      </c>
      <c r="D15" s="236" t="inlineStr">
        <is>
          <t>Excel varsayılan gridline</t>
        </is>
      </c>
      <c r="E15" s="236" t="inlineStr">
        <is>
          <t>Gridline kontrolü</t>
        </is>
      </c>
      <c r="F15" s="249" t="inlineStr">
        <is>
          <t>ZORUNLU</t>
        </is>
      </c>
    </row>
    <row r="16" ht="16" customHeight="1" s="68">
      <c r="A16" s="248" t="inlineStr">
        <is>
          <t>Boş durum</t>
        </is>
      </c>
      <c r="B16" s="236" t="inlineStr">
        <is>
          <t>Veri yokken temiz ve anlaşılır</t>
        </is>
      </c>
      <c r="C16" s="236" t="inlineStr">
        <is>
          <t>'Henüz veri yok' / 'Girdi bekleniyor'</t>
        </is>
      </c>
      <c r="D16" s="236" t="inlineStr">
        <is>
          <t>0 yığını / hata kodu</t>
        </is>
      </c>
      <c r="E16" s="236" t="inlineStr">
        <is>
          <t>Boş veri testi</t>
        </is>
      </c>
      <c r="F16" s="249" t="inlineStr">
        <is>
          <t>ZORUNLU</t>
        </is>
      </c>
    </row>
    <row r="17" ht="28" customHeight="1" s="68">
      <c r="A17" s="248" t="inlineStr">
        <is>
          <t>Başlangıç deneyimi</t>
        </is>
      </c>
      <c r="B17" s="236" t="inlineStr">
        <is>
          <t>İlk 5 saniyede ne gireceği ve neye bakacağı anlaşılır</t>
        </is>
      </c>
      <c r="C17" s="236" t="inlineStr">
        <is>
          <t>Girdi → durum → aksiyon akışı</t>
        </is>
      </c>
      <c r="D17" s="236" t="inlineStr">
        <is>
          <t>Kılavuz aramaya zorlama</t>
        </is>
      </c>
      <c r="E17" s="236" t="inlineStr">
        <is>
          <t>5 saniye testi</t>
        </is>
      </c>
      <c r="F17" s="249" t="inlineStr">
        <is>
          <t>ZORUNLU</t>
        </is>
      </c>
    </row>
    <row r="18" ht="30" customHeight="1" s="68">
      <c r="A18" s="244" t="inlineStr">
        <is>
          <t>Buton standardı</t>
        </is>
      </c>
      <c r="B18" s="245" t="inlineStr">
        <is>
          <t>Buton görünümü verilen her alan gerçek işlev taşır</t>
        </is>
      </c>
      <c r="C18" s="245" t="inlineStr">
        <is>
          <t>Sayfa içi HYPERLINK / gerçek aksiyon; tıklanınca hedefe gider</t>
        </is>
      </c>
      <c r="D18" s="245" t="inlineStr">
        <is>
          <t>İşlevsiz dekoratif buton / sahte navigasyon</t>
        </is>
      </c>
      <c r="E18" s="245" t="inlineStr">
        <is>
          <t>Butonların %100'ü tıklanabilir ve hedefi doğru</t>
        </is>
      </c>
      <c r="F18" s="249" t="inlineStr">
        <is>
          <t>ZORUNLU</t>
        </is>
      </c>
    </row>
    <row r="19" ht="32" customHeight="1" s="68">
      <c r="A19" s="244" t="inlineStr">
        <is>
          <t>Native sayfa sekmesi rengi</t>
        </is>
      </c>
      <c r="B19" s="245" t="inlineStr">
        <is>
          <t>Excel alt sheet tabları kurumsal paletle renklendirilir</t>
        </is>
      </c>
      <c r="C19" s="245" t="inlineStr">
        <is>
          <t>Başlangıç/özet=lacivert; girdiler=mavi; hesap/finans=teal; karar/kontrol=burgundy; doküman=gri</t>
        </is>
      </c>
      <c r="D19" s="245" t="inlineStr">
        <is>
          <t>Renksiz sekmeler veya rastgele/gökkuşağı renkleri</t>
        </is>
      </c>
      <c r="E19" s="245" t="inlineStr">
        <is>
          <t>Tüm görünür kullanıcı sheet tabları renkli</t>
        </is>
      </c>
      <c r="F19" s="249" t="inlineStr">
        <is>
          <t>ZORUNLU</t>
        </is>
      </c>
    </row>
    <row r="20" ht="60" customHeight="1" s="68">
      <c r="A20" s="244" t="inlineStr">
        <is>
          <t>İş akışı sıralaması</t>
        </is>
      </c>
      <c r="B20" s="245" t="inlineStr">
        <is>
          <t>Sayfalar kullanıcının çalışma sırasına göre fiziksel olarak dizilir</t>
        </is>
      </c>
      <c r="C20" s="245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45" t="inlineStr">
        <is>
          <t>Teknik oluşturma sırasına göre dağınık sheet dizilimi</t>
        </is>
      </c>
      <c r="E20" s="245" t="inlineStr">
        <is>
          <t>Sheet order = tanımlı workflow</t>
        </is>
      </c>
      <c r="F20" s="249" t="inlineStr">
        <is>
          <t>ZORUNLU</t>
        </is>
      </c>
    </row>
    <row r="21" ht="30" customHeight="1" s="68">
      <c r="A21" s="244" t="inlineStr">
        <is>
          <t>Kurumsal renk paleti</t>
        </is>
      </c>
      <c r="B21" s="245" t="inlineStr">
        <is>
          <t>Sekme, başlık, buton ve vurgu renkleri tek kurumsal paletten gelir</t>
        </is>
      </c>
      <c r="C21" s="245" t="inlineStr">
        <is>
          <t>Lacivert + mavi + teal + kontrollü burgundy/gri; kategori semantiği sabit</t>
        </is>
      </c>
      <c r="D21" s="245" t="inlineStr">
        <is>
          <t>Neon, rastgele yüksek doygunluk, her sayfada farklı bağımsız renk</t>
        </is>
      </c>
      <c r="E21" s="245" t="inlineStr">
        <is>
          <t>Palette token kontrolü</t>
        </is>
      </c>
      <c r="F21" s="249" t="inlineStr">
        <is>
          <t>ZORUNLU</t>
        </is>
      </c>
    </row>
    <row r="22" ht="45" customHeight="1" s="68">
      <c r="A22" s="244" t="inlineStr">
        <is>
          <t>Premium vitrin</t>
        </is>
      </c>
      <c r="B22" s="245" t="inlineStr">
        <is>
          <t>Görsel kalite ürün değerinin zorunlu parçasıdır</t>
        </is>
      </c>
      <c r="C22" s="245" t="inlineStr">
        <is>
          <t>Kaliteli grafik, gerçek KPI kartı, finansal hiyerarşi, tab rengi, fonksiyonel navigasyon</t>
        </is>
      </c>
      <c r="D22" s="245" t="inlineStr">
        <is>
          <t>Sadece doğru hesap yapıp çıplak/varsayılan Excel görünümü bırakmak</t>
        </is>
      </c>
      <c r="E22" s="245" t="inlineStr">
        <is>
          <t>Görsel release incelemesi</t>
        </is>
      </c>
      <c r="F22" s="249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style="68" min="1" max="1"/>
    <col width="60.5" customWidth="1" style="68" min="2" max="2"/>
    <col width="86.5" customWidth="1" style="68" min="3" max="3"/>
    <col width="40.5" customWidth="1" style="68" min="4" max="4"/>
    <col width="39.5" customWidth="1" style="68" min="5" max="5"/>
    <col width="27.5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TÜRKİYE MUHASEBE VE TEKDÜZEN HESAP PLANI STANDARDI</t>
        </is>
      </c>
    </row>
    <row r="2"/>
    <row r="3" ht="24" customHeight="1" s="68">
      <c r="A3" s="251" t="inlineStr">
        <is>
          <t>Konu</t>
        </is>
      </c>
      <c r="B3" s="251" t="inlineStr">
        <is>
          <t>Zorunlu Standart</t>
        </is>
      </c>
      <c r="C3" s="251" t="inlineStr">
        <is>
          <t>Örnek Türkçe Ad</t>
        </is>
      </c>
      <c r="D3" s="251" t="inlineStr">
        <is>
          <t>THP / Mantık</t>
        </is>
      </c>
      <c r="E3" s="251" t="inlineStr">
        <is>
          <t>Hata Riski</t>
        </is>
      </c>
      <c r="F3" s="251" t="inlineStr">
        <is>
          <t>Kontrol</t>
        </is>
      </c>
    </row>
    <row r="4">
      <c r="A4" s="252" t="inlineStr">
        <is>
          <t>Dil</t>
        </is>
      </c>
      <c r="B4" s="236" t="inlineStr">
        <is>
          <t>Kullanıcıya görünen finansal terimler Türkçe</t>
        </is>
      </c>
      <c r="C4" s="236" t="inlineStr">
        <is>
          <t>Hasılat, Satışların Maliyeti, Brüt Kâr, Faaliyet Giderleri</t>
        </is>
      </c>
      <c r="D4" s="236" t="inlineStr">
        <is>
          <t>Türk işletme kullanımına uygun</t>
        </is>
      </c>
      <c r="E4" s="236" t="inlineStr">
        <is>
          <t>İngilizce jargon</t>
        </is>
      </c>
      <c r="F4" s="236" t="inlineStr">
        <is>
          <t>Terminoloji taraması</t>
        </is>
      </c>
    </row>
    <row r="5" ht="28" customHeight="1" s="68">
      <c r="A5" s="252" t="inlineStr">
        <is>
          <t>Gelir Tablosu</t>
        </is>
      </c>
      <c r="B5" s="236" t="inlineStr">
        <is>
          <t>Türk sunum sırası kullanılır</t>
        </is>
      </c>
      <c r="C5" s="236" t="inlineStr">
        <is>
          <t>Net Satışlar → Satışların Maliyeti → Brüt Kâr → Faaliyet Giderleri → Faaliyet Kârı</t>
        </is>
      </c>
      <c r="D5" s="236" t="inlineStr">
        <is>
          <t>600/610/611; 620-623; 63x</t>
        </is>
      </c>
      <c r="E5" s="236" t="inlineStr">
        <is>
          <t>Yanlış sınıflama</t>
        </is>
      </c>
      <c r="F5" s="236" t="inlineStr">
        <is>
          <t>Hesap eşleme</t>
        </is>
      </c>
    </row>
    <row r="6" ht="28" customHeight="1" s="68">
      <c r="A6" s="252" t="inlineStr">
        <is>
          <t>Bilanço</t>
        </is>
      </c>
      <c r="B6" s="236" t="inlineStr">
        <is>
          <t>Dönen/Duran Varlık ve Kısa/Uzun Vadeli Yükümlülük ayrımı</t>
        </is>
      </c>
      <c r="C6" s="236" t="inlineStr">
        <is>
          <t>Hazır Değerler, Ticari Alacaklar, Stoklar, Mali Borçlar</t>
        </is>
      </c>
      <c r="D6" s="236" t="inlineStr">
        <is>
          <t>1xx / 2xx / 3xx / 4xx / 5xx</t>
        </is>
      </c>
      <c r="E6" s="236" t="inlineStr">
        <is>
          <t>Vade sınıfı hatası</t>
        </is>
      </c>
      <c r="F6" s="236" t="inlineStr">
        <is>
          <t>Bilanço eşitliği</t>
        </is>
      </c>
    </row>
    <row r="7">
      <c r="A7" s="252" t="inlineStr">
        <is>
          <t>Nakit Akışı</t>
        </is>
      </c>
      <c r="B7" s="236" t="inlineStr">
        <is>
          <t>İşletme/Yatırım/Finansman nakit akışları ayrılır</t>
        </is>
      </c>
      <c r="C7" s="236" t="inlineStr">
        <is>
          <t>Faaliyetlerden Nakit, Yatırım Harcamaları, Finansman Nakit Akışı</t>
        </is>
      </c>
      <c r="D7" s="236" t="inlineStr">
        <is>
          <t>Dolaylı/doğrudan yöntem açık seçilir</t>
        </is>
      </c>
      <c r="E7" s="236" t="inlineStr">
        <is>
          <t>Kâr = nakit sanılması</t>
        </is>
      </c>
      <c r="F7" s="236" t="inlineStr">
        <is>
          <t>Nakit devri</t>
        </is>
      </c>
    </row>
    <row r="8">
      <c r="A8" s="252" t="inlineStr">
        <is>
          <t>Ticari Alacaklar</t>
        </is>
      </c>
      <c r="B8" s="236" t="inlineStr">
        <is>
          <t>Cari ve vade mantığı korunur</t>
        </is>
      </c>
      <c r="C8" s="236" t="inlineStr">
        <is>
          <t>120 Alıcılar</t>
        </is>
      </c>
      <c r="D8" s="236" t="inlineStr">
        <is>
          <t>120</t>
        </is>
      </c>
      <c r="E8" s="236" t="inlineStr">
        <is>
          <t>Tahakkuk/nakit karışması</t>
        </is>
      </c>
      <c r="F8" s="236" t="inlineStr">
        <is>
          <t>Alacak devir kontrolü</t>
        </is>
      </c>
    </row>
    <row r="9">
      <c r="A9" s="252" t="inlineStr">
        <is>
          <t>Ticari Borçlar</t>
        </is>
      </c>
      <c r="B9" s="236" t="inlineStr">
        <is>
          <t>Tedarikçi borcu ayrı izlenir</t>
        </is>
      </c>
      <c r="C9" s="236" t="inlineStr">
        <is>
          <t>320 Satıcılar</t>
        </is>
      </c>
      <c r="D9" s="236" t="inlineStr">
        <is>
          <t>320</t>
        </is>
      </c>
      <c r="E9" s="236" t="inlineStr">
        <is>
          <t>Gider/ödeme karışması</t>
        </is>
      </c>
      <c r="F9" s="236" t="inlineStr">
        <is>
          <t>Borç devir kontrolü</t>
        </is>
      </c>
    </row>
    <row r="10">
      <c r="A10" s="252" t="inlineStr">
        <is>
          <t>Kasa/Banka</t>
        </is>
      </c>
      <c r="B10" s="236" t="inlineStr">
        <is>
          <t>Hazır değerler ayrı izlenir</t>
        </is>
      </c>
      <c r="C10" s="236" t="inlineStr">
        <is>
          <t>100 Kasa, 102 Bankalar</t>
        </is>
      </c>
      <c r="D10" s="236" t="inlineStr">
        <is>
          <t>100 / 102</t>
        </is>
      </c>
      <c r="E10" s="236" t="inlineStr">
        <is>
          <t>Virmanla toplam nakdin değişmesi</t>
        </is>
      </c>
      <c r="F10" s="236" t="inlineStr">
        <is>
          <t>Virman değişmezi</t>
        </is>
      </c>
    </row>
    <row r="11">
      <c r="A11" s="252" t="inlineStr">
        <is>
          <t>Stok</t>
        </is>
      </c>
      <c r="B11" s="236" t="inlineStr">
        <is>
          <t>Dikeye uygun stok türü</t>
        </is>
      </c>
      <c r="C11" s="236" t="inlineStr">
        <is>
          <t>150 İlk Madde ve Malzeme, 153 Ticari Mallar</t>
        </is>
      </c>
      <c r="D11" s="236" t="inlineStr">
        <is>
          <t>15x</t>
        </is>
      </c>
      <c r="E11" s="236" t="inlineStr">
        <is>
          <t>Maliyet ve stok hareketinin kopması</t>
        </is>
      </c>
      <c r="F11" s="236" t="inlineStr">
        <is>
          <t>Stok devri</t>
        </is>
      </c>
    </row>
    <row r="12" ht="28" customHeight="1" s="68">
      <c r="A12" s="252" t="inlineStr">
        <is>
          <t>Maddi Duran Varlık</t>
        </is>
      </c>
      <c r="B12" s="236" t="inlineStr">
        <is>
          <t>Yatırım harcaması ve amortisman bağlantılı</t>
        </is>
      </c>
      <c r="C12" s="236" t="inlineStr">
        <is>
          <t>253 Tesis Makine Cihazlar, 255 Demirbaşlar, 257 Birikmiş Amortismanlar</t>
        </is>
      </c>
      <c r="D12" s="236" t="inlineStr">
        <is>
          <t>25x</t>
        </is>
      </c>
      <c r="E12" s="236" t="inlineStr">
        <is>
          <t>Yatırım/gider karışması</t>
        </is>
      </c>
      <c r="F12" s="236" t="inlineStr">
        <is>
          <t>Net defter değeri devri</t>
        </is>
      </c>
    </row>
    <row r="13">
      <c r="A13" s="252" t="inlineStr">
        <is>
          <t>Mali Borçlar</t>
        </is>
      </c>
      <c r="B13" s="236" t="inlineStr">
        <is>
          <t>Kısa/uzun vadeli borç ayrımı</t>
        </is>
      </c>
      <c r="C13" s="236" t="inlineStr">
        <is>
          <t>300 Banka Kredileri / 400 Banka Kredileri</t>
        </is>
      </c>
      <c r="D13" s="236" t="inlineStr">
        <is>
          <t>300 / 400</t>
        </is>
      </c>
      <c r="E13" s="236" t="inlineStr">
        <is>
          <t>Vade sınıfı yanlış</t>
        </is>
      </c>
      <c r="F13" s="236" t="inlineStr">
        <is>
          <t>Borç devri</t>
        </is>
      </c>
    </row>
    <row r="14">
      <c r="A14" s="252" t="inlineStr">
        <is>
          <t>Özkaynak</t>
        </is>
      </c>
      <c r="B14" s="236" t="inlineStr">
        <is>
          <t>Sermaye ve geçmiş yıl kârları ayrı</t>
        </is>
      </c>
      <c r="C14" s="236" t="inlineStr">
        <is>
          <t>500 Sermaye, 570 Geçmiş Yıllar Kârları, 590 Dönem Net Kârı</t>
        </is>
      </c>
      <c r="D14" s="236" t="inlineStr">
        <is>
          <t>5xx</t>
        </is>
      </c>
      <c r="E14" s="236" t="inlineStr">
        <is>
          <t>Net kâr bağının kopması</t>
        </is>
      </c>
      <c r="F14" s="236" t="inlineStr">
        <is>
          <t>Özkaynak devri</t>
        </is>
      </c>
    </row>
    <row r="15">
      <c r="A15" s="252" t="inlineStr">
        <is>
          <t>Vergi</t>
        </is>
      </c>
      <c r="B15" s="236" t="inlineStr">
        <is>
          <t>Vergi satırları Türkiye mantığına uygun</t>
        </is>
      </c>
      <c r="C15" s="236" t="inlineStr">
        <is>
          <t>Dönem Vergi ve Diğer Yasal Yükümlülük Karşılıkları</t>
        </is>
      </c>
      <c r="D15" s="236" t="inlineStr">
        <is>
          <t>37x / ilgili vergi hesapları</t>
        </is>
      </c>
      <c r="E15" s="236" t="inlineStr">
        <is>
          <t>Vergi etkisinin yanlış dönemlenmesi</t>
        </is>
      </c>
      <c r="F15" s="236" t="inlineStr">
        <is>
          <t>Vergi sözleşmesi</t>
        </is>
      </c>
    </row>
    <row r="16">
      <c r="A16" s="252" t="inlineStr">
        <is>
          <t>İsim standardı</t>
        </is>
      </c>
      <c r="B16" s="236" t="inlineStr">
        <is>
          <t>Tablo ve sayfa adları Türkçe ve işlevsel</t>
        </is>
      </c>
      <c r="C16" s="236" t="inlineStr">
        <is>
          <t>GELİR_TABLOSU, BİLANÇO, NAKİT_AKISI, BORC_PLANI</t>
        </is>
      </c>
      <c r="D16" s="236" t="inlineStr">
        <is>
          <t>Tekrarlanabilir standart</t>
        </is>
      </c>
      <c r="E16" s="236" t="inlineStr">
        <is>
          <t>İngilizce/karma isim</t>
        </is>
      </c>
      <c r="F16" s="236" t="inlineStr">
        <is>
          <t>Sayfa ve tablo taraması</t>
        </is>
      </c>
    </row>
    <row r="17">
      <c r="A17" s="252" t="inlineStr">
        <is>
          <t>THP eşleme tablosu</t>
        </is>
      </c>
      <c r="B17" s="236" t="inlineStr">
        <is>
          <t>Her kritik satır en az bir THP hesabına bağlanır</t>
        </is>
      </c>
      <c r="C17" s="236" t="inlineStr">
        <is>
          <t>RaporSatırı → HesapKodu → HesapAdı → İşaret → Dönem</t>
        </is>
      </c>
      <c r="D17" s="236" t="inlineStr">
        <is>
          <t>Kaynak izlenebilirliği</t>
        </is>
      </c>
      <c r="E17" s="236" t="inlineStr">
        <is>
          <t>Rapordan rapora kaynak</t>
        </is>
      </c>
      <c r="F17" s="236" t="inlineStr">
        <is>
          <t>Eşleme kapsama %100</t>
        </is>
      </c>
    </row>
    <row r="18">
      <c r="A18" s="252" t="inlineStr">
        <is>
          <t>İstisna</t>
        </is>
      </c>
      <c r="B18" s="236" t="inlineStr">
        <is>
          <t>TFRS özel ürün varsa fark açık yazılır</t>
        </is>
      </c>
      <c r="C18" s="236" t="inlineStr">
        <is>
          <t>Tekdüzen raporlama ≠ TFRS finansal tablo sunumu</t>
        </is>
      </c>
      <c r="D18" s="236" t="inlineStr">
        <is>
          <t>Amaç belirtilir</t>
        </is>
      </c>
      <c r="E18" s="236" t="inlineStr">
        <is>
          <t>Standartları karıştırma</t>
        </is>
      </c>
      <c r="F18" s="236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style="68" min="1" max="1"/>
    <col width="41.5" customWidth="1" style="68" min="2" max="2"/>
    <col width="86.5" customWidth="1" style="68" min="3" max="3"/>
    <col width="35.5" customWidth="1" style="68" min="4" max="4"/>
    <col width="33.5" customWidth="1" style="68" min="5" max="5"/>
    <col width="16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KARAR, GÜVEN VE SATIŞA HAZIRLIK STANDARDI</t>
        </is>
      </c>
    </row>
    <row r="2"/>
    <row r="3" ht="24" customHeight="1" s="68">
      <c r="A3" s="254" t="inlineStr">
        <is>
          <t>Alan</t>
        </is>
      </c>
      <c r="B3" s="254" t="inlineStr">
        <is>
          <t>Müşteri Sorusu</t>
        </is>
      </c>
      <c r="C3" s="254" t="inlineStr">
        <is>
          <t>Zorunlu Ürün Davranışı</t>
        </is>
      </c>
      <c r="D3" s="254" t="inlineStr">
        <is>
          <t>Kanıt</t>
        </is>
      </c>
      <c r="E3" s="254" t="inlineStr">
        <is>
          <t>Başarısızlık Durumu</t>
        </is>
      </c>
      <c r="F3" s="254" t="inlineStr">
        <is>
          <t>Kapı</t>
        </is>
      </c>
    </row>
    <row r="4">
      <c r="A4" s="255" t="inlineStr">
        <is>
          <t>5 saniye</t>
        </is>
      </c>
      <c r="B4" s="236" t="inlineStr">
        <is>
          <t>Bu ürün neyi çözüyor?</t>
        </is>
      </c>
      <c r="C4" s="236" t="inlineStr">
        <is>
          <t>İlk ekranda hedef kullanıcı + pahalı problem + sonuç görünür</t>
        </is>
      </c>
      <c r="D4" s="236" t="inlineStr">
        <is>
          <t>Başlık + alt mesaj + gerçek ekran</t>
        </is>
      </c>
      <c r="E4" s="236" t="inlineStr">
        <is>
          <t>Ürün yalnız teknik isim</t>
        </is>
      </c>
      <c r="F4" s="256" t="inlineStr">
        <is>
          <t>HATA</t>
        </is>
      </c>
    </row>
    <row r="5">
      <c r="A5" s="255" t="inlineStr">
        <is>
          <t>Acı</t>
        </is>
      </c>
      <c r="B5" s="236" t="inlineStr">
        <is>
          <t>Sorun bana neye mal oluyor?</t>
        </is>
      </c>
      <c r="C5" s="236" t="inlineStr">
        <is>
          <t>Mümkünse müşterinin kendi verisiyle parasal/zaman etkisi hesaplanır</t>
        </is>
      </c>
      <c r="D5" s="236" t="inlineStr">
        <is>
          <t>ROI/acı hesaplama yöntemi</t>
        </is>
      </c>
      <c r="E5" s="236" t="inlineStr">
        <is>
          <t>Uydurma tasarruf</t>
        </is>
      </c>
      <c r="F5" s="256" t="inlineStr">
        <is>
          <t>HATA</t>
        </is>
      </c>
    </row>
    <row r="6">
      <c r="A6" s="255" t="inlineStr">
        <is>
          <t>Karar</t>
        </is>
      </c>
      <c r="B6" s="236" t="inlineStr">
        <is>
          <t>Bu bilgiyle ne yapacağım?</t>
        </is>
      </c>
      <c r="C6" s="236" t="inlineStr">
        <is>
          <t>Her kritik KPI aksiyona bağlanır</t>
        </is>
      </c>
      <c r="D6" s="236" t="inlineStr">
        <is>
          <t>KARAR_KUYRUGU</t>
        </is>
      </c>
      <c r="E6" s="236" t="inlineStr">
        <is>
          <t>Sadece rapor</t>
        </is>
      </c>
      <c r="F6" s="256" t="inlineStr">
        <is>
          <t>HATA</t>
        </is>
      </c>
    </row>
    <row r="7">
      <c r="A7" s="255" t="inlineStr">
        <is>
          <t>Güven</t>
        </is>
      </c>
      <c r="B7" s="236" t="inlineStr">
        <is>
          <t>Bu sayıya neden inanayım?</t>
        </is>
      </c>
      <c r="C7" s="236" t="inlineStr">
        <is>
          <t>Kaynak, formül mantığı, kontrol ve son doğrulama görünür</t>
        </is>
      </c>
      <c r="D7" s="236" t="inlineStr">
        <is>
          <t>Kontroller + kaynak izi + sürüm</t>
        </is>
      </c>
      <c r="E7" s="236" t="inlineStr">
        <is>
          <t>Prestij kelimesi</t>
        </is>
      </c>
      <c r="F7" s="256" t="inlineStr">
        <is>
          <t>HATA</t>
        </is>
      </c>
    </row>
    <row r="8">
      <c r="A8" s="255" t="inlineStr">
        <is>
          <t>Referans</t>
        </is>
      </c>
      <c r="B8" s="236" t="inlineStr">
        <is>
          <t>Müşteri yorumu yoksa ne göstereceğim?</t>
        </is>
      </c>
      <c r="C8" s="236" t="inlineStr">
        <is>
          <t>Önce/Sonra + Karar Vakası + Hata Önleme Vakası üretilir</t>
        </is>
      </c>
      <c r="D8" s="236" t="inlineStr">
        <is>
          <t>Demo/örnek çıktı</t>
        </is>
      </c>
      <c r="E8" s="236" t="inlineStr">
        <is>
          <t>Kanıtsız iddia</t>
        </is>
      </c>
      <c r="F8" s="256" t="inlineStr">
        <is>
          <t>HATA</t>
        </is>
      </c>
    </row>
    <row r="9">
      <c r="A9" s="255" t="inlineStr">
        <is>
          <t>Senaryo</t>
        </is>
      </c>
      <c r="B9" s="236" t="inlineStr">
        <is>
          <t>Ne olursa işler bozulur?</t>
        </is>
      </c>
      <c r="C9" s="236" t="inlineStr">
        <is>
          <t>Baz/Aşağı/Yukarı veya uygun stres senaryosu</t>
        </is>
      </c>
      <c r="D9" s="236" t="inlineStr">
        <is>
          <t>Senaryo karşılaştırma</t>
        </is>
      </c>
      <c r="E9" s="236" t="inlineStr">
        <is>
          <t>Dekoratif senaryo</t>
        </is>
      </c>
      <c r="F9" s="256" t="inlineStr">
        <is>
          <t>HATA</t>
        </is>
      </c>
    </row>
    <row r="10">
      <c r="A10" s="255" t="inlineStr">
        <is>
          <t>Ters stres</t>
        </is>
      </c>
      <c r="B10" s="236" t="inlineStr">
        <is>
          <t>Hangi eşikte karar kırılır?</t>
        </is>
      </c>
      <c r="C10" s="236" t="inlineStr">
        <is>
          <t>En az bir kritik sürücü için kırılma eşiği</t>
        </is>
      </c>
      <c r="D10" s="236" t="inlineStr">
        <is>
          <t>Kırılma eşiği tablosu</t>
        </is>
      </c>
      <c r="E10" s="236" t="inlineStr">
        <is>
          <t>Sadece +/- %10</t>
        </is>
      </c>
      <c r="F10" s="256" t="inlineStr">
        <is>
          <t>UYARI/HATA</t>
        </is>
      </c>
    </row>
    <row r="11">
      <c r="A11" s="255" t="inlineStr">
        <is>
          <t>Hata tutarlılığı</t>
        </is>
      </c>
      <c r="B11" s="236" t="inlineStr">
        <is>
          <t>Formül hata verirse ne olur?</t>
        </is>
      </c>
      <c r="C11" s="236" t="inlineStr">
        <is>
          <t>Kontrol GEÇTİ veremez; BLOKE/HATA üretir</t>
        </is>
      </c>
      <c r="D11" s="236" t="inlineStr">
        <is>
          <t>Hata taraması</t>
        </is>
      </c>
      <c r="E11" s="236" t="inlineStr">
        <is>
          <t>Hata + GEÇTİ birlikte</t>
        </is>
      </c>
      <c r="F11" s="256" t="inlineStr">
        <is>
          <t>HATA</t>
        </is>
      </c>
    </row>
    <row r="12">
      <c r="A12" s="255" t="inlineStr">
        <is>
          <t>Karar motoru</t>
        </is>
      </c>
      <c r="B12" s="236" t="inlineStr">
        <is>
          <t>Ne oldu, neden oldu?</t>
        </is>
      </c>
      <c r="C12" s="236" t="inlineStr">
        <is>
          <t>Sorun + neden + parasal etki + aksiyon + son tarih</t>
        </is>
      </c>
      <c r="D12" s="236" t="inlineStr">
        <is>
          <t>Karar tablosu</t>
        </is>
      </c>
      <c r="E12" s="236" t="inlineStr">
        <is>
          <t>Boş sayfa / isim düzeyi modül</t>
        </is>
      </c>
      <c r="F12" s="256" t="inlineStr">
        <is>
          <t>HATA</t>
        </is>
      </c>
    </row>
    <row r="13">
      <c r="A13" s="255" t="inlineStr">
        <is>
          <t>Yönetici özeti</t>
        </is>
      </c>
      <c r="B13" s="236" t="inlineStr">
        <is>
          <t>5 saniyede ne görmeliyim?</t>
        </is>
      </c>
      <c r="C13" s="236" t="inlineStr">
        <is>
          <t>Bugün / ne değişti / ne bozulacak / neden / ne yapmalıyım / güven</t>
        </is>
      </c>
      <c r="D13" s="236" t="inlineStr">
        <is>
          <t>Yönetici özeti ekranı</t>
        </is>
      </c>
      <c r="E13" s="236" t="inlineStr">
        <is>
          <t>KPI kutusu yığını</t>
        </is>
      </c>
      <c r="F13" s="256" t="inlineStr">
        <is>
          <t>HATA</t>
        </is>
      </c>
    </row>
    <row r="14">
      <c r="A14" s="255" t="inlineStr">
        <is>
          <t>Teklif</t>
        </is>
      </c>
      <c r="B14" s="236" t="inlineStr">
        <is>
          <t>Neden satın almalıyım?</t>
        </is>
      </c>
      <c r="C14" s="236" t="inlineStr">
        <is>
          <t>Dosya özellikleri yerine sonuç ve kaçınılan maliyet sunulur</t>
        </is>
      </c>
      <c r="D14" s="236" t="inlineStr">
        <is>
          <t>Ürün sayfası kanıt eşlemesi</t>
        </is>
      </c>
      <c r="E14" s="236" t="inlineStr">
        <is>
          <t>Özellik listesiyle satış</t>
        </is>
      </c>
      <c r="F14" s="256" t="inlineStr">
        <is>
          <t>HATA</t>
        </is>
      </c>
    </row>
    <row r="15">
      <c r="A15" s="255" t="inlineStr">
        <is>
          <t>Dağıtım</t>
        </is>
      </c>
      <c r="B15" s="236" t="inlineStr">
        <is>
          <t>Beni nasıl bulacaklar?</t>
        </is>
      </c>
      <c r="C15" s="236" t="inlineStr">
        <is>
          <t>Sorun niyetine göre SEO sayfaları, iç bağlantı, temiz yapı, taranabilir metin</t>
        </is>
      </c>
      <c r="D15" s="236" t="inlineStr">
        <is>
          <t>Arama niyeti haritası</t>
        </is>
      </c>
      <c r="E15" s="236" t="inlineStr">
        <is>
          <t>Tek ürün sayfasına bağımlılık</t>
        </is>
      </c>
      <c r="F15" s="256" t="inlineStr">
        <is>
          <t>UYARI</t>
        </is>
      </c>
    </row>
    <row r="16" ht="28" customHeight="1" s="68">
      <c r="A16" s="255" t="inlineStr">
        <is>
          <t>LLM görünürlüğü</t>
        </is>
      </c>
      <c r="B16" s="236" t="inlineStr">
        <is>
          <t>AI ürünümü anlayabiliyor mu?</t>
        </is>
      </c>
      <c r="C16" s="236" t="inlineStr">
        <is>
          <t>Ürün tanımı, hedef kullanıcı, girdi/çıktı, metodoloji, sınırlar, SSS açık metindir</t>
        </is>
      </c>
      <c r="D16" s="236" t="inlineStr">
        <is>
          <t>Taranabilir ürün içeriği</t>
        </is>
      </c>
      <c r="E16" s="236" t="inlineStr">
        <is>
          <t>'AI SEO' iddiası</t>
        </is>
      </c>
      <c r="F16" s="256" t="inlineStr">
        <is>
          <t>UYARI</t>
        </is>
      </c>
    </row>
    <row r="17">
      <c r="A17" s="255" t="inlineStr">
        <is>
          <t>Satış kanalı</t>
        </is>
      </c>
      <c r="B17" s="236" t="inlineStr">
        <is>
          <t>Nerede satılmalı?</t>
        </is>
      </c>
      <c r="C17" s="236" t="inlineStr">
        <is>
          <t>Arama, LinkedIn, uzman/partner, demo/video; ürüne göre kanal seçilir</t>
        </is>
      </c>
      <c r="D17" s="236" t="inlineStr">
        <is>
          <t>Kanal matrisi</t>
        </is>
      </c>
      <c r="E17" s="236" t="inlineStr">
        <is>
          <t>Her ürüne aynı kanal</t>
        </is>
      </c>
      <c r="F17" s="256" t="inlineStr">
        <is>
          <t>UYARI</t>
        </is>
      </c>
    </row>
    <row r="18">
      <c r="A18" s="255" t="inlineStr">
        <is>
          <t>Fiyat</t>
        </is>
      </c>
      <c r="B18" s="236" t="inlineStr">
        <is>
          <t>Bu fiyat neden mantıklı?</t>
        </is>
      </c>
      <c r="C18" s="236" t="inlineStr">
        <is>
          <t>Fiyat, ekonomik karar değerine ve kanıtlanmış ürün derinliğine bağlanır</t>
        </is>
      </c>
      <c r="D18" s="236" t="inlineStr">
        <is>
          <t>Değer haritası + demo</t>
        </is>
      </c>
      <c r="E18" s="236" t="inlineStr">
        <is>
          <t>Sırf sayfa/formül sayısı</t>
        </is>
      </c>
      <c r="F18" s="256" t="inlineStr">
        <is>
          <t>HATA</t>
        </is>
      </c>
    </row>
    <row r="19">
      <c r="A19" s="255" t="inlineStr">
        <is>
          <t>Pazar kanıtı</t>
        </is>
      </c>
      <c r="B19" s="236" t="inlineStr">
        <is>
          <t>Piyasa gerçekten ödüyor mu?</t>
        </is>
      </c>
      <c r="C19" s="236" t="inlineStr">
        <is>
          <t>Satış/pilot/LOI/fiyat kabulü olmadan pazar doğrulandı yazılmaz</t>
        </is>
      </c>
      <c r="D19" s="236" t="inlineStr">
        <is>
          <t>Gerçek işlem kanıtı</t>
        </is>
      </c>
      <c r="E19" s="236" t="inlineStr">
        <is>
          <t>Tahmini talep = satış kabulü</t>
        </is>
      </c>
      <c r="F19" s="256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4" min="1" max="3"/>
    <col width="13" customWidth="1" style="68" min="2" max="2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VERGİ, SGK VE MAAŞ KARŞILIK AYIRMA SİSTEMİ</t>
        </is>
      </c>
    </row>
    <row r="2"/>
    <row r="3" ht="22" customHeight="1" s="68">
      <c r="A3" s="286" t="inlineStr">
        <is>
          <t>Dönem sonu vergi, SGK ve maaş sürprizine karşı profesyonel karşılık motoru</t>
        </is>
      </c>
    </row>
    <row r="4" ht="15" customHeight="1" s="68">
      <c r="A4" s="97" t="inlineStr">
        <is>
          <t>KDV, kurumlar vergisi, SGK ve maaş karşılıklarını gelire göre ayırın; nakit planınızı koruyun.</t>
        </is>
      </c>
    </row>
    <row r="5" ht="15" customHeight="1" s="68"/>
    <row r="6" ht="15" customHeight="1" s="68">
      <c r="A6" s="98" t="inlineStr">
        <is>
          <t>1. DÖNEM GELİR ve GİDER sayfasına aylık tutarları girin.</t>
        </is>
      </c>
    </row>
    <row r="7" ht="15" customHeight="1" s="68">
      <c r="A7" s="98" t="inlineStr">
        <is>
          <t>2. BORDRO sayfasına çalışan ve maaş bilgilerini girin.</t>
        </is>
      </c>
    </row>
    <row r="8" ht="15" customHeight="1" s="68">
      <c r="A8" s="98" t="inlineStr">
        <is>
          <t>3. KARAR sayfasında karşılık yeterliliğini ve önerilen aksiyonu okuyun.</t>
        </is>
      </c>
    </row>
    <row r="9"/>
    <row r="10" ht="15" customHeight="1" s="68">
      <c r="A10" s="99" t="inlineStr">
        <is>
          <t>Bu dosya karar destek aracıdır; beyanname hazırlama veya vergi danışmanlığı yerine geçmez. Oranlar mali müşavir teyidiyle güncellenmelidir.</t>
        </is>
      </c>
    </row>
    <row r="11" ht="15" customHeight="1" s="68"/>
    <row r="12" ht="15" customHeight="1" s="68"/>
    <row r="13"/>
    <row r="14" ht="15" customHeight="1" s="68">
      <c r="A14" s="100" t="inlineStr">
        <is>
          <t>ExcelArşiv</t>
        </is>
      </c>
    </row>
    <row r="15" ht="15" customHeight="1" s="68">
      <c r="A15" s="101" t="inlineStr">
        <is>
          <t>Rev 1.0 | 2026-08-08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:I1"/>
    <mergeCell ref="A10:J12"/>
    <mergeCell ref="A7:J7"/>
    <mergeCell ref="A4:C5"/>
    <mergeCell ref="A3:I3"/>
    <mergeCell ref="A15:C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1.5" customWidth="1" style="94" min="1" max="1"/>
    <col width="20" customWidth="1" style="94" min="2" max="2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>
      <c r="A1" s="78" t="inlineStr">
        <is>
          <t>☰ PANO</t>
        </is>
      </c>
    </row>
    <row r="2"/>
    <row r="3" ht="22" customHeight="1" s="68">
      <c r="A3" s="286" t="inlineStr">
        <is>
          <t>Nasıl kullanılır?</t>
        </is>
      </c>
    </row>
    <row r="4" ht="15" customHeight="1" s="68">
      <c r="A4" s="103" t="inlineStr">
        <is>
          <t>1. AYARLAR sayfasından rapor tarihini ve oranları (KDV, KV, SGK, işsizlik, stopaj, damga) kontrol edin.</t>
        </is>
      </c>
    </row>
    <row r="5" ht="15" customHeight="1" s="68">
      <c r="A5" s="103" t="inlineStr">
        <is>
          <t>2. DÖNEM_GELIR_GIDER sayfasına her ayın gelir ve giderini girin; KDV yüklenimi varsa işaretleyin.</t>
        </is>
      </c>
    </row>
    <row r="6" ht="15" customHeight="1" s="68">
      <c r="A6" s="103" t="inlineStr">
        <is>
          <t>3. BORDRO sayfasına çalışan listesini, brüt maaşlarını ve ilgili oranları girin.</t>
        </is>
      </c>
    </row>
    <row r="7" ht="15" customHeight="1" s="68">
      <c r="A7" s="103" t="inlineStr">
        <is>
          <t>4. KARSILIK_MOTORU sayfası tüm karşılıkları otomatik hesaplar; burayı elle değiştirmeyin.</t>
        </is>
      </c>
    </row>
    <row r="8" ht="15" customHeight="1" s="68">
      <c r="A8" s="103" t="inlineStr">
        <is>
          <t>5. KARAR sayfası karşılık yeterlilik kararını ve aksiyonları gösterir.</t>
        </is>
      </c>
    </row>
    <row r="9" ht="15" customHeight="1" s="68">
      <c r="A9" s="103" t="inlineStr">
        <is>
          <t>6. PANO ve RAPOR sayfaları yönetici özetini ve yazdırılabilir raporu sunar.</t>
        </is>
      </c>
    </row>
    <row r="10"/>
    <row r="11" ht="15" customHeight="1" s="68">
      <c r="A11" s="104" t="inlineStr">
        <is>
          <t>Sık yapılan hatalar</t>
        </is>
      </c>
    </row>
    <row r="12" ht="15" customHeight="1" s="68">
      <c r="A12" s="99" t="inlineStr">
        <is>
          <t>Oranları kendi döneminize göre güncellemeden karşılık hesaplarına güvenmek.</t>
        </is>
      </c>
    </row>
    <row r="13" ht="15" customHeight="1" s="68">
      <c r="A13" s="99" t="inlineStr">
        <is>
          <t>Bordroda brüt maaş yerine net maaş girmek (hesap bozulur).</t>
        </is>
      </c>
    </row>
    <row r="14" ht="15" customHeight="1" s="68">
      <c r="A14" s="99" t="inlineStr">
        <is>
          <t>KDV yüklenim tutarını boş bırakmak (KDV karşılığı olduğundan yüksek çıkar).</t>
        </is>
      </c>
    </row>
    <row r="15" ht="15" customHeight="1" s="68">
      <c r="A15" s="99" t="inlineStr">
        <is>
          <t>Nakdi giriş sayfasındaki sarı hücreler dışındaki hücrelere yazmak (kilitli).</t>
        </is>
      </c>
    </row>
    <row r="16"/>
    <row r="17" ht="19.5" customHeight="1" s="68">
      <c r="A17" s="105" t="inlineStr">
        <is>
          <t>Bu dosyadaki tüm karşılıklar AYARLAR'daki oranlardan hesaplanır; formüle gömülü oran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A8:AN8"/>
    <mergeCell ref="A6:AN6"/>
    <mergeCell ref="A12:AN12"/>
    <mergeCell ref="A4:AN4"/>
    <mergeCell ref="A15:AN15"/>
    <mergeCell ref="A7:AN7"/>
    <mergeCell ref="A5:AN5"/>
    <mergeCell ref="A3:I3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.5" customWidth="1" style="94" min="1" max="6"/>
    <col width="13.5" customWidth="1" style="68" min="2" max="2"/>
    <col width="13.5" customWidth="1" style="68" min="3" max="3"/>
    <col width="21.5" customWidth="1" style="68" min="4" max="4"/>
    <col width="18.5" customWidth="1" style="68" min="5" max="5"/>
    <col width="20.5" customWidth="1" style="68" min="6" max="6"/>
    <col width="24.5" customWidth="1" style="94" min="7" max="7"/>
    <col width="23.5" customWidth="1" style="94" min="8" max="8"/>
    <col width="22" customWidth="1" style="94" min="9" max="9"/>
    <col width="13" customWidth="1" style="68" min="10" max="10"/>
  </cols>
  <sheetData>
    <row r="1" ht="32" customHeight="1" s="68">
      <c r="A1" s="267" t="inlineStr">
        <is>
          <t>DÖNEM GELIR GIDER — VERGİ, SGK VE MAAŞ KARŞILIK AYIRMA SİSTEMİ</t>
        </is>
      </c>
    </row>
    <row r="2"/>
    <row r="3" ht="22" customHeight="1" s="68">
      <c r="A3" s="286" t="inlineStr">
        <is>
          <t>Aylık Dönem Gelir ve Giderleri</t>
        </is>
      </c>
    </row>
    <row r="4" ht="95.25" customHeight="1" s="68">
      <c r="A4" s="108" t="inlineStr">
        <is>
          <t>Sarı hücrelere manuel veri girin. Her satır bir ayı temsil eder; dönem etiketi olarak ay adı ve yıl girin (ör. Ağustos 2026).</t>
        </is>
      </c>
    </row>
    <row r="5" ht="30" customHeight="1" s="68">
      <c r="A5" s="109" t="inlineStr">
        <is>
          <t>Dönem</t>
        </is>
      </c>
      <c r="B5" s="109" t="inlineStr">
        <is>
          <t>Gelir (₺)</t>
        </is>
      </c>
      <c r="C5" s="109" t="inlineStr">
        <is>
          <t>Gider (₺)</t>
        </is>
      </c>
      <c r="D5" s="109" t="inlineStr">
        <is>
          <t>KDV Yüklenimi (₺)</t>
        </is>
      </c>
      <c r="E5" s="109" t="inlineStr">
        <is>
          <t>KDV Tutarı (₺)</t>
        </is>
      </c>
      <c r="F5" s="109" t="inlineStr">
        <is>
          <t>Matrah Farkı (₺)</t>
        </is>
      </c>
      <c r="G5" s="109" t="inlineStr">
        <is>
          <t>Vergi Yükü Oranı (%)</t>
        </is>
      </c>
      <c r="H5" s="109" t="inlineStr">
        <is>
          <t>Vergi Karşılığı (₺)</t>
        </is>
      </c>
      <c r="I5" s="109" t="inlineStr">
        <is>
          <t>Not</t>
        </is>
      </c>
    </row>
    <row r="6" ht="15" customHeight="1" s="68">
      <c r="A6" s="110" t="inlineStr">
        <is>
          <t>Ağustos 2026</t>
        </is>
      </c>
      <c r="B6" s="111" t="n">
        <v>850000</v>
      </c>
      <c r="C6" s="111" t="n">
        <v>620000</v>
      </c>
      <c r="D6" s="111" t="n">
        <v>50000</v>
      </c>
      <c r="E6" s="112">
        <f>ROUND($B6*KarliyukKdvOrani,0)</f>
        <v/>
      </c>
      <c r="F6" s="112">
        <f>$B6-$C6</f>
        <v/>
      </c>
      <c r="G6" s="113">
        <f>IF($B6=0,0,$H6/$B6)</f>
        <v/>
      </c>
      <c r="H6" s="112">
        <f>IF($F6&gt;0,ROUND($F6*KarliyukKurumlarOrani,0),0)</f>
        <v/>
      </c>
      <c r="I6" s="110" t="inlineStr">
        <is>
          <t>Örnek kayıt 1</t>
        </is>
      </c>
    </row>
    <row r="7" ht="15" customHeight="1" s="68">
      <c r="A7" s="110" t="inlineStr">
        <is>
          <t>Eylül 2026</t>
        </is>
      </c>
      <c r="B7" s="111" t="n">
        <v>920000</v>
      </c>
      <c r="C7" s="111" t="n">
        <v>650000</v>
      </c>
      <c r="D7" s="111" t="n">
        <v>55000</v>
      </c>
      <c r="E7" s="112">
        <f>ROUND($B7*KarliyukKdvOrani,0)</f>
        <v/>
      </c>
      <c r="F7" s="112">
        <f>$B7-$C7</f>
        <v/>
      </c>
      <c r="G7" s="113">
        <f>IF($B7=0,0,$H7/$B7)</f>
        <v/>
      </c>
      <c r="H7" s="112">
        <f>IF($F7&gt;0,ROUND($F7*KarliyukKurumlarOrani,0),0)</f>
        <v/>
      </c>
      <c r="I7" s="110" t="inlineStr">
        <is>
          <t>Örnek kayıt 2</t>
        </is>
      </c>
    </row>
    <row r="8" ht="15" customHeight="1" s="68">
      <c r="A8" s="110" t="inlineStr">
        <is>
          <t>Ekim 2026</t>
        </is>
      </c>
      <c r="B8" s="111" t="n">
        <v>880000</v>
      </c>
      <c r="C8" s="111" t="n">
        <v>610000</v>
      </c>
      <c r="D8" s="111" t="n">
        <v>52000</v>
      </c>
      <c r="E8" s="112">
        <f>ROUND($B8*KarliyukKdvOrani,0)</f>
        <v/>
      </c>
      <c r="F8" s="112">
        <f>$B8-$C8</f>
        <v/>
      </c>
      <c r="G8" s="113">
        <f>IF($B8=0,0,$H8/$B8)</f>
        <v/>
      </c>
      <c r="H8" s="112">
        <f>IF($F8&gt;0,ROUND($F8*KarliyukKurumlarOrani,0),0)</f>
        <v/>
      </c>
      <c r="I8" s="110" t="inlineStr">
        <is>
          <t>Örnek kayıt 3</t>
        </is>
      </c>
    </row>
    <row r="9" ht="15" customHeight="1" s="68">
      <c r="A9" s="110" t="inlineStr">
        <is>
          <t>Kasım 2026</t>
        </is>
      </c>
      <c r="B9" s="111" t="n">
        <v>950000</v>
      </c>
      <c r="C9" s="111" t="n">
        <v>680000</v>
      </c>
      <c r="D9" s="111" t="n">
        <v>58000</v>
      </c>
      <c r="E9" s="112">
        <f>ROUND($B9*KarliyukKdvOrani,0)</f>
        <v/>
      </c>
      <c r="F9" s="112">
        <f>$B9-$C9</f>
        <v/>
      </c>
      <c r="G9" s="113">
        <f>IF($B9=0,0,$H9/$B9)</f>
        <v/>
      </c>
      <c r="H9" s="112">
        <f>IF($F9&gt;0,ROUND($F9*KarliyukKurumlarOrani,0),0)</f>
        <v/>
      </c>
      <c r="I9" s="110" t="inlineStr">
        <is>
          <t>Örnek kayıt 4</t>
        </is>
      </c>
    </row>
    <row r="10" ht="15" customHeight="1" s="68">
      <c r="A10" s="110" t="inlineStr">
        <is>
          <t>Aralık 2026</t>
        </is>
      </c>
      <c r="B10" s="111" t="n">
        <v>1010000</v>
      </c>
      <c r="C10" s="111" t="n">
        <v>700000</v>
      </c>
      <c r="D10" s="111" t="n">
        <v>60000</v>
      </c>
      <c r="E10" s="112">
        <f>ROUND($B10*KarliyukKdvOrani,0)</f>
        <v/>
      </c>
      <c r="F10" s="112">
        <f>$B10-$C10</f>
        <v/>
      </c>
      <c r="G10" s="113">
        <f>IF($B10=0,0,$H10/$B10)</f>
        <v/>
      </c>
      <c r="H10" s="112">
        <f>IF($F10&gt;0,ROUND($F10*KarliyukKurumlarOrani,0),0)</f>
        <v/>
      </c>
      <c r="I10" s="110" t="inlineStr">
        <is>
          <t>Örnek kayıt 5</t>
        </is>
      </c>
    </row>
    <row r="11" ht="15" customHeight="1" s="68">
      <c r="A11" s="110" t="inlineStr">
        <is>
          <t>Ocak 2027</t>
        </is>
      </c>
      <c r="B11" s="111" t="n">
        <v>1080000</v>
      </c>
      <c r="C11" s="111" t="n">
        <v>740000</v>
      </c>
      <c r="D11" s="111" t="n">
        <v>65000</v>
      </c>
      <c r="E11" s="112">
        <f>ROUND($B11*KarliyukKdvOrani,0)</f>
        <v/>
      </c>
      <c r="F11" s="112">
        <f>$B11-$C11</f>
        <v/>
      </c>
      <c r="G11" s="113">
        <f>IF($B11=0,0,$H11/$B11)</f>
        <v/>
      </c>
      <c r="H11" s="112">
        <f>IF($F11&gt;0,ROUND($F11*KarliyukKurumlarOrani,0),0)</f>
        <v/>
      </c>
      <c r="I11" s="110" t="inlineStr">
        <is>
          <t>Örnek kayıt 6</t>
        </is>
      </c>
    </row>
    <row r="12" ht="15" customHeight="1" s="68">
      <c r="A12" s="114" t="n"/>
      <c r="B12" s="114" t="n"/>
      <c r="C12" s="114" t="n"/>
      <c r="D12" s="114" t="n"/>
      <c r="E12" s="112">
        <f>ROUND($B12*KarliyukKdvOrani,0)</f>
        <v/>
      </c>
      <c r="F12" s="112">
        <f>$B12-$C12</f>
        <v/>
      </c>
      <c r="G12" s="113">
        <f>IF($B12=0,0,$H12/$B12)</f>
        <v/>
      </c>
      <c r="H12" s="112">
        <f>IF($F12&gt;0,ROUND($F12*KarliyukKurumlarOrani,0),0)</f>
        <v/>
      </c>
      <c r="I12" s="114" t="n"/>
    </row>
    <row r="13" ht="15" customHeight="1" s="68">
      <c r="A13" s="114" t="n"/>
      <c r="B13" s="114" t="n"/>
      <c r="C13" s="114" t="n"/>
      <c r="D13" s="114" t="n"/>
      <c r="E13" s="112">
        <f>ROUND($B13*KarliyukKdvOrani,0)</f>
        <v/>
      </c>
      <c r="F13" s="112">
        <f>$B13-$C13</f>
        <v/>
      </c>
      <c r="G13" s="113">
        <f>IF($B13=0,0,$H13/$B13)</f>
        <v/>
      </c>
      <c r="H13" s="112">
        <f>IF($F13&gt;0,ROUND($F13*KarliyukKurumlarOrani,0),0)</f>
        <v/>
      </c>
      <c r="I13" s="114" t="n"/>
    </row>
    <row r="14" ht="15" customHeight="1" s="68">
      <c r="A14" s="114" t="n"/>
      <c r="B14" s="114" t="n"/>
      <c r="C14" s="114" t="n"/>
      <c r="D14" s="114" t="n"/>
      <c r="E14" s="112">
        <f>ROUND($B14*KarliyukKdvOrani,0)</f>
        <v/>
      </c>
      <c r="F14" s="112">
        <f>$B14-$C14</f>
        <v/>
      </c>
      <c r="G14" s="113">
        <f>IF($B14=0,0,$H14/$B14)</f>
        <v/>
      </c>
      <c r="H14" s="112">
        <f>IF($F14&gt;0,ROUND($F14*KarliyukKurumlarOrani,0),0)</f>
        <v/>
      </c>
      <c r="I14" s="114" t="n"/>
    </row>
    <row r="15" ht="15" customHeight="1" s="68">
      <c r="A15" s="114" t="n"/>
      <c r="B15" s="114" t="n"/>
      <c r="C15" s="114" t="n"/>
      <c r="D15" s="114" t="n"/>
      <c r="E15" s="112">
        <f>ROUND($B15*KarliyukKdvOrani,0)</f>
        <v/>
      </c>
      <c r="F15" s="112">
        <f>$B15-$C15</f>
        <v/>
      </c>
      <c r="G15" s="113">
        <f>IF($B15=0,0,$H15/$B15)</f>
        <v/>
      </c>
      <c r="H15" s="112">
        <f>IF($F15&gt;0,ROUND($F15*KarliyukKurumlarOrani,0),0)</f>
        <v/>
      </c>
      <c r="I15" s="114" t="n"/>
    </row>
    <row r="16" ht="15" customHeight="1" s="68">
      <c r="A16" s="114" t="n"/>
      <c r="B16" s="114" t="n"/>
      <c r="C16" s="114" t="n"/>
      <c r="D16" s="114" t="n"/>
      <c r="E16" s="112">
        <f>ROUND($B16*KarliyukKdvOrani,0)</f>
        <v/>
      </c>
      <c r="F16" s="112">
        <f>$B16-$C16</f>
        <v/>
      </c>
      <c r="G16" s="113">
        <f>IF($B16=0,0,$H16/$B16)</f>
        <v/>
      </c>
      <c r="H16" s="112">
        <f>IF($F16&gt;0,ROUND($F16*KarliyukKurumlarOrani,0),0)</f>
        <v/>
      </c>
      <c r="I16" s="114" t="n"/>
    </row>
    <row r="17" ht="15" customHeight="1" s="68">
      <c r="A17" s="114" t="n"/>
      <c r="B17" s="114" t="n"/>
      <c r="C17" s="114" t="n"/>
      <c r="D17" s="114" t="n"/>
      <c r="E17" s="112">
        <f>ROUND($B17*KarliyukKdvOrani,0)</f>
        <v/>
      </c>
      <c r="F17" s="112">
        <f>$B17-$C17</f>
        <v/>
      </c>
      <c r="G17" s="113">
        <f>IF($B17=0,0,$H17/$B17)</f>
        <v/>
      </c>
      <c r="H17" s="112">
        <f>IF($F17&gt;0,ROUND($F17*KarliyukKurumlarOrani,0),0)</f>
        <v/>
      </c>
      <c r="I17" s="114" t="n"/>
    </row>
    <row r="18" ht="15" customHeight="1" s="68">
      <c r="A18" s="114" t="n"/>
      <c r="B18" s="114" t="n"/>
      <c r="C18" s="114" t="n"/>
      <c r="D18" s="114" t="n"/>
      <c r="E18" s="112">
        <f>ROUND($B18*KarliyukKdvOrani,0)</f>
        <v/>
      </c>
      <c r="F18" s="112">
        <f>$B18-$C18</f>
        <v/>
      </c>
      <c r="G18" s="113">
        <f>IF($B18=0,0,$H18/$B18)</f>
        <v/>
      </c>
      <c r="H18" s="112">
        <f>IF($F18&gt;0,ROUND($F18*KarliyukKurumlarOrani,0),0)</f>
        <v/>
      </c>
      <c r="I18" s="114" t="n"/>
    </row>
    <row r="19" ht="15" customHeight="1" s="68">
      <c r="A19" s="114" t="n"/>
      <c r="B19" s="114" t="n"/>
      <c r="C19" s="114" t="n"/>
      <c r="D19" s="114" t="n"/>
      <c r="E19" s="112">
        <f>ROUND($B19*KarliyukKdvOrani,0)</f>
        <v/>
      </c>
      <c r="F19" s="112">
        <f>$B19-$C19</f>
        <v/>
      </c>
      <c r="G19" s="113">
        <f>IF($B19=0,0,$H19/$B19)</f>
        <v/>
      </c>
      <c r="H19" s="112">
        <f>IF($F19&gt;0,ROUND($F19*KarliyukKurumlarOrani,0),0)</f>
        <v/>
      </c>
      <c r="I19" s="114" t="n"/>
    </row>
    <row r="20" ht="15" customHeight="1" s="68">
      <c r="A20" s="114" t="n"/>
      <c r="B20" s="114" t="n"/>
      <c r="C20" s="114" t="n"/>
      <c r="D20" s="114" t="n"/>
      <c r="E20" s="112">
        <f>ROUND($B20*KarliyukKdvOrani,0)</f>
        <v/>
      </c>
      <c r="F20" s="112">
        <f>$B20-$C20</f>
        <v/>
      </c>
      <c r="G20" s="113">
        <f>IF($B20=0,0,$H20/$B20)</f>
        <v/>
      </c>
      <c r="H20" s="112">
        <f>IF($F20&gt;0,ROUND($F20*KarliyukKurumlarOrani,0),0)</f>
        <v/>
      </c>
      <c r="I20" s="114" t="n"/>
    </row>
    <row r="21" ht="15" customHeight="1" s="68">
      <c r="A21" s="114" t="n"/>
      <c r="B21" s="114" t="n"/>
      <c r="C21" s="114" t="n"/>
      <c r="D21" s="114" t="n"/>
      <c r="E21" s="112">
        <f>ROUND($B21*KarliyukKdvOrani,0)</f>
        <v/>
      </c>
      <c r="F21" s="112">
        <f>$B21-$C21</f>
        <v/>
      </c>
      <c r="G21" s="113">
        <f>IF($B21=0,0,$H21/$B21)</f>
        <v/>
      </c>
      <c r="H21" s="112">
        <f>IF($F21&gt;0,ROUND($F21*KarliyukKurumlarOrani,0),0)</f>
        <v/>
      </c>
      <c r="I21" s="114" t="n"/>
    </row>
    <row r="22" ht="15" customHeight="1" s="68">
      <c r="A22" s="114" t="n"/>
      <c r="B22" s="114" t="n"/>
      <c r="C22" s="114" t="n"/>
      <c r="D22" s="114" t="n"/>
      <c r="E22" s="112">
        <f>ROUND($B22*KarliyukKdvOrani,0)</f>
        <v/>
      </c>
      <c r="F22" s="112">
        <f>$B22-$C22</f>
        <v/>
      </c>
      <c r="G22" s="113">
        <f>IF($B22=0,0,$H22/$B22)</f>
        <v/>
      </c>
      <c r="H22" s="112">
        <f>IF($F22&gt;0,ROUND($F22*KarliyukKurumlarOrani,0),0)</f>
        <v/>
      </c>
      <c r="I22" s="114" t="n"/>
    </row>
    <row r="23" ht="15" customHeight="1" s="68">
      <c r="A23" s="114" t="n"/>
      <c r="B23" s="114" t="n"/>
      <c r="C23" s="114" t="n"/>
      <c r="D23" s="114" t="n"/>
      <c r="E23" s="112">
        <f>ROUND($B23*KarliyukKdvOrani,0)</f>
        <v/>
      </c>
      <c r="F23" s="112">
        <f>$B23-$C23</f>
        <v/>
      </c>
      <c r="G23" s="113">
        <f>IF($B23=0,0,$H23/$B23)</f>
        <v/>
      </c>
      <c r="H23" s="112">
        <f>IF($F23&gt;0,ROUND($F23*KarliyukKurumlarOrani,0),0)</f>
        <v/>
      </c>
      <c r="I23" s="114" t="n"/>
    </row>
    <row r="24" ht="15" customHeight="1" s="68">
      <c r="A24" s="114" t="n"/>
      <c r="B24" s="114" t="n"/>
      <c r="C24" s="114" t="n"/>
      <c r="D24" s="114" t="n"/>
      <c r="E24" s="112">
        <f>ROUND($B24*KarliyukKdvOrani,0)</f>
        <v/>
      </c>
      <c r="F24" s="112">
        <f>$B24-$C24</f>
        <v/>
      </c>
      <c r="G24" s="113">
        <f>IF($B24=0,0,$H24/$B24)</f>
        <v/>
      </c>
      <c r="H24" s="112">
        <f>IF($F24&gt;0,ROUND($F24*KarliyukKurumlarOrani,0),0)</f>
        <v/>
      </c>
      <c r="I24" s="114" t="n"/>
    </row>
    <row r="25" ht="15" customHeight="1" s="68">
      <c r="A25" s="114" t="n"/>
      <c r="B25" s="114" t="n"/>
      <c r="C25" s="114" t="n"/>
      <c r="D25" s="114" t="n"/>
      <c r="E25" s="112">
        <f>ROUND($B25*KarliyukKdvOrani,0)</f>
        <v/>
      </c>
      <c r="F25" s="112">
        <f>$B25-$C25</f>
        <v/>
      </c>
      <c r="G25" s="113">
        <f>IF($B25=0,0,$H25/$B25)</f>
        <v/>
      </c>
      <c r="H25" s="112">
        <f>IF($F25&gt;0,ROUND($F25*KarliyukKurumlarOrani,0),0)</f>
        <v/>
      </c>
      <c r="I25" s="114" t="n"/>
    </row>
    <row r="26" ht="15" customHeight="1" s="68">
      <c r="A26" s="114" t="n"/>
      <c r="B26" s="114" t="n"/>
      <c r="C26" s="114" t="n"/>
      <c r="D26" s="114" t="n"/>
      <c r="E26" s="112">
        <f>ROUND($B26*KarliyukKdvOrani,0)</f>
        <v/>
      </c>
      <c r="F26" s="112">
        <f>$B26-$C26</f>
        <v/>
      </c>
      <c r="G26" s="113">
        <f>IF($B26=0,0,$H26/$B26)</f>
        <v/>
      </c>
      <c r="H26" s="112">
        <f>IF($F26&gt;0,ROUND($F26*KarliyukKurumlarOrani,0),0)</f>
        <v/>
      </c>
      <c r="I26" s="114" t="n"/>
    </row>
    <row r="27" ht="15" customHeight="1" s="68">
      <c r="A27" s="114" t="n"/>
      <c r="B27" s="114" t="n"/>
      <c r="C27" s="114" t="n"/>
      <c r="D27" s="114" t="n"/>
      <c r="E27" s="112">
        <f>ROUND($B27*KarliyukKdvOrani,0)</f>
        <v/>
      </c>
      <c r="F27" s="112">
        <f>$B27-$C27</f>
        <v/>
      </c>
      <c r="G27" s="113">
        <f>IF($B27=0,0,$H27/$B27)</f>
        <v/>
      </c>
      <c r="H27" s="112">
        <f>IF($F27&gt;0,ROUND($F27*KarliyukKurumlarOrani,0),0)</f>
        <v/>
      </c>
      <c r="I27" s="114" t="n"/>
    </row>
    <row r="28" ht="15" customHeight="1" s="68">
      <c r="A28" s="114" t="n"/>
      <c r="B28" s="114" t="n"/>
      <c r="C28" s="114" t="n"/>
      <c r="D28" s="114" t="n"/>
      <c r="E28" s="112">
        <f>ROUND($B28*KarliyukKdvOrani,0)</f>
        <v/>
      </c>
      <c r="F28" s="112">
        <f>$B28-$C28</f>
        <v/>
      </c>
      <c r="G28" s="113">
        <f>IF($B28=0,0,$H28/$B28)</f>
        <v/>
      </c>
      <c r="H28" s="112">
        <f>IF($F28&gt;0,ROUND($F28*KarliyukKurumlarOrani,0),0)</f>
        <v/>
      </c>
      <c r="I28" s="114" t="n"/>
    </row>
    <row r="29" ht="15" customHeight="1" s="68">
      <c r="A29" s="114" t="n"/>
      <c r="B29" s="114" t="n"/>
      <c r="C29" s="114" t="n"/>
      <c r="D29" s="114" t="n"/>
      <c r="E29" s="112">
        <f>ROUND($B29*KarliyukKdvOrani,0)</f>
        <v/>
      </c>
      <c r="F29" s="112">
        <f>$B29-$C29</f>
        <v/>
      </c>
      <c r="G29" s="113">
        <f>IF($B29=0,0,$H29/$B29)</f>
        <v/>
      </c>
      <c r="H29" s="112">
        <f>IF($F29&gt;0,ROUND($F29*KarliyukKurumlarOrani,0),0)</f>
        <v/>
      </c>
      <c r="I29" s="114" t="n"/>
    </row>
    <row r="30" ht="15" customHeight="1" s="68">
      <c r="A30" s="114" t="n"/>
      <c r="B30" s="114" t="n"/>
      <c r="C30" s="114" t="n"/>
      <c r="D30" s="114" t="n"/>
      <c r="E30" s="112">
        <f>ROUND($B30*KarliyukKdvOrani,0)</f>
        <v/>
      </c>
      <c r="F30" s="112">
        <f>$B30-$C30</f>
        <v/>
      </c>
      <c r="G30" s="113">
        <f>IF($B30=0,0,$H30/$B30)</f>
        <v/>
      </c>
      <c r="H30" s="112">
        <f>IF($F30&gt;0,ROUND($F30*KarliyukKurumlarOrani,0),0)</f>
        <v/>
      </c>
      <c r="I30" s="114" t="n"/>
    </row>
    <row r="31" ht="15" customHeight="1" s="68">
      <c r="A31" s="114" t="n"/>
      <c r="B31" s="114" t="n"/>
      <c r="C31" s="114" t="n"/>
      <c r="D31" s="114" t="n"/>
      <c r="E31" s="112">
        <f>ROUND($B31*KarliyukKdvOrani,0)</f>
        <v/>
      </c>
      <c r="F31" s="112">
        <f>$B31-$C31</f>
        <v/>
      </c>
      <c r="G31" s="113">
        <f>IF($B31=0,0,$H31/$B31)</f>
        <v/>
      </c>
      <c r="H31" s="112">
        <f>IF($F31&gt;0,ROUND($F31*KarliyukKurumlarOrani,0),0)</f>
        <v/>
      </c>
      <c r="I31" s="114" t="n"/>
    </row>
    <row r="32" ht="15" customHeight="1" s="68">
      <c r="A32" s="114" t="n"/>
      <c r="B32" s="114" t="n"/>
      <c r="C32" s="114" t="n"/>
      <c r="D32" s="114" t="n"/>
      <c r="E32" s="112">
        <f>ROUND($B32*KarliyukKdvOrani,0)</f>
        <v/>
      </c>
      <c r="F32" s="112">
        <f>$B32-$C32</f>
        <v/>
      </c>
      <c r="G32" s="113">
        <f>IF($B32=0,0,$H32/$B32)</f>
        <v/>
      </c>
      <c r="H32" s="112">
        <f>IF($F32&gt;0,ROUND($F32*KarliyukKurumlarOrani,0),0)</f>
        <v/>
      </c>
      <c r="I32" s="114" t="n"/>
    </row>
    <row r="33" ht="15" customHeight="1" s="68">
      <c r="A33" s="114" t="n"/>
      <c r="B33" s="114" t="n"/>
      <c r="C33" s="114" t="n"/>
      <c r="D33" s="114" t="n"/>
      <c r="E33" s="112">
        <f>ROUND($B33*KarliyukKdvOrani,0)</f>
        <v/>
      </c>
      <c r="F33" s="112">
        <f>$B33-$C33</f>
        <v/>
      </c>
      <c r="G33" s="113">
        <f>IF($B33=0,0,$H33/$B33)</f>
        <v/>
      </c>
      <c r="H33" s="112">
        <f>IF($F33&gt;0,ROUND($F33*KarliyukKurumlarOrani,0),0)</f>
        <v/>
      </c>
      <c r="I33" s="114" t="n"/>
    </row>
    <row r="34" ht="15" customHeight="1" s="68">
      <c r="A34" s="114" t="n"/>
      <c r="B34" s="114" t="n"/>
      <c r="C34" s="114" t="n"/>
      <c r="D34" s="114" t="n"/>
      <c r="E34" s="112">
        <f>ROUND($B34*KarliyukKdvOrani,0)</f>
        <v/>
      </c>
      <c r="F34" s="112">
        <f>$B34-$C34</f>
        <v/>
      </c>
      <c r="G34" s="113">
        <f>IF($B34=0,0,$H34/$B34)</f>
        <v/>
      </c>
      <c r="H34" s="112">
        <f>IF($F34&gt;0,ROUND($F34*KarliyukKurumlarOrani,0),0)</f>
        <v/>
      </c>
      <c r="I34" s="114" t="n"/>
    </row>
    <row r="35" ht="15" customHeight="1" s="68">
      <c r="A35" s="114" t="n"/>
      <c r="B35" s="114" t="n"/>
      <c r="C35" s="114" t="n"/>
      <c r="D35" s="114" t="n"/>
      <c r="E35" s="112">
        <f>ROUND($B35*KarliyukKdvOrani,0)</f>
        <v/>
      </c>
      <c r="F35" s="112">
        <f>$B35-$C35</f>
        <v/>
      </c>
      <c r="G35" s="113">
        <f>IF($B35=0,0,$H35/$B35)</f>
        <v/>
      </c>
      <c r="H35" s="112">
        <f>IF($F35&gt;0,ROUND($F35*KarliyukKurumlarOrani,0),0)</f>
        <v/>
      </c>
      <c r="I35" s="114" t="n"/>
    </row>
    <row r="36" ht="15" customHeight="1" s="68">
      <c r="A36" s="114" t="n"/>
      <c r="B36" s="114" t="n"/>
      <c r="C36" s="114" t="n"/>
      <c r="D36" s="114" t="n"/>
      <c r="E36" s="112">
        <f>ROUND($B36*KarliyukKdvOrani,0)</f>
        <v/>
      </c>
      <c r="F36" s="112">
        <f>$B36-$C36</f>
        <v/>
      </c>
      <c r="G36" s="113">
        <f>IF($B36=0,0,$H36/$B36)</f>
        <v/>
      </c>
      <c r="H36" s="112">
        <f>IF($F36&gt;0,ROUND($F36*KarliyukKurumlarOrani,0),0)</f>
        <v/>
      </c>
      <c r="I36" s="114" t="n"/>
    </row>
    <row r="37" ht="15" customHeight="1" s="68">
      <c r="A37" s="114" t="n"/>
      <c r="B37" s="114" t="n"/>
      <c r="C37" s="114" t="n"/>
      <c r="D37" s="114" t="n"/>
      <c r="E37" s="112">
        <f>ROUND($B37*KarliyukKdvOrani,0)</f>
        <v/>
      </c>
      <c r="F37" s="112">
        <f>$B37-$C37</f>
        <v/>
      </c>
      <c r="G37" s="113">
        <f>IF($B37=0,0,$H37/$B37)</f>
        <v/>
      </c>
      <c r="H37" s="112">
        <f>IF($F37&gt;0,ROUND($F37*KarliyukKurumlarOrani,0),0)</f>
        <v/>
      </c>
      <c r="I37" s="114" t="n"/>
    </row>
    <row r="38" ht="15" customHeight="1" s="68">
      <c r="A38" s="114" t="n"/>
      <c r="B38" s="114" t="n"/>
      <c r="C38" s="114" t="n"/>
      <c r="D38" s="114" t="n"/>
      <c r="E38" s="112">
        <f>ROUND($B38*KarliyukKdvOrani,0)</f>
        <v/>
      </c>
      <c r="F38" s="112">
        <f>$B38-$C38</f>
        <v/>
      </c>
      <c r="G38" s="113">
        <f>IF($B38=0,0,$H38/$B38)</f>
        <v/>
      </c>
      <c r="H38" s="112">
        <f>IF($F38&gt;0,ROUND($F38*KarliyukKurumlarOrani,0),0)</f>
        <v/>
      </c>
      <c r="I38" s="114" t="n"/>
    </row>
    <row r="39" ht="15" customHeight="1" s="68">
      <c r="A39" s="114" t="n"/>
      <c r="B39" s="114" t="n"/>
      <c r="C39" s="114" t="n"/>
      <c r="D39" s="114" t="n"/>
      <c r="E39" s="112">
        <f>ROUND($B39*KarliyukKdvOrani,0)</f>
        <v/>
      </c>
      <c r="F39" s="112">
        <f>$B39-$C39</f>
        <v/>
      </c>
      <c r="G39" s="113">
        <f>IF($B39=0,0,$H39/$B39)</f>
        <v/>
      </c>
      <c r="H39" s="112">
        <f>IF($F39&gt;0,ROUND($F39*KarliyukKurumlarOrani,0),0)</f>
        <v/>
      </c>
      <c r="I39" s="114" t="n"/>
    </row>
    <row r="40" ht="15" customHeight="1" s="68">
      <c r="A40" s="114" t="n"/>
      <c r="B40" s="114" t="n"/>
      <c r="C40" s="114" t="n"/>
      <c r="D40" s="114" t="n"/>
      <c r="E40" s="112">
        <f>ROUND($B40*KarliyukKdvOrani,0)</f>
        <v/>
      </c>
      <c r="F40" s="112">
        <f>$B40-$C40</f>
        <v/>
      </c>
      <c r="G40" s="113">
        <f>IF($B40=0,0,$H40/$B40)</f>
        <v/>
      </c>
      <c r="H40" s="112">
        <f>IF($F40&gt;0,ROUND($F40*KarliyukKurumlarOrani,0),0)</f>
        <v/>
      </c>
      <c r="I40" s="114" t="n"/>
    </row>
    <row r="41" ht="15" customHeight="1" s="68">
      <c r="A41" s="114" t="n"/>
      <c r="B41" s="114" t="n"/>
      <c r="C41" s="114" t="n"/>
      <c r="D41" s="114" t="n"/>
      <c r="E41" s="112">
        <f>ROUND($B41*KarliyukKdvOrani,0)</f>
        <v/>
      </c>
      <c r="F41" s="112">
        <f>$B41-$C41</f>
        <v/>
      </c>
      <c r="G41" s="113">
        <f>IF($B41=0,0,$H41/$B41)</f>
        <v/>
      </c>
      <c r="H41" s="112">
        <f>IF($F41&gt;0,ROUND($F41*KarliyukKurumlarOrani,0),0)</f>
        <v/>
      </c>
      <c r="I41" s="114" t="n"/>
    </row>
    <row r="42" ht="15" customHeight="1" s="68">
      <c r="A42" s="114" t="n"/>
      <c r="B42" s="114" t="n"/>
      <c r="C42" s="114" t="n"/>
      <c r="D42" s="114" t="n"/>
      <c r="E42" s="112">
        <f>ROUND($B42*KarliyukKdvOrani,0)</f>
        <v/>
      </c>
      <c r="F42" s="112">
        <f>$B42-$C42</f>
        <v/>
      </c>
      <c r="G42" s="113">
        <f>IF($B42=0,0,$H42/$B42)</f>
        <v/>
      </c>
      <c r="H42" s="112">
        <f>IF($F42&gt;0,ROUND($F42*KarliyukKurumlarOrani,0),0)</f>
        <v/>
      </c>
      <c r="I42" s="114" t="n"/>
    </row>
    <row r="43" ht="15" customHeight="1" s="68">
      <c r="A43" s="114" t="n"/>
      <c r="B43" s="114" t="n"/>
      <c r="C43" s="114" t="n"/>
      <c r="D43" s="114" t="n"/>
      <c r="E43" s="112">
        <f>ROUND($B43*KarliyukKdvOrani,0)</f>
        <v/>
      </c>
      <c r="F43" s="112">
        <f>$B43-$C43</f>
        <v/>
      </c>
      <c r="G43" s="113">
        <f>IF($B43=0,0,$H43/$B43)</f>
        <v/>
      </c>
      <c r="H43" s="112">
        <f>IF($F43&gt;0,ROUND($F43*KarliyukKurumlarOrani,0),0)</f>
        <v/>
      </c>
      <c r="I43" s="114" t="n"/>
    </row>
    <row r="44" ht="15" customHeight="1" s="68">
      <c r="A44" s="114" t="n"/>
      <c r="B44" s="114" t="n"/>
      <c r="C44" s="114" t="n"/>
      <c r="D44" s="114" t="n"/>
      <c r="E44" s="112">
        <f>ROUND($B44*KarliyukKdvOrani,0)</f>
        <v/>
      </c>
      <c r="F44" s="112">
        <f>$B44-$C44</f>
        <v/>
      </c>
      <c r="G44" s="113">
        <f>IF($B44=0,0,$H44/$B44)</f>
        <v/>
      </c>
      <c r="H44" s="112">
        <f>IF($F44&gt;0,ROUND($F44*KarliyukKurumlarOrani,0),0)</f>
        <v/>
      </c>
      <c r="I44" s="114" t="n"/>
    </row>
    <row r="45" ht="15" customHeight="1" s="68">
      <c r="A45" s="114" t="n"/>
      <c r="B45" s="114" t="n"/>
      <c r="C45" s="114" t="n"/>
      <c r="D45" s="114" t="n"/>
      <c r="E45" s="112">
        <f>ROUND($B45*KarliyukKdvOrani,0)</f>
        <v/>
      </c>
      <c r="F45" s="112">
        <f>$B45-$C45</f>
        <v/>
      </c>
      <c r="G45" s="113">
        <f>IF($B45=0,0,$H45/$B45)</f>
        <v/>
      </c>
      <c r="H45" s="112">
        <f>IF($F45&gt;0,ROUND($F45*KarliyukKurumlarOrani,0),0)</f>
        <v/>
      </c>
      <c r="I45" s="114" t="n"/>
    </row>
    <row r="46" ht="15" customHeight="1" s="68">
      <c r="A46" s="114" t="n"/>
      <c r="B46" s="114" t="n"/>
      <c r="C46" s="114" t="n"/>
      <c r="D46" s="114" t="n"/>
      <c r="E46" s="112">
        <f>ROUND($B46*KarliyukKdvOrani,0)</f>
        <v/>
      </c>
      <c r="F46" s="112">
        <f>$B46-$C46</f>
        <v/>
      </c>
      <c r="G46" s="113">
        <f>IF($B46=0,0,$H46/$B46)</f>
        <v/>
      </c>
      <c r="H46" s="112">
        <f>IF($F46&gt;0,ROUND($F46*KarliyukKurumlarOrani,0),0)</f>
        <v/>
      </c>
      <c r="I46" s="114" t="n"/>
    </row>
    <row r="47" ht="15" customHeight="1" s="68">
      <c r="A47" s="114" t="n"/>
      <c r="B47" s="114" t="n"/>
      <c r="C47" s="114" t="n"/>
      <c r="D47" s="114" t="n"/>
      <c r="E47" s="112">
        <f>ROUND($B47*KarliyukKdvOrani,0)</f>
        <v/>
      </c>
      <c r="F47" s="112">
        <f>$B47-$C47</f>
        <v/>
      </c>
      <c r="G47" s="113">
        <f>IF($B47=0,0,$H47/$B47)</f>
        <v/>
      </c>
      <c r="H47" s="112">
        <f>IF($F47&gt;0,ROUND($F47*KarliyukKurumlarOrani,0),0)</f>
        <v/>
      </c>
      <c r="I47" s="114" t="n"/>
    </row>
    <row r="48" ht="15" customHeight="1" s="68">
      <c r="A48" s="114" t="n"/>
      <c r="B48" s="114" t="n"/>
      <c r="C48" s="114" t="n"/>
      <c r="D48" s="114" t="n"/>
      <c r="E48" s="112">
        <f>ROUND($B48*KarliyukKdvOrani,0)</f>
        <v/>
      </c>
      <c r="F48" s="112">
        <f>$B48-$C48</f>
        <v/>
      </c>
      <c r="G48" s="113">
        <f>IF($B48=0,0,$H48/$B48)</f>
        <v/>
      </c>
      <c r="H48" s="112">
        <f>IF($F48&gt;0,ROUND($F48*KarliyukKurumlarOrani,0),0)</f>
        <v/>
      </c>
      <c r="I48" s="114" t="n"/>
    </row>
    <row r="49" ht="15" customHeight="1" s="68">
      <c r="A49" s="114" t="n"/>
      <c r="B49" s="114" t="n"/>
      <c r="C49" s="114" t="n"/>
      <c r="D49" s="114" t="n"/>
      <c r="E49" s="112">
        <f>ROUND($B49*KarliyukKdvOrani,0)</f>
        <v/>
      </c>
      <c r="F49" s="112">
        <f>$B49-$C49</f>
        <v/>
      </c>
      <c r="G49" s="113">
        <f>IF($B49=0,0,$H49/$B49)</f>
        <v/>
      </c>
      <c r="H49" s="112">
        <f>IF($F49&gt;0,ROUND($F49*KarliyukKurumlarOrani,0),0)</f>
        <v/>
      </c>
      <c r="I49" s="114" t="n"/>
    </row>
    <row r="50" ht="15" customHeight="1" s="68">
      <c r="A50" s="114" t="n"/>
      <c r="B50" s="114" t="n"/>
      <c r="C50" s="114" t="n"/>
      <c r="D50" s="114" t="n"/>
      <c r="E50" s="112">
        <f>ROUND($B50*KarliyukKdvOrani,0)</f>
        <v/>
      </c>
      <c r="F50" s="112">
        <f>$B50-$C50</f>
        <v/>
      </c>
      <c r="G50" s="113">
        <f>IF($B50=0,0,$H50/$B50)</f>
        <v/>
      </c>
      <c r="H50" s="112">
        <f>IF($F50&gt;0,ROUND($F50*KarliyukKurumlarOrani,0),0)</f>
        <v/>
      </c>
      <c r="I50" s="114" t="n"/>
    </row>
    <row r="51" ht="15" customHeight="1" s="68">
      <c r="A51" s="114" t="n"/>
      <c r="B51" s="114" t="n"/>
      <c r="C51" s="114" t="n"/>
      <c r="D51" s="114" t="n"/>
      <c r="E51" s="112">
        <f>ROUND($B51*KarliyukKdvOrani,0)</f>
        <v/>
      </c>
      <c r="F51" s="112">
        <f>$B51-$C51</f>
        <v/>
      </c>
      <c r="G51" s="113">
        <f>IF($B51=0,0,$H51/$B51)</f>
        <v/>
      </c>
      <c r="H51" s="112">
        <f>IF($F51&gt;0,ROUND($F51*KarliyukKurumlarOrani,0),0)</f>
        <v/>
      </c>
      <c r="I51" s="114" t="n"/>
    </row>
    <row r="52" ht="15" customHeight="1" s="68">
      <c r="A52" s="114" t="n"/>
      <c r="B52" s="114" t="n"/>
      <c r="C52" s="114" t="n"/>
      <c r="D52" s="114" t="n"/>
      <c r="E52" s="112">
        <f>ROUND($B52*KarliyukKdvOrani,0)</f>
        <v/>
      </c>
      <c r="F52" s="112">
        <f>$B52-$C52</f>
        <v/>
      </c>
      <c r="G52" s="113">
        <f>IF($B52=0,0,$H52/$B52)</f>
        <v/>
      </c>
      <c r="H52" s="112">
        <f>IF($F52&gt;0,ROUND($F52*KarliyukKurumlarOrani,0),0)</f>
        <v/>
      </c>
      <c r="I52" s="114" t="n"/>
    </row>
    <row r="53" ht="15" customHeight="1" s="68">
      <c r="A53" s="114" t="n"/>
      <c r="B53" s="114" t="n"/>
      <c r="C53" s="114" t="n"/>
      <c r="D53" s="114" t="n"/>
      <c r="E53" s="112">
        <f>ROUND($B53*KarliyukKdvOrani,0)</f>
        <v/>
      </c>
      <c r="F53" s="112">
        <f>$B53-$C53</f>
        <v/>
      </c>
      <c r="G53" s="113">
        <f>IF($B53=0,0,$H53/$B53)</f>
        <v/>
      </c>
      <c r="H53" s="112">
        <f>IF($F53&gt;0,ROUND($F53*KarliyukKurumlarOrani,0),0)</f>
        <v/>
      </c>
      <c r="I53" s="114" t="n"/>
    </row>
    <row r="54" ht="15" customHeight="1" s="68">
      <c r="A54" s="114" t="n"/>
      <c r="B54" s="114" t="n"/>
      <c r="C54" s="114" t="n"/>
      <c r="D54" s="114" t="n"/>
      <c r="E54" s="112">
        <f>ROUND($B54*KarliyukKdvOrani,0)</f>
        <v/>
      </c>
      <c r="F54" s="112">
        <f>$B54-$C54</f>
        <v/>
      </c>
      <c r="G54" s="113">
        <f>IF($B54=0,0,$H54/$B54)</f>
        <v/>
      </c>
      <c r="H54" s="112">
        <f>IF($F54&gt;0,ROUND($F54*KarliyukKurumlarOrani,0),0)</f>
        <v/>
      </c>
      <c r="I54" s="114" t="n"/>
    </row>
    <row r="55" ht="15" customHeight="1" s="68">
      <c r="A55" s="114" t="n"/>
      <c r="B55" s="114" t="n"/>
      <c r="C55" s="114" t="n"/>
      <c r="D55" s="114" t="n"/>
      <c r="E55" s="112">
        <f>ROUND($B55*KarliyukKdvOrani,0)</f>
        <v/>
      </c>
      <c r="F55" s="112">
        <f>$B55-$C55</f>
        <v/>
      </c>
      <c r="G55" s="113">
        <f>IF($B55=0,0,$H55/$B55)</f>
        <v/>
      </c>
      <c r="H55" s="112">
        <f>IF($F55&gt;0,ROUND($F55*KarliyukKurumlarOrani,0),0)</f>
        <v/>
      </c>
      <c r="I55" s="114" t="n"/>
    </row>
    <row r="56" ht="15" customHeight="1" s="68">
      <c r="A56" s="114" t="n"/>
      <c r="B56" s="114" t="n"/>
      <c r="C56" s="114" t="n"/>
      <c r="D56" s="114" t="n"/>
      <c r="E56" s="112">
        <f>ROUND($B56*KarliyukKdvOrani,0)</f>
        <v/>
      </c>
      <c r="F56" s="112">
        <f>$B56-$C56</f>
        <v/>
      </c>
      <c r="G56" s="113">
        <f>IF($B56=0,0,$H56/$B56)</f>
        <v/>
      </c>
      <c r="H56" s="112">
        <f>IF($F56&gt;0,ROUND($F56*KarliyukKurumlarOrani,0),0)</f>
        <v/>
      </c>
      <c r="I56" s="114" t="n"/>
    </row>
    <row r="57" ht="15" customHeight="1" s="68">
      <c r="A57" s="114" t="n"/>
      <c r="B57" s="114" t="n"/>
      <c r="C57" s="114" t="n"/>
      <c r="D57" s="114" t="n"/>
      <c r="E57" s="112">
        <f>ROUND($B57*KarliyukKdvOrani,0)</f>
        <v/>
      </c>
      <c r="F57" s="112">
        <f>$B57-$C57</f>
        <v/>
      </c>
      <c r="G57" s="113">
        <f>IF($B57=0,0,$H57/$B57)</f>
        <v/>
      </c>
      <c r="H57" s="112">
        <f>IF($F57&gt;0,ROUND($F57*KarliyukKurumlarOrani,0),0)</f>
        <v/>
      </c>
      <c r="I57" s="114" t="n"/>
    </row>
    <row r="58" ht="15" customHeight="1" s="68">
      <c r="A58" s="114" t="n"/>
      <c r="B58" s="114" t="n"/>
      <c r="C58" s="114" t="n"/>
      <c r="D58" s="114" t="n"/>
      <c r="E58" s="112">
        <f>ROUND($B58*KarliyukKdvOrani,0)</f>
        <v/>
      </c>
      <c r="F58" s="112">
        <f>$B58-$C58</f>
        <v/>
      </c>
      <c r="G58" s="113">
        <f>IF($B58=0,0,$H58/$B58)</f>
        <v/>
      </c>
      <c r="H58" s="112">
        <f>IF($F58&gt;0,ROUND($F58*KarliyukKurumlarOrani,0),0)</f>
        <v/>
      </c>
      <c r="I58" s="114" t="n"/>
    </row>
    <row r="59" ht="15" customHeight="1" s="68">
      <c r="A59" s="114" t="n"/>
      <c r="B59" s="114" t="n"/>
      <c r="C59" s="114" t="n"/>
      <c r="D59" s="114" t="n"/>
      <c r="E59" s="112">
        <f>ROUND($B59*KarliyukKdvOrani,0)</f>
        <v/>
      </c>
      <c r="F59" s="112">
        <f>$B59-$C59</f>
        <v/>
      </c>
      <c r="G59" s="113">
        <f>IF($B59=0,0,$H59/$B59)</f>
        <v/>
      </c>
      <c r="H59" s="112">
        <f>IF($F59&gt;0,ROUND($F59*KarliyukKurumlarOrani,0),0)</f>
        <v/>
      </c>
      <c r="I59" s="114" t="n"/>
    </row>
    <row r="60" ht="15" customHeight="1" s="68">
      <c r="A60" s="114" t="n"/>
      <c r="B60" s="114" t="n"/>
      <c r="C60" s="114" t="n"/>
      <c r="D60" s="114" t="n"/>
      <c r="E60" s="112">
        <f>ROUND($B60*KarliyukKdvOrani,0)</f>
        <v/>
      </c>
      <c r="F60" s="112">
        <f>$B60-$C60</f>
        <v/>
      </c>
      <c r="G60" s="113">
        <f>IF($B60=0,0,$H60/$B60)</f>
        <v/>
      </c>
      <c r="H60" s="112">
        <f>IF($F60&gt;0,ROUND($F60*KarliyukKurumlarOrani,0),0)</f>
        <v/>
      </c>
      <c r="I60" s="114" t="n"/>
    </row>
    <row r="61" ht="15" customHeight="1" s="68">
      <c r="A61" s="114" t="n"/>
      <c r="B61" s="114" t="n"/>
      <c r="C61" s="114" t="n"/>
      <c r="D61" s="114" t="n"/>
      <c r="E61" s="112">
        <f>ROUND($B61*KarliyukKdvOrani,0)</f>
        <v/>
      </c>
      <c r="F61" s="112">
        <f>$B61-$C61</f>
        <v/>
      </c>
      <c r="G61" s="113">
        <f>IF($B61=0,0,$H61/$B61)</f>
        <v/>
      </c>
      <c r="H61" s="112">
        <f>IF($F61&gt;0,ROUND($F61*KarliyukKurumlarOrani,0),0)</f>
        <v/>
      </c>
      <c r="I61" s="114" t="n"/>
    </row>
    <row r="62" ht="15" customHeight="1" s="68">
      <c r="A62" s="114" t="n"/>
      <c r="B62" s="114" t="n"/>
      <c r="C62" s="114" t="n"/>
      <c r="D62" s="114" t="n"/>
      <c r="E62" s="112">
        <f>ROUND($B62*KarliyukKdvOrani,0)</f>
        <v/>
      </c>
      <c r="F62" s="112">
        <f>$B62-$C62</f>
        <v/>
      </c>
      <c r="G62" s="113">
        <f>IF($B62=0,0,$H62/$B62)</f>
        <v/>
      </c>
      <c r="H62" s="112">
        <f>IF($F62&gt;0,ROUND($F62*KarliyukKurumlarOrani,0),0)</f>
        <v/>
      </c>
      <c r="I62" s="114" t="n"/>
    </row>
    <row r="63" ht="15" customHeight="1" s="68">
      <c r="A63" s="114" t="n"/>
      <c r="B63" s="114" t="n"/>
      <c r="C63" s="114" t="n"/>
      <c r="D63" s="114" t="n"/>
      <c r="E63" s="112">
        <f>ROUND($B63*KarliyukKdvOrani,0)</f>
        <v/>
      </c>
      <c r="F63" s="112">
        <f>$B63-$C63</f>
        <v/>
      </c>
      <c r="G63" s="113">
        <f>IF($B63=0,0,$H63/$B63)</f>
        <v/>
      </c>
      <c r="H63" s="112">
        <f>IF($F63&gt;0,ROUND($F63*KarliyukKurumlarOrani,0),0)</f>
        <v/>
      </c>
      <c r="I63" s="114" t="n"/>
    </row>
    <row r="64" ht="15" customHeight="1" s="68">
      <c r="A64" s="114" t="n"/>
      <c r="B64" s="114" t="n"/>
      <c r="C64" s="114" t="n"/>
      <c r="D64" s="114" t="n"/>
      <c r="E64" s="112">
        <f>ROUND($B64*KarliyukKdvOrani,0)</f>
        <v/>
      </c>
      <c r="F64" s="112">
        <f>$B64-$C64</f>
        <v/>
      </c>
      <c r="G64" s="113">
        <f>IF($B64=0,0,$H64/$B64)</f>
        <v/>
      </c>
      <c r="H64" s="112">
        <f>IF($F64&gt;0,ROUND($F64*KarliyukKurumlarOrani,0),0)</f>
        <v/>
      </c>
      <c r="I64" s="114" t="n"/>
    </row>
    <row r="65" ht="15" customHeight="1" s="68">
      <c r="A65" s="114" t="n"/>
      <c r="B65" s="114" t="n"/>
      <c r="C65" s="114" t="n"/>
      <c r="D65" s="114" t="n"/>
      <c r="E65" s="112">
        <f>ROUND($B65*KarliyukKdvOrani,0)</f>
        <v/>
      </c>
      <c r="F65" s="112">
        <f>$B65-$C65</f>
        <v/>
      </c>
      <c r="G65" s="113">
        <f>IF($B65=0,0,$H65/$B65)</f>
        <v/>
      </c>
      <c r="H65" s="112">
        <f>IF($F65&gt;0,ROUND($F65*KarliyukKurumlarOrani,0),0)</f>
        <v/>
      </c>
      <c r="I65" s="114" t="n"/>
    </row>
    <row r="66" ht="15" customHeight="1" s="68">
      <c r="A66" s="114" t="n"/>
      <c r="B66" s="114" t="n"/>
      <c r="C66" s="114" t="n"/>
      <c r="D66" s="114" t="n"/>
      <c r="E66" s="112">
        <f>ROUND($B66*KarliyukKdvOrani,0)</f>
        <v/>
      </c>
      <c r="F66" s="112">
        <f>$B66-$C66</f>
        <v/>
      </c>
      <c r="G66" s="113">
        <f>IF($B66=0,0,$H66/$B66)</f>
        <v/>
      </c>
      <c r="H66" s="112">
        <f>IF($F66&gt;0,ROUND($F66*KarliyukKurumlarOrani,0),0)</f>
        <v/>
      </c>
      <c r="I66" s="114" t="n"/>
    </row>
    <row r="67" ht="15" customHeight="1" s="68">
      <c r="A67" s="114" t="n"/>
      <c r="B67" s="114" t="n"/>
      <c r="C67" s="114" t="n"/>
      <c r="D67" s="114" t="n"/>
      <c r="E67" s="112">
        <f>ROUND($B67*KarliyukKdvOrani,0)</f>
        <v/>
      </c>
      <c r="F67" s="112">
        <f>$B67-$C67</f>
        <v/>
      </c>
      <c r="G67" s="113">
        <f>IF($B67=0,0,$H67/$B67)</f>
        <v/>
      </c>
      <c r="H67" s="112">
        <f>IF($F67&gt;0,ROUND($F67*KarliyukKurumlarOrani,0),0)</f>
        <v/>
      </c>
      <c r="I67" s="114" t="n"/>
    </row>
    <row r="68" ht="15" customHeight="1" s="68">
      <c r="A68" s="114" t="n"/>
      <c r="B68" s="114" t="n"/>
      <c r="C68" s="114" t="n"/>
      <c r="D68" s="114" t="n"/>
      <c r="E68" s="112">
        <f>ROUND($B68*KarliyukKdvOrani,0)</f>
        <v/>
      </c>
      <c r="F68" s="112">
        <f>$B68-$C68</f>
        <v/>
      </c>
      <c r="G68" s="113">
        <f>IF($B68=0,0,$H68/$B68)</f>
        <v/>
      </c>
      <c r="H68" s="112">
        <f>IF($F68&gt;0,ROUND($F68*KarliyukKurumlarOrani,0),0)</f>
        <v/>
      </c>
      <c r="I68" s="114" t="n"/>
    </row>
    <row r="69" ht="15" customHeight="1" s="68">
      <c r="A69" s="114" t="n"/>
      <c r="B69" s="114" t="n"/>
      <c r="C69" s="114" t="n"/>
      <c r="D69" s="114" t="n"/>
      <c r="E69" s="112">
        <f>ROUND($B69*KarliyukKdvOrani,0)</f>
        <v/>
      </c>
      <c r="F69" s="112">
        <f>$B69-$C69</f>
        <v/>
      </c>
      <c r="G69" s="113">
        <f>IF($B69=0,0,$H69/$B69)</f>
        <v/>
      </c>
      <c r="H69" s="112">
        <f>IF($F69&gt;0,ROUND($F69*KarliyukKurumlarOrani,0),0)</f>
        <v/>
      </c>
      <c r="I69" s="114" t="n"/>
    </row>
    <row r="70" ht="15" customHeight="1" s="68">
      <c r="A70" s="114" t="n"/>
      <c r="B70" s="114" t="n"/>
      <c r="C70" s="114" t="n"/>
      <c r="D70" s="114" t="n"/>
      <c r="E70" s="112">
        <f>ROUND($B70*KarliyukKdvOrani,0)</f>
        <v/>
      </c>
      <c r="F70" s="112">
        <f>$B70-$C70</f>
        <v/>
      </c>
      <c r="G70" s="113">
        <f>IF($B70=0,0,$H70/$B70)</f>
        <v/>
      </c>
      <c r="H70" s="112">
        <f>IF($F70&gt;0,ROUND($F70*KarliyukKurumlarOrani,0),0)</f>
        <v/>
      </c>
      <c r="I70" s="114" t="n"/>
    </row>
    <row r="71" ht="15" customHeight="1" s="68">
      <c r="A71" s="114" t="n"/>
      <c r="B71" s="114" t="n"/>
      <c r="C71" s="114" t="n"/>
      <c r="D71" s="114" t="n"/>
      <c r="E71" s="112">
        <f>ROUND($B71*KarliyukKdvOrani,0)</f>
        <v/>
      </c>
      <c r="F71" s="112">
        <f>$B71-$C71</f>
        <v/>
      </c>
      <c r="G71" s="113">
        <f>IF($B71=0,0,$H71/$B71)</f>
        <v/>
      </c>
      <c r="H71" s="112">
        <f>IF($F71&gt;0,ROUND($F71*KarliyukKurumlarOrani,0),0)</f>
        <v/>
      </c>
      <c r="I71" s="114" t="n"/>
    </row>
    <row r="72" ht="15" customHeight="1" s="68">
      <c r="A72" s="114" t="n"/>
      <c r="B72" s="114" t="n"/>
      <c r="C72" s="114" t="n"/>
      <c r="D72" s="114" t="n"/>
      <c r="E72" s="112">
        <f>ROUND($B72*KarliyukKdvOrani,0)</f>
        <v/>
      </c>
      <c r="F72" s="112">
        <f>$B72-$C72</f>
        <v/>
      </c>
      <c r="G72" s="113">
        <f>IF($B72=0,0,$H72/$B72)</f>
        <v/>
      </c>
      <c r="H72" s="112">
        <f>IF($F72&gt;0,ROUND($F72*KarliyukKurumlarOrani,0),0)</f>
        <v/>
      </c>
      <c r="I72" s="114" t="n"/>
    </row>
    <row r="73" ht="15" customHeight="1" s="68">
      <c r="A73" s="114" t="n"/>
      <c r="B73" s="114" t="n"/>
      <c r="C73" s="114" t="n"/>
      <c r="D73" s="114" t="n"/>
      <c r="E73" s="112">
        <f>ROUND($B73*KarliyukKdvOrani,0)</f>
        <v/>
      </c>
      <c r="F73" s="112">
        <f>$B73-$C73</f>
        <v/>
      </c>
      <c r="G73" s="113">
        <f>IF($B73=0,0,$H73/$B73)</f>
        <v/>
      </c>
      <c r="H73" s="112">
        <f>IF($F73&gt;0,ROUND($F73*KarliyukKurumlarOrani,0),0)</f>
        <v/>
      </c>
      <c r="I73" s="114" t="n"/>
    </row>
    <row r="74" ht="15" customHeight="1" s="68">
      <c r="A74" s="114" t="n"/>
      <c r="B74" s="114" t="n"/>
      <c r="C74" s="114" t="n"/>
      <c r="D74" s="114" t="n"/>
      <c r="E74" s="112">
        <f>ROUND($B74*KarliyukKdvOrani,0)</f>
        <v/>
      </c>
      <c r="F74" s="112">
        <f>$B74-$C74</f>
        <v/>
      </c>
      <c r="G74" s="113">
        <f>IF($B74=0,0,$H74/$B74)</f>
        <v/>
      </c>
      <c r="H74" s="112">
        <f>IF($F74&gt;0,ROUND($F74*KarliyukKurumlarOrani,0),0)</f>
        <v/>
      </c>
      <c r="I74" s="114" t="n"/>
    </row>
    <row r="75" ht="15" customHeight="1" s="68">
      <c r="A75" s="114" t="n"/>
      <c r="B75" s="114" t="n"/>
      <c r="C75" s="114" t="n"/>
      <c r="D75" s="114" t="n"/>
      <c r="E75" s="112">
        <f>ROUND($B75*KarliyukKdvOrani,0)</f>
        <v/>
      </c>
      <c r="F75" s="112">
        <f>$B75-$C75</f>
        <v/>
      </c>
      <c r="G75" s="113">
        <f>IF($B75=0,0,$H75/$B75)</f>
        <v/>
      </c>
      <c r="H75" s="112">
        <f>IF($F75&gt;0,ROUND($F75*KarliyukKurumlarOrani,0),0)</f>
        <v/>
      </c>
      <c r="I75" s="114" t="n"/>
    </row>
    <row r="76" ht="15" customHeight="1" s="68">
      <c r="A76" s="114" t="n"/>
      <c r="B76" s="114" t="n"/>
      <c r="C76" s="114" t="n"/>
      <c r="D76" s="114" t="n"/>
      <c r="E76" s="112">
        <f>ROUND($B76*KarliyukKdvOrani,0)</f>
        <v/>
      </c>
      <c r="F76" s="112">
        <f>$B76-$C76</f>
        <v/>
      </c>
      <c r="G76" s="113">
        <f>IF($B76=0,0,$H76/$B76)</f>
        <v/>
      </c>
      <c r="H76" s="112">
        <f>IF($F76&gt;0,ROUND($F76*KarliyukKurumlarOrani,0),0)</f>
        <v/>
      </c>
      <c r="I76" s="114" t="n"/>
    </row>
    <row r="77" ht="15" customHeight="1" s="68">
      <c r="A77" s="114" t="n"/>
      <c r="B77" s="114" t="n"/>
      <c r="C77" s="114" t="n"/>
      <c r="D77" s="114" t="n"/>
      <c r="E77" s="112">
        <f>ROUND($B77*KarliyukKdvOrani,0)</f>
        <v/>
      </c>
      <c r="F77" s="112">
        <f>$B77-$C77</f>
        <v/>
      </c>
      <c r="G77" s="113">
        <f>IF($B77=0,0,$H77/$B77)</f>
        <v/>
      </c>
      <c r="H77" s="112">
        <f>IF($F77&gt;0,ROUND($F77*KarliyukKurumlarOrani,0),0)</f>
        <v/>
      </c>
      <c r="I77" s="114" t="n"/>
    </row>
    <row r="78" ht="15" customHeight="1" s="68">
      <c r="A78" s="114" t="n"/>
      <c r="B78" s="114" t="n"/>
      <c r="C78" s="114" t="n"/>
      <c r="D78" s="114" t="n"/>
      <c r="E78" s="112">
        <f>ROUND($B78*KarliyukKdvOrani,0)</f>
        <v/>
      </c>
      <c r="F78" s="112">
        <f>$B78-$C78</f>
        <v/>
      </c>
      <c r="G78" s="113">
        <f>IF($B78=0,0,$H78/$B78)</f>
        <v/>
      </c>
      <c r="H78" s="112">
        <f>IF($F78&gt;0,ROUND($F78*KarliyukKurumlarOrani,0),0)</f>
        <v/>
      </c>
      <c r="I78" s="114" t="n"/>
    </row>
    <row r="79" ht="15" customHeight="1" s="68">
      <c r="A79" s="114" t="n"/>
      <c r="B79" s="114" t="n"/>
      <c r="C79" s="114" t="n"/>
      <c r="D79" s="114" t="n"/>
      <c r="E79" s="112">
        <f>ROUND($B79*KarliyukKdvOrani,0)</f>
        <v/>
      </c>
      <c r="F79" s="112">
        <f>$B79-$C79</f>
        <v/>
      </c>
      <c r="G79" s="113">
        <f>IF($B79=0,0,$H79/$B79)</f>
        <v/>
      </c>
      <c r="H79" s="112">
        <f>IF($F79&gt;0,ROUND($F79*KarliyukKurumlarOrani,0),0)</f>
        <v/>
      </c>
      <c r="I79" s="114" t="n"/>
    </row>
    <row r="80" ht="15" customHeight="1" s="68">
      <c r="A80" s="114" t="n"/>
      <c r="B80" s="114" t="n"/>
      <c r="C80" s="114" t="n"/>
      <c r="D80" s="114" t="n"/>
      <c r="E80" s="112">
        <f>ROUND($B80*KarliyukKdvOrani,0)</f>
        <v/>
      </c>
      <c r="F80" s="112">
        <f>$B80-$C80</f>
        <v/>
      </c>
      <c r="G80" s="113">
        <f>IF($B80=0,0,$H80/$B80)</f>
        <v/>
      </c>
      <c r="H80" s="112">
        <f>IF($F80&gt;0,ROUND($F80*KarliyukKurumlarOrani,0),0)</f>
        <v/>
      </c>
      <c r="I80" s="114" t="n"/>
    </row>
    <row r="81" ht="15" customHeight="1" s="68">
      <c r="A81" s="114" t="n"/>
      <c r="B81" s="114" t="n"/>
      <c r="C81" s="114" t="n"/>
      <c r="D81" s="114" t="n"/>
      <c r="E81" s="112">
        <f>ROUND($B81*KarliyukKdvOrani,0)</f>
        <v/>
      </c>
      <c r="F81" s="112">
        <f>$B81-$C81</f>
        <v/>
      </c>
      <c r="G81" s="113">
        <f>IF($B81=0,0,$H81/$B81)</f>
        <v/>
      </c>
      <c r="H81" s="112">
        <f>IF($F81&gt;0,ROUND($F81*KarliyukKurumlarOrani,0),0)</f>
        <v/>
      </c>
      <c r="I81" s="114" t="n"/>
    </row>
    <row r="82" ht="15" customHeight="1" s="68">
      <c r="A82" s="114" t="n"/>
      <c r="B82" s="114" t="n"/>
      <c r="C82" s="114" t="n"/>
      <c r="D82" s="114" t="n"/>
      <c r="E82" s="112">
        <f>ROUND($B82*KarliyukKdvOrani,0)</f>
        <v/>
      </c>
      <c r="F82" s="112">
        <f>$B82-$C82</f>
        <v/>
      </c>
      <c r="G82" s="113">
        <f>IF($B82=0,0,$H82/$B82)</f>
        <v/>
      </c>
      <c r="H82" s="112">
        <f>IF($F82&gt;0,ROUND($F82*KarliyukKurumlarOrani,0),0)</f>
        <v/>
      </c>
      <c r="I82" s="114" t="n"/>
    </row>
    <row r="83" ht="15" customHeight="1" s="68">
      <c r="A83" s="114" t="n"/>
      <c r="B83" s="114" t="n"/>
      <c r="C83" s="114" t="n"/>
      <c r="D83" s="114" t="n"/>
      <c r="E83" s="112">
        <f>ROUND($B83*KarliyukKdvOrani,0)</f>
        <v/>
      </c>
      <c r="F83" s="112">
        <f>$B83-$C83</f>
        <v/>
      </c>
      <c r="G83" s="113">
        <f>IF($B83=0,0,$H83/$B83)</f>
        <v/>
      </c>
      <c r="H83" s="112">
        <f>IF($F83&gt;0,ROUND($F83*KarliyukKurumlarOrani,0),0)</f>
        <v/>
      </c>
      <c r="I83" s="114" t="n"/>
    </row>
    <row r="84" ht="15" customHeight="1" s="68">
      <c r="A84" s="114" t="n"/>
      <c r="B84" s="114" t="n"/>
      <c r="C84" s="114" t="n"/>
      <c r="D84" s="114" t="n"/>
      <c r="E84" s="112">
        <f>ROUND($B84*KarliyukKdvOrani,0)</f>
        <v/>
      </c>
      <c r="F84" s="112">
        <f>$B84-$C84</f>
        <v/>
      </c>
      <c r="G84" s="113">
        <f>IF($B84=0,0,$H84/$B84)</f>
        <v/>
      </c>
      <c r="H84" s="112">
        <f>IF($F84&gt;0,ROUND($F84*KarliyukKurumlarOrani,0),0)</f>
        <v/>
      </c>
      <c r="I84" s="114" t="n"/>
    </row>
    <row r="85" ht="15" customHeight="1" s="68">
      <c r="A85" s="114" t="n"/>
      <c r="B85" s="114" t="n"/>
      <c r="C85" s="114" t="n"/>
      <c r="D85" s="114" t="n"/>
      <c r="E85" s="112">
        <f>ROUND($B85*KarliyukKdvOrani,0)</f>
        <v/>
      </c>
      <c r="F85" s="112">
        <f>$B85-$C85</f>
        <v/>
      </c>
      <c r="G85" s="113">
        <f>IF($B85=0,0,$H85/$B85)</f>
        <v/>
      </c>
      <c r="H85" s="112">
        <f>IF($F85&gt;0,ROUND($F85*KarliyukKurumlarOrani,0),0)</f>
        <v/>
      </c>
      <c r="I85" s="114" t="n"/>
    </row>
    <row r="86" ht="15" customHeight="1" s="68">
      <c r="A86" s="114" t="n"/>
      <c r="B86" s="114" t="n"/>
      <c r="C86" s="114" t="n"/>
      <c r="D86" s="114" t="n"/>
      <c r="E86" s="112">
        <f>ROUND($B86*KarliyukKdvOrani,0)</f>
        <v/>
      </c>
      <c r="F86" s="112">
        <f>$B86-$C86</f>
        <v/>
      </c>
      <c r="G86" s="113">
        <f>IF($B86=0,0,$H86/$B86)</f>
        <v/>
      </c>
      <c r="H86" s="112">
        <f>IF($F86&gt;0,ROUND($F86*KarliyukKurumlarOrani,0),0)</f>
        <v/>
      </c>
      <c r="I86" s="114" t="n"/>
    </row>
    <row r="87" ht="15" customHeight="1" s="68">
      <c r="A87" s="114" t="n"/>
      <c r="B87" s="114" t="n"/>
      <c r="C87" s="114" t="n"/>
      <c r="D87" s="114" t="n"/>
      <c r="E87" s="112">
        <f>ROUND($B87*KarliyukKdvOrani,0)</f>
        <v/>
      </c>
      <c r="F87" s="112">
        <f>$B87-$C87</f>
        <v/>
      </c>
      <c r="G87" s="113">
        <f>IF($B87=0,0,$H87/$B87)</f>
        <v/>
      </c>
      <c r="H87" s="112">
        <f>IF($F87&gt;0,ROUND($F87*KarliyukKurumlarOrani,0),0)</f>
        <v/>
      </c>
      <c r="I87" s="114" t="n"/>
    </row>
    <row r="88" ht="15" customHeight="1" s="68">
      <c r="A88" s="114" t="n"/>
      <c r="B88" s="114" t="n"/>
      <c r="C88" s="114" t="n"/>
      <c r="D88" s="114" t="n"/>
      <c r="E88" s="112">
        <f>ROUND($B88*KarliyukKdvOrani,0)</f>
        <v/>
      </c>
      <c r="F88" s="112">
        <f>$B88-$C88</f>
        <v/>
      </c>
      <c r="G88" s="113">
        <f>IF($B88=0,0,$H88/$B88)</f>
        <v/>
      </c>
      <c r="H88" s="112">
        <f>IF($F88&gt;0,ROUND($F88*KarliyukKurumlarOrani,0),0)</f>
        <v/>
      </c>
      <c r="I88" s="114" t="n"/>
    </row>
    <row r="89" ht="15" customHeight="1" s="68">
      <c r="A89" s="114" t="n"/>
      <c r="B89" s="114" t="n"/>
      <c r="C89" s="114" t="n"/>
      <c r="D89" s="114" t="n"/>
      <c r="E89" s="112">
        <f>ROUND($B89*KarliyukKdvOrani,0)</f>
        <v/>
      </c>
      <c r="F89" s="112">
        <f>$B89-$C89</f>
        <v/>
      </c>
      <c r="G89" s="113">
        <f>IF($B89=0,0,$H89/$B89)</f>
        <v/>
      </c>
      <c r="H89" s="112">
        <f>IF($F89&gt;0,ROUND($F89*KarliyukKurumlarOrani,0),0)</f>
        <v/>
      </c>
      <c r="I89" s="114" t="n"/>
    </row>
    <row r="90" ht="15" customHeight="1" s="68">
      <c r="A90" s="114" t="n"/>
      <c r="B90" s="114" t="n"/>
      <c r="C90" s="114" t="n"/>
      <c r="D90" s="114" t="n"/>
      <c r="E90" s="112">
        <f>ROUND($B90*KarliyukKdvOrani,0)</f>
        <v/>
      </c>
      <c r="F90" s="112">
        <f>$B90-$C90</f>
        <v/>
      </c>
      <c r="G90" s="113">
        <f>IF($B90=0,0,$H90/$B90)</f>
        <v/>
      </c>
      <c r="H90" s="112">
        <f>IF($F90&gt;0,ROUND($F90*KarliyukKurumlarOrani,0),0)</f>
        <v/>
      </c>
      <c r="I90" s="114" t="n"/>
    </row>
    <row r="91" ht="15" customHeight="1" s="68">
      <c r="A91" s="114" t="n"/>
      <c r="B91" s="114" t="n"/>
      <c r="C91" s="114" t="n"/>
      <c r="D91" s="114" t="n"/>
      <c r="E91" s="112">
        <f>ROUND($B91*KarliyukKdvOrani,0)</f>
        <v/>
      </c>
      <c r="F91" s="112">
        <f>$B91-$C91</f>
        <v/>
      </c>
      <c r="G91" s="113">
        <f>IF($B91=0,0,$H91/$B91)</f>
        <v/>
      </c>
      <c r="H91" s="112">
        <f>IF($F91&gt;0,ROUND($F91*KarliyukKurumlarOrani,0),0)</f>
        <v/>
      </c>
      <c r="I91" s="114" t="n"/>
    </row>
    <row r="92" ht="15" customHeight="1" s="68">
      <c r="A92" s="114" t="n"/>
      <c r="B92" s="114" t="n"/>
      <c r="C92" s="114" t="n"/>
      <c r="D92" s="114" t="n"/>
      <c r="E92" s="112">
        <f>ROUND($B92*KarliyukKdvOrani,0)</f>
        <v/>
      </c>
      <c r="F92" s="112">
        <f>$B92-$C92</f>
        <v/>
      </c>
      <c r="G92" s="113">
        <f>IF($B92=0,0,$H92/$B92)</f>
        <v/>
      </c>
      <c r="H92" s="112">
        <f>IF($F92&gt;0,ROUND($F92*KarliyukKurumlarOrani,0),0)</f>
        <v/>
      </c>
      <c r="I92" s="114" t="n"/>
    </row>
    <row r="93" ht="15" customHeight="1" s="68">
      <c r="A93" s="114" t="n"/>
      <c r="B93" s="114" t="n"/>
      <c r="C93" s="114" t="n"/>
      <c r="D93" s="114" t="n"/>
      <c r="E93" s="112">
        <f>ROUND($B93*KarliyukKdvOrani,0)</f>
        <v/>
      </c>
      <c r="F93" s="112">
        <f>$B93-$C93</f>
        <v/>
      </c>
      <c r="G93" s="113">
        <f>IF($B93=0,0,$H93/$B93)</f>
        <v/>
      </c>
      <c r="H93" s="112">
        <f>IF($F93&gt;0,ROUND($F93*KarliyukKurumlarOrani,0),0)</f>
        <v/>
      </c>
      <c r="I93" s="114" t="n"/>
    </row>
    <row r="94" ht="15" customHeight="1" s="68">
      <c r="A94" s="114" t="n"/>
      <c r="B94" s="114" t="n"/>
      <c r="C94" s="114" t="n"/>
      <c r="D94" s="114" t="n"/>
      <c r="E94" s="112">
        <f>ROUND($B94*KarliyukKdvOrani,0)</f>
        <v/>
      </c>
      <c r="F94" s="112">
        <f>$B94-$C94</f>
        <v/>
      </c>
      <c r="G94" s="113">
        <f>IF($B94=0,0,$H94/$B94)</f>
        <v/>
      </c>
      <c r="H94" s="112">
        <f>IF($F94&gt;0,ROUND($F94*KarliyukKurumlarOrani,0),0)</f>
        <v/>
      </c>
      <c r="I94" s="114" t="n"/>
    </row>
    <row r="95" ht="15" customHeight="1" s="68">
      <c r="A95" s="114" t="n"/>
      <c r="B95" s="114" t="n"/>
      <c r="C95" s="114" t="n"/>
      <c r="D95" s="114" t="n"/>
      <c r="E95" s="112">
        <f>ROUND($B95*KarliyukKdvOrani,0)</f>
        <v/>
      </c>
      <c r="F95" s="112">
        <f>$B95-$C95</f>
        <v/>
      </c>
      <c r="G95" s="113">
        <f>IF($B95=0,0,$H95/$B95)</f>
        <v/>
      </c>
      <c r="H95" s="112">
        <f>IF($F95&gt;0,ROUND($F95*KarliyukKurumlarOrani,0),0)</f>
        <v/>
      </c>
      <c r="I95" s="114" t="n"/>
    </row>
    <row r="96" ht="15" customHeight="1" s="68">
      <c r="A96" s="114" t="n"/>
      <c r="B96" s="114" t="n"/>
      <c r="C96" s="114" t="n"/>
      <c r="D96" s="114" t="n"/>
      <c r="E96" s="112">
        <f>ROUND($B96*KarliyukKdvOrani,0)</f>
        <v/>
      </c>
      <c r="F96" s="112">
        <f>$B96-$C96</f>
        <v/>
      </c>
      <c r="G96" s="113">
        <f>IF($B96=0,0,$H96/$B96)</f>
        <v/>
      </c>
      <c r="H96" s="112">
        <f>IF($F96&gt;0,ROUND($F96*KarliyukKurumlarOrani,0),0)</f>
        <v/>
      </c>
      <c r="I96" s="114" t="n"/>
    </row>
    <row r="97" ht="15" customHeight="1" s="68">
      <c r="A97" s="114" t="n"/>
      <c r="B97" s="114" t="n"/>
      <c r="C97" s="114" t="n"/>
      <c r="D97" s="114" t="n"/>
      <c r="E97" s="112">
        <f>ROUND($B97*KarliyukKdvOrani,0)</f>
        <v/>
      </c>
      <c r="F97" s="112">
        <f>$B97-$C97</f>
        <v/>
      </c>
      <c r="G97" s="113">
        <f>IF($B97=0,0,$H97/$B97)</f>
        <v/>
      </c>
      <c r="H97" s="112">
        <f>IF($F97&gt;0,ROUND($F97*KarliyukKurumlarOrani,0),0)</f>
        <v/>
      </c>
      <c r="I97" s="114" t="n"/>
    </row>
    <row r="98" ht="15" customHeight="1" s="68">
      <c r="A98" s="114" t="n"/>
      <c r="B98" s="114" t="n"/>
      <c r="C98" s="114" t="n"/>
      <c r="D98" s="114" t="n"/>
      <c r="E98" s="112">
        <f>ROUND($B98*KarliyukKdvOrani,0)</f>
        <v/>
      </c>
      <c r="F98" s="112">
        <f>$B98-$C98</f>
        <v/>
      </c>
      <c r="G98" s="113">
        <f>IF($B98=0,0,$H98/$B98)</f>
        <v/>
      </c>
      <c r="H98" s="112">
        <f>IF($F98&gt;0,ROUND($F98*KarliyukKurumlarOrani,0),0)</f>
        <v/>
      </c>
      <c r="I98" s="114" t="n"/>
    </row>
    <row r="99" ht="15" customHeight="1" s="68">
      <c r="A99" s="114" t="n"/>
      <c r="B99" s="114" t="n"/>
      <c r="C99" s="114" t="n"/>
      <c r="D99" s="114" t="n"/>
      <c r="E99" s="112">
        <f>ROUND($B99*KarliyukKdvOrani,0)</f>
        <v/>
      </c>
      <c r="F99" s="112">
        <f>$B99-$C99</f>
        <v/>
      </c>
      <c r="G99" s="113">
        <f>IF($B99=0,0,$H99/$B99)</f>
        <v/>
      </c>
      <c r="H99" s="112">
        <f>IF($F99&gt;0,ROUND($F99*KarliyukKurumlarOrani,0),0)</f>
        <v/>
      </c>
      <c r="I99" s="114" t="n"/>
    </row>
    <row r="100" ht="15" customHeight="1" s="68">
      <c r="A100" s="114" t="n"/>
      <c r="B100" s="114" t="n"/>
      <c r="C100" s="114" t="n"/>
      <c r="D100" s="114" t="n"/>
      <c r="E100" s="112">
        <f>ROUND($B100*KarliyukKdvOrani,0)</f>
        <v/>
      </c>
      <c r="F100" s="112">
        <f>$B100-$C100</f>
        <v/>
      </c>
      <c r="G100" s="113">
        <f>IF($B100=0,0,$H100/$B100)</f>
        <v/>
      </c>
      <c r="H100" s="112">
        <f>IF($F100&gt;0,ROUND($F100*KarliyukKurumlarOrani,0),0)</f>
        <v/>
      </c>
      <c r="I100" s="114" t="n"/>
    </row>
    <row r="101" ht="15" customHeight="1" s="68">
      <c r="A101" s="114" t="n"/>
      <c r="B101" s="114" t="n"/>
      <c r="C101" s="114" t="n"/>
      <c r="D101" s="114" t="n"/>
      <c r="E101" s="112">
        <f>ROUND($B101*KarliyukKdvOrani,0)</f>
        <v/>
      </c>
      <c r="F101" s="112">
        <f>$B101-$C101</f>
        <v/>
      </c>
      <c r="G101" s="113">
        <f>IF($B101=0,0,$H101/$B101)</f>
        <v/>
      </c>
      <c r="H101" s="112">
        <f>IF($F101&gt;0,ROUND($F101*KarliyukKurumlarOrani,0),0)</f>
        <v/>
      </c>
      <c r="I101" s="114" t="n"/>
    </row>
    <row r="102" ht="15" customHeight="1" s="68">
      <c r="A102" s="114" t="n"/>
      <c r="B102" s="114" t="n"/>
      <c r="C102" s="114" t="n"/>
      <c r="D102" s="114" t="n"/>
      <c r="E102" s="112">
        <f>ROUND($B102*KarliyukKdvOrani,0)</f>
        <v/>
      </c>
      <c r="F102" s="112">
        <f>$B102-$C102</f>
        <v/>
      </c>
      <c r="G102" s="113">
        <f>IF($B102=0,0,$H102/$B102)</f>
        <v/>
      </c>
      <c r="H102" s="112">
        <f>IF($F102&gt;0,ROUND($F102*KarliyukKurumlarOrani,0),0)</f>
        <v/>
      </c>
      <c r="I102" s="114" t="n"/>
    </row>
    <row r="103" ht="15" customHeight="1" s="68">
      <c r="A103" s="114" t="n"/>
      <c r="B103" s="114" t="n"/>
      <c r="C103" s="114" t="n"/>
      <c r="D103" s="114" t="n"/>
      <c r="E103" s="112">
        <f>ROUND($B103*KarliyukKdvOrani,0)</f>
        <v/>
      </c>
      <c r="F103" s="112">
        <f>$B103-$C103</f>
        <v/>
      </c>
      <c r="G103" s="113">
        <f>IF($B103=0,0,$H103/$B103)</f>
        <v/>
      </c>
      <c r="H103" s="112">
        <f>IF($F103&gt;0,ROUND($F103*KarliyukKurumlarOrani,0),0)</f>
        <v/>
      </c>
      <c r="I103" s="114" t="n"/>
    </row>
    <row r="104" ht="15" customHeight="1" s="68">
      <c r="A104" s="114" t="n"/>
      <c r="B104" s="114" t="n"/>
      <c r="C104" s="114" t="n"/>
      <c r="D104" s="114" t="n"/>
      <c r="E104" s="112">
        <f>ROUND($B104*KarliyukKdvOrani,0)</f>
        <v/>
      </c>
      <c r="F104" s="112">
        <f>$B104-$C104</f>
        <v/>
      </c>
      <c r="G104" s="113">
        <f>IF($B104=0,0,$H104/$B104)</f>
        <v/>
      </c>
      <c r="H104" s="112">
        <f>IF($F104&gt;0,ROUND($F104*KarliyukKurumlarOrani,0),0)</f>
        <v/>
      </c>
      <c r="I104" s="114" t="n"/>
    </row>
    <row r="105" ht="15" customHeight="1" s="68">
      <c r="A105" s="114" t="n"/>
      <c r="B105" s="114" t="n"/>
      <c r="C105" s="114" t="n"/>
      <c r="D105" s="114" t="n"/>
      <c r="E105" s="112">
        <f>ROUND($B105*KarliyukKdvOrani,0)</f>
        <v/>
      </c>
      <c r="F105" s="112">
        <f>$B105-$C105</f>
        <v/>
      </c>
      <c r="G105" s="113">
        <f>IF($B105=0,0,$H105/$B105)</f>
        <v/>
      </c>
      <c r="H105" s="112">
        <f>IF($F105&gt;0,ROUND($F105*KarliyukKurumlarOrani,0),0)</f>
        <v/>
      </c>
      <c r="I105" s="114" t="n"/>
    </row>
    <row r="106" ht="15" customHeight="1" s="68">
      <c r="A106" s="114" t="n"/>
      <c r="B106" s="114" t="n"/>
      <c r="C106" s="114" t="n"/>
      <c r="D106" s="114" t="n"/>
      <c r="E106" s="112">
        <f>ROUND($B106*KarliyukKdvOrani,0)</f>
        <v/>
      </c>
      <c r="F106" s="112">
        <f>$B106-$C106</f>
        <v/>
      </c>
      <c r="G106" s="113">
        <f>IF($B106=0,0,$H106/$B106)</f>
        <v/>
      </c>
      <c r="H106" s="112">
        <f>IF($F106&gt;0,ROUND($F106*KarliyukKurumlarOrani,0),0)</f>
        <v/>
      </c>
      <c r="I106" s="114" t="n"/>
    </row>
    <row r="107" ht="15" customHeight="1" s="68">
      <c r="A107" s="114" t="n"/>
      <c r="B107" s="114" t="n"/>
      <c r="C107" s="114" t="n"/>
      <c r="D107" s="114" t="n"/>
      <c r="E107" s="112">
        <f>ROUND($B107*KarliyukKdvOrani,0)</f>
        <v/>
      </c>
      <c r="F107" s="112">
        <f>$B107-$C107</f>
        <v/>
      </c>
      <c r="G107" s="113">
        <f>IF($B107=0,0,$H107/$B107)</f>
        <v/>
      </c>
      <c r="H107" s="112">
        <f>IF($F107&gt;0,ROUND($F107*KarliyukKurumlarOrani,0),0)</f>
        <v/>
      </c>
      <c r="I107" s="114" t="n"/>
    </row>
    <row r="108" ht="15" customHeight="1" s="68">
      <c r="A108" s="114" t="n"/>
      <c r="B108" s="114" t="n"/>
      <c r="C108" s="114" t="n"/>
      <c r="D108" s="114" t="n"/>
      <c r="E108" s="112">
        <f>ROUND($B108*KarliyukKdvOrani,0)</f>
        <v/>
      </c>
      <c r="F108" s="112">
        <f>$B108-$C108</f>
        <v/>
      </c>
      <c r="G108" s="113">
        <f>IF($B108=0,0,$H108/$B108)</f>
        <v/>
      </c>
      <c r="H108" s="112">
        <f>IF($F108&gt;0,ROUND($F108*KarliyukKurumlarOrani,0),0)</f>
        <v/>
      </c>
      <c r="I108" s="114" t="n"/>
    </row>
    <row r="109" ht="15" customHeight="1" s="68">
      <c r="A109" s="114" t="n"/>
      <c r="B109" s="114" t="n"/>
      <c r="C109" s="114" t="n"/>
      <c r="D109" s="114" t="n"/>
      <c r="E109" s="112">
        <f>ROUND($B109*KarliyukKdvOrani,0)</f>
        <v/>
      </c>
      <c r="F109" s="112">
        <f>$B109-$C109</f>
        <v/>
      </c>
      <c r="G109" s="113">
        <f>IF($B109=0,0,$H109/$B109)</f>
        <v/>
      </c>
      <c r="H109" s="112">
        <f>IF($F109&gt;0,ROUND($F109*KarliyukKurumlarOrani,0),0)</f>
        <v/>
      </c>
      <c r="I109" s="114" t="n"/>
    </row>
    <row r="110" ht="15" customHeight="1" s="68">
      <c r="A110" s="114" t="n"/>
      <c r="B110" s="114" t="n"/>
      <c r="C110" s="114" t="n"/>
      <c r="D110" s="114" t="n"/>
      <c r="E110" s="112">
        <f>ROUND($B110*KarliyukKdvOrani,0)</f>
        <v/>
      </c>
      <c r="F110" s="112">
        <f>$B110-$C110</f>
        <v/>
      </c>
      <c r="G110" s="113">
        <f>IF($B110=0,0,$H110/$B110)</f>
        <v/>
      </c>
      <c r="H110" s="112">
        <f>IF($F110&gt;0,ROUND($F110*KarliyukKurumlarOrani,0),0)</f>
        <v/>
      </c>
      <c r="I110" s="114" t="n"/>
    </row>
    <row r="111" ht="15" customHeight="1" s="68">
      <c r="A111" s="114" t="n"/>
      <c r="B111" s="114" t="n"/>
      <c r="C111" s="114" t="n"/>
      <c r="D111" s="114" t="n"/>
      <c r="E111" s="112">
        <f>ROUND($B111*KarliyukKdvOrani,0)</f>
        <v/>
      </c>
      <c r="F111" s="112">
        <f>$B111-$C111</f>
        <v/>
      </c>
      <c r="G111" s="113">
        <f>IF($B111=0,0,$H111/$B111)</f>
        <v/>
      </c>
      <c r="H111" s="112">
        <f>IF($F111&gt;0,ROUND($F111*KarliyukKurumlarOrani,0),0)</f>
        <v/>
      </c>
      <c r="I111" s="114" t="n"/>
    </row>
    <row r="112" ht="15" customHeight="1" s="68">
      <c r="A112" s="114" t="n"/>
      <c r="B112" s="114" t="n"/>
      <c r="C112" s="114" t="n"/>
      <c r="D112" s="114" t="n"/>
      <c r="E112" s="112">
        <f>ROUND($B112*KarliyukKdvOrani,0)</f>
        <v/>
      </c>
      <c r="F112" s="112">
        <f>$B112-$C112</f>
        <v/>
      </c>
      <c r="G112" s="113">
        <f>IF($B112=0,0,$H112/$B112)</f>
        <v/>
      </c>
      <c r="H112" s="112">
        <f>IF($F112&gt;0,ROUND($F112*KarliyukKurumlarOrani,0),0)</f>
        <v/>
      </c>
      <c r="I112" s="114" t="n"/>
    </row>
    <row r="113" ht="15" customHeight="1" s="68">
      <c r="A113" s="114" t="n"/>
      <c r="B113" s="114" t="n"/>
      <c r="C113" s="114" t="n"/>
      <c r="D113" s="114" t="n"/>
      <c r="E113" s="112">
        <f>ROUND($B113*KarliyukKdvOrani,0)</f>
        <v/>
      </c>
      <c r="F113" s="112">
        <f>$B113-$C113</f>
        <v/>
      </c>
      <c r="G113" s="113">
        <f>IF($B113=0,0,$H113/$B113)</f>
        <v/>
      </c>
      <c r="H113" s="112">
        <f>IF($F113&gt;0,ROUND($F113*KarliyukKurumlarOrani,0),0)</f>
        <v/>
      </c>
      <c r="I113" s="114" t="n"/>
    </row>
    <row r="114" ht="15" customHeight="1" s="68">
      <c r="A114" s="114" t="n"/>
      <c r="B114" s="114" t="n"/>
      <c r="C114" s="114" t="n"/>
      <c r="D114" s="114" t="n"/>
      <c r="E114" s="112">
        <f>ROUND($B114*KarliyukKdvOrani,0)</f>
        <v/>
      </c>
      <c r="F114" s="112">
        <f>$B114-$C114</f>
        <v/>
      </c>
      <c r="G114" s="113">
        <f>IF($B114=0,0,$H114/$B114)</f>
        <v/>
      </c>
      <c r="H114" s="112">
        <f>IF($F114&gt;0,ROUND($F114*KarliyukKurumlarOrani,0),0)</f>
        <v/>
      </c>
      <c r="I114" s="114" t="n"/>
    </row>
    <row r="115" ht="15" customHeight="1" s="68">
      <c r="A115" s="114" t="n"/>
      <c r="B115" s="114" t="n"/>
      <c r="C115" s="114" t="n"/>
      <c r="D115" s="114" t="n"/>
      <c r="E115" s="112">
        <f>ROUND($B115*KarliyukKdvOrani,0)</f>
        <v/>
      </c>
      <c r="F115" s="112">
        <f>$B115-$C115</f>
        <v/>
      </c>
      <c r="G115" s="113">
        <f>IF($B115=0,0,$H115/$B115)</f>
        <v/>
      </c>
      <c r="H115" s="112">
        <f>IF($F115&gt;0,ROUND($F115*KarliyukKurumlarOrani,0),0)</f>
        <v/>
      </c>
      <c r="I115" s="114" t="n"/>
    </row>
    <row r="116" ht="15" customHeight="1" s="68">
      <c r="A116" s="114" t="n"/>
      <c r="B116" s="114" t="n"/>
      <c r="C116" s="114" t="n"/>
      <c r="D116" s="114" t="n"/>
      <c r="E116" s="112">
        <f>ROUND($B116*KarliyukKdvOrani,0)</f>
        <v/>
      </c>
      <c r="F116" s="112">
        <f>$B116-$C116</f>
        <v/>
      </c>
      <c r="G116" s="113">
        <f>IF($B116=0,0,$H116/$B116)</f>
        <v/>
      </c>
      <c r="H116" s="112">
        <f>IF($F116&gt;0,ROUND($F116*KarliyukKurumlarOrani,0),0)</f>
        <v/>
      </c>
      <c r="I116" s="114" t="n"/>
    </row>
    <row r="117" ht="15" customHeight="1" s="68">
      <c r="A117" s="114" t="n"/>
      <c r="B117" s="114" t="n"/>
      <c r="C117" s="114" t="n"/>
      <c r="D117" s="114" t="n"/>
      <c r="E117" s="112">
        <f>ROUND($B117*KarliyukKdvOrani,0)</f>
        <v/>
      </c>
      <c r="F117" s="112">
        <f>$B117-$C117</f>
        <v/>
      </c>
      <c r="G117" s="113">
        <f>IF($B117=0,0,$H117/$B117)</f>
        <v/>
      </c>
      <c r="H117" s="112">
        <f>IF($F117&gt;0,ROUND($F117*KarliyukKurumlarOrani,0),0)</f>
        <v/>
      </c>
      <c r="I117" s="114" t="n"/>
    </row>
    <row r="118" ht="15" customHeight="1" s="68">
      <c r="A118" s="114" t="n"/>
      <c r="B118" s="114" t="n"/>
      <c r="C118" s="114" t="n"/>
      <c r="D118" s="114" t="n"/>
      <c r="E118" s="112">
        <f>ROUND($B118*KarliyukKdvOrani,0)</f>
        <v/>
      </c>
      <c r="F118" s="112">
        <f>$B118-$C118</f>
        <v/>
      </c>
      <c r="G118" s="113">
        <f>IF($B118=0,0,$H118/$B118)</f>
        <v/>
      </c>
      <c r="H118" s="112">
        <f>IF($F118&gt;0,ROUND($F118*KarliyukKurumlarOrani,0),0)</f>
        <v/>
      </c>
      <c r="I118" s="114" t="n"/>
    </row>
    <row r="119" ht="15" customHeight="1" s="68">
      <c r="A119" s="114" t="n"/>
      <c r="B119" s="114" t="n"/>
      <c r="C119" s="114" t="n"/>
      <c r="D119" s="114" t="n"/>
      <c r="E119" s="112">
        <f>ROUND($B119*KarliyukKdvOrani,0)</f>
        <v/>
      </c>
      <c r="F119" s="112">
        <f>$B119-$C119</f>
        <v/>
      </c>
      <c r="G119" s="113">
        <f>IF($B119=0,0,$H119/$B119)</f>
        <v/>
      </c>
      <c r="H119" s="112">
        <f>IF($F119&gt;0,ROUND($F119*KarliyukKurumlarOrani,0),0)</f>
        <v/>
      </c>
      <c r="I119" s="114" t="n"/>
    </row>
    <row r="120" ht="15" customHeight="1" s="68">
      <c r="A120" s="114" t="n"/>
      <c r="B120" s="114" t="n"/>
      <c r="C120" s="114" t="n"/>
      <c r="D120" s="114" t="n"/>
      <c r="E120" s="112">
        <f>ROUND($B120*KarliyukKdvOrani,0)</f>
        <v/>
      </c>
      <c r="F120" s="112">
        <f>$B120-$C120</f>
        <v/>
      </c>
      <c r="G120" s="113">
        <f>IF($B120=0,0,$H120/$B120)</f>
        <v/>
      </c>
      <c r="H120" s="112">
        <f>IF($F120&gt;0,ROUND($F120*KarliyukKurumlarOrani,0),0)</f>
        <v/>
      </c>
      <c r="I120" s="114" t="n"/>
    </row>
    <row r="121" ht="15" customHeight="1" s="68">
      <c r="A121" s="114" t="n"/>
      <c r="B121" s="114" t="n"/>
      <c r="C121" s="114" t="n"/>
      <c r="D121" s="114" t="n"/>
      <c r="E121" s="112">
        <f>ROUND($B121*KarliyukKdvOrani,0)</f>
        <v/>
      </c>
      <c r="F121" s="112">
        <f>$B121-$C121</f>
        <v/>
      </c>
      <c r="G121" s="113">
        <f>IF($B121=0,0,$H121/$B121)</f>
        <v/>
      </c>
      <c r="H121" s="112">
        <f>IF($F121&gt;0,ROUND($F121*KarliyukKurumlarOrani,0),0)</f>
        <v/>
      </c>
      <c r="I121" s="114" t="n"/>
    </row>
    <row r="122" ht="15" customHeight="1" s="68">
      <c r="A122" s="114" t="n"/>
      <c r="B122" s="114" t="n"/>
      <c r="C122" s="114" t="n"/>
      <c r="D122" s="114" t="n"/>
      <c r="E122" s="112">
        <f>ROUND($B122*KarliyukKdvOrani,0)</f>
        <v/>
      </c>
      <c r="F122" s="112">
        <f>$B122-$C122</f>
        <v/>
      </c>
      <c r="G122" s="113">
        <f>IF($B122=0,0,$H122/$B122)</f>
        <v/>
      </c>
      <c r="H122" s="112">
        <f>IF($F122&gt;0,ROUND($F122*KarliyukKurumlarOrani,0),0)</f>
        <v/>
      </c>
      <c r="I122" s="114" t="n"/>
    </row>
    <row r="123" ht="15" customHeight="1" s="68">
      <c r="A123" s="114" t="n"/>
      <c r="B123" s="114" t="n"/>
      <c r="C123" s="114" t="n"/>
      <c r="D123" s="114" t="n"/>
      <c r="E123" s="112">
        <f>ROUND($B123*KarliyukKdvOrani,0)</f>
        <v/>
      </c>
      <c r="F123" s="112">
        <f>$B123-$C123</f>
        <v/>
      </c>
      <c r="G123" s="113">
        <f>IF($B123=0,0,$H123/$B123)</f>
        <v/>
      </c>
      <c r="H123" s="112">
        <f>IF($F123&gt;0,ROUND($F123*KarliyukKurumlarOrani,0),0)</f>
        <v/>
      </c>
      <c r="I123" s="114" t="n"/>
    </row>
    <row r="124" ht="15" customHeight="1" s="68">
      <c r="A124" s="114" t="n"/>
      <c r="B124" s="114" t="n"/>
      <c r="C124" s="114" t="n"/>
      <c r="D124" s="114" t="n"/>
      <c r="E124" s="112">
        <f>ROUND($B124*KarliyukKdvOrani,0)</f>
        <v/>
      </c>
      <c r="F124" s="112">
        <f>$B124-$C124</f>
        <v/>
      </c>
      <c r="G124" s="113">
        <f>IF($B124=0,0,$H124/$B124)</f>
        <v/>
      </c>
      <c r="H124" s="112">
        <f>IF($F124&gt;0,ROUND($F124*KarliyukKurumlarOrani,0),0)</f>
        <v/>
      </c>
      <c r="I124" s="114" t="n"/>
    </row>
    <row r="125" ht="15" customHeight="1" s="68">
      <c r="A125" s="114" t="n"/>
      <c r="B125" s="114" t="n"/>
      <c r="C125" s="114" t="n"/>
      <c r="D125" s="114" t="n"/>
      <c r="E125" s="112">
        <f>ROUND($B125*KarliyukKdvOrani,0)</f>
        <v/>
      </c>
      <c r="F125" s="112">
        <f>$B125-$C125</f>
        <v/>
      </c>
      <c r="G125" s="113">
        <f>IF($B125=0,0,$H125/$B125)</f>
        <v/>
      </c>
      <c r="H125" s="112">
        <f>IF($F125&gt;0,ROUND($F125*KarliyukKurumlarOrani,0),0)</f>
        <v/>
      </c>
      <c r="I125" s="114" t="n"/>
    </row>
    <row r="126" ht="15" customHeight="1" s="68">
      <c r="A126" s="114" t="n"/>
      <c r="B126" s="114" t="n"/>
      <c r="C126" s="114" t="n"/>
      <c r="D126" s="114" t="n"/>
      <c r="E126" s="112">
        <f>ROUND($B126*KarliyukKdvOrani,0)</f>
        <v/>
      </c>
      <c r="F126" s="112">
        <f>$B126-$C126</f>
        <v/>
      </c>
      <c r="G126" s="113">
        <f>IF($B126=0,0,$H126/$B126)</f>
        <v/>
      </c>
      <c r="H126" s="112">
        <f>IF($F126&gt;0,ROUND($F126*KarliyukKurumlarOrani,0),0)</f>
        <v/>
      </c>
      <c r="I126" s="114" t="n"/>
    </row>
    <row r="127" ht="15" customHeight="1" s="68">
      <c r="A127" s="114" t="n"/>
      <c r="B127" s="114" t="n"/>
      <c r="C127" s="114" t="n"/>
      <c r="D127" s="114" t="n"/>
      <c r="E127" s="112">
        <f>ROUND($B127*KarliyukKdvOrani,0)</f>
        <v/>
      </c>
      <c r="F127" s="112">
        <f>$B127-$C127</f>
        <v/>
      </c>
      <c r="G127" s="113">
        <f>IF($B127=0,0,$H127/$B127)</f>
        <v/>
      </c>
      <c r="H127" s="112">
        <f>IF($F127&gt;0,ROUND($F127*KarliyukKurumlarOrani,0),0)</f>
        <v/>
      </c>
      <c r="I127" s="114" t="n"/>
    </row>
    <row r="128" ht="15" customHeight="1" s="68">
      <c r="A128" s="114" t="n"/>
      <c r="B128" s="114" t="n"/>
      <c r="C128" s="114" t="n"/>
      <c r="D128" s="114" t="n"/>
      <c r="E128" s="112">
        <f>ROUND($B128*KarliyukKdvOrani,0)</f>
        <v/>
      </c>
      <c r="F128" s="112">
        <f>$B128-$C128</f>
        <v/>
      </c>
      <c r="G128" s="113">
        <f>IF($B128=0,0,$H128/$B128)</f>
        <v/>
      </c>
      <c r="H128" s="112">
        <f>IF($F128&gt;0,ROUND($F128*KarliyukKurumlarOrani,0),0)</f>
        <v/>
      </c>
      <c r="I128" s="114" t="n"/>
    </row>
    <row r="129" ht="15" customHeight="1" s="68">
      <c r="A129" s="114" t="n"/>
      <c r="B129" s="114" t="n"/>
      <c r="C129" s="114" t="n"/>
      <c r="D129" s="114" t="n"/>
      <c r="E129" s="112">
        <f>ROUND($B129*KarliyukKdvOrani,0)</f>
        <v/>
      </c>
      <c r="F129" s="112">
        <f>$B129-$C129</f>
        <v/>
      </c>
      <c r="G129" s="113">
        <f>IF($B129=0,0,$H129/$B129)</f>
        <v/>
      </c>
      <c r="H129" s="112">
        <f>IF($F129&gt;0,ROUND($F129*KarliyukKurumlarOrani,0),0)</f>
        <v/>
      </c>
      <c r="I129" s="114" t="n"/>
    </row>
    <row r="130" ht="15" customHeight="1" s="68">
      <c r="A130" s="114" t="n"/>
      <c r="B130" s="114" t="n"/>
      <c r="C130" s="114" t="n"/>
      <c r="D130" s="114" t="n"/>
      <c r="E130" s="112">
        <f>ROUND($B130*KarliyukKdvOrani,0)</f>
        <v/>
      </c>
      <c r="F130" s="112">
        <f>$B130-$C130</f>
        <v/>
      </c>
      <c r="G130" s="113">
        <f>IF($B130=0,0,$H130/$B130)</f>
        <v/>
      </c>
      <c r="H130" s="112">
        <f>IF($F130&gt;0,ROUND($F130*KarliyukKurumlarOrani,0),0)</f>
        <v/>
      </c>
      <c r="I130" s="114" t="n"/>
    </row>
    <row r="131" ht="15" customHeight="1" s="68">
      <c r="A131" s="114" t="n"/>
      <c r="B131" s="114" t="n"/>
      <c r="C131" s="114" t="n"/>
      <c r="D131" s="114" t="n"/>
      <c r="E131" s="112">
        <f>ROUND($B131*KarliyukKdvOrani,0)</f>
        <v/>
      </c>
      <c r="F131" s="112">
        <f>$B131-$C131</f>
        <v/>
      </c>
      <c r="G131" s="113">
        <f>IF($B131=0,0,$H131/$B131)</f>
        <v/>
      </c>
      <c r="H131" s="112">
        <f>IF($F131&gt;0,ROUND($F131*KarliyukKurumlarOrani,0),0)</f>
        <v/>
      </c>
      <c r="I131" s="114" t="n"/>
    </row>
    <row r="132" ht="15" customHeight="1" s="68">
      <c r="A132" s="114" t="n"/>
      <c r="B132" s="114" t="n"/>
      <c r="C132" s="114" t="n"/>
      <c r="D132" s="114" t="n"/>
      <c r="E132" s="112">
        <f>ROUND($B132*KarliyukKdvOrani,0)</f>
        <v/>
      </c>
      <c r="F132" s="112">
        <f>$B132-$C132</f>
        <v/>
      </c>
      <c r="G132" s="113">
        <f>IF($B132=0,0,$H132/$B132)</f>
        <v/>
      </c>
      <c r="H132" s="112">
        <f>IF($F132&gt;0,ROUND($F132*KarliyukKurumlarOrani,0),0)</f>
        <v/>
      </c>
      <c r="I132" s="114" t="n"/>
    </row>
    <row r="133" ht="15" customHeight="1" s="68">
      <c r="A133" s="114" t="n"/>
      <c r="B133" s="114" t="n"/>
      <c r="C133" s="114" t="n"/>
      <c r="D133" s="114" t="n"/>
      <c r="E133" s="112">
        <f>ROUND($B133*KarliyukKdvOrani,0)</f>
        <v/>
      </c>
      <c r="F133" s="112">
        <f>$B133-$C133</f>
        <v/>
      </c>
      <c r="G133" s="113">
        <f>IF($B133=0,0,$H133/$B133)</f>
        <v/>
      </c>
      <c r="H133" s="112">
        <f>IF($F133&gt;0,ROUND($F133*KarliyukKurumlarOrani,0),0)</f>
        <v/>
      </c>
      <c r="I133" s="114" t="n"/>
    </row>
    <row r="134" ht="15" customHeight="1" s="68">
      <c r="A134" s="114" t="n"/>
      <c r="B134" s="114" t="n"/>
      <c r="C134" s="114" t="n"/>
      <c r="D134" s="114" t="n"/>
      <c r="E134" s="112">
        <f>ROUND($B134*KarliyukKdvOrani,0)</f>
        <v/>
      </c>
      <c r="F134" s="112">
        <f>$B134-$C134</f>
        <v/>
      </c>
      <c r="G134" s="113">
        <f>IF($B134=0,0,$H134/$B134)</f>
        <v/>
      </c>
      <c r="H134" s="112">
        <f>IF($F134&gt;0,ROUND($F134*KarliyukKurumlarOrani,0),0)</f>
        <v/>
      </c>
      <c r="I134" s="114" t="n"/>
    </row>
    <row r="135" ht="15" customHeight="1" s="68">
      <c r="A135" s="114" t="n"/>
      <c r="B135" s="114" t="n"/>
      <c r="C135" s="114" t="n"/>
      <c r="D135" s="114" t="n"/>
      <c r="E135" s="112">
        <f>ROUND($B135*KarliyukKdvOrani,0)</f>
        <v/>
      </c>
      <c r="F135" s="112">
        <f>$B135-$C135</f>
        <v/>
      </c>
      <c r="G135" s="113">
        <f>IF($B135=0,0,$H135/$B135)</f>
        <v/>
      </c>
      <c r="H135" s="112">
        <f>IF($F135&gt;0,ROUND($F135*KarliyukKurumlarOrani,0),0)</f>
        <v/>
      </c>
      <c r="I135" s="114" t="n"/>
    </row>
    <row r="136" ht="15" customHeight="1" s="68">
      <c r="A136" s="114" t="n"/>
      <c r="B136" s="114" t="n"/>
      <c r="C136" s="114" t="n"/>
      <c r="D136" s="114" t="n"/>
      <c r="E136" s="112">
        <f>ROUND($B136*KarliyukKdvOrani,0)</f>
        <v/>
      </c>
      <c r="F136" s="112">
        <f>$B136-$C136</f>
        <v/>
      </c>
      <c r="G136" s="113">
        <f>IF($B136=0,0,$H136/$B136)</f>
        <v/>
      </c>
      <c r="H136" s="112">
        <f>IF($F136&gt;0,ROUND($F136*KarliyukKurumlarOrani,0),0)</f>
        <v/>
      </c>
      <c r="I136" s="114" t="n"/>
    </row>
    <row r="137" ht="15" customHeight="1" s="68">
      <c r="A137" s="114" t="n"/>
      <c r="B137" s="114" t="n"/>
      <c r="C137" s="114" t="n"/>
      <c r="D137" s="114" t="n"/>
      <c r="E137" s="112">
        <f>ROUND($B137*KarliyukKdvOrani,0)</f>
        <v/>
      </c>
      <c r="F137" s="112">
        <f>$B137-$C137</f>
        <v/>
      </c>
      <c r="G137" s="113">
        <f>IF($B137=0,0,$H137/$B137)</f>
        <v/>
      </c>
      <c r="H137" s="112">
        <f>IF($F137&gt;0,ROUND($F137*KarliyukKurumlarOrani,0),0)</f>
        <v/>
      </c>
      <c r="I137" s="114" t="n"/>
    </row>
    <row r="138" ht="15" customHeight="1" s="68">
      <c r="A138" s="114" t="n"/>
      <c r="B138" s="114" t="n"/>
      <c r="C138" s="114" t="n"/>
      <c r="D138" s="114" t="n"/>
      <c r="E138" s="112">
        <f>ROUND($B138*KarliyukKdvOrani,0)</f>
        <v/>
      </c>
      <c r="F138" s="112">
        <f>$B138-$C138</f>
        <v/>
      </c>
      <c r="G138" s="113">
        <f>IF($B138=0,0,$H138/$B138)</f>
        <v/>
      </c>
      <c r="H138" s="112">
        <f>IF($F138&gt;0,ROUND($F138*KarliyukKurumlarOrani,0),0)</f>
        <v/>
      </c>
      <c r="I138" s="114" t="n"/>
    </row>
    <row r="139" ht="15" customHeight="1" s="68">
      <c r="A139" s="114" t="n"/>
      <c r="B139" s="114" t="n"/>
      <c r="C139" s="114" t="n"/>
      <c r="D139" s="114" t="n"/>
      <c r="E139" s="112">
        <f>ROUND($B139*KarliyukKdvOrani,0)</f>
        <v/>
      </c>
      <c r="F139" s="112">
        <f>$B139-$C139</f>
        <v/>
      </c>
      <c r="G139" s="113">
        <f>IF($B139=0,0,$H139/$B139)</f>
        <v/>
      </c>
      <c r="H139" s="112">
        <f>IF($F139&gt;0,ROUND($F139*KarliyukKurumlarOrani,0),0)</f>
        <v/>
      </c>
      <c r="I139" s="114" t="n"/>
    </row>
    <row r="140" ht="15" customHeight="1" s="68">
      <c r="A140" s="114" t="n"/>
      <c r="B140" s="114" t="n"/>
      <c r="C140" s="114" t="n"/>
      <c r="D140" s="114" t="n"/>
      <c r="E140" s="112">
        <f>ROUND($B140*KarliyukKdvOrani,0)</f>
        <v/>
      </c>
      <c r="F140" s="112">
        <f>$B140-$C140</f>
        <v/>
      </c>
      <c r="G140" s="113">
        <f>IF($B140=0,0,$H140/$B140)</f>
        <v/>
      </c>
      <c r="H140" s="112">
        <f>IF($F140&gt;0,ROUND($F140*KarliyukKurumlarOrani,0),0)</f>
        <v/>
      </c>
      <c r="I140" s="114" t="n"/>
    </row>
    <row r="141" ht="15" customHeight="1" s="68">
      <c r="A141" s="114" t="n"/>
      <c r="B141" s="114" t="n"/>
      <c r="C141" s="114" t="n"/>
      <c r="D141" s="114" t="n"/>
      <c r="E141" s="112">
        <f>ROUND($B141*KarliyukKdvOrani,0)</f>
        <v/>
      </c>
      <c r="F141" s="112">
        <f>$B141-$C141</f>
        <v/>
      </c>
      <c r="G141" s="113">
        <f>IF($B141=0,0,$H141/$B141)</f>
        <v/>
      </c>
      <c r="H141" s="112">
        <f>IF($F141&gt;0,ROUND($F141*KarliyukKurumlarOrani,0),0)</f>
        <v/>
      </c>
      <c r="I141" s="114" t="n"/>
    </row>
    <row r="142" ht="15" customHeight="1" s="68">
      <c r="A142" s="114" t="n"/>
      <c r="B142" s="114" t="n"/>
      <c r="C142" s="114" t="n"/>
      <c r="D142" s="114" t="n"/>
      <c r="E142" s="112">
        <f>ROUND($B142*KarliyukKdvOrani,0)</f>
        <v/>
      </c>
      <c r="F142" s="112">
        <f>$B142-$C142</f>
        <v/>
      </c>
      <c r="G142" s="113">
        <f>IF($B142=0,0,$H142/$B142)</f>
        <v/>
      </c>
      <c r="H142" s="112">
        <f>IF($F142&gt;0,ROUND($F142*KarliyukKurumlarOrani,0),0)</f>
        <v/>
      </c>
      <c r="I142" s="114" t="n"/>
    </row>
    <row r="143" ht="15" customHeight="1" s="68">
      <c r="A143" s="114" t="n"/>
      <c r="B143" s="114" t="n"/>
      <c r="C143" s="114" t="n"/>
      <c r="D143" s="114" t="n"/>
      <c r="E143" s="112">
        <f>ROUND($B143*KarliyukKdvOrani,0)</f>
        <v/>
      </c>
      <c r="F143" s="112">
        <f>$B143-$C143</f>
        <v/>
      </c>
      <c r="G143" s="113">
        <f>IF($B143=0,0,$H143/$B143)</f>
        <v/>
      </c>
      <c r="H143" s="112">
        <f>IF($F143&gt;0,ROUND($F143*KarliyukKurumlarOrani,0),0)</f>
        <v/>
      </c>
      <c r="I143" s="114" t="n"/>
    </row>
    <row r="144" ht="15" customHeight="1" s="68">
      <c r="A144" s="114" t="n"/>
      <c r="B144" s="114" t="n"/>
      <c r="C144" s="114" t="n"/>
      <c r="D144" s="114" t="n"/>
      <c r="E144" s="112">
        <f>ROUND($B144*KarliyukKdvOrani,0)</f>
        <v/>
      </c>
      <c r="F144" s="112">
        <f>$B144-$C144</f>
        <v/>
      </c>
      <c r="G144" s="113">
        <f>IF($B144=0,0,$H144/$B144)</f>
        <v/>
      </c>
      <c r="H144" s="112">
        <f>IF($F144&gt;0,ROUND($F144*KarliyukKurumlarOrani,0),0)</f>
        <v/>
      </c>
      <c r="I144" s="114" t="n"/>
    </row>
    <row r="145" ht="15" customHeight="1" s="68">
      <c r="A145" s="114" t="n"/>
      <c r="B145" s="114" t="n"/>
      <c r="C145" s="114" t="n"/>
      <c r="D145" s="114" t="n"/>
      <c r="E145" s="112">
        <f>ROUND($B145*KarliyukKdvOrani,0)</f>
        <v/>
      </c>
      <c r="F145" s="112">
        <f>$B145-$C145</f>
        <v/>
      </c>
      <c r="G145" s="113">
        <f>IF($B145=0,0,$H145/$B145)</f>
        <v/>
      </c>
      <c r="H145" s="112">
        <f>IF($F145&gt;0,ROUND($F145*KarliyukKurumlarOrani,0),0)</f>
        <v/>
      </c>
      <c r="I145" s="114" t="n"/>
    </row>
    <row r="146" ht="15" customHeight="1" s="68">
      <c r="A146" s="114" t="n"/>
      <c r="B146" s="114" t="n"/>
      <c r="C146" s="114" t="n"/>
      <c r="D146" s="114" t="n"/>
      <c r="E146" s="112">
        <f>ROUND($B146*KarliyukKdvOrani,0)</f>
        <v/>
      </c>
      <c r="F146" s="112">
        <f>$B146-$C146</f>
        <v/>
      </c>
      <c r="G146" s="113">
        <f>IF($B146=0,0,$H146/$B146)</f>
        <v/>
      </c>
      <c r="H146" s="112">
        <f>IF($F146&gt;0,ROUND($F146*KarliyukKurumlarOrani,0),0)</f>
        <v/>
      </c>
      <c r="I146" s="114" t="n"/>
    </row>
    <row r="147" ht="15" customHeight="1" s="68">
      <c r="A147" s="114" t="n"/>
      <c r="B147" s="114" t="n"/>
      <c r="C147" s="114" t="n"/>
      <c r="D147" s="114" t="n"/>
      <c r="E147" s="112">
        <f>ROUND($B147*KarliyukKdvOrani,0)</f>
        <v/>
      </c>
      <c r="F147" s="112">
        <f>$B147-$C147</f>
        <v/>
      </c>
      <c r="G147" s="113">
        <f>IF($B147=0,0,$H147/$B147)</f>
        <v/>
      </c>
      <c r="H147" s="112">
        <f>IF($F147&gt;0,ROUND($F147*KarliyukKurumlarOrani,0),0)</f>
        <v/>
      </c>
      <c r="I147" s="114" t="n"/>
    </row>
    <row r="148" ht="15" customHeight="1" s="68">
      <c r="A148" s="114" t="n"/>
      <c r="B148" s="114" t="n"/>
      <c r="C148" s="114" t="n"/>
      <c r="D148" s="114" t="n"/>
      <c r="E148" s="112">
        <f>ROUND($B148*KarliyukKdvOrani,0)</f>
        <v/>
      </c>
      <c r="F148" s="112">
        <f>$B148-$C148</f>
        <v/>
      </c>
      <c r="G148" s="113">
        <f>IF($B148=0,0,$H148/$B148)</f>
        <v/>
      </c>
      <c r="H148" s="112">
        <f>IF($F148&gt;0,ROUND($F148*KarliyukKurumlarOrani,0),0)</f>
        <v/>
      </c>
      <c r="I148" s="114" t="n"/>
    </row>
    <row r="149" ht="15" customHeight="1" s="68">
      <c r="A149" s="114" t="n"/>
      <c r="B149" s="114" t="n"/>
      <c r="C149" s="114" t="n"/>
      <c r="D149" s="114" t="n"/>
      <c r="E149" s="112">
        <f>ROUND($B149*KarliyukKdvOrani,0)</f>
        <v/>
      </c>
      <c r="F149" s="112">
        <f>$B149-$C149</f>
        <v/>
      </c>
      <c r="G149" s="113">
        <f>IF($B149=0,0,$H149/$B149)</f>
        <v/>
      </c>
      <c r="H149" s="112">
        <f>IF($F149&gt;0,ROUND($F149*KarliyukKurumlarOrani,0),0)</f>
        <v/>
      </c>
      <c r="I149" s="114" t="n"/>
    </row>
    <row r="150" ht="15" customHeight="1" s="68">
      <c r="A150" s="114" t="n"/>
      <c r="B150" s="114" t="n"/>
      <c r="C150" s="114" t="n"/>
      <c r="D150" s="114" t="n"/>
      <c r="E150" s="112">
        <f>ROUND($B150*KarliyukKdvOrani,0)</f>
        <v/>
      </c>
      <c r="F150" s="112">
        <f>$B150-$C150</f>
        <v/>
      </c>
      <c r="G150" s="113">
        <f>IF($B150=0,0,$H150/$B150)</f>
        <v/>
      </c>
      <c r="H150" s="112">
        <f>IF($F150&gt;0,ROUND($F150*KarliyukKurumlarOrani,0),0)</f>
        <v/>
      </c>
      <c r="I150" s="114" t="n"/>
    </row>
    <row r="151" ht="15" customHeight="1" s="68">
      <c r="A151" s="114" t="n"/>
      <c r="B151" s="114" t="n"/>
      <c r="C151" s="114" t="n"/>
      <c r="D151" s="114" t="n"/>
      <c r="E151" s="112">
        <f>ROUND($B151*KarliyukKdvOrani,0)</f>
        <v/>
      </c>
      <c r="F151" s="112">
        <f>$B151-$C151</f>
        <v/>
      </c>
      <c r="G151" s="113">
        <f>IF($B151=0,0,$H151/$B151)</f>
        <v/>
      </c>
      <c r="H151" s="112">
        <f>IF($F151&gt;0,ROUND($F151*KarliyukKurumlarOrani,0),0)</f>
        <v/>
      </c>
      <c r="I151" s="114" t="n"/>
    </row>
    <row r="152" ht="15" customHeight="1" s="68">
      <c r="A152" s="114" t="n"/>
      <c r="B152" s="114" t="n"/>
      <c r="C152" s="114" t="n"/>
      <c r="D152" s="114" t="n"/>
      <c r="E152" s="112">
        <f>ROUND($B152*KarliyukKdvOrani,0)</f>
        <v/>
      </c>
      <c r="F152" s="112">
        <f>$B152-$C152</f>
        <v/>
      </c>
      <c r="G152" s="113">
        <f>IF($B152=0,0,$H152/$B152)</f>
        <v/>
      </c>
      <c r="H152" s="112">
        <f>IF($F152&gt;0,ROUND($F152*KarliyukKurumlarOrani,0),0)</f>
        <v/>
      </c>
      <c r="I152" s="114" t="n"/>
    </row>
    <row r="153" ht="15" customHeight="1" s="68">
      <c r="A153" s="114" t="n"/>
      <c r="B153" s="114" t="n"/>
      <c r="C153" s="114" t="n"/>
      <c r="D153" s="114" t="n"/>
      <c r="E153" s="112">
        <f>ROUND($B153*KarliyukKdvOrani,0)</f>
        <v/>
      </c>
      <c r="F153" s="112">
        <f>$B153-$C153</f>
        <v/>
      </c>
      <c r="G153" s="113">
        <f>IF($B153=0,0,$H153/$B153)</f>
        <v/>
      </c>
      <c r="H153" s="112">
        <f>IF($F153&gt;0,ROUND($F153*KarliyukKurumlarOrani,0),0)</f>
        <v/>
      </c>
      <c r="I153" s="114" t="n"/>
    </row>
    <row r="154" ht="15" customHeight="1" s="68">
      <c r="A154" s="114" t="n"/>
      <c r="B154" s="114" t="n"/>
      <c r="C154" s="114" t="n"/>
      <c r="D154" s="114" t="n"/>
      <c r="E154" s="112">
        <f>ROUND($B154*KarliyukKdvOrani,0)</f>
        <v/>
      </c>
      <c r="F154" s="112">
        <f>$B154-$C154</f>
        <v/>
      </c>
      <c r="G154" s="113">
        <f>IF($B154=0,0,$H154/$B154)</f>
        <v/>
      </c>
      <c r="H154" s="112">
        <f>IF($F154&gt;0,ROUND($F154*KarliyukKurumlarOrani,0),0)</f>
        <v/>
      </c>
      <c r="I154" s="114" t="n"/>
    </row>
    <row r="155" ht="15" customHeight="1" s="68">
      <c r="A155" s="114" t="n"/>
      <c r="B155" s="114" t="n"/>
      <c r="C155" s="114" t="n"/>
      <c r="D155" s="114" t="n"/>
      <c r="E155" s="112">
        <f>ROUND($B155*KarliyukKdvOrani,0)</f>
        <v/>
      </c>
      <c r="F155" s="112">
        <f>$B155-$C155</f>
        <v/>
      </c>
      <c r="G155" s="113">
        <f>IF($B155=0,0,$H155/$B155)</f>
        <v/>
      </c>
      <c r="H155" s="112">
        <f>IF($F155&gt;0,ROUND($F155*KarliyukKurumlarOrani,0),0)</f>
        <v/>
      </c>
      <c r="I155" s="114" t="n"/>
    </row>
    <row r="156" ht="15" customHeight="1" s="68">
      <c r="A156" s="114" t="n"/>
      <c r="B156" s="114" t="n"/>
      <c r="C156" s="114" t="n"/>
      <c r="D156" s="114" t="n"/>
      <c r="E156" s="112">
        <f>ROUND($B156*KarliyukKdvOrani,0)</f>
        <v/>
      </c>
      <c r="F156" s="112">
        <f>$B156-$C156</f>
        <v/>
      </c>
      <c r="G156" s="113">
        <f>IF($B156=0,0,$H156/$B156)</f>
        <v/>
      </c>
      <c r="H156" s="112">
        <f>IF($F156&gt;0,ROUND($F156*KarliyukKurumlarOrani,0),0)</f>
        <v/>
      </c>
      <c r="I156" s="114" t="n"/>
    </row>
    <row r="157" ht="15" customHeight="1" s="68">
      <c r="A157" s="114" t="n"/>
      <c r="B157" s="114" t="n"/>
      <c r="C157" s="114" t="n"/>
      <c r="D157" s="114" t="n"/>
      <c r="E157" s="112">
        <f>ROUND($B157*KarliyukKdvOrani,0)</f>
        <v/>
      </c>
      <c r="F157" s="112">
        <f>$B157-$C157</f>
        <v/>
      </c>
      <c r="G157" s="113">
        <f>IF($B157=0,0,$H157/$B157)</f>
        <v/>
      </c>
      <c r="H157" s="112">
        <f>IF($F157&gt;0,ROUND($F157*KarliyukKurumlarOrani,0),0)</f>
        <v/>
      </c>
      <c r="I157" s="114" t="n"/>
    </row>
    <row r="158" ht="15" customHeight="1" s="68">
      <c r="A158" s="114" t="n"/>
      <c r="B158" s="114" t="n"/>
      <c r="C158" s="114" t="n"/>
      <c r="D158" s="114" t="n"/>
      <c r="E158" s="112">
        <f>ROUND($B158*KarliyukKdvOrani,0)</f>
        <v/>
      </c>
      <c r="F158" s="112">
        <f>$B158-$C158</f>
        <v/>
      </c>
      <c r="G158" s="113">
        <f>IF($B158=0,0,$H158/$B158)</f>
        <v/>
      </c>
      <c r="H158" s="112">
        <f>IF($F158&gt;0,ROUND($F158*KarliyukKurumlarOrani,0),0)</f>
        <v/>
      </c>
      <c r="I158" s="114" t="n"/>
    </row>
    <row r="159" ht="15" customHeight="1" s="68">
      <c r="A159" s="114" t="n"/>
      <c r="B159" s="114" t="n"/>
      <c r="C159" s="114" t="n"/>
      <c r="D159" s="114" t="n"/>
      <c r="E159" s="112">
        <f>ROUND($B159*KarliyukKdvOrani,0)</f>
        <v/>
      </c>
      <c r="F159" s="112">
        <f>$B159-$C159</f>
        <v/>
      </c>
      <c r="G159" s="113">
        <f>IF($B159=0,0,$H159/$B159)</f>
        <v/>
      </c>
      <c r="H159" s="112">
        <f>IF($F159&gt;0,ROUND($F159*KarliyukKurumlarOrani,0),0)</f>
        <v/>
      </c>
      <c r="I159" s="114" t="n"/>
    </row>
    <row r="160" ht="15" customHeight="1" s="68">
      <c r="A160" s="114" t="n"/>
      <c r="B160" s="114" t="n"/>
      <c r="C160" s="114" t="n"/>
      <c r="D160" s="114" t="n"/>
      <c r="E160" s="112">
        <f>ROUND($B160*KarliyukKdvOrani,0)</f>
        <v/>
      </c>
      <c r="F160" s="112">
        <f>$B160-$C160</f>
        <v/>
      </c>
      <c r="G160" s="113">
        <f>IF($B160=0,0,$H160/$B160)</f>
        <v/>
      </c>
      <c r="H160" s="112">
        <f>IF($F160&gt;0,ROUND($F160*KarliyukKurumlarOrani,0),0)</f>
        <v/>
      </c>
      <c r="I160" s="114" t="n"/>
    </row>
    <row r="161" ht="15" customHeight="1" s="68">
      <c r="A161" s="114" t="n"/>
      <c r="B161" s="114" t="n"/>
      <c r="C161" s="114" t="n"/>
      <c r="D161" s="114" t="n"/>
      <c r="E161" s="112">
        <f>ROUND($B161*KarliyukKdvOrani,0)</f>
        <v/>
      </c>
      <c r="F161" s="112">
        <f>$B161-$C161</f>
        <v/>
      </c>
      <c r="G161" s="113">
        <f>IF($B161=0,0,$H161/$B161)</f>
        <v/>
      </c>
      <c r="H161" s="112">
        <f>IF($F161&gt;0,ROUND($F161*KarliyukKurumlarOrani,0),0)</f>
        <v/>
      </c>
      <c r="I161" s="114" t="n"/>
    </row>
    <row r="162" ht="15" customHeight="1" s="68">
      <c r="A162" s="114" t="n"/>
      <c r="B162" s="114" t="n"/>
      <c r="C162" s="114" t="n"/>
      <c r="D162" s="114" t="n"/>
      <c r="E162" s="112">
        <f>ROUND($B162*KarliyukKdvOrani,0)</f>
        <v/>
      </c>
      <c r="F162" s="112">
        <f>$B162-$C162</f>
        <v/>
      </c>
      <c r="G162" s="113">
        <f>IF($B162=0,0,$H162/$B162)</f>
        <v/>
      </c>
      <c r="H162" s="112">
        <f>IF($F162&gt;0,ROUND($F162*KarliyukKurumlarOrani,0),0)</f>
        <v/>
      </c>
      <c r="I162" s="114" t="n"/>
    </row>
    <row r="163" ht="15" customHeight="1" s="68">
      <c r="A163" s="114" t="n"/>
      <c r="B163" s="114" t="n"/>
      <c r="C163" s="114" t="n"/>
      <c r="D163" s="114" t="n"/>
      <c r="E163" s="112">
        <f>ROUND($B163*KarliyukKdvOrani,0)</f>
        <v/>
      </c>
      <c r="F163" s="112">
        <f>$B163-$C163</f>
        <v/>
      </c>
      <c r="G163" s="113">
        <f>IF($B163=0,0,$H163/$B163)</f>
        <v/>
      </c>
      <c r="H163" s="112">
        <f>IF($F163&gt;0,ROUND($F163*KarliyukKurumlarOrani,0),0)</f>
        <v/>
      </c>
      <c r="I163" s="114" t="n"/>
    </row>
    <row r="164" ht="15" customHeight="1" s="68">
      <c r="A164" s="114" t="n"/>
      <c r="B164" s="114" t="n"/>
      <c r="C164" s="114" t="n"/>
      <c r="D164" s="114" t="n"/>
      <c r="E164" s="112">
        <f>ROUND($B164*KarliyukKdvOrani,0)</f>
        <v/>
      </c>
      <c r="F164" s="112">
        <f>$B164-$C164</f>
        <v/>
      </c>
      <c r="G164" s="113">
        <f>IF($B164=0,0,$H164/$B164)</f>
        <v/>
      </c>
      <c r="H164" s="112">
        <f>IF($F164&gt;0,ROUND($F164*KarliyukKurumlarOrani,0),0)</f>
        <v/>
      </c>
      <c r="I164" s="114" t="n"/>
    </row>
    <row r="165" ht="15" customHeight="1" s="68">
      <c r="A165" s="114" t="n"/>
      <c r="B165" s="114" t="n"/>
      <c r="C165" s="114" t="n"/>
      <c r="D165" s="114" t="n"/>
      <c r="E165" s="112">
        <f>ROUND($B165*KarliyukKdvOrani,0)</f>
        <v/>
      </c>
      <c r="F165" s="112">
        <f>$B165-$C165</f>
        <v/>
      </c>
      <c r="G165" s="113">
        <f>IF($B165=0,0,$H165/$B165)</f>
        <v/>
      </c>
      <c r="H165" s="112">
        <f>IF($F165&gt;0,ROUND($F165*KarliyukKurumlarOrani,0),0)</f>
        <v/>
      </c>
      <c r="I165" s="114" t="n"/>
    </row>
    <row r="166" ht="15" customHeight="1" s="68">
      <c r="A166" s="114" t="n"/>
      <c r="B166" s="114" t="n"/>
      <c r="C166" s="114" t="n"/>
      <c r="D166" s="114" t="n"/>
      <c r="E166" s="112">
        <f>ROUND($B166*KarliyukKdvOrani,0)</f>
        <v/>
      </c>
      <c r="F166" s="112">
        <f>$B166-$C166</f>
        <v/>
      </c>
      <c r="G166" s="113">
        <f>IF($B166=0,0,$H166/$B166)</f>
        <v/>
      </c>
      <c r="H166" s="112">
        <f>IF($F166&gt;0,ROUND($F166*KarliyukKurumlarOrani,0),0)</f>
        <v/>
      </c>
      <c r="I166" s="114" t="n"/>
    </row>
    <row r="167" ht="15" customHeight="1" s="68">
      <c r="A167" s="114" t="n"/>
      <c r="B167" s="114" t="n"/>
      <c r="C167" s="114" t="n"/>
      <c r="D167" s="114" t="n"/>
      <c r="E167" s="112">
        <f>ROUND($B167*KarliyukKdvOrani,0)</f>
        <v/>
      </c>
      <c r="F167" s="112">
        <f>$B167-$C167</f>
        <v/>
      </c>
      <c r="G167" s="113">
        <f>IF($B167=0,0,$H167/$B167)</f>
        <v/>
      </c>
      <c r="H167" s="112">
        <f>IF($F167&gt;0,ROUND($F167*KarliyukKurumlarOrani,0),0)</f>
        <v/>
      </c>
      <c r="I167" s="114" t="n"/>
    </row>
    <row r="168" ht="15" customHeight="1" s="68">
      <c r="A168" s="114" t="n"/>
      <c r="B168" s="114" t="n"/>
      <c r="C168" s="114" t="n"/>
      <c r="D168" s="114" t="n"/>
      <c r="E168" s="112">
        <f>ROUND($B168*KarliyukKdvOrani,0)</f>
        <v/>
      </c>
      <c r="F168" s="112">
        <f>$B168-$C168</f>
        <v/>
      </c>
      <c r="G168" s="113">
        <f>IF($B168=0,0,$H168/$B168)</f>
        <v/>
      </c>
      <c r="H168" s="112">
        <f>IF($F168&gt;0,ROUND($F168*KarliyukKurumlarOrani,0),0)</f>
        <v/>
      </c>
      <c r="I168" s="114" t="n"/>
    </row>
    <row r="169" ht="15" customHeight="1" s="68">
      <c r="A169" s="114" t="n"/>
      <c r="B169" s="114" t="n"/>
      <c r="C169" s="114" t="n"/>
      <c r="D169" s="114" t="n"/>
      <c r="E169" s="112">
        <f>ROUND($B169*KarliyukKdvOrani,0)</f>
        <v/>
      </c>
      <c r="F169" s="112">
        <f>$B169-$C169</f>
        <v/>
      </c>
      <c r="G169" s="113">
        <f>IF($B169=0,0,$H169/$B169)</f>
        <v/>
      </c>
      <c r="H169" s="112">
        <f>IF($F169&gt;0,ROUND($F169*KarliyukKurumlarOrani,0),0)</f>
        <v/>
      </c>
      <c r="I169" s="114" t="n"/>
    </row>
    <row r="170" ht="15" customHeight="1" s="68">
      <c r="A170" s="114" t="n"/>
      <c r="B170" s="114" t="n"/>
      <c r="C170" s="114" t="n"/>
      <c r="D170" s="114" t="n"/>
      <c r="E170" s="112">
        <f>ROUND($B170*KarliyukKdvOrani,0)</f>
        <v/>
      </c>
      <c r="F170" s="112">
        <f>$B170-$C170</f>
        <v/>
      </c>
      <c r="G170" s="113">
        <f>IF($B170=0,0,$H170/$B170)</f>
        <v/>
      </c>
      <c r="H170" s="112">
        <f>IF($F170&gt;0,ROUND($F170*KarliyukKurumlarOrani,0),0)</f>
        <v/>
      </c>
      <c r="I170" s="114" t="n"/>
    </row>
    <row r="171" ht="15" customHeight="1" s="68">
      <c r="A171" s="114" t="n"/>
      <c r="B171" s="114" t="n"/>
      <c r="C171" s="114" t="n"/>
      <c r="D171" s="114" t="n"/>
      <c r="E171" s="112">
        <f>ROUND($B171*KarliyukKdvOrani,0)</f>
        <v/>
      </c>
      <c r="F171" s="112">
        <f>$B171-$C171</f>
        <v/>
      </c>
      <c r="G171" s="113">
        <f>IF($B171=0,0,$H171/$B171)</f>
        <v/>
      </c>
      <c r="H171" s="112">
        <f>IF($F171&gt;0,ROUND($F171*KarliyukKurumlarOrani,0),0)</f>
        <v/>
      </c>
      <c r="I171" s="114" t="n"/>
    </row>
    <row r="172" ht="15" customHeight="1" s="68">
      <c r="A172" s="114" t="n"/>
      <c r="B172" s="114" t="n"/>
      <c r="C172" s="114" t="n"/>
      <c r="D172" s="114" t="n"/>
      <c r="E172" s="112">
        <f>ROUND($B172*KarliyukKdvOrani,0)</f>
        <v/>
      </c>
      <c r="F172" s="112">
        <f>$B172-$C172</f>
        <v/>
      </c>
      <c r="G172" s="113">
        <f>IF($B172=0,0,$H172/$B172)</f>
        <v/>
      </c>
      <c r="H172" s="112">
        <f>IF($F172&gt;0,ROUND($F172*KarliyukKurumlarOrani,0),0)</f>
        <v/>
      </c>
      <c r="I172" s="114" t="n"/>
    </row>
    <row r="173" ht="15" customHeight="1" s="68">
      <c r="A173" s="114" t="n"/>
      <c r="B173" s="114" t="n"/>
      <c r="C173" s="114" t="n"/>
      <c r="D173" s="114" t="n"/>
      <c r="E173" s="112">
        <f>ROUND($B173*KarliyukKdvOrani,0)</f>
        <v/>
      </c>
      <c r="F173" s="112">
        <f>$B173-$C173</f>
        <v/>
      </c>
      <c r="G173" s="113">
        <f>IF($B173=0,0,$H173/$B173)</f>
        <v/>
      </c>
      <c r="H173" s="112">
        <f>IF($F173&gt;0,ROUND($F173*KarliyukKurumlarOrani,0),0)</f>
        <v/>
      </c>
      <c r="I173" s="114" t="n"/>
    </row>
    <row r="174" ht="15" customHeight="1" s="68">
      <c r="A174" s="114" t="n"/>
      <c r="B174" s="114" t="n"/>
      <c r="C174" s="114" t="n"/>
      <c r="D174" s="114" t="n"/>
      <c r="E174" s="112">
        <f>ROUND($B174*KarliyukKdvOrani,0)</f>
        <v/>
      </c>
      <c r="F174" s="112">
        <f>$B174-$C174</f>
        <v/>
      </c>
      <c r="G174" s="113">
        <f>IF($B174=0,0,$H174/$B174)</f>
        <v/>
      </c>
      <c r="H174" s="112">
        <f>IF($F174&gt;0,ROUND($F174*KarliyukKurumlarOrani,0),0)</f>
        <v/>
      </c>
      <c r="I174" s="114" t="n"/>
    </row>
    <row r="175" ht="15" customHeight="1" s="68">
      <c r="A175" s="114" t="n"/>
      <c r="B175" s="114" t="n"/>
      <c r="C175" s="114" t="n"/>
      <c r="D175" s="114" t="n"/>
      <c r="E175" s="112">
        <f>ROUND($B175*KarliyukKdvOrani,0)</f>
        <v/>
      </c>
      <c r="F175" s="112">
        <f>$B175-$C175</f>
        <v/>
      </c>
      <c r="G175" s="113">
        <f>IF($B175=0,0,$H175/$B175)</f>
        <v/>
      </c>
      <c r="H175" s="112">
        <f>IF($F175&gt;0,ROUND($F175*KarliyukKurumlarOrani,0),0)</f>
        <v/>
      </c>
      <c r="I175" s="114" t="n"/>
    </row>
    <row r="176" ht="15" customHeight="1" s="68">
      <c r="A176" s="114" t="n"/>
      <c r="B176" s="114" t="n"/>
      <c r="C176" s="114" t="n"/>
      <c r="D176" s="114" t="n"/>
      <c r="E176" s="112">
        <f>ROUND($B176*KarliyukKdvOrani,0)</f>
        <v/>
      </c>
      <c r="F176" s="112">
        <f>$B176-$C176</f>
        <v/>
      </c>
      <c r="G176" s="113">
        <f>IF($B176=0,0,$H176/$B176)</f>
        <v/>
      </c>
      <c r="H176" s="112">
        <f>IF($F176&gt;0,ROUND($F176*KarliyukKurumlarOrani,0),0)</f>
        <v/>
      </c>
      <c r="I176" s="114" t="n"/>
    </row>
    <row r="177" ht="15" customHeight="1" s="68">
      <c r="A177" s="114" t="n"/>
      <c r="B177" s="114" t="n"/>
      <c r="C177" s="114" t="n"/>
      <c r="D177" s="114" t="n"/>
      <c r="E177" s="112">
        <f>ROUND($B177*KarliyukKdvOrani,0)</f>
        <v/>
      </c>
      <c r="F177" s="112">
        <f>$B177-$C177</f>
        <v/>
      </c>
      <c r="G177" s="113">
        <f>IF($B177=0,0,$H177/$B177)</f>
        <v/>
      </c>
      <c r="H177" s="112">
        <f>IF($F177&gt;0,ROUND($F177*KarliyukKurumlarOrani,0),0)</f>
        <v/>
      </c>
      <c r="I177" s="114" t="n"/>
    </row>
    <row r="178" ht="15" customHeight="1" s="68">
      <c r="A178" s="114" t="n"/>
      <c r="B178" s="114" t="n"/>
      <c r="C178" s="114" t="n"/>
      <c r="D178" s="114" t="n"/>
      <c r="E178" s="112">
        <f>ROUND($B178*KarliyukKdvOrani,0)</f>
        <v/>
      </c>
      <c r="F178" s="112">
        <f>$B178-$C178</f>
        <v/>
      </c>
      <c r="G178" s="113">
        <f>IF($B178=0,0,$H178/$B178)</f>
        <v/>
      </c>
      <c r="H178" s="112">
        <f>IF($F178&gt;0,ROUND($F178*KarliyukKurumlarOrani,0),0)</f>
        <v/>
      </c>
      <c r="I178" s="114" t="n"/>
    </row>
    <row r="179" ht="15" customHeight="1" s="68">
      <c r="A179" s="114" t="n"/>
      <c r="B179" s="114" t="n"/>
      <c r="C179" s="114" t="n"/>
      <c r="D179" s="114" t="n"/>
      <c r="E179" s="112">
        <f>ROUND($B179*KarliyukKdvOrani,0)</f>
        <v/>
      </c>
      <c r="F179" s="112">
        <f>$B179-$C179</f>
        <v/>
      </c>
      <c r="G179" s="113">
        <f>IF($B179=0,0,$H179/$B179)</f>
        <v/>
      </c>
      <c r="H179" s="112">
        <f>IF($F179&gt;0,ROUND($F179*KarliyukKurumlarOrani,0),0)</f>
        <v/>
      </c>
      <c r="I179" s="114" t="n"/>
    </row>
    <row r="180" ht="15" customHeight="1" s="68">
      <c r="A180" s="114" t="n"/>
      <c r="B180" s="114" t="n"/>
      <c r="C180" s="114" t="n"/>
      <c r="D180" s="114" t="n"/>
      <c r="E180" s="112">
        <f>ROUND($B180*KarliyukKdvOrani,0)</f>
        <v/>
      </c>
      <c r="F180" s="112">
        <f>$B180-$C180</f>
        <v/>
      </c>
      <c r="G180" s="113">
        <f>IF($B180=0,0,$H180/$B180)</f>
        <v/>
      </c>
      <c r="H180" s="112">
        <f>IF($F180&gt;0,ROUND($F180*KarliyukKurumlarOrani,0),0)</f>
        <v/>
      </c>
      <c r="I180" s="114" t="n"/>
    </row>
    <row r="181" ht="15" customHeight="1" s="68">
      <c r="A181" s="114" t="n"/>
      <c r="B181" s="114" t="n"/>
      <c r="C181" s="114" t="n"/>
      <c r="D181" s="114" t="n"/>
      <c r="E181" s="112">
        <f>ROUND($B181*KarliyukKdvOrani,0)</f>
        <v/>
      </c>
      <c r="F181" s="112">
        <f>$B181-$C181</f>
        <v/>
      </c>
      <c r="G181" s="113">
        <f>IF($B181=0,0,$H181/$B181)</f>
        <v/>
      </c>
      <c r="H181" s="112">
        <f>IF($F181&gt;0,ROUND($F181*KarliyukKurumlarOrani,0),0)</f>
        <v/>
      </c>
      <c r="I181" s="114" t="n"/>
    </row>
    <row r="182" ht="15" customHeight="1" s="68">
      <c r="A182" s="114" t="n"/>
      <c r="B182" s="114" t="n"/>
      <c r="C182" s="114" t="n"/>
      <c r="D182" s="114" t="n"/>
      <c r="E182" s="112">
        <f>ROUND($B182*KarliyukKdvOrani,0)</f>
        <v/>
      </c>
      <c r="F182" s="112">
        <f>$B182-$C182</f>
        <v/>
      </c>
      <c r="G182" s="113">
        <f>IF($B182=0,0,$H182/$B182)</f>
        <v/>
      </c>
      <c r="H182" s="112">
        <f>IF($F182&gt;0,ROUND($F182*KarliyukKurumlarOrani,0),0)</f>
        <v/>
      </c>
      <c r="I182" s="114" t="n"/>
    </row>
    <row r="183" ht="15" customHeight="1" s="68">
      <c r="A183" s="114" t="n"/>
      <c r="B183" s="114" t="n"/>
      <c r="C183" s="114" t="n"/>
      <c r="D183" s="114" t="n"/>
      <c r="E183" s="112">
        <f>ROUND($B183*KarliyukKdvOrani,0)</f>
        <v/>
      </c>
      <c r="F183" s="112">
        <f>$B183-$C183</f>
        <v/>
      </c>
      <c r="G183" s="113">
        <f>IF($B183=0,0,$H183/$B183)</f>
        <v/>
      </c>
      <c r="H183" s="112">
        <f>IF($F183&gt;0,ROUND($F183*KarliyukKurumlarOrani,0),0)</f>
        <v/>
      </c>
      <c r="I183" s="114" t="n"/>
    </row>
    <row r="184" ht="15" customHeight="1" s="68">
      <c r="A184" s="114" t="n"/>
      <c r="B184" s="114" t="n"/>
      <c r="C184" s="114" t="n"/>
      <c r="D184" s="114" t="n"/>
      <c r="E184" s="112">
        <f>ROUND($B184*KarliyukKdvOrani,0)</f>
        <v/>
      </c>
      <c r="F184" s="112">
        <f>$B184-$C184</f>
        <v/>
      </c>
      <c r="G184" s="113">
        <f>IF($B184=0,0,$H184/$B184)</f>
        <v/>
      </c>
      <c r="H184" s="112">
        <f>IF($F184&gt;0,ROUND($F184*KarliyukKurumlarOrani,0),0)</f>
        <v/>
      </c>
      <c r="I184" s="114" t="n"/>
    </row>
    <row r="185" ht="15" customHeight="1" s="68">
      <c r="A185" s="114" t="n"/>
      <c r="B185" s="114" t="n"/>
      <c r="C185" s="114" t="n"/>
      <c r="D185" s="114" t="n"/>
      <c r="E185" s="112">
        <f>ROUND($B185*KarliyukKdvOrani,0)</f>
        <v/>
      </c>
      <c r="F185" s="112">
        <f>$B185-$C185</f>
        <v/>
      </c>
      <c r="G185" s="113">
        <f>IF($B185=0,0,$H185/$B185)</f>
        <v/>
      </c>
      <c r="H185" s="112">
        <f>IF($F185&gt;0,ROUND($F185*KarliyukKurumlarOrani,0),0)</f>
        <v/>
      </c>
      <c r="I185" s="114" t="n"/>
    </row>
    <row r="186" ht="15" customHeight="1" s="68">
      <c r="A186" s="114" t="n"/>
      <c r="B186" s="114" t="n"/>
      <c r="C186" s="114" t="n"/>
      <c r="D186" s="114" t="n"/>
      <c r="E186" s="112">
        <f>ROUND($B186*KarliyukKdvOrani,0)</f>
        <v/>
      </c>
      <c r="F186" s="112">
        <f>$B186-$C186</f>
        <v/>
      </c>
      <c r="G186" s="113">
        <f>IF($B186=0,0,$H186/$B186)</f>
        <v/>
      </c>
      <c r="H186" s="112">
        <f>IF($F186&gt;0,ROUND($F186*KarliyukKurumlarOrani,0),0)</f>
        <v/>
      </c>
      <c r="I186" s="114" t="n"/>
    </row>
    <row r="187" ht="15" customHeight="1" s="68">
      <c r="A187" s="114" t="n"/>
      <c r="B187" s="114" t="n"/>
      <c r="C187" s="114" t="n"/>
      <c r="D187" s="114" t="n"/>
      <c r="E187" s="112">
        <f>ROUND($B187*KarliyukKdvOrani,0)</f>
        <v/>
      </c>
      <c r="F187" s="112">
        <f>$B187-$C187</f>
        <v/>
      </c>
      <c r="G187" s="113">
        <f>IF($B187=0,0,$H187/$B187)</f>
        <v/>
      </c>
      <c r="H187" s="112">
        <f>IF($F187&gt;0,ROUND($F187*KarliyukKurumlarOrani,0),0)</f>
        <v/>
      </c>
      <c r="I187" s="114" t="n"/>
    </row>
    <row r="188" ht="15" customHeight="1" s="68">
      <c r="A188" s="114" t="n"/>
      <c r="B188" s="114" t="n"/>
      <c r="C188" s="114" t="n"/>
      <c r="D188" s="114" t="n"/>
      <c r="E188" s="112">
        <f>ROUND($B188*KarliyukKdvOrani,0)</f>
        <v/>
      </c>
      <c r="F188" s="112">
        <f>$B188-$C188</f>
        <v/>
      </c>
      <c r="G188" s="113">
        <f>IF($B188=0,0,$H188/$B188)</f>
        <v/>
      </c>
      <c r="H188" s="112">
        <f>IF($F188&gt;0,ROUND($F188*KarliyukKurumlarOrani,0),0)</f>
        <v/>
      </c>
      <c r="I188" s="114" t="n"/>
    </row>
    <row r="189" ht="15" customHeight="1" s="68">
      <c r="A189" s="114" t="n"/>
      <c r="B189" s="114" t="n"/>
      <c r="C189" s="114" t="n"/>
      <c r="D189" s="114" t="n"/>
      <c r="E189" s="112">
        <f>ROUND($B189*KarliyukKdvOrani,0)</f>
        <v/>
      </c>
      <c r="F189" s="112">
        <f>$B189-$C189</f>
        <v/>
      </c>
      <c r="G189" s="113">
        <f>IF($B189=0,0,$H189/$B189)</f>
        <v/>
      </c>
      <c r="H189" s="112">
        <f>IF($F189&gt;0,ROUND($F189*KarliyukKurumlarOrani,0),0)</f>
        <v/>
      </c>
      <c r="I189" s="114" t="n"/>
    </row>
    <row r="190" ht="15" customHeight="1" s="68">
      <c r="A190" s="114" t="n"/>
      <c r="B190" s="114" t="n"/>
      <c r="C190" s="114" t="n"/>
      <c r="D190" s="114" t="n"/>
      <c r="E190" s="112">
        <f>ROUND($B190*KarliyukKdvOrani,0)</f>
        <v/>
      </c>
      <c r="F190" s="112">
        <f>$B190-$C190</f>
        <v/>
      </c>
      <c r="G190" s="113">
        <f>IF($B190=0,0,$H190/$B190)</f>
        <v/>
      </c>
      <c r="H190" s="112">
        <f>IF($F190&gt;0,ROUND($F190*KarliyukKurumlarOrani,0),0)</f>
        <v/>
      </c>
      <c r="I190" s="114" t="n"/>
    </row>
    <row r="191" ht="15" customHeight="1" s="68">
      <c r="A191" s="114" t="n"/>
      <c r="B191" s="114" t="n"/>
      <c r="C191" s="114" t="n"/>
      <c r="D191" s="114" t="n"/>
      <c r="E191" s="112">
        <f>ROUND($B191*KarliyukKdvOrani,0)</f>
        <v/>
      </c>
      <c r="F191" s="112">
        <f>$B191-$C191</f>
        <v/>
      </c>
      <c r="G191" s="113">
        <f>IF($B191=0,0,$H191/$B191)</f>
        <v/>
      </c>
      <c r="H191" s="112">
        <f>IF($F191&gt;0,ROUND($F191*KarliyukKurumlarOrani,0),0)</f>
        <v/>
      </c>
      <c r="I191" s="114" t="n"/>
    </row>
    <row r="192" ht="15" customHeight="1" s="68">
      <c r="A192" s="114" t="n"/>
      <c r="B192" s="114" t="n"/>
      <c r="C192" s="114" t="n"/>
      <c r="D192" s="114" t="n"/>
      <c r="E192" s="112">
        <f>ROUND($B192*KarliyukKdvOrani,0)</f>
        <v/>
      </c>
      <c r="F192" s="112">
        <f>$B192-$C192</f>
        <v/>
      </c>
      <c r="G192" s="113">
        <f>IF($B192=0,0,$H192/$B192)</f>
        <v/>
      </c>
      <c r="H192" s="112">
        <f>IF($F192&gt;0,ROUND($F192*KarliyukKurumlarOrani,0),0)</f>
        <v/>
      </c>
      <c r="I192" s="114" t="n"/>
    </row>
    <row r="193" ht="15" customHeight="1" s="68">
      <c r="A193" s="114" t="n"/>
      <c r="B193" s="114" t="n"/>
      <c r="C193" s="114" t="n"/>
      <c r="D193" s="114" t="n"/>
      <c r="E193" s="112">
        <f>ROUND($B193*KarliyukKdvOrani,0)</f>
        <v/>
      </c>
      <c r="F193" s="112">
        <f>$B193-$C193</f>
        <v/>
      </c>
      <c r="G193" s="113">
        <f>IF($B193=0,0,$H193/$B193)</f>
        <v/>
      </c>
      <c r="H193" s="112">
        <f>IF($F193&gt;0,ROUND($F193*KarliyukKurumlarOrani,0),0)</f>
        <v/>
      </c>
      <c r="I193" s="114" t="n"/>
    </row>
    <row r="194" ht="15" customHeight="1" s="68">
      <c r="A194" s="114" t="n"/>
      <c r="B194" s="114" t="n"/>
      <c r="C194" s="114" t="n"/>
      <c r="D194" s="114" t="n"/>
      <c r="E194" s="112">
        <f>ROUND($B194*KarliyukKdvOrani,0)</f>
        <v/>
      </c>
      <c r="F194" s="112">
        <f>$B194-$C194</f>
        <v/>
      </c>
      <c r="G194" s="113">
        <f>IF($B194=0,0,$H194/$B194)</f>
        <v/>
      </c>
      <c r="H194" s="112">
        <f>IF($F194&gt;0,ROUND($F194*KarliyukKurumlarOrani,0),0)</f>
        <v/>
      </c>
      <c r="I194" s="114" t="n"/>
    </row>
    <row r="195" ht="15" customHeight="1" s="68">
      <c r="A195" s="114" t="n"/>
      <c r="B195" s="114" t="n"/>
      <c r="C195" s="114" t="n"/>
      <c r="D195" s="114" t="n"/>
      <c r="E195" s="112">
        <f>ROUND($B195*KarliyukKdvOrani,0)</f>
        <v/>
      </c>
      <c r="F195" s="112">
        <f>$B195-$C195</f>
        <v/>
      </c>
      <c r="G195" s="113">
        <f>IF($B195=0,0,$H195/$B195)</f>
        <v/>
      </c>
      <c r="H195" s="112">
        <f>IF($F195&gt;0,ROUND($F195*KarliyukKurumlarOrani,0),0)</f>
        <v/>
      </c>
      <c r="I195" s="114" t="n"/>
    </row>
    <row r="196" ht="15" customHeight="1" s="68">
      <c r="A196" s="114" t="n"/>
      <c r="B196" s="114" t="n"/>
      <c r="C196" s="114" t="n"/>
      <c r="D196" s="114" t="n"/>
      <c r="E196" s="112">
        <f>ROUND($B196*KarliyukKdvOrani,0)</f>
        <v/>
      </c>
      <c r="F196" s="112">
        <f>$B196-$C196</f>
        <v/>
      </c>
      <c r="G196" s="113">
        <f>IF($B196=0,0,$H196/$B196)</f>
        <v/>
      </c>
      <c r="H196" s="112">
        <f>IF($F196&gt;0,ROUND($F196*KarliyukKurumlarOrani,0),0)</f>
        <v/>
      </c>
      <c r="I196" s="114" t="n"/>
    </row>
    <row r="197" ht="15" customHeight="1" s="68">
      <c r="A197" s="114" t="n"/>
      <c r="B197" s="114" t="n"/>
      <c r="C197" s="114" t="n"/>
      <c r="D197" s="114" t="n"/>
      <c r="E197" s="112">
        <f>ROUND($B197*KarliyukKdvOrani,0)</f>
        <v/>
      </c>
      <c r="F197" s="112">
        <f>$B197-$C197</f>
        <v/>
      </c>
      <c r="G197" s="113">
        <f>IF($B197=0,0,$H197/$B197)</f>
        <v/>
      </c>
      <c r="H197" s="112">
        <f>IF($F197&gt;0,ROUND($F197*KarliyukKurumlarOrani,0),0)</f>
        <v/>
      </c>
      <c r="I197" s="114" t="n"/>
    </row>
    <row r="198" ht="15" customHeight="1" s="68">
      <c r="A198" s="114" t="n"/>
      <c r="B198" s="114" t="n"/>
      <c r="C198" s="114" t="n"/>
      <c r="D198" s="114" t="n"/>
      <c r="E198" s="112">
        <f>ROUND($B198*KarliyukKdvOrani,0)</f>
        <v/>
      </c>
      <c r="F198" s="112">
        <f>$B198-$C198</f>
        <v/>
      </c>
      <c r="G198" s="113">
        <f>IF($B198=0,0,$H198/$B198)</f>
        <v/>
      </c>
      <c r="H198" s="112">
        <f>IF($F198&gt;0,ROUND($F198*KarliyukKurumlarOrani,0),0)</f>
        <v/>
      </c>
      <c r="I198" s="114" t="n"/>
    </row>
    <row r="199" ht="15" customHeight="1" s="68">
      <c r="A199" s="114" t="n"/>
      <c r="B199" s="114" t="n"/>
      <c r="C199" s="114" t="n"/>
      <c r="D199" s="114" t="n"/>
      <c r="E199" s="112">
        <f>ROUND($B199*KarliyukKdvOrani,0)</f>
        <v/>
      </c>
      <c r="F199" s="112">
        <f>$B199-$C199</f>
        <v/>
      </c>
      <c r="G199" s="113">
        <f>IF($B199=0,0,$H199/$B199)</f>
        <v/>
      </c>
      <c r="H199" s="112">
        <f>IF($F199&gt;0,ROUND($F199*KarliyukKurumlarOrani,0),0)</f>
        <v/>
      </c>
      <c r="I199" s="114" t="n"/>
    </row>
    <row r="200" ht="15" customHeight="1" s="68">
      <c r="A200" s="114" t="n"/>
      <c r="B200" s="114" t="n"/>
      <c r="C200" s="114" t="n"/>
      <c r="D200" s="114" t="n"/>
      <c r="E200" s="112">
        <f>ROUND($B200*KarliyukKdvOrani,0)</f>
        <v/>
      </c>
      <c r="F200" s="112">
        <f>$B200-$C200</f>
        <v/>
      </c>
      <c r="G200" s="113">
        <f>IF($B200=0,0,$H200/$B200)</f>
        <v/>
      </c>
      <c r="H200" s="112">
        <f>IF($F200&gt;0,ROUND($F200*KarliyukKurumlarOrani,0),0)</f>
        <v/>
      </c>
      <c r="I200" s="114" t="n"/>
    </row>
    <row r="201" ht="15" customHeight="1" s="68">
      <c r="A201" s="114" t="n"/>
      <c r="B201" s="114" t="n"/>
      <c r="C201" s="114" t="n"/>
      <c r="D201" s="114" t="n"/>
      <c r="E201" s="112">
        <f>ROUND($B201*KarliyukKdvOrani,0)</f>
        <v/>
      </c>
      <c r="F201" s="112">
        <f>$B201-$C201</f>
        <v/>
      </c>
      <c r="G201" s="113">
        <f>IF($B201=0,0,$H201/$B201)</f>
        <v/>
      </c>
      <c r="H201" s="112">
        <f>IF($F201&gt;0,ROUND($F201*KarliyukKurumlarOrani,0),0)</f>
        <v/>
      </c>
      <c r="I201" s="114" t="n"/>
    </row>
    <row r="202" ht="15" customHeight="1" s="68">
      <c r="A202" s="114" t="n"/>
      <c r="B202" s="114" t="n"/>
      <c r="C202" s="114" t="n"/>
      <c r="D202" s="114" t="n"/>
      <c r="E202" s="112">
        <f>ROUND($B202*KarliyukKdvOrani,0)</f>
        <v/>
      </c>
      <c r="F202" s="112">
        <f>$B202-$C202</f>
        <v/>
      </c>
      <c r="G202" s="113">
        <f>IF($B202=0,0,$H202/$B202)</f>
        <v/>
      </c>
      <c r="H202" s="112">
        <f>IF($F202&gt;0,ROUND($F202*KarliyukKurumlarOrani,0),0)</f>
        <v/>
      </c>
      <c r="I202" s="114" t="n"/>
    </row>
    <row r="203" ht="15" customHeight="1" s="68">
      <c r="A203" s="114" t="n"/>
      <c r="B203" s="114" t="n"/>
      <c r="C203" s="114" t="n"/>
      <c r="D203" s="114" t="n"/>
      <c r="E203" s="112">
        <f>ROUND($B203*KarliyukKdvOrani,0)</f>
        <v/>
      </c>
      <c r="F203" s="112">
        <f>$B203-$C203</f>
        <v/>
      </c>
      <c r="G203" s="113">
        <f>IF($B203=0,0,$H203/$B203)</f>
        <v/>
      </c>
      <c r="H203" s="112">
        <f>IF($F203&gt;0,ROUND($F203*KarliyukKurumlarOrani,0),0)</f>
        <v/>
      </c>
      <c r="I203" s="114" t="n"/>
    </row>
    <row r="204" ht="15" customHeight="1" s="68">
      <c r="A204" s="114" t="n"/>
      <c r="B204" s="114" t="n"/>
      <c r="C204" s="114" t="n"/>
      <c r="D204" s="114" t="n"/>
      <c r="E204" s="112">
        <f>ROUND($B204*KarliyukKdvOrani,0)</f>
        <v/>
      </c>
      <c r="F204" s="112">
        <f>$B204-$C204</f>
        <v/>
      </c>
      <c r="G204" s="113">
        <f>IF($B204=0,0,$H204/$B204)</f>
        <v/>
      </c>
      <c r="H204" s="112">
        <f>IF($F204&gt;0,ROUND($F204*KarliyukKurumlarOrani,0),0)</f>
        <v/>
      </c>
      <c r="I204" s="114" t="n"/>
    </row>
    <row r="205" ht="15" customHeight="1" s="68">
      <c r="A205" s="114" t="n"/>
      <c r="B205" s="114" t="n"/>
      <c r="C205" s="114" t="n"/>
      <c r="D205" s="114" t="n"/>
      <c r="E205" s="112">
        <f>ROUND($B205*KarliyukKdvOrani,0)</f>
        <v/>
      </c>
      <c r="F205" s="112">
        <f>$B205-$C205</f>
        <v/>
      </c>
      <c r="G205" s="113">
        <f>IF($B205=0,0,$H205/$B205)</f>
        <v/>
      </c>
      <c r="H205" s="112">
        <f>IF($F205&gt;0,ROUND($F205*KarliyukKurumlarOrani,0),0)</f>
        <v/>
      </c>
      <c r="I205" s="114" t="n"/>
    </row>
    <row r="206" ht="15" customHeight="1" s="68">
      <c r="A206" s="114" t="n"/>
      <c r="B206" s="114" t="n"/>
      <c r="C206" s="114" t="n"/>
      <c r="D206" s="114" t="n"/>
      <c r="E206" s="112">
        <f>ROUND($B206*KarliyukKdvOrani,0)</f>
        <v/>
      </c>
      <c r="F206" s="112">
        <f>$B206-$C206</f>
        <v/>
      </c>
      <c r="G206" s="113">
        <f>IF($B206=0,0,$H206/$B206)</f>
        <v/>
      </c>
      <c r="H206" s="112">
        <f>IF($F206&gt;0,ROUND($F206*KarliyukKurumlarOrani,0),0)</f>
        <v/>
      </c>
      <c r="I206" s="114" t="n"/>
    </row>
    <row r="207" ht="15" customHeight="1" s="68">
      <c r="A207" s="114" t="n"/>
      <c r="B207" s="114" t="n"/>
      <c r="C207" s="114" t="n"/>
      <c r="D207" s="114" t="n"/>
      <c r="E207" s="112">
        <f>ROUND($B207*KarliyukKdvOrani,0)</f>
        <v/>
      </c>
      <c r="F207" s="112">
        <f>$B207-$C207</f>
        <v/>
      </c>
      <c r="G207" s="113">
        <f>IF($B207=0,0,$H207/$B207)</f>
        <v/>
      </c>
      <c r="H207" s="112">
        <f>IF($F207&gt;0,ROUND($F207*KarliyukKurumlarOrani,0),0)</f>
        <v/>
      </c>
      <c r="I207" s="114" t="n"/>
    </row>
    <row r="208" ht="15" customHeight="1" s="68">
      <c r="A208" s="114" t="n"/>
      <c r="B208" s="114" t="n"/>
      <c r="C208" s="114" t="n"/>
      <c r="D208" s="114" t="n"/>
      <c r="E208" s="112">
        <f>ROUND($B208*KarliyukKdvOrani,0)</f>
        <v/>
      </c>
      <c r="F208" s="112">
        <f>$B208-$C208</f>
        <v/>
      </c>
      <c r="G208" s="113">
        <f>IF($B208=0,0,$H208/$B208)</f>
        <v/>
      </c>
      <c r="H208" s="112">
        <f>IF($F208&gt;0,ROUND($F208*KarliyukKurumlarOrani,0),0)</f>
        <v/>
      </c>
      <c r="I208" s="114" t="n"/>
    </row>
    <row r="209" ht="15" customHeight="1" s="68">
      <c r="A209" s="114" t="n"/>
      <c r="B209" s="114" t="n"/>
      <c r="C209" s="114" t="n"/>
      <c r="D209" s="114" t="n"/>
      <c r="E209" s="112">
        <f>ROUND($B209*KarliyukKdvOrani,0)</f>
        <v/>
      </c>
      <c r="F209" s="112">
        <f>$B209-$C209</f>
        <v/>
      </c>
      <c r="G209" s="113">
        <f>IF($B209=0,0,$H209/$B209)</f>
        <v/>
      </c>
      <c r="H209" s="112">
        <f>IF($F209&gt;0,ROUND($F209*KarliyukKurumlarOrani,0),0)</f>
        <v/>
      </c>
      <c r="I209" s="114" t="n"/>
    </row>
    <row r="210" ht="15" customHeight="1" s="68">
      <c r="A210" s="114" t="n"/>
      <c r="B210" s="114" t="n"/>
      <c r="C210" s="114" t="n"/>
      <c r="D210" s="114" t="n"/>
      <c r="E210" s="112">
        <f>ROUND($B210*KarliyukKdvOrani,0)</f>
        <v/>
      </c>
      <c r="F210" s="112">
        <f>$B210-$C210</f>
        <v/>
      </c>
      <c r="G210" s="113">
        <f>IF($B210=0,0,$H210/$B210)</f>
        <v/>
      </c>
      <c r="H210" s="112">
        <f>IF($F210&gt;0,ROUND($F210*KarliyukKurumlarOrani,0),0)</f>
        <v/>
      </c>
      <c r="I210" s="114" t="n"/>
    </row>
    <row r="211" ht="15" customHeight="1" s="68">
      <c r="A211" s="114" t="n"/>
      <c r="B211" s="114" t="n"/>
      <c r="C211" s="114" t="n"/>
      <c r="D211" s="114" t="n"/>
      <c r="E211" s="112">
        <f>ROUND($B211*KarliyukKdvOrani,0)</f>
        <v/>
      </c>
      <c r="F211" s="112">
        <f>$B211-$C211</f>
        <v/>
      </c>
      <c r="G211" s="113">
        <f>IF($B211=0,0,$H211/$B211)</f>
        <v/>
      </c>
      <c r="H211" s="112">
        <f>IF($F211&gt;0,ROUND($F211*KarliyukKurumlarOrani,0),0)</f>
        <v/>
      </c>
      <c r="I211" s="114" t="n"/>
    </row>
    <row r="212" ht="15" customHeight="1" s="68">
      <c r="A212" s="114" t="n"/>
      <c r="B212" s="114" t="n"/>
      <c r="C212" s="114" t="n"/>
      <c r="D212" s="114" t="n"/>
      <c r="E212" s="112">
        <f>ROUND($B212*KarliyukKdvOrani,0)</f>
        <v/>
      </c>
      <c r="F212" s="112">
        <f>$B212-$C212</f>
        <v/>
      </c>
      <c r="G212" s="113">
        <f>IF($B212=0,0,$H212/$B212)</f>
        <v/>
      </c>
      <c r="H212" s="112">
        <f>IF($F212&gt;0,ROUND($F212*KarliyukKurumlarOrani,0),0)</f>
        <v/>
      </c>
      <c r="I212" s="114" t="n"/>
    </row>
    <row r="213" ht="15" customHeight="1" s="68">
      <c r="A213" s="114" t="n"/>
      <c r="B213" s="114" t="n"/>
      <c r="C213" s="114" t="n"/>
      <c r="D213" s="114" t="n"/>
      <c r="E213" s="112">
        <f>ROUND($B213*KarliyukKdvOrani,0)</f>
        <v/>
      </c>
      <c r="F213" s="112">
        <f>$B213-$C213</f>
        <v/>
      </c>
      <c r="G213" s="113">
        <f>IF($B213=0,0,$H213/$B213)</f>
        <v/>
      </c>
      <c r="H213" s="112">
        <f>IF($F213&gt;0,ROUND($F213*KarliyukKurumlarOrani,0),0)</f>
        <v/>
      </c>
      <c r="I213" s="114" t="n"/>
    </row>
    <row r="214" ht="15" customHeight="1" s="68">
      <c r="A214" s="114" t="n"/>
      <c r="B214" s="114" t="n"/>
      <c r="C214" s="114" t="n"/>
      <c r="D214" s="114" t="n"/>
      <c r="E214" s="112">
        <f>ROUND($B214*KarliyukKdvOrani,0)</f>
        <v/>
      </c>
      <c r="F214" s="112">
        <f>$B214-$C214</f>
        <v/>
      </c>
      <c r="G214" s="113">
        <f>IF($B214=0,0,$H214/$B214)</f>
        <v/>
      </c>
      <c r="H214" s="112">
        <f>IF($F214&gt;0,ROUND($F214*KarliyukKurumlarOrani,0),0)</f>
        <v/>
      </c>
      <c r="I214" s="114" t="n"/>
    </row>
    <row r="215" ht="15" customHeight="1" s="68">
      <c r="A215" s="114" t="n"/>
      <c r="B215" s="114" t="n"/>
      <c r="C215" s="114" t="n"/>
      <c r="D215" s="114" t="n"/>
      <c r="E215" s="112">
        <f>ROUND($B215*KarliyukKdvOrani,0)</f>
        <v/>
      </c>
      <c r="F215" s="112">
        <f>$B215-$C215</f>
        <v/>
      </c>
      <c r="G215" s="113">
        <f>IF($B215=0,0,$H215/$B215)</f>
        <v/>
      </c>
      <c r="H215" s="112">
        <f>IF($F215&gt;0,ROUND($F215*KarliyukKurumlarOrani,0),0)</f>
        <v/>
      </c>
      <c r="I215" s="114" t="n"/>
    </row>
    <row r="216" ht="15" customHeight="1" s="68">
      <c r="A216" s="114" t="n"/>
      <c r="B216" s="114" t="n"/>
      <c r="C216" s="114" t="n"/>
      <c r="D216" s="114" t="n"/>
      <c r="E216" s="112">
        <f>ROUND($B216*KarliyukKdvOrani,0)</f>
        <v/>
      </c>
      <c r="F216" s="112">
        <f>$B216-$C216</f>
        <v/>
      </c>
      <c r="G216" s="113">
        <f>IF($B216=0,0,$H216/$B216)</f>
        <v/>
      </c>
      <c r="H216" s="112">
        <f>IF($F216&gt;0,ROUND($F216*KarliyukKurumlarOrani,0),0)</f>
        <v/>
      </c>
      <c r="I216" s="114" t="n"/>
    </row>
    <row r="217" ht="15" customHeight="1" s="68">
      <c r="A217" s="114" t="n"/>
      <c r="B217" s="114" t="n"/>
      <c r="C217" s="114" t="n"/>
      <c r="D217" s="114" t="n"/>
      <c r="E217" s="112">
        <f>ROUND($B217*KarliyukKdvOrani,0)</f>
        <v/>
      </c>
      <c r="F217" s="112">
        <f>$B217-$C217</f>
        <v/>
      </c>
      <c r="G217" s="113">
        <f>IF($B217=0,0,$H217/$B217)</f>
        <v/>
      </c>
      <c r="H217" s="112">
        <f>IF($F217&gt;0,ROUND($F217*KarliyukKurumlarOrani,0),0)</f>
        <v/>
      </c>
      <c r="I217" s="114" t="n"/>
    </row>
    <row r="218" ht="15" customHeight="1" s="68">
      <c r="A218" s="114" t="n"/>
      <c r="B218" s="114" t="n"/>
      <c r="C218" s="114" t="n"/>
      <c r="D218" s="114" t="n"/>
      <c r="E218" s="112">
        <f>ROUND($B218*KarliyukKdvOrani,0)</f>
        <v/>
      </c>
      <c r="F218" s="112">
        <f>$B218-$C218</f>
        <v/>
      </c>
      <c r="G218" s="113">
        <f>IF($B218=0,0,$H218/$B218)</f>
        <v/>
      </c>
      <c r="H218" s="112">
        <f>IF($F218&gt;0,ROUND($F218*KarliyukKurumlarOrani,0),0)</f>
        <v/>
      </c>
      <c r="I218" s="114" t="n"/>
    </row>
    <row r="219" ht="15" customHeight="1" s="68">
      <c r="A219" s="114" t="n"/>
      <c r="B219" s="114" t="n"/>
      <c r="C219" s="114" t="n"/>
      <c r="D219" s="114" t="n"/>
      <c r="E219" s="112">
        <f>ROUND($B219*KarliyukKdvOrani,0)</f>
        <v/>
      </c>
      <c r="F219" s="112">
        <f>$B219-$C219</f>
        <v/>
      </c>
      <c r="G219" s="113">
        <f>IF($B219=0,0,$H219/$B219)</f>
        <v/>
      </c>
      <c r="H219" s="112">
        <f>IF($F219&gt;0,ROUND($F219*KarliyukKurumlarOrani,0),0)</f>
        <v/>
      </c>
      <c r="I219" s="114" t="n"/>
    </row>
    <row r="220" ht="15" customHeight="1" s="68">
      <c r="A220" s="114" t="n"/>
      <c r="B220" s="114" t="n"/>
      <c r="C220" s="114" t="n"/>
      <c r="D220" s="114" t="n"/>
      <c r="E220" s="112">
        <f>ROUND($B220*KarliyukKdvOrani,0)</f>
        <v/>
      </c>
      <c r="F220" s="112">
        <f>$B220-$C220</f>
        <v/>
      </c>
      <c r="G220" s="113">
        <f>IF($B220=0,0,$H220/$B220)</f>
        <v/>
      </c>
      <c r="H220" s="112">
        <f>IF($F220&gt;0,ROUND($F220*KarliyukKurumlarOrani,0),0)</f>
        <v/>
      </c>
      <c r="I220" s="114" t="n"/>
    </row>
    <row r="221" ht="15" customHeight="1" s="68">
      <c r="A221" s="114" t="n"/>
      <c r="B221" s="114" t="n"/>
      <c r="C221" s="114" t="n"/>
      <c r="D221" s="114" t="n"/>
      <c r="E221" s="112">
        <f>ROUND($B221*KarliyukKdvOrani,0)</f>
        <v/>
      </c>
      <c r="F221" s="112">
        <f>$B221-$C221</f>
        <v/>
      </c>
      <c r="G221" s="113">
        <f>IF($B221=0,0,$H221/$B221)</f>
        <v/>
      </c>
      <c r="H221" s="112">
        <f>IF($F221&gt;0,ROUND($F221*KarliyukKurumlarOrani,0),0)</f>
        <v/>
      </c>
      <c r="I221" s="114" t="n"/>
    </row>
    <row r="222" ht="15" customHeight="1" s="68">
      <c r="A222" s="114" t="n"/>
      <c r="B222" s="114" t="n"/>
      <c r="C222" s="114" t="n"/>
      <c r="D222" s="114" t="n"/>
      <c r="E222" s="112">
        <f>ROUND($B222*KarliyukKdvOrani,0)</f>
        <v/>
      </c>
      <c r="F222" s="112">
        <f>$B222-$C222</f>
        <v/>
      </c>
      <c r="G222" s="113">
        <f>IF($B222=0,0,$H222/$B222)</f>
        <v/>
      </c>
      <c r="H222" s="112">
        <f>IF($F222&gt;0,ROUND($F222*KarliyukKurumlarOrani,0),0)</f>
        <v/>
      </c>
      <c r="I222" s="114" t="n"/>
    </row>
    <row r="223" ht="15" customHeight="1" s="68">
      <c r="A223" s="114" t="n"/>
      <c r="B223" s="114" t="n"/>
      <c r="C223" s="114" t="n"/>
      <c r="D223" s="114" t="n"/>
      <c r="E223" s="112">
        <f>ROUND($B223*KarliyukKdvOrani,0)</f>
        <v/>
      </c>
      <c r="F223" s="112">
        <f>$B223-$C223</f>
        <v/>
      </c>
      <c r="G223" s="113">
        <f>IF($B223=0,0,$H223/$B223)</f>
        <v/>
      </c>
      <c r="H223" s="112">
        <f>IF($F223&gt;0,ROUND($F223*KarliyukKurumlarOrani,0),0)</f>
        <v/>
      </c>
      <c r="I223" s="114" t="n"/>
    </row>
    <row r="224" ht="15" customHeight="1" s="68">
      <c r="A224" s="114" t="n"/>
      <c r="B224" s="114" t="n"/>
      <c r="C224" s="114" t="n"/>
      <c r="D224" s="114" t="n"/>
      <c r="E224" s="112">
        <f>ROUND($B224*KarliyukKdvOrani,0)</f>
        <v/>
      </c>
      <c r="F224" s="112">
        <f>$B224-$C224</f>
        <v/>
      </c>
      <c r="G224" s="113">
        <f>IF($B224=0,0,$H224/$B224)</f>
        <v/>
      </c>
      <c r="H224" s="112">
        <f>IF($F224&gt;0,ROUND($F224*KarliyukKurumlarOrani,0),0)</f>
        <v/>
      </c>
      <c r="I224" s="114" t="n"/>
    </row>
    <row r="225" ht="15" customHeight="1" s="68">
      <c r="A225" s="114" t="n"/>
      <c r="B225" s="114" t="n"/>
      <c r="C225" s="114" t="n"/>
      <c r="D225" s="114" t="n"/>
      <c r="E225" s="112">
        <f>ROUND($B225*KarliyukKdvOrani,0)</f>
        <v/>
      </c>
      <c r="F225" s="112">
        <f>$B225-$C225</f>
        <v/>
      </c>
      <c r="G225" s="113">
        <f>IF($B225=0,0,$H225/$B225)</f>
        <v/>
      </c>
      <c r="H225" s="112">
        <f>IF($F225&gt;0,ROUND($F225*KarliyukKurumlarOrani,0),0)</f>
        <v/>
      </c>
      <c r="I225" s="114" t="n"/>
    </row>
    <row r="226" ht="15" customHeight="1" s="68">
      <c r="A226" s="114" t="n"/>
      <c r="B226" s="114" t="n"/>
      <c r="C226" s="114" t="n"/>
      <c r="D226" s="114" t="n"/>
      <c r="E226" s="112">
        <f>ROUND($B226*KarliyukKdvOrani,0)</f>
        <v/>
      </c>
      <c r="F226" s="112">
        <f>$B226-$C226</f>
        <v/>
      </c>
      <c r="G226" s="113">
        <f>IF($B226=0,0,$H226/$B226)</f>
        <v/>
      </c>
      <c r="H226" s="112">
        <f>IF($F226&gt;0,ROUND($F226*KarliyukKurumlarOrani,0),0)</f>
        <v/>
      </c>
      <c r="I226" s="114" t="n"/>
    </row>
    <row r="227" ht="15" customHeight="1" s="68">
      <c r="A227" s="114" t="n"/>
      <c r="B227" s="114" t="n"/>
      <c r="C227" s="114" t="n"/>
      <c r="D227" s="114" t="n"/>
      <c r="E227" s="112">
        <f>ROUND($B227*KarliyukKdvOrani,0)</f>
        <v/>
      </c>
      <c r="F227" s="112">
        <f>$B227-$C227</f>
        <v/>
      </c>
      <c r="G227" s="113">
        <f>IF($B227=0,0,$H227/$B227)</f>
        <v/>
      </c>
      <c r="H227" s="112">
        <f>IF($F227&gt;0,ROUND($F227*KarliyukKurumlarOrani,0),0)</f>
        <v/>
      </c>
      <c r="I227" s="114" t="n"/>
    </row>
    <row r="228" ht="15" customHeight="1" s="68">
      <c r="A228" s="114" t="n"/>
      <c r="B228" s="114" t="n"/>
      <c r="C228" s="114" t="n"/>
      <c r="D228" s="114" t="n"/>
      <c r="E228" s="112">
        <f>ROUND($B228*KarliyukKdvOrani,0)</f>
        <v/>
      </c>
      <c r="F228" s="112">
        <f>$B228-$C228</f>
        <v/>
      </c>
      <c r="G228" s="113">
        <f>IF($B228=0,0,$H228/$B228)</f>
        <v/>
      </c>
      <c r="H228" s="112">
        <f>IF($F228&gt;0,ROUND($F228*KarliyukKurumlarOrani,0),0)</f>
        <v/>
      </c>
      <c r="I228" s="114" t="n"/>
    </row>
    <row r="229" ht="15" customHeight="1" s="68">
      <c r="A229" s="114" t="n"/>
      <c r="B229" s="114" t="n"/>
      <c r="C229" s="114" t="n"/>
      <c r="D229" s="114" t="n"/>
      <c r="E229" s="112">
        <f>ROUND($B229*KarliyukKdvOrani,0)</f>
        <v/>
      </c>
      <c r="F229" s="112">
        <f>$B229-$C229</f>
        <v/>
      </c>
      <c r="G229" s="113">
        <f>IF($B229=0,0,$H229/$B229)</f>
        <v/>
      </c>
      <c r="H229" s="112">
        <f>IF($F229&gt;0,ROUND($F229*KarliyukKurumlarOrani,0),0)</f>
        <v/>
      </c>
      <c r="I229" s="114" t="n"/>
    </row>
    <row r="230" ht="15" customHeight="1" s="68">
      <c r="A230" s="114" t="n"/>
      <c r="B230" s="114" t="n"/>
      <c r="C230" s="114" t="n"/>
      <c r="D230" s="114" t="n"/>
      <c r="E230" s="112">
        <f>ROUND($B230*KarliyukKdvOrani,0)</f>
        <v/>
      </c>
      <c r="F230" s="112">
        <f>$B230-$C230</f>
        <v/>
      </c>
      <c r="G230" s="113">
        <f>IF($B230=0,0,$H230/$B230)</f>
        <v/>
      </c>
      <c r="H230" s="112">
        <f>IF($F230&gt;0,ROUND($F230*KarliyukKurumlarOrani,0),0)</f>
        <v/>
      </c>
      <c r="I230" s="114" t="n"/>
    </row>
    <row r="231" ht="15" customHeight="1" s="68">
      <c r="A231" s="114" t="n"/>
      <c r="B231" s="114" t="n"/>
      <c r="C231" s="114" t="n"/>
      <c r="D231" s="114" t="n"/>
      <c r="E231" s="112">
        <f>ROUND($B231*KarliyukKdvOrani,0)</f>
        <v/>
      </c>
      <c r="F231" s="112">
        <f>$B231-$C231</f>
        <v/>
      </c>
      <c r="G231" s="113">
        <f>IF($B231=0,0,$H231/$B231)</f>
        <v/>
      </c>
      <c r="H231" s="112">
        <f>IF($F231&gt;0,ROUND($F231*KarliyukKurumlarOrani,0),0)</f>
        <v/>
      </c>
      <c r="I231" s="114" t="n"/>
    </row>
    <row r="232" ht="15" customHeight="1" s="68">
      <c r="A232" s="114" t="n"/>
      <c r="B232" s="114" t="n"/>
      <c r="C232" s="114" t="n"/>
      <c r="D232" s="114" t="n"/>
      <c r="E232" s="112">
        <f>ROUND($B232*KarliyukKdvOrani,0)</f>
        <v/>
      </c>
      <c r="F232" s="112">
        <f>$B232-$C232</f>
        <v/>
      </c>
      <c r="G232" s="113">
        <f>IF($B232=0,0,$H232/$B232)</f>
        <v/>
      </c>
      <c r="H232" s="112">
        <f>IF($F232&gt;0,ROUND($F232*KarliyukKurumlarOrani,0),0)</f>
        <v/>
      </c>
      <c r="I232" s="114" t="n"/>
    </row>
    <row r="233" ht="15" customHeight="1" s="68">
      <c r="A233" s="114" t="n"/>
      <c r="B233" s="114" t="n"/>
      <c r="C233" s="114" t="n"/>
      <c r="D233" s="114" t="n"/>
      <c r="E233" s="112">
        <f>ROUND($B233*KarliyukKdvOrani,0)</f>
        <v/>
      </c>
      <c r="F233" s="112">
        <f>$B233-$C233</f>
        <v/>
      </c>
      <c r="G233" s="113">
        <f>IF($B233=0,0,$H233/$B233)</f>
        <v/>
      </c>
      <c r="H233" s="112">
        <f>IF($F233&gt;0,ROUND($F233*KarliyukKurumlarOrani,0),0)</f>
        <v/>
      </c>
      <c r="I233" s="114" t="n"/>
    </row>
    <row r="234" ht="15" customHeight="1" s="68">
      <c r="A234" s="114" t="n"/>
      <c r="B234" s="114" t="n"/>
      <c r="C234" s="114" t="n"/>
      <c r="D234" s="114" t="n"/>
      <c r="E234" s="112">
        <f>ROUND($B234*KarliyukKdvOrani,0)</f>
        <v/>
      </c>
      <c r="F234" s="112">
        <f>$B234-$C234</f>
        <v/>
      </c>
      <c r="G234" s="113">
        <f>IF($B234=0,0,$H234/$B234)</f>
        <v/>
      </c>
      <c r="H234" s="112">
        <f>IF($F234&gt;0,ROUND($F234*KarliyukKurumlarOrani,0),0)</f>
        <v/>
      </c>
      <c r="I234" s="114" t="n"/>
    </row>
    <row r="235" ht="15" customHeight="1" s="68">
      <c r="A235" s="114" t="n"/>
      <c r="B235" s="114" t="n"/>
      <c r="C235" s="114" t="n"/>
      <c r="D235" s="114" t="n"/>
      <c r="E235" s="112">
        <f>ROUND($B235*KarliyukKdvOrani,0)</f>
        <v/>
      </c>
      <c r="F235" s="112">
        <f>$B235-$C235</f>
        <v/>
      </c>
      <c r="G235" s="113">
        <f>IF($B235=0,0,$H235/$B235)</f>
        <v/>
      </c>
      <c r="H235" s="112">
        <f>IF($F235&gt;0,ROUND($F235*KarliyukKurumlarOrani,0),0)</f>
        <v/>
      </c>
      <c r="I235" s="114" t="n"/>
    </row>
    <row r="236" ht="15" customHeight="1" s="68">
      <c r="A236" s="114" t="n"/>
      <c r="B236" s="114" t="n"/>
      <c r="C236" s="114" t="n"/>
      <c r="D236" s="114" t="n"/>
      <c r="E236" s="112">
        <f>ROUND($B236*KarliyukKdvOrani,0)</f>
        <v/>
      </c>
      <c r="F236" s="112">
        <f>$B236-$C236</f>
        <v/>
      </c>
      <c r="G236" s="113">
        <f>IF($B236=0,0,$H236/$B236)</f>
        <v/>
      </c>
      <c r="H236" s="112">
        <f>IF($F236&gt;0,ROUND($F236*KarliyukKurumlarOrani,0),0)</f>
        <v/>
      </c>
      <c r="I236" s="114" t="n"/>
    </row>
    <row r="237" ht="15" customHeight="1" s="68">
      <c r="A237" s="114" t="n"/>
      <c r="B237" s="114" t="n"/>
      <c r="C237" s="114" t="n"/>
      <c r="D237" s="114" t="n"/>
      <c r="E237" s="112">
        <f>ROUND($B237*KarliyukKdvOrani,0)</f>
        <v/>
      </c>
      <c r="F237" s="112">
        <f>$B237-$C237</f>
        <v/>
      </c>
      <c r="G237" s="113">
        <f>IF($B237=0,0,$H237/$B237)</f>
        <v/>
      </c>
      <c r="H237" s="112">
        <f>IF($F237&gt;0,ROUND($F237*KarliyukKurumlarOrani,0),0)</f>
        <v/>
      </c>
      <c r="I237" s="114" t="n"/>
    </row>
    <row r="238" ht="15" customHeight="1" s="68">
      <c r="A238" s="114" t="n"/>
      <c r="B238" s="114" t="n"/>
      <c r="C238" s="114" t="n"/>
      <c r="D238" s="114" t="n"/>
      <c r="E238" s="112">
        <f>ROUND($B238*KarliyukKdvOrani,0)</f>
        <v/>
      </c>
      <c r="F238" s="112">
        <f>$B238-$C238</f>
        <v/>
      </c>
      <c r="G238" s="113">
        <f>IF($B238=0,0,$H238/$B238)</f>
        <v/>
      </c>
      <c r="H238" s="112">
        <f>IF($F238&gt;0,ROUND($F238*KarliyukKurumlarOrani,0),0)</f>
        <v/>
      </c>
      <c r="I238" s="114" t="n"/>
    </row>
    <row r="239" ht="15" customHeight="1" s="68">
      <c r="A239" s="114" t="n"/>
      <c r="B239" s="114" t="n"/>
      <c r="C239" s="114" t="n"/>
      <c r="D239" s="114" t="n"/>
      <c r="E239" s="112">
        <f>ROUND($B239*KarliyukKdvOrani,0)</f>
        <v/>
      </c>
      <c r="F239" s="112">
        <f>$B239-$C239</f>
        <v/>
      </c>
      <c r="G239" s="113">
        <f>IF($B239=0,0,$H239/$B239)</f>
        <v/>
      </c>
      <c r="H239" s="112">
        <f>IF($F239&gt;0,ROUND($F239*KarliyukKurumlarOrani,0),0)</f>
        <v/>
      </c>
      <c r="I239" s="114" t="n"/>
    </row>
    <row r="240" ht="15" customHeight="1" s="68">
      <c r="A240" s="114" t="n"/>
      <c r="B240" s="114" t="n"/>
      <c r="C240" s="114" t="n"/>
      <c r="D240" s="114" t="n"/>
      <c r="E240" s="112">
        <f>ROUND($B240*KarliyukKdvOrani,0)</f>
        <v/>
      </c>
      <c r="F240" s="112">
        <f>$B240-$C240</f>
        <v/>
      </c>
      <c r="G240" s="113">
        <f>IF($B240=0,0,$H240/$B240)</f>
        <v/>
      </c>
      <c r="H240" s="112">
        <f>IF($F240&gt;0,ROUND($F240*KarliyukKurumlarOrani,0),0)</f>
        <v/>
      </c>
      <c r="I240" s="114" t="n"/>
    </row>
    <row r="241" ht="15" customHeight="1" s="68">
      <c r="A241" s="114" t="n"/>
      <c r="B241" s="114" t="n"/>
      <c r="C241" s="114" t="n"/>
      <c r="D241" s="114" t="n"/>
      <c r="E241" s="112">
        <f>ROUND($B241*KarliyukKdvOrani,0)</f>
        <v/>
      </c>
      <c r="F241" s="112">
        <f>$B241-$C241</f>
        <v/>
      </c>
      <c r="G241" s="113">
        <f>IF($B241=0,0,$H241/$B241)</f>
        <v/>
      </c>
      <c r="H241" s="112">
        <f>IF($F241&gt;0,ROUND($F241*KarliyukKurumlarOrani,0),0)</f>
        <v/>
      </c>
      <c r="I241" s="114" t="n"/>
    </row>
    <row r="242" ht="15" customHeight="1" s="68">
      <c r="A242" s="114" t="n"/>
      <c r="B242" s="114" t="n"/>
      <c r="C242" s="114" t="n"/>
      <c r="D242" s="114" t="n"/>
      <c r="E242" s="112">
        <f>ROUND($B242*KarliyukKdvOrani,0)</f>
        <v/>
      </c>
      <c r="F242" s="112">
        <f>$B242-$C242</f>
        <v/>
      </c>
      <c r="G242" s="113">
        <f>IF($B242=0,0,$H242/$B242)</f>
        <v/>
      </c>
      <c r="H242" s="112">
        <f>IF($F242&gt;0,ROUND($F242*KarliyukKurumlarOrani,0),0)</f>
        <v/>
      </c>
      <c r="I242" s="114" t="n"/>
    </row>
    <row r="243" ht="15" customHeight="1" s="68">
      <c r="A243" s="114" t="n"/>
      <c r="B243" s="114" t="n"/>
      <c r="C243" s="114" t="n"/>
      <c r="D243" s="114" t="n"/>
      <c r="E243" s="112">
        <f>ROUND($B243*KarliyukKdvOrani,0)</f>
        <v/>
      </c>
      <c r="F243" s="112">
        <f>$B243-$C243</f>
        <v/>
      </c>
      <c r="G243" s="113">
        <f>IF($B243=0,0,$H243/$B243)</f>
        <v/>
      </c>
      <c r="H243" s="112">
        <f>IF($F243&gt;0,ROUND($F243*KarliyukKurumlarOrani,0),0)</f>
        <v/>
      </c>
      <c r="I243" s="114" t="n"/>
    </row>
    <row r="244" ht="15" customHeight="1" s="68">
      <c r="A244" s="114" t="n"/>
      <c r="B244" s="114" t="n"/>
      <c r="C244" s="114" t="n"/>
      <c r="D244" s="114" t="n"/>
      <c r="E244" s="112">
        <f>ROUND($B244*KarliyukKdvOrani,0)</f>
        <v/>
      </c>
      <c r="F244" s="112">
        <f>$B244-$C244</f>
        <v/>
      </c>
      <c r="G244" s="113">
        <f>IF($B244=0,0,$H244/$B244)</f>
        <v/>
      </c>
      <c r="H244" s="112">
        <f>IF($F244&gt;0,ROUND($F244*KarliyukKurumlarOrani,0),0)</f>
        <v/>
      </c>
      <c r="I244" s="114" t="n"/>
    </row>
    <row r="245" ht="15" customHeight="1" s="68">
      <c r="A245" s="114" t="n"/>
      <c r="B245" s="114" t="n"/>
      <c r="C245" s="114" t="n"/>
      <c r="D245" s="114" t="n"/>
      <c r="E245" s="112">
        <f>ROUND($B245*KarliyukKdvOrani,0)</f>
        <v/>
      </c>
      <c r="F245" s="112">
        <f>$B245-$C245</f>
        <v/>
      </c>
      <c r="G245" s="113">
        <f>IF($B245=0,0,$H245/$B245)</f>
        <v/>
      </c>
      <c r="H245" s="112">
        <f>IF($F245&gt;0,ROUND($F245*KarliyukKurumlarOrani,0),0)</f>
        <v/>
      </c>
      <c r="I245" s="114" t="n"/>
    </row>
    <row r="246" ht="15" customHeight="1" s="68">
      <c r="A246" s="114" t="n"/>
      <c r="B246" s="114" t="n"/>
      <c r="C246" s="114" t="n"/>
      <c r="D246" s="114" t="n"/>
      <c r="E246" s="112">
        <f>ROUND($B246*KarliyukKdvOrani,0)</f>
        <v/>
      </c>
      <c r="F246" s="112">
        <f>$B246-$C246</f>
        <v/>
      </c>
      <c r="G246" s="113">
        <f>IF($B246=0,0,$H246/$B246)</f>
        <v/>
      </c>
      <c r="H246" s="112">
        <f>IF($F246&gt;0,ROUND($F246*KarliyukKurumlarOrani,0),0)</f>
        <v/>
      </c>
      <c r="I246" s="114" t="n"/>
    </row>
    <row r="247" ht="15" customHeight="1" s="68">
      <c r="A247" s="114" t="n"/>
      <c r="B247" s="114" t="n"/>
      <c r="C247" s="114" t="n"/>
      <c r="D247" s="114" t="n"/>
      <c r="E247" s="112">
        <f>ROUND($B247*KarliyukKdvOrani,0)</f>
        <v/>
      </c>
      <c r="F247" s="112">
        <f>$B247-$C247</f>
        <v/>
      </c>
      <c r="G247" s="113">
        <f>IF($B247=0,0,$H247/$B247)</f>
        <v/>
      </c>
      <c r="H247" s="112">
        <f>IF($F247&gt;0,ROUND($F247*KarliyukKurumlarOrani,0),0)</f>
        <v/>
      </c>
      <c r="I247" s="114" t="n"/>
    </row>
    <row r="248" ht="15" customHeight="1" s="68">
      <c r="A248" s="114" t="n"/>
      <c r="B248" s="114" t="n"/>
      <c r="C248" s="114" t="n"/>
      <c r="D248" s="114" t="n"/>
      <c r="E248" s="112">
        <f>ROUND($B248*KarliyukKdvOrani,0)</f>
        <v/>
      </c>
      <c r="F248" s="112">
        <f>$B248-$C248</f>
        <v/>
      </c>
      <c r="G248" s="113">
        <f>IF($B248=0,0,$H248/$B248)</f>
        <v/>
      </c>
      <c r="H248" s="112">
        <f>IF($F248&gt;0,ROUND($F248*KarliyukKurumlarOrani,0),0)</f>
        <v/>
      </c>
      <c r="I248" s="114" t="n"/>
    </row>
    <row r="249" ht="15" customHeight="1" s="68">
      <c r="A249" s="114" t="n"/>
      <c r="B249" s="114" t="n"/>
      <c r="C249" s="114" t="n"/>
      <c r="D249" s="114" t="n"/>
      <c r="E249" s="112">
        <f>ROUND($B249*KarliyukKdvOrani,0)</f>
        <v/>
      </c>
      <c r="F249" s="112">
        <f>$B249-$C249</f>
        <v/>
      </c>
      <c r="G249" s="113">
        <f>IF($B249=0,0,$H249/$B249)</f>
        <v/>
      </c>
      <c r="H249" s="112">
        <f>IF($F249&gt;0,ROUND($F249*KarliyukKurumlarOrani,0),0)</f>
        <v/>
      </c>
      <c r="I249" s="114" t="n"/>
    </row>
    <row r="250" ht="15" customHeight="1" s="68">
      <c r="A250" s="114" t="n"/>
      <c r="B250" s="114" t="n"/>
      <c r="C250" s="114" t="n"/>
      <c r="D250" s="114" t="n"/>
      <c r="E250" s="112">
        <f>ROUND($B250*KarliyukKdvOrani,0)</f>
        <v/>
      </c>
      <c r="F250" s="112">
        <f>$B250-$C250</f>
        <v/>
      </c>
      <c r="G250" s="113">
        <f>IF($B250=0,0,$H250/$B250)</f>
        <v/>
      </c>
      <c r="H250" s="112">
        <f>IF($F250&gt;0,ROUND($F250*KarliyukKurumlarOrani,0),0)</f>
        <v/>
      </c>
      <c r="I250" s="114" t="n"/>
    </row>
    <row r="251" ht="15" customHeight="1" s="68">
      <c r="A251" s="114" t="n"/>
      <c r="B251" s="114" t="n"/>
      <c r="C251" s="114" t="n"/>
      <c r="D251" s="114" t="n"/>
      <c r="E251" s="112">
        <f>ROUND($B251*KarliyukKdvOrani,0)</f>
        <v/>
      </c>
      <c r="F251" s="112">
        <f>$B251-$C251</f>
        <v/>
      </c>
      <c r="G251" s="113">
        <f>IF($B251=0,0,$H251/$B251)</f>
        <v/>
      </c>
      <c r="H251" s="112">
        <f>IF($F251&gt;0,ROUND($F251*KarliyukKurumlarOrani,0),0)</f>
        <v/>
      </c>
      <c r="I251" s="114" t="n"/>
    </row>
    <row r="252" ht="15" customHeight="1" s="68">
      <c r="A252" s="114" t="n"/>
      <c r="B252" s="114" t="n"/>
      <c r="C252" s="114" t="n"/>
      <c r="D252" s="114" t="n"/>
      <c r="E252" s="112">
        <f>ROUND($B252*KarliyukKdvOrani,0)</f>
        <v/>
      </c>
      <c r="F252" s="112">
        <f>$B252-$C252</f>
        <v/>
      </c>
      <c r="G252" s="113">
        <f>IF($B252=0,0,$H252/$B252)</f>
        <v/>
      </c>
      <c r="H252" s="112">
        <f>IF($F252&gt;0,ROUND($F252*KarliyukKurumlarOrani,0),0)</f>
        <v/>
      </c>
      <c r="I252" s="114" t="n"/>
    </row>
    <row r="253" ht="15" customHeight="1" s="68">
      <c r="A253" s="114" t="n"/>
      <c r="B253" s="114" t="n"/>
      <c r="C253" s="114" t="n"/>
      <c r="D253" s="114" t="n"/>
      <c r="E253" s="112">
        <f>ROUND($B253*KarliyukKdvOrani,0)</f>
        <v/>
      </c>
      <c r="F253" s="112">
        <f>$B253-$C253</f>
        <v/>
      </c>
      <c r="G253" s="113">
        <f>IF($B253=0,0,$H253/$B253)</f>
        <v/>
      </c>
      <c r="H253" s="112">
        <f>IF($F253&gt;0,ROUND($F253*KarliyukKurumlarOrani,0),0)</f>
        <v/>
      </c>
      <c r="I253" s="114" t="n"/>
    </row>
    <row r="254" ht="15" customHeight="1" s="68">
      <c r="A254" s="114" t="n"/>
      <c r="B254" s="114" t="n"/>
      <c r="C254" s="114" t="n"/>
      <c r="D254" s="114" t="n"/>
      <c r="E254" s="112">
        <f>ROUND($B254*KarliyukKdvOrani,0)</f>
        <v/>
      </c>
      <c r="F254" s="112">
        <f>$B254-$C254</f>
        <v/>
      </c>
      <c r="G254" s="113">
        <f>IF($B254=0,0,$H254/$B254)</f>
        <v/>
      </c>
      <c r="H254" s="112">
        <f>IF($F254&gt;0,ROUND($F254*KarliyukKurumlarOrani,0),0)</f>
        <v/>
      </c>
      <c r="I254" s="114" t="n"/>
    </row>
    <row r="255" ht="15" customHeight="1" s="68">
      <c r="A255" s="114" t="n"/>
      <c r="B255" s="114" t="n"/>
      <c r="C255" s="114" t="n"/>
      <c r="D255" s="114" t="n"/>
      <c r="E255" s="112">
        <f>ROUND($B255*KarliyukKdvOrani,0)</f>
        <v/>
      </c>
      <c r="F255" s="112">
        <f>$B255-$C255</f>
        <v/>
      </c>
      <c r="G255" s="113">
        <f>IF($B255=0,0,$H255/$B255)</f>
        <v/>
      </c>
      <c r="H255" s="112">
        <f>IF($F255&gt;0,ROUND($F255*KarliyukKurumlarOrani,0),0)</f>
        <v/>
      </c>
      <c r="I255" s="114" t="n"/>
    </row>
    <row r="256" ht="15" customHeight="1" s="68">
      <c r="A256" s="114" t="n"/>
      <c r="B256" s="114" t="n"/>
      <c r="C256" s="114" t="n"/>
      <c r="D256" s="114" t="n"/>
      <c r="E256" s="112">
        <f>ROUND($B256*KarliyukKdvOrani,0)</f>
        <v/>
      </c>
      <c r="F256" s="112">
        <f>$B256-$C256</f>
        <v/>
      </c>
      <c r="G256" s="113">
        <f>IF($B256=0,0,$H256/$B256)</f>
        <v/>
      </c>
      <c r="H256" s="112">
        <f>IF($F256&gt;0,ROUND($F256*KarliyukKurumlarOrani,0),0)</f>
        <v/>
      </c>
      <c r="I256" s="114" t="n"/>
    </row>
    <row r="257" ht="15" customHeight="1" s="68">
      <c r="A257" s="114" t="n"/>
      <c r="B257" s="114" t="n"/>
      <c r="C257" s="114" t="n"/>
      <c r="D257" s="114" t="n"/>
      <c r="E257" s="112">
        <f>ROUND($B257*KarliyukKdvOrani,0)</f>
        <v/>
      </c>
      <c r="F257" s="112">
        <f>$B257-$C257</f>
        <v/>
      </c>
      <c r="G257" s="113">
        <f>IF($B257=0,0,$H257/$B257)</f>
        <v/>
      </c>
      <c r="H257" s="112">
        <f>IF($F257&gt;0,ROUND($F257*KarliyukKurumlarOrani,0),0)</f>
        <v/>
      </c>
      <c r="I257" s="114" t="n"/>
    </row>
    <row r="258" ht="15" customHeight="1" s="68">
      <c r="A258" s="114" t="n"/>
      <c r="B258" s="114" t="n"/>
      <c r="C258" s="114" t="n"/>
      <c r="D258" s="114" t="n"/>
      <c r="E258" s="112">
        <f>ROUND($B258*KarliyukKdvOrani,0)</f>
        <v/>
      </c>
      <c r="F258" s="112">
        <f>$B258-$C258</f>
        <v/>
      </c>
      <c r="G258" s="113">
        <f>IF($B258=0,0,$H258/$B258)</f>
        <v/>
      </c>
      <c r="H258" s="112">
        <f>IF($F258&gt;0,ROUND($F258*KarliyukKurumlarOrani,0),0)</f>
        <v/>
      </c>
      <c r="I258" s="114" t="n"/>
    </row>
    <row r="259" ht="15" customHeight="1" s="68">
      <c r="A259" s="114" t="n"/>
      <c r="B259" s="114" t="n"/>
      <c r="C259" s="114" t="n"/>
      <c r="D259" s="114" t="n"/>
      <c r="E259" s="112">
        <f>ROUND($B259*KarliyukKdvOrani,0)</f>
        <v/>
      </c>
      <c r="F259" s="112">
        <f>$B259-$C259</f>
        <v/>
      </c>
      <c r="G259" s="113">
        <f>IF($B259=0,0,$H259/$B259)</f>
        <v/>
      </c>
      <c r="H259" s="112">
        <f>IF($F259&gt;0,ROUND($F259*KarliyukKurumlarOrani,0),0)</f>
        <v/>
      </c>
      <c r="I259" s="114" t="n"/>
    </row>
    <row r="260" ht="15" customHeight="1" s="68">
      <c r="A260" s="114" t="n"/>
      <c r="B260" s="114" t="n"/>
      <c r="C260" s="114" t="n"/>
      <c r="D260" s="114" t="n"/>
      <c r="E260" s="112">
        <f>ROUND($B260*KarliyukKdvOrani,0)</f>
        <v/>
      </c>
      <c r="F260" s="112">
        <f>$B260-$C260</f>
        <v/>
      </c>
      <c r="G260" s="113">
        <f>IF($B260=0,0,$H260/$B260)</f>
        <v/>
      </c>
      <c r="H260" s="112">
        <f>IF($F260&gt;0,ROUND($F260*KarliyukKurumlarOrani,0),0)</f>
        <v/>
      </c>
      <c r="I260" s="114" t="n"/>
    </row>
    <row r="261" ht="15" customHeight="1" s="68">
      <c r="A261" s="114" t="n"/>
      <c r="B261" s="114" t="n"/>
      <c r="C261" s="114" t="n"/>
      <c r="D261" s="114" t="n"/>
      <c r="E261" s="112">
        <f>ROUND($B261*KarliyukKdvOrani,0)</f>
        <v/>
      </c>
      <c r="F261" s="112">
        <f>$B261-$C261</f>
        <v/>
      </c>
      <c r="G261" s="113">
        <f>IF($B261=0,0,$H261/$B261)</f>
        <v/>
      </c>
      <c r="H261" s="112">
        <f>IF($F261&gt;0,ROUND($F261*KarliyukKurumlarOrani,0),0)</f>
        <v/>
      </c>
      <c r="I261" s="114" t="n"/>
    </row>
    <row r="262" ht="15" customHeight="1" s="68">
      <c r="A262" s="114" t="n"/>
      <c r="B262" s="114" t="n"/>
      <c r="C262" s="114" t="n"/>
      <c r="D262" s="114" t="n"/>
      <c r="E262" s="112">
        <f>ROUND($B262*KarliyukKdvOrani,0)</f>
        <v/>
      </c>
      <c r="F262" s="112">
        <f>$B262-$C262</f>
        <v/>
      </c>
      <c r="G262" s="113">
        <f>IF($B262=0,0,$H262/$B262)</f>
        <v/>
      </c>
      <c r="H262" s="112">
        <f>IF($F262&gt;0,ROUND($F262*KarliyukKurumlarOrani,0),0)</f>
        <v/>
      </c>
      <c r="I262" s="114" t="n"/>
    </row>
    <row r="263" ht="15" customHeight="1" s="68">
      <c r="A263" s="114" t="n"/>
      <c r="B263" s="114" t="n"/>
      <c r="C263" s="114" t="n"/>
      <c r="D263" s="114" t="n"/>
      <c r="E263" s="112">
        <f>ROUND($B263*KarliyukKdvOrani,0)</f>
        <v/>
      </c>
      <c r="F263" s="112">
        <f>$B263-$C263</f>
        <v/>
      </c>
      <c r="G263" s="113">
        <f>IF($B263=0,0,$H263/$B263)</f>
        <v/>
      </c>
      <c r="H263" s="112">
        <f>IF($F263&gt;0,ROUND($F263*KarliyukKurumlarOrani,0),0)</f>
        <v/>
      </c>
      <c r="I263" s="114" t="n"/>
    </row>
    <row r="264" ht="15" customHeight="1" s="68">
      <c r="A264" s="114" t="n"/>
      <c r="B264" s="114" t="n"/>
      <c r="C264" s="114" t="n"/>
      <c r="D264" s="114" t="n"/>
      <c r="E264" s="112">
        <f>ROUND($B264*KarliyukKdvOrani,0)</f>
        <v/>
      </c>
      <c r="F264" s="112">
        <f>$B264-$C264</f>
        <v/>
      </c>
      <c r="G264" s="113">
        <f>IF($B264=0,0,$H264/$B264)</f>
        <v/>
      </c>
      <c r="H264" s="112">
        <f>IF($F264&gt;0,ROUND($F264*KarliyukKurumlarOrani,0),0)</f>
        <v/>
      </c>
      <c r="I264" s="114" t="n"/>
    </row>
    <row r="265" ht="15" customHeight="1" s="68">
      <c r="A265" s="114" t="n"/>
      <c r="B265" s="114" t="n"/>
      <c r="C265" s="114" t="n"/>
      <c r="D265" s="114" t="n"/>
      <c r="E265" s="112">
        <f>ROUND($B265*KarliyukKdvOrani,0)</f>
        <v/>
      </c>
      <c r="F265" s="112">
        <f>$B265-$C265</f>
        <v/>
      </c>
      <c r="G265" s="113">
        <f>IF($B265=0,0,$H265/$B265)</f>
        <v/>
      </c>
      <c r="H265" s="112">
        <f>IF($F265&gt;0,ROUND($F265*KarliyukKurumlarOrani,0),0)</f>
        <v/>
      </c>
      <c r="I265" s="114" t="n"/>
    </row>
    <row r="266" ht="15" customHeight="1" s="68">
      <c r="A266" s="114" t="n"/>
      <c r="B266" s="114" t="n"/>
      <c r="C266" s="114" t="n"/>
      <c r="D266" s="114" t="n"/>
      <c r="E266" s="112">
        <f>ROUND($B266*KarliyukKdvOrani,0)</f>
        <v/>
      </c>
      <c r="F266" s="112">
        <f>$B266-$C266</f>
        <v/>
      </c>
      <c r="G266" s="113">
        <f>IF($B266=0,0,$H266/$B266)</f>
        <v/>
      </c>
      <c r="H266" s="112">
        <f>IF($F266&gt;0,ROUND($F266*KarliyukKurumlarOrani,0),0)</f>
        <v/>
      </c>
      <c r="I266" s="114" t="n"/>
    </row>
    <row r="267" ht="15" customHeight="1" s="68">
      <c r="A267" s="114" t="n"/>
      <c r="B267" s="114" t="n"/>
      <c r="C267" s="114" t="n"/>
      <c r="D267" s="114" t="n"/>
      <c r="E267" s="112">
        <f>ROUND($B267*KarliyukKdvOrani,0)</f>
        <v/>
      </c>
      <c r="F267" s="112">
        <f>$B267-$C267</f>
        <v/>
      </c>
      <c r="G267" s="113">
        <f>IF($B267=0,0,$H267/$B267)</f>
        <v/>
      </c>
      <c r="H267" s="112">
        <f>IF($F267&gt;0,ROUND($F267*KarliyukKurumlarOrani,0),0)</f>
        <v/>
      </c>
      <c r="I267" s="114" t="n"/>
    </row>
    <row r="268" ht="15" customHeight="1" s="68">
      <c r="A268" s="114" t="n"/>
      <c r="B268" s="114" t="n"/>
      <c r="C268" s="114" t="n"/>
      <c r="D268" s="114" t="n"/>
      <c r="E268" s="112">
        <f>ROUND($B268*KarliyukKdvOrani,0)</f>
        <v/>
      </c>
      <c r="F268" s="112">
        <f>$B268-$C268</f>
        <v/>
      </c>
      <c r="G268" s="113">
        <f>IF($B268=0,0,$H268/$B268)</f>
        <v/>
      </c>
      <c r="H268" s="112">
        <f>IF($F268&gt;0,ROUND($F268*KarliyukKurumlarOrani,0),0)</f>
        <v/>
      </c>
      <c r="I268" s="114" t="n"/>
    </row>
    <row r="269" ht="15" customHeight="1" s="68">
      <c r="A269" s="114" t="n"/>
      <c r="B269" s="114" t="n"/>
      <c r="C269" s="114" t="n"/>
      <c r="D269" s="114" t="n"/>
      <c r="E269" s="112">
        <f>ROUND($B269*KarliyukKdvOrani,0)</f>
        <v/>
      </c>
      <c r="F269" s="112">
        <f>$B269-$C269</f>
        <v/>
      </c>
      <c r="G269" s="113">
        <f>IF($B269=0,0,$H269/$B269)</f>
        <v/>
      </c>
      <c r="H269" s="112">
        <f>IF($F269&gt;0,ROUND($F269*KarliyukKurumlarOrani,0),0)</f>
        <v/>
      </c>
      <c r="I269" s="114" t="n"/>
    </row>
    <row r="270" ht="15" customHeight="1" s="68">
      <c r="A270" s="114" t="n"/>
      <c r="B270" s="114" t="n"/>
      <c r="C270" s="114" t="n"/>
      <c r="D270" s="114" t="n"/>
      <c r="E270" s="112">
        <f>ROUND($B270*KarliyukKdvOrani,0)</f>
        <v/>
      </c>
      <c r="F270" s="112">
        <f>$B270-$C270</f>
        <v/>
      </c>
      <c r="G270" s="113">
        <f>IF($B270=0,0,$H270/$B270)</f>
        <v/>
      </c>
      <c r="H270" s="112">
        <f>IF($F270&gt;0,ROUND($F270*KarliyukKurumlarOrani,0),0)</f>
        <v/>
      </c>
      <c r="I270" s="114" t="n"/>
    </row>
    <row r="271" ht="15" customHeight="1" s="68">
      <c r="A271" s="114" t="n"/>
      <c r="B271" s="114" t="n"/>
      <c r="C271" s="114" t="n"/>
      <c r="D271" s="114" t="n"/>
      <c r="E271" s="112">
        <f>ROUND($B271*KarliyukKdvOrani,0)</f>
        <v/>
      </c>
      <c r="F271" s="112">
        <f>$B271-$C271</f>
        <v/>
      </c>
      <c r="G271" s="113">
        <f>IF($B271=0,0,$H271/$B271)</f>
        <v/>
      </c>
      <c r="H271" s="112">
        <f>IF($F271&gt;0,ROUND($F271*KarliyukKurumlarOrani,0),0)</f>
        <v/>
      </c>
      <c r="I271" s="114" t="n"/>
    </row>
    <row r="272" ht="15" customHeight="1" s="68">
      <c r="A272" s="114" t="n"/>
      <c r="B272" s="114" t="n"/>
      <c r="C272" s="114" t="n"/>
      <c r="D272" s="114" t="n"/>
      <c r="E272" s="112">
        <f>ROUND($B272*KarliyukKdvOrani,0)</f>
        <v/>
      </c>
      <c r="F272" s="112">
        <f>$B272-$C272</f>
        <v/>
      </c>
      <c r="G272" s="113">
        <f>IF($B272=0,0,$H272/$B272)</f>
        <v/>
      </c>
      <c r="H272" s="112">
        <f>IF($F272&gt;0,ROUND($F272*KarliyukKurumlarOrani,0),0)</f>
        <v/>
      </c>
      <c r="I272" s="114" t="n"/>
    </row>
    <row r="273" ht="15" customHeight="1" s="68">
      <c r="A273" s="114" t="n"/>
      <c r="B273" s="114" t="n"/>
      <c r="C273" s="114" t="n"/>
      <c r="D273" s="114" t="n"/>
      <c r="E273" s="112">
        <f>ROUND($B273*KarliyukKdvOrani,0)</f>
        <v/>
      </c>
      <c r="F273" s="112">
        <f>$B273-$C273</f>
        <v/>
      </c>
      <c r="G273" s="113">
        <f>IF($B273=0,0,$H273/$B273)</f>
        <v/>
      </c>
      <c r="H273" s="112">
        <f>IF($F273&gt;0,ROUND($F273*KarliyukKurumlarOrani,0),0)</f>
        <v/>
      </c>
      <c r="I273" s="114" t="n"/>
    </row>
    <row r="274" ht="15" customHeight="1" s="68">
      <c r="A274" s="114" t="n"/>
      <c r="B274" s="114" t="n"/>
      <c r="C274" s="114" t="n"/>
      <c r="D274" s="114" t="n"/>
      <c r="E274" s="112">
        <f>ROUND($B274*KarliyukKdvOrani,0)</f>
        <v/>
      </c>
      <c r="F274" s="112">
        <f>$B274-$C274</f>
        <v/>
      </c>
      <c r="G274" s="113">
        <f>IF($B274=0,0,$H274/$B274)</f>
        <v/>
      </c>
      <c r="H274" s="112">
        <f>IF($F274&gt;0,ROUND($F274*KarliyukKurumlarOrani,0),0)</f>
        <v/>
      </c>
      <c r="I274" s="114" t="n"/>
    </row>
    <row r="275" ht="15" customHeight="1" s="68">
      <c r="A275" s="114" t="n"/>
      <c r="B275" s="114" t="n"/>
      <c r="C275" s="114" t="n"/>
      <c r="D275" s="114" t="n"/>
      <c r="E275" s="112">
        <f>ROUND($B275*KarliyukKdvOrani,0)</f>
        <v/>
      </c>
      <c r="F275" s="112">
        <f>$B275-$C275</f>
        <v/>
      </c>
      <c r="G275" s="113">
        <f>IF($B275=0,0,$H275/$B275)</f>
        <v/>
      </c>
      <c r="H275" s="112">
        <f>IF($F275&gt;0,ROUND($F275*KarliyukKurumlarOrani,0),0)</f>
        <v/>
      </c>
      <c r="I275" s="114" t="n"/>
    </row>
    <row r="276" ht="15" customHeight="1" s="68">
      <c r="A276" s="114" t="n"/>
      <c r="B276" s="114" t="n"/>
      <c r="C276" s="114" t="n"/>
      <c r="D276" s="114" t="n"/>
      <c r="E276" s="112">
        <f>ROUND($B276*KarliyukKdvOrani,0)</f>
        <v/>
      </c>
      <c r="F276" s="112">
        <f>$B276-$C276</f>
        <v/>
      </c>
      <c r="G276" s="113">
        <f>IF($B276=0,0,$H276/$B276)</f>
        <v/>
      </c>
      <c r="H276" s="112">
        <f>IF($F276&gt;0,ROUND($F276*KarliyukKurumlarOrani,0),0)</f>
        <v/>
      </c>
      <c r="I276" s="114" t="n"/>
    </row>
    <row r="277" ht="15" customHeight="1" s="68">
      <c r="A277" s="114" t="n"/>
      <c r="B277" s="114" t="n"/>
      <c r="C277" s="114" t="n"/>
      <c r="D277" s="114" t="n"/>
      <c r="E277" s="112">
        <f>ROUND($B277*KarliyukKdvOrani,0)</f>
        <v/>
      </c>
      <c r="F277" s="112">
        <f>$B277-$C277</f>
        <v/>
      </c>
      <c r="G277" s="113">
        <f>IF($B277=0,0,$H277/$B277)</f>
        <v/>
      </c>
      <c r="H277" s="112">
        <f>IF($F277&gt;0,ROUND($F277*KarliyukKurumlarOrani,0),0)</f>
        <v/>
      </c>
      <c r="I277" s="114" t="n"/>
    </row>
    <row r="278" ht="15" customHeight="1" s="68">
      <c r="A278" s="114" t="n"/>
      <c r="B278" s="114" t="n"/>
      <c r="C278" s="114" t="n"/>
      <c r="D278" s="114" t="n"/>
      <c r="E278" s="112">
        <f>ROUND($B278*KarliyukKdvOrani,0)</f>
        <v/>
      </c>
      <c r="F278" s="112">
        <f>$B278-$C278</f>
        <v/>
      </c>
      <c r="G278" s="113">
        <f>IF($B278=0,0,$H278/$B278)</f>
        <v/>
      </c>
      <c r="H278" s="112">
        <f>IF($F278&gt;0,ROUND($F278*KarliyukKurumlarOrani,0),0)</f>
        <v/>
      </c>
      <c r="I278" s="114" t="n"/>
    </row>
    <row r="279" ht="15" customHeight="1" s="68">
      <c r="A279" s="114" t="n"/>
      <c r="B279" s="114" t="n"/>
      <c r="C279" s="114" t="n"/>
      <c r="D279" s="114" t="n"/>
      <c r="E279" s="112">
        <f>ROUND($B279*KarliyukKdvOrani,0)</f>
        <v/>
      </c>
      <c r="F279" s="112">
        <f>$B279-$C279</f>
        <v/>
      </c>
      <c r="G279" s="113">
        <f>IF($B279=0,0,$H279/$B279)</f>
        <v/>
      </c>
      <c r="H279" s="112">
        <f>IF($F279&gt;0,ROUND($F279*KarliyukKurumlarOrani,0),0)</f>
        <v/>
      </c>
      <c r="I279" s="114" t="n"/>
    </row>
    <row r="280" ht="15" customHeight="1" s="68">
      <c r="A280" s="114" t="n"/>
      <c r="B280" s="114" t="n"/>
      <c r="C280" s="114" t="n"/>
      <c r="D280" s="114" t="n"/>
      <c r="E280" s="112">
        <f>ROUND($B280*KarliyukKdvOrani,0)</f>
        <v/>
      </c>
      <c r="F280" s="112">
        <f>$B280-$C280</f>
        <v/>
      </c>
      <c r="G280" s="113">
        <f>IF($B280=0,0,$H280/$B280)</f>
        <v/>
      </c>
      <c r="H280" s="112">
        <f>IF($F280&gt;0,ROUND($F280*KarliyukKurumlarOrani,0),0)</f>
        <v/>
      </c>
      <c r="I280" s="114" t="n"/>
    </row>
    <row r="281" ht="15" customHeight="1" s="68">
      <c r="A281" s="114" t="n"/>
      <c r="B281" s="114" t="n"/>
      <c r="C281" s="114" t="n"/>
      <c r="D281" s="114" t="n"/>
      <c r="E281" s="112">
        <f>ROUND($B281*KarliyukKdvOrani,0)</f>
        <v/>
      </c>
      <c r="F281" s="112">
        <f>$B281-$C281</f>
        <v/>
      </c>
      <c r="G281" s="113">
        <f>IF($B281=0,0,$H281/$B281)</f>
        <v/>
      </c>
      <c r="H281" s="112">
        <f>IF($F281&gt;0,ROUND($F281*KarliyukKurumlarOrani,0),0)</f>
        <v/>
      </c>
      <c r="I281" s="114" t="n"/>
    </row>
    <row r="282" ht="15" customHeight="1" s="68">
      <c r="A282" s="114" t="n"/>
      <c r="B282" s="114" t="n"/>
      <c r="C282" s="114" t="n"/>
      <c r="D282" s="114" t="n"/>
      <c r="E282" s="112">
        <f>ROUND($B282*KarliyukKdvOrani,0)</f>
        <v/>
      </c>
      <c r="F282" s="112">
        <f>$B282-$C282</f>
        <v/>
      </c>
      <c r="G282" s="113">
        <f>IF($B282=0,0,$H282/$B282)</f>
        <v/>
      </c>
      <c r="H282" s="112">
        <f>IF($F282&gt;0,ROUND($F282*KarliyukKurumlarOrani,0),0)</f>
        <v/>
      </c>
      <c r="I282" s="114" t="n"/>
    </row>
    <row r="283" ht="15" customHeight="1" s="68">
      <c r="A283" s="114" t="n"/>
      <c r="B283" s="114" t="n"/>
      <c r="C283" s="114" t="n"/>
      <c r="D283" s="114" t="n"/>
      <c r="E283" s="112">
        <f>ROUND($B283*KarliyukKdvOrani,0)</f>
        <v/>
      </c>
      <c r="F283" s="112">
        <f>$B283-$C283</f>
        <v/>
      </c>
      <c r="G283" s="113">
        <f>IF($B283=0,0,$H283/$B283)</f>
        <v/>
      </c>
      <c r="H283" s="112">
        <f>IF($F283&gt;0,ROUND($F283*KarliyukKurumlarOrani,0),0)</f>
        <v/>
      </c>
      <c r="I283" s="114" t="n"/>
    </row>
    <row r="284" ht="15" customHeight="1" s="68">
      <c r="A284" s="114" t="n"/>
      <c r="B284" s="114" t="n"/>
      <c r="C284" s="114" t="n"/>
      <c r="D284" s="114" t="n"/>
      <c r="E284" s="112">
        <f>ROUND($B284*KarliyukKdvOrani,0)</f>
        <v/>
      </c>
      <c r="F284" s="112">
        <f>$B284-$C284</f>
        <v/>
      </c>
      <c r="G284" s="113">
        <f>IF($B284=0,0,$H284/$B284)</f>
        <v/>
      </c>
      <c r="H284" s="112">
        <f>IF($F284&gt;0,ROUND($F284*KarliyukKurumlarOrani,0),0)</f>
        <v/>
      </c>
      <c r="I284" s="114" t="n"/>
    </row>
    <row r="285" ht="15" customHeight="1" s="68">
      <c r="A285" s="114" t="n"/>
      <c r="B285" s="114" t="n"/>
      <c r="C285" s="114" t="n"/>
      <c r="D285" s="114" t="n"/>
      <c r="E285" s="112">
        <f>ROUND($B285*KarliyukKdvOrani,0)</f>
        <v/>
      </c>
      <c r="F285" s="112">
        <f>$B285-$C285</f>
        <v/>
      </c>
      <c r="G285" s="113">
        <f>IF($B285=0,0,$H285/$B285)</f>
        <v/>
      </c>
      <c r="H285" s="112">
        <f>IF($F285&gt;0,ROUND($F285*KarliyukKurumlarOrani,0),0)</f>
        <v/>
      </c>
      <c r="I285" s="114" t="n"/>
    </row>
    <row r="286" ht="15" customHeight="1" s="68">
      <c r="A286" s="114" t="n"/>
      <c r="B286" s="114" t="n"/>
      <c r="C286" s="114" t="n"/>
      <c r="D286" s="114" t="n"/>
      <c r="E286" s="112">
        <f>ROUND($B286*KarliyukKdvOrani,0)</f>
        <v/>
      </c>
      <c r="F286" s="112">
        <f>$B286-$C286</f>
        <v/>
      </c>
      <c r="G286" s="113">
        <f>IF($B286=0,0,$H286/$B286)</f>
        <v/>
      </c>
      <c r="H286" s="112">
        <f>IF($F286&gt;0,ROUND($F286*KarliyukKurumlarOrani,0),0)</f>
        <v/>
      </c>
      <c r="I286" s="114" t="n"/>
    </row>
    <row r="287" ht="15" customHeight="1" s="68">
      <c r="A287" s="114" t="n"/>
      <c r="B287" s="114" t="n"/>
      <c r="C287" s="114" t="n"/>
      <c r="D287" s="114" t="n"/>
      <c r="E287" s="112">
        <f>ROUND($B287*KarliyukKdvOrani,0)</f>
        <v/>
      </c>
      <c r="F287" s="112">
        <f>$B287-$C287</f>
        <v/>
      </c>
      <c r="G287" s="113">
        <f>IF($B287=0,0,$H287/$B287)</f>
        <v/>
      </c>
      <c r="H287" s="112">
        <f>IF($F287&gt;0,ROUND($F287*KarliyukKurumlarOrani,0),0)</f>
        <v/>
      </c>
      <c r="I287" s="114" t="n"/>
    </row>
    <row r="288" ht="15" customHeight="1" s="68">
      <c r="A288" s="114" t="n"/>
      <c r="B288" s="114" t="n"/>
      <c r="C288" s="114" t="n"/>
      <c r="D288" s="114" t="n"/>
      <c r="E288" s="112">
        <f>ROUND($B288*KarliyukKdvOrani,0)</f>
        <v/>
      </c>
      <c r="F288" s="112">
        <f>$B288-$C288</f>
        <v/>
      </c>
      <c r="G288" s="113">
        <f>IF($B288=0,0,$H288/$B288)</f>
        <v/>
      </c>
      <c r="H288" s="112">
        <f>IF($F288&gt;0,ROUND($F288*KarliyukKurumlarOrani,0),0)</f>
        <v/>
      </c>
      <c r="I288" s="114" t="n"/>
    </row>
    <row r="289" ht="15" customHeight="1" s="68">
      <c r="A289" s="114" t="n"/>
      <c r="B289" s="114" t="n"/>
      <c r="C289" s="114" t="n"/>
      <c r="D289" s="114" t="n"/>
      <c r="E289" s="112">
        <f>ROUND($B289*KarliyukKdvOrani,0)</f>
        <v/>
      </c>
      <c r="F289" s="112">
        <f>$B289-$C289</f>
        <v/>
      </c>
      <c r="G289" s="113">
        <f>IF($B289=0,0,$H289/$B289)</f>
        <v/>
      </c>
      <c r="H289" s="112">
        <f>IF($F289&gt;0,ROUND($F289*KarliyukKurumlarOrani,0),0)</f>
        <v/>
      </c>
      <c r="I289" s="114" t="n"/>
    </row>
    <row r="290" ht="15" customHeight="1" s="68">
      <c r="A290" s="114" t="n"/>
      <c r="B290" s="114" t="n"/>
      <c r="C290" s="114" t="n"/>
      <c r="D290" s="114" t="n"/>
      <c r="E290" s="112">
        <f>ROUND($B290*KarliyukKdvOrani,0)</f>
        <v/>
      </c>
      <c r="F290" s="112">
        <f>$B290-$C290</f>
        <v/>
      </c>
      <c r="G290" s="113">
        <f>IF($B290=0,0,$H290/$B290)</f>
        <v/>
      </c>
      <c r="H290" s="112">
        <f>IF($F290&gt;0,ROUND($F290*KarliyukKurumlarOrani,0),0)</f>
        <v/>
      </c>
      <c r="I290" s="114" t="n"/>
    </row>
    <row r="291" ht="15" customHeight="1" s="68">
      <c r="A291" s="114" t="n"/>
      <c r="B291" s="114" t="n"/>
      <c r="C291" s="114" t="n"/>
      <c r="D291" s="114" t="n"/>
      <c r="E291" s="112">
        <f>ROUND($B291*KarliyukKdvOrani,0)</f>
        <v/>
      </c>
      <c r="F291" s="112">
        <f>$B291-$C291</f>
        <v/>
      </c>
      <c r="G291" s="113">
        <f>IF($B291=0,0,$H291/$B291)</f>
        <v/>
      </c>
      <c r="H291" s="112">
        <f>IF($F291&gt;0,ROUND($F291*KarliyukKurumlarOrani,0),0)</f>
        <v/>
      </c>
      <c r="I291" s="114" t="n"/>
    </row>
    <row r="292" ht="15" customHeight="1" s="68">
      <c r="A292" s="114" t="n"/>
      <c r="B292" s="114" t="n"/>
      <c r="C292" s="114" t="n"/>
      <c r="D292" s="114" t="n"/>
      <c r="E292" s="112">
        <f>ROUND($B292*KarliyukKdvOrani,0)</f>
        <v/>
      </c>
      <c r="F292" s="112">
        <f>$B292-$C292</f>
        <v/>
      </c>
      <c r="G292" s="113">
        <f>IF($B292=0,0,$H292/$B292)</f>
        <v/>
      </c>
      <c r="H292" s="112">
        <f>IF($F292&gt;0,ROUND($F292*KarliyukKurumlarOrani,0),0)</f>
        <v/>
      </c>
      <c r="I292" s="114" t="n"/>
    </row>
    <row r="293" ht="15" customHeight="1" s="68">
      <c r="A293" s="114" t="n"/>
      <c r="B293" s="114" t="n"/>
      <c r="C293" s="114" t="n"/>
      <c r="D293" s="114" t="n"/>
      <c r="E293" s="112">
        <f>ROUND($B293*KarliyukKdvOrani,0)</f>
        <v/>
      </c>
      <c r="F293" s="112">
        <f>$B293-$C293</f>
        <v/>
      </c>
      <c r="G293" s="113">
        <f>IF($B293=0,0,$H293/$B293)</f>
        <v/>
      </c>
      <c r="H293" s="112">
        <f>IF($F293&gt;0,ROUND($F293*KarliyukKurumlarOrani,0),0)</f>
        <v/>
      </c>
      <c r="I293" s="114" t="n"/>
    </row>
    <row r="294" ht="15" customHeight="1" s="68">
      <c r="A294" s="114" t="n"/>
      <c r="B294" s="114" t="n"/>
      <c r="C294" s="114" t="n"/>
      <c r="D294" s="114" t="n"/>
      <c r="E294" s="112">
        <f>ROUND($B294*KarliyukKdvOrani,0)</f>
        <v/>
      </c>
      <c r="F294" s="112">
        <f>$B294-$C294</f>
        <v/>
      </c>
      <c r="G294" s="113">
        <f>IF($B294=0,0,$H294/$B294)</f>
        <v/>
      </c>
      <c r="H294" s="112">
        <f>IF($F294&gt;0,ROUND($F294*KarliyukKurumlarOrani,0),0)</f>
        <v/>
      </c>
      <c r="I294" s="114" t="n"/>
    </row>
    <row r="295" ht="15" customHeight="1" s="68">
      <c r="A295" s="114" t="n"/>
      <c r="B295" s="114" t="n"/>
      <c r="C295" s="114" t="n"/>
      <c r="D295" s="114" t="n"/>
      <c r="E295" s="112">
        <f>ROUND($B295*KarliyukKdvOrani,0)</f>
        <v/>
      </c>
      <c r="F295" s="112">
        <f>$B295-$C295</f>
        <v/>
      </c>
      <c r="G295" s="113">
        <f>IF($B295=0,0,$H295/$B295)</f>
        <v/>
      </c>
      <c r="H295" s="112">
        <f>IF($F295&gt;0,ROUND($F295*KarliyukKurumlarOrani,0),0)</f>
        <v/>
      </c>
      <c r="I295" s="114" t="n"/>
    </row>
    <row r="296" ht="15" customHeight="1" s="68">
      <c r="A296" s="114" t="n"/>
      <c r="B296" s="114" t="n"/>
      <c r="C296" s="114" t="n"/>
      <c r="D296" s="114" t="n"/>
      <c r="E296" s="112">
        <f>ROUND($B296*KarliyukKdvOrani,0)</f>
        <v/>
      </c>
      <c r="F296" s="112">
        <f>$B296-$C296</f>
        <v/>
      </c>
      <c r="G296" s="113">
        <f>IF($B296=0,0,$H296/$B296)</f>
        <v/>
      </c>
      <c r="H296" s="112">
        <f>IF($F296&gt;0,ROUND($F296*KarliyukKurumlarOrani,0),0)</f>
        <v/>
      </c>
      <c r="I296" s="114" t="n"/>
    </row>
    <row r="297" ht="15" customHeight="1" s="68">
      <c r="A297" s="114" t="n"/>
      <c r="B297" s="114" t="n"/>
      <c r="C297" s="114" t="n"/>
      <c r="D297" s="114" t="n"/>
      <c r="E297" s="112">
        <f>ROUND($B297*KarliyukKdvOrani,0)</f>
        <v/>
      </c>
      <c r="F297" s="112">
        <f>$B297-$C297</f>
        <v/>
      </c>
      <c r="G297" s="113">
        <f>IF($B297=0,0,$H297/$B297)</f>
        <v/>
      </c>
      <c r="H297" s="112">
        <f>IF($F297&gt;0,ROUND($F297*KarliyukKurumlarOrani,0),0)</f>
        <v/>
      </c>
      <c r="I297" s="114" t="n"/>
    </row>
    <row r="298" ht="15" customHeight="1" s="68">
      <c r="A298" s="114" t="n"/>
      <c r="B298" s="114" t="n"/>
      <c r="C298" s="114" t="n"/>
      <c r="D298" s="114" t="n"/>
      <c r="E298" s="112">
        <f>ROUND($B298*KarliyukKdvOrani,0)</f>
        <v/>
      </c>
      <c r="F298" s="112">
        <f>$B298-$C298</f>
        <v/>
      </c>
      <c r="G298" s="113">
        <f>IF($B298=0,0,$H298/$B298)</f>
        <v/>
      </c>
      <c r="H298" s="112">
        <f>IF($F298&gt;0,ROUND($F298*KarliyukKurumlarOrani,0),0)</f>
        <v/>
      </c>
      <c r="I298" s="114" t="n"/>
    </row>
    <row r="299" ht="15" customHeight="1" s="68">
      <c r="A299" s="114" t="n"/>
      <c r="B299" s="114" t="n"/>
      <c r="C299" s="114" t="n"/>
      <c r="D299" s="114" t="n"/>
      <c r="E299" s="112">
        <f>ROUND($B299*KarliyukKdvOrani,0)</f>
        <v/>
      </c>
      <c r="F299" s="112">
        <f>$B299-$C299</f>
        <v/>
      </c>
      <c r="G299" s="113">
        <f>IF($B299=0,0,$H299/$B299)</f>
        <v/>
      </c>
      <c r="H299" s="112">
        <f>IF($F299&gt;0,ROUND($F299*KarliyukKurumlarOrani,0),0)</f>
        <v/>
      </c>
      <c r="I299" s="114" t="n"/>
    </row>
    <row r="300" ht="15" customHeight="1" s="68">
      <c r="A300" s="114" t="n"/>
      <c r="B300" s="114" t="n"/>
      <c r="C300" s="114" t="n"/>
      <c r="D300" s="114" t="n"/>
      <c r="E300" s="112">
        <f>ROUND($B300*KarliyukKdvOrani,0)</f>
        <v/>
      </c>
      <c r="F300" s="112">
        <f>$B300-$C300</f>
        <v/>
      </c>
      <c r="G300" s="113">
        <f>IF($B300=0,0,$H300/$B300)</f>
        <v/>
      </c>
      <c r="H300" s="112">
        <f>IF($F300&gt;0,ROUND($F300*KarliyukKurumlarOrani,0),0)</f>
        <v/>
      </c>
      <c r="I300" s="114" t="n"/>
    </row>
    <row r="301" ht="15" customHeight="1" s="68">
      <c r="A301" s="114" t="n"/>
      <c r="B301" s="114" t="n"/>
      <c r="C301" s="114" t="n"/>
      <c r="D301" s="114" t="n"/>
      <c r="E301" s="112">
        <f>ROUND($B301*KarliyukKdvOrani,0)</f>
        <v/>
      </c>
      <c r="F301" s="112">
        <f>$B301-$C301</f>
        <v/>
      </c>
      <c r="G301" s="113">
        <f>IF($B301=0,0,$H301/$B301)</f>
        <v/>
      </c>
      <c r="H301" s="112">
        <f>IF($F301&gt;0,ROUND($F301*KarliyukKurumlarOrani,0),0)</f>
        <v/>
      </c>
      <c r="I301" s="114" t="n"/>
    </row>
    <row r="302" ht="15" customHeight="1" s="68">
      <c r="A302" s="114" t="n"/>
      <c r="B302" s="114" t="n"/>
      <c r="C302" s="114" t="n"/>
      <c r="D302" s="114" t="n"/>
      <c r="E302" s="112">
        <f>ROUND($B302*KarliyukKdvOrani,0)</f>
        <v/>
      </c>
      <c r="F302" s="112">
        <f>$B302-$C302</f>
        <v/>
      </c>
      <c r="G302" s="113">
        <f>IF($B302=0,0,$H302/$B302)</f>
        <v/>
      </c>
      <c r="H302" s="112">
        <f>IF($F302&gt;0,ROUND($F302*KarliyukKurumlarOrani,0),0)</f>
        <v/>
      </c>
      <c r="I302" s="114" t="n"/>
    </row>
    <row r="303" ht="15" customHeight="1" s="68">
      <c r="A303" s="114" t="n"/>
      <c r="B303" s="114" t="n"/>
      <c r="C303" s="114" t="n"/>
      <c r="D303" s="114" t="n"/>
      <c r="E303" s="112">
        <f>ROUND($B303*KarliyukKdvOrani,0)</f>
        <v/>
      </c>
      <c r="F303" s="112">
        <f>$B303-$C303</f>
        <v/>
      </c>
      <c r="G303" s="113">
        <f>IF($B303=0,0,$H303/$B303)</f>
        <v/>
      </c>
      <c r="H303" s="112">
        <f>IF($F303&gt;0,ROUND($F303*KarliyukKurumlarOrani,0),0)</f>
        <v/>
      </c>
      <c r="I303" s="114" t="n"/>
    </row>
    <row r="304" ht="15" customHeight="1" s="68">
      <c r="A304" s="114" t="n"/>
      <c r="B304" s="114" t="n"/>
      <c r="C304" s="114" t="n"/>
      <c r="D304" s="114" t="n"/>
      <c r="E304" s="112">
        <f>ROUND($B304*KarliyukKdvOrani,0)</f>
        <v/>
      </c>
      <c r="F304" s="112">
        <f>$B304-$C304</f>
        <v/>
      </c>
      <c r="G304" s="113">
        <f>IF($B304=0,0,$H304/$B304)</f>
        <v/>
      </c>
      <c r="H304" s="112">
        <f>IF($F304&gt;0,ROUND($F304*KarliyukKurumlarOrani,0),0)</f>
        <v/>
      </c>
      <c r="I304" s="114" t="n"/>
    </row>
    <row r="305" ht="15" customHeight="1" s="68">
      <c r="A305" s="114" t="n"/>
      <c r="B305" s="114" t="n"/>
      <c r="C305" s="114" t="n"/>
      <c r="D305" s="114" t="n"/>
      <c r="E305" s="112">
        <f>ROUND($B305*KarliyukKdvOrani,0)</f>
        <v/>
      </c>
      <c r="F305" s="112">
        <f>$B305-$C305</f>
        <v/>
      </c>
      <c r="G305" s="113">
        <f>IF($B305=0,0,$H305/$B305)</f>
        <v/>
      </c>
      <c r="H305" s="112">
        <f>IF($F305&gt;0,ROUND($F305*KarliyukKurumlarOrani,0),0)</f>
        <v/>
      </c>
      <c r="I305" s="114" t="n"/>
    </row>
    <row r="306" ht="15" customHeight="1" s="68">
      <c r="A306" s="114" t="n"/>
      <c r="B306" s="114" t="n"/>
      <c r="C306" s="114" t="n"/>
      <c r="D306" s="114" t="n"/>
      <c r="E306" s="112">
        <f>ROUND($B306*KarliyukKdvOrani,0)</f>
        <v/>
      </c>
      <c r="F306" s="112">
        <f>$B306-$C306</f>
        <v/>
      </c>
      <c r="G306" s="113">
        <f>IF($B306=0,0,$H306/$B306)</f>
        <v/>
      </c>
      <c r="H306" s="112">
        <f>IF($F306&gt;0,ROUND($F306*KarliyukKurumlarOrani,0),0)</f>
        <v/>
      </c>
      <c r="I306" s="114" t="n"/>
    </row>
    <row r="307" ht="15" customHeight="1" s="68">
      <c r="A307" s="114" t="n"/>
      <c r="B307" s="114" t="n"/>
      <c r="C307" s="114" t="n"/>
      <c r="D307" s="114" t="n"/>
      <c r="E307" s="112">
        <f>ROUND($B307*KarliyukKdvOrani,0)</f>
        <v/>
      </c>
      <c r="F307" s="112">
        <f>$B307-$C307</f>
        <v/>
      </c>
      <c r="G307" s="113">
        <f>IF($B307=0,0,$H307/$B307)</f>
        <v/>
      </c>
      <c r="H307" s="112">
        <f>IF($F307&gt;0,ROUND($F307*KarliyukKurumlarOrani,0),0)</f>
        <v/>
      </c>
      <c r="I307" s="114" t="n"/>
    </row>
    <row r="308" ht="15" customHeight="1" s="68">
      <c r="A308" s="114" t="n"/>
      <c r="B308" s="114" t="n"/>
      <c r="C308" s="114" t="n"/>
      <c r="D308" s="114" t="n"/>
      <c r="E308" s="112">
        <f>ROUND($B308*KarliyukKdvOrani,0)</f>
        <v/>
      </c>
      <c r="F308" s="112">
        <f>$B308-$C308</f>
        <v/>
      </c>
      <c r="G308" s="113">
        <f>IF($B308=0,0,$H308/$B308)</f>
        <v/>
      </c>
      <c r="H308" s="112">
        <f>IF($F308&gt;0,ROUND($F308*KarliyukKurumlarOrani,0),0)</f>
        <v/>
      </c>
      <c r="I308" s="114" t="n"/>
    </row>
    <row r="309" ht="15" customHeight="1" s="68">
      <c r="A309" s="114" t="n"/>
      <c r="B309" s="114" t="n"/>
      <c r="C309" s="114" t="n"/>
      <c r="D309" s="114" t="n"/>
      <c r="E309" s="112">
        <f>ROUND($B309*KarliyukKdvOrani,0)</f>
        <v/>
      </c>
      <c r="F309" s="112">
        <f>$B309-$C309</f>
        <v/>
      </c>
      <c r="G309" s="113">
        <f>IF($B309=0,0,$H309/$B309)</f>
        <v/>
      </c>
      <c r="H309" s="112">
        <f>IF($F309&gt;0,ROUND($F309*KarliyukKurumlarOrani,0),0)</f>
        <v/>
      </c>
      <c r="I309" s="114" t="n"/>
    </row>
    <row r="310" ht="15" customHeight="1" s="68">
      <c r="A310" s="114" t="n"/>
      <c r="B310" s="114" t="n"/>
      <c r="C310" s="114" t="n"/>
      <c r="D310" s="114" t="n"/>
      <c r="E310" s="112">
        <f>ROUND($B310*KarliyukKdvOrani,0)</f>
        <v/>
      </c>
      <c r="F310" s="112">
        <f>$B310-$C310</f>
        <v/>
      </c>
      <c r="G310" s="113">
        <f>IF($B310=0,0,$H310/$B310)</f>
        <v/>
      </c>
      <c r="H310" s="112">
        <f>IF($F310&gt;0,ROUND($F310*KarliyukKurumlarOrani,0),0)</f>
        <v/>
      </c>
      <c r="I310" s="114" t="n"/>
    </row>
    <row r="311" ht="15" customHeight="1" s="68">
      <c r="A311" s="114" t="n"/>
      <c r="B311" s="114" t="n"/>
      <c r="C311" s="114" t="n"/>
      <c r="D311" s="114" t="n"/>
      <c r="E311" s="112">
        <f>ROUND($B311*KarliyukKdvOrani,0)</f>
        <v/>
      </c>
      <c r="F311" s="112">
        <f>$B311-$C311</f>
        <v/>
      </c>
      <c r="G311" s="113">
        <f>IF($B311=0,0,$H311/$B311)</f>
        <v/>
      </c>
      <c r="H311" s="112">
        <f>IF($F311&gt;0,ROUND($F311*KarliyukKurumlarOrani,0),0)</f>
        <v/>
      </c>
      <c r="I311" s="114" t="n"/>
    </row>
    <row r="312" ht="15" customHeight="1" s="68">
      <c r="A312" s="114" t="n"/>
      <c r="B312" s="114" t="n"/>
      <c r="C312" s="114" t="n"/>
      <c r="D312" s="114" t="n"/>
      <c r="E312" s="112">
        <f>ROUND($B312*KarliyukKdvOrani,0)</f>
        <v/>
      </c>
      <c r="F312" s="112">
        <f>$B312-$C312</f>
        <v/>
      </c>
      <c r="G312" s="113">
        <f>IF($B312=0,0,$H312/$B312)</f>
        <v/>
      </c>
      <c r="H312" s="112">
        <f>IF($F312&gt;0,ROUND($F312*KarliyukKurumlarOrani,0),0)</f>
        <v/>
      </c>
      <c r="I312" s="114" t="n"/>
    </row>
    <row r="313" ht="15" customHeight="1" s="68">
      <c r="A313" s="114" t="n"/>
      <c r="B313" s="114" t="n"/>
      <c r="C313" s="114" t="n"/>
      <c r="D313" s="114" t="n"/>
      <c r="E313" s="112">
        <f>ROUND($B313*KarliyukKdvOrani,0)</f>
        <v/>
      </c>
      <c r="F313" s="112">
        <f>$B313-$C313</f>
        <v/>
      </c>
      <c r="G313" s="113">
        <f>IF($B313=0,0,$H313/$B313)</f>
        <v/>
      </c>
      <c r="H313" s="112">
        <f>IF($F313&gt;0,ROUND($F313*KarliyukKurumlarOrani,0),0)</f>
        <v/>
      </c>
      <c r="I313" s="114" t="n"/>
    </row>
    <row r="314" ht="15" customHeight="1" s="68">
      <c r="A314" s="114" t="n"/>
      <c r="B314" s="114" t="n"/>
      <c r="C314" s="114" t="n"/>
      <c r="D314" s="114" t="n"/>
      <c r="E314" s="112">
        <f>ROUND($B314*KarliyukKdvOrani,0)</f>
        <v/>
      </c>
      <c r="F314" s="112">
        <f>$B314-$C314</f>
        <v/>
      </c>
      <c r="G314" s="113">
        <f>IF($B314=0,0,$H314/$B314)</f>
        <v/>
      </c>
      <c r="H314" s="112">
        <f>IF($F314&gt;0,ROUND($F314*KarliyukKurumlarOrani,0),0)</f>
        <v/>
      </c>
      <c r="I314" s="114" t="n"/>
    </row>
    <row r="315" ht="15" customHeight="1" s="68">
      <c r="A315" s="114" t="n"/>
      <c r="B315" s="114" t="n"/>
      <c r="C315" s="114" t="n"/>
      <c r="D315" s="114" t="n"/>
      <c r="E315" s="112">
        <f>ROUND($B315*KarliyukKdvOrani,0)</f>
        <v/>
      </c>
      <c r="F315" s="112">
        <f>$B315-$C315</f>
        <v/>
      </c>
      <c r="G315" s="113">
        <f>IF($B315=0,0,$H315/$B315)</f>
        <v/>
      </c>
      <c r="H315" s="112">
        <f>IF($F315&gt;0,ROUND($F315*KarliyukKurumlarOrani,0),0)</f>
        <v/>
      </c>
      <c r="I315" s="114" t="n"/>
    </row>
    <row r="316" ht="15" customHeight="1" s="68">
      <c r="A316" s="114" t="n"/>
      <c r="B316" s="114" t="n"/>
      <c r="C316" s="114" t="n"/>
      <c r="D316" s="114" t="n"/>
      <c r="E316" s="112">
        <f>ROUND($B316*KarliyukKdvOrani,0)</f>
        <v/>
      </c>
      <c r="F316" s="112">
        <f>$B316-$C316</f>
        <v/>
      </c>
      <c r="G316" s="113">
        <f>IF($B316=0,0,$H316/$B316)</f>
        <v/>
      </c>
      <c r="H316" s="112">
        <f>IF($F316&gt;0,ROUND($F316*KarliyukKurumlarOrani,0),0)</f>
        <v/>
      </c>
      <c r="I316" s="114" t="n"/>
    </row>
    <row r="317" ht="15" customHeight="1" s="68">
      <c r="A317" s="114" t="n"/>
      <c r="B317" s="114" t="n"/>
      <c r="C317" s="114" t="n"/>
      <c r="D317" s="114" t="n"/>
      <c r="E317" s="112">
        <f>ROUND($B317*KarliyukKdvOrani,0)</f>
        <v/>
      </c>
      <c r="F317" s="112">
        <f>$B317-$C317</f>
        <v/>
      </c>
      <c r="G317" s="113">
        <f>IF($B317=0,0,$H317/$B317)</f>
        <v/>
      </c>
      <c r="H317" s="112">
        <f>IF($F317&gt;0,ROUND($F317*KarliyukKurumlarOrani,0),0)</f>
        <v/>
      </c>
      <c r="I317" s="114" t="n"/>
    </row>
    <row r="318" ht="15" customHeight="1" s="68">
      <c r="A318" s="114" t="n"/>
      <c r="B318" s="114" t="n"/>
      <c r="C318" s="114" t="n"/>
      <c r="D318" s="114" t="n"/>
      <c r="E318" s="112">
        <f>ROUND($B318*KarliyukKdvOrani,0)</f>
        <v/>
      </c>
      <c r="F318" s="112">
        <f>$B318-$C318</f>
        <v/>
      </c>
      <c r="G318" s="113">
        <f>IF($B318=0,0,$H318/$B318)</f>
        <v/>
      </c>
      <c r="H318" s="112">
        <f>IF($F318&gt;0,ROUND($F318*KarliyukKurumlarOrani,0),0)</f>
        <v/>
      </c>
      <c r="I318" s="114" t="n"/>
    </row>
    <row r="319" ht="15" customHeight="1" s="68">
      <c r="A319" s="114" t="n"/>
      <c r="B319" s="114" t="n"/>
      <c r="C319" s="114" t="n"/>
      <c r="D319" s="114" t="n"/>
      <c r="E319" s="112">
        <f>ROUND($B319*KarliyukKdvOrani,0)</f>
        <v/>
      </c>
      <c r="F319" s="112">
        <f>$B319-$C319</f>
        <v/>
      </c>
      <c r="G319" s="113">
        <f>IF($B319=0,0,$H319/$B319)</f>
        <v/>
      </c>
      <c r="H319" s="112">
        <f>IF($F319&gt;0,ROUND($F319*KarliyukKurumlarOrani,0),0)</f>
        <v/>
      </c>
      <c r="I319" s="114" t="n"/>
    </row>
    <row r="320" ht="15" customHeight="1" s="68">
      <c r="A320" s="114" t="n"/>
      <c r="B320" s="114" t="n"/>
      <c r="C320" s="114" t="n"/>
      <c r="D320" s="114" t="n"/>
      <c r="E320" s="112">
        <f>ROUND($B320*KarliyukKdvOrani,0)</f>
        <v/>
      </c>
      <c r="F320" s="112">
        <f>$B320-$C320</f>
        <v/>
      </c>
      <c r="G320" s="113">
        <f>IF($B320=0,0,$H320/$B320)</f>
        <v/>
      </c>
      <c r="H320" s="112">
        <f>IF($F320&gt;0,ROUND($F320*KarliyukKurumlarOrani,0),0)</f>
        <v/>
      </c>
      <c r="I320" s="114" t="n"/>
    </row>
    <row r="321" ht="15" customHeight="1" s="68">
      <c r="A321" s="114" t="n"/>
      <c r="B321" s="114" t="n"/>
      <c r="C321" s="114" t="n"/>
      <c r="D321" s="114" t="n"/>
      <c r="E321" s="112">
        <f>ROUND($B321*KarliyukKdvOrani,0)</f>
        <v/>
      </c>
      <c r="F321" s="112">
        <f>$B321-$C321</f>
        <v/>
      </c>
      <c r="G321" s="113">
        <f>IF($B321=0,0,$H321/$B321)</f>
        <v/>
      </c>
      <c r="H321" s="112">
        <f>IF($F321&gt;0,ROUND($F321*KarliyukKurumlarOrani,0),0)</f>
        <v/>
      </c>
      <c r="I321" s="114" t="n"/>
    </row>
    <row r="322" ht="15" customHeight="1" s="68">
      <c r="A322" s="114" t="n"/>
      <c r="B322" s="114" t="n"/>
      <c r="C322" s="114" t="n"/>
      <c r="D322" s="114" t="n"/>
      <c r="E322" s="112">
        <f>ROUND($B322*KarliyukKdvOrani,0)</f>
        <v/>
      </c>
      <c r="F322" s="112">
        <f>$B322-$C322</f>
        <v/>
      </c>
      <c r="G322" s="113">
        <f>IF($B322=0,0,$H322/$B322)</f>
        <v/>
      </c>
      <c r="H322" s="112">
        <f>IF($F322&gt;0,ROUND($F322*KarliyukKurumlarOrani,0),0)</f>
        <v/>
      </c>
      <c r="I322" s="114" t="n"/>
    </row>
    <row r="323" ht="15" customHeight="1" s="68">
      <c r="A323" s="114" t="n"/>
      <c r="B323" s="114" t="n"/>
      <c r="C323" s="114" t="n"/>
      <c r="D323" s="114" t="n"/>
      <c r="E323" s="112">
        <f>ROUND($B323*KarliyukKdvOrani,0)</f>
        <v/>
      </c>
      <c r="F323" s="112">
        <f>$B323-$C323</f>
        <v/>
      </c>
      <c r="G323" s="113">
        <f>IF($B323=0,0,$H323/$B323)</f>
        <v/>
      </c>
      <c r="H323" s="112">
        <f>IF($F323&gt;0,ROUND($F323*KarliyukKurumlarOrani,0),0)</f>
        <v/>
      </c>
      <c r="I323" s="114" t="n"/>
    </row>
    <row r="324" ht="15" customHeight="1" s="68">
      <c r="A324" s="114" t="n"/>
      <c r="B324" s="114" t="n"/>
      <c r="C324" s="114" t="n"/>
      <c r="D324" s="114" t="n"/>
      <c r="E324" s="112">
        <f>ROUND($B324*KarliyukKdvOrani,0)</f>
        <v/>
      </c>
      <c r="F324" s="112">
        <f>$B324-$C324</f>
        <v/>
      </c>
      <c r="G324" s="113">
        <f>IF($B324=0,0,$H324/$B324)</f>
        <v/>
      </c>
      <c r="H324" s="112">
        <f>IF($F324&gt;0,ROUND($F324*KarliyukKurumlarOrani,0),0)</f>
        <v/>
      </c>
      <c r="I324" s="114" t="n"/>
    </row>
    <row r="325" ht="15" customHeight="1" s="68">
      <c r="A325" s="114" t="n"/>
      <c r="B325" s="114" t="n"/>
      <c r="C325" s="114" t="n"/>
      <c r="D325" s="114" t="n"/>
      <c r="E325" s="112">
        <f>ROUND($B325*KarliyukKdvOrani,0)</f>
        <v/>
      </c>
      <c r="F325" s="112">
        <f>$B325-$C325</f>
        <v/>
      </c>
      <c r="G325" s="113">
        <f>IF($B325=0,0,$H325/$B325)</f>
        <v/>
      </c>
      <c r="H325" s="112">
        <f>IF($F325&gt;0,ROUND($F325*KarliyukKurumlarOrani,0),0)</f>
        <v/>
      </c>
      <c r="I325" s="114" t="n"/>
    </row>
    <row r="326" ht="15" customHeight="1" s="68">
      <c r="A326" s="114" t="n"/>
      <c r="B326" s="114" t="n"/>
      <c r="C326" s="114" t="n"/>
      <c r="D326" s="114" t="n"/>
      <c r="E326" s="112">
        <f>ROUND($B326*KarliyukKdvOrani,0)</f>
        <v/>
      </c>
      <c r="F326" s="112">
        <f>$B326-$C326</f>
        <v/>
      </c>
      <c r="G326" s="113">
        <f>IF($B326=0,0,$H326/$B326)</f>
        <v/>
      </c>
      <c r="H326" s="112">
        <f>IF($F326&gt;0,ROUND($F326*KarliyukKurumlarOrani,0),0)</f>
        <v/>
      </c>
      <c r="I326" s="114" t="n"/>
    </row>
    <row r="327" ht="15" customHeight="1" s="68">
      <c r="A327" s="114" t="n"/>
      <c r="B327" s="114" t="n"/>
      <c r="C327" s="114" t="n"/>
      <c r="D327" s="114" t="n"/>
      <c r="E327" s="112">
        <f>ROUND($B327*KarliyukKdvOrani,0)</f>
        <v/>
      </c>
      <c r="F327" s="112">
        <f>$B327-$C327</f>
        <v/>
      </c>
      <c r="G327" s="113">
        <f>IF($B327=0,0,$H327/$B327)</f>
        <v/>
      </c>
      <c r="H327" s="112">
        <f>IF($F327&gt;0,ROUND($F327*KarliyukKurumlarOrani,0),0)</f>
        <v/>
      </c>
      <c r="I327" s="114" t="n"/>
    </row>
    <row r="328" ht="15" customHeight="1" s="68">
      <c r="A328" s="114" t="n"/>
      <c r="B328" s="114" t="n"/>
      <c r="C328" s="114" t="n"/>
      <c r="D328" s="114" t="n"/>
      <c r="E328" s="112">
        <f>ROUND($B328*KarliyukKdvOrani,0)</f>
        <v/>
      </c>
      <c r="F328" s="112">
        <f>$B328-$C328</f>
        <v/>
      </c>
      <c r="G328" s="113">
        <f>IF($B328=0,0,$H328/$B328)</f>
        <v/>
      </c>
      <c r="H328" s="112">
        <f>IF($F328&gt;0,ROUND($F328*KarliyukKurumlarOrani,0),0)</f>
        <v/>
      </c>
      <c r="I328" s="114" t="n"/>
    </row>
    <row r="329" ht="15" customHeight="1" s="68">
      <c r="A329" s="114" t="n"/>
      <c r="B329" s="114" t="n"/>
      <c r="C329" s="114" t="n"/>
      <c r="D329" s="114" t="n"/>
      <c r="E329" s="112">
        <f>ROUND($B329*KarliyukKdvOrani,0)</f>
        <v/>
      </c>
      <c r="F329" s="112">
        <f>$B329-$C329</f>
        <v/>
      </c>
      <c r="G329" s="113">
        <f>IF($B329=0,0,$H329/$B329)</f>
        <v/>
      </c>
      <c r="H329" s="112">
        <f>IF($F329&gt;0,ROUND($F329*KarliyukKurumlarOrani,0),0)</f>
        <v/>
      </c>
      <c r="I329" s="114" t="n"/>
    </row>
    <row r="330" ht="15" customHeight="1" s="68">
      <c r="A330" s="114" t="n"/>
      <c r="B330" s="114" t="n"/>
      <c r="C330" s="114" t="n"/>
      <c r="D330" s="114" t="n"/>
      <c r="E330" s="112">
        <f>ROUND($B330*KarliyukKdvOrani,0)</f>
        <v/>
      </c>
      <c r="F330" s="112">
        <f>$B330-$C330</f>
        <v/>
      </c>
      <c r="G330" s="113">
        <f>IF($B330=0,0,$H330/$B330)</f>
        <v/>
      </c>
      <c r="H330" s="112">
        <f>IF($F330&gt;0,ROUND($F330*KarliyukKurumlarOrani,0),0)</f>
        <v/>
      </c>
      <c r="I330" s="114" t="n"/>
    </row>
    <row r="331" ht="15" customHeight="1" s="68">
      <c r="A331" s="114" t="n"/>
      <c r="B331" s="114" t="n"/>
      <c r="C331" s="114" t="n"/>
      <c r="D331" s="114" t="n"/>
      <c r="E331" s="112">
        <f>ROUND($B331*KarliyukKdvOrani,0)</f>
        <v/>
      </c>
      <c r="F331" s="112">
        <f>$B331-$C331</f>
        <v/>
      </c>
      <c r="G331" s="113">
        <f>IF($B331=0,0,$H331/$B331)</f>
        <v/>
      </c>
      <c r="H331" s="112">
        <f>IF($F331&gt;0,ROUND($F331*KarliyukKurumlarOrani,0),0)</f>
        <v/>
      </c>
      <c r="I331" s="114" t="n"/>
    </row>
    <row r="332" ht="15" customHeight="1" s="68">
      <c r="A332" s="114" t="n"/>
      <c r="B332" s="114" t="n"/>
      <c r="C332" s="114" t="n"/>
      <c r="D332" s="114" t="n"/>
      <c r="E332" s="112">
        <f>ROUND($B332*KarliyukKdvOrani,0)</f>
        <v/>
      </c>
      <c r="F332" s="112">
        <f>$B332-$C332</f>
        <v/>
      </c>
      <c r="G332" s="113">
        <f>IF($B332=0,0,$H332/$B332)</f>
        <v/>
      </c>
      <c r="H332" s="112">
        <f>IF($F332&gt;0,ROUND($F332*KarliyukKurumlarOrani,0),0)</f>
        <v/>
      </c>
      <c r="I332" s="114" t="n"/>
    </row>
    <row r="333" ht="15" customHeight="1" s="68">
      <c r="A333" s="114" t="n"/>
      <c r="B333" s="114" t="n"/>
      <c r="C333" s="114" t="n"/>
      <c r="D333" s="114" t="n"/>
      <c r="E333" s="112">
        <f>ROUND($B333*KarliyukKdvOrani,0)</f>
        <v/>
      </c>
      <c r="F333" s="112">
        <f>$B333-$C333</f>
        <v/>
      </c>
      <c r="G333" s="113">
        <f>IF($B333=0,0,$H333/$B333)</f>
        <v/>
      </c>
      <c r="H333" s="112">
        <f>IF($F333&gt;0,ROUND($F333*KarliyukKurumlarOrani,0),0)</f>
        <v/>
      </c>
      <c r="I333" s="114" t="n"/>
    </row>
    <row r="334" ht="15" customHeight="1" s="68">
      <c r="A334" s="114" t="n"/>
      <c r="B334" s="114" t="n"/>
      <c r="C334" s="114" t="n"/>
      <c r="D334" s="114" t="n"/>
      <c r="E334" s="112">
        <f>ROUND($B334*KarliyukKdvOrani,0)</f>
        <v/>
      </c>
      <c r="F334" s="112">
        <f>$B334-$C334</f>
        <v/>
      </c>
      <c r="G334" s="113">
        <f>IF($B334=0,0,$H334/$B334)</f>
        <v/>
      </c>
      <c r="H334" s="112">
        <f>IF($F334&gt;0,ROUND($F334*KarliyukKurumlarOrani,0),0)</f>
        <v/>
      </c>
      <c r="I334" s="114" t="n"/>
    </row>
    <row r="335" ht="15" customHeight="1" s="68">
      <c r="A335" s="114" t="n"/>
      <c r="B335" s="114" t="n"/>
      <c r="C335" s="114" t="n"/>
      <c r="D335" s="114" t="n"/>
      <c r="E335" s="112">
        <f>ROUND($B335*KarliyukKdvOrani,0)</f>
        <v/>
      </c>
      <c r="F335" s="112">
        <f>$B335-$C335</f>
        <v/>
      </c>
      <c r="G335" s="113">
        <f>IF($B335=0,0,$H335/$B335)</f>
        <v/>
      </c>
      <c r="H335" s="112">
        <f>IF($F335&gt;0,ROUND($F335*KarliyukKurumlarOrani,0),0)</f>
        <v/>
      </c>
      <c r="I335" s="114" t="n"/>
    </row>
    <row r="336" ht="15" customHeight="1" s="68">
      <c r="A336" s="114" t="n"/>
      <c r="B336" s="114" t="n"/>
      <c r="C336" s="114" t="n"/>
      <c r="D336" s="114" t="n"/>
      <c r="E336" s="112">
        <f>ROUND($B336*KarliyukKdvOrani,0)</f>
        <v/>
      </c>
      <c r="F336" s="112">
        <f>$B336-$C336</f>
        <v/>
      </c>
      <c r="G336" s="113">
        <f>IF($B336=0,0,$H336/$B336)</f>
        <v/>
      </c>
      <c r="H336" s="112">
        <f>IF($F336&gt;0,ROUND($F336*KarliyukKurumlarOrani,0),0)</f>
        <v/>
      </c>
      <c r="I336" s="114" t="n"/>
    </row>
    <row r="337" ht="15" customHeight="1" s="68">
      <c r="A337" s="114" t="n"/>
      <c r="B337" s="114" t="n"/>
      <c r="C337" s="114" t="n"/>
      <c r="D337" s="114" t="n"/>
      <c r="E337" s="112">
        <f>ROUND($B337*KarliyukKdvOrani,0)</f>
        <v/>
      </c>
      <c r="F337" s="112">
        <f>$B337-$C337</f>
        <v/>
      </c>
      <c r="G337" s="113">
        <f>IF($B337=0,0,$H337/$B337)</f>
        <v/>
      </c>
      <c r="H337" s="112">
        <f>IF($F337&gt;0,ROUND($F337*KarliyukKurumlarOrani,0),0)</f>
        <v/>
      </c>
      <c r="I337" s="114" t="n"/>
    </row>
    <row r="338" ht="15" customHeight="1" s="68">
      <c r="A338" s="114" t="n"/>
      <c r="B338" s="114" t="n"/>
      <c r="C338" s="114" t="n"/>
      <c r="D338" s="114" t="n"/>
      <c r="E338" s="112">
        <f>ROUND($B338*KarliyukKdvOrani,0)</f>
        <v/>
      </c>
      <c r="F338" s="112">
        <f>$B338-$C338</f>
        <v/>
      </c>
      <c r="G338" s="113">
        <f>IF($B338=0,0,$H338/$B338)</f>
        <v/>
      </c>
      <c r="H338" s="112">
        <f>IF($F338&gt;0,ROUND($F338*KarliyukKurumlarOrani,0),0)</f>
        <v/>
      </c>
      <c r="I338" s="114" t="n"/>
    </row>
    <row r="339" ht="15" customHeight="1" s="68">
      <c r="A339" s="114" t="n"/>
      <c r="B339" s="114" t="n"/>
      <c r="C339" s="114" t="n"/>
      <c r="D339" s="114" t="n"/>
      <c r="E339" s="112">
        <f>ROUND($B339*KarliyukKdvOrani,0)</f>
        <v/>
      </c>
      <c r="F339" s="112">
        <f>$B339-$C339</f>
        <v/>
      </c>
      <c r="G339" s="113">
        <f>IF($B339=0,0,$H339/$B339)</f>
        <v/>
      </c>
      <c r="H339" s="112">
        <f>IF($F339&gt;0,ROUND($F339*KarliyukKurumlarOrani,0),0)</f>
        <v/>
      </c>
      <c r="I339" s="114" t="n"/>
    </row>
    <row r="340" ht="15" customHeight="1" s="68">
      <c r="A340" s="114" t="n"/>
      <c r="B340" s="114" t="n"/>
      <c r="C340" s="114" t="n"/>
      <c r="D340" s="114" t="n"/>
      <c r="E340" s="112">
        <f>ROUND($B340*KarliyukKdvOrani,0)</f>
        <v/>
      </c>
      <c r="F340" s="112">
        <f>$B340-$C340</f>
        <v/>
      </c>
      <c r="G340" s="113">
        <f>IF($B340=0,0,$H340/$B340)</f>
        <v/>
      </c>
      <c r="H340" s="112">
        <f>IF($F340&gt;0,ROUND($F340*KarliyukKurumlarOrani,0),0)</f>
        <v/>
      </c>
      <c r="I340" s="114" t="n"/>
    </row>
    <row r="341" ht="15" customHeight="1" s="68">
      <c r="A341" s="114" t="n"/>
      <c r="B341" s="114" t="n"/>
      <c r="C341" s="114" t="n"/>
      <c r="D341" s="114" t="n"/>
      <c r="E341" s="112">
        <f>ROUND($B341*KarliyukKdvOrani,0)</f>
        <v/>
      </c>
      <c r="F341" s="112">
        <f>$B341-$C341</f>
        <v/>
      </c>
      <c r="G341" s="113">
        <f>IF($B341=0,0,$H341/$B341)</f>
        <v/>
      </c>
      <c r="H341" s="112">
        <f>IF($F341&gt;0,ROUND($F341*KarliyukKurumlarOrani,0),0)</f>
        <v/>
      </c>
      <c r="I341" s="114" t="n"/>
    </row>
    <row r="342" ht="15" customHeight="1" s="68">
      <c r="A342" s="114" t="n"/>
      <c r="B342" s="114" t="n"/>
      <c r="C342" s="114" t="n"/>
      <c r="D342" s="114" t="n"/>
      <c r="E342" s="112">
        <f>ROUND($B342*KarliyukKdvOrani,0)</f>
        <v/>
      </c>
      <c r="F342" s="112">
        <f>$B342-$C342</f>
        <v/>
      </c>
      <c r="G342" s="113">
        <f>IF($B342=0,0,$H342/$B342)</f>
        <v/>
      </c>
      <c r="H342" s="112">
        <f>IF($F342&gt;0,ROUND($F342*KarliyukKurumlarOrani,0),0)</f>
        <v/>
      </c>
      <c r="I342" s="114" t="n"/>
    </row>
    <row r="343" ht="15" customHeight="1" s="68">
      <c r="A343" s="114" t="n"/>
      <c r="B343" s="114" t="n"/>
      <c r="C343" s="114" t="n"/>
      <c r="D343" s="114" t="n"/>
      <c r="E343" s="112">
        <f>ROUND($B343*KarliyukKdvOrani,0)</f>
        <v/>
      </c>
      <c r="F343" s="112">
        <f>$B343-$C343</f>
        <v/>
      </c>
      <c r="G343" s="113">
        <f>IF($B343=0,0,$H343/$B343)</f>
        <v/>
      </c>
      <c r="H343" s="112">
        <f>IF($F343&gt;0,ROUND($F343*KarliyukKurumlarOrani,0),0)</f>
        <v/>
      </c>
      <c r="I343" s="114" t="n"/>
    </row>
    <row r="344" ht="15" customHeight="1" s="68">
      <c r="A344" s="114" t="n"/>
      <c r="B344" s="114" t="n"/>
      <c r="C344" s="114" t="n"/>
      <c r="D344" s="114" t="n"/>
      <c r="E344" s="112">
        <f>ROUND($B344*KarliyukKdvOrani,0)</f>
        <v/>
      </c>
      <c r="F344" s="112">
        <f>$B344-$C344</f>
        <v/>
      </c>
      <c r="G344" s="113">
        <f>IF($B344=0,0,$H344/$B344)</f>
        <v/>
      </c>
      <c r="H344" s="112">
        <f>IF($F344&gt;0,ROUND($F344*KarliyukKurumlarOrani,0),0)</f>
        <v/>
      </c>
      <c r="I344" s="114" t="n"/>
    </row>
    <row r="345" ht="15" customHeight="1" s="68">
      <c r="A345" s="114" t="n"/>
      <c r="B345" s="114" t="n"/>
      <c r="C345" s="114" t="n"/>
      <c r="D345" s="114" t="n"/>
      <c r="E345" s="112">
        <f>ROUND($B345*KarliyukKdvOrani,0)</f>
        <v/>
      </c>
      <c r="F345" s="112">
        <f>$B345-$C345</f>
        <v/>
      </c>
      <c r="G345" s="113">
        <f>IF($B345=0,0,$H345/$B345)</f>
        <v/>
      </c>
      <c r="H345" s="112">
        <f>IF($F345&gt;0,ROUND($F345*KarliyukKurumlarOrani,0),0)</f>
        <v/>
      </c>
      <c r="I345" s="114" t="n"/>
    </row>
    <row r="346" ht="15" customHeight="1" s="68">
      <c r="A346" s="114" t="n"/>
      <c r="B346" s="114" t="n"/>
      <c r="C346" s="114" t="n"/>
      <c r="D346" s="114" t="n"/>
      <c r="E346" s="112">
        <f>ROUND($B346*KarliyukKdvOrani,0)</f>
        <v/>
      </c>
      <c r="F346" s="112">
        <f>$B346-$C346</f>
        <v/>
      </c>
      <c r="G346" s="113">
        <f>IF($B346=0,0,$H346/$B346)</f>
        <v/>
      </c>
      <c r="H346" s="112">
        <f>IF($F346&gt;0,ROUND($F346*KarliyukKurumlarOrani,0),0)</f>
        <v/>
      </c>
      <c r="I346" s="114" t="n"/>
    </row>
    <row r="347" ht="15" customHeight="1" s="68">
      <c r="A347" s="114" t="n"/>
      <c r="B347" s="114" t="n"/>
      <c r="C347" s="114" t="n"/>
      <c r="D347" s="114" t="n"/>
      <c r="E347" s="112">
        <f>ROUND($B347*KarliyukKdvOrani,0)</f>
        <v/>
      </c>
      <c r="F347" s="112">
        <f>$B347-$C347</f>
        <v/>
      </c>
      <c r="G347" s="113">
        <f>IF($B347=0,0,$H347/$B347)</f>
        <v/>
      </c>
      <c r="H347" s="112">
        <f>IF($F347&gt;0,ROUND($F347*KarliyukKurumlarOrani,0),0)</f>
        <v/>
      </c>
      <c r="I347" s="114" t="n"/>
    </row>
    <row r="348" ht="15" customHeight="1" s="68">
      <c r="A348" s="114" t="n"/>
      <c r="B348" s="114" t="n"/>
      <c r="C348" s="114" t="n"/>
      <c r="D348" s="114" t="n"/>
      <c r="E348" s="112">
        <f>ROUND($B348*KarliyukKdvOrani,0)</f>
        <v/>
      </c>
      <c r="F348" s="112">
        <f>$B348-$C348</f>
        <v/>
      </c>
      <c r="G348" s="113">
        <f>IF($B348=0,0,$H348/$B348)</f>
        <v/>
      </c>
      <c r="H348" s="112">
        <f>IF($F348&gt;0,ROUND($F348*KarliyukKurumlarOrani,0),0)</f>
        <v/>
      </c>
      <c r="I348" s="114" t="n"/>
    </row>
    <row r="349" ht="15" customHeight="1" s="68">
      <c r="A349" s="114" t="n"/>
      <c r="B349" s="114" t="n"/>
      <c r="C349" s="114" t="n"/>
      <c r="D349" s="114" t="n"/>
      <c r="E349" s="112">
        <f>ROUND($B349*KarliyukKdvOrani,0)</f>
        <v/>
      </c>
      <c r="F349" s="112">
        <f>$B349-$C349</f>
        <v/>
      </c>
      <c r="G349" s="113">
        <f>IF($B349=0,0,$H349/$B349)</f>
        <v/>
      </c>
      <c r="H349" s="112">
        <f>IF($F349&gt;0,ROUND($F349*KarliyukKurumlarOrani,0),0)</f>
        <v/>
      </c>
      <c r="I349" s="114" t="n"/>
    </row>
    <row r="350" ht="15" customHeight="1" s="68">
      <c r="A350" s="114" t="n"/>
      <c r="B350" s="114" t="n"/>
      <c r="C350" s="114" t="n"/>
      <c r="D350" s="114" t="n"/>
      <c r="E350" s="112">
        <f>ROUND($B350*KarliyukKdvOrani,0)</f>
        <v/>
      </c>
      <c r="F350" s="112">
        <f>$B350-$C350</f>
        <v/>
      </c>
      <c r="G350" s="113">
        <f>IF($B350=0,0,$H350/$B350)</f>
        <v/>
      </c>
      <c r="H350" s="112">
        <f>IF($F350&gt;0,ROUND($F350*KarliyukKurumlarOrani,0),0)</f>
        <v/>
      </c>
      <c r="I350" s="114" t="n"/>
    </row>
    <row r="351" ht="15" customHeight="1" s="68">
      <c r="A351" s="114" t="n"/>
      <c r="B351" s="114" t="n"/>
      <c r="C351" s="114" t="n"/>
      <c r="D351" s="114" t="n"/>
      <c r="E351" s="112">
        <f>ROUND($B351*KarliyukKdvOrani,0)</f>
        <v/>
      </c>
      <c r="F351" s="112">
        <f>$B351-$C351</f>
        <v/>
      </c>
      <c r="G351" s="113">
        <f>IF($B351=0,0,$H351/$B351)</f>
        <v/>
      </c>
      <c r="H351" s="112">
        <f>IF($F351&gt;0,ROUND($F351*KarliyukKurumlarOrani,0),0)</f>
        <v/>
      </c>
      <c r="I351" s="114" t="n"/>
    </row>
    <row r="352" ht="15" customHeight="1" s="68">
      <c r="A352" s="114" t="n"/>
      <c r="B352" s="114" t="n"/>
      <c r="C352" s="114" t="n"/>
      <c r="D352" s="114" t="n"/>
      <c r="E352" s="112">
        <f>ROUND($B352*KarliyukKdvOrani,0)</f>
        <v/>
      </c>
      <c r="F352" s="112">
        <f>$B352-$C352</f>
        <v/>
      </c>
      <c r="G352" s="113">
        <f>IF($B352=0,0,$H352/$B352)</f>
        <v/>
      </c>
      <c r="H352" s="112">
        <f>IF($F352&gt;0,ROUND($F352*KarliyukKurumlarOrani,0),0)</f>
        <v/>
      </c>
      <c r="I352" s="114" t="n"/>
    </row>
    <row r="353" ht="15" customHeight="1" s="68">
      <c r="A353" s="114" t="n"/>
      <c r="B353" s="114" t="n"/>
      <c r="C353" s="114" t="n"/>
      <c r="D353" s="114" t="n"/>
      <c r="E353" s="112">
        <f>ROUND($B353*KarliyukKdvOrani,0)</f>
        <v/>
      </c>
      <c r="F353" s="112">
        <f>$B353-$C353</f>
        <v/>
      </c>
      <c r="G353" s="113">
        <f>IF($B353=0,0,$H353/$B353)</f>
        <v/>
      </c>
      <c r="H353" s="112">
        <f>IF($F353&gt;0,ROUND($F353*KarliyukKurumlarOrani,0),0)</f>
        <v/>
      </c>
      <c r="I353" s="114" t="n"/>
    </row>
    <row r="354" ht="15" customHeight="1" s="68">
      <c r="A354" s="114" t="n"/>
      <c r="B354" s="114" t="n"/>
      <c r="C354" s="114" t="n"/>
      <c r="D354" s="114" t="n"/>
      <c r="E354" s="112">
        <f>ROUND($B354*KarliyukKdvOrani,0)</f>
        <v/>
      </c>
      <c r="F354" s="112">
        <f>$B354-$C354</f>
        <v/>
      </c>
      <c r="G354" s="113">
        <f>IF($B354=0,0,$H354/$B354)</f>
        <v/>
      </c>
      <c r="H354" s="112">
        <f>IF($F354&gt;0,ROUND($F354*KarliyukKurumlarOrani,0),0)</f>
        <v/>
      </c>
      <c r="I354" s="114" t="n"/>
    </row>
    <row r="355" ht="15" customHeight="1" s="68">
      <c r="A355" s="114" t="n"/>
      <c r="B355" s="114" t="n"/>
      <c r="C355" s="114" t="n"/>
      <c r="D355" s="114" t="n"/>
      <c r="E355" s="112">
        <f>ROUND($B355*KarliyukKdvOrani,0)</f>
        <v/>
      </c>
      <c r="F355" s="112">
        <f>$B355-$C355</f>
        <v/>
      </c>
      <c r="G355" s="113">
        <f>IF($B355=0,0,$H355/$B355)</f>
        <v/>
      </c>
      <c r="H355" s="112">
        <f>IF($F355&gt;0,ROUND($F355*KarliyukKurumlarOrani,0),0)</f>
        <v/>
      </c>
      <c r="I355" s="114" t="n"/>
    </row>
    <row r="356" ht="15" customHeight="1" s="68">
      <c r="A356" s="114" t="n"/>
      <c r="B356" s="114" t="n"/>
      <c r="C356" s="114" t="n"/>
      <c r="D356" s="114" t="n"/>
      <c r="E356" s="112">
        <f>ROUND($B356*KarliyukKdvOrani,0)</f>
        <v/>
      </c>
      <c r="F356" s="112">
        <f>$B356-$C356</f>
        <v/>
      </c>
      <c r="G356" s="113">
        <f>IF($B356=0,0,$H356/$B356)</f>
        <v/>
      </c>
      <c r="H356" s="112">
        <f>IF($F356&gt;0,ROUND($F356*KarliyukKurumlarOrani,0),0)</f>
        <v/>
      </c>
      <c r="I356" s="114" t="n"/>
    </row>
    <row r="357" ht="15" customHeight="1" s="68">
      <c r="A357" s="114" t="n"/>
      <c r="B357" s="114" t="n"/>
      <c r="C357" s="114" t="n"/>
      <c r="D357" s="114" t="n"/>
      <c r="E357" s="112">
        <f>ROUND($B357*KarliyukKdvOrani,0)</f>
        <v/>
      </c>
      <c r="F357" s="112">
        <f>$B357-$C357</f>
        <v/>
      </c>
      <c r="G357" s="113">
        <f>IF($B357=0,0,$H357/$B357)</f>
        <v/>
      </c>
      <c r="H357" s="112">
        <f>IF($F357&gt;0,ROUND($F357*KarliyukKurumlarOrani,0),0)</f>
        <v/>
      </c>
      <c r="I357" s="114" t="n"/>
    </row>
    <row r="358" ht="15" customHeight="1" s="68">
      <c r="A358" s="114" t="n"/>
      <c r="B358" s="114" t="n"/>
      <c r="C358" s="114" t="n"/>
      <c r="D358" s="114" t="n"/>
      <c r="E358" s="112">
        <f>ROUND($B358*KarliyukKdvOrani,0)</f>
        <v/>
      </c>
      <c r="F358" s="112">
        <f>$B358-$C358</f>
        <v/>
      </c>
      <c r="G358" s="113">
        <f>IF($B358=0,0,$H358/$B358)</f>
        <v/>
      </c>
      <c r="H358" s="112">
        <f>IF($F358&gt;0,ROUND($F358*KarliyukKurumlarOrani,0),0)</f>
        <v/>
      </c>
      <c r="I358" s="114" t="n"/>
    </row>
    <row r="359" ht="15" customHeight="1" s="68">
      <c r="A359" s="114" t="n"/>
      <c r="B359" s="114" t="n"/>
      <c r="C359" s="114" t="n"/>
      <c r="D359" s="114" t="n"/>
      <c r="E359" s="112">
        <f>ROUND($B359*KarliyukKdvOrani,0)</f>
        <v/>
      </c>
      <c r="F359" s="112">
        <f>$B359-$C359</f>
        <v/>
      </c>
      <c r="G359" s="113">
        <f>IF($B359=0,0,$H359/$B359)</f>
        <v/>
      </c>
      <c r="H359" s="112">
        <f>IF($F359&gt;0,ROUND($F359*KarliyukKurumlarOrani,0),0)</f>
        <v/>
      </c>
      <c r="I359" s="114" t="n"/>
    </row>
    <row r="360" ht="15" customHeight="1" s="68">
      <c r="A360" s="114" t="n"/>
      <c r="B360" s="114" t="n"/>
      <c r="C360" s="114" t="n"/>
      <c r="D360" s="114" t="n"/>
      <c r="E360" s="112">
        <f>ROUND($B360*KarliyukKdvOrani,0)</f>
        <v/>
      </c>
      <c r="F360" s="112">
        <f>$B360-$C360</f>
        <v/>
      </c>
      <c r="G360" s="113">
        <f>IF($B360=0,0,$H360/$B360)</f>
        <v/>
      </c>
      <c r="H360" s="112">
        <f>IF($F360&gt;0,ROUND($F360*KarliyukKurumlarOrani,0),0)</f>
        <v/>
      </c>
      <c r="I360" s="114" t="n"/>
    </row>
    <row r="361" ht="15" customHeight="1" s="68">
      <c r="A361" s="114" t="n"/>
      <c r="B361" s="114" t="n"/>
      <c r="C361" s="114" t="n"/>
      <c r="D361" s="114" t="n"/>
      <c r="E361" s="112">
        <f>ROUND($B361*KarliyukKdvOrani,0)</f>
        <v/>
      </c>
      <c r="F361" s="112">
        <f>$B361-$C361</f>
        <v/>
      </c>
      <c r="G361" s="113">
        <f>IF($B361=0,0,$H361/$B361)</f>
        <v/>
      </c>
      <c r="H361" s="112">
        <f>IF($F361&gt;0,ROUND($F361*KarliyukKurumlarOrani,0),0)</f>
        <v/>
      </c>
      <c r="I361" s="114" t="n"/>
    </row>
    <row r="362" ht="15" customHeight="1" s="68">
      <c r="A362" s="114" t="n"/>
      <c r="B362" s="114" t="n"/>
      <c r="C362" s="114" t="n"/>
      <c r="D362" s="114" t="n"/>
      <c r="E362" s="112">
        <f>ROUND($B362*KarliyukKdvOrani,0)</f>
        <v/>
      </c>
      <c r="F362" s="112">
        <f>$B362-$C362</f>
        <v/>
      </c>
      <c r="G362" s="113">
        <f>IF($B362=0,0,$H362/$B362)</f>
        <v/>
      </c>
      <c r="H362" s="112">
        <f>IF($F362&gt;0,ROUND($F362*KarliyukKurumlarOrani,0),0)</f>
        <v/>
      </c>
      <c r="I362" s="114" t="n"/>
    </row>
    <row r="363" ht="15" customHeight="1" s="68">
      <c r="A363" s="114" t="n"/>
      <c r="B363" s="114" t="n"/>
      <c r="C363" s="114" t="n"/>
      <c r="D363" s="114" t="n"/>
      <c r="E363" s="112">
        <f>ROUND($B363*KarliyukKdvOrani,0)</f>
        <v/>
      </c>
      <c r="F363" s="112">
        <f>$B363-$C363</f>
        <v/>
      </c>
      <c r="G363" s="113">
        <f>IF($B363=0,0,$H363/$B363)</f>
        <v/>
      </c>
      <c r="H363" s="112">
        <f>IF($F363&gt;0,ROUND($F363*KarliyukKurumlarOrani,0),0)</f>
        <v/>
      </c>
      <c r="I363" s="114" t="n"/>
    </row>
    <row r="364" ht="15" customHeight="1" s="68">
      <c r="A364" s="114" t="n"/>
      <c r="B364" s="114" t="n"/>
      <c r="C364" s="114" t="n"/>
      <c r="D364" s="114" t="n"/>
      <c r="E364" s="112">
        <f>ROUND($B364*KarliyukKdvOrani,0)</f>
        <v/>
      </c>
      <c r="F364" s="112">
        <f>$B364-$C364</f>
        <v/>
      </c>
      <c r="G364" s="113">
        <f>IF($B364=0,0,$H364/$B364)</f>
        <v/>
      </c>
      <c r="H364" s="112">
        <f>IF($F364&gt;0,ROUND($F364*KarliyukKurumlarOrani,0),0)</f>
        <v/>
      </c>
      <c r="I364" s="114" t="n"/>
    </row>
    <row r="365" ht="15" customHeight="1" s="68">
      <c r="A365" s="114" t="n"/>
      <c r="B365" s="114" t="n"/>
      <c r="C365" s="114" t="n"/>
      <c r="D365" s="114" t="n"/>
      <c r="E365" s="112">
        <f>ROUND($B365*KarliyukKdvOrani,0)</f>
        <v/>
      </c>
      <c r="F365" s="112">
        <f>$B365-$C365</f>
        <v/>
      </c>
      <c r="G365" s="113">
        <f>IF($B365=0,0,$H365/$B365)</f>
        <v/>
      </c>
      <c r="H365" s="112">
        <f>IF($F365&gt;0,ROUND($F365*KarliyukKurumlarOrani,0),0)</f>
        <v/>
      </c>
      <c r="I365" s="114" t="n"/>
    </row>
    <row r="366" ht="15" customHeight="1" s="68">
      <c r="A366" s="114" t="n"/>
      <c r="B366" s="114" t="n"/>
      <c r="C366" s="114" t="n"/>
      <c r="D366" s="114" t="n"/>
      <c r="E366" s="112">
        <f>ROUND($B366*KarliyukKdvOrani,0)</f>
        <v/>
      </c>
      <c r="F366" s="112">
        <f>$B366-$C366</f>
        <v/>
      </c>
      <c r="G366" s="113">
        <f>IF($B366=0,0,$H366/$B366)</f>
        <v/>
      </c>
      <c r="H366" s="112">
        <f>IF($F366&gt;0,ROUND($F366*KarliyukKurumlarOrani,0),0)</f>
        <v/>
      </c>
      <c r="I366" s="114" t="n"/>
    </row>
    <row r="367" ht="15" customHeight="1" s="68">
      <c r="A367" s="114" t="n"/>
      <c r="B367" s="114" t="n"/>
      <c r="C367" s="114" t="n"/>
      <c r="D367" s="114" t="n"/>
      <c r="E367" s="112">
        <f>ROUND($B367*KarliyukKdvOrani,0)</f>
        <v/>
      </c>
      <c r="F367" s="112">
        <f>$B367-$C367</f>
        <v/>
      </c>
      <c r="G367" s="113">
        <f>IF($B367=0,0,$H367/$B367)</f>
        <v/>
      </c>
      <c r="H367" s="112">
        <f>IF($F367&gt;0,ROUND($F367*KarliyukKurumlarOrani,0),0)</f>
        <v/>
      </c>
      <c r="I367" s="114" t="n"/>
    </row>
    <row r="368" ht="15" customHeight="1" s="68">
      <c r="A368" s="114" t="n"/>
      <c r="B368" s="114" t="n"/>
      <c r="C368" s="114" t="n"/>
      <c r="D368" s="114" t="n"/>
      <c r="E368" s="112">
        <f>ROUND($B368*KarliyukKdvOrani,0)</f>
        <v/>
      </c>
      <c r="F368" s="112">
        <f>$B368-$C368</f>
        <v/>
      </c>
      <c r="G368" s="113">
        <f>IF($B368=0,0,$H368/$B368)</f>
        <v/>
      </c>
      <c r="H368" s="112">
        <f>IF($F368&gt;0,ROUND($F368*KarliyukKurumlarOrani,0),0)</f>
        <v/>
      </c>
      <c r="I368" s="114" t="n"/>
    </row>
    <row r="369" ht="15" customHeight="1" s="68">
      <c r="A369" s="114" t="n"/>
      <c r="B369" s="114" t="n"/>
      <c r="C369" s="114" t="n"/>
      <c r="D369" s="114" t="n"/>
      <c r="E369" s="112">
        <f>ROUND($B369*KarliyukKdvOrani,0)</f>
        <v/>
      </c>
      <c r="F369" s="112">
        <f>$B369-$C369</f>
        <v/>
      </c>
      <c r="G369" s="113">
        <f>IF($B369=0,0,$H369/$B369)</f>
        <v/>
      </c>
      <c r="H369" s="112">
        <f>IF($F369&gt;0,ROUND($F369*KarliyukKurumlarOrani,0),0)</f>
        <v/>
      </c>
      <c r="I369" s="114" t="n"/>
    </row>
    <row r="370" ht="15" customHeight="1" s="68">
      <c r="A370" s="114" t="n"/>
      <c r="B370" s="114" t="n"/>
      <c r="C370" s="114" t="n"/>
      <c r="D370" s="114" t="n"/>
      <c r="E370" s="112">
        <f>ROUND($B370*KarliyukKdvOrani,0)</f>
        <v/>
      </c>
      <c r="F370" s="112">
        <f>$B370-$C370</f>
        <v/>
      </c>
      <c r="G370" s="113">
        <f>IF($B370=0,0,$H370/$B370)</f>
        <v/>
      </c>
      <c r="H370" s="112">
        <f>IF($F370&gt;0,ROUND($F370*KarliyukKurumlarOrani,0),0)</f>
        <v/>
      </c>
      <c r="I370" s="114" t="n"/>
    </row>
    <row r="371" ht="15" customHeight="1" s="68">
      <c r="A371" s="114" t="n"/>
      <c r="B371" s="114" t="n"/>
      <c r="C371" s="114" t="n"/>
      <c r="D371" s="114" t="n"/>
      <c r="E371" s="112">
        <f>ROUND($B371*KarliyukKdvOrani,0)</f>
        <v/>
      </c>
      <c r="F371" s="112">
        <f>$B371-$C371</f>
        <v/>
      </c>
      <c r="G371" s="113">
        <f>IF($B371=0,0,$H371/$B371)</f>
        <v/>
      </c>
      <c r="H371" s="112">
        <f>IF($F371&gt;0,ROUND($F371*KarliyukKurumlarOrani,0),0)</f>
        <v/>
      </c>
      <c r="I371" s="114" t="n"/>
    </row>
    <row r="372" ht="15" customHeight="1" s="68">
      <c r="A372" s="114" t="n"/>
      <c r="B372" s="114" t="n"/>
      <c r="C372" s="114" t="n"/>
      <c r="D372" s="114" t="n"/>
      <c r="E372" s="112">
        <f>ROUND($B372*KarliyukKdvOrani,0)</f>
        <v/>
      </c>
      <c r="F372" s="112">
        <f>$B372-$C372</f>
        <v/>
      </c>
      <c r="G372" s="113">
        <f>IF($B372=0,0,$H372/$B372)</f>
        <v/>
      </c>
      <c r="H372" s="112">
        <f>IF($F372&gt;0,ROUND($F372*KarliyukKurumlarOrani,0),0)</f>
        <v/>
      </c>
      <c r="I372" s="114" t="n"/>
    </row>
    <row r="373" ht="15" customHeight="1" s="68">
      <c r="A373" s="114" t="n"/>
      <c r="B373" s="114" t="n"/>
      <c r="C373" s="114" t="n"/>
      <c r="D373" s="114" t="n"/>
      <c r="E373" s="112">
        <f>ROUND($B373*KarliyukKdvOrani,0)</f>
        <v/>
      </c>
      <c r="F373" s="112">
        <f>$B373-$C373</f>
        <v/>
      </c>
      <c r="G373" s="113">
        <f>IF($B373=0,0,$H373/$B373)</f>
        <v/>
      </c>
      <c r="H373" s="112">
        <f>IF($F373&gt;0,ROUND($F373*KarliyukKurumlarOrani,0),0)</f>
        <v/>
      </c>
      <c r="I373" s="114" t="n"/>
    </row>
    <row r="374" ht="15" customHeight="1" s="68">
      <c r="A374" s="114" t="n"/>
      <c r="B374" s="114" t="n"/>
      <c r="C374" s="114" t="n"/>
      <c r="D374" s="114" t="n"/>
      <c r="E374" s="112">
        <f>ROUND($B374*KarliyukKdvOrani,0)</f>
        <v/>
      </c>
      <c r="F374" s="112">
        <f>$B374-$C374</f>
        <v/>
      </c>
      <c r="G374" s="113">
        <f>IF($B374=0,0,$H374/$B374)</f>
        <v/>
      </c>
      <c r="H374" s="112">
        <f>IF($F374&gt;0,ROUND($F374*KarliyukKurumlarOrani,0),0)</f>
        <v/>
      </c>
      <c r="I374" s="114" t="n"/>
    </row>
    <row r="375" ht="15" customHeight="1" s="68">
      <c r="A375" s="114" t="n"/>
      <c r="B375" s="114" t="n"/>
      <c r="C375" s="114" t="n"/>
      <c r="D375" s="114" t="n"/>
      <c r="E375" s="112">
        <f>ROUND($B375*KarliyukKdvOrani,0)</f>
        <v/>
      </c>
      <c r="F375" s="112">
        <f>$B375-$C375</f>
        <v/>
      </c>
      <c r="G375" s="113">
        <f>IF($B375=0,0,$H375/$B375)</f>
        <v/>
      </c>
      <c r="H375" s="112">
        <f>IF($F375&gt;0,ROUND($F375*KarliyukKurumlarOrani,0),0)</f>
        <v/>
      </c>
      <c r="I375" s="114" t="n"/>
    </row>
    <row r="376" ht="15" customHeight="1" s="68">
      <c r="A376" s="114" t="n"/>
      <c r="B376" s="114" t="n"/>
      <c r="C376" s="114" t="n"/>
      <c r="D376" s="114" t="n"/>
      <c r="E376" s="112">
        <f>ROUND($B376*KarliyukKdvOrani,0)</f>
        <v/>
      </c>
      <c r="F376" s="112">
        <f>$B376-$C376</f>
        <v/>
      </c>
      <c r="G376" s="113">
        <f>IF($B376=0,0,$H376/$B376)</f>
        <v/>
      </c>
      <c r="H376" s="112">
        <f>IF($F376&gt;0,ROUND($F376*KarliyukKurumlarOrani,0),0)</f>
        <v/>
      </c>
      <c r="I376" s="114" t="n"/>
    </row>
    <row r="377" ht="15" customHeight="1" s="68">
      <c r="A377" s="114" t="n"/>
      <c r="B377" s="114" t="n"/>
      <c r="C377" s="114" t="n"/>
      <c r="D377" s="114" t="n"/>
      <c r="E377" s="112">
        <f>ROUND($B377*KarliyukKdvOrani,0)</f>
        <v/>
      </c>
      <c r="F377" s="112">
        <f>$B377-$C377</f>
        <v/>
      </c>
      <c r="G377" s="113">
        <f>IF($B377=0,0,$H377/$B377)</f>
        <v/>
      </c>
      <c r="H377" s="112">
        <f>IF($F377&gt;0,ROUND($F377*KarliyukKurumlarOrani,0),0)</f>
        <v/>
      </c>
      <c r="I377" s="114" t="n"/>
    </row>
    <row r="378" ht="15" customHeight="1" s="68">
      <c r="A378" s="114" t="n"/>
      <c r="B378" s="114" t="n"/>
      <c r="C378" s="114" t="n"/>
      <c r="D378" s="114" t="n"/>
      <c r="E378" s="112">
        <f>ROUND($B378*KarliyukKdvOrani,0)</f>
        <v/>
      </c>
      <c r="F378" s="112">
        <f>$B378-$C378</f>
        <v/>
      </c>
      <c r="G378" s="113">
        <f>IF($B378=0,0,$H378/$B378)</f>
        <v/>
      </c>
      <c r="H378" s="112">
        <f>IF($F378&gt;0,ROUND($F378*KarliyukKurumlarOrani,0),0)</f>
        <v/>
      </c>
      <c r="I378" s="114" t="n"/>
    </row>
    <row r="379" ht="15" customHeight="1" s="68">
      <c r="A379" s="114" t="n"/>
      <c r="B379" s="114" t="n"/>
      <c r="C379" s="114" t="n"/>
      <c r="D379" s="114" t="n"/>
      <c r="E379" s="112">
        <f>ROUND($B379*KarliyukKdvOrani,0)</f>
        <v/>
      </c>
      <c r="F379" s="112">
        <f>$B379-$C379</f>
        <v/>
      </c>
      <c r="G379" s="113">
        <f>IF($B379=0,0,$H379/$B379)</f>
        <v/>
      </c>
      <c r="H379" s="112">
        <f>IF($F379&gt;0,ROUND($F379*KarliyukKurumlarOrani,0),0)</f>
        <v/>
      </c>
      <c r="I379" s="114" t="n"/>
    </row>
    <row r="380" ht="15" customHeight="1" s="68">
      <c r="A380" s="114" t="n"/>
      <c r="B380" s="114" t="n"/>
      <c r="C380" s="114" t="n"/>
      <c r="D380" s="114" t="n"/>
      <c r="E380" s="112">
        <f>ROUND($B380*KarliyukKdvOrani,0)</f>
        <v/>
      </c>
      <c r="F380" s="112">
        <f>$B380-$C380</f>
        <v/>
      </c>
      <c r="G380" s="113">
        <f>IF($B380=0,0,$H380/$B380)</f>
        <v/>
      </c>
      <c r="H380" s="112">
        <f>IF($F380&gt;0,ROUND($F380*KarliyukKurumlarOrani,0),0)</f>
        <v/>
      </c>
      <c r="I380" s="114" t="n"/>
    </row>
    <row r="381" ht="15" customHeight="1" s="68">
      <c r="A381" s="114" t="n"/>
      <c r="B381" s="114" t="n"/>
      <c r="C381" s="114" t="n"/>
      <c r="D381" s="114" t="n"/>
      <c r="E381" s="112">
        <f>ROUND($B381*KarliyukKdvOrani,0)</f>
        <v/>
      </c>
      <c r="F381" s="112">
        <f>$B381-$C381</f>
        <v/>
      </c>
      <c r="G381" s="113">
        <f>IF($B381=0,0,$H381/$B381)</f>
        <v/>
      </c>
      <c r="H381" s="112">
        <f>IF($F381&gt;0,ROUND($F381*KarliyukKurumlarOrani,0),0)</f>
        <v/>
      </c>
      <c r="I381" s="114" t="n"/>
    </row>
    <row r="382" ht="15" customHeight="1" s="68">
      <c r="A382" s="114" t="n"/>
      <c r="B382" s="114" t="n"/>
      <c r="C382" s="114" t="n"/>
      <c r="D382" s="114" t="n"/>
      <c r="E382" s="112">
        <f>ROUND($B382*KarliyukKdvOrani,0)</f>
        <v/>
      </c>
      <c r="F382" s="112">
        <f>$B382-$C382</f>
        <v/>
      </c>
      <c r="G382" s="113">
        <f>IF($B382=0,0,$H382/$B382)</f>
        <v/>
      </c>
      <c r="H382" s="112">
        <f>IF($F382&gt;0,ROUND($F382*KarliyukKurumlarOrani,0),0)</f>
        <v/>
      </c>
      <c r="I382" s="114" t="n"/>
    </row>
    <row r="383" ht="15" customHeight="1" s="68">
      <c r="A383" s="114" t="n"/>
      <c r="B383" s="114" t="n"/>
      <c r="C383" s="114" t="n"/>
      <c r="D383" s="114" t="n"/>
      <c r="E383" s="112">
        <f>ROUND($B383*KarliyukKdvOrani,0)</f>
        <v/>
      </c>
      <c r="F383" s="112">
        <f>$B383-$C383</f>
        <v/>
      </c>
      <c r="G383" s="113">
        <f>IF($B383=0,0,$H383/$B383)</f>
        <v/>
      </c>
      <c r="H383" s="112">
        <f>IF($F383&gt;0,ROUND($F383*KarliyukKurumlarOrani,0),0)</f>
        <v/>
      </c>
      <c r="I383" s="114" t="n"/>
    </row>
    <row r="384" ht="15" customHeight="1" s="68">
      <c r="A384" s="114" t="n"/>
      <c r="B384" s="114" t="n"/>
      <c r="C384" s="114" t="n"/>
      <c r="D384" s="114" t="n"/>
      <c r="E384" s="112">
        <f>ROUND($B384*KarliyukKdvOrani,0)</f>
        <v/>
      </c>
      <c r="F384" s="112">
        <f>$B384-$C384</f>
        <v/>
      </c>
      <c r="G384" s="113">
        <f>IF($B384=0,0,$H384/$B384)</f>
        <v/>
      </c>
      <c r="H384" s="112">
        <f>IF($F384&gt;0,ROUND($F384*KarliyukKurumlarOrani,0),0)</f>
        <v/>
      </c>
      <c r="I384" s="114" t="n"/>
    </row>
    <row r="385" ht="15" customHeight="1" s="68">
      <c r="A385" s="114" t="n"/>
      <c r="B385" s="114" t="n"/>
      <c r="C385" s="114" t="n"/>
      <c r="D385" s="114" t="n"/>
      <c r="E385" s="112">
        <f>ROUND($B385*KarliyukKdvOrani,0)</f>
        <v/>
      </c>
      <c r="F385" s="112">
        <f>$B385-$C385</f>
        <v/>
      </c>
      <c r="G385" s="113">
        <f>IF($B385=0,0,$H385/$B385)</f>
        <v/>
      </c>
      <c r="H385" s="112">
        <f>IF($F385&gt;0,ROUND($F385*KarliyukKurumlarOrani,0),0)</f>
        <v/>
      </c>
      <c r="I385" s="114" t="n"/>
    </row>
    <row r="386" ht="15" customHeight="1" s="68">
      <c r="A386" s="114" t="n"/>
      <c r="B386" s="114" t="n"/>
      <c r="C386" s="114" t="n"/>
      <c r="D386" s="114" t="n"/>
      <c r="E386" s="112">
        <f>ROUND($B386*KarliyukKdvOrani,0)</f>
        <v/>
      </c>
      <c r="F386" s="112">
        <f>$B386-$C386</f>
        <v/>
      </c>
      <c r="G386" s="113">
        <f>IF($B386=0,0,$H386/$B386)</f>
        <v/>
      </c>
      <c r="H386" s="112">
        <f>IF($F386&gt;0,ROUND($F386*KarliyukKurumlarOrani,0),0)</f>
        <v/>
      </c>
      <c r="I386" s="114" t="n"/>
    </row>
    <row r="387" ht="15" customHeight="1" s="68">
      <c r="A387" s="114" t="n"/>
      <c r="B387" s="114" t="n"/>
      <c r="C387" s="114" t="n"/>
      <c r="D387" s="114" t="n"/>
      <c r="E387" s="112">
        <f>ROUND($B387*KarliyukKdvOrani,0)</f>
        <v/>
      </c>
      <c r="F387" s="112">
        <f>$B387-$C387</f>
        <v/>
      </c>
      <c r="G387" s="113">
        <f>IF($B387=0,0,$H387/$B387)</f>
        <v/>
      </c>
      <c r="H387" s="112">
        <f>IF($F387&gt;0,ROUND($F387*KarliyukKurumlarOrani,0),0)</f>
        <v/>
      </c>
      <c r="I387" s="114" t="n"/>
    </row>
    <row r="388" ht="15" customHeight="1" s="68">
      <c r="A388" s="114" t="n"/>
      <c r="B388" s="114" t="n"/>
      <c r="C388" s="114" t="n"/>
      <c r="D388" s="114" t="n"/>
      <c r="E388" s="112">
        <f>ROUND($B388*KarliyukKdvOrani,0)</f>
        <v/>
      </c>
      <c r="F388" s="112">
        <f>$B388-$C388</f>
        <v/>
      </c>
      <c r="G388" s="113">
        <f>IF($B388=0,0,$H388/$B388)</f>
        <v/>
      </c>
      <c r="H388" s="112">
        <f>IF($F388&gt;0,ROUND($F388*KarliyukKurumlarOrani,0),0)</f>
        <v/>
      </c>
      <c r="I388" s="114" t="n"/>
    </row>
    <row r="389" ht="15" customHeight="1" s="68">
      <c r="A389" s="114" t="n"/>
      <c r="B389" s="114" t="n"/>
      <c r="C389" s="114" t="n"/>
      <c r="D389" s="114" t="n"/>
      <c r="E389" s="112">
        <f>ROUND($B389*KarliyukKdvOrani,0)</f>
        <v/>
      </c>
      <c r="F389" s="112">
        <f>$B389-$C389</f>
        <v/>
      </c>
      <c r="G389" s="113">
        <f>IF($B389=0,0,$H389/$B389)</f>
        <v/>
      </c>
      <c r="H389" s="112">
        <f>IF($F389&gt;0,ROUND($F389*KarliyukKurumlarOrani,0),0)</f>
        <v/>
      </c>
      <c r="I389" s="114" t="n"/>
    </row>
    <row r="390" ht="15" customHeight="1" s="68">
      <c r="A390" s="114" t="n"/>
      <c r="B390" s="114" t="n"/>
      <c r="C390" s="114" t="n"/>
      <c r="D390" s="114" t="n"/>
      <c r="E390" s="112">
        <f>ROUND($B390*KarliyukKdvOrani,0)</f>
        <v/>
      </c>
      <c r="F390" s="112">
        <f>$B390-$C390</f>
        <v/>
      </c>
      <c r="G390" s="113">
        <f>IF($B390=0,0,$H390/$B390)</f>
        <v/>
      </c>
      <c r="H390" s="112">
        <f>IF($F390&gt;0,ROUND($F390*KarliyukKurumlarOrani,0),0)</f>
        <v/>
      </c>
      <c r="I390" s="114" t="n"/>
    </row>
    <row r="391" ht="15" customHeight="1" s="68">
      <c r="A391" s="114" t="n"/>
      <c r="B391" s="114" t="n"/>
      <c r="C391" s="114" t="n"/>
      <c r="D391" s="114" t="n"/>
      <c r="E391" s="112">
        <f>ROUND($B391*KarliyukKdvOrani,0)</f>
        <v/>
      </c>
      <c r="F391" s="112">
        <f>$B391-$C391</f>
        <v/>
      </c>
      <c r="G391" s="113">
        <f>IF($B391=0,0,$H391/$B391)</f>
        <v/>
      </c>
      <c r="H391" s="112">
        <f>IF($F391&gt;0,ROUND($F391*KarliyukKurumlarOrani,0),0)</f>
        <v/>
      </c>
      <c r="I391" s="114" t="n"/>
    </row>
    <row r="392" ht="15" customHeight="1" s="68">
      <c r="A392" s="114" t="n"/>
      <c r="B392" s="114" t="n"/>
      <c r="C392" s="114" t="n"/>
      <c r="D392" s="114" t="n"/>
      <c r="E392" s="112">
        <f>ROUND($B392*KarliyukKdvOrani,0)</f>
        <v/>
      </c>
      <c r="F392" s="112">
        <f>$B392-$C392</f>
        <v/>
      </c>
      <c r="G392" s="113">
        <f>IF($B392=0,0,$H392/$B392)</f>
        <v/>
      </c>
      <c r="H392" s="112">
        <f>IF($F392&gt;0,ROUND($F392*KarliyukKurumlarOrani,0),0)</f>
        <v/>
      </c>
      <c r="I392" s="114" t="n"/>
    </row>
    <row r="393" ht="15" customHeight="1" s="68">
      <c r="A393" s="114" t="n"/>
      <c r="B393" s="114" t="n"/>
      <c r="C393" s="114" t="n"/>
      <c r="D393" s="114" t="n"/>
      <c r="E393" s="112">
        <f>ROUND($B393*KarliyukKdvOrani,0)</f>
        <v/>
      </c>
      <c r="F393" s="112">
        <f>$B393-$C393</f>
        <v/>
      </c>
      <c r="G393" s="113">
        <f>IF($B393=0,0,$H393/$B393)</f>
        <v/>
      </c>
      <c r="H393" s="112">
        <f>IF($F393&gt;0,ROUND($F393*KarliyukKurumlarOrani,0),0)</f>
        <v/>
      </c>
      <c r="I393" s="114" t="n"/>
    </row>
    <row r="394" ht="15" customHeight="1" s="68">
      <c r="A394" s="114" t="n"/>
      <c r="B394" s="114" t="n"/>
      <c r="C394" s="114" t="n"/>
      <c r="D394" s="114" t="n"/>
      <c r="E394" s="112">
        <f>ROUND($B394*KarliyukKdvOrani,0)</f>
        <v/>
      </c>
      <c r="F394" s="112">
        <f>$B394-$C394</f>
        <v/>
      </c>
      <c r="G394" s="113">
        <f>IF($B394=0,0,$H394/$B394)</f>
        <v/>
      </c>
      <c r="H394" s="112">
        <f>IF($F394&gt;0,ROUND($F394*KarliyukKurumlarOrani,0),0)</f>
        <v/>
      </c>
      <c r="I394" s="114" t="n"/>
    </row>
    <row r="395" ht="15" customHeight="1" s="68">
      <c r="A395" s="114" t="n"/>
      <c r="B395" s="114" t="n"/>
      <c r="C395" s="114" t="n"/>
      <c r="D395" s="114" t="n"/>
      <c r="E395" s="112">
        <f>ROUND($B395*KarliyukKdvOrani,0)</f>
        <v/>
      </c>
      <c r="F395" s="112">
        <f>$B395-$C395</f>
        <v/>
      </c>
      <c r="G395" s="113">
        <f>IF($B395=0,0,$H395/$B395)</f>
        <v/>
      </c>
      <c r="H395" s="112">
        <f>IF($F395&gt;0,ROUND($F395*KarliyukKurumlarOrani,0),0)</f>
        <v/>
      </c>
      <c r="I395" s="114" t="n"/>
    </row>
    <row r="396" ht="15" customHeight="1" s="68">
      <c r="A396" s="114" t="n"/>
      <c r="B396" s="114" t="n"/>
      <c r="C396" s="114" t="n"/>
      <c r="D396" s="114" t="n"/>
      <c r="E396" s="112">
        <f>ROUND($B396*KarliyukKdvOrani,0)</f>
        <v/>
      </c>
      <c r="F396" s="112">
        <f>$B396-$C396</f>
        <v/>
      </c>
      <c r="G396" s="113">
        <f>IF($B396=0,0,$H396/$B396)</f>
        <v/>
      </c>
      <c r="H396" s="112">
        <f>IF($F396&gt;0,ROUND($F396*KarliyukKurumlarOrani,0),0)</f>
        <v/>
      </c>
      <c r="I396" s="114" t="n"/>
    </row>
    <row r="397" ht="15" customHeight="1" s="68">
      <c r="A397" s="114" t="n"/>
      <c r="B397" s="114" t="n"/>
      <c r="C397" s="114" t="n"/>
      <c r="D397" s="114" t="n"/>
      <c r="E397" s="112">
        <f>ROUND($B397*KarliyukKdvOrani,0)</f>
        <v/>
      </c>
      <c r="F397" s="112">
        <f>$B397-$C397</f>
        <v/>
      </c>
      <c r="G397" s="113">
        <f>IF($B397=0,0,$H397/$B397)</f>
        <v/>
      </c>
      <c r="H397" s="112">
        <f>IF($F397&gt;0,ROUND($F397*KarliyukKurumlarOrani,0),0)</f>
        <v/>
      </c>
      <c r="I397" s="114" t="n"/>
    </row>
    <row r="398" ht="15" customHeight="1" s="68">
      <c r="A398" s="114" t="n"/>
      <c r="B398" s="114" t="n"/>
      <c r="C398" s="114" t="n"/>
      <c r="D398" s="114" t="n"/>
      <c r="E398" s="112">
        <f>ROUND($B398*KarliyukKdvOrani,0)</f>
        <v/>
      </c>
      <c r="F398" s="112">
        <f>$B398-$C398</f>
        <v/>
      </c>
      <c r="G398" s="113">
        <f>IF($B398=0,0,$H398/$B398)</f>
        <v/>
      </c>
      <c r="H398" s="112">
        <f>IF($F398&gt;0,ROUND($F398*KarliyukKurumlarOrani,0),0)</f>
        <v/>
      </c>
      <c r="I398" s="114" t="n"/>
    </row>
    <row r="399" ht="15" customHeight="1" s="68">
      <c r="A399" s="114" t="n"/>
      <c r="B399" s="114" t="n"/>
      <c r="C399" s="114" t="n"/>
      <c r="D399" s="114" t="n"/>
      <c r="E399" s="112">
        <f>ROUND($B399*KarliyukKdvOrani,0)</f>
        <v/>
      </c>
      <c r="F399" s="112">
        <f>$B399-$C399</f>
        <v/>
      </c>
      <c r="G399" s="113">
        <f>IF($B399=0,0,$H399/$B399)</f>
        <v/>
      </c>
      <c r="H399" s="112">
        <f>IF($F399&gt;0,ROUND($F399*KarliyukKurumlarOrani,0),0)</f>
        <v/>
      </c>
      <c r="I399" s="114" t="n"/>
    </row>
    <row r="400" ht="15" customHeight="1" s="68">
      <c r="A400" s="114" t="n"/>
      <c r="B400" s="114" t="n"/>
      <c r="C400" s="114" t="n"/>
      <c r="D400" s="114" t="n"/>
      <c r="E400" s="112">
        <f>ROUND($B400*KarliyukKdvOrani,0)</f>
        <v/>
      </c>
      <c r="F400" s="112">
        <f>$B400-$C400</f>
        <v/>
      </c>
      <c r="G400" s="113">
        <f>IF($B400=0,0,$H400/$B400)</f>
        <v/>
      </c>
      <c r="H400" s="112">
        <f>IF($F400&gt;0,ROUND($F400*KarliyukKurumlarOrani,0),0)</f>
        <v/>
      </c>
      <c r="I400" s="114" t="n"/>
    </row>
    <row r="401" ht="15" customHeight="1" s="68">
      <c r="A401" s="114" t="n"/>
      <c r="B401" s="114" t="n"/>
      <c r="C401" s="114" t="n"/>
      <c r="D401" s="114" t="n"/>
      <c r="E401" s="112">
        <f>ROUND($B401*KarliyukKdvOrani,0)</f>
        <v/>
      </c>
      <c r="F401" s="112">
        <f>$B401-$C401</f>
        <v/>
      </c>
      <c r="G401" s="113">
        <f>IF($B401=0,0,$H401/$B401)</f>
        <v/>
      </c>
      <c r="H401" s="112">
        <f>IF($F401&gt;0,ROUND($F401*KarliyukKurumlarOrani,0),0)</f>
        <v/>
      </c>
      <c r="I401" s="114" t="n"/>
    </row>
    <row r="402" ht="15" customHeight="1" s="68">
      <c r="A402" s="114" t="n"/>
      <c r="B402" s="114" t="n"/>
      <c r="C402" s="114" t="n"/>
      <c r="D402" s="114" t="n"/>
      <c r="E402" s="112">
        <f>ROUND($B402*KarliyukKdvOrani,0)</f>
        <v/>
      </c>
      <c r="F402" s="112">
        <f>$B402-$C402</f>
        <v/>
      </c>
      <c r="G402" s="113">
        <f>IF($B402=0,0,$H402/$B402)</f>
        <v/>
      </c>
      <c r="H402" s="112">
        <f>IF($F402&gt;0,ROUND($F402*KarliyukKurumlarOrani,0),0)</f>
        <v/>
      </c>
      <c r="I402" s="114" t="n"/>
    </row>
    <row r="403" ht="15" customHeight="1" s="68">
      <c r="A403" s="114" t="n"/>
      <c r="B403" s="114" t="n"/>
      <c r="C403" s="114" t="n"/>
      <c r="D403" s="114" t="n"/>
      <c r="E403" s="112">
        <f>ROUND($B403*KarliyukKdvOrani,0)</f>
        <v/>
      </c>
      <c r="F403" s="112">
        <f>$B403-$C403</f>
        <v/>
      </c>
      <c r="G403" s="113">
        <f>IF($B403=0,0,$H403/$B403)</f>
        <v/>
      </c>
      <c r="H403" s="112">
        <f>IF($F403&gt;0,ROUND($F403*KarliyukKurumlarOrani,0),0)</f>
        <v/>
      </c>
      <c r="I403" s="114" t="n"/>
    </row>
    <row r="404" ht="15" customHeight="1" s="68">
      <c r="A404" s="114" t="n"/>
      <c r="B404" s="114" t="n"/>
      <c r="C404" s="114" t="n"/>
      <c r="D404" s="114" t="n"/>
      <c r="E404" s="112">
        <f>ROUND($B404*KarliyukKdvOrani,0)</f>
        <v/>
      </c>
      <c r="F404" s="112">
        <f>$B404-$C404</f>
        <v/>
      </c>
      <c r="G404" s="113">
        <f>IF($B404=0,0,$H404/$B404)</f>
        <v/>
      </c>
      <c r="H404" s="112">
        <f>IF($F404&gt;0,ROUND($F404*KarliyukKurumlarOrani,0),0)</f>
        <v/>
      </c>
      <c r="I404" s="114" t="n"/>
    </row>
    <row r="405" ht="15" customHeight="1" s="68">
      <c r="A405" s="114" t="n"/>
      <c r="B405" s="114" t="n"/>
      <c r="C405" s="114" t="n"/>
      <c r="D405" s="114" t="n"/>
      <c r="E405" s="112">
        <f>ROUND($B405*KarliyukKdvOrani,0)</f>
        <v/>
      </c>
      <c r="F405" s="112">
        <f>$B405-$C405</f>
        <v/>
      </c>
      <c r="G405" s="113">
        <f>IF($B405=0,0,$H405/$B405)</f>
        <v/>
      </c>
      <c r="H405" s="112">
        <f>IF($F405&gt;0,ROUND($F405*KarliyukKurumlarOrani,0),0)</f>
        <v/>
      </c>
      <c r="I405" s="114" t="n"/>
    </row>
    <row r="406" ht="15" customHeight="1" s="68">
      <c r="A406" s="114" t="n"/>
      <c r="B406" s="114" t="n"/>
      <c r="C406" s="114" t="n"/>
      <c r="D406" s="114" t="n"/>
      <c r="E406" s="112">
        <f>ROUND($B406*KarliyukKdvOrani,0)</f>
        <v/>
      </c>
      <c r="F406" s="112">
        <f>$B406-$C406</f>
        <v/>
      </c>
      <c r="G406" s="113">
        <f>IF($B406=0,0,$H406/$B406)</f>
        <v/>
      </c>
      <c r="H406" s="112">
        <f>IF($F406&gt;0,ROUND($F406*KarliyukKurumlarOrani,0),0)</f>
        <v/>
      </c>
      <c r="I406" s="114" t="n"/>
    </row>
    <row r="407" ht="15" customHeight="1" s="68">
      <c r="A407" s="114" t="n"/>
      <c r="B407" s="114" t="n"/>
      <c r="C407" s="114" t="n"/>
      <c r="D407" s="114" t="n"/>
      <c r="E407" s="112">
        <f>ROUND($B407*KarliyukKdvOrani,0)</f>
        <v/>
      </c>
      <c r="F407" s="112">
        <f>$B407-$C407</f>
        <v/>
      </c>
      <c r="G407" s="113">
        <f>IF($B407=0,0,$H407/$B407)</f>
        <v/>
      </c>
      <c r="H407" s="112">
        <f>IF($F407&gt;0,ROUND($F407*KarliyukKurumlarOrani,0),0)</f>
        <v/>
      </c>
      <c r="I407" s="114" t="n"/>
    </row>
    <row r="408" ht="15" customHeight="1" s="68">
      <c r="A408" s="114" t="n"/>
      <c r="B408" s="114" t="n"/>
      <c r="C408" s="114" t="n"/>
      <c r="D408" s="114" t="n"/>
      <c r="E408" s="112">
        <f>ROUND($B408*KarliyukKdvOrani,0)</f>
        <v/>
      </c>
      <c r="F408" s="112">
        <f>$B408-$C408</f>
        <v/>
      </c>
      <c r="G408" s="113">
        <f>IF($B408=0,0,$H408/$B408)</f>
        <v/>
      </c>
      <c r="H408" s="112">
        <f>IF($F408&gt;0,ROUND($F408*KarliyukKurumlarOrani,0),0)</f>
        <v/>
      </c>
      <c r="I408" s="114" t="n"/>
    </row>
    <row r="409" ht="15" customHeight="1" s="68">
      <c r="A409" s="114" t="n"/>
      <c r="B409" s="114" t="n"/>
      <c r="C409" s="114" t="n"/>
      <c r="D409" s="114" t="n"/>
      <c r="E409" s="112">
        <f>ROUND($B409*KarliyukKdvOrani,0)</f>
        <v/>
      </c>
      <c r="F409" s="112">
        <f>$B409-$C409</f>
        <v/>
      </c>
      <c r="G409" s="113">
        <f>IF($B409=0,0,$H409/$B409)</f>
        <v/>
      </c>
      <c r="H409" s="112">
        <f>IF($F409&gt;0,ROUND($F409*KarliyukKurumlarOrani,0),0)</f>
        <v/>
      </c>
      <c r="I409" s="114" t="n"/>
    </row>
    <row r="410" ht="15" customHeight="1" s="68">
      <c r="A410" s="114" t="n"/>
      <c r="B410" s="114" t="n"/>
      <c r="C410" s="114" t="n"/>
      <c r="D410" s="114" t="n"/>
      <c r="E410" s="112">
        <f>ROUND($B410*KarliyukKdvOrani,0)</f>
        <v/>
      </c>
      <c r="F410" s="112">
        <f>$B410-$C410</f>
        <v/>
      </c>
      <c r="G410" s="113">
        <f>IF($B410=0,0,$H410/$B410)</f>
        <v/>
      </c>
      <c r="H410" s="112">
        <f>IF($F410&gt;0,ROUND($F410*KarliyukKurumlarOrani,0),0)</f>
        <v/>
      </c>
      <c r="I410" s="114" t="n"/>
    </row>
    <row r="411" ht="15" customHeight="1" s="68">
      <c r="A411" s="114" t="n"/>
      <c r="B411" s="114" t="n"/>
      <c r="C411" s="114" t="n"/>
      <c r="D411" s="114" t="n"/>
      <c r="E411" s="112">
        <f>ROUND($B411*KarliyukKdvOrani,0)</f>
        <v/>
      </c>
      <c r="F411" s="112">
        <f>$B411-$C411</f>
        <v/>
      </c>
      <c r="G411" s="113">
        <f>IF($B411=0,0,$H411/$B411)</f>
        <v/>
      </c>
      <c r="H411" s="112">
        <f>IF($F411&gt;0,ROUND($F411*KarliyukKurumlarOrani,0),0)</f>
        <v/>
      </c>
      <c r="I411" s="114" t="n"/>
    </row>
    <row r="412" ht="15" customHeight="1" s="68">
      <c r="A412" s="114" t="n"/>
      <c r="B412" s="114" t="n"/>
      <c r="C412" s="114" t="n"/>
      <c r="D412" s="114" t="n"/>
      <c r="E412" s="112">
        <f>ROUND($B412*KarliyukKdvOrani,0)</f>
        <v/>
      </c>
      <c r="F412" s="112">
        <f>$B412-$C412</f>
        <v/>
      </c>
      <c r="G412" s="113">
        <f>IF($B412=0,0,$H412/$B412)</f>
        <v/>
      </c>
      <c r="H412" s="112">
        <f>IF($F412&gt;0,ROUND($F412*KarliyukKurumlarOrani,0),0)</f>
        <v/>
      </c>
      <c r="I412" s="114" t="n"/>
    </row>
    <row r="413" ht="15" customHeight="1" s="68">
      <c r="A413" s="114" t="n"/>
      <c r="B413" s="114" t="n"/>
      <c r="C413" s="114" t="n"/>
      <c r="D413" s="114" t="n"/>
      <c r="E413" s="112">
        <f>ROUND($B413*KarliyukKdvOrani,0)</f>
        <v/>
      </c>
      <c r="F413" s="112">
        <f>$B413-$C413</f>
        <v/>
      </c>
      <c r="G413" s="113">
        <f>IF($B413=0,0,$H413/$B413)</f>
        <v/>
      </c>
      <c r="H413" s="112">
        <f>IF($F413&gt;0,ROUND($F413*KarliyukKurumlarOrani,0),0)</f>
        <v/>
      </c>
      <c r="I413" s="114" t="n"/>
    </row>
    <row r="414" ht="15" customHeight="1" s="68">
      <c r="A414" s="114" t="n"/>
      <c r="B414" s="114" t="n"/>
      <c r="C414" s="114" t="n"/>
      <c r="D414" s="114" t="n"/>
      <c r="E414" s="112">
        <f>ROUND($B414*KarliyukKdvOrani,0)</f>
        <v/>
      </c>
      <c r="F414" s="112">
        <f>$B414-$C414</f>
        <v/>
      </c>
      <c r="G414" s="113">
        <f>IF($B414=0,0,$H414/$B414)</f>
        <v/>
      </c>
      <c r="H414" s="112">
        <f>IF($F414&gt;0,ROUND($F414*KarliyukKurumlarOrani,0),0)</f>
        <v/>
      </c>
      <c r="I414" s="114" t="n"/>
    </row>
    <row r="415" ht="15" customHeight="1" s="68">
      <c r="A415" s="114" t="n"/>
      <c r="B415" s="114" t="n"/>
      <c r="C415" s="114" t="n"/>
      <c r="D415" s="114" t="n"/>
      <c r="E415" s="112">
        <f>ROUND($B415*KarliyukKdvOrani,0)</f>
        <v/>
      </c>
      <c r="F415" s="112">
        <f>$B415-$C415</f>
        <v/>
      </c>
      <c r="G415" s="113">
        <f>IF($B415=0,0,$H415/$B415)</f>
        <v/>
      </c>
      <c r="H415" s="112">
        <f>IF($F415&gt;0,ROUND($F415*KarliyukKurumlarOrani,0),0)</f>
        <v/>
      </c>
      <c r="I415" s="114" t="n"/>
    </row>
    <row r="416" ht="15" customHeight="1" s="68">
      <c r="A416" s="114" t="n"/>
      <c r="B416" s="114" t="n"/>
      <c r="C416" s="114" t="n"/>
      <c r="D416" s="114" t="n"/>
      <c r="E416" s="112">
        <f>ROUND($B416*KarliyukKdvOrani,0)</f>
        <v/>
      </c>
      <c r="F416" s="112">
        <f>$B416-$C416</f>
        <v/>
      </c>
      <c r="G416" s="113">
        <f>IF($B416=0,0,$H416/$B416)</f>
        <v/>
      </c>
      <c r="H416" s="112">
        <f>IF($F416&gt;0,ROUND($F416*KarliyukKurumlarOrani,0),0)</f>
        <v/>
      </c>
      <c r="I416" s="114" t="n"/>
    </row>
    <row r="417" ht="15" customHeight="1" s="68">
      <c r="A417" s="114" t="n"/>
      <c r="B417" s="114" t="n"/>
      <c r="C417" s="114" t="n"/>
      <c r="D417" s="114" t="n"/>
      <c r="E417" s="112">
        <f>ROUND($B417*KarliyukKdvOrani,0)</f>
        <v/>
      </c>
      <c r="F417" s="112">
        <f>$B417-$C417</f>
        <v/>
      </c>
      <c r="G417" s="113">
        <f>IF($B417=0,0,$H417/$B417)</f>
        <v/>
      </c>
      <c r="H417" s="112">
        <f>IF($F417&gt;0,ROUND($F417*KarliyukKurumlarOrani,0),0)</f>
        <v/>
      </c>
      <c r="I417" s="114" t="n"/>
    </row>
    <row r="418" ht="15" customHeight="1" s="68">
      <c r="A418" s="114" t="n"/>
      <c r="B418" s="114" t="n"/>
      <c r="C418" s="114" t="n"/>
      <c r="D418" s="114" t="n"/>
      <c r="E418" s="112">
        <f>ROUND($B418*KarliyukKdvOrani,0)</f>
        <v/>
      </c>
      <c r="F418" s="112">
        <f>$B418-$C418</f>
        <v/>
      </c>
      <c r="G418" s="113">
        <f>IF($B418=0,0,$H418/$B418)</f>
        <v/>
      </c>
      <c r="H418" s="112">
        <f>IF($F418&gt;0,ROUND($F418*KarliyukKurumlarOrani,0),0)</f>
        <v/>
      </c>
      <c r="I418" s="114" t="n"/>
    </row>
    <row r="419" ht="15" customHeight="1" s="68">
      <c r="A419" s="114" t="n"/>
      <c r="B419" s="114" t="n"/>
      <c r="C419" s="114" t="n"/>
      <c r="D419" s="114" t="n"/>
      <c r="E419" s="112">
        <f>ROUND($B419*KarliyukKdvOrani,0)</f>
        <v/>
      </c>
      <c r="F419" s="112">
        <f>$B419-$C419</f>
        <v/>
      </c>
      <c r="G419" s="113">
        <f>IF($B419=0,0,$H419/$B419)</f>
        <v/>
      </c>
      <c r="H419" s="112">
        <f>IF($F419&gt;0,ROUND($F419*KarliyukKurumlarOrani,0),0)</f>
        <v/>
      </c>
      <c r="I419" s="114" t="n"/>
    </row>
    <row r="420" ht="15" customHeight="1" s="68">
      <c r="A420" s="114" t="n"/>
      <c r="B420" s="114" t="n"/>
      <c r="C420" s="114" t="n"/>
      <c r="D420" s="114" t="n"/>
      <c r="E420" s="112">
        <f>ROUND($B420*KarliyukKdvOrani,0)</f>
        <v/>
      </c>
      <c r="F420" s="112">
        <f>$B420-$C420</f>
        <v/>
      </c>
      <c r="G420" s="113">
        <f>IF($B420=0,0,$H420/$B420)</f>
        <v/>
      </c>
      <c r="H420" s="112">
        <f>IF($F420&gt;0,ROUND($F420*KarliyukKurumlarOrani,0),0)</f>
        <v/>
      </c>
      <c r="I420" s="114" t="n"/>
    </row>
    <row r="421" ht="15" customHeight="1" s="68">
      <c r="A421" s="114" t="n"/>
      <c r="B421" s="114" t="n"/>
      <c r="C421" s="114" t="n"/>
      <c r="D421" s="114" t="n"/>
      <c r="E421" s="112">
        <f>ROUND($B421*KarliyukKdvOrani,0)</f>
        <v/>
      </c>
      <c r="F421" s="112">
        <f>$B421-$C421</f>
        <v/>
      </c>
      <c r="G421" s="113">
        <f>IF($B421=0,0,$H421/$B421)</f>
        <v/>
      </c>
      <c r="H421" s="112">
        <f>IF($F421&gt;0,ROUND($F421*KarliyukKurumlarOrani,0),0)</f>
        <v/>
      </c>
      <c r="I421" s="114" t="n"/>
    </row>
    <row r="422" ht="15" customHeight="1" s="68">
      <c r="A422" s="114" t="n"/>
      <c r="B422" s="114" t="n"/>
      <c r="C422" s="114" t="n"/>
      <c r="D422" s="114" t="n"/>
      <c r="E422" s="112">
        <f>ROUND($B422*KarliyukKdvOrani,0)</f>
        <v/>
      </c>
      <c r="F422" s="112">
        <f>$B422-$C422</f>
        <v/>
      </c>
      <c r="G422" s="113">
        <f>IF($B422=0,0,$H422/$B422)</f>
        <v/>
      </c>
      <c r="H422" s="112">
        <f>IF($F422&gt;0,ROUND($F422*KarliyukKurumlarOrani,0),0)</f>
        <v/>
      </c>
      <c r="I422" s="114" t="n"/>
    </row>
    <row r="423" ht="15" customHeight="1" s="68">
      <c r="A423" s="114" t="n"/>
      <c r="B423" s="114" t="n"/>
      <c r="C423" s="114" t="n"/>
      <c r="D423" s="114" t="n"/>
      <c r="E423" s="112">
        <f>ROUND($B423*KarliyukKdvOrani,0)</f>
        <v/>
      </c>
      <c r="F423" s="112">
        <f>$B423-$C423</f>
        <v/>
      </c>
      <c r="G423" s="113">
        <f>IF($B423=0,0,$H423/$B423)</f>
        <v/>
      </c>
      <c r="H423" s="112">
        <f>IF($F423&gt;0,ROUND($F423*KarliyukKurumlarOrani,0),0)</f>
        <v/>
      </c>
      <c r="I423" s="114" t="n"/>
    </row>
    <row r="424" ht="15" customHeight="1" s="68">
      <c r="A424" s="114" t="n"/>
      <c r="B424" s="114" t="n"/>
      <c r="C424" s="114" t="n"/>
      <c r="D424" s="114" t="n"/>
      <c r="E424" s="112">
        <f>ROUND($B424*KarliyukKdvOrani,0)</f>
        <v/>
      </c>
      <c r="F424" s="112">
        <f>$B424-$C424</f>
        <v/>
      </c>
      <c r="G424" s="113">
        <f>IF($B424=0,0,$H424/$B424)</f>
        <v/>
      </c>
      <c r="H424" s="112">
        <f>IF($F424&gt;0,ROUND($F424*KarliyukKurumlarOrani,0),0)</f>
        <v/>
      </c>
      <c r="I424" s="114" t="n"/>
    </row>
    <row r="425" ht="15" customHeight="1" s="68">
      <c r="A425" s="114" t="n"/>
      <c r="B425" s="114" t="n"/>
      <c r="C425" s="114" t="n"/>
      <c r="D425" s="114" t="n"/>
      <c r="E425" s="112">
        <f>ROUND($B425*KarliyukKdvOrani,0)</f>
        <v/>
      </c>
      <c r="F425" s="112">
        <f>$B425-$C425</f>
        <v/>
      </c>
      <c r="G425" s="113">
        <f>IF($B425=0,0,$H425/$B425)</f>
        <v/>
      </c>
      <c r="H425" s="112">
        <f>IF($F425&gt;0,ROUND($F425*KarliyukKurumlarOrani,0),0)</f>
        <v/>
      </c>
      <c r="I425" s="114" t="n"/>
    </row>
    <row r="426" ht="15" customHeight="1" s="68">
      <c r="A426" s="114" t="n"/>
      <c r="B426" s="114" t="n"/>
      <c r="C426" s="114" t="n"/>
      <c r="D426" s="114" t="n"/>
      <c r="E426" s="112">
        <f>ROUND($B426*KarliyukKdvOrani,0)</f>
        <v/>
      </c>
      <c r="F426" s="112">
        <f>$B426-$C426</f>
        <v/>
      </c>
      <c r="G426" s="113">
        <f>IF($B426=0,0,$H426/$B426)</f>
        <v/>
      </c>
      <c r="H426" s="112">
        <f>IF($F426&gt;0,ROUND($F426*KarliyukKurumlarOrani,0),0)</f>
        <v/>
      </c>
      <c r="I426" s="114" t="n"/>
    </row>
    <row r="427" ht="15" customHeight="1" s="68">
      <c r="A427" s="114" t="n"/>
      <c r="B427" s="114" t="n"/>
      <c r="C427" s="114" t="n"/>
      <c r="D427" s="114" t="n"/>
      <c r="E427" s="112">
        <f>ROUND($B427*KarliyukKdvOrani,0)</f>
        <v/>
      </c>
      <c r="F427" s="112">
        <f>$B427-$C427</f>
        <v/>
      </c>
      <c r="G427" s="113">
        <f>IF($B427=0,0,$H427/$B427)</f>
        <v/>
      </c>
      <c r="H427" s="112">
        <f>IF($F427&gt;0,ROUND($F427*KarliyukKurumlarOrani,0),0)</f>
        <v/>
      </c>
      <c r="I427" s="114" t="n"/>
    </row>
    <row r="428" ht="15" customHeight="1" s="68">
      <c r="A428" s="114" t="n"/>
      <c r="B428" s="114" t="n"/>
      <c r="C428" s="114" t="n"/>
      <c r="D428" s="114" t="n"/>
      <c r="E428" s="112">
        <f>ROUND($B428*KarliyukKdvOrani,0)</f>
        <v/>
      </c>
      <c r="F428" s="112">
        <f>$B428-$C428</f>
        <v/>
      </c>
      <c r="G428" s="113">
        <f>IF($B428=0,0,$H428/$B428)</f>
        <v/>
      </c>
      <c r="H428" s="112">
        <f>IF($F428&gt;0,ROUND($F428*KarliyukKurumlarOrani,0),0)</f>
        <v/>
      </c>
      <c r="I428" s="114" t="n"/>
    </row>
    <row r="429" ht="15" customHeight="1" s="68">
      <c r="A429" s="114" t="n"/>
      <c r="B429" s="114" t="n"/>
      <c r="C429" s="114" t="n"/>
      <c r="D429" s="114" t="n"/>
      <c r="E429" s="112">
        <f>ROUND($B429*KarliyukKdvOrani,0)</f>
        <v/>
      </c>
      <c r="F429" s="112">
        <f>$B429-$C429</f>
        <v/>
      </c>
      <c r="G429" s="113">
        <f>IF($B429=0,0,$H429/$B429)</f>
        <v/>
      </c>
      <c r="H429" s="112">
        <f>IF($F429&gt;0,ROUND($F429*KarliyukKurumlarOrani,0),0)</f>
        <v/>
      </c>
      <c r="I429" s="114" t="n"/>
    </row>
    <row r="430" ht="15" customHeight="1" s="68">
      <c r="A430" s="114" t="n"/>
      <c r="B430" s="114" t="n"/>
      <c r="C430" s="114" t="n"/>
      <c r="D430" s="114" t="n"/>
      <c r="E430" s="112">
        <f>ROUND($B430*KarliyukKdvOrani,0)</f>
        <v/>
      </c>
      <c r="F430" s="112">
        <f>$B430-$C430</f>
        <v/>
      </c>
      <c r="G430" s="113">
        <f>IF($B430=0,0,$H430/$B430)</f>
        <v/>
      </c>
      <c r="H430" s="112">
        <f>IF($F430&gt;0,ROUND($F430*KarliyukKurumlarOrani,0),0)</f>
        <v/>
      </c>
      <c r="I430" s="114" t="n"/>
    </row>
    <row r="431" ht="15" customHeight="1" s="68">
      <c r="A431" s="114" t="n"/>
      <c r="B431" s="114" t="n"/>
      <c r="C431" s="114" t="n"/>
      <c r="D431" s="114" t="n"/>
      <c r="E431" s="112">
        <f>ROUND($B431*KarliyukKdvOrani,0)</f>
        <v/>
      </c>
      <c r="F431" s="112">
        <f>$B431-$C431</f>
        <v/>
      </c>
      <c r="G431" s="113">
        <f>IF($B431=0,0,$H431/$B431)</f>
        <v/>
      </c>
      <c r="H431" s="112">
        <f>IF($F431&gt;0,ROUND($F431*KarliyukKurumlarOrani,0),0)</f>
        <v/>
      </c>
      <c r="I431" s="114" t="n"/>
    </row>
    <row r="432" ht="15" customHeight="1" s="68">
      <c r="A432" s="114" t="n"/>
      <c r="B432" s="114" t="n"/>
      <c r="C432" s="114" t="n"/>
      <c r="D432" s="114" t="n"/>
      <c r="E432" s="112">
        <f>ROUND($B432*KarliyukKdvOrani,0)</f>
        <v/>
      </c>
      <c r="F432" s="112">
        <f>$B432-$C432</f>
        <v/>
      </c>
      <c r="G432" s="113">
        <f>IF($B432=0,0,$H432/$B432)</f>
        <v/>
      </c>
      <c r="H432" s="112">
        <f>IF($F432&gt;0,ROUND($F432*KarliyukKurumlarOrani,0),0)</f>
        <v/>
      </c>
      <c r="I432" s="114" t="n"/>
    </row>
    <row r="433" ht="15" customHeight="1" s="68">
      <c r="A433" s="114" t="n"/>
      <c r="B433" s="114" t="n"/>
      <c r="C433" s="114" t="n"/>
      <c r="D433" s="114" t="n"/>
      <c r="E433" s="112">
        <f>ROUND($B433*KarliyukKdvOrani,0)</f>
        <v/>
      </c>
      <c r="F433" s="112">
        <f>$B433-$C433</f>
        <v/>
      </c>
      <c r="G433" s="113">
        <f>IF($B433=0,0,$H433/$B433)</f>
        <v/>
      </c>
      <c r="H433" s="112">
        <f>IF($F433&gt;0,ROUND($F433*KarliyukKurumlarOrani,0),0)</f>
        <v/>
      </c>
      <c r="I433" s="114" t="n"/>
    </row>
    <row r="434" ht="15" customHeight="1" s="68">
      <c r="A434" s="114" t="n"/>
      <c r="B434" s="114" t="n"/>
      <c r="C434" s="114" t="n"/>
      <c r="D434" s="114" t="n"/>
      <c r="E434" s="112">
        <f>ROUND($B434*KarliyukKdvOrani,0)</f>
        <v/>
      </c>
      <c r="F434" s="112">
        <f>$B434-$C434</f>
        <v/>
      </c>
      <c r="G434" s="113">
        <f>IF($B434=0,0,$H434/$B434)</f>
        <v/>
      </c>
      <c r="H434" s="112">
        <f>IF($F434&gt;0,ROUND($F434*KarliyukKurumlarOrani,0),0)</f>
        <v/>
      </c>
      <c r="I434" s="114" t="n"/>
    </row>
    <row r="435" ht="15" customHeight="1" s="68">
      <c r="A435" s="114" t="n"/>
      <c r="B435" s="114" t="n"/>
      <c r="C435" s="114" t="n"/>
      <c r="D435" s="114" t="n"/>
      <c r="E435" s="112">
        <f>ROUND($B435*KarliyukKdvOrani,0)</f>
        <v/>
      </c>
      <c r="F435" s="112">
        <f>$B435-$C435</f>
        <v/>
      </c>
      <c r="G435" s="113">
        <f>IF($B435=0,0,$H435/$B435)</f>
        <v/>
      </c>
      <c r="H435" s="112">
        <f>IF($F435&gt;0,ROUND($F435*KarliyukKurumlarOrani,0),0)</f>
        <v/>
      </c>
      <c r="I435" s="114" t="n"/>
    </row>
    <row r="436" ht="15" customHeight="1" s="68">
      <c r="A436" s="114" t="n"/>
      <c r="B436" s="114" t="n"/>
      <c r="C436" s="114" t="n"/>
      <c r="D436" s="114" t="n"/>
      <c r="E436" s="112">
        <f>ROUND($B436*KarliyukKdvOrani,0)</f>
        <v/>
      </c>
      <c r="F436" s="112">
        <f>$B436-$C436</f>
        <v/>
      </c>
      <c r="G436" s="113">
        <f>IF($B436=0,0,$H436/$B436)</f>
        <v/>
      </c>
      <c r="H436" s="112">
        <f>IF($F436&gt;0,ROUND($F436*KarliyukKurumlarOrani,0),0)</f>
        <v/>
      </c>
      <c r="I436" s="114" t="n"/>
    </row>
    <row r="437" ht="15" customHeight="1" s="68">
      <c r="A437" s="114" t="n"/>
      <c r="B437" s="114" t="n"/>
      <c r="C437" s="114" t="n"/>
      <c r="D437" s="114" t="n"/>
      <c r="E437" s="112">
        <f>ROUND($B437*KarliyukKdvOrani,0)</f>
        <v/>
      </c>
      <c r="F437" s="112">
        <f>$B437-$C437</f>
        <v/>
      </c>
      <c r="G437" s="113">
        <f>IF($B437=0,0,$H437/$B437)</f>
        <v/>
      </c>
      <c r="H437" s="112">
        <f>IF($F437&gt;0,ROUND($F437*KarliyukKurumlarOrani,0),0)</f>
        <v/>
      </c>
      <c r="I437" s="114" t="n"/>
    </row>
    <row r="438" ht="15" customHeight="1" s="68">
      <c r="A438" s="114" t="n"/>
      <c r="B438" s="114" t="n"/>
      <c r="C438" s="114" t="n"/>
      <c r="D438" s="114" t="n"/>
      <c r="E438" s="112">
        <f>ROUND($B438*KarliyukKdvOrani,0)</f>
        <v/>
      </c>
      <c r="F438" s="112">
        <f>$B438-$C438</f>
        <v/>
      </c>
      <c r="G438" s="113">
        <f>IF($B438=0,0,$H438/$B438)</f>
        <v/>
      </c>
      <c r="H438" s="112">
        <f>IF($F438&gt;0,ROUND($F438*KarliyukKurumlarOrani,0),0)</f>
        <v/>
      </c>
      <c r="I438" s="114" t="n"/>
    </row>
    <row r="439" ht="15" customHeight="1" s="68">
      <c r="A439" s="114" t="n"/>
      <c r="B439" s="114" t="n"/>
      <c r="C439" s="114" t="n"/>
      <c r="D439" s="114" t="n"/>
      <c r="E439" s="112">
        <f>ROUND($B439*KarliyukKdvOrani,0)</f>
        <v/>
      </c>
      <c r="F439" s="112">
        <f>$B439-$C439</f>
        <v/>
      </c>
      <c r="G439" s="113">
        <f>IF($B439=0,0,$H439/$B439)</f>
        <v/>
      </c>
      <c r="H439" s="112">
        <f>IF($F439&gt;0,ROUND($F439*KarliyukKurumlarOrani,0),0)</f>
        <v/>
      </c>
      <c r="I439" s="114" t="n"/>
    </row>
    <row r="440" ht="15" customHeight="1" s="68">
      <c r="A440" s="114" t="n"/>
      <c r="B440" s="114" t="n"/>
      <c r="C440" s="114" t="n"/>
      <c r="D440" s="114" t="n"/>
      <c r="E440" s="112">
        <f>ROUND($B440*KarliyukKdvOrani,0)</f>
        <v/>
      </c>
      <c r="F440" s="112">
        <f>$B440-$C440</f>
        <v/>
      </c>
      <c r="G440" s="113">
        <f>IF($B440=0,0,$H440/$B440)</f>
        <v/>
      </c>
      <c r="H440" s="112">
        <f>IF($F440&gt;0,ROUND($F440*KarliyukKurumlarOrani,0),0)</f>
        <v/>
      </c>
      <c r="I440" s="114" t="n"/>
    </row>
    <row r="441" ht="15" customHeight="1" s="68">
      <c r="A441" s="114" t="n"/>
      <c r="B441" s="114" t="n"/>
      <c r="C441" s="114" t="n"/>
      <c r="D441" s="114" t="n"/>
      <c r="E441" s="112">
        <f>ROUND($B441*KarliyukKdvOrani,0)</f>
        <v/>
      </c>
      <c r="F441" s="112">
        <f>$B441-$C441</f>
        <v/>
      </c>
      <c r="G441" s="113">
        <f>IF($B441=0,0,$H441/$B441)</f>
        <v/>
      </c>
      <c r="H441" s="112">
        <f>IF($F441&gt;0,ROUND($F441*KarliyukKurumlarOrani,0),0)</f>
        <v/>
      </c>
      <c r="I441" s="114" t="n"/>
    </row>
    <row r="442" ht="15" customHeight="1" s="68">
      <c r="A442" s="114" t="n"/>
      <c r="B442" s="114" t="n"/>
      <c r="C442" s="114" t="n"/>
      <c r="D442" s="114" t="n"/>
      <c r="E442" s="112">
        <f>ROUND($B442*KarliyukKdvOrani,0)</f>
        <v/>
      </c>
      <c r="F442" s="112">
        <f>$B442-$C442</f>
        <v/>
      </c>
      <c r="G442" s="113">
        <f>IF($B442=0,0,$H442/$B442)</f>
        <v/>
      </c>
      <c r="H442" s="112">
        <f>IF($F442&gt;0,ROUND($F442*KarliyukKurumlarOrani,0),0)</f>
        <v/>
      </c>
      <c r="I442" s="114" t="n"/>
    </row>
    <row r="443" ht="15" customHeight="1" s="68">
      <c r="A443" s="114" t="n"/>
      <c r="B443" s="114" t="n"/>
      <c r="C443" s="114" t="n"/>
      <c r="D443" s="114" t="n"/>
      <c r="E443" s="112">
        <f>ROUND($B443*KarliyukKdvOrani,0)</f>
        <v/>
      </c>
      <c r="F443" s="112">
        <f>$B443-$C443</f>
        <v/>
      </c>
      <c r="G443" s="113">
        <f>IF($B443=0,0,$H443/$B443)</f>
        <v/>
      </c>
      <c r="H443" s="112">
        <f>IF($F443&gt;0,ROUND($F443*KarliyukKurumlarOrani,0),0)</f>
        <v/>
      </c>
      <c r="I443" s="114" t="n"/>
    </row>
    <row r="444" ht="15" customHeight="1" s="68">
      <c r="A444" s="114" t="n"/>
      <c r="B444" s="114" t="n"/>
      <c r="C444" s="114" t="n"/>
      <c r="D444" s="114" t="n"/>
      <c r="E444" s="112">
        <f>ROUND($B444*KarliyukKdvOrani,0)</f>
        <v/>
      </c>
      <c r="F444" s="112">
        <f>$B444-$C444</f>
        <v/>
      </c>
      <c r="G444" s="113">
        <f>IF($B444=0,0,$H444/$B444)</f>
        <v/>
      </c>
      <c r="H444" s="112">
        <f>IF($F444&gt;0,ROUND($F444*KarliyukKurumlarOrani,0),0)</f>
        <v/>
      </c>
      <c r="I444" s="114" t="n"/>
    </row>
    <row r="445" ht="15" customHeight="1" s="68">
      <c r="A445" s="114" t="n"/>
      <c r="B445" s="114" t="n"/>
      <c r="C445" s="114" t="n"/>
      <c r="D445" s="114" t="n"/>
      <c r="E445" s="112">
        <f>ROUND($B445*KarliyukKdvOrani,0)</f>
        <v/>
      </c>
      <c r="F445" s="112">
        <f>$B445-$C445</f>
        <v/>
      </c>
      <c r="G445" s="113">
        <f>IF($B445=0,0,$H445/$B445)</f>
        <v/>
      </c>
      <c r="H445" s="112">
        <f>IF($F445&gt;0,ROUND($F445*KarliyukKurumlarOrani,0),0)</f>
        <v/>
      </c>
      <c r="I445" s="114" t="n"/>
    </row>
    <row r="446" ht="15" customHeight="1" s="68">
      <c r="A446" s="114" t="n"/>
      <c r="B446" s="114" t="n"/>
      <c r="C446" s="114" t="n"/>
      <c r="D446" s="114" t="n"/>
      <c r="E446" s="112">
        <f>ROUND($B446*KarliyukKdvOrani,0)</f>
        <v/>
      </c>
      <c r="F446" s="112">
        <f>$B446-$C446</f>
        <v/>
      </c>
      <c r="G446" s="113">
        <f>IF($B446=0,0,$H446/$B446)</f>
        <v/>
      </c>
      <c r="H446" s="112">
        <f>IF($F446&gt;0,ROUND($F446*KarliyukKurumlarOrani,0),0)</f>
        <v/>
      </c>
      <c r="I446" s="114" t="n"/>
    </row>
    <row r="447" ht="15" customHeight="1" s="68">
      <c r="A447" s="114" t="n"/>
      <c r="B447" s="114" t="n"/>
      <c r="C447" s="114" t="n"/>
      <c r="D447" s="114" t="n"/>
      <c r="E447" s="112">
        <f>ROUND($B447*KarliyukKdvOrani,0)</f>
        <v/>
      </c>
      <c r="F447" s="112">
        <f>$B447-$C447</f>
        <v/>
      </c>
      <c r="G447" s="113">
        <f>IF($B447=0,0,$H447/$B447)</f>
        <v/>
      </c>
      <c r="H447" s="112">
        <f>IF($F447&gt;0,ROUND($F447*KarliyukKurumlarOrani,0),0)</f>
        <v/>
      </c>
      <c r="I447" s="114" t="n"/>
    </row>
    <row r="448" ht="15" customHeight="1" s="68">
      <c r="A448" s="114" t="n"/>
      <c r="B448" s="114" t="n"/>
      <c r="C448" s="114" t="n"/>
      <c r="D448" s="114" t="n"/>
      <c r="E448" s="112">
        <f>ROUND($B448*KarliyukKdvOrani,0)</f>
        <v/>
      </c>
      <c r="F448" s="112">
        <f>$B448-$C448</f>
        <v/>
      </c>
      <c r="G448" s="113">
        <f>IF($B448=0,0,$H448/$B448)</f>
        <v/>
      </c>
      <c r="H448" s="112">
        <f>IF($F448&gt;0,ROUND($F448*KarliyukKurumlarOrani,0),0)</f>
        <v/>
      </c>
      <c r="I448" s="114" t="n"/>
    </row>
    <row r="449" ht="15" customHeight="1" s="68">
      <c r="A449" s="114" t="n"/>
      <c r="B449" s="114" t="n"/>
      <c r="C449" s="114" t="n"/>
      <c r="D449" s="114" t="n"/>
      <c r="E449" s="112">
        <f>ROUND($B449*KarliyukKdvOrani,0)</f>
        <v/>
      </c>
      <c r="F449" s="112">
        <f>$B449-$C449</f>
        <v/>
      </c>
      <c r="G449" s="113">
        <f>IF($B449=0,0,$H449/$B449)</f>
        <v/>
      </c>
      <c r="H449" s="112">
        <f>IF($F449&gt;0,ROUND($F449*KarliyukKurumlarOrani,0),0)</f>
        <v/>
      </c>
      <c r="I449" s="114" t="n"/>
    </row>
    <row r="450" ht="15" customHeight="1" s="68">
      <c r="A450" s="114" t="n"/>
      <c r="B450" s="114" t="n"/>
      <c r="C450" s="114" t="n"/>
      <c r="D450" s="114" t="n"/>
      <c r="E450" s="112">
        <f>ROUND($B450*KarliyukKdvOrani,0)</f>
        <v/>
      </c>
      <c r="F450" s="112">
        <f>$B450-$C450</f>
        <v/>
      </c>
      <c r="G450" s="113">
        <f>IF($B450=0,0,$H450/$B450)</f>
        <v/>
      </c>
      <c r="H450" s="112">
        <f>IF($F450&gt;0,ROUND($F450*KarliyukKurumlarOrani,0),0)</f>
        <v/>
      </c>
      <c r="I450" s="114" t="n"/>
    </row>
    <row r="451" ht="15" customHeight="1" s="68">
      <c r="A451" s="114" t="n"/>
      <c r="B451" s="114" t="n"/>
      <c r="C451" s="114" t="n"/>
      <c r="D451" s="114" t="n"/>
      <c r="E451" s="112">
        <f>ROUND($B451*KarliyukKdvOrani,0)</f>
        <v/>
      </c>
      <c r="F451" s="112">
        <f>$B451-$C451</f>
        <v/>
      </c>
      <c r="G451" s="113">
        <f>IF($B451=0,0,$H451/$B451)</f>
        <v/>
      </c>
      <c r="H451" s="112">
        <f>IF($F451&gt;0,ROUND($F451*KarliyukKurumlarOrani,0),0)</f>
        <v/>
      </c>
      <c r="I451" s="114" t="n"/>
    </row>
    <row r="452" ht="15" customHeight="1" s="68">
      <c r="A452" s="114" t="n"/>
      <c r="B452" s="114" t="n"/>
      <c r="C452" s="114" t="n"/>
      <c r="D452" s="114" t="n"/>
      <c r="E452" s="112">
        <f>ROUND($B452*KarliyukKdvOrani,0)</f>
        <v/>
      </c>
      <c r="F452" s="112">
        <f>$B452-$C452</f>
        <v/>
      </c>
      <c r="G452" s="113">
        <f>IF($B452=0,0,$H452/$B452)</f>
        <v/>
      </c>
      <c r="H452" s="112">
        <f>IF($F452&gt;0,ROUND($F452*KarliyukKurumlarOrani,0),0)</f>
        <v/>
      </c>
      <c r="I452" s="114" t="n"/>
    </row>
    <row r="453" ht="15" customHeight="1" s="68">
      <c r="A453" s="114" t="n"/>
      <c r="B453" s="114" t="n"/>
      <c r="C453" s="114" t="n"/>
      <c r="D453" s="114" t="n"/>
      <c r="E453" s="112">
        <f>ROUND($B453*KarliyukKdvOrani,0)</f>
        <v/>
      </c>
      <c r="F453" s="112">
        <f>$B453-$C453</f>
        <v/>
      </c>
      <c r="G453" s="113">
        <f>IF($B453=0,0,$H453/$B453)</f>
        <v/>
      </c>
      <c r="H453" s="112">
        <f>IF($F453&gt;0,ROUND($F453*KarliyukKurumlarOrani,0),0)</f>
        <v/>
      </c>
      <c r="I453" s="114" t="n"/>
    </row>
    <row r="454" ht="15" customHeight="1" s="68">
      <c r="A454" s="114" t="n"/>
      <c r="B454" s="114" t="n"/>
      <c r="C454" s="114" t="n"/>
      <c r="D454" s="114" t="n"/>
      <c r="E454" s="112">
        <f>ROUND($B454*KarliyukKdvOrani,0)</f>
        <v/>
      </c>
      <c r="F454" s="112">
        <f>$B454-$C454</f>
        <v/>
      </c>
      <c r="G454" s="113">
        <f>IF($B454=0,0,$H454/$B454)</f>
        <v/>
      </c>
      <c r="H454" s="112">
        <f>IF($F454&gt;0,ROUND($F454*KarliyukKurumlarOrani,0),0)</f>
        <v/>
      </c>
      <c r="I454" s="114" t="n"/>
    </row>
    <row r="455" ht="15" customHeight="1" s="68">
      <c r="A455" s="114" t="n"/>
      <c r="B455" s="114" t="n"/>
      <c r="C455" s="114" t="n"/>
      <c r="D455" s="114" t="n"/>
      <c r="E455" s="112">
        <f>ROUND($B455*KarliyukKdvOrani,0)</f>
        <v/>
      </c>
      <c r="F455" s="112">
        <f>$B455-$C455</f>
        <v/>
      </c>
      <c r="G455" s="113">
        <f>IF($B455=0,0,$H455/$B455)</f>
        <v/>
      </c>
      <c r="H455" s="112">
        <f>IF($F455&gt;0,ROUND($F455*KarliyukKurumlarOrani,0),0)</f>
        <v/>
      </c>
      <c r="I455" s="114" t="n"/>
    </row>
    <row r="456" ht="15" customHeight="1" s="68">
      <c r="A456" s="114" t="n"/>
      <c r="B456" s="114" t="n"/>
      <c r="C456" s="114" t="n"/>
      <c r="D456" s="114" t="n"/>
      <c r="E456" s="112">
        <f>ROUND($B456*KarliyukKdvOrani,0)</f>
        <v/>
      </c>
      <c r="F456" s="112">
        <f>$B456-$C456</f>
        <v/>
      </c>
      <c r="G456" s="113">
        <f>IF($B456=0,0,$H456/$B456)</f>
        <v/>
      </c>
      <c r="H456" s="112">
        <f>IF($F456&gt;0,ROUND($F456*KarliyukKurumlarOrani,0),0)</f>
        <v/>
      </c>
      <c r="I456" s="114" t="n"/>
    </row>
    <row r="457" ht="15" customHeight="1" s="68">
      <c r="A457" s="114" t="n"/>
      <c r="B457" s="114" t="n"/>
      <c r="C457" s="114" t="n"/>
      <c r="D457" s="114" t="n"/>
      <c r="E457" s="112">
        <f>ROUND($B457*KarliyukKdvOrani,0)</f>
        <v/>
      </c>
      <c r="F457" s="112">
        <f>$B457-$C457</f>
        <v/>
      </c>
      <c r="G457" s="113">
        <f>IF($B457=0,0,$H457/$B457)</f>
        <v/>
      </c>
      <c r="H457" s="112">
        <f>IF($F457&gt;0,ROUND($F457*KarliyukKurumlarOrani,0),0)</f>
        <v/>
      </c>
      <c r="I457" s="114" t="n"/>
    </row>
    <row r="458" ht="15" customHeight="1" s="68">
      <c r="A458" s="114" t="n"/>
      <c r="B458" s="114" t="n"/>
      <c r="C458" s="114" t="n"/>
      <c r="D458" s="114" t="n"/>
      <c r="E458" s="112">
        <f>ROUND($B458*KarliyukKdvOrani,0)</f>
        <v/>
      </c>
      <c r="F458" s="112">
        <f>$B458-$C458</f>
        <v/>
      </c>
      <c r="G458" s="113">
        <f>IF($B458=0,0,$H458/$B458)</f>
        <v/>
      </c>
      <c r="H458" s="112">
        <f>IF($F458&gt;0,ROUND($F458*KarliyukKurumlarOrani,0),0)</f>
        <v/>
      </c>
      <c r="I458" s="114" t="n"/>
    </row>
    <row r="459" ht="15" customHeight="1" s="68">
      <c r="A459" s="114" t="n"/>
      <c r="B459" s="114" t="n"/>
      <c r="C459" s="114" t="n"/>
      <c r="D459" s="114" t="n"/>
      <c r="E459" s="112">
        <f>ROUND($B459*KarliyukKdvOrani,0)</f>
        <v/>
      </c>
      <c r="F459" s="112">
        <f>$B459-$C459</f>
        <v/>
      </c>
      <c r="G459" s="113">
        <f>IF($B459=0,0,$H459/$B459)</f>
        <v/>
      </c>
      <c r="H459" s="112">
        <f>IF($F459&gt;0,ROUND($F459*KarliyukKurumlarOrani,0),0)</f>
        <v/>
      </c>
      <c r="I459" s="114" t="n"/>
    </row>
    <row r="460" ht="15" customHeight="1" s="68">
      <c r="A460" s="114" t="n"/>
      <c r="B460" s="114" t="n"/>
      <c r="C460" s="114" t="n"/>
      <c r="D460" s="114" t="n"/>
      <c r="E460" s="112">
        <f>ROUND($B460*KarliyukKdvOrani,0)</f>
        <v/>
      </c>
      <c r="F460" s="112">
        <f>$B460-$C460</f>
        <v/>
      </c>
      <c r="G460" s="113">
        <f>IF($B460=0,0,$H460/$B460)</f>
        <v/>
      </c>
      <c r="H460" s="112">
        <f>IF($F460&gt;0,ROUND($F460*KarliyukKurumlarOrani,0),0)</f>
        <v/>
      </c>
      <c r="I460" s="114" t="n"/>
    </row>
    <row r="461" ht="15" customHeight="1" s="68">
      <c r="A461" s="114" t="n"/>
      <c r="B461" s="114" t="n"/>
      <c r="C461" s="114" t="n"/>
      <c r="D461" s="114" t="n"/>
      <c r="E461" s="112">
        <f>ROUND($B461*KarliyukKdvOrani,0)</f>
        <v/>
      </c>
      <c r="F461" s="112">
        <f>$B461-$C461</f>
        <v/>
      </c>
      <c r="G461" s="113">
        <f>IF($B461=0,0,$H461/$B461)</f>
        <v/>
      </c>
      <c r="H461" s="112">
        <f>IF($F461&gt;0,ROUND($F461*KarliyukKurumlarOrani,0),0)</f>
        <v/>
      </c>
      <c r="I461" s="114" t="n"/>
    </row>
    <row r="462" ht="15" customHeight="1" s="68">
      <c r="A462" s="114" t="n"/>
      <c r="B462" s="114" t="n"/>
      <c r="C462" s="114" t="n"/>
      <c r="D462" s="114" t="n"/>
      <c r="E462" s="112">
        <f>ROUND($B462*KarliyukKdvOrani,0)</f>
        <v/>
      </c>
      <c r="F462" s="112">
        <f>$B462-$C462</f>
        <v/>
      </c>
      <c r="G462" s="113">
        <f>IF($B462=0,0,$H462/$B462)</f>
        <v/>
      </c>
      <c r="H462" s="112">
        <f>IF($F462&gt;0,ROUND($F462*KarliyukKurumlarOrani,0),0)</f>
        <v/>
      </c>
      <c r="I462" s="114" t="n"/>
    </row>
    <row r="463" ht="15" customHeight="1" s="68">
      <c r="A463" s="114" t="n"/>
      <c r="B463" s="114" t="n"/>
      <c r="C463" s="114" t="n"/>
      <c r="D463" s="114" t="n"/>
      <c r="E463" s="112">
        <f>ROUND($B463*KarliyukKdvOrani,0)</f>
        <v/>
      </c>
      <c r="F463" s="112">
        <f>$B463-$C463</f>
        <v/>
      </c>
      <c r="G463" s="113">
        <f>IF($B463=0,0,$H463/$B463)</f>
        <v/>
      </c>
      <c r="H463" s="112">
        <f>IF($F463&gt;0,ROUND($F463*KarliyukKurumlarOrani,0),0)</f>
        <v/>
      </c>
      <c r="I463" s="114" t="n"/>
    </row>
    <row r="464" ht="15" customHeight="1" s="68">
      <c r="A464" s="114" t="n"/>
      <c r="B464" s="114" t="n"/>
      <c r="C464" s="114" t="n"/>
      <c r="D464" s="114" t="n"/>
      <c r="E464" s="112">
        <f>ROUND($B464*KarliyukKdvOrani,0)</f>
        <v/>
      </c>
      <c r="F464" s="112">
        <f>$B464-$C464</f>
        <v/>
      </c>
      <c r="G464" s="113">
        <f>IF($B464=0,0,$H464/$B464)</f>
        <v/>
      </c>
      <c r="H464" s="112">
        <f>IF($F464&gt;0,ROUND($F464*KarliyukKurumlarOrani,0),0)</f>
        <v/>
      </c>
      <c r="I464" s="114" t="n"/>
    </row>
    <row r="465" ht="15" customHeight="1" s="68">
      <c r="A465" s="114" t="n"/>
      <c r="B465" s="114" t="n"/>
      <c r="C465" s="114" t="n"/>
      <c r="D465" s="114" t="n"/>
      <c r="E465" s="112">
        <f>ROUND($B465*KarliyukKdvOrani,0)</f>
        <v/>
      </c>
      <c r="F465" s="112">
        <f>$B465-$C465</f>
        <v/>
      </c>
      <c r="G465" s="113">
        <f>IF($B465=0,0,$H465/$B465)</f>
        <v/>
      </c>
      <c r="H465" s="112">
        <f>IF($F465&gt;0,ROUND($F465*KarliyukKurumlarOrani,0),0)</f>
        <v/>
      </c>
      <c r="I465" s="114" t="n"/>
    </row>
    <row r="466" ht="15" customHeight="1" s="68">
      <c r="A466" s="114" t="n"/>
      <c r="B466" s="114" t="n"/>
      <c r="C466" s="114" t="n"/>
      <c r="D466" s="114" t="n"/>
      <c r="E466" s="112">
        <f>ROUND($B466*KarliyukKdvOrani,0)</f>
        <v/>
      </c>
      <c r="F466" s="112">
        <f>$B466-$C466</f>
        <v/>
      </c>
      <c r="G466" s="113">
        <f>IF($B466=0,0,$H466/$B466)</f>
        <v/>
      </c>
      <c r="H466" s="112">
        <f>IF($F466&gt;0,ROUND($F466*KarliyukKurumlarOrani,0),0)</f>
        <v/>
      </c>
      <c r="I466" s="114" t="n"/>
    </row>
    <row r="467" ht="15" customHeight="1" s="68">
      <c r="A467" s="114" t="n"/>
      <c r="B467" s="114" t="n"/>
      <c r="C467" s="114" t="n"/>
      <c r="D467" s="114" t="n"/>
      <c r="E467" s="112">
        <f>ROUND($B467*KarliyukKdvOrani,0)</f>
        <v/>
      </c>
      <c r="F467" s="112">
        <f>$B467-$C467</f>
        <v/>
      </c>
      <c r="G467" s="113">
        <f>IF($B467=0,0,$H467/$B467)</f>
        <v/>
      </c>
      <c r="H467" s="112">
        <f>IF($F467&gt;0,ROUND($F467*KarliyukKurumlarOrani,0),0)</f>
        <v/>
      </c>
      <c r="I467" s="114" t="n"/>
    </row>
    <row r="468" ht="15" customHeight="1" s="68">
      <c r="A468" s="114" t="n"/>
      <c r="B468" s="114" t="n"/>
      <c r="C468" s="114" t="n"/>
      <c r="D468" s="114" t="n"/>
      <c r="E468" s="112">
        <f>ROUND($B468*KarliyukKdvOrani,0)</f>
        <v/>
      </c>
      <c r="F468" s="112">
        <f>$B468-$C468</f>
        <v/>
      </c>
      <c r="G468" s="113">
        <f>IF($B468=0,0,$H468/$B468)</f>
        <v/>
      </c>
      <c r="H468" s="112">
        <f>IF($F468&gt;0,ROUND($F468*KarliyukKurumlarOrani,0),0)</f>
        <v/>
      </c>
      <c r="I468" s="114" t="n"/>
    </row>
    <row r="469" ht="15" customHeight="1" s="68">
      <c r="A469" s="114" t="n"/>
      <c r="B469" s="114" t="n"/>
      <c r="C469" s="114" t="n"/>
      <c r="D469" s="114" t="n"/>
      <c r="E469" s="112">
        <f>ROUND($B469*KarliyukKdvOrani,0)</f>
        <v/>
      </c>
      <c r="F469" s="112">
        <f>$B469-$C469</f>
        <v/>
      </c>
      <c r="G469" s="113">
        <f>IF($B469=0,0,$H469/$B469)</f>
        <v/>
      </c>
      <c r="H469" s="112">
        <f>IF($F469&gt;0,ROUND($F469*KarliyukKurumlarOrani,0),0)</f>
        <v/>
      </c>
      <c r="I469" s="114" t="n"/>
    </row>
    <row r="470" ht="15" customHeight="1" s="68">
      <c r="A470" s="114" t="n"/>
      <c r="B470" s="114" t="n"/>
      <c r="C470" s="114" t="n"/>
      <c r="D470" s="114" t="n"/>
      <c r="E470" s="112">
        <f>ROUND($B470*KarliyukKdvOrani,0)</f>
        <v/>
      </c>
      <c r="F470" s="112">
        <f>$B470-$C470</f>
        <v/>
      </c>
      <c r="G470" s="113">
        <f>IF($B470=0,0,$H470/$B470)</f>
        <v/>
      </c>
      <c r="H470" s="112">
        <f>IF($F470&gt;0,ROUND($F470*KarliyukKurumlarOrani,0),0)</f>
        <v/>
      </c>
      <c r="I470" s="114" t="n"/>
    </row>
    <row r="471" ht="15" customHeight="1" s="68">
      <c r="A471" s="114" t="n"/>
      <c r="B471" s="114" t="n"/>
      <c r="C471" s="114" t="n"/>
      <c r="D471" s="114" t="n"/>
      <c r="E471" s="112">
        <f>ROUND($B471*KarliyukKdvOrani,0)</f>
        <v/>
      </c>
      <c r="F471" s="112">
        <f>$B471-$C471</f>
        <v/>
      </c>
      <c r="G471" s="113">
        <f>IF($B471=0,0,$H471/$B471)</f>
        <v/>
      </c>
      <c r="H471" s="112">
        <f>IF($F471&gt;0,ROUND($F471*KarliyukKurumlarOrani,0),0)</f>
        <v/>
      </c>
      <c r="I471" s="114" t="n"/>
    </row>
    <row r="472" ht="15" customHeight="1" s="68">
      <c r="A472" s="114" t="n"/>
      <c r="B472" s="114" t="n"/>
      <c r="C472" s="114" t="n"/>
      <c r="D472" s="114" t="n"/>
      <c r="E472" s="112">
        <f>ROUND($B472*KarliyukKdvOrani,0)</f>
        <v/>
      </c>
      <c r="F472" s="112">
        <f>$B472-$C472</f>
        <v/>
      </c>
      <c r="G472" s="113">
        <f>IF($B472=0,0,$H472/$B472)</f>
        <v/>
      </c>
      <c r="H472" s="112">
        <f>IF($F472&gt;0,ROUND($F472*KarliyukKurumlarOrani,0),0)</f>
        <v/>
      </c>
      <c r="I472" s="114" t="n"/>
    </row>
    <row r="473" ht="15" customHeight="1" s="68">
      <c r="A473" s="114" t="n"/>
      <c r="B473" s="114" t="n"/>
      <c r="C473" s="114" t="n"/>
      <c r="D473" s="114" t="n"/>
      <c r="E473" s="112">
        <f>ROUND($B473*KarliyukKdvOrani,0)</f>
        <v/>
      </c>
      <c r="F473" s="112">
        <f>$B473-$C473</f>
        <v/>
      </c>
      <c r="G473" s="113">
        <f>IF($B473=0,0,$H473/$B473)</f>
        <v/>
      </c>
      <c r="H473" s="112">
        <f>IF($F473&gt;0,ROUND($F473*KarliyukKurumlarOrani,0),0)</f>
        <v/>
      </c>
      <c r="I473" s="114" t="n"/>
    </row>
    <row r="474" ht="15" customHeight="1" s="68">
      <c r="A474" s="114" t="n"/>
      <c r="B474" s="114" t="n"/>
      <c r="C474" s="114" t="n"/>
      <c r="D474" s="114" t="n"/>
      <c r="E474" s="112">
        <f>ROUND($B474*KarliyukKdvOrani,0)</f>
        <v/>
      </c>
      <c r="F474" s="112">
        <f>$B474-$C474</f>
        <v/>
      </c>
      <c r="G474" s="113">
        <f>IF($B474=0,0,$H474/$B474)</f>
        <v/>
      </c>
      <c r="H474" s="112">
        <f>IF($F474&gt;0,ROUND($F474*KarliyukKurumlarOrani,0),0)</f>
        <v/>
      </c>
      <c r="I474" s="114" t="n"/>
    </row>
    <row r="475" ht="15" customHeight="1" s="68">
      <c r="A475" s="114" t="n"/>
      <c r="B475" s="114" t="n"/>
      <c r="C475" s="114" t="n"/>
      <c r="D475" s="114" t="n"/>
      <c r="E475" s="112">
        <f>ROUND($B475*KarliyukKdvOrani,0)</f>
        <v/>
      </c>
      <c r="F475" s="112">
        <f>$B475-$C475</f>
        <v/>
      </c>
      <c r="G475" s="113">
        <f>IF($B475=0,0,$H475/$B475)</f>
        <v/>
      </c>
      <c r="H475" s="112">
        <f>IF($F475&gt;0,ROUND($F475*KarliyukKurumlarOrani,0),0)</f>
        <v/>
      </c>
      <c r="I475" s="114" t="n"/>
    </row>
    <row r="476" ht="15" customHeight="1" s="68">
      <c r="A476" s="114" t="n"/>
      <c r="B476" s="114" t="n"/>
      <c r="C476" s="114" t="n"/>
      <c r="D476" s="114" t="n"/>
      <c r="E476" s="112">
        <f>ROUND($B476*KarliyukKdvOrani,0)</f>
        <v/>
      </c>
      <c r="F476" s="112">
        <f>$B476-$C476</f>
        <v/>
      </c>
      <c r="G476" s="113">
        <f>IF($B476=0,0,$H476/$B476)</f>
        <v/>
      </c>
      <c r="H476" s="112">
        <f>IF($F476&gt;0,ROUND($F476*KarliyukKurumlarOrani,0),0)</f>
        <v/>
      </c>
      <c r="I476" s="114" t="n"/>
    </row>
    <row r="477" ht="15" customHeight="1" s="68">
      <c r="A477" s="114" t="n"/>
      <c r="B477" s="114" t="n"/>
      <c r="C477" s="114" t="n"/>
      <c r="D477" s="114" t="n"/>
      <c r="E477" s="112">
        <f>ROUND($B477*KarliyukKdvOrani,0)</f>
        <v/>
      </c>
      <c r="F477" s="112">
        <f>$B477-$C477</f>
        <v/>
      </c>
      <c r="G477" s="113">
        <f>IF($B477=0,0,$H477/$B477)</f>
        <v/>
      </c>
      <c r="H477" s="112">
        <f>IF($F477&gt;0,ROUND($F477*KarliyukKurumlarOrani,0),0)</f>
        <v/>
      </c>
      <c r="I477" s="114" t="n"/>
    </row>
    <row r="478" ht="15" customHeight="1" s="68">
      <c r="A478" s="114" t="n"/>
      <c r="B478" s="114" t="n"/>
      <c r="C478" s="114" t="n"/>
      <c r="D478" s="114" t="n"/>
      <c r="E478" s="112">
        <f>ROUND($B478*KarliyukKdvOrani,0)</f>
        <v/>
      </c>
      <c r="F478" s="112">
        <f>$B478-$C478</f>
        <v/>
      </c>
      <c r="G478" s="113">
        <f>IF($B478=0,0,$H478/$B478)</f>
        <v/>
      </c>
      <c r="H478" s="112">
        <f>IF($F478&gt;0,ROUND($F478*KarliyukKurumlarOrani,0),0)</f>
        <v/>
      </c>
      <c r="I478" s="114" t="n"/>
    </row>
    <row r="479" ht="15" customHeight="1" s="68">
      <c r="A479" s="114" t="n"/>
      <c r="B479" s="114" t="n"/>
      <c r="C479" s="114" t="n"/>
      <c r="D479" s="114" t="n"/>
      <c r="E479" s="112">
        <f>ROUND($B479*KarliyukKdvOrani,0)</f>
        <v/>
      </c>
      <c r="F479" s="112">
        <f>$B479-$C479</f>
        <v/>
      </c>
      <c r="G479" s="113">
        <f>IF($B479=0,0,$H479/$B479)</f>
        <v/>
      </c>
      <c r="H479" s="112">
        <f>IF($F479&gt;0,ROUND($F479*KarliyukKurumlarOrani,0),0)</f>
        <v/>
      </c>
      <c r="I479" s="114" t="n"/>
    </row>
    <row r="480" ht="15" customHeight="1" s="68">
      <c r="A480" s="114" t="n"/>
      <c r="B480" s="114" t="n"/>
      <c r="C480" s="114" t="n"/>
      <c r="D480" s="114" t="n"/>
      <c r="E480" s="112">
        <f>ROUND($B480*KarliyukKdvOrani,0)</f>
        <v/>
      </c>
      <c r="F480" s="112">
        <f>$B480-$C480</f>
        <v/>
      </c>
      <c r="G480" s="113">
        <f>IF($B480=0,0,$H480/$B480)</f>
        <v/>
      </c>
      <c r="H480" s="112">
        <f>IF($F480&gt;0,ROUND($F480*KarliyukKurumlarOrani,0),0)</f>
        <v/>
      </c>
      <c r="I480" s="114" t="n"/>
    </row>
    <row r="481" ht="15" customHeight="1" s="68">
      <c r="A481" s="114" t="n"/>
      <c r="B481" s="114" t="n"/>
      <c r="C481" s="114" t="n"/>
      <c r="D481" s="114" t="n"/>
      <c r="E481" s="112">
        <f>ROUND($B481*KarliyukKdvOrani,0)</f>
        <v/>
      </c>
      <c r="F481" s="112">
        <f>$B481-$C481</f>
        <v/>
      </c>
      <c r="G481" s="113">
        <f>IF($B481=0,0,$H481/$B481)</f>
        <v/>
      </c>
      <c r="H481" s="112">
        <f>IF($F481&gt;0,ROUND($F481*KarliyukKurumlarOrani,0),0)</f>
        <v/>
      </c>
      <c r="I481" s="114" t="n"/>
    </row>
    <row r="482" ht="15" customHeight="1" s="68">
      <c r="A482" s="114" t="n"/>
      <c r="B482" s="114" t="n"/>
      <c r="C482" s="114" t="n"/>
      <c r="D482" s="114" t="n"/>
      <c r="E482" s="112">
        <f>ROUND($B482*KarliyukKdvOrani,0)</f>
        <v/>
      </c>
      <c r="F482" s="112">
        <f>$B482-$C482</f>
        <v/>
      </c>
      <c r="G482" s="113">
        <f>IF($B482=0,0,$H482/$B482)</f>
        <v/>
      </c>
      <c r="H482" s="112">
        <f>IF($F482&gt;0,ROUND($F482*KarliyukKurumlarOrani,0),0)</f>
        <v/>
      </c>
      <c r="I482" s="114" t="n"/>
    </row>
    <row r="483" ht="15" customHeight="1" s="68">
      <c r="A483" s="114" t="n"/>
      <c r="B483" s="114" t="n"/>
      <c r="C483" s="114" t="n"/>
      <c r="D483" s="114" t="n"/>
      <c r="E483" s="112">
        <f>ROUND($B483*KarliyukKdvOrani,0)</f>
        <v/>
      </c>
      <c r="F483" s="112">
        <f>$B483-$C483</f>
        <v/>
      </c>
      <c r="G483" s="113">
        <f>IF($B483=0,0,$H483/$B483)</f>
        <v/>
      </c>
      <c r="H483" s="112">
        <f>IF($F483&gt;0,ROUND($F483*KarliyukKurumlarOrani,0),0)</f>
        <v/>
      </c>
      <c r="I483" s="114" t="n"/>
    </row>
    <row r="484" ht="15" customHeight="1" s="68">
      <c r="A484" s="114" t="n"/>
      <c r="B484" s="114" t="n"/>
      <c r="C484" s="114" t="n"/>
      <c r="D484" s="114" t="n"/>
      <c r="E484" s="112">
        <f>ROUND($B484*KarliyukKdvOrani,0)</f>
        <v/>
      </c>
      <c r="F484" s="112">
        <f>$B484-$C484</f>
        <v/>
      </c>
      <c r="G484" s="113">
        <f>IF($B484=0,0,$H484/$B484)</f>
        <v/>
      </c>
      <c r="H484" s="112">
        <f>IF($F484&gt;0,ROUND($F484*KarliyukKurumlarOrani,0),0)</f>
        <v/>
      </c>
      <c r="I484" s="114" t="n"/>
    </row>
    <row r="485" ht="15" customHeight="1" s="68">
      <c r="A485" s="114" t="n"/>
      <c r="B485" s="114" t="n"/>
      <c r="C485" s="114" t="n"/>
      <c r="D485" s="114" t="n"/>
      <c r="E485" s="112">
        <f>ROUND($B485*KarliyukKdvOrani,0)</f>
        <v/>
      </c>
      <c r="F485" s="112">
        <f>$B485-$C485</f>
        <v/>
      </c>
      <c r="G485" s="113">
        <f>IF($B485=0,0,$H485/$B485)</f>
        <v/>
      </c>
      <c r="H485" s="112">
        <f>IF($F485&gt;0,ROUND($F485*KarliyukKurumlarOrani,0),0)</f>
        <v/>
      </c>
      <c r="I485" s="114" t="n"/>
    </row>
    <row r="486" ht="15" customHeight="1" s="68">
      <c r="A486" s="114" t="n"/>
      <c r="B486" s="114" t="n"/>
      <c r="C486" s="114" t="n"/>
      <c r="D486" s="114" t="n"/>
      <c r="E486" s="112">
        <f>ROUND($B486*KarliyukKdvOrani,0)</f>
        <v/>
      </c>
      <c r="F486" s="112">
        <f>$B486-$C486</f>
        <v/>
      </c>
      <c r="G486" s="113">
        <f>IF($B486=0,0,$H486/$B486)</f>
        <v/>
      </c>
      <c r="H486" s="112">
        <f>IF($F486&gt;0,ROUND($F486*KarliyukKurumlarOrani,0),0)</f>
        <v/>
      </c>
      <c r="I486" s="114" t="n"/>
    </row>
    <row r="487" ht="15" customHeight="1" s="68">
      <c r="A487" s="114" t="n"/>
      <c r="B487" s="114" t="n"/>
      <c r="C487" s="114" t="n"/>
      <c r="D487" s="114" t="n"/>
      <c r="E487" s="112">
        <f>ROUND($B487*KarliyukKdvOrani,0)</f>
        <v/>
      </c>
      <c r="F487" s="112">
        <f>$B487-$C487</f>
        <v/>
      </c>
      <c r="G487" s="113">
        <f>IF($B487=0,0,$H487/$B487)</f>
        <v/>
      </c>
      <c r="H487" s="112">
        <f>IF($F487&gt;0,ROUND($F487*KarliyukKurumlarOrani,0),0)</f>
        <v/>
      </c>
      <c r="I487" s="114" t="n"/>
    </row>
    <row r="488" ht="15" customHeight="1" s="68">
      <c r="A488" s="114" t="n"/>
      <c r="B488" s="114" t="n"/>
      <c r="C488" s="114" t="n"/>
      <c r="D488" s="114" t="n"/>
      <c r="E488" s="112">
        <f>ROUND($B488*KarliyukKdvOrani,0)</f>
        <v/>
      </c>
      <c r="F488" s="112">
        <f>$B488-$C488</f>
        <v/>
      </c>
      <c r="G488" s="113">
        <f>IF($B488=0,0,$H488/$B488)</f>
        <v/>
      </c>
      <c r="H488" s="112">
        <f>IF($F488&gt;0,ROUND($F488*KarliyukKurumlarOrani,0),0)</f>
        <v/>
      </c>
      <c r="I488" s="114" t="n"/>
    </row>
    <row r="489" ht="15" customHeight="1" s="68">
      <c r="A489" s="114" t="n"/>
      <c r="B489" s="114" t="n"/>
      <c r="C489" s="114" t="n"/>
      <c r="D489" s="114" t="n"/>
      <c r="E489" s="112">
        <f>ROUND($B489*KarliyukKdvOrani,0)</f>
        <v/>
      </c>
      <c r="F489" s="112">
        <f>$B489-$C489</f>
        <v/>
      </c>
      <c r="G489" s="113">
        <f>IF($B489=0,0,$H489/$B489)</f>
        <v/>
      </c>
      <c r="H489" s="112">
        <f>IF($F489&gt;0,ROUND($F489*KarliyukKurumlarOrani,0),0)</f>
        <v/>
      </c>
      <c r="I489" s="114" t="n"/>
    </row>
    <row r="490" ht="15" customHeight="1" s="68">
      <c r="A490" s="114" t="n"/>
      <c r="B490" s="114" t="n"/>
      <c r="C490" s="114" t="n"/>
      <c r="D490" s="114" t="n"/>
      <c r="E490" s="112">
        <f>ROUND($B490*KarliyukKdvOrani,0)</f>
        <v/>
      </c>
      <c r="F490" s="112">
        <f>$B490-$C490</f>
        <v/>
      </c>
      <c r="G490" s="113">
        <f>IF($B490=0,0,$H490/$B490)</f>
        <v/>
      </c>
      <c r="H490" s="112">
        <f>IF($F490&gt;0,ROUND($F490*KarliyukKurumlarOrani,0),0)</f>
        <v/>
      </c>
      <c r="I490" s="114" t="n"/>
    </row>
    <row r="491" ht="15" customHeight="1" s="68">
      <c r="A491" s="114" t="n"/>
      <c r="B491" s="114" t="n"/>
      <c r="C491" s="114" t="n"/>
      <c r="D491" s="114" t="n"/>
      <c r="E491" s="112">
        <f>ROUND($B491*KarliyukKdvOrani,0)</f>
        <v/>
      </c>
      <c r="F491" s="112">
        <f>$B491-$C491</f>
        <v/>
      </c>
      <c r="G491" s="113">
        <f>IF($B491=0,0,$H491/$B491)</f>
        <v/>
      </c>
      <c r="H491" s="112">
        <f>IF($F491&gt;0,ROUND($F491*KarliyukKurumlarOrani,0),0)</f>
        <v/>
      </c>
      <c r="I491" s="114" t="n"/>
    </row>
    <row r="492" ht="15" customHeight="1" s="68">
      <c r="A492" s="114" t="n"/>
      <c r="B492" s="114" t="n"/>
      <c r="C492" s="114" t="n"/>
      <c r="D492" s="114" t="n"/>
      <c r="E492" s="112">
        <f>ROUND($B492*KarliyukKdvOrani,0)</f>
        <v/>
      </c>
      <c r="F492" s="112">
        <f>$B492-$C492</f>
        <v/>
      </c>
      <c r="G492" s="113">
        <f>IF($B492=0,0,$H492/$B492)</f>
        <v/>
      </c>
      <c r="H492" s="112">
        <f>IF($F492&gt;0,ROUND($F492*KarliyukKurumlarOrani,0),0)</f>
        <v/>
      </c>
      <c r="I492" s="114" t="n"/>
    </row>
    <row r="493" ht="15" customHeight="1" s="68">
      <c r="A493" s="114" t="n"/>
      <c r="B493" s="114" t="n"/>
      <c r="C493" s="114" t="n"/>
      <c r="D493" s="114" t="n"/>
      <c r="E493" s="112">
        <f>ROUND($B493*KarliyukKdvOrani,0)</f>
        <v/>
      </c>
      <c r="F493" s="112">
        <f>$B493-$C493</f>
        <v/>
      </c>
      <c r="G493" s="113">
        <f>IF($B493=0,0,$H493/$B493)</f>
        <v/>
      </c>
      <c r="H493" s="112">
        <f>IF($F493&gt;0,ROUND($F493*KarliyukKurumlarOrani,0),0)</f>
        <v/>
      </c>
      <c r="I493" s="114" t="n"/>
    </row>
    <row r="494" ht="15" customHeight="1" s="68">
      <c r="A494" s="114" t="n"/>
      <c r="B494" s="114" t="n"/>
      <c r="C494" s="114" t="n"/>
      <c r="D494" s="114" t="n"/>
      <c r="E494" s="112">
        <f>ROUND($B494*KarliyukKdvOrani,0)</f>
        <v/>
      </c>
      <c r="F494" s="112">
        <f>$B494-$C494</f>
        <v/>
      </c>
      <c r="G494" s="113">
        <f>IF($B494=0,0,$H494/$B494)</f>
        <v/>
      </c>
      <c r="H494" s="112">
        <f>IF($F494&gt;0,ROUND($F494*KarliyukKurumlarOrani,0),0)</f>
        <v/>
      </c>
      <c r="I494" s="114" t="n"/>
    </row>
    <row r="495" ht="15" customHeight="1" s="68">
      <c r="A495" s="114" t="n"/>
      <c r="B495" s="114" t="n"/>
      <c r="C495" s="114" t="n"/>
      <c r="D495" s="114" t="n"/>
      <c r="E495" s="112">
        <f>ROUND($B495*KarliyukKdvOrani,0)</f>
        <v/>
      </c>
      <c r="F495" s="112">
        <f>$B495-$C495</f>
        <v/>
      </c>
      <c r="G495" s="113">
        <f>IF($B495=0,0,$H495/$B495)</f>
        <v/>
      </c>
      <c r="H495" s="112">
        <f>IF($F495&gt;0,ROUND($F495*KarliyukKurumlarOrani,0),0)</f>
        <v/>
      </c>
      <c r="I495" s="114" t="n"/>
    </row>
    <row r="496" ht="15" customHeight="1" s="68">
      <c r="A496" s="114" t="n"/>
      <c r="B496" s="114" t="n"/>
      <c r="C496" s="114" t="n"/>
      <c r="D496" s="114" t="n"/>
      <c r="E496" s="112">
        <f>ROUND($B496*KarliyukKdvOrani,0)</f>
        <v/>
      </c>
      <c r="F496" s="112">
        <f>$B496-$C496</f>
        <v/>
      </c>
      <c r="G496" s="113">
        <f>IF($B496=0,0,$H496/$B496)</f>
        <v/>
      </c>
      <c r="H496" s="112">
        <f>IF($F496&gt;0,ROUND($F496*KarliyukKurumlarOrani,0),0)</f>
        <v/>
      </c>
      <c r="I496" s="114" t="n"/>
    </row>
    <row r="497" ht="15" customHeight="1" s="68">
      <c r="A497" s="114" t="n"/>
      <c r="B497" s="114" t="n"/>
      <c r="C497" s="114" t="n"/>
      <c r="D497" s="114" t="n"/>
      <c r="E497" s="112">
        <f>ROUND($B497*KarliyukKdvOrani,0)</f>
        <v/>
      </c>
      <c r="F497" s="112">
        <f>$B497-$C497</f>
        <v/>
      </c>
      <c r="G497" s="113">
        <f>IF($B497=0,0,$H497/$B497)</f>
        <v/>
      </c>
      <c r="H497" s="112">
        <f>IF($F497&gt;0,ROUND($F497*KarliyukKurumlarOrani,0),0)</f>
        <v/>
      </c>
      <c r="I497" s="114" t="n"/>
    </row>
    <row r="498" ht="15" customHeight="1" s="68">
      <c r="A498" s="114" t="n"/>
      <c r="B498" s="114" t="n"/>
      <c r="C498" s="114" t="n"/>
      <c r="D498" s="114" t="n"/>
      <c r="E498" s="112">
        <f>ROUND($B498*KarliyukKdvOrani,0)</f>
        <v/>
      </c>
      <c r="F498" s="112">
        <f>$B498-$C498</f>
        <v/>
      </c>
      <c r="G498" s="113">
        <f>IF($B498=0,0,$H498/$B498)</f>
        <v/>
      </c>
      <c r="H498" s="112">
        <f>IF($F498&gt;0,ROUND($F498*KarliyukKurumlarOrani,0),0)</f>
        <v/>
      </c>
      <c r="I498" s="114" t="n"/>
    </row>
    <row r="499" ht="15" customHeight="1" s="68">
      <c r="A499" s="114" t="n"/>
      <c r="B499" s="114" t="n"/>
      <c r="C499" s="114" t="n"/>
      <c r="D499" s="114" t="n"/>
      <c r="E499" s="112">
        <f>ROUND($B499*KarliyukKdvOrani,0)</f>
        <v/>
      </c>
      <c r="F499" s="112">
        <f>$B499-$C499</f>
        <v/>
      </c>
      <c r="G499" s="113">
        <f>IF($B499=0,0,$H499/$B499)</f>
        <v/>
      </c>
      <c r="H499" s="112">
        <f>IF($F499&gt;0,ROUND($F499*KarliyukKurumlarOrani,0),0)</f>
        <v/>
      </c>
      <c r="I499" s="114" t="n"/>
    </row>
    <row r="500" ht="15" customHeight="1" s="68">
      <c r="A500" s="114" t="n"/>
      <c r="B500" s="114" t="n"/>
      <c r="C500" s="114" t="n"/>
      <c r="D500" s="114" t="n"/>
      <c r="E500" s="112">
        <f>ROUND($B500*KarliyukKdvOrani,0)</f>
        <v/>
      </c>
      <c r="F500" s="112">
        <f>$B500-$C500</f>
        <v/>
      </c>
      <c r="G500" s="113">
        <f>IF($B500=0,0,$H500/$B500)</f>
        <v/>
      </c>
      <c r="H500" s="112">
        <f>IF($F500&gt;0,ROUND($F500*KarliyukKurumlarOrani,0),0)</f>
        <v/>
      </c>
      <c r="I500" s="114" t="n"/>
    </row>
    <row r="501" ht="15" customHeight="1" s="68">
      <c r="A501" s="114" t="n"/>
      <c r="B501" s="114" t="n"/>
      <c r="C501" s="114" t="n"/>
      <c r="D501" s="114" t="n"/>
      <c r="E501" s="112">
        <f>ROUND($B501*KarliyukKdvOrani,0)</f>
        <v/>
      </c>
      <c r="F501" s="112">
        <f>$B501-$C501</f>
        <v/>
      </c>
      <c r="G501" s="113">
        <f>IF($B501=0,0,$H501/$B501)</f>
        <v/>
      </c>
      <c r="H501" s="112">
        <f>IF($F501&gt;0,ROUND($F501*KarliyukKurumlarOrani,0),0)</f>
        <v/>
      </c>
      <c r="I501" s="114" t="n"/>
    </row>
    <row r="502" ht="15" customHeight="1" s="68">
      <c r="A502" s="114" t="n"/>
      <c r="B502" s="114" t="n"/>
      <c r="C502" s="114" t="n"/>
      <c r="D502" s="114" t="n"/>
      <c r="E502" s="112">
        <f>ROUND($B502*KarliyukKdvOrani,0)</f>
        <v/>
      </c>
      <c r="F502" s="112">
        <f>$B502-$C502</f>
        <v/>
      </c>
      <c r="G502" s="113">
        <f>IF($B502=0,0,$H502/$B502)</f>
        <v/>
      </c>
      <c r="H502" s="112">
        <f>IF($F502&gt;0,ROUND($F502*KarliyukKurumlarOrani,0),0)</f>
        <v/>
      </c>
      <c r="I502" s="114" t="n"/>
    </row>
    <row r="503" ht="15" customHeight="1" s="68">
      <c r="A503" s="114" t="n"/>
      <c r="B503" s="114" t="n"/>
      <c r="C503" s="114" t="n"/>
      <c r="D503" s="114" t="n"/>
      <c r="E503" s="112">
        <f>ROUND($B503*KarliyukKdvOrani,0)</f>
        <v/>
      </c>
      <c r="F503" s="112">
        <f>$B503-$C503</f>
        <v/>
      </c>
      <c r="G503" s="113">
        <f>IF($B503=0,0,$H503/$B503)</f>
        <v/>
      </c>
      <c r="H503" s="112">
        <f>IF($F503&gt;0,ROUND($F503*KarliyukKurumlarOrani,0),0)</f>
        <v/>
      </c>
      <c r="I503" s="114" t="n"/>
    </row>
    <row r="504" ht="15" customHeight="1" s="68">
      <c r="A504" s="114" t="n"/>
      <c r="B504" s="114" t="n"/>
      <c r="C504" s="114" t="n"/>
      <c r="D504" s="114" t="n"/>
      <c r="E504" s="112">
        <f>ROUND($B504*KarliyukKdvOrani,0)</f>
        <v/>
      </c>
      <c r="F504" s="112">
        <f>$B504-$C504</f>
        <v/>
      </c>
      <c r="G504" s="113">
        <f>IF($B504=0,0,$H504/$B504)</f>
        <v/>
      </c>
      <c r="H504" s="112">
        <f>IF($F504&gt;0,ROUND($F504*KarliyukKurumlarOrani,0),0)</f>
        <v/>
      </c>
      <c r="I504" s="114" t="n"/>
    </row>
    <row r="505" ht="15" customHeight="1" s="68">
      <c r="A505" s="114" t="n"/>
      <c r="B505" s="114" t="n"/>
      <c r="C505" s="114" t="n"/>
      <c r="D505" s="114" t="n"/>
      <c r="E505" s="112">
        <f>ROUND($B505*KarliyukKdvOrani,0)</f>
        <v/>
      </c>
      <c r="F505" s="112">
        <f>$B505-$C505</f>
        <v/>
      </c>
      <c r="G505" s="113">
        <f>IF($B505=0,0,$H505/$B505)</f>
        <v/>
      </c>
      <c r="H505" s="112">
        <f>IF($F505&gt;0,ROUND($F505*KarliyukKurumlarOrani,0),0)</f>
        <v/>
      </c>
      <c r="I505" s="114" t="n"/>
    </row>
    <row r="506" ht="15" customHeight="1" s="68">
      <c r="A506" s="114" t="n"/>
      <c r="B506" s="114" t="n"/>
      <c r="C506" s="114" t="n"/>
      <c r="D506" s="114" t="n"/>
      <c r="E506" s="112">
        <f>ROUND($B506*KarliyukKdvOrani,0)</f>
        <v/>
      </c>
      <c r="F506" s="112">
        <f>$B506-$C506</f>
        <v/>
      </c>
      <c r="G506" s="113">
        <f>IF($B506=0,0,$H506/$B506)</f>
        <v/>
      </c>
      <c r="H506" s="112">
        <f>IF($F506&gt;0,ROUND($F506*KarliyukKurumlarOrani,0),0)</f>
        <v/>
      </c>
      <c r="I506" s="114" t="n"/>
    </row>
    <row r="507" ht="15" customHeight="1" s="68">
      <c r="A507" s="114" t="n"/>
      <c r="B507" s="114" t="n"/>
      <c r="C507" s="114" t="n"/>
      <c r="D507" s="114" t="n"/>
      <c r="E507" s="112">
        <f>ROUND($B507*KarliyukKdvOrani,0)</f>
        <v/>
      </c>
      <c r="F507" s="112">
        <f>$B507-$C507</f>
        <v/>
      </c>
      <c r="G507" s="113">
        <f>IF($B507=0,0,$H507/$B507)</f>
        <v/>
      </c>
      <c r="H507" s="112">
        <f>IF($F507&gt;0,ROUND($F507*KarliyukKurumlarOrani,0),0)</f>
        <v/>
      </c>
      <c r="I507" s="114" t="n"/>
    </row>
    <row r="508" ht="15" customHeight="1" s="68">
      <c r="A508" s="114" t="n"/>
      <c r="B508" s="114" t="n"/>
      <c r="C508" s="114" t="n"/>
      <c r="D508" s="114" t="n"/>
      <c r="E508" s="112">
        <f>ROUND($B508*KarliyukKdvOrani,0)</f>
        <v/>
      </c>
      <c r="F508" s="112">
        <f>$B508-$C508</f>
        <v/>
      </c>
      <c r="G508" s="113">
        <f>IF($B508=0,0,$H508/$B508)</f>
        <v/>
      </c>
      <c r="H508" s="112">
        <f>IF($F508&gt;0,ROUND($F508*KarliyukKurumlarOrani,0),0)</f>
        <v/>
      </c>
      <c r="I508" s="114" t="n"/>
    </row>
    <row r="509" ht="15" customHeight="1" s="68">
      <c r="A509" s="114" t="n"/>
      <c r="B509" s="114" t="n"/>
      <c r="C509" s="114" t="n"/>
      <c r="D509" s="114" t="n"/>
      <c r="E509" s="112">
        <f>ROUND($B509*KarliyukKdvOrani,0)</f>
        <v/>
      </c>
      <c r="F509" s="112">
        <f>$B509-$C509</f>
        <v/>
      </c>
      <c r="G509" s="113">
        <f>IF($B509=0,0,$H509/$B509)</f>
        <v/>
      </c>
      <c r="H509" s="112">
        <f>IF($F509&gt;0,ROUND($F509*KarliyukKurumlarOrani,0),0)</f>
        <v/>
      </c>
      <c r="I509" s="114" t="n"/>
    </row>
    <row r="510" ht="15" customHeight="1" s="68">
      <c r="A510" s="114" t="n"/>
      <c r="B510" s="114" t="n"/>
      <c r="C510" s="114" t="n"/>
      <c r="D510" s="114" t="n"/>
      <c r="E510" s="112">
        <f>ROUND($B510*KarliyukKdvOrani,0)</f>
        <v/>
      </c>
      <c r="F510" s="112">
        <f>$B510-$C510</f>
        <v/>
      </c>
      <c r="G510" s="113">
        <f>IF($B510=0,0,$H510/$B510)</f>
        <v/>
      </c>
      <c r="H510" s="112">
        <f>IF($F510&gt;0,ROUND($F510*KarliyukKurumlarOrani,0),0)</f>
        <v/>
      </c>
      <c r="I510" s="114" t="n"/>
    </row>
    <row r="511" ht="15" customHeight="1" s="68">
      <c r="A511" s="114" t="n"/>
      <c r="B511" s="114" t="n"/>
      <c r="C511" s="114" t="n"/>
      <c r="D511" s="114" t="n"/>
      <c r="E511" s="112">
        <f>ROUND($B511*KarliyukKdvOrani,0)</f>
        <v/>
      </c>
      <c r="F511" s="112">
        <f>$B511-$C511</f>
        <v/>
      </c>
      <c r="G511" s="113">
        <f>IF($B511=0,0,$H511/$B511)</f>
        <v/>
      </c>
      <c r="H511" s="112">
        <f>IF($F511&gt;0,ROUND($F511*KarliyukKurumlarOrani,0),0)</f>
        <v/>
      </c>
      <c r="I511" s="114" t="n"/>
    </row>
    <row r="512" ht="15" customHeight="1" s="68">
      <c r="A512" s="114" t="n"/>
      <c r="B512" s="114" t="n"/>
      <c r="C512" s="114" t="n"/>
      <c r="D512" s="114" t="n"/>
      <c r="E512" s="112">
        <f>ROUND($B512*KarliyukKdvOrani,0)</f>
        <v/>
      </c>
      <c r="F512" s="112">
        <f>$B512-$C512</f>
        <v/>
      </c>
      <c r="G512" s="113">
        <f>IF($B512=0,0,$H512/$B512)</f>
        <v/>
      </c>
      <c r="H512" s="112">
        <f>IF($F512&gt;0,ROUND($F512*KarliyukKurumlarOrani,0),0)</f>
        <v/>
      </c>
      <c r="I512" s="114" t="n"/>
    </row>
    <row r="513" ht="15" customHeight="1" s="68">
      <c r="A513" s="114" t="n"/>
      <c r="B513" s="114" t="n"/>
      <c r="C513" s="114" t="n"/>
      <c r="D513" s="114" t="n"/>
      <c r="E513" s="112">
        <f>ROUND($B513*KarliyukKdvOrani,0)</f>
        <v/>
      </c>
      <c r="F513" s="112">
        <f>$B513-$C513</f>
        <v/>
      </c>
      <c r="G513" s="113">
        <f>IF($B513=0,0,$H513/$B513)</f>
        <v/>
      </c>
      <c r="H513" s="112">
        <f>IF($F513&gt;0,ROUND($F513*KarliyukKurumlarOrani,0),0)</f>
        <v/>
      </c>
      <c r="I513" s="114" t="n"/>
    </row>
    <row r="514" ht="15" customHeight="1" s="68">
      <c r="A514" s="114" t="n"/>
      <c r="B514" s="114" t="n"/>
      <c r="C514" s="114" t="n"/>
      <c r="D514" s="114" t="n"/>
      <c r="E514" s="112">
        <f>ROUND($B514*KarliyukKdvOrani,0)</f>
        <v/>
      </c>
      <c r="F514" s="112">
        <f>$B514-$C514</f>
        <v/>
      </c>
      <c r="G514" s="113">
        <f>IF($B514=0,0,$H514/$B514)</f>
        <v/>
      </c>
      <c r="H514" s="112">
        <f>IF($F514&gt;0,ROUND($F514*KarliyukKurumlarOrani,0),0)</f>
        <v/>
      </c>
      <c r="I514" s="114" t="n"/>
    </row>
    <row r="515" ht="15" customHeight="1" s="68">
      <c r="A515" s="114" t="n"/>
      <c r="B515" s="114" t="n"/>
      <c r="C515" s="114" t="n"/>
      <c r="D515" s="114" t="n"/>
      <c r="E515" s="112">
        <f>ROUND($B515*KarliyukKdvOrani,0)</f>
        <v/>
      </c>
      <c r="F515" s="112">
        <f>$B515-$C515</f>
        <v/>
      </c>
      <c r="G515" s="113">
        <f>IF($B515=0,0,$H515/$B515)</f>
        <v/>
      </c>
      <c r="H515" s="112">
        <f>IF($F515&gt;0,ROUND($F515*KarliyukKurumlarOrani,0),0)</f>
        <v/>
      </c>
      <c r="I515" s="114" t="n"/>
    </row>
    <row r="516" ht="15" customHeight="1" s="68">
      <c r="A516" s="114" t="n"/>
      <c r="B516" s="114" t="n"/>
      <c r="C516" s="114" t="n"/>
      <c r="D516" s="114" t="n"/>
      <c r="E516" s="112">
        <f>ROUND($B516*KarliyukKdvOrani,0)</f>
        <v/>
      </c>
      <c r="F516" s="112">
        <f>$B516-$C516</f>
        <v/>
      </c>
      <c r="G516" s="113">
        <f>IF($B516=0,0,$H516/$B516)</f>
        <v/>
      </c>
      <c r="H516" s="112">
        <f>IF($F516&gt;0,ROUND($F516*KarliyukKurumlarOrani,0),0)</f>
        <v/>
      </c>
      <c r="I516" s="114" t="n"/>
    </row>
    <row r="517" ht="15" customHeight="1" s="68">
      <c r="A517" s="114" t="n"/>
      <c r="B517" s="114" t="n"/>
      <c r="C517" s="114" t="n"/>
      <c r="D517" s="114" t="n"/>
      <c r="E517" s="112">
        <f>ROUND($B517*KarliyukKdvOrani,0)</f>
        <v/>
      </c>
      <c r="F517" s="112">
        <f>$B517-$C517</f>
        <v/>
      </c>
      <c r="G517" s="113">
        <f>IF($B517=0,0,$H517/$B517)</f>
        <v/>
      </c>
      <c r="H517" s="112">
        <f>IF($F517&gt;0,ROUND($F517*KarliyukKurumlarOrani,0),0)</f>
        <v/>
      </c>
      <c r="I517" s="114" t="n"/>
    </row>
    <row r="518" ht="15" customHeight="1" s="68">
      <c r="A518" s="114" t="n"/>
      <c r="B518" s="114" t="n"/>
      <c r="C518" s="114" t="n"/>
      <c r="D518" s="114" t="n"/>
      <c r="E518" s="112">
        <f>ROUND($B518*KarliyukKdvOrani,0)</f>
        <v/>
      </c>
      <c r="F518" s="112">
        <f>$B518-$C518</f>
        <v/>
      </c>
      <c r="G518" s="113">
        <f>IF($B518=0,0,$H518/$B518)</f>
        <v/>
      </c>
      <c r="H518" s="112">
        <f>IF($F518&gt;0,ROUND($F518*KarliyukKurumlarOrani,0),0)</f>
        <v/>
      </c>
      <c r="I518" s="114" t="n"/>
    </row>
    <row r="519" ht="15" customHeight="1" s="68">
      <c r="A519" s="114" t="n"/>
      <c r="B519" s="114" t="n"/>
      <c r="C519" s="114" t="n"/>
      <c r="D519" s="114" t="n"/>
      <c r="E519" s="112">
        <f>ROUND($B519*KarliyukKdvOrani,0)</f>
        <v/>
      </c>
      <c r="F519" s="112">
        <f>$B519-$C519</f>
        <v/>
      </c>
      <c r="G519" s="113">
        <f>IF($B519=0,0,$H519/$B519)</f>
        <v/>
      </c>
      <c r="H519" s="112">
        <f>IF($F519&gt;0,ROUND($F519*KarliyukKurumlarOrani,0),0)</f>
        <v/>
      </c>
      <c r="I519" s="114" t="n"/>
    </row>
    <row r="520" ht="15" customHeight="1" s="68">
      <c r="A520" s="114" t="n"/>
      <c r="B520" s="114" t="n"/>
      <c r="C520" s="114" t="n"/>
      <c r="D520" s="114" t="n"/>
      <c r="E520" s="112">
        <f>ROUND($B520*KarliyukKdvOrani,0)</f>
        <v/>
      </c>
      <c r="F520" s="112">
        <f>$B520-$C520</f>
        <v/>
      </c>
      <c r="G520" s="113">
        <f>IF($B520=0,0,$H520/$B520)</f>
        <v/>
      </c>
      <c r="H520" s="112">
        <f>IF($F520&gt;0,ROUND($F520*KarliyukKurumlarOrani,0),0)</f>
        <v/>
      </c>
      <c r="I520" s="114" t="n"/>
    </row>
    <row r="521" ht="15" customHeight="1" s="68">
      <c r="A521" s="114" t="n"/>
      <c r="B521" s="114" t="n"/>
      <c r="C521" s="114" t="n"/>
      <c r="D521" s="114" t="n"/>
      <c r="E521" s="112">
        <f>ROUND($B521*KarliyukKdvOrani,0)</f>
        <v/>
      </c>
      <c r="F521" s="112">
        <f>$B521-$C521</f>
        <v/>
      </c>
      <c r="G521" s="113">
        <f>IF($B521=0,0,$H521/$B521)</f>
        <v/>
      </c>
      <c r="H521" s="112">
        <f>IF($F521&gt;0,ROUND($F521*KarliyukKurumlarOrani,0),0)</f>
        <v/>
      </c>
      <c r="I521" s="114" t="n"/>
    </row>
    <row r="522" ht="15" customHeight="1" s="68">
      <c r="A522" s="114" t="n"/>
      <c r="B522" s="114" t="n"/>
      <c r="C522" s="114" t="n"/>
      <c r="D522" s="114" t="n"/>
      <c r="E522" s="112">
        <f>ROUND($B522*KarliyukKdvOrani,0)</f>
        <v/>
      </c>
      <c r="F522" s="112">
        <f>$B522-$C522</f>
        <v/>
      </c>
      <c r="G522" s="113">
        <f>IF($B522=0,0,$H522/$B522)</f>
        <v/>
      </c>
      <c r="H522" s="112">
        <f>IF($F522&gt;0,ROUND($F522*KarliyukKurumlarOrani,0),0)</f>
        <v/>
      </c>
      <c r="I522" s="114" t="n"/>
    </row>
    <row r="523" ht="15" customHeight="1" s="68">
      <c r="A523" s="114" t="n"/>
      <c r="B523" s="114" t="n"/>
      <c r="C523" s="114" t="n"/>
      <c r="D523" s="114" t="n"/>
      <c r="E523" s="112">
        <f>ROUND($B523*KarliyukKdvOrani,0)</f>
        <v/>
      </c>
      <c r="F523" s="112">
        <f>$B523-$C523</f>
        <v/>
      </c>
      <c r="G523" s="113">
        <f>IF($B523=0,0,$H523/$B523)</f>
        <v/>
      </c>
      <c r="H523" s="112">
        <f>IF($F523&gt;0,ROUND($F523*KarliyukKurumlarOrani,0),0)</f>
        <v/>
      </c>
      <c r="I523" s="114" t="n"/>
    </row>
    <row r="524" ht="15" customHeight="1" s="68">
      <c r="A524" s="114" t="n"/>
      <c r="B524" s="114" t="n"/>
      <c r="C524" s="114" t="n"/>
      <c r="D524" s="114" t="n"/>
      <c r="E524" s="112">
        <f>ROUND($B524*KarliyukKdvOrani,0)</f>
        <v/>
      </c>
      <c r="F524" s="112">
        <f>$B524-$C524</f>
        <v/>
      </c>
      <c r="G524" s="113">
        <f>IF($B524=0,0,$H524/$B524)</f>
        <v/>
      </c>
      <c r="H524" s="112">
        <f>IF($F524&gt;0,ROUND($F524*KarliyukKurumlarOrani,0),0)</f>
        <v/>
      </c>
      <c r="I524" s="114" t="n"/>
    </row>
    <row r="525" ht="15" customHeight="1" s="68">
      <c r="A525" s="114" t="n"/>
      <c r="B525" s="114" t="n"/>
      <c r="C525" s="114" t="n"/>
      <c r="D525" s="114" t="n"/>
      <c r="E525" s="112">
        <f>ROUND($B525*KarliyukKdvOrani,0)</f>
        <v/>
      </c>
      <c r="F525" s="112">
        <f>$B525-$C525</f>
        <v/>
      </c>
      <c r="G525" s="113">
        <f>IF($B525=0,0,$H525/$B525)</f>
        <v/>
      </c>
      <c r="H525" s="112">
        <f>IF($F525&gt;0,ROUND($F525*KarliyukKurumlarOrani,0),0)</f>
        <v/>
      </c>
      <c r="I525" s="114" t="n"/>
    </row>
    <row r="526" ht="15" customHeight="1" s="68">
      <c r="A526" s="114" t="n"/>
      <c r="B526" s="114" t="n"/>
      <c r="C526" s="114" t="n"/>
      <c r="D526" s="114" t="n"/>
      <c r="E526" s="112">
        <f>ROUND($B526*KarliyukKdvOrani,0)</f>
        <v/>
      </c>
      <c r="F526" s="112">
        <f>$B526-$C526</f>
        <v/>
      </c>
      <c r="G526" s="113">
        <f>IF($B526=0,0,$H526/$B526)</f>
        <v/>
      </c>
      <c r="H526" s="112">
        <f>IF($F526&gt;0,ROUND($F526*KarliyukKurumlarOrani,0),0)</f>
        <v/>
      </c>
      <c r="I526" s="114" t="n"/>
    </row>
    <row r="527" ht="15" customHeight="1" s="68">
      <c r="A527" s="114" t="n"/>
      <c r="B527" s="114" t="n"/>
      <c r="C527" s="114" t="n"/>
      <c r="D527" s="114" t="n"/>
      <c r="E527" s="112">
        <f>ROUND($B527*KarliyukKdvOrani,0)</f>
        <v/>
      </c>
      <c r="F527" s="112">
        <f>$B527-$C527</f>
        <v/>
      </c>
      <c r="G527" s="113">
        <f>IF($B527=0,0,$H527/$B527)</f>
        <v/>
      </c>
      <c r="H527" s="112">
        <f>IF($F527&gt;0,ROUND($F527*KarliyukKurumlarOrani,0),0)</f>
        <v/>
      </c>
      <c r="I527" s="114" t="n"/>
    </row>
    <row r="528" ht="15" customHeight="1" s="68">
      <c r="A528" s="114" t="n"/>
      <c r="B528" s="114" t="n"/>
      <c r="C528" s="114" t="n"/>
      <c r="D528" s="114" t="n"/>
      <c r="E528" s="112">
        <f>ROUND($B528*KarliyukKdvOrani,0)</f>
        <v/>
      </c>
      <c r="F528" s="112">
        <f>$B528-$C528</f>
        <v/>
      </c>
      <c r="G528" s="113">
        <f>IF($B528=0,0,$H528/$B528)</f>
        <v/>
      </c>
      <c r="H528" s="112">
        <f>IF($F528&gt;0,ROUND($F528*KarliyukKurumlarOrani,0),0)</f>
        <v/>
      </c>
      <c r="I528" s="114" t="n"/>
    </row>
    <row r="529" ht="15" customHeight="1" s="68">
      <c r="A529" s="114" t="n"/>
      <c r="B529" s="114" t="n"/>
      <c r="C529" s="114" t="n"/>
      <c r="D529" s="114" t="n"/>
      <c r="E529" s="112">
        <f>ROUND($B529*KarliyukKdvOrani,0)</f>
        <v/>
      </c>
      <c r="F529" s="112">
        <f>$B529-$C529</f>
        <v/>
      </c>
      <c r="G529" s="113">
        <f>IF($B529=0,0,$H529/$B529)</f>
        <v/>
      </c>
      <c r="H529" s="112">
        <f>IF($F529&gt;0,ROUND($F529*KarliyukKurumlarOrani,0),0)</f>
        <v/>
      </c>
      <c r="I529" s="114" t="n"/>
    </row>
    <row r="530" ht="15" customHeight="1" s="68">
      <c r="A530" s="114" t="n"/>
      <c r="B530" s="114" t="n"/>
      <c r="C530" s="114" t="n"/>
      <c r="D530" s="114" t="n"/>
      <c r="E530" s="112">
        <f>ROUND($B530*KarliyukKdvOrani,0)</f>
        <v/>
      </c>
      <c r="F530" s="112">
        <f>$B530-$C530</f>
        <v/>
      </c>
      <c r="G530" s="113">
        <f>IF($B530=0,0,$H530/$B530)</f>
        <v/>
      </c>
      <c r="H530" s="112">
        <f>IF($F530&gt;0,ROUND($F530*KarliyukKurumlarOrani,0),0)</f>
        <v/>
      </c>
      <c r="I530" s="114" t="n"/>
    </row>
    <row r="531" ht="15" customHeight="1" s="68">
      <c r="A531" s="114" t="n"/>
      <c r="B531" s="114" t="n"/>
      <c r="C531" s="114" t="n"/>
      <c r="D531" s="114" t="n"/>
      <c r="E531" s="112">
        <f>ROUND($B531*KarliyukKdvOrani,0)</f>
        <v/>
      </c>
      <c r="F531" s="112">
        <f>$B531-$C531</f>
        <v/>
      </c>
      <c r="G531" s="113">
        <f>IF($B531=0,0,$H531/$B531)</f>
        <v/>
      </c>
      <c r="H531" s="112">
        <f>IF($F531&gt;0,ROUND($F531*KarliyukKurumlarOrani,0),0)</f>
        <v/>
      </c>
      <c r="I531" s="114" t="n"/>
    </row>
    <row r="532" ht="15" customHeight="1" s="68">
      <c r="A532" s="114" t="n"/>
      <c r="B532" s="114" t="n"/>
      <c r="C532" s="114" t="n"/>
      <c r="D532" s="114" t="n"/>
      <c r="E532" s="112">
        <f>ROUND($B532*KarliyukKdvOrani,0)</f>
        <v/>
      </c>
      <c r="F532" s="112">
        <f>$B532-$C532</f>
        <v/>
      </c>
      <c r="G532" s="113">
        <f>IF($B532=0,0,$H532/$B532)</f>
        <v/>
      </c>
      <c r="H532" s="112">
        <f>IF($F532&gt;0,ROUND($F532*KarliyukKurumlarOrani,0),0)</f>
        <v/>
      </c>
      <c r="I532" s="114" t="n"/>
    </row>
    <row r="533" ht="15" customHeight="1" s="68">
      <c r="A533" s="114" t="n"/>
      <c r="B533" s="114" t="n"/>
      <c r="C533" s="114" t="n"/>
      <c r="D533" s="114" t="n"/>
      <c r="E533" s="112">
        <f>ROUND($B533*KarliyukKdvOrani,0)</f>
        <v/>
      </c>
      <c r="F533" s="112">
        <f>$B533-$C533</f>
        <v/>
      </c>
      <c r="G533" s="113">
        <f>IF($B533=0,0,$H533/$B533)</f>
        <v/>
      </c>
      <c r="H533" s="112">
        <f>IF($F533&gt;0,ROUND($F533*KarliyukKurumlarOrani,0),0)</f>
        <v/>
      </c>
      <c r="I533" s="114" t="n"/>
    </row>
    <row r="534" ht="15" customHeight="1" s="68">
      <c r="A534" s="114" t="n"/>
      <c r="B534" s="114" t="n"/>
      <c r="C534" s="114" t="n"/>
      <c r="D534" s="114" t="n"/>
      <c r="E534" s="112">
        <f>ROUND($B534*KarliyukKdvOrani,0)</f>
        <v/>
      </c>
      <c r="F534" s="112">
        <f>$B534-$C534</f>
        <v/>
      </c>
      <c r="G534" s="113">
        <f>IF($B534=0,0,$H534/$B534)</f>
        <v/>
      </c>
      <c r="H534" s="112">
        <f>IF($F534&gt;0,ROUND($F534*KarliyukKurumlarOrani,0),0)</f>
        <v/>
      </c>
      <c r="I534" s="114" t="n"/>
    </row>
    <row r="535" ht="15" customHeight="1" s="68">
      <c r="A535" s="114" t="n"/>
      <c r="B535" s="114" t="n"/>
      <c r="C535" s="114" t="n"/>
      <c r="D535" s="114" t="n"/>
      <c r="E535" s="112">
        <f>ROUND($B535*KarliyukKdvOrani,0)</f>
        <v/>
      </c>
      <c r="F535" s="112">
        <f>$B535-$C535</f>
        <v/>
      </c>
      <c r="G535" s="113">
        <f>IF($B535=0,0,$H535/$B535)</f>
        <v/>
      </c>
      <c r="H535" s="112">
        <f>IF($F535&gt;0,ROUND($F535*KarliyukKurumlarOrani,0),0)</f>
        <v/>
      </c>
      <c r="I535" s="114" t="n"/>
    </row>
    <row r="536" ht="15" customHeight="1" s="68">
      <c r="A536" s="114" t="n"/>
      <c r="B536" s="114" t="n"/>
      <c r="C536" s="114" t="n"/>
      <c r="D536" s="114" t="n"/>
      <c r="E536" s="112">
        <f>ROUND($B536*KarliyukKdvOrani,0)</f>
        <v/>
      </c>
      <c r="F536" s="112">
        <f>$B536-$C536</f>
        <v/>
      </c>
      <c r="G536" s="113">
        <f>IF($B536=0,0,$H536/$B536)</f>
        <v/>
      </c>
      <c r="H536" s="112">
        <f>IF($F536&gt;0,ROUND($F536*KarliyukKurumlarOrani,0),0)</f>
        <v/>
      </c>
      <c r="I536" s="114" t="n"/>
    </row>
    <row r="537" ht="15" customHeight="1" s="68">
      <c r="A537" s="114" t="n"/>
      <c r="B537" s="114" t="n"/>
      <c r="C537" s="114" t="n"/>
      <c r="D537" s="114" t="n"/>
      <c r="E537" s="112">
        <f>ROUND($B537*KarliyukKdvOrani,0)</f>
        <v/>
      </c>
      <c r="F537" s="112">
        <f>$B537-$C537</f>
        <v/>
      </c>
      <c r="G537" s="113">
        <f>IF($B537=0,0,$H537/$B537)</f>
        <v/>
      </c>
      <c r="H537" s="112">
        <f>IF($F537&gt;0,ROUND($F537*KarliyukKurumlarOrani,0),0)</f>
        <v/>
      </c>
      <c r="I537" s="114" t="n"/>
    </row>
    <row r="538" ht="15" customHeight="1" s="68">
      <c r="A538" s="114" t="n"/>
      <c r="B538" s="114" t="n"/>
      <c r="C538" s="114" t="n"/>
      <c r="D538" s="114" t="n"/>
      <c r="E538" s="112">
        <f>ROUND($B538*KarliyukKdvOrani,0)</f>
        <v/>
      </c>
      <c r="F538" s="112">
        <f>$B538-$C538</f>
        <v/>
      </c>
      <c r="G538" s="113">
        <f>IF($B538=0,0,$H538/$B538)</f>
        <v/>
      </c>
      <c r="H538" s="112">
        <f>IF($F538&gt;0,ROUND($F538*KarliyukKurumlarOrani,0),0)</f>
        <v/>
      </c>
      <c r="I538" s="114" t="n"/>
    </row>
    <row r="539" ht="15" customHeight="1" s="68">
      <c r="A539" s="114" t="n"/>
      <c r="B539" s="114" t="n"/>
      <c r="C539" s="114" t="n"/>
      <c r="D539" s="114" t="n"/>
      <c r="E539" s="112">
        <f>ROUND($B539*KarliyukKdvOrani,0)</f>
        <v/>
      </c>
      <c r="F539" s="112">
        <f>$B539-$C539</f>
        <v/>
      </c>
      <c r="G539" s="113">
        <f>IF($B539=0,0,$H539/$B539)</f>
        <v/>
      </c>
      <c r="H539" s="112">
        <f>IF($F539&gt;0,ROUND($F539*KarliyukKurumlarOrani,0),0)</f>
        <v/>
      </c>
      <c r="I539" s="114" t="n"/>
    </row>
    <row r="540" ht="15" customHeight="1" s="68">
      <c r="A540" s="114" t="n"/>
      <c r="B540" s="114" t="n"/>
      <c r="C540" s="114" t="n"/>
      <c r="D540" s="114" t="n"/>
      <c r="E540" s="112">
        <f>ROUND($B540*KarliyukKdvOrani,0)</f>
        <v/>
      </c>
      <c r="F540" s="112">
        <f>$B540-$C540</f>
        <v/>
      </c>
      <c r="G540" s="113">
        <f>IF($B540=0,0,$H540/$B540)</f>
        <v/>
      </c>
      <c r="H540" s="112">
        <f>IF($F540&gt;0,ROUND($F540*KarliyukKurumlarOrani,0),0)</f>
        <v/>
      </c>
      <c r="I540" s="114" t="n"/>
    </row>
    <row r="541" ht="15" customHeight="1" s="68">
      <c r="A541" s="114" t="n"/>
      <c r="B541" s="114" t="n"/>
      <c r="C541" s="114" t="n"/>
      <c r="D541" s="114" t="n"/>
      <c r="E541" s="112">
        <f>ROUND($B541*KarliyukKdvOrani,0)</f>
        <v/>
      </c>
      <c r="F541" s="112">
        <f>$B541-$C541</f>
        <v/>
      </c>
      <c r="G541" s="113">
        <f>IF($B541=0,0,$H541/$B541)</f>
        <v/>
      </c>
      <c r="H541" s="112">
        <f>IF($F541&gt;0,ROUND($F541*KarliyukKurumlarOrani,0),0)</f>
        <v/>
      </c>
      <c r="I541" s="114" t="n"/>
    </row>
    <row r="542" ht="15" customHeight="1" s="68">
      <c r="A542" s="114" t="n"/>
      <c r="B542" s="114" t="n"/>
      <c r="C542" s="114" t="n"/>
      <c r="D542" s="114" t="n"/>
      <c r="E542" s="112">
        <f>ROUND($B542*KarliyukKdvOrani,0)</f>
        <v/>
      </c>
      <c r="F542" s="112">
        <f>$B542-$C542</f>
        <v/>
      </c>
      <c r="G542" s="113">
        <f>IF($B542=0,0,$H542/$B542)</f>
        <v/>
      </c>
      <c r="H542" s="112">
        <f>IF($F542&gt;0,ROUND($F542*KarliyukKurumlarOrani,0),0)</f>
        <v/>
      </c>
      <c r="I542" s="114" t="n"/>
    </row>
    <row r="543" ht="15" customHeight="1" s="68">
      <c r="A543" s="114" t="n"/>
      <c r="B543" s="114" t="n"/>
      <c r="C543" s="114" t="n"/>
      <c r="D543" s="114" t="n"/>
      <c r="E543" s="112">
        <f>ROUND($B543*KarliyukKdvOrani,0)</f>
        <v/>
      </c>
      <c r="F543" s="112">
        <f>$B543-$C543</f>
        <v/>
      </c>
      <c r="G543" s="113">
        <f>IF($B543=0,0,$H543/$B543)</f>
        <v/>
      </c>
      <c r="H543" s="112">
        <f>IF($F543&gt;0,ROUND($F543*KarliyukKurumlarOrani,0),0)</f>
        <v/>
      </c>
      <c r="I543" s="114" t="n"/>
    </row>
    <row r="544" ht="15" customHeight="1" s="68">
      <c r="A544" s="114" t="n"/>
      <c r="B544" s="114" t="n"/>
      <c r="C544" s="114" t="n"/>
      <c r="D544" s="114" t="n"/>
      <c r="E544" s="112">
        <f>ROUND($B544*KarliyukKdvOrani,0)</f>
        <v/>
      </c>
      <c r="F544" s="112">
        <f>$B544-$C544</f>
        <v/>
      </c>
      <c r="G544" s="113">
        <f>IF($B544=0,0,$H544/$B544)</f>
        <v/>
      </c>
      <c r="H544" s="112">
        <f>IF($F544&gt;0,ROUND($F544*KarliyukKurumlarOrani,0),0)</f>
        <v/>
      </c>
      <c r="I544" s="114" t="n"/>
    </row>
    <row r="545" ht="15" customHeight="1" s="68">
      <c r="A545" s="114" t="n"/>
      <c r="B545" s="114" t="n"/>
      <c r="C545" s="114" t="n"/>
      <c r="D545" s="114" t="n"/>
      <c r="E545" s="112">
        <f>ROUND($B545*KarliyukKdvOrani,0)</f>
        <v/>
      </c>
      <c r="F545" s="112">
        <f>$B545-$C545</f>
        <v/>
      </c>
      <c r="G545" s="113">
        <f>IF($B545=0,0,$H545/$B545)</f>
        <v/>
      </c>
      <c r="H545" s="112">
        <f>IF($F545&gt;0,ROUND($F545*KarliyukKurumlarOrani,0),0)</f>
        <v/>
      </c>
      <c r="I545" s="114" t="n"/>
    </row>
    <row r="546" ht="15" customHeight="1" s="68">
      <c r="A546" s="114" t="n"/>
      <c r="B546" s="114" t="n"/>
      <c r="C546" s="114" t="n"/>
      <c r="D546" s="114" t="n"/>
      <c r="E546" s="112">
        <f>ROUND($B546*KarliyukKdvOrani,0)</f>
        <v/>
      </c>
      <c r="F546" s="112">
        <f>$B546-$C546</f>
        <v/>
      </c>
      <c r="G546" s="113">
        <f>IF($B546=0,0,$H546/$B546)</f>
        <v/>
      </c>
      <c r="H546" s="112">
        <f>IF($F546&gt;0,ROUND($F546*KarliyukKurumlarOrani,0),0)</f>
        <v/>
      </c>
      <c r="I546" s="114" t="n"/>
    </row>
    <row r="547" ht="15" customHeight="1" s="68">
      <c r="A547" s="114" t="n"/>
      <c r="B547" s="114" t="n"/>
      <c r="C547" s="114" t="n"/>
      <c r="D547" s="114" t="n"/>
      <c r="E547" s="112">
        <f>ROUND($B547*KarliyukKdvOrani,0)</f>
        <v/>
      </c>
      <c r="F547" s="112">
        <f>$B547-$C547</f>
        <v/>
      </c>
      <c r="G547" s="113">
        <f>IF($B547=0,0,$H547/$B547)</f>
        <v/>
      </c>
      <c r="H547" s="112">
        <f>IF($F547&gt;0,ROUND($F547*KarliyukKurumlarOrani,0),0)</f>
        <v/>
      </c>
      <c r="I547" s="114" t="n"/>
    </row>
    <row r="548" ht="15" customHeight="1" s="68">
      <c r="A548" s="114" t="n"/>
      <c r="B548" s="114" t="n"/>
      <c r="C548" s="114" t="n"/>
      <c r="D548" s="114" t="n"/>
      <c r="E548" s="112">
        <f>ROUND($B548*KarliyukKdvOrani,0)</f>
        <v/>
      </c>
      <c r="F548" s="112">
        <f>$B548-$C548</f>
        <v/>
      </c>
      <c r="G548" s="113">
        <f>IF($B548=0,0,$H548/$B548)</f>
        <v/>
      </c>
      <c r="H548" s="112">
        <f>IF($F548&gt;0,ROUND($F548*KarliyukKurumlarOrani,0),0)</f>
        <v/>
      </c>
      <c r="I548" s="114" t="n"/>
    </row>
    <row r="549" ht="15" customHeight="1" s="68">
      <c r="A549" s="114" t="n"/>
      <c r="B549" s="114" t="n"/>
      <c r="C549" s="114" t="n"/>
      <c r="D549" s="114" t="n"/>
      <c r="E549" s="112">
        <f>ROUND($B549*KarliyukKdvOrani,0)</f>
        <v/>
      </c>
      <c r="F549" s="112">
        <f>$B549-$C549</f>
        <v/>
      </c>
      <c r="G549" s="113">
        <f>IF($B549=0,0,$H549/$B549)</f>
        <v/>
      </c>
      <c r="H549" s="112">
        <f>IF($F549&gt;0,ROUND($F549*KarliyukKurumlarOrani,0),0)</f>
        <v/>
      </c>
      <c r="I549" s="114" t="n"/>
    </row>
    <row r="550" ht="15" customHeight="1" s="68">
      <c r="A550" s="114" t="n"/>
      <c r="B550" s="114" t="n"/>
      <c r="C550" s="114" t="n"/>
      <c r="D550" s="114" t="n"/>
      <c r="E550" s="112">
        <f>ROUND($B550*KarliyukKdvOrani,0)</f>
        <v/>
      </c>
      <c r="F550" s="112">
        <f>$B550-$C550</f>
        <v/>
      </c>
      <c r="G550" s="113">
        <f>IF($B550=0,0,$H550/$B550)</f>
        <v/>
      </c>
      <c r="H550" s="112">
        <f>IF($F550&gt;0,ROUND($F550*KarliyukKurumlarOrani,0),0)</f>
        <v/>
      </c>
      <c r="I550" s="114" t="n"/>
    </row>
    <row r="551" ht="15" customHeight="1" s="68">
      <c r="A551" s="114" t="n"/>
      <c r="B551" s="114" t="n"/>
      <c r="C551" s="114" t="n"/>
      <c r="D551" s="114" t="n"/>
      <c r="E551" s="112">
        <f>ROUND($B551*KarliyukKdvOrani,0)</f>
        <v/>
      </c>
      <c r="F551" s="112">
        <f>$B551-$C551</f>
        <v/>
      </c>
      <c r="G551" s="113">
        <f>IF($B551=0,0,$H551/$B551)</f>
        <v/>
      </c>
      <c r="H551" s="112">
        <f>IF($F551&gt;0,ROUND($F551*KarliyukKurumlarOrani,0),0)</f>
        <v/>
      </c>
      <c r="I551" s="114" t="n"/>
    </row>
    <row r="552" ht="15" customHeight="1" s="68">
      <c r="A552" s="114" t="n"/>
      <c r="B552" s="114" t="n"/>
      <c r="C552" s="114" t="n"/>
      <c r="D552" s="114" t="n"/>
      <c r="E552" s="112">
        <f>ROUND($B552*KarliyukKdvOrani,0)</f>
        <v/>
      </c>
      <c r="F552" s="112">
        <f>$B552-$C552</f>
        <v/>
      </c>
      <c r="G552" s="113">
        <f>IF($B552=0,0,$H552/$B552)</f>
        <v/>
      </c>
      <c r="H552" s="112">
        <f>IF($F552&gt;0,ROUND($F552*KarliyukKurumlarOrani,0),0)</f>
        <v/>
      </c>
      <c r="I552" s="114" t="n"/>
    </row>
    <row r="553" ht="15" customHeight="1" s="68">
      <c r="A553" s="114" t="n"/>
      <c r="B553" s="114" t="n"/>
      <c r="C553" s="114" t="n"/>
      <c r="D553" s="114" t="n"/>
      <c r="E553" s="112">
        <f>ROUND($B553*KarliyukKdvOrani,0)</f>
        <v/>
      </c>
      <c r="F553" s="112">
        <f>$B553-$C553</f>
        <v/>
      </c>
      <c r="G553" s="113">
        <f>IF($B553=0,0,$H553/$B553)</f>
        <v/>
      </c>
      <c r="H553" s="112">
        <f>IF($F553&gt;0,ROUND($F553*KarliyukKurumlarOrani,0),0)</f>
        <v/>
      </c>
      <c r="I553" s="114" t="n"/>
    </row>
    <row r="554" ht="15" customHeight="1" s="68">
      <c r="A554" s="114" t="n"/>
      <c r="B554" s="114" t="n"/>
      <c r="C554" s="114" t="n"/>
      <c r="D554" s="114" t="n"/>
      <c r="E554" s="112">
        <f>ROUND($B554*KarliyukKdvOrani,0)</f>
        <v/>
      </c>
      <c r="F554" s="112">
        <f>$B554-$C554</f>
        <v/>
      </c>
      <c r="G554" s="113">
        <f>IF($B554=0,0,$H554/$B554)</f>
        <v/>
      </c>
      <c r="H554" s="112">
        <f>IF($F554&gt;0,ROUND($F554*KarliyukKurumlarOrani,0),0)</f>
        <v/>
      </c>
      <c r="I554" s="114" t="n"/>
    </row>
    <row r="555" ht="15" customHeight="1" s="68">
      <c r="A555" s="114" t="n"/>
      <c r="B555" s="114" t="n"/>
      <c r="C555" s="114" t="n"/>
      <c r="D555" s="114" t="n"/>
      <c r="E555" s="112">
        <f>ROUND($B555*KarliyukKdvOrani,0)</f>
        <v/>
      </c>
      <c r="F555" s="112">
        <f>$B555-$C555</f>
        <v/>
      </c>
      <c r="G555" s="113">
        <f>IF($B555=0,0,$H555/$B555)</f>
        <v/>
      </c>
      <c r="H555" s="112">
        <f>IF($F555&gt;0,ROUND($F555*KarliyukKurumlarOrani,0),0)</f>
        <v/>
      </c>
      <c r="I555" s="114" t="n"/>
    </row>
    <row r="556" ht="15" customHeight="1" s="68">
      <c r="A556" s="114" t="n"/>
      <c r="B556" s="114" t="n"/>
      <c r="C556" s="114" t="n"/>
      <c r="D556" s="114" t="n"/>
      <c r="E556" s="112">
        <f>ROUND($B556*KarliyukKdvOrani,0)</f>
        <v/>
      </c>
      <c r="F556" s="112">
        <f>$B556-$C556</f>
        <v/>
      </c>
      <c r="G556" s="113">
        <f>IF($B556=0,0,$H556/$B556)</f>
        <v/>
      </c>
      <c r="H556" s="112">
        <f>IF($F556&gt;0,ROUND($F556*KarliyukKurumlarOrani,0),0)</f>
        <v/>
      </c>
      <c r="I556" s="114" t="n"/>
    </row>
    <row r="557" ht="15" customHeight="1" s="68">
      <c r="A557" s="114" t="n"/>
      <c r="B557" s="114" t="n"/>
      <c r="C557" s="114" t="n"/>
      <c r="D557" s="114" t="n"/>
      <c r="E557" s="112">
        <f>ROUND($B557*KarliyukKdvOrani,0)</f>
        <v/>
      </c>
      <c r="F557" s="112">
        <f>$B557-$C557</f>
        <v/>
      </c>
      <c r="G557" s="113">
        <f>IF($B557=0,0,$H557/$B557)</f>
        <v/>
      </c>
      <c r="H557" s="112">
        <f>IF($F557&gt;0,ROUND($F557*KarliyukKurumlarOrani,0),0)</f>
        <v/>
      </c>
      <c r="I557" s="114" t="n"/>
    </row>
    <row r="558" ht="15" customHeight="1" s="68">
      <c r="A558" s="114" t="n"/>
      <c r="B558" s="114" t="n"/>
      <c r="C558" s="114" t="n"/>
      <c r="D558" s="114" t="n"/>
      <c r="E558" s="112">
        <f>ROUND($B558*KarliyukKdvOrani,0)</f>
        <v/>
      </c>
      <c r="F558" s="112">
        <f>$B558-$C558</f>
        <v/>
      </c>
      <c r="G558" s="113">
        <f>IF($B558=0,0,$H558/$B558)</f>
        <v/>
      </c>
      <c r="H558" s="112">
        <f>IF($F558&gt;0,ROUND($F558*KarliyukKurumlarOrani,0),0)</f>
        <v/>
      </c>
      <c r="I558" s="114" t="n"/>
    </row>
    <row r="559" ht="15" customHeight="1" s="68">
      <c r="A559" s="114" t="n"/>
      <c r="B559" s="114" t="n"/>
      <c r="C559" s="114" t="n"/>
      <c r="D559" s="114" t="n"/>
      <c r="E559" s="112">
        <f>ROUND($B559*KarliyukKdvOrani,0)</f>
        <v/>
      </c>
      <c r="F559" s="112">
        <f>$B559-$C559</f>
        <v/>
      </c>
      <c r="G559" s="113">
        <f>IF($B559=0,0,$H559/$B559)</f>
        <v/>
      </c>
      <c r="H559" s="112">
        <f>IF($F559&gt;0,ROUND($F559*KarliyukKurumlarOrani,0),0)</f>
        <v/>
      </c>
      <c r="I559" s="114" t="n"/>
    </row>
    <row r="560" ht="15" customHeight="1" s="68">
      <c r="A560" s="114" t="n"/>
      <c r="B560" s="114" t="n"/>
      <c r="C560" s="114" t="n"/>
      <c r="D560" s="114" t="n"/>
      <c r="E560" s="112">
        <f>ROUND($B560*KarliyukKdvOrani,0)</f>
        <v/>
      </c>
      <c r="F560" s="112">
        <f>$B560-$C560</f>
        <v/>
      </c>
      <c r="G560" s="113">
        <f>IF($B560=0,0,$H560/$B560)</f>
        <v/>
      </c>
      <c r="H560" s="112">
        <f>IF($F560&gt;0,ROUND($F560*KarliyukKurumlarOrani,0),0)</f>
        <v/>
      </c>
      <c r="I560" s="114" t="n"/>
    </row>
    <row r="561" ht="15" customHeight="1" s="68">
      <c r="A561" s="114" t="n"/>
      <c r="B561" s="114" t="n"/>
      <c r="C561" s="114" t="n"/>
      <c r="D561" s="114" t="n"/>
      <c r="E561" s="112">
        <f>ROUND($B561*KarliyukKdvOrani,0)</f>
        <v/>
      </c>
      <c r="F561" s="112">
        <f>$B561-$C561</f>
        <v/>
      </c>
      <c r="G561" s="113">
        <f>IF($B561=0,0,$H561/$B561)</f>
        <v/>
      </c>
      <c r="H561" s="112">
        <f>IF($F561&gt;0,ROUND($F561*KarliyukKurumlarOrani,0),0)</f>
        <v/>
      </c>
      <c r="I561" s="114" t="n"/>
    </row>
    <row r="562" ht="15" customHeight="1" s="68">
      <c r="A562" s="114" t="n"/>
      <c r="B562" s="114" t="n"/>
      <c r="C562" s="114" t="n"/>
      <c r="D562" s="114" t="n"/>
      <c r="E562" s="112">
        <f>ROUND($B562*KarliyukKdvOrani,0)</f>
        <v/>
      </c>
      <c r="F562" s="112">
        <f>$B562-$C562</f>
        <v/>
      </c>
      <c r="G562" s="113">
        <f>IF($B562=0,0,$H562/$B562)</f>
        <v/>
      </c>
      <c r="H562" s="112">
        <f>IF($F562&gt;0,ROUND($F562*KarliyukKurumlarOrani,0),0)</f>
        <v/>
      </c>
      <c r="I562" s="114" t="n"/>
    </row>
    <row r="563" ht="15" customHeight="1" s="68">
      <c r="A563" s="114" t="n"/>
      <c r="B563" s="114" t="n"/>
      <c r="C563" s="114" t="n"/>
      <c r="D563" s="114" t="n"/>
      <c r="E563" s="112">
        <f>ROUND($B563*KarliyukKdvOrani,0)</f>
        <v/>
      </c>
      <c r="F563" s="112">
        <f>$B563-$C563</f>
        <v/>
      </c>
      <c r="G563" s="113">
        <f>IF($B563=0,0,$H563/$B563)</f>
        <v/>
      </c>
      <c r="H563" s="112">
        <f>IF($F563&gt;0,ROUND($F563*KarliyukKurumlarOrani,0),0)</f>
        <v/>
      </c>
      <c r="I563" s="114" t="n"/>
    </row>
    <row r="564" ht="15" customHeight="1" s="68">
      <c r="A564" s="114" t="n"/>
      <c r="B564" s="114" t="n"/>
      <c r="C564" s="114" t="n"/>
      <c r="D564" s="114" t="n"/>
      <c r="E564" s="112">
        <f>ROUND($B564*KarliyukKdvOrani,0)</f>
        <v/>
      </c>
      <c r="F564" s="112">
        <f>$B564-$C564</f>
        <v/>
      </c>
      <c r="G564" s="113">
        <f>IF($B564=0,0,$H564/$B564)</f>
        <v/>
      </c>
      <c r="H564" s="112">
        <f>IF($F564&gt;0,ROUND($F564*KarliyukKurumlarOrani,0),0)</f>
        <v/>
      </c>
      <c r="I564" s="114" t="n"/>
    </row>
    <row r="565" ht="15" customHeight="1" s="68">
      <c r="A565" s="114" t="n"/>
      <c r="B565" s="114" t="n"/>
      <c r="C565" s="114" t="n"/>
      <c r="D565" s="114" t="n"/>
      <c r="E565" s="112">
        <f>ROUND($B565*KarliyukKdvOrani,0)</f>
        <v/>
      </c>
      <c r="F565" s="112">
        <f>$B565-$C565</f>
        <v/>
      </c>
      <c r="G565" s="113">
        <f>IF($B565=0,0,$H565/$B565)</f>
        <v/>
      </c>
      <c r="H565" s="112">
        <f>IF($F565&gt;0,ROUND($F565*KarliyukKurumlarOrani,0),0)</f>
        <v/>
      </c>
      <c r="I565" s="114" t="n"/>
    </row>
    <row r="566" ht="15" customHeight="1" s="68">
      <c r="A566" s="114" t="n"/>
      <c r="B566" s="114" t="n"/>
      <c r="C566" s="114" t="n"/>
      <c r="D566" s="114" t="n"/>
      <c r="E566" s="112">
        <f>ROUND($B566*KarliyukKdvOrani,0)</f>
        <v/>
      </c>
      <c r="F566" s="112">
        <f>$B566-$C566</f>
        <v/>
      </c>
      <c r="G566" s="113">
        <f>IF($B566=0,0,$H566/$B566)</f>
        <v/>
      </c>
      <c r="H566" s="112">
        <f>IF($F566&gt;0,ROUND($F566*KarliyukKurumlarOrani,0),0)</f>
        <v/>
      </c>
      <c r="I566" s="114" t="n"/>
    </row>
    <row r="567" ht="15" customHeight="1" s="68">
      <c r="A567" s="114" t="n"/>
      <c r="B567" s="114" t="n"/>
      <c r="C567" s="114" t="n"/>
      <c r="D567" s="114" t="n"/>
      <c r="E567" s="112">
        <f>ROUND($B567*KarliyukKdvOrani,0)</f>
        <v/>
      </c>
      <c r="F567" s="112">
        <f>$B567-$C567</f>
        <v/>
      </c>
      <c r="G567" s="113">
        <f>IF($B567=0,0,$H567/$B567)</f>
        <v/>
      </c>
      <c r="H567" s="112">
        <f>IF($F567&gt;0,ROUND($F567*KarliyukKurumlarOrani,0),0)</f>
        <v/>
      </c>
      <c r="I567" s="114" t="n"/>
    </row>
    <row r="568" ht="15" customHeight="1" s="68">
      <c r="A568" s="114" t="n"/>
      <c r="B568" s="114" t="n"/>
      <c r="C568" s="114" t="n"/>
      <c r="D568" s="114" t="n"/>
      <c r="E568" s="112">
        <f>ROUND($B568*KarliyukKdvOrani,0)</f>
        <v/>
      </c>
      <c r="F568" s="112">
        <f>$B568-$C568</f>
        <v/>
      </c>
      <c r="G568" s="113">
        <f>IF($B568=0,0,$H568/$B568)</f>
        <v/>
      </c>
      <c r="H568" s="112">
        <f>IF($F568&gt;0,ROUND($F568*KarliyukKurumlarOrani,0),0)</f>
        <v/>
      </c>
      <c r="I568" s="114" t="n"/>
    </row>
    <row r="569" ht="15" customHeight="1" s="68">
      <c r="A569" s="114" t="n"/>
      <c r="B569" s="114" t="n"/>
      <c r="C569" s="114" t="n"/>
      <c r="D569" s="114" t="n"/>
      <c r="E569" s="112">
        <f>ROUND($B569*KarliyukKdvOrani,0)</f>
        <v/>
      </c>
      <c r="F569" s="112">
        <f>$B569-$C569</f>
        <v/>
      </c>
      <c r="G569" s="113">
        <f>IF($B569=0,0,$H569/$B569)</f>
        <v/>
      </c>
      <c r="H569" s="112">
        <f>IF($F569&gt;0,ROUND($F569*KarliyukKurumlarOrani,0),0)</f>
        <v/>
      </c>
      <c r="I569" s="114" t="n"/>
    </row>
    <row r="570" ht="15" customHeight="1" s="68">
      <c r="A570" s="114" t="n"/>
      <c r="B570" s="114" t="n"/>
      <c r="C570" s="114" t="n"/>
      <c r="D570" s="114" t="n"/>
      <c r="E570" s="112">
        <f>ROUND($B570*KarliyukKdvOrani,0)</f>
        <v/>
      </c>
      <c r="F570" s="112">
        <f>$B570-$C570</f>
        <v/>
      </c>
      <c r="G570" s="113">
        <f>IF($B570=0,0,$H570/$B570)</f>
        <v/>
      </c>
      <c r="H570" s="112">
        <f>IF($F570&gt;0,ROUND($F570*KarliyukKurumlarOrani,0),0)</f>
        <v/>
      </c>
      <c r="I570" s="114" t="n"/>
    </row>
    <row r="571" ht="15" customHeight="1" s="68">
      <c r="A571" s="114" t="n"/>
      <c r="B571" s="114" t="n"/>
      <c r="C571" s="114" t="n"/>
      <c r="D571" s="114" t="n"/>
      <c r="E571" s="112">
        <f>ROUND($B571*KarliyukKdvOrani,0)</f>
        <v/>
      </c>
      <c r="F571" s="112">
        <f>$B571-$C571</f>
        <v/>
      </c>
      <c r="G571" s="113">
        <f>IF($B571=0,0,$H571/$B571)</f>
        <v/>
      </c>
      <c r="H571" s="112">
        <f>IF($F571&gt;0,ROUND($F571*KarliyukKurumlarOrani,0),0)</f>
        <v/>
      </c>
      <c r="I571" s="114" t="n"/>
    </row>
    <row r="572" ht="15" customHeight="1" s="68">
      <c r="A572" s="114" t="n"/>
      <c r="B572" s="114" t="n"/>
      <c r="C572" s="114" t="n"/>
      <c r="D572" s="114" t="n"/>
      <c r="E572" s="112">
        <f>ROUND($B572*KarliyukKdvOrani,0)</f>
        <v/>
      </c>
      <c r="F572" s="112">
        <f>$B572-$C572</f>
        <v/>
      </c>
      <c r="G572" s="113">
        <f>IF($B572=0,0,$H572/$B572)</f>
        <v/>
      </c>
      <c r="H572" s="112">
        <f>IF($F572&gt;0,ROUND($F572*KarliyukKurumlarOrani,0),0)</f>
        <v/>
      </c>
      <c r="I572" s="114" t="n"/>
    </row>
    <row r="573" ht="15" customHeight="1" s="68">
      <c r="A573" s="114" t="n"/>
      <c r="B573" s="114" t="n"/>
      <c r="C573" s="114" t="n"/>
      <c r="D573" s="114" t="n"/>
      <c r="E573" s="112">
        <f>ROUND($B573*KarliyukKdvOrani,0)</f>
        <v/>
      </c>
      <c r="F573" s="112">
        <f>$B573-$C573</f>
        <v/>
      </c>
      <c r="G573" s="113">
        <f>IF($B573=0,0,$H573/$B573)</f>
        <v/>
      </c>
      <c r="H573" s="112">
        <f>IF($F573&gt;0,ROUND($F573*KarliyukKurumlarOrani,0),0)</f>
        <v/>
      </c>
      <c r="I573" s="114" t="n"/>
    </row>
    <row r="574" ht="15" customHeight="1" s="68">
      <c r="A574" s="114" t="n"/>
      <c r="B574" s="114" t="n"/>
      <c r="C574" s="114" t="n"/>
      <c r="D574" s="114" t="n"/>
      <c r="E574" s="112">
        <f>ROUND($B574*KarliyukKdvOrani,0)</f>
        <v/>
      </c>
      <c r="F574" s="112">
        <f>$B574-$C574</f>
        <v/>
      </c>
      <c r="G574" s="113">
        <f>IF($B574=0,0,$H574/$B574)</f>
        <v/>
      </c>
      <c r="H574" s="112">
        <f>IF($F574&gt;0,ROUND($F574*KarliyukKurumlarOrani,0),0)</f>
        <v/>
      </c>
      <c r="I574" s="114" t="n"/>
    </row>
    <row r="575" ht="15" customHeight="1" s="68">
      <c r="A575" s="114" t="n"/>
      <c r="B575" s="114" t="n"/>
      <c r="C575" s="114" t="n"/>
      <c r="D575" s="114" t="n"/>
      <c r="E575" s="112">
        <f>ROUND($B575*KarliyukKdvOrani,0)</f>
        <v/>
      </c>
      <c r="F575" s="112">
        <f>$B575-$C575</f>
        <v/>
      </c>
      <c r="G575" s="113">
        <f>IF($B575=0,0,$H575/$B575)</f>
        <v/>
      </c>
      <c r="H575" s="112">
        <f>IF($F575&gt;0,ROUND($F575*KarliyukKurumlarOrani,0),0)</f>
        <v/>
      </c>
      <c r="I575" s="114" t="n"/>
    </row>
    <row r="576" ht="15" customHeight="1" s="68">
      <c r="A576" s="114" t="n"/>
      <c r="B576" s="114" t="n"/>
      <c r="C576" s="114" t="n"/>
      <c r="D576" s="114" t="n"/>
      <c r="E576" s="112">
        <f>ROUND($B576*KarliyukKdvOrani,0)</f>
        <v/>
      </c>
      <c r="F576" s="112">
        <f>$B576-$C576</f>
        <v/>
      </c>
      <c r="G576" s="113">
        <f>IF($B576=0,0,$H576/$B576)</f>
        <v/>
      </c>
      <c r="H576" s="112">
        <f>IF($F576&gt;0,ROUND($F576*KarliyukKurumlarOrani,0),0)</f>
        <v/>
      </c>
      <c r="I576" s="114" t="n"/>
    </row>
    <row r="577" ht="15" customHeight="1" s="68">
      <c r="A577" s="114" t="n"/>
      <c r="B577" s="114" t="n"/>
      <c r="C577" s="114" t="n"/>
      <c r="D577" s="114" t="n"/>
      <c r="E577" s="112">
        <f>ROUND($B577*KarliyukKdvOrani,0)</f>
        <v/>
      </c>
      <c r="F577" s="112">
        <f>$B577-$C577</f>
        <v/>
      </c>
      <c r="G577" s="113">
        <f>IF($B577=0,0,$H577/$B577)</f>
        <v/>
      </c>
      <c r="H577" s="112">
        <f>IF($F577&gt;0,ROUND($F577*KarliyukKurumlarOrani,0),0)</f>
        <v/>
      </c>
      <c r="I577" s="114" t="n"/>
    </row>
    <row r="578" ht="15" customHeight="1" s="68">
      <c r="A578" s="114" t="n"/>
      <c r="B578" s="114" t="n"/>
      <c r="C578" s="114" t="n"/>
      <c r="D578" s="114" t="n"/>
      <c r="E578" s="112">
        <f>ROUND($B578*KarliyukKdvOrani,0)</f>
        <v/>
      </c>
      <c r="F578" s="112">
        <f>$B578-$C578</f>
        <v/>
      </c>
      <c r="G578" s="113">
        <f>IF($B578=0,0,$H578/$B578)</f>
        <v/>
      </c>
      <c r="H578" s="112">
        <f>IF($F578&gt;0,ROUND($F578*KarliyukKurumlarOrani,0),0)</f>
        <v/>
      </c>
      <c r="I578" s="114" t="n"/>
    </row>
    <row r="579" ht="15" customHeight="1" s="68">
      <c r="A579" s="114" t="n"/>
      <c r="B579" s="114" t="n"/>
      <c r="C579" s="114" t="n"/>
      <c r="D579" s="114" t="n"/>
      <c r="E579" s="112">
        <f>ROUND($B579*KarliyukKdvOrani,0)</f>
        <v/>
      </c>
      <c r="F579" s="112">
        <f>$B579-$C579</f>
        <v/>
      </c>
      <c r="G579" s="113">
        <f>IF($B579=0,0,$H579/$B579)</f>
        <v/>
      </c>
      <c r="H579" s="112">
        <f>IF($F579&gt;0,ROUND($F579*KarliyukKurumlarOrani,0),0)</f>
        <v/>
      </c>
      <c r="I579" s="114" t="n"/>
    </row>
    <row r="580" ht="15" customHeight="1" s="68">
      <c r="A580" s="114" t="n"/>
      <c r="B580" s="114" t="n"/>
      <c r="C580" s="114" t="n"/>
      <c r="D580" s="114" t="n"/>
      <c r="E580" s="112">
        <f>ROUND($B580*KarliyukKdvOrani,0)</f>
        <v/>
      </c>
      <c r="F580" s="112">
        <f>$B580-$C580</f>
        <v/>
      </c>
      <c r="G580" s="113">
        <f>IF($B580=0,0,$H580/$B580)</f>
        <v/>
      </c>
      <c r="H580" s="112">
        <f>IF($F580&gt;0,ROUND($F580*KarliyukKurumlarOrani,0),0)</f>
        <v/>
      </c>
      <c r="I580" s="114" t="n"/>
    </row>
    <row r="581" ht="15" customHeight="1" s="68">
      <c r="A581" s="114" t="n"/>
      <c r="B581" s="114" t="n"/>
      <c r="C581" s="114" t="n"/>
      <c r="D581" s="114" t="n"/>
      <c r="E581" s="112">
        <f>ROUND($B581*KarliyukKdvOrani,0)</f>
        <v/>
      </c>
      <c r="F581" s="112">
        <f>$B581-$C581</f>
        <v/>
      </c>
      <c r="G581" s="113">
        <f>IF($B581=0,0,$H581/$B581)</f>
        <v/>
      </c>
      <c r="H581" s="112">
        <f>IF($F581&gt;0,ROUND($F581*KarliyukKurumlarOrani,0),0)</f>
        <v/>
      </c>
      <c r="I581" s="114" t="n"/>
    </row>
    <row r="582" ht="15" customHeight="1" s="68">
      <c r="A582" s="114" t="n"/>
      <c r="B582" s="114" t="n"/>
      <c r="C582" s="114" t="n"/>
      <c r="D582" s="114" t="n"/>
      <c r="E582" s="112">
        <f>ROUND($B582*KarliyukKdvOrani,0)</f>
        <v/>
      </c>
      <c r="F582" s="112">
        <f>$B582-$C582</f>
        <v/>
      </c>
      <c r="G582" s="113">
        <f>IF($B582=0,0,$H582/$B582)</f>
        <v/>
      </c>
      <c r="H582" s="112">
        <f>IF($F582&gt;0,ROUND($F582*KarliyukKurumlarOrani,0),0)</f>
        <v/>
      </c>
      <c r="I582" s="114" t="n"/>
    </row>
    <row r="583" ht="15" customHeight="1" s="68">
      <c r="A583" s="114" t="n"/>
      <c r="B583" s="114" t="n"/>
      <c r="C583" s="114" t="n"/>
      <c r="D583" s="114" t="n"/>
      <c r="E583" s="112">
        <f>ROUND($B583*KarliyukKdvOrani,0)</f>
        <v/>
      </c>
      <c r="F583" s="112">
        <f>$B583-$C583</f>
        <v/>
      </c>
      <c r="G583" s="113">
        <f>IF($B583=0,0,$H583/$B583)</f>
        <v/>
      </c>
      <c r="H583" s="112">
        <f>IF($F583&gt;0,ROUND($F583*KarliyukKurumlarOrani,0),0)</f>
        <v/>
      </c>
      <c r="I583" s="114" t="n"/>
    </row>
    <row r="584" ht="15" customHeight="1" s="68">
      <c r="A584" s="114" t="n"/>
      <c r="B584" s="114" t="n"/>
      <c r="C584" s="114" t="n"/>
      <c r="D584" s="114" t="n"/>
      <c r="E584" s="112">
        <f>ROUND($B584*KarliyukKdvOrani,0)</f>
        <v/>
      </c>
      <c r="F584" s="112">
        <f>$B584-$C584</f>
        <v/>
      </c>
      <c r="G584" s="113">
        <f>IF($B584=0,0,$H584/$B584)</f>
        <v/>
      </c>
      <c r="H584" s="112">
        <f>IF($F584&gt;0,ROUND($F584*KarliyukKurumlarOrani,0),0)</f>
        <v/>
      </c>
      <c r="I584" s="114" t="n"/>
    </row>
    <row r="585" ht="15" customHeight="1" s="68">
      <c r="A585" s="114" t="n"/>
      <c r="B585" s="114" t="n"/>
      <c r="C585" s="114" t="n"/>
      <c r="D585" s="114" t="n"/>
      <c r="E585" s="112">
        <f>ROUND($B585*KarliyukKdvOrani,0)</f>
        <v/>
      </c>
      <c r="F585" s="112">
        <f>$B585-$C585</f>
        <v/>
      </c>
      <c r="G585" s="113">
        <f>IF($B585=0,0,$H585/$B585)</f>
        <v/>
      </c>
      <c r="H585" s="112">
        <f>IF($F585&gt;0,ROUND($F585*KarliyukKurumlarOrani,0),0)</f>
        <v/>
      </c>
      <c r="I585" s="114" t="n"/>
    </row>
    <row r="586" ht="15" customHeight="1" s="68">
      <c r="A586" s="114" t="n"/>
      <c r="B586" s="114" t="n"/>
      <c r="C586" s="114" t="n"/>
      <c r="D586" s="114" t="n"/>
      <c r="E586" s="112">
        <f>ROUND($B586*KarliyukKdvOrani,0)</f>
        <v/>
      </c>
      <c r="F586" s="112">
        <f>$B586-$C586</f>
        <v/>
      </c>
      <c r="G586" s="113">
        <f>IF($B586=0,0,$H586/$B586)</f>
        <v/>
      </c>
      <c r="H586" s="112">
        <f>IF($F586&gt;0,ROUND($F586*KarliyukKurumlarOrani,0),0)</f>
        <v/>
      </c>
      <c r="I586" s="114" t="n"/>
    </row>
    <row r="587" ht="15" customHeight="1" s="68">
      <c r="A587" s="114" t="n"/>
      <c r="B587" s="114" t="n"/>
      <c r="C587" s="114" t="n"/>
      <c r="D587" s="114" t="n"/>
      <c r="E587" s="112">
        <f>ROUND($B587*KarliyukKdvOrani,0)</f>
        <v/>
      </c>
      <c r="F587" s="112">
        <f>$B587-$C587</f>
        <v/>
      </c>
      <c r="G587" s="113">
        <f>IF($B587=0,0,$H587/$B587)</f>
        <v/>
      </c>
      <c r="H587" s="112">
        <f>IF($F587&gt;0,ROUND($F587*KarliyukKurumlarOrani,0),0)</f>
        <v/>
      </c>
      <c r="I587" s="114" t="n"/>
    </row>
    <row r="588" ht="15" customHeight="1" s="68">
      <c r="A588" s="114" t="n"/>
      <c r="B588" s="114" t="n"/>
      <c r="C588" s="114" t="n"/>
      <c r="D588" s="114" t="n"/>
      <c r="E588" s="112">
        <f>ROUND($B588*KarliyukKdvOrani,0)</f>
        <v/>
      </c>
      <c r="F588" s="112">
        <f>$B588-$C588</f>
        <v/>
      </c>
      <c r="G588" s="113">
        <f>IF($B588=0,0,$H588/$B588)</f>
        <v/>
      </c>
      <c r="H588" s="112">
        <f>IF($F588&gt;0,ROUND($F588*KarliyukKurumlarOrani,0),0)</f>
        <v/>
      </c>
      <c r="I588" s="114" t="n"/>
    </row>
    <row r="589" ht="15" customHeight="1" s="68">
      <c r="A589" s="114" t="n"/>
      <c r="B589" s="114" t="n"/>
      <c r="C589" s="114" t="n"/>
      <c r="D589" s="114" t="n"/>
      <c r="E589" s="112">
        <f>ROUND($B589*KarliyukKdvOrani,0)</f>
        <v/>
      </c>
      <c r="F589" s="112">
        <f>$B589-$C589</f>
        <v/>
      </c>
      <c r="G589" s="113">
        <f>IF($B589=0,0,$H589/$B589)</f>
        <v/>
      </c>
      <c r="H589" s="112">
        <f>IF($F589&gt;0,ROUND($F589*KarliyukKurumlarOrani,0),0)</f>
        <v/>
      </c>
      <c r="I589" s="114" t="n"/>
    </row>
    <row r="590" ht="15" customHeight="1" s="68">
      <c r="A590" s="114" t="n"/>
      <c r="B590" s="114" t="n"/>
      <c r="C590" s="114" t="n"/>
      <c r="D590" s="114" t="n"/>
      <c r="E590" s="112">
        <f>ROUND($B590*KarliyukKdvOrani,0)</f>
        <v/>
      </c>
      <c r="F590" s="112">
        <f>$B590-$C590</f>
        <v/>
      </c>
      <c r="G590" s="113">
        <f>IF($B590=0,0,$H590/$B590)</f>
        <v/>
      </c>
      <c r="H590" s="112">
        <f>IF($F590&gt;0,ROUND($F590*KarliyukKurumlarOrani,0),0)</f>
        <v/>
      </c>
      <c r="I590" s="114" t="n"/>
    </row>
    <row r="591" ht="15" customHeight="1" s="68">
      <c r="A591" s="114" t="n"/>
      <c r="B591" s="114" t="n"/>
      <c r="C591" s="114" t="n"/>
      <c r="D591" s="114" t="n"/>
      <c r="E591" s="112">
        <f>ROUND($B591*KarliyukKdvOrani,0)</f>
        <v/>
      </c>
      <c r="F591" s="112">
        <f>$B591-$C591</f>
        <v/>
      </c>
      <c r="G591" s="113">
        <f>IF($B591=0,0,$H591/$B591)</f>
        <v/>
      </c>
      <c r="H591" s="112">
        <f>IF($F591&gt;0,ROUND($F591*KarliyukKurumlarOrani,0),0)</f>
        <v/>
      </c>
      <c r="I591" s="114" t="n"/>
    </row>
    <row r="592" ht="15" customHeight="1" s="68">
      <c r="A592" s="114" t="n"/>
      <c r="B592" s="114" t="n"/>
      <c r="C592" s="114" t="n"/>
      <c r="D592" s="114" t="n"/>
      <c r="E592" s="112">
        <f>ROUND($B592*KarliyukKdvOrani,0)</f>
        <v/>
      </c>
      <c r="F592" s="112">
        <f>$B592-$C592</f>
        <v/>
      </c>
      <c r="G592" s="113">
        <f>IF($B592=0,0,$H592/$B592)</f>
        <v/>
      </c>
      <c r="H592" s="112">
        <f>IF($F592&gt;0,ROUND($F592*KarliyukKurumlarOrani,0),0)</f>
        <v/>
      </c>
      <c r="I592" s="114" t="n"/>
    </row>
    <row r="593" ht="15" customHeight="1" s="68">
      <c r="A593" s="114" t="n"/>
      <c r="B593" s="114" t="n"/>
      <c r="C593" s="114" t="n"/>
      <c r="D593" s="114" t="n"/>
      <c r="E593" s="112">
        <f>ROUND($B593*KarliyukKdvOrani,0)</f>
        <v/>
      </c>
      <c r="F593" s="112">
        <f>$B593-$C593</f>
        <v/>
      </c>
      <c r="G593" s="113">
        <f>IF($B593=0,0,$H593/$B593)</f>
        <v/>
      </c>
      <c r="H593" s="112">
        <f>IF($F593&gt;0,ROUND($F593*KarliyukKurumlarOrani,0),0)</f>
        <v/>
      </c>
      <c r="I593" s="114" t="n"/>
    </row>
    <row r="594" ht="15" customHeight="1" s="68">
      <c r="A594" s="114" t="n"/>
      <c r="B594" s="114" t="n"/>
      <c r="C594" s="114" t="n"/>
      <c r="D594" s="114" t="n"/>
      <c r="E594" s="112">
        <f>ROUND($B594*KarliyukKdvOrani,0)</f>
        <v/>
      </c>
      <c r="F594" s="112">
        <f>$B594-$C594</f>
        <v/>
      </c>
      <c r="G594" s="113">
        <f>IF($B594=0,0,$H594/$B594)</f>
        <v/>
      </c>
      <c r="H594" s="112">
        <f>IF($F594&gt;0,ROUND($F594*KarliyukKurumlarOrani,0),0)</f>
        <v/>
      </c>
      <c r="I594" s="114" t="n"/>
    </row>
    <row r="595" ht="15" customHeight="1" s="68">
      <c r="A595" s="114" t="n"/>
      <c r="B595" s="114" t="n"/>
      <c r="C595" s="114" t="n"/>
      <c r="D595" s="114" t="n"/>
      <c r="E595" s="112">
        <f>ROUND($B595*KarliyukKdvOrani,0)</f>
        <v/>
      </c>
      <c r="F595" s="112">
        <f>$B595-$C595</f>
        <v/>
      </c>
      <c r="G595" s="113">
        <f>IF($B595=0,0,$H595/$B595)</f>
        <v/>
      </c>
      <c r="H595" s="112">
        <f>IF($F595&gt;0,ROUND($F595*KarliyukKurumlarOrani,0),0)</f>
        <v/>
      </c>
      <c r="I595" s="114" t="n"/>
    </row>
    <row r="596" ht="15" customHeight="1" s="68">
      <c r="A596" s="114" t="n"/>
      <c r="B596" s="114" t="n"/>
      <c r="C596" s="114" t="n"/>
      <c r="D596" s="114" t="n"/>
      <c r="E596" s="112">
        <f>ROUND($B596*KarliyukKdvOrani,0)</f>
        <v/>
      </c>
      <c r="F596" s="112">
        <f>$B596-$C596</f>
        <v/>
      </c>
      <c r="G596" s="113">
        <f>IF($B596=0,0,$H596/$B596)</f>
        <v/>
      </c>
      <c r="H596" s="112">
        <f>IF($F596&gt;0,ROUND($F596*KarliyukKurumlarOrani,0),0)</f>
        <v/>
      </c>
      <c r="I596" s="114" t="n"/>
    </row>
    <row r="597" ht="15" customHeight="1" s="68">
      <c r="A597" s="114" t="n"/>
      <c r="B597" s="114" t="n"/>
      <c r="C597" s="114" t="n"/>
      <c r="D597" s="114" t="n"/>
      <c r="E597" s="112">
        <f>ROUND($B597*KarliyukKdvOrani,0)</f>
        <v/>
      </c>
      <c r="F597" s="112">
        <f>$B597-$C597</f>
        <v/>
      </c>
      <c r="G597" s="113">
        <f>IF($B597=0,0,$H597/$B597)</f>
        <v/>
      </c>
      <c r="H597" s="112">
        <f>IF($F597&gt;0,ROUND($F597*KarliyukKurumlarOrani,0),0)</f>
        <v/>
      </c>
      <c r="I597" s="114" t="n"/>
    </row>
    <row r="598" ht="15" customHeight="1" s="68">
      <c r="A598" s="114" t="n"/>
      <c r="B598" s="114" t="n"/>
      <c r="C598" s="114" t="n"/>
      <c r="D598" s="114" t="n"/>
      <c r="E598" s="112">
        <f>ROUND($B598*KarliyukKdvOrani,0)</f>
        <v/>
      </c>
      <c r="F598" s="112">
        <f>$B598-$C598</f>
        <v/>
      </c>
      <c r="G598" s="113">
        <f>IF($B598=0,0,$H598/$B598)</f>
        <v/>
      </c>
      <c r="H598" s="112">
        <f>IF($F598&gt;0,ROUND($F598*KarliyukKurumlarOrani,0),0)</f>
        <v/>
      </c>
      <c r="I598" s="114" t="n"/>
    </row>
    <row r="599" ht="15" customHeight="1" s="68">
      <c r="A599" s="114" t="n"/>
      <c r="B599" s="114" t="n"/>
      <c r="C599" s="114" t="n"/>
      <c r="D599" s="114" t="n"/>
      <c r="E599" s="112">
        <f>ROUND($B599*KarliyukKdvOrani,0)</f>
        <v/>
      </c>
      <c r="F599" s="112">
        <f>$B599-$C599</f>
        <v/>
      </c>
      <c r="G599" s="113">
        <f>IF($B599=0,0,$H599/$B599)</f>
        <v/>
      </c>
      <c r="H599" s="112">
        <f>IF($F599&gt;0,ROUND($F599*KarliyukKurumlarOrani,0),0)</f>
        <v/>
      </c>
      <c r="I599" s="114" t="n"/>
    </row>
    <row r="600" ht="15" customHeight="1" s="68">
      <c r="A600" s="114" t="n"/>
      <c r="B600" s="114" t="n"/>
      <c r="C600" s="114" t="n"/>
      <c r="D600" s="114" t="n"/>
      <c r="E600" s="112">
        <f>ROUND($B600*KarliyukKdvOrani,0)</f>
        <v/>
      </c>
      <c r="F600" s="112">
        <f>$B600-$C600</f>
        <v/>
      </c>
      <c r="G600" s="113">
        <f>IF($B600=0,0,$H600/$B600)</f>
        <v/>
      </c>
      <c r="H600" s="112">
        <f>IF($F600&gt;0,ROUND($F600*KarliyukKurumlarOrani,0),0)</f>
        <v/>
      </c>
      <c r="I600" s="114" t="n"/>
    </row>
    <row r="601" ht="15" customHeight="1" s="68">
      <c r="A601" s="114" t="n"/>
      <c r="B601" s="114" t="n"/>
      <c r="C601" s="114" t="n"/>
      <c r="D601" s="114" t="n"/>
      <c r="E601" s="112">
        <f>ROUND($B601*KarliyukKdvOrani,0)</f>
        <v/>
      </c>
      <c r="F601" s="112">
        <f>$B601-$C601</f>
        <v/>
      </c>
      <c r="G601" s="113">
        <f>IF($B601=0,0,$H601/$B601)</f>
        <v/>
      </c>
      <c r="H601" s="112">
        <f>IF($F601&gt;0,ROUND($F601*KarliyukKurumlarOrani,0),0)</f>
        <v/>
      </c>
      <c r="I601" s="114" t="n"/>
    </row>
    <row r="602" ht="15" customHeight="1" s="68">
      <c r="A602" s="114" t="n"/>
      <c r="B602" s="114" t="n"/>
      <c r="C602" s="114" t="n"/>
      <c r="D602" s="114" t="n"/>
      <c r="E602" s="112">
        <f>ROUND($B602*KarliyukKdvOrani,0)</f>
        <v/>
      </c>
      <c r="F602" s="112">
        <f>$B602-$C602</f>
        <v/>
      </c>
      <c r="G602" s="113">
        <f>IF($B602=0,0,$H602/$B602)</f>
        <v/>
      </c>
      <c r="H602" s="112">
        <f>IF($F602&gt;0,ROUND($F602*KarliyukKurumlarOrani,0),0)</f>
        <v/>
      </c>
      <c r="I602" s="114" t="n"/>
    </row>
    <row r="603" ht="15" customHeight="1" s="68">
      <c r="A603" s="114" t="n"/>
      <c r="B603" s="114" t="n"/>
      <c r="C603" s="114" t="n"/>
      <c r="D603" s="114" t="n"/>
      <c r="E603" s="112">
        <f>ROUND($B603*KarliyukKdvOrani,0)</f>
        <v/>
      </c>
      <c r="F603" s="112">
        <f>$B603-$C603</f>
        <v/>
      </c>
      <c r="G603" s="113">
        <f>IF($B603=0,0,$H603/$B603)</f>
        <v/>
      </c>
      <c r="H603" s="112">
        <f>IF($F603&gt;0,ROUND($F603*KarliyukKurumlarOrani,0),0)</f>
        <v/>
      </c>
      <c r="I603" s="114" t="n"/>
    </row>
    <row r="604" ht="15" customHeight="1" s="68">
      <c r="A604" s="114" t="n"/>
      <c r="B604" s="114" t="n"/>
      <c r="C604" s="114" t="n"/>
      <c r="D604" s="114" t="n"/>
      <c r="E604" s="112">
        <f>ROUND($B604*KarliyukKdvOrani,0)</f>
        <v/>
      </c>
      <c r="F604" s="112">
        <f>$B604-$C604</f>
        <v/>
      </c>
      <c r="G604" s="113">
        <f>IF($B604=0,0,$H604/$B604)</f>
        <v/>
      </c>
      <c r="H604" s="112">
        <f>IF($F604&gt;0,ROUND($F604*KarliyukKurumlarOrani,0),0)</f>
        <v/>
      </c>
      <c r="I604" s="114" t="n"/>
    </row>
    <row r="605" ht="15" customHeight="1" s="68">
      <c r="A605" s="114" t="n"/>
      <c r="B605" s="114" t="n"/>
      <c r="C605" s="114" t="n"/>
      <c r="D605" s="114" t="n"/>
      <c r="E605" s="112">
        <f>ROUND($B605*KarliyukKdvOrani,0)</f>
        <v/>
      </c>
      <c r="F605" s="112">
        <f>$B605-$C605</f>
        <v/>
      </c>
      <c r="G605" s="113">
        <f>IF($B605=0,0,$H605/$B605)</f>
        <v/>
      </c>
      <c r="H605" s="112">
        <f>IF($F605&gt;0,ROUND($F605*KarliyukKurumlarOrani,0),0)</f>
        <v/>
      </c>
      <c r="I605" s="114" t="n"/>
    </row>
    <row r="606" ht="15" customHeight="1" s="68">
      <c r="A606" s="114" t="n"/>
      <c r="B606" s="114" t="n"/>
      <c r="C606" s="114" t="n"/>
      <c r="D606" s="114" t="n"/>
      <c r="E606" s="112">
        <f>ROUND($B606*KarliyukKdvOrani,0)</f>
        <v/>
      </c>
      <c r="F606" s="112">
        <f>$B606-$C606</f>
        <v/>
      </c>
      <c r="G606" s="113">
        <f>IF($B606=0,0,$H606/$B606)</f>
        <v/>
      </c>
      <c r="H606" s="112">
        <f>IF($F606&gt;0,ROUND($F606*KarliyukKurumlarOrani,0),0)</f>
        <v/>
      </c>
      <c r="I606" s="114" t="n"/>
    </row>
    <row r="607" ht="15" customHeight="1" s="68">
      <c r="A607" s="114" t="n"/>
      <c r="B607" s="114" t="n"/>
      <c r="C607" s="114" t="n"/>
      <c r="D607" s="114" t="n"/>
      <c r="E607" s="112">
        <f>ROUND($B607*KarliyukKdvOrani,0)</f>
        <v/>
      </c>
      <c r="F607" s="112">
        <f>$B607-$C607</f>
        <v/>
      </c>
      <c r="G607" s="113">
        <f>IF($B607=0,0,$H607/$B607)</f>
        <v/>
      </c>
      <c r="H607" s="112">
        <f>IF($F607&gt;0,ROUND($F607*KarliyukKurumlarOrani,0),0)</f>
        <v/>
      </c>
      <c r="I607" s="114" t="n"/>
    </row>
    <row r="608" ht="15" customHeight="1" s="68">
      <c r="A608" s="114" t="n"/>
      <c r="B608" s="114" t="n"/>
      <c r="C608" s="114" t="n"/>
      <c r="D608" s="114" t="n"/>
      <c r="E608" s="112">
        <f>ROUND($B608*KarliyukKdvOrani,0)</f>
        <v/>
      </c>
      <c r="F608" s="112">
        <f>$B608-$C608</f>
        <v/>
      </c>
      <c r="G608" s="113">
        <f>IF($B608=0,0,$H608/$B608)</f>
        <v/>
      </c>
      <c r="H608" s="112">
        <f>IF($F608&gt;0,ROUND($F608*KarliyukKurumlarOrani,0),0)</f>
        <v/>
      </c>
      <c r="I608" s="114" t="n"/>
    </row>
    <row r="609" ht="15" customHeight="1" s="68">
      <c r="A609" s="114" t="n"/>
      <c r="B609" s="114" t="n"/>
      <c r="C609" s="114" t="n"/>
      <c r="D609" s="114" t="n"/>
      <c r="E609" s="112">
        <f>ROUND($B609*KarliyukKdvOrani,0)</f>
        <v/>
      </c>
      <c r="F609" s="112">
        <f>$B609-$C609</f>
        <v/>
      </c>
      <c r="G609" s="113">
        <f>IF($B609=0,0,$H609/$B609)</f>
        <v/>
      </c>
      <c r="H609" s="112">
        <f>IF($F609&gt;0,ROUND($F609*KarliyukKurumlarOrani,0),0)</f>
        <v/>
      </c>
      <c r="I609" s="114" t="n"/>
    </row>
    <row r="610" ht="15" customHeight="1" s="68">
      <c r="A610" s="114" t="n"/>
      <c r="B610" s="114" t="n"/>
      <c r="C610" s="114" t="n"/>
      <c r="D610" s="114" t="n"/>
      <c r="E610" s="112">
        <f>ROUND($B610*KarliyukKdvOrani,0)</f>
        <v/>
      </c>
      <c r="F610" s="112">
        <f>$B610-$C610</f>
        <v/>
      </c>
      <c r="G610" s="113">
        <f>IF($B610=0,0,$H610/$B610)</f>
        <v/>
      </c>
      <c r="H610" s="112">
        <f>IF($F610&gt;0,ROUND($F610*KarliyukKurumlarOrani,0),0)</f>
        <v/>
      </c>
      <c r="I610" s="114" t="n"/>
    </row>
    <row r="611" ht="15" customHeight="1" s="68">
      <c r="A611" s="114" t="n"/>
      <c r="B611" s="114" t="n"/>
      <c r="C611" s="114" t="n"/>
      <c r="D611" s="114" t="n"/>
      <c r="E611" s="112">
        <f>ROUND($B611*KarliyukKdvOrani,0)</f>
        <v/>
      </c>
      <c r="F611" s="112">
        <f>$B611-$C611</f>
        <v/>
      </c>
      <c r="G611" s="113">
        <f>IF($B611=0,0,$H611/$B611)</f>
        <v/>
      </c>
      <c r="H611" s="112">
        <f>IF($F611&gt;0,ROUND($F611*KarliyukKurumlarOrani,0),0)</f>
        <v/>
      </c>
      <c r="I611" s="114" t="n"/>
    </row>
    <row r="612" ht="15" customHeight="1" s="68">
      <c r="A612" s="114" t="n"/>
      <c r="B612" s="114" t="n"/>
      <c r="C612" s="114" t="n"/>
      <c r="D612" s="114" t="n"/>
      <c r="E612" s="112">
        <f>ROUND($B612*KarliyukKdvOrani,0)</f>
        <v/>
      </c>
      <c r="F612" s="112">
        <f>$B612-$C612</f>
        <v/>
      </c>
      <c r="G612" s="113">
        <f>IF($B612=0,0,$H612/$B612)</f>
        <v/>
      </c>
      <c r="H612" s="112">
        <f>IF($F612&gt;0,ROUND($F612*KarliyukKurumlarOrani,0),0)</f>
        <v/>
      </c>
      <c r="I612" s="114" t="n"/>
    </row>
    <row r="613" ht="15" customHeight="1" s="68">
      <c r="A613" s="114" t="n"/>
      <c r="B613" s="114" t="n"/>
      <c r="C613" s="114" t="n"/>
      <c r="D613" s="114" t="n"/>
      <c r="E613" s="112">
        <f>ROUND($B613*KarliyukKdvOrani,0)</f>
        <v/>
      </c>
      <c r="F613" s="112">
        <f>$B613-$C613</f>
        <v/>
      </c>
      <c r="G613" s="113">
        <f>IF($B613=0,0,$H613/$B613)</f>
        <v/>
      </c>
      <c r="H613" s="112">
        <f>IF($F613&gt;0,ROUND($F613*KarliyukKurumlarOrani,0),0)</f>
        <v/>
      </c>
      <c r="I613" s="114" t="n"/>
    </row>
    <row r="614" ht="15" customHeight="1" s="68">
      <c r="A614" s="114" t="n"/>
      <c r="B614" s="114" t="n"/>
      <c r="C614" s="114" t="n"/>
      <c r="D614" s="114" t="n"/>
      <c r="E614" s="112">
        <f>ROUND($B614*KarliyukKdvOrani,0)</f>
        <v/>
      </c>
      <c r="F614" s="112">
        <f>$B614-$C614</f>
        <v/>
      </c>
      <c r="G614" s="113">
        <f>IF($B614=0,0,$H614/$B614)</f>
        <v/>
      </c>
      <c r="H614" s="112">
        <f>IF($F614&gt;0,ROUND($F614*KarliyukKurumlarOrani,0),0)</f>
        <v/>
      </c>
      <c r="I614" s="114" t="n"/>
    </row>
    <row r="615" ht="15" customHeight="1" s="68">
      <c r="A615" s="114" t="n"/>
      <c r="B615" s="114" t="n"/>
      <c r="C615" s="114" t="n"/>
      <c r="D615" s="114" t="n"/>
      <c r="E615" s="112">
        <f>ROUND($B615*KarliyukKdvOrani,0)</f>
        <v/>
      </c>
      <c r="F615" s="112">
        <f>$B615-$C615</f>
        <v/>
      </c>
      <c r="G615" s="113">
        <f>IF($B615=0,0,$H615/$B615)</f>
        <v/>
      </c>
      <c r="H615" s="112">
        <f>IF($F615&gt;0,ROUND($F615*KarliyukKurumlarOrani,0),0)</f>
        <v/>
      </c>
      <c r="I615" s="114" t="n"/>
    </row>
    <row r="616" ht="15" customHeight="1" s="68">
      <c r="A616" s="114" t="n"/>
      <c r="B616" s="114" t="n"/>
      <c r="C616" s="114" t="n"/>
      <c r="D616" s="114" t="n"/>
      <c r="E616" s="112">
        <f>ROUND($B616*KarliyukKdvOrani,0)</f>
        <v/>
      </c>
      <c r="F616" s="112">
        <f>$B616-$C616</f>
        <v/>
      </c>
      <c r="G616" s="113">
        <f>IF($B616=0,0,$H616/$B616)</f>
        <v/>
      </c>
      <c r="H616" s="112">
        <f>IF($F616&gt;0,ROUND($F616*KarliyukKurumlarOrani,0),0)</f>
        <v/>
      </c>
      <c r="I616" s="114" t="n"/>
    </row>
    <row r="617" ht="15" customHeight="1" s="68">
      <c r="A617" s="114" t="n"/>
      <c r="B617" s="114" t="n"/>
      <c r="C617" s="114" t="n"/>
      <c r="D617" s="114" t="n"/>
      <c r="E617" s="112">
        <f>ROUND($B617*KarliyukKdvOrani,0)</f>
        <v/>
      </c>
      <c r="F617" s="112">
        <f>$B617-$C617</f>
        <v/>
      </c>
      <c r="G617" s="113">
        <f>IF($B617=0,0,$H617/$B617)</f>
        <v/>
      </c>
      <c r="H617" s="112">
        <f>IF($F617&gt;0,ROUND($F617*KarliyukKurumlarOrani,0),0)</f>
        <v/>
      </c>
      <c r="I617" s="114" t="n"/>
    </row>
    <row r="618" ht="15" customHeight="1" s="68">
      <c r="A618" s="114" t="n"/>
      <c r="B618" s="114" t="n"/>
      <c r="C618" s="114" t="n"/>
      <c r="D618" s="114" t="n"/>
      <c r="E618" s="112">
        <f>ROUND($B618*KarliyukKdvOrani,0)</f>
        <v/>
      </c>
      <c r="F618" s="112">
        <f>$B618-$C618</f>
        <v/>
      </c>
      <c r="G618" s="113">
        <f>IF($B618=0,0,$H618/$B618)</f>
        <v/>
      </c>
      <c r="H618" s="112">
        <f>IF($F618&gt;0,ROUND($F618*KarliyukKurumlarOrani,0),0)</f>
        <v/>
      </c>
      <c r="I618" s="114" t="n"/>
    </row>
    <row r="619" ht="15" customHeight="1" s="68">
      <c r="A619" s="114" t="n"/>
      <c r="B619" s="114" t="n"/>
      <c r="C619" s="114" t="n"/>
      <c r="D619" s="114" t="n"/>
      <c r="E619" s="112">
        <f>ROUND($B619*KarliyukKdvOrani,0)</f>
        <v/>
      </c>
      <c r="F619" s="112">
        <f>$B619-$C619</f>
        <v/>
      </c>
      <c r="G619" s="113">
        <f>IF($B619=0,0,$H619/$B619)</f>
        <v/>
      </c>
      <c r="H619" s="112">
        <f>IF($F619&gt;0,ROUND($F619*KarliyukKurumlarOrani,0),0)</f>
        <v/>
      </c>
      <c r="I619" s="114" t="n"/>
    </row>
    <row r="620" ht="15" customHeight="1" s="68">
      <c r="A620" s="114" t="n"/>
      <c r="B620" s="114" t="n"/>
      <c r="C620" s="114" t="n"/>
      <c r="D620" s="114" t="n"/>
      <c r="E620" s="112">
        <f>ROUND($B620*KarliyukKdvOrani,0)</f>
        <v/>
      </c>
      <c r="F620" s="112">
        <f>$B620-$C620</f>
        <v/>
      </c>
      <c r="G620" s="113">
        <f>IF($B620=0,0,$H620/$B620)</f>
        <v/>
      </c>
      <c r="H620" s="112">
        <f>IF($F620&gt;0,ROUND($F620*KarliyukKurumlarOrani,0),0)</f>
        <v/>
      </c>
      <c r="I620" s="114" t="n"/>
    </row>
    <row r="621" ht="15" customHeight="1" s="68">
      <c r="A621" s="114" t="n"/>
      <c r="B621" s="114" t="n"/>
      <c r="C621" s="114" t="n"/>
      <c r="D621" s="114" t="n"/>
      <c r="E621" s="112">
        <f>ROUND($B621*KarliyukKdvOrani,0)</f>
        <v/>
      </c>
      <c r="F621" s="112">
        <f>$B621-$C621</f>
        <v/>
      </c>
      <c r="G621" s="113">
        <f>IF($B621=0,0,$H621/$B621)</f>
        <v/>
      </c>
      <c r="H621" s="112">
        <f>IF($F621&gt;0,ROUND($F621*KarliyukKurumlarOrani,0),0)</f>
        <v/>
      </c>
      <c r="I621" s="114" t="n"/>
    </row>
    <row r="622" ht="15" customHeight="1" s="68">
      <c r="A622" s="114" t="n"/>
      <c r="B622" s="114" t="n"/>
      <c r="C622" s="114" t="n"/>
      <c r="D622" s="114" t="n"/>
      <c r="E622" s="112">
        <f>ROUND($B622*KarliyukKdvOrani,0)</f>
        <v/>
      </c>
      <c r="F622" s="112">
        <f>$B622-$C622</f>
        <v/>
      </c>
      <c r="G622" s="113">
        <f>IF($B622=0,0,$H622/$B622)</f>
        <v/>
      </c>
      <c r="H622" s="112">
        <f>IF($F622&gt;0,ROUND($F622*KarliyukKurumlarOrani,0),0)</f>
        <v/>
      </c>
      <c r="I622" s="114" t="n"/>
    </row>
    <row r="623" ht="15" customHeight="1" s="68">
      <c r="A623" s="114" t="n"/>
      <c r="B623" s="114" t="n"/>
      <c r="C623" s="114" t="n"/>
      <c r="D623" s="114" t="n"/>
      <c r="E623" s="112">
        <f>ROUND($B623*KarliyukKdvOrani,0)</f>
        <v/>
      </c>
      <c r="F623" s="112">
        <f>$B623-$C623</f>
        <v/>
      </c>
      <c r="G623" s="113">
        <f>IF($B623=0,0,$H623/$B623)</f>
        <v/>
      </c>
      <c r="H623" s="112">
        <f>IF($F623&gt;0,ROUND($F623*KarliyukKurumlarOrani,0),0)</f>
        <v/>
      </c>
      <c r="I623" s="114" t="n"/>
    </row>
    <row r="624" ht="15" customHeight="1" s="68">
      <c r="A624" s="114" t="n"/>
      <c r="B624" s="114" t="n"/>
      <c r="C624" s="114" t="n"/>
      <c r="D624" s="114" t="n"/>
      <c r="E624" s="112">
        <f>ROUND($B624*KarliyukKdvOrani,0)</f>
        <v/>
      </c>
      <c r="F624" s="112">
        <f>$B624-$C624</f>
        <v/>
      </c>
      <c r="G624" s="113">
        <f>IF($B624=0,0,$H624/$B624)</f>
        <v/>
      </c>
      <c r="H624" s="112">
        <f>IF($F624&gt;0,ROUND($F624*KarliyukKurumlarOrani,0),0)</f>
        <v/>
      </c>
      <c r="I624" s="114" t="n"/>
    </row>
    <row r="625" ht="15" customHeight="1" s="68">
      <c r="A625" s="114" t="n"/>
      <c r="B625" s="114" t="n"/>
      <c r="C625" s="114" t="n"/>
      <c r="D625" s="114" t="n"/>
      <c r="E625" s="112">
        <f>ROUND($B625*KarliyukKdvOrani,0)</f>
        <v/>
      </c>
      <c r="F625" s="112">
        <f>$B625-$C625</f>
        <v/>
      </c>
      <c r="G625" s="113">
        <f>IF($B625=0,0,$H625/$B625)</f>
        <v/>
      </c>
      <c r="H625" s="112">
        <f>IF($F625&gt;0,ROUND($F625*KarliyukKurumlarOrani,0),0)</f>
        <v/>
      </c>
      <c r="I625" s="114" t="n"/>
    </row>
    <row r="626" ht="15" customHeight="1" s="68">
      <c r="A626" s="114" t="n"/>
      <c r="B626" s="114" t="n"/>
      <c r="C626" s="114" t="n"/>
      <c r="D626" s="114" t="n"/>
      <c r="E626" s="112">
        <f>ROUND($B626*KarliyukKdvOrani,0)</f>
        <v/>
      </c>
      <c r="F626" s="112">
        <f>$B626-$C626</f>
        <v/>
      </c>
      <c r="G626" s="113">
        <f>IF($B626=0,0,$H626/$B626)</f>
        <v/>
      </c>
      <c r="H626" s="112">
        <f>IF($F626&gt;0,ROUND($F626*KarliyukKurumlarOrani,0),0)</f>
        <v/>
      </c>
      <c r="I626" s="114" t="n"/>
    </row>
    <row r="627" ht="15" customHeight="1" s="68">
      <c r="A627" s="114" t="n"/>
      <c r="B627" s="114" t="n"/>
      <c r="C627" s="114" t="n"/>
      <c r="D627" s="114" t="n"/>
      <c r="E627" s="112">
        <f>ROUND($B627*KarliyukKdvOrani,0)</f>
        <v/>
      </c>
      <c r="F627" s="112">
        <f>$B627-$C627</f>
        <v/>
      </c>
      <c r="G627" s="113">
        <f>IF($B627=0,0,$H627/$B627)</f>
        <v/>
      </c>
      <c r="H627" s="112">
        <f>IF($F627&gt;0,ROUND($F627*KarliyukKurumlarOrani,0),0)</f>
        <v/>
      </c>
      <c r="I627" s="114" t="n"/>
    </row>
    <row r="628" ht="15" customHeight="1" s="68">
      <c r="A628" s="114" t="n"/>
      <c r="B628" s="114" t="n"/>
      <c r="C628" s="114" t="n"/>
      <c r="D628" s="114" t="n"/>
      <c r="E628" s="112">
        <f>ROUND($B628*KarliyukKdvOrani,0)</f>
        <v/>
      </c>
      <c r="F628" s="112">
        <f>$B628-$C628</f>
        <v/>
      </c>
      <c r="G628" s="113">
        <f>IF($B628=0,0,$H628/$B628)</f>
        <v/>
      </c>
      <c r="H628" s="112">
        <f>IF($F628&gt;0,ROUND($F628*KarliyukKurumlarOrani,0),0)</f>
        <v/>
      </c>
      <c r="I628" s="114" t="n"/>
    </row>
    <row r="629" ht="15" customHeight="1" s="68">
      <c r="A629" s="114" t="n"/>
      <c r="B629" s="114" t="n"/>
      <c r="C629" s="114" t="n"/>
      <c r="D629" s="114" t="n"/>
      <c r="E629" s="112">
        <f>ROUND($B629*KarliyukKdvOrani,0)</f>
        <v/>
      </c>
      <c r="F629" s="112">
        <f>$B629-$C629</f>
        <v/>
      </c>
      <c r="G629" s="113">
        <f>IF($B629=0,0,$H629/$B629)</f>
        <v/>
      </c>
      <c r="H629" s="112">
        <f>IF($F629&gt;0,ROUND($F629*KarliyukKurumlarOrani,0),0)</f>
        <v/>
      </c>
      <c r="I629" s="114" t="n"/>
    </row>
    <row r="630" ht="15" customHeight="1" s="68">
      <c r="A630" s="114" t="n"/>
      <c r="B630" s="114" t="n"/>
      <c r="C630" s="114" t="n"/>
      <c r="D630" s="114" t="n"/>
      <c r="E630" s="112">
        <f>ROUND($B630*KarliyukKdvOrani,0)</f>
        <v/>
      </c>
      <c r="F630" s="112">
        <f>$B630-$C630</f>
        <v/>
      </c>
      <c r="G630" s="113">
        <f>IF($B630=0,0,$H630/$B630)</f>
        <v/>
      </c>
      <c r="H630" s="112">
        <f>IF($F630&gt;0,ROUND($F630*KarliyukKurumlarOrani,0),0)</f>
        <v/>
      </c>
      <c r="I630" s="114" t="n"/>
    </row>
    <row r="631" ht="15" customHeight="1" s="68">
      <c r="A631" s="114" t="n"/>
      <c r="B631" s="114" t="n"/>
      <c r="C631" s="114" t="n"/>
      <c r="D631" s="114" t="n"/>
      <c r="E631" s="112">
        <f>ROUND($B631*KarliyukKdvOrani,0)</f>
        <v/>
      </c>
      <c r="F631" s="112">
        <f>$B631-$C631</f>
        <v/>
      </c>
      <c r="G631" s="113">
        <f>IF($B631=0,0,$H631/$B631)</f>
        <v/>
      </c>
      <c r="H631" s="112">
        <f>IF($F631&gt;0,ROUND($F631*KarliyukKurumlarOrani,0),0)</f>
        <v/>
      </c>
      <c r="I631" s="114" t="n"/>
    </row>
    <row r="632" ht="15" customHeight="1" s="68">
      <c r="A632" s="114" t="n"/>
      <c r="B632" s="114" t="n"/>
      <c r="C632" s="114" t="n"/>
      <c r="D632" s="114" t="n"/>
      <c r="E632" s="112">
        <f>ROUND($B632*KarliyukKdvOrani,0)</f>
        <v/>
      </c>
      <c r="F632" s="112">
        <f>$B632-$C632</f>
        <v/>
      </c>
      <c r="G632" s="113">
        <f>IF($B632=0,0,$H632/$B632)</f>
        <v/>
      </c>
      <c r="H632" s="112">
        <f>IF($F632&gt;0,ROUND($F632*KarliyukKurumlarOrani,0),0)</f>
        <v/>
      </c>
      <c r="I632" s="114" t="n"/>
    </row>
    <row r="633" ht="15" customHeight="1" s="68">
      <c r="A633" s="114" t="n"/>
      <c r="B633" s="114" t="n"/>
      <c r="C633" s="114" t="n"/>
      <c r="D633" s="114" t="n"/>
      <c r="E633" s="112">
        <f>ROUND($B633*KarliyukKdvOrani,0)</f>
        <v/>
      </c>
      <c r="F633" s="112">
        <f>$B633-$C633</f>
        <v/>
      </c>
      <c r="G633" s="113">
        <f>IF($B633=0,0,$H633/$B633)</f>
        <v/>
      </c>
      <c r="H633" s="112">
        <f>IF($F633&gt;0,ROUND($F633*KarliyukKurumlarOrani,0),0)</f>
        <v/>
      </c>
      <c r="I633" s="114" t="n"/>
    </row>
    <row r="634" ht="15" customHeight="1" s="68">
      <c r="A634" s="114" t="n"/>
      <c r="B634" s="114" t="n"/>
      <c r="C634" s="114" t="n"/>
      <c r="D634" s="114" t="n"/>
      <c r="E634" s="112">
        <f>ROUND($B634*KarliyukKdvOrani,0)</f>
        <v/>
      </c>
      <c r="F634" s="112">
        <f>$B634-$C634</f>
        <v/>
      </c>
      <c r="G634" s="113">
        <f>IF($B634=0,0,$H634/$B634)</f>
        <v/>
      </c>
      <c r="H634" s="112">
        <f>IF($F634&gt;0,ROUND($F634*KarliyukKurumlarOrani,0),0)</f>
        <v/>
      </c>
      <c r="I634" s="114" t="n"/>
    </row>
    <row r="635" ht="15" customHeight="1" s="68">
      <c r="A635" s="114" t="n"/>
      <c r="B635" s="114" t="n"/>
      <c r="C635" s="114" t="n"/>
      <c r="D635" s="114" t="n"/>
      <c r="E635" s="112">
        <f>ROUND($B635*KarliyukKdvOrani,0)</f>
        <v/>
      </c>
      <c r="F635" s="112">
        <f>$B635-$C635</f>
        <v/>
      </c>
      <c r="G635" s="113">
        <f>IF($B635=0,0,$H635/$B635)</f>
        <v/>
      </c>
      <c r="H635" s="112">
        <f>IF($F635&gt;0,ROUND($F635*KarliyukKurumlarOrani,0),0)</f>
        <v/>
      </c>
      <c r="I635" s="114" t="n"/>
    </row>
    <row r="636" ht="15" customHeight="1" s="68">
      <c r="A636" s="114" t="n"/>
      <c r="B636" s="114" t="n"/>
      <c r="C636" s="114" t="n"/>
      <c r="D636" s="114" t="n"/>
      <c r="E636" s="112">
        <f>ROUND($B636*KarliyukKdvOrani,0)</f>
        <v/>
      </c>
      <c r="F636" s="112">
        <f>$B636-$C636</f>
        <v/>
      </c>
      <c r="G636" s="113">
        <f>IF($B636=0,0,$H636/$B636)</f>
        <v/>
      </c>
      <c r="H636" s="112">
        <f>IF($F636&gt;0,ROUND($F636*KarliyukKurumlarOrani,0),0)</f>
        <v/>
      </c>
      <c r="I636" s="114" t="n"/>
    </row>
    <row r="637" ht="15" customHeight="1" s="68">
      <c r="A637" s="114" t="n"/>
      <c r="B637" s="114" t="n"/>
      <c r="C637" s="114" t="n"/>
      <c r="D637" s="114" t="n"/>
      <c r="E637" s="112">
        <f>ROUND($B637*KarliyukKdvOrani,0)</f>
        <v/>
      </c>
      <c r="F637" s="112">
        <f>$B637-$C637</f>
        <v/>
      </c>
      <c r="G637" s="113">
        <f>IF($B637=0,0,$H637/$B637)</f>
        <v/>
      </c>
      <c r="H637" s="112">
        <f>IF($F637&gt;0,ROUND($F637*KarliyukKurumlarOrani,0),0)</f>
        <v/>
      </c>
      <c r="I637" s="114" t="n"/>
    </row>
    <row r="638" ht="15" customHeight="1" s="68">
      <c r="A638" s="114" t="n"/>
      <c r="B638" s="114" t="n"/>
      <c r="C638" s="114" t="n"/>
      <c r="D638" s="114" t="n"/>
      <c r="E638" s="112">
        <f>ROUND($B638*KarliyukKdvOrani,0)</f>
        <v/>
      </c>
      <c r="F638" s="112">
        <f>$B638-$C638</f>
        <v/>
      </c>
      <c r="G638" s="113">
        <f>IF($B638=0,0,$H638/$B638)</f>
        <v/>
      </c>
      <c r="H638" s="112">
        <f>IF($F638&gt;0,ROUND($F638*KarliyukKurumlarOrani,0),0)</f>
        <v/>
      </c>
      <c r="I638" s="114" t="n"/>
    </row>
    <row r="639" ht="15" customHeight="1" s="68">
      <c r="A639" s="114" t="n"/>
      <c r="B639" s="114" t="n"/>
      <c r="C639" s="114" t="n"/>
      <c r="D639" s="114" t="n"/>
      <c r="E639" s="112">
        <f>ROUND($B639*KarliyukKdvOrani,0)</f>
        <v/>
      </c>
      <c r="F639" s="112">
        <f>$B639-$C639</f>
        <v/>
      </c>
      <c r="G639" s="113">
        <f>IF($B639=0,0,$H639/$B639)</f>
        <v/>
      </c>
      <c r="H639" s="112">
        <f>IF($F639&gt;0,ROUND($F639*KarliyukKurumlarOrani,0),0)</f>
        <v/>
      </c>
      <c r="I639" s="114" t="n"/>
    </row>
    <row r="640" ht="15" customHeight="1" s="68">
      <c r="A640" s="114" t="n"/>
      <c r="B640" s="114" t="n"/>
      <c r="C640" s="114" t="n"/>
      <c r="D640" s="114" t="n"/>
      <c r="E640" s="112">
        <f>ROUND($B640*KarliyukKdvOrani,0)</f>
        <v/>
      </c>
      <c r="F640" s="112">
        <f>$B640-$C640</f>
        <v/>
      </c>
      <c r="G640" s="113">
        <f>IF($B640=0,0,$H640/$B640)</f>
        <v/>
      </c>
      <c r="H640" s="112">
        <f>IF($F640&gt;0,ROUND($F640*KarliyukKurumlarOrani,0),0)</f>
        <v/>
      </c>
      <c r="I640" s="114" t="n"/>
    </row>
    <row r="641" ht="15" customHeight="1" s="68">
      <c r="A641" s="114" t="n"/>
      <c r="B641" s="114" t="n"/>
      <c r="C641" s="114" t="n"/>
      <c r="D641" s="114" t="n"/>
      <c r="E641" s="112">
        <f>ROUND($B641*KarliyukKdvOrani,0)</f>
        <v/>
      </c>
      <c r="F641" s="112">
        <f>$B641-$C641</f>
        <v/>
      </c>
      <c r="G641" s="113">
        <f>IF($B641=0,0,$H641/$B641)</f>
        <v/>
      </c>
      <c r="H641" s="112">
        <f>IF($F641&gt;0,ROUND($F641*KarliyukKurumlarOrani,0),0)</f>
        <v/>
      </c>
      <c r="I641" s="114" t="n"/>
    </row>
    <row r="642" ht="15" customHeight="1" s="68">
      <c r="A642" s="114" t="n"/>
      <c r="B642" s="114" t="n"/>
      <c r="C642" s="114" t="n"/>
      <c r="D642" s="114" t="n"/>
      <c r="E642" s="112">
        <f>ROUND($B642*KarliyukKdvOrani,0)</f>
        <v/>
      </c>
      <c r="F642" s="112">
        <f>$B642-$C642</f>
        <v/>
      </c>
      <c r="G642" s="113">
        <f>IF($B642=0,0,$H642/$B642)</f>
        <v/>
      </c>
      <c r="H642" s="112">
        <f>IF($F642&gt;0,ROUND($F642*KarliyukKurumlarOrani,0),0)</f>
        <v/>
      </c>
      <c r="I642" s="114" t="n"/>
    </row>
    <row r="643" ht="15" customHeight="1" s="68">
      <c r="A643" s="114" t="n"/>
      <c r="B643" s="114" t="n"/>
      <c r="C643" s="114" t="n"/>
      <c r="D643" s="114" t="n"/>
      <c r="E643" s="112">
        <f>ROUND($B643*KarliyukKdvOrani,0)</f>
        <v/>
      </c>
      <c r="F643" s="112">
        <f>$B643-$C643</f>
        <v/>
      </c>
      <c r="G643" s="113">
        <f>IF($B643=0,0,$H643/$B643)</f>
        <v/>
      </c>
      <c r="H643" s="112">
        <f>IF($F643&gt;0,ROUND($F643*KarliyukKurumlarOrani,0),0)</f>
        <v/>
      </c>
      <c r="I643" s="114" t="n"/>
    </row>
    <row r="644" ht="15" customHeight="1" s="68">
      <c r="A644" s="114" t="n"/>
      <c r="B644" s="114" t="n"/>
      <c r="C644" s="114" t="n"/>
      <c r="D644" s="114" t="n"/>
      <c r="E644" s="112">
        <f>ROUND($B644*KarliyukKdvOrani,0)</f>
        <v/>
      </c>
      <c r="F644" s="112">
        <f>$B644-$C644</f>
        <v/>
      </c>
      <c r="G644" s="113">
        <f>IF($B644=0,0,$H644/$B644)</f>
        <v/>
      </c>
      <c r="H644" s="112">
        <f>IF($F644&gt;0,ROUND($F644*KarliyukKurumlarOrani,0),0)</f>
        <v/>
      </c>
      <c r="I644" s="114" t="n"/>
    </row>
    <row r="645" ht="15" customHeight="1" s="68">
      <c r="A645" s="114" t="n"/>
      <c r="B645" s="114" t="n"/>
      <c r="C645" s="114" t="n"/>
      <c r="D645" s="114" t="n"/>
      <c r="E645" s="112">
        <f>ROUND($B645*KarliyukKdvOrani,0)</f>
        <v/>
      </c>
      <c r="F645" s="112">
        <f>$B645-$C645</f>
        <v/>
      </c>
      <c r="G645" s="113">
        <f>IF($B645=0,0,$H645/$B645)</f>
        <v/>
      </c>
      <c r="H645" s="112">
        <f>IF($F645&gt;0,ROUND($F645*KarliyukKurumlarOrani,0),0)</f>
        <v/>
      </c>
      <c r="I645" s="114" t="n"/>
    </row>
    <row r="646" ht="15" customHeight="1" s="68">
      <c r="A646" s="114" t="n"/>
      <c r="B646" s="114" t="n"/>
      <c r="C646" s="114" t="n"/>
      <c r="D646" s="114" t="n"/>
      <c r="E646" s="112">
        <f>ROUND($B646*KarliyukKdvOrani,0)</f>
        <v/>
      </c>
      <c r="F646" s="112">
        <f>$B646-$C646</f>
        <v/>
      </c>
      <c r="G646" s="113">
        <f>IF($B646=0,0,$H646/$B646)</f>
        <v/>
      </c>
      <c r="H646" s="112">
        <f>IF($F646&gt;0,ROUND($F646*KarliyukKurumlarOrani,0),0)</f>
        <v/>
      </c>
      <c r="I646" s="114" t="n"/>
    </row>
    <row r="647" ht="15" customHeight="1" s="68">
      <c r="A647" s="114" t="n"/>
      <c r="B647" s="114" t="n"/>
      <c r="C647" s="114" t="n"/>
      <c r="D647" s="114" t="n"/>
      <c r="E647" s="112">
        <f>ROUND($B647*KarliyukKdvOrani,0)</f>
        <v/>
      </c>
      <c r="F647" s="112">
        <f>$B647-$C647</f>
        <v/>
      </c>
      <c r="G647" s="113">
        <f>IF($B647=0,0,$H647/$B647)</f>
        <v/>
      </c>
      <c r="H647" s="112">
        <f>IF($F647&gt;0,ROUND($F647*KarliyukKurumlarOrani,0),0)</f>
        <v/>
      </c>
      <c r="I647" s="114" t="n"/>
    </row>
    <row r="648" ht="15" customHeight="1" s="68">
      <c r="A648" s="114" t="n"/>
      <c r="B648" s="114" t="n"/>
      <c r="C648" s="114" t="n"/>
      <c r="D648" s="114" t="n"/>
      <c r="E648" s="112">
        <f>ROUND($B648*KarliyukKdvOrani,0)</f>
        <v/>
      </c>
      <c r="F648" s="112">
        <f>$B648-$C648</f>
        <v/>
      </c>
      <c r="G648" s="113">
        <f>IF($B648=0,0,$H648/$B648)</f>
        <v/>
      </c>
      <c r="H648" s="112">
        <f>IF($F648&gt;0,ROUND($F648*KarliyukKurumlarOrani,0),0)</f>
        <v/>
      </c>
      <c r="I648" s="114" t="n"/>
    </row>
    <row r="649" ht="15" customHeight="1" s="68">
      <c r="A649" s="114" t="n"/>
      <c r="B649" s="114" t="n"/>
      <c r="C649" s="114" t="n"/>
      <c r="D649" s="114" t="n"/>
      <c r="E649" s="112">
        <f>ROUND($B649*KarliyukKdvOrani,0)</f>
        <v/>
      </c>
      <c r="F649" s="112">
        <f>$B649-$C649</f>
        <v/>
      </c>
      <c r="G649" s="113">
        <f>IF($B649=0,0,$H649/$B649)</f>
        <v/>
      </c>
      <c r="H649" s="112">
        <f>IF($F649&gt;0,ROUND($F649*KarliyukKurumlarOrani,0),0)</f>
        <v/>
      </c>
      <c r="I649" s="114" t="n"/>
    </row>
    <row r="650" ht="15" customHeight="1" s="68">
      <c r="A650" s="114" t="n"/>
      <c r="B650" s="114" t="n"/>
      <c r="C650" s="114" t="n"/>
      <c r="D650" s="114" t="n"/>
      <c r="E650" s="112">
        <f>ROUND($B650*KarliyukKdvOrani,0)</f>
        <v/>
      </c>
      <c r="F650" s="112">
        <f>$B650-$C650</f>
        <v/>
      </c>
      <c r="G650" s="113">
        <f>IF($B650=0,0,$H650/$B650)</f>
        <v/>
      </c>
      <c r="H650" s="112">
        <f>IF($F650&gt;0,ROUND($F650*KarliyukKurumlarOrani,0),0)</f>
        <v/>
      </c>
      <c r="I650" s="114" t="n"/>
    </row>
    <row r="651" ht="15" customHeight="1" s="68">
      <c r="A651" s="114" t="n"/>
      <c r="B651" s="114" t="n"/>
      <c r="C651" s="114" t="n"/>
      <c r="D651" s="114" t="n"/>
      <c r="E651" s="112">
        <f>ROUND($B651*KarliyukKdvOrani,0)</f>
        <v/>
      </c>
      <c r="F651" s="112">
        <f>$B651-$C651</f>
        <v/>
      </c>
      <c r="G651" s="113">
        <f>IF($B651=0,0,$H651/$B651)</f>
        <v/>
      </c>
      <c r="H651" s="112">
        <f>IF($F651&gt;0,ROUND($F651*KarliyukKurumlarOrani,0),0)</f>
        <v/>
      </c>
      <c r="I651" s="114" t="n"/>
    </row>
    <row r="652" ht="15" customHeight="1" s="68">
      <c r="A652" s="114" t="n"/>
      <c r="B652" s="114" t="n"/>
      <c r="C652" s="114" t="n"/>
      <c r="D652" s="114" t="n"/>
      <c r="E652" s="112">
        <f>ROUND($B652*KarliyukKdvOrani,0)</f>
        <v/>
      </c>
      <c r="F652" s="112">
        <f>$B652-$C652</f>
        <v/>
      </c>
      <c r="G652" s="113">
        <f>IF($B652=0,0,$H652/$B652)</f>
        <v/>
      </c>
      <c r="H652" s="112">
        <f>IF($F652&gt;0,ROUND($F652*KarliyukKurumlarOrani,0),0)</f>
        <v/>
      </c>
      <c r="I652" s="114" t="n"/>
    </row>
    <row r="653" ht="15" customHeight="1" s="68">
      <c r="A653" s="114" t="n"/>
      <c r="B653" s="114" t="n"/>
      <c r="C653" s="114" t="n"/>
      <c r="D653" s="114" t="n"/>
      <c r="E653" s="112">
        <f>ROUND($B653*KarliyukKdvOrani,0)</f>
        <v/>
      </c>
      <c r="F653" s="112">
        <f>$B653-$C653</f>
        <v/>
      </c>
      <c r="G653" s="113">
        <f>IF($B653=0,0,$H653/$B653)</f>
        <v/>
      </c>
      <c r="H653" s="112">
        <f>IF($F653&gt;0,ROUND($F653*KarliyukKurumlarOrani,0),0)</f>
        <v/>
      </c>
      <c r="I653" s="114" t="n"/>
    </row>
    <row r="654" ht="15" customHeight="1" s="68">
      <c r="A654" s="114" t="n"/>
      <c r="B654" s="114" t="n"/>
      <c r="C654" s="114" t="n"/>
      <c r="D654" s="114" t="n"/>
      <c r="E654" s="112">
        <f>ROUND($B654*KarliyukKdvOrani,0)</f>
        <v/>
      </c>
      <c r="F654" s="112">
        <f>$B654-$C654</f>
        <v/>
      </c>
      <c r="G654" s="113">
        <f>IF($B654=0,0,$H654/$B654)</f>
        <v/>
      </c>
      <c r="H654" s="112">
        <f>IF($F654&gt;0,ROUND($F654*KarliyukKurumlarOrani,0),0)</f>
        <v/>
      </c>
      <c r="I654" s="114" t="n"/>
    </row>
    <row r="655" ht="15" customHeight="1" s="68">
      <c r="A655" s="114" t="n"/>
      <c r="B655" s="114" t="n"/>
      <c r="C655" s="114" t="n"/>
      <c r="D655" s="114" t="n"/>
      <c r="E655" s="112">
        <f>ROUND($B655*KarliyukKdvOrani,0)</f>
        <v/>
      </c>
      <c r="F655" s="112">
        <f>$B655-$C655</f>
        <v/>
      </c>
      <c r="G655" s="113">
        <f>IF($B655=0,0,$H655/$B655)</f>
        <v/>
      </c>
      <c r="H655" s="112">
        <f>IF($F655&gt;0,ROUND($F655*KarliyukKurumlarOrani,0),0)</f>
        <v/>
      </c>
      <c r="I655" s="114" t="n"/>
    </row>
    <row r="656" ht="15" customHeight="1" s="68">
      <c r="A656" s="114" t="n"/>
      <c r="B656" s="114" t="n"/>
      <c r="C656" s="114" t="n"/>
      <c r="D656" s="114" t="n"/>
      <c r="E656" s="112">
        <f>ROUND($B656*KarliyukKdvOrani,0)</f>
        <v/>
      </c>
      <c r="F656" s="112">
        <f>$B656-$C656</f>
        <v/>
      </c>
      <c r="G656" s="113">
        <f>IF($B656=0,0,$H656/$B656)</f>
        <v/>
      </c>
      <c r="H656" s="112">
        <f>IF($F656&gt;0,ROUND($F656*KarliyukKurumlarOrani,0),0)</f>
        <v/>
      </c>
      <c r="I656" s="114" t="n"/>
    </row>
    <row r="657" ht="15" customHeight="1" s="68">
      <c r="A657" s="114" t="n"/>
      <c r="B657" s="114" t="n"/>
      <c r="C657" s="114" t="n"/>
      <c r="D657" s="114" t="n"/>
      <c r="E657" s="112">
        <f>ROUND($B657*KarliyukKdvOrani,0)</f>
        <v/>
      </c>
      <c r="F657" s="112">
        <f>$B657-$C657</f>
        <v/>
      </c>
      <c r="G657" s="113">
        <f>IF($B657=0,0,$H657/$B657)</f>
        <v/>
      </c>
      <c r="H657" s="112">
        <f>IF($F657&gt;0,ROUND($F657*KarliyukKurumlarOrani,0),0)</f>
        <v/>
      </c>
      <c r="I657" s="114" t="n"/>
    </row>
    <row r="658" ht="15" customHeight="1" s="68">
      <c r="A658" s="114" t="n"/>
      <c r="B658" s="114" t="n"/>
      <c r="C658" s="114" t="n"/>
      <c r="D658" s="114" t="n"/>
      <c r="E658" s="112">
        <f>ROUND($B658*KarliyukKdvOrani,0)</f>
        <v/>
      </c>
      <c r="F658" s="112">
        <f>$B658-$C658</f>
        <v/>
      </c>
      <c r="G658" s="113">
        <f>IF($B658=0,0,$H658/$B658)</f>
        <v/>
      </c>
      <c r="H658" s="112">
        <f>IF($F658&gt;0,ROUND($F658*KarliyukKurumlarOrani,0),0)</f>
        <v/>
      </c>
      <c r="I658" s="114" t="n"/>
    </row>
    <row r="659" ht="15" customHeight="1" s="68">
      <c r="A659" s="114" t="n"/>
      <c r="B659" s="114" t="n"/>
      <c r="C659" s="114" t="n"/>
      <c r="D659" s="114" t="n"/>
      <c r="E659" s="112">
        <f>ROUND($B659*KarliyukKdvOrani,0)</f>
        <v/>
      </c>
      <c r="F659" s="112">
        <f>$B659-$C659</f>
        <v/>
      </c>
      <c r="G659" s="113">
        <f>IF($B659=0,0,$H659/$B659)</f>
        <v/>
      </c>
      <c r="H659" s="112">
        <f>IF($F659&gt;0,ROUND($F659*KarliyukKurumlarOrani,0),0)</f>
        <v/>
      </c>
      <c r="I659" s="114" t="n"/>
    </row>
    <row r="660" ht="15" customHeight="1" s="68">
      <c r="A660" s="114" t="n"/>
      <c r="B660" s="114" t="n"/>
      <c r="C660" s="114" t="n"/>
      <c r="D660" s="114" t="n"/>
      <c r="E660" s="112">
        <f>ROUND($B660*KarliyukKdvOrani,0)</f>
        <v/>
      </c>
      <c r="F660" s="112">
        <f>$B660-$C660</f>
        <v/>
      </c>
      <c r="G660" s="113">
        <f>IF($B660=0,0,$H660/$B660)</f>
        <v/>
      </c>
      <c r="H660" s="112">
        <f>IF($F660&gt;0,ROUND($F660*KarliyukKurumlarOrani,0),0)</f>
        <v/>
      </c>
      <c r="I660" s="114" t="n"/>
    </row>
    <row r="661" ht="15" customHeight="1" s="68">
      <c r="A661" s="114" t="n"/>
      <c r="B661" s="114" t="n"/>
      <c r="C661" s="114" t="n"/>
      <c r="D661" s="114" t="n"/>
      <c r="E661" s="112">
        <f>ROUND($B661*KarliyukKdvOrani,0)</f>
        <v/>
      </c>
      <c r="F661" s="112">
        <f>$B661-$C661</f>
        <v/>
      </c>
      <c r="G661" s="113">
        <f>IF($B661=0,0,$H661/$B661)</f>
        <v/>
      </c>
      <c r="H661" s="112">
        <f>IF($F661&gt;0,ROUND($F661*KarliyukKurumlarOrani,0),0)</f>
        <v/>
      </c>
      <c r="I661" s="114" t="n"/>
    </row>
    <row r="662" ht="15" customHeight="1" s="68">
      <c r="A662" s="114" t="n"/>
      <c r="B662" s="114" t="n"/>
      <c r="C662" s="114" t="n"/>
      <c r="D662" s="114" t="n"/>
      <c r="E662" s="112">
        <f>ROUND($B662*KarliyukKdvOrani,0)</f>
        <v/>
      </c>
      <c r="F662" s="112">
        <f>$B662-$C662</f>
        <v/>
      </c>
      <c r="G662" s="113">
        <f>IF($B662=0,0,$H662/$B662)</f>
        <v/>
      </c>
      <c r="H662" s="112">
        <f>IF($F662&gt;0,ROUND($F662*KarliyukKurumlarOrani,0),0)</f>
        <v/>
      </c>
      <c r="I662" s="114" t="n"/>
    </row>
    <row r="663" ht="15" customHeight="1" s="68">
      <c r="A663" s="114" t="n"/>
      <c r="B663" s="114" t="n"/>
      <c r="C663" s="114" t="n"/>
      <c r="D663" s="114" t="n"/>
      <c r="E663" s="112">
        <f>ROUND($B663*KarliyukKdvOrani,0)</f>
        <v/>
      </c>
      <c r="F663" s="112">
        <f>$B663-$C663</f>
        <v/>
      </c>
      <c r="G663" s="113">
        <f>IF($B663=0,0,$H663/$B663)</f>
        <v/>
      </c>
      <c r="H663" s="112">
        <f>IF($F663&gt;0,ROUND($F663*KarliyukKurumlarOrani,0),0)</f>
        <v/>
      </c>
      <c r="I663" s="114" t="n"/>
    </row>
    <row r="664" ht="15" customHeight="1" s="68">
      <c r="A664" s="114" t="n"/>
      <c r="B664" s="114" t="n"/>
      <c r="C664" s="114" t="n"/>
      <c r="D664" s="114" t="n"/>
      <c r="E664" s="112">
        <f>ROUND($B664*KarliyukKdvOrani,0)</f>
        <v/>
      </c>
      <c r="F664" s="112">
        <f>$B664-$C664</f>
        <v/>
      </c>
      <c r="G664" s="113">
        <f>IF($B664=0,0,$H664/$B664)</f>
        <v/>
      </c>
      <c r="H664" s="112">
        <f>IF($F664&gt;0,ROUND($F664*KarliyukKurumlarOrani,0),0)</f>
        <v/>
      </c>
      <c r="I664" s="114" t="n"/>
    </row>
    <row r="665" ht="15" customHeight="1" s="68">
      <c r="A665" s="114" t="n"/>
      <c r="B665" s="114" t="n"/>
      <c r="C665" s="114" t="n"/>
      <c r="D665" s="114" t="n"/>
      <c r="E665" s="112">
        <f>ROUND($B665*KarliyukKdvOrani,0)</f>
        <v/>
      </c>
      <c r="F665" s="112">
        <f>$B665-$C665</f>
        <v/>
      </c>
      <c r="G665" s="113">
        <f>IF($B665=0,0,$H665/$B665)</f>
        <v/>
      </c>
      <c r="H665" s="112">
        <f>IF($F665&gt;0,ROUND($F665*KarliyukKurumlarOrani,0),0)</f>
        <v/>
      </c>
      <c r="I665" s="114" t="n"/>
    </row>
    <row r="666" ht="15" customHeight="1" s="68">
      <c r="A666" s="114" t="n"/>
      <c r="B666" s="114" t="n"/>
      <c r="C666" s="114" t="n"/>
      <c r="D666" s="114" t="n"/>
      <c r="E666" s="112">
        <f>ROUND($B666*KarliyukKdvOrani,0)</f>
        <v/>
      </c>
      <c r="F666" s="112">
        <f>$B666-$C666</f>
        <v/>
      </c>
      <c r="G666" s="113">
        <f>IF($B666=0,0,$H666/$B666)</f>
        <v/>
      </c>
      <c r="H666" s="112">
        <f>IF($F666&gt;0,ROUND($F666*KarliyukKurumlarOrani,0),0)</f>
        <v/>
      </c>
      <c r="I666" s="114" t="n"/>
    </row>
    <row r="667" ht="15" customHeight="1" s="68">
      <c r="A667" s="114" t="n"/>
      <c r="B667" s="114" t="n"/>
      <c r="C667" s="114" t="n"/>
      <c r="D667" s="114" t="n"/>
      <c r="E667" s="112">
        <f>ROUND($B667*KarliyukKdvOrani,0)</f>
        <v/>
      </c>
      <c r="F667" s="112">
        <f>$B667-$C667</f>
        <v/>
      </c>
      <c r="G667" s="113">
        <f>IF($B667=0,0,$H667/$B667)</f>
        <v/>
      </c>
      <c r="H667" s="112">
        <f>IF($F667&gt;0,ROUND($F667*KarliyukKurumlarOrani,0),0)</f>
        <v/>
      </c>
      <c r="I667" s="114" t="n"/>
    </row>
    <row r="668" ht="15" customHeight="1" s="68">
      <c r="A668" s="114" t="n"/>
      <c r="B668" s="114" t="n"/>
      <c r="C668" s="114" t="n"/>
      <c r="D668" s="114" t="n"/>
      <c r="E668" s="112">
        <f>ROUND($B668*KarliyukKdvOrani,0)</f>
        <v/>
      </c>
      <c r="F668" s="112">
        <f>$B668-$C668</f>
        <v/>
      </c>
      <c r="G668" s="113">
        <f>IF($B668=0,0,$H668/$B668)</f>
        <v/>
      </c>
      <c r="H668" s="112">
        <f>IF($F668&gt;0,ROUND($F668*KarliyukKurumlarOrani,0),0)</f>
        <v/>
      </c>
      <c r="I668" s="114" t="n"/>
    </row>
    <row r="669" ht="15" customHeight="1" s="68">
      <c r="A669" s="114" t="n"/>
      <c r="B669" s="114" t="n"/>
      <c r="C669" s="114" t="n"/>
      <c r="D669" s="114" t="n"/>
      <c r="E669" s="112">
        <f>ROUND($B669*KarliyukKdvOrani,0)</f>
        <v/>
      </c>
      <c r="F669" s="112">
        <f>$B669-$C669</f>
        <v/>
      </c>
      <c r="G669" s="113">
        <f>IF($B669=0,0,$H669/$B669)</f>
        <v/>
      </c>
      <c r="H669" s="112">
        <f>IF($F669&gt;0,ROUND($F669*KarliyukKurumlarOrani,0),0)</f>
        <v/>
      </c>
      <c r="I669" s="114" t="n"/>
    </row>
    <row r="670" ht="15" customHeight="1" s="68">
      <c r="A670" s="114" t="n"/>
      <c r="B670" s="114" t="n"/>
      <c r="C670" s="114" t="n"/>
      <c r="D670" s="114" t="n"/>
      <c r="E670" s="112">
        <f>ROUND($B670*KarliyukKdvOrani,0)</f>
        <v/>
      </c>
      <c r="F670" s="112">
        <f>$B670-$C670</f>
        <v/>
      </c>
      <c r="G670" s="113">
        <f>IF($B670=0,0,$H670/$B670)</f>
        <v/>
      </c>
      <c r="H670" s="112">
        <f>IF($F670&gt;0,ROUND($F670*KarliyukKurumlarOrani,0),0)</f>
        <v/>
      </c>
      <c r="I670" s="114" t="n"/>
    </row>
    <row r="671" ht="15" customHeight="1" s="68">
      <c r="A671" s="114" t="n"/>
      <c r="B671" s="114" t="n"/>
      <c r="C671" s="114" t="n"/>
      <c r="D671" s="114" t="n"/>
      <c r="E671" s="112">
        <f>ROUND($B671*KarliyukKdvOrani,0)</f>
        <v/>
      </c>
      <c r="F671" s="112">
        <f>$B671-$C671</f>
        <v/>
      </c>
      <c r="G671" s="113">
        <f>IF($B671=0,0,$H671/$B671)</f>
        <v/>
      </c>
      <c r="H671" s="112">
        <f>IF($F671&gt;0,ROUND($F671*KarliyukKurumlarOrani,0),0)</f>
        <v/>
      </c>
      <c r="I671" s="114" t="n"/>
    </row>
    <row r="672" ht="15" customHeight="1" s="68">
      <c r="A672" s="114" t="n"/>
      <c r="B672" s="114" t="n"/>
      <c r="C672" s="114" t="n"/>
      <c r="D672" s="114" t="n"/>
      <c r="E672" s="112">
        <f>ROUND($B672*KarliyukKdvOrani,0)</f>
        <v/>
      </c>
      <c r="F672" s="112">
        <f>$B672-$C672</f>
        <v/>
      </c>
      <c r="G672" s="113">
        <f>IF($B672=0,0,$H672/$B672)</f>
        <v/>
      </c>
      <c r="H672" s="112">
        <f>IF($F672&gt;0,ROUND($F672*KarliyukKurumlarOrani,0),0)</f>
        <v/>
      </c>
      <c r="I672" s="114" t="n"/>
    </row>
    <row r="673" ht="15" customHeight="1" s="68">
      <c r="A673" s="114" t="n"/>
      <c r="B673" s="114" t="n"/>
      <c r="C673" s="114" t="n"/>
      <c r="D673" s="114" t="n"/>
      <c r="E673" s="112">
        <f>ROUND($B673*KarliyukKdvOrani,0)</f>
        <v/>
      </c>
      <c r="F673" s="112">
        <f>$B673-$C673</f>
        <v/>
      </c>
      <c r="G673" s="113">
        <f>IF($B673=0,0,$H673/$B673)</f>
        <v/>
      </c>
      <c r="H673" s="112">
        <f>IF($F673&gt;0,ROUND($F673*KarliyukKurumlarOrani,0),0)</f>
        <v/>
      </c>
      <c r="I673" s="114" t="n"/>
    </row>
    <row r="674" ht="15" customHeight="1" s="68">
      <c r="A674" s="114" t="n"/>
      <c r="B674" s="114" t="n"/>
      <c r="C674" s="114" t="n"/>
      <c r="D674" s="114" t="n"/>
      <c r="E674" s="112">
        <f>ROUND($B674*KarliyukKdvOrani,0)</f>
        <v/>
      </c>
      <c r="F674" s="112">
        <f>$B674-$C674</f>
        <v/>
      </c>
      <c r="G674" s="113">
        <f>IF($B674=0,0,$H674/$B674)</f>
        <v/>
      </c>
      <c r="H674" s="112">
        <f>IF($F674&gt;0,ROUND($F674*KarliyukKurumlarOrani,0),0)</f>
        <v/>
      </c>
      <c r="I674" s="114" t="n"/>
    </row>
    <row r="675" ht="15" customHeight="1" s="68">
      <c r="A675" s="114" t="n"/>
      <c r="B675" s="114" t="n"/>
      <c r="C675" s="114" t="n"/>
      <c r="D675" s="114" t="n"/>
      <c r="E675" s="112">
        <f>ROUND($B675*KarliyukKdvOrani,0)</f>
        <v/>
      </c>
      <c r="F675" s="112">
        <f>$B675-$C675</f>
        <v/>
      </c>
      <c r="G675" s="113">
        <f>IF($B675=0,0,$H675/$B675)</f>
        <v/>
      </c>
      <c r="H675" s="112">
        <f>IF($F675&gt;0,ROUND($F675*KarliyukKurumlarOrani,0),0)</f>
        <v/>
      </c>
      <c r="I675" s="114" t="n"/>
    </row>
    <row r="676" ht="15" customHeight="1" s="68">
      <c r="A676" s="114" t="n"/>
      <c r="B676" s="114" t="n"/>
      <c r="C676" s="114" t="n"/>
      <c r="D676" s="114" t="n"/>
      <c r="E676" s="112">
        <f>ROUND($B676*KarliyukKdvOrani,0)</f>
        <v/>
      </c>
      <c r="F676" s="112">
        <f>$B676-$C676</f>
        <v/>
      </c>
      <c r="G676" s="113">
        <f>IF($B676=0,0,$H676/$B676)</f>
        <v/>
      </c>
      <c r="H676" s="112">
        <f>IF($F676&gt;0,ROUND($F676*KarliyukKurumlarOrani,0),0)</f>
        <v/>
      </c>
      <c r="I676" s="114" t="n"/>
    </row>
    <row r="677" ht="15" customHeight="1" s="68">
      <c r="A677" s="114" t="n"/>
      <c r="B677" s="114" t="n"/>
      <c r="C677" s="114" t="n"/>
      <c r="D677" s="114" t="n"/>
      <c r="E677" s="112">
        <f>ROUND($B677*KarliyukKdvOrani,0)</f>
        <v/>
      </c>
      <c r="F677" s="112">
        <f>$B677-$C677</f>
        <v/>
      </c>
      <c r="G677" s="113">
        <f>IF($B677=0,0,$H677/$B677)</f>
        <v/>
      </c>
      <c r="H677" s="112">
        <f>IF($F677&gt;0,ROUND($F677*KarliyukKurumlarOrani,0),0)</f>
        <v/>
      </c>
      <c r="I677" s="114" t="n"/>
    </row>
    <row r="678" ht="15" customHeight="1" s="68">
      <c r="A678" s="114" t="n"/>
      <c r="B678" s="114" t="n"/>
      <c r="C678" s="114" t="n"/>
      <c r="D678" s="114" t="n"/>
      <c r="E678" s="112">
        <f>ROUND($B678*KarliyukKdvOrani,0)</f>
        <v/>
      </c>
      <c r="F678" s="112">
        <f>$B678-$C678</f>
        <v/>
      </c>
      <c r="G678" s="113">
        <f>IF($B678=0,0,$H678/$B678)</f>
        <v/>
      </c>
      <c r="H678" s="112">
        <f>IF($F678&gt;0,ROUND($F678*KarliyukKurumlarOrani,0),0)</f>
        <v/>
      </c>
      <c r="I678" s="114" t="n"/>
    </row>
    <row r="679" ht="15" customHeight="1" s="68">
      <c r="A679" s="114" t="n"/>
      <c r="B679" s="114" t="n"/>
      <c r="C679" s="114" t="n"/>
      <c r="D679" s="114" t="n"/>
      <c r="E679" s="112">
        <f>ROUND($B679*KarliyukKdvOrani,0)</f>
        <v/>
      </c>
      <c r="F679" s="112">
        <f>$B679-$C679</f>
        <v/>
      </c>
      <c r="G679" s="113">
        <f>IF($B679=0,0,$H679/$B679)</f>
        <v/>
      </c>
      <c r="H679" s="112">
        <f>IF($F679&gt;0,ROUND($F679*KarliyukKurumlarOrani,0),0)</f>
        <v/>
      </c>
      <c r="I679" s="114" t="n"/>
    </row>
    <row r="680" ht="15" customHeight="1" s="68">
      <c r="A680" s="114" t="n"/>
      <c r="B680" s="114" t="n"/>
      <c r="C680" s="114" t="n"/>
      <c r="D680" s="114" t="n"/>
      <c r="E680" s="112">
        <f>ROUND($B680*KarliyukKdvOrani,0)</f>
        <v/>
      </c>
      <c r="F680" s="112">
        <f>$B680-$C680</f>
        <v/>
      </c>
      <c r="G680" s="113">
        <f>IF($B680=0,0,$H680/$B680)</f>
        <v/>
      </c>
      <c r="H680" s="112">
        <f>IF($F680&gt;0,ROUND($F680*KarliyukKurumlarOrani,0),0)</f>
        <v/>
      </c>
      <c r="I680" s="114" t="n"/>
    </row>
    <row r="681" ht="15" customHeight="1" s="68">
      <c r="A681" s="114" t="n"/>
      <c r="B681" s="114" t="n"/>
      <c r="C681" s="114" t="n"/>
      <c r="D681" s="114" t="n"/>
      <c r="E681" s="112">
        <f>ROUND($B681*KarliyukKdvOrani,0)</f>
        <v/>
      </c>
      <c r="F681" s="112">
        <f>$B681-$C681</f>
        <v/>
      </c>
      <c r="G681" s="113">
        <f>IF($B681=0,0,$H681/$B681)</f>
        <v/>
      </c>
      <c r="H681" s="112">
        <f>IF($F681&gt;0,ROUND($F681*KarliyukKurumlarOrani,0),0)</f>
        <v/>
      </c>
      <c r="I681" s="114" t="n"/>
    </row>
    <row r="682" ht="15" customHeight="1" s="68">
      <c r="A682" s="114" t="n"/>
      <c r="B682" s="114" t="n"/>
      <c r="C682" s="114" t="n"/>
      <c r="D682" s="114" t="n"/>
      <c r="E682" s="112">
        <f>ROUND($B682*KarliyukKdvOrani,0)</f>
        <v/>
      </c>
      <c r="F682" s="112">
        <f>$B682-$C682</f>
        <v/>
      </c>
      <c r="G682" s="113">
        <f>IF($B682=0,0,$H682/$B682)</f>
        <v/>
      </c>
      <c r="H682" s="112">
        <f>IF($F682&gt;0,ROUND($F682*KarliyukKurumlarOrani,0),0)</f>
        <v/>
      </c>
      <c r="I682" s="114" t="n"/>
    </row>
    <row r="683" ht="15" customHeight="1" s="68">
      <c r="A683" s="114" t="n"/>
      <c r="B683" s="114" t="n"/>
      <c r="C683" s="114" t="n"/>
      <c r="D683" s="114" t="n"/>
      <c r="E683" s="112">
        <f>ROUND($B683*KarliyukKdvOrani,0)</f>
        <v/>
      </c>
      <c r="F683" s="112">
        <f>$B683-$C683</f>
        <v/>
      </c>
      <c r="G683" s="113">
        <f>IF($B683=0,0,$H683/$B683)</f>
        <v/>
      </c>
      <c r="H683" s="112">
        <f>IF($F683&gt;0,ROUND($F683*KarliyukKurumlarOrani,0),0)</f>
        <v/>
      </c>
      <c r="I683" s="114" t="n"/>
    </row>
    <row r="684" ht="15" customHeight="1" s="68">
      <c r="A684" s="114" t="n"/>
      <c r="B684" s="114" t="n"/>
      <c r="C684" s="114" t="n"/>
      <c r="D684" s="114" t="n"/>
      <c r="E684" s="112">
        <f>ROUND($B684*KarliyukKdvOrani,0)</f>
        <v/>
      </c>
      <c r="F684" s="112">
        <f>$B684-$C684</f>
        <v/>
      </c>
      <c r="G684" s="113">
        <f>IF($B684=0,0,$H684/$B684)</f>
        <v/>
      </c>
      <c r="H684" s="112">
        <f>IF($F684&gt;0,ROUND($F684*KarliyukKurumlarOrani,0),0)</f>
        <v/>
      </c>
      <c r="I684" s="114" t="n"/>
    </row>
    <row r="685" ht="15" customHeight="1" s="68">
      <c r="A685" s="114" t="n"/>
      <c r="B685" s="114" t="n"/>
      <c r="C685" s="114" t="n"/>
      <c r="D685" s="114" t="n"/>
      <c r="E685" s="112">
        <f>ROUND($B685*KarliyukKdvOrani,0)</f>
        <v/>
      </c>
      <c r="F685" s="112">
        <f>$B685-$C685</f>
        <v/>
      </c>
      <c r="G685" s="113">
        <f>IF($B685=0,0,$H685/$B685)</f>
        <v/>
      </c>
      <c r="H685" s="112">
        <f>IF($F685&gt;0,ROUND($F685*KarliyukKurumlarOrani,0),0)</f>
        <v/>
      </c>
      <c r="I685" s="114" t="n"/>
    </row>
    <row r="686" ht="15" customHeight="1" s="68">
      <c r="A686" s="114" t="n"/>
      <c r="B686" s="114" t="n"/>
      <c r="C686" s="114" t="n"/>
      <c r="D686" s="114" t="n"/>
      <c r="E686" s="112">
        <f>ROUND($B686*KarliyukKdvOrani,0)</f>
        <v/>
      </c>
      <c r="F686" s="112">
        <f>$B686-$C686</f>
        <v/>
      </c>
      <c r="G686" s="113">
        <f>IF($B686=0,0,$H686/$B686)</f>
        <v/>
      </c>
      <c r="H686" s="112">
        <f>IF($F686&gt;0,ROUND($F686*KarliyukKurumlarOrani,0),0)</f>
        <v/>
      </c>
      <c r="I686" s="114" t="n"/>
    </row>
    <row r="687" ht="15" customHeight="1" s="68">
      <c r="A687" s="114" t="n"/>
      <c r="B687" s="114" t="n"/>
      <c r="C687" s="114" t="n"/>
      <c r="D687" s="114" t="n"/>
      <c r="E687" s="112">
        <f>ROUND($B687*KarliyukKdvOrani,0)</f>
        <v/>
      </c>
      <c r="F687" s="112">
        <f>$B687-$C687</f>
        <v/>
      </c>
      <c r="G687" s="113">
        <f>IF($B687=0,0,$H687/$B687)</f>
        <v/>
      </c>
      <c r="H687" s="112">
        <f>IF($F687&gt;0,ROUND($F687*KarliyukKurumlarOrani,0),0)</f>
        <v/>
      </c>
      <c r="I687" s="114" t="n"/>
    </row>
    <row r="688" ht="15" customHeight="1" s="68">
      <c r="A688" s="114" t="n"/>
      <c r="B688" s="114" t="n"/>
      <c r="C688" s="114" t="n"/>
      <c r="D688" s="114" t="n"/>
      <c r="E688" s="112">
        <f>ROUND($B688*KarliyukKdvOrani,0)</f>
        <v/>
      </c>
      <c r="F688" s="112">
        <f>$B688-$C688</f>
        <v/>
      </c>
      <c r="G688" s="113">
        <f>IF($B688=0,0,$H688/$B688)</f>
        <v/>
      </c>
      <c r="H688" s="112">
        <f>IF($F688&gt;0,ROUND($F688*KarliyukKurumlarOrani,0),0)</f>
        <v/>
      </c>
      <c r="I688" s="114" t="n"/>
    </row>
    <row r="689" ht="15" customHeight="1" s="68">
      <c r="A689" s="114" t="n"/>
      <c r="B689" s="114" t="n"/>
      <c r="C689" s="114" t="n"/>
      <c r="D689" s="114" t="n"/>
      <c r="E689" s="112">
        <f>ROUND($B689*KarliyukKdvOrani,0)</f>
        <v/>
      </c>
      <c r="F689" s="112">
        <f>$B689-$C689</f>
        <v/>
      </c>
      <c r="G689" s="113">
        <f>IF($B689=0,0,$H689/$B689)</f>
        <v/>
      </c>
      <c r="H689" s="112">
        <f>IF($F689&gt;0,ROUND($F689*KarliyukKurumlarOrani,0),0)</f>
        <v/>
      </c>
      <c r="I689" s="114" t="n"/>
    </row>
    <row r="690" ht="15" customHeight="1" s="68">
      <c r="A690" s="114" t="n"/>
      <c r="B690" s="114" t="n"/>
      <c r="C690" s="114" t="n"/>
      <c r="D690" s="114" t="n"/>
      <c r="E690" s="112">
        <f>ROUND($B690*KarliyukKdvOrani,0)</f>
        <v/>
      </c>
      <c r="F690" s="112">
        <f>$B690-$C690</f>
        <v/>
      </c>
      <c r="G690" s="113">
        <f>IF($B690=0,0,$H690/$B690)</f>
        <v/>
      </c>
      <c r="H690" s="112">
        <f>IF($F690&gt;0,ROUND($F690*KarliyukKurumlarOrani,0),0)</f>
        <v/>
      </c>
      <c r="I690" s="114" t="n"/>
    </row>
    <row r="691" ht="15" customHeight="1" s="68">
      <c r="A691" s="114" t="n"/>
      <c r="B691" s="114" t="n"/>
      <c r="C691" s="114" t="n"/>
      <c r="D691" s="114" t="n"/>
      <c r="E691" s="112">
        <f>ROUND($B691*KarliyukKdvOrani,0)</f>
        <v/>
      </c>
      <c r="F691" s="112">
        <f>$B691-$C691</f>
        <v/>
      </c>
      <c r="G691" s="113">
        <f>IF($B691=0,0,$H691/$B691)</f>
        <v/>
      </c>
      <c r="H691" s="112">
        <f>IF($F691&gt;0,ROUND($F691*KarliyukKurumlarOrani,0),0)</f>
        <v/>
      </c>
      <c r="I691" s="114" t="n"/>
    </row>
    <row r="692" ht="15" customHeight="1" s="68">
      <c r="A692" s="114" t="n"/>
      <c r="B692" s="114" t="n"/>
      <c r="C692" s="114" t="n"/>
      <c r="D692" s="114" t="n"/>
      <c r="E692" s="112">
        <f>ROUND($B692*KarliyukKdvOrani,0)</f>
        <v/>
      </c>
      <c r="F692" s="112">
        <f>$B692-$C692</f>
        <v/>
      </c>
      <c r="G692" s="113">
        <f>IF($B692=0,0,$H692/$B692)</f>
        <v/>
      </c>
      <c r="H692" s="112">
        <f>IF($F692&gt;0,ROUND($F692*KarliyukKurumlarOrani,0),0)</f>
        <v/>
      </c>
      <c r="I692" s="114" t="n"/>
    </row>
    <row r="693" ht="15" customHeight="1" s="68">
      <c r="A693" s="114" t="n"/>
      <c r="B693" s="114" t="n"/>
      <c r="C693" s="114" t="n"/>
      <c r="D693" s="114" t="n"/>
      <c r="E693" s="112">
        <f>ROUND($B693*KarliyukKdvOrani,0)</f>
        <v/>
      </c>
      <c r="F693" s="112">
        <f>$B693-$C693</f>
        <v/>
      </c>
      <c r="G693" s="113">
        <f>IF($B693=0,0,$H693/$B693)</f>
        <v/>
      </c>
      <c r="H693" s="112">
        <f>IF($F693&gt;0,ROUND($F693*KarliyukKurumlarOrani,0),0)</f>
        <v/>
      </c>
      <c r="I693" s="114" t="n"/>
    </row>
    <row r="694" ht="15" customHeight="1" s="68">
      <c r="A694" s="114" t="n"/>
      <c r="B694" s="114" t="n"/>
      <c r="C694" s="114" t="n"/>
      <c r="D694" s="114" t="n"/>
      <c r="E694" s="112">
        <f>ROUND($B694*KarliyukKdvOrani,0)</f>
        <v/>
      </c>
      <c r="F694" s="112">
        <f>$B694-$C694</f>
        <v/>
      </c>
      <c r="G694" s="113">
        <f>IF($B694=0,0,$H694/$B694)</f>
        <v/>
      </c>
      <c r="H694" s="112">
        <f>IF($F694&gt;0,ROUND($F694*KarliyukKurumlarOrani,0),0)</f>
        <v/>
      </c>
      <c r="I694" s="114" t="n"/>
    </row>
    <row r="695" ht="15" customHeight="1" s="68">
      <c r="A695" s="114" t="n"/>
      <c r="B695" s="114" t="n"/>
      <c r="C695" s="114" t="n"/>
      <c r="D695" s="114" t="n"/>
      <c r="E695" s="112">
        <f>ROUND($B695*KarliyukKdvOrani,0)</f>
        <v/>
      </c>
      <c r="F695" s="112">
        <f>$B695-$C695</f>
        <v/>
      </c>
      <c r="G695" s="113">
        <f>IF($B695=0,0,$H695/$B695)</f>
        <v/>
      </c>
      <c r="H695" s="112">
        <f>IF($F695&gt;0,ROUND($F695*KarliyukKurumlarOrani,0),0)</f>
        <v/>
      </c>
      <c r="I695" s="114" t="n"/>
    </row>
    <row r="696" ht="15" customHeight="1" s="68">
      <c r="A696" s="114" t="n"/>
      <c r="B696" s="114" t="n"/>
      <c r="C696" s="114" t="n"/>
      <c r="D696" s="114" t="n"/>
      <c r="E696" s="112">
        <f>ROUND($B696*KarliyukKdvOrani,0)</f>
        <v/>
      </c>
      <c r="F696" s="112">
        <f>$B696-$C696</f>
        <v/>
      </c>
      <c r="G696" s="113">
        <f>IF($B696=0,0,$H696/$B696)</f>
        <v/>
      </c>
      <c r="H696" s="112">
        <f>IF($F696&gt;0,ROUND($F696*KarliyukKurumlarOrani,0),0)</f>
        <v/>
      </c>
      <c r="I696" s="114" t="n"/>
    </row>
    <row r="697" ht="15" customHeight="1" s="68">
      <c r="A697" s="114" t="n"/>
      <c r="B697" s="114" t="n"/>
      <c r="C697" s="114" t="n"/>
      <c r="D697" s="114" t="n"/>
      <c r="E697" s="112">
        <f>ROUND($B697*KarliyukKdvOrani,0)</f>
        <v/>
      </c>
      <c r="F697" s="112">
        <f>$B697-$C697</f>
        <v/>
      </c>
      <c r="G697" s="113">
        <f>IF($B697=0,0,$H697/$B697)</f>
        <v/>
      </c>
      <c r="H697" s="112">
        <f>IF($F697&gt;0,ROUND($F697*KarliyukKurumlarOrani,0),0)</f>
        <v/>
      </c>
      <c r="I697" s="114" t="n"/>
    </row>
    <row r="698" ht="15" customHeight="1" s="68">
      <c r="A698" s="114" t="n"/>
      <c r="B698" s="114" t="n"/>
      <c r="C698" s="114" t="n"/>
      <c r="D698" s="114" t="n"/>
      <c r="E698" s="112">
        <f>ROUND($B698*KarliyukKdvOrani,0)</f>
        <v/>
      </c>
      <c r="F698" s="112">
        <f>$B698-$C698</f>
        <v/>
      </c>
      <c r="G698" s="113">
        <f>IF($B698=0,0,$H698/$B698)</f>
        <v/>
      </c>
      <c r="H698" s="112">
        <f>IF($F698&gt;0,ROUND($F698*KarliyukKurumlarOrani,0),0)</f>
        <v/>
      </c>
      <c r="I698" s="114" t="n"/>
    </row>
    <row r="699" ht="15" customHeight="1" s="68">
      <c r="A699" s="114" t="n"/>
      <c r="B699" s="114" t="n"/>
      <c r="C699" s="114" t="n"/>
      <c r="D699" s="114" t="n"/>
      <c r="E699" s="112">
        <f>ROUND($B699*KarliyukKdvOrani,0)</f>
        <v/>
      </c>
      <c r="F699" s="112">
        <f>$B699-$C699</f>
        <v/>
      </c>
      <c r="G699" s="113">
        <f>IF($B699=0,0,$H699/$B699)</f>
        <v/>
      </c>
      <c r="H699" s="112">
        <f>IF($F699&gt;0,ROUND($F699*KarliyukKurumlarOrani,0),0)</f>
        <v/>
      </c>
      <c r="I699" s="114" t="n"/>
    </row>
    <row r="700" ht="15" customHeight="1" s="68">
      <c r="A700" s="114" t="n"/>
      <c r="B700" s="114" t="n"/>
      <c r="C700" s="114" t="n"/>
      <c r="D700" s="114" t="n"/>
      <c r="E700" s="112">
        <f>ROUND($B700*KarliyukKdvOrani,0)</f>
        <v/>
      </c>
      <c r="F700" s="112">
        <f>$B700-$C700</f>
        <v/>
      </c>
      <c r="G700" s="113">
        <f>IF($B700=0,0,$H700/$B700)</f>
        <v/>
      </c>
      <c r="H700" s="112">
        <f>IF($F700&gt;0,ROUND($F700*KarliyukKurumlarOrani,0),0)</f>
        <v/>
      </c>
      <c r="I700" s="114" t="n"/>
    </row>
    <row r="701" ht="15" customHeight="1" s="68">
      <c r="A701" s="114" t="n"/>
      <c r="B701" s="114" t="n"/>
      <c r="C701" s="114" t="n"/>
      <c r="D701" s="114" t="n"/>
      <c r="E701" s="112">
        <f>ROUND($B701*KarliyukKdvOrani,0)</f>
        <v/>
      </c>
      <c r="F701" s="112">
        <f>$B701-$C701</f>
        <v/>
      </c>
      <c r="G701" s="113">
        <f>IF($B701=0,0,$H701/$B701)</f>
        <v/>
      </c>
      <c r="H701" s="112">
        <f>IF($F701&gt;0,ROUND($F701*KarliyukKurumlarOrani,0),0)</f>
        <v/>
      </c>
      <c r="I701" s="114" t="n"/>
    </row>
    <row r="702" ht="15" customHeight="1" s="68">
      <c r="A702" s="114" t="n"/>
      <c r="B702" s="114" t="n"/>
      <c r="C702" s="114" t="n"/>
      <c r="D702" s="114" t="n"/>
      <c r="E702" s="112">
        <f>ROUND($B702*KarliyukKdvOrani,0)</f>
        <v/>
      </c>
      <c r="F702" s="112">
        <f>$B702-$C702</f>
        <v/>
      </c>
      <c r="G702" s="113">
        <f>IF($B702=0,0,$H702/$B702)</f>
        <v/>
      </c>
      <c r="H702" s="112">
        <f>IF($F702&gt;0,ROUND($F702*KarliyukKurumlarOrani,0),0)</f>
        <v/>
      </c>
      <c r="I702" s="114" t="n"/>
    </row>
    <row r="703" ht="15" customHeight="1" s="68">
      <c r="A703" s="114" t="n"/>
      <c r="B703" s="114" t="n"/>
      <c r="C703" s="114" t="n"/>
      <c r="D703" s="114" t="n"/>
      <c r="E703" s="112">
        <f>ROUND($B703*KarliyukKdvOrani,0)</f>
        <v/>
      </c>
      <c r="F703" s="112">
        <f>$B703-$C703</f>
        <v/>
      </c>
      <c r="G703" s="113">
        <f>IF($B703=0,0,$H703/$B703)</f>
        <v/>
      </c>
      <c r="H703" s="112">
        <f>IF($F703&gt;0,ROUND($F703*KarliyukKurumlarOrani,0),0)</f>
        <v/>
      </c>
      <c r="I703" s="114" t="n"/>
    </row>
    <row r="704" ht="15" customHeight="1" s="68">
      <c r="A704" s="114" t="n"/>
      <c r="B704" s="114" t="n"/>
      <c r="C704" s="114" t="n"/>
      <c r="D704" s="114" t="n"/>
      <c r="E704" s="112">
        <f>ROUND($B704*KarliyukKdvOrani,0)</f>
        <v/>
      </c>
      <c r="F704" s="112">
        <f>$B704-$C704</f>
        <v/>
      </c>
      <c r="G704" s="113">
        <f>IF($B704=0,0,$H704/$B704)</f>
        <v/>
      </c>
      <c r="H704" s="112">
        <f>IF($F704&gt;0,ROUND($F704*KarliyukKurumlarOrani,0),0)</f>
        <v/>
      </c>
      <c r="I704" s="114" t="n"/>
    </row>
    <row r="705" ht="15" customHeight="1" s="68">
      <c r="A705" s="114" t="n"/>
      <c r="B705" s="114" t="n"/>
      <c r="C705" s="114" t="n"/>
      <c r="D705" s="114" t="n"/>
      <c r="E705" s="112">
        <f>ROUND($B705*KarliyukKdvOrani,0)</f>
        <v/>
      </c>
      <c r="F705" s="112">
        <f>$B705-$C705</f>
        <v/>
      </c>
      <c r="G705" s="113">
        <f>IF($B705=0,0,$H705/$B705)</f>
        <v/>
      </c>
      <c r="H705" s="112">
        <f>IF($F705&gt;0,ROUND($F705*KarliyukKurumlarOrani,0),0)</f>
        <v/>
      </c>
      <c r="I705" s="114" t="n"/>
    </row>
    <row r="706" ht="15" customHeight="1" s="68">
      <c r="A706" s="114" t="n"/>
      <c r="B706" s="114" t="n"/>
      <c r="C706" s="114" t="n"/>
      <c r="D706" s="114" t="n"/>
      <c r="E706" s="112">
        <f>ROUND($B706*KarliyukKdvOrani,0)</f>
        <v/>
      </c>
      <c r="F706" s="112">
        <f>$B706-$C706</f>
        <v/>
      </c>
      <c r="G706" s="113">
        <f>IF($B706=0,0,$H706/$B706)</f>
        <v/>
      </c>
      <c r="H706" s="112">
        <f>IF($F706&gt;0,ROUND($F706*KarliyukKurumlarOrani,0),0)</f>
        <v/>
      </c>
      <c r="I706" s="114" t="n"/>
    </row>
    <row r="707" ht="15" customHeight="1" s="68">
      <c r="A707" s="114" t="n"/>
      <c r="B707" s="114" t="n"/>
      <c r="C707" s="114" t="n"/>
      <c r="D707" s="114" t="n"/>
      <c r="E707" s="112">
        <f>ROUND($B707*KarliyukKdvOrani,0)</f>
        <v/>
      </c>
      <c r="F707" s="112">
        <f>$B707-$C707</f>
        <v/>
      </c>
      <c r="G707" s="113">
        <f>IF($B707=0,0,$H707/$B707)</f>
        <v/>
      </c>
      <c r="H707" s="112">
        <f>IF($F707&gt;0,ROUND($F707*KarliyukKurumlarOrani,0),0)</f>
        <v/>
      </c>
      <c r="I707" s="114" t="n"/>
    </row>
    <row r="708" ht="15" customHeight="1" s="68">
      <c r="A708" s="114" t="n"/>
      <c r="B708" s="114" t="n"/>
      <c r="C708" s="114" t="n"/>
      <c r="D708" s="114" t="n"/>
      <c r="E708" s="112">
        <f>ROUND($B708*KarliyukKdvOrani,0)</f>
        <v/>
      </c>
      <c r="F708" s="112">
        <f>$B708-$C708</f>
        <v/>
      </c>
      <c r="G708" s="113">
        <f>IF($B708=0,0,$H708/$B708)</f>
        <v/>
      </c>
      <c r="H708" s="112">
        <f>IF($F708&gt;0,ROUND($F708*KarliyukKurumlarOrani,0),0)</f>
        <v/>
      </c>
      <c r="I708" s="114" t="n"/>
    </row>
    <row r="709" ht="15" customHeight="1" s="68">
      <c r="A709" s="114" t="n"/>
      <c r="B709" s="114" t="n"/>
      <c r="C709" s="114" t="n"/>
      <c r="D709" s="114" t="n"/>
      <c r="E709" s="112">
        <f>ROUND($B709*KarliyukKdvOrani,0)</f>
        <v/>
      </c>
      <c r="F709" s="112">
        <f>$B709-$C709</f>
        <v/>
      </c>
      <c r="G709" s="113">
        <f>IF($B709=0,0,$H709/$B709)</f>
        <v/>
      </c>
      <c r="H709" s="112">
        <f>IF($F709&gt;0,ROUND($F709*KarliyukKurumlarOrani,0),0)</f>
        <v/>
      </c>
      <c r="I709" s="114" t="n"/>
    </row>
    <row r="710" ht="15" customHeight="1" s="68">
      <c r="A710" s="114" t="n"/>
      <c r="B710" s="114" t="n"/>
      <c r="C710" s="114" t="n"/>
      <c r="D710" s="114" t="n"/>
      <c r="E710" s="112">
        <f>ROUND($B710*KarliyukKdvOrani,0)</f>
        <v/>
      </c>
      <c r="F710" s="112">
        <f>$B710-$C710</f>
        <v/>
      </c>
      <c r="G710" s="113">
        <f>IF($B710=0,0,$H710/$B710)</f>
        <v/>
      </c>
      <c r="H710" s="112">
        <f>IF($F710&gt;0,ROUND($F710*KarliyukKurumlarOrani,0),0)</f>
        <v/>
      </c>
      <c r="I710" s="114" t="n"/>
    </row>
    <row r="711" ht="15" customHeight="1" s="68">
      <c r="A711" s="114" t="n"/>
      <c r="B711" s="114" t="n"/>
      <c r="C711" s="114" t="n"/>
      <c r="D711" s="114" t="n"/>
      <c r="E711" s="112">
        <f>ROUND($B711*KarliyukKdvOrani,0)</f>
        <v/>
      </c>
      <c r="F711" s="112">
        <f>$B711-$C711</f>
        <v/>
      </c>
      <c r="G711" s="113">
        <f>IF($B711=0,0,$H711/$B711)</f>
        <v/>
      </c>
      <c r="H711" s="112">
        <f>IF($F711&gt;0,ROUND($F711*KarliyukKurumlarOrani,0),0)</f>
        <v/>
      </c>
      <c r="I711" s="114" t="n"/>
    </row>
    <row r="712" ht="15" customHeight="1" s="68">
      <c r="A712" s="114" t="n"/>
      <c r="B712" s="114" t="n"/>
      <c r="C712" s="114" t="n"/>
      <c r="D712" s="114" t="n"/>
      <c r="E712" s="112">
        <f>ROUND($B712*KarliyukKdvOrani,0)</f>
        <v/>
      </c>
      <c r="F712" s="112">
        <f>$B712-$C712</f>
        <v/>
      </c>
      <c r="G712" s="113">
        <f>IF($B712=0,0,$H712/$B712)</f>
        <v/>
      </c>
      <c r="H712" s="112">
        <f>IF($F712&gt;0,ROUND($F712*KarliyukKurumlarOrani,0),0)</f>
        <v/>
      </c>
      <c r="I712" s="114" t="n"/>
    </row>
    <row r="713" ht="15" customHeight="1" s="68">
      <c r="A713" s="114" t="n"/>
      <c r="B713" s="114" t="n"/>
      <c r="C713" s="114" t="n"/>
      <c r="D713" s="114" t="n"/>
      <c r="E713" s="112">
        <f>ROUND($B713*KarliyukKdvOrani,0)</f>
        <v/>
      </c>
      <c r="F713" s="112">
        <f>$B713-$C713</f>
        <v/>
      </c>
      <c r="G713" s="113">
        <f>IF($B713=0,0,$H713/$B713)</f>
        <v/>
      </c>
      <c r="H713" s="112">
        <f>IF($F713&gt;0,ROUND($F713*KarliyukKurumlarOrani,0),0)</f>
        <v/>
      </c>
      <c r="I713" s="114" t="n"/>
    </row>
    <row r="714" ht="15" customHeight="1" s="68">
      <c r="A714" s="114" t="n"/>
      <c r="B714" s="114" t="n"/>
      <c r="C714" s="114" t="n"/>
      <c r="D714" s="114" t="n"/>
      <c r="E714" s="112">
        <f>ROUND($B714*KarliyukKdvOrani,0)</f>
        <v/>
      </c>
      <c r="F714" s="112">
        <f>$B714-$C714</f>
        <v/>
      </c>
      <c r="G714" s="113">
        <f>IF($B714=0,0,$H714/$B714)</f>
        <v/>
      </c>
      <c r="H714" s="112">
        <f>IF($F714&gt;0,ROUND($F714*KarliyukKurumlarOrani,0),0)</f>
        <v/>
      </c>
      <c r="I714" s="114" t="n"/>
    </row>
    <row r="715" ht="15" customHeight="1" s="68">
      <c r="A715" s="114" t="n"/>
      <c r="B715" s="114" t="n"/>
      <c r="C715" s="114" t="n"/>
      <c r="D715" s="114" t="n"/>
      <c r="E715" s="112">
        <f>ROUND($B715*KarliyukKdvOrani,0)</f>
        <v/>
      </c>
      <c r="F715" s="112">
        <f>$B715-$C715</f>
        <v/>
      </c>
      <c r="G715" s="113">
        <f>IF($B715=0,0,$H715/$B715)</f>
        <v/>
      </c>
      <c r="H715" s="112">
        <f>IF($F715&gt;0,ROUND($F715*KarliyukKurumlarOrani,0),0)</f>
        <v/>
      </c>
      <c r="I715" s="114" t="n"/>
    </row>
    <row r="716" ht="15" customHeight="1" s="68">
      <c r="A716" s="114" t="n"/>
      <c r="B716" s="114" t="n"/>
      <c r="C716" s="114" t="n"/>
      <c r="D716" s="114" t="n"/>
      <c r="E716" s="112">
        <f>ROUND($B716*KarliyukKdvOrani,0)</f>
        <v/>
      </c>
      <c r="F716" s="112">
        <f>$B716-$C716</f>
        <v/>
      </c>
      <c r="G716" s="113">
        <f>IF($B716=0,0,$H716/$B716)</f>
        <v/>
      </c>
      <c r="H716" s="112">
        <f>IF($F716&gt;0,ROUND($F716*KarliyukKurumlarOrani,0),0)</f>
        <v/>
      </c>
      <c r="I716" s="114" t="n"/>
    </row>
    <row r="717" ht="15" customHeight="1" s="68">
      <c r="A717" s="114" t="n"/>
      <c r="B717" s="114" t="n"/>
      <c r="C717" s="114" t="n"/>
      <c r="D717" s="114" t="n"/>
      <c r="E717" s="112">
        <f>ROUND($B717*KarliyukKdvOrani,0)</f>
        <v/>
      </c>
      <c r="F717" s="112">
        <f>$B717-$C717</f>
        <v/>
      </c>
      <c r="G717" s="113">
        <f>IF($B717=0,0,$H717/$B717)</f>
        <v/>
      </c>
      <c r="H717" s="112">
        <f>IF($F717&gt;0,ROUND($F717*KarliyukKurumlarOrani,0),0)</f>
        <v/>
      </c>
      <c r="I717" s="114" t="n"/>
    </row>
    <row r="718" ht="15" customHeight="1" s="68">
      <c r="A718" s="114" t="n"/>
      <c r="B718" s="114" t="n"/>
      <c r="C718" s="114" t="n"/>
      <c r="D718" s="114" t="n"/>
      <c r="E718" s="112">
        <f>ROUND($B718*KarliyukKdvOrani,0)</f>
        <v/>
      </c>
      <c r="F718" s="112">
        <f>$B718-$C718</f>
        <v/>
      </c>
      <c r="G718" s="113">
        <f>IF($B718=0,0,$H718/$B718)</f>
        <v/>
      </c>
      <c r="H718" s="112">
        <f>IF($F718&gt;0,ROUND($F718*KarliyukKurumlarOrani,0),0)</f>
        <v/>
      </c>
      <c r="I718" s="114" t="n"/>
    </row>
    <row r="719" ht="15" customHeight="1" s="68">
      <c r="A719" s="114" t="n"/>
      <c r="B719" s="114" t="n"/>
      <c r="C719" s="114" t="n"/>
      <c r="D719" s="114" t="n"/>
      <c r="E719" s="112">
        <f>ROUND($B719*KarliyukKdvOrani,0)</f>
        <v/>
      </c>
      <c r="F719" s="112">
        <f>$B719-$C719</f>
        <v/>
      </c>
      <c r="G719" s="113">
        <f>IF($B719=0,0,$H719/$B719)</f>
        <v/>
      </c>
      <c r="H719" s="112">
        <f>IF($F719&gt;0,ROUND($F719*KarliyukKurumlarOrani,0),0)</f>
        <v/>
      </c>
      <c r="I719" s="114" t="n"/>
    </row>
    <row r="720" ht="15" customHeight="1" s="68">
      <c r="A720" s="114" t="n"/>
      <c r="B720" s="114" t="n"/>
      <c r="C720" s="114" t="n"/>
      <c r="D720" s="114" t="n"/>
      <c r="E720" s="112">
        <f>ROUND($B720*KarliyukKdvOrani,0)</f>
        <v/>
      </c>
      <c r="F720" s="112">
        <f>$B720-$C720</f>
        <v/>
      </c>
      <c r="G720" s="113">
        <f>IF($B720=0,0,$H720/$B720)</f>
        <v/>
      </c>
      <c r="H720" s="112">
        <f>IF($F720&gt;0,ROUND($F720*KarliyukKurumlarOrani,0),0)</f>
        <v/>
      </c>
      <c r="I720" s="114" t="n"/>
    </row>
    <row r="721" ht="15" customHeight="1" s="68">
      <c r="A721" s="114" t="n"/>
      <c r="B721" s="114" t="n"/>
      <c r="C721" s="114" t="n"/>
      <c r="D721" s="114" t="n"/>
      <c r="E721" s="112">
        <f>ROUND($B721*KarliyukKdvOrani,0)</f>
        <v/>
      </c>
      <c r="F721" s="112">
        <f>$B721-$C721</f>
        <v/>
      </c>
      <c r="G721" s="113">
        <f>IF($B721=0,0,$H721/$B721)</f>
        <v/>
      </c>
      <c r="H721" s="112">
        <f>IF($F721&gt;0,ROUND($F721*KarliyukKurumlarOrani,0),0)</f>
        <v/>
      </c>
      <c r="I721" s="114" t="n"/>
    </row>
    <row r="722" ht="15" customHeight="1" s="68">
      <c r="A722" s="114" t="n"/>
      <c r="B722" s="114" t="n"/>
      <c r="C722" s="114" t="n"/>
      <c r="D722" s="114" t="n"/>
      <c r="E722" s="112">
        <f>ROUND($B722*KarliyukKdvOrani,0)</f>
        <v/>
      </c>
      <c r="F722" s="112">
        <f>$B722-$C722</f>
        <v/>
      </c>
      <c r="G722" s="113">
        <f>IF($B722=0,0,$H722/$B722)</f>
        <v/>
      </c>
      <c r="H722" s="112">
        <f>IF($F722&gt;0,ROUND($F722*KarliyukKurumlarOrani,0),0)</f>
        <v/>
      </c>
      <c r="I722" s="114" t="n"/>
    </row>
    <row r="723" ht="15" customHeight="1" s="68">
      <c r="A723" s="114" t="n"/>
      <c r="B723" s="114" t="n"/>
      <c r="C723" s="114" t="n"/>
      <c r="D723" s="114" t="n"/>
      <c r="E723" s="112">
        <f>ROUND($B723*KarliyukKdvOrani,0)</f>
        <v/>
      </c>
      <c r="F723" s="112">
        <f>$B723-$C723</f>
        <v/>
      </c>
      <c r="G723" s="113">
        <f>IF($B723=0,0,$H723/$B723)</f>
        <v/>
      </c>
      <c r="H723" s="112">
        <f>IF($F723&gt;0,ROUND($F723*KarliyukKurumlarOrani,0),0)</f>
        <v/>
      </c>
      <c r="I723" s="114" t="n"/>
    </row>
    <row r="724" ht="15" customHeight="1" s="68">
      <c r="A724" s="114" t="n"/>
      <c r="B724" s="114" t="n"/>
      <c r="C724" s="114" t="n"/>
      <c r="D724" s="114" t="n"/>
      <c r="E724" s="112">
        <f>ROUND($B724*KarliyukKdvOrani,0)</f>
        <v/>
      </c>
      <c r="F724" s="112">
        <f>$B724-$C724</f>
        <v/>
      </c>
      <c r="G724" s="113">
        <f>IF($B724=0,0,$H724/$B724)</f>
        <v/>
      </c>
      <c r="H724" s="112">
        <f>IF($F724&gt;0,ROUND($F724*KarliyukKurumlarOrani,0),0)</f>
        <v/>
      </c>
      <c r="I724" s="114" t="n"/>
    </row>
    <row r="725" ht="15" customHeight="1" s="68">
      <c r="A725" s="114" t="n"/>
      <c r="B725" s="114" t="n"/>
      <c r="C725" s="114" t="n"/>
      <c r="D725" s="114" t="n"/>
      <c r="E725" s="112">
        <f>ROUND($B725*KarliyukKdvOrani,0)</f>
        <v/>
      </c>
      <c r="F725" s="112">
        <f>$B725-$C725</f>
        <v/>
      </c>
      <c r="G725" s="113">
        <f>IF($B725=0,0,$H725/$B725)</f>
        <v/>
      </c>
      <c r="H725" s="112">
        <f>IF($F725&gt;0,ROUND($F725*KarliyukKurumlarOrani,0),0)</f>
        <v/>
      </c>
      <c r="I725" s="114" t="n"/>
    </row>
    <row r="726" ht="15" customHeight="1" s="68">
      <c r="A726" s="114" t="n"/>
      <c r="B726" s="114" t="n"/>
      <c r="C726" s="114" t="n"/>
      <c r="D726" s="114" t="n"/>
      <c r="E726" s="112">
        <f>ROUND($B726*KarliyukKdvOrani,0)</f>
        <v/>
      </c>
      <c r="F726" s="112">
        <f>$B726-$C726</f>
        <v/>
      </c>
      <c r="G726" s="113">
        <f>IF($B726=0,0,$H726/$B726)</f>
        <v/>
      </c>
      <c r="H726" s="112">
        <f>IF($F726&gt;0,ROUND($F726*KarliyukKurumlarOrani,0),0)</f>
        <v/>
      </c>
      <c r="I726" s="114" t="n"/>
    </row>
    <row r="727" ht="15" customHeight="1" s="68">
      <c r="A727" s="114" t="n"/>
      <c r="B727" s="114" t="n"/>
      <c r="C727" s="114" t="n"/>
      <c r="D727" s="114" t="n"/>
      <c r="E727" s="112">
        <f>ROUND($B727*KarliyukKdvOrani,0)</f>
        <v/>
      </c>
      <c r="F727" s="112">
        <f>$B727-$C727</f>
        <v/>
      </c>
      <c r="G727" s="113">
        <f>IF($B727=0,0,$H727/$B727)</f>
        <v/>
      </c>
      <c r="H727" s="112">
        <f>IF($F727&gt;0,ROUND($F727*KarliyukKurumlarOrani,0),0)</f>
        <v/>
      </c>
      <c r="I727" s="114" t="n"/>
    </row>
    <row r="728" ht="15" customHeight="1" s="68">
      <c r="A728" s="114" t="n"/>
      <c r="B728" s="114" t="n"/>
      <c r="C728" s="114" t="n"/>
      <c r="D728" s="114" t="n"/>
      <c r="E728" s="112">
        <f>ROUND($B728*KarliyukKdvOrani,0)</f>
        <v/>
      </c>
      <c r="F728" s="112">
        <f>$B728-$C728</f>
        <v/>
      </c>
      <c r="G728" s="113">
        <f>IF($B728=0,0,$H728/$B728)</f>
        <v/>
      </c>
      <c r="H728" s="112">
        <f>IF($F728&gt;0,ROUND($F728*KarliyukKurumlarOrani,0),0)</f>
        <v/>
      </c>
      <c r="I728" s="114" t="n"/>
    </row>
    <row r="729" ht="15" customHeight="1" s="68">
      <c r="A729" s="114" t="n"/>
      <c r="B729" s="114" t="n"/>
      <c r="C729" s="114" t="n"/>
      <c r="D729" s="114" t="n"/>
      <c r="E729" s="112">
        <f>ROUND($B729*KarliyukKdvOrani,0)</f>
        <v/>
      </c>
      <c r="F729" s="112">
        <f>$B729-$C729</f>
        <v/>
      </c>
      <c r="G729" s="113">
        <f>IF($B729=0,0,$H729/$B729)</f>
        <v/>
      </c>
      <c r="H729" s="112">
        <f>IF($F729&gt;0,ROUND($F729*KarliyukKurumlarOrani,0),0)</f>
        <v/>
      </c>
      <c r="I729" s="114" t="n"/>
    </row>
    <row r="730" ht="15" customHeight="1" s="68">
      <c r="A730" s="114" t="n"/>
      <c r="B730" s="114" t="n"/>
      <c r="C730" s="114" t="n"/>
      <c r="D730" s="114" t="n"/>
      <c r="E730" s="112">
        <f>ROUND($B730*KarliyukKdvOrani,0)</f>
        <v/>
      </c>
      <c r="F730" s="112">
        <f>$B730-$C730</f>
        <v/>
      </c>
      <c r="G730" s="113">
        <f>IF($B730=0,0,$H730/$B730)</f>
        <v/>
      </c>
      <c r="H730" s="112">
        <f>IF($F730&gt;0,ROUND($F730*KarliyukKurumlarOrani,0),0)</f>
        <v/>
      </c>
      <c r="I730" s="114" t="n"/>
    </row>
    <row r="731" ht="15" customHeight="1" s="68">
      <c r="A731" s="114" t="n"/>
      <c r="B731" s="114" t="n"/>
      <c r="C731" s="114" t="n"/>
      <c r="D731" s="114" t="n"/>
      <c r="E731" s="112">
        <f>ROUND($B731*KarliyukKdvOrani,0)</f>
        <v/>
      </c>
      <c r="F731" s="112">
        <f>$B731-$C731</f>
        <v/>
      </c>
      <c r="G731" s="113">
        <f>IF($B731=0,0,$H731/$B731)</f>
        <v/>
      </c>
      <c r="H731" s="112">
        <f>IF($F731&gt;0,ROUND($F731*KarliyukKurumlarOrani,0),0)</f>
        <v/>
      </c>
      <c r="I731" s="114" t="n"/>
    </row>
    <row r="732" ht="15" customHeight="1" s="68">
      <c r="A732" s="114" t="n"/>
      <c r="B732" s="114" t="n"/>
      <c r="C732" s="114" t="n"/>
      <c r="D732" s="114" t="n"/>
      <c r="E732" s="112">
        <f>ROUND($B732*KarliyukKdvOrani,0)</f>
        <v/>
      </c>
      <c r="F732" s="112">
        <f>$B732-$C732</f>
        <v/>
      </c>
      <c r="G732" s="113">
        <f>IF($B732=0,0,$H732/$B732)</f>
        <v/>
      </c>
      <c r="H732" s="112">
        <f>IF($F732&gt;0,ROUND($F732*KarliyukKurumlarOrani,0),0)</f>
        <v/>
      </c>
      <c r="I732" s="114" t="n"/>
    </row>
    <row r="733" ht="15" customHeight="1" s="68">
      <c r="A733" s="114" t="n"/>
      <c r="B733" s="114" t="n"/>
      <c r="C733" s="114" t="n"/>
      <c r="D733" s="114" t="n"/>
      <c r="E733" s="112">
        <f>ROUND($B733*KarliyukKdvOrani,0)</f>
        <v/>
      </c>
      <c r="F733" s="112">
        <f>$B733-$C733</f>
        <v/>
      </c>
      <c r="G733" s="113">
        <f>IF($B733=0,0,$H733/$B733)</f>
        <v/>
      </c>
      <c r="H733" s="112">
        <f>IF($F733&gt;0,ROUND($F733*KarliyukKurumlarOrani,0),0)</f>
        <v/>
      </c>
      <c r="I733" s="114" t="n"/>
    </row>
    <row r="734" ht="15" customHeight="1" s="68">
      <c r="A734" s="114" t="n"/>
      <c r="B734" s="114" t="n"/>
      <c r="C734" s="114" t="n"/>
      <c r="D734" s="114" t="n"/>
      <c r="E734" s="112">
        <f>ROUND($B734*KarliyukKdvOrani,0)</f>
        <v/>
      </c>
      <c r="F734" s="112">
        <f>$B734-$C734</f>
        <v/>
      </c>
      <c r="G734" s="113">
        <f>IF($B734=0,0,$H734/$B734)</f>
        <v/>
      </c>
      <c r="H734" s="112">
        <f>IF($F734&gt;0,ROUND($F734*KarliyukKurumlarOrani,0),0)</f>
        <v/>
      </c>
      <c r="I734" s="114" t="n"/>
    </row>
    <row r="735" ht="15" customHeight="1" s="68">
      <c r="A735" s="114" t="n"/>
      <c r="B735" s="114" t="n"/>
      <c r="C735" s="114" t="n"/>
      <c r="D735" s="114" t="n"/>
      <c r="E735" s="112">
        <f>ROUND($B735*KarliyukKdvOrani,0)</f>
        <v/>
      </c>
      <c r="F735" s="112">
        <f>$B735-$C735</f>
        <v/>
      </c>
      <c r="G735" s="113">
        <f>IF($B735=0,0,$H735/$B735)</f>
        <v/>
      </c>
      <c r="H735" s="112">
        <f>IF($F735&gt;0,ROUND($F735*KarliyukKurumlarOrani,0),0)</f>
        <v/>
      </c>
      <c r="I735" s="114" t="n"/>
    </row>
    <row r="736" ht="15" customHeight="1" s="68">
      <c r="A736" s="114" t="n"/>
      <c r="B736" s="114" t="n"/>
      <c r="C736" s="114" t="n"/>
      <c r="D736" s="114" t="n"/>
      <c r="E736" s="112">
        <f>ROUND($B736*KarliyukKdvOrani,0)</f>
        <v/>
      </c>
      <c r="F736" s="112">
        <f>$B736-$C736</f>
        <v/>
      </c>
      <c r="G736" s="113">
        <f>IF($B736=0,0,$H736/$B736)</f>
        <v/>
      </c>
      <c r="H736" s="112">
        <f>IF($F736&gt;0,ROUND($F736*KarliyukKurumlarOrani,0),0)</f>
        <v/>
      </c>
      <c r="I736" s="114" t="n"/>
    </row>
    <row r="737" ht="15" customHeight="1" s="68">
      <c r="A737" s="114" t="n"/>
      <c r="B737" s="114" t="n"/>
      <c r="C737" s="114" t="n"/>
      <c r="D737" s="114" t="n"/>
      <c r="E737" s="112">
        <f>ROUND($B737*KarliyukKdvOrani,0)</f>
        <v/>
      </c>
      <c r="F737" s="112">
        <f>$B737-$C737</f>
        <v/>
      </c>
      <c r="G737" s="113">
        <f>IF($B737=0,0,$H737/$B737)</f>
        <v/>
      </c>
      <c r="H737" s="112">
        <f>IF($F737&gt;0,ROUND($F737*KarliyukKurumlarOrani,0),0)</f>
        <v/>
      </c>
      <c r="I737" s="114" t="n"/>
    </row>
    <row r="738" ht="15" customHeight="1" s="68">
      <c r="A738" s="114" t="n"/>
      <c r="B738" s="114" t="n"/>
      <c r="C738" s="114" t="n"/>
      <c r="D738" s="114" t="n"/>
      <c r="E738" s="112">
        <f>ROUND($B738*KarliyukKdvOrani,0)</f>
        <v/>
      </c>
      <c r="F738" s="112">
        <f>$B738-$C738</f>
        <v/>
      </c>
      <c r="G738" s="113">
        <f>IF($B738=0,0,$H738/$B738)</f>
        <v/>
      </c>
      <c r="H738" s="112">
        <f>IF($F738&gt;0,ROUND($F738*KarliyukKurumlarOrani,0),0)</f>
        <v/>
      </c>
      <c r="I738" s="114" t="n"/>
    </row>
    <row r="739" ht="15" customHeight="1" s="68">
      <c r="A739" s="114" t="n"/>
      <c r="B739" s="114" t="n"/>
      <c r="C739" s="114" t="n"/>
      <c r="D739" s="114" t="n"/>
      <c r="E739" s="112">
        <f>ROUND($B739*KarliyukKdvOrani,0)</f>
        <v/>
      </c>
      <c r="F739" s="112">
        <f>$B739-$C739</f>
        <v/>
      </c>
      <c r="G739" s="113">
        <f>IF($B739=0,0,$H739/$B739)</f>
        <v/>
      </c>
      <c r="H739" s="112">
        <f>IF($F739&gt;0,ROUND($F739*KarliyukKurumlarOrani,0),0)</f>
        <v/>
      </c>
      <c r="I739" s="114" t="n"/>
    </row>
    <row r="740" ht="15" customHeight="1" s="68">
      <c r="A740" s="114" t="n"/>
      <c r="B740" s="114" t="n"/>
      <c r="C740" s="114" t="n"/>
      <c r="D740" s="114" t="n"/>
      <c r="E740" s="112">
        <f>ROUND($B740*KarliyukKdvOrani,0)</f>
        <v/>
      </c>
      <c r="F740" s="112">
        <f>$B740-$C740</f>
        <v/>
      </c>
      <c r="G740" s="113">
        <f>IF($B740=0,0,$H740/$B740)</f>
        <v/>
      </c>
      <c r="H740" s="112">
        <f>IF($F740&gt;0,ROUND($F740*KarliyukKurumlarOrani,0),0)</f>
        <v/>
      </c>
      <c r="I740" s="114" t="n"/>
    </row>
    <row r="741" ht="15" customHeight="1" s="68">
      <c r="A741" s="114" t="n"/>
      <c r="B741" s="114" t="n"/>
      <c r="C741" s="114" t="n"/>
      <c r="D741" s="114" t="n"/>
      <c r="E741" s="112">
        <f>ROUND($B741*KarliyukKdvOrani,0)</f>
        <v/>
      </c>
      <c r="F741" s="112">
        <f>$B741-$C741</f>
        <v/>
      </c>
      <c r="G741" s="113">
        <f>IF($B741=0,0,$H741/$B741)</f>
        <v/>
      </c>
      <c r="H741" s="112">
        <f>IF($F741&gt;0,ROUND($F741*KarliyukKurumlarOrani,0),0)</f>
        <v/>
      </c>
      <c r="I741" s="114" t="n"/>
    </row>
    <row r="742" ht="15" customHeight="1" s="68">
      <c r="A742" s="114" t="n"/>
      <c r="B742" s="114" t="n"/>
      <c r="C742" s="114" t="n"/>
      <c r="D742" s="114" t="n"/>
      <c r="E742" s="112">
        <f>ROUND($B742*KarliyukKdvOrani,0)</f>
        <v/>
      </c>
      <c r="F742" s="112">
        <f>$B742-$C742</f>
        <v/>
      </c>
      <c r="G742" s="113">
        <f>IF($B742=0,0,$H742/$B742)</f>
        <v/>
      </c>
      <c r="H742" s="112">
        <f>IF($F742&gt;0,ROUND($F742*KarliyukKurumlarOrani,0),0)</f>
        <v/>
      </c>
      <c r="I742" s="114" t="n"/>
    </row>
    <row r="743" ht="15" customHeight="1" s="68">
      <c r="A743" s="114" t="n"/>
      <c r="B743" s="114" t="n"/>
      <c r="C743" s="114" t="n"/>
      <c r="D743" s="114" t="n"/>
      <c r="E743" s="112">
        <f>ROUND($B743*KarliyukKdvOrani,0)</f>
        <v/>
      </c>
      <c r="F743" s="112">
        <f>$B743-$C743</f>
        <v/>
      </c>
      <c r="G743" s="113">
        <f>IF($B743=0,0,$H743/$B743)</f>
        <v/>
      </c>
      <c r="H743" s="112">
        <f>IF($F743&gt;0,ROUND($F743*KarliyukKurumlarOrani,0),0)</f>
        <v/>
      </c>
      <c r="I743" s="114" t="n"/>
    </row>
    <row r="744" ht="15" customHeight="1" s="68">
      <c r="A744" s="114" t="n"/>
      <c r="B744" s="114" t="n"/>
      <c r="C744" s="114" t="n"/>
      <c r="D744" s="114" t="n"/>
      <c r="E744" s="112">
        <f>ROUND($B744*KarliyukKdvOrani,0)</f>
        <v/>
      </c>
      <c r="F744" s="112">
        <f>$B744-$C744</f>
        <v/>
      </c>
      <c r="G744" s="113">
        <f>IF($B744=0,0,$H744/$B744)</f>
        <v/>
      </c>
      <c r="H744" s="112">
        <f>IF($F744&gt;0,ROUND($F744*KarliyukKurumlarOrani,0),0)</f>
        <v/>
      </c>
      <c r="I744" s="114" t="n"/>
    </row>
    <row r="745" ht="15" customHeight="1" s="68">
      <c r="A745" s="114" t="n"/>
      <c r="B745" s="114" t="n"/>
      <c r="C745" s="114" t="n"/>
      <c r="D745" s="114" t="n"/>
      <c r="E745" s="112">
        <f>ROUND($B745*KarliyukKdvOrani,0)</f>
        <v/>
      </c>
      <c r="F745" s="112">
        <f>$B745-$C745</f>
        <v/>
      </c>
      <c r="G745" s="113">
        <f>IF($B745=0,0,$H745/$B745)</f>
        <v/>
      </c>
      <c r="H745" s="112">
        <f>IF($F745&gt;0,ROUND($F745*KarliyukKurumlarOrani,0),0)</f>
        <v/>
      </c>
      <c r="I745" s="114" t="n"/>
    </row>
    <row r="746" ht="15" customHeight="1" s="68">
      <c r="A746" s="114" t="n"/>
      <c r="B746" s="114" t="n"/>
      <c r="C746" s="114" t="n"/>
      <c r="D746" s="114" t="n"/>
      <c r="E746" s="112">
        <f>ROUND($B746*KarliyukKdvOrani,0)</f>
        <v/>
      </c>
      <c r="F746" s="112">
        <f>$B746-$C746</f>
        <v/>
      </c>
      <c r="G746" s="113">
        <f>IF($B746=0,0,$H746/$B746)</f>
        <v/>
      </c>
      <c r="H746" s="112">
        <f>IF($F746&gt;0,ROUND($F746*KarliyukKurumlarOrani,0),0)</f>
        <v/>
      </c>
      <c r="I746" s="114" t="n"/>
    </row>
    <row r="747" ht="15" customHeight="1" s="68">
      <c r="A747" s="114" t="n"/>
      <c r="B747" s="114" t="n"/>
      <c r="C747" s="114" t="n"/>
      <c r="D747" s="114" t="n"/>
      <c r="E747" s="112">
        <f>ROUND($B747*KarliyukKdvOrani,0)</f>
        <v/>
      </c>
      <c r="F747" s="112">
        <f>$B747-$C747</f>
        <v/>
      </c>
      <c r="G747" s="113">
        <f>IF($B747=0,0,$H747/$B747)</f>
        <v/>
      </c>
      <c r="H747" s="112">
        <f>IF($F747&gt;0,ROUND($F747*KarliyukKurumlarOrani,0),0)</f>
        <v/>
      </c>
      <c r="I747" s="114" t="n"/>
    </row>
    <row r="748" ht="15" customHeight="1" s="68">
      <c r="A748" s="114" t="n"/>
      <c r="B748" s="114" t="n"/>
      <c r="C748" s="114" t="n"/>
      <c r="D748" s="114" t="n"/>
      <c r="E748" s="112">
        <f>ROUND($B748*KarliyukKdvOrani,0)</f>
        <v/>
      </c>
      <c r="F748" s="112">
        <f>$B748-$C748</f>
        <v/>
      </c>
      <c r="G748" s="113">
        <f>IF($B748=0,0,$H748/$B748)</f>
        <v/>
      </c>
      <c r="H748" s="112">
        <f>IF($F748&gt;0,ROUND($F748*KarliyukKurumlarOrani,0),0)</f>
        <v/>
      </c>
      <c r="I748" s="114" t="n"/>
    </row>
    <row r="749" ht="15" customHeight="1" s="68">
      <c r="A749" s="114" t="n"/>
      <c r="B749" s="114" t="n"/>
      <c r="C749" s="114" t="n"/>
      <c r="D749" s="114" t="n"/>
      <c r="E749" s="112">
        <f>ROUND($B749*KarliyukKdvOrani,0)</f>
        <v/>
      </c>
      <c r="F749" s="112">
        <f>$B749-$C749</f>
        <v/>
      </c>
      <c r="G749" s="113">
        <f>IF($B749=0,0,$H749/$B749)</f>
        <v/>
      </c>
      <c r="H749" s="112">
        <f>IF($F749&gt;0,ROUND($F749*KarliyukKurumlarOrani,0),0)</f>
        <v/>
      </c>
      <c r="I749" s="114" t="n"/>
    </row>
    <row r="750" ht="15" customHeight="1" s="68">
      <c r="A750" s="114" t="n"/>
      <c r="B750" s="114" t="n"/>
      <c r="C750" s="114" t="n"/>
      <c r="D750" s="114" t="n"/>
      <c r="E750" s="112">
        <f>ROUND($B750*KarliyukKdvOrani,0)</f>
        <v/>
      </c>
      <c r="F750" s="112">
        <f>$B750-$C750</f>
        <v/>
      </c>
      <c r="G750" s="113">
        <f>IF($B750=0,0,$H750/$B750)</f>
        <v/>
      </c>
      <c r="H750" s="112">
        <f>IF($F750&gt;0,ROUND($F750*KarliyukKurumlarOrani,0),0)</f>
        <v/>
      </c>
      <c r="I750" s="114" t="n"/>
    </row>
    <row r="751" ht="15" customHeight="1" s="68">
      <c r="A751" s="114" t="n"/>
      <c r="B751" s="114" t="n"/>
      <c r="C751" s="114" t="n"/>
      <c r="D751" s="114" t="n"/>
      <c r="E751" s="112">
        <f>ROUND($B751*KarliyukKdvOrani,0)</f>
        <v/>
      </c>
      <c r="F751" s="112">
        <f>$B751-$C751</f>
        <v/>
      </c>
      <c r="G751" s="113">
        <f>IF($B751=0,0,$H751/$B751)</f>
        <v/>
      </c>
      <c r="H751" s="112">
        <f>IF($F751&gt;0,ROUND($F751*KarliyukKurumlarOrani,0),0)</f>
        <v/>
      </c>
      <c r="I751" s="114" t="n"/>
    </row>
    <row r="752" ht="15" customHeight="1" s="68">
      <c r="A752" s="114" t="n"/>
      <c r="B752" s="114" t="n"/>
      <c r="C752" s="114" t="n"/>
      <c r="D752" s="114" t="n"/>
      <c r="E752" s="112">
        <f>ROUND($B752*KarliyukKdvOrani,0)</f>
        <v/>
      </c>
      <c r="F752" s="112">
        <f>$B752-$C752</f>
        <v/>
      </c>
      <c r="G752" s="113">
        <f>IF($B752=0,0,$H752/$B752)</f>
        <v/>
      </c>
      <c r="H752" s="112">
        <f>IF($F752&gt;0,ROUND($F752*KarliyukKurumlarOrani,0),0)</f>
        <v/>
      </c>
      <c r="I752" s="114" t="n"/>
    </row>
    <row r="753" ht="15" customHeight="1" s="68">
      <c r="A753" s="114" t="n"/>
      <c r="B753" s="114" t="n"/>
      <c r="C753" s="114" t="n"/>
      <c r="D753" s="114" t="n"/>
      <c r="E753" s="112">
        <f>ROUND($B753*KarliyukKdvOrani,0)</f>
        <v/>
      </c>
      <c r="F753" s="112">
        <f>$B753-$C753</f>
        <v/>
      </c>
      <c r="G753" s="113">
        <f>IF($B753=0,0,$H753/$B753)</f>
        <v/>
      </c>
      <c r="H753" s="112">
        <f>IF($F753&gt;0,ROUND($F753*KarliyukKurumlarOrani,0),0)</f>
        <v/>
      </c>
      <c r="I753" s="114" t="n"/>
    </row>
    <row r="754" ht="15" customHeight="1" s="68">
      <c r="A754" s="114" t="n"/>
      <c r="B754" s="114" t="n"/>
      <c r="C754" s="114" t="n"/>
      <c r="D754" s="114" t="n"/>
      <c r="E754" s="112">
        <f>ROUND($B754*KarliyukKdvOrani,0)</f>
        <v/>
      </c>
      <c r="F754" s="112">
        <f>$B754-$C754</f>
        <v/>
      </c>
      <c r="G754" s="113">
        <f>IF($B754=0,0,$H754/$B754)</f>
        <v/>
      </c>
      <c r="H754" s="112">
        <f>IF($F754&gt;0,ROUND($F754*KarliyukKurumlarOrani,0),0)</f>
        <v/>
      </c>
      <c r="I754" s="114" t="n"/>
    </row>
    <row r="755" ht="15" customHeight="1" s="68">
      <c r="A755" s="114" t="n"/>
      <c r="B755" s="114" t="n"/>
      <c r="C755" s="114" t="n"/>
      <c r="D755" s="114" t="n"/>
      <c r="E755" s="112">
        <f>ROUND($B755*KarliyukKdvOrani,0)</f>
        <v/>
      </c>
      <c r="F755" s="112">
        <f>$B755-$C755</f>
        <v/>
      </c>
      <c r="G755" s="113">
        <f>IF($B755=0,0,$H755/$B755)</f>
        <v/>
      </c>
      <c r="H755" s="112">
        <f>IF($F755&gt;0,ROUND($F755*KarliyukKurumlarOrani,0),0)</f>
        <v/>
      </c>
      <c r="I755" s="114" t="n"/>
    </row>
    <row r="756" ht="15" customHeight="1" s="68">
      <c r="A756" s="114" t="n"/>
      <c r="B756" s="114" t="n"/>
      <c r="C756" s="114" t="n"/>
      <c r="D756" s="114" t="n"/>
      <c r="E756" s="112">
        <f>ROUND($B756*KarliyukKdvOrani,0)</f>
        <v/>
      </c>
      <c r="F756" s="112">
        <f>$B756-$C756</f>
        <v/>
      </c>
      <c r="G756" s="113">
        <f>IF($B756=0,0,$H756/$B756)</f>
        <v/>
      </c>
      <c r="H756" s="112">
        <f>IF($F756&gt;0,ROUND($F756*KarliyukKurumlarOrani,0),0)</f>
        <v/>
      </c>
      <c r="I756" s="114" t="n"/>
    </row>
    <row r="757" ht="15" customHeight="1" s="68">
      <c r="A757" s="114" t="n"/>
      <c r="B757" s="114" t="n"/>
      <c r="C757" s="114" t="n"/>
      <c r="D757" s="114" t="n"/>
      <c r="E757" s="112">
        <f>ROUND($B757*KarliyukKdvOrani,0)</f>
        <v/>
      </c>
      <c r="F757" s="112">
        <f>$B757-$C757</f>
        <v/>
      </c>
      <c r="G757" s="113">
        <f>IF($B757=0,0,$H757/$B757)</f>
        <v/>
      </c>
      <c r="H757" s="112">
        <f>IF($F757&gt;0,ROUND($F757*KarliyukKurumlarOrani,0),0)</f>
        <v/>
      </c>
      <c r="I757" s="114" t="n"/>
    </row>
    <row r="758" ht="15" customHeight="1" s="68">
      <c r="A758" s="114" t="n"/>
      <c r="B758" s="114" t="n"/>
      <c r="C758" s="114" t="n"/>
      <c r="D758" s="114" t="n"/>
      <c r="E758" s="112">
        <f>ROUND($B758*KarliyukKdvOrani,0)</f>
        <v/>
      </c>
      <c r="F758" s="112">
        <f>$B758-$C758</f>
        <v/>
      </c>
      <c r="G758" s="113">
        <f>IF($B758=0,0,$H758/$B758)</f>
        <v/>
      </c>
      <c r="H758" s="112">
        <f>IF($F758&gt;0,ROUND($F758*KarliyukKurumlarOrani,0),0)</f>
        <v/>
      </c>
      <c r="I758" s="114" t="n"/>
    </row>
    <row r="759" ht="15" customHeight="1" s="68">
      <c r="A759" s="114" t="n"/>
      <c r="B759" s="114" t="n"/>
      <c r="C759" s="114" t="n"/>
      <c r="D759" s="114" t="n"/>
      <c r="E759" s="112">
        <f>ROUND($B759*KarliyukKdvOrani,0)</f>
        <v/>
      </c>
      <c r="F759" s="112">
        <f>$B759-$C759</f>
        <v/>
      </c>
      <c r="G759" s="113">
        <f>IF($B759=0,0,$H759/$B759)</f>
        <v/>
      </c>
      <c r="H759" s="112">
        <f>IF($F759&gt;0,ROUND($F759*KarliyukKurumlarOrani,0),0)</f>
        <v/>
      </c>
      <c r="I759" s="114" t="n"/>
    </row>
    <row r="760" ht="15" customHeight="1" s="68">
      <c r="A760" s="114" t="n"/>
      <c r="B760" s="114" t="n"/>
      <c r="C760" s="114" t="n"/>
      <c r="D760" s="114" t="n"/>
      <c r="E760" s="112">
        <f>ROUND($B760*KarliyukKdvOrani,0)</f>
        <v/>
      </c>
      <c r="F760" s="112">
        <f>$B760-$C760</f>
        <v/>
      </c>
      <c r="G760" s="113">
        <f>IF($B760=0,0,$H760/$B760)</f>
        <v/>
      </c>
      <c r="H760" s="112">
        <f>IF($F760&gt;0,ROUND($F760*KarliyukKurumlarOrani,0),0)</f>
        <v/>
      </c>
      <c r="I760" s="114" t="n"/>
    </row>
    <row r="761" ht="15" customHeight="1" s="68">
      <c r="A761" s="114" t="n"/>
      <c r="B761" s="114" t="n"/>
      <c r="C761" s="114" t="n"/>
      <c r="D761" s="114" t="n"/>
      <c r="E761" s="112">
        <f>ROUND($B761*KarliyukKdvOrani,0)</f>
        <v/>
      </c>
      <c r="F761" s="112">
        <f>$B761-$C761</f>
        <v/>
      </c>
      <c r="G761" s="113">
        <f>IF($B761=0,0,$H761/$B761)</f>
        <v/>
      </c>
      <c r="H761" s="112">
        <f>IF($F761&gt;0,ROUND($F761*KarliyukKurumlarOrani,0),0)</f>
        <v/>
      </c>
      <c r="I761" s="114" t="n"/>
    </row>
    <row r="762" ht="15" customHeight="1" s="68">
      <c r="A762" s="114" t="n"/>
      <c r="B762" s="114" t="n"/>
      <c r="C762" s="114" t="n"/>
      <c r="D762" s="114" t="n"/>
      <c r="E762" s="112">
        <f>ROUND($B762*KarliyukKdvOrani,0)</f>
        <v/>
      </c>
      <c r="F762" s="112">
        <f>$B762-$C762</f>
        <v/>
      </c>
      <c r="G762" s="113">
        <f>IF($B762=0,0,$H762/$B762)</f>
        <v/>
      </c>
      <c r="H762" s="112">
        <f>IF($F762&gt;0,ROUND($F762*KarliyukKurumlarOrani,0),0)</f>
        <v/>
      </c>
      <c r="I762" s="114" t="n"/>
    </row>
    <row r="763" ht="15" customHeight="1" s="68">
      <c r="A763" s="114" t="n"/>
      <c r="B763" s="114" t="n"/>
      <c r="C763" s="114" t="n"/>
      <c r="D763" s="114" t="n"/>
      <c r="E763" s="112">
        <f>ROUND($B763*KarliyukKdvOrani,0)</f>
        <v/>
      </c>
      <c r="F763" s="112">
        <f>$B763-$C763</f>
        <v/>
      </c>
      <c r="G763" s="113">
        <f>IF($B763=0,0,$H763/$B763)</f>
        <v/>
      </c>
      <c r="H763" s="112">
        <f>IF($F763&gt;0,ROUND($F763*KarliyukKurumlarOrani,0),0)</f>
        <v/>
      </c>
      <c r="I763" s="114" t="n"/>
    </row>
    <row r="764" ht="15" customHeight="1" s="68">
      <c r="A764" s="114" t="n"/>
      <c r="B764" s="114" t="n"/>
      <c r="C764" s="114" t="n"/>
      <c r="D764" s="114" t="n"/>
      <c r="E764" s="112">
        <f>ROUND($B764*KarliyukKdvOrani,0)</f>
        <v/>
      </c>
      <c r="F764" s="112">
        <f>$B764-$C764</f>
        <v/>
      </c>
      <c r="G764" s="113">
        <f>IF($B764=0,0,$H764/$B764)</f>
        <v/>
      </c>
      <c r="H764" s="112">
        <f>IF($F764&gt;0,ROUND($F764*KarliyukKurumlarOrani,0),0)</f>
        <v/>
      </c>
      <c r="I764" s="114" t="n"/>
    </row>
    <row r="765" ht="15" customHeight="1" s="68">
      <c r="A765" s="114" t="n"/>
      <c r="B765" s="114" t="n"/>
      <c r="C765" s="114" t="n"/>
      <c r="D765" s="114" t="n"/>
      <c r="E765" s="112">
        <f>ROUND($B765*KarliyukKdvOrani,0)</f>
        <v/>
      </c>
      <c r="F765" s="112">
        <f>$B765-$C765</f>
        <v/>
      </c>
      <c r="G765" s="113">
        <f>IF($B765=0,0,$H765/$B765)</f>
        <v/>
      </c>
      <c r="H765" s="112">
        <f>IF($F765&gt;0,ROUND($F765*KarliyukKurumlarOrani,0),0)</f>
        <v/>
      </c>
      <c r="I765" s="114" t="n"/>
    </row>
    <row r="766" ht="15" customHeight="1" s="68">
      <c r="A766" s="114" t="n"/>
      <c r="B766" s="114" t="n"/>
      <c r="C766" s="114" t="n"/>
      <c r="D766" s="114" t="n"/>
      <c r="E766" s="112">
        <f>ROUND($B766*KarliyukKdvOrani,0)</f>
        <v/>
      </c>
      <c r="F766" s="112">
        <f>$B766-$C766</f>
        <v/>
      </c>
      <c r="G766" s="113">
        <f>IF($B766=0,0,$H766/$B766)</f>
        <v/>
      </c>
      <c r="H766" s="112">
        <f>IF($F766&gt;0,ROUND($F766*KarliyukKurumlarOrani,0),0)</f>
        <v/>
      </c>
      <c r="I766" s="114" t="n"/>
    </row>
    <row r="767" ht="15" customHeight="1" s="68">
      <c r="A767" s="114" t="n"/>
      <c r="B767" s="114" t="n"/>
      <c r="C767" s="114" t="n"/>
      <c r="D767" s="114" t="n"/>
      <c r="E767" s="112">
        <f>ROUND($B767*KarliyukKdvOrani,0)</f>
        <v/>
      </c>
      <c r="F767" s="112">
        <f>$B767-$C767</f>
        <v/>
      </c>
      <c r="G767" s="113">
        <f>IF($B767=0,0,$H767/$B767)</f>
        <v/>
      </c>
      <c r="H767" s="112">
        <f>IF($F767&gt;0,ROUND($F767*KarliyukKurumlarOrani,0),0)</f>
        <v/>
      </c>
      <c r="I767" s="114" t="n"/>
    </row>
    <row r="768" ht="15" customHeight="1" s="68">
      <c r="A768" s="114" t="n"/>
      <c r="B768" s="114" t="n"/>
      <c r="C768" s="114" t="n"/>
      <c r="D768" s="114" t="n"/>
      <c r="E768" s="112">
        <f>ROUND($B768*KarliyukKdvOrani,0)</f>
        <v/>
      </c>
      <c r="F768" s="112">
        <f>$B768-$C768</f>
        <v/>
      </c>
      <c r="G768" s="113">
        <f>IF($B768=0,0,$H768/$B768)</f>
        <v/>
      </c>
      <c r="H768" s="112">
        <f>IF($F768&gt;0,ROUND($F768*KarliyukKurumlarOrani,0),0)</f>
        <v/>
      </c>
      <c r="I768" s="114" t="n"/>
    </row>
    <row r="769" ht="15" customHeight="1" s="68">
      <c r="A769" s="114" t="n"/>
      <c r="B769" s="114" t="n"/>
      <c r="C769" s="114" t="n"/>
      <c r="D769" s="114" t="n"/>
      <c r="E769" s="112">
        <f>ROUND($B769*KarliyukKdvOrani,0)</f>
        <v/>
      </c>
      <c r="F769" s="112">
        <f>$B769-$C769</f>
        <v/>
      </c>
      <c r="G769" s="113">
        <f>IF($B769=0,0,$H769/$B769)</f>
        <v/>
      </c>
      <c r="H769" s="112">
        <f>IF($F769&gt;0,ROUND($F769*KarliyukKurumlarOrani,0),0)</f>
        <v/>
      </c>
      <c r="I769" s="114" t="n"/>
    </row>
    <row r="770" ht="15" customHeight="1" s="68">
      <c r="A770" s="114" t="n"/>
      <c r="B770" s="114" t="n"/>
      <c r="C770" s="114" t="n"/>
      <c r="D770" s="114" t="n"/>
      <c r="E770" s="112">
        <f>ROUND($B770*KarliyukKdvOrani,0)</f>
        <v/>
      </c>
      <c r="F770" s="112">
        <f>$B770-$C770</f>
        <v/>
      </c>
      <c r="G770" s="113">
        <f>IF($B770=0,0,$H770/$B770)</f>
        <v/>
      </c>
      <c r="H770" s="112">
        <f>IF($F770&gt;0,ROUND($F770*KarliyukKurumlarOrani,0),0)</f>
        <v/>
      </c>
      <c r="I770" s="114" t="n"/>
    </row>
    <row r="771" ht="15" customHeight="1" s="68">
      <c r="A771" s="114" t="n"/>
      <c r="B771" s="114" t="n"/>
      <c r="C771" s="114" t="n"/>
      <c r="D771" s="114" t="n"/>
      <c r="E771" s="112">
        <f>ROUND($B771*KarliyukKdvOrani,0)</f>
        <v/>
      </c>
      <c r="F771" s="112">
        <f>$B771-$C771</f>
        <v/>
      </c>
      <c r="G771" s="113">
        <f>IF($B771=0,0,$H771/$B771)</f>
        <v/>
      </c>
      <c r="H771" s="112">
        <f>IF($F771&gt;0,ROUND($F771*KarliyukKurumlarOrani,0),0)</f>
        <v/>
      </c>
      <c r="I771" s="114" t="n"/>
    </row>
    <row r="772" ht="15" customHeight="1" s="68">
      <c r="A772" s="114" t="n"/>
      <c r="B772" s="114" t="n"/>
      <c r="C772" s="114" t="n"/>
      <c r="D772" s="114" t="n"/>
      <c r="E772" s="112">
        <f>ROUND($B772*KarliyukKdvOrani,0)</f>
        <v/>
      </c>
      <c r="F772" s="112">
        <f>$B772-$C772</f>
        <v/>
      </c>
      <c r="G772" s="113">
        <f>IF($B772=0,0,$H772/$B772)</f>
        <v/>
      </c>
      <c r="H772" s="112">
        <f>IF($F772&gt;0,ROUND($F772*KarliyukKurumlarOrani,0),0)</f>
        <v/>
      </c>
      <c r="I772" s="114" t="n"/>
    </row>
    <row r="773" ht="15" customHeight="1" s="68">
      <c r="A773" s="114" t="n"/>
      <c r="B773" s="114" t="n"/>
      <c r="C773" s="114" t="n"/>
      <c r="D773" s="114" t="n"/>
      <c r="E773" s="112">
        <f>ROUND($B773*KarliyukKdvOrani,0)</f>
        <v/>
      </c>
      <c r="F773" s="112">
        <f>$B773-$C773</f>
        <v/>
      </c>
      <c r="G773" s="113">
        <f>IF($B773=0,0,$H773/$B773)</f>
        <v/>
      </c>
      <c r="H773" s="112">
        <f>IF($F773&gt;0,ROUND($F773*KarliyukKurumlarOrani,0),0)</f>
        <v/>
      </c>
      <c r="I773" s="114" t="n"/>
    </row>
    <row r="774" ht="15" customHeight="1" s="68">
      <c r="A774" s="114" t="n"/>
      <c r="B774" s="114" t="n"/>
      <c r="C774" s="114" t="n"/>
      <c r="D774" s="114" t="n"/>
      <c r="E774" s="112">
        <f>ROUND($B774*KarliyukKdvOrani,0)</f>
        <v/>
      </c>
      <c r="F774" s="112">
        <f>$B774-$C774</f>
        <v/>
      </c>
      <c r="G774" s="113">
        <f>IF($B774=0,0,$H774/$B774)</f>
        <v/>
      </c>
      <c r="H774" s="112">
        <f>IF($F774&gt;0,ROUND($F774*KarliyukKurumlarOrani,0),0)</f>
        <v/>
      </c>
      <c r="I774" s="114" t="n"/>
    </row>
    <row r="775" ht="15" customHeight="1" s="68">
      <c r="A775" s="114" t="n"/>
      <c r="B775" s="114" t="n"/>
      <c r="C775" s="114" t="n"/>
      <c r="D775" s="114" t="n"/>
      <c r="E775" s="112">
        <f>ROUND($B775*KarliyukKdvOrani,0)</f>
        <v/>
      </c>
      <c r="F775" s="112">
        <f>$B775-$C775</f>
        <v/>
      </c>
      <c r="G775" s="113">
        <f>IF($B775=0,0,$H775/$B775)</f>
        <v/>
      </c>
      <c r="H775" s="112">
        <f>IF($F775&gt;0,ROUND($F775*KarliyukKurumlarOrani,0),0)</f>
        <v/>
      </c>
      <c r="I775" s="114" t="n"/>
    </row>
    <row r="776" ht="15" customHeight="1" s="68">
      <c r="A776" s="114" t="n"/>
      <c r="B776" s="114" t="n"/>
      <c r="C776" s="114" t="n"/>
      <c r="D776" s="114" t="n"/>
      <c r="E776" s="112">
        <f>ROUND($B776*KarliyukKdvOrani,0)</f>
        <v/>
      </c>
      <c r="F776" s="112">
        <f>$B776-$C776</f>
        <v/>
      </c>
      <c r="G776" s="113">
        <f>IF($B776=0,0,$H776/$B776)</f>
        <v/>
      </c>
      <c r="H776" s="112">
        <f>IF($F776&gt;0,ROUND($F776*KarliyukKurumlarOrani,0),0)</f>
        <v/>
      </c>
      <c r="I776" s="114" t="n"/>
    </row>
    <row r="777" ht="15" customHeight="1" s="68">
      <c r="A777" s="114" t="n"/>
      <c r="B777" s="114" t="n"/>
      <c r="C777" s="114" t="n"/>
      <c r="D777" s="114" t="n"/>
      <c r="E777" s="112">
        <f>ROUND($B777*KarliyukKdvOrani,0)</f>
        <v/>
      </c>
      <c r="F777" s="112">
        <f>$B777-$C777</f>
        <v/>
      </c>
      <c r="G777" s="113">
        <f>IF($B777=0,0,$H777/$B777)</f>
        <v/>
      </c>
      <c r="H777" s="112">
        <f>IF($F777&gt;0,ROUND($F777*KarliyukKurumlarOrani,0),0)</f>
        <v/>
      </c>
      <c r="I777" s="114" t="n"/>
    </row>
    <row r="778" ht="15" customHeight="1" s="68">
      <c r="A778" s="114" t="n"/>
      <c r="B778" s="114" t="n"/>
      <c r="C778" s="114" t="n"/>
      <c r="D778" s="114" t="n"/>
      <c r="E778" s="112">
        <f>ROUND($B778*KarliyukKdvOrani,0)</f>
        <v/>
      </c>
      <c r="F778" s="112">
        <f>$B778-$C778</f>
        <v/>
      </c>
      <c r="G778" s="113">
        <f>IF($B778=0,0,$H778/$B778)</f>
        <v/>
      </c>
      <c r="H778" s="112">
        <f>IF($F778&gt;0,ROUND($F778*KarliyukKurumlarOrani,0),0)</f>
        <v/>
      </c>
      <c r="I778" s="114" t="n"/>
    </row>
    <row r="779" ht="15" customHeight="1" s="68">
      <c r="A779" s="114" t="n"/>
      <c r="B779" s="114" t="n"/>
      <c r="C779" s="114" t="n"/>
      <c r="D779" s="114" t="n"/>
      <c r="E779" s="112">
        <f>ROUND($B779*KarliyukKdvOrani,0)</f>
        <v/>
      </c>
      <c r="F779" s="112">
        <f>$B779-$C779</f>
        <v/>
      </c>
      <c r="G779" s="113">
        <f>IF($B779=0,0,$H779/$B779)</f>
        <v/>
      </c>
      <c r="H779" s="112">
        <f>IF($F779&gt;0,ROUND($F779*KarliyukKurumlarOrani,0),0)</f>
        <v/>
      </c>
      <c r="I779" s="114" t="n"/>
    </row>
    <row r="780" ht="15" customHeight="1" s="68">
      <c r="A780" s="114" t="n"/>
      <c r="B780" s="114" t="n"/>
      <c r="C780" s="114" t="n"/>
      <c r="D780" s="114" t="n"/>
      <c r="E780" s="112">
        <f>ROUND($B780*KarliyukKdvOrani,0)</f>
        <v/>
      </c>
      <c r="F780" s="112">
        <f>$B780-$C780</f>
        <v/>
      </c>
      <c r="G780" s="113">
        <f>IF($B780=0,0,$H780/$B780)</f>
        <v/>
      </c>
      <c r="H780" s="112">
        <f>IF($F780&gt;0,ROUND($F780*KarliyukKurumlarOrani,0),0)</f>
        <v/>
      </c>
      <c r="I780" s="114" t="n"/>
    </row>
    <row r="781" ht="15" customHeight="1" s="68">
      <c r="A781" s="114" t="n"/>
      <c r="B781" s="114" t="n"/>
      <c r="C781" s="114" t="n"/>
      <c r="D781" s="114" t="n"/>
      <c r="E781" s="112">
        <f>ROUND($B781*KarliyukKdvOrani,0)</f>
        <v/>
      </c>
      <c r="F781" s="112">
        <f>$B781-$C781</f>
        <v/>
      </c>
      <c r="G781" s="113">
        <f>IF($B781=0,0,$H781/$B781)</f>
        <v/>
      </c>
      <c r="H781" s="112">
        <f>IF($F781&gt;0,ROUND($F781*KarliyukKurumlarOrani,0),0)</f>
        <v/>
      </c>
      <c r="I781" s="114" t="n"/>
    </row>
    <row r="782" ht="15" customHeight="1" s="68">
      <c r="A782" s="114" t="n"/>
      <c r="B782" s="114" t="n"/>
      <c r="C782" s="114" t="n"/>
      <c r="D782" s="114" t="n"/>
      <c r="E782" s="112">
        <f>ROUND($B782*KarliyukKdvOrani,0)</f>
        <v/>
      </c>
      <c r="F782" s="112">
        <f>$B782-$C782</f>
        <v/>
      </c>
      <c r="G782" s="113">
        <f>IF($B782=0,0,$H782/$B782)</f>
        <v/>
      </c>
      <c r="H782" s="112">
        <f>IF($F782&gt;0,ROUND($F782*KarliyukKurumlarOrani,0),0)</f>
        <v/>
      </c>
      <c r="I782" s="114" t="n"/>
    </row>
    <row r="783" ht="15" customHeight="1" s="68">
      <c r="A783" s="114" t="n"/>
      <c r="B783" s="114" t="n"/>
      <c r="C783" s="114" t="n"/>
      <c r="D783" s="114" t="n"/>
      <c r="E783" s="112">
        <f>ROUND($B783*KarliyukKdvOrani,0)</f>
        <v/>
      </c>
      <c r="F783" s="112">
        <f>$B783-$C783</f>
        <v/>
      </c>
      <c r="G783" s="113">
        <f>IF($B783=0,0,$H783/$B783)</f>
        <v/>
      </c>
      <c r="H783" s="112">
        <f>IF($F783&gt;0,ROUND($F783*KarliyukKurumlarOrani,0),0)</f>
        <v/>
      </c>
      <c r="I783" s="114" t="n"/>
    </row>
    <row r="784" ht="15" customHeight="1" s="68">
      <c r="A784" s="114" t="n"/>
      <c r="B784" s="114" t="n"/>
      <c r="C784" s="114" t="n"/>
      <c r="D784" s="114" t="n"/>
      <c r="E784" s="112">
        <f>ROUND($B784*KarliyukKdvOrani,0)</f>
        <v/>
      </c>
      <c r="F784" s="112">
        <f>$B784-$C784</f>
        <v/>
      </c>
      <c r="G784" s="113">
        <f>IF($B784=0,0,$H784/$B784)</f>
        <v/>
      </c>
      <c r="H784" s="112">
        <f>IF($F784&gt;0,ROUND($F784*KarliyukKurumlarOrani,0),0)</f>
        <v/>
      </c>
      <c r="I784" s="114" t="n"/>
    </row>
    <row r="785" ht="15" customHeight="1" s="68">
      <c r="A785" s="114" t="n"/>
      <c r="B785" s="114" t="n"/>
      <c r="C785" s="114" t="n"/>
      <c r="D785" s="114" t="n"/>
      <c r="E785" s="112">
        <f>ROUND($B785*KarliyukKdvOrani,0)</f>
        <v/>
      </c>
      <c r="F785" s="112">
        <f>$B785-$C785</f>
        <v/>
      </c>
      <c r="G785" s="113">
        <f>IF($B785=0,0,$H785/$B785)</f>
        <v/>
      </c>
      <c r="H785" s="112">
        <f>IF($F785&gt;0,ROUND($F785*KarliyukKurumlarOrani,0),0)</f>
        <v/>
      </c>
      <c r="I785" s="114" t="n"/>
    </row>
    <row r="786" ht="15" customHeight="1" s="68">
      <c r="A786" s="114" t="n"/>
      <c r="B786" s="114" t="n"/>
      <c r="C786" s="114" t="n"/>
      <c r="D786" s="114" t="n"/>
      <c r="E786" s="112">
        <f>ROUND($B786*KarliyukKdvOrani,0)</f>
        <v/>
      </c>
      <c r="F786" s="112">
        <f>$B786-$C786</f>
        <v/>
      </c>
      <c r="G786" s="113">
        <f>IF($B786=0,0,$H786/$B786)</f>
        <v/>
      </c>
      <c r="H786" s="112">
        <f>IF($F786&gt;0,ROUND($F786*KarliyukKurumlarOrani,0),0)</f>
        <v/>
      </c>
      <c r="I786" s="114" t="n"/>
    </row>
    <row r="787" ht="15" customHeight="1" s="68">
      <c r="A787" s="114" t="n"/>
      <c r="B787" s="114" t="n"/>
      <c r="C787" s="114" t="n"/>
      <c r="D787" s="114" t="n"/>
      <c r="E787" s="112">
        <f>ROUND($B787*KarliyukKdvOrani,0)</f>
        <v/>
      </c>
      <c r="F787" s="112">
        <f>$B787-$C787</f>
        <v/>
      </c>
      <c r="G787" s="113">
        <f>IF($B787=0,0,$H787/$B787)</f>
        <v/>
      </c>
      <c r="H787" s="112">
        <f>IF($F787&gt;0,ROUND($F787*KarliyukKurumlarOrani,0),0)</f>
        <v/>
      </c>
      <c r="I787" s="114" t="n"/>
    </row>
    <row r="788" ht="15" customHeight="1" s="68">
      <c r="A788" s="114" t="n"/>
      <c r="B788" s="114" t="n"/>
      <c r="C788" s="114" t="n"/>
      <c r="D788" s="114" t="n"/>
      <c r="E788" s="112">
        <f>ROUND($B788*KarliyukKdvOrani,0)</f>
        <v/>
      </c>
      <c r="F788" s="112">
        <f>$B788-$C788</f>
        <v/>
      </c>
      <c r="G788" s="113">
        <f>IF($B788=0,0,$H788/$B788)</f>
        <v/>
      </c>
      <c r="H788" s="112">
        <f>IF($F788&gt;0,ROUND($F788*KarliyukKurumlarOrani,0),0)</f>
        <v/>
      </c>
      <c r="I788" s="114" t="n"/>
    </row>
    <row r="789" ht="15" customHeight="1" s="68">
      <c r="A789" s="114" t="n"/>
      <c r="B789" s="114" t="n"/>
      <c r="C789" s="114" t="n"/>
      <c r="D789" s="114" t="n"/>
      <c r="E789" s="112">
        <f>ROUND($B789*KarliyukKdvOrani,0)</f>
        <v/>
      </c>
      <c r="F789" s="112">
        <f>$B789-$C789</f>
        <v/>
      </c>
      <c r="G789" s="113">
        <f>IF($B789=0,0,$H789/$B789)</f>
        <v/>
      </c>
      <c r="H789" s="112">
        <f>IF($F789&gt;0,ROUND($F789*KarliyukKurumlarOrani,0),0)</f>
        <v/>
      </c>
      <c r="I789" s="114" t="n"/>
    </row>
    <row r="790" ht="15" customHeight="1" s="68">
      <c r="A790" s="114" t="n"/>
      <c r="B790" s="114" t="n"/>
      <c r="C790" s="114" t="n"/>
      <c r="D790" s="114" t="n"/>
      <c r="E790" s="112">
        <f>ROUND($B790*KarliyukKdvOrani,0)</f>
        <v/>
      </c>
      <c r="F790" s="112">
        <f>$B790-$C790</f>
        <v/>
      </c>
      <c r="G790" s="113">
        <f>IF($B790=0,0,$H790/$B790)</f>
        <v/>
      </c>
      <c r="H790" s="112">
        <f>IF($F790&gt;0,ROUND($F790*KarliyukKurumlarOrani,0),0)</f>
        <v/>
      </c>
      <c r="I790" s="114" t="n"/>
    </row>
    <row r="791" ht="15" customHeight="1" s="68">
      <c r="A791" s="114" t="n"/>
      <c r="B791" s="114" t="n"/>
      <c r="C791" s="114" t="n"/>
      <c r="D791" s="114" t="n"/>
      <c r="E791" s="112">
        <f>ROUND($B791*KarliyukKdvOrani,0)</f>
        <v/>
      </c>
      <c r="F791" s="112">
        <f>$B791-$C791</f>
        <v/>
      </c>
      <c r="G791" s="113">
        <f>IF($B791=0,0,$H791/$B791)</f>
        <v/>
      </c>
      <c r="H791" s="112">
        <f>IF($F791&gt;0,ROUND($F791*KarliyukKurumlarOrani,0),0)</f>
        <v/>
      </c>
      <c r="I791" s="114" t="n"/>
    </row>
    <row r="792" ht="15" customHeight="1" s="68">
      <c r="A792" s="114" t="n"/>
      <c r="B792" s="114" t="n"/>
      <c r="C792" s="114" t="n"/>
      <c r="D792" s="114" t="n"/>
      <c r="E792" s="112">
        <f>ROUND($B792*KarliyukKdvOrani,0)</f>
        <v/>
      </c>
      <c r="F792" s="112">
        <f>$B792-$C792</f>
        <v/>
      </c>
      <c r="G792" s="113">
        <f>IF($B792=0,0,$H792/$B792)</f>
        <v/>
      </c>
      <c r="H792" s="112">
        <f>IF($F792&gt;0,ROUND($F792*KarliyukKurumlarOrani,0),0)</f>
        <v/>
      </c>
      <c r="I792" s="114" t="n"/>
    </row>
    <row r="793" ht="15" customHeight="1" s="68">
      <c r="A793" s="114" t="n"/>
      <c r="B793" s="114" t="n"/>
      <c r="C793" s="114" t="n"/>
      <c r="D793" s="114" t="n"/>
      <c r="E793" s="112">
        <f>ROUND($B793*KarliyukKdvOrani,0)</f>
        <v/>
      </c>
      <c r="F793" s="112">
        <f>$B793-$C793</f>
        <v/>
      </c>
      <c r="G793" s="113">
        <f>IF($B793=0,0,$H793/$B793)</f>
        <v/>
      </c>
      <c r="H793" s="112">
        <f>IF($F793&gt;0,ROUND($F793*KarliyukKurumlarOrani,0),0)</f>
        <v/>
      </c>
      <c r="I793" s="114" t="n"/>
    </row>
    <row r="794" ht="15" customHeight="1" s="68">
      <c r="A794" s="114" t="n"/>
      <c r="B794" s="114" t="n"/>
      <c r="C794" s="114" t="n"/>
      <c r="D794" s="114" t="n"/>
      <c r="E794" s="112">
        <f>ROUND($B794*KarliyukKdvOrani,0)</f>
        <v/>
      </c>
      <c r="F794" s="112">
        <f>$B794-$C794</f>
        <v/>
      </c>
      <c r="G794" s="113">
        <f>IF($B794=0,0,$H794/$B794)</f>
        <v/>
      </c>
      <c r="H794" s="112">
        <f>IF($F794&gt;0,ROUND($F794*KarliyukKurumlarOrani,0),0)</f>
        <v/>
      </c>
      <c r="I794" s="114" t="n"/>
    </row>
    <row r="795" ht="15" customHeight="1" s="68">
      <c r="A795" s="114" t="n"/>
      <c r="B795" s="114" t="n"/>
      <c r="C795" s="114" t="n"/>
      <c r="D795" s="114" t="n"/>
      <c r="E795" s="112">
        <f>ROUND($B795*KarliyukKdvOrani,0)</f>
        <v/>
      </c>
      <c r="F795" s="112">
        <f>$B795-$C795</f>
        <v/>
      </c>
      <c r="G795" s="113">
        <f>IF($B795=0,0,$H795/$B795)</f>
        <v/>
      </c>
      <c r="H795" s="112">
        <f>IF($F795&gt;0,ROUND($F795*KarliyukKurumlarOrani,0),0)</f>
        <v/>
      </c>
      <c r="I795" s="114" t="n"/>
    </row>
    <row r="796" ht="15" customHeight="1" s="68">
      <c r="A796" s="114" t="n"/>
      <c r="B796" s="114" t="n"/>
      <c r="C796" s="114" t="n"/>
      <c r="D796" s="114" t="n"/>
      <c r="E796" s="112">
        <f>ROUND($B796*KarliyukKdvOrani,0)</f>
        <v/>
      </c>
      <c r="F796" s="112">
        <f>$B796-$C796</f>
        <v/>
      </c>
      <c r="G796" s="113">
        <f>IF($B796=0,0,$H796/$B796)</f>
        <v/>
      </c>
      <c r="H796" s="112">
        <f>IF($F796&gt;0,ROUND($F796*KarliyukKurumlarOrani,0),0)</f>
        <v/>
      </c>
      <c r="I796" s="114" t="n"/>
    </row>
    <row r="797" ht="15" customHeight="1" s="68">
      <c r="A797" s="114" t="n"/>
      <c r="B797" s="114" t="n"/>
      <c r="C797" s="114" t="n"/>
      <c r="D797" s="114" t="n"/>
      <c r="E797" s="112">
        <f>ROUND($B797*KarliyukKdvOrani,0)</f>
        <v/>
      </c>
      <c r="F797" s="112">
        <f>$B797-$C797</f>
        <v/>
      </c>
      <c r="G797" s="113">
        <f>IF($B797=0,0,$H797/$B797)</f>
        <v/>
      </c>
      <c r="H797" s="112">
        <f>IF($F797&gt;0,ROUND($F797*KarliyukKurumlarOrani,0),0)</f>
        <v/>
      </c>
      <c r="I797" s="114" t="n"/>
    </row>
    <row r="798" ht="15" customHeight="1" s="68">
      <c r="A798" s="114" t="n"/>
      <c r="B798" s="114" t="n"/>
      <c r="C798" s="114" t="n"/>
      <c r="D798" s="114" t="n"/>
      <c r="E798" s="112">
        <f>ROUND($B798*KarliyukKdvOrani,0)</f>
        <v/>
      </c>
      <c r="F798" s="112">
        <f>$B798-$C798</f>
        <v/>
      </c>
      <c r="G798" s="113">
        <f>IF($B798=0,0,$H798/$B798)</f>
        <v/>
      </c>
      <c r="H798" s="112">
        <f>IF($F798&gt;0,ROUND($F798*KarliyukKurumlarOrani,0),0)</f>
        <v/>
      </c>
      <c r="I798" s="114" t="n"/>
    </row>
    <row r="799" ht="15" customHeight="1" s="68">
      <c r="A799" s="114" t="n"/>
      <c r="B799" s="114" t="n"/>
      <c r="C799" s="114" t="n"/>
      <c r="D799" s="114" t="n"/>
      <c r="E799" s="112">
        <f>ROUND($B799*KarliyukKdvOrani,0)</f>
        <v/>
      </c>
      <c r="F799" s="112">
        <f>$B799-$C799</f>
        <v/>
      </c>
      <c r="G799" s="113">
        <f>IF($B799=0,0,$H799/$B799)</f>
        <v/>
      </c>
      <c r="H799" s="112">
        <f>IF($F799&gt;0,ROUND($F799*KarliyukKurumlarOrani,0),0)</f>
        <v/>
      </c>
      <c r="I799" s="114" t="n"/>
    </row>
    <row r="800" ht="15" customHeight="1" s="68">
      <c r="A800" s="114" t="n"/>
      <c r="B800" s="114" t="n"/>
      <c r="C800" s="114" t="n"/>
      <c r="D800" s="114" t="n"/>
      <c r="E800" s="112">
        <f>ROUND($B800*KarliyukKdvOrani,0)</f>
        <v/>
      </c>
      <c r="F800" s="112">
        <f>$B800-$C800</f>
        <v/>
      </c>
      <c r="G800" s="113">
        <f>IF($B800=0,0,$H800/$B800)</f>
        <v/>
      </c>
      <c r="H800" s="112">
        <f>IF($F800&gt;0,ROUND($F800*KarliyukKurumlarOrani,0),0)</f>
        <v/>
      </c>
      <c r="I800" s="114" t="n"/>
    </row>
    <row r="801" ht="15" customHeight="1" s="68">
      <c r="A801" s="114" t="n"/>
      <c r="B801" s="114" t="n"/>
      <c r="C801" s="114" t="n"/>
      <c r="D801" s="114" t="n"/>
      <c r="E801" s="112">
        <f>ROUND($B801*KarliyukKdvOrani,0)</f>
        <v/>
      </c>
      <c r="F801" s="112">
        <f>$B801-$C801</f>
        <v/>
      </c>
      <c r="G801" s="113">
        <f>IF($B801=0,0,$H801/$B801)</f>
        <v/>
      </c>
      <c r="H801" s="112">
        <f>IF($F801&gt;0,ROUND($F801*KarliyukKurumlarOrani,0),0)</f>
        <v/>
      </c>
      <c r="I801" s="114" t="n"/>
    </row>
    <row r="802" ht="15" customHeight="1" s="68">
      <c r="A802" s="114" t="n"/>
      <c r="B802" s="114" t="n"/>
      <c r="C802" s="114" t="n"/>
      <c r="D802" s="114" t="n"/>
      <c r="E802" s="112">
        <f>ROUND($B802*KarliyukKdvOrani,0)</f>
        <v/>
      </c>
      <c r="F802" s="112">
        <f>$B802-$C802</f>
        <v/>
      </c>
      <c r="G802" s="113">
        <f>IF($B802=0,0,$H802/$B802)</f>
        <v/>
      </c>
      <c r="H802" s="112">
        <f>IF($F802&gt;0,ROUND($F802*KarliyukKurumlarOrani,0),0)</f>
        <v/>
      </c>
      <c r="I802" s="114" t="n"/>
    </row>
    <row r="803" ht="15" customHeight="1" s="68">
      <c r="A803" s="114" t="n"/>
      <c r="B803" s="114" t="n"/>
      <c r="C803" s="114" t="n"/>
      <c r="D803" s="114" t="n"/>
      <c r="E803" s="112">
        <f>ROUND($B803*KarliyukKdvOrani,0)</f>
        <v/>
      </c>
      <c r="F803" s="112">
        <f>$B803-$C803</f>
        <v/>
      </c>
      <c r="G803" s="113">
        <f>IF($B803=0,0,$H803/$B803)</f>
        <v/>
      </c>
      <c r="H803" s="112">
        <f>IF($F803&gt;0,ROUND($F803*KarliyukKurumlarOrani,0),0)</f>
        <v/>
      </c>
      <c r="I803" s="114" t="n"/>
    </row>
    <row r="804" ht="15" customHeight="1" s="68">
      <c r="A804" s="114" t="n"/>
      <c r="B804" s="114" t="n"/>
      <c r="C804" s="114" t="n"/>
      <c r="D804" s="114" t="n"/>
      <c r="E804" s="112">
        <f>ROUND($B804*KarliyukKdvOrani,0)</f>
        <v/>
      </c>
      <c r="F804" s="112">
        <f>$B804-$C804</f>
        <v/>
      </c>
      <c r="G804" s="113">
        <f>IF($B804=0,0,$H804/$B804)</f>
        <v/>
      </c>
      <c r="H804" s="112">
        <f>IF($F804&gt;0,ROUND($F804*KarliyukKurumlarOrani,0),0)</f>
        <v/>
      </c>
      <c r="I804" s="114" t="n"/>
    </row>
    <row r="805" ht="15" customHeight="1" s="68">
      <c r="A805" s="114" t="n"/>
      <c r="B805" s="114" t="n"/>
      <c r="C805" s="114" t="n"/>
      <c r="D805" s="114" t="n"/>
      <c r="E805" s="112">
        <f>ROUND($B805*KarliyukKdvOrani,0)</f>
        <v/>
      </c>
      <c r="F805" s="112">
        <f>$B805-$C805</f>
        <v/>
      </c>
      <c r="G805" s="113">
        <f>IF($B805=0,0,$H805/$B805)</f>
        <v/>
      </c>
      <c r="H805" s="112">
        <f>IF($F805&gt;0,ROUND($F805*KarliyukKurumlarOrani,0),0)</f>
        <v/>
      </c>
      <c r="I805" s="114" t="n"/>
    </row>
    <row r="806" ht="15" customHeight="1" s="68">
      <c r="A806" s="114" t="n"/>
      <c r="B806" s="114" t="n"/>
      <c r="C806" s="114" t="n"/>
      <c r="D806" s="114" t="n"/>
      <c r="E806" s="112">
        <f>ROUND($B806*KarliyukKdvOrani,0)</f>
        <v/>
      </c>
      <c r="F806" s="112">
        <f>$B806-$C806</f>
        <v/>
      </c>
      <c r="G806" s="113">
        <f>IF($B806=0,0,$H806/$B806)</f>
        <v/>
      </c>
      <c r="H806" s="112">
        <f>IF($F806&gt;0,ROUND($F806*KarliyukKurumlarOrani,0),0)</f>
        <v/>
      </c>
      <c r="I806" s="114" t="n"/>
    </row>
    <row r="807" ht="15" customHeight="1" s="68">
      <c r="A807" s="114" t="n"/>
      <c r="B807" s="114" t="n"/>
      <c r="C807" s="114" t="n"/>
      <c r="D807" s="114" t="n"/>
      <c r="E807" s="112">
        <f>ROUND($B807*KarliyukKdvOrani,0)</f>
        <v/>
      </c>
      <c r="F807" s="112">
        <f>$B807-$C807</f>
        <v/>
      </c>
      <c r="G807" s="113">
        <f>IF($B807=0,0,$H807/$B807)</f>
        <v/>
      </c>
      <c r="H807" s="112">
        <f>IF($F807&gt;0,ROUND($F807*KarliyukKurumlarOrani,0),0)</f>
        <v/>
      </c>
      <c r="I807" s="114" t="n"/>
    </row>
    <row r="808" ht="15" customHeight="1" s="68">
      <c r="A808" s="114" t="n"/>
      <c r="B808" s="114" t="n"/>
      <c r="C808" s="114" t="n"/>
      <c r="D808" s="114" t="n"/>
      <c r="E808" s="112">
        <f>ROUND($B808*KarliyukKdvOrani,0)</f>
        <v/>
      </c>
      <c r="F808" s="112">
        <f>$B808-$C808</f>
        <v/>
      </c>
      <c r="G808" s="113">
        <f>IF($B808=0,0,$H808/$B808)</f>
        <v/>
      </c>
      <c r="H808" s="112">
        <f>IF($F808&gt;0,ROUND($F808*KarliyukKurumlarOrani,0),0)</f>
        <v/>
      </c>
      <c r="I808" s="114" t="n"/>
    </row>
    <row r="809" ht="15" customHeight="1" s="68">
      <c r="A809" s="114" t="n"/>
      <c r="B809" s="114" t="n"/>
      <c r="C809" s="114" t="n"/>
      <c r="D809" s="114" t="n"/>
      <c r="E809" s="112">
        <f>ROUND($B809*KarliyukKdvOrani,0)</f>
        <v/>
      </c>
      <c r="F809" s="112">
        <f>$B809-$C809</f>
        <v/>
      </c>
      <c r="G809" s="113">
        <f>IF($B809=0,0,$H809/$B809)</f>
        <v/>
      </c>
      <c r="H809" s="112">
        <f>IF($F809&gt;0,ROUND($F809*KarliyukKurumlarOrani,0),0)</f>
        <v/>
      </c>
      <c r="I809" s="114" t="n"/>
    </row>
    <row r="810" ht="15" customHeight="1" s="68">
      <c r="A810" s="114" t="n"/>
      <c r="B810" s="114" t="n"/>
      <c r="C810" s="114" t="n"/>
      <c r="D810" s="114" t="n"/>
      <c r="E810" s="112">
        <f>ROUND($B810*KarliyukKdvOrani,0)</f>
        <v/>
      </c>
      <c r="F810" s="112">
        <f>$B810-$C810</f>
        <v/>
      </c>
      <c r="G810" s="113">
        <f>IF($B810=0,0,$H810/$B810)</f>
        <v/>
      </c>
      <c r="H810" s="112">
        <f>IF($F810&gt;0,ROUND($F810*KarliyukKurumlarOrani,0),0)</f>
        <v/>
      </c>
      <c r="I810" s="114" t="n"/>
    </row>
    <row r="811" ht="15" customHeight="1" s="68">
      <c r="A811" s="114" t="n"/>
      <c r="B811" s="114" t="n"/>
      <c r="C811" s="114" t="n"/>
      <c r="D811" s="114" t="n"/>
      <c r="E811" s="112">
        <f>ROUND($B811*KarliyukKdvOrani,0)</f>
        <v/>
      </c>
      <c r="F811" s="112">
        <f>$B811-$C811</f>
        <v/>
      </c>
      <c r="G811" s="113">
        <f>IF($B811=0,0,$H811/$B811)</f>
        <v/>
      </c>
      <c r="H811" s="112">
        <f>IF($F811&gt;0,ROUND($F811*KarliyukKurumlarOrani,0),0)</f>
        <v/>
      </c>
      <c r="I811" s="114" t="n"/>
    </row>
    <row r="812" ht="15" customHeight="1" s="68">
      <c r="A812" s="114" t="n"/>
      <c r="B812" s="114" t="n"/>
      <c r="C812" s="114" t="n"/>
      <c r="D812" s="114" t="n"/>
      <c r="E812" s="112">
        <f>ROUND($B812*KarliyukKdvOrani,0)</f>
        <v/>
      </c>
      <c r="F812" s="112">
        <f>$B812-$C812</f>
        <v/>
      </c>
      <c r="G812" s="113">
        <f>IF($B812=0,0,$H812/$B812)</f>
        <v/>
      </c>
      <c r="H812" s="112">
        <f>IF($F812&gt;0,ROUND($F812*KarliyukKurumlarOrani,0),0)</f>
        <v/>
      </c>
      <c r="I812" s="114" t="n"/>
    </row>
    <row r="813" ht="15" customHeight="1" s="68">
      <c r="A813" s="114" t="n"/>
      <c r="B813" s="114" t="n"/>
      <c r="C813" s="114" t="n"/>
      <c r="D813" s="114" t="n"/>
      <c r="E813" s="112">
        <f>ROUND($B813*KarliyukKdvOrani,0)</f>
        <v/>
      </c>
      <c r="F813" s="112">
        <f>$B813-$C813</f>
        <v/>
      </c>
      <c r="G813" s="113">
        <f>IF($B813=0,0,$H813/$B813)</f>
        <v/>
      </c>
      <c r="H813" s="112">
        <f>IF($F813&gt;0,ROUND($F813*KarliyukKurumlarOrani,0),0)</f>
        <v/>
      </c>
      <c r="I813" s="114" t="n"/>
    </row>
    <row r="814" ht="15" customHeight="1" s="68">
      <c r="A814" s="114" t="n"/>
      <c r="B814" s="114" t="n"/>
      <c r="C814" s="114" t="n"/>
      <c r="D814" s="114" t="n"/>
      <c r="E814" s="112">
        <f>ROUND($B814*KarliyukKdvOrani,0)</f>
        <v/>
      </c>
      <c r="F814" s="112">
        <f>$B814-$C814</f>
        <v/>
      </c>
      <c r="G814" s="113">
        <f>IF($B814=0,0,$H814/$B814)</f>
        <v/>
      </c>
      <c r="H814" s="112">
        <f>IF($F814&gt;0,ROUND($F814*KarliyukKurumlarOrani,0),0)</f>
        <v/>
      </c>
      <c r="I814" s="114" t="n"/>
    </row>
    <row r="815" ht="15" customHeight="1" s="68">
      <c r="A815" s="114" t="n"/>
      <c r="B815" s="114" t="n"/>
      <c r="C815" s="114" t="n"/>
      <c r="D815" s="114" t="n"/>
      <c r="E815" s="112">
        <f>ROUND($B815*KarliyukKdvOrani,0)</f>
        <v/>
      </c>
      <c r="F815" s="112">
        <f>$B815-$C815</f>
        <v/>
      </c>
      <c r="G815" s="113">
        <f>IF($B815=0,0,$H815/$B815)</f>
        <v/>
      </c>
      <c r="H815" s="112">
        <f>IF($F815&gt;0,ROUND($F815*KarliyukKurumlarOrani,0),0)</f>
        <v/>
      </c>
      <c r="I815" s="114" t="n"/>
    </row>
    <row r="816" ht="15" customHeight="1" s="68">
      <c r="A816" s="114" t="n"/>
      <c r="B816" s="114" t="n"/>
      <c r="C816" s="114" t="n"/>
      <c r="D816" s="114" t="n"/>
      <c r="E816" s="112">
        <f>ROUND($B816*KarliyukKdvOrani,0)</f>
        <v/>
      </c>
      <c r="F816" s="112">
        <f>$B816-$C816</f>
        <v/>
      </c>
      <c r="G816" s="113">
        <f>IF($B816=0,0,$H816/$B816)</f>
        <v/>
      </c>
      <c r="H816" s="112">
        <f>IF($F816&gt;0,ROUND($F816*KarliyukKurumlarOrani,0),0)</f>
        <v/>
      </c>
      <c r="I816" s="114" t="n"/>
    </row>
    <row r="817" ht="15" customHeight="1" s="68">
      <c r="A817" s="114" t="n"/>
      <c r="B817" s="114" t="n"/>
      <c r="C817" s="114" t="n"/>
      <c r="D817" s="114" t="n"/>
      <c r="E817" s="112">
        <f>ROUND($B817*KarliyukKdvOrani,0)</f>
        <v/>
      </c>
      <c r="F817" s="112">
        <f>$B817-$C817</f>
        <v/>
      </c>
      <c r="G817" s="113">
        <f>IF($B817=0,0,$H817/$B817)</f>
        <v/>
      </c>
      <c r="H817" s="112">
        <f>IF($F817&gt;0,ROUND($F817*KarliyukKurumlarOrani,0),0)</f>
        <v/>
      </c>
      <c r="I817" s="114" t="n"/>
    </row>
    <row r="818" ht="15" customHeight="1" s="68">
      <c r="A818" s="114" t="n"/>
      <c r="B818" s="114" t="n"/>
      <c r="C818" s="114" t="n"/>
      <c r="D818" s="114" t="n"/>
      <c r="E818" s="112">
        <f>ROUND($B818*KarliyukKdvOrani,0)</f>
        <v/>
      </c>
      <c r="F818" s="112">
        <f>$B818-$C818</f>
        <v/>
      </c>
      <c r="G818" s="113">
        <f>IF($B818=0,0,$H818/$B818)</f>
        <v/>
      </c>
      <c r="H818" s="112">
        <f>IF($F818&gt;0,ROUND($F818*KarliyukKurumlarOrani,0),0)</f>
        <v/>
      </c>
      <c r="I818" s="114" t="n"/>
    </row>
    <row r="819" ht="15" customHeight="1" s="68">
      <c r="A819" s="114" t="n"/>
      <c r="B819" s="114" t="n"/>
      <c r="C819" s="114" t="n"/>
      <c r="D819" s="114" t="n"/>
      <c r="E819" s="112">
        <f>ROUND($B819*KarliyukKdvOrani,0)</f>
        <v/>
      </c>
      <c r="F819" s="112">
        <f>$B819-$C819</f>
        <v/>
      </c>
      <c r="G819" s="113">
        <f>IF($B819=0,0,$H819/$B819)</f>
        <v/>
      </c>
      <c r="H819" s="112">
        <f>IF($F819&gt;0,ROUND($F819*KarliyukKurumlarOrani,0),0)</f>
        <v/>
      </c>
      <c r="I819" s="114" t="n"/>
    </row>
    <row r="820" ht="15" customHeight="1" s="68">
      <c r="A820" s="114" t="n"/>
      <c r="B820" s="114" t="n"/>
      <c r="C820" s="114" t="n"/>
      <c r="D820" s="114" t="n"/>
      <c r="E820" s="112">
        <f>ROUND($B820*KarliyukKdvOrani,0)</f>
        <v/>
      </c>
      <c r="F820" s="112">
        <f>$B820-$C820</f>
        <v/>
      </c>
      <c r="G820" s="113">
        <f>IF($B820=0,0,$H820/$B820)</f>
        <v/>
      </c>
      <c r="H820" s="112">
        <f>IF($F820&gt;0,ROUND($F820*KarliyukKurumlarOrani,0),0)</f>
        <v/>
      </c>
      <c r="I820" s="114" t="n"/>
    </row>
    <row r="821" ht="15" customHeight="1" s="68">
      <c r="A821" s="114" t="n"/>
      <c r="B821" s="114" t="n"/>
      <c r="C821" s="114" t="n"/>
      <c r="D821" s="114" t="n"/>
      <c r="E821" s="112">
        <f>ROUND($B821*KarliyukKdvOrani,0)</f>
        <v/>
      </c>
      <c r="F821" s="112">
        <f>$B821-$C821</f>
        <v/>
      </c>
      <c r="G821" s="113">
        <f>IF($B821=0,0,$H821/$B821)</f>
        <v/>
      </c>
      <c r="H821" s="112">
        <f>IF($F821&gt;0,ROUND($F821*KarliyukKurumlarOrani,0),0)</f>
        <v/>
      </c>
      <c r="I821" s="114" t="n"/>
    </row>
    <row r="822" ht="15" customHeight="1" s="68">
      <c r="A822" s="114" t="n"/>
      <c r="B822" s="114" t="n"/>
      <c r="C822" s="114" t="n"/>
      <c r="D822" s="114" t="n"/>
      <c r="E822" s="112">
        <f>ROUND($B822*KarliyukKdvOrani,0)</f>
        <v/>
      </c>
      <c r="F822" s="112">
        <f>$B822-$C822</f>
        <v/>
      </c>
      <c r="G822" s="113">
        <f>IF($B822=0,0,$H822/$B822)</f>
        <v/>
      </c>
      <c r="H822" s="112">
        <f>IF($F822&gt;0,ROUND($F822*KarliyukKurumlarOrani,0),0)</f>
        <v/>
      </c>
      <c r="I822" s="114" t="n"/>
    </row>
    <row r="823" ht="15" customHeight="1" s="68">
      <c r="A823" s="114" t="n"/>
      <c r="B823" s="114" t="n"/>
      <c r="C823" s="114" t="n"/>
      <c r="D823" s="114" t="n"/>
      <c r="E823" s="112">
        <f>ROUND($B823*KarliyukKdvOrani,0)</f>
        <v/>
      </c>
      <c r="F823" s="112">
        <f>$B823-$C823</f>
        <v/>
      </c>
      <c r="G823" s="113">
        <f>IF($B823=0,0,$H823/$B823)</f>
        <v/>
      </c>
      <c r="H823" s="112">
        <f>IF($F823&gt;0,ROUND($F823*KarliyukKurumlarOrani,0),0)</f>
        <v/>
      </c>
      <c r="I823" s="114" t="n"/>
    </row>
    <row r="824" ht="15" customHeight="1" s="68">
      <c r="A824" s="114" t="n"/>
      <c r="B824" s="114" t="n"/>
      <c r="C824" s="114" t="n"/>
      <c r="D824" s="114" t="n"/>
      <c r="E824" s="112">
        <f>ROUND($B824*KarliyukKdvOrani,0)</f>
        <v/>
      </c>
      <c r="F824" s="112">
        <f>$B824-$C824</f>
        <v/>
      </c>
      <c r="G824" s="113">
        <f>IF($B824=0,0,$H824/$B824)</f>
        <v/>
      </c>
      <c r="H824" s="112">
        <f>IF($F824&gt;0,ROUND($F824*KarliyukKurumlarOrani,0),0)</f>
        <v/>
      </c>
      <c r="I824" s="114" t="n"/>
    </row>
    <row r="825" ht="15" customHeight="1" s="68">
      <c r="A825" s="114" t="n"/>
      <c r="B825" s="114" t="n"/>
      <c r="C825" s="114" t="n"/>
      <c r="D825" s="114" t="n"/>
      <c r="E825" s="112">
        <f>ROUND($B825*KarliyukKdvOrani,0)</f>
        <v/>
      </c>
      <c r="F825" s="112">
        <f>$B825-$C825</f>
        <v/>
      </c>
      <c r="G825" s="113">
        <f>IF($B825=0,0,$H825/$B825)</f>
        <v/>
      </c>
      <c r="H825" s="112">
        <f>IF($F825&gt;0,ROUND($F825*KarliyukKurumlarOrani,0),0)</f>
        <v/>
      </c>
      <c r="I825" s="114" t="n"/>
    </row>
    <row r="826" ht="15" customHeight="1" s="68">
      <c r="A826" s="114" t="n"/>
      <c r="B826" s="114" t="n"/>
      <c r="C826" s="114" t="n"/>
      <c r="D826" s="114" t="n"/>
      <c r="E826" s="112">
        <f>ROUND($B826*KarliyukKdvOrani,0)</f>
        <v/>
      </c>
      <c r="F826" s="112">
        <f>$B826-$C826</f>
        <v/>
      </c>
      <c r="G826" s="113">
        <f>IF($B826=0,0,$H826/$B826)</f>
        <v/>
      </c>
      <c r="H826" s="112">
        <f>IF($F826&gt;0,ROUND($F826*KarliyukKurumlarOrani,0),0)</f>
        <v/>
      </c>
      <c r="I826" s="114" t="n"/>
    </row>
    <row r="827" ht="15" customHeight="1" s="68">
      <c r="A827" s="114" t="n"/>
      <c r="B827" s="114" t="n"/>
      <c r="C827" s="114" t="n"/>
      <c r="D827" s="114" t="n"/>
      <c r="E827" s="112">
        <f>ROUND($B827*KarliyukKdvOrani,0)</f>
        <v/>
      </c>
      <c r="F827" s="112">
        <f>$B827-$C827</f>
        <v/>
      </c>
      <c r="G827" s="113">
        <f>IF($B827=0,0,$H827/$B827)</f>
        <v/>
      </c>
      <c r="H827" s="112">
        <f>IF($F827&gt;0,ROUND($F827*KarliyukKurumlarOrani,0),0)</f>
        <v/>
      </c>
      <c r="I827" s="114" t="n"/>
    </row>
    <row r="828" ht="15" customHeight="1" s="68">
      <c r="A828" s="114" t="n"/>
      <c r="B828" s="114" t="n"/>
      <c r="C828" s="114" t="n"/>
      <c r="D828" s="114" t="n"/>
      <c r="E828" s="112">
        <f>ROUND($B828*KarliyukKdvOrani,0)</f>
        <v/>
      </c>
      <c r="F828" s="112">
        <f>$B828-$C828</f>
        <v/>
      </c>
      <c r="G828" s="113">
        <f>IF($B828=0,0,$H828/$B828)</f>
        <v/>
      </c>
      <c r="H828" s="112">
        <f>IF($F828&gt;0,ROUND($F828*KarliyukKurumlarOrani,0),0)</f>
        <v/>
      </c>
      <c r="I828" s="114" t="n"/>
    </row>
    <row r="829" ht="15" customHeight="1" s="68">
      <c r="A829" s="114" t="n"/>
      <c r="B829" s="114" t="n"/>
      <c r="C829" s="114" t="n"/>
      <c r="D829" s="114" t="n"/>
      <c r="E829" s="112">
        <f>ROUND($B829*KarliyukKdvOrani,0)</f>
        <v/>
      </c>
      <c r="F829" s="112">
        <f>$B829-$C829</f>
        <v/>
      </c>
      <c r="G829" s="113">
        <f>IF($B829=0,0,$H829/$B829)</f>
        <v/>
      </c>
      <c r="H829" s="112">
        <f>IF($F829&gt;0,ROUND($F829*KarliyukKurumlarOrani,0),0)</f>
        <v/>
      </c>
      <c r="I829" s="114" t="n"/>
    </row>
    <row r="830" ht="15" customHeight="1" s="68">
      <c r="A830" s="114" t="n"/>
      <c r="B830" s="114" t="n"/>
      <c r="C830" s="114" t="n"/>
      <c r="D830" s="114" t="n"/>
      <c r="E830" s="112">
        <f>ROUND($B830*KarliyukKdvOrani,0)</f>
        <v/>
      </c>
      <c r="F830" s="112">
        <f>$B830-$C830</f>
        <v/>
      </c>
      <c r="G830" s="113">
        <f>IF($B830=0,0,$H830/$B830)</f>
        <v/>
      </c>
      <c r="H830" s="112">
        <f>IF($F830&gt;0,ROUND($F830*KarliyukKurumlarOrani,0),0)</f>
        <v/>
      </c>
      <c r="I830" s="114" t="n"/>
    </row>
    <row r="831" ht="15" customHeight="1" s="68">
      <c r="A831" s="114" t="n"/>
      <c r="B831" s="114" t="n"/>
      <c r="C831" s="114" t="n"/>
      <c r="D831" s="114" t="n"/>
      <c r="E831" s="112">
        <f>ROUND($B831*KarliyukKdvOrani,0)</f>
        <v/>
      </c>
      <c r="F831" s="112">
        <f>$B831-$C831</f>
        <v/>
      </c>
      <c r="G831" s="113">
        <f>IF($B831=0,0,$H831/$B831)</f>
        <v/>
      </c>
      <c r="H831" s="112">
        <f>IF($F831&gt;0,ROUND($F831*KarliyukKurumlarOrani,0),0)</f>
        <v/>
      </c>
      <c r="I831" s="114" t="n"/>
    </row>
    <row r="832" ht="15" customHeight="1" s="68">
      <c r="A832" s="114" t="n"/>
      <c r="B832" s="114" t="n"/>
      <c r="C832" s="114" t="n"/>
      <c r="D832" s="114" t="n"/>
      <c r="E832" s="112">
        <f>ROUND($B832*KarliyukKdvOrani,0)</f>
        <v/>
      </c>
      <c r="F832" s="112">
        <f>$B832-$C832</f>
        <v/>
      </c>
      <c r="G832" s="113">
        <f>IF($B832=0,0,$H832/$B832)</f>
        <v/>
      </c>
      <c r="H832" s="112">
        <f>IF($F832&gt;0,ROUND($F832*KarliyukKurumlarOrani,0),0)</f>
        <v/>
      </c>
      <c r="I832" s="114" t="n"/>
    </row>
    <row r="833" ht="15" customHeight="1" s="68">
      <c r="A833" s="114" t="n"/>
      <c r="B833" s="114" t="n"/>
      <c r="C833" s="114" t="n"/>
      <c r="D833" s="114" t="n"/>
      <c r="E833" s="112">
        <f>ROUND($B833*KarliyukKdvOrani,0)</f>
        <v/>
      </c>
      <c r="F833" s="112">
        <f>$B833-$C833</f>
        <v/>
      </c>
      <c r="G833" s="113">
        <f>IF($B833=0,0,$H833/$B833)</f>
        <v/>
      </c>
      <c r="H833" s="112">
        <f>IF($F833&gt;0,ROUND($F833*KarliyukKurumlarOrani,0),0)</f>
        <v/>
      </c>
      <c r="I833" s="114" t="n"/>
    </row>
    <row r="834" ht="15" customHeight="1" s="68">
      <c r="A834" s="114" t="n"/>
      <c r="B834" s="114" t="n"/>
      <c r="C834" s="114" t="n"/>
      <c r="D834" s="114" t="n"/>
      <c r="E834" s="112">
        <f>ROUND($B834*KarliyukKdvOrani,0)</f>
        <v/>
      </c>
      <c r="F834" s="112">
        <f>$B834-$C834</f>
        <v/>
      </c>
      <c r="G834" s="113">
        <f>IF($B834=0,0,$H834/$B834)</f>
        <v/>
      </c>
      <c r="H834" s="112">
        <f>IF($F834&gt;0,ROUND($F834*KarliyukKurumlarOrani,0),0)</f>
        <v/>
      </c>
      <c r="I834" s="114" t="n"/>
    </row>
    <row r="835" ht="15" customHeight="1" s="68">
      <c r="A835" s="114" t="n"/>
      <c r="B835" s="114" t="n"/>
      <c r="C835" s="114" t="n"/>
      <c r="D835" s="114" t="n"/>
      <c r="E835" s="112">
        <f>ROUND($B835*KarliyukKdvOrani,0)</f>
        <v/>
      </c>
      <c r="F835" s="112">
        <f>$B835-$C835</f>
        <v/>
      </c>
      <c r="G835" s="113">
        <f>IF($B835=0,0,$H835/$B835)</f>
        <v/>
      </c>
      <c r="H835" s="112">
        <f>IF($F835&gt;0,ROUND($F835*KarliyukKurumlarOrani,0),0)</f>
        <v/>
      </c>
      <c r="I835" s="114" t="n"/>
    </row>
    <row r="836" ht="15" customHeight="1" s="68">
      <c r="A836" s="114" t="n"/>
      <c r="B836" s="114" t="n"/>
      <c r="C836" s="114" t="n"/>
      <c r="D836" s="114" t="n"/>
      <c r="E836" s="112">
        <f>ROUND($B836*KarliyukKdvOrani,0)</f>
        <v/>
      </c>
      <c r="F836" s="112">
        <f>$B836-$C836</f>
        <v/>
      </c>
      <c r="G836" s="113">
        <f>IF($B836=0,0,$H836/$B836)</f>
        <v/>
      </c>
      <c r="H836" s="112">
        <f>IF($F836&gt;0,ROUND($F836*KarliyukKurumlarOrani,0),0)</f>
        <v/>
      </c>
      <c r="I836" s="114" t="n"/>
    </row>
    <row r="837" ht="15" customHeight="1" s="68">
      <c r="A837" s="114" t="n"/>
      <c r="B837" s="114" t="n"/>
      <c r="C837" s="114" t="n"/>
      <c r="D837" s="114" t="n"/>
      <c r="E837" s="112">
        <f>ROUND($B837*KarliyukKdvOrani,0)</f>
        <v/>
      </c>
      <c r="F837" s="112">
        <f>$B837-$C837</f>
        <v/>
      </c>
      <c r="G837" s="113">
        <f>IF($B837=0,0,$H837/$B837)</f>
        <v/>
      </c>
      <c r="H837" s="112">
        <f>IF($F837&gt;0,ROUND($F837*KarliyukKurumlarOrani,0),0)</f>
        <v/>
      </c>
      <c r="I837" s="114" t="n"/>
    </row>
    <row r="838" ht="15" customHeight="1" s="68">
      <c r="A838" s="114" t="n"/>
      <c r="B838" s="114" t="n"/>
      <c r="C838" s="114" t="n"/>
      <c r="D838" s="114" t="n"/>
      <c r="E838" s="112">
        <f>ROUND($B838*KarliyukKdvOrani,0)</f>
        <v/>
      </c>
      <c r="F838" s="112">
        <f>$B838-$C838</f>
        <v/>
      </c>
      <c r="G838" s="113">
        <f>IF($B838=0,0,$H838/$B838)</f>
        <v/>
      </c>
      <c r="H838" s="112">
        <f>IF($F838&gt;0,ROUND($F838*KarliyukKurumlarOrani,0),0)</f>
        <v/>
      </c>
      <c r="I838" s="114" t="n"/>
    </row>
    <row r="839" ht="15" customHeight="1" s="68">
      <c r="A839" s="114" t="n"/>
      <c r="B839" s="114" t="n"/>
      <c r="C839" s="114" t="n"/>
      <c r="D839" s="114" t="n"/>
      <c r="E839" s="112">
        <f>ROUND($B839*KarliyukKdvOrani,0)</f>
        <v/>
      </c>
      <c r="F839" s="112">
        <f>$B839-$C839</f>
        <v/>
      </c>
      <c r="G839" s="113">
        <f>IF($B839=0,0,$H839/$B839)</f>
        <v/>
      </c>
      <c r="H839" s="112">
        <f>IF($F839&gt;0,ROUND($F839*KarliyukKurumlarOrani,0),0)</f>
        <v/>
      </c>
      <c r="I839" s="114" t="n"/>
    </row>
    <row r="840" ht="15" customHeight="1" s="68">
      <c r="A840" s="114" t="n"/>
      <c r="B840" s="114" t="n"/>
      <c r="C840" s="114" t="n"/>
      <c r="D840" s="114" t="n"/>
      <c r="E840" s="112">
        <f>ROUND($B840*KarliyukKdvOrani,0)</f>
        <v/>
      </c>
      <c r="F840" s="112">
        <f>$B840-$C840</f>
        <v/>
      </c>
      <c r="G840" s="113">
        <f>IF($B840=0,0,$H840/$B840)</f>
        <v/>
      </c>
      <c r="H840" s="112">
        <f>IF($F840&gt;0,ROUND($F840*KarliyukKurumlarOrani,0),0)</f>
        <v/>
      </c>
      <c r="I840" s="114" t="n"/>
    </row>
    <row r="841" ht="15" customHeight="1" s="68">
      <c r="A841" s="114" t="n"/>
      <c r="B841" s="114" t="n"/>
      <c r="C841" s="114" t="n"/>
      <c r="D841" s="114" t="n"/>
      <c r="E841" s="112">
        <f>ROUND($B841*KarliyukKdvOrani,0)</f>
        <v/>
      </c>
      <c r="F841" s="112">
        <f>$B841-$C841</f>
        <v/>
      </c>
      <c r="G841" s="113">
        <f>IF($B841=0,0,$H841/$B841)</f>
        <v/>
      </c>
      <c r="H841" s="112">
        <f>IF($F841&gt;0,ROUND($F841*KarliyukKurumlarOrani,0),0)</f>
        <v/>
      </c>
      <c r="I841" s="114" t="n"/>
    </row>
    <row r="842" ht="15" customHeight="1" s="68">
      <c r="A842" s="114" t="n"/>
      <c r="B842" s="114" t="n"/>
      <c r="C842" s="114" t="n"/>
      <c r="D842" s="114" t="n"/>
      <c r="E842" s="112">
        <f>ROUND($B842*KarliyukKdvOrani,0)</f>
        <v/>
      </c>
      <c r="F842" s="112">
        <f>$B842-$C842</f>
        <v/>
      </c>
      <c r="G842" s="113">
        <f>IF($B842=0,0,$H842/$B842)</f>
        <v/>
      </c>
      <c r="H842" s="112">
        <f>IF($F842&gt;0,ROUND($F842*KarliyukKurumlarOrani,0),0)</f>
        <v/>
      </c>
      <c r="I842" s="114" t="n"/>
    </row>
    <row r="843" ht="15" customHeight="1" s="68">
      <c r="A843" s="114" t="n"/>
      <c r="B843" s="114" t="n"/>
      <c r="C843" s="114" t="n"/>
      <c r="D843" s="114" t="n"/>
      <c r="E843" s="112">
        <f>ROUND($B843*KarliyukKdvOrani,0)</f>
        <v/>
      </c>
      <c r="F843" s="112">
        <f>$B843-$C843</f>
        <v/>
      </c>
      <c r="G843" s="113">
        <f>IF($B843=0,0,$H843/$B843)</f>
        <v/>
      </c>
      <c r="H843" s="112">
        <f>IF($F843&gt;0,ROUND($F843*KarliyukKurumlarOrani,0),0)</f>
        <v/>
      </c>
      <c r="I843" s="114" t="n"/>
    </row>
    <row r="844" ht="15" customHeight="1" s="68">
      <c r="A844" s="114" t="n"/>
      <c r="B844" s="114" t="n"/>
      <c r="C844" s="114" t="n"/>
      <c r="D844" s="114" t="n"/>
      <c r="E844" s="112">
        <f>ROUND($B844*KarliyukKdvOrani,0)</f>
        <v/>
      </c>
      <c r="F844" s="112">
        <f>$B844-$C844</f>
        <v/>
      </c>
      <c r="G844" s="113">
        <f>IF($B844=0,0,$H844/$B844)</f>
        <v/>
      </c>
      <c r="H844" s="112">
        <f>IF($F844&gt;0,ROUND($F844*KarliyukKurumlarOrani,0),0)</f>
        <v/>
      </c>
      <c r="I844" s="114" t="n"/>
    </row>
    <row r="845" ht="15" customHeight="1" s="68">
      <c r="A845" s="114" t="n"/>
      <c r="B845" s="114" t="n"/>
      <c r="C845" s="114" t="n"/>
      <c r="D845" s="114" t="n"/>
      <c r="E845" s="112">
        <f>ROUND($B845*KarliyukKdvOrani,0)</f>
        <v/>
      </c>
      <c r="F845" s="112">
        <f>$B845-$C845</f>
        <v/>
      </c>
      <c r="G845" s="113">
        <f>IF($B845=0,0,$H845/$B845)</f>
        <v/>
      </c>
      <c r="H845" s="112">
        <f>IF($F845&gt;0,ROUND($F845*KarliyukKurumlarOrani,0),0)</f>
        <v/>
      </c>
      <c r="I845" s="114" t="n"/>
    </row>
    <row r="846" ht="15" customHeight="1" s="68">
      <c r="A846" s="114" t="n"/>
      <c r="B846" s="114" t="n"/>
      <c r="C846" s="114" t="n"/>
      <c r="D846" s="114" t="n"/>
      <c r="E846" s="112">
        <f>ROUND($B846*KarliyukKdvOrani,0)</f>
        <v/>
      </c>
      <c r="F846" s="112">
        <f>$B846-$C846</f>
        <v/>
      </c>
      <c r="G846" s="113">
        <f>IF($B846=0,0,$H846/$B846)</f>
        <v/>
      </c>
      <c r="H846" s="112">
        <f>IF($F846&gt;0,ROUND($F846*KarliyukKurumlarOrani,0),0)</f>
        <v/>
      </c>
      <c r="I846" s="114" t="n"/>
    </row>
    <row r="847" ht="15" customHeight="1" s="68">
      <c r="A847" s="114" t="n"/>
      <c r="B847" s="114" t="n"/>
      <c r="C847" s="114" t="n"/>
      <c r="D847" s="114" t="n"/>
      <c r="E847" s="112">
        <f>ROUND($B847*KarliyukKdvOrani,0)</f>
        <v/>
      </c>
      <c r="F847" s="112">
        <f>$B847-$C847</f>
        <v/>
      </c>
      <c r="G847" s="113">
        <f>IF($B847=0,0,$H847/$B847)</f>
        <v/>
      </c>
      <c r="H847" s="112">
        <f>IF($F847&gt;0,ROUND($F847*KarliyukKurumlarOrani,0),0)</f>
        <v/>
      </c>
      <c r="I847" s="114" t="n"/>
    </row>
    <row r="848" ht="15" customHeight="1" s="68">
      <c r="A848" s="114" t="n"/>
      <c r="B848" s="114" t="n"/>
      <c r="C848" s="114" t="n"/>
      <c r="D848" s="114" t="n"/>
      <c r="E848" s="112">
        <f>ROUND($B848*KarliyukKdvOrani,0)</f>
        <v/>
      </c>
      <c r="F848" s="112">
        <f>$B848-$C848</f>
        <v/>
      </c>
      <c r="G848" s="113">
        <f>IF($B848=0,0,$H848/$B848)</f>
        <v/>
      </c>
      <c r="H848" s="112">
        <f>IF($F848&gt;0,ROUND($F848*KarliyukKurumlarOrani,0),0)</f>
        <v/>
      </c>
      <c r="I848" s="114" t="n"/>
    </row>
    <row r="849" ht="15" customHeight="1" s="68">
      <c r="A849" s="114" t="n"/>
      <c r="B849" s="114" t="n"/>
      <c r="C849" s="114" t="n"/>
      <c r="D849" s="114" t="n"/>
      <c r="E849" s="112">
        <f>ROUND($B849*KarliyukKdvOrani,0)</f>
        <v/>
      </c>
      <c r="F849" s="112">
        <f>$B849-$C849</f>
        <v/>
      </c>
      <c r="G849" s="113">
        <f>IF($B849=0,0,$H849/$B849)</f>
        <v/>
      </c>
      <c r="H849" s="112">
        <f>IF($F849&gt;0,ROUND($F849*KarliyukKurumlarOrani,0),0)</f>
        <v/>
      </c>
      <c r="I849" s="114" t="n"/>
    </row>
    <row r="850" ht="15" customHeight="1" s="68">
      <c r="A850" s="114" t="n"/>
      <c r="B850" s="114" t="n"/>
      <c r="C850" s="114" t="n"/>
      <c r="D850" s="114" t="n"/>
      <c r="E850" s="112">
        <f>ROUND($B850*KarliyukKdvOrani,0)</f>
        <v/>
      </c>
      <c r="F850" s="112">
        <f>$B850-$C850</f>
        <v/>
      </c>
      <c r="G850" s="113">
        <f>IF($B850=0,0,$H850/$B850)</f>
        <v/>
      </c>
      <c r="H850" s="112">
        <f>IF($F850&gt;0,ROUND($F850*KarliyukKurumlarOrani,0),0)</f>
        <v/>
      </c>
      <c r="I850" s="114" t="n"/>
    </row>
    <row r="851" ht="15" customHeight="1" s="68">
      <c r="A851" s="114" t="n"/>
      <c r="B851" s="114" t="n"/>
      <c r="C851" s="114" t="n"/>
      <c r="D851" s="114" t="n"/>
      <c r="E851" s="112">
        <f>ROUND($B851*KarliyukKdvOrani,0)</f>
        <v/>
      </c>
      <c r="F851" s="112">
        <f>$B851-$C851</f>
        <v/>
      </c>
      <c r="G851" s="113">
        <f>IF($B851=0,0,$H851/$B851)</f>
        <v/>
      </c>
      <c r="H851" s="112">
        <f>IF($F851&gt;0,ROUND($F851*KarliyukKurumlarOrani,0),0)</f>
        <v/>
      </c>
      <c r="I851" s="114" t="n"/>
    </row>
    <row r="852" ht="15" customHeight="1" s="68">
      <c r="A852" s="114" t="n"/>
      <c r="B852" s="114" t="n"/>
      <c r="C852" s="114" t="n"/>
      <c r="D852" s="114" t="n"/>
      <c r="E852" s="112">
        <f>ROUND($B852*KarliyukKdvOrani,0)</f>
        <v/>
      </c>
      <c r="F852" s="112">
        <f>$B852-$C852</f>
        <v/>
      </c>
      <c r="G852" s="113">
        <f>IF($B852=0,0,$H852/$B852)</f>
        <v/>
      </c>
      <c r="H852" s="112">
        <f>IF($F852&gt;0,ROUND($F852*KarliyukKurumlarOrani,0),0)</f>
        <v/>
      </c>
      <c r="I852" s="114" t="n"/>
    </row>
    <row r="853" ht="15" customHeight="1" s="68">
      <c r="A853" s="114" t="n"/>
      <c r="B853" s="114" t="n"/>
      <c r="C853" s="114" t="n"/>
      <c r="D853" s="114" t="n"/>
      <c r="E853" s="112">
        <f>ROUND($B853*KarliyukKdvOrani,0)</f>
        <v/>
      </c>
      <c r="F853" s="112">
        <f>$B853-$C853</f>
        <v/>
      </c>
      <c r="G853" s="113">
        <f>IF($B853=0,0,$H853/$B853)</f>
        <v/>
      </c>
      <c r="H853" s="112">
        <f>IF($F853&gt;0,ROUND($F853*KarliyukKurumlarOrani,0),0)</f>
        <v/>
      </c>
      <c r="I853" s="114" t="n"/>
    </row>
    <row r="854" ht="15" customHeight="1" s="68">
      <c r="A854" s="114" t="n"/>
      <c r="B854" s="114" t="n"/>
      <c r="C854" s="114" t="n"/>
      <c r="D854" s="114" t="n"/>
      <c r="E854" s="112">
        <f>ROUND($B854*KarliyukKdvOrani,0)</f>
        <v/>
      </c>
      <c r="F854" s="112">
        <f>$B854-$C854</f>
        <v/>
      </c>
      <c r="G854" s="113">
        <f>IF($B854=0,0,$H854/$B854)</f>
        <v/>
      </c>
      <c r="H854" s="112">
        <f>IF($F854&gt;0,ROUND($F854*KarliyukKurumlarOrani,0),0)</f>
        <v/>
      </c>
      <c r="I854" s="114" t="n"/>
    </row>
    <row r="855" ht="15" customHeight="1" s="68">
      <c r="A855" s="114" t="n"/>
      <c r="B855" s="114" t="n"/>
      <c r="C855" s="114" t="n"/>
      <c r="D855" s="114" t="n"/>
      <c r="E855" s="112">
        <f>ROUND($B855*KarliyukKdvOrani,0)</f>
        <v/>
      </c>
      <c r="F855" s="112">
        <f>$B855-$C855</f>
        <v/>
      </c>
      <c r="G855" s="113">
        <f>IF($B855=0,0,$H855/$B855)</f>
        <v/>
      </c>
      <c r="H855" s="112">
        <f>IF($F855&gt;0,ROUND($F855*KarliyukKurumlarOrani,0),0)</f>
        <v/>
      </c>
      <c r="I855" s="114" t="n"/>
    </row>
    <row r="856" ht="15" customHeight="1" s="68">
      <c r="A856" s="114" t="n"/>
      <c r="B856" s="114" t="n"/>
      <c r="C856" s="114" t="n"/>
      <c r="D856" s="114" t="n"/>
      <c r="E856" s="112">
        <f>ROUND($B856*KarliyukKdvOrani,0)</f>
        <v/>
      </c>
      <c r="F856" s="112">
        <f>$B856-$C856</f>
        <v/>
      </c>
      <c r="G856" s="113">
        <f>IF($B856=0,0,$H856/$B856)</f>
        <v/>
      </c>
      <c r="H856" s="112">
        <f>IF($F856&gt;0,ROUND($F856*KarliyukKurumlarOrani,0),0)</f>
        <v/>
      </c>
      <c r="I856" s="114" t="n"/>
    </row>
    <row r="857" ht="15" customHeight="1" s="68">
      <c r="A857" s="114" t="n"/>
      <c r="B857" s="114" t="n"/>
      <c r="C857" s="114" t="n"/>
      <c r="D857" s="114" t="n"/>
      <c r="E857" s="112">
        <f>ROUND($B857*KarliyukKdvOrani,0)</f>
        <v/>
      </c>
      <c r="F857" s="112">
        <f>$B857-$C857</f>
        <v/>
      </c>
      <c r="G857" s="113">
        <f>IF($B857=0,0,$H857/$B857)</f>
        <v/>
      </c>
      <c r="H857" s="112">
        <f>IF($F857&gt;0,ROUND($F857*KarliyukKurumlarOrani,0),0)</f>
        <v/>
      </c>
      <c r="I857" s="114" t="n"/>
    </row>
    <row r="858" ht="15" customHeight="1" s="68">
      <c r="A858" s="114" t="n"/>
      <c r="B858" s="114" t="n"/>
      <c r="C858" s="114" t="n"/>
      <c r="D858" s="114" t="n"/>
      <c r="E858" s="112">
        <f>ROUND($B858*KarliyukKdvOrani,0)</f>
        <v/>
      </c>
      <c r="F858" s="112">
        <f>$B858-$C858</f>
        <v/>
      </c>
      <c r="G858" s="113">
        <f>IF($B858=0,0,$H858/$B858)</f>
        <v/>
      </c>
      <c r="H858" s="112">
        <f>IF($F858&gt;0,ROUND($F858*KarliyukKurumlarOrani,0),0)</f>
        <v/>
      </c>
      <c r="I858" s="114" t="n"/>
    </row>
    <row r="859" ht="15" customHeight="1" s="68">
      <c r="A859" s="114" t="n"/>
      <c r="B859" s="114" t="n"/>
      <c r="C859" s="114" t="n"/>
      <c r="D859" s="114" t="n"/>
      <c r="E859" s="112">
        <f>ROUND($B859*KarliyukKdvOrani,0)</f>
        <v/>
      </c>
      <c r="F859" s="112">
        <f>$B859-$C859</f>
        <v/>
      </c>
      <c r="G859" s="113">
        <f>IF($B859=0,0,$H859/$B859)</f>
        <v/>
      </c>
      <c r="H859" s="112">
        <f>IF($F859&gt;0,ROUND($F859*KarliyukKurumlarOrani,0),0)</f>
        <v/>
      </c>
      <c r="I859" s="114" t="n"/>
    </row>
    <row r="860" ht="15" customHeight="1" s="68">
      <c r="A860" s="114" t="n"/>
      <c r="B860" s="114" t="n"/>
      <c r="C860" s="114" t="n"/>
      <c r="D860" s="114" t="n"/>
      <c r="E860" s="112">
        <f>ROUND($B860*KarliyukKdvOrani,0)</f>
        <v/>
      </c>
      <c r="F860" s="112">
        <f>$B860-$C860</f>
        <v/>
      </c>
      <c r="G860" s="113">
        <f>IF($B860=0,0,$H860/$B860)</f>
        <v/>
      </c>
      <c r="H860" s="112">
        <f>IF($F860&gt;0,ROUND($F860*KarliyukKurumlarOrani,0),0)</f>
        <v/>
      </c>
      <c r="I860" s="114" t="n"/>
    </row>
    <row r="861" ht="15" customHeight="1" s="68">
      <c r="A861" s="114" t="n"/>
      <c r="B861" s="114" t="n"/>
      <c r="C861" s="114" t="n"/>
      <c r="D861" s="114" t="n"/>
      <c r="E861" s="112">
        <f>ROUND($B861*KarliyukKdvOrani,0)</f>
        <v/>
      </c>
      <c r="F861" s="112">
        <f>$B861-$C861</f>
        <v/>
      </c>
      <c r="G861" s="113">
        <f>IF($B861=0,0,$H861/$B861)</f>
        <v/>
      </c>
      <c r="H861" s="112">
        <f>IF($F861&gt;0,ROUND($F861*KarliyukKurumlarOrani,0),0)</f>
        <v/>
      </c>
      <c r="I861" s="114" t="n"/>
    </row>
    <row r="862" ht="15" customHeight="1" s="68">
      <c r="A862" s="114" t="n"/>
      <c r="B862" s="114" t="n"/>
      <c r="C862" s="114" t="n"/>
      <c r="D862" s="114" t="n"/>
      <c r="E862" s="112">
        <f>ROUND($B862*KarliyukKdvOrani,0)</f>
        <v/>
      </c>
      <c r="F862" s="112">
        <f>$B862-$C862</f>
        <v/>
      </c>
      <c r="G862" s="113">
        <f>IF($B862=0,0,$H862/$B862)</f>
        <v/>
      </c>
      <c r="H862" s="112">
        <f>IF($F862&gt;0,ROUND($F862*KarliyukKurumlarOrani,0),0)</f>
        <v/>
      </c>
      <c r="I862" s="114" t="n"/>
    </row>
    <row r="863" ht="15" customHeight="1" s="68">
      <c r="A863" s="114" t="n"/>
      <c r="B863" s="114" t="n"/>
      <c r="C863" s="114" t="n"/>
      <c r="D863" s="114" t="n"/>
      <c r="E863" s="112">
        <f>ROUND($B863*KarliyukKdvOrani,0)</f>
        <v/>
      </c>
      <c r="F863" s="112">
        <f>$B863-$C863</f>
        <v/>
      </c>
      <c r="G863" s="113">
        <f>IF($B863=0,0,$H863/$B863)</f>
        <v/>
      </c>
      <c r="H863" s="112">
        <f>IF($F863&gt;0,ROUND($F863*KarliyukKurumlarOrani,0),0)</f>
        <v/>
      </c>
      <c r="I863" s="114" t="n"/>
    </row>
    <row r="864" ht="15" customHeight="1" s="68">
      <c r="A864" s="114" t="n"/>
      <c r="B864" s="114" t="n"/>
      <c r="C864" s="114" t="n"/>
      <c r="D864" s="114" t="n"/>
      <c r="E864" s="112">
        <f>ROUND($B864*KarliyukKdvOrani,0)</f>
        <v/>
      </c>
      <c r="F864" s="112">
        <f>$B864-$C864</f>
        <v/>
      </c>
      <c r="G864" s="113">
        <f>IF($B864=0,0,$H864/$B864)</f>
        <v/>
      </c>
      <c r="H864" s="112">
        <f>IF($F864&gt;0,ROUND($F864*KarliyukKurumlarOrani,0),0)</f>
        <v/>
      </c>
      <c r="I864" s="114" t="n"/>
    </row>
    <row r="865" ht="15" customHeight="1" s="68">
      <c r="A865" s="114" t="n"/>
      <c r="B865" s="114" t="n"/>
      <c r="C865" s="114" t="n"/>
      <c r="D865" s="114" t="n"/>
      <c r="E865" s="112">
        <f>ROUND($B865*KarliyukKdvOrani,0)</f>
        <v/>
      </c>
      <c r="F865" s="112">
        <f>$B865-$C865</f>
        <v/>
      </c>
      <c r="G865" s="113">
        <f>IF($B865=0,0,$H865/$B865)</f>
        <v/>
      </c>
      <c r="H865" s="112">
        <f>IF($F865&gt;0,ROUND($F865*KarliyukKurumlarOrani,0),0)</f>
        <v/>
      </c>
      <c r="I865" s="114" t="n"/>
    </row>
    <row r="866" ht="15" customHeight="1" s="68">
      <c r="A866" s="114" t="n"/>
      <c r="B866" s="114" t="n"/>
      <c r="C866" s="114" t="n"/>
      <c r="D866" s="114" t="n"/>
      <c r="E866" s="112">
        <f>ROUND($B866*KarliyukKdvOrani,0)</f>
        <v/>
      </c>
      <c r="F866" s="112">
        <f>$B866-$C866</f>
        <v/>
      </c>
      <c r="G866" s="113">
        <f>IF($B866=0,0,$H866/$B866)</f>
        <v/>
      </c>
      <c r="H866" s="112">
        <f>IF($F866&gt;0,ROUND($F866*KarliyukKurumlarOrani,0),0)</f>
        <v/>
      </c>
      <c r="I866" s="114" t="n"/>
    </row>
    <row r="867" ht="15" customHeight="1" s="68">
      <c r="A867" s="114" t="n"/>
      <c r="B867" s="114" t="n"/>
      <c r="C867" s="114" t="n"/>
      <c r="D867" s="114" t="n"/>
      <c r="E867" s="112">
        <f>ROUND($B867*KarliyukKdvOrani,0)</f>
        <v/>
      </c>
      <c r="F867" s="112">
        <f>$B867-$C867</f>
        <v/>
      </c>
      <c r="G867" s="113">
        <f>IF($B867=0,0,$H867/$B867)</f>
        <v/>
      </c>
      <c r="H867" s="112">
        <f>IF($F867&gt;0,ROUND($F867*KarliyukKurumlarOrani,0),0)</f>
        <v/>
      </c>
      <c r="I867" s="114" t="n"/>
    </row>
    <row r="868" ht="15" customHeight="1" s="68">
      <c r="A868" s="114" t="n"/>
      <c r="B868" s="114" t="n"/>
      <c r="C868" s="114" t="n"/>
      <c r="D868" s="114" t="n"/>
      <c r="E868" s="112">
        <f>ROUND($B868*KarliyukKdvOrani,0)</f>
        <v/>
      </c>
      <c r="F868" s="112">
        <f>$B868-$C868</f>
        <v/>
      </c>
      <c r="G868" s="113">
        <f>IF($B868=0,0,$H868/$B868)</f>
        <v/>
      </c>
      <c r="H868" s="112">
        <f>IF($F868&gt;0,ROUND($F868*KarliyukKurumlarOrani,0),0)</f>
        <v/>
      </c>
      <c r="I868" s="114" t="n"/>
    </row>
    <row r="869" ht="15" customHeight="1" s="68">
      <c r="A869" s="114" t="n"/>
      <c r="B869" s="114" t="n"/>
      <c r="C869" s="114" t="n"/>
      <c r="D869" s="114" t="n"/>
      <c r="E869" s="112">
        <f>ROUND($B869*KarliyukKdvOrani,0)</f>
        <v/>
      </c>
      <c r="F869" s="112">
        <f>$B869-$C869</f>
        <v/>
      </c>
      <c r="G869" s="113">
        <f>IF($B869=0,0,$H869/$B869)</f>
        <v/>
      </c>
      <c r="H869" s="112">
        <f>IF($F869&gt;0,ROUND($F869*KarliyukKurumlarOrani,0),0)</f>
        <v/>
      </c>
      <c r="I869" s="114" t="n"/>
    </row>
    <row r="870" ht="15" customHeight="1" s="68">
      <c r="A870" s="114" t="n"/>
      <c r="B870" s="114" t="n"/>
      <c r="C870" s="114" t="n"/>
      <c r="D870" s="114" t="n"/>
      <c r="E870" s="112">
        <f>ROUND($B870*KarliyukKdvOrani,0)</f>
        <v/>
      </c>
      <c r="F870" s="112">
        <f>$B870-$C870</f>
        <v/>
      </c>
      <c r="G870" s="113">
        <f>IF($B870=0,0,$H870/$B870)</f>
        <v/>
      </c>
      <c r="H870" s="112">
        <f>IF($F870&gt;0,ROUND($F870*KarliyukKurumlarOrani,0),0)</f>
        <v/>
      </c>
      <c r="I870" s="114" t="n"/>
    </row>
    <row r="871" ht="15" customHeight="1" s="68">
      <c r="A871" s="114" t="n"/>
      <c r="B871" s="114" t="n"/>
      <c r="C871" s="114" t="n"/>
      <c r="D871" s="114" t="n"/>
      <c r="E871" s="112">
        <f>ROUND($B871*KarliyukKdvOrani,0)</f>
        <v/>
      </c>
      <c r="F871" s="112">
        <f>$B871-$C871</f>
        <v/>
      </c>
      <c r="G871" s="113">
        <f>IF($B871=0,0,$H871/$B871)</f>
        <v/>
      </c>
      <c r="H871" s="112">
        <f>IF($F871&gt;0,ROUND($F871*KarliyukKurumlarOrani,0),0)</f>
        <v/>
      </c>
      <c r="I871" s="114" t="n"/>
    </row>
    <row r="872" ht="15" customHeight="1" s="68">
      <c r="A872" s="114" t="n"/>
      <c r="B872" s="114" t="n"/>
      <c r="C872" s="114" t="n"/>
      <c r="D872" s="114" t="n"/>
      <c r="E872" s="112">
        <f>ROUND($B872*KarliyukKdvOrani,0)</f>
        <v/>
      </c>
      <c r="F872" s="112">
        <f>$B872-$C872</f>
        <v/>
      </c>
      <c r="G872" s="113">
        <f>IF($B872=0,0,$H872/$B872)</f>
        <v/>
      </c>
      <c r="H872" s="112">
        <f>IF($F872&gt;0,ROUND($F872*KarliyukKurumlarOrani,0),0)</f>
        <v/>
      </c>
      <c r="I872" s="114" t="n"/>
    </row>
    <row r="873" ht="15" customHeight="1" s="68">
      <c r="A873" s="114" t="n"/>
      <c r="B873" s="114" t="n"/>
      <c r="C873" s="114" t="n"/>
      <c r="D873" s="114" t="n"/>
      <c r="E873" s="112">
        <f>ROUND($B873*KarliyukKdvOrani,0)</f>
        <v/>
      </c>
      <c r="F873" s="112">
        <f>$B873-$C873</f>
        <v/>
      </c>
      <c r="G873" s="113">
        <f>IF($B873=0,0,$H873/$B873)</f>
        <v/>
      </c>
      <c r="H873" s="112">
        <f>IF($F873&gt;0,ROUND($F873*KarliyukKurumlarOrani,0),0)</f>
        <v/>
      </c>
      <c r="I873" s="114" t="n"/>
    </row>
    <row r="874" ht="15" customHeight="1" s="68">
      <c r="A874" s="114" t="n"/>
      <c r="B874" s="114" t="n"/>
      <c r="C874" s="114" t="n"/>
      <c r="D874" s="114" t="n"/>
      <c r="E874" s="112">
        <f>ROUND($B874*KarliyukKdvOrani,0)</f>
        <v/>
      </c>
      <c r="F874" s="112">
        <f>$B874-$C874</f>
        <v/>
      </c>
      <c r="G874" s="113">
        <f>IF($B874=0,0,$H874/$B874)</f>
        <v/>
      </c>
      <c r="H874" s="112">
        <f>IF($F874&gt;0,ROUND($F874*KarliyukKurumlarOrani,0),0)</f>
        <v/>
      </c>
      <c r="I874" s="114" t="n"/>
    </row>
    <row r="875" ht="15" customHeight="1" s="68">
      <c r="A875" s="114" t="n"/>
      <c r="B875" s="114" t="n"/>
      <c r="C875" s="114" t="n"/>
      <c r="D875" s="114" t="n"/>
      <c r="E875" s="112">
        <f>ROUND($B875*KarliyukKdvOrani,0)</f>
        <v/>
      </c>
      <c r="F875" s="112">
        <f>$B875-$C875</f>
        <v/>
      </c>
      <c r="G875" s="113">
        <f>IF($B875=0,0,$H875/$B875)</f>
        <v/>
      </c>
      <c r="H875" s="112">
        <f>IF($F875&gt;0,ROUND($F875*KarliyukKurumlarOrani,0),0)</f>
        <v/>
      </c>
      <c r="I875" s="114" t="n"/>
    </row>
    <row r="876" ht="15" customHeight="1" s="68">
      <c r="A876" s="114" t="n"/>
      <c r="B876" s="114" t="n"/>
      <c r="C876" s="114" t="n"/>
      <c r="D876" s="114" t="n"/>
      <c r="E876" s="112">
        <f>ROUND($B876*KarliyukKdvOrani,0)</f>
        <v/>
      </c>
      <c r="F876" s="112">
        <f>$B876-$C876</f>
        <v/>
      </c>
      <c r="G876" s="113">
        <f>IF($B876=0,0,$H876/$B876)</f>
        <v/>
      </c>
      <c r="H876" s="112">
        <f>IF($F876&gt;0,ROUND($F876*KarliyukKurumlarOrani,0),0)</f>
        <v/>
      </c>
      <c r="I876" s="114" t="n"/>
    </row>
    <row r="877" ht="15" customHeight="1" s="68">
      <c r="A877" s="114" t="n"/>
      <c r="B877" s="114" t="n"/>
      <c r="C877" s="114" t="n"/>
      <c r="D877" s="114" t="n"/>
      <c r="E877" s="112">
        <f>ROUND($B877*KarliyukKdvOrani,0)</f>
        <v/>
      </c>
      <c r="F877" s="112">
        <f>$B877-$C877</f>
        <v/>
      </c>
      <c r="G877" s="113">
        <f>IF($B877=0,0,$H877/$B877)</f>
        <v/>
      </c>
      <c r="H877" s="112">
        <f>IF($F877&gt;0,ROUND($F877*KarliyukKurumlarOrani,0),0)</f>
        <v/>
      </c>
      <c r="I877" s="114" t="n"/>
    </row>
    <row r="878" ht="15" customHeight="1" s="68">
      <c r="A878" s="114" t="n"/>
      <c r="B878" s="114" t="n"/>
      <c r="C878" s="114" t="n"/>
      <c r="D878" s="114" t="n"/>
      <c r="E878" s="112">
        <f>ROUND($B878*KarliyukKdvOrani,0)</f>
        <v/>
      </c>
      <c r="F878" s="112">
        <f>$B878-$C878</f>
        <v/>
      </c>
      <c r="G878" s="113">
        <f>IF($B878=0,0,$H878/$B878)</f>
        <v/>
      </c>
      <c r="H878" s="112">
        <f>IF($F878&gt;0,ROUND($F878*KarliyukKurumlarOrani,0),0)</f>
        <v/>
      </c>
      <c r="I878" s="114" t="n"/>
    </row>
    <row r="879" ht="15" customHeight="1" s="68">
      <c r="A879" s="114" t="n"/>
      <c r="B879" s="114" t="n"/>
      <c r="C879" s="114" t="n"/>
      <c r="D879" s="114" t="n"/>
      <c r="E879" s="112">
        <f>ROUND($B879*KarliyukKdvOrani,0)</f>
        <v/>
      </c>
      <c r="F879" s="112">
        <f>$B879-$C879</f>
        <v/>
      </c>
      <c r="G879" s="113">
        <f>IF($B879=0,0,$H879/$B879)</f>
        <v/>
      </c>
      <c r="H879" s="112">
        <f>IF($F879&gt;0,ROUND($F879*KarliyukKurumlarOrani,0),0)</f>
        <v/>
      </c>
      <c r="I879" s="114" t="n"/>
    </row>
    <row r="880" ht="15" customHeight="1" s="68">
      <c r="A880" s="114" t="n"/>
      <c r="B880" s="114" t="n"/>
      <c r="C880" s="114" t="n"/>
      <c r="D880" s="114" t="n"/>
      <c r="E880" s="112">
        <f>ROUND($B880*KarliyukKdvOrani,0)</f>
        <v/>
      </c>
      <c r="F880" s="112">
        <f>$B880-$C880</f>
        <v/>
      </c>
      <c r="G880" s="113">
        <f>IF($B880=0,0,$H880/$B880)</f>
        <v/>
      </c>
      <c r="H880" s="112">
        <f>IF($F880&gt;0,ROUND($F880*KarliyukKurumlarOrani,0),0)</f>
        <v/>
      </c>
      <c r="I880" s="114" t="n"/>
    </row>
    <row r="881" ht="15" customHeight="1" s="68">
      <c r="A881" s="114" t="n"/>
      <c r="B881" s="114" t="n"/>
      <c r="C881" s="114" t="n"/>
      <c r="D881" s="114" t="n"/>
      <c r="E881" s="112">
        <f>ROUND($B881*KarliyukKdvOrani,0)</f>
        <v/>
      </c>
      <c r="F881" s="112">
        <f>$B881-$C881</f>
        <v/>
      </c>
      <c r="G881" s="113">
        <f>IF($B881=0,0,$H881/$B881)</f>
        <v/>
      </c>
      <c r="H881" s="112">
        <f>IF($F881&gt;0,ROUND($F881*KarliyukKurumlarOrani,0),0)</f>
        <v/>
      </c>
      <c r="I881" s="114" t="n"/>
    </row>
    <row r="882" ht="15" customHeight="1" s="68">
      <c r="A882" s="114" t="n"/>
      <c r="B882" s="114" t="n"/>
      <c r="C882" s="114" t="n"/>
      <c r="D882" s="114" t="n"/>
      <c r="E882" s="112">
        <f>ROUND($B882*KarliyukKdvOrani,0)</f>
        <v/>
      </c>
      <c r="F882" s="112">
        <f>$B882-$C882</f>
        <v/>
      </c>
      <c r="G882" s="113">
        <f>IF($B882=0,0,$H882/$B882)</f>
        <v/>
      </c>
      <c r="H882" s="112">
        <f>IF($F882&gt;0,ROUND($F882*KarliyukKurumlarOrani,0),0)</f>
        <v/>
      </c>
      <c r="I882" s="114" t="n"/>
    </row>
    <row r="883" ht="15" customHeight="1" s="68">
      <c r="A883" s="114" t="n"/>
      <c r="B883" s="114" t="n"/>
      <c r="C883" s="114" t="n"/>
      <c r="D883" s="114" t="n"/>
      <c r="E883" s="112">
        <f>ROUND($B883*KarliyukKdvOrani,0)</f>
        <v/>
      </c>
      <c r="F883" s="112">
        <f>$B883-$C883</f>
        <v/>
      </c>
      <c r="G883" s="113">
        <f>IF($B883=0,0,$H883/$B883)</f>
        <v/>
      </c>
      <c r="H883" s="112">
        <f>IF($F883&gt;0,ROUND($F883*KarliyukKurumlarOrani,0),0)</f>
        <v/>
      </c>
      <c r="I883" s="114" t="n"/>
    </row>
    <row r="884" ht="15" customHeight="1" s="68">
      <c r="A884" s="114" t="n"/>
      <c r="B884" s="114" t="n"/>
      <c r="C884" s="114" t="n"/>
      <c r="D884" s="114" t="n"/>
      <c r="E884" s="112">
        <f>ROUND($B884*KarliyukKdvOrani,0)</f>
        <v/>
      </c>
      <c r="F884" s="112">
        <f>$B884-$C884</f>
        <v/>
      </c>
      <c r="G884" s="113">
        <f>IF($B884=0,0,$H884/$B884)</f>
        <v/>
      </c>
      <c r="H884" s="112">
        <f>IF($F884&gt;0,ROUND($F884*KarliyukKurumlarOrani,0),0)</f>
        <v/>
      </c>
      <c r="I884" s="114" t="n"/>
    </row>
    <row r="885" ht="15" customHeight="1" s="68">
      <c r="A885" s="114" t="n"/>
      <c r="B885" s="114" t="n"/>
      <c r="C885" s="114" t="n"/>
      <c r="D885" s="114" t="n"/>
      <c r="E885" s="112">
        <f>ROUND($B885*KarliyukKdvOrani,0)</f>
        <v/>
      </c>
      <c r="F885" s="112">
        <f>$B885-$C885</f>
        <v/>
      </c>
      <c r="G885" s="113">
        <f>IF($B885=0,0,$H885/$B885)</f>
        <v/>
      </c>
      <c r="H885" s="112">
        <f>IF($F885&gt;0,ROUND($F885*KarliyukKurumlarOrani,0),0)</f>
        <v/>
      </c>
      <c r="I885" s="114" t="n"/>
    </row>
    <row r="886" ht="15" customHeight="1" s="68">
      <c r="A886" s="114" t="n"/>
      <c r="B886" s="114" t="n"/>
      <c r="C886" s="114" t="n"/>
      <c r="D886" s="114" t="n"/>
      <c r="E886" s="112">
        <f>ROUND($B886*KarliyukKdvOrani,0)</f>
        <v/>
      </c>
      <c r="F886" s="112">
        <f>$B886-$C886</f>
        <v/>
      </c>
      <c r="G886" s="113">
        <f>IF($B886=0,0,$H886/$B886)</f>
        <v/>
      </c>
      <c r="H886" s="112">
        <f>IF($F886&gt;0,ROUND($F886*KarliyukKurumlarOrani,0),0)</f>
        <v/>
      </c>
      <c r="I886" s="114" t="n"/>
    </row>
    <row r="887" ht="15" customHeight="1" s="68">
      <c r="A887" s="114" t="n"/>
      <c r="B887" s="114" t="n"/>
      <c r="C887" s="114" t="n"/>
      <c r="D887" s="114" t="n"/>
      <c r="E887" s="112">
        <f>ROUND($B887*KarliyukKdvOrani,0)</f>
        <v/>
      </c>
      <c r="F887" s="112">
        <f>$B887-$C887</f>
        <v/>
      </c>
      <c r="G887" s="113">
        <f>IF($B887=0,0,$H887/$B887)</f>
        <v/>
      </c>
      <c r="H887" s="112">
        <f>IF($F887&gt;0,ROUND($F887*KarliyukKurumlarOrani,0),0)</f>
        <v/>
      </c>
      <c r="I887" s="114" t="n"/>
    </row>
    <row r="888" ht="15" customHeight="1" s="68">
      <c r="A888" s="114" t="n"/>
      <c r="B888" s="114" t="n"/>
      <c r="C888" s="114" t="n"/>
      <c r="D888" s="114" t="n"/>
      <c r="E888" s="112">
        <f>ROUND($B888*KarliyukKdvOrani,0)</f>
        <v/>
      </c>
      <c r="F888" s="112">
        <f>$B888-$C888</f>
        <v/>
      </c>
      <c r="G888" s="113">
        <f>IF($B888=0,0,$H888/$B888)</f>
        <v/>
      </c>
      <c r="H888" s="112">
        <f>IF($F888&gt;0,ROUND($F888*KarliyukKurumlarOrani,0),0)</f>
        <v/>
      </c>
      <c r="I888" s="114" t="n"/>
    </row>
    <row r="889" ht="15" customHeight="1" s="68">
      <c r="A889" s="114" t="n"/>
      <c r="B889" s="114" t="n"/>
      <c r="C889" s="114" t="n"/>
      <c r="D889" s="114" t="n"/>
      <c r="E889" s="112">
        <f>ROUND($B889*KarliyukKdvOrani,0)</f>
        <v/>
      </c>
      <c r="F889" s="112">
        <f>$B889-$C889</f>
        <v/>
      </c>
      <c r="G889" s="113">
        <f>IF($B889=0,0,$H889/$B889)</f>
        <v/>
      </c>
      <c r="H889" s="112">
        <f>IF($F889&gt;0,ROUND($F889*KarliyukKurumlarOrani,0),0)</f>
        <v/>
      </c>
      <c r="I889" s="114" t="n"/>
    </row>
    <row r="890" ht="15" customHeight="1" s="68">
      <c r="A890" s="114" t="n"/>
      <c r="B890" s="114" t="n"/>
      <c r="C890" s="114" t="n"/>
      <c r="D890" s="114" t="n"/>
      <c r="E890" s="112">
        <f>ROUND($B890*KarliyukKdvOrani,0)</f>
        <v/>
      </c>
      <c r="F890" s="112">
        <f>$B890-$C890</f>
        <v/>
      </c>
      <c r="G890" s="113">
        <f>IF($B890=0,0,$H890/$B890)</f>
        <v/>
      </c>
      <c r="H890" s="112">
        <f>IF($F890&gt;0,ROUND($F890*KarliyukKurumlarOrani,0),0)</f>
        <v/>
      </c>
      <c r="I890" s="114" t="n"/>
    </row>
    <row r="891" ht="15" customHeight="1" s="68">
      <c r="A891" s="114" t="n"/>
      <c r="B891" s="114" t="n"/>
      <c r="C891" s="114" t="n"/>
      <c r="D891" s="114" t="n"/>
      <c r="E891" s="112">
        <f>ROUND($B891*KarliyukKdvOrani,0)</f>
        <v/>
      </c>
      <c r="F891" s="112">
        <f>$B891-$C891</f>
        <v/>
      </c>
      <c r="G891" s="113">
        <f>IF($B891=0,0,$H891/$B891)</f>
        <v/>
      </c>
      <c r="H891" s="112">
        <f>IF($F891&gt;0,ROUND($F891*KarliyukKurumlarOrani,0),0)</f>
        <v/>
      </c>
      <c r="I891" s="114" t="n"/>
    </row>
    <row r="892" ht="15" customHeight="1" s="68">
      <c r="A892" s="114" t="n"/>
      <c r="B892" s="114" t="n"/>
      <c r="C892" s="114" t="n"/>
      <c r="D892" s="114" t="n"/>
      <c r="E892" s="112">
        <f>ROUND($B892*KarliyukKdvOrani,0)</f>
        <v/>
      </c>
      <c r="F892" s="112">
        <f>$B892-$C892</f>
        <v/>
      </c>
      <c r="G892" s="113">
        <f>IF($B892=0,0,$H892/$B892)</f>
        <v/>
      </c>
      <c r="H892" s="112">
        <f>IF($F892&gt;0,ROUND($F892*KarliyukKurumlarOrani,0),0)</f>
        <v/>
      </c>
      <c r="I892" s="114" t="n"/>
    </row>
    <row r="893" ht="15" customHeight="1" s="68">
      <c r="A893" s="114" t="n"/>
      <c r="B893" s="114" t="n"/>
      <c r="C893" s="114" t="n"/>
      <c r="D893" s="114" t="n"/>
      <c r="E893" s="112">
        <f>ROUND($B893*KarliyukKdvOrani,0)</f>
        <v/>
      </c>
      <c r="F893" s="112">
        <f>$B893-$C893</f>
        <v/>
      </c>
      <c r="G893" s="113">
        <f>IF($B893=0,0,$H893/$B893)</f>
        <v/>
      </c>
      <c r="H893" s="112">
        <f>IF($F893&gt;0,ROUND($F893*KarliyukKurumlarOrani,0),0)</f>
        <v/>
      </c>
      <c r="I893" s="114" t="n"/>
    </row>
    <row r="894" ht="15" customHeight="1" s="68">
      <c r="A894" s="114" t="n"/>
      <c r="B894" s="114" t="n"/>
      <c r="C894" s="114" t="n"/>
      <c r="D894" s="114" t="n"/>
      <c r="E894" s="112">
        <f>ROUND($B894*KarliyukKdvOrani,0)</f>
        <v/>
      </c>
      <c r="F894" s="112">
        <f>$B894-$C894</f>
        <v/>
      </c>
      <c r="G894" s="113">
        <f>IF($B894=0,0,$H894/$B894)</f>
        <v/>
      </c>
      <c r="H894" s="112">
        <f>IF($F894&gt;0,ROUND($F894*KarliyukKurumlarOrani,0),0)</f>
        <v/>
      </c>
      <c r="I894" s="114" t="n"/>
    </row>
    <row r="895" ht="15" customHeight="1" s="68">
      <c r="A895" s="114" t="n"/>
      <c r="B895" s="114" t="n"/>
      <c r="C895" s="114" t="n"/>
      <c r="D895" s="114" t="n"/>
      <c r="E895" s="112">
        <f>ROUND($B895*KarliyukKdvOrani,0)</f>
        <v/>
      </c>
      <c r="F895" s="112">
        <f>$B895-$C895</f>
        <v/>
      </c>
      <c r="G895" s="113">
        <f>IF($B895=0,0,$H895/$B895)</f>
        <v/>
      </c>
      <c r="H895" s="112">
        <f>IF($F895&gt;0,ROUND($F895*KarliyukKurumlarOrani,0),0)</f>
        <v/>
      </c>
      <c r="I895" s="114" t="n"/>
    </row>
    <row r="896" ht="15" customHeight="1" s="68">
      <c r="A896" s="114" t="n"/>
      <c r="B896" s="114" t="n"/>
      <c r="C896" s="114" t="n"/>
      <c r="D896" s="114" t="n"/>
      <c r="E896" s="112">
        <f>ROUND($B896*KarliyukKdvOrani,0)</f>
        <v/>
      </c>
      <c r="F896" s="112">
        <f>$B896-$C896</f>
        <v/>
      </c>
      <c r="G896" s="113">
        <f>IF($B896=0,0,$H896/$B896)</f>
        <v/>
      </c>
      <c r="H896" s="112">
        <f>IF($F896&gt;0,ROUND($F896*KarliyukKurumlarOrani,0),0)</f>
        <v/>
      </c>
      <c r="I896" s="114" t="n"/>
    </row>
    <row r="897" ht="15" customHeight="1" s="68">
      <c r="A897" s="114" t="n"/>
      <c r="B897" s="114" t="n"/>
      <c r="C897" s="114" t="n"/>
      <c r="D897" s="114" t="n"/>
      <c r="E897" s="112">
        <f>ROUND($B897*KarliyukKdvOrani,0)</f>
        <v/>
      </c>
      <c r="F897" s="112">
        <f>$B897-$C897</f>
        <v/>
      </c>
      <c r="G897" s="113">
        <f>IF($B897=0,0,$H897/$B897)</f>
        <v/>
      </c>
      <c r="H897" s="112">
        <f>IF($F897&gt;0,ROUND($F897*KarliyukKurumlarOrani,0),0)</f>
        <v/>
      </c>
      <c r="I897" s="114" t="n"/>
    </row>
    <row r="898" ht="15" customHeight="1" s="68">
      <c r="A898" s="114" t="n"/>
      <c r="B898" s="114" t="n"/>
      <c r="C898" s="114" t="n"/>
      <c r="D898" s="114" t="n"/>
      <c r="E898" s="112">
        <f>ROUND($B898*KarliyukKdvOrani,0)</f>
        <v/>
      </c>
      <c r="F898" s="112">
        <f>$B898-$C898</f>
        <v/>
      </c>
      <c r="G898" s="113">
        <f>IF($B898=0,0,$H898/$B898)</f>
        <v/>
      </c>
      <c r="H898" s="112">
        <f>IF($F898&gt;0,ROUND($F898*KarliyukKurumlarOrani,0),0)</f>
        <v/>
      </c>
      <c r="I898" s="114" t="n"/>
    </row>
    <row r="899" ht="15" customHeight="1" s="68">
      <c r="A899" s="114" t="n"/>
      <c r="B899" s="114" t="n"/>
      <c r="C899" s="114" t="n"/>
      <c r="D899" s="114" t="n"/>
      <c r="E899" s="112">
        <f>ROUND($B899*KarliyukKdvOrani,0)</f>
        <v/>
      </c>
      <c r="F899" s="112">
        <f>$B899-$C899</f>
        <v/>
      </c>
      <c r="G899" s="113">
        <f>IF($B899=0,0,$H899/$B899)</f>
        <v/>
      </c>
      <c r="H899" s="112">
        <f>IF($F899&gt;0,ROUND($F899*KarliyukKurumlarOrani,0),0)</f>
        <v/>
      </c>
      <c r="I899" s="114" t="n"/>
    </row>
    <row r="900" ht="15" customHeight="1" s="68">
      <c r="A900" s="114" t="n"/>
      <c r="B900" s="114" t="n"/>
      <c r="C900" s="114" t="n"/>
      <c r="D900" s="114" t="n"/>
      <c r="E900" s="112">
        <f>ROUND($B900*KarliyukKdvOrani,0)</f>
        <v/>
      </c>
      <c r="F900" s="112">
        <f>$B900-$C900</f>
        <v/>
      </c>
      <c r="G900" s="113">
        <f>IF($B900=0,0,$H900/$B900)</f>
        <v/>
      </c>
      <c r="H900" s="112">
        <f>IF($F900&gt;0,ROUND($F900*KarliyukKurumlarOrani,0),0)</f>
        <v/>
      </c>
      <c r="I900" s="114" t="n"/>
    </row>
    <row r="901" ht="15" customHeight="1" s="68">
      <c r="A901" s="114" t="n"/>
      <c r="B901" s="114" t="n"/>
      <c r="C901" s="114" t="n"/>
      <c r="D901" s="114" t="n"/>
      <c r="E901" s="112">
        <f>ROUND($B901*KarliyukKdvOrani,0)</f>
        <v/>
      </c>
      <c r="F901" s="112">
        <f>$B901-$C901</f>
        <v/>
      </c>
      <c r="G901" s="113">
        <f>IF($B901=0,0,$H901/$B901)</f>
        <v/>
      </c>
      <c r="H901" s="112">
        <f>IF($F901&gt;0,ROUND($F901*KarliyukKurumlarOrani,0),0)</f>
        <v/>
      </c>
      <c r="I901" s="114" t="n"/>
    </row>
    <row r="902" ht="15" customHeight="1" s="68">
      <c r="A902" s="114" t="n"/>
      <c r="B902" s="114" t="n"/>
      <c r="C902" s="114" t="n"/>
      <c r="D902" s="114" t="n"/>
      <c r="E902" s="112">
        <f>ROUND($B902*KarliyukKdvOrani,0)</f>
        <v/>
      </c>
      <c r="F902" s="112">
        <f>$B902-$C902</f>
        <v/>
      </c>
      <c r="G902" s="113">
        <f>IF($B902=0,0,$H902/$B902)</f>
        <v/>
      </c>
      <c r="H902" s="112">
        <f>IF($F902&gt;0,ROUND($F902*KarliyukKurumlarOrani,0),0)</f>
        <v/>
      </c>
      <c r="I902" s="114" t="n"/>
    </row>
    <row r="903" ht="15" customHeight="1" s="68">
      <c r="A903" s="114" t="n"/>
      <c r="B903" s="114" t="n"/>
      <c r="C903" s="114" t="n"/>
      <c r="D903" s="114" t="n"/>
      <c r="E903" s="112">
        <f>ROUND($B903*KarliyukKdvOrani,0)</f>
        <v/>
      </c>
      <c r="F903" s="112">
        <f>$B903-$C903</f>
        <v/>
      </c>
      <c r="G903" s="113">
        <f>IF($B903=0,0,$H903/$B903)</f>
        <v/>
      </c>
      <c r="H903" s="112">
        <f>IF($F903&gt;0,ROUND($F903*KarliyukKurumlarOrani,0),0)</f>
        <v/>
      </c>
      <c r="I903" s="114" t="n"/>
    </row>
    <row r="904" ht="15" customHeight="1" s="68">
      <c r="A904" s="114" t="n"/>
      <c r="B904" s="114" t="n"/>
      <c r="C904" s="114" t="n"/>
      <c r="D904" s="114" t="n"/>
      <c r="E904" s="112">
        <f>ROUND($B904*KarliyukKdvOrani,0)</f>
        <v/>
      </c>
      <c r="F904" s="112">
        <f>$B904-$C904</f>
        <v/>
      </c>
      <c r="G904" s="113">
        <f>IF($B904=0,0,$H904/$B904)</f>
        <v/>
      </c>
      <c r="H904" s="112">
        <f>IF($F904&gt;0,ROUND($F904*KarliyukKurumlarOrani,0),0)</f>
        <v/>
      </c>
      <c r="I904" s="114" t="n"/>
    </row>
    <row r="905" ht="15" customHeight="1" s="68">
      <c r="A905" s="114" t="n"/>
      <c r="B905" s="114" t="n"/>
      <c r="C905" s="114" t="n"/>
      <c r="D905" s="114" t="n"/>
      <c r="E905" s="112">
        <f>ROUND($B905*KarliyukKdvOrani,0)</f>
        <v/>
      </c>
      <c r="F905" s="112">
        <f>$B905-$C905</f>
        <v/>
      </c>
      <c r="G905" s="113">
        <f>IF($B905=0,0,$H905/$B905)</f>
        <v/>
      </c>
      <c r="H905" s="112">
        <f>IF($F905&gt;0,ROUND($F905*KarliyukKurumlarOrani,0),0)</f>
        <v/>
      </c>
      <c r="I905" s="114" t="n"/>
    </row>
    <row r="906" ht="15" customHeight="1" s="68">
      <c r="A906" s="114" t="n"/>
      <c r="B906" s="114" t="n"/>
      <c r="C906" s="114" t="n"/>
      <c r="D906" s="114" t="n"/>
      <c r="E906" s="112">
        <f>ROUND($B906*KarliyukKdvOrani,0)</f>
        <v/>
      </c>
      <c r="F906" s="112">
        <f>$B906-$C906</f>
        <v/>
      </c>
      <c r="G906" s="113">
        <f>IF($B906=0,0,$H906/$B906)</f>
        <v/>
      </c>
      <c r="H906" s="112">
        <f>IF($F906&gt;0,ROUND($F906*KarliyukKurumlarOrani,0),0)</f>
        <v/>
      </c>
      <c r="I906" s="114" t="n"/>
    </row>
    <row r="907" ht="15" customHeight="1" s="68">
      <c r="A907" s="114" t="n"/>
      <c r="B907" s="114" t="n"/>
      <c r="C907" s="114" t="n"/>
      <c r="D907" s="114" t="n"/>
      <c r="E907" s="112">
        <f>ROUND($B907*KarliyukKdvOrani,0)</f>
        <v/>
      </c>
      <c r="F907" s="112">
        <f>$B907-$C907</f>
        <v/>
      </c>
      <c r="G907" s="113">
        <f>IF($B907=0,0,$H907/$B907)</f>
        <v/>
      </c>
      <c r="H907" s="112">
        <f>IF($F907&gt;0,ROUND($F907*KarliyukKurumlarOrani,0),0)</f>
        <v/>
      </c>
      <c r="I907" s="114" t="n"/>
    </row>
    <row r="908" ht="15" customHeight="1" s="68">
      <c r="A908" s="114" t="n"/>
      <c r="B908" s="114" t="n"/>
      <c r="C908" s="114" t="n"/>
      <c r="D908" s="114" t="n"/>
      <c r="E908" s="112">
        <f>ROUND($B908*KarliyukKdvOrani,0)</f>
        <v/>
      </c>
      <c r="F908" s="112">
        <f>$B908-$C908</f>
        <v/>
      </c>
      <c r="G908" s="113">
        <f>IF($B908=0,0,$H908/$B908)</f>
        <v/>
      </c>
      <c r="H908" s="112">
        <f>IF($F908&gt;0,ROUND($F908*KarliyukKurumlarOrani,0),0)</f>
        <v/>
      </c>
      <c r="I908" s="114" t="n"/>
    </row>
    <row r="909" ht="15" customHeight="1" s="68">
      <c r="A909" s="114" t="n"/>
      <c r="B909" s="114" t="n"/>
      <c r="C909" s="114" t="n"/>
      <c r="D909" s="114" t="n"/>
      <c r="E909" s="112">
        <f>ROUND($B909*KarliyukKdvOrani,0)</f>
        <v/>
      </c>
      <c r="F909" s="112">
        <f>$B909-$C909</f>
        <v/>
      </c>
      <c r="G909" s="113">
        <f>IF($B909=0,0,$H909/$B909)</f>
        <v/>
      </c>
      <c r="H909" s="112">
        <f>IF($F909&gt;0,ROUND($F909*KarliyukKurumlarOrani,0),0)</f>
        <v/>
      </c>
      <c r="I909" s="114" t="n"/>
    </row>
    <row r="910" ht="15" customHeight="1" s="68">
      <c r="A910" s="114" t="n"/>
      <c r="B910" s="114" t="n"/>
      <c r="C910" s="114" t="n"/>
      <c r="D910" s="114" t="n"/>
      <c r="E910" s="112">
        <f>ROUND($B910*KarliyukKdvOrani,0)</f>
        <v/>
      </c>
      <c r="F910" s="112">
        <f>$B910-$C910</f>
        <v/>
      </c>
      <c r="G910" s="113">
        <f>IF($B910=0,0,$H910/$B910)</f>
        <v/>
      </c>
      <c r="H910" s="112">
        <f>IF($F910&gt;0,ROUND($F910*KarliyukKurumlarOrani,0),0)</f>
        <v/>
      </c>
      <c r="I910" s="114" t="n"/>
    </row>
    <row r="911" ht="15" customHeight="1" s="68">
      <c r="A911" s="114" t="n"/>
      <c r="B911" s="114" t="n"/>
      <c r="C911" s="114" t="n"/>
      <c r="D911" s="114" t="n"/>
      <c r="E911" s="112">
        <f>ROUND($B911*KarliyukKdvOrani,0)</f>
        <v/>
      </c>
      <c r="F911" s="112">
        <f>$B911-$C911</f>
        <v/>
      </c>
      <c r="G911" s="113">
        <f>IF($B911=0,0,$H911/$B911)</f>
        <v/>
      </c>
      <c r="H911" s="112">
        <f>IF($F911&gt;0,ROUND($F911*KarliyukKurumlarOrani,0),0)</f>
        <v/>
      </c>
      <c r="I911" s="114" t="n"/>
    </row>
    <row r="912" ht="15" customHeight="1" s="68">
      <c r="A912" s="114" t="n"/>
      <c r="B912" s="114" t="n"/>
      <c r="C912" s="114" t="n"/>
      <c r="D912" s="114" t="n"/>
      <c r="E912" s="112">
        <f>ROUND($B912*KarliyukKdvOrani,0)</f>
        <v/>
      </c>
      <c r="F912" s="112">
        <f>$B912-$C912</f>
        <v/>
      </c>
      <c r="G912" s="113">
        <f>IF($B912=0,0,$H912/$B912)</f>
        <v/>
      </c>
      <c r="H912" s="112">
        <f>IF($F912&gt;0,ROUND($F912*KarliyukKurumlarOrani,0),0)</f>
        <v/>
      </c>
      <c r="I912" s="114" t="n"/>
    </row>
    <row r="913" ht="15" customHeight="1" s="68">
      <c r="A913" s="114" t="n"/>
      <c r="B913" s="114" t="n"/>
      <c r="C913" s="114" t="n"/>
      <c r="D913" s="114" t="n"/>
      <c r="E913" s="112">
        <f>ROUND($B913*KarliyukKdvOrani,0)</f>
        <v/>
      </c>
      <c r="F913" s="112">
        <f>$B913-$C913</f>
        <v/>
      </c>
      <c r="G913" s="113">
        <f>IF($B913=0,0,$H913/$B913)</f>
        <v/>
      </c>
      <c r="H913" s="112">
        <f>IF($F913&gt;0,ROUND($F913*KarliyukKurumlarOrani,0),0)</f>
        <v/>
      </c>
      <c r="I913" s="114" t="n"/>
    </row>
    <row r="914" ht="15" customHeight="1" s="68">
      <c r="A914" s="114" t="n"/>
      <c r="B914" s="114" t="n"/>
      <c r="C914" s="114" t="n"/>
      <c r="D914" s="114" t="n"/>
      <c r="E914" s="112">
        <f>ROUND($B914*KarliyukKdvOrani,0)</f>
        <v/>
      </c>
      <c r="F914" s="112">
        <f>$B914-$C914</f>
        <v/>
      </c>
      <c r="G914" s="113">
        <f>IF($B914=0,0,$H914/$B914)</f>
        <v/>
      </c>
      <c r="H914" s="112">
        <f>IF($F914&gt;0,ROUND($F914*KarliyukKurumlarOrani,0),0)</f>
        <v/>
      </c>
      <c r="I914" s="114" t="n"/>
    </row>
    <row r="915" ht="15" customHeight="1" s="68">
      <c r="A915" s="114" t="n"/>
      <c r="B915" s="114" t="n"/>
      <c r="C915" s="114" t="n"/>
      <c r="D915" s="114" t="n"/>
      <c r="E915" s="112">
        <f>ROUND($B915*KarliyukKdvOrani,0)</f>
        <v/>
      </c>
      <c r="F915" s="112">
        <f>$B915-$C915</f>
        <v/>
      </c>
      <c r="G915" s="113">
        <f>IF($B915=0,0,$H915/$B915)</f>
        <v/>
      </c>
      <c r="H915" s="112">
        <f>IF($F915&gt;0,ROUND($F915*KarliyukKurumlarOrani,0),0)</f>
        <v/>
      </c>
      <c r="I915" s="114" t="n"/>
    </row>
    <row r="916" ht="15" customHeight="1" s="68">
      <c r="A916" s="114" t="n"/>
      <c r="B916" s="114" t="n"/>
      <c r="C916" s="114" t="n"/>
      <c r="D916" s="114" t="n"/>
      <c r="E916" s="112">
        <f>ROUND($B916*KarliyukKdvOrani,0)</f>
        <v/>
      </c>
      <c r="F916" s="112">
        <f>$B916-$C916</f>
        <v/>
      </c>
      <c r="G916" s="113">
        <f>IF($B916=0,0,$H916/$B916)</f>
        <v/>
      </c>
      <c r="H916" s="112">
        <f>IF($F916&gt;0,ROUND($F916*KarliyukKurumlarOrani,0),0)</f>
        <v/>
      </c>
      <c r="I916" s="114" t="n"/>
    </row>
    <row r="917" ht="15" customHeight="1" s="68">
      <c r="A917" s="114" t="n"/>
      <c r="B917" s="114" t="n"/>
      <c r="C917" s="114" t="n"/>
      <c r="D917" s="114" t="n"/>
      <c r="E917" s="112">
        <f>ROUND($B917*KarliyukKdvOrani,0)</f>
        <v/>
      </c>
      <c r="F917" s="112">
        <f>$B917-$C917</f>
        <v/>
      </c>
      <c r="G917" s="113">
        <f>IF($B917=0,0,$H917/$B917)</f>
        <v/>
      </c>
      <c r="H917" s="112">
        <f>IF($F917&gt;0,ROUND($F917*KarliyukKurumlarOrani,0),0)</f>
        <v/>
      </c>
      <c r="I917" s="114" t="n"/>
    </row>
    <row r="918" ht="15" customHeight="1" s="68">
      <c r="A918" s="114" t="n"/>
      <c r="B918" s="114" t="n"/>
      <c r="C918" s="114" t="n"/>
      <c r="D918" s="114" t="n"/>
      <c r="E918" s="112">
        <f>ROUND($B918*KarliyukKdvOrani,0)</f>
        <v/>
      </c>
      <c r="F918" s="112">
        <f>$B918-$C918</f>
        <v/>
      </c>
      <c r="G918" s="113">
        <f>IF($B918=0,0,$H918/$B918)</f>
        <v/>
      </c>
      <c r="H918" s="112">
        <f>IF($F918&gt;0,ROUND($F918*KarliyukKurumlarOrani,0),0)</f>
        <v/>
      </c>
      <c r="I918" s="114" t="n"/>
    </row>
    <row r="919" ht="15" customHeight="1" s="68">
      <c r="A919" s="114" t="n"/>
      <c r="B919" s="114" t="n"/>
      <c r="C919" s="114" t="n"/>
      <c r="D919" s="114" t="n"/>
      <c r="E919" s="112">
        <f>ROUND($B919*KarliyukKdvOrani,0)</f>
        <v/>
      </c>
      <c r="F919" s="112">
        <f>$B919-$C919</f>
        <v/>
      </c>
      <c r="G919" s="113">
        <f>IF($B919=0,0,$H919/$B919)</f>
        <v/>
      </c>
      <c r="H919" s="112">
        <f>IF($F919&gt;0,ROUND($F919*KarliyukKurumlarOrani,0),0)</f>
        <v/>
      </c>
      <c r="I919" s="114" t="n"/>
    </row>
    <row r="920" ht="15" customHeight="1" s="68">
      <c r="A920" s="114" t="n"/>
      <c r="B920" s="114" t="n"/>
      <c r="C920" s="114" t="n"/>
      <c r="D920" s="114" t="n"/>
      <c r="E920" s="112">
        <f>ROUND($B920*KarliyukKdvOrani,0)</f>
        <v/>
      </c>
      <c r="F920" s="112">
        <f>$B920-$C920</f>
        <v/>
      </c>
      <c r="G920" s="113">
        <f>IF($B920=0,0,$H920/$B920)</f>
        <v/>
      </c>
      <c r="H920" s="112">
        <f>IF($F920&gt;0,ROUND($F920*KarliyukKurumlarOrani,0),0)</f>
        <v/>
      </c>
      <c r="I920" s="114" t="n"/>
    </row>
    <row r="921" ht="15" customHeight="1" s="68">
      <c r="A921" s="114" t="n"/>
      <c r="B921" s="114" t="n"/>
      <c r="C921" s="114" t="n"/>
      <c r="D921" s="114" t="n"/>
      <c r="E921" s="112">
        <f>ROUND($B921*KarliyukKdvOrani,0)</f>
        <v/>
      </c>
      <c r="F921" s="112">
        <f>$B921-$C921</f>
        <v/>
      </c>
      <c r="G921" s="113">
        <f>IF($B921=0,0,$H921/$B921)</f>
        <v/>
      </c>
      <c r="H921" s="112">
        <f>IF($F921&gt;0,ROUND($F921*KarliyukKurumlarOrani,0),0)</f>
        <v/>
      </c>
      <c r="I921" s="114" t="n"/>
    </row>
    <row r="922" ht="15" customHeight="1" s="68">
      <c r="A922" s="114" t="n"/>
      <c r="B922" s="114" t="n"/>
      <c r="C922" s="114" t="n"/>
      <c r="D922" s="114" t="n"/>
      <c r="E922" s="112">
        <f>ROUND($B922*KarliyukKdvOrani,0)</f>
        <v/>
      </c>
      <c r="F922" s="112">
        <f>$B922-$C922</f>
        <v/>
      </c>
      <c r="G922" s="113">
        <f>IF($B922=0,0,$H922/$B922)</f>
        <v/>
      </c>
      <c r="H922" s="112">
        <f>IF($F922&gt;0,ROUND($F922*KarliyukKurumlarOrani,0),0)</f>
        <v/>
      </c>
      <c r="I922" s="114" t="n"/>
    </row>
    <row r="923" ht="15" customHeight="1" s="68">
      <c r="A923" s="114" t="n"/>
      <c r="B923" s="114" t="n"/>
      <c r="C923" s="114" t="n"/>
      <c r="D923" s="114" t="n"/>
      <c r="E923" s="112">
        <f>ROUND($B923*KarliyukKdvOrani,0)</f>
        <v/>
      </c>
      <c r="F923" s="112">
        <f>$B923-$C923</f>
        <v/>
      </c>
      <c r="G923" s="113">
        <f>IF($B923=0,0,$H923/$B923)</f>
        <v/>
      </c>
      <c r="H923" s="112">
        <f>IF($F923&gt;0,ROUND($F923*KarliyukKurumlarOrani,0),0)</f>
        <v/>
      </c>
      <c r="I923" s="114" t="n"/>
    </row>
    <row r="924" ht="15" customHeight="1" s="68">
      <c r="A924" s="114" t="n"/>
      <c r="B924" s="114" t="n"/>
      <c r="C924" s="114" t="n"/>
      <c r="D924" s="114" t="n"/>
      <c r="E924" s="112">
        <f>ROUND($B924*KarliyukKdvOrani,0)</f>
        <v/>
      </c>
      <c r="F924" s="112">
        <f>$B924-$C924</f>
        <v/>
      </c>
      <c r="G924" s="113">
        <f>IF($B924=0,0,$H924/$B924)</f>
        <v/>
      </c>
      <c r="H924" s="112">
        <f>IF($F924&gt;0,ROUND($F924*KarliyukKurumlarOrani,0),0)</f>
        <v/>
      </c>
      <c r="I924" s="114" t="n"/>
    </row>
    <row r="925" ht="15" customHeight="1" s="68">
      <c r="A925" s="114" t="n"/>
      <c r="B925" s="114" t="n"/>
      <c r="C925" s="114" t="n"/>
      <c r="D925" s="114" t="n"/>
      <c r="E925" s="112">
        <f>ROUND($B925*KarliyukKdvOrani,0)</f>
        <v/>
      </c>
      <c r="F925" s="112">
        <f>$B925-$C925</f>
        <v/>
      </c>
      <c r="G925" s="113">
        <f>IF($B925=0,0,$H925/$B925)</f>
        <v/>
      </c>
      <c r="H925" s="112">
        <f>IF($F925&gt;0,ROUND($F925*KarliyukKurumlarOrani,0),0)</f>
        <v/>
      </c>
      <c r="I925" s="114" t="n"/>
    </row>
    <row r="926" ht="15" customHeight="1" s="68">
      <c r="A926" s="114" t="n"/>
      <c r="B926" s="114" t="n"/>
      <c r="C926" s="114" t="n"/>
      <c r="D926" s="114" t="n"/>
      <c r="E926" s="112">
        <f>ROUND($B926*KarliyukKdvOrani,0)</f>
        <v/>
      </c>
      <c r="F926" s="112">
        <f>$B926-$C926</f>
        <v/>
      </c>
      <c r="G926" s="113">
        <f>IF($B926=0,0,$H926/$B926)</f>
        <v/>
      </c>
      <c r="H926" s="112">
        <f>IF($F926&gt;0,ROUND($F926*KarliyukKurumlarOrani,0),0)</f>
        <v/>
      </c>
      <c r="I926" s="114" t="n"/>
    </row>
    <row r="927" ht="15" customHeight="1" s="68">
      <c r="A927" s="114" t="n"/>
      <c r="B927" s="114" t="n"/>
      <c r="C927" s="114" t="n"/>
      <c r="D927" s="114" t="n"/>
      <c r="E927" s="112">
        <f>ROUND($B927*KarliyukKdvOrani,0)</f>
        <v/>
      </c>
      <c r="F927" s="112">
        <f>$B927-$C927</f>
        <v/>
      </c>
      <c r="G927" s="113">
        <f>IF($B927=0,0,$H927/$B927)</f>
        <v/>
      </c>
      <c r="H927" s="112">
        <f>IF($F927&gt;0,ROUND($F927*KarliyukKurumlarOrani,0),0)</f>
        <v/>
      </c>
      <c r="I927" s="114" t="n"/>
    </row>
    <row r="928" ht="15" customHeight="1" s="68">
      <c r="A928" s="114" t="n"/>
      <c r="B928" s="114" t="n"/>
      <c r="C928" s="114" t="n"/>
      <c r="D928" s="114" t="n"/>
      <c r="E928" s="112">
        <f>ROUND($B928*KarliyukKdvOrani,0)</f>
        <v/>
      </c>
      <c r="F928" s="112">
        <f>$B928-$C928</f>
        <v/>
      </c>
      <c r="G928" s="113">
        <f>IF($B928=0,0,$H928/$B928)</f>
        <v/>
      </c>
      <c r="H928" s="112">
        <f>IF($F928&gt;0,ROUND($F928*KarliyukKurumlarOrani,0),0)</f>
        <v/>
      </c>
      <c r="I928" s="114" t="n"/>
    </row>
    <row r="929" ht="15" customHeight="1" s="68">
      <c r="A929" s="114" t="n"/>
      <c r="B929" s="114" t="n"/>
      <c r="C929" s="114" t="n"/>
      <c r="D929" s="114" t="n"/>
      <c r="E929" s="112">
        <f>ROUND($B929*KarliyukKdvOrani,0)</f>
        <v/>
      </c>
      <c r="F929" s="112">
        <f>$B929-$C929</f>
        <v/>
      </c>
      <c r="G929" s="113">
        <f>IF($B929=0,0,$H929/$B929)</f>
        <v/>
      </c>
      <c r="H929" s="112">
        <f>IF($F929&gt;0,ROUND($F929*KarliyukKurumlarOrani,0),0)</f>
        <v/>
      </c>
      <c r="I929" s="114" t="n"/>
    </row>
    <row r="930" ht="15" customHeight="1" s="68">
      <c r="A930" s="114" t="n"/>
      <c r="B930" s="114" t="n"/>
      <c r="C930" s="114" t="n"/>
      <c r="D930" s="114" t="n"/>
      <c r="E930" s="112">
        <f>ROUND($B930*KarliyukKdvOrani,0)</f>
        <v/>
      </c>
      <c r="F930" s="112">
        <f>$B930-$C930</f>
        <v/>
      </c>
      <c r="G930" s="113">
        <f>IF($B930=0,0,$H930/$B930)</f>
        <v/>
      </c>
      <c r="H930" s="112">
        <f>IF($F930&gt;0,ROUND($F930*KarliyukKurumlarOrani,0),0)</f>
        <v/>
      </c>
      <c r="I930" s="114" t="n"/>
    </row>
    <row r="931" ht="15" customHeight="1" s="68">
      <c r="A931" s="114" t="n"/>
      <c r="B931" s="114" t="n"/>
      <c r="C931" s="114" t="n"/>
      <c r="D931" s="114" t="n"/>
      <c r="E931" s="112">
        <f>ROUND($B931*KarliyukKdvOrani,0)</f>
        <v/>
      </c>
      <c r="F931" s="112">
        <f>$B931-$C931</f>
        <v/>
      </c>
      <c r="G931" s="113">
        <f>IF($B931=0,0,$H931/$B931)</f>
        <v/>
      </c>
      <c r="H931" s="112">
        <f>IF($F931&gt;0,ROUND($F931*KarliyukKurumlarOrani,0),0)</f>
        <v/>
      </c>
      <c r="I931" s="114" t="n"/>
    </row>
    <row r="932" ht="15" customHeight="1" s="68">
      <c r="A932" s="114" t="n"/>
      <c r="B932" s="114" t="n"/>
      <c r="C932" s="114" t="n"/>
      <c r="D932" s="114" t="n"/>
      <c r="E932" s="112">
        <f>ROUND($B932*KarliyukKdvOrani,0)</f>
        <v/>
      </c>
      <c r="F932" s="112">
        <f>$B932-$C932</f>
        <v/>
      </c>
      <c r="G932" s="113">
        <f>IF($B932=0,0,$H932/$B932)</f>
        <v/>
      </c>
      <c r="H932" s="112">
        <f>IF($F932&gt;0,ROUND($F932*KarliyukKurumlarOrani,0),0)</f>
        <v/>
      </c>
      <c r="I932" s="114" t="n"/>
    </row>
    <row r="933" ht="15" customHeight="1" s="68">
      <c r="A933" s="114" t="n"/>
      <c r="B933" s="114" t="n"/>
      <c r="C933" s="114" t="n"/>
      <c r="D933" s="114" t="n"/>
      <c r="E933" s="112">
        <f>ROUND($B933*KarliyukKdvOrani,0)</f>
        <v/>
      </c>
      <c r="F933" s="112">
        <f>$B933-$C933</f>
        <v/>
      </c>
      <c r="G933" s="113">
        <f>IF($B933=0,0,$H933/$B933)</f>
        <v/>
      </c>
      <c r="H933" s="112">
        <f>IF($F933&gt;0,ROUND($F933*KarliyukKurumlarOrani,0),0)</f>
        <v/>
      </c>
      <c r="I933" s="114" t="n"/>
    </row>
    <row r="934" ht="15" customHeight="1" s="68">
      <c r="A934" s="114" t="n"/>
      <c r="B934" s="114" t="n"/>
      <c r="C934" s="114" t="n"/>
      <c r="D934" s="114" t="n"/>
      <c r="E934" s="112">
        <f>ROUND($B934*KarliyukKdvOrani,0)</f>
        <v/>
      </c>
      <c r="F934" s="112">
        <f>$B934-$C934</f>
        <v/>
      </c>
      <c r="G934" s="113">
        <f>IF($B934=0,0,$H934/$B934)</f>
        <v/>
      </c>
      <c r="H934" s="112">
        <f>IF($F934&gt;0,ROUND($F934*KarliyukKurumlarOrani,0),0)</f>
        <v/>
      </c>
      <c r="I934" s="114" t="n"/>
    </row>
    <row r="935" ht="15" customHeight="1" s="68">
      <c r="A935" s="114" t="n"/>
      <c r="B935" s="114" t="n"/>
      <c r="C935" s="114" t="n"/>
      <c r="D935" s="114" t="n"/>
      <c r="E935" s="112">
        <f>ROUND($B935*KarliyukKdvOrani,0)</f>
        <v/>
      </c>
      <c r="F935" s="112">
        <f>$B935-$C935</f>
        <v/>
      </c>
      <c r="G935" s="113">
        <f>IF($B935=0,0,$H935/$B935)</f>
        <v/>
      </c>
      <c r="H935" s="112">
        <f>IF($F935&gt;0,ROUND($F935*KarliyukKurumlarOrani,0),0)</f>
        <v/>
      </c>
      <c r="I935" s="114" t="n"/>
    </row>
    <row r="936" ht="15" customHeight="1" s="68">
      <c r="A936" s="114" t="n"/>
      <c r="B936" s="114" t="n"/>
      <c r="C936" s="114" t="n"/>
      <c r="D936" s="114" t="n"/>
      <c r="E936" s="112">
        <f>ROUND($B936*KarliyukKdvOrani,0)</f>
        <v/>
      </c>
      <c r="F936" s="112">
        <f>$B936-$C936</f>
        <v/>
      </c>
      <c r="G936" s="113">
        <f>IF($B936=0,0,$H936/$B936)</f>
        <v/>
      </c>
      <c r="H936" s="112">
        <f>IF($F936&gt;0,ROUND($F936*KarliyukKurumlarOrani,0),0)</f>
        <v/>
      </c>
      <c r="I936" s="114" t="n"/>
    </row>
    <row r="937" ht="15" customHeight="1" s="68">
      <c r="A937" s="114" t="n"/>
      <c r="B937" s="114" t="n"/>
      <c r="C937" s="114" t="n"/>
      <c r="D937" s="114" t="n"/>
      <c r="E937" s="112">
        <f>ROUND($B937*KarliyukKdvOrani,0)</f>
        <v/>
      </c>
      <c r="F937" s="112">
        <f>$B937-$C937</f>
        <v/>
      </c>
      <c r="G937" s="113">
        <f>IF($B937=0,0,$H937/$B937)</f>
        <v/>
      </c>
      <c r="H937" s="112">
        <f>IF($F937&gt;0,ROUND($F937*KarliyukKurumlarOrani,0),0)</f>
        <v/>
      </c>
      <c r="I937" s="114" t="n"/>
    </row>
    <row r="938" ht="15" customHeight="1" s="68">
      <c r="A938" s="114" t="n"/>
      <c r="B938" s="114" t="n"/>
      <c r="C938" s="114" t="n"/>
      <c r="D938" s="114" t="n"/>
      <c r="E938" s="112">
        <f>ROUND($B938*KarliyukKdvOrani,0)</f>
        <v/>
      </c>
      <c r="F938" s="112">
        <f>$B938-$C938</f>
        <v/>
      </c>
      <c r="G938" s="113">
        <f>IF($B938=0,0,$H938/$B938)</f>
        <v/>
      </c>
      <c r="H938" s="112">
        <f>IF($F938&gt;0,ROUND($F938*KarliyukKurumlarOrani,0),0)</f>
        <v/>
      </c>
      <c r="I938" s="114" t="n"/>
    </row>
    <row r="939" ht="15" customHeight="1" s="68">
      <c r="A939" s="114" t="n"/>
      <c r="B939" s="114" t="n"/>
      <c r="C939" s="114" t="n"/>
      <c r="D939" s="114" t="n"/>
      <c r="E939" s="112">
        <f>ROUND($B939*KarliyukKdvOrani,0)</f>
        <v/>
      </c>
      <c r="F939" s="112">
        <f>$B939-$C939</f>
        <v/>
      </c>
      <c r="G939" s="113">
        <f>IF($B939=0,0,$H939/$B939)</f>
        <v/>
      </c>
      <c r="H939" s="112">
        <f>IF($F939&gt;0,ROUND($F939*KarliyukKurumlarOrani,0),0)</f>
        <v/>
      </c>
      <c r="I939" s="114" t="n"/>
    </row>
    <row r="940" ht="15" customHeight="1" s="68">
      <c r="A940" s="114" t="n"/>
      <c r="B940" s="114" t="n"/>
      <c r="C940" s="114" t="n"/>
      <c r="D940" s="114" t="n"/>
      <c r="E940" s="112">
        <f>ROUND($B940*KarliyukKdvOrani,0)</f>
        <v/>
      </c>
      <c r="F940" s="112">
        <f>$B940-$C940</f>
        <v/>
      </c>
      <c r="G940" s="113">
        <f>IF($B940=0,0,$H940/$B940)</f>
        <v/>
      </c>
      <c r="H940" s="112">
        <f>IF($F940&gt;0,ROUND($F940*KarliyukKurumlarOrani,0),0)</f>
        <v/>
      </c>
      <c r="I940" s="114" t="n"/>
    </row>
    <row r="941" ht="15" customHeight="1" s="68">
      <c r="A941" s="114" t="n"/>
      <c r="B941" s="114" t="n"/>
      <c r="C941" s="114" t="n"/>
      <c r="D941" s="114" t="n"/>
      <c r="E941" s="112">
        <f>ROUND($B941*KarliyukKdvOrani,0)</f>
        <v/>
      </c>
      <c r="F941" s="112">
        <f>$B941-$C941</f>
        <v/>
      </c>
      <c r="G941" s="113">
        <f>IF($B941=0,0,$H941/$B941)</f>
        <v/>
      </c>
      <c r="H941" s="112">
        <f>IF($F941&gt;0,ROUND($F941*KarliyukKurumlarOrani,0),0)</f>
        <v/>
      </c>
      <c r="I941" s="114" t="n"/>
    </row>
    <row r="942" ht="15" customHeight="1" s="68">
      <c r="A942" s="114" t="n"/>
      <c r="B942" s="114" t="n"/>
      <c r="C942" s="114" t="n"/>
      <c r="D942" s="114" t="n"/>
      <c r="E942" s="112">
        <f>ROUND($B942*KarliyukKdvOrani,0)</f>
        <v/>
      </c>
      <c r="F942" s="112">
        <f>$B942-$C942</f>
        <v/>
      </c>
      <c r="G942" s="113">
        <f>IF($B942=0,0,$H942/$B942)</f>
        <v/>
      </c>
      <c r="H942" s="112">
        <f>IF($F942&gt;0,ROUND($F942*KarliyukKurumlarOrani,0),0)</f>
        <v/>
      </c>
      <c r="I942" s="114" t="n"/>
    </row>
    <row r="943" ht="15" customHeight="1" s="68">
      <c r="A943" s="114" t="n"/>
      <c r="B943" s="114" t="n"/>
      <c r="C943" s="114" t="n"/>
      <c r="D943" s="114" t="n"/>
      <c r="E943" s="112">
        <f>ROUND($B943*KarliyukKdvOrani,0)</f>
        <v/>
      </c>
      <c r="F943" s="112">
        <f>$B943-$C943</f>
        <v/>
      </c>
      <c r="G943" s="113">
        <f>IF($B943=0,0,$H943/$B943)</f>
        <v/>
      </c>
      <c r="H943" s="112">
        <f>IF($F943&gt;0,ROUND($F943*KarliyukKurumlarOrani,0),0)</f>
        <v/>
      </c>
      <c r="I943" s="114" t="n"/>
    </row>
    <row r="944" ht="15" customHeight="1" s="68">
      <c r="A944" s="114" t="n"/>
      <c r="B944" s="114" t="n"/>
      <c r="C944" s="114" t="n"/>
      <c r="D944" s="114" t="n"/>
      <c r="E944" s="112">
        <f>ROUND($B944*KarliyukKdvOrani,0)</f>
        <v/>
      </c>
      <c r="F944" s="112">
        <f>$B944-$C944</f>
        <v/>
      </c>
      <c r="G944" s="113">
        <f>IF($B944=0,0,$H944/$B944)</f>
        <v/>
      </c>
      <c r="H944" s="112">
        <f>IF($F944&gt;0,ROUND($F944*KarliyukKurumlarOrani,0),0)</f>
        <v/>
      </c>
      <c r="I944" s="114" t="n"/>
    </row>
    <row r="945" ht="15" customHeight="1" s="68">
      <c r="A945" s="114" t="n"/>
      <c r="B945" s="114" t="n"/>
      <c r="C945" s="114" t="n"/>
      <c r="D945" s="114" t="n"/>
      <c r="E945" s="112">
        <f>ROUND($B945*KarliyukKdvOrani,0)</f>
        <v/>
      </c>
      <c r="F945" s="112">
        <f>$B945-$C945</f>
        <v/>
      </c>
      <c r="G945" s="113">
        <f>IF($B945=0,0,$H945/$B945)</f>
        <v/>
      </c>
      <c r="H945" s="112">
        <f>IF($F945&gt;0,ROUND($F945*KarliyukKurumlarOrani,0),0)</f>
        <v/>
      </c>
      <c r="I945" s="114" t="n"/>
    </row>
    <row r="946" ht="15" customHeight="1" s="68">
      <c r="A946" s="114" t="n"/>
      <c r="B946" s="114" t="n"/>
      <c r="C946" s="114" t="n"/>
      <c r="D946" s="114" t="n"/>
      <c r="E946" s="112">
        <f>ROUND($B946*KarliyukKdvOrani,0)</f>
        <v/>
      </c>
      <c r="F946" s="112">
        <f>$B946-$C946</f>
        <v/>
      </c>
      <c r="G946" s="113">
        <f>IF($B946=0,0,$H946/$B946)</f>
        <v/>
      </c>
      <c r="H946" s="112">
        <f>IF($F946&gt;0,ROUND($F946*KarliyukKurumlarOrani,0),0)</f>
        <v/>
      </c>
      <c r="I946" s="114" t="n"/>
    </row>
    <row r="947" ht="15" customHeight="1" s="68">
      <c r="A947" s="114" t="n"/>
      <c r="B947" s="114" t="n"/>
      <c r="C947" s="114" t="n"/>
      <c r="D947" s="114" t="n"/>
      <c r="E947" s="112">
        <f>ROUND($B947*KarliyukKdvOrani,0)</f>
        <v/>
      </c>
      <c r="F947" s="112">
        <f>$B947-$C947</f>
        <v/>
      </c>
      <c r="G947" s="113">
        <f>IF($B947=0,0,$H947/$B947)</f>
        <v/>
      </c>
      <c r="H947" s="112">
        <f>IF($F947&gt;0,ROUND($F947*KarliyukKurumlarOrani,0),0)</f>
        <v/>
      </c>
      <c r="I947" s="114" t="n"/>
    </row>
    <row r="948" ht="15" customHeight="1" s="68">
      <c r="A948" s="114" t="n"/>
      <c r="B948" s="114" t="n"/>
      <c r="C948" s="114" t="n"/>
      <c r="D948" s="114" t="n"/>
      <c r="E948" s="112">
        <f>ROUND($B948*KarliyukKdvOrani,0)</f>
        <v/>
      </c>
      <c r="F948" s="112">
        <f>$B948-$C948</f>
        <v/>
      </c>
      <c r="G948" s="113">
        <f>IF($B948=0,0,$H948/$B948)</f>
        <v/>
      </c>
      <c r="H948" s="112">
        <f>IF($F948&gt;0,ROUND($F948*KarliyukKurumlarOrani,0),0)</f>
        <v/>
      </c>
      <c r="I948" s="114" t="n"/>
    </row>
    <row r="949" ht="15" customHeight="1" s="68">
      <c r="A949" s="114" t="n"/>
      <c r="B949" s="114" t="n"/>
      <c r="C949" s="114" t="n"/>
      <c r="D949" s="114" t="n"/>
      <c r="E949" s="112">
        <f>ROUND($B949*KarliyukKdvOrani,0)</f>
        <v/>
      </c>
      <c r="F949" s="112">
        <f>$B949-$C949</f>
        <v/>
      </c>
      <c r="G949" s="113">
        <f>IF($B949=0,0,$H949/$B949)</f>
        <v/>
      </c>
      <c r="H949" s="112">
        <f>IF($F949&gt;0,ROUND($F949*KarliyukKurumlarOrani,0),0)</f>
        <v/>
      </c>
      <c r="I949" s="114" t="n"/>
    </row>
    <row r="950" ht="15" customHeight="1" s="68">
      <c r="A950" s="114" t="n"/>
      <c r="B950" s="114" t="n"/>
      <c r="C950" s="114" t="n"/>
      <c r="D950" s="114" t="n"/>
      <c r="E950" s="112">
        <f>ROUND($B950*KarliyukKdvOrani,0)</f>
        <v/>
      </c>
      <c r="F950" s="112">
        <f>$B950-$C950</f>
        <v/>
      </c>
      <c r="G950" s="113">
        <f>IF($B950=0,0,$H950/$B950)</f>
        <v/>
      </c>
      <c r="H950" s="112">
        <f>IF($F950&gt;0,ROUND($F950*KarliyukKurumlarOrani,0),0)</f>
        <v/>
      </c>
      <c r="I950" s="114" t="n"/>
    </row>
    <row r="951" ht="15" customHeight="1" s="68">
      <c r="A951" s="114" t="n"/>
      <c r="B951" s="114" t="n"/>
      <c r="C951" s="114" t="n"/>
      <c r="D951" s="114" t="n"/>
      <c r="E951" s="112">
        <f>ROUND($B951*KarliyukKdvOrani,0)</f>
        <v/>
      </c>
      <c r="F951" s="112">
        <f>$B951-$C951</f>
        <v/>
      </c>
      <c r="G951" s="113">
        <f>IF($B951=0,0,$H951/$B951)</f>
        <v/>
      </c>
      <c r="H951" s="112">
        <f>IF($F951&gt;0,ROUND($F951*KarliyukKurumlarOrani,0),0)</f>
        <v/>
      </c>
      <c r="I951" s="114" t="n"/>
    </row>
    <row r="952" ht="15" customHeight="1" s="68">
      <c r="A952" s="114" t="n"/>
      <c r="B952" s="114" t="n"/>
      <c r="C952" s="114" t="n"/>
      <c r="D952" s="114" t="n"/>
      <c r="E952" s="112">
        <f>ROUND($B952*KarliyukKdvOrani,0)</f>
        <v/>
      </c>
      <c r="F952" s="112">
        <f>$B952-$C952</f>
        <v/>
      </c>
      <c r="G952" s="113">
        <f>IF($B952=0,0,$H952/$B952)</f>
        <v/>
      </c>
      <c r="H952" s="112">
        <f>IF($F952&gt;0,ROUND($F952*KarliyukKurumlarOrani,0),0)</f>
        <v/>
      </c>
      <c r="I952" s="114" t="n"/>
    </row>
    <row r="953" ht="15" customHeight="1" s="68">
      <c r="A953" s="114" t="n"/>
      <c r="B953" s="114" t="n"/>
      <c r="C953" s="114" t="n"/>
      <c r="D953" s="114" t="n"/>
      <c r="E953" s="112">
        <f>ROUND($B953*KarliyukKdvOrani,0)</f>
        <v/>
      </c>
      <c r="F953" s="112">
        <f>$B953-$C953</f>
        <v/>
      </c>
      <c r="G953" s="113">
        <f>IF($B953=0,0,$H953/$B953)</f>
        <v/>
      </c>
      <c r="H953" s="112">
        <f>IF($F953&gt;0,ROUND($F953*KarliyukKurumlarOrani,0),0)</f>
        <v/>
      </c>
      <c r="I953" s="114" t="n"/>
    </row>
    <row r="954" ht="15" customHeight="1" s="68">
      <c r="A954" s="114" t="n"/>
      <c r="B954" s="114" t="n"/>
      <c r="C954" s="114" t="n"/>
      <c r="D954" s="114" t="n"/>
      <c r="E954" s="112">
        <f>ROUND($B954*KarliyukKdvOrani,0)</f>
        <v/>
      </c>
      <c r="F954" s="112">
        <f>$B954-$C954</f>
        <v/>
      </c>
      <c r="G954" s="113">
        <f>IF($B954=0,0,$H954/$B954)</f>
        <v/>
      </c>
      <c r="H954" s="112">
        <f>IF($F954&gt;0,ROUND($F954*KarliyukKurumlarOrani,0),0)</f>
        <v/>
      </c>
      <c r="I954" s="114" t="n"/>
    </row>
    <row r="955" ht="15" customHeight="1" s="68">
      <c r="A955" s="114" t="n"/>
      <c r="B955" s="114" t="n"/>
      <c r="C955" s="114" t="n"/>
      <c r="D955" s="114" t="n"/>
      <c r="E955" s="112">
        <f>ROUND($B955*KarliyukKdvOrani,0)</f>
        <v/>
      </c>
      <c r="F955" s="112">
        <f>$B955-$C955</f>
        <v/>
      </c>
      <c r="G955" s="113">
        <f>IF($B955=0,0,$H955/$B955)</f>
        <v/>
      </c>
      <c r="H955" s="112">
        <f>IF($F955&gt;0,ROUND($F955*KarliyukKurumlarOrani,0),0)</f>
        <v/>
      </c>
      <c r="I955" s="114" t="n"/>
    </row>
    <row r="956" ht="15" customHeight="1" s="68">
      <c r="A956" s="114" t="n"/>
      <c r="B956" s="114" t="n"/>
      <c r="C956" s="114" t="n"/>
      <c r="D956" s="114" t="n"/>
      <c r="E956" s="112">
        <f>ROUND($B956*KarliyukKdvOrani,0)</f>
        <v/>
      </c>
      <c r="F956" s="112">
        <f>$B956-$C956</f>
        <v/>
      </c>
      <c r="G956" s="113">
        <f>IF($B956=0,0,$H956/$B956)</f>
        <v/>
      </c>
      <c r="H956" s="112">
        <f>IF($F956&gt;0,ROUND($F956*KarliyukKurumlarOrani,0),0)</f>
        <v/>
      </c>
      <c r="I956" s="114" t="n"/>
    </row>
    <row r="957" ht="15" customHeight="1" s="68">
      <c r="A957" s="114" t="n"/>
      <c r="B957" s="114" t="n"/>
      <c r="C957" s="114" t="n"/>
      <c r="D957" s="114" t="n"/>
      <c r="E957" s="112">
        <f>ROUND($B957*KarliyukKdvOrani,0)</f>
        <v/>
      </c>
      <c r="F957" s="112">
        <f>$B957-$C957</f>
        <v/>
      </c>
      <c r="G957" s="113">
        <f>IF($B957=0,0,$H957/$B957)</f>
        <v/>
      </c>
      <c r="H957" s="112">
        <f>IF($F957&gt;0,ROUND($F957*KarliyukKurumlarOrani,0),0)</f>
        <v/>
      </c>
      <c r="I957" s="114" t="n"/>
    </row>
    <row r="958" ht="15" customHeight="1" s="68">
      <c r="A958" s="114" t="n"/>
      <c r="B958" s="114" t="n"/>
      <c r="C958" s="114" t="n"/>
      <c r="D958" s="114" t="n"/>
      <c r="E958" s="112">
        <f>ROUND($B958*KarliyukKdvOrani,0)</f>
        <v/>
      </c>
      <c r="F958" s="112">
        <f>$B958-$C958</f>
        <v/>
      </c>
      <c r="G958" s="113">
        <f>IF($B958=0,0,$H958/$B958)</f>
        <v/>
      </c>
      <c r="H958" s="112">
        <f>IF($F958&gt;0,ROUND($F958*KarliyukKurumlarOrani,0),0)</f>
        <v/>
      </c>
      <c r="I958" s="114" t="n"/>
    </row>
    <row r="959" ht="15" customHeight="1" s="68">
      <c r="A959" s="114" t="n"/>
      <c r="B959" s="114" t="n"/>
      <c r="C959" s="114" t="n"/>
      <c r="D959" s="114" t="n"/>
      <c r="E959" s="112">
        <f>ROUND($B959*KarliyukKdvOrani,0)</f>
        <v/>
      </c>
      <c r="F959" s="112">
        <f>$B959-$C959</f>
        <v/>
      </c>
      <c r="G959" s="113">
        <f>IF($B959=0,0,$H959/$B959)</f>
        <v/>
      </c>
      <c r="H959" s="112">
        <f>IF($F959&gt;0,ROUND($F959*KarliyukKurumlarOrani,0),0)</f>
        <v/>
      </c>
      <c r="I959" s="114" t="n"/>
    </row>
    <row r="960" ht="15" customHeight="1" s="68">
      <c r="A960" s="114" t="n"/>
      <c r="B960" s="114" t="n"/>
      <c r="C960" s="114" t="n"/>
      <c r="D960" s="114" t="n"/>
      <c r="E960" s="112">
        <f>ROUND($B960*KarliyukKdvOrani,0)</f>
        <v/>
      </c>
      <c r="F960" s="112">
        <f>$B960-$C960</f>
        <v/>
      </c>
      <c r="G960" s="113">
        <f>IF($B960=0,0,$H960/$B960)</f>
        <v/>
      </c>
      <c r="H960" s="112">
        <f>IF($F960&gt;0,ROUND($F960*KarliyukKurumlarOrani,0),0)</f>
        <v/>
      </c>
      <c r="I960" s="114" t="n"/>
    </row>
    <row r="961" ht="15" customHeight="1" s="68">
      <c r="A961" s="114" t="n"/>
      <c r="B961" s="114" t="n"/>
      <c r="C961" s="114" t="n"/>
      <c r="D961" s="114" t="n"/>
      <c r="E961" s="112">
        <f>ROUND($B961*KarliyukKdvOrani,0)</f>
        <v/>
      </c>
      <c r="F961" s="112">
        <f>$B961-$C961</f>
        <v/>
      </c>
      <c r="G961" s="113">
        <f>IF($B961=0,0,$H961/$B961)</f>
        <v/>
      </c>
      <c r="H961" s="112">
        <f>IF($F961&gt;0,ROUND($F961*KarliyukKurumlarOrani,0),0)</f>
        <v/>
      </c>
      <c r="I961" s="114" t="n"/>
    </row>
    <row r="962" ht="15" customHeight="1" s="68">
      <c r="A962" s="114" t="n"/>
      <c r="B962" s="114" t="n"/>
      <c r="C962" s="114" t="n"/>
      <c r="D962" s="114" t="n"/>
      <c r="E962" s="112">
        <f>ROUND($B962*KarliyukKdvOrani,0)</f>
        <v/>
      </c>
      <c r="F962" s="112">
        <f>$B962-$C962</f>
        <v/>
      </c>
      <c r="G962" s="113">
        <f>IF($B962=0,0,$H962/$B962)</f>
        <v/>
      </c>
      <c r="H962" s="112">
        <f>IF($F962&gt;0,ROUND($F962*KarliyukKurumlarOrani,0),0)</f>
        <v/>
      </c>
      <c r="I962" s="114" t="n"/>
    </row>
    <row r="963" ht="15" customHeight="1" s="68">
      <c r="A963" s="114" t="n"/>
      <c r="B963" s="114" t="n"/>
      <c r="C963" s="114" t="n"/>
      <c r="D963" s="114" t="n"/>
      <c r="E963" s="112">
        <f>ROUND($B963*KarliyukKdvOrani,0)</f>
        <v/>
      </c>
      <c r="F963" s="112">
        <f>$B963-$C963</f>
        <v/>
      </c>
      <c r="G963" s="113">
        <f>IF($B963=0,0,$H963/$B963)</f>
        <v/>
      </c>
      <c r="H963" s="112">
        <f>IF($F963&gt;0,ROUND($F963*KarliyukKurumlarOrani,0),0)</f>
        <v/>
      </c>
      <c r="I963" s="114" t="n"/>
    </row>
    <row r="964" ht="15" customHeight="1" s="68">
      <c r="A964" s="114" t="n"/>
      <c r="B964" s="114" t="n"/>
      <c r="C964" s="114" t="n"/>
      <c r="D964" s="114" t="n"/>
      <c r="E964" s="112">
        <f>ROUND($B964*KarliyukKdvOrani,0)</f>
        <v/>
      </c>
      <c r="F964" s="112">
        <f>$B964-$C964</f>
        <v/>
      </c>
      <c r="G964" s="113">
        <f>IF($B964=0,0,$H964/$B964)</f>
        <v/>
      </c>
      <c r="H964" s="112">
        <f>IF($F964&gt;0,ROUND($F964*KarliyukKurumlarOrani,0),0)</f>
        <v/>
      </c>
      <c r="I964" s="114" t="n"/>
    </row>
    <row r="965" ht="15" customHeight="1" s="68">
      <c r="A965" s="114" t="n"/>
      <c r="B965" s="114" t="n"/>
      <c r="C965" s="114" t="n"/>
      <c r="D965" s="114" t="n"/>
      <c r="E965" s="112">
        <f>ROUND($B965*KarliyukKdvOrani,0)</f>
        <v/>
      </c>
      <c r="F965" s="112">
        <f>$B965-$C965</f>
        <v/>
      </c>
      <c r="G965" s="113">
        <f>IF($B965=0,0,$H965/$B965)</f>
        <v/>
      </c>
      <c r="H965" s="112">
        <f>IF($F965&gt;0,ROUND($F965*KarliyukKurumlarOrani,0),0)</f>
        <v/>
      </c>
      <c r="I965" s="114" t="n"/>
    </row>
    <row r="966" ht="15" customHeight="1" s="68">
      <c r="A966" s="114" t="n"/>
      <c r="B966" s="114" t="n"/>
      <c r="C966" s="114" t="n"/>
      <c r="D966" s="114" t="n"/>
      <c r="E966" s="112">
        <f>ROUND($B966*KarliyukKdvOrani,0)</f>
        <v/>
      </c>
      <c r="F966" s="112">
        <f>$B966-$C966</f>
        <v/>
      </c>
      <c r="G966" s="113">
        <f>IF($B966=0,0,$H966/$B966)</f>
        <v/>
      </c>
      <c r="H966" s="112">
        <f>IF($F966&gt;0,ROUND($F966*KarliyukKurumlarOrani,0),0)</f>
        <v/>
      </c>
      <c r="I966" s="114" t="n"/>
    </row>
    <row r="967" ht="15" customHeight="1" s="68">
      <c r="A967" s="114" t="n"/>
      <c r="B967" s="114" t="n"/>
      <c r="C967" s="114" t="n"/>
      <c r="D967" s="114" t="n"/>
      <c r="E967" s="112">
        <f>ROUND($B967*KarliyukKdvOrani,0)</f>
        <v/>
      </c>
      <c r="F967" s="112">
        <f>$B967-$C967</f>
        <v/>
      </c>
      <c r="G967" s="113">
        <f>IF($B967=0,0,$H967/$B967)</f>
        <v/>
      </c>
      <c r="H967" s="112">
        <f>IF($F967&gt;0,ROUND($F967*KarliyukKurumlarOrani,0),0)</f>
        <v/>
      </c>
      <c r="I967" s="114" t="n"/>
    </row>
    <row r="968" ht="15" customHeight="1" s="68">
      <c r="A968" s="114" t="n"/>
      <c r="B968" s="114" t="n"/>
      <c r="C968" s="114" t="n"/>
      <c r="D968" s="114" t="n"/>
      <c r="E968" s="112">
        <f>ROUND($B968*KarliyukKdvOrani,0)</f>
        <v/>
      </c>
      <c r="F968" s="112">
        <f>$B968-$C968</f>
        <v/>
      </c>
      <c r="G968" s="113">
        <f>IF($B968=0,0,$H968/$B968)</f>
        <v/>
      </c>
      <c r="H968" s="112">
        <f>IF($F968&gt;0,ROUND($F968*KarliyukKurumlarOrani,0),0)</f>
        <v/>
      </c>
      <c r="I968" s="114" t="n"/>
    </row>
    <row r="969" ht="15" customHeight="1" s="68">
      <c r="A969" s="114" t="n"/>
      <c r="B969" s="114" t="n"/>
      <c r="C969" s="114" t="n"/>
      <c r="D969" s="114" t="n"/>
      <c r="E969" s="112">
        <f>ROUND($B969*KarliyukKdvOrani,0)</f>
        <v/>
      </c>
      <c r="F969" s="112">
        <f>$B969-$C969</f>
        <v/>
      </c>
      <c r="G969" s="113">
        <f>IF($B969=0,0,$H969/$B969)</f>
        <v/>
      </c>
      <c r="H969" s="112">
        <f>IF($F969&gt;0,ROUND($F969*KarliyukKurumlarOrani,0),0)</f>
        <v/>
      </c>
      <c r="I969" s="114" t="n"/>
    </row>
    <row r="970" ht="15" customHeight="1" s="68">
      <c r="A970" s="114" t="n"/>
      <c r="B970" s="114" t="n"/>
      <c r="C970" s="114" t="n"/>
      <c r="D970" s="114" t="n"/>
      <c r="E970" s="112">
        <f>ROUND($B970*KarliyukKdvOrani,0)</f>
        <v/>
      </c>
      <c r="F970" s="112">
        <f>$B970-$C970</f>
        <v/>
      </c>
      <c r="G970" s="113">
        <f>IF($B970=0,0,$H970/$B970)</f>
        <v/>
      </c>
      <c r="H970" s="112">
        <f>IF($F970&gt;0,ROUND($F970*KarliyukKurumlarOrani,0),0)</f>
        <v/>
      </c>
      <c r="I970" s="114" t="n"/>
    </row>
    <row r="971" ht="15" customHeight="1" s="68">
      <c r="A971" s="114" t="n"/>
      <c r="B971" s="114" t="n"/>
      <c r="C971" s="114" t="n"/>
      <c r="D971" s="114" t="n"/>
      <c r="E971" s="112">
        <f>ROUND($B971*KarliyukKdvOrani,0)</f>
        <v/>
      </c>
      <c r="F971" s="112">
        <f>$B971-$C971</f>
        <v/>
      </c>
      <c r="G971" s="113">
        <f>IF($B971=0,0,$H971/$B971)</f>
        <v/>
      </c>
      <c r="H971" s="112">
        <f>IF($F971&gt;0,ROUND($F971*KarliyukKurumlarOrani,0),0)</f>
        <v/>
      </c>
      <c r="I971" s="114" t="n"/>
    </row>
    <row r="972" ht="15" customHeight="1" s="68">
      <c r="A972" s="114" t="n"/>
      <c r="B972" s="114" t="n"/>
      <c r="C972" s="114" t="n"/>
      <c r="D972" s="114" t="n"/>
      <c r="E972" s="112">
        <f>ROUND($B972*KarliyukKdvOrani,0)</f>
        <v/>
      </c>
      <c r="F972" s="112">
        <f>$B972-$C972</f>
        <v/>
      </c>
      <c r="G972" s="113">
        <f>IF($B972=0,0,$H972/$B972)</f>
        <v/>
      </c>
      <c r="H972" s="112">
        <f>IF($F972&gt;0,ROUND($F972*KarliyukKurumlarOrani,0),0)</f>
        <v/>
      </c>
      <c r="I972" s="114" t="n"/>
    </row>
    <row r="973" ht="15" customHeight="1" s="68">
      <c r="A973" s="114" t="n"/>
      <c r="B973" s="114" t="n"/>
      <c r="C973" s="114" t="n"/>
      <c r="D973" s="114" t="n"/>
      <c r="E973" s="112">
        <f>ROUND($B973*KarliyukKdvOrani,0)</f>
        <v/>
      </c>
      <c r="F973" s="112">
        <f>$B973-$C973</f>
        <v/>
      </c>
      <c r="G973" s="113">
        <f>IF($B973=0,0,$H973/$B973)</f>
        <v/>
      </c>
      <c r="H973" s="112">
        <f>IF($F973&gt;0,ROUND($F973*KarliyukKurumlarOrani,0),0)</f>
        <v/>
      </c>
      <c r="I973" s="114" t="n"/>
    </row>
    <row r="974" ht="15" customHeight="1" s="68">
      <c r="A974" s="114" t="n"/>
      <c r="B974" s="114" t="n"/>
      <c r="C974" s="114" t="n"/>
      <c r="D974" s="114" t="n"/>
      <c r="E974" s="112">
        <f>ROUND($B974*KarliyukKdvOrani,0)</f>
        <v/>
      </c>
      <c r="F974" s="112">
        <f>$B974-$C974</f>
        <v/>
      </c>
      <c r="G974" s="113">
        <f>IF($B974=0,0,$H974/$B974)</f>
        <v/>
      </c>
      <c r="H974" s="112">
        <f>IF($F974&gt;0,ROUND($F974*KarliyukKurumlarOrani,0),0)</f>
        <v/>
      </c>
      <c r="I974" s="114" t="n"/>
    </row>
    <row r="975" ht="15" customHeight="1" s="68">
      <c r="A975" s="114" t="n"/>
      <c r="B975" s="114" t="n"/>
      <c r="C975" s="114" t="n"/>
      <c r="D975" s="114" t="n"/>
      <c r="E975" s="112">
        <f>ROUND($B975*KarliyukKdvOrani,0)</f>
        <v/>
      </c>
      <c r="F975" s="112">
        <f>$B975-$C975</f>
        <v/>
      </c>
      <c r="G975" s="113">
        <f>IF($B975=0,0,$H975/$B975)</f>
        <v/>
      </c>
      <c r="H975" s="112">
        <f>IF($F975&gt;0,ROUND($F975*KarliyukKurumlarOrani,0),0)</f>
        <v/>
      </c>
      <c r="I975" s="114" t="n"/>
    </row>
    <row r="976" ht="15" customHeight="1" s="68">
      <c r="A976" s="114" t="n"/>
      <c r="B976" s="114" t="n"/>
      <c r="C976" s="114" t="n"/>
      <c r="D976" s="114" t="n"/>
      <c r="E976" s="112">
        <f>ROUND($B976*KarliyukKdvOrani,0)</f>
        <v/>
      </c>
      <c r="F976" s="112">
        <f>$B976-$C976</f>
        <v/>
      </c>
      <c r="G976" s="113">
        <f>IF($B976=0,0,$H976/$B976)</f>
        <v/>
      </c>
      <c r="H976" s="112">
        <f>IF($F976&gt;0,ROUND($F976*KarliyukKurumlarOrani,0),0)</f>
        <v/>
      </c>
      <c r="I976" s="114" t="n"/>
    </row>
    <row r="977" ht="15" customHeight="1" s="68">
      <c r="A977" s="114" t="n"/>
      <c r="B977" s="114" t="n"/>
      <c r="C977" s="114" t="n"/>
      <c r="D977" s="114" t="n"/>
      <c r="E977" s="112">
        <f>ROUND($B977*KarliyukKdvOrani,0)</f>
        <v/>
      </c>
      <c r="F977" s="112">
        <f>$B977-$C977</f>
        <v/>
      </c>
      <c r="G977" s="113">
        <f>IF($B977=0,0,$H977/$B977)</f>
        <v/>
      </c>
      <c r="H977" s="112">
        <f>IF($F977&gt;0,ROUND($F977*KarliyukKurumlarOrani,0),0)</f>
        <v/>
      </c>
      <c r="I977" s="114" t="n"/>
    </row>
    <row r="978" ht="15" customHeight="1" s="68">
      <c r="A978" s="114" t="n"/>
      <c r="B978" s="114" t="n"/>
      <c r="C978" s="114" t="n"/>
      <c r="D978" s="114" t="n"/>
      <c r="E978" s="112">
        <f>ROUND($B978*KarliyukKdvOrani,0)</f>
        <v/>
      </c>
      <c r="F978" s="112">
        <f>$B978-$C978</f>
        <v/>
      </c>
      <c r="G978" s="113">
        <f>IF($B978=0,0,$H978/$B978)</f>
        <v/>
      </c>
      <c r="H978" s="112">
        <f>IF($F978&gt;0,ROUND($F978*KarliyukKurumlarOrani,0),0)</f>
        <v/>
      </c>
      <c r="I978" s="114" t="n"/>
    </row>
    <row r="979" ht="15" customHeight="1" s="68">
      <c r="A979" s="114" t="n"/>
      <c r="B979" s="114" t="n"/>
      <c r="C979" s="114" t="n"/>
      <c r="D979" s="114" t="n"/>
      <c r="E979" s="112">
        <f>ROUND($B979*KarliyukKdvOrani,0)</f>
        <v/>
      </c>
      <c r="F979" s="112">
        <f>$B979-$C979</f>
        <v/>
      </c>
      <c r="G979" s="113">
        <f>IF($B979=0,0,$H979/$B979)</f>
        <v/>
      </c>
      <c r="H979" s="112">
        <f>IF($F979&gt;0,ROUND($F979*KarliyukKurumlarOrani,0),0)</f>
        <v/>
      </c>
      <c r="I979" s="114" t="n"/>
    </row>
    <row r="980" ht="15" customHeight="1" s="68">
      <c r="A980" s="114" t="n"/>
      <c r="B980" s="114" t="n"/>
      <c r="C980" s="114" t="n"/>
      <c r="D980" s="114" t="n"/>
      <c r="E980" s="112">
        <f>ROUND($B980*KarliyukKdvOrani,0)</f>
        <v/>
      </c>
      <c r="F980" s="112">
        <f>$B980-$C980</f>
        <v/>
      </c>
      <c r="G980" s="113">
        <f>IF($B980=0,0,$H980/$B980)</f>
        <v/>
      </c>
      <c r="H980" s="112">
        <f>IF($F980&gt;0,ROUND($F980*KarliyukKurumlarOrani,0),0)</f>
        <v/>
      </c>
      <c r="I980" s="114" t="n"/>
    </row>
    <row r="981" ht="15" customHeight="1" s="68">
      <c r="A981" s="114" t="n"/>
      <c r="B981" s="114" t="n"/>
      <c r="C981" s="114" t="n"/>
      <c r="D981" s="114" t="n"/>
      <c r="E981" s="112">
        <f>ROUND($B981*KarliyukKdvOrani,0)</f>
        <v/>
      </c>
      <c r="F981" s="112">
        <f>$B981-$C981</f>
        <v/>
      </c>
      <c r="G981" s="113">
        <f>IF($B981=0,0,$H981/$B981)</f>
        <v/>
      </c>
      <c r="H981" s="112">
        <f>IF($F981&gt;0,ROUND($F981*KarliyukKurumlarOrani,0),0)</f>
        <v/>
      </c>
      <c r="I981" s="114" t="n"/>
    </row>
    <row r="982" ht="15" customHeight="1" s="68">
      <c r="A982" s="114" t="n"/>
      <c r="B982" s="114" t="n"/>
      <c r="C982" s="114" t="n"/>
      <c r="D982" s="114" t="n"/>
      <c r="E982" s="112">
        <f>ROUND($B982*KarliyukKdvOrani,0)</f>
        <v/>
      </c>
      <c r="F982" s="112">
        <f>$B982-$C982</f>
        <v/>
      </c>
      <c r="G982" s="113">
        <f>IF($B982=0,0,$H982/$B982)</f>
        <v/>
      </c>
      <c r="H982" s="112">
        <f>IF($F982&gt;0,ROUND($F982*KarliyukKurumlarOrani,0),0)</f>
        <v/>
      </c>
      <c r="I982" s="114" t="n"/>
    </row>
    <row r="983" ht="15" customHeight="1" s="68">
      <c r="A983" s="114" t="n"/>
      <c r="B983" s="114" t="n"/>
      <c r="C983" s="114" t="n"/>
      <c r="D983" s="114" t="n"/>
      <c r="E983" s="112">
        <f>ROUND($B983*KarliyukKdvOrani,0)</f>
        <v/>
      </c>
      <c r="F983" s="112">
        <f>$B983-$C983</f>
        <v/>
      </c>
      <c r="G983" s="113">
        <f>IF($B983=0,0,$H983/$B983)</f>
        <v/>
      </c>
      <c r="H983" s="112">
        <f>IF($F983&gt;0,ROUND($F983*KarliyukKurumlarOrani,0),0)</f>
        <v/>
      </c>
      <c r="I983" s="114" t="n"/>
    </row>
    <row r="984" ht="15" customHeight="1" s="68">
      <c r="A984" s="114" t="n"/>
      <c r="B984" s="114" t="n"/>
      <c r="C984" s="114" t="n"/>
      <c r="D984" s="114" t="n"/>
      <c r="E984" s="112">
        <f>ROUND($B984*KarliyukKdvOrani,0)</f>
        <v/>
      </c>
      <c r="F984" s="112">
        <f>$B984-$C984</f>
        <v/>
      </c>
      <c r="G984" s="113">
        <f>IF($B984=0,0,$H984/$B984)</f>
        <v/>
      </c>
      <c r="H984" s="112">
        <f>IF($F984&gt;0,ROUND($F984*KarliyukKurumlarOrani,0),0)</f>
        <v/>
      </c>
      <c r="I984" s="114" t="n"/>
    </row>
    <row r="985" ht="15" customHeight="1" s="68">
      <c r="A985" s="114" t="n"/>
      <c r="B985" s="114" t="n"/>
      <c r="C985" s="114" t="n"/>
      <c r="D985" s="114" t="n"/>
      <c r="E985" s="112">
        <f>ROUND($B985*KarliyukKdvOrani,0)</f>
        <v/>
      </c>
      <c r="F985" s="112">
        <f>$B985-$C985</f>
        <v/>
      </c>
      <c r="G985" s="113">
        <f>IF($B985=0,0,$H985/$B985)</f>
        <v/>
      </c>
      <c r="H985" s="112">
        <f>IF($F985&gt;0,ROUND($F985*KarliyukKurumlarOrani,0),0)</f>
        <v/>
      </c>
      <c r="I985" s="114" t="n"/>
    </row>
    <row r="986" ht="15" customHeight="1" s="68">
      <c r="A986" s="114" t="n"/>
      <c r="B986" s="114" t="n"/>
      <c r="C986" s="114" t="n"/>
      <c r="D986" s="114" t="n"/>
      <c r="E986" s="112">
        <f>ROUND($B986*KarliyukKdvOrani,0)</f>
        <v/>
      </c>
      <c r="F986" s="112">
        <f>$B986-$C986</f>
        <v/>
      </c>
      <c r="G986" s="113">
        <f>IF($B986=0,0,$H986/$B986)</f>
        <v/>
      </c>
      <c r="H986" s="112">
        <f>IF($F986&gt;0,ROUND($F986*KarliyukKurumlarOrani,0),0)</f>
        <v/>
      </c>
      <c r="I986" s="114" t="n"/>
    </row>
    <row r="987" ht="15" customHeight="1" s="68">
      <c r="A987" s="114" t="n"/>
      <c r="B987" s="114" t="n"/>
      <c r="C987" s="114" t="n"/>
      <c r="D987" s="114" t="n"/>
      <c r="E987" s="112">
        <f>ROUND($B987*KarliyukKdvOrani,0)</f>
        <v/>
      </c>
      <c r="F987" s="112">
        <f>$B987-$C987</f>
        <v/>
      </c>
      <c r="G987" s="113">
        <f>IF($B987=0,0,$H987/$B987)</f>
        <v/>
      </c>
      <c r="H987" s="112">
        <f>IF($F987&gt;0,ROUND($F987*KarliyukKurumlarOrani,0),0)</f>
        <v/>
      </c>
      <c r="I987" s="114" t="n"/>
    </row>
    <row r="988" ht="15" customHeight="1" s="68">
      <c r="A988" s="114" t="n"/>
      <c r="B988" s="114" t="n"/>
      <c r="C988" s="114" t="n"/>
      <c r="D988" s="114" t="n"/>
      <c r="E988" s="112">
        <f>ROUND($B988*KarliyukKdvOrani,0)</f>
        <v/>
      </c>
      <c r="F988" s="112">
        <f>$B988-$C988</f>
        <v/>
      </c>
      <c r="G988" s="113">
        <f>IF($B988=0,0,$H988/$B988)</f>
        <v/>
      </c>
      <c r="H988" s="112">
        <f>IF($F988&gt;0,ROUND($F988*KarliyukKurumlarOrani,0),0)</f>
        <v/>
      </c>
      <c r="I988" s="114" t="n"/>
    </row>
    <row r="989" ht="15" customHeight="1" s="68">
      <c r="A989" s="114" t="n"/>
      <c r="B989" s="114" t="n"/>
      <c r="C989" s="114" t="n"/>
      <c r="D989" s="114" t="n"/>
      <c r="E989" s="112">
        <f>ROUND($B989*KarliyukKdvOrani,0)</f>
        <v/>
      </c>
      <c r="F989" s="112">
        <f>$B989-$C989</f>
        <v/>
      </c>
      <c r="G989" s="113">
        <f>IF($B989=0,0,$H989/$B989)</f>
        <v/>
      </c>
      <c r="H989" s="112">
        <f>IF($F989&gt;0,ROUND($F989*KarliyukKurumlarOrani,0),0)</f>
        <v/>
      </c>
      <c r="I989" s="114" t="n"/>
    </row>
    <row r="990" ht="15" customHeight="1" s="68">
      <c r="A990" s="114" t="n"/>
      <c r="B990" s="114" t="n"/>
      <c r="C990" s="114" t="n"/>
      <c r="D990" s="114" t="n"/>
      <c r="E990" s="112">
        <f>ROUND($B990*KarliyukKdvOrani,0)</f>
        <v/>
      </c>
      <c r="F990" s="112">
        <f>$B990-$C990</f>
        <v/>
      </c>
      <c r="G990" s="113">
        <f>IF($B990=0,0,$H990/$B990)</f>
        <v/>
      </c>
      <c r="H990" s="112">
        <f>IF($F990&gt;0,ROUND($F990*KarliyukKurumlarOrani,0),0)</f>
        <v/>
      </c>
      <c r="I990" s="114" t="n"/>
    </row>
    <row r="991" ht="15" customHeight="1" s="68">
      <c r="A991" s="114" t="n"/>
      <c r="B991" s="114" t="n"/>
      <c r="C991" s="114" t="n"/>
      <c r="D991" s="114" t="n"/>
      <c r="E991" s="112">
        <f>ROUND($B991*KarliyukKdvOrani,0)</f>
        <v/>
      </c>
      <c r="F991" s="112">
        <f>$B991-$C991</f>
        <v/>
      </c>
      <c r="G991" s="113">
        <f>IF($B991=0,0,$H991/$B991)</f>
        <v/>
      </c>
      <c r="H991" s="112">
        <f>IF($F991&gt;0,ROUND($F991*KarliyukKurumlarOrani,0),0)</f>
        <v/>
      </c>
      <c r="I991" s="114" t="n"/>
    </row>
    <row r="992" ht="15" customHeight="1" s="68">
      <c r="A992" s="114" t="n"/>
      <c r="B992" s="114" t="n"/>
      <c r="C992" s="114" t="n"/>
      <c r="D992" s="114" t="n"/>
      <c r="E992" s="112">
        <f>ROUND($B992*KarliyukKdvOrani,0)</f>
        <v/>
      </c>
      <c r="F992" s="112">
        <f>$B992-$C992</f>
        <v/>
      </c>
      <c r="G992" s="113">
        <f>IF($B992=0,0,$H992/$B992)</f>
        <v/>
      </c>
      <c r="H992" s="112">
        <f>IF($F992&gt;0,ROUND($F992*KarliyukKurumlarOrani,0),0)</f>
        <v/>
      </c>
      <c r="I992" s="114" t="n"/>
    </row>
    <row r="993" ht="15" customHeight="1" s="68">
      <c r="A993" s="114" t="n"/>
      <c r="B993" s="114" t="n"/>
      <c r="C993" s="114" t="n"/>
      <c r="D993" s="114" t="n"/>
      <c r="E993" s="112">
        <f>ROUND($B993*KarliyukKdvOrani,0)</f>
        <v/>
      </c>
      <c r="F993" s="112">
        <f>$B993-$C993</f>
        <v/>
      </c>
      <c r="G993" s="113">
        <f>IF($B993=0,0,$H993/$B993)</f>
        <v/>
      </c>
      <c r="H993" s="112">
        <f>IF($F993&gt;0,ROUND($F993*KarliyukKurumlarOrani,0),0)</f>
        <v/>
      </c>
      <c r="I993" s="114" t="n"/>
    </row>
    <row r="994" ht="15" customHeight="1" s="68">
      <c r="A994" s="114" t="n"/>
      <c r="B994" s="114" t="n"/>
      <c r="C994" s="114" t="n"/>
      <c r="D994" s="114" t="n"/>
      <c r="E994" s="112">
        <f>ROUND($B994*KarliyukKdvOrani,0)</f>
        <v/>
      </c>
      <c r="F994" s="112">
        <f>$B994-$C994</f>
        <v/>
      </c>
      <c r="G994" s="113">
        <f>IF($B994=0,0,$H994/$B994)</f>
        <v/>
      </c>
      <c r="H994" s="112">
        <f>IF($F994&gt;0,ROUND($F994*KarliyukKurumlarOrani,0),0)</f>
        <v/>
      </c>
      <c r="I994" s="114" t="n"/>
    </row>
    <row r="995" ht="15" customHeight="1" s="68">
      <c r="A995" s="114" t="n"/>
      <c r="B995" s="114" t="n"/>
      <c r="C995" s="114" t="n"/>
      <c r="D995" s="114" t="n"/>
      <c r="E995" s="112">
        <f>ROUND($B995*KarliyukKdvOrani,0)</f>
        <v/>
      </c>
      <c r="F995" s="112">
        <f>$B995-$C995</f>
        <v/>
      </c>
      <c r="G995" s="113">
        <f>IF($B995=0,0,$H995/$B995)</f>
        <v/>
      </c>
      <c r="H995" s="112">
        <f>IF($F995&gt;0,ROUND($F995*KarliyukKurumlarOrani,0),0)</f>
        <v/>
      </c>
      <c r="I995" s="114" t="n"/>
    </row>
    <row r="996" ht="15" customHeight="1" s="68">
      <c r="A996" s="114" t="n"/>
      <c r="B996" s="114" t="n"/>
      <c r="C996" s="114" t="n"/>
      <c r="D996" s="114" t="n"/>
      <c r="E996" s="112">
        <f>ROUND($B996*KarliyukKdvOrani,0)</f>
        <v/>
      </c>
      <c r="F996" s="112">
        <f>$B996-$C996</f>
        <v/>
      </c>
      <c r="G996" s="113">
        <f>IF($B996=0,0,$H996/$B996)</f>
        <v/>
      </c>
      <c r="H996" s="112">
        <f>IF($F996&gt;0,ROUND($F996*KarliyukKurumlarOrani,0),0)</f>
        <v/>
      </c>
      <c r="I996" s="114" t="n"/>
    </row>
    <row r="997" ht="15" customHeight="1" s="68">
      <c r="A997" s="114" t="n"/>
      <c r="B997" s="114" t="n"/>
      <c r="C997" s="114" t="n"/>
      <c r="D997" s="114" t="n"/>
      <c r="E997" s="112">
        <f>ROUND($B997*KarliyukKdvOrani,0)</f>
        <v/>
      </c>
      <c r="F997" s="112">
        <f>$B997-$C997</f>
        <v/>
      </c>
      <c r="G997" s="113">
        <f>IF($B997=0,0,$H997/$B997)</f>
        <v/>
      </c>
      <c r="H997" s="112">
        <f>IF($F997&gt;0,ROUND($F997*KarliyukKurumlarOrani,0),0)</f>
        <v/>
      </c>
      <c r="I997" s="114" t="n"/>
    </row>
    <row r="998" ht="15" customHeight="1" s="68">
      <c r="A998" s="114" t="n"/>
      <c r="B998" s="114" t="n"/>
      <c r="C998" s="114" t="n"/>
      <c r="D998" s="114" t="n"/>
      <c r="E998" s="112">
        <f>ROUND($B998*KarliyukKdvOrani,0)</f>
        <v/>
      </c>
      <c r="F998" s="112">
        <f>$B998-$C998</f>
        <v/>
      </c>
      <c r="G998" s="113">
        <f>IF($B998=0,0,$H998/$B998)</f>
        <v/>
      </c>
      <c r="H998" s="112">
        <f>IF($F998&gt;0,ROUND($F998*KarliyukKurumlarOrani,0),0)</f>
        <v/>
      </c>
      <c r="I998" s="114" t="n"/>
    </row>
    <row r="999" ht="15" customHeight="1" s="68">
      <c r="A999" s="114" t="n"/>
      <c r="B999" s="114" t="n"/>
      <c r="C999" s="114" t="n"/>
      <c r="D999" s="114" t="n"/>
      <c r="E999" s="112">
        <f>ROUND($B999*KarliyukKdvOrani,0)</f>
        <v/>
      </c>
      <c r="F999" s="112">
        <f>$B999-$C999</f>
        <v/>
      </c>
      <c r="G999" s="113">
        <f>IF($B999=0,0,$H999/$B999)</f>
        <v/>
      </c>
      <c r="H999" s="112">
        <f>IF($F999&gt;0,ROUND($F999*KarliyukKurumlarOrani,0),0)</f>
        <v/>
      </c>
      <c r="I999" s="114" t="n"/>
    </row>
    <row r="1000" ht="15" customHeight="1" s="68">
      <c r="A1000" s="114" t="n"/>
      <c r="B1000" s="114" t="n"/>
      <c r="C1000" s="114" t="n"/>
      <c r="D1000" s="114" t="n"/>
      <c r="E1000" s="112">
        <f>ROUND($B1000*KarliyukKdvOrani,0)</f>
        <v/>
      </c>
      <c r="F1000" s="112">
        <f>$B1000-$C1000</f>
        <v/>
      </c>
      <c r="G1000" s="113">
        <f>IF($B1000=0,0,$H1000/$B1000)</f>
        <v/>
      </c>
      <c r="H1000" s="112">
        <f>IF($F1000&gt;0,ROUND($F1000*KarliyukKurumlarOrani,0),0)</f>
        <v/>
      </c>
      <c r="I1000" s="114" t="n"/>
    </row>
    <row r="1001" ht="15" customHeight="1" s="68">
      <c r="A1001" s="114" t="n"/>
      <c r="B1001" s="114" t="n"/>
      <c r="C1001" s="114" t="n"/>
      <c r="D1001" s="114" t="n"/>
      <c r="E1001" s="112">
        <f>ROUND($B1001*KarliyukKdvOrani,0)</f>
        <v/>
      </c>
      <c r="F1001" s="112">
        <f>$B1001-$C1001</f>
        <v/>
      </c>
      <c r="G1001" s="113">
        <f>IF($B1001=0,0,$H1001/$B1001)</f>
        <v/>
      </c>
      <c r="H1001" s="112">
        <f>IF($F1001&gt;0,ROUND($F1001*KarliyukKurumlarOrani,0),0)</f>
        <v/>
      </c>
      <c r="I1001" s="114" t="n"/>
    </row>
    <row r="1002" ht="15" customHeight="1" s="68">
      <c r="A1002" s="114" t="n"/>
      <c r="B1002" s="114" t="n"/>
      <c r="C1002" s="114" t="n"/>
      <c r="D1002" s="114" t="n"/>
      <c r="E1002" s="112">
        <f>ROUND($B1002*KarliyukKdvOrani,0)</f>
        <v/>
      </c>
      <c r="F1002" s="112">
        <f>$B1002-$C1002</f>
        <v/>
      </c>
      <c r="G1002" s="113">
        <f>IF($B1002=0,0,$H1002/$B1002)</f>
        <v/>
      </c>
      <c r="H1002" s="112">
        <f>IF($F1002&gt;0,ROUND($F1002*KarliyukKurumlarOrani,0),0)</f>
        <v/>
      </c>
      <c r="I1002" s="114" t="n"/>
    </row>
    <row r="1003" ht="15" customHeight="1" s="68">
      <c r="A1003" s="114" t="n"/>
      <c r="B1003" s="114" t="n"/>
      <c r="C1003" s="114" t="n"/>
      <c r="D1003" s="114" t="n"/>
      <c r="E1003" s="112">
        <f>ROUND($B1003*KarliyukKdvOrani,0)</f>
        <v/>
      </c>
      <c r="F1003" s="112">
        <f>$B1003-$C1003</f>
        <v/>
      </c>
      <c r="G1003" s="113">
        <f>IF($B1003=0,0,$H1003/$B1003)</f>
        <v/>
      </c>
      <c r="H1003" s="112">
        <f>IF($F1003&gt;0,ROUND($F1003*KarliyukKurumlarOrani,0),0)</f>
        <v/>
      </c>
      <c r="I1003" s="114" t="n"/>
    </row>
    <row r="1004" ht="15" customHeight="1" s="68">
      <c r="A1004" s="114" t="n"/>
      <c r="B1004" s="114" t="n"/>
      <c r="C1004" s="114" t="n"/>
      <c r="D1004" s="114" t="n"/>
      <c r="E1004" s="112">
        <f>ROUND($B1004*KarliyukKdvOrani,0)</f>
        <v/>
      </c>
      <c r="F1004" s="112">
        <f>$B1004-$C1004</f>
        <v/>
      </c>
      <c r="G1004" s="113">
        <f>IF($B1004=0,0,$H1004/$B1004)</f>
        <v/>
      </c>
      <c r="H1004" s="112">
        <f>IF($F1004&gt;0,ROUND($F1004*KarliyukKurumlarOrani,0),0)</f>
        <v/>
      </c>
      <c r="I1004" s="114" t="n"/>
    </row>
    <row r="1005"/>
    <row r="1006" ht="19.5" customHeight="1" s="68">
      <c r="A1006" s="105" t="inlineStr">
        <is>
          <t>KDV Tutarı ve Vergi Karşılığı AYARLAR'daki oranlardan otomatik hesaplanır.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06:AN1006"/>
    <mergeCell ref="A3:I3"/>
  </mergeCells>
  <conditionalFormatting sqref="C6:C1004">
    <cfRule type="cellIs" rank="0" priority="2" equalAverage="0" operator="lessThan" aboveAverage="0" dxfId="7" text="" percent="0" bottom="0">
      <formula>0</formula>
    </cfRule>
  </conditionalFormatting>
  <conditionalFormatting sqref="D6:D1004">
    <cfRule type="cellIs" rank="0" priority="3" equalAverage="0" operator="lessThan" aboveAverage="0" dxfId="7" text="" percent="0" bottom="0">
      <formula>0</formula>
    </cfRule>
  </conditionalFormatting>
  <conditionalFormatting sqref="F6:F1004">
    <cfRule type="cellIs" rank="0" priority="4" equalAverage="0" operator="lessThan" aboveAverage="0" dxfId="7" text="" percent="0" bottom="0">
      <formula>0</formula>
    </cfRule>
  </conditionalFormatting>
  <conditionalFormatting sqref="H6:H1004">
    <cfRule type="cellIs" rank="0" priority="5" equalAverage="0" operator="greaterThan" aboveAverage="0" dxfId="8" text="" percent="0" bottom="0">
      <formula>0</formula>
    </cfRule>
  </conditionalFormatting>
  <conditionalFormatting sqref="E6:E1004">
    <cfRule type="cellIs" rank="0" priority="6" equalAverage="0" operator="greaterThan" aboveAverage="0" dxfId="8" text="" percent="0" bottom="0">
      <formula>0</formula>
    </cfRule>
  </conditionalFormatting>
  <dataValidations count="4">
    <dataValidation sqref="B6:B1004" showDropDown="0" showInputMessage="1" showErrorMessage="1" allowBlank="1" errorTitle="Hatalı giriş" error="Gelir negatif olamaz." promptTitle="Gelir" prompt="Aylık geliri TL olarak girin. Negatif olamaz." type="whole" errorStyle="stop" operator="greaterThanOrEqual">
      <formula1>0</formula1>
      <formula2>0</formula2>
    </dataValidation>
    <dataValidation sqref="C6:C1004" showDropDown="0" showInputMessage="1" showErrorMessage="1" allowBlank="1" errorTitle="Hatalı giriş" error="Gider negatif olamaz." promptTitle="Gider" prompt="Aylık gideri TL olarak girin. Negatif olamaz." type="whole" errorStyle="stop" operator="greaterThanOrEqual">
      <formula1>0</formula1>
      <formula2>0</formula2>
    </dataValidation>
    <dataValidation sqref="D6:D1004" showDropDown="0" showInputMessage="1" showErrorMessage="1" allowBlank="1" errorTitle="Hatalı giriş" error="KDV yüklenimi negatif olamaz." promptTitle="KDV Yüklenimi" prompt="KDV yüklenim tutarını TL olarak girin. 0'dan küçük olamaz." type="whole" errorStyle="stop" operator="greaterThanOrEqual">
      <formula1>0</formula1>
      <formula2>0</formula2>
    </dataValidation>
    <dataValidation sqref="A6:A1004" showDropDown="0" showInputMessage="1" showErrorMessage="1" allowBlank="1" errorTitle="Hatalı giriş" error="Dönem etiketi listelerden seçilmeli." promptTitle="Dönem Etiketi" prompt="Açılır listeden veya kendi ay etiketinizi seçin." type="list" errorStyle="stop" operator="between">
      <formula1>ListeDonemEtiketi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94" min="1" max="1"/>
    <col width="17.5" customWidth="1" style="94" min="2" max="2"/>
    <col width="16.5" customWidth="1" style="94" min="3" max="6"/>
    <col width="21.5" customWidth="1" style="68" min="4" max="4"/>
    <col width="21.5" customWidth="1" style="68" min="5" max="5"/>
    <col width="13.5" customWidth="1" style="68" min="6" max="6"/>
    <col width="16.5" customWidth="1" style="94" min="7" max="7"/>
    <col width="19.5" customWidth="1" style="94" min="8" max="9"/>
    <col width="24.5" customWidth="1" style="68" min="9" max="9"/>
    <col width="31.5" customWidth="1" style="94" min="10" max="10"/>
    <col width="22" customWidth="1" style="94" min="11" max="11"/>
    <col width="13" customWidth="1" style="68" min="12" max="12"/>
  </cols>
  <sheetData>
    <row r="1" ht="32" customHeight="1" s="68">
      <c r="A1" s="267" t="inlineStr">
        <is>
          <t>BORDRO — VERGİ, SGK VE MAAŞ KARŞILIK AYIRMA SİSTEMİ</t>
        </is>
      </c>
    </row>
    <row r="2"/>
    <row r="3" ht="22" customHeight="1" s="68">
      <c r="A3" s="286" t="inlineStr">
        <is>
          <t>Çalışan ve Maaş Bilgileri</t>
        </is>
      </c>
    </row>
    <row r="4" ht="81.75" customHeight="1" s="68">
      <c r="A4" s="108" t="inlineStr">
        <is>
          <t>Her satır bir çalışanı temsil eder. Brüt maaş ve aylık çalışma süresini girin; SGK, işsizlik, stopaj ve damga otomatik hesaplanır.</t>
        </is>
      </c>
    </row>
    <row r="5" ht="30" customHeight="1" s="68">
      <c r="A5" s="109" t="inlineStr">
        <is>
          <t>Çalışan</t>
        </is>
      </c>
      <c r="B5" s="109" t="inlineStr">
        <is>
          <t>Brüt Maaş (₺)</t>
        </is>
      </c>
      <c r="C5" s="109" t="inlineStr">
        <is>
          <t>SGK İşçi (₺)</t>
        </is>
      </c>
      <c r="D5" s="109" t="inlineStr">
        <is>
          <t>İşsizlik İşçi (₺)</t>
        </is>
      </c>
      <c r="E5" s="109" t="inlineStr">
        <is>
          <t>Gelir Vergisi (₺)</t>
        </is>
      </c>
      <c r="F5" s="109" t="inlineStr">
        <is>
          <t>Damga (₺)</t>
        </is>
      </c>
      <c r="G5" s="109" t="inlineStr">
        <is>
          <t>Net Maaş (₺)</t>
        </is>
      </c>
      <c r="H5" s="109" t="inlineStr">
        <is>
          <t>SGK İşveren (₺)</t>
        </is>
      </c>
      <c r="I5" s="109" t="inlineStr">
        <is>
          <t>İşsizlik İşveren (₺)</t>
        </is>
      </c>
      <c r="J5" s="109" t="inlineStr">
        <is>
          <t>İşveren Toplam Maliyeti (₺)</t>
        </is>
      </c>
      <c r="K5" s="109" t="inlineStr">
        <is>
          <t>Not</t>
        </is>
      </c>
    </row>
    <row r="6" ht="15" customHeight="1" s="68">
      <c r="A6" s="110" t="inlineStr">
        <is>
          <t>Ahmet Yılmaz</t>
        </is>
      </c>
      <c r="B6" s="111" t="n">
        <v>85000</v>
      </c>
      <c r="C6" s="112">
        <f>ROUND($B6*KarliyukSgkIsciOrani,0)</f>
        <v/>
      </c>
      <c r="D6" s="112">
        <f>ROUND($B6*KarliyukIssizlikIsciOrani,0)</f>
        <v/>
      </c>
      <c r="E6" s="112">
        <f>ROUND($B6*KarliyukStopajOrani,0)</f>
        <v/>
      </c>
      <c r="F6" s="112">
        <f>ROUND($B6*KarliyukDamgaOrani,0)</f>
        <v/>
      </c>
      <c r="G6" s="112">
        <f>$B6-$C6-$D6-$E6-$F6</f>
        <v/>
      </c>
      <c r="H6" s="112">
        <f>ROUND($B6*KarliyukSgkIsverenOrani,0)</f>
        <v/>
      </c>
      <c r="I6" s="112">
        <f>ROUND($B6*KarliyukIssizlikIsverenOrani,0)</f>
        <v/>
      </c>
      <c r="J6" s="112">
        <f>$B6+$H6+$I6</f>
        <v/>
      </c>
      <c r="K6" s="110" t="inlineStr">
        <is>
          <t>Örnek çalışan 1</t>
        </is>
      </c>
    </row>
    <row r="7" ht="15" customHeight="1" s="68">
      <c r="A7" s="110" t="inlineStr">
        <is>
          <t>Elif Demir</t>
        </is>
      </c>
      <c r="B7" s="111" t="n">
        <v>72000</v>
      </c>
      <c r="C7" s="112">
        <f>ROUND($B7*KarliyukSgkIsciOrani,0)</f>
        <v/>
      </c>
      <c r="D7" s="112">
        <f>ROUND($B7*KarliyukIssizlikIsciOrani,0)</f>
        <v/>
      </c>
      <c r="E7" s="112">
        <f>ROUND($B7*KarliyukStopajOrani,0)</f>
        <v/>
      </c>
      <c r="F7" s="112">
        <f>ROUND($B7*KarliyukDamgaOrani,0)</f>
        <v/>
      </c>
      <c r="G7" s="112">
        <f>$B7-$C7-$D7-$E7-$F7</f>
        <v/>
      </c>
      <c r="H7" s="112">
        <f>ROUND($B7*KarliyukSgkIsverenOrani,0)</f>
        <v/>
      </c>
      <c r="I7" s="112">
        <f>ROUND($B7*KarliyukIssizlikIsverenOrani,0)</f>
        <v/>
      </c>
      <c r="J7" s="112">
        <f>$B7+$H7+$I7</f>
        <v/>
      </c>
      <c r="K7" s="110" t="inlineStr">
        <is>
          <t>Örnek çalışan 2</t>
        </is>
      </c>
    </row>
    <row r="8" ht="15" customHeight="1" s="68">
      <c r="A8" s="110" t="inlineStr">
        <is>
          <t>Mehmet Kaya</t>
        </is>
      </c>
      <c r="B8" s="111" t="n">
        <v>95000</v>
      </c>
      <c r="C8" s="112">
        <f>ROUND($B8*KarliyukSgkIsciOrani,0)</f>
        <v/>
      </c>
      <c r="D8" s="112">
        <f>ROUND($B8*KarliyukIssizlikIsciOrani,0)</f>
        <v/>
      </c>
      <c r="E8" s="112">
        <f>ROUND($B8*KarliyukStopajOrani,0)</f>
        <v/>
      </c>
      <c r="F8" s="112">
        <f>ROUND($B8*KarliyukDamgaOrani,0)</f>
        <v/>
      </c>
      <c r="G8" s="112">
        <f>$B8-$C8-$D8-$E8-$F8</f>
        <v/>
      </c>
      <c r="H8" s="112">
        <f>ROUND($B8*KarliyukSgkIsverenOrani,0)</f>
        <v/>
      </c>
      <c r="I8" s="112">
        <f>ROUND($B8*KarliyukIssizlikIsverenOrani,0)</f>
        <v/>
      </c>
      <c r="J8" s="112">
        <f>$B8+$H8+$I8</f>
        <v/>
      </c>
      <c r="K8" s="110" t="inlineStr">
        <is>
          <t>Örnek çalışan 3</t>
        </is>
      </c>
    </row>
    <row r="9" ht="15" customHeight="1" s="68">
      <c r="A9" s="110" t="inlineStr">
        <is>
          <t>Zeynep Şahin</t>
        </is>
      </c>
      <c r="B9" s="111" t="n">
        <v>64000</v>
      </c>
      <c r="C9" s="112">
        <f>ROUND($B9*KarliyukSgkIsciOrani,0)</f>
        <v/>
      </c>
      <c r="D9" s="112">
        <f>ROUND($B9*KarliyukIssizlikIsciOrani,0)</f>
        <v/>
      </c>
      <c r="E9" s="112">
        <f>ROUND($B9*KarliyukStopajOrani,0)</f>
        <v/>
      </c>
      <c r="F9" s="112">
        <f>ROUND($B9*KarliyukDamgaOrani,0)</f>
        <v/>
      </c>
      <c r="G9" s="112">
        <f>$B9-$C9-$D9-$E9-$F9</f>
        <v/>
      </c>
      <c r="H9" s="112">
        <f>ROUND($B9*KarliyukSgkIsverenOrani,0)</f>
        <v/>
      </c>
      <c r="I9" s="112">
        <f>ROUND($B9*KarliyukIssizlikIsverenOrani,0)</f>
        <v/>
      </c>
      <c r="J9" s="112">
        <f>$B9+$H9+$I9</f>
        <v/>
      </c>
      <c r="K9" s="110" t="inlineStr">
        <is>
          <t>Örnek çalışan 4</t>
        </is>
      </c>
    </row>
    <row r="10" ht="15" customHeight="1" s="68">
      <c r="A10" s="114" t="inlineStr">
        <is>
          <t>Ali Öztürk</t>
        </is>
      </c>
      <c r="B10" s="116" t="n">
        <v>25000</v>
      </c>
      <c r="C10" s="112">
        <f>ROUND($B10*KarliyukSgkIsciOrani,0)</f>
        <v/>
      </c>
      <c r="D10" s="112">
        <f>ROUND($B10*KarliyukIssizlikIsciOrani,0)</f>
        <v/>
      </c>
      <c r="E10" s="112">
        <f>ROUND($B10*KarliyukStopajOrani,0)</f>
        <v/>
      </c>
      <c r="F10" s="112">
        <f>ROUND($B10*KarliyukDamgaOrani,0)</f>
        <v/>
      </c>
      <c r="G10" s="112">
        <f>$B10-$C10-$D10-$E10-$F10</f>
        <v/>
      </c>
      <c r="H10" s="112">
        <f>ROUND($B10*KarliyukSgkIsverenOrani,0)</f>
        <v/>
      </c>
      <c r="I10" s="112">
        <f>ROUND($B10*KarliyukIssizlikIsverenOrani,0)</f>
        <v/>
      </c>
      <c r="J10" s="112">
        <f>$B10+$H10+$I10</f>
        <v/>
      </c>
      <c r="K10" s="114" t="inlineStr">
        <is>
          <t>Örnek: operasyon</t>
        </is>
      </c>
    </row>
    <row r="11" ht="15" customHeight="1" s="68">
      <c r="A11" s="114" t="inlineStr">
        <is>
          <t>Elif Arslan</t>
        </is>
      </c>
      <c r="B11" s="116" t="n">
        <v>30000</v>
      </c>
      <c r="C11" s="112">
        <f>ROUND($B11*KarliyukSgkIsciOrani,0)</f>
        <v/>
      </c>
      <c r="D11" s="112">
        <f>ROUND($B11*KarliyukIssizlikIsciOrani,0)</f>
        <v/>
      </c>
      <c r="E11" s="112">
        <f>ROUND($B11*KarliyukStopajOrani,0)</f>
        <v/>
      </c>
      <c r="F11" s="112">
        <f>ROUND($B11*KarliyukDamgaOrani,0)</f>
        <v/>
      </c>
      <c r="G11" s="112">
        <f>$B11-$C11-$D11-$E11-$F11</f>
        <v/>
      </c>
      <c r="H11" s="112">
        <f>ROUND($B11*KarliyukSgkIsverenOrani,0)</f>
        <v/>
      </c>
      <c r="I11" s="112">
        <f>ROUND($B11*KarliyukIssizlikIsverenOrani,0)</f>
        <v/>
      </c>
      <c r="J11" s="112">
        <f>$B11+$H11+$I11</f>
        <v/>
      </c>
      <c r="K11" s="114" t="inlineStr">
        <is>
          <t>Örnek: satış</t>
        </is>
      </c>
    </row>
    <row r="12" ht="15" customHeight="1" s="68">
      <c r="A12" s="114" t="n"/>
      <c r="B12" s="114" t="n"/>
      <c r="C12" s="112">
        <f>ROUND($B12*KarliyukSgkIsciOrani,0)</f>
        <v/>
      </c>
      <c r="D12" s="112">
        <f>ROUND($B12*KarliyukIssizlikIsciOrani,0)</f>
        <v/>
      </c>
      <c r="E12" s="112">
        <f>ROUND($B12*KarliyukStopajOrani,0)</f>
        <v/>
      </c>
      <c r="F12" s="112">
        <f>ROUND($B12*KarliyukDamgaOrani,0)</f>
        <v/>
      </c>
      <c r="G12" s="112">
        <f>$B12-$C12-$D12-$E12-$F12</f>
        <v/>
      </c>
      <c r="H12" s="112">
        <f>ROUND($B12*KarliyukSgkIsverenOrani,0)</f>
        <v/>
      </c>
      <c r="I12" s="112">
        <f>ROUND($B12*KarliyukIssizlikIsverenOrani,0)</f>
        <v/>
      </c>
      <c r="J12" s="112">
        <f>$B12+$H12+$I12</f>
        <v/>
      </c>
      <c r="K12" s="114" t="n"/>
    </row>
    <row r="13" ht="15" customHeight="1" s="68">
      <c r="A13" s="114" t="n"/>
      <c r="B13" s="114" t="n"/>
      <c r="C13" s="112">
        <f>ROUND($B13*KarliyukSgkIsciOrani,0)</f>
        <v/>
      </c>
      <c r="D13" s="112">
        <f>ROUND($B13*KarliyukIssizlikIsciOrani,0)</f>
        <v/>
      </c>
      <c r="E13" s="112">
        <f>ROUND($B13*KarliyukStopajOrani,0)</f>
        <v/>
      </c>
      <c r="F13" s="112">
        <f>ROUND($B13*KarliyukDamgaOrani,0)</f>
        <v/>
      </c>
      <c r="G13" s="112">
        <f>$B13-$C13-$D13-$E13-$F13</f>
        <v/>
      </c>
      <c r="H13" s="112">
        <f>ROUND($B13*KarliyukSgkIsverenOrani,0)</f>
        <v/>
      </c>
      <c r="I13" s="112">
        <f>ROUND($B13*KarliyukIssizlikIsverenOrani,0)</f>
        <v/>
      </c>
      <c r="J13" s="112">
        <f>$B13+$H13+$I13</f>
        <v/>
      </c>
      <c r="K13" s="114" t="n"/>
    </row>
    <row r="14" ht="15" customHeight="1" s="68">
      <c r="A14" s="114" t="n"/>
      <c r="B14" s="114" t="n"/>
      <c r="C14" s="112">
        <f>ROUND($B14*KarliyukSgkIsciOrani,0)</f>
        <v/>
      </c>
      <c r="D14" s="112">
        <f>ROUND($B14*KarliyukIssizlikIsciOrani,0)</f>
        <v/>
      </c>
      <c r="E14" s="112">
        <f>ROUND($B14*KarliyukStopajOrani,0)</f>
        <v/>
      </c>
      <c r="F14" s="112">
        <f>ROUND($B14*KarliyukDamgaOrani,0)</f>
        <v/>
      </c>
      <c r="G14" s="112">
        <f>$B14-$C14-$D14-$E14-$F14</f>
        <v/>
      </c>
      <c r="H14" s="112">
        <f>ROUND($B14*KarliyukSgkIsverenOrani,0)</f>
        <v/>
      </c>
      <c r="I14" s="112">
        <f>ROUND($B14*KarliyukIssizlikIsverenOrani,0)</f>
        <v/>
      </c>
      <c r="J14" s="112">
        <f>$B14+$H14+$I14</f>
        <v/>
      </c>
      <c r="K14" s="114" t="n"/>
    </row>
    <row r="15" ht="15" customHeight="1" s="68">
      <c r="A15" s="114" t="n"/>
      <c r="B15" s="114" t="n"/>
      <c r="C15" s="112">
        <f>ROUND($B15*KarliyukSgkIsciOrani,0)</f>
        <v/>
      </c>
      <c r="D15" s="112">
        <f>ROUND($B15*KarliyukIssizlikIsciOrani,0)</f>
        <v/>
      </c>
      <c r="E15" s="112">
        <f>ROUND($B15*KarliyukStopajOrani,0)</f>
        <v/>
      </c>
      <c r="F15" s="112">
        <f>ROUND($B15*KarliyukDamgaOrani,0)</f>
        <v/>
      </c>
      <c r="G15" s="112">
        <f>$B15-$C15-$D15-$E15-$F15</f>
        <v/>
      </c>
      <c r="H15" s="112">
        <f>ROUND($B15*KarliyukSgkIsverenOrani,0)</f>
        <v/>
      </c>
      <c r="I15" s="112">
        <f>ROUND($B15*KarliyukIssizlikIsverenOrani,0)</f>
        <v/>
      </c>
      <c r="J15" s="112">
        <f>$B15+$H15+$I15</f>
        <v/>
      </c>
      <c r="K15" s="114" t="n"/>
    </row>
    <row r="16" ht="15" customHeight="1" s="68">
      <c r="A16" s="114" t="n"/>
      <c r="B16" s="114" t="n"/>
      <c r="C16" s="112">
        <f>ROUND($B16*KarliyukSgkIsciOrani,0)</f>
        <v/>
      </c>
      <c r="D16" s="112">
        <f>ROUND($B16*KarliyukIssizlikIsciOrani,0)</f>
        <v/>
      </c>
      <c r="E16" s="112">
        <f>ROUND($B16*KarliyukStopajOrani,0)</f>
        <v/>
      </c>
      <c r="F16" s="112">
        <f>ROUND($B16*KarliyukDamgaOrani,0)</f>
        <v/>
      </c>
      <c r="G16" s="112">
        <f>$B16-$C16-$D16-$E16-$F16</f>
        <v/>
      </c>
      <c r="H16" s="112">
        <f>ROUND($B16*KarliyukSgkIsverenOrani,0)</f>
        <v/>
      </c>
      <c r="I16" s="112">
        <f>ROUND($B16*KarliyukIssizlikIsverenOrani,0)</f>
        <v/>
      </c>
      <c r="J16" s="112">
        <f>$B16+$H16+$I16</f>
        <v/>
      </c>
      <c r="K16" s="114" t="n"/>
    </row>
    <row r="17" ht="15" customHeight="1" s="68">
      <c r="A17" s="114" t="n"/>
      <c r="B17" s="114" t="n"/>
      <c r="C17" s="112">
        <f>ROUND($B17*KarliyukSgkIsciOrani,0)</f>
        <v/>
      </c>
      <c r="D17" s="112">
        <f>ROUND($B17*KarliyukIssizlikIsciOrani,0)</f>
        <v/>
      </c>
      <c r="E17" s="112">
        <f>ROUND($B17*KarliyukStopajOrani,0)</f>
        <v/>
      </c>
      <c r="F17" s="112">
        <f>ROUND($B17*KarliyukDamgaOrani,0)</f>
        <v/>
      </c>
      <c r="G17" s="112">
        <f>$B17-$C17-$D17-$E17-$F17</f>
        <v/>
      </c>
      <c r="H17" s="112">
        <f>ROUND($B17*KarliyukSgkIsverenOrani,0)</f>
        <v/>
      </c>
      <c r="I17" s="112">
        <f>ROUND($B17*KarliyukIssizlikIsverenOrani,0)</f>
        <v/>
      </c>
      <c r="J17" s="112">
        <f>$B17+$H17+$I17</f>
        <v/>
      </c>
      <c r="K17" s="114" t="n"/>
    </row>
    <row r="18" ht="15" customHeight="1" s="68">
      <c r="A18" s="114" t="n"/>
      <c r="B18" s="114" t="n"/>
      <c r="C18" s="112">
        <f>ROUND($B18*KarliyukSgkIsciOrani,0)</f>
        <v/>
      </c>
      <c r="D18" s="112">
        <f>ROUND($B18*KarliyukIssizlikIsciOrani,0)</f>
        <v/>
      </c>
      <c r="E18" s="112">
        <f>ROUND($B18*KarliyukStopajOrani,0)</f>
        <v/>
      </c>
      <c r="F18" s="112">
        <f>ROUND($B18*KarliyukDamgaOrani,0)</f>
        <v/>
      </c>
      <c r="G18" s="112">
        <f>$B18-$C18-$D18-$E18-$F18</f>
        <v/>
      </c>
      <c r="H18" s="112">
        <f>ROUND($B18*KarliyukSgkIsverenOrani,0)</f>
        <v/>
      </c>
      <c r="I18" s="112">
        <f>ROUND($B18*KarliyukIssizlikIsverenOrani,0)</f>
        <v/>
      </c>
      <c r="J18" s="112">
        <f>$B18+$H18+$I18</f>
        <v/>
      </c>
      <c r="K18" s="114" t="n"/>
    </row>
    <row r="19" ht="15" customHeight="1" s="68">
      <c r="A19" s="114" t="n"/>
      <c r="B19" s="114" t="n"/>
      <c r="C19" s="112">
        <f>ROUND($B19*KarliyukSgkIsciOrani,0)</f>
        <v/>
      </c>
      <c r="D19" s="112">
        <f>ROUND($B19*KarliyukIssizlikIsciOrani,0)</f>
        <v/>
      </c>
      <c r="E19" s="112">
        <f>ROUND($B19*KarliyukStopajOrani,0)</f>
        <v/>
      </c>
      <c r="F19" s="112">
        <f>ROUND($B19*KarliyukDamgaOrani,0)</f>
        <v/>
      </c>
      <c r="G19" s="112">
        <f>$B19-$C19-$D19-$E19-$F19</f>
        <v/>
      </c>
      <c r="H19" s="112">
        <f>ROUND($B19*KarliyukSgkIsverenOrani,0)</f>
        <v/>
      </c>
      <c r="I19" s="112">
        <f>ROUND($B19*KarliyukIssizlikIsverenOrani,0)</f>
        <v/>
      </c>
      <c r="J19" s="112">
        <f>$B19+$H19+$I19</f>
        <v/>
      </c>
      <c r="K19" s="114" t="n"/>
    </row>
    <row r="20" ht="15" customHeight="1" s="68">
      <c r="A20" s="114" t="n"/>
      <c r="B20" s="114" t="n"/>
      <c r="C20" s="112">
        <f>ROUND($B20*KarliyukSgkIsciOrani,0)</f>
        <v/>
      </c>
      <c r="D20" s="112">
        <f>ROUND($B20*KarliyukIssizlikIsciOrani,0)</f>
        <v/>
      </c>
      <c r="E20" s="112">
        <f>ROUND($B20*KarliyukStopajOrani,0)</f>
        <v/>
      </c>
      <c r="F20" s="112">
        <f>ROUND($B20*KarliyukDamgaOrani,0)</f>
        <v/>
      </c>
      <c r="G20" s="112">
        <f>$B20-$C20-$D20-$E20-$F20</f>
        <v/>
      </c>
      <c r="H20" s="112">
        <f>ROUND($B20*KarliyukSgkIsverenOrani,0)</f>
        <v/>
      </c>
      <c r="I20" s="112">
        <f>ROUND($B20*KarliyukIssizlikIsverenOrani,0)</f>
        <v/>
      </c>
      <c r="J20" s="112">
        <f>$B20+$H20+$I20</f>
        <v/>
      </c>
      <c r="K20" s="114" t="n"/>
    </row>
    <row r="21" ht="15" customHeight="1" s="68">
      <c r="A21" s="114" t="n"/>
      <c r="B21" s="114" t="n"/>
      <c r="C21" s="112">
        <f>ROUND($B21*KarliyukSgkIsciOrani,0)</f>
        <v/>
      </c>
      <c r="D21" s="112">
        <f>ROUND($B21*KarliyukIssizlikIsciOrani,0)</f>
        <v/>
      </c>
      <c r="E21" s="112">
        <f>ROUND($B21*KarliyukStopajOrani,0)</f>
        <v/>
      </c>
      <c r="F21" s="112">
        <f>ROUND($B21*KarliyukDamgaOrani,0)</f>
        <v/>
      </c>
      <c r="G21" s="112">
        <f>$B21-$C21-$D21-$E21-$F21</f>
        <v/>
      </c>
      <c r="H21" s="112">
        <f>ROUND($B21*KarliyukSgkIsverenOrani,0)</f>
        <v/>
      </c>
      <c r="I21" s="112">
        <f>ROUND($B21*KarliyukIssizlikIsverenOrani,0)</f>
        <v/>
      </c>
      <c r="J21" s="112">
        <f>$B21+$H21+$I21</f>
        <v/>
      </c>
      <c r="K21" s="114" t="n"/>
    </row>
    <row r="22" ht="15" customHeight="1" s="68">
      <c r="A22" s="114" t="n"/>
      <c r="B22" s="114" t="n"/>
      <c r="C22" s="112">
        <f>ROUND($B22*KarliyukSgkIsciOrani,0)</f>
        <v/>
      </c>
      <c r="D22" s="112">
        <f>ROUND($B22*KarliyukIssizlikIsciOrani,0)</f>
        <v/>
      </c>
      <c r="E22" s="112">
        <f>ROUND($B22*KarliyukStopajOrani,0)</f>
        <v/>
      </c>
      <c r="F22" s="112">
        <f>ROUND($B22*KarliyukDamgaOrani,0)</f>
        <v/>
      </c>
      <c r="G22" s="112">
        <f>$B22-$C22-$D22-$E22-$F22</f>
        <v/>
      </c>
      <c r="H22" s="112">
        <f>ROUND($B22*KarliyukSgkIsverenOrani,0)</f>
        <v/>
      </c>
      <c r="I22" s="112">
        <f>ROUND($B22*KarliyukIssizlikIsverenOrani,0)</f>
        <v/>
      </c>
      <c r="J22" s="112">
        <f>$B22+$H22+$I22</f>
        <v/>
      </c>
      <c r="K22" s="114" t="n"/>
    </row>
    <row r="23" ht="15" customHeight="1" s="68">
      <c r="A23" s="114" t="n"/>
      <c r="B23" s="114" t="n"/>
      <c r="C23" s="112">
        <f>ROUND($B23*KarliyukSgkIsciOrani,0)</f>
        <v/>
      </c>
      <c r="D23" s="112">
        <f>ROUND($B23*KarliyukIssizlikIsciOrani,0)</f>
        <v/>
      </c>
      <c r="E23" s="112">
        <f>ROUND($B23*KarliyukStopajOrani,0)</f>
        <v/>
      </c>
      <c r="F23" s="112">
        <f>ROUND($B23*KarliyukDamgaOrani,0)</f>
        <v/>
      </c>
      <c r="G23" s="112">
        <f>$B23-$C23-$D23-$E23-$F23</f>
        <v/>
      </c>
      <c r="H23" s="112">
        <f>ROUND($B23*KarliyukSgkIsverenOrani,0)</f>
        <v/>
      </c>
      <c r="I23" s="112">
        <f>ROUND($B23*KarliyukIssizlikIsverenOrani,0)</f>
        <v/>
      </c>
      <c r="J23" s="112">
        <f>$B23+$H23+$I23</f>
        <v/>
      </c>
      <c r="K23" s="114" t="n"/>
    </row>
    <row r="24" ht="15" customHeight="1" s="68">
      <c r="A24" s="114" t="n"/>
      <c r="B24" s="114" t="n"/>
      <c r="C24" s="112">
        <f>ROUND($B24*KarliyukSgkIsciOrani,0)</f>
        <v/>
      </c>
      <c r="D24" s="112">
        <f>ROUND($B24*KarliyukIssizlikIsciOrani,0)</f>
        <v/>
      </c>
      <c r="E24" s="112">
        <f>ROUND($B24*KarliyukStopajOrani,0)</f>
        <v/>
      </c>
      <c r="F24" s="112">
        <f>ROUND($B24*KarliyukDamgaOrani,0)</f>
        <v/>
      </c>
      <c r="G24" s="112">
        <f>$B24-$C24-$D24-$E24-$F24</f>
        <v/>
      </c>
      <c r="H24" s="112">
        <f>ROUND($B24*KarliyukSgkIsverenOrani,0)</f>
        <v/>
      </c>
      <c r="I24" s="112">
        <f>ROUND($B24*KarliyukIssizlikIsverenOrani,0)</f>
        <v/>
      </c>
      <c r="J24" s="112">
        <f>$B24+$H24+$I24</f>
        <v/>
      </c>
      <c r="K24" s="114" t="n"/>
    </row>
    <row r="25" ht="15" customHeight="1" s="68">
      <c r="A25" s="114" t="n"/>
      <c r="B25" s="114" t="n"/>
      <c r="C25" s="112">
        <f>ROUND($B25*KarliyukSgkIsciOrani,0)</f>
        <v/>
      </c>
      <c r="D25" s="112">
        <f>ROUND($B25*KarliyukIssizlikIsciOrani,0)</f>
        <v/>
      </c>
      <c r="E25" s="112">
        <f>ROUND($B25*KarliyukStopajOrani,0)</f>
        <v/>
      </c>
      <c r="F25" s="112">
        <f>ROUND($B25*KarliyukDamgaOrani,0)</f>
        <v/>
      </c>
      <c r="G25" s="112">
        <f>$B25-$C25-$D25-$E25-$F25</f>
        <v/>
      </c>
      <c r="H25" s="112">
        <f>ROUND($B25*KarliyukSgkIsverenOrani,0)</f>
        <v/>
      </c>
      <c r="I25" s="112">
        <f>ROUND($B25*KarliyukIssizlikIsverenOrani,0)</f>
        <v/>
      </c>
      <c r="J25" s="112">
        <f>$B25+$H25+$I25</f>
        <v/>
      </c>
      <c r="K25" s="114" t="n"/>
    </row>
    <row r="26" ht="15" customHeight="1" s="68">
      <c r="A26" s="114" t="n"/>
      <c r="B26" s="114" t="n"/>
      <c r="C26" s="112">
        <f>ROUND($B26*KarliyukSgkIsciOrani,0)</f>
        <v/>
      </c>
      <c r="D26" s="112">
        <f>ROUND($B26*KarliyukIssizlikIsciOrani,0)</f>
        <v/>
      </c>
      <c r="E26" s="112">
        <f>ROUND($B26*KarliyukStopajOrani,0)</f>
        <v/>
      </c>
      <c r="F26" s="112">
        <f>ROUND($B26*KarliyukDamgaOrani,0)</f>
        <v/>
      </c>
      <c r="G26" s="112">
        <f>$B26-$C26-$D26-$E26-$F26</f>
        <v/>
      </c>
      <c r="H26" s="112">
        <f>ROUND($B26*KarliyukSgkIsverenOrani,0)</f>
        <v/>
      </c>
      <c r="I26" s="112">
        <f>ROUND($B26*KarliyukIssizlikIsverenOrani,0)</f>
        <v/>
      </c>
      <c r="J26" s="112">
        <f>$B26+$H26+$I26</f>
        <v/>
      </c>
      <c r="K26" s="114" t="n"/>
    </row>
    <row r="27" ht="15" customHeight="1" s="68">
      <c r="A27" s="114" t="n"/>
      <c r="B27" s="114" t="n"/>
      <c r="C27" s="112">
        <f>ROUND($B27*KarliyukSgkIsciOrani,0)</f>
        <v/>
      </c>
      <c r="D27" s="112">
        <f>ROUND($B27*KarliyukIssizlikIsciOrani,0)</f>
        <v/>
      </c>
      <c r="E27" s="112">
        <f>ROUND($B27*KarliyukStopajOrani,0)</f>
        <v/>
      </c>
      <c r="F27" s="112">
        <f>ROUND($B27*KarliyukDamgaOrani,0)</f>
        <v/>
      </c>
      <c r="G27" s="112">
        <f>$B27-$C27-$D27-$E27-$F27</f>
        <v/>
      </c>
      <c r="H27" s="112">
        <f>ROUND($B27*KarliyukSgkIsverenOrani,0)</f>
        <v/>
      </c>
      <c r="I27" s="112">
        <f>ROUND($B27*KarliyukIssizlikIsverenOrani,0)</f>
        <v/>
      </c>
      <c r="J27" s="112">
        <f>$B27+$H27+$I27</f>
        <v/>
      </c>
      <c r="K27" s="114" t="n"/>
    </row>
    <row r="28" ht="15" customHeight="1" s="68">
      <c r="A28" s="114" t="n"/>
      <c r="B28" s="114" t="n"/>
      <c r="C28" s="112">
        <f>ROUND($B28*KarliyukSgkIsciOrani,0)</f>
        <v/>
      </c>
      <c r="D28" s="112">
        <f>ROUND($B28*KarliyukIssizlikIsciOrani,0)</f>
        <v/>
      </c>
      <c r="E28" s="112">
        <f>ROUND($B28*KarliyukStopajOrani,0)</f>
        <v/>
      </c>
      <c r="F28" s="112">
        <f>ROUND($B28*KarliyukDamgaOrani,0)</f>
        <v/>
      </c>
      <c r="G28" s="112">
        <f>$B28-$C28-$D28-$E28-$F28</f>
        <v/>
      </c>
      <c r="H28" s="112">
        <f>ROUND($B28*KarliyukSgkIsverenOrani,0)</f>
        <v/>
      </c>
      <c r="I28" s="112">
        <f>ROUND($B28*KarliyukIssizlikIsverenOrani,0)</f>
        <v/>
      </c>
      <c r="J28" s="112">
        <f>$B28+$H28+$I28</f>
        <v/>
      </c>
      <c r="K28" s="114" t="n"/>
    </row>
    <row r="29" ht="15" customHeight="1" s="68">
      <c r="A29" s="114" t="n"/>
      <c r="B29" s="114" t="n"/>
      <c r="C29" s="112">
        <f>ROUND($B29*KarliyukSgkIsciOrani,0)</f>
        <v/>
      </c>
      <c r="D29" s="112">
        <f>ROUND($B29*KarliyukIssizlikIsciOrani,0)</f>
        <v/>
      </c>
      <c r="E29" s="112">
        <f>ROUND($B29*KarliyukStopajOrani,0)</f>
        <v/>
      </c>
      <c r="F29" s="112">
        <f>ROUND($B29*KarliyukDamgaOrani,0)</f>
        <v/>
      </c>
      <c r="G29" s="112">
        <f>$B29-$C29-$D29-$E29-$F29</f>
        <v/>
      </c>
      <c r="H29" s="112">
        <f>ROUND($B29*KarliyukSgkIsverenOrani,0)</f>
        <v/>
      </c>
      <c r="I29" s="112">
        <f>ROUND($B29*KarliyukIssizlikIsverenOrani,0)</f>
        <v/>
      </c>
      <c r="J29" s="112">
        <f>$B29+$H29+$I29</f>
        <v/>
      </c>
      <c r="K29" s="114" t="n"/>
    </row>
    <row r="30" ht="15" customHeight="1" s="68">
      <c r="A30" s="114" t="n"/>
      <c r="B30" s="114" t="n"/>
      <c r="C30" s="112">
        <f>ROUND($B30*KarliyukSgkIsciOrani,0)</f>
        <v/>
      </c>
      <c r="D30" s="112">
        <f>ROUND($B30*KarliyukIssizlikIsciOrani,0)</f>
        <v/>
      </c>
      <c r="E30" s="112">
        <f>ROUND($B30*KarliyukStopajOrani,0)</f>
        <v/>
      </c>
      <c r="F30" s="112">
        <f>ROUND($B30*KarliyukDamgaOrani,0)</f>
        <v/>
      </c>
      <c r="G30" s="112">
        <f>$B30-$C30-$D30-$E30-$F30</f>
        <v/>
      </c>
      <c r="H30" s="112">
        <f>ROUND($B30*KarliyukSgkIsverenOrani,0)</f>
        <v/>
      </c>
      <c r="I30" s="112">
        <f>ROUND($B30*KarliyukIssizlikIsverenOrani,0)</f>
        <v/>
      </c>
      <c r="J30" s="112">
        <f>$B30+$H30+$I30</f>
        <v/>
      </c>
      <c r="K30" s="114" t="n"/>
    </row>
    <row r="31" ht="15" customHeight="1" s="68">
      <c r="A31" s="114" t="n"/>
      <c r="B31" s="114" t="n"/>
      <c r="C31" s="112">
        <f>ROUND($B31*KarliyukSgkIsciOrani,0)</f>
        <v/>
      </c>
      <c r="D31" s="112">
        <f>ROUND($B31*KarliyukIssizlikIsciOrani,0)</f>
        <v/>
      </c>
      <c r="E31" s="112">
        <f>ROUND($B31*KarliyukStopajOrani,0)</f>
        <v/>
      </c>
      <c r="F31" s="112">
        <f>ROUND($B31*KarliyukDamgaOrani,0)</f>
        <v/>
      </c>
      <c r="G31" s="112">
        <f>$B31-$C31-$D31-$E31-$F31</f>
        <v/>
      </c>
      <c r="H31" s="112">
        <f>ROUND($B31*KarliyukSgkIsverenOrani,0)</f>
        <v/>
      </c>
      <c r="I31" s="112">
        <f>ROUND($B31*KarliyukIssizlikIsverenOrani,0)</f>
        <v/>
      </c>
      <c r="J31" s="112">
        <f>$B31+$H31+$I31</f>
        <v/>
      </c>
      <c r="K31" s="114" t="n"/>
    </row>
    <row r="32" ht="15" customHeight="1" s="68">
      <c r="A32" s="114" t="n"/>
      <c r="B32" s="114" t="n"/>
      <c r="C32" s="112">
        <f>ROUND($B32*KarliyukSgkIsciOrani,0)</f>
        <v/>
      </c>
      <c r="D32" s="112">
        <f>ROUND($B32*KarliyukIssizlikIsciOrani,0)</f>
        <v/>
      </c>
      <c r="E32" s="112">
        <f>ROUND($B32*KarliyukStopajOrani,0)</f>
        <v/>
      </c>
      <c r="F32" s="112">
        <f>ROUND($B32*KarliyukDamgaOrani,0)</f>
        <v/>
      </c>
      <c r="G32" s="112">
        <f>$B32-$C32-$D32-$E32-$F32</f>
        <v/>
      </c>
      <c r="H32" s="112">
        <f>ROUND($B32*KarliyukSgkIsverenOrani,0)</f>
        <v/>
      </c>
      <c r="I32" s="112">
        <f>ROUND($B32*KarliyukIssizlikIsverenOrani,0)</f>
        <v/>
      </c>
      <c r="J32" s="112">
        <f>$B32+$H32+$I32</f>
        <v/>
      </c>
      <c r="K32" s="114" t="n"/>
    </row>
    <row r="33" ht="15" customHeight="1" s="68">
      <c r="A33" s="114" t="n"/>
      <c r="B33" s="114" t="n"/>
      <c r="C33" s="112">
        <f>ROUND($B33*KarliyukSgkIsciOrani,0)</f>
        <v/>
      </c>
      <c r="D33" s="112">
        <f>ROUND($B33*KarliyukIssizlikIsciOrani,0)</f>
        <v/>
      </c>
      <c r="E33" s="112">
        <f>ROUND($B33*KarliyukStopajOrani,0)</f>
        <v/>
      </c>
      <c r="F33" s="112">
        <f>ROUND($B33*KarliyukDamgaOrani,0)</f>
        <v/>
      </c>
      <c r="G33" s="112">
        <f>$B33-$C33-$D33-$E33-$F33</f>
        <v/>
      </c>
      <c r="H33" s="112">
        <f>ROUND($B33*KarliyukSgkIsverenOrani,0)</f>
        <v/>
      </c>
      <c r="I33" s="112">
        <f>ROUND($B33*KarliyukIssizlikIsverenOrani,0)</f>
        <v/>
      </c>
      <c r="J33" s="112">
        <f>$B33+$H33+$I33</f>
        <v/>
      </c>
      <c r="K33" s="114" t="n"/>
    </row>
    <row r="34" ht="15" customHeight="1" s="68">
      <c r="A34" s="114" t="n"/>
      <c r="B34" s="114" t="n"/>
      <c r="C34" s="112">
        <f>ROUND($B34*KarliyukSgkIsciOrani,0)</f>
        <v/>
      </c>
      <c r="D34" s="112">
        <f>ROUND($B34*KarliyukIssizlikIsciOrani,0)</f>
        <v/>
      </c>
      <c r="E34" s="112">
        <f>ROUND($B34*KarliyukStopajOrani,0)</f>
        <v/>
      </c>
      <c r="F34" s="112">
        <f>ROUND($B34*KarliyukDamgaOrani,0)</f>
        <v/>
      </c>
      <c r="G34" s="112">
        <f>$B34-$C34-$D34-$E34-$F34</f>
        <v/>
      </c>
      <c r="H34" s="112">
        <f>ROUND($B34*KarliyukSgkIsverenOrani,0)</f>
        <v/>
      </c>
      <c r="I34" s="112">
        <f>ROUND($B34*KarliyukIssizlikIsverenOrani,0)</f>
        <v/>
      </c>
      <c r="J34" s="112">
        <f>$B34+$H34+$I34</f>
        <v/>
      </c>
      <c r="K34" s="114" t="n"/>
    </row>
    <row r="35" ht="15" customHeight="1" s="68">
      <c r="A35" s="114" t="n"/>
      <c r="B35" s="114" t="n"/>
      <c r="C35" s="112">
        <f>ROUND($B35*KarliyukSgkIsciOrani,0)</f>
        <v/>
      </c>
      <c r="D35" s="112">
        <f>ROUND($B35*KarliyukIssizlikIsciOrani,0)</f>
        <v/>
      </c>
      <c r="E35" s="112">
        <f>ROUND($B35*KarliyukStopajOrani,0)</f>
        <v/>
      </c>
      <c r="F35" s="112">
        <f>ROUND($B35*KarliyukDamgaOrani,0)</f>
        <v/>
      </c>
      <c r="G35" s="112">
        <f>$B35-$C35-$D35-$E35-$F35</f>
        <v/>
      </c>
      <c r="H35" s="112">
        <f>ROUND($B35*KarliyukSgkIsverenOrani,0)</f>
        <v/>
      </c>
      <c r="I35" s="112">
        <f>ROUND($B35*KarliyukIssizlikIsverenOrani,0)</f>
        <v/>
      </c>
      <c r="J35" s="112">
        <f>$B35+$H35+$I35</f>
        <v/>
      </c>
      <c r="K35" s="114" t="n"/>
    </row>
    <row r="36" ht="15" customHeight="1" s="68">
      <c r="A36" s="114" t="n"/>
      <c r="B36" s="114" t="n"/>
      <c r="C36" s="112">
        <f>ROUND($B36*KarliyukSgkIsciOrani,0)</f>
        <v/>
      </c>
      <c r="D36" s="112">
        <f>ROUND($B36*KarliyukIssizlikIsciOrani,0)</f>
        <v/>
      </c>
      <c r="E36" s="112">
        <f>ROUND($B36*KarliyukStopajOrani,0)</f>
        <v/>
      </c>
      <c r="F36" s="112">
        <f>ROUND($B36*KarliyukDamgaOrani,0)</f>
        <v/>
      </c>
      <c r="G36" s="112">
        <f>$B36-$C36-$D36-$E36-$F36</f>
        <v/>
      </c>
      <c r="H36" s="112">
        <f>ROUND($B36*KarliyukSgkIsverenOrani,0)</f>
        <v/>
      </c>
      <c r="I36" s="112">
        <f>ROUND($B36*KarliyukIssizlikIsverenOrani,0)</f>
        <v/>
      </c>
      <c r="J36" s="112">
        <f>$B36+$H36+$I36</f>
        <v/>
      </c>
      <c r="K36" s="114" t="n"/>
    </row>
    <row r="37" ht="15" customHeight="1" s="68">
      <c r="A37" s="114" t="n"/>
      <c r="B37" s="114" t="n"/>
      <c r="C37" s="112">
        <f>ROUND($B37*KarliyukSgkIsciOrani,0)</f>
        <v/>
      </c>
      <c r="D37" s="112">
        <f>ROUND($B37*KarliyukIssizlikIsciOrani,0)</f>
        <v/>
      </c>
      <c r="E37" s="112">
        <f>ROUND($B37*KarliyukStopajOrani,0)</f>
        <v/>
      </c>
      <c r="F37" s="112">
        <f>ROUND($B37*KarliyukDamgaOrani,0)</f>
        <v/>
      </c>
      <c r="G37" s="112">
        <f>$B37-$C37-$D37-$E37-$F37</f>
        <v/>
      </c>
      <c r="H37" s="112">
        <f>ROUND($B37*KarliyukSgkIsverenOrani,0)</f>
        <v/>
      </c>
      <c r="I37" s="112">
        <f>ROUND($B37*KarliyukIssizlikIsverenOrani,0)</f>
        <v/>
      </c>
      <c r="J37" s="112">
        <f>$B37+$H37+$I37</f>
        <v/>
      </c>
      <c r="K37" s="114" t="n"/>
    </row>
    <row r="38" ht="15" customHeight="1" s="68">
      <c r="A38" s="114" t="n"/>
      <c r="B38" s="114" t="n"/>
      <c r="C38" s="112">
        <f>ROUND($B38*KarliyukSgkIsciOrani,0)</f>
        <v/>
      </c>
      <c r="D38" s="112">
        <f>ROUND($B38*KarliyukIssizlikIsciOrani,0)</f>
        <v/>
      </c>
      <c r="E38" s="112">
        <f>ROUND($B38*KarliyukStopajOrani,0)</f>
        <v/>
      </c>
      <c r="F38" s="112">
        <f>ROUND($B38*KarliyukDamgaOrani,0)</f>
        <v/>
      </c>
      <c r="G38" s="112">
        <f>$B38-$C38-$D38-$E38-$F38</f>
        <v/>
      </c>
      <c r="H38" s="112">
        <f>ROUND($B38*KarliyukSgkIsverenOrani,0)</f>
        <v/>
      </c>
      <c r="I38" s="112">
        <f>ROUND($B38*KarliyukIssizlikIsverenOrani,0)</f>
        <v/>
      </c>
      <c r="J38" s="112">
        <f>$B38+$H38+$I38</f>
        <v/>
      </c>
      <c r="K38" s="114" t="n"/>
    </row>
    <row r="39" ht="15" customHeight="1" s="68">
      <c r="A39" s="114" t="n"/>
      <c r="B39" s="114" t="n"/>
      <c r="C39" s="112">
        <f>ROUND($B39*KarliyukSgkIsciOrani,0)</f>
        <v/>
      </c>
      <c r="D39" s="112">
        <f>ROUND($B39*KarliyukIssizlikIsciOrani,0)</f>
        <v/>
      </c>
      <c r="E39" s="112">
        <f>ROUND($B39*KarliyukStopajOrani,0)</f>
        <v/>
      </c>
      <c r="F39" s="112">
        <f>ROUND($B39*KarliyukDamgaOrani,0)</f>
        <v/>
      </c>
      <c r="G39" s="112">
        <f>$B39-$C39-$D39-$E39-$F39</f>
        <v/>
      </c>
      <c r="H39" s="112">
        <f>ROUND($B39*KarliyukSgkIsverenOrani,0)</f>
        <v/>
      </c>
      <c r="I39" s="112">
        <f>ROUND($B39*KarliyukIssizlikIsverenOrani,0)</f>
        <v/>
      </c>
      <c r="J39" s="112">
        <f>$B39+$H39+$I39</f>
        <v/>
      </c>
      <c r="K39" s="114" t="n"/>
    </row>
    <row r="40" ht="15" customHeight="1" s="68">
      <c r="A40" s="114" t="n"/>
      <c r="B40" s="114" t="n"/>
      <c r="C40" s="112">
        <f>ROUND($B40*KarliyukSgkIsciOrani,0)</f>
        <v/>
      </c>
      <c r="D40" s="112">
        <f>ROUND($B40*KarliyukIssizlikIsciOrani,0)</f>
        <v/>
      </c>
      <c r="E40" s="112">
        <f>ROUND($B40*KarliyukStopajOrani,0)</f>
        <v/>
      </c>
      <c r="F40" s="112">
        <f>ROUND($B40*KarliyukDamgaOrani,0)</f>
        <v/>
      </c>
      <c r="G40" s="112">
        <f>$B40-$C40-$D40-$E40-$F40</f>
        <v/>
      </c>
      <c r="H40" s="112">
        <f>ROUND($B40*KarliyukSgkIsverenOrani,0)</f>
        <v/>
      </c>
      <c r="I40" s="112">
        <f>ROUND($B40*KarliyukIssizlikIsverenOrani,0)</f>
        <v/>
      </c>
      <c r="J40" s="112">
        <f>$B40+$H40+$I40</f>
        <v/>
      </c>
      <c r="K40" s="114" t="n"/>
    </row>
    <row r="41" ht="15" customHeight="1" s="68">
      <c r="A41" s="114" t="n"/>
      <c r="B41" s="114" t="n"/>
      <c r="C41" s="112">
        <f>ROUND($B41*KarliyukSgkIsciOrani,0)</f>
        <v/>
      </c>
      <c r="D41" s="112">
        <f>ROUND($B41*KarliyukIssizlikIsciOrani,0)</f>
        <v/>
      </c>
      <c r="E41" s="112">
        <f>ROUND($B41*KarliyukStopajOrani,0)</f>
        <v/>
      </c>
      <c r="F41" s="112">
        <f>ROUND($B41*KarliyukDamgaOrani,0)</f>
        <v/>
      </c>
      <c r="G41" s="112">
        <f>$B41-$C41-$D41-$E41-$F41</f>
        <v/>
      </c>
      <c r="H41" s="112">
        <f>ROUND($B41*KarliyukSgkIsverenOrani,0)</f>
        <v/>
      </c>
      <c r="I41" s="112">
        <f>ROUND($B41*KarliyukIssizlikIsverenOrani,0)</f>
        <v/>
      </c>
      <c r="J41" s="112">
        <f>$B41+$H41+$I41</f>
        <v/>
      </c>
      <c r="K41" s="114" t="n"/>
    </row>
    <row r="42" ht="15" customHeight="1" s="68">
      <c r="A42" s="114" t="n"/>
      <c r="B42" s="114" t="n"/>
      <c r="C42" s="112">
        <f>ROUND($B42*KarliyukSgkIsciOrani,0)</f>
        <v/>
      </c>
      <c r="D42" s="112">
        <f>ROUND($B42*KarliyukIssizlikIsciOrani,0)</f>
        <v/>
      </c>
      <c r="E42" s="112">
        <f>ROUND($B42*KarliyukStopajOrani,0)</f>
        <v/>
      </c>
      <c r="F42" s="112">
        <f>ROUND($B42*KarliyukDamgaOrani,0)</f>
        <v/>
      </c>
      <c r="G42" s="112">
        <f>$B42-$C42-$D42-$E42-$F42</f>
        <v/>
      </c>
      <c r="H42" s="112">
        <f>ROUND($B42*KarliyukSgkIsverenOrani,0)</f>
        <v/>
      </c>
      <c r="I42" s="112">
        <f>ROUND($B42*KarliyukIssizlikIsverenOrani,0)</f>
        <v/>
      </c>
      <c r="J42" s="112">
        <f>$B42+$H42+$I42</f>
        <v/>
      </c>
      <c r="K42" s="114" t="n"/>
    </row>
    <row r="43" ht="15" customHeight="1" s="68">
      <c r="A43" s="114" t="n"/>
      <c r="B43" s="114" t="n"/>
      <c r="C43" s="112">
        <f>ROUND($B43*KarliyukSgkIsciOrani,0)</f>
        <v/>
      </c>
      <c r="D43" s="112">
        <f>ROUND($B43*KarliyukIssizlikIsciOrani,0)</f>
        <v/>
      </c>
      <c r="E43" s="112">
        <f>ROUND($B43*KarliyukStopajOrani,0)</f>
        <v/>
      </c>
      <c r="F43" s="112">
        <f>ROUND($B43*KarliyukDamgaOrani,0)</f>
        <v/>
      </c>
      <c r="G43" s="112">
        <f>$B43-$C43-$D43-$E43-$F43</f>
        <v/>
      </c>
      <c r="H43" s="112">
        <f>ROUND($B43*KarliyukSgkIsverenOrani,0)</f>
        <v/>
      </c>
      <c r="I43" s="112">
        <f>ROUND($B43*KarliyukIssizlikIsverenOrani,0)</f>
        <v/>
      </c>
      <c r="J43" s="112">
        <f>$B43+$H43+$I43</f>
        <v/>
      </c>
      <c r="K43" s="114" t="n"/>
    </row>
    <row r="44" ht="15" customHeight="1" s="68">
      <c r="A44" s="114" t="n"/>
      <c r="B44" s="114" t="n"/>
      <c r="C44" s="112">
        <f>ROUND($B44*KarliyukSgkIsciOrani,0)</f>
        <v/>
      </c>
      <c r="D44" s="112">
        <f>ROUND($B44*KarliyukIssizlikIsciOrani,0)</f>
        <v/>
      </c>
      <c r="E44" s="112">
        <f>ROUND($B44*KarliyukStopajOrani,0)</f>
        <v/>
      </c>
      <c r="F44" s="112">
        <f>ROUND($B44*KarliyukDamgaOrani,0)</f>
        <v/>
      </c>
      <c r="G44" s="112">
        <f>$B44-$C44-$D44-$E44-$F44</f>
        <v/>
      </c>
      <c r="H44" s="112">
        <f>ROUND($B44*KarliyukSgkIsverenOrani,0)</f>
        <v/>
      </c>
      <c r="I44" s="112">
        <f>ROUND($B44*KarliyukIssizlikIsverenOrani,0)</f>
        <v/>
      </c>
      <c r="J44" s="112">
        <f>$B44+$H44+$I44</f>
        <v/>
      </c>
      <c r="K44" s="114" t="n"/>
    </row>
    <row r="45" ht="15" customHeight="1" s="68">
      <c r="A45" s="114" t="n"/>
      <c r="B45" s="114" t="n"/>
      <c r="C45" s="112">
        <f>ROUND($B45*KarliyukSgkIsciOrani,0)</f>
        <v/>
      </c>
      <c r="D45" s="112">
        <f>ROUND($B45*KarliyukIssizlikIsciOrani,0)</f>
        <v/>
      </c>
      <c r="E45" s="112">
        <f>ROUND($B45*KarliyukStopajOrani,0)</f>
        <v/>
      </c>
      <c r="F45" s="112">
        <f>ROUND($B45*KarliyukDamgaOrani,0)</f>
        <v/>
      </c>
      <c r="G45" s="112">
        <f>$B45-$C45-$D45-$E45-$F45</f>
        <v/>
      </c>
      <c r="H45" s="112">
        <f>ROUND($B45*KarliyukSgkIsverenOrani,0)</f>
        <v/>
      </c>
      <c r="I45" s="112">
        <f>ROUND($B45*KarliyukIssizlikIsverenOrani,0)</f>
        <v/>
      </c>
      <c r="J45" s="112">
        <f>$B45+$H45+$I45</f>
        <v/>
      </c>
      <c r="K45" s="114" t="n"/>
    </row>
    <row r="46" ht="15" customHeight="1" s="68">
      <c r="A46" s="114" t="n"/>
      <c r="B46" s="114" t="n"/>
      <c r="C46" s="112">
        <f>ROUND($B46*KarliyukSgkIsciOrani,0)</f>
        <v/>
      </c>
      <c r="D46" s="112">
        <f>ROUND($B46*KarliyukIssizlikIsciOrani,0)</f>
        <v/>
      </c>
      <c r="E46" s="112">
        <f>ROUND($B46*KarliyukStopajOrani,0)</f>
        <v/>
      </c>
      <c r="F46" s="112">
        <f>ROUND($B46*KarliyukDamgaOrani,0)</f>
        <v/>
      </c>
      <c r="G46" s="112">
        <f>$B46-$C46-$D46-$E46-$F46</f>
        <v/>
      </c>
      <c r="H46" s="112">
        <f>ROUND($B46*KarliyukSgkIsverenOrani,0)</f>
        <v/>
      </c>
      <c r="I46" s="112">
        <f>ROUND($B46*KarliyukIssizlikIsverenOrani,0)</f>
        <v/>
      </c>
      <c r="J46" s="112">
        <f>$B46+$H46+$I46</f>
        <v/>
      </c>
      <c r="K46" s="114" t="n"/>
    </row>
    <row r="47" ht="15" customHeight="1" s="68">
      <c r="A47" s="114" t="n"/>
      <c r="B47" s="114" t="n"/>
      <c r="C47" s="112">
        <f>ROUND($B47*KarliyukSgkIsciOrani,0)</f>
        <v/>
      </c>
      <c r="D47" s="112">
        <f>ROUND($B47*KarliyukIssizlikIsciOrani,0)</f>
        <v/>
      </c>
      <c r="E47" s="112">
        <f>ROUND($B47*KarliyukStopajOrani,0)</f>
        <v/>
      </c>
      <c r="F47" s="112">
        <f>ROUND($B47*KarliyukDamgaOrani,0)</f>
        <v/>
      </c>
      <c r="G47" s="112">
        <f>$B47-$C47-$D47-$E47-$F47</f>
        <v/>
      </c>
      <c r="H47" s="112">
        <f>ROUND($B47*KarliyukSgkIsverenOrani,0)</f>
        <v/>
      </c>
      <c r="I47" s="112">
        <f>ROUND($B47*KarliyukIssizlikIsverenOrani,0)</f>
        <v/>
      </c>
      <c r="J47" s="112">
        <f>$B47+$H47+$I47</f>
        <v/>
      </c>
      <c r="K47" s="114" t="n"/>
    </row>
    <row r="48" ht="15" customHeight="1" s="68">
      <c r="A48" s="114" t="n"/>
      <c r="B48" s="114" t="n"/>
      <c r="C48" s="112">
        <f>ROUND($B48*KarliyukSgkIsciOrani,0)</f>
        <v/>
      </c>
      <c r="D48" s="112">
        <f>ROUND($B48*KarliyukIssizlikIsciOrani,0)</f>
        <v/>
      </c>
      <c r="E48" s="112">
        <f>ROUND($B48*KarliyukStopajOrani,0)</f>
        <v/>
      </c>
      <c r="F48" s="112">
        <f>ROUND($B48*KarliyukDamgaOrani,0)</f>
        <v/>
      </c>
      <c r="G48" s="112">
        <f>$B48-$C48-$D48-$E48-$F48</f>
        <v/>
      </c>
      <c r="H48" s="112">
        <f>ROUND($B48*KarliyukSgkIsverenOrani,0)</f>
        <v/>
      </c>
      <c r="I48" s="112">
        <f>ROUND($B48*KarliyukIssizlikIsverenOrani,0)</f>
        <v/>
      </c>
      <c r="J48" s="112">
        <f>$B48+$H48+$I48</f>
        <v/>
      </c>
      <c r="K48" s="114" t="n"/>
    </row>
    <row r="49" ht="15" customHeight="1" s="68">
      <c r="A49" s="114" t="n"/>
      <c r="B49" s="114" t="n"/>
      <c r="C49" s="112">
        <f>ROUND($B49*KarliyukSgkIsciOrani,0)</f>
        <v/>
      </c>
      <c r="D49" s="112">
        <f>ROUND($B49*KarliyukIssizlikIsciOrani,0)</f>
        <v/>
      </c>
      <c r="E49" s="112">
        <f>ROUND($B49*KarliyukStopajOrani,0)</f>
        <v/>
      </c>
      <c r="F49" s="112">
        <f>ROUND($B49*KarliyukDamgaOrani,0)</f>
        <v/>
      </c>
      <c r="G49" s="112">
        <f>$B49-$C49-$D49-$E49-$F49</f>
        <v/>
      </c>
      <c r="H49" s="112">
        <f>ROUND($B49*KarliyukSgkIsverenOrani,0)</f>
        <v/>
      </c>
      <c r="I49" s="112">
        <f>ROUND($B49*KarliyukIssizlikIsverenOrani,0)</f>
        <v/>
      </c>
      <c r="J49" s="112">
        <f>$B49+$H49+$I49</f>
        <v/>
      </c>
      <c r="K49" s="114" t="n"/>
    </row>
    <row r="50" ht="15" customHeight="1" s="68">
      <c r="A50" s="114" t="n"/>
      <c r="B50" s="114" t="n"/>
      <c r="C50" s="112">
        <f>ROUND($B50*KarliyukSgkIsciOrani,0)</f>
        <v/>
      </c>
      <c r="D50" s="112">
        <f>ROUND($B50*KarliyukIssizlikIsciOrani,0)</f>
        <v/>
      </c>
      <c r="E50" s="112">
        <f>ROUND($B50*KarliyukStopajOrani,0)</f>
        <v/>
      </c>
      <c r="F50" s="112">
        <f>ROUND($B50*KarliyukDamgaOrani,0)</f>
        <v/>
      </c>
      <c r="G50" s="112">
        <f>$B50-$C50-$D50-$E50-$F50</f>
        <v/>
      </c>
      <c r="H50" s="112">
        <f>ROUND($B50*KarliyukSgkIsverenOrani,0)</f>
        <v/>
      </c>
      <c r="I50" s="112">
        <f>ROUND($B50*KarliyukIssizlikIsverenOrani,0)</f>
        <v/>
      </c>
      <c r="J50" s="112">
        <f>$B50+$H50+$I50</f>
        <v/>
      </c>
      <c r="K50" s="114" t="n"/>
    </row>
    <row r="51" ht="15" customHeight="1" s="68">
      <c r="A51" s="114" t="n"/>
      <c r="B51" s="114" t="n"/>
      <c r="C51" s="112">
        <f>ROUND($B51*KarliyukSgkIsciOrani,0)</f>
        <v/>
      </c>
      <c r="D51" s="112">
        <f>ROUND($B51*KarliyukIssizlikIsciOrani,0)</f>
        <v/>
      </c>
      <c r="E51" s="112">
        <f>ROUND($B51*KarliyukStopajOrani,0)</f>
        <v/>
      </c>
      <c r="F51" s="112">
        <f>ROUND($B51*KarliyukDamgaOrani,0)</f>
        <v/>
      </c>
      <c r="G51" s="112">
        <f>$B51-$C51-$D51-$E51-$F51</f>
        <v/>
      </c>
      <c r="H51" s="112">
        <f>ROUND($B51*KarliyukSgkIsverenOrani,0)</f>
        <v/>
      </c>
      <c r="I51" s="112">
        <f>ROUND($B51*KarliyukIssizlikIsverenOrani,0)</f>
        <v/>
      </c>
      <c r="J51" s="112">
        <f>$B51+$H51+$I51</f>
        <v/>
      </c>
      <c r="K51" s="114" t="n"/>
    </row>
    <row r="52" ht="15" customHeight="1" s="68">
      <c r="A52" s="114" t="n"/>
      <c r="B52" s="114" t="n"/>
      <c r="C52" s="112">
        <f>ROUND($B52*KarliyukSgkIsciOrani,0)</f>
        <v/>
      </c>
      <c r="D52" s="112">
        <f>ROUND($B52*KarliyukIssizlikIsciOrani,0)</f>
        <v/>
      </c>
      <c r="E52" s="112">
        <f>ROUND($B52*KarliyukStopajOrani,0)</f>
        <v/>
      </c>
      <c r="F52" s="112">
        <f>ROUND($B52*KarliyukDamgaOrani,0)</f>
        <v/>
      </c>
      <c r="G52" s="112">
        <f>$B52-$C52-$D52-$E52-$F52</f>
        <v/>
      </c>
      <c r="H52" s="112">
        <f>ROUND($B52*KarliyukSgkIsverenOrani,0)</f>
        <v/>
      </c>
      <c r="I52" s="112">
        <f>ROUND($B52*KarliyukIssizlikIsverenOrani,0)</f>
        <v/>
      </c>
      <c r="J52" s="112">
        <f>$B52+$H52+$I52</f>
        <v/>
      </c>
      <c r="K52" s="114" t="n"/>
    </row>
    <row r="53" ht="15" customHeight="1" s="68">
      <c r="A53" s="114" t="n"/>
      <c r="B53" s="114" t="n"/>
      <c r="C53" s="112">
        <f>ROUND($B53*KarliyukSgkIsciOrani,0)</f>
        <v/>
      </c>
      <c r="D53" s="112">
        <f>ROUND($B53*KarliyukIssizlikIsciOrani,0)</f>
        <v/>
      </c>
      <c r="E53" s="112">
        <f>ROUND($B53*KarliyukStopajOrani,0)</f>
        <v/>
      </c>
      <c r="F53" s="112">
        <f>ROUND($B53*KarliyukDamgaOrani,0)</f>
        <v/>
      </c>
      <c r="G53" s="112">
        <f>$B53-$C53-$D53-$E53-$F53</f>
        <v/>
      </c>
      <c r="H53" s="112">
        <f>ROUND($B53*KarliyukSgkIsverenOrani,0)</f>
        <v/>
      </c>
      <c r="I53" s="112">
        <f>ROUND($B53*KarliyukIssizlikIsverenOrani,0)</f>
        <v/>
      </c>
      <c r="J53" s="112">
        <f>$B53+$H53+$I53</f>
        <v/>
      </c>
      <c r="K53" s="114" t="n"/>
    </row>
    <row r="54" ht="15" customHeight="1" s="68">
      <c r="A54" s="114" t="n"/>
      <c r="B54" s="114" t="n"/>
      <c r="C54" s="112">
        <f>ROUND($B54*KarliyukSgkIsciOrani,0)</f>
        <v/>
      </c>
      <c r="D54" s="112">
        <f>ROUND($B54*KarliyukIssizlikIsciOrani,0)</f>
        <v/>
      </c>
      <c r="E54" s="112">
        <f>ROUND($B54*KarliyukStopajOrani,0)</f>
        <v/>
      </c>
      <c r="F54" s="112">
        <f>ROUND($B54*KarliyukDamgaOrani,0)</f>
        <v/>
      </c>
      <c r="G54" s="112">
        <f>$B54-$C54-$D54-$E54-$F54</f>
        <v/>
      </c>
      <c r="H54" s="112">
        <f>ROUND($B54*KarliyukSgkIsverenOrani,0)</f>
        <v/>
      </c>
      <c r="I54" s="112">
        <f>ROUND($B54*KarliyukIssizlikIsverenOrani,0)</f>
        <v/>
      </c>
      <c r="J54" s="112">
        <f>$B54+$H54+$I54</f>
        <v/>
      </c>
      <c r="K54" s="114" t="n"/>
    </row>
    <row r="55" ht="15" customHeight="1" s="68">
      <c r="A55" s="114" t="n"/>
      <c r="B55" s="114" t="n"/>
      <c r="C55" s="112">
        <f>ROUND($B55*KarliyukSgkIsciOrani,0)</f>
        <v/>
      </c>
      <c r="D55" s="112">
        <f>ROUND($B55*KarliyukIssizlikIsciOrani,0)</f>
        <v/>
      </c>
      <c r="E55" s="112">
        <f>ROUND($B55*KarliyukStopajOrani,0)</f>
        <v/>
      </c>
      <c r="F55" s="112">
        <f>ROUND($B55*KarliyukDamgaOrani,0)</f>
        <v/>
      </c>
      <c r="G55" s="112">
        <f>$B55-$C55-$D55-$E55-$F55</f>
        <v/>
      </c>
      <c r="H55" s="112">
        <f>ROUND($B55*KarliyukSgkIsverenOrani,0)</f>
        <v/>
      </c>
      <c r="I55" s="112">
        <f>ROUND($B55*KarliyukIssizlikIsverenOrani,0)</f>
        <v/>
      </c>
      <c r="J55" s="112">
        <f>$B55+$H55+$I55</f>
        <v/>
      </c>
      <c r="K55" s="114" t="n"/>
    </row>
    <row r="56" ht="15" customHeight="1" s="68">
      <c r="A56" s="114" t="n"/>
      <c r="B56" s="114" t="n"/>
      <c r="C56" s="112">
        <f>ROUND($B56*KarliyukSgkIsciOrani,0)</f>
        <v/>
      </c>
      <c r="D56" s="112">
        <f>ROUND($B56*KarliyukIssizlikIsciOrani,0)</f>
        <v/>
      </c>
      <c r="E56" s="112">
        <f>ROUND($B56*KarliyukStopajOrani,0)</f>
        <v/>
      </c>
      <c r="F56" s="112">
        <f>ROUND($B56*KarliyukDamgaOrani,0)</f>
        <v/>
      </c>
      <c r="G56" s="112">
        <f>$B56-$C56-$D56-$E56-$F56</f>
        <v/>
      </c>
      <c r="H56" s="112">
        <f>ROUND($B56*KarliyukSgkIsverenOrani,0)</f>
        <v/>
      </c>
      <c r="I56" s="112">
        <f>ROUND($B56*KarliyukIssizlikIsverenOrani,0)</f>
        <v/>
      </c>
      <c r="J56" s="112">
        <f>$B56+$H56+$I56</f>
        <v/>
      </c>
      <c r="K56" s="114" t="n"/>
    </row>
    <row r="57" ht="15" customHeight="1" s="68">
      <c r="A57" s="114" t="n"/>
      <c r="B57" s="114" t="n"/>
      <c r="C57" s="112">
        <f>ROUND($B57*KarliyukSgkIsciOrani,0)</f>
        <v/>
      </c>
      <c r="D57" s="112">
        <f>ROUND($B57*KarliyukIssizlikIsciOrani,0)</f>
        <v/>
      </c>
      <c r="E57" s="112">
        <f>ROUND($B57*KarliyukStopajOrani,0)</f>
        <v/>
      </c>
      <c r="F57" s="112">
        <f>ROUND($B57*KarliyukDamgaOrani,0)</f>
        <v/>
      </c>
      <c r="G57" s="112">
        <f>$B57-$C57-$D57-$E57-$F57</f>
        <v/>
      </c>
      <c r="H57" s="112">
        <f>ROUND($B57*KarliyukSgkIsverenOrani,0)</f>
        <v/>
      </c>
      <c r="I57" s="112">
        <f>ROUND($B57*KarliyukIssizlikIsverenOrani,0)</f>
        <v/>
      </c>
      <c r="J57" s="112">
        <f>$B57+$H57+$I57</f>
        <v/>
      </c>
      <c r="K57" s="114" t="n"/>
    </row>
    <row r="58" ht="15" customHeight="1" s="68">
      <c r="A58" s="114" t="n"/>
      <c r="B58" s="114" t="n"/>
      <c r="C58" s="112">
        <f>ROUND($B58*KarliyukSgkIsciOrani,0)</f>
        <v/>
      </c>
      <c r="D58" s="112">
        <f>ROUND($B58*KarliyukIssizlikIsciOrani,0)</f>
        <v/>
      </c>
      <c r="E58" s="112">
        <f>ROUND($B58*KarliyukStopajOrani,0)</f>
        <v/>
      </c>
      <c r="F58" s="112">
        <f>ROUND($B58*KarliyukDamgaOrani,0)</f>
        <v/>
      </c>
      <c r="G58" s="112">
        <f>$B58-$C58-$D58-$E58-$F58</f>
        <v/>
      </c>
      <c r="H58" s="112">
        <f>ROUND($B58*KarliyukSgkIsverenOrani,0)</f>
        <v/>
      </c>
      <c r="I58" s="112">
        <f>ROUND($B58*KarliyukIssizlikIsverenOrani,0)</f>
        <v/>
      </c>
      <c r="J58" s="112">
        <f>$B58+$H58+$I58</f>
        <v/>
      </c>
      <c r="K58" s="114" t="n"/>
    </row>
    <row r="59" ht="15" customHeight="1" s="68">
      <c r="A59" s="114" t="n"/>
      <c r="B59" s="114" t="n"/>
      <c r="C59" s="112">
        <f>ROUND($B59*KarliyukSgkIsciOrani,0)</f>
        <v/>
      </c>
      <c r="D59" s="112">
        <f>ROUND($B59*KarliyukIssizlikIsciOrani,0)</f>
        <v/>
      </c>
      <c r="E59" s="112">
        <f>ROUND($B59*KarliyukStopajOrani,0)</f>
        <v/>
      </c>
      <c r="F59" s="112">
        <f>ROUND($B59*KarliyukDamgaOrani,0)</f>
        <v/>
      </c>
      <c r="G59" s="112">
        <f>$B59-$C59-$D59-$E59-$F59</f>
        <v/>
      </c>
      <c r="H59" s="112">
        <f>ROUND($B59*KarliyukSgkIsverenOrani,0)</f>
        <v/>
      </c>
      <c r="I59" s="112">
        <f>ROUND($B59*KarliyukIssizlikIsverenOrani,0)</f>
        <v/>
      </c>
      <c r="J59" s="112">
        <f>$B59+$H59+$I59</f>
        <v/>
      </c>
      <c r="K59" s="114" t="n"/>
    </row>
    <row r="60" ht="15" customHeight="1" s="68">
      <c r="A60" s="114" t="n"/>
      <c r="B60" s="114" t="n"/>
      <c r="C60" s="112">
        <f>ROUND($B60*KarliyukSgkIsciOrani,0)</f>
        <v/>
      </c>
      <c r="D60" s="112">
        <f>ROUND($B60*KarliyukIssizlikIsciOrani,0)</f>
        <v/>
      </c>
      <c r="E60" s="112">
        <f>ROUND($B60*KarliyukStopajOrani,0)</f>
        <v/>
      </c>
      <c r="F60" s="112">
        <f>ROUND($B60*KarliyukDamgaOrani,0)</f>
        <v/>
      </c>
      <c r="G60" s="112">
        <f>$B60-$C60-$D60-$E60-$F60</f>
        <v/>
      </c>
      <c r="H60" s="112">
        <f>ROUND($B60*KarliyukSgkIsverenOrani,0)</f>
        <v/>
      </c>
      <c r="I60" s="112">
        <f>ROUND($B60*KarliyukIssizlikIsverenOrani,0)</f>
        <v/>
      </c>
      <c r="J60" s="112">
        <f>$B60+$H60+$I60</f>
        <v/>
      </c>
      <c r="K60" s="114" t="n"/>
    </row>
    <row r="61" ht="15" customHeight="1" s="68">
      <c r="A61" s="114" t="n"/>
      <c r="B61" s="114" t="n"/>
      <c r="C61" s="112">
        <f>ROUND($B61*KarliyukSgkIsciOrani,0)</f>
        <v/>
      </c>
      <c r="D61" s="112">
        <f>ROUND($B61*KarliyukIssizlikIsciOrani,0)</f>
        <v/>
      </c>
      <c r="E61" s="112">
        <f>ROUND($B61*KarliyukStopajOrani,0)</f>
        <v/>
      </c>
      <c r="F61" s="112">
        <f>ROUND($B61*KarliyukDamgaOrani,0)</f>
        <v/>
      </c>
      <c r="G61" s="112">
        <f>$B61-$C61-$D61-$E61-$F61</f>
        <v/>
      </c>
      <c r="H61" s="112">
        <f>ROUND($B61*KarliyukSgkIsverenOrani,0)</f>
        <v/>
      </c>
      <c r="I61" s="112">
        <f>ROUND($B61*KarliyukIssizlikIsverenOrani,0)</f>
        <v/>
      </c>
      <c r="J61" s="112">
        <f>$B61+$H61+$I61</f>
        <v/>
      </c>
      <c r="K61" s="114" t="n"/>
    </row>
    <row r="62" ht="15" customHeight="1" s="68">
      <c r="A62" s="114" t="n"/>
      <c r="B62" s="114" t="n"/>
      <c r="C62" s="112">
        <f>ROUND($B62*KarliyukSgkIsciOrani,0)</f>
        <v/>
      </c>
      <c r="D62" s="112">
        <f>ROUND($B62*KarliyukIssizlikIsciOrani,0)</f>
        <v/>
      </c>
      <c r="E62" s="112">
        <f>ROUND($B62*KarliyukStopajOrani,0)</f>
        <v/>
      </c>
      <c r="F62" s="112">
        <f>ROUND($B62*KarliyukDamgaOrani,0)</f>
        <v/>
      </c>
      <c r="G62" s="112">
        <f>$B62-$C62-$D62-$E62-$F62</f>
        <v/>
      </c>
      <c r="H62" s="112">
        <f>ROUND($B62*KarliyukSgkIsverenOrani,0)</f>
        <v/>
      </c>
      <c r="I62" s="112">
        <f>ROUND($B62*KarliyukIssizlikIsverenOrani,0)</f>
        <v/>
      </c>
      <c r="J62" s="112">
        <f>$B62+$H62+$I62</f>
        <v/>
      </c>
      <c r="K62" s="114" t="n"/>
    </row>
    <row r="63" ht="15" customHeight="1" s="68">
      <c r="A63" s="114" t="n"/>
      <c r="B63" s="114" t="n"/>
      <c r="C63" s="112">
        <f>ROUND($B63*KarliyukSgkIsciOrani,0)</f>
        <v/>
      </c>
      <c r="D63" s="112">
        <f>ROUND($B63*KarliyukIssizlikIsciOrani,0)</f>
        <v/>
      </c>
      <c r="E63" s="112">
        <f>ROUND($B63*KarliyukStopajOrani,0)</f>
        <v/>
      </c>
      <c r="F63" s="112">
        <f>ROUND($B63*KarliyukDamgaOrani,0)</f>
        <v/>
      </c>
      <c r="G63" s="112">
        <f>$B63-$C63-$D63-$E63-$F63</f>
        <v/>
      </c>
      <c r="H63" s="112">
        <f>ROUND($B63*KarliyukSgkIsverenOrani,0)</f>
        <v/>
      </c>
      <c r="I63" s="112">
        <f>ROUND($B63*KarliyukIssizlikIsverenOrani,0)</f>
        <v/>
      </c>
      <c r="J63" s="112">
        <f>$B63+$H63+$I63</f>
        <v/>
      </c>
      <c r="K63" s="114" t="n"/>
    </row>
    <row r="64" ht="15" customHeight="1" s="68">
      <c r="A64" s="114" t="n"/>
      <c r="B64" s="114" t="n"/>
      <c r="C64" s="112">
        <f>ROUND($B64*KarliyukSgkIsciOrani,0)</f>
        <v/>
      </c>
      <c r="D64" s="112">
        <f>ROUND($B64*KarliyukIssizlikIsciOrani,0)</f>
        <v/>
      </c>
      <c r="E64" s="112">
        <f>ROUND($B64*KarliyukStopajOrani,0)</f>
        <v/>
      </c>
      <c r="F64" s="112">
        <f>ROUND($B64*KarliyukDamgaOrani,0)</f>
        <v/>
      </c>
      <c r="G64" s="112">
        <f>$B64-$C64-$D64-$E64-$F64</f>
        <v/>
      </c>
      <c r="H64" s="112">
        <f>ROUND($B64*KarliyukSgkIsverenOrani,0)</f>
        <v/>
      </c>
      <c r="I64" s="112">
        <f>ROUND($B64*KarliyukIssizlikIsverenOrani,0)</f>
        <v/>
      </c>
      <c r="J64" s="112">
        <f>$B64+$H64+$I64</f>
        <v/>
      </c>
      <c r="K64" s="114" t="n"/>
    </row>
    <row r="65" ht="15" customHeight="1" s="68">
      <c r="A65" s="114" t="n"/>
      <c r="B65" s="114" t="n"/>
      <c r="C65" s="112">
        <f>ROUND($B65*KarliyukSgkIsciOrani,0)</f>
        <v/>
      </c>
      <c r="D65" s="112">
        <f>ROUND($B65*KarliyukIssizlikIsciOrani,0)</f>
        <v/>
      </c>
      <c r="E65" s="112">
        <f>ROUND($B65*KarliyukStopajOrani,0)</f>
        <v/>
      </c>
      <c r="F65" s="112">
        <f>ROUND($B65*KarliyukDamgaOrani,0)</f>
        <v/>
      </c>
      <c r="G65" s="112">
        <f>$B65-$C65-$D65-$E65-$F65</f>
        <v/>
      </c>
      <c r="H65" s="112">
        <f>ROUND($B65*KarliyukSgkIsverenOrani,0)</f>
        <v/>
      </c>
      <c r="I65" s="112">
        <f>ROUND($B65*KarliyukIssizlikIsverenOrani,0)</f>
        <v/>
      </c>
      <c r="J65" s="112">
        <f>$B65+$H65+$I65</f>
        <v/>
      </c>
      <c r="K65" s="114" t="n"/>
    </row>
    <row r="66" ht="15" customHeight="1" s="68">
      <c r="A66" s="114" t="n"/>
      <c r="B66" s="114" t="n"/>
      <c r="C66" s="112">
        <f>ROUND($B66*KarliyukSgkIsciOrani,0)</f>
        <v/>
      </c>
      <c r="D66" s="112">
        <f>ROUND($B66*KarliyukIssizlikIsciOrani,0)</f>
        <v/>
      </c>
      <c r="E66" s="112">
        <f>ROUND($B66*KarliyukStopajOrani,0)</f>
        <v/>
      </c>
      <c r="F66" s="112">
        <f>ROUND($B66*KarliyukDamgaOrani,0)</f>
        <v/>
      </c>
      <c r="G66" s="112">
        <f>$B66-$C66-$D66-$E66-$F66</f>
        <v/>
      </c>
      <c r="H66" s="112">
        <f>ROUND($B66*KarliyukSgkIsverenOrani,0)</f>
        <v/>
      </c>
      <c r="I66" s="112">
        <f>ROUND($B66*KarliyukIssizlikIsverenOrani,0)</f>
        <v/>
      </c>
      <c r="J66" s="112">
        <f>$B66+$H66+$I66</f>
        <v/>
      </c>
      <c r="K66" s="114" t="n"/>
    </row>
    <row r="67" ht="15" customHeight="1" s="68">
      <c r="A67" s="114" t="n"/>
      <c r="B67" s="114" t="n"/>
      <c r="C67" s="112">
        <f>ROUND($B67*KarliyukSgkIsciOrani,0)</f>
        <v/>
      </c>
      <c r="D67" s="112">
        <f>ROUND($B67*KarliyukIssizlikIsciOrani,0)</f>
        <v/>
      </c>
      <c r="E67" s="112">
        <f>ROUND($B67*KarliyukStopajOrani,0)</f>
        <v/>
      </c>
      <c r="F67" s="112">
        <f>ROUND($B67*KarliyukDamgaOrani,0)</f>
        <v/>
      </c>
      <c r="G67" s="112">
        <f>$B67-$C67-$D67-$E67-$F67</f>
        <v/>
      </c>
      <c r="H67" s="112">
        <f>ROUND($B67*KarliyukSgkIsverenOrani,0)</f>
        <v/>
      </c>
      <c r="I67" s="112">
        <f>ROUND($B67*KarliyukIssizlikIsverenOrani,0)</f>
        <v/>
      </c>
      <c r="J67" s="112">
        <f>$B67+$H67+$I67</f>
        <v/>
      </c>
      <c r="K67" s="114" t="n"/>
    </row>
    <row r="68" ht="15" customHeight="1" s="68">
      <c r="A68" s="114" t="n"/>
      <c r="B68" s="114" t="n"/>
      <c r="C68" s="112">
        <f>ROUND($B68*KarliyukSgkIsciOrani,0)</f>
        <v/>
      </c>
      <c r="D68" s="112">
        <f>ROUND($B68*KarliyukIssizlikIsciOrani,0)</f>
        <v/>
      </c>
      <c r="E68" s="112">
        <f>ROUND($B68*KarliyukStopajOrani,0)</f>
        <v/>
      </c>
      <c r="F68" s="112">
        <f>ROUND($B68*KarliyukDamgaOrani,0)</f>
        <v/>
      </c>
      <c r="G68" s="112">
        <f>$B68-$C68-$D68-$E68-$F68</f>
        <v/>
      </c>
      <c r="H68" s="112">
        <f>ROUND($B68*KarliyukSgkIsverenOrani,0)</f>
        <v/>
      </c>
      <c r="I68" s="112">
        <f>ROUND($B68*KarliyukIssizlikIsverenOrani,0)</f>
        <v/>
      </c>
      <c r="J68" s="112">
        <f>$B68+$H68+$I68</f>
        <v/>
      </c>
      <c r="K68" s="114" t="n"/>
    </row>
    <row r="69" ht="15" customHeight="1" s="68">
      <c r="A69" s="114" t="n"/>
      <c r="B69" s="114" t="n"/>
      <c r="C69" s="112">
        <f>ROUND($B69*KarliyukSgkIsciOrani,0)</f>
        <v/>
      </c>
      <c r="D69" s="112">
        <f>ROUND($B69*KarliyukIssizlikIsciOrani,0)</f>
        <v/>
      </c>
      <c r="E69" s="112">
        <f>ROUND($B69*KarliyukStopajOrani,0)</f>
        <v/>
      </c>
      <c r="F69" s="112">
        <f>ROUND($B69*KarliyukDamgaOrani,0)</f>
        <v/>
      </c>
      <c r="G69" s="112">
        <f>$B69-$C69-$D69-$E69-$F69</f>
        <v/>
      </c>
      <c r="H69" s="112">
        <f>ROUND($B69*KarliyukSgkIsverenOrani,0)</f>
        <v/>
      </c>
      <c r="I69" s="112">
        <f>ROUND($B69*KarliyukIssizlikIsverenOrani,0)</f>
        <v/>
      </c>
      <c r="J69" s="112">
        <f>$B69+$H69+$I69</f>
        <v/>
      </c>
      <c r="K69" s="114" t="n"/>
    </row>
    <row r="70" ht="15" customHeight="1" s="68">
      <c r="A70" s="114" t="n"/>
      <c r="B70" s="114" t="n"/>
      <c r="C70" s="112">
        <f>ROUND($B70*KarliyukSgkIsciOrani,0)</f>
        <v/>
      </c>
      <c r="D70" s="112">
        <f>ROUND($B70*KarliyukIssizlikIsciOrani,0)</f>
        <v/>
      </c>
      <c r="E70" s="112">
        <f>ROUND($B70*KarliyukStopajOrani,0)</f>
        <v/>
      </c>
      <c r="F70" s="112">
        <f>ROUND($B70*KarliyukDamgaOrani,0)</f>
        <v/>
      </c>
      <c r="G70" s="112">
        <f>$B70-$C70-$D70-$E70-$F70</f>
        <v/>
      </c>
      <c r="H70" s="112">
        <f>ROUND($B70*KarliyukSgkIsverenOrani,0)</f>
        <v/>
      </c>
      <c r="I70" s="112">
        <f>ROUND($B70*KarliyukIssizlikIsverenOrani,0)</f>
        <v/>
      </c>
      <c r="J70" s="112">
        <f>$B70+$H70+$I70</f>
        <v/>
      </c>
      <c r="K70" s="114" t="n"/>
    </row>
    <row r="71" ht="15" customHeight="1" s="68">
      <c r="A71" s="114" t="n"/>
      <c r="B71" s="114" t="n"/>
      <c r="C71" s="112">
        <f>ROUND($B71*KarliyukSgkIsciOrani,0)</f>
        <v/>
      </c>
      <c r="D71" s="112">
        <f>ROUND($B71*KarliyukIssizlikIsciOrani,0)</f>
        <v/>
      </c>
      <c r="E71" s="112">
        <f>ROUND($B71*KarliyukStopajOrani,0)</f>
        <v/>
      </c>
      <c r="F71" s="112">
        <f>ROUND($B71*KarliyukDamgaOrani,0)</f>
        <v/>
      </c>
      <c r="G71" s="112">
        <f>$B71-$C71-$D71-$E71-$F71</f>
        <v/>
      </c>
      <c r="H71" s="112">
        <f>ROUND($B71*KarliyukSgkIsverenOrani,0)</f>
        <v/>
      </c>
      <c r="I71" s="112">
        <f>ROUND($B71*KarliyukIssizlikIsverenOrani,0)</f>
        <v/>
      </c>
      <c r="J71" s="112">
        <f>$B71+$H71+$I71</f>
        <v/>
      </c>
      <c r="K71" s="114" t="n"/>
    </row>
    <row r="72" ht="15" customHeight="1" s="68">
      <c r="A72" s="114" t="n"/>
      <c r="B72" s="114" t="n"/>
      <c r="C72" s="112">
        <f>ROUND($B72*KarliyukSgkIsciOrani,0)</f>
        <v/>
      </c>
      <c r="D72" s="112">
        <f>ROUND($B72*KarliyukIssizlikIsciOrani,0)</f>
        <v/>
      </c>
      <c r="E72" s="112">
        <f>ROUND($B72*KarliyukStopajOrani,0)</f>
        <v/>
      </c>
      <c r="F72" s="112">
        <f>ROUND($B72*KarliyukDamgaOrani,0)</f>
        <v/>
      </c>
      <c r="G72" s="112">
        <f>$B72-$C72-$D72-$E72-$F72</f>
        <v/>
      </c>
      <c r="H72" s="112">
        <f>ROUND($B72*KarliyukSgkIsverenOrani,0)</f>
        <v/>
      </c>
      <c r="I72" s="112">
        <f>ROUND($B72*KarliyukIssizlikIsverenOrani,0)</f>
        <v/>
      </c>
      <c r="J72" s="112">
        <f>$B72+$H72+$I72</f>
        <v/>
      </c>
      <c r="K72" s="114" t="n"/>
    </row>
    <row r="73" ht="15" customHeight="1" s="68">
      <c r="A73" s="114" t="n"/>
      <c r="B73" s="114" t="n"/>
      <c r="C73" s="112">
        <f>ROUND($B73*KarliyukSgkIsciOrani,0)</f>
        <v/>
      </c>
      <c r="D73" s="112">
        <f>ROUND($B73*KarliyukIssizlikIsciOrani,0)</f>
        <v/>
      </c>
      <c r="E73" s="112">
        <f>ROUND($B73*KarliyukStopajOrani,0)</f>
        <v/>
      </c>
      <c r="F73" s="112">
        <f>ROUND($B73*KarliyukDamgaOrani,0)</f>
        <v/>
      </c>
      <c r="G73" s="112">
        <f>$B73-$C73-$D73-$E73-$F73</f>
        <v/>
      </c>
      <c r="H73" s="112">
        <f>ROUND($B73*KarliyukSgkIsverenOrani,0)</f>
        <v/>
      </c>
      <c r="I73" s="112">
        <f>ROUND($B73*KarliyukIssizlikIsverenOrani,0)</f>
        <v/>
      </c>
      <c r="J73" s="112">
        <f>$B73+$H73+$I73</f>
        <v/>
      </c>
      <c r="K73" s="114" t="n"/>
    </row>
    <row r="74" ht="15" customHeight="1" s="68">
      <c r="A74" s="114" t="n"/>
      <c r="B74" s="114" t="n"/>
      <c r="C74" s="112">
        <f>ROUND($B74*KarliyukSgkIsciOrani,0)</f>
        <v/>
      </c>
      <c r="D74" s="112">
        <f>ROUND($B74*KarliyukIssizlikIsciOrani,0)</f>
        <v/>
      </c>
      <c r="E74" s="112">
        <f>ROUND($B74*KarliyukStopajOrani,0)</f>
        <v/>
      </c>
      <c r="F74" s="112">
        <f>ROUND($B74*KarliyukDamgaOrani,0)</f>
        <v/>
      </c>
      <c r="G74" s="112">
        <f>$B74-$C74-$D74-$E74-$F74</f>
        <v/>
      </c>
      <c r="H74" s="112">
        <f>ROUND($B74*KarliyukSgkIsverenOrani,0)</f>
        <v/>
      </c>
      <c r="I74" s="112">
        <f>ROUND($B74*KarliyukIssizlikIsverenOrani,0)</f>
        <v/>
      </c>
      <c r="J74" s="112">
        <f>$B74+$H74+$I74</f>
        <v/>
      </c>
      <c r="K74" s="114" t="n"/>
    </row>
    <row r="75" ht="15" customHeight="1" s="68">
      <c r="A75" s="114" t="n"/>
      <c r="B75" s="114" t="n"/>
      <c r="C75" s="112">
        <f>ROUND($B75*KarliyukSgkIsciOrani,0)</f>
        <v/>
      </c>
      <c r="D75" s="112">
        <f>ROUND($B75*KarliyukIssizlikIsciOrani,0)</f>
        <v/>
      </c>
      <c r="E75" s="112">
        <f>ROUND($B75*KarliyukStopajOrani,0)</f>
        <v/>
      </c>
      <c r="F75" s="112">
        <f>ROUND($B75*KarliyukDamgaOrani,0)</f>
        <v/>
      </c>
      <c r="G75" s="112">
        <f>$B75-$C75-$D75-$E75-$F75</f>
        <v/>
      </c>
      <c r="H75" s="112">
        <f>ROUND($B75*KarliyukSgkIsverenOrani,0)</f>
        <v/>
      </c>
      <c r="I75" s="112">
        <f>ROUND($B75*KarliyukIssizlikIsverenOrani,0)</f>
        <v/>
      </c>
      <c r="J75" s="112">
        <f>$B75+$H75+$I75</f>
        <v/>
      </c>
      <c r="K75" s="114" t="n"/>
    </row>
    <row r="76" ht="15" customHeight="1" s="68">
      <c r="A76" s="114" t="n"/>
      <c r="B76" s="114" t="n"/>
      <c r="C76" s="112">
        <f>ROUND($B76*KarliyukSgkIsciOrani,0)</f>
        <v/>
      </c>
      <c r="D76" s="112">
        <f>ROUND($B76*KarliyukIssizlikIsciOrani,0)</f>
        <v/>
      </c>
      <c r="E76" s="112">
        <f>ROUND($B76*KarliyukStopajOrani,0)</f>
        <v/>
      </c>
      <c r="F76" s="112">
        <f>ROUND($B76*KarliyukDamgaOrani,0)</f>
        <v/>
      </c>
      <c r="G76" s="112">
        <f>$B76-$C76-$D76-$E76-$F76</f>
        <v/>
      </c>
      <c r="H76" s="112">
        <f>ROUND($B76*KarliyukSgkIsverenOrani,0)</f>
        <v/>
      </c>
      <c r="I76" s="112">
        <f>ROUND($B76*KarliyukIssizlikIsverenOrani,0)</f>
        <v/>
      </c>
      <c r="J76" s="112">
        <f>$B76+$H76+$I76</f>
        <v/>
      </c>
      <c r="K76" s="114" t="n"/>
    </row>
    <row r="77" ht="15" customHeight="1" s="68">
      <c r="A77" s="114" t="n"/>
      <c r="B77" s="114" t="n"/>
      <c r="C77" s="112">
        <f>ROUND($B77*KarliyukSgkIsciOrani,0)</f>
        <v/>
      </c>
      <c r="D77" s="112">
        <f>ROUND($B77*KarliyukIssizlikIsciOrani,0)</f>
        <v/>
      </c>
      <c r="E77" s="112">
        <f>ROUND($B77*KarliyukStopajOrani,0)</f>
        <v/>
      </c>
      <c r="F77" s="112">
        <f>ROUND($B77*KarliyukDamgaOrani,0)</f>
        <v/>
      </c>
      <c r="G77" s="112">
        <f>$B77-$C77-$D77-$E77-$F77</f>
        <v/>
      </c>
      <c r="H77" s="112">
        <f>ROUND($B77*KarliyukSgkIsverenOrani,0)</f>
        <v/>
      </c>
      <c r="I77" s="112">
        <f>ROUND($B77*KarliyukIssizlikIsverenOrani,0)</f>
        <v/>
      </c>
      <c r="J77" s="112">
        <f>$B77+$H77+$I77</f>
        <v/>
      </c>
      <c r="K77" s="114" t="n"/>
    </row>
    <row r="78" ht="15" customHeight="1" s="68">
      <c r="A78" s="114" t="n"/>
      <c r="B78" s="114" t="n"/>
      <c r="C78" s="112">
        <f>ROUND($B78*KarliyukSgkIsciOrani,0)</f>
        <v/>
      </c>
      <c r="D78" s="112">
        <f>ROUND($B78*KarliyukIssizlikIsciOrani,0)</f>
        <v/>
      </c>
      <c r="E78" s="112">
        <f>ROUND($B78*KarliyukStopajOrani,0)</f>
        <v/>
      </c>
      <c r="F78" s="112">
        <f>ROUND($B78*KarliyukDamgaOrani,0)</f>
        <v/>
      </c>
      <c r="G78" s="112">
        <f>$B78-$C78-$D78-$E78-$F78</f>
        <v/>
      </c>
      <c r="H78" s="112">
        <f>ROUND($B78*KarliyukSgkIsverenOrani,0)</f>
        <v/>
      </c>
      <c r="I78" s="112">
        <f>ROUND($B78*KarliyukIssizlikIsverenOrani,0)</f>
        <v/>
      </c>
      <c r="J78" s="112">
        <f>$B78+$H78+$I78</f>
        <v/>
      </c>
      <c r="K78" s="114" t="n"/>
    </row>
    <row r="79" ht="15" customHeight="1" s="68">
      <c r="A79" s="114" t="n"/>
      <c r="B79" s="114" t="n"/>
      <c r="C79" s="112">
        <f>ROUND($B79*KarliyukSgkIsciOrani,0)</f>
        <v/>
      </c>
      <c r="D79" s="112">
        <f>ROUND($B79*KarliyukIssizlikIsciOrani,0)</f>
        <v/>
      </c>
      <c r="E79" s="112">
        <f>ROUND($B79*KarliyukStopajOrani,0)</f>
        <v/>
      </c>
      <c r="F79" s="112">
        <f>ROUND($B79*KarliyukDamgaOrani,0)</f>
        <v/>
      </c>
      <c r="G79" s="112">
        <f>$B79-$C79-$D79-$E79-$F79</f>
        <v/>
      </c>
      <c r="H79" s="112">
        <f>ROUND($B79*KarliyukSgkIsverenOrani,0)</f>
        <v/>
      </c>
      <c r="I79" s="112">
        <f>ROUND($B79*KarliyukIssizlikIsverenOrani,0)</f>
        <v/>
      </c>
      <c r="J79" s="112">
        <f>$B79+$H79+$I79</f>
        <v/>
      </c>
      <c r="K79" s="114" t="n"/>
    </row>
    <row r="80" ht="15" customHeight="1" s="68">
      <c r="A80" s="114" t="n"/>
      <c r="B80" s="114" t="n"/>
      <c r="C80" s="112">
        <f>ROUND($B80*KarliyukSgkIsciOrani,0)</f>
        <v/>
      </c>
      <c r="D80" s="112">
        <f>ROUND($B80*KarliyukIssizlikIsciOrani,0)</f>
        <v/>
      </c>
      <c r="E80" s="112">
        <f>ROUND($B80*KarliyukStopajOrani,0)</f>
        <v/>
      </c>
      <c r="F80" s="112">
        <f>ROUND($B80*KarliyukDamgaOrani,0)</f>
        <v/>
      </c>
      <c r="G80" s="112">
        <f>$B80-$C80-$D80-$E80-$F80</f>
        <v/>
      </c>
      <c r="H80" s="112">
        <f>ROUND($B80*KarliyukSgkIsverenOrani,0)</f>
        <v/>
      </c>
      <c r="I80" s="112">
        <f>ROUND($B80*KarliyukIssizlikIsverenOrani,0)</f>
        <v/>
      </c>
      <c r="J80" s="112">
        <f>$B80+$H80+$I80</f>
        <v/>
      </c>
      <c r="K80" s="114" t="n"/>
    </row>
    <row r="81" ht="15" customHeight="1" s="68">
      <c r="A81" s="114" t="n"/>
      <c r="B81" s="114" t="n"/>
      <c r="C81" s="112">
        <f>ROUND($B81*KarliyukSgkIsciOrani,0)</f>
        <v/>
      </c>
      <c r="D81" s="112">
        <f>ROUND($B81*KarliyukIssizlikIsciOrani,0)</f>
        <v/>
      </c>
      <c r="E81" s="112">
        <f>ROUND($B81*KarliyukStopajOrani,0)</f>
        <v/>
      </c>
      <c r="F81" s="112">
        <f>ROUND($B81*KarliyukDamgaOrani,0)</f>
        <v/>
      </c>
      <c r="G81" s="112">
        <f>$B81-$C81-$D81-$E81-$F81</f>
        <v/>
      </c>
      <c r="H81" s="112">
        <f>ROUND($B81*KarliyukSgkIsverenOrani,0)</f>
        <v/>
      </c>
      <c r="I81" s="112">
        <f>ROUND($B81*KarliyukIssizlikIsverenOrani,0)</f>
        <v/>
      </c>
      <c r="J81" s="112">
        <f>$B81+$H81+$I81</f>
        <v/>
      </c>
      <c r="K81" s="114" t="n"/>
    </row>
    <row r="82" ht="15" customHeight="1" s="68">
      <c r="A82" s="114" t="n"/>
      <c r="B82" s="114" t="n"/>
      <c r="C82" s="112">
        <f>ROUND($B82*KarliyukSgkIsciOrani,0)</f>
        <v/>
      </c>
      <c r="D82" s="112">
        <f>ROUND($B82*KarliyukIssizlikIsciOrani,0)</f>
        <v/>
      </c>
      <c r="E82" s="112">
        <f>ROUND($B82*KarliyukStopajOrani,0)</f>
        <v/>
      </c>
      <c r="F82" s="112">
        <f>ROUND($B82*KarliyukDamgaOrani,0)</f>
        <v/>
      </c>
      <c r="G82" s="112">
        <f>$B82-$C82-$D82-$E82-$F82</f>
        <v/>
      </c>
      <c r="H82" s="112">
        <f>ROUND($B82*KarliyukSgkIsverenOrani,0)</f>
        <v/>
      </c>
      <c r="I82" s="112">
        <f>ROUND($B82*KarliyukIssizlikIsverenOrani,0)</f>
        <v/>
      </c>
      <c r="J82" s="112">
        <f>$B82+$H82+$I82</f>
        <v/>
      </c>
      <c r="K82" s="114" t="n"/>
    </row>
    <row r="83" ht="15" customHeight="1" s="68">
      <c r="A83" s="114" t="n"/>
      <c r="B83" s="114" t="n"/>
      <c r="C83" s="112">
        <f>ROUND($B83*KarliyukSgkIsciOrani,0)</f>
        <v/>
      </c>
      <c r="D83" s="112">
        <f>ROUND($B83*KarliyukIssizlikIsciOrani,0)</f>
        <v/>
      </c>
      <c r="E83" s="112">
        <f>ROUND($B83*KarliyukStopajOrani,0)</f>
        <v/>
      </c>
      <c r="F83" s="112">
        <f>ROUND($B83*KarliyukDamgaOrani,0)</f>
        <v/>
      </c>
      <c r="G83" s="112">
        <f>$B83-$C83-$D83-$E83-$F83</f>
        <v/>
      </c>
      <c r="H83" s="112">
        <f>ROUND($B83*KarliyukSgkIsverenOrani,0)</f>
        <v/>
      </c>
      <c r="I83" s="112">
        <f>ROUND($B83*KarliyukIssizlikIsverenOrani,0)</f>
        <v/>
      </c>
      <c r="J83" s="112">
        <f>$B83+$H83+$I83</f>
        <v/>
      </c>
      <c r="K83" s="114" t="n"/>
    </row>
    <row r="84" ht="15" customHeight="1" s="68">
      <c r="A84" s="114" t="n"/>
      <c r="B84" s="114" t="n"/>
      <c r="C84" s="112">
        <f>ROUND($B84*KarliyukSgkIsciOrani,0)</f>
        <v/>
      </c>
      <c r="D84" s="112">
        <f>ROUND($B84*KarliyukIssizlikIsciOrani,0)</f>
        <v/>
      </c>
      <c r="E84" s="112">
        <f>ROUND($B84*KarliyukStopajOrani,0)</f>
        <v/>
      </c>
      <c r="F84" s="112">
        <f>ROUND($B84*KarliyukDamgaOrani,0)</f>
        <v/>
      </c>
      <c r="G84" s="112">
        <f>$B84-$C84-$D84-$E84-$F84</f>
        <v/>
      </c>
      <c r="H84" s="112">
        <f>ROUND($B84*KarliyukSgkIsverenOrani,0)</f>
        <v/>
      </c>
      <c r="I84" s="112">
        <f>ROUND($B84*KarliyukIssizlikIsverenOrani,0)</f>
        <v/>
      </c>
      <c r="J84" s="112">
        <f>$B84+$H84+$I84</f>
        <v/>
      </c>
      <c r="K84" s="114" t="n"/>
    </row>
    <row r="85" ht="15" customHeight="1" s="68">
      <c r="A85" s="114" t="n"/>
      <c r="B85" s="114" t="n"/>
      <c r="C85" s="112">
        <f>ROUND($B85*KarliyukSgkIsciOrani,0)</f>
        <v/>
      </c>
      <c r="D85" s="112">
        <f>ROUND($B85*KarliyukIssizlikIsciOrani,0)</f>
        <v/>
      </c>
      <c r="E85" s="112">
        <f>ROUND($B85*KarliyukStopajOrani,0)</f>
        <v/>
      </c>
      <c r="F85" s="112">
        <f>ROUND($B85*KarliyukDamgaOrani,0)</f>
        <v/>
      </c>
      <c r="G85" s="112">
        <f>$B85-$C85-$D85-$E85-$F85</f>
        <v/>
      </c>
      <c r="H85" s="112">
        <f>ROUND($B85*KarliyukSgkIsverenOrani,0)</f>
        <v/>
      </c>
      <c r="I85" s="112">
        <f>ROUND($B85*KarliyukIssizlikIsverenOrani,0)</f>
        <v/>
      </c>
      <c r="J85" s="112">
        <f>$B85+$H85+$I85</f>
        <v/>
      </c>
      <c r="K85" s="114" t="n"/>
    </row>
    <row r="86" ht="15" customHeight="1" s="68">
      <c r="A86" s="114" t="n"/>
      <c r="B86" s="114" t="n"/>
      <c r="C86" s="112">
        <f>ROUND($B86*KarliyukSgkIsciOrani,0)</f>
        <v/>
      </c>
      <c r="D86" s="112">
        <f>ROUND($B86*KarliyukIssizlikIsciOrani,0)</f>
        <v/>
      </c>
      <c r="E86" s="112">
        <f>ROUND($B86*KarliyukStopajOrani,0)</f>
        <v/>
      </c>
      <c r="F86" s="112">
        <f>ROUND($B86*KarliyukDamgaOrani,0)</f>
        <v/>
      </c>
      <c r="G86" s="112">
        <f>$B86-$C86-$D86-$E86-$F86</f>
        <v/>
      </c>
      <c r="H86" s="112">
        <f>ROUND($B86*KarliyukSgkIsverenOrani,0)</f>
        <v/>
      </c>
      <c r="I86" s="112">
        <f>ROUND($B86*KarliyukIssizlikIsverenOrani,0)</f>
        <v/>
      </c>
      <c r="J86" s="112">
        <f>$B86+$H86+$I86</f>
        <v/>
      </c>
      <c r="K86" s="114" t="n"/>
    </row>
    <row r="87" ht="15" customHeight="1" s="68">
      <c r="A87" s="114" t="n"/>
      <c r="B87" s="114" t="n"/>
      <c r="C87" s="112">
        <f>ROUND($B87*KarliyukSgkIsciOrani,0)</f>
        <v/>
      </c>
      <c r="D87" s="112">
        <f>ROUND($B87*KarliyukIssizlikIsciOrani,0)</f>
        <v/>
      </c>
      <c r="E87" s="112">
        <f>ROUND($B87*KarliyukStopajOrani,0)</f>
        <v/>
      </c>
      <c r="F87" s="112">
        <f>ROUND($B87*KarliyukDamgaOrani,0)</f>
        <v/>
      </c>
      <c r="G87" s="112">
        <f>$B87-$C87-$D87-$E87-$F87</f>
        <v/>
      </c>
      <c r="H87" s="112">
        <f>ROUND($B87*KarliyukSgkIsverenOrani,0)</f>
        <v/>
      </c>
      <c r="I87" s="112">
        <f>ROUND($B87*KarliyukIssizlikIsverenOrani,0)</f>
        <v/>
      </c>
      <c r="J87" s="112">
        <f>$B87+$H87+$I87</f>
        <v/>
      </c>
      <c r="K87" s="114" t="n"/>
    </row>
    <row r="88" ht="15" customHeight="1" s="68">
      <c r="A88" s="114" t="n"/>
      <c r="B88" s="114" t="n"/>
      <c r="C88" s="112">
        <f>ROUND($B88*KarliyukSgkIsciOrani,0)</f>
        <v/>
      </c>
      <c r="D88" s="112">
        <f>ROUND($B88*KarliyukIssizlikIsciOrani,0)</f>
        <v/>
      </c>
      <c r="E88" s="112">
        <f>ROUND($B88*KarliyukStopajOrani,0)</f>
        <v/>
      </c>
      <c r="F88" s="112">
        <f>ROUND($B88*KarliyukDamgaOrani,0)</f>
        <v/>
      </c>
      <c r="G88" s="112">
        <f>$B88-$C88-$D88-$E88-$F88</f>
        <v/>
      </c>
      <c r="H88" s="112">
        <f>ROUND($B88*KarliyukSgkIsverenOrani,0)</f>
        <v/>
      </c>
      <c r="I88" s="112">
        <f>ROUND($B88*KarliyukIssizlikIsverenOrani,0)</f>
        <v/>
      </c>
      <c r="J88" s="112">
        <f>$B88+$H88+$I88</f>
        <v/>
      </c>
      <c r="K88" s="114" t="n"/>
    </row>
    <row r="89" ht="15" customHeight="1" s="68">
      <c r="A89" s="114" t="n"/>
      <c r="B89" s="114" t="n"/>
      <c r="C89" s="112">
        <f>ROUND($B89*KarliyukSgkIsciOrani,0)</f>
        <v/>
      </c>
      <c r="D89" s="112">
        <f>ROUND($B89*KarliyukIssizlikIsciOrani,0)</f>
        <v/>
      </c>
      <c r="E89" s="112">
        <f>ROUND($B89*KarliyukStopajOrani,0)</f>
        <v/>
      </c>
      <c r="F89" s="112">
        <f>ROUND($B89*KarliyukDamgaOrani,0)</f>
        <v/>
      </c>
      <c r="G89" s="112">
        <f>$B89-$C89-$D89-$E89-$F89</f>
        <v/>
      </c>
      <c r="H89" s="112">
        <f>ROUND($B89*KarliyukSgkIsverenOrani,0)</f>
        <v/>
      </c>
      <c r="I89" s="112">
        <f>ROUND($B89*KarliyukIssizlikIsverenOrani,0)</f>
        <v/>
      </c>
      <c r="J89" s="112">
        <f>$B89+$H89+$I89</f>
        <v/>
      </c>
      <c r="K89" s="114" t="n"/>
    </row>
    <row r="90" ht="15" customHeight="1" s="68">
      <c r="A90" s="114" t="n"/>
      <c r="B90" s="114" t="n"/>
      <c r="C90" s="112">
        <f>ROUND($B90*KarliyukSgkIsciOrani,0)</f>
        <v/>
      </c>
      <c r="D90" s="112">
        <f>ROUND($B90*KarliyukIssizlikIsciOrani,0)</f>
        <v/>
      </c>
      <c r="E90" s="112">
        <f>ROUND($B90*KarliyukStopajOrani,0)</f>
        <v/>
      </c>
      <c r="F90" s="112">
        <f>ROUND($B90*KarliyukDamgaOrani,0)</f>
        <v/>
      </c>
      <c r="G90" s="112">
        <f>$B90-$C90-$D90-$E90-$F90</f>
        <v/>
      </c>
      <c r="H90" s="112">
        <f>ROUND($B90*KarliyukSgkIsverenOrani,0)</f>
        <v/>
      </c>
      <c r="I90" s="112">
        <f>ROUND($B90*KarliyukIssizlikIsverenOrani,0)</f>
        <v/>
      </c>
      <c r="J90" s="112">
        <f>$B90+$H90+$I90</f>
        <v/>
      </c>
      <c r="K90" s="114" t="n"/>
    </row>
    <row r="91" ht="15" customHeight="1" s="68">
      <c r="A91" s="114" t="n"/>
      <c r="B91" s="114" t="n"/>
      <c r="C91" s="112">
        <f>ROUND($B91*KarliyukSgkIsciOrani,0)</f>
        <v/>
      </c>
      <c r="D91" s="112">
        <f>ROUND($B91*KarliyukIssizlikIsciOrani,0)</f>
        <v/>
      </c>
      <c r="E91" s="112">
        <f>ROUND($B91*KarliyukStopajOrani,0)</f>
        <v/>
      </c>
      <c r="F91" s="112">
        <f>ROUND($B91*KarliyukDamgaOrani,0)</f>
        <v/>
      </c>
      <c r="G91" s="112">
        <f>$B91-$C91-$D91-$E91-$F91</f>
        <v/>
      </c>
      <c r="H91" s="112">
        <f>ROUND($B91*KarliyukSgkIsverenOrani,0)</f>
        <v/>
      </c>
      <c r="I91" s="112">
        <f>ROUND($B91*KarliyukIssizlikIsverenOrani,0)</f>
        <v/>
      </c>
      <c r="J91" s="112">
        <f>$B91+$H91+$I91</f>
        <v/>
      </c>
      <c r="K91" s="114" t="n"/>
    </row>
    <row r="92" ht="15" customHeight="1" s="68">
      <c r="A92" s="114" t="n"/>
      <c r="B92" s="114" t="n"/>
      <c r="C92" s="112">
        <f>ROUND($B92*KarliyukSgkIsciOrani,0)</f>
        <v/>
      </c>
      <c r="D92" s="112">
        <f>ROUND($B92*KarliyukIssizlikIsciOrani,0)</f>
        <v/>
      </c>
      <c r="E92" s="112">
        <f>ROUND($B92*KarliyukStopajOrani,0)</f>
        <v/>
      </c>
      <c r="F92" s="112">
        <f>ROUND($B92*KarliyukDamgaOrani,0)</f>
        <v/>
      </c>
      <c r="G92" s="112">
        <f>$B92-$C92-$D92-$E92-$F92</f>
        <v/>
      </c>
      <c r="H92" s="112">
        <f>ROUND($B92*KarliyukSgkIsverenOrani,0)</f>
        <v/>
      </c>
      <c r="I92" s="112">
        <f>ROUND($B92*KarliyukIssizlikIsverenOrani,0)</f>
        <v/>
      </c>
      <c r="J92" s="112">
        <f>$B92+$H92+$I92</f>
        <v/>
      </c>
      <c r="K92" s="114" t="n"/>
    </row>
    <row r="93" ht="15" customHeight="1" s="68">
      <c r="A93" s="114" t="n"/>
      <c r="B93" s="114" t="n"/>
      <c r="C93" s="112">
        <f>ROUND($B93*KarliyukSgkIsciOrani,0)</f>
        <v/>
      </c>
      <c r="D93" s="112">
        <f>ROUND($B93*KarliyukIssizlikIsciOrani,0)</f>
        <v/>
      </c>
      <c r="E93" s="112">
        <f>ROUND($B93*KarliyukStopajOrani,0)</f>
        <v/>
      </c>
      <c r="F93" s="112">
        <f>ROUND($B93*KarliyukDamgaOrani,0)</f>
        <v/>
      </c>
      <c r="G93" s="112">
        <f>$B93-$C93-$D93-$E93-$F93</f>
        <v/>
      </c>
      <c r="H93" s="112">
        <f>ROUND($B93*KarliyukSgkIsverenOrani,0)</f>
        <v/>
      </c>
      <c r="I93" s="112">
        <f>ROUND($B93*KarliyukIssizlikIsverenOrani,0)</f>
        <v/>
      </c>
      <c r="J93" s="112">
        <f>$B93+$H93+$I93</f>
        <v/>
      </c>
      <c r="K93" s="114" t="n"/>
    </row>
    <row r="94" ht="15" customHeight="1" s="68">
      <c r="A94" s="114" t="n"/>
      <c r="B94" s="114" t="n"/>
      <c r="C94" s="112">
        <f>ROUND($B94*KarliyukSgkIsciOrani,0)</f>
        <v/>
      </c>
      <c r="D94" s="112">
        <f>ROUND($B94*KarliyukIssizlikIsciOrani,0)</f>
        <v/>
      </c>
      <c r="E94" s="112">
        <f>ROUND($B94*KarliyukStopajOrani,0)</f>
        <v/>
      </c>
      <c r="F94" s="112">
        <f>ROUND($B94*KarliyukDamgaOrani,0)</f>
        <v/>
      </c>
      <c r="G94" s="112">
        <f>$B94-$C94-$D94-$E94-$F94</f>
        <v/>
      </c>
      <c r="H94" s="112">
        <f>ROUND($B94*KarliyukSgkIsverenOrani,0)</f>
        <v/>
      </c>
      <c r="I94" s="112">
        <f>ROUND($B94*KarliyukIssizlikIsverenOrani,0)</f>
        <v/>
      </c>
      <c r="J94" s="112">
        <f>$B94+$H94+$I94</f>
        <v/>
      </c>
      <c r="K94" s="114" t="n"/>
    </row>
    <row r="95" ht="15" customHeight="1" s="68">
      <c r="A95" s="114" t="n"/>
      <c r="B95" s="114" t="n"/>
      <c r="C95" s="112">
        <f>ROUND($B95*KarliyukSgkIsciOrani,0)</f>
        <v/>
      </c>
      <c r="D95" s="112">
        <f>ROUND($B95*KarliyukIssizlikIsciOrani,0)</f>
        <v/>
      </c>
      <c r="E95" s="112">
        <f>ROUND($B95*KarliyukStopajOrani,0)</f>
        <v/>
      </c>
      <c r="F95" s="112">
        <f>ROUND($B95*KarliyukDamgaOrani,0)</f>
        <v/>
      </c>
      <c r="G95" s="112">
        <f>$B95-$C95-$D95-$E95-$F95</f>
        <v/>
      </c>
      <c r="H95" s="112">
        <f>ROUND($B95*KarliyukSgkIsverenOrani,0)</f>
        <v/>
      </c>
      <c r="I95" s="112">
        <f>ROUND($B95*KarliyukIssizlikIsverenOrani,0)</f>
        <v/>
      </c>
      <c r="J95" s="112">
        <f>$B95+$H95+$I95</f>
        <v/>
      </c>
      <c r="K95" s="114" t="n"/>
    </row>
    <row r="96" ht="15" customHeight="1" s="68">
      <c r="A96" s="114" t="n"/>
      <c r="B96" s="114" t="n"/>
      <c r="C96" s="112">
        <f>ROUND($B96*KarliyukSgkIsciOrani,0)</f>
        <v/>
      </c>
      <c r="D96" s="112">
        <f>ROUND($B96*KarliyukIssizlikIsciOrani,0)</f>
        <v/>
      </c>
      <c r="E96" s="112">
        <f>ROUND($B96*KarliyukStopajOrani,0)</f>
        <v/>
      </c>
      <c r="F96" s="112">
        <f>ROUND($B96*KarliyukDamgaOrani,0)</f>
        <v/>
      </c>
      <c r="G96" s="112">
        <f>$B96-$C96-$D96-$E96-$F96</f>
        <v/>
      </c>
      <c r="H96" s="112">
        <f>ROUND($B96*KarliyukSgkIsverenOrani,0)</f>
        <v/>
      </c>
      <c r="I96" s="112">
        <f>ROUND($B96*KarliyukIssizlikIsverenOrani,0)</f>
        <v/>
      </c>
      <c r="J96" s="112">
        <f>$B96+$H96+$I96</f>
        <v/>
      </c>
      <c r="K96" s="114" t="n"/>
    </row>
    <row r="97" ht="15" customHeight="1" s="68">
      <c r="A97" s="114" t="n"/>
      <c r="B97" s="114" t="n"/>
      <c r="C97" s="112">
        <f>ROUND($B97*KarliyukSgkIsciOrani,0)</f>
        <v/>
      </c>
      <c r="D97" s="112">
        <f>ROUND($B97*KarliyukIssizlikIsciOrani,0)</f>
        <v/>
      </c>
      <c r="E97" s="112">
        <f>ROUND($B97*KarliyukStopajOrani,0)</f>
        <v/>
      </c>
      <c r="F97" s="112">
        <f>ROUND($B97*KarliyukDamgaOrani,0)</f>
        <v/>
      </c>
      <c r="G97" s="112">
        <f>$B97-$C97-$D97-$E97-$F97</f>
        <v/>
      </c>
      <c r="H97" s="112">
        <f>ROUND($B97*KarliyukSgkIsverenOrani,0)</f>
        <v/>
      </c>
      <c r="I97" s="112">
        <f>ROUND($B97*KarliyukIssizlikIsverenOrani,0)</f>
        <v/>
      </c>
      <c r="J97" s="112">
        <f>$B97+$H97+$I97</f>
        <v/>
      </c>
      <c r="K97" s="114" t="n"/>
    </row>
    <row r="98" ht="15" customHeight="1" s="68">
      <c r="A98" s="114" t="n"/>
      <c r="B98" s="114" t="n"/>
      <c r="C98" s="112">
        <f>ROUND($B98*KarliyukSgkIsciOrani,0)</f>
        <v/>
      </c>
      <c r="D98" s="112">
        <f>ROUND($B98*KarliyukIssizlikIsciOrani,0)</f>
        <v/>
      </c>
      <c r="E98" s="112">
        <f>ROUND($B98*KarliyukStopajOrani,0)</f>
        <v/>
      </c>
      <c r="F98" s="112">
        <f>ROUND($B98*KarliyukDamgaOrani,0)</f>
        <v/>
      </c>
      <c r="G98" s="112">
        <f>$B98-$C98-$D98-$E98-$F98</f>
        <v/>
      </c>
      <c r="H98" s="112">
        <f>ROUND($B98*KarliyukSgkIsverenOrani,0)</f>
        <v/>
      </c>
      <c r="I98" s="112">
        <f>ROUND($B98*KarliyukIssizlikIsverenOrani,0)</f>
        <v/>
      </c>
      <c r="J98" s="112">
        <f>$B98+$H98+$I98</f>
        <v/>
      </c>
      <c r="K98" s="114" t="n"/>
    </row>
    <row r="99" ht="15" customHeight="1" s="68">
      <c r="A99" s="114" t="n"/>
      <c r="B99" s="114" t="n"/>
      <c r="C99" s="112">
        <f>ROUND($B99*KarliyukSgkIsciOrani,0)</f>
        <v/>
      </c>
      <c r="D99" s="112">
        <f>ROUND($B99*KarliyukIssizlikIsciOrani,0)</f>
        <v/>
      </c>
      <c r="E99" s="112">
        <f>ROUND($B99*KarliyukStopajOrani,0)</f>
        <v/>
      </c>
      <c r="F99" s="112">
        <f>ROUND($B99*KarliyukDamgaOrani,0)</f>
        <v/>
      </c>
      <c r="G99" s="112">
        <f>$B99-$C99-$D99-$E99-$F99</f>
        <v/>
      </c>
      <c r="H99" s="112">
        <f>ROUND($B99*KarliyukSgkIsverenOrani,0)</f>
        <v/>
      </c>
      <c r="I99" s="112">
        <f>ROUND($B99*KarliyukIssizlikIsverenOrani,0)</f>
        <v/>
      </c>
      <c r="J99" s="112">
        <f>$B99+$H99+$I99</f>
        <v/>
      </c>
      <c r="K99" s="114" t="n"/>
    </row>
    <row r="100" ht="15" customHeight="1" s="68">
      <c r="A100" s="114" t="n"/>
      <c r="B100" s="114" t="n"/>
      <c r="C100" s="112">
        <f>ROUND($B100*KarliyukSgkIsciOrani,0)</f>
        <v/>
      </c>
      <c r="D100" s="112">
        <f>ROUND($B100*KarliyukIssizlikIsciOrani,0)</f>
        <v/>
      </c>
      <c r="E100" s="112">
        <f>ROUND($B100*KarliyukStopajOrani,0)</f>
        <v/>
      </c>
      <c r="F100" s="112">
        <f>ROUND($B100*KarliyukDamgaOrani,0)</f>
        <v/>
      </c>
      <c r="G100" s="112">
        <f>$B100-$C100-$D100-$E100-$F100</f>
        <v/>
      </c>
      <c r="H100" s="112">
        <f>ROUND($B100*KarliyukSgkIsverenOrani,0)</f>
        <v/>
      </c>
      <c r="I100" s="112">
        <f>ROUND($B100*KarliyukIssizlikIsverenOrani,0)</f>
        <v/>
      </c>
      <c r="J100" s="112">
        <f>$B100+$H100+$I100</f>
        <v/>
      </c>
      <c r="K100" s="114" t="n"/>
    </row>
    <row r="101" ht="15" customHeight="1" s="68">
      <c r="A101" s="114" t="n"/>
      <c r="B101" s="114" t="n"/>
      <c r="C101" s="112">
        <f>ROUND($B101*KarliyukSgkIsciOrani,0)</f>
        <v/>
      </c>
      <c r="D101" s="112">
        <f>ROUND($B101*KarliyukIssizlikIsciOrani,0)</f>
        <v/>
      </c>
      <c r="E101" s="112">
        <f>ROUND($B101*KarliyukStopajOrani,0)</f>
        <v/>
      </c>
      <c r="F101" s="112">
        <f>ROUND($B101*KarliyukDamgaOrani,0)</f>
        <v/>
      </c>
      <c r="G101" s="112">
        <f>$B101-$C101-$D101-$E101-$F101</f>
        <v/>
      </c>
      <c r="H101" s="112">
        <f>ROUND($B101*KarliyukSgkIsverenOrani,0)</f>
        <v/>
      </c>
      <c r="I101" s="112">
        <f>ROUND($B101*KarliyukIssizlikIsverenOrani,0)</f>
        <v/>
      </c>
      <c r="J101" s="112">
        <f>$B101+$H101+$I101</f>
        <v/>
      </c>
      <c r="K101" s="114" t="n"/>
    </row>
    <row r="102" ht="15" customHeight="1" s="68">
      <c r="A102" s="114" t="n"/>
      <c r="B102" s="114" t="n"/>
      <c r="C102" s="112">
        <f>ROUND($B102*KarliyukSgkIsciOrani,0)</f>
        <v/>
      </c>
      <c r="D102" s="112">
        <f>ROUND($B102*KarliyukIssizlikIsciOrani,0)</f>
        <v/>
      </c>
      <c r="E102" s="112">
        <f>ROUND($B102*KarliyukStopajOrani,0)</f>
        <v/>
      </c>
      <c r="F102" s="112">
        <f>ROUND($B102*KarliyukDamgaOrani,0)</f>
        <v/>
      </c>
      <c r="G102" s="112">
        <f>$B102-$C102-$D102-$E102-$F102</f>
        <v/>
      </c>
      <c r="H102" s="112">
        <f>ROUND($B102*KarliyukSgkIsverenOrani,0)</f>
        <v/>
      </c>
      <c r="I102" s="112">
        <f>ROUND($B102*KarliyukIssizlikIsverenOrani,0)</f>
        <v/>
      </c>
      <c r="J102" s="112">
        <f>$B102+$H102+$I102</f>
        <v/>
      </c>
      <c r="K102" s="114" t="n"/>
    </row>
    <row r="103" ht="15" customHeight="1" s="68">
      <c r="A103" s="114" t="n"/>
      <c r="B103" s="114" t="n"/>
      <c r="C103" s="112">
        <f>ROUND($B103*KarliyukSgkIsciOrani,0)</f>
        <v/>
      </c>
      <c r="D103" s="112">
        <f>ROUND($B103*KarliyukIssizlikIsciOrani,0)</f>
        <v/>
      </c>
      <c r="E103" s="112">
        <f>ROUND($B103*KarliyukStopajOrani,0)</f>
        <v/>
      </c>
      <c r="F103" s="112">
        <f>ROUND($B103*KarliyukDamgaOrani,0)</f>
        <v/>
      </c>
      <c r="G103" s="112">
        <f>$B103-$C103-$D103-$E103-$F103</f>
        <v/>
      </c>
      <c r="H103" s="112">
        <f>ROUND($B103*KarliyukSgkIsverenOrani,0)</f>
        <v/>
      </c>
      <c r="I103" s="112">
        <f>ROUND($B103*KarliyukIssizlikIsverenOrani,0)</f>
        <v/>
      </c>
      <c r="J103" s="112">
        <f>$B103+$H103+$I103</f>
        <v/>
      </c>
      <c r="K103" s="114" t="n"/>
    </row>
    <row r="104" ht="15" customHeight="1" s="68">
      <c r="A104" s="114" t="n"/>
      <c r="B104" s="114" t="n"/>
      <c r="C104" s="112">
        <f>ROUND($B104*KarliyukSgkIsciOrani,0)</f>
        <v/>
      </c>
      <c r="D104" s="112">
        <f>ROUND($B104*KarliyukIssizlikIsciOrani,0)</f>
        <v/>
      </c>
      <c r="E104" s="112">
        <f>ROUND($B104*KarliyukStopajOrani,0)</f>
        <v/>
      </c>
      <c r="F104" s="112">
        <f>ROUND($B104*KarliyukDamgaOrani,0)</f>
        <v/>
      </c>
      <c r="G104" s="112">
        <f>$B104-$C104-$D104-$E104-$F104</f>
        <v/>
      </c>
      <c r="H104" s="112">
        <f>ROUND($B104*KarliyukSgkIsverenOrani,0)</f>
        <v/>
      </c>
      <c r="I104" s="112">
        <f>ROUND($B104*KarliyukIssizlikIsverenOrani,0)</f>
        <v/>
      </c>
      <c r="J104" s="112">
        <f>$B104+$H104+$I104</f>
        <v/>
      </c>
      <c r="K104" s="114" t="n"/>
    </row>
    <row r="105" ht="15" customHeight="1" s="68">
      <c r="A105" s="114" t="n"/>
      <c r="B105" s="114" t="n"/>
      <c r="C105" s="112">
        <f>ROUND($B105*KarliyukSgkIsciOrani,0)</f>
        <v/>
      </c>
      <c r="D105" s="112">
        <f>ROUND($B105*KarliyukIssizlikIsciOrani,0)</f>
        <v/>
      </c>
      <c r="E105" s="112">
        <f>ROUND($B105*KarliyukStopajOrani,0)</f>
        <v/>
      </c>
      <c r="F105" s="112">
        <f>ROUND($B105*KarliyukDamgaOrani,0)</f>
        <v/>
      </c>
      <c r="G105" s="112">
        <f>$B105-$C105-$D105-$E105-$F105</f>
        <v/>
      </c>
      <c r="H105" s="112">
        <f>ROUND($B105*KarliyukSgkIsverenOrani,0)</f>
        <v/>
      </c>
      <c r="I105" s="112">
        <f>ROUND($B105*KarliyukIssizlikIsverenOrani,0)</f>
        <v/>
      </c>
      <c r="J105" s="112">
        <f>$B105+$H105+$I105</f>
        <v/>
      </c>
      <c r="K105" s="114" t="n"/>
    </row>
    <row r="106" ht="15" customHeight="1" s="68">
      <c r="A106" s="114" t="n"/>
      <c r="B106" s="114" t="n"/>
      <c r="C106" s="112">
        <f>ROUND($B106*KarliyukSgkIsciOrani,0)</f>
        <v/>
      </c>
      <c r="D106" s="112">
        <f>ROUND($B106*KarliyukIssizlikIsciOrani,0)</f>
        <v/>
      </c>
      <c r="E106" s="112">
        <f>ROUND($B106*KarliyukStopajOrani,0)</f>
        <v/>
      </c>
      <c r="F106" s="112">
        <f>ROUND($B106*KarliyukDamgaOrani,0)</f>
        <v/>
      </c>
      <c r="G106" s="112">
        <f>$B106-$C106-$D106-$E106-$F106</f>
        <v/>
      </c>
      <c r="H106" s="112">
        <f>ROUND($B106*KarliyukSgkIsverenOrani,0)</f>
        <v/>
      </c>
      <c r="I106" s="112">
        <f>ROUND($B106*KarliyukIssizlikIsverenOrani,0)</f>
        <v/>
      </c>
      <c r="J106" s="112">
        <f>$B106+$H106+$I106</f>
        <v/>
      </c>
      <c r="K106" s="114" t="n"/>
    </row>
    <row r="107" ht="15" customHeight="1" s="68">
      <c r="A107" s="114" t="n"/>
      <c r="B107" s="114" t="n"/>
      <c r="C107" s="112">
        <f>ROUND($B107*KarliyukSgkIsciOrani,0)</f>
        <v/>
      </c>
      <c r="D107" s="112">
        <f>ROUND($B107*KarliyukIssizlikIsciOrani,0)</f>
        <v/>
      </c>
      <c r="E107" s="112">
        <f>ROUND($B107*KarliyukStopajOrani,0)</f>
        <v/>
      </c>
      <c r="F107" s="112">
        <f>ROUND($B107*KarliyukDamgaOrani,0)</f>
        <v/>
      </c>
      <c r="G107" s="112">
        <f>$B107-$C107-$D107-$E107-$F107</f>
        <v/>
      </c>
      <c r="H107" s="112">
        <f>ROUND($B107*KarliyukSgkIsverenOrani,0)</f>
        <v/>
      </c>
      <c r="I107" s="112">
        <f>ROUND($B107*KarliyukIssizlikIsverenOrani,0)</f>
        <v/>
      </c>
      <c r="J107" s="112">
        <f>$B107+$H107+$I107</f>
        <v/>
      </c>
      <c r="K107" s="114" t="n"/>
    </row>
    <row r="108" ht="15" customHeight="1" s="68">
      <c r="A108" s="114" t="n"/>
      <c r="B108" s="114" t="n"/>
      <c r="C108" s="112">
        <f>ROUND($B108*KarliyukSgkIsciOrani,0)</f>
        <v/>
      </c>
      <c r="D108" s="112">
        <f>ROUND($B108*KarliyukIssizlikIsciOrani,0)</f>
        <v/>
      </c>
      <c r="E108" s="112">
        <f>ROUND($B108*KarliyukStopajOrani,0)</f>
        <v/>
      </c>
      <c r="F108" s="112">
        <f>ROUND($B108*KarliyukDamgaOrani,0)</f>
        <v/>
      </c>
      <c r="G108" s="112">
        <f>$B108-$C108-$D108-$E108-$F108</f>
        <v/>
      </c>
      <c r="H108" s="112">
        <f>ROUND($B108*KarliyukSgkIsverenOrani,0)</f>
        <v/>
      </c>
      <c r="I108" s="112">
        <f>ROUND($B108*KarliyukIssizlikIsverenOrani,0)</f>
        <v/>
      </c>
      <c r="J108" s="112">
        <f>$B108+$H108+$I108</f>
        <v/>
      </c>
      <c r="K108" s="114" t="n"/>
    </row>
    <row r="109" ht="15" customHeight="1" s="68">
      <c r="A109" s="114" t="n"/>
      <c r="B109" s="114" t="n"/>
      <c r="C109" s="112">
        <f>ROUND($B109*KarliyukSgkIsciOrani,0)</f>
        <v/>
      </c>
      <c r="D109" s="112">
        <f>ROUND($B109*KarliyukIssizlikIsciOrani,0)</f>
        <v/>
      </c>
      <c r="E109" s="112">
        <f>ROUND($B109*KarliyukStopajOrani,0)</f>
        <v/>
      </c>
      <c r="F109" s="112">
        <f>ROUND($B109*KarliyukDamgaOrani,0)</f>
        <v/>
      </c>
      <c r="G109" s="112">
        <f>$B109-$C109-$D109-$E109-$F109</f>
        <v/>
      </c>
      <c r="H109" s="112">
        <f>ROUND($B109*KarliyukSgkIsverenOrani,0)</f>
        <v/>
      </c>
      <c r="I109" s="112">
        <f>ROUND($B109*KarliyukIssizlikIsverenOrani,0)</f>
        <v/>
      </c>
      <c r="J109" s="112">
        <f>$B109+$H109+$I109</f>
        <v/>
      </c>
      <c r="K109" s="114" t="n"/>
    </row>
    <row r="110" ht="15" customHeight="1" s="68">
      <c r="A110" s="114" t="n"/>
      <c r="B110" s="114" t="n"/>
      <c r="C110" s="112">
        <f>ROUND($B110*KarliyukSgkIsciOrani,0)</f>
        <v/>
      </c>
      <c r="D110" s="112">
        <f>ROUND($B110*KarliyukIssizlikIsciOrani,0)</f>
        <v/>
      </c>
      <c r="E110" s="112">
        <f>ROUND($B110*KarliyukStopajOrani,0)</f>
        <v/>
      </c>
      <c r="F110" s="112">
        <f>ROUND($B110*KarliyukDamgaOrani,0)</f>
        <v/>
      </c>
      <c r="G110" s="112">
        <f>$B110-$C110-$D110-$E110-$F110</f>
        <v/>
      </c>
      <c r="H110" s="112">
        <f>ROUND($B110*KarliyukSgkIsverenOrani,0)</f>
        <v/>
      </c>
      <c r="I110" s="112">
        <f>ROUND($B110*KarliyukIssizlikIsverenOrani,0)</f>
        <v/>
      </c>
      <c r="J110" s="112">
        <f>$B110+$H110+$I110</f>
        <v/>
      </c>
      <c r="K110" s="114" t="n"/>
    </row>
    <row r="111" ht="15" customHeight="1" s="68">
      <c r="A111" s="114" t="n"/>
      <c r="B111" s="114" t="n"/>
      <c r="C111" s="112">
        <f>ROUND($B111*KarliyukSgkIsciOrani,0)</f>
        <v/>
      </c>
      <c r="D111" s="112">
        <f>ROUND($B111*KarliyukIssizlikIsciOrani,0)</f>
        <v/>
      </c>
      <c r="E111" s="112">
        <f>ROUND($B111*KarliyukStopajOrani,0)</f>
        <v/>
      </c>
      <c r="F111" s="112">
        <f>ROUND($B111*KarliyukDamgaOrani,0)</f>
        <v/>
      </c>
      <c r="G111" s="112">
        <f>$B111-$C111-$D111-$E111-$F111</f>
        <v/>
      </c>
      <c r="H111" s="112">
        <f>ROUND($B111*KarliyukSgkIsverenOrani,0)</f>
        <v/>
      </c>
      <c r="I111" s="112">
        <f>ROUND($B111*KarliyukIssizlikIsverenOrani,0)</f>
        <v/>
      </c>
      <c r="J111" s="112">
        <f>$B111+$H111+$I111</f>
        <v/>
      </c>
      <c r="K111" s="114" t="n"/>
    </row>
    <row r="112" ht="15" customHeight="1" s="68">
      <c r="A112" s="114" t="n"/>
      <c r="B112" s="114" t="n"/>
      <c r="C112" s="112">
        <f>ROUND($B112*KarliyukSgkIsciOrani,0)</f>
        <v/>
      </c>
      <c r="D112" s="112">
        <f>ROUND($B112*KarliyukIssizlikIsciOrani,0)</f>
        <v/>
      </c>
      <c r="E112" s="112">
        <f>ROUND($B112*KarliyukStopajOrani,0)</f>
        <v/>
      </c>
      <c r="F112" s="112">
        <f>ROUND($B112*KarliyukDamgaOrani,0)</f>
        <v/>
      </c>
      <c r="G112" s="112">
        <f>$B112-$C112-$D112-$E112-$F112</f>
        <v/>
      </c>
      <c r="H112" s="112">
        <f>ROUND($B112*KarliyukSgkIsverenOrani,0)</f>
        <v/>
      </c>
      <c r="I112" s="112">
        <f>ROUND($B112*KarliyukIssizlikIsverenOrani,0)</f>
        <v/>
      </c>
      <c r="J112" s="112">
        <f>$B112+$H112+$I112</f>
        <v/>
      </c>
      <c r="K112" s="114" t="n"/>
    </row>
    <row r="113" ht="15" customHeight="1" s="68">
      <c r="A113" s="114" t="n"/>
      <c r="B113" s="114" t="n"/>
      <c r="C113" s="112">
        <f>ROUND($B113*KarliyukSgkIsciOrani,0)</f>
        <v/>
      </c>
      <c r="D113" s="112">
        <f>ROUND($B113*KarliyukIssizlikIsciOrani,0)</f>
        <v/>
      </c>
      <c r="E113" s="112">
        <f>ROUND($B113*KarliyukStopajOrani,0)</f>
        <v/>
      </c>
      <c r="F113" s="112">
        <f>ROUND($B113*KarliyukDamgaOrani,0)</f>
        <v/>
      </c>
      <c r="G113" s="112">
        <f>$B113-$C113-$D113-$E113-$F113</f>
        <v/>
      </c>
      <c r="H113" s="112">
        <f>ROUND($B113*KarliyukSgkIsverenOrani,0)</f>
        <v/>
      </c>
      <c r="I113" s="112">
        <f>ROUND($B113*KarliyukIssizlikIsverenOrani,0)</f>
        <v/>
      </c>
      <c r="J113" s="112">
        <f>$B113+$H113+$I113</f>
        <v/>
      </c>
      <c r="K113" s="114" t="n"/>
    </row>
    <row r="114" ht="15" customHeight="1" s="68">
      <c r="A114" s="114" t="n"/>
      <c r="B114" s="114" t="n"/>
      <c r="C114" s="112">
        <f>ROUND($B114*KarliyukSgkIsciOrani,0)</f>
        <v/>
      </c>
      <c r="D114" s="112">
        <f>ROUND($B114*KarliyukIssizlikIsciOrani,0)</f>
        <v/>
      </c>
      <c r="E114" s="112">
        <f>ROUND($B114*KarliyukStopajOrani,0)</f>
        <v/>
      </c>
      <c r="F114" s="112">
        <f>ROUND($B114*KarliyukDamgaOrani,0)</f>
        <v/>
      </c>
      <c r="G114" s="112">
        <f>$B114-$C114-$D114-$E114-$F114</f>
        <v/>
      </c>
      <c r="H114" s="112">
        <f>ROUND($B114*KarliyukSgkIsverenOrani,0)</f>
        <v/>
      </c>
      <c r="I114" s="112">
        <f>ROUND($B114*KarliyukIssizlikIsverenOrani,0)</f>
        <v/>
      </c>
      <c r="J114" s="112">
        <f>$B114+$H114+$I114</f>
        <v/>
      </c>
      <c r="K114" s="114" t="n"/>
    </row>
    <row r="115" ht="15" customHeight="1" s="68">
      <c r="A115" s="114" t="n"/>
      <c r="B115" s="114" t="n"/>
      <c r="C115" s="112">
        <f>ROUND($B115*KarliyukSgkIsciOrani,0)</f>
        <v/>
      </c>
      <c r="D115" s="112">
        <f>ROUND($B115*KarliyukIssizlikIsciOrani,0)</f>
        <v/>
      </c>
      <c r="E115" s="112">
        <f>ROUND($B115*KarliyukStopajOrani,0)</f>
        <v/>
      </c>
      <c r="F115" s="112">
        <f>ROUND($B115*KarliyukDamgaOrani,0)</f>
        <v/>
      </c>
      <c r="G115" s="112">
        <f>$B115-$C115-$D115-$E115-$F115</f>
        <v/>
      </c>
      <c r="H115" s="112">
        <f>ROUND($B115*KarliyukSgkIsverenOrani,0)</f>
        <v/>
      </c>
      <c r="I115" s="112">
        <f>ROUND($B115*KarliyukIssizlikIsverenOrani,0)</f>
        <v/>
      </c>
      <c r="J115" s="112">
        <f>$B115+$H115+$I115</f>
        <v/>
      </c>
      <c r="K115" s="114" t="n"/>
    </row>
    <row r="116" ht="15" customHeight="1" s="68">
      <c r="A116" s="114" t="n"/>
      <c r="B116" s="114" t="n"/>
      <c r="C116" s="112">
        <f>ROUND($B116*KarliyukSgkIsciOrani,0)</f>
        <v/>
      </c>
      <c r="D116" s="112">
        <f>ROUND($B116*KarliyukIssizlikIsciOrani,0)</f>
        <v/>
      </c>
      <c r="E116" s="112">
        <f>ROUND($B116*KarliyukStopajOrani,0)</f>
        <v/>
      </c>
      <c r="F116" s="112">
        <f>ROUND($B116*KarliyukDamgaOrani,0)</f>
        <v/>
      </c>
      <c r="G116" s="112">
        <f>$B116-$C116-$D116-$E116-$F116</f>
        <v/>
      </c>
      <c r="H116" s="112">
        <f>ROUND($B116*KarliyukSgkIsverenOrani,0)</f>
        <v/>
      </c>
      <c r="I116" s="112">
        <f>ROUND($B116*KarliyukIssizlikIsverenOrani,0)</f>
        <v/>
      </c>
      <c r="J116" s="112">
        <f>$B116+$H116+$I116</f>
        <v/>
      </c>
      <c r="K116" s="114" t="n"/>
    </row>
    <row r="117" ht="15" customHeight="1" s="68">
      <c r="A117" s="114" t="n"/>
      <c r="B117" s="114" t="n"/>
      <c r="C117" s="112">
        <f>ROUND($B117*KarliyukSgkIsciOrani,0)</f>
        <v/>
      </c>
      <c r="D117" s="112">
        <f>ROUND($B117*KarliyukIssizlikIsciOrani,0)</f>
        <v/>
      </c>
      <c r="E117" s="112">
        <f>ROUND($B117*KarliyukStopajOrani,0)</f>
        <v/>
      </c>
      <c r="F117" s="112">
        <f>ROUND($B117*KarliyukDamgaOrani,0)</f>
        <v/>
      </c>
      <c r="G117" s="112">
        <f>$B117-$C117-$D117-$E117-$F117</f>
        <v/>
      </c>
      <c r="H117" s="112">
        <f>ROUND($B117*KarliyukSgkIsverenOrani,0)</f>
        <v/>
      </c>
      <c r="I117" s="112">
        <f>ROUND($B117*KarliyukIssizlikIsverenOrani,0)</f>
        <v/>
      </c>
      <c r="J117" s="112">
        <f>$B117+$H117+$I117</f>
        <v/>
      </c>
      <c r="K117" s="114" t="n"/>
    </row>
    <row r="118" ht="15" customHeight="1" s="68">
      <c r="A118" s="114" t="n"/>
      <c r="B118" s="114" t="n"/>
      <c r="C118" s="112">
        <f>ROUND($B118*KarliyukSgkIsciOrani,0)</f>
        <v/>
      </c>
      <c r="D118" s="112">
        <f>ROUND($B118*KarliyukIssizlikIsciOrani,0)</f>
        <v/>
      </c>
      <c r="E118" s="112">
        <f>ROUND($B118*KarliyukStopajOrani,0)</f>
        <v/>
      </c>
      <c r="F118" s="112">
        <f>ROUND($B118*KarliyukDamgaOrani,0)</f>
        <v/>
      </c>
      <c r="G118" s="112">
        <f>$B118-$C118-$D118-$E118-$F118</f>
        <v/>
      </c>
      <c r="H118" s="112">
        <f>ROUND($B118*KarliyukSgkIsverenOrani,0)</f>
        <v/>
      </c>
      <c r="I118" s="112">
        <f>ROUND($B118*KarliyukIssizlikIsverenOrani,0)</f>
        <v/>
      </c>
      <c r="J118" s="112">
        <f>$B118+$H118+$I118</f>
        <v/>
      </c>
      <c r="K118" s="114" t="n"/>
    </row>
    <row r="119" ht="15" customHeight="1" s="68">
      <c r="A119" s="114" t="n"/>
      <c r="B119" s="114" t="n"/>
      <c r="C119" s="112">
        <f>ROUND($B119*KarliyukSgkIsciOrani,0)</f>
        <v/>
      </c>
      <c r="D119" s="112">
        <f>ROUND($B119*KarliyukIssizlikIsciOrani,0)</f>
        <v/>
      </c>
      <c r="E119" s="112">
        <f>ROUND($B119*KarliyukStopajOrani,0)</f>
        <v/>
      </c>
      <c r="F119" s="112">
        <f>ROUND($B119*KarliyukDamgaOrani,0)</f>
        <v/>
      </c>
      <c r="G119" s="112">
        <f>$B119-$C119-$D119-$E119-$F119</f>
        <v/>
      </c>
      <c r="H119" s="112">
        <f>ROUND($B119*KarliyukSgkIsverenOrani,0)</f>
        <v/>
      </c>
      <c r="I119" s="112">
        <f>ROUND($B119*KarliyukIssizlikIsverenOrani,0)</f>
        <v/>
      </c>
      <c r="J119" s="112">
        <f>$B119+$H119+$I119</f>
        <v/>
      </c>
      <c r="K119" s="114" t="n"/>
    </row>
    <row r="120" ht="15" customHeight="1" s="68">
      <c r="A120" s="114" t="n"/>
      <c r="B120" s="114" t="n"/>
      <c r="C120" s="112">
        <f>ROUND($B120*KarliyukSgkIsciOrani,0)</f>
        <v/>
      </c>
      <c r="D120" s="112">
        <f>ROUND($B120*KarliyukIssizlikIsciOrani,0)</f>
        <v/>
      </c>
      <c r="E120" s="112">
        <f>ROUND($B120*KarliyukStopajOrani,0)</f>
        <v/>
      </c>
      <c r="F120" s="112">
        <f>ROUND($B120*KarliyukDamgaOrani,0)</f>
        <v/>
      </c>
      <c r="G120" s="112">
        <f>$B120-$C120-$D120-$E120-$F120</f>
        <v/>
      </c>
      <c r="H120" s="112">
        <f>ROUND($B120*KarliyukSgkIsverenOrani,0)</f>
        <v/>
      </c>
      <c r="I120" s="112">
        <f>ROUND($B120*KarliyukIssizlikIsverenOrani,0)</f>
        <v/>
      </c>
      <c r="J120" s="112">
        <f>$B120+$H120+$I120</f>
        <v/>
      </c>
      <c r="K120" s="114" t="n"/>
    </row>
    <row r="121" ht="15" customHeight="1" s="68">
      <c r="A121" s="114" t="n"/>
      <c r="B121" s="114" t="n"/>
      <c r="C121" s="112">
        <f>ROUND($B121*KarliyukSgkIsciOrani,0)</f>
        <v/>
      </c>
      <c r="D121" s="112">
        <f>ROUND($B121*KarliyukIssizlikIsciOrani,0)</f>
        <v/>
      </c>
      <c r="E121" s="112">
        <f>ROUND($B121*KarliyukStopajOrani,0)</f>
        <v/>
      </c>
      <c r="F121" s="112">
        <f>ROUND($B121*KarliyukDamgaOrani,0)</f>
        <v/>
      </c>
      <c r="G121" s="112">
        <f>$B121-$C121-$D121-$E121-$F121</f>
        <v/>
      </c>
      <c r="H121" s="112">
        <f>ROUND($B121*KarliyukSgkIsverenOrani,0)</f>
        <v/>
      </c>
      <c r="I121" s="112">
        <f>ROUND($B121*KarliyukIssizlikIsverenOrani,0)</f>
        <v/>
      </c>
      <c r="J121" s="112">
        <f>$B121+$H121+$I121</f>
        <v/>
      </c>
      <c r="K121" s="114" t="n"/>
    </row>
    <row r="122" ht="15" customHeight="1" s="68">
      <c r="A122" s="114" t="n"/>
      <c r="B122" s="114" t="n"/>
      <c r="C122" s="112">
        <f>ROUND($B122*KarliyukSgkIsciOrani,0)</f>
        <v/>
      </c>
      <c r="D122" s="112">
        <f>ROUND($B122*KarliyukIssizlikIsciOrani,0)</f>
        <v/>
      </c>
      <c r="E122" s="112">
        <f>ROUND($B122*KarliyukStopajOrani,0)</f>
        <v/>
      </c>
      <c r="F122" s="112">
        <f>ROUND($B122*KarliyukDamgaOrani,0)</f>
        <v/>
      </c>
      <c r="G122" s="112">
        <f>$B122-$C122-$D122-$E122-$F122</f>
        <v/>
      </c>
      <c r="H122" s="112">
        <f>ROUND($B122*KarliyukSgkIsverenOrani,0)</f>
        <v/>
      </c>
      <c r="I122" s="112">
        <f>ROUND($B122*KarliyukIssizlikIsverenOrani,0)</f>
        <v/>
      </c>
      <c r="J122" s="112">
        <f>$B122+$H122+$I122</f>
        <v/>
      </c>
      <c r="K122" s="114" t="n"/>
    </row>
    <row r="123" ht="15" customHeight="1" s="68">
      <c r="A123" s="114" t="n"/>
      <c r="B123" s="114" t="n"/>
      <c r="C123" s="112">
        <f>ROUND($B123*KarliyukSgkIsciOrani,0)</f>
        <v/>
      </c>
      <c r="D123" s="112">
        <f>ROUND($B123*KarliyukIssizlikIsciOrani,0)</f>
        <v/>
      </c>
      <c r="E123" s="112">
        <f>ROUND($B123*KarliyukStopajOrani,0)</f>
        <v/>
      </c>
      <c r="F123" s="112">
        <f>ROUND($B123*KarliyukDamgaOrani,0)</f>
        <v/>
      </c>
      <c r="G123" s="112">
        <f>$B123-$C123-$D123-$E123-$F123</f>
        <v/>
      </c>
      <c r="H123" s="112">
        <f>ROUND($B123*KarliyukSgkIsverenOrani,0)</f>
        <v/>
      </c>
      <c r="I123" s="112">
        <f>ROUND($B123*KarliyukIssizlikIsverenOrani,0)</f>
        <v/>
      </c>
      <c r="J123" s="112">
        <f>$B123+$H123+$I123</f>
        <v/>
      </c>
      <c r="K123" s="114" t="n"/>
    </row>
    <row r="124" ht="15" customHeight="1" s="68">
      <c r="A124" s="114" t="n"/>
      <c r="B124" s="114" t="n"/>
      <c r="C124" s="112">
        <f>ROUND($B124*KarliyukSgkIsciOrani,0)</f>
        <v/>
      </c>
      <c r="D124" s="112">
        <f>ROUND($B124*KarliyukIssizlikIsciOrani,0)</f>
        <v/>
      </c>
      <c r="E124" s="112">
        <f>ROUND($B124*KarliyukStopajOrani,0)</f>
        <v/>
      </c>
      <c r="F124" s="112">
        <f>ROUND($B124*KarliyukDamgaOrani,0)</f>
        <v/>
      </c>
      <c r="G124" s="112">
        <f>$B124-$C124-$D124-$E124-$F124</f>
        <v/>
      </c>
      <c r="H124" s="112">
        <f>ROUND($B124*KarliyukSgkIsverenOrani,0)</f>
        <v/>
      </c>
      <c r="I124" s="112">
        <f>ROUND($B124*KarliyukIssizlikIsverenOrani,0)</f>
        <v/>
      </c>
      <c r="J124" s="112">
        <f>$B124+$H124+$I124</f>
        <v/>
      </c>
      <c r="K124" s="114" t="n"/>
    </row>
    <row r="125" ht="15" customHeight="1" s="68">
      <c r="A125" s="114" t="n"/>
      <c r="B125" s="114" t="n"/>
      <c r="C125" s="112">
        <f>ROUND($B125*KarliyukSgkIsciOrani,0)</f>
        <v/>
      </c>
      <c r="D125" s="112">
        <f>ROUND($B125*KarliyukIssizlikIsciOrani,0)</f>
        <v/>
      </c>
      <c r="E125" s="112">
        <f>ROUND($B125*KarliyukStopajOrani,0)</f>
        <v/>
      </c>
      <c r="F125" s="112">
        <f>ROUND($B125*KarliyukDamgaOrani,0)</f>
        <v/>
      </c>
      <c r="G125" s="112">
        <f>$B125-$C125-$D125-$E125-$F125</f>
        <v/>
      </c>
      <c r="H125" s="112">
        <f>ROUND($B125*KarliyukSgkIsverenOrani,0)</f>
        <v/>
      </c>
      <c r="I125" s="112">
        <f>ROUND($B125*KarliyukIssizlikIsverenOrani,0)</f>
        <v/>
      </c>
      <c r="J125" s="112">
        <f>$B125+$H125+$I125</f>
        <v/>
      </c>
      <c r="K125" s="114" t="n"/>
    </row>
    <row r="126" ht="15" customHeight="1" s="68">
      <c r="A126" s="114" t="n"/>
      <c r="B126" s="114" t="n"/>
      <c r="C126" s="112">
        <f>ROUND($B126*KarliyukSgkIsciOrani,0)</f>
        <v/>
      </c>
      <c r="D126" s="112">
        <f>ROUND($B126*KarliyukIssizlikIsciOrani,0)</f>
        <v/>
      </c>
      <c r="E126" s="112">
        <f>ROUND($B126*KarliyukStopajOrani,0)</f>
        <v/>
      </c>
      <c r="F126" s="112">
        <f>ROUND($B126*KarliyukDamgaOrani,0)</f>
        <v/>
      </c>
      <c r="G126" s="112">
        <f>$B126-$C126-$D126-$E126-$F126</f>
        <v/>
      </c>
      <c r="H126" s="112">
        <f>ROUND($B126*KarliyukSgkIsverenOrani,0)</f>
        <v/>
      </c>
      <c r="I126" s="112">
        <f>ROUND($B126*KarliyukIssizlikIsverenOrani,0)</f>
        <v/>
      </c>
      <c r="J126" s="112">
        <f>$B126+$H126+$I126</f>
        <v/>
      </c>
      <c r="K126" s="114" t="n"/>
    </row>
    <row r="127" ht="15" customHeight="1" s="68">
      <c r="A127" s="114" t="n"/>
      <c r="B127" s="114" t="n"/>
      <c r="C127" s="112">
        <f>ROUND($B127*KarliyukSgkIsciOrani,0)</f>
        <v/>
      </c>
      <c r="D127" s="112">
        <f>ROUND($B127*KarliyukIssizlikIsciOrani,0)</f>
        <v/>
      </c>
      <c r="E127" s="112">
        <f>ROUND($B127*KarliyukStopajOrani,0)</f>
        <v/>
      </c>
      <c r="F127" s="112">
        <f>ROUND($B127*KarliyukDamgaOrani,0)</f>
        <v/>
      </c>
      <c r="G127" s="112">
        <f>$B127-$C127-$D127-$E127-$F127</f>
        <v/>
      </c>
      <c r="H127" s="112">
        <f>ROUND($B127*KarliyukSgkIsverenOrani,0)</f>
        <v/>
      </c>
      <c r="I127" s="112">
        <f>ROUND($B127*KarliyukIssizlikIsverenOrani,0)</f>
        <v/>
      </c>
      <c r="J127" s="112">
        <f>$B127+$H127+$I127</f>
        <v/>
      </c>
      <c r="K127" s="114" t="n"/>
    </row>
    <row r="128" ht="15" customHeight="1" s="68">
      <c r="A128" s="114" t="n"/>
      <c r="B128" s="114" t="n"/>
      <c r="C128" s="112">
        <f>ROUND($B128*KarliyukSgkIsciOrani,0)</f>
        <v/>
      </c>
      <c r="D128" s="112">
        <f>ROUND($B128*KarliyukIssizlikIsciOrani,0)</f>
        <v/>
      </c>
      <c r="E128" s="112">
        <f>ROUND($B128*KarliyukStopajOrani,0)</f>
        <v/>
      </c>
      <c r="F128" s="112">
        <f>ROUND($B128*KarliyukDamgaOrani,0)</f>
        <v/>
      </c>
      <c r="G128" s="112">
        <f>$B128-$C128-$D128-$E128-$F128</f>
        <v/>
      </c>
      <c r="H128" s="112">
        <f>ROUND($B128*KarliyukSgkIsverenOrani,0)</f>
        <v/>
      </c>
      <c r="I128" s="112">
        <f>ROUND($B128*KarliyukIssizlikIsverenOrani,0)</f>
        <v/>
      </c>
      <c r="J128" s="112">
        <f>$B128+$H128+$I128</f>
        <v/>
      </c>
      <c r="K128" s="114" t="n"/>
    </row>
    <row r="129" ht="15" customHeight="1" s="68">
      <c r="A129" s="114" t="n"/>
      <c r="B129" s="114" t="n"/>
      <c r="C129" s="112">
        <f>ROUND($B129*KarliyukSgkIsciOrani,0)</f>
        <v/>
      </c>
      <c r="D129" s="112">
        <f>ROUND($B129*KarliyukIssizlikIsciOrani,0)</f>
        <v/>
      </c>
      <c r="E129" s="112">
        <f>ROUND($B129*KarliyukStopajOrani,0)</f>
        <v/>
      </c>
      <c r="F129" s="112">
        <f>ROUND($B129*KarliyukDamgaOrani,0)</f>
        <v/>
      </c>
      <c r="G129" s="112">
        <f>$B129-$C129-$D129-$E129-$F129</f>
        <v/>
      </c>
      <c r="H129" s="112">
        <f>ROUND($B129*KarliyukSgkIsverenOrani,0)</f>
        <v/>
      </c>
      <c r="I129" s="112">
        <f>ROUND($B129*KarliyukIssizlikIsverenOrani,0)</f>
        <v/>
      </c>
      <c r="J129" s="112">
        <f>$B129+$H129+$I129</f>
        <v/>
      </c>
      <c r="K129" s="114" t="n"/>
    </row>
    <row r="130" ht="15" customHeight="1" s="68">
      <c r="A130" s="114" t="n"/>
      <c r="B130" s="114" t="n"/>
      <c r="C130" s="112">
        <f>ROUND($B130*KarliyukSgkIsciOrani,0)</f>
        <v/>
      </c>
      <c r="D130" s="112">
        <f>ROUND($B130*KarliyukIssizlikIsciOrani,0)</f>
        <v/>
      </c>
      <c r="E130" s="112">
        <f>ROUND($B130*KarliyukStopajOrani,0)</f>
        <v/>
      </c>
      <c r="F130" s="112">
        <f>ROUND($B130*KarliyukDamgaOrani,0)</f>
        <v/>
      </c>
      <c r="G130" s="112">
        <f>$B130-$C130-$D130-$E130-$F130</f>
        <v/>
      </c>
      <c r="H130" s="112">
        <f>ROUND($B130*KarliyukSgkIsverenOrani,0)</f>
        <v/>
      </c>
      <c r="I130" s="112">
        <f>ROUND($B130*KarliyukIssizlikIsverenOrani,0)</f>
        <v/>
      </c>
      <c r="J130" s="112">
        <f>$B130+$H130+$I130</f>
        <v/>
      </c>
      <c r="K130" s="114" t="n"/>
    </row>
    <row r="131" ht="15" customHeight="1" s="68">
      <c r="A131" s="114" t="n"/>
      <c r="B131" s="114" t="n"/>
      <c r="C131" s="112">
        <f>ROUND($B131*KarliyukSgkIsciOrani,0)</f>
        <v/>
      </c>
      <c r="D131" s="112">
        <f>ROUND($B131*KarliyukIssizlikIsciOrani,0)</f>
        <v/>
      </c>
      <c r="E131" s="112">
        <f>ROUND($B131*KarliyukStopajOrani,0)</f>
        <v/>
      </c>
      <c r="F131" s="112">
        <f>ROUND($B131*KarliyukDamgaOrani,0)</f>
        <v/>
      </c>
      <c r="G131" s="112">
        <f>$B131-$C131-$D131-$E131-$F131</f>
        <v/>
      </c>
      <c r="H131" s="112">
        <f>ROUND($B131*KarliyukSgkIsverenOrani,0)</f>
        <v/>
      </c>
      <c r="I131" s="112">
        <f>ROUND($B131*KarliyukIssizlikIsverenOrani,0)</f>
        <v/>
      </c>
      <c r="J131" s="112">
        <f>$B131+$H131+$I131</f>
        <v/>
      </c>
      <c r="K131" s="114" t="n"/>
    </row>
    <row r="132" ht="15" customHeight="1" s="68">
      <c r="A132" s="114" t="n"/>
      <c r="B132" s="114" t="n"/>
      <c r="C132" s="112">
        <f>ROUND($B132*KarliyukSgkIsciOrani,0)</f>
        <v/>
      </c>
      <c r="D132" s="112">
        <f>ROUND($B132*KarliyukIssizlikIsciOrani,0)</f>
        <v/>
      </c>
      <c r="E132" s="112">
        <f>ROUND($B132*KarliyukStopajOrani,0)</f>
        <v/>
      </c>
      <c r="F132" s="112">
        <f>ROUND($B132*KarliyukDamgaOrani,0)</f>
        <v/>
      </c>
      <c r="G132" s="112">
        <f>$B132-$C132-$D132-$E132-$F132</f>
        <v/>
      </c>
      <c r="H132" s="112">
        <f>ROUND($B132*KarliyukSgkIsverenOrani,0)</f>
        <v/>
      </c>
      <c r="I132" s="112">
        <f>ROUND($B132*KarliyukIssizlikIsverenOrani,0)</f>
        <v/>
      </c>
      <c r="J132" s="112">
        <f>$B132+$H132+$I132</f>
        <v/>
      </c>
      <c r="K132" s="114" t="n"/>
    </row>
    <row r="133" ht="15" customHeight="1" s="68">
      <c r="A133" s="114" t="n"/>
      <c r="B133" s="114" t="n"/>
      <c r="C133" s="112">
        <f>ROUND($B133*KarliyukSgkIsciOrani,0)</f>
        <v/>
      </c>
      <c r="D133" s="112">
        <f>ROUND($B133*KarliyukIssizlikIsciOrani,0)</f>
        <v/>
      </c>
      <c r="E133" s="112">
        <f>ROUND($B133*KarliyukStopajOrani,0)</f>
        <v/>
      </c>
      <c r="F133" s="112">
        <f>ROUND($B133*KarliyukDamgaOrani,0)</f>
        <v/>
      </c>
      <c r="G133" s="112">
        <f>$B133-$C133-$D133-$E133-$F133</f>
        <v/>
      </c>
      <c r="H133" s="112">
        <f>ROUND($B133*KarliyukSgkIsverenOrani,0)</f>
        <v/>
      </c>
      <c r="I133" s="112">
        <f>ROUND($B133*KarliyukIssizlikIsverenOrani,0)</f>
        <v/>
      </c>
      <c r="J133" s="112">
        <f>$B133+$H133+$I133</f>
        <v/>
      </c>
      <c r="K133" s="114" t="n"/>
    </row>
    <row r="134" ht="15" customHeight="1" s="68">
      <c r="A134" s="114" t="n"/>
      <c r="B134" s="114" t="n"/>
      <c r="C134" s="112">
        <f>ROUND($B134*KarliyukSgkIsciOrani,0)</f>
        <v/>
      </c>
      <c r="D134" s="112">
        <f>ROUND($B134*KarliyukIssizlikIsciOrani,0)</f>
        <v/>
      </c>
      <c r="E134" s="112">
        <f>ROUND($B134*KarliyukStopajOrani,0)</f>
        <v/>
      </c>
      <c r="F134" s="112">
        <f>ROUND($B134*KarliyukDamgaOrani,0)</f>
        <v/>
      </c>
      <c r="G134" s="112">
        <f>$B134-$C134-$D134-$E134-$F134</f>
        <v/>
      </c>
      <c r="H134" s="112">
        <f>ROUND($B134*KarliyukSgkIsverenOrani,0)</f>
        <v/>
      </c>
      <c r="I134" s="112">
        <f>ROUND($B134*KarliyukIssizlikIsverenOrani,0)</f>
        <v/>
      </c>
      <c r="J134" s="112">
        <f>$B134+$H134+$I134</f>
        <v/>
      </c>
      <c r="K134" s="114" t="n"/>
    </row>
    <row r="135" ht="15" customHeight="1" s="68">
      <c r="A135" s="114" t="n"/>
      <c r="B135" s="114" t="n"/>
      <c r="C135" s="112">
        <f>ROUND($B135*KarliyukSgkIsciOrani,0)</f>
        <v/>
      </c>
      <c r="D135" s="112">
        <f>ROUND($B135*KarliyukIssizlikIsciOrani,0)</f>
        <v/>
      </c>
      <c r="E135" s="112">
        <f>ROUND($B135*KarliyukStopajOrani,0)</f>
        <v/>
      </c>
      <c r="F135" s="112">
        <f>ROUND($B135*KarliyukDamgaOrani,0)</f>
        <v/>
      </c>
      <c r="G135" s="112">
        <f>$B135-$C135-$D135-$E135-$F135</f>
        <v/>
      </c>
      <c r="H135" s="112">
        <f>ROUND($B135*KarliyukSgkIsverenOrani,0)</f>
        <v/>
      </c>
      <c r="I135" s="112">
        <f>ROUND($B135*KarliyukIssizlikIsverenOrani,0)</f>
        <v/>
      </c>
      <c r="J135" s="112">
        <f>$B135+$H135+$I135</f>
        <v/>
      </c>
      <c r="K135" s="114" t="n"/>
    </row>
    <row r="136" ht="15" customHeight="1" s="68">
      <c r="A136" s="114" t="n"/>
      <c r="B136" s="114" t="n"/>
      <c r="C136" s="112">
        <f>ROUND($B136*KarliyukSgkIsciOrani,0)</f>
        <v/>
      </c>
      <c r="D136" s="112">
        <f>ROUND($B136*KarliyukIssizlikIsciOrani,0)</f>
        <v/>
      </c>
      <c r="E136" s="112">
        <f>ROUND($B136*KarliyukStopajOrani,0)</f>
        <v/>
      </c>
      <c r="F136" s="112">
        <f>ROUND($B136*KarliyukDamgaOrani,0)</f>
        <v/>
      </c>
      <c r="G136" s="112">
        <f>$B136-$C136-$D136-$E136-$F136</f>
        <v/>
      </c>
      <c r="H136" s="112">
        <f>ROUND($B136*KarliyukSgkIsverenOrani,0)</f>
        <v/>
      </c>
      <c r="I136" s="112">
        <f>ROUND($B136*KarliyukIssizlikIsverenOrani,0)</f>
        <v/>
      </c>
      <c r="J136" s="112">
        <f>$B136+$H136+$I136</f>
        <v/>
      </c>
      <c r="K136" s="114" t="n"/>
    </row>
    <row r="137" ht="15" customHeight="1" s="68">
      <c r="A137" s="114" t="n"/>
      <c r="B137" s="114" t="n"/>
      <c r="C137" s="112">
        <f>ROUND($B137*KarliyukSgkIsciOrani,0)</f>
        <v/>
      </c>
      <c r="D137" s="112">
        <f>ROUND($B137*KarliyukIssizlikIsciOrani,0)</f>
        <v/>
      </c>
      <c r="E137" s="112">
        <f>ROUND($B137*KarliyukStopajOrani,0)</f>
        <v/>
      </c>
      <c r="F137" s="112">
        <f>ROUND($B137*KarliyukDamgaOrani,0)</f>
        <v/>
      </c>
      <c r="G137" s="112">
        <f>$B137-$C137-$D137-$E137-$F137</f>
        <v/>
      </c>
      <c r="H137" s="112">
        <f>ROUND($B137*KarliyukSgkIsverenOrani,0)</f>
        <v/>
      </c>
      <c r="I137" s="112">
        <f>ROUND($B137*KarliyukIssizlikIsverenOrani,0)</f>
        <v/>
      </c>
      <c r="J137" s="112">
        <f>$B137+$H137+$I137</f>
        <v/>
      </c>
      <c r="K137" s="114" t="n"/>
    </row>
    <row r="138" ht="15" customHeight="1" s="68">
      <c r="A138" s="114" t="n"/>
      <c r="B138" s="114" t="n"/>
      <c r="C138" s="112">
        <f>ROUND($B138*KarliyukSgkIsciOrani,0)</f>
        <v/>
      </c>
      <c r="D138" s="112">
        <f>ROUND($B138*KarliyukIssizlikIsciOrani,0)</f>
        <v/>
      </c>
      <c r="E138" s="112">
        <f>ROUND($B138*KarliyukStopajOrani,0)</f>
        <v/>
      </c>
      <c r="F138" s="112">
        <f>ROUND($B138*KarliyukDamgaOrani,0)</f>
        <v/>
      </c>
      <c r="G138" s="112">
        <f>$B138-$C138-$D138-$E138-$F138</f>
        <v/>
      </c>
      <c r="H138" s="112">
        <f>ROUND($B138*KarliyukSgkIsverenOrani,0)</f>
        <v/>
      </c>
      <c r="I138" s="112">
        <f>ROUND($B138*KarliyukIssizlikIsverenOrani,0)</f>
        <v/>
      </c>
      <c r="J138" s="112">
        <f>$B138+$H138+$I138</f>
        <v/>
      </c>
      <c r="K138" s="114" t="n"/>
    </row>
    <row r="139" ht="15" customHeight="1" s="68">
      <c r="A139" s="114" t="n"/>
      <c r="B139" s="114" t="n"/>
      <c r="C139" s="112">
        <f>ROUND($B139*KarliyukSgkIsciOrani,0)</f>
        <v/>
      </c>
      <c r="D139" s="112">
        <f>ROUND($B139*KarliyukIssizlikIsciOrani,0)</f>
        <v/>
      </c>
      <c r="E139" s="112">
        <f>ROUND($B139*KarliyukStopajOrani,0)</f>
        <v/>
      </c>
      <c r="F139" s="112">
        <f>ROUND($B139*KarliyukDamgaOrani,0)</f>
        <v/>
      </c>
      <c r="G139" s="112">
        <f>$B139-$C139-$D139-$E139-$F139</f>
        <v/>
      </c>
      <c r="H139" s="112">
        <f>ROUND($B139*KarliyukSgkIsverenOrani,0)</f>
        <v/>
      </c>
      <c r="I139" s="112">
        <f>ROUND($B139*KarliyukIssizlikIsverenOrani,0)</f>
        <v/>
      </c>
      <c r="J139" s="112">
        <f>$B139+$H139+$I139</f>
        <v/>
      </c>
      <c r="K139" s="114" t="n"/>
    </row>
    <row r="140" ht="15" customHeight="1" s="68">
      <c r="A140" s="114" t="n"/>
      <c r="B140" s="114" t="n"/>
      <c r="C140" s="112">
        <f>ROUND($B140*KarliyukSgkIsciOrani,0)</f>
        <v/>
      </c>
      <c r="D140" s="112">
        <f>ROUND($B140*KarliyukIssizlikIsciOrani,0)</f>
        <v/>
      </c>
      <c r="E140" s="112">
        <f>ROUND($B140*KarliyukStopajOrani,0)</f>
        <v/>
      </c>
      <c r="F140" s="112">
        <f>ROUND($B140*KarliyukDamgaOrani,0)</f>
        <v/>
      </c>
      <c r="G140" s="112">
        <f>$B140-$C140-$D140-$E140-$F140</f>
        <v/>
      </c>
      <c r="H140" s="112">
        <f>ROUND($B140*KarliyukSgkIsverenOrani,0)</f>
        <v/>
      </c>
      <c r="I140" s="112">
        <f>ROUND($B140*KarliyukIssizlikIsverenOrani,0)</f>
        <v/>
      </c>
      <c r="J140" s="112">
        <f>$B140+$H140+$I140</f>
        <v/>
      </c>
      <c r="K140" s="114" t="n"/>
    </row>
    <row r="141" ht="15" customHeight="1" s="68">
      <c r="A141" s="114" t="n"/>
      <c r="B141" s="114" t="n"/>
      <c r="C141" s="112">
        <f>ROUND($B141*KarliyukSgkIsciOrani,0)</f>
        <v/>
      </c>
      <c r="D141" s="112">
        <f>ROUND($B141*KarliyukIssizlikIsciOrani,0)</f>
        <v/>
      </c>
      <c r="E141" s="112">
        <f>ROUND($B141*KarliyukStopajOrani,0)</f>
        <v/>
      </c>
      <c r="F141" s="112">
        <f>ROUND($B141*KarliyukDamgaOrani,0)</f>
        <v/>
      </c>
      <c r="G141" s="112">
        <f>$B141-$C141-$D141-$E141-$F141</f>
        <v/>
      </c>
      <c r="H141" s="112">
        <f>ROUND($B141*KarliyukSgkIsverenOrani,0)</f>
        <v/>
      </c>
      <c r="I141" s="112">
        <f>ROUND($B141*KarliyukIssizlikIsverenOrani,0)</f>
        <v/>
      </c>
      <c r="J141" s="112">
        <f>$B141+$H141+$I141</f>
        <v/>
      </c>
      <c r="K141" s="114" t="n"/>
    </row>
    <row r="142" ht="15" customHeight="1" s="68">
      <c r="A142" s="114" t="n"/>
      <c r="B142" s="114" t="n"/>
      <c r="C142" s="112">
        <f>ROUND($B142*KarliyukSgkIsciOrani,0)</f>
        <v/>
      </c>
      <c r="D142" s="112">
        <f>ROUND($B142*KarliyukIssizlikIsciOrani,0)</f>
        <v/>
      </c>
      <c r="E142" s="112">
        <f>ROUND($B142*KarliyukStopajOrani,0)</f>
        <v/>
      </c>
      <c r="F142" s="112">
        <f>ROUND($B142*KarliyukDamgaOrani,0)</f>
        <v/>
      </c>
      <c r="G142" s="112">
        <f>$B142-$C142-$D142-$E142-$F142</f>
        <v/>
      </c>
      <c r="H142" s="112">
        <f>ROUND($B142*KarliyukSgkIsverenOrani,0)</f>
        <v/>
      </c>
      <c r="I142" s="112">
        <f>ROUND($B142*KarliyukIssizlikIsverenOrani,0)</f>
        <v/>
      </c>
      <c r="J142" s="112">
        <f>$B142+$H142+$I142</f>
        <v/>
      </c>
      <c r="K142" s="114" t="n"/>
    </row>
    <row r="143" ht="15" customHeight="1" s="68">
      <c r="A143" s="114" t="n"/>
      <c r="B143" s="114" t="n"/>
      <c r="C143" s="112">
        <f>ROUND($B143*KarliyukSgkIsciOrani,0)</f>
        <v/>
      </c>
      <c r="D143" s="112">
        <f>ROUND($B143*KarliyukIssizlikIsciOrani,0)</f>
        <v/>
      </c>
      <c r="E143" s="112">
        <f>ROUND($B143*KarliyukStopajOrani,0)</f>
        <v/>
      </c>
      <c r="F143" s="112">
        <f>ROUND($B143*KarliyukDamgaOrani,0)</f>
        <v/>
      </c>
      <c r="G143" s="112">
        <f>$B143-$C143-$D143-$E143-$F143</f>
        <v/>
      </c>
      <c r="H143" s="112">
        <f>ROUND($B143*KarliyukSgkIsverenOrani,0)</f>
        <v/>
      </c>
      <c r="I143" s="112">
        <f>ROUND($B143*KarliyukIssizlikIsverenOrani,0)</f>
        <v/>
      </c>
      <c r="J143" s="112">
        <f>$B143+$H143+$I143</f>
        <v/>
      </c>
      <c r="K143" s="114" t="n"/>
    </row>
    <row r="144" ht="15" customHeight="1" s="68">
      <c r="A144" s="114" t="n"/>
      <c r="B144" s="114" t="n"/>
      <c r="C144" s="112">
        <f>ROUND($B144*KarliyukSgkIsciOrani,0)</f>
        <v/>
      </c>
      <c r="D144" s="112">
        <f>ROUND($B144*KarliyukIssizlikIsciOrani,0)</f>
        <v/>
      </c>
      <c r="E144" s="112">
        <f>ROUND($B144*KarliyukStopajOrani,0)</f>
        <v/>
      </c>
      <c r="F144" s="112">
        <f>ROUND($B144*KarliyukDamgaOrani,0)</f>
        <v/>
      </c>
      <c r="G144" s="112">
        <f>$B144-$C144-$D144-$E144-$F144</f>
        <v/>
      </c>
      <c r="H144" s="112">
        <f>ROUND($B144*KarliyukSgkIsverenOrani,0)</f>
        <v/>
      </c>
      <c r="I144" s="112">
        <f>ROUND($B144*KarliyukIssizlikIsverenOrani,0)</f>
        <v/>
      </c>
      <c r="J144" s="112">
        <f>$B144+$H144+$I144</f>
        <v/>
      </c>
      <c r="K144" s="114" t="n"/>
    </row>
    <row r="145" ht="15" customHeight="1" s="68">
      <c r="A145" s="114" t="n"/>
      <c r="B145" s="114" t="n"/>
      <c r="C145" s="112">
        <f>ROUND($B145*KarliyukSgkIsciOrani,0)</f>
        <v/>
      </c>
      <c r="D145" s="112">
        <f>ROUND($B145*KarliyukIssizlikIsciOrani,0)</f>
        <v/>
      </c>
      <c r="E145" s="112">
        <f>ROUND($B145*KarliyukStopajOrani,0)</f>
        <v/>
      </c>
      <c r="F145" s="112">
        <f>ROUND($B145*KarliyukDamgaOrani,0)</f>
        <v/>
      </c>
      <c r="G145" s="112">
        <f>$B145-$C145-$D145-$E145-$F145</f>
        <v/>
      </c>
      <c r="H145" s="112">
        <f>ROUND($B145*KarliyukSgkIsverenOrani,0)</f>
        <v/>
      </c>
      <c r="I145" s="112">
        <f>ROUND($B145*KarliyukIssizlikIsverenOrani,0)</f>
        <v/>
      </c>
      <c r="J145" s="112">
        <f>$B145+$H145+$I145</f>
        <v/>
      </c>
      <c r="K145" s="114" t="n"/>
    </row>
    <row r="146" ht="15" customHeight="1" s="68">
      <c r="A146" s="114" t="n"/>
      <c r="B146" s="114" t="n"/>
      <c r="C146" s="112">
        <f>ROUND($B146*KarliyukSgkIsciOrani,0)</f>
        <v/>
      </c>
      <c r="D146" s="112">
        <f>ROUND($B146*KarliyukIssizlikIsciOrani,0)</f>
        <v/>
      </c>
      <c r="E146" s="112">
        <f>ROUND($B146*KarliyukStopajOrani,0)</f>
        <v/>
      </c>
      <c r="F146" s="112">
        <f>ROUND($B146*KarliyukDamgaOrani,0)</f>
        <v/>
      </c>
      <c r="G146" s="112">
        <f>$B146-$C146-$D146-$E146-$F146</f>
        <v/>
      </c>
      <c r="H146" s="112">
        <f>ROUND($B146*KarliyukSgkIsverenOrani,0)</f>
        <v/>
      </c>
      <c r="I146" s="112">
        <f>ROUND($B146*KarliyukIssizlikIsverenOrani,0)</f>
        <v/>
      </c>
      <c r="J146" s="112">
        <f>$B146+$H146+$I146</f>
        <v/>
      </c>
      <c r="K146" s="114" t="n"/>
    </row>
    <row r="147" ht="15" customHeight="1" s="68">
      <c r="A147" s="114" t="n"/>
      <c r="B147" s="114" t="n"/>
      <c r="C147" s="112">
        <f>ROUND($B147*KarliyukSgkIsciOrani,0)</f>
        <v/>
      </c>
      <c r="D147" s="112">
        <f>ROUND($B147*KarliyukIssizlikIsciOrani,0)</f>
        <v/>
      </c>
      <c r="E147" s="112">
        <f>ROUND($B147*KarliyukStopajOrani,0)</f>
        <v/>
      </c>
      <c r="F147" s="112">
        <f>ROUND($B147*KarliyukDamgaOrani,0)</f>
        <v/>
      </c>
      <c r="G147" s="112">
        <f>$B147-$C147-$D147-$E147-$F147</f>
        <v/>
      </c>
      <c r="H147" s="112">
        <f>ROUND($B147*KarliyukSgkIsverenOrani,0)</f>
        <v/>
      </c>
      <c r="I147" s="112">
        <f>ROUND($B147*KarliyukIssizlikIsverenOrani,0)</f>
        <v/>
      </c>
      <c r="J147" s="112">
        <f>$B147+$H147+$I147</f>
        <v/>
      </c>
      <c r="K147" s="114" t="n"/>
    </row>
    <row r="148" ht="15" customHeight="1" s="68">
      <c r="A148" s="114" t="n"/>
      <c r="B148" s="114" t="n"/>
      <c r="C148" s="112">
        <f>ROUND($B148*KarliyukSgkIsciOrani,0)</f>
        <v/>
      </c>
      <c r="D148" s="112">
        <f>ROUND($B148*KarliyukIssizlikIsciOrani,0)</f>
        <v/>
      </c>
      <c r="E148" s="112">
        <f>ROUND($B148*KarliyukStopajOrani,0)</f>
        <v/>
      </c>
      <c r="F148" s="112">
        <f>ROUND($B148*KarliyukDamgaOrani,0)</f>
        <v/>
      </c>
      <c r="G148" s="112">
        <f>$B148-$C148-$D148-$E148-$F148</f>
        <v/>
      </c>
      <c r="H148" s="112">
        <f>ROUND($B148*KarliyukSgkIsverenOrani,0)</f>
        <v/>
      </c>
      <c r="I148" s="112">
        <f>ROUND($B148*KarliyukIssizlikIsverenOrani,0)</f>
        <v/>
      </c>
      <c r="J148" s="112">
        <f>$B148+$H148+$I148</f>
        <v/>
      </c>
      <c r="K148" s="114" t="n"/>
    </row>
    <row r="149" ht="15" customHeight="1" s="68">
      <c r="A149" s="114" t="n"/>
      <c r="B149" s="114" t="n"/>
      <c r="C149" s="112">
        <f>ROUND($B149*KarliyukSgkIsciOrani,0)</f>
        <v/>
      </c>
      <c r="D149" s="112">
        <f>ROUND($B149*KarliyukIssizlikIsciOrani,0)</f>
        <v/>
      </c>
      <c r="E149" s="112">
        <f>ROUND($B149*KarliyukStopajOrani,0)</f>
        <v/>
      </c>
      <c r="F149" s="112">
        <f>ROUND($B149*KarliyukDamgaOrani,0)</f>
        <v/>
      </c>
      <c r="G149" s="112">
        <f>$B149-$C149-$D149-$E149-$F149</f>
        <v/>
      </c>
      <c r="H149" s="112">
        <f>ROUND($B149*KarliyukSgkIsverenOrani,0)</f>
        <v/>
      </c>
      <c r="I149" s="112">
        <f>ROUND($B149*KarliyukIssizlikIsverenOrani,0)</f>
        <v/>
      </c>
      <c r="J149" s="112">
        <f>$B149+$H149+$I149</f>
        <v/>
      </c>
      <c r="K149" s="114" t="n"/>
    </row>
    <row r="150" ht="15" customHeight="1" s="68">
      <c r="A150" s="114" t="n"/>
      <c r="B150" s="114" t="n"/>
      <c r="C150" s="112">
        <f>ROUND($B150*KarliyukSgkIsciOrani,0)</f>
        <v/>
      </c>
      <c r="D150" s="112">
        <f>ROUND($B150*KarliyukIssizlikIsciOrani,0)</f>
        <v/>
      </c>
      <c r="E150" s="112">
        <f>ROUND($B150*KarliyukStopajOrani,0)</f>
        <v/>
      </c>
      <c r="F150" s="112">
        <f>ROUND($B150*KarliyukDamgaOrani,0)</f>
        <v/>
      </c>
      <c r="G150" s="112">
        <f>$B150-$C150-$D150-$E150-$F150</f>
        <v/>
      </c>
      <c r="H150" s="112">
        <f>ROUND($B150*KarliyukSgkIsverenOrani,0)</f>
        <v/>
      </c>
      <c r="I150" s="112">
        <f>ROUND($B150*KarliyukIssizlikIsverenOrani,0)</f>
        <v/>
      </c>
      <c r="J150" s="112">
        <f>$B150+$H150+$I150</f>
        <v/>
      </c>
      <c r="K150" s="114" t="n"/>
    </row>
    <row r="151" ht="15" customHeight="1" s="68">
      <c r="A151" s="114" t="n"/>
      <c r="B151" s="114" t="n"/>
      <c r="C151" s="112">
        <f>ROUND($B151*KarliyukSgkIsciOrani,0)</f>
        <v/>
      </c>
      <c r="D151" s="112">
        <f>ROUND($B151*KarliyukIssizlikIsciOrani,0)</f>
        <v/>
      </c>
      <c r="E151" s="112">
        <f>ROUND($B151*KarliyukStopajOrani,0)</f>
        <v/>
      </c>
      <c r="F151" s="112">
        <f>ROUND($B151*KarliyukDamgaOrani,0)</f>
        <v/>
      </c>
      <c r="G151" s="112">
        <f>$B151-$C151-$D151-$E151-$F151</f>
        <v/>
      </c>
      <c r="H151" s="112">
        <f>ROUND($B151*KarliyukSgkIsverenOrani,0)</f>
        <v/>
      </c>
      <c r="I151" s="112">
        <f>ROUND($B151*KarliyukIssizlikIsverenOrani,0)</f>
        <v/>
      </c>
      <c r="J151" s="112">
        <f>$B151+$H151+$I151</f>
        <v/>
      </c>
      <c r="K151" s="114" t="n"/>
    </row>
    <row r="152" ht="15" customHeight="1" s="68">
      <c r="A152" s="114" t="n"/>
      <c r="B152" s="114" t="n"/>
      <c r="C152" s="112">
        <f>ROUND($B152*KarliyukSgkIsciOrani,0)</f>
        <v/>
      </c>
      <c r="D152" s="112">
        <f>ROUND($B152*KarliyukIssizlikIsciOrani,0)</f>
        <v/>
      </c>
      <c r="E152" s="112">
        <f>ROUND($B152*KarliyukStopajOrani,0)</f>
        <v/>
      </c>
      <c r="F152" s="112">
        <f>ROUND($B152*KarliyukDamgaOrani,0)</f>
        <v/>
      </c>
      <c r="G152" s="112">
        <f>$B152-$C152-$D152-$E152-$F152</f>
        <v/>
      </c>
      <c r="H152" s="112">
        <f>ROUND($B152*KarliyukSgkIsverenOrani,0)</f>
        <v/>
      </c>
      <c r="I152" s="112">
        <f>ROUND($B152*KarliyukIssizlikIsverenOrani,0)</f>
        <v/>
      </c>
      <c r="J152" s="112">
        <f>$B152+$H152+$I152</f>
        <v/>
      </c>
      <c r="K152" s="114" t="n"/>
    </row>
    <row r="153" ht="15" customHeight="1" s="68">
      <c r="A153" s="114" t="n"/>
      <c r="B153" s="114" t="n"/>
      <c r="C153" s="112">
        <f>ROUND($B153*KarliyukSgkIsciOrani,0)</f>
        <v/>
      </c>
      <c r="D153" s="112">
        <f>ROUND($B153*KarliyukIssizlikIsciOrani,0)</f>
        <v/>
      </c>
      <c r="E153" s="112">
        <f>ROUND($B153*KarliyukStopajOrani,0)</f>
        <v/>
      </c>
      <c r="F153" s="112">
        <f>ROUND($B153*KarliyukDamgaOrani,0)</f>
        <v/>
      </c>
      <c r="G153" s="112">
        <f>$B153-$C153-$D153-$E153-$F153</f>
        <v/>
      </c>
      <c r="H153" s="112">
        <f>ROUND($B153*KarliyukSgkIsverenOrani,0)</f>
        <v/>
      </c>
      <c r="I153" s="112">
        <f>ROUND($B153*KarliyukIssizlikIsverenOrani,0)</f>
        <v/>
      </c>
      <c r="J153" s="112">
        <f>$B153+$H153+$I153</f>
        <v/>
      </c>
      <c r="K153" s="114" t="n"/>
    </row>
    <row r="154" ht="15" customHeight="1" s="68">
      <c r="A154" s="114" t="n"/>
      <c r="B154" s="114" t="n"/>
      <c r="C154" s="112">
        <f>ROUND($B154*KarliyukSgkIsciOrani,0)</f>
        <v/>
      </c>
      <c r="D154" s="112">
        <f>ROUND($B154*KarliyukIssizlikIsciOrani,0)</f>
        <v/>
      </c>
      <c r="E154" s="112">
        <f>ROUND($B154*KarliyukStopajOrani,0)</f>
        <v/>
      </c>
      <c r="F154" s="112">
        <f>ROUND($B154*KarliyukDamgaOrani,0)</f>
        <v/>
      </c>
      <c r="G154" s="112">
        <f>$B154-$C154-$D154-$E154-$F154</f>
        <v/>
      </c>
      <c r="H154" s="112">
        <f>ROUND($B154*KarliyukSgkIsverenOrani,0)</f>
        <v/>
      </c>
      <c r="I154" s="112">
        <f>ROUND($B154*KarliyukIssizlikIsverenOrani,0)</f>
        <v/>
      </c>
      <c r="J154" s="112">
        <f>$B154+$H154+$I154</f>
        <v/>
      </c>
      <c r="K154" s="114" t="n"/>
    </row>
    <row r="155" ht="15" customHeight="1" s="68">
      <c r="A155" s="114" t="n"/>
      <c r="B155" s="114" t="n"/>
      <c r="C155" s="112">
        <f>ROUND($B155*KarliyukSgkIsciOrani,0)</f>
        <v/>
      </c>
      <c r="D155" s="112">
        <f>ROUND($B155*KarliyukIssizlikIsciOrani,0)</f>
        <v/>
      </c>
      <c r="E155" s="112">
        <f>ROUND($B155*KarliyukStopajOrani,0)</f>
        <v/>
      </c>
      <c r="F155" s="112">
        <f>ROUND($B155*KarliyukDamgaOrani,0)</f>
        <v/>
      </c>
      <c r="G155" s="112">
        <f>$B155-$C155-$D155-$E155-$F155</f>
        <v/>
      </c>
      <c r="H155" s="112">
        <f>ROUND($B155*KarliyukSgkIsverenOrani,0)</f>
        <v/>
      </c>
      <c r="I155" s="112">
        <f>ROUND($B155*KarliyukIssizlikIsverenOrani,0)</f>
        <v/>
      </c>
      <c r="J155" s="112">
        <f>$B155+$H155+$I155</f>
        <v/>
      </c>
      <c r="K155" s="114" t="n"/>
    </row>
    <row r="156" ht="15" customHeight="1" s="68">
      <c r="A156" s="114" t="n"/>
      <c r="B156" s="114" t="n"/>
      <c r="C156" s="112">
        <f>ROUND($B156*KarliyukSgkIsciOrani,0)</f>
        <v/>
      </c>
      <c r="D156" s="112">
        <f>ROUND($B156*KarliyukIssizlikIsciOrani,0)</f>
        <v/>
      </c>
      <c r="E156" s="112">
        <f>ROUND($B156*KarliyukStopajOrani,0)</f>
        <v/>
      </c>
      <c r="F156" s="112">
        <f>ROUND($B156*KarliyukDamgaOrani,0)</f>
        <v/>
      </c>
      <c r="G156" s="112">
        <f>$B156-$C156-$D156-$E156-$F156</f>
        <v/>
      </c>
      <c r="H156" s="112">
        <f>ROUND($B156*KarliyukSgkIsverenOrani,0)</f>
        <v/>
      </c>
      <c r="I156" s="112">
        <f>ROUND($B156*KarliyukIssizlikIsverenOrani,0)</f>
        <v/>
      </c>
      <c r="J156" s="112">
        <f>$B156+$H156+$I156</f>
        <v/>
      </c>
      <c r="K156" s="114" t="n"/>
    </row>
    <row r="157" ht="15" customHeight="1" s="68">
      <c r="A157" s="114" t="n"/>
      <c r="B157" s="114" t="n"/>
      <c r="C157" s="112">
        <f>ROUND($B157*KarliyukSgkIsciOrani,0)</f>
        <v/>
      </c>
      <c r="D157" s="112">
        <f>ROUND($B157*KarliyukIssizlikIsciOrani,0)</f>
        <v/>
      </c>
      <c r="E157" s="112">
        <f>ROUND($B157*KarliyukStopajOrani,0)</f>
        <v/>
      </c>
      <c r="F157" s="112">
        <f>ROUND($B157*KarliyukDamgaOrani,0)</f>
        <v/>
      </c>
      <c r="G157" s="112">
        <f>$B157-$C157-$D157-$E157-$F157</f>
        <v/>
      </c>
      <c r="H157" s="112">
        <f>ROUND($B157*KarliyukSgkIsverenOrani,0)</f>
        <v/>
      </c>
      <c r="I157" s="112">
        <f>ROUND($B157*KarliyukIssizlikIsverenOrani,0)</f>
        <v/>
      </c>
      <c r="J157" s="112">
        <f>$B157+$H157+$I157</f>
        <v/>
      </c>
      <c r="K157" s="114" t="n"/>
    </row>
    <row r="158" ht="15" customHeight="1" s="68">
      <c r="A158" s="114" t="n"/>
      <c r="B158" s="114" t="n"/>
      <c r="C158" s="112">
        <f>ROUND($B158*KarliyukSgkIsciOrani,0)</f>
        <v/>
      </c>
      <c r="D158" s="112">
        <f>ROUND($B158*KarliyukIssizlikIsciOrani,0)</f>
        <v/>
      </c>
      <c r="E158" s="112">
        <f>ROUND($B158*KarliyukStopajOrani,0)</f>
        <v/>
      </c>
      <c r="F158" s="112">
        <f>ROUND($B158*KarliyukDamgaOrani,0)</f>
        <v/>
      </c>
      <c r="G158" s="112">
        <f>$B158-$C158-$D158-$E158-$F158</f>
        <v/>
      </c>
      <c r="H158" s="112">
        <f>ROUND($B158*KarliyukSgkIsverenOrani,0)</f>
        <v/>
      </c>
      <c r="I158" s="112">
        <f>ROUND($B158*KarliyukIssizlikIsverenOrani,0)</f>
        <v/>
      </c>
      <c r="J158" s="112">
        <f>$B158+$H158+$I158</f>
        <v/>
      </c>
      <c r="K158" s="114" t="n"/>
    </row>
    <row r="159" ht="15" customHeight="1" s="68">
      <c r="A159" s="114" t="n"/>
      <c r="B159" s="114" t="n"/>
      <c r="C159" s="112">
        <f>ROUND($B159*KarliyukSgkIsciOrani,0)</f>
        <v/>
      </c>
      <c r="D159" s="112">
        <f>ROUND($B159*KarliyukIssizlikIsciOrani,0)</f>
        <v/>
      </c>
      <c r="E159" s="112">
        <f>ROUND($B159*KarliyukStopajOrani,0)</f>
        <v/>
      </c>
      <c r="F159" s="112">
        <f>ROUND($B159*KarliyukDamgaOrani,0)</f>
        <v/>
      </c>
      <c r="G159" s="112">
        <f>$B159-$C159-$D159-$E159-$F159</f>
        <v/>
      </c>
      <c r="H159" s="112">
        <f>ROUND($B159*KarliyukSgkIsverenOrani,0)</f>
        <v/>
      </c>
      <c r="I159" s="112">
        <f>ROUND($B159*KarliyukIssizlikIsverenOrani,0)</f>
        <v/>
      </c>
      <c r="J159" s="112">
        <f>$B159+$H159+$I159</f>
        <v/>
      </c>
      <c r="K159" s="114" t="n"/>
    </row>
    <row r="160" ht="15" customHeight="1" s="68">
      <c r="A160" s="114" t="n"/>
      <c r="B160" s="114" t="n"/>
      <c r="C160" s="112">
        <f>ROUND($B160*KarliyukSgkIsciOrani,0)</f>
        <v/>
      </c>
      <c r="D160" s="112">
        <f>ROUND($B160*KarliyukIssizlikIsciOrani,0)</f>
        <v/>
      </c>
      <c r="E160" s="112">
        <f>ROUND($B160*KarliyukStopajOrani,0)</f>
        <v/>
      </c>
      <c r="F160" s="112">
        <f>ROUND($B160*KarliyukDamgaOrani,0)</f>
        <v/>
      </c>
      <c r="G160" s="112">
        <f>$B160-$C160-$D160-$E160-$F160</f>
        <v/>
      </c>
      <c r="H160" s="112">
        <f>ROUND($B160*KarliyukSgkIsverenOrani,0)</f>
        <v/>
      </c>
      <c r="I160" s="112">
        <f>ROUND($B160*KarliyukIssizlikIsverenOrani,0)</f>
        <v/>
      </c>
      <c r="J160" s="112">
        <f>$B160+$H160+$I160</f>
        <v/>
      </c>
      <c r="K160" s="114" t="n"/>
    </row>
    <row r="161" ht="15" customHeight="1" s="68">
      <c r="A161" s="114" t="n"/>
      <c r="B161" s="114" t="n"/>
      <c r="C161" s="112">
        <f>ROUND($B161*KarliyukSgkIsciOrani,0)</f>
        <v/>
      </c>
      <c r="D161" s="112">
        <f>ROUND($B161*KarliyukIssizlikIsciOrani,0)</f>
        <v/>
      </c>
      <c r="E161" s="112">
        <f>ROUND($B161*KarliyukStopajOrani,0)</f>
        <v/>
      </c>
      <c r="F161" s="112">
        <f>ROUND($B161*KarliyukDamgaOrani,0)</f>
        <v/>
      </c>
      <c r="G161" s="112">
        <f>$B161-$C161-$D161-$E161-$F161</f>
        <v/>
      </c>
      <c r="H161" s="112">
        <f>ROUND($B161*KarliyukSgkIsverenOrani,0)</f>
        <v/>
      </c>
      <c r="I161" s="112">
        <f>ROUND($B161*KarliyukIssizlikIsverenOrani,0)</f>
        <v/>
      </c>
      <c r="J161" s="112">
        <f>$B161+$H161+$I161</f>
        <v/>
      </c>
      <c r="K161" s="114" t="n"/>
    </row>
    <row r="162" ht="15" customHeight="1" s="68">
      <c r="A162" s="114" t="n"/>
      <c r="B162" s="114" t="n"/>
      <c r="C162" s="112">
        <f>ROUND($B162*KarliyukSgkIsciOrani,0)</f>
        <v/>
      </c>
      <c r="D162" s="112">
        <f>ROUND($B162*KarliyukIssizlikIsciOrani,0)</f>
        <v/>
      </c>
      <c r="E162" s="112">
        <f>ROUND($B162*KarliyukStopajOrani,0)</f>
        <v/>
      </c>
      <c r="F162" s="112">
        <f>ROUND($B162*KarliyukDamgaOrani,0)</f>
        <v/>
      </c>
      <c r="G162" s="112">
        <f>$B162-$C162-$D162-$E162-$F162</f>
        <v/>
      </c>
      <c r="H162" s="112">
        <f>ROUND($B162*KarliyukSgkIsverenOrani,0)</f>
        <v/>
      </c>
      <c r="I162" s="112">
        <f>ROUND($B162*KarliyukIssizlikIsverenOrani,0)</f>
        <v/>
      </c>
      <c r="J162" s="112">
        <f>$B162+$H162+$I162</f>
        <v/>
      </c>
      <c r="K162" s="114" t="n"/>
    </row>
    <row r="163" ht="15" customHeight="1" s="68">
      <c r="A163" s="114" t="n"/>
      <c r="B163" s="114" t="n"/>
      <c r="C163" s="112">
        <f>ROUND($B163*KarliyukSgkIsciOrani,0)</f>
        <v/>
      </c>
      <c r="D163" s="112">
        <f>ROUND($B163*KarliyukIssizlikIsciOrani,0)</f>
        <v/>
      </c>
      <c r="E163" s="112">
        <f>ROUND($B163*KarliyukStopajOrani,0)</f>
        <v/>
      </c>
      <c r="F163" s="112">
        <f>ROUND($B163*KarliyukDamgaOrani,0)</f>
        <v/>
      </c>
      <c r="G163" s="112">
        <f>$B163-$C163-$D163-$E163-$F163</f>
        <v/>
      </c>
      <c r="H163" s="112">
        <f>ROUND($B163*KarliyukSgkIsverenOrani,0)</f>
        <v/>
      </c>
      <c r="I163" s="112">
        <f>ROUND($B163*KarliyukIssizlikIsverenOrani,0)</f>
        <v/>
      </c>
      <c r="J163" s="112">
        <f>$B163+$H163+$I163</f>
        <v/>
      </c>
      <c r="K163" s="114" t="n"/>
    </row>
    <row r="164" ht="15" customHeight="1" s="68">
      <c r="A164" s="114" t="n"/>
      <c r="B164" s="114" t="n"/>
      <c r="C164" s="112">
        <f>ROUND($B164*KarliyukSgkIsciOrani,0)</f>
        <v/>
      </c>
      <c r="D164" s="112">
        <f>ROUND($B164*KarliyukIssizlikIsciOrani,0)</f>
        <v/>
      </c>
      <c r="E164" s="112">
        <f>ROUND($B164*KarliyukStopajOrani,0)</f>
        <v/>
      </c>
      <c r="F164" s="112">
        <f>ROUND($B164*KarliyukDamgaOrani,0)</f>
        <v/>
      </c>
      <c r="G164" s="112">
        <f>$B164-$C164-$D164-$E164-$F164</f>
        <v/>
      </c>
      <c r="H164" s="112">
        <f>ROUND($B164*KarliyukSgkIsverenOrani,0)</f>
        <v/>
      </c>
      <c r="I164" s="112">
        <f>ROUND($B164*KarliyukIssizlikIsverenOrani,0)</f>
        <v/>
      </c>
      <c r="J164" s="112">
        <f>$B164+$H164+$I164</f>
        <v/>
      </c>
      <c r="K164" s="114" t="n"/>
    </row>
    <row r="165" ht="15" customHeight="1" s="68">
      <c r="A165" s="114" t="n"/>
      <c r="B165" s="114" t="n"/>
      <c r="C165" s="112">
        <f>ROUND($B165*KarliyukSgkIsciOrani,0)</f>
        <v/>
      </c>
      <c r="D165" s="112">
        <f>ROUND($B165*KarliyukIssizlikIsciOrani,0)</f>
        <v/>
      </c>
      <c r="E165" s="112">
        <f>ROUND($B165*KarliyukStopajOrani,0)</f>
        <v/>
      </c>
      <c r="F165" s="112">
        <f>ROUND($B165*KarliyukDamgaOrani,0)</f>
        <v/>
      </c>
      <c r="G165" s="112">
        <f>$B165-$C165-$D165-$E165-$F165</f>
        <v/>
      </c>
      <c r="H165" s="112">
        <f>ROUND($B165*KarliyukSgkIsverenOrani,0)</f>
        <v/>
      </c>
      <c r="I165" s="112">
        <f>ROUND($B165*KarliyukIssizlikIsverenOrani,0)</f>
        <v/>
      </c>
      <c r="J165" s="112">
        <f>$B165+$H165+$I165</f>
        <v/>
      </c>
      <c r="K165" s="114" t="n"/>
    </row>
    <row r="166" ht="15" customHeight="1" s="68">
      <c r="A166" s="114" t="n"/>
      <c r="B166" s="114" t="n"/>
      <c r="C166" s="112">
        <f>ROUND($B166*KarliyukSgkIsciOrani,0)</f>
        <v/>
      </c>
      <c r="D166" s="112">
        <f>ROUND($B166*KarliyukIssizlikIsciOrani,0)</f>
        <v/>
      </c>
      <c r="E166" s="112">
        <f>ROUND($B166*KarliyukStopajOrani,0)</f>
        <v/>
      </c>
      <c r="F166" s="112">
        <f>ROUND($B166*KarliyukDamgaOrani,0)</f>
        <v/>
      </c>
      <c r="G166" s="112">
        <f>$B166-$C166-$D166-$E166-$F166</f>
        <v/>
      </c>
      <c r="H166" s="112">
        <f>ROUND($B166*KarliyukSgkIsverenOrani,0)</f>
        <v/>
      </c>
      <c r="I166" s="112">
        <f>ROUND($B166*KarliyukIssizlikIsverenOrani,0)</f>
        <v/>
      </c>
      <c r="J166" s="112">
        <f>$B166+$H166+$I166</f>
        <v/>
      </c>
      <c r="K166" s="114" t="n"/>
    </row>
    <row r="167" ht="15" customHeight="1" s="68">
      <c r="A167" s="114" t="n"/>
      <c r="B167" s="114" t="n"/>
      <c r="C167" s="112">
        <f>ROUND($B167*KarliyukSgkIsciOrani,0)</f>
        <v/>
      </c>
      <c r="D167" s="112">
        <f>ROUND($B167*KarliyukIssizlikIsciOrani,0)</f>
        <v/>
      </c>
      <c r="E167" s="112">
        <f>ROUND($B167*KarliyukStopajOrani,0)</f>
        <v/>
      </c>
      <c r="F167" s="112">
        <f>ROUND($B167*KarliyukDamgaOrani,0)</f>
        <v/>
      </c>
      <c r="G167" s="112">
        <f>$B167-$C167-$D167-$E167-$F167</f>
        <v/>
      </c>
      <c r="H167" s="112">
        <f>ROUND($B167*KarliyukSgkIsverenOrani,0)</f>
        <v/>
      </c>
      <c r="I167" s="112">
        <f>ROUND($B167*KarliyukIssizlikIsverenOrani,0)</f>
        <v/>
      </c>
      <c r="J167" s="112">
        <f>$B167+$H167+$I167</f>
        <v/>
      </c>
      <c r="K167" s="114" t="n"/>
    </row>
    <row r="168" ht="15" customHeight="1" s="68">
      <c r="A168" s="114" t="n"/>
      <c r="B168" s="114" t="n"/>
      <c r="C168" s="112">
        <f>ROUND($B168*KarliyukSgkIsciOrani,0)</f>
        <v/>
      </c>
      <c r="D168" s="112">
        <f>ROUND($B168*KarliyukIssizlikIsciOrani,0)</f>
        <v/>
      </c>
      <c r="E168" s="112">
        <f>ROUND($B168*KarliyukStopajOrani,0)</f>
        <v/>
      </c>
      <c r="F168" s="112">
        <f>ROUND($B168*KarliyukDamgaOrani,0)</f>
        <v/>
      </c>
      <c r="G168" s="112">
        <f>$B168-$C168-$D168-$E168-$F168</f>
        <v/>
      </c>
      <c r="H168" s="112">
        <f>ROUND($B168*KarliyukSgkIsverenOrani,0)</f>
        <v/>
      </c>
      <c r="I168" s="112">
        <f>ROUND($B168*KarliyukIssizlikIsverenOrani,0)</f>
        <v/>
      </c>
      <c r="J168" s="112">
        <f>$B168+$H168+$I168</f>
        <v/>
      </c>
      <c r="K168" s="114" t="n"/>
    </row>
    <row r="169" ht="15" customHeight="1" s="68">
      <c r="A169" s="114" t="n"/>
      <c r="B169" s="114" t="n"/>
      <c r="C169" s="112">
        <f>ROUND($B169*KarliyukSgkIsciOrani,0)</f>
        <v/>
      </c>
      <c r="D169" s="112">
        <f>ROUND($B169*KarliyukIssizlikIsciOrani,0)</f>
        <v/>
      </c>
      <c r="E169" s="112">
        <f>ROUND($B169*KarliyukStopajOrani,0)</f>
        <v/>
      </c>
      <c r="F169" s="112">
        <f>ROUND($B169*KarliyukDamgaOrani,0)</f>
        <v/>
      </c>
      <c r="G169" s="112">
        <f>$B169-$C169-$D169-$E169-$F169</f>
        <v/>
      </c>
      <c r="H169" s="112">
        <f>ROUND($B169*KarliyukSgkIsverenOrani,0)</f>
        <v/>
      </c>
      <c r="I169" s="112">
        <f>ROUND($B169*KarliyukIssizlikIsverenOrani,0)</f>
        <v/>
      </c>
      <c r="J169" s="112">
        <f>$B169+$H169+$I169</f>
        <v/>
      </c>
      <c r="K169" s="114" t="n"/>
    </row>
    <row r="170" ht="15" customHeight="1" s="68">
      <c r="A170" s="114" t="n"/>
      <c r="B170" s="114" t="n"/>
      <c r="C170" s="112">
        <f>ROUND($B170*KarliyukSgkIsciOrani,0)</f>
        <v/>
      </c>
      <c r="D170" s="112">
        <f>ROUND($B170*KarliyukIssizlikIsciOrani,0)</f>
        <v/>
      </c>
      <c r="E170" s="112">
        <f>ROUND($B170*KarliyukStopajOrani,0)</f>
        <v/>
      </c>
      <c r="F170" s="112">
        <f>ROUND($B170*KarliyukDamgaOrani,0)</f>
        <v/>
      </c>
      <c r="G170" s="112">
        <f>$B170-$C170-$D170-$E170-$F170</f>
        <v/>
      </c>
      <c r="H170" s="112">
        <f>ROUND($B170*KarliyukSgkIsverenOrani,0)</f>
        <v/>
      </c>
      <c r="I170" s="112">
        <f>ROUND($B170*KarliyukIssizlikIsverenOrani,0)</f>
        <v/>
      </c>
      <c r="J170" s="112">
        <f>$B170+$H170+$I170</f>
        <v/>
      </c>
      <c r="K170" s="114" t="n"/>
    </row>
    <row r="171" ht="15" customHeight="1" s="68">
      <c r="A171" s="114" t="n"/>
      <c r="B171" s="114" t="n"/>
      <c r="C171" s="112">
        <f>ROUND($B171*KarliyukSgkIsciOrani,0)</f>
        <v/>
      </c>
      <c r="D171" s="112">
        <f>ROUND($B171*KarliyukIssizlikIsciOrani,0)</f>
        <v/>
      </c>
      <c r="E171" s="112">
        <f>ROUND($B171*KarliyukStopajOrani,0)</f>
        <v/>
      </c>
      <c r="F171" s="112">
        <f>ROUND($B171*KarliyukDamgaOrani,0)</f>
        <v/>
      </c>
      <c r="G171" s="112">
        <f>$B171-$C171-$D171-$E171-$F171</f>
        <v/>
      </c>
      <c r="H171" s="112">
        <f>ROUND($B171*KarliyukSgkIsverenOrani,0)</f>
        <v/>
      </c>
      <c r="I171" s="112">
        <f>ROUND($B171*KarliyukIssizlikIsverenOrani,0)</f>
        <v/>
      </c>
      <c r="J171" s="112">
        <f>$B171+$H171+$I171</f>
        <v/>
      </c>
      <c r="K171" s="114" t="n"/>
    </row>
    <row r="172" ht="15" customHeight="1" s="68">
      <c r="A172" s="114" t="n"/>
      <c r="B172" s="114" t="n"/>
      <c r="C172" s="112">
        <f>ROUND($B172*KarliyukSgkIsciOrani,0)</f>
        <v/>
      </c>
      <c r="D172" s="112">
        <f>ROUND($B172*KarliyukIssizlikIsciOrani,0)</f>
        <v/>
      </c>
      <c r="E172" s="112">
        <f>ROUND($B172*KarliyukStopajOrani,0)</f>
        <v/>
      </c>
      <c r="F172" s="112">
        <f>ROUND($B172*KarliyukDamgaOrani,0)</f>
        <v/>
      </c>
      <c r="G172" s="112">
        <f>$B172-$C172-$D172-$E172-$F172</f>
        <v/>
      </c>
      <c r="H172" s="112">
        <f>ROUND($B172*KarliyukSgkIsverenOrani,0)</f>
        <v/>
      </c>
      <c r="I172" s="112">
        <f>ROUND($B172*KarliyukIssizlikIsverenOrani,0)</f>
        <v/>
      </c>
      <c r="J172" s="112">
        <f>$B172+$H172+$I172</f>
        <v/>
      </c>
      <c r="K172" s="114" t="n"/>
    </row>
    <row r="173" ht="15" customHeight="1" s="68">
      <c r="A173" s="114" t="n"/>
      <c r="B173" s="114" t="n"/>
      <c r="C173" s="112">
        <f>ROUND($B173*KarliyukSgkIsciOrani,0)</f>
        <v/>
      </c>
      <c r="D173" s="112">
        <f>ROUND($B173*KarliyukIssizlikIsciOrani,0)</f>
        <v/>
      </c>
      <c r="E173" s="112">
        <f>ROUND($B173*KarliyukStopajOrani,0)</f>
        <v/>
      </c>
      <c r="F173" s="112">
        <f>ROUND($B173*KarliyukDamgaOrani,0)</f>
        <v/>
      </c>
      <c r="G173" s="112">
        <f>$B173-$C173-$D173-$E173-$F173</f>
        <v/>
      </c>
      <c r="H173" s="112">
        <f>ROUND($B173*KarliyukSgkIsverenOrani,0)</f>
        <v/>
      </c>
      <c r="I173" s="112">
        <f>ROUND($B173*KarliyukIssizlikIsverenOrani,0)</f>
        <v/>
      </c>
      <c r="J173" s="112">
        <f>$B173+$H173+$I173</f>
        <v/>
      </c>
      <c r="K173" s="114" t="n"/>
    </row>
    <row r="174" ht="15" customHeight="1" s="68">
      <c r="A174" s="114" t="n"/>
      <c r="B174" s="114" t="n"/>
      <c r="C174" s="112">
        <f>ROUND($B174*KarliyukSgkIsciOrani,0)</f>
        <v/>
      </c>
      <c r="D174" s="112">
        <f>ROUND($B174*KarliyukIssizlikIsciOrani,0)</f>
        <v/>
      </c>
      <c r="E174" s="112">
        <f>ROUND($B174*KarliyukStopajOrani,0)</f>
        <v/>
      </c>
      <c r="F174" s="112">
        <f>ROUND($B174*KarliyukDamgaOrani,0)</f>
        <v/>
      </c>
      <c r="G174" s="112">
        <f>$B174-$C174-$D174-$E174-$F174</f>
        <v/>
      </c>
      <c r="H174" s="112">
        <f>ROUND($B174*KarliyukSgkIsverenOrani,0)</f>
        <v/>
      </c>
      <c r="I174" s="112">
        <f>ROUND($B174*KarliyukIssizlikIsverenOrani,0)</f>
        <v/>
      </c>
      <c r="J174" s="112">
        <f>$B174+$H174+$I174</f>
        <v/>
      </c>
      <c r="K174" s="114" t="n"/>
    </row>
    <row r="175" ht="15" customHeight="1" s="68">
      <c r="A175" s="114" t="n"/>
      <c r="B175" s="114" t="n"/>
      <c r="C175" s="112">
        <f>ROUND($B175*KarliyukSgkIsciOrani,0)</f>
        <v/>
      </c>
      <c r="D175" s="112">
        <f>ROUND($B175*KarliyukIssizlikIsciOrani,0)</f>
        <v/>
      </c>
      <c r="E175" s="112">
        <f>ROUND($B175*KarliyukStopajOrani,0)</f>
        <v/>
      </c>
      <c r="F175" s="112">
        <f>ROUND($B175*KarliyukDamgaOrani,0)</f>
        <v/>
      </c>
      <c r="G175" s="112">
        <f>$B175-$C175-$D175-$E175-$F175</f>
        <v/>
      </c>
      <c r="H175" s="112">
        <f>ROUND($B175*KarliyukSgkIsverenOrani,0)</f>
        <v/>
      </c>
      <c r="I175" s="112">
        <f>ROUND($B175*KarliyukIssizlikIsverenOrani,0)</f>
        <v/>
      </c>
      <c r="J175" s="112">
        <f>$B175+$H175+$I175</f>
        <v/>
      </c>
      <c r="K175" s="114" t="n"/>
    </row>
    <row r="176" ht="15" customHeight="1" s="68">
      <c r="A176" s="114" t="n"/>
      <c r="B176" s="114" t="n"/>
      <c r="C176" s="112">
        <f>ROUND($B176*KarliyukSgkIsciOrani,0)</f>
        <v/>
      </c>
      <c r="D176" s="112">
        <f>ROUND($B176*KarliyukIssizlikIsciOrani,0)</f>
        <v/>
      </c>
      <c r="E176" s="112">
        <f>ROUND($B176*KarliyukStopajOrani,0)</f>
        <v/>
      </c>
      <c r="F176" s="112">
        <f>ROUND($B176*KarliyukDamgaOrani,0)</f>
        <v/>
      </c>
      <c r="G176" s="112">
        <f>$B176-$C176-$D176-$E176-$F176</f>
        <v/>
      </c>
      <c r="H176" s="112">
        <f>ROUND($B176*KarliyukSgkIsverenOrani,0)</f>
        <v/>
      </c>
      <c r="I176" s="112">
        <f>ROUND($B176*KarliyukIssizlikIsverenOrani,0)</f>
        <v/>
      </c>
      <c r="J176" s="112">
        <f>$B176+$H176+$I176</f>
        <v/>
      </c>
      <c r="K176" s="114" t="n"/>
    </row>
    <row r="177" ht="15" customHeight="1" s="68">
      <c r="A177" s="114" t="n"/>
      <c r="B177" s="114" t="n"/>
      <c r="C177" s="112">
        <f>ROUND($B177*KarliyukSgkIsciOrani,0)</f>
        <v/>
      </c>
      <c r="D177" s="112">
        <f>ROUND($B177*KarliyukIssizlikIsciOrani,0)</f>
        <v/>
      </c>
      <c r="E177" s="112">
        <f>ROUND($B177*KarliyukStopajOrani,0)</f>
        <v/>
      </c>
      <c r="F177" s="112">
        <f>ROUND($B177*KarliyukDamgaOrani,0)</f>
        <v/>
      </c>
      <c r="G177" s="112">
        <f>$B177-$C177-$D177-$E177-$F177</f>
        <v/>
      </c>
      <c r="H177" s="112">
        <f>ROUND($B177*KarliyukSgkIsverenOrani,0)</f>
        <v/>
      </c>
      <c r="I177" s="112">
        <f>ROUND($B177*KarliyukIssizlikIsverenOrani,0)</f>
        <v/>
      </c>
      <c r="J177" s="112">
        <f>$B177+$H177+$I177</f>
        <v/>
      </c>
      <c r="K177" s="114" t="n"/>
    </row>
    <row r="178" ht="15" customHeight="1" s="68">
      <c r="A178" s="114" t="n"/>
      <c r="B178" s="114" t="n"/>
      <c r="C178" s="112">
        <f>ROUND($B178*KarliyukSgkIsciOrani,0)</f>
        <v/>
      </c>
      <c r="D178" s="112">
        <f>ROUND($B178*KarliyukIssizlikIsciOrani,0)</f>
        <v/>
      </c>
      <c r="E178" s="112">
        <f>ROUND($B178*KarliyukStopajOrani,0)</f>
        <v/>
      </c>
      <c r="F178" s="112">
        <f>ROUND($B178*KarliyukDamgaOrani,0)</f>
        <v/>
      </c>
      <c r="G178" s="112">
        <f>$B178-$C178-$D178-$E178-$F178</f>
        <v/>
      </c>
      <c r="H178" s="112">
        <f>ROUND($B178*KarliyukSgkIsverenOrani,0)</f>
        <v/>
      </c>
      <c r="I178" s="112">
        <f>ROUND($B178*KarliyukIssizlikIsverenOrani,0)</f>
        <v/>
      </c>
      <c r="J178" s="112">
        <f>$B178+$H178+$I178</f>
        <v/>
      </c>
      <c r="K178" s="114" t="n"/>
    </row>
    <row r="179" ht="15" customHeight="1" s="68">
      <c r="A179" s="114" t="n"/>
      <c r="B179" s="114" t="n"/>
      <c r="C179" s="112">
        <f>ROUND($B179*KarliyukSgkIsciOrani,0)</f>
        <v/>
      </c>
      <c r="D179" s="112">
        <f>ROUND($B179*KarliyukIssizlikIsciOrani,0)</f>
        <v/>
      </c>
      <c r="E179" s="112">
        <f>ROUND($B179*KarliyukStopajOrani,0)</f>
        <v/>
      </c>
      <c r="F179" s="112">
        <f>ROUND($B179*KarliyukDamgaOrani,0)</f>
        <v/>
      </c>
      <c r="G179" s="112">
        <f>$B179-$C179-$D179-$E179-$F179</f>
        <v/>
      </c>
      <c r="H179" s="112">
        <f>ROUND($B179*KarliyukSgkIsverenOrani,0)</f>
        <v/>
      </c>
      <c r="I179" s="112">
        <f>ROUND($B179*KarliyukIssizlikIsverenOrani,0)</f>
        <v/>
      </c>
      <c r="J179" s="112">
        <f>$B179+$H179+$I179</f>
        <v/>
      </c>
      <c r="K179" s="114" t="n"/>
    </row>
    <row r="180" ht="15" customHeight="1" s="68">
      <c r="A180" s="114" t="n"/>
      <c r="B180" s="114" t="n"/>
      <c r="C180" s="112">
        <f>ROUND($B180*KarliyukSgkIsciOrani,0)</f>
        <v/>
      </c>
      <c r="D180" s="112">
        <f>ROUND($B180*KarliyukIssizlikIsciOrani,0)</f>
        <v/>
      </c>
      <c r="E180" s="112">
        <f>ROUND($B180*KarliyukStopajOrani,0)</f>
        <v/>
      </c>
      <c r="F180" s="112">
        <f>ROUND($B180*KarliyukDamgaOrani,0)</f>
        <v/>
      </c>
      <c r="G180" s="112">
        <f>$B180-$C180-$D180-$E180-$F180</f>
        <v/>
      </c>
      <c r="H180" s="112">
        <f>ROUND($B180*KarliyukSgkIsverenOrani,0)</f>
        <v/>
      </c>
      <c r="I180" s="112">
        <f>ROUND($B180*KarliyukIssizlikIsverenOrani,0)</f>
        <v/>
      </c>
      <c r="J180" s="112">
        <f>$B180+$H180+$I180</f>
        <v/>
      </c>
      <c r="K180" s="114" t="n"/>
    </row>
    <row r="181" ht="15" customHeight="1" s="68">
      <c r="A181" s="114" t="n"/>
      <c r="B181" s="114" t="n"/>
      <c r="C181" s="112">
        <f>ROUND($B181*KarliyukSgkIsciOrani,0)</f>
        <v/>
      </c>
      <c r="D181" s="112">
        <f>ROUND($B181*KarliyukIssizlikIsciOrani,0)</f>
        <v/>
      </c>
      <c r="E181" s="112">
        <f>ROUND($B181*KarliyukStopajOrani,0)</f>
        <v/>
      </c>
      <c r="F181" s="112">
        <f>ROUND($B181*KarliyukDamgaOrani,0)</f>
        <v/>
      </c>
      <c r="G181" s="112">
        <f>$B181-$C181-$D181-$E181-$F181</f>
        <v/>
      </c>
      <c r="H181" s="112">
        <f>ROUND($B181*KarliyukSgkIsverenOrani,0)</f>
        <v/>
      </c>
      <c r="I181" s="112">
        <f>ROUND($B181*KarliyukIssizlikIsverenOrani,0)</f>
        <v/>
      </c>
      <c r="J181" s="112">
        <f>$B181+$H181+$I181</f>
        <v/>
      </c>
      <c r="K181" s="114" t="n"/>
    </row>
    <row r="182" ht="15" customHeight="1" s="68">
      <c r="A182" s="114" t="n"/>
      <c r="B182" s="114" t="n"/>
      <c r="C182" s="112">
        <f>ROUND($B182*KarliyukSgkIsciOrani,0)</f>
        <v/>
      </c>
      <c r="D182" s="112">
        <f>ROUND($B182*KarliyukIssizlikIsciOrani,0)</f>
        <v/>
      </c>
      <c r="E182" s="112">
        <f>ROUND($B182*KarliyukStopajOrani,0)</f>
        <v/>
      </c>
      <c r="F182" s="112">
        <f>ROUND($B182*KarliyukDamgaOrani,0)</f>
        <v/>
      </c>
      <c r="G182" s="112">
        <f>$B182-$C182-$D182-$E182-$F182</f>
        <v/>
      </c>
      <c r="H182" s="112">
        <f>ROUND($B182*KarliyukSgkIsverenOrani,0)</f>
        <v/>
      </c>
      <c r="I182" s="112">
        <f>ROUND($B182*KarliyukIssizlikIsverenOrani,0)</f>
        <v/>
      </c>
      <c r="J182" s="112">
        <f>$B182+$H182+$I182</f>
        <v/>
      </c>
      <c r="K182" s="114" t="n"/>
    </row>
    <row r="183" ht="15" customHeight="1" s="68">
      <c r="A183" s="114" t="n"/>
      <c r="B183" s="114" t="n"/>
      <c r="C183" s="112">
        <f>ROUND($B183*KarliyukSgkIsciOrani,0)</f>
        <v/>
      </c>
      <c r="D183" s="112">
        <f>ROUND($B183*KarliyukIssizlikIsciOrani,0)</f>
        <v/>
      </c>
      <c r="E183" s="112">
        <f>ROUND($B183*KarliyukStopajOrani,0)</f>
        <v/>
      </c>
      <c r="F183" s="112">
        <f>ROUND($B183*KarliyukDamgaOrani,0)</f>
        <v/>
      </c>
      <c r="G183" s="112">
        <f>$B183-$C183-$D183-$E183-$F183</f>
        <v/>
      </c>
      <c r="H183" s="112">
        <f>ROUND($B183*KarliyukSgkIsverenOrani,0)</f>
        <v/>
      </c>
      <c r="I183" s="112">
        <f>ROUND($B183*KarliyukIssizlikIsverenOrani,0)</f>
        <v/>
      </c>
      <c r="J183" s="112">
        <f>$B183+$H183+$I183</f>
        <v/>
      </c>
      <c r="K183" s="114" t="n"/>
    </row>
    <row r="184" ht="15" customHeight="1" s="68">
      <c r="A184" s="114" t="n"/>
      <c r="B184" s="114" t="n"/>
      <c r="C184" s="112">
        <f>ROUND($B184*KarliyukSgkIsciOrani,0)</f>
        <v/>
      </c>
      <c r="D184" s="112">
        <f>ROUND($B184*KarliyukIssizlikIsciOrani,0)</f>
        <v/>
      </c>
      <c r="E184" s="112">
        <f>ROUND($B184*KarliyukStopajOrani,0)</f>
        <v/>
      </c>
      <c r="F184" s="112">
        <f>ROUND($B184*KarliyukDamgaOrani,0)</f>
        <v/>
      </c>
      <c r="G184" s="112">
        <f>$B184-$C184-$D184-$E184-$F184</f>
        <v/>
      </c>
      <c r="H184" s="112">
        <f>ROUND($B184*KarliyukSgkIsverenOrani,0)</f>
        <v/>
      </c>
      <c r="I184" s="112">
        <f>ROUND($B184*KarliyukIssizlikIsverenOrani,0)</f>
        <v/>
      </c>
      <c r="J184" s="112">
        <f>$B184+$H184+$I184</f>
        <v/>
      </c>
      <c r="K184" s="114" t="n"/>
    </row>
    <row r="185" ht="15" customHeight="1" s="68">
      <c r="A185" s="114" t="n"/>
      <c r="B185" s="114" t="n"/>
      <c r="C185" s="112">
        <f>ROUND($B185*KarliyukSgkIsciOrani,0)</f>
        <v/>
      </c>
      <c r="D185" s="112">
        <f>ROUND($B185*KarliyukIssizlikIsciOrani,0)</f>
        <v/>
      </c>
      <c r="E185" s="112">
        <f>ROUND($B185*KarliyukStopajOrani,0)</f>
        <v/>
      </c>
      <c r="F185" s="112">
        <f>ROUND($B185*KarliyukDamgaOrani,0)</f>
        <v/>
      </c>
      <c r="G185" s="112">
        <f>$B185-$C185-$D185-$E185-$F185</f>
        <v/>
      </c>
      <c r="H185" s="112">
        <f>ROUND($B185*KarliyukSgkIsverenOrani,0)</f>
        <v/>
      </c>
      <c r="I185" s="112">
        <f>ROUND($B185*KarliyukIssizlikIsverenOrani,0)</f>
        <v/>
      </c>
      <c r="J185" s="112">
        <f>$B185+$H185+$I185</f>
        <v/>
      </c>
      <c r="K185" s="114" t="n"/>
    </row>
    <row r="186" ht="15" customHeight="1" s="68">
      <c r="A186" s="114" t="n"/>
      <c r="B186" s="114" t="n"/>
      <c r="C186" s="112">
        <f>ROUND($B186*KarliyukSgkIsciOrani,0)</f>
        <v/>
      </c>
      <c r="D186" s="112">
        <f>ROUND($B186*KarliyukIssizlikIsciOrani,0)</f>
        <v/>
      </c>
      <c r="E186" s="112">
        <f>ROUND($B186*KarliyukStopajOrani,0)</f>
        <v/>
      </c>
      <c r="F186" s="112">
        <f>ROUND($B186*KarliyukDamgaOrani,0)</f>
        <v/>
      </c>
      <c r="G186" s="112">
        <f>$B186-$C186-$D186-$E186-$F186</f>
        <v/>
      </c>
      <c r="H186" s="112">
        <f>ROUND($B186*KarliyukSgkIsverenOrani,0)</f>
        <v/>
      </c>
      <c r="I186" s="112">
        <f>ROUND($B186*KarliyukIssizlikIsverenOrani,0)</f>
        <v/>
      </c>
      <c r="J186" s="112">
        <f>$B186+$H186+$I186</f>
        <v/>
      </c>
      <c r="K186" s="114" t="n"/>
    </row>
    <row r="187" ht="15" customHeight="1" s="68">
      <c r="A187" s="114" t="n"/>
      <c r="B187" s="114" t="n"/>
      <c r="C187" s="112">
        <f>ROUND($B187*KarliyukSgkIsciOrani,0)</f>
        <v/>
      </c>
      <c r="D187" s="112">
        <f>ROUND($B187*KarliyukIssizlikIsciOrani,0)</f>
        <v/>
      </c>
      <c r="E187" s="112">
        <f>ROUND($B187*KarliyukStopajOrani,0)</f>
        <v/>
      </c>
      <c r="F187" s="112">
        <f>ROUND($B187*KarliyukDamgaOrani,0)</f>
        <v/>
      </c>
      <c r="G187" s="112">
        <f>$B187-$C187-$D187-$E187-$F187</f>
        <v/>
      </c>
      <c r="H187" s="112">
        <f>ROUND($B187*KarliyukSgkIsverenOrani,0)</f>
        <v/>
      </c>
      <c r="I187" s="112">
        <f>ROUND($B187*KarliyukIssizlikIsverenOrani,0)</f>
        <v/>
      </c>
      <c r="J187" s="112">
        <f>$B187+$H187+$I187</f>
        <v/>
      </c>
      <c r="K187" s="114" t="n"/>
    </row>
    <row r="188" ht="15" customHeight="1" s="68">
      <c r="A188" s="114" t="n"/>
      <c r="B188" s="114" t="n"/>
      <c r="C188" s="112">
        <f>ROUND($B188*KarliyukSgkIsciOrani,0)</f>
        <v/>
      </c>
      <c r="D188" s="112">
        <f>ROUND($B188*KarliyukIssizlikIsciOrani,0)</f>
        <v/>
      </c>
      <c r="E188" s="112">
        <f>ROUND($B188*KarliyukStopajOrani,0)</f>
        <v/>
      </c>
      <c r="F188" s="112">
        <f>ROUND($B188*KarliyukDamgaOrani,0)</f>
        <v/>
      </c>
      <c r="G188" s="112">
        <f>$B188-$C188-$D188-$E188-$F188</f>
        <v/>
      </c>
      <c r="H188" s="112">
        <f>ROUND($B188*KarliyukSgkIsverenOrani,0)</f>
        <v/>
      </c>
      <c r="I188" s="112">
        <f>ROUND($B188*KarliyukIssizlikIsverenOrani,0)</f>
        <v/>
      </c>
      <c r="J188" s="112">
        <f>$B188+$H188+$I188</f>
        <v/>
      </c>
      <c r="K188" s="114" t="n"/>
    </row>
    <row r="189" ht="15" customHeight="1" s="68">
      <c r="A189" s="114" t="n"/>
      <c r="B189" s="114" t="n"/>
      <c r="C189" s="112">
        <f>ROUND($B189*KarliyukSgkIsciOrani,0)</f>
        <v/>
      </c>
      <c r="D189" s="112">
        <f>ROUND($B189*KarliyukIssizlikIsciOrani,0)</f>
        <v/>
      </c>
      <c r="E189" s="112">
        <f>ROUND($B189*KarliyukStopajOrani,0)</f>
        <v/>
      </c>
      <c r="F189" s="112">
        <f>ROUND($B189*KarliyukDamgaOrani,0)</f>
        <v/>
      </c>
      <c r="G189" s="112">
        <f>$B189-$C189-$D189-$E189-$F189</f>
        <v/>
      </c>
      <c r="H189" s="112">
        <f>ROUND($B189*KarliyukSgkIsverenOrani,0)</f>
        <v/>
      </c>
      <c r="I189" s="112">
        <f>ROUND($B189*KarliyukIssizlikIsverenOrani,0)</f>
        <v/>
      </c>
      <c r="J189" s="112">
        <f>$B189+$H189+$I189</f>
        <v/>
      </c>
      <c r="K189" s="114" t="n"/>
    </row>
    <row r="190" ht="15" customHeight="1" s="68">
      <c r="A190" s="114" t="n"/>
      <c r="B190" s="114" t="n"/>
      <c r="C190" s="112">
        <f>ROUND($B190*KarliyukSgkIsciOrani,0)</f>
        <v/>
      </c>
      <c r="D190" s="112">
        <f>ROUND($B190*KarliyukIssizlikIsciOrani,0)</f>
        <v/>
      </c>
      <c r="E190" s="112">
        <f>ROUND($B190*KarliyukStopajOrani,0)</f>
        <v/>
      </c>
      <c r="F190" s="112">
        <f>ROUND($B190*KarliyukDamgaOrani,0)</f>
        <v/>
      </c>
      <c r="G190" s="112">
        <f>$B190-$C190-$D190-$E190-$F190</f>
        <v/>
      </c>
      <c r="H190" s="112">
        <f>ROUND($B190*KarliyukSgkIsverenOrani,0)</f>
        <v/>
      </c>
      <c r="I190" s="112">
        <f>ROUND($B190*KarliyukIssizlikIsverenOrani,0)</f>
        <v/>
      </c>
      <c r="J190" s="112">
        <f>$B190+$H190+$I190</f>
        <v/>
      </c>
      <c r="K190" s="114" t="n"/>
    </row>
    <row r="191" ht="15" customHeight="1" s="68">
      <c r="A191" s="114" t="n"/>
      <c r="B191" s="114" t="n"/>
      <c r="C191" s="112">
        <f>ROUND($B191*KarliyukSgkIsciOrani,0)</f>
        <v/>
      </c>
      <c r="D191" s="112">
        <f>ROUND($B191*KarliyukIssizlikIsciOrani,0)</f>
        <v/>
      </c>
      <c r="E191" s="112">
        <f>ROUND($B191*KarliyukStopajOrani,0)</f>
        <v/>
      </c>
      <c r="F191" s="112">
        <f>ROUND($B191*KarliyukDamgaOrani,0)</f>
        <v/>
      </c>
      <c r="G191" s="112">
        <f>$B191-$C191-$D191-$E191-$F191</f>
        <v/>
      </c>
      <c r="H191" s="112">
        <f>ROUND($B191*KarliyukSgkIsverenOrani,0)</f>
        <v/>
      </c>
      <c r="I191" s="112">
        <f>ROUND($B191*KarliyukIssizlikIsverenOrani,0)</f>
        <v/>
      </c>
      <c r="J191" s="112">
        <f>$B191+$H191+$I191</f>
        <v/>
      </c>
      <c r="K191" s="114" t="n"/>
    </row>
    <row r="192" ht="15" customHeight="1" s="68">
      <c r="A192" s="114" t="n"/>
      <c r="B192" s="114" t="n"/>
      <c r="C192" s="112">
        <f>ROUND($B192*KarliyukSgkIsciOrani,0)</f>
        <v/>
      </c>
      <c r="D192" s="112">
        <f>ROUND($B192*KarliyukIssizlikIsciOrani,0)</f>
        <v/>
      </c>
      <c r="E192" s="112">
        <f>ROUND($B192*KarliyukStopajOrani,0)</f>
        <v/>
      </c>
      <c r="F192" s="112">
        <f>ROUND($B192*KarliyukDamgaOrani,0)</f>
        <v/>
      </c>
      <c r="G192" s="112">
        <f>$B192-$C192-$D192-$E192-$F192</f>
        <v/>
      </c>
      <c r="H192" s="112">
        <f>ROUND($B192*KarliyukSgkIsverenOrani,0)</f>
        <v/>
      </c>
      <c r="I192" s="112">
        <f>ROUND($B192*KarliyukIssizlikIsverenOrani,0)</f>
        <v/>
      </c>
      <c r="J192" s="112">
        <f>$B192+$H192+$I192</f>
        <v/>
      </c>
      <c r="K192" s="114" t="n"/>
    </row>
    <row r="193" ht="15" customHeight="1" s="68">
      <c r="A193" s="114" t="n"/>
      <c r="B193" s="114" t="n"/>
      <c r="C193" s="112">
        <f>ROUND($B193*KarliyukSgkIsciOrani,0)</f>
        <v/>
      </c>
      <c r="D193" s="112">
        <f>ROUND($B193*KarliyukIssizlikIsciOrani,0)</f>
        <v/>
      </c>
      <c r="E193" s="112">
        <f>ROUND($B193*KarliyukStopajOrani,0)</f>
        <v/>
      </c>
      <c r="F193" s="112">
        <f>ROUND($B193*KarliyukDamgaOrani,0)</f>
        <v/>
      </c>
      <c r="G193" s="112">
        <f>$B193-$C193-$D193-$E193-$F193</f>
        <v/>
      </c>
      <c r="H193" s="112">
        <f>ROUND($B193*KarliyukSgkIsverenOrani,0)</f>
        <v/>
      </c>
      <c r="I193" s="112">
        <f>ROUND($B193*KarliyukIssizlikIsverenOrani,0)</f>
        <v/>
      </c>
      <c r="J193" s="112">
        <f>$B193+$H193+$I193</f>
        <v/>
      </c>
      <c r="K193" s="114" t="n"/>
    </row>
    <row r="194" ht="15" customHeight="1" s="68">
      <c r="A194" s="114" t="n"/>
      <c r="B194" s="114" t="n"/>
      <c r="C194" s="112">
        <f>ROUND($B194*KarliyukSgkIsciOrani,0)</f>
        <v/>
      </c>
      <c r="D194" s="112">
        <f>ROUND($B194*KarliyukIssizlikIsciOrani,0)</f>
        <v/>
      </c>
      <c r="E194" s="112">
        <f>ROUND($B194*KarliyukStopajOrani,0)</f>
        <v/>
      </c>
      <c r="F194" s="112">
        <f>ROUND($B194*KarliyukDamgaOrani,0)</f>
        <v/>
      </c>
      <c r="G194" s="112">
        <f>$B194-$C194-$D194-$E194-$F194</f>
        <v/>
      </c>
      <c r="H194" s="112">
        <f>ROUND($B194*KarliyukSgkIsverenOrani,0)</f>
        <v/>
      </c>
      <c r="I194" s="112">
        <f>ROUND($B194*KarliyukIssizlikIsverenOrani,0)</f>
        <v/>
      </c>
      <c r="J194" s="112">
        <f>$B194+$H194+$I194</f>
        <v/>
      </c>
      <c r="K194" s="114" t="n"/>
    </row>
    <row r="195" ht="15" customHeight="1" s="68">
      <c r="A195" s="114" t="n"/>
      <c r="B195" s="114" t="n"/>
      <c r="C195" s="112">
        <f>ROUND($B195*KarliyukSgkIsciOrani,0)</f>
        <v/>
      </c>
      <c r="D195" s="112">
        <f>ROUND($B195*KarliyukIssizlikIsciOrani,0)</f>
        <v/>
      </c>
      <c r="E195" s="112">
        <f>ROUND($B195*KarliyukStopajOrani,0)</f>
        <v/>
      </c>
      <c r="F195" s="112">
        <f>ROUND($B195*KarliyukDamgaOrani,0)</f>
        <v/>
      </c>
      <c r="G195" s="112">
        <f>$B195-$C195-$D195-$E195-$F195</f>
        <v/>
      </c>
      <c r="H195" s="112">
        <f>ROUND($B195*KarliyukSgkIsverenOrani,0)</f>
        <v/>
      </c>
      <c r="I195" s="112">
        <f>ROUND($B195*KarliyukIssizlikIsverenOrani,0)</f>
        <v/>
      </c>
      <c r="J195" s="112">
        <f>$B195+$H195+$I195</f>
        <v/>
      </c>
      <c r="K195" s="114" t="n"/>
    </row>
    <row r="196" ht="15" customHeight="1" s="68">
      <c r="A196" s="114" t="n"/>
      <c r="B196" s="114" t="n"/>
      <c r="C196" s="112">
        <f>ROUND($B196*KarliyukSgkIsciOrani,0)</f>
        <v/>
      </c>
      <c r="D196" s="112">
        <f>ROUND($B196*KarliyukIssizlikIsciOrani,0)</f>
        <v/>
      </c>
      <c r="E196" s="112">
        <f>ROUND($B196*KarliyukStopajOrani,0)</f>
        <v/>
      </c>
      <c r="F196" s="112">
        <f>ROUND($B196*KarliyukDamgaOrani,0)</f>
        <v/>
      </c>
      <c r="G196" s="112">
        <f>$B196-$C196-$D196-$E196-$F196</f>
        <v/>
      </c>
      <c r="H196" s="112">
        <f>ROUND($B196*KarliyukSgkIsverenOrani,0)</f>
        <v/>
      </c>
      <c r="I196" s="112">
        <f>ROUND($B196*KarliyukIssizlikIsverenOrani,0)</f>
        <v/>
      </c>
      <c r="J196" s="112">
        <f>$B196+$H196+$I196</f>
        <v/>
      </c>
      <c r="K196" s="114" t="n"/>
    </row>
    <row r="197" ht="15" customHeight="1" s="68">
      <c r="A197" s="114" t="n"/>
      <c r="B197" s="114" t="n"/>
      <c r="C197" s="112">
        <f>ROUND($B197*KarliyukSgkIsciOrani,0)</f>
        <v/>
      </c>
      <c r="D197" s="112">
        <f>ROUND($B197*KarliyukIssizlikIsciOrani,0)</f>
        <v/>
      </c>
      <c r="E197" s="112">
        <f>ROUND($B197*KarliyukStopajOrani,0)</f>
        <v/>
      </c>
      <c r="F197" s="112">
        <f>ROUND($B197*KarliyukDamgaOrani,0)</f>
        <v/>
      </c>
      <c r="G197" s="112">
        <f>$B197-$C197-$D197-$E197-$F197</f>
        <v/>
      </c>
      <c r="H197" s="112">
        <f>ROUND($B197*KarliyukSgkIsverenOrani,0)</f>
        <v/>
      </c>
      <c r="I197" s="112">
        <f>ROUND($B197*KarliyukIssizlikIsverenOrani,0)</f>
        <v/>
      </c>
      <c r="J197" s="112">
        <f>$B197+$H197+$I197</f>
        <v/>
      </c>
      <c r="K197" s="114" t="n"/>
    </row>
    <row r="198" ht="15" customHeight="1" s="68">
      <c r="A198" s="114" t="n"/>
      <c r="B198" s="114" t="n"/>
      <c r="C198" s="112">
        <f>ROUND($B198*KarliyukSgkIsciOrani,0)</f>
        <v/>
      </c>
      <c r="D198" s="112">
        <f>ROUND($B198*KarliyukIssizlikIsciOrani,0)</f>
        <v/>
      </c>
      <c r="E198" s="112">
        <f>ROUND($B198*KarliyukStopajOrani,0)</f>
        <v/>
      </c>
      <c r="F198" s="112">
        <f>ROUND($B198*KarliyukDamgaOrani,0)</f>
        <v/>
      </c>
      <c r="G198" s="112">
        <f>$B198-$C198-$D198-$E198-$F198</f>
        <v/>
      </c>
      <c r="H198" s="112">
        <f>ROUND($B198*KarliyukSgkIsverenOrani,0)</f>
        <v/>
      </c>
      <c r="I198" s="112">
        <f>ROUND($B198*KarliyukIssizlikIsverenOrani,0)</f>
        <v/>
      </c>
      <c r="J198" s="112">
        <f>$B198+$H198+$I198</f>
        <v/>
      </c>
      <c r="K198" s="114" t="n"/>
    </row>
    <row r="199" ht="15" customHeight="1" s="68">
      <c r="A199" s="114" t="n"/>
      <c r="B199" s="114" t="n"/>
      <c r="C199" s="112">
        <f>ROUND($B199*KarliyukSgkIsciOrani,0)</f>
        <v/>
      </c>
      <c r="D199" s="112">
        <f>ROUND($B199*KarliyukIssizlikIsciOrani,0)</f>
        <v/>
      </c>
      <c r="E199" s="112">
        <f>ROUND($B199*KarliyukStopajOrani,0)</f>
        <v/>
      </c>
      <c r="F199" s="112">
        <f>ROUND($B199*KarliyukDamgaOrani,0)</f>
        <v/>
      </c>
      <c r="G199" s="112">
        <f>$B199-$C199-$D199-$E199-$F199</f>
        <v/>
      </c>
      <c r="H199" s="112">
        <f>ROUND($B199*KarliyukSgkIsverenOrani,0)</f>
        <v/>
      </c>
      <c r="I199" s="112">
        <f>ROUND($B199*KarliyukIssizlikIsverenOrani,0)</f>
        <v/>
      </c>
      <c r="J199" s="112">
        <f>$B199+$H199+$I199</f>
        <v/>
      </c>
      <c r="K199" s="114" t="n"/>
    </row>
    <row r="200" ht="15" customHeight="1" s="68">
      <c r="A200" s="114" t="n"/>
      <c r="B200" s="114" t="n"/>
      <c r="C200" s="112">
        <f>ROUND($B200*KarliyukSgkIsciOrani,0)</f>
        <v/>
      </c>
      <c r="D200" s="112">
        <f>ROUND($B200*KarliyukIssizlikIsciOrani,0)</f>
        <v/>
      </c>
      <c r="E200" s="112">
        <f>ROUND($B200*KarliyukStopajOrani,0)</f>
        <v/>
      </c>
      <c r="F200" s="112">
        <f>ROUND($B200*KarliyukDamgaOrani,0)</f>
        <v/>
      </c>
      <c r="G200" s="112">
        <f>$B200-$C200-$D200-$E200-$F200</f>
        <v/>
      </c>
      <c r="H200" s="112">
        <f>ROUND($B200*KarliyukSgkIsverenOrani,0)</f>
        <v/>
      </c>
      <c r="I200" s="112">
        <f>ROUND($B200*KarliyukIssizlikIsverenOrani,0)</f>
        <v/>
      </c>
      <c r="J200" s="112">
        <f>$B200+$H200+$I200</f>
        <v/>
      </c>
      <c r="K200" s="114" t="n"/>
    </row>
    <row r="201" ht="15" customHeight="1" s="68">
      <c r="A201" s="114" t="n"/>
      <c r="B201" s="114" t="n"/>
      <c r="C201" s="112">
        <f>ROUND($B201*KarliyukSgkIsciOrani,0)</f>
        <v/>
      </c>
      <c r="D201" s="112">
        <f>ROUND($B201*KarliyukIssizlikIsciOrani,0)</f>
        <v/>
      </c>
      <c r="E201" s="112">
        <f>ROUND($B201*KarliyukStopajOrani,0)</f>
        <v/>
      </c>
      <c r="F201" s="112">
        <f>ROUND($B201*KarliyukDamgaOrani,0)</f>
        <v/>
      </c>
      <c r="G201" s="112">
        <f>$B201-$C201-$D201-$E201-$F201</f>
        <v/>
      </c>
      <c r="H201" s="112">
        <f>ROUND($B201*KarliyukSgkIsverenOrani,0)</f>
        <v/>
      </c>
      <c r="I201" s="112">
        <f>ROUND($B201*KarliyukIssizlikIsverenOrani,0)</f>
        <v/>
      </c>
      <c r="J201" s="112">
        <f>$B201+$H201+$I201</f>
        <v/>
      </c>
      <c r="K201" s="114" t="n"/>
    </row>
    <row r="202" ht="15" customHeight="1" s="68">
      <c r="A202" s="114" t="n"/>
      <c r="B202" s="114" t="n"/>
      <c r="C202" s="112">
        <f>ROUND($B202*KarliyukSgkIsciOrani,0)</f>
        <v/>
      </c>
      <c r="D202" s="112">
        <f>ROUND($B202*KarliyukIssizlikIsciOrani,0)</f>
        <v/>
      </c>
      <c r="E202" s="112">
        <f>ROUND($B202*KarliyukStopajOrani,0)</f>
        <v/>
      </c>
      <c r="F202" s="112">
        <f>ROUND($B202*KarliyukDamgaOrani,0)</f>
        <v/>
      </c>
      <c r="G202" s="112">
        <f>$B202-$C202-$D202-$E202-$F202</f>
        <v/>
      </c>
      <c r="H202" s="112">
        <f>ROUND($B202*KarliyukSgkIsverenOrani,0)</f>
        <v/>
      </c>
      <c r="I202" s="112">
        <f>ROUND($B202*KarliyukIssizlikIsverenOrani,0)</f>
        <v/>
      </c>
      <c r="J202" s="112">
        <f>$B202+$H202+$I202</f>
        <v/>
      </c>
      <c r="K202" s="114" t="n"/>
    </row>
    <row r="203" ht="15" customHeight="1" s="68">
      <c r="A203" s="114" t="n"/>
      <c r="B203" s="114" t="n"/>
      <c r="C203" s="112">
        <f>ROUND($B203*KarliyukSgkIsciOrani,0)</f>
        <v/>
      </c>
      <c r="D203" s="112">
        <f>ROUND($B203*KarliyukIssizlikIsciOrani,0)</f>
        <v/>
      </c>
      <c r="E203" s="112">
        <f>ROUND($B203*KarliyukStopajOrani,0)</f>
        <v/>
      </c>
      <c r="F203" s="112">
        <f>ROUND($B203*KarliyukDamgaOrani,0)</f>
        <v/>
      </c>
      <c r="G203" s="112">
        <f>$B203-$C203-$D203-$E203-$F203</f>
        <v/>
      </c>
      <c r="H203" s="112">
        <f>ROUND($B203*KarliyukSgkIsverenOrani,0)</f>
        <v/>
      </c>
      <c r="I203" s="112">
        <f>ROUND($B203*KarliyukIssizlikIsverenOrani,0)</f>
        <v/>
      </c>
      <c r="J203" s="112">
        <f>$B203+$H203+$I203</f>
        <v/>
      </c>
      <c r="K203" s="114" t="n"/>
    </row>
    <row r="204" ht="15" customHeight="1" s="68">
      <c r="A204" s="114" t="n"/>
      <c r="B204" s="114" t="n"/>
      <c r="C204" s="112">
        <f>ROUND($B204*KarliyukSgkIsciOrani,0)</f>
        <v/>
      </c>
      <c r="D204" s="112">
        <f>ROUND($B204*KarliyukIssizlikIsciOrani,0)</f>
        <v/>
      </c>
      <c r="E204" s="112">
        <f>ROUND($B204*KarliyukStopajOrani,0)</f>
        <v/>
      </c>
      <c r="F204" s="112">
        <f>ROUND($B204*KarliyukDamgaOrani,0)</f>
        <v/>
      </c>
      <c r="G204" s="112">
        <f>$B204-$C204-$D204-$E204-$F204</f>
        <v/>
      </c>
      <c r="H204" s="112">
        <f>ROUND($B204*KarliyukSgkIsverenOrani,0)</f>
        <v/>
      </c>
      <c r="I204" s="112">
        <f>ROUND($B204*KarliyukIssizlikIsverenOrani,0)</f>
        <v/>
      </c>
      <c r="J204" s="112">
        <f>$B204+$H204+$I204</f>
        <v/>
      </c>
      <c r="K204" s="114" t="n"/>
    </row>
    <row r="205" ht="15" customHeight="1" s="68">
      <c r="A205" s="114" t="n"/>
      <c r="B205" s="114" t="n"/>
      <c r="C205" s="112">
        <f>ROUND($B205*KarliyukSgkIsciOrani,0)</f>
        <v/>
      </c>
      <c r="D205" s="112">
        <f>ROUND($B205*KarliyukIssizlikIsciOrani,0)</f>
        <v/>
      </c>
      <c r="E205" s="112">
        <f>ROUND($B205*KarliyukStopajOrani,0)</f>
        <v/>
      </c>
      <c r="F205" s="112">
        <f>ROUND($B205*KarliyukDamgaOrani,0)</f>
        <v/>
      </c>
      <c r="G205" s="112">
        <f>$B205-$C205-$D205-$E205-$F205</f>
        <v/>
      </c>
      <c r="H205" s="112">
        <f>ROUND($B205*KarliyukSgkIsverenOrani,0)</f>
        <v/>
      </c>
      <c r="I205" s="112">
        <f>ROUND($B205*KarliyukIssizlikIsverenOrani,0)</f>
        <v/>
      </c>
      <c r="J205" s="112">
        <f>$B205+$H205+$I205</f>
        <v/>
      </c>
      <c r="K205" s="114" t="n"/>
    </row>
    <row r="206" ht="15" customHeight="1" s="68">
      <c r="A206" s="114" t="n"/>
      <c r="B206" s="114" t="n"/>
      <c r="C206" s="112">
        <f>ROUND($B206*KarliyukSgkIsciOrani,0)</f>
        <v/>
      </c>
      <c r="D206" s="112">
        <f>ROUND($B206*KarliyukIssizlikIsciOrani,0)</f>
        <v/>
      </c>
      <c r="E206" s="112">
        <f>ROUND($B206*KarliyukStopajOrani,0)</f>
        <v/>
      </c>
      <c r="F206" s="112">
        <f>ROUND($B206*KarliyukDamgaOrani,0)</f>
        <v/>
      </c>
      <c r="G206" s="112">
        <f>$B206-$C206-$D206-$E206-$F206</f>
        <v/>
      </c>
      <c r="H206" s="112">
        <f>ROUND($B206*KarliyukSgkIsverenOrani,0)</f>
        <v/>
      </c>
      <c r="I206" s="112">
        <f>ROUND($B206*KarliyukIssizlikIsverenOrani,0)</f>
        <v/>
      </c>
      <c r="J206" s="112">
        <f>$B206+$H206+$I206</f>
        <v/>
      </c>
      <c r="K206" s="114" t="n"/>
    </row>
    <row r="207" ht="15" customHeight="1" s="68">
      <c r="A207" s="114" t="n"/>
      <c r="B207" s="114" t="n"/>
      <c r="C207" s="112">
        <f>ROUND($B207*KarliyukSgkIsciOrani,0)</f>
        <v/>
      </c>
      <c r="D207" s="112">
        <f>ROUND($B207*KarliyukIssizlikIsciOrani,0)</f>
        <v/>
      </c>
      <c r="E207" s="112">
        <f>ROUND($B207*KarliyukStopajOrani,0)</f>
        <v/>
      </c>
      <c r="F207" s="112">
        <f>ROUND($B207*KarliyukDamgaOrani,0)</f>
        <v/>
      </c>
      <c r="G207" s="112">
        <f>$B207-$C207-$D207-$E207-$F207</f>
        <v/>
      </c>
      <c r="H207" s="112">
        <f>ROUND($B207*KarliyukSgkIsverenOrani,0)</f>
        <v/>
      </c>
      <c r="I207" s="112">
        <f>ROUND($B207*KarliyukIssizlikIsverenOrani,0)</f>
        <v/>
      </c>
      <c r="J207" s="112">
        <f>$B207+$H207+$I207</f>
        <v/>
      </c>
      <c r="K207" s="114" t="n"/>
    </row>
    <row r="208" ht="15" customHeight="1" s="68">
      <c r="A208" s="114" t="n"/>
      <c r="B208" s="114" t="n"/>
      <c r="C208" s="112">
        <f>ROUND($B208*KarliyukSgkIsciOrani,0)</f>
        <v/>
      </c>
      <c r="D208" s="112">
        <f>ROUND($B208*KarliyukIssizlikIsciOrani,0)</f>
        <v/>
      </c>
      <c r="E208" s="112">
        <f>ROUND($B208*KarliyukStopajOrani,0)</f>
        <v/>
      </c>
      <c r="F208" s="112">
        <f>ROUND($B208*KarliyukDamgaOrani,0)</f>
        <v/>
      </c>
      <c r="G208" s="112">
        <f>$B208-$C208-$D208-$E208-$F208</f>
        <v/>
      </c>
      <c r="H208" s="112">
        <f>ROUND($B208*KarliyukSgkIsverenOrani,0)</f>
        <v/>
      </c>
      <c r="I208" s="112">
        <f>ROUND($B208*KarliyukIssizlikIsverenOrani,0)</f>
        <v/>
      </c>
      <c r="J208" s="112">
        <f>$B208+$H208+$I208</f>
        <v/>
      </c>
      <c r="K208" s="114" t="n"/>
    </row>
    <row r="209" ht="15" customHeight="1" s="68">
      <c r="A209" s="114" t="n"/>
      <c r="B209" s="114" t="n"/>
      <c r="C209" s="112">
        <f>ROUND($B209*KarliyukSgkIsciOrani,0)</f>
        <v/>
      </c>
      <c r="D209" s="112">
        <f>ROUND($B209*KarliyukIssizlikIsciOrani,0)</f>
        <v/>
      </c>
      <c r="E209" s="112">
        <f>ROUND($B209*KarliyukStopajOrani,0)</f>
        <v/>
      </c>
      <c r="F209" s="112">
        <f>ROUND($B209*KarliyukDamgaOrani,0)</f>
        <v/>
      </c>
      <c r="G209" s="112">
        <f>$B209-$C209-$D209-$E209-$F209</f>
        <v/>
      </c>
      <c r="H209" s="112">
        <f>ROUND($B209*KarliyukSgkIsverenOrani,0)</f>
        <v/>
      </c>
      <c r="I209" s="112">
        <f>ROUND($B209*KarliyukIssizlikIsverenOrani,0)</f>
        <v/>
      </c>
      <c r="J209" s="112">
        <f>$B209+$H209+$I209</f>
        <v/>
      </c>
      <c r="K209" s="114" t="n"/>
    </row>
    <row r="210" ht="15" customHeight="1" s="68">
      <c r="A210" s="114" t="n"/>
      <c r="B210" s="114" t="n"/>
      <c r="C210" s="112">
        <f>ROUND($B210*KarliyukSgkIsciOrani,0)</f>
        <v/>
      </c>
      <c r="D210" s="112">
        <f>ROUND($B210*KarliyukIssizlikIsciOrani,0)</f>
        <v/>
      </c>
      <c r="E210" s="112">
        <f>ROUND($B210*KarliyukStopajOrani,0)</f>
        <v/>
      </c>
      <c r="F210" s="112">
        <f>ROUND($B210*KarliyukDamgaOrani,0)</f>
        <v/>
      </c>
      <c r="G210" s="112">
        <f>$B210-$C210-$D210-$E210-$F210</f>
        <v/>
      </c>
      <c r="H210" s="112">
        <f>ROUND($B210*KarliyukSgkIsverenOrani,0)</f>
        <v/>
      </c>
      <c r="I210" s="112">
        <f>ROUND($B210*KarliyukIssizlikIsverenOrani,0)</f>
        <v/>
      </c>
      <c r="J210" s="112">
        <f>$B210+$H210+$I210</f>
        <v/>
      </c>
      <c r="K210" s="114" t="n"/>
    </row>
    <row r="211" ht="15" customHeight="1" s="68">
      <c r="A211" s="114" t="n"/>
      <c r="B211" s="114" t="n"/>
      <c r="C211" s="112">
        <f>ROUND($B211*KarliyukSgkIsciOrani,0)</f>
        <v/>
      </c>
      <c r="D211" s="112">
        <f>ROUND($B211*KarliyukIssizlikIsciOrani,0)</f>
        <v/>
      </c>
      <c r="E211" s="112">
        <f>ROUND($B211*KarliyukStopajOrani,0)</f>
        <v/>
      </c>
      <c r="F211" s="112">
        <f>ROUND($B211*KarliyukDamgaOrani,0)</f>
        <v/>
      </c>
      <c r="G211" s="112">
        <f>$B211-$C211-$D211-$E211-$F211</f>
        <v/>
      </c>
      <c r="H211" s="112">
        <f>ROUND($B211*KarliyukSgkIsverenOrani,0)</f>
        <v/>
      </c>
      <c r="I211" s="112">
        <f>ROUND($B211*KarliyukIssizlikIsverenOrani,0)</f>
        <v/>
      </c>
      <c r="J211" s="112">
        <f>$B211+$H211+$I211</f>
        <v/>
      </c>
      <c r="K211" s="114" t="n"/>
    </row>
    <row r="212" ht="15" customHeight="1" s="68">
      <c r="A212" s="114" t="n"/>
      <c r="B212" s="114" t="n"/>
      <c r="C212" s="112">
        <f>ROUND($B212*KarliyukSgkIsciOrani,0)</f>
        <v/>
      </c>
      <c r="D212" s="112">
        <f>ROUND($B212*KarliyukIssizlikIsciOrani,0)</f>
        <v/>
      </c>
      <c r="E212" s="112">
        <f>ROUND($B212*KarliyukStopajOrani,0)</f>
        <v/>
      </c>
      <c r="F212" s="112">
        <f>ROUND($B212*KarliyukDamgaOrani,0)</f>
        <v/>
      </c>
      <c r="G212" s="112">
        <f>$B212-$C212-$D212-$E212-$F212</f>
        <v/>
      </c>
      <c r="H212" s="112">
        <f>ROUND($B212*KarliyukSgkIsverenOrani,0)</f>
        <v/>
      </c>
      <c r="I212" s="112">
        <f>ROUND($B212*KarliyukIssizlikIsverenOrani,0)</f>
        <v/>
      </c>
      <c r="J212" s="112">
        <f>$B212+$H212+$I212</f>
        <v/>
      </c>
      <c r="K212" s="114" t="n"/>
    </row>
    <row r="213" ht="15" customHeight="1" s="68">
      <c r="A213" s="114" t="n"/>
      <c r="B213" s="114" t="n"/>
      <c r="C213" s="112">
        <f>ROUND($B213*KarliyukSgkIsciOrani,0)</f>
        <v/>
      </c>
      <c r="D213" s="112">
        <f>ROUND($B213*KarliyukIssizlikIsciOrani,0)</f>
        <v/>
      </c>
      <c r="E213" s="112">
        <f>ROUND($B213*KarliyukStopajOrani,0)</f>
        <v/>
      </c>
      <c r="F213" s="112">
        <f>ROUND($B213*KarliyukDamgaOrani,0)</f>
        <v/>
      </c>
      <c r="G213" s="112">
        <f>$B213-$C213-$D213-$E213-$F213</f>
        <v/>
      </c>
      <c r="H213" s="112">
        <f>ROUND($B213*KarliyukSgkIsverenOrani,0)</f>
        <v/>
      </c>
      <c r="I213" s="112">
        <f>ROUND($B213*KarliyukIssizlikIsverenOrani,0)</f>
        <v/>
      </c>
      <c r="J213" s="112">
        <f>$B213+$H213+$I213</f>
        <v/>
      </c>
      <c r="K213" s="114" t="n"/>
    </row>
    <row r="214" ht="15" customHeight="1" s="68">
      <c r="A214" s="114" t="n"/>
      <c r="B214" s="114" t="n"/>
      <c r="C214" s="112">
        <f>ROUND($B214*KarliyukSgkIsciOrani,0)</f>
        <v/>
      </c>
      <c r="D214" s="112">
        <f>ROUND($B214*KarliyukIssizlikIsciOrani,0)</f>
        <v/>
      </c>
      <c r="E214" s="112">
        <f>ROUND($B214*KarliyukStopajOrani,0)</f>
        <v/>
      </c>
      <c r="F214" s="112">
        <f>ROUND($B214*KarliyukDamgaOrani,0)</f>
        <v/>
      </c>
      <c r="G214" s="112">
        <f>$B214-$C214-$D214-$E214-$F214</f>
        <v/>
      </c>
      <c r="H214" s="112">
        <f>ROUND($B214*KarliyukSgkIsverenOrani,0)</f>
        <v/>
      </c>
      <c r="I214" s="112">
        <f>ROUND($B214*KarliyukIssizlikIsverenOrani,0)</f>
        <v/>
      </c>
      <c r="J214" s="112">
        <f>$B214+$H214+$I214</f>
        <v/>
      </c>
      <c r="K214" s="114" t="n"/>
    </row>
    <row r="215" ht="15" customHeight="1" s="68">
      <c r="A215" s="114" t="n"/>
      <c r="B215" s="114" t="n"/>
      <c r="C215" s="112">
        <f>ROUND($B215*KarliyukSgkIsciOrani,0)</f>
        <v/>
      </c>
      <c r="D215" s="112">
        <f>ROUND($B215*KarliyukIssizlikIsciOrani,0)</f>
        <v/>
      </c>
      <c r="E215" s="112">
        <f>ROUND($B215*KarliyukStopajOrani,0)</f>
        <v/>
      </c>
      <c r="F215" s="112">
        <f>ROUND($B215*KarliyukDamgaOrani,0)</f>
        <v/>
      </c>
      <c r="G215" s="112">
        <f>$B215-$C215-$D215-$E215-$F215</f>
        <v/>
      </c>
      <c r="H215" s="112">
        <f>ROUND($B215*KarliyukSgkIsverenOrani,0)</f>
        <v/>
      </c>
      <c r="I215" s="112">
        <f>ROUND($B215*KarliyukIssizlikIsverenOrani,0)</f>
        <v/>
      </c>
      <c r="J215" s="112">
        <f>$B215+$H215+$I215</f>
        <v/>
      </c>
      <c r="K215" s="114" t="n"/>
    </row>
    <row r="216" ht="15" customHeight="1" s="68">
      <c r="A216" s="114" t="n"/>
      <c r="B216" s="114" t="n"/>
      <c r="C216" s="112">
        <f>ROUND($B216*KarliyukSgkIsciOrani,0)</f>
        <v/>
      </c>
      <c r="D216" s="112">
        <f>ROUND($B216*KarliyukIssizlikIsciOrani,0)</f>
        <v/>
      </c>
      <c r="E216" s="112">
        <f>ROUND($B216*KarliyukStopajOrani,0)</f>
        <v/>
      </c>
      <c r="F216" s="112">
        <f>ROUND($B216*KarliyukDamgaOrani,0)</f>
        <v/>
      </c>
      <c r="G216" s="112">
        <f>$B216-$C216-$D216-$E216-$F216</f>
        <v/>
      </c>
      <c r="H216" s="112">
        <f>ROUND($B216*KarliyukSgkIsverenOrani,0)</f>
        <v/>
      </c>
      <c r="I216" s="112">
        <f>ROUND($B216*KarliyukIssizlikIsverenOrani,0)</f>
        <v/>
      </c>
      <c r="J216" s="112">
        <f>$B216+$H216+$I216</f>
        <v/>
      </c>
      <c r="K216" s="114" t="n"/>
    </row>
    <row r="217" ht="15" customHeight="1" s="68">
      <c r="A217" s="114" t="n"/>
      <c r="B217" s="114" t="n"/>
      <c r="C217" s="112">
        <f>ROUND($B217*KarliyukSgkIsciOrani,0)</f>
        <v/>
      </c>
      <c r="D217" s="112">
        <f>ROUND($B217*KarliyukIssizlikIsciOrani,0)</f>
        <v/>
      </c>
      <c r="E217" s="112">
        <f>ROUND($B217*KarliyukStopajOrani,0)</f>
        <v/>
      </c>
      <c r="F217" s="112">
        <f>ROUND($B217*KarliyukDamgaOrani,0)</f>
        <v/>
      </c>
      <c r="G217" s="112">
        <f>$B217-$C217-$D217-$E217-$F217</f>
        <v/>
      </c>
      <c r="H217" s="112">
        <f>ROUND($B217*KarliyukSgkIsverenOrani,0)</f>
        <v/>
      </c>
      <c r="I217" s="112">
        <f>ROUND($B217*KarliyukIssizlikIsverenOrani,0)</f>
        <v/>
      </c>
      <c r="J217" s="112">
        <f>$B217+$H217+$I217</f>
        <v/>
      </c>
      <c r="K217" s="114" t="n"/>
    </row>
    <row r="218" ht="15" customHeight="1" s="68">
      <c r="A218" s="114" t="n"/>
      <c r="B218" s="114" t="n"/>
      <c r="C218" s="112">
        <f>ROUND($B218*KarliyukSgkIsciOrani,0)</f>
        <v/>
      </c>
      <c r="D218" s="112">
        <f>ROUND($B218*KarliyukIssizlikIsciOrani,0)</f>
        <v/>
      </c>
      <c r="E218" s="112">
        <f>ROUND($B218*KarliyukStopajOrani,0)</f>
        <v/>
      </c>
      <c r="F218" s="112">
        <f>ROUND($B218*KarliyukDamgaOrani,0)</f>
        <v/>
      </c>
      <c r="G218" s="112">
        <f>$B218-$C218-$D218-$E218-$F218</f>
        <v/>
      </c>
      <c r="H218" s="112">
        <f>ROUND($B218*KarliyukSgkIsverenOrani,0)</f>
        <v/>
      </c>
      <c r="I218" s="112">
        <f>ROUND($B218*KarliyukIssizlikIsverenOrani,0)</f>
        <v/>
      </c>
      <c r="J218" s="112">
        <f>$B218+$H218+$I218</f>
        <v/>
      </c>
      <c r="K218" s="114" t="n"/>
    </row>
    <row r="219" ht="15" customHeight="1" s="68">
      <c r="A219" s="114" t="n"/>
      <c r="B219" s="114" t="n"/>
      <c r="C219" s="112">
        <f>ROUND($B219*KarliyukSgkIsciOrani,0)</f>
        <v/>
      </c>
      <c r="D219" s="112">
        <f>ROUND($B219*KarliyukIssizlikIsciOrani,0)</f>
        <v/>
      </c>
      <c r="E219" s="112">
        <f>ROUND($B219*KarliyukStopajOrani,0)</f>
        <v/>
      </c>
      <c r="F219" s="112">
        <f>ROUND($B219*KarliyukDamgaOrani,0)</f>
        <v/>
      </c>
      <c r="G219" s="112">
        <f>$B219-$C219-$D219-$E219-$F219</f>
        <v/>
      </c>
      <c r="H219" s="112">
        <f>ROUND($B219*KarliyukSgkIsverenOrani,0)</f>
        <v/>
      </c>
      <c r="I219" s="112">
        <f>ROUND($B219*KarliyukIssizlikIsverenOrani,0)</f>
        <v/>
      </c>
      <c r="J219" s="112">
        <f>$B219+$H219+$I219</f>
        <v/>
      </c>
      <c r="K219" s="114" t="n"/>
    </row>
    <row r="220" ht="15" customHeight="1" s="68">
      <c r="A220" s="114" t="n"/>
      <c r="B220" s="114" t="n"/>
      <c r="C220" s="112">
        <f>ROUND($B220*KarliyukSgkIsciOrani,0)</f>
        <v/>
      </c>
      <c r="D220" s="112">
        <f>ROUND($B220*KarliyukIssizlikIsciOrani,0)</f>
        <v/>
      </c>
      <c r="E220" s="112">
        <f>ROUND($B220*KarliyukStopajOrani,0)</f>
        <v/>
      </c>
      <c r="F220" s="112">
        <f>ROUND($B220*KarliyukDamgaOrani,0)</f>
        <v/>
      </c>
      <c r="G220" s="112">
        <f>$B220-$C220-$D220-$E220-$F220</f>
        <v/>
      </c>
      <c r="H220" s="112">
        <f>ROUND($B220*KarliyukSgkIsverenOrani,0)</f>
        <v/>
      </c>
      <c r="I220" s="112">
        <f>ROUND($B220*KarliyukIssizlikIsverenOrani,0)</f>
        <v/>
      </c>
      <c r="J220" s="112">
        <f>$B220+$H220+$I220</f>
        <v/>
      </c>
      <c r="K220" s="114" t="n"/>
    </row>
    <row r="221" ht="15" customHeight="1" s="68">
      <c r="A221" s="114" t="n"/>
      <c r="B221" s="114" t="n"/>
      <c r="C221" s="112">
        <f>ROUND($B221*KarliyukSgkIsciOrani,0)</f>
        <v/>
      </c>
      <c r="D221" s="112">
        <f>ROUND($B221*KarliyukIssizlikIsciOrani,0)</f>
        <v/>
      </c>
      <c r="E221" s="112">
        <f>ROUND($B221*KarliyukStopajOrani,0)</f>
        <v/>
      </c>
      <c r="F221" s="112">
        <f>ROUND($B221*KarliyukDamgaOrani,0)</f>
        <v/>
      </c>
      <c r="G221" s="112">
        <f>$B221-$C221-$D221-$E221-$F221</f>
        <v/>
      </c>
      <c r="H221" s="112">
        <f>ROUND($B221*KarliyukSgkIsverenOrani,0)</f>
        <v/>
      </c>
      <c r="I221" s="112">
        <f>ROUND($B221*KarliyukIssizlikIsverenOrani,0)</f>
        <v/>
      </c>
      <c r="J221" s="112">
        <f>$B221+$H221+$I221</f>
        <v/>
      </c>
      <c r="K221" s="114" t="n"/>
    </row>
    <row r="222" ht="15" customHeight="1" s="68">
      <c r="A222" s="114" t="n"/>
      <c r="B222" s="114" t="n"/>
      <c r="C222" s="112">
        <f>ROUND($B222*KarliyukSgkIsciOrani,0)</f>
        <v/>
      </c>
      <c r="D222" s="112">
        <f>ROUND($B222*KarliyukIssizlikIsciOrani,0)</f>
        <v/>
      </c>
      <c r="E222" s="112">
        <f>ROUND($B222*KarliyukStopajOrani,0)</f>
        <v/>
      </c>
      <c r="F222" s="112">
        <f>ROUND($B222*KarliyukDamgaOrani,0)</f>
        <v/>
      </c>
      <c r="G222" s="112">
        <f>$B222-$C222-$D222-$E222-$F222</f>
        <v/>
      </c>
      <c r="H222" s="112">
        <f>ROUND($B222*KarliyukSgkIsverenOrani,0)</f>
        <v/>
      </c>
      <c r="I222" s="112">
        <f>ROUND($B222*KarliyukIssizlikIsverenOrani,0)</f>
        <v/>
      </c>
      <c r="J222" s="112">
        <f>$B222+$H222+$I222</f>
        <v/>
      </c>
      <c r="K222" s="114" t="n"/>
    </row>
    <row r="223" ht="15" customHeight="1" s="68">
      <c r="A223" s="114" t="n"/>
      <c r="B223" s="114" t="n"/>
      <c r="C223" s="112">
        <f>ROUND($B223*KarliyukSgkIsciOrani,0)</f>
        <v/>
      </c>
      <c r="D223" s="112">
        <f>ROUND($B223*KarliyukIssizlikIsciOrani,0)</f>
        <v/>
      </c>
      <c r="E223" s="112">
        <f>ROUND($B223*KarliyukStopajOrani,0)</f>
        <v/>
      </c>
      <c r="F223" s="112">
        <f>ROUND($B223*KarliyukDamgaOrani,0)</f>
        <v/>
      </c>
      <c r="G223" s="112">
        <f>$B223-$C223-$D223-$E223-$F223</f>
        <v/>
      </c>
      <c r="H223" s="112">
        <f>ROUND($B223*KarliyukSgkIsverenOrani,0)</f>
        <v/>
      </c>
      <c r="I223" s="112">
        <f>ROUND($B223*KarliyukIssizlikIsverenOrani,0)</f>
        <v/>
      </c>
      <c r="J223" s="112">
        <f>$B223+$H223+$I223</f>
        <v/>
      </c>
      <c r="K223" s="114" t="n"/>
    </row>
    <row r="224" ht="15" customHeight="1" s="68">
      <c r="A224" s="114" t="n"/>
      <c r="B224" s="114" t="n"/>
      <c r="C224" s="112">
        <f>ROUND($B224*KarliyukSgkIsciOrani,0)</f>
        <v/>
      </c>
      <c r="D224" s="112">
        <f>ROUND($B224*KarliyukIssizlikIsciOrani,0)</f>
        <v/>
      </c>
      <c r="E224" s="112">
        <f>ROUND($B224*KarliyukStopajOrani,0)</f>
        <v/>
      </c>
      <c r="F224" s="112">
        <f>ROUND($B224*KarliyukDamgaOrani,0)</f>
        <v/>
      </c>
      <c r="G224" s="112">
        <f>$B224-$C224-$D224-$E224-$F224</f>
        <v/>
      </c>
      <c r="H224" s="112">
        <f>ROUND($B224*KarliyukSgkIsverenOrani,0)</f>
        <v/>
      </c>
      <c r="I224" s="112">
        <f>ROUND($B224*KarliyukIssizlikIsverenOrani,0)</f>
        <v/>
      </c>
      <c r="J224" s="112">
        <f>$B224+$H224+$I224</f>
        <v/>
      </c>
      <c r="K224" s="114" t="n"/>
    </row>
    <row r="225" ht="15" customHeight="1" s="68">
      <c r="A225" s="114" t="n"/>
      <c r="B225" s="114" t="n"/>
      <c r="C225" s="112">
        <f>ROUND($B225*KarliyukSgkIsciOrani,0)</f>
        <v/>
      </c>
      <c r="D225" s="112">
        <f>ROUND($B225*KarliyukIssizlikIsciOrani,0)</f>
        <v/>
      </c>
      <c r="E225" s="112">
        <f>ROUND($B225*KarliyukStopajOrani,0)</f>
        <v/>
      </c>
      <c r="F225" s="112">
        <f>ROUND($B225*KarliyukDamgaOrani,0)</f>
        <v/>
      </c>
      <c r="G225" s="112">
        <f>$B225-$C225-$D225-$E225-$F225</f>
        <v/>
      </c>
      <c r="H225" s="112">
        <f>ROUND($B225*KarliyukSgkIsverenOrani,0)</f>
        <v/>
      </c>
      <c r="I225" s="112">
        <f>ROUND($B225*KarliyukIssizlikIsverenOrani,0)</f>
        <v/>
      </c>
      <c r="J225" s="112">
        <f>$B225+$H225+$I225</f>
        <v/>
      </c>
      <c r="K225" s="114" t="n"/>
    </row>
    <row r="226" ht="15" customHeight="1" s="68">
      <c r="A226" s="114" t="n"/>
      <c r="B226" s="114" t="n"/>
      <c r="C226" s="112">
        <f>ROUND($B226*KarliyukSgkIsciOrani,0)</f>
        <v/>
      </c>
      <c r="D226" s="112">
        <f>ROUND($B226*KarliyukIssizlikIsciOrani,0)</f>
        <v/>
      </c>
      <c r="E226" s="112">
        <f>ROUND($B226*KarliyukStopajOrani,0)</f>
        <v/>
      </c>
      <c r="F226" s="112">
        <f>ROUND($B226*KarliyukDamgaOrani,0)</f>
        <v/>
      </c>
      <c r="G226" s="112">
        <f>$B226-$C226-$D226-$E226-$F226</f>
        <v/>
      </c>
      <c r="H226" s="112">
        <f>ROUND($B226*KarliyukSgkIsverenOrani,0)</f>
        <v/>
      </c>
      <c r="I226" s="112">
        <f>ROUND($B226*KarliyukIssizlikIsverenOrani,0)</f>
        <v/>
      </c>
      <c r="J226" s="112">
        <f>$B226+$H226+$I226</f>
        <v/>
      </c>
      <c r="K226" s="114" t="n"/>
    </row>
    <row r="227" ht="15" customHeight="1" s="68">
      <c r="A227" s="114" t="n"/>
      <c r="B227" s="114" t="n"/>
      <c r="C227" s="112">
        <f>ROUND($B227*KarliyukSgkIsciOrani,0)</f>
        <v/>
      </c>
      <c r="D227" s="112">
        <f>ROUND($B227*KarliyukIssizlikIsciOrani,0)</f>
        <v/>
      </c>
      <c r="E227" s="112">
        <f>ROUND($B227*KarliyukStopajOrani,0)</f>
        <v/>
      </c>
      <c r="F227" s="112">
        <f>ROUND($B227*KarliyukDamgaOrani,0)</f>
        <v/>
      </c>
      <c r="G227" s="112">
        <f>$B227-$C227-$D227-$E227-$F227</f>
        <v/>
      </c>
      <c r="H227" s="112">
        <f>ROUND($B227*KarliyukSgkIsverenOrani,0)</f>
        <v/>
      </c>
      <c r="I227" s="112">
        <f>ROUND($B227*KarliyukIssizlikIsverenOrani,0)</f>
        <v/>
      </c>
      <c r="J227" s="112">
        <f>$B227+$H227+$I227</f>
        <v/>
      </c>
      <c r="K227" s="114" t="n"/>
    </row>
    <row r="228" ht="15" customHeight="1" s="68">
      <c r="A228" s="114" t="n"/>
      <c r="B228" s="114" t="n"/>
      <c r="C228" s="112">
        <f>ROUND($B228*KarliyukSgkIsciOrani,0)</f>
        <v/>
      </c>
      <c r="D228" s="112">
        <f>ROUND($B228*KarliyukIssizlikIsciOrani,0)</f>
        <v/>
      </c>
      <c r="E228" s="112">
        <f>ROUND($B228*KarliyukStopajOrani,0)</f>
        <v/>
      </c>
      <c r="F228" s="112">
        <f>ROUND($B228*KarliyukDamgaOrani,0)</f>
        <v/>
      </c>
      <c r="G228" s="112">
        <f>$B228-$C228-$D228-$E228-$F228</f>
        <v/>
      </c>
      <c r="H228" s="112">
        <f>ROUND($B228*KarliyukSgkIsverenOrani,0)</f>
        <v/>
      </c>
      <c r="I228" s="112">
        <f>ROUND($B228*KarliyukIssizlikIsverenOrani,0)</f>
        <v/>
      </c>
      <c r="J228" s="112">
        <f>$B228+$H228+$I228</f>
        <v/>
      </c>
      <c r="K228" s="114" t="n"/>
    </row>
    <row r="229" ht="15" customHeight="1" s="68">
      <c r="A229" s="114" t="n"/>
      <c r="B229" s="114" t="n"/>
      <c r="C229" s="112">
        <f>ROUND($B229*KarliyukSgkIsciOrani,0)</f>
        <v/>
      </c>
      <c r="D229" s="112">
        <f>ROUND($B229*KarliyukIssizlikIsciOrani,0)</f>
        <v/>
      </c>
      <c r="E229" s="112">
        <f>ROUND($B229*KarliyukStopajOrani,0)</f>
        <v/>
      </c>
      <c r="F229" s="112">
        <f>ROUND($B229*KarliyukDamgaOrani,0)</f>
        <v/>
      </c>
      <c r="G229" s="112">
        <f>$B229-$C229-$D229-$E229-$F229</f>
        <v/>
      </c>
      <c r="H229" s="112">
        <f>ROUND($B229*KarliyukSgkIsverenOrani,0)</f>
        <v/>
      </c>
      <c r="I229" s="112">
        <f>ROUND($B229*KarliyukIssizlikIsverenOrani,0)</f>
        <v/>
      </c>
      <c r="J229" s="112">
        <f>$B229+$H229+$I229</f>
        <v/>
      </c>
      <c r="K229" s="114" t="n"/>
    </row>
    <row r="230" ht="15" customHeight="1" s="68">
      <c r="A230" s="114" t="n"/>
      <c r="B230" s="114" t="n"/>
      <c r="C230" s="112">
        <f>ROUND($B230*KarliyukSgkIsciOrani,0)</f>
        <v/>
      </c>
      <c r="D230" s="112">
        <f>ROUND($B230*KarliyukIssizlikIsciOrani,0)</f>
        <v/>
      </c>
      <c r="E230" s="112">
        <f>ROUND($B230*KarliyukStopajOrani,0)</f>
        <v/>
      </c>
      <c r="F230" s="112">
        <f>ROUND($B230*KarliyukDamgaOrani,0)</f>
        <v/>
      </c>
      <c r="G230" s="112">
        <f>$B230-$C230-$D230-$E230-$F230</f>
        <v/>
      </c>
      <c r="H230" s="112">
        <f>ROUND($B230*KarliyukSgkIsverenOrani,0)</f>
        <v/>
      </c>
      <c r="I230" s="112">
        <f>ROUND($B230*KarliyukIssizlikIsverenOrani,0)</f>
        <v/>
      </c>
      <c r="J230" s="112">
        <f>$B230+$H230+$I230</f>
        <v/>
      </c>
      <c r="K230" s="114" t="n"/>
    </row>
    <row r="231" ht="15" customHeight="1" s="68">
      <c r="A231" s="114" t="n"/>
      <c r="B231" s="114" t="n"/>
      <c r="C231" s="112">
        <f>ROUND($B231*KarliyukSgkIsciOrani,0)</f>
        <v/>
      </c>
      <c r="D231" s="112">
        <f>ROUND($B231*KarliyukIssizlikIsciOrani,0)</f>
        <v/>
      </c>
      <c r="E231" s="112">
        <f>ROUND($B231*KarliyukStopajOrani,0)</f>
        <v/>
      </c>
      <c r="F231" s="112">
        <f>ROUND($B231*KarliyukDamgaOrani,0)</f>
        <v/>
      </c>
      <c r="G231" s="112">
        <f>$B231-$C231-$D231-$E231-$F231</f>
        <v/>
      </c>
      <c r="H231" s="112">
        <f>ROUND($B231*KarliyukSgkIsverenOrani,0)</f>
        <v/>
      </c>
      <c r="I231" s="112">
        <f>ROUND($B231*KarliyukIssizlikIsverenOrani,0)</f>
        <v/>
      </c>
      <c r="J231" s="112">
        <f>$B231+$H231+$I231</f>
        <v/>
      </c>
      <c r="K231" s="114" t="n"/>
    </row>
    <row r="232" ht="15" customHeight="1" s="68">
      <c r="A232" s="114" t="n"/>
      <c r="B232" s="114" t="n"/>
      <c r="C232" s="112">
        <f>ROUND($B232*KarliyukSgkIsciOrani,0)</f>
        <v/>
      </c>
      <c r="D232" s="112">
        <f>ROUND($B232*KarliyukIssizlikIsciOrani,0)</f>
        <v/>
      </c>
      <c r="E232" s="112">
        <f>ROUND($B232*KarliyukStopajOrani,0)</f>
        <v/>
      </c>
      <c r="F232" s="112">
        <f>ROUND($B232*KarliyukDamgaOrani,0)</f>
        <v/>
      </c>
      <c r="G232" s="112">
        <f>$B232-$C232-$D232-$E232-$F232</f>
        <v/>
      </c>
      <c r="H232" s="112">
        <f>ROUND($B232*KarliyukSgkIsverenOrani,0)</f>
        <v/>
      </c>
      <c r="I232" s="112">
        <f>ROUND($B232*KarliyukIssizlikIsverenOrani,0)</f>
        <v/>
      </c>
      <c r="J232" s="112">
        <f>$B232+$H232+$I232</f>
        <v/>
      </c>
      <c r="K232" s="114" t="n"/>
    </row>
    <row r="233" ht="15" customHeight="1" s="68">
      <c r="A233" s="114" t="n"/>
      <c r="B233" s="114" t="n"/>
      <c r="C233" s="112">
        <f>ROUND($B233*KarliyukSgkIsciOrani,0)</f>
        <v/>
      </c>
      <c r="D233" s="112">
        <f>ROUND($B233*KarliyukIssizlikIsciOrani,0)</f>
        <v/>
      </c>
      <c r="E233" s="112">
        <f>ROUND($B233*KarliyukStopajOrani,0)</f>
        <v/>
      </c>
      <c r="F233" s="112">
        <f>ROUND($B233*KarliyukDamgaOrani,0)</f>
        <v/>
      </c>
      <c r="G233" s="112">
        <f>$B233-$C233-$D233-$E233-$F233</f>
        <v/>
      </c>
      <c r="H233" s="112">
        <f>ROUND($B233*KarliyukSgkIsverenOrani,0)</f>
        <v/>
      </c>
      <c r="I233" s="112">
        <f>ROUND($B233*KarliyukIssizlikIsverenOrani,0)</f>
        <v/>
      </c>
      <c r="J233" s="112">
        <f>$B233+$H233+$I233</f>
        <v/>
      </c>
      <c r="K233" s="114" t="n"/>
    </row>
    <row r="234" ht="15" customHeight="1" s="68">
      <c r="A234" s="114" t="n"/>
      <c r="B234" s="114" t="n"/>
      <c r="C234" s="112">
        <f>ROUND($B234*KarliyukSgkIsciOrani,0)</f>
        <v/>
      </c>
      <c r="D234" s="112">
        <f>ROUND($B234*KarliyukIssizlikIsciOrani,0)</f>
        <v/>
      </c>
      <c r="E234" s="112">
        <f>ROUND($B234*KarliyukStopajOrani,0)</f>
        <v/>
      </c>
      <c r="F234" s="112">
        <f>ROUND($B234*KarliyukDamgaOrani,0)</f>
        <v/>
      </c>
      <c r="G234" s="112">
        <f>$B234-$C234-$D234-$E234-$F234</f>
        <v/>
      </c>
      <c r="H234" s="112">
        <f>ROUND($B234*KarliyukSgkIsverenOrani,0)</f>
        <v/>
      </c>
      <c r="I234" s="112">
        <f>ROUND($B234*KarliyukIssizlikIsverenOrani,0)</f>
        <v/>
      </c>
      <c r="J234" s="112">
        <f>$B234+$H234+$I234</f>
        <v/>
      </c>
      <c r="K234" s="114" t="n"/>
    </row>
    <row r="235" ht="15" customHeight="1" s="68">
      <c r="A235" s="114" t="n"/>
      <c r="B235" s="114" t="n"/>
      <c r="C235" s="112">
        <f>ROUND($B235*KarliyukSgkIsciOrani,0)</f>
        <v/>
      </c>
      <c r="D235" s="112">
        <f>ROUND($B235*KarliyukIssizlikIsciOrani,0)</f>
        <v/>
      </c>
      <c r="E235" s="112">
        <f>ROUND($B235*KarliyukStopajOrani,0)</f>
        <v/>
      </c>
      <c r="F235" s="112">
        <f>ROUND($B235*KarliyukDamgaOrani,0)</f>
        <v/>
      </c>
      <c r="G235" s="112">
        <f>$B235-$C235-$D235-$E235-$F235</f>
        <v/>
      </c>
      <c r="H235" s="112">
        <f>ROUND($B235*KarliyukSgkIsverenOrani,0)</f>
        <v/>
      </c>
      <c r="I235" s="112">
        <f>ROUND($B235*KarliyukIssizlikIsverenOrani,0)</f>
        <v/>
      </c>
      <c r="J235" s="112">
        <f>$B235+$H235+$I235</f>
        <v/>
      </c>
      <c r="K235" s="114" t="n"/>
    </row>
    <row r="236" ht="15" customHeight="1" s="68">
      <c r="A236" s="114" t="n"/>
      <c r="B236" s="114" t="n"/>
      <c r="C236" s="112">
        <f>ROUND($B236*KarliyukSgkIsciOrani,0)</f>
        <v/>
      </c>
      <c r="D236" s="112">
        <f>ROUND($B236*KarliyukIssizlikIsciOrani,0)</f>
        <v/>
      </c>
      <c r="E236" s="112">
        <f>ROUND($B236*KarliyukStopajOrani,0)</f>
        <v/>
      </c>
      <c r="F236" s="112">
        <f>ROUND($B236*KarliyukDamgaOrani,0)</f>
        <v/>
      </c>
      <c r="G236" s="112">
        <f>$B236-$C236-$D236-$E236-$F236</f>
        <v/>
      </c>
      <c r="H236" s="112">
        <f>ROUND($B236*KarliyukSgkIsverenOrani,0)</f>
        <v/>
      </c>
      <c r="I236" s="112">
        <f>ROUND($B236*KarliyukIssizlikIsverenOrani,0)</f>
        <v/>
      </c>
      <c r="J236" s="112">
        <f>$B236+$H236+$I236</f>
        <v/>
      </c>
      <c r="K236" s="114" t="n"/>
    </row>
    <row r="237" ht="15" customHeight="1" s="68">
      <c r="A237" s="114" t="n"/>
      <c r="B237" s="114" t="n"/>
      <c r="C237" s="112">
        <f>ROUND($B237*KarliyukSgkIsciOrani,0)</f>
        <v/>
      </c>
      <c r="D237" s="112">
        <f>ROUND($B237*KarliyukIssizlikIsciOrani,0)</f>
        <v/>
      </c>
      <c r="E237" s="112">
        <f>ROUND($B237*KarliyukStopajOrani,0)</f>
        <v/>
      </c>
      <c r="F237" s="112">
        <f>ROUND($B237*KarliyukDamgaOrani,0)</f>
        <v/>
      </c>
      <c r="G237" s="112">
        <f>$B237-$C237-$D237-$E237-$F237</f>
        <v/>
      </c>
      <c r="H237" s="112">
        <f>ROUND($B237*KarliyukSgkIsverenOrani,0)</f>
        <v/>
      </c>
      <c r="I237" s="112">
        <f>ROUND($B237*KarliyukIssizlikIsverenOrani,0)</f>
        <v/>
      </c>
      <c r="J237" s="112">
        <f>$B237+$H237+$I237</f>
        <v/>
      </c>
      <c r="K237" s="114" t="n"/>
    </row>
    <row r="238" ht="15" customHeight="1" s="68">
      <c r="A238" s="114" t="n"/>
      <c r="B238" s="114" t="n"/>
      <c r="C238" s="112">
        <f>ROUND($B238*KarliyukSgkIsciOrani,0)</f>
        <v/>
      </c>
      <c r="D238" s="112">
        <f>ROUND($B238*KarliyukIssizlikIsciOrani,0)</f>
        <v/>
      </c>
      <c r="E238" s="112">
        <f>ROUND($B238*KarliyukStopajOrani,0)</f>
        <v/>
      </c>
      <c r="F238" s="112">
        <f>ROUND($B238*KarliyukDamgaOrani,0)</f>
        <v/>
      </c>
      <c r="G238" s="112">
        <f>$B238-$C238-$D238-$E238-$F238</f>
        <v/>
      </c>
      <c r="H238" s="112">
        <f>ROUND($B238*KarliyukSgkIsverenOrani,0)</f>
        <v/>
      </c>
      <c r="I238" s="112">
        <f>ROUND($B238*KarliyukIssizlikIsverenOrani,0)</f>
        <v/>
      </c>
      <c r="J238" s="112">
        <f>$B238+$H238+$I238</f>
        <v/>
      </c>
      <c r="K238" s="114" t="n"/>
    </row>
    <row r="239" ht="15" customHeight="1" s="68">
      <c r="A239" s="114" t="n"/>
      <c r="B239" s="114" t="n"/>
      <c r="C239" s="112">
        <f>ROUND($B239*KarliyukSgkIsciOrani,0)</f>
        <v/>
      </c>
      <c r="D239" s="112">
        <f>ROUND($B239*KarliyukIssizlikIsciOrani,0)</f>
        <v/>
      </c>
      <c r="E239" s="112">
        <f>ROUND($B239*KarliyukStopajOrani,0)</f>
        <v/>
      </c>
      <c r="F239" s="112">
        <f>ROUND($B239*KarliyukDamgaOrani,0)</f>
        <v/>
      </c>
      <c r="G239" s="112">
        <f>$B239-$C239-$D239-$E239-$F239</f>
        <v/>
      </c>
      <c r="H239" s="112">
        <f>ROUND($B239*KarliyukSgkIsverenOrani,0)</f>
        <v/>
      </c>
      <c r="I239" s="112">
        <f>ROUND($B239*KarliyukIssizlikIsverenOrani,0)</f>
        <v/>
      </c>
      <c r="J239" s="112">
        <f>$B239+$H239+$I239</f>
        <v/>
      </c>
      <c r="K239" s="114" t="n"/>
    </row>
    <row r="240" ht="15" customHeight="1" s="68">
      <c r="A240" s="114" t="n"/>
      <c r="B240" s="114" t="n"/>
      <c r="C240" s="112">
        <f>ROUND($B240*KarliyukSgkIsciOrani,0)</f>
        <v/>
      </c>
      <c r="D240" s="112">
        <f>ROUND($B240*KarliyukIssizlikIsciOrani,0)</f>
        <v/>
      </c>
      <c r="E240" s="112">
        <f>ROUND($B240*KarliyukStopajOrani,0)</f>
        <v/>
      </c>
      <c r="F240" s="112">
        <f>ROUND($B240*KarliyukDamgaOrani,0)</f>
        <v/>
      </c>
      <c r="G240" s="112">
        <f>$B240-$C240-$D240-$E240-$F240</f>
        <v/>
      </c>
      <c r="H240" s="112">
        <f>ROUND($B240*KarliyukSgkIsverenOrani,0)</f>
        <v/>
      </c>
      <c r="I240" s="112">
        <f>ROUND($B240*KarliyukIssizlikIsverenOrani,0)</f>
        <v/>
      </c>
      <c r="J240" s="112">
        <f>$B240+$H240+$I240</f>
        <v/>
      </c>
      <c r="K240" s="114" t="n"/>
    </row>
    <row r="241" ht="15" customHeight="1" s="68">
      <c r="A241" s="114" t="n"/>
      <c r="B241" s="114" t="n"/>
      <c r="C241" s="112">
        <f>ROUND($B241*KarliyukSgkIsciOrani,0)</f>
        <v/>
      </c>
      <c r="D241" s="112">
        <f>ROUND($B241*KarliyukIssizlikIsciOrani,0)</f>
        <v/>
      </c>
      <c r="E241" s="112">
        <f>ROUND($B241*KarliyukStopajOrani,0)</f>
        <v/>
      </c>
      <c r="F241" s="112">
        <f>ROUND($B241*KarliyukDamgaOrani,0)</f>
        <v/>
      </c>
      <c r="G241" s="112">
        <f>$B241-$C241-$D241-$E241-$F241</f>
        <v/>
      </c>
      <c r="H241" s="112">
        <f>ROUND($B241*KarliyukSgkIsverenOrani,0)</f>
        <v/>
      </c>
      <c r="I241" s="112">
        <f>ROUND($B241*KarliyukIssizlikIsverenOrani,0)</f>
        <v/>
      </c>
      <c r="J241" s="112">
        <f>$B241+$H241+$I241</f>
        <v/>
      </c>
      <c r="K241" s="114" t="n"/>
    </row>
    <row r="242" ht="15" customHeight="1" s="68">
      <c r="A242" s="114" t="n"/>
      <c r="B242" s="114" t="n"/>
      <c r="C242" s="112">
        <f>ROUND($B242*KarliyukSgkIsciOrani,0)</f>
        <v/>
      </c>
      <c r="D242" s="112">
        <f>ROUND($B242*KarliyukIssizlikIsciOrani,0)</f>
        <v/>
      </c>
      <c r="E242" s="112">
        <f>ROUND($B242*KarliyukStopajOrani,0)</f>
        <v/>
      </c>
      <c r="F242" s="112">
        <f>ROUND($B242*KarliyukDamgaOrani,0)</f>
        <v/>
      </c>
      <c r="G242" s="112">
        <f>$B242-$C242-$D242-$E242-$F242</f>
        <v/>
      </c>
      <c r="H242" s="112">
        <f>ROUND($B242*KarliyukSgkIsverenOrani,0)</f>
        <v/>
      </c>
      <c r="I242" s="112">
        <f>ROUND($B242*KarliyukIssizlikIsverenOrani,0)</f>
        <v/>
      </c>
      <c r="J242" s="112">
        <f>$B242+$H242+$I242</f>
        <v/>
      </c>
      <c r="K242" s="114" t="n"/>
    </row>
    <row r="243" ht="15" customHeight="1" s="68">
      <c r="A243" s="114" t="n"/>
      <c r="B243" s="114" t="n"/>
      <c r="C243" s="112">
        <f>ROUND($B243*KarliyukSgkIsciOrani,0)</f>
        <v/>
      </c>
      <c r="D243" s="112">
        <f>ROUND($B243*KarliyukIssizlikIsciOrani,0)</f>
        <v/>
      </c>
      <c r="E243" s="112">
        <f>ROUND($B243*KarliyukStopajOrani,0)</f>
        <v/>
      </c>
      <c r="F243" s="112">
        <f>ROUND($B243*KarliyukDamgaOrani,0)</f>
        <v/>
      </c>
      <c r="G243" s="112">
        <f>$B243-$C243-$D243-$E243-$F243</f>
        <v/>
      </c>
      <c r="H243" s="112">
        <f>ROUND($B243*KarliyukSgkIsverenOrani,0)</f>
        <v/>
      </c>
      <c r="I243" s="112">
        <f>ROUND($B243*KarliyukIssizlikIsverenOrani,0)</f>
        <v/>
      </c>
      <c r="J243" s="112">
        <f>$B243+$H243+$I243</f>
        <v/>
      </c>
      <c r="K243" s="114" t="n"/>
    </row>
    <row r="244" ht="15" customHeight="1" s="68">
      <c r="A244" s="114" t="n"/>
      <c r="B244" s="114" t="n"/>
      <c r="C244" s="112">
        <f>ROUND($B244*KarliyukSgkIsciOrani,0)</f>
        <v/>
      </c>
      <c r="D244" s="112">
        <f>ROUND($B244*KarliyukIssizlikIsciOrani,0)</f>
        <v/>
      </c>
      <c r="E244" s="112">
        <f>ROUND($B244*KarliyukStopajOrani,0)</f>
        <v/>
      </c>
      <c r="F244" s="112">
        <f>ROUND($B244*KarliyukDamgaOrani,0)</f>
        <v/>
      </c>
      <c r="G244" s="112">
        <f>$B244-$C244-$D244-$E244-$F244</f>
        <v/>
      </c>
      <c r="H244" s="112">
        <f>ROUND($B244*KarliyukSgkIsverenOrani,0)</f>
        <v/>
      </c>
      <c r="I244" s="112">
        <f>ROUND($B244*KarliyukIssizlikIsverenOrani,0)</f>
        <v/>
      </c>
      <c r="J244" s="112">
        <f>$B244+$H244+$I244</f>
        <v/>
      </c>
      <c r="K244" s="114" t="n"/>
    </row>
    <row r="245" ht="15" customHeight="1" s="68">
      <c r="A245" s="114" t="n"/>
      <c r="B245" s="114" t="n"/>
      <c r="C245" s="112">
        <f>ROUND($B245*KarliyukSgkIsciOrani,0)</f>
        <v/>
      </c>
      <c r="D245" s="112">
        <f>ROUND($B245*KarliyukIssizlikIsciOrani,0)</f>
        <v/>
      </c>
      <c r="E245" s="112">
        <f>ROUND($B245*KarliyukStopajOrani,0)</f>
        <v/>
      </c>
      <c r="F245" s="112">
        <f>ROUND($B245*KarliyukDamgaOrani,0)</f>
        <v/>
      </c>
      <c r="G245" s="112">
        <f>$B245-$C245-$D245-$E245-$F245</f>
        <v/>
      </c>
      <c r="H245" s="112">
        <f>ROUND($B245*KarliyukSgkIsverenOrani,0)</f>
        <v/>
      </c>
      <c r="I245" s="112">
        <f>ROUND($B245*KarliyukIssizlikIsverenOrani,0)</f>
        <v/>
      </c>
      <c r="J245" s="112">
        <f>$B245+$H245+$I245</f>
        <v/>
      </c>
      <c r="K245" s="114" t="n"/>
    </row>
    <row r="246" ht="15" customHeight="1" s="68">
      <c r="A246" s="114" t="n"/>
      <c r="B246" s="114" t="n"/>
      <c r="C246" s="112">
        <f>ROUND($B246*KarliyukSgkIsciOrani,0)</f>
        <v/>
      </c>
      <c r="D246" s="112">
        <f>ROUND($B246*KarliyukIssizlikIsciOrani,0)</f>
        <v/>
      </c>
      <c r="E246" s="112">
        <f>ROUND($B246*KarliyukStopajOrani,0)</f>
        <v/>
      </c>
      <c r="F246" s="112">
        <f>ROUND($B246*KarliyukDamgaOrani,0)</f>
        <v/>
      </c>
      <c r="G246" s="112">
        <f>$B246-$C246-$D246-$E246-$F246</f>
        <v/>
      </c>
      <c r="H246" s="112">
        <f>ROUND($B246*KarliyukSgkIsverenOrani,0)</f>
        <v/>
      </c>
      <c r="I246" s="112">
        <f>ROUND($B246*KarliyukIssizlikIsverenOrani,0)</f>
        <v/>
      </c>
      <c r="J246" s="112">
        <f>$B246+$H246+$I246</f>
        <v/>
      </c>
      <c r="K246" s="114" t="n"/>
    </row>
    <row r="247" ht="15" customHeight="1" s="68">
      <c r="A247" s="114" t="n"/>
      <c r="B247" s="114" t="n"/>
      <c r="C247" s="112">
        <f>ROUND($B247*KarliyukSgkIsciOrani,0)</f>
        <v/>
      </c>
      <c r="D247" s="112">
        <f>ROUND($B247*KarliyukIssizlikIsciOrani,0)</f>
        <v/>
      </c>
      <c r="E247" s="112">
        <f>ROUND($B247*KarliyukStopajOrani,0)</f>
        <v/>
      </c>
      <c r="F247" s="112">
        <f>ROUND($B247*KarliyukDamgaOrani,0)</f>
        <v/>
      </c>
      <c r="G247" s="112">
        <f>$B247-$C247-$D247-$E247-$F247</f>
        <v/>
      </c>
      <c r="H247" s="112">
        <f>ROUND($B247*KarliyukSgkIsverenOrani,0)</f>
        <v/>
      </c>
      <c r="I247" s="112">
        <f>ROUND($B247*KarliyukIssizlikIsverenOrani,0)</f>
        <v/>
      </c>
      <c r="J247" s="112">
        <f>$B247+$H247+$I247</f>
        <v/>
      </c>
      <c r="K247" s="114" t="n"/>
    </row>
    <row r="248" ht="15" customHeight="1" s="68">
      <c r="A248" s="114" t="n"/>
      <c r="B248" s="114" t="n"/>
      <c r="C248" s="112">
        <f>ROUND($B248*KarliyukSgkIsciOrani,0)</f>
        <v/>
      </c>
      <c r="D248" s="112">
        <f>ROUND($B248*KarliyukIssizlikIsciOrani,0)</f>
        <v/>
      </c>
      <c r="E248" s="112">
        <f>ROUND($B248*KarliyukStopajOrani,0)</f>
        <v/>
      </c>
      <c r="F248" s="112">
        <f>ROUND($B248*KarliyukDamgaOrani,0)</f>
        <v/>
      </c>
      <c r="G248" s="112">
        <f>$B248-$C248-$D248-$E248-$F248</f>
        <v/>
      </c>
      <c r="H248" s="112">
        <f>ROUND($B248*KarliyukSgkIsverenOrani,0)</f>
        <v/>
      </c>
      <c r="I248" s="112">
        <f>ROUND($B248*KarliyukIssizlikIsverenOrani,0)</f>
        <v/>
      </c>
      <c r="J248" s="112">
        <f>$B248+$H248+$I248</f>
        <v/>
      </c>
      <c r="K248" s="114" t="n"/>
    </row>
    <row r="249" ht="15" customHeight="1" s="68">
      <c r="A249" s="114" t="n"/>
      <c r="B249" s="114" t="n"/>
      <c r="C249" s="112">
        <f>ROUND($B249*KarliyukSgkIsciOrani,0)</f>
        <v/>
      </c>
      <c r="D249" s="112">
        <f>ROUND($B249*KarliyukIssizlikIsciOrani,0)</f>
        <v/>
      </c>
      <c r="E249" s="112">
        <f>ROUND($B249*KarliyukStopajOrani,0)</f>
        <v/>
      </c>
      <c r="F249" s="112">
        <f>ROUND($B249*KarliyukDamgaOrani,0)</f>
        <v/>
      </c>
      <c r="G249" s="112">
        <f>$B249-$C249-$D249-$E249-$F249</f>
        <v/>
      </c>
      <c r="H249" s="112">
        <f>ROUND($B249*KarliyukSgkIsverenOrani,0)</f>
        <v/>
      </c>
      <c r="I249" s="112">
        <f>ROUND($B249*KarliyukIssizlikIsverenOrani,0)</f>
        <v/>
      </c>
      <c r="J249" s="112">
        <f>$B249+$H249+$I249</f>
        <v/>
      </c>
      <c r="K249" s="114" t="n"/>
    </row>
    <row r="250" ht="15" customHeight="1" s="68">
      <c r="A250" s="114" t="n"/>
      <c r="B250" s="114" t="n"/>
      <c r="C250" s="112">
        <f>ROUND($B250*KarliyukSgkIsciOrani,0)</f>
        <v/>
      </c>
      <c r="D250" s="112">
        <f>ROUND($B250*KarliyukIssizlikIsciOrani,0)</f>
        <v/>
      </c>
      <c r="E250" s="112">
        <f>ROUND($B250*KarliyukStopajOrani,0)</f>
        <v/>
      </c>
      <c r="F250" s="112">
        <f>ROUND($B250*KarliyukDamgaOrani,0)</f>
        <v/>
      </c>
      <c r="G250" s="112">
        <f>$B250-$C250-$D250-$E250-$F250</f>
        <v/>
      </c>
      <c r="H250" s="112">
        <f>ROUND($B250*KarliyukSgkIsverenOrani,0)</f>
        <v/>
      </c>
      <c r="I250" s="112">
        <f>ROUND($B250*KarliyukIssizlikIsverenOrani,0)</f>
        <v/>
      </c>
      <c r="J250" s="112">
        <f>$B250+$H250+$I250</f>
        <v/>
      </c>
      <c r="K250" s="114" t="n"/>
    </row>
    <row r="251" ht="15" customHeight="1" s="68">
      <c r="A251" s="114" t="n"/>
      <c r="B251" s="114" t="n"/>
      <c r="C251" s="112">
        <f>ROUND($B251*KarliyukSgkIsciOrani,0)</f>
        <v/>
      </c>
      <c r="D251" s="112">
        <f>ROUND($B251*KarliyukIssizlikIsciOrani,0)</f>
        <v/>
      </c>
      <c r="E251" s="112">
        <f>ROUND($B251*KarliyukStopajOrani,0)</f>
        <v/>
      </c>
      <c r="F251" s="112">
        <f>ROUND($B251*KarliyukDamgaOrani,0)</f>
        <v/>
      </c>
      <c r="G251" s="112">
        <f>$B251-$C251-$D251-$E251-$F251</f>
        <v/>
      </c>
      <c r="H251" s="112">
        <f>ROUND($B251*KarliyukSgkIsverenOrani,0)</f>
        <v/>
      </c>
      <c r="I251" s="112">
        <f>ROUND($B251*KarliyukIssizlikIsverenOrani,0)</f>
        <v/>
      </c>
      <c r="J251" s="112">
        <f>$B251+$H251+$I251</f>
        <v/>
      </c>
      <c r="K251" s="114" t="n"/>
    </row>
    <row r="252" ht="15" customHeight="1" s="68">
      <c r="A252" s="114" t="n"/>
      <c r="B252" s="114" t="n"/>
      <c r="C252" s="112">
        <f>ROUND($B252*KarliyukSgkIsciOrani,0)</f>
        <v/>
      </c>
      <c r="D252" s="112">
        <f>ROUND($B252*KarliyukIssizlikIsciOrani,0)</f>
        <v/>
      </c>
      <c r="E252" s="112">
        <f>ROUND($B252*KarliyukStopajOrani,0)</f>
        <v/>
      </c>
      <c r="F252" s="112">
        <f>ROUND($B252*KarliyukDamgaOrani,0)</f>
        <v/>
      </c>
      <c r="G252" s="112">
        <f>$B252-$C252-$D252-$E252-$F252</f>
        <v/>
      </c>
      <c r="H252" s="112">
        <f>ROUND($B252*KarliyukSgkIsverenOrani,0)</f>
        <v/>
      </c>
      <c r="I252" s="112">
        <f>ROUND($B252*KarliyukIssizlikIsverenOrani,0)</f>
        <v/>
      </c>
      <c r="J252" s="112">
        <f>$B252+$H252+$I252</f>
        <v/>
      </c>
      <c r="K252" s="114" t="n"/>
    </row>
    <row r="253" ht="15" customHeight="1" s="68">
      <c r="A253" s="114" t="n"/>
      <c r="B253" s="114" t="n"/>
      <c r="C253" s="112">
        <f>ROUND($B253*KarliyukSgkIsciOrani,0)</f>
        <v/>
      </c>
      <c r="D253" s="112">
        <f>ROUND($B253*KarliyukIssizlikIsciOrani,0)</f>
        <v/>
      </c>
      <c r="E253" s="112">
        <f>ROUND($B253*KarliyukStopajOrani,0)</f>
        <v/>
      </c>
      <c r="F253" s="112">
        <f>ROUND($B253*KarliyukDamgaOrani,0)</f>
        <v/>
      </c>
      <c r="G253" s="112">
        <f>$B253-$C253-$D253-$E253-$F253</f>
        <v/>
      </c>
      <c r="H253" s="112">
        <f>ROUND($B253*KarliyukSgkIsverenOrani,0)</f>
        <v/>
      </c>
      <c r="I253" s="112">
        <f>ROUND($B253*KarliyukIssizlikIsverenOrani,0)</f>
        <v/>
      </c>
      <c r="J253" s="112">
        <f>$B253+$H253+$I253</f>
        <v/>
      </c>
      <c r="K253" s="114" t="n"/>
    </row>
    <row r="254" ht="15" customHeight="1" s="68">
      <c r="A254" s="114" t="n"/>
      <c r="B254" s="114" t="n"/>
      <c r="C254" s="112">
        <f>ROUND($B254*KarliyukSgkIsciOrani,0)</f>
        <v/>
      </c>
      <c r="D254" s="112">
        <f>ROUND($B254*KarliyukIssizlikIsciOrani,0)</f>
        <v/>
      </c>
      <c r="E254" s="112">
        <f>ROUND($B254*KarliyukStopajOrani,0)</f>
        <v/>
      </c>
      <c r="F254" s="112">
        <f>ROUND($B254*KarliyukDamgaOrani,0)</f>
        <v/>
      </c>
      <c r="G254" s="112">
        <f>$B254-$C254-$D254-$E254-$F254</f>
        <v/>
      </c>
      <c r="H254" s="112">
        <f>ROUND($B254*KarliyukSgkIsverenOrani,0)</f>
        <v/>
      </c>
      <c r="I254" s="112">
        <f>ROUND($B254*KarliyukIssizlikIsverenOrani,0)</f>
        <v/>
      </c>
      <c r="J254" s="112">
        <f>$B254+$H254+$I254</f>
        <v/>
      </c>
      <c r="K254" s="114" t="n"/>
    </row>
    <row r="255" ht="15" customHeight="1" s="68">
      <c r="A255" s="114" t="n"/>
      <c r="B255" s="114" t="n"/>
      <c r="C255" s="112">
        <f>ROUND($B255*KarliyukSgkIsciOrani,0)</f>
        <v/>
      </c>
      <c r="D255" s="112">
        <f>ROUND($B255*KarliyukIssizlikIsciOrani,0)</f>
        <v/>
      </c>
      <c r="E255" s="112">
        <f>ROUND($B255*KarliyukStopajOrani,0)</f>
        <v/>
      </c>
      <c r="F255" s="112">
        <f>ROUND($B255*KarliyukDamgaOrani,0)</f>
        <v/>
      </c>
      <c r="G255" s="112">
        <f>$B255-$C255-$D255-$E255-$F255</f>
        <v/>
      </c>
      <c r="H255" s="112">
        <f>ROUND($B255*KarliyukSgkIsverenOrani,0)</f>
        <v/>
      </c>
      <c r="I255" s="112">
        <f>ROUND($B255*KarliyukIssizlikIsverenOrani,0)</f>
        <v/>
      </c>
      <c r="J255" s="112">
        <f>$B255+$H255+$I255</f>
        <v/>
      </c>
      <c r="K255" s="114" t="n"/>
    </row>
    <row r="256" ht="15" customHeight="1" s="68">
      <c r="A256" s="114" t="n"/>
      <c r="B256" s="114" t="n"/>
      <c r="C256" s="112">
        <f>ROUND($B256*KarliyukSgkIsciOrani,0)</f>
        <v/>
      </c>
      <c r="D256" s="112">
        <f>ROUND($B256*KarliyukIssizlikIsciOrani,0)</f>
        <v/>
      </c>
      <c r="E256" s="112">
        <f>ROUND($B256*KarliyukStopajOrani,0)</f>
        <v/>
      </c>
      <c r="F256" s="112">
        <f>ROUND($B256*KarliyukDamgaOrani,0)</f>
        <v/>
      </c>
      <c r="G256" s="112">
        <f>$B256-$C256-$D256-$E256-$F256</f>
        <v/>
      </c>
      <c r="H256" s="112">
        <f>ROUND($B256*KarliyukSgkIsverenOrani,0)</f>
        <v/>
      </c>
      <c r="I256" s="112">
        <f>ROUND($B256*KarliyukIssizlikIsverenOrani,0)</f>
        <v/>
      </c>
      <c r="J256" s="112">
        <f>$B256+$H256+$I256</f>
        <v/>
      </c>
      <c r="K256" s="114" t="n"/>
    </row>
    <row r="257" ht="15" customHeight="1" s="68">
      <c r="A257" s="114" t="n"/>
      <c r="B257" s="114" t="n"/>
      <c r="C257" s="112">
        <f>ROUND($B257*KarliyukSgkIsciOrani,0)</f>
        <v/>
      </c>
      <c r="D257" s="112">
        <f>ROUND($B257*KarliyukIssizlikIsciOrani,0)</f>
        <v/>
      </c>
      <c r="E257" s="112">
        <f>ROUND($B257*KarliyukStopajOrani,0)</f>
        <v/>
      </c>
      <c r="F257" s="112">
        <f>ROUND($B257*KarliyukDamgaOrani,0)</f>
        <v/>
      </c>
      <c r="G257" s="112">
        <f>$B257-$C257-$D257-$E257-$F257</f>
        <v/>
      </c>
      <c r="H257" s="112">
        <f>ROUND($B257*KarliyukSgkIsverenOrani,0)</f>
        <v/>
      </c>
      <c r="I257" s="112">
        <f>ROUND($B257*KarliyukIssizlikIsverenOrani,0)</f>
        <v/>
      </c>
      <c r="J257" s="112">
        <f>$B257+$H257+$I257</f>
        <v/>
      </c>
      <c r="K257" s="114" t="n"/>
    </row>
    <row r="258" ht="15" customHeight="1" s="68">
      <c r="A258" s="114" t="n"/>
      <c r="B258" s="114" t="n"/>
      <c r="C258" s="112">
        <f>ROUND($B258*KarliyukSgkIsciOrani,0)</f>
        <v/>
      </c>
      <c r="D258" s="112">
        <f>ROUND($B258*KarliyukIssizlikIsciOrani,0)</f>
        <v/>
      </c>
      <c r="E258" s="112">
        <f>ROUND($B258*KarliyukStopajOrani,0)</f>
        <v/>
      </c>
      <c r="F258" s="112">
        <f>ROUND($B258*KarliyukDamgaOrani,0)</f>
        <v/>
      </c>
      <c r="G258" s="112">
        <f>$B258-$C258-$D258-$E258-$F258</f>
        <v/>
      </c>
      <c r="H258" s="112">
        <f>ROUND($B258*KarliyukSgkIsverenOrani,0)</f>
        <v/>
      </c>
      <c r="I258" s="112">
        <f>ROUND($B258*KarliyukIssizlikIsverenOrani,0)</f>
        <v/>
      </c>
      <c r="J258" s="112">
        <f>$B258+$H258+$I258</f>
        <v/>
      </c>
      <c r="K258" s="114" t="n"/>
    </row>
    <row r="259" ht="15" customHeight="1" s="68">
      <c r="A259" s="114" t="n"/>
      <c r="B259" s="114" t="n"/>
      <c r="C259" s="112">
        <f>ROUND($B259*KarliyukSgkIsciOrani,0)</f>
        <v/>
      </c>
      <c r="D259" s="112">
        <f>ROUND($B259*KarliyukIssizlikIsciOrani,0)</f>
        <v/>
      </c>
      <c r="E259" s="112">
        <f>ROUND($B259*KarliyukStopajOrani,0)</f>
        <v/>
      </c>
      <c r="F259" s="112">
        <f>ROUND($B259*KarliyukDamgaOrani,0)</f>
        <v/>
      </c>
      <c r="G259" s="112">
        <f>$B259-$C259-$D259-$E259-$F259</f>
        <v/>
      </c>
      <c r="H259" s="112">
        <f>ROUND($B259*KarliyukSgkIsverenOrani,0)</f>
        <v/>
      </c>
      <c r="I259" s="112">
        <f>ROUND($B259*KarliyukIssizlikIsverenOrani,0)</f>
        <v/>
      </c>
      <c r="J259" s="112">
        <f>$B259+$H259+$I259</f>
        <v/>
      </c>
      <c r="K259" s="114" t="n"/>
    </row>
    <row r="260" ht="15" customHeight="1" s="68">
      <c r="A260" s="114" t="n"/>
      <c r="B260" s="114" t="n"/>
      <c r="C260" s="112">
        <f>ROUND($B260*KarliyukSgkIsciOrani,0)</f>
        <v/>
      </c>
      <c r="D260" s="112">
        <f>ROUND($B260*KarliyukIssizlikIsciOrani,0)</f>
        <v/>
      </c>
      <c r="E260" s="112">
        <f>ROUND($B260*KarliyukStopajOrani,0)</f>
        <v/>
      </c>
      <c r="F260" s="112">
        <f>ROUND($B260*KarliyukDamgaOrani,0)</f>
        <v/>
      </c>
      <c r="G260" s="112">
        <f>$B260-$C260-$D260-$E260-$F260</f>
        <v/>
      </c>
      <c r="H260" s="112">
        <f>ROUND($B260*KarliyukSgkIsverenOrani,0)</f>
        <v/>
      </c>
      <c r="I260" s="112">
        <f>ROUND($B260*KarliyukIssizlikIsverenOrani,0)</f>
        <v/>
      </c>
      <c r="J260" s="112">
        <f>$B260+$H260+$I260</f>
        <v/>
      </c>
      <c r="K260" s="114" t="n"/>
    </row>
    <row r="261" ht="15" customHeight="1" s="68">
      <c r="A261" s="114" t="n"/>
      <c r="B261" s="114" t="n"/>
      <c r="C261" s="112">
        <f>ROUND($B261*KarliyukSgkIsciOrani,0)</f>
        <v/>
      </c>
      <c r="D261" s="112">
        <f>ROUND($B261*KarliyukIssizlikIsciOrani,0)</f>
        <v/>
      </c>
      <c r="E261" s="112">
        <f>ROUND($B261*KarliyukStopajOrani,0)</f>
        <v/>
      </c>
      <c r="F261" s="112">
        <f>ROUND($B261*KarliyukDamgaOrani,0)</f>
        <v/>
      </c>
      <c r="G261" s="112">
        <f>$B261-$C261-$D261-$E261-$F261</f>
        <v/>
      </c>
      <c r="H261" s="112">
        <f>ROUND($B261*KarliyukSgkIsverenOrani,0)</f>
        <v/>
      </c>
      <c r="I261" s="112">
        <f>ROUND($B261*KarliyukIssizlikIsverenOrani,0)</f>
        <v/>
      </c>
      <c r="J261" s="112">
        <f>$B261+$H261+$I261</f>
        <v/>
      </c>
      <c r="K261" s="114" t="n"/>
    </row>
    <row r="262" ht="15" customHeight="1" s="68">
      <c r="A262" s="114" t="n"/>
      <c r="B262" s="114" t="n"/>
      <c r="C262" s="112">
        <f>ROUND($B262*KarliyukSgkIsciOrani,0)</f>
        <v/>
      </c>
      <c r="D262" s="112">
        <f>ROUND($B262*KarliyukIssizlikIsciOrani,0)</f>
        <v/>
      </c>
      <c r="E262" s="112">
        <f>ROUND($B262*KarliyukStopajOrani,0)</f>
        <v/>
      </c>
      <c r="F262" s="112">
        <f>ROUND($B262*KarliyukDamgaOrani,0)</f>
        <v/>
      </c>
      <c r="G262" s="112">
        <f>$B262-$C262-$D262-$E262-$F262</f>
        <v/>
      </c>
      <c r="H262" s="112">
        <f>ROUND($B262*KarliyukSgkIsverenOrani,0)</f>
        <v/>
      </c>
      <c r="I262" s="112">
        <f>ROUND($B262*KarliyukIssizlikIsverenOrani,0)</f>
        <v/>
      </c>
      <c r="J262" s="112">
        <f>$B262+$H262+$I262</f>
        <v/>
      </c>
      <c r="K262" s="114" t="n"/>
    </row>
    <row r="263" ht="15" customHeight="1" s="68">
      <c r="A263" s="114" t="n"/>
      <c r="B263" s="114" t="n"/>
      <c r="C263" s="112">
        <f>ROUND($B263*KarliyukSgkIsciOrani,0)</f>
        <v/>
      </c>
      <c r="D263" s="112">
        <f>ROUND($B263*KarliyukIssizlikIsciOrani,0)</f>
        <v/>
      </c>
      <c r="E263" s="112">
        <f>ROUND($B263*KarliyukStopajOrani,0)</f>
        <v/>
      </c>
      <c r="F263" s="112">
        <f>ROUND($B263*KarliyukDamgaOrani,0)</f>
        <v/>
      </c>
      <c r="G263" s="112">
        <f>$B263-$C263-$D263-$E263-$F263</f>
        <v/>
      </c>
      <c r="H263" s="112">
        <f>ROUND($B263*KarliyukSgkIsverenOrani,0)</f>
        <v/>
      </c>
      <c r="I263" s="112">
        <f>ROUND($B263*KarliyukIssizlikIsverenOrani,0)</f>
        <v/>
      </c>
      <c r="J263" s="112">
        <f>$B263+$H263+$I263</f>
        <v/>
      </c>
      <c r="K263" s="114" t="n"/>
    </row>
    <row r="264" ht="15" customHeight="1" s="68">
      <c r="A264" s="114" t="n"/>
      <c r="B264" s="114" t="n"/>
      <c r="C264" s="112">
        <f>ROUND($B264*KarliyukSgkIsciOrani,0)</f>
        <v/>
      </c>
      <c r="D264" s="112">
        <f>ROUND($B264*KarliyukIssizlikIsciOrani,0)</f>
        <v/>
      </c>
      <c r="E264" s="112">
        <f>ROUND($B264*KarliyukStopajOrani,0)</f>
        <v/>
      </c>
      <c r="F264" s="112">
        <f>ROUND($B264*KarliyukDamgaOrani,0)</f>
        <v/>
      </c>
      <c r="G264" s="112">
        <f>$B264-$C264-$D264-$E264-$F264</f>
        <v/>
      </c>
      <c r="H264" s="112">
        <f>ROUND($B264*KarliyukSgkIsverenOrani,0)</f>
        <v/>
      </c>
      <c r="I264" s="112">
        <f>ROUND($B264*KarliyukIssizlikIsverenOrani,0)</f>
        <v/>
      </c>
      <c r="J264" s="112">
        <f>$B264+$H264+$I264</f>
        <v/>
      </c>
      <c r="K264" s="114" t="n"/>
    </row>
    <row r="265" ht="15" customHeight="1" s="68">
      <c r="A265" s="114" t="n"/>
      <c r="B265" s="114" t="n"/>
      <c r="C265" s="112">
        <f>ROUND($B265*KarliyukSgkIsciOrani,0)</f>
        <v/>
      </c>
      <c r="D265" s="112">
        <f>ROUND($B265*KarliyukIssizlikIsciOrani,0)</f>
        <v/>
      </c>
      <c r="E265" s="112">
        <f>ROUND($B265*KarliyukStopajOrani,0)</f>
        <v/>
      </c>
      <c r="F265" s="112">
        <f>ROUND($B265*KarliyukDamgaOrani,0)</f>
        <v/>
      </c>
      <c r="G265" s="112">
        <f>$B265-$C265-$D265-$E265-$F265</f>
        <v/>
      </c>
      <c r="H265" s="112">
        <f>ROUND($B265*KarliyukSgkIsverenOrani,0)</f>
        <v/>
      </c>
      <c r="I265" s="112">
        <f>ROUND($B265*KarliyukIssizlikIsverenOrani,0)</f>
        <v/>
      </c>
      <c r="J265" s="112">
        <f>$B265+$H265+$I265</f>
        <v/>
      </c>
      <c r="K265" s="114" t="n"/>
    </row>
    <row r="266" ht="15" customHeight="1" s="68">
      <c r="A266" s="114" t="n"/>
      <c r="B266" s="114" t="n"/>
      <c r="C266" s="112">
        <f>ROUND($B266*KarliyukSgkIsciOrani,0)</f>
        <v/>
      </c>
      <c r="D266" s="112">
        <f>ROUND($B266*KarliyukIssizlikIsciOrani,0)</f>
        <v/>
      </c>
      <c r="E266" s="112">
        <f>ROUND($B266*KarliyukStopajOrani,0)</f>
        <v/>
      </c>
      <c r="F266" s="112">
        <f>ROUND($B266*KarliyukDamgaOrani,0)</f>
        <v/>
      </c>
      <c r="G266" s="112">
        <f>$B266-$C266-$D266-$E266-$F266</f>
        <v/>
      </c>
      <c r="H266" s="112">
        <f>ROUND($B266*KarliyukSgkIsverenOrani,0)</f>
        <v/>
      </c>
      <c r="I266" s="112">
        <f>ROUND($B266*KarliyukIssizlikIsverenOrani,0)</f>
        <v/>
      </c>
      <c r="J266" s="112">
        <f>$B266+$H266+$I266</f>
        <v/>
      </c>
      <c r="K266" s="114" t="n"/>
    </row>
    <row r="267" ht="15" customHeight="1" s="68">
      <c r="A267" s="114" t="n"/>
      <c r="B267" s="114" t="n"/>
      <c r="C267" s="112">
        <f>ROUND($B267*KarliyukSgkIsciOrani,0)</f>
        <v/>
      </c>
      <c r="D267" s="112">
        <f>ROUND($B267*KarliyukIssizlikIsciOrani,0)</f>
        <v/>
      </c>
      <c r="E267" s="112">
        <f>ROUND($B267*KarliyukStopajOrani,0)</f>
        <v/>
      </c>
      <c r="F267" s="112">
        <f>ROUND($B267*KarliyukDamgaOrani,0)</f>
        <v/>
      </c>
      <c r="G267" s="112">
        <f>$B267-$C267-$D267-$E267-$F267</f>
        <v/>
      </c>
      <c r="H267" s="112">
        <f>ROUND($B267*KarliyukSgkIsverenOrani,0)</f>
        <v/>
      </c>
      <c r="I267" s="112">
        <f>ROUND($B267*KarliyukIssizlikIsverenOrani,0)</f>
        <v/>
      </c>
      <c r="J267" s="112">
        <f>$B267+$H267+$I267</f>
        <v/>
      </c>
      <c r="K267" s="114" t="n"/>
    </row>
    <row r="268" ht="15" customHeight="1" s="68">
      <c r="A268" s="114" t="n"/>
      <c r="B268" s="114" t="n"/>
      <c r="C268" s="112">
        <f>ROUND($B268*KarliyukSgkIsciOrani,0)</f>
        <v/>
      </c>
      <c r="D268" s="112">
        <f>ROUND($B268*KarliyukIssizlikIsciOrani,0)</f>
        <v/>
      </c>
      <c r="E268" s="112">
        <f>ROUND($B268*KarliyukStopajOrani,0)</f>
        <v/>
      </c>
      <c r="F268" s="112">
        <f>ROUND($B268*KarliyukDamgaOrani,0)</f>
        <v/>
      </c>
      <c r="G268" s="112">
        <f>$B268-$C268-$D268-$E268-$F268</f>
        <v/>
      </c>
      <c r="H268" s="112">
        <f>ROUND($B268*KarliyukSgkIsverenOrani,0)</f>
        <v/>
      </c>
      <c r="I268" s="112">
        <f>ROUND($B268*KarliyukIssizlikIsverenOrani,0)</f>
        <v/>
      </c>
      <c r="J268" s="112">
        <f>$B268+$H268+$I268</f>
        <v/>
      </c>
      <c r="K268" s="114" t="n"/>
    </row>
    <row r="269" ht="15" customHeight="1" s="68">
      <c r="A269" s="114" t="n"/>
      <c r="B269" s="114" t="n"/>
      <c r="C269" s="112">
        <f>ROUND($B269*KarliyukSgkIsciOrani,0)</f>
        <v/>
      </c>
      <c r="D269" s="112">
        <f>ROUND($B269*KarliyukIssizlikIsciOrani,0)</f>
        <v/>
      </c>
      <c r="E269" s="112">
        <f>ROUND($B269*KarliyukStopajOrani,0)</f>
        <v/>
      </c>
      <c r="F269" s="112">
        <f>ROUND($B269*KarliyukDamgaOrani,0)</f>
        <v/>
      </c>
      <c r="G269" s="112">
        <f>$B269-$C269-$D269-$E269-$F269</f>
        <v/>
      </c>
      <c r="H269" s="112">
        <f>ROUND($B269*KarliyukSgkIsverenOrani,0)</f>
        <v/>
      </c>
      <c r="I269" s="112">
        <f>ROUND($B269*KarliyukIssizlikIsverenOrani,0)</f>
        <v/>
      </c>
      <c r="J269" s="112">
        <f>$B269+$H269+$I269</f>
        <v/>
      </c>
      <c r="K269" s="114" t="n"/>
    </row>
    <row r="270" ht="15" customHeight="1" s="68">
      <c r="A270" s="114" t="n"/>
      <c r="B270" s="114" t="n"/>
      <c r="C270" s="112">
        <f>ROUND($B270*KarliyukSgkIsciOrani,0)</f>
        <v/>
      </c>
      <c r="D270" s="112">
        <f>ROUND($B270*KarliyukIssizlikIsciOrani,0)</f>
        <v/>
      </c>
      <c r="E270" s="112">
        <f>ROUND($B270*KarliyukStopajOrani,0)</f>
        <v/>
      </c>
      <c r="F270" s="112">
        <f>ROUND($B270*KarliyukDamgaOrani,0)</f>
        <v/>
      </c>
      <c r="G270" s="112">
        <f>$B270-$C270-$D270-$E270-$F270</f>
        <v/>
      </c>
      <c r="H270" s="112">
        <f>ROUND($B270*KarliyukSgkIsverenOrani,0)</f>
        <v/>
      </c>
      <c r="I270" s="112">
        <f>ROUND($B270*KarliyukIssizlikIsverenOrani,0)</f>
        <v/>
      </c>
      <c r="J270" s="112">
        <f>$B270+$H270+$I270</f>
        <v/>
      </c>
      <c r="K270" s="114" t="n"/>
    </row>
    <row r="271" ht="15" customHeight="1" s="68">
      <c r="A271" s="114" t="n"/>
      <c r="B271" s="114" t="n"/>
      <c r="C271" s="112">
        <f>ROUND($B271*KarliyukSgkIsciOrani,0)</f>
        <v/>
      </c>
      <c r="D271" s="112">
        <f>ROUND($B271*KarliyukIssizlikIsciOrani,0)</f>
        <v/>
      </c>
      <c r="E271" s="112">
        <f>ROUND($B271*KarliyukStopajOrani,0)</f>
        <v/>
      </c>
      <c r="F271" s="112">
        <f>ROUND($B271*KarliyukDamgaOrani,0)</f>
        <v/>
      </c>
      <c r="G271" s="112">
        <f>$B271-$C271-$D271-$E271-$F271</f>
        <v/>
      </c>
      <c r="H271" s="112">
        <f>ROUND($B271*KarliyukSgkIsverenOrani,0)</f>
        <v/>
      </c>
      <c r="I271" s="112">
        <f>ROUND($B271*KarliyukIssizlikIsverenOrani,0)</f>
        <v/>
      </c>
      <c r="J271" s="112">
        <f>$B271+$H271+$I271</f>
        <v/>
      </c>
      <c r="K271" s="114" t="n"/>
    </row>
    <row r="272" ht="15" customHeight="1" s="68">
      <c r="A272" s="114" t="n"/>
      <c r="B272" s="114" t="n"/>
      <c r="C272" s="112">
        <f>ROUND($B272*KarliyukSgkIsciOrani,0)</f>
        <v/>
      </c>
      <c r="D272" s="112">
        <f>ROUND($B272*KarliyukIssizlikIsciOrani,0)</f>
        <v/>
      </c>
      <c r="E272" s="112">
        <f>ROUND($B272*KarliyukStopajOrani,0)</f>
        <v/>
      </c>
      <c r="F272" s="112">
        <f>ROUND($B272*KarliyukDamgaOrani,0)</f>
        <v/>
      </c>
      <c r="G272" s="112">
        <f>$B272-$C272-$D272-$E272-$F272</f>
        <v/>
      </c>
      <c r="H272" s="112">
        <f>ROUND($B272*KarliyukSgkIsverenOrani,0)</f>
        <v/>
      </c>
      <c r="I272" s="112">
        <f>ROUND($B272*KarliyukIssizlikIsverenOrani,0)</f>
        <v/>
      </c>
      <c r="J272" s="112">
        <f>$B272+$H272+$I272</f>
        <v/>
      </c>
      <c r="K272" s="114" t="n"/>
    </row>
    <row r="273" ht="15" customHeight="1" s="68">
      <c r="A273" s="114" t="n"/>
      <c r="B273" s="114" t="n"/>
      <c r="C273" s="112">
        <f>ROUND($B273*KarliyukSgkIsciOrani,0)</f>
        <v/>
      </c>
      <c r="D273" s="112">
        <f>ROUND($B273*KarliyukIssizlikIsciOrani,0)</f>
        <v/>
      </c>
      <c r="E273" s="112">
        <f>ROUND($B273*KarliyukStopajOrani,0)</f>
        <v/>
      </c>
      <c r="F273" s="112">
        <f>ROUND($B273*KarliyukDamgaOrani,0)</f>
        <v/>
      </c>
      <c r="G273" s="112">
        <f>$B273-$C273-$D273-$E273-$F273</f>
        <v/>
      </c>
      <c r="H273" s="112">
        <f>ROUND($B273*KarliyukSgkIsverenOrani,0)</f>
        <v/>
      </c>
      <c r="I273" s="112">
        <f>ROUND($B273*KarliyukIssizlikIsverenOrani,0)</f>
        <v/>
      </c>
      <c r="J273" s="112">
        <f>$B273+$H273+$I273</f>
        <v/>
      </c>
      <c r="K273" s="114" t="n"/>
    </row>
    <row r="274" ht="15" customHeight="1" s="68">
      <c r="A274" s="114" t="n"/>
      <c r="B274" s="114" t="n"/>
      <c r="C274" s="112">
        <f>ROUND($B274*KarliyukSgkIsciOrani,0)</f>
        <v/>
      </c>
      <c r="D274" s="112">
        <f>ROUND($B274*KarliyukIssizlikIsciOrani,0)</f>
        <v/>
      </c>
      <c r="E274" s="112">
        <f>ROUND($B274*KarliyukStopajOrani,0)</f>
        <v/>
      </c>
      <c r="F274" s="112">
        <f>ROUND($B274*KarliyukDamgaOrani,0)</f>
        <v/>
      </c>
      <c r="G274" s="112">
        <f>$B274-$C274-$D274-$E274-$F274</f>
        <v/>
      </c>
      <c r="H274" s="112">
        <f>ROUND($B274*KarliyukSgkIsverenOrani,0)</f>
        <v/>
      </c>
      <c r="I274" s="112">
        <f>ROUND($B274*KarliyukIssizlikIsverenOrani,0)</f>
        <v/>
      </c>
      <c r="J274" s="112">
        <f>$B274+$H274+$I274</f>
        <v/>
      </c>
      <c r="K274" s="114" t="n"/>
    </row>
    <row r="275" ht="15" customHeight="1" s="68">
      <c r="A275" s="114" t="n"/>
      <c r="B275" s="114" t="n"/>
      <c r="C275" s="112">
        <f>ROUND($B275*KarliyukSgkIsciOrani,0)</f>
        <v/>
      </c>
      <c r="D275" s="112">
        <f>ROUND($B275*KarliyukIssizlikIsciOrani,0)</f>
        <v/>
      </c>
      <c r="E275" s="112">
        <f>ROUND($B275*KarliyukStopajOrani,0)</f>
        <v/>
      </c>
      <c r="F275" s="112">
        <f>ROUND($B275*KarliyukDamgaOrani,0)</f>
        <v/>
      </c>
      <c r="G275" s="112">
        <f>$B275-$C275-$D275-$E275-$F275</f>
        <v/>
      </c>
      <c r="H275" s="112">
        <f>ROUND($B275*KarliyukSgkIsverenOrani,0)</f>
        <v/>
      </c>
      <c r="I275" s="112">
        <f>ROUND($B275*KarliyukIssizlikIsverenOrani,0)</f>
        <v/>
      </c>
      <c r="J275" s="112">
        <f>$B275+$H275+$I275</f>
        <v/>
      </c>
      <c r="K275" s="114" t="n"/>
    </row>
    <row r="276" ht="15" customHeight="1" s="68">
      <c r="A276" s="114" t="n"/>
      <c r="B276" s="114" t="n"/>
      <c r="C276" s="112">
        <f>ROUND($B276*KarliyukSgkIsciOrani,0)</f>
        <v/>
      </c>
      <c r="D276" s="112">
        <f>ROUND($B276*KarliyukIssizlikIsciOrani,0)</f>
        <v/>
      </c>
      <c r="E276" s="112">
        <f>ROUND($B276*KarliyukStopajOrani,0)</f>
        <v/>
      </c>
      <c r="F276" s="112">
        <f>ROUND($B276*KarliyukDamgaOrani,0)</f>
        <v/>
      </c>
      <c r="G276" s="112">
        <f>$B276-$C276-$D276-$E276-$F276</f>
        <v/>
      </c>
      <c r="H276" s="112">
        <f>ROUND($B276*KarliyukSgkIsverenOrani,0)</f>
        <v/>
      </c>
      <c r="I276" s="112">
        <f>ROUND($B276*KarliyukIssizlikIsverenOrani,0)</f>
        <v/>
      </c>
      <c r="J276" s="112">
        <f>$B276+$H276+$I276</f>
        <v/>
      </c>
      <c r="K276" s="114" t="n"/>
    </row>
    <row r="277" ht="15" customHeight="1" s="68">
      <c r="A277" s="114" t="n"/>
      <c r="B277" s="114" t="n"/>
      <c r="C277" s="112">
        <f>ROUND($B277*KarliyukSgkIsciOrani,0)</f>
        <v/>
      </c>
      <c r="D277" s="112">
        <f>ROUND($B277*KarliyukIssizlikIsciOrani,0)</f>
        <v/>
      </c>
      <c r="E277" s="112">
        <f>ROUND($B277*KarliyukStopajOrani,0)</f>
        <v/>
      </c>
      <c r="F277" s="112">
        <f>ROUND($B277*KarliyukDamgaOrani,0)</f>
        <v/>
      </c>
      <c r="G277" s="112">
        <f>$B277-$C277-$D277-$E277-$F277</f>
        <v/>
      </c>
      <c r="H277" s="112">
        <f>ROUND($B277*KarliyukSgkIsverenOrani,0)</f>
        <v/>
      </c>
      <c r="I277" s="112">
        <f>ROUND($B277*KarliyukIssizlikIsverenOrani,0)</f>
        <v/>
      </c>
      <c r="J277" s="112">
        <f>$B277+$H277+$I277</f>
        <v/>
      </c>
      <c r="K277" s="114" t="n"/>
    </row>
    <row r="278" ht="15" customHeight="1" s="68">
      <c r="A278" s="114" t="n"/>
      <c r="B278" s="114" t="n"/>
      <c r="C278" s="112">
        <f>ROUND($B278*KarliyukSgkIsciOrani,0)</f>
        <v/>
      </c>
      <c r="D278" s="112">
        <f>ROUND($B278*KarliyukIssizlikIsciOrani,0)</f>
        <v/>
      </c>
      <c r="E278" s="112">
        <f>ROUND($B278*KarliyukStopajOrani,0)</f>
        <v/>
      </c>
      <c r="F278" s="112">
        <f>ROUND($B278*KarliyukDamgaOrani,0)</f>
        <v/>
      </c>
      <c r="G278" s="112">
        <f>$B278-$C278-$D278-$E278-$F278</f>
        <v/>
      </c>
      <c r="H278" s="112">
        <f>ROUND($B278*KarliyukSgkIsverenOrani,0)</f>
        <v/>
      </c>
      <c r="I278" s="112">
        <f>ROUND($B278*KarliyukIssizlikIsverenOrani,0)</f>
        <v/>
      </c>
      <c r="J278" s="112">
        <f>$B278+$H278+$I278</f>
        <v/>
      </c>
      <c r="K278" s="114" t="n"/>
    </row>
    <row r="279" ht="15" customHeight="1" s="68">
      <c r="A279" s="114" t="n"/>
      <c r="B279" s="114" t="n"/>
      <c r="C279" s="112">
        <f>ROUND($B279*KarliyukSgkIsciOrani,0)</f>
        <v/>
      </c>
      <c r="D279" s="112">
        <f>ROUND($B279*KarliyukIssizlikIsciOrani,0)</f>
        <v/>
      </c>
      <c r="E279" s="112">
        <f>ROUND($B279*KarliyukStopajOrani,0)</f>
        <v/>
      </c>
      <c r="F279" s="112">
        <f>ROUND($B279*KarliyukDamgaOrani,0)</f>
        <v/>
      </c>
      <c r="G279" s="112">
        <f>$B279-$C279-$D279-$E279-$F279</f>
        <v/>
      </c>
      <c r="H279" s="112">
        <f>ROUND($B279*KarliyukSgkIsverenOrani,0)</f>
        <v/>
      </c>
      <c r="I279" s="112">
        <f>ROUND($B279*KarliyukIssizlikIsverenOrani,0)</f>
        <v/>
      </c>
      <c r="J279" s="112">
        <f>$B279+$H279+$I279</f>
        <v/>
      </c>
      <c r="K279" s="114" t="n"/>
    </row>
    <row r="280" ht="15" customHeight="1" s="68">
      <c r="A280" s="114" t="n"/>
      <c r="B280" s="114" t="n"/>
      <c r="C280" s="112">
        <f>ROUND($B280*KarliyukSgkIsciOrani,0)</f>
        <v/>
      </c>
      <c r="D280" s="112">
        <f>ROUND($B280*KarliyukIssizlikIsciOrani,0)</f>
        <v/>
      </c>
      <c r="E280" s="112">
        <f>ROUND($B280*KarliyukStopajOrani,0)</f>
        <v/>
      </c>
      <c r="F280" s="112">
        <f>ROUND($B280*KarliyukDamgaOrani,0)</f>
        <v/>
      </c>
      <c r="G280" s="112">
        <f>$B280-$C280-$D280-$E280-$F280</f>
        <v/>
      </c>
      <c r="H280" s="112">
        <f>ROUND($B280*KarliyukSgkIsverenOrani,0)</f>
        <v/>
      </c>
      <c r="I280" s="112">
        <f>ROUND($B280*KarliyukIssizlikIsverenOrani,0)</f>
        <v/>
      </c>
      <c r="J280" s="112">
        <f>$B280+$H280+$I280</f>
        <v/>
      </c>
      <c r="K280" s="114" t="n"/>
    </row>
    <row r="281" ht="15" customHeight="1" s="68">
      <c r="A281" s="114" t="n"/>
      <c r="B281" s="114" t="n"/>
      <c r="C281" s="112">
        <f>ROUND($B281*KarliyukSgkIsciOrani,0)</f>
        <v/>
      </c>
      <c r="D281" s="112">
        <f>ROUND($B281*KarliyukIssizlikIsciOrani,0)</f>
        <v/>
      </c>
      <c r="E281" s="112">
        <f>ROUND($B281*KarliyukStopajOrani,0)</f>
        <v/>
      </c>
      <c r="F281" s="112">
        <f>ROUND($B281*KarliyukDamgaOrani,0)</f>
        <v/>
      </c>
      <c r="G281" s="112">
        <f>$B281-$C281-$D281-$E281-$F281</f>
        <v/>
      </c>
      <c r="H281" s="112">
        <f>ROUND($B281*KarliyukSgkIsverenOrani,0)</f>
        <v/>
      </c>
      <c r="I281" s="112">
        <f>ROUND($B281*KarliyukIssizlikIsverenOrani,0)</f>
        <v/>
      </c>
      <c r="J281" s="112">
        <f>$B281+$H281+$I281</f>
        <v/>
      </c>
      <c r="K281" s="114" t="n"/>
    </row>
    <row r="282" ht="15" customHeight="1" s="68">
      <c r="A282" s="114" t="n"/>
      <c r="B282" s="114" t="n"/>
      <c r="C282" s="112">
        <f>ROUND($B282*KarliyukSgkIsciOrani,0)</f>
        <v/>
      </c>
      <c r="D282" s="112">
        <f>ROUND($B282*KarliyukIssizlikIsciOrani,0)</f>
        <v/>
      </c>
      <c r="E282" s="112">
        <f>ROUND($B282*KarliyukStopajOrani,0)</f>
        <v/>
      </c>
      <c r="F282" s="112">
        <f>ROUND($B282*KarliyukDamgaOrani,0)</f>
        <v/>
      </c>
      <c r="G282" s="112">
        <f>$B282-$C282-$D282-$E282-$F282</f>
        <v/>
      </c>
      <c r="H282" s="112">
        <f>ROUND($B282*KarliyukSgkIsverenOrani,0)</f>
        <v/>
      </c>
      <c r="I282" s="112">
        <f>ROUND($B282*KarliyukIssizlikIsverenOrani,0)</f>
        <v/>
      </c>
      <c r="J282" s="112">
        <f>$B282+$H282+$I282</f>
        <v/>
      </c>
      <c r="K282" s="114" t="n"/>
    </row>
    <row r="283" ht="15" customHeight="1" s="68">
      <c r="A283" s="114" t="n"/>
      <c r="B283" s="114" t="n"/>
      <c r="C283" s="112">
        <f>ROUND($B283*KarliyukSgkIsciOrani,0)</f>
        <v/>
      </c>
      <c r="D283" s="112">
        <f>ROUND($B283*KarliyukIssizlikIsciOrani,0)</f>
        <v/>
      </c>
      <c r="E283" s="112">
        <f>ROUND($B283*KarliyukStopajOrani,0)</f>
        <v/>
      </c>
      <c r="F283" s="112">
        <f>ROUND($B283*KarliyukDamgaOrani,0)</f>
        <v/>
      </c>
      <c r="G283" s="112">
        <f>$B283-$C283-$D283-$E283-$F283</f>
        <v/>
      </c>
      <c r="H283" s="112">
        <f>ROUND($B283*KarliyukSgkIsverenOrani,0)</f>
        <v/>
      </c>
      <c r="I283" s="112">
        <f>ROUND($B283*KarliyukIssizlikIsverenOrani,0)</f>
        <v/>
      </c>
      <c r="J283" s="112">
        <f>$B283+$H283+$I283</f>
        <v/>
      </c>
      <c r="K283" s="114" t="n"/>
    </row>
    <row r="284" ht="15" customHeight="1" s="68">
      <c r="A284" s="114" t="n"/>
      <c r="B284" s="114" t="n"/>
      <c r="C284" s="112">
        <f>ROUND($B284*KarliyukSgkIsciOrani,0)</f>
        <v/>
      </c>
      <c r="D284" s="112">
        <f>ROUND($B284*KarliyukIssizlikIsciOrani,0)</f>
        <v/>
      </c>
      <c r="E284" s="112">
        <f>ROUND($B284*KarliyukStopajOrani,0)</f>
        <v/>
      </c>
      <c r="F284" s="112">
        <f>ROUND($B284*KarliyukDamgaOrani,0)</f>
        <v/>
      </c>
      <c r="G284" s="112">
        <f>$B284-$C284-$D284-$E284-$F284</f>
        <v/>
      </c>
      <c r="H284" s="112">
        <f>ROUND($B284*KarliyukSgkIsverenOrani,0)</f>
        <v/>
      </c>
      <c r="I284" s="112">
        <f>ROUND($B284*KarliyukIssizlikIsverenOrani,0)</f>
        <v/>
      </c>
      <c r="J284" s="112">
        <f>$B284+$H284+$I284</f>
        <v/>
      </c>
      <c r="K284" s="114" t="n"/>
    </row>
    <row r="285" ht="15" customHeight="1" s="68">
      <c r="A285" s="114" t="n"/>
      <c r="B285" s="114" t="n"/>
      <c r="C285" s="112">
        <f>ROUND($B285*KarliyukSgkIsciOrani,0)</f>
        <v/>
      </c>
      <c r="D285" s="112">
        <f>ROUND($B285*KarliyukIssizlikIsciOrani,0)</f>
        <v/>
      </c>
      <c r="E285" s="112">
        <f>ROUND($B285*KarliyukStopajOrani,0)</f>
        <v/>
      </c>
      <c r="F285" s="112">
        <f>ROUND($B285*KarliyukDamgaOrani,0)</f>
        <v/>
      </c>
      <c r="G285" s="112">
        <f>$B285-$C285-$D285-$E285-$F285</f>
        <v/>
      </c>
      <c r="H285" s="112">
        <f>ROUND($B285*KarliyukSgkIsverenOrani,0)</f>
        <v/>
      </c>
      <c r="I285" s="112">
        <f>ROUND($B285*KarliyukIssizlikIsverenOrani,0)</f>
        <v/>
      </c>
      <c r="J285" s="112">
        <f>$B285+$H285+$I285</f>
        <v/>
      </c>
      <c r="K285" s="114" t="n"/>
    </row>
    <row r="286" ht="15" customHeight="1" s="68">
      <c r="A286" s="114" t="n"/>
      <c r="B286" s="114" t="n"/>
      <c r="C286" s="112">
        <f>ROUND($B286*KarliyukSgkIsciOrani,0)</f>
        <v/>
      </c>
      <c r="D286" s="112">
        <f>ROUND($B286*KarliyukIssizlikIsciOrani,0)</f>
        <v/>
      </c>
      <c r="E286" s="112">
        <f>ROUND($B286*KarliyukStopajOrani,0)</f>
        <v/>
      </c>
      <c r="F286" s="112">
        <f>ROUND($B286*KarliyukDamgaOrani,0)</f>
        <v/>
      </c>
      <c r="G286" s="112">
        <f>$B286-$C286-$D286-$E286-$F286</f>
        <v/>
      </c>
      <c r="H286" s="112">
        <f>ROUND($B286*KarliyukSgkIsverenOrani,0)</f>
        <v/>
      </c>
      <c r="I286" s="112">
        <f>ROUND($B286*KarliyukIssizlikIsverenOrani,0)</f>
        <v/>
      </c>
      <c r="J286" s="112">
        <f>$B286+$H286+$I286</f>
        <v/>
      </c>
      <c r="K286" s="114" t="n"/>
    </row>
    <row r="287" ht="15" customHeight="1" s="68">
      <c r="A287" s="114" t="n"/>
      <c r="B287" s="114" t="n"/>
      <c r="C287" s="112">
        <f>ROUND($B287*KarliyukSgkIsciOrani,0)</f>
        <v/>
      </c>
      <c r="D287" s="112">
        <f>ROUND($B287*KarliyukIssizlikIsciOrani,0)</f>
        <v/>
      </c>
      <c r="E287" s="112">
        <f>ROUND($B287*KarliyukStopajOrani,0)</f>
        <v/>
      </c>
      <c r="F287" s="112">
        <f>ROUND($B287*KarliyukDamgaOrani,0)</f>
        <v/>
      </c>
      <c r="G287" s="112">
        <f>$B287-$C287-$D287-$E287-$F287</f>
        <v/>
      </c>
      <c r="H287" s="112">
        <f>ROUND($B287*KarliyukSgkIsverenOrani,0)</f>
        <v/>
      </c>
      <c r="I287" s="112">
        <f>ROUND($B287*KarliyukIssizlikIsverenOrani,0)</f>
        <v/>
      </c>
      <c r="J287" s="112">
        <f>$B287+$H287+$I287</f>
        <v/>
      </c>
      <c r="K287" s="114" t="n"/>
    </row>
    <row r="288" ht="15" customHeight="1" s="68">
      <c r="A288" s="114" t="n"/>
      <c r="B288" s="114" t="n"/>
      <c r="C288" s="112">
        <f>ROUND($B288*KarliyukSgkIsciOrani,0)</f>
        <v/>
      </c>
      <c r="D288" s="112">
        <f>ROUND($B288*KarliyukIssizlikIsciOrani,0)</f>
        <v/>
      </c>
      <c r="E288" s="112">
        <f>ROUND($B288*KarliyukStopajOrani,0)</f>
        <v/>
      </c>
      <c r="F288" s="112">
        <f>ROUND($B288*KarliyukDamgaOrani,0)</f>
        <v/>
      </c>
      <c r="G288" s="112">
        <f>$B288-$C288-$D288-$E288-$F288</f>
        <v/>
      </c>
      <c r="H288" s="112">
        <f>ROUND($B288*KarliyukSgkIsverenOrani,0)</f>
        <v/>
      </c>
      <c r="I288" s="112">
        <f>ROUND($B288*KarliyukIssizlikIsverenOrani,0)</f>
        <v/>
      </c>
      <c r="J288" s="112">
        <f>$B288+$H288+$I288</f>
        <v/>
      </c>
      <c r="K288" s="114" t="n"/>
    </row>
    <row r="289" ht="15" customHeight="1" s="68">
      <c r="A289" s="114" t="n"/>
      <c r="B289" s="114" t="n"/>
      <c r="C289" s="112">
        <f>ROUND($B289*KarliyukSgkIsciOrani,0)</f>
        <v/>
      </c>
      <c r="D289" s="112">
        <f>ROUND($B289*KarliyukIssizlikIsciOrani,0)</f>
        <v/>
      </c>
      <c r="E289" s="112">
        <f>ROUND($B289*KarliyukStopajOrani,0)</f>
        <v/>
      </c>
      <c r="F289" s="112">
        <f>ROUND($B289*KarliyukDamgaOrani,0)</f>
        <v/>
      </c>
      <c r="G289" s="112">
        <f>$B289-$C289-$D289-$E289-$F289</f>
        <v/>
      </c>
      <c r="H289" s="112">
        <f>ROUND($B289*KarliyukSgkIsverenOrani,0)</f>
        <v/>
      </c>
      <c r="I289" s="112">
        <f>ROUND($B289*KarliyukIssizlikIsverenOrani,0)</f>
        <v/>
      </c>
      <c r="J289" s="112">
        <f>$B289+$H289+$I289</f>
        <v/>
      </c>
      <c r="K289" s="114" t="n"/>
    </row>
    <row r="290" ht="15" customHeight="1" s="68">
      <c r="A290" s="114" t="n"/>
      <c r="B290" s="114" t="n"/>
      <c r="C290" s="112">
        <f>ROUND($B290*KarliyukSgkIsciOrani,0)</f>
        <v/>
      </c>
      <c r="D290" s="112">
        <f>ROUND($B290*KarliyukIssizlikIsciOrani,0)</f>
        <v/>
      </c>
      <c r="E290" s="112">
        <f>ROUND($B290*KarliyukStopajOrani,0)</f>
        <v/>
      </c>
      <c r="F290" s="112">
        <f>ROUND($B290*KarliyukDamgaOrani,0)</f>
        <v/>
      </c>
      <c r="G290" s="112">
        <f>$B290-$C290-$D290-$E290-$F290</f>
        <v/>
      </c>
      <c r="H290" s="112">
        <f>ROUND($B290*KarliyukSgkIsverenOrani,0)</f>
        <v/>
      </c>
      <c r="I290" s="112">
        <f>ROUND($B290*KarliyukIssizlikIsverenOrani,0)</f>
        <v/>
      </c>
      <c r="J290" s="112">
        <f>$B290+$H290+$I290</f>
        <v/>
      </c>
      <c r="K290" s="114" t="n"/>
    </row>
    <row r="291" ht="15" customHeight="1" s="68">
      <c r="A291" s="114" t="n"/>
      <c r="B291" s="114" t="n"/>
      <c r="C291" s="112">
        <f>ROUND($B291*KarliyukSgkIsciOrani,0)</f>
        <v/>
      </c>
      <c r="D291" s="112">
        <f>ROUND($B291*KarliyukIssizlikIsciOrani,0)</f>
        <v/>
      </c>
      <c r="E291" s="112">
        <f>ROUND($B291*KarliyukStopajOrani,0)</f>
        <v/>
      </c>
      <c r="F291" s="112">
        <f>ROUND($B291*KarliyukDamgaOrani,0)</f>
        <v/>
      </c>
      <c r="G291" s="112">
        <f>$B291-$C291-$D291-$E291-$F291</f>
        <v/>
      </c>
      <c r="H291" s="112">
        <f>ROUND($B291*KarliyukSgkIsverenOrani,0)</f>
        <v/>
      </c>
      <c r="I291" s="112">
        <f>ROUND($B291*KarliyukIssizlikIsverenOrani,0)</f>
        <v/>
      </c>
      <c r="J291" s="112">
        <f>$B291+$H291+$I291</f>
        <v/>
      </c>
      <c r="K291" s="114" t="n"/>
    </row>
    <row r="292" ht="15" customHeight="1" s="68">
      <c r="A292" s="114" t="n"/>
      <c r="B292" s="114" t="n"/>
      <c r="C292" s="112">
        <f>ROUND($B292*KarliyukSgkIsciOrani,0)</f>
        <v/>
      </c>
      <c r="D292" s="112">
        <f>ROUND($B292*KarliyukIssizlikIsciOrani,0)</f>
        <v/>
      </c>
      <c r="E292" s="112">
        <f>ROUND($B292*KarliyukStopajOrani,0)</f>
        <v/>
      </c>
      <c r="F292" s="112">
        <f>ROUND($B292*KarliyukDamgaOrani,0)</f>
        <v/>
      </c>
      <c r="G292" s="112">
        <f>$B292-$C292-$D292-$E292-$F292</f>
        <v/>
      </c>
      <c r="H292" s="112">
        <f>ROUND($B292*KarliyukSgkIsverenOrani,0)</f>
        <v/>
      </c>
      <c r="I292" s="112">
        <f>ROUND($B292*KarliyukIssizlikIsverenOrani,0)</f>
        <v/>
      </c>
      <c r="J292" s="112">
        <f>$B292+$H292+$I292</f>
        <v/>
      </c>
      <c r="K292" s="114" t="n"/>
    </row>
    <row r="293" ht="15" customHeight="1" s="68">
      <c r="A293" s="114" t="n"/>
      <c r="B293" s="114" t="n"/>
      <c r="C293" s="112">
        <f>ROUND($B293*KarliyukSgkIsciOrani,0)</f>
        <v/>
      </c>
      <c r="D293" s="112">
        <f>ROUND($B293*KarliyukIssizlikIsciOrani,0)</f>
        <v/>
      </c>
      <c r="E293" s="112">
        <f>ROUND($B293*KarliyukStopajOrani,0)</f>
        <v/>
      </c>
      <c r="F293" s="112">
        <f>ROUND($B293*KarliyukDamgaOrani,0)</f>
        <v/>
      </c>
      <c r="G293" s="112">
        <f>$B293-$C293-$D293-$E293-$F293</f>
        <v/>
      </c>
      <c r="H293" s="112">
        <f>ROUND($B293*KarliyukSgkIsverenOrani,0)</f>
        <v/>
      </c>
      <c r="I293" s="112">
        <f>ROUND($B293*KarliyukIssizlikIsverenOrani,0)</f>
        <v/>
      </c>
      <c r="J293" s="112">
        <f>$B293+$H293+$I293</f>
        <v/>
      </c>
      <c r="K293" s="114" t="n"/>
    </row>
    <row r="294" ht="15" customHeight="1" s="68">
      <c r="A294" s="114" t="n"/>
      <c r="B294" s="114" t="n"/>
      <c r="C294" s="112">
        <f>ROUND($B294*KarliyukSgkIsciOrani,0)</f>
        <v/>
      </c>
      <c r="D294" s="112">
        <f>ROUND($B294*KarliyukIssizlikIsciOrani,0)</f>
        <v/>
      </c>
      <c r="E294" s="112">
        <f>ROUND($B294*KarliyukStopajOrani,0)</f>
        <v/>
      </c>
      <c r="F294" s="112">
        <f>ROUND($B294*KarliyukDamgaOrani,0)</f>
        <v/>
      </c>
      <c r="G294" s="112">
        <f>$B294-$C294-$D294-$E294-$F294</f>
        <v/>
      </c>
      <c r="H294" s="112">
        <f>ROUND($B294*KarliyukSgkIsverenOrani,0)</f>
        <v/>
      </c>
      <c r="I294" s="112">
        <f>ROUND($B294*KarliyukIssizlikIsverenOrani,0)</f>
        <v/>
      </c>
      <c r="J294" s="112">
        <f>$B294+$H294+$I294</f>
        <v/>
      </c>
      <c r="K294" s="114" t="n"/>
    </row>
    <row r="295" ht="15" customHeight="1" s="68">
      <c r="A295" s="114" t="n"/>
      <c r="B295" s="114" t="n"/>
      <c r="C295" s="112">
        <f>ROUND($B295*KarliyukSgkIsciOrani,0)</f>
        <v/>
      </c>
      <c r="D295" s="112">
        <f>ROUND($B295*KarliyukIssizlikIsciOrani,0)</f>
        <v/>
      </c>
      <c r="E295" s="112">
        <f>ROUND($B295*KarliyukStopajOrani,0)</f>
        <v/>
      </c>
      <c r="F295" s="112">
        <f>ROUND($B295*KarliyukDamgaOrani,0)</f>
        <v/>
      </c>
      <c r="G295" s="112">
        <f>$B295-$C295-$D295-$E295-$F295</f>
        <v/>
      </c>
      <c r="H295" s="112">
        <f>ROUND($B295*KarliyukSgkIsverenOrani,0)</f>
        <v/>
      </c>
      <c r="I295" s="112">
        <f>ROUND($B295*KarliyukIssizlikIsverenOrani,0)</f>
        <v/>
      </c>
      <c r="J295" s="112">
        <f>$B295+$H295+$I295</f>
        <v/>
      </c>
      <c r="K295" s="114" t="n"/>
    </row>
    <row r="296" ht="15" customHeight="1" s="68">
      <c r="A296" s="114" t="n"/>
      <c r="B296" s="114" t="n"/>
      <c r="C296" s="112">
        <f>ROUND($B296*KarliyukSgkIsciOrani,0)</f>
        <v/>
      </c>
      <c r="D296" s="112">
        <f>ROUND($B296*KarliyukIssizlikIsciOrani,0)</f>
        <v/>
      </c>
      <c r="E296" s="112">
        <f>ROUND($B296*KarliyukStopajOrani,0)</f>
        <v/>
      </c>
      <c r="F296" s="112">
        <f>ROUND($B296*KarliyukDamgaOrani,0)</f>
        <v/>
      </c>
      <c r="G296" s="112">
        <f>$B296-$C296-$D296-$E296-$F296</f>
        <v/>
      </c>
      <c r="H296" s="112">
        <f>ROUND($B296*KarliyukSgkIsverenOrani,0)</f>
        <v/>
      </c>
      <c r="I296" s="112">
        <f>ROUND($B296*KarliyukIssizlikIsverenOrani,0)</f>
        <v/>
      </c>
      <c r="J296" s="112">
        <f>$B296+$H296+$I296</f>
        <v/>
      </c>
      <c r="K296" s="114" t="n"/>
    </row>
    <row r="297" ht="15" customHeight="1" s="68">
      <c r="A297" s="114" t="n"/>
      <c r="B297" s="114" t="n"/>
      <c r="C297" s="112">
        <f>ROUND($B297*KarliyukSgkIsciOrani,0)</f>
        <v/>
      </c>
      <c r="D297" s="112">
        <f>ROUND($B297*KarliyukIssizlikIsciOrani,0)</f>
        <v/>
      </c>
      <c r="E297" s="112">
        <f>ROUND($B297*KarliyukStopajOrani,0)</f>
        <v/>
      </c>
      <c r="F297" s="112">
        <f>ROUND($B297*KarliyukDamgaOrani,0)</f>
        <v/>
      </c>
      <c r="G297" s="112">
        <f>$B297-$C297-$D297-$E297-$F297</f>
        <v/>
      </c>
      <c r="H297" s="112">
        <f>ROUND($B297*KarliyukSgkIsverenOrani,0)</f>
        <v/>
      </c>
      <c r="I297" s="112">
        <f>ROUND($B297*KarliyukIssizlikIsverenOrani,0)</f>
        <v/>
      </c>
      <c r="J297" s="112">
        <f>$B297+$H297+$I297</f>
        <v/>
      </c>
      <c r="K297" s="114" t="n"/>
    </row>
    <row r="298" ht="15" customHeight="1" s="68">
      <c r="A298" s="114" t="n"/>
      <c r="B298" s="114" t="n"/>
      <c r="C298" s="112">
        <f>ROUND($B298*KarliyukSgkIsciOrani,0)</f>
        <v/>
      </c>
      <c r="D298" s="112">
        <f>ROUND($B298*KarliyukIssizlikIsciOrani,0)</f>
        <v/>
      </c>
      <c r="E298" s="112">
        <f>ROUND($B298*KarliyukStopajOrani,0)</f>
        <v/>
      </c>
      <c r="F298" s="112">
        <f>ROUND($B298*KarliyukDamgaOrani,0)</f>
        <v/>
      </c>
      <c r="G298" s="112">
        <f>$B298-$C298-$D298-$E298-$F298</f>
        <v/>
      </c>
      <c r="H298" s="112">
        <f>ROUND($B298*KarliyukSgkIsverenOrani,0)</f>
        <v/>
      </c>
      <c r="I298" s="112">
        <f>ROUND($B298*KarliyukIssizlikIsverenOrani,0)</f>
        <v/>
      </c>
      <c r="J298" s="112">
        <f>$B298+$H298+$I298</f>
        <v/>
      </c>
      <c r="K298" s="114" t="n"/>
    </row>
    <row r="299" ht="15" customHeight="1" s="68">
      <c r="A299" s="114" t="n"/>
      <c r="B299" s="114" t="n"/>
      <c r="C299" s="112">
        <f>ROUND($B299*KarliyukSgkIsciOrani,0)</f>
        <v/>
      </c>
      <c r="D299" s="112">
        <f>ROUND($B299*KarliyukIssizlikIsciOrani,0)</f>
        <v/>
      </c>
      <c r="E299" s="112">
        <f>ROUND($B299*KarliyukStopajOrani,0)</f>
        <v/>
      </c>
      <c r="F299" s="112">
        <f>ROUND($B299*KarliyukDamgaOrani,0)</f>
        <v/>
      </c>
      <c r="G299" s="112">
        <f>$B299-$C299-$D299-$E299-$F299</f>
        <v/>
      </c>
      <c r="H299" s="112">
        <f>ROUND($B299*KarliyukSgkIsverenOrani,0)</f>
        <v/>
      </c>
      <c r="I299" s="112">
        <f>ROUND($B299*KarliyukIssizlikIsverenOrani,0)</f>
        <v/>
      </c>
      <c r="J299" s="112">
        <f>$B299+$H299+$I299</f>
        <v/>
      </c>
      <c r="K299" s="114" t="n"/>
    </row>
    <row r="300" ht="15" customHeight="1" s="68">
      <c r="A300" s="114" t="n"/>
      <c r="B300" s="114" t="n"/>
      <c r="C300" s="112">
        <f>ROUND($B300*KarliyukSgkIsciOrani,0)</f>
        <v/>
      </c>
      <c r="D300" s="112">
        <f>ROUND($B300*KarliyukIssizlikIsciOrani,0)</f>
        <v/>
      </c>
      <c r="E300" s="112">
        <f>ROUND($B300*KarliyukStopajOrani,0)</f>
        <v/>
      </c>
      <c r="F300" s="112">
        <f>ROUND($B300*KarliyukDamgaOrani,0)</f>
        <v/>
      </c>
      <c r="G300" s="112">
        <f>$B300-$C300-$D300-$E300-$F300</f>
        <v/>
      </c>
      <c r="H300" s="112">
        <f>ROUND($B300*KarliyukSgkIsverenOrani,0)</f>
        <v/>
      </c>
      <c r="I300" s="112">
        <f>ROUND($B300*KarliyukIssizlikIsverenOrani,0)</f>
        <v/>
      </c>
      <c r="J300" s="112">
        <f>$B300+$H300+$I300</f>
        <v/>
      </c>
      <c r="K300" s="114" t="n"/>
    </row>
    <row r="301" ht="15" customHeight="1" s="68">
      <c r="A301" s="114" t="n"/>
      <c r="B301" s="114" t="n"/>
      <c r="C301" s="112">
        <f>ROUND($B301*KarliyukSgkIsciOrani,0)</f>
        <v/>
      </c>
      <c r="D301" s="112">
        <f>ROUND($B301*KarliyukIssizlikIsciOrani,0)</f>
        <v/>
      </c>
      <c r="E301" s="112">
        <f>ROUND($B301*KarliyukStopajOrani,0)</f>
        <v/>
      </c>
      <c r="F301" s="112">
        <f>ROUND($B301*KarliyukDamgaOrani,0)</f>
        <v/>
      </c>
      <c r="G301" s="112">
        <f>$B301-$C301-$D301-$E301-$F301</f>
        <v/>
      </c>
      <c r="H301" s="112">
        <f>ROUND($B301*KarliyukSgkIsverenOrani,0)</f>
        <v/>
      </c>
      <c r="I301" s="112">
        <f>ROUND($B301*KarliyukIssizlikIsverenOrani,0)</f>
        <v/>
      </c>
      <c r="J301" s="112">
        <f>$B301+$H301+$I301</f>
        <v/>
      </c>
      <c r="K301" s="114" t="n"/>
    </row>
    <row r="302" ht="15" customHeight="1" s="68">
      <c r="A302" s="114" t="n"/>
      <c r="B302" s="114" t="n"/>
      <c r="C302" s="112">
        <f>ROUND($B302*KarliyukSgkIsciOrani,0)</f>
        <v/>
      </c>
      <c r="D302" s="112">
        <f>ROUND($B302*KarliyukIssizlikIsciOrani,0)</f>
        <v/>
      </c>
      <c r="E302" s="112">
        <f>ROUND($B302*KarliyukStopajOrani,0)</f>
        <v/>
      </c>
      <c r="F302" s="112">
        <f>ROUND($B302*KarliyukDamgaOrani,0)</f>
        <v/>
      </c>
      <c r="G302" s="112">
        <f>$B302-$C302-$D302-$E302-$F302</f>
        <v/>
      </c>
      <c r="H302" s="112">
        <f>ROUND($B302*KarliyukSgkIsverenOrani,0)</f>
        <v/>
      </c>
      <c r="I302" s="112">
        <f>ROUND($B302*KarliyukIssizlikIsverenOrani,0)</f>
        <v/>
      </c>
      <c r="J302" s="112">
        <f>$B302+$H302+$I302</f>
        <v/>
      </c>
      <c r="K302" s="114" t="n"/>
    </row>
    <row r="303" ht="15" customHeight="1" s="68">
      <c r="A303" s="114" t="n"/>
      <c r="B303" s="114" t="n"/>
      <c r="C303" s="112">
        <f>ROUND($B303*KarliyukSgkIsciOrani,0)</f>
        <v/>
      </c>
      <c r="D303" s="112">
        <f>ROUND($B303*KarliyukIssizlikIsciOrani,0)</f>
        <v/>
      </c>
      <c r="E303" s="112">
        <f>ROUND($B303*KarliyukStopajOrani,0)</f>
        <v/>
      </c>
      <c r="F303" s="112">
        <f>ROUND($B303*KarliyukDamgaOrani,0)</f>
        <v/>
      </c>
      <c r="G303" s="112">
        <f>$B303-$C303-$D303-$E303-$F303</f>
        <v/>
      </c>
      <c r="H303" s="112">
        <f>ROUND($B303*KarliyukSgkIsverenOrani,0)</f>
        <v/>
      </c>
      <c r="I303" s="112">
        <f>ROUND($B303*KarliyukIssizlikIsverenOrani,0)</f>
        <v/>
      </c>
      <c r="J303" s="112">
        <f>$B303+$H303+$I303</f>
        <v/>
      </c>
      <c r="K303" s="114" t="n"/>
    </row>
    <row r="304" ht="15" customHeight="1" s="68">
      <c r="A304" s="114" t="n"/>
      <c r="B304" s="114" t="n"/>
      <c r="C304" s="112">
        <f>ROUND($B304*KarliyukSgkIsciOrani,0)</f>
        <v/>
      </c>
      <c r="D304" s="112">
        <f>ROUND($B304*KarliyukIssizlikIsciOrani,0)</f>
        <v/>
      </c>
      <c r="E304" s="112">
        <f>ROUND($B304*KarliyukStopajOrani,0)</f>
        <v/>
      </c>
      <c r="F304" s="112">
        <f>ROUND($B304*KarliyukDamgaOrani,0)</f>
        <v/>
      </c>
      <c r="G304" s="112">
        <f>$B304-$C304-$D304-$E304-$F304</f>
        <v/>
      </c>
      <c r="H304" s="112">
        <f>ROUND($B304*KarliyukSgkIsverenOrani,0)</f>
        <v/>
      </c>
      <c r="I304" s="112">
        <f>ROUND($B304*KarliyukIssizlikIsverenOrani,0)</f>
        <v/>
      </c>
      <c r="J304" s="112">
        <f>$B304+$H304+$I304</f>
        <v/>
      </c>
      <c r="K304" s="114" t="n"/>
    </row>
    <row r="305" ht="15" customHeight="1" s="68">
      <c r="A305" s="114" t="n"/>
      <c r="B305" s="114" t="n"/>
      <c r="C305" s="112">
        <f>ROUND($B305*KarliyukSgkIsciOrani,0)</f>
        <v/>
      </c>
      <c r="D305" s="112">
        <f>ROUND($B305*KarliyukIssizlikIsciOrani,0)</f>
        <v/>
      </c>
      <c r="E305" s="112">
        <f>ROUND($B305*KarliyukStopajOrani,0)</f>
        <v/>
      </c>
      <c r="F305" s="112">
        <f>ROUND($B305*KarliyukDamgaOrani,0)</f>
        <v/>
      </c>
      <c r="G305" s="112">
        <f>$B305-$C305-$D305-$E305-$F305</f>
        <v/>
      </c>
      <c r="H305" s="112">
        <f>ROUND($B305*KarliyukSgkIsverenOrani,0)</f>
        <v/>
      </c>
      <c r="I305" s="112">
        <f>ROUND($B305*KarliyukIssizlikIsverenOrani,0)</f>
        <v/>
      </c>
      <c r="J305" s="112">
        <f>$B305+$H305+$I305</f>
        <v/>
      </c>
      <c r="K305" s="114" t="n"/>
    </row>
    <row r="306" ht="15" customHeight="1" s="68">
      <c r="A306" s="114" t="n"/>
      <c r="B306" s="114" t="n"/>
      <c r="C306" s="112">
        <f>ROUND($B306*KarliyukSgkIsciOrani,0)</f>
        <v/>
      </c>
      <c r="D306" s="112">
        <f>ROUND($B306*KarliyukIssizlikIsciOrani,0)</f>
        <v/>
      </c>
      <c r="E306" s="112">
        <f>ROUND($B306*KarliyukStopajOrani,0)</f>
        <v/>
      </c>
      <c r="F306" s="112">
        <f>ROUND($B306*KarliyukDamgaOrani,0)</f>
        <v/>
      </c>
      <c r="G306" s="112">
        <f>$B306-$C306-$D306-$E306-$F306</f>
        <v/>
      </c>
      <c r="H306" s="112">
        <f>ROUND($B306*KarliyukSgkIsverenOrani,0)</f>
        <v/>
      </c>
      <c r="I306" s="112">
        <f>ROUND($B306*KarliyukIssizlikIsverenOrani,0)</f>
        <v/>
      </c>
      <c r="J306" s="112">
        <f>$B306+$H306+$I306</f>
        <v/>
      </c>
      <c r="K306" s="114" t="n"/>
    </row>
    <row r="307" ht="15" customHeight="1" s="68">
      <c r="A307" s="114" t="n"/>
      <c r="B307" s="114" t="n"/>
      <c r="C307" s="112">
        <f>ROUND($B307*KarliyukSgkIsciOrani,0)</f>
        <v/>
      </c>
      <c r="D307" s="112">
        <f>ROUND($B307*KarliyukIssizlikIsciOrani,0)</f>
        <v/>
      </c>
      <c r="E307" s="112">
        <f>ROUND($B307*KarliyukStopajOrani,0)</f>
        <v/>
      </c>
      <c r="F307" s="112">
        <f>ROUND($B307*KarliyukDamgaOrani,0)</f>
        <v/>
      </c>
      <c r="G307" s="112">
        <f>$B307-$C307-$D307-$E307-$F307</f>
        <v/>
      </c>
      <c r="H307" s="112">
        <f>ROUND($B307*KarliyukSgkIsverenOrani,0)</f>
        <v/>
      </c>
      <c r="I307" s="112">
        <f>ROUND($B307*KarliyukIssizlikIsverenOrani,0)</f>
        <v/>
      </c>
      <c r="J307" s="112">
        <f>$B307+$H307+$I307</f>
        <v/>
      </c>
      <c r="K307" s="114" t="n"/>
    </row>
    <row r="308" ht="15" customHeight="1" s="68">
      <c r="A308" s="114" t="n"/>
      <c r="B308" s="114" t="n"/>
      <c r="C308" s="112">
        <f>ROUND($B308*KarliyukSgkIsciOrani,0)</f>
        <v/>
      </c>
      <c r="D308" s="112">
        <f>ROUND($B308*KarliyukIssizlikIsciOrani,0)</f>
        <v/>
      </c>
      <c r="E308" s="112">
        <f>ROUND($B308*KarliyukStopajOrani,0)</f>
        <v/>
      </c>
      <c r="F308" s="112">
        <f>ROUND($B308*KarliyukDamgaOrani,0)</f>
        <v/>
      </c>
      <c r="G308" s="112">
        <f>$B308-$C308-$D308-$E308-$F308</f>
        <v/>
      </c>
      <c r="H308" s="112">
        <f>ROUND($B308*KarliyukSgkIsverenOrani,0)</f>
        <v/>
      </c>
      <c r="I308" s="112">
        <f>ROUND($B308*KarliyukIssizlikIsverenOrani,0)</f>
        <v/>
      </c>
      <c r="J308" s="112">
        <f>$B308+$H308+$I308</f>
        <v/>
      </c>
      <c r="K308" s="114" t="n"/>
    </row>
    <row r="309" ht="15" customHeight="1" s="68">
      <c r="A309" s="114" t="n"/>
      <c r="B309" s="114" t="n"/>
      <c r="C309" s="112">
        <f>ROUND($B309*KarliyukSgkIsciOrani,0)</f>
        <v/>
      </c>
      <c r="D309" s="112">
        <f>ROUND($B309*KarliyukIssizlikIsciOrani,0)</f>
        <v/>
      </c>
      <c r="E309" s="112">
        <f>ROUND($B309*KarliyukStopajOrani,0)</f>
        <v/>
      </c>
      <c r="F309" s="112">
        <f>ROUND($B309*KarliyukDamgaOrani,0)</f>
        <v/>
      </c>
      <c r="G309" s="112">
        <f>$B309-$C309-$D309-$E309-$F309</f>
        <v/>
      </c>
      <c r="H309" s="112">
        <f>ROUND($B309*KarliyukSgkIsverenOrani,0)</f>
        <v/>
      </c>
      <c r="I309" s="112">
        <f>ROUND($B309*KarliyukIssizlikIsverenOrani,0)</f>
        <v/>
      </c>
      <c r="J309" s="112">
        <f>$B309+$H309+$I309</f>
        <v/>
      </c>
      <c r="K309" s="114" t="n"/>
    </row>
    <row r="310" ht="15" customHeight="1" s="68">
      <c r="A310" s="114" t="n"/>
      <c r="B310" s="114" t="n"/>
      <c r="C310" s="112">
        <f>ROUND($B310*KarliyukSgkIsciOrani,0)</f>
        <v/>
      </c>
      <c r="D310" s="112">
        <f>ROUND($B310*KarliyukIssizlikIsciOrani,0)</f>
        <v/>
      </c>
      <c r="E310" s="112">
        <f>ROUND($B310*KarliyukStopajOrani,0)</f>
        <v/>
      </c>
      <c r="F310" s="112">
        <f>ROUND($B310*KarliyukDamgaOrani,0)</f>
        <v/>
      </c>
      <c r="G310" s="112">
        <f>$B310-$C310-$D310-$E310-$F310</f>
        <v/>
      </c>
      <c r="H310" s="112">
        <f>ROUND($B310*KarliyukSgkIsverenOrani,0)</f>
        <v/>
      </c>
      <c r="I310" s="112">
        <f>ROUND($B310*KarliyukIssizlikIsverenOrani,0)</f>
        <v/>
      </c>
      <c r="J310" s="112">
        <f>$B310+$H310+$I310</f>
        <v/>
      </c>
      <c r="K310" s="114" t="n"/>
    </row>
    <row r="311" ht="15" customHeight="1" s="68">
      <c r="A311" s="114" t="n"/>
      <c r="B311" s="114" t="n"/>
      <c r="C311" s="112">
        <f>ROUND($B311*KarliyukSgkIsciOrani,0)</f>
        <v/>
      </c>
      <c r="D311" s="112">
        <f>ROUND($B311*KarliyukIssizlikIsciOrani,0)</f>
        <v/>
      </c>
      <c r="E311" s="112">
        <f>ROUND($B311*KarliyukStopajOrani,0)</f>
        <v/>
      </c>
      <c r="F311" s="112">
        <f>ROUND($B311*KarliyukDamgaOrani,0)</f>
        <v/>
      </c>
      <c r="G311" s="112">
        <f>$B311-$C311-$D311-$E311-$F311</f>
        <v/>
      </c>
      <c r="H311" s="112">
        <f>ROUND($B311*KarliyukSgkIsverenOrani,0)</f>
        <v/>
      </c>
      <c r="I311" s="112">
        <f>ROUND($B311*KarliyukIssizlikIsverenOrani,0)</f>
        <v/>
      </c>
      <c r="J311" s="112">
        <f>$B311+$H311+$I311</f>
        <v/>
      </c>
      <c r="K311" s="114" t="n"/>
    </row>
    <row r="312" ht="15" customHeight="1" s="68">
      <c r="A312" s="114" t="n"/>
      <c r="B312" s="114" t="n"/>
      <c r="C312" s="112">
        <f>ROUND($B312*KarliyukSgkIsciOrani,0)</f>
        <v/>
      </c>
      <c r="D312" s="112">
        <f>ROUND($B312*KarliyukIssizlikIsciOrani,0)</f>
        <v/>
      </c>
      <c r="E312" s="112">
        <f>ROUND($B312*KarliyukStopajOrani,0)</f>
        <v/>
      </c>
      <c r="F312" s="112">
        <f>ROUND($B312*KarliyukDamgaOrani,0)</f>
        <v/>
      </c>
      <c r="G312" s="112">
        <f>$B312-$C312-$D312-$E312-$F312</f>
        <v/>
      </c>
      <c r="H312" s="112">
        <f>ROUND($B312*KarliyukSgkIsverenOrani,0)</f>
        <v/>
      </c>
      <c r="I312" s="112">
        <f>ROUND($B312*KarliyukIssizlikIsverenOrani,0)</f>
        <v/>
      </c>
      <c r="J312" s="112">
        <f>$B312+$H312+$I312</f>
        <v/>
      </c>
      <c r="K312" s="114" t="n"/>
    </row>
    <row r="313" ht="15" customHeight="1" s="68">
      <c r="A313" s="114" t="n"/>
      <c r="B313" s="114" t="n"/>
      <c r="C313" s="112">
        <f>ROUND($B313*KarliyukSgkIsciOrani,0)</f>
        <v/>
      </c>
      <c r="D313" s="112">
        <f>ROUND($B313*KarliyukIssizlikIsciOrani,0)</f>
        <v/>
      </c>
      <c r="E313" s="112">
        <f>ROUND($B313*KarliyukStopajOrani,0)</f>
        <v/>
      </c>
      <c r="F313" s="112">
        <f>ROUND($B313*KarliyukDamgaOrani,0)</f>
        <v/>
      </c>
      <c r="G313" s="112">
        <f>$B313-$C313-$D313-$E313-$F313</f>
        <v/>
      </c>
      <c r="H313" s="112">
        <f>ROUND($B313*KarliyukSgkIsverenOrani,0)</f>
        <v/>
      </c>
      <c r="I313" s="112">
        <f>ROUND($B313*KarliyukIssizlikIsverenOrani,0)</f>
        <v/>
      </c>
      <c r="J313" s="112">
        <f>$B313+$H313+$I313</f>
        <v/>
      </c>
      <c r="K313" s="114" t="n"/>
    </row>
    <row r="314" ht="15" customHeight="1" s="68">
      <c r="A314" s="114" t="n"/>
      <c r="B314" s="114" t="n"/>
      <c r="C314" s="112">
        <f>ROUND($B314*KarliyukSgkIsciOrani,0)</f>
        <v/>
      </c>
      <c r="D314" s="112">
        <f>ROUND($B314*KarliyukIssizlikIsciOrani,0)</f>
        <v/>
      </c>
      <c r="E314" s="112">
        <f>ROUND($B314*KarliyukStopajOrani,0)</f>
        <v/>
      </c>
      <c r="F314" s="112">
        <f>ROUND($B314*KarliyukDamgaOrani,0)</f>
        <v/>
      </c>
      <c r="G314" s="112">
        <f>$B314-$C314-$D314-$E314-$F314</f>
        <v/>
      </c>
      <c r="H314" s="112">
        <f>ROUND($B314*KarliyukSgkIsverenOrani,0)</f>
        <v/>
      </c>
      <c r="I314" s="112">
        <f>ROUND($B314*KarliyukIssizlikIsverenOrani,0)</f>
        <v/>
      </c>
      <c r="J314" s="112">
        <f>$B314+$H314+$I314</f>
        <v/>
      </c>
      <c r="K314" s="114" t="n"/>
    </row>
    <row r="315" ht="15" customHeight="1" s="68">
      <c r="A315" s="114" t="n"/>
      <c r="B315" s="114" t="n"/>
      <c r="C315" s="112">
        <f>ROUND($B315*KarliyukSgkIsciOrani,0)</f>
        <v/>
      </c>
      <c r="D315" s="112">
        <f>ROUND($B315*KarliyukIssizlikIsciOrani,0)</f>
        <v/>
      </c>
      <c r="E315" s="112">
        <f>ROUND($B315*KarliyukStopajOrani,0)</f>
        <v/>
      </c>
      <c r="F315" s="112">
        <f>ROUND($B315*KarliyukDamgaOrani,0)</f>
        <v/>
      </c>
      <c r="G315" s="112">
        <f>$B315-$C315-$D315-$E315-$F315</f>
        <v/>
      </c>
      <c r="H315" s="112">
        <f>ROUND($B315*KarliyukSgkIsverenOrani,0)</f>
        <v/>
      </c>
      <c r="I315" s="112">
        <f>ROUND($B315*KarliyukIssizlikIsverenOrani,0)</f>
        <v/>
      </c>
      <c r="J315" s="112">
        <f>$B315+$H315+$I315</f>
        <v/>
      </c>
      <c r="K315" s="114" t="n"/>
    </row>
    <row r="316" ht="15" customHeight="1" s="68">
      <c r="A316" s="114" t="n"/>
      <c r="B316" s="114" t="n"/>
      <c r="C316" s="112">
        <f>ROUND($B316*KarliyukSgkIsciOrani,0)</f>
        <v/>
      </c>
      <c r="D316" s="112">
        <f>ROUND($B316*KarliyukIssizlikIsciOrani,0)</f>
        <v/>
      </c>
      <c r="E316" s="112">
        <f>ROUND($B316*KarliyukStopajOrani,0)</f>
        <v/>
      </c>
      <c r="F316" s="112">
        <f>ROUND($B316*KarliyukDamgaOrani,0)</f>
        <v/>
      </c>
      <c r="G316" s="112">
        <f>$B316-$C316-$D316-$E316-$F316</f>
        <v/>
      </c>
      <c r="H316" s="112">
        <f>ROUND($B316*KarliyukSgkIsverenOrani,0)</f>
        <v/>
      </c>
      <c r="I316" s="112">
        <f>ROUND($B316*KarliyukIssizlikIsverenOrani,0)</f>
        <v/>
      </c>
      <c r="J316" s="112">
        <f>$B316+$H316+$I316</f>
        <v/>
      </c>
      <c r="K316" s="114" t="n"/>
    </row>
    <row r="317" ht="15" customHeight="1" s="68">
      <c r="A317" s="114" t="n"/>
      <c r="B317" s="114" t="n"/>
      <c r="C317" s="112">
        <f>ROUND($B317*KarliyukSgkIsciOrani,0)</f>
        <v/>
      </c>
      <c r="D317" s="112">
        <f>ROUND($B317*KarliyukIssizlikIsciOrani,0)</f>
        <v/>
      </c>
      <c r="E317" s="112">
        <f>ROUND($B317*KarliyukStopajOrani,0)</f>
        <v/>
      </c>
      <c r="F317" s="112">
        <f>ROUND($B317*KarliyukDamgaOrani,0)</f>
        <v/>
      </c>
      <c r="G317" s="112">
        <f>$B317-$C317-$D317-$E317-$F317</f>
        <v/>
      </c>
      <c r="H317" s="112">
        <f>ROUND($B317*KarliyukSgkIsverenOrani,0)</f>
        <v/>
      </c>
      <c r="I317" s="112">
        <f>ROUND($B317*KarliyukIssizlikIsverenOrani,0)</f>
        <v/>
      </c>
      <c r="J317" s="112">
        <f>$B317+$H317+$I317</f>
        <v/>
      </c>
      <c r="K317" s="114" t="n"/>
    </row>
    <row r="318" ht="15" customHeight="1" s="68">
      <c r="A318" s="114" t="n"/>
      <c r="B318" s="114" t="n"/>
      <c r="C318" s="112">
        <f>ROUND($B318*KarliyukSgkIsciOrani,0)</f>
        <v/>
      </c>
      <c r="D318" s="112">
        <f>ROUND($B318*KarliyukIssizlikIsciOrani,0)</f>
        <v/>
      </c>
      <c r="E318" s="112">
        <f>ROUND($B318*KarliyukStopajOrani,0)</f>
        <v/>
      </c>
      <c r="F318" s="112">
        <f>ROUND($B318*KarliyukDamgaOrani,0)</f>
        <v/>
      </c>
      <c r="G318" s="112">
        <f>$B318-$C318-$D318-$E318-$F318</f>
        <v/>
      </c>
      <c r="H318" s="112">
        <f>ROUND($B318*KarliyukSgkIsverenOrani,0)</f>
        <v/>
      </c>
      <c r="I318" s="112">
        <f>ROUND($B318*KarliyukIssizlikIsverenOrani,0)</f>
        <v/>
      </c>
      <c r="J318" s="112">
        <f>$B318+$H318+$I318</f>
        <v/>
      </c>
      <c r="K318" s="114" t="n"/>
    </row>
    <row r="319" ht="15" customHeight="1" s="68">
      <c r="A319" s="114" t="n"/>
      <c r="B319" s="114" t="n"/>
      <c r="C319" s="112">
        <f>ROUND($B319*KarliyukSgkIsciOrani,0)</f>
        <v/>
      </c>
      <c r="D319" s="112">
        <f>ROUND($B319*KarliyukIssizlikIsciOrani,0)</f>
        <v/>
      </c>
      <c r="E319" s="112">
        <f>ROUND($B319*KarliyukStopajOrani,0)</f>
        <v/>
      </c>
      <c r="F319" s="112">
        <f>ROUND($B319*KarliyukDamgaOrani,0)</f>
        <v/>
      </c>
      <c r="G319" s="112">
        <f>$B319-$C319-$D319-$E319-$F319</f>
        <v/>
      </c>
      <c r="H319" s="112">
        <f>ROUND($B319*KarliyukSgkIsverenOrani,0)</f>
        <v/>
      </c>
      <c r="I319" s="112">
        <f>ROUND($B319*KarliyukIssizlikIsverenOrani,0)</f>
        <v/>
      </c>
      <c r="J319" s="112">
        <f>$B319+$H319+$I319</f>
        <v/>
      </c>
      <c r="K319" s="114" t="n"/>
    </row>
    <row r="320" ht="15" customHeight="1" s="68">
      <c r="A320" s="114" t="n"/>
      <c r="B320" s="114" t="n"/>
      <c r="C320" s="112">
        <f>ROUND($B320*KarliyukSgkIsciOrani,0)</f>
        <v/>
      </c>
      <c r="D320" s="112">
        <f>ROUND($B320*KarliyukIssizlikIsciOrani,0)</f>
        <v/>
      </c>
      <c r="E320" s="112">
        <f>ROUND($B320*KarliyukStopajOrani,0)</f>
        <v/>
      </c>
      <c r="F320" s="112">
        <f>ROUND($B320*KarliyukDamgaOrani,0)</f>
        <v/>
      </c>
      <c r="G320" s="112">
        <f>$B320-$C320-$D320-$E320-$F320</f>
        <v/>
      </c>
      <c r="H320" s="112">
        <f>ROUND($B320*KarliyukSgkIsverenOrani,0)</f>
        <v/>
      </c>
      <c r="I320" s="112">
        <f>ROUND($B320*KarliyukIssizlikIsverenOrani,0)</f>
        <v/>
      </c>
      <c r="J320" s="112">
        <f>$B320+$H320+$I320</f>
        <v/>
      </c>
      <c r="K320" s="114" t="n"/>
    </row>
    <row r="321" ht="15" customHeight="1" s="68">
      <c r="A321" s="114" t="n"/>
      <c r="B321" s="114" t="n"/>
      <c r="C321" s="112">
        <f>ROUND($B321*KarliyukSgkIsciOrani,0)</f>
        <v/>
      </c>
      <c r="D321" s="112">
        <f>ROUND($B321*KarliyukIssizlikIsciOrani,0)</f>
        <v/>
      </c>
      <c r="E321" s="112">
        <f>ROUND($B321*KarliyukStopajOrani,0)</f>
        <v/>
      </c>
      <c r="F321" s="112">
        <f>ROUND($B321*KarliyukDamgaOrani,0)</f>
        <v/>
      </c>
      <c r="G321" s="112">
        <f>$B321-$C321-$D321-$E321-$F321</f>
        <v/>
      </c>
      <c r="H321" s="112">
        <f>ROUND($B321*KarliyukSgkIsverenOrani,0)</f>
        <v/>
      </c>
      <c r="I321" s="112">
        <f>ROUND($B321*KarliyukIssizlikIsverenOrani,0)</f>
        <v/>
      </c>
      <c r="J321" s="112">
        <f>$B321+$H321+$I321</f>
        <v/>
      </c>
      <c r="K321" s="114" t="n"/>
    </row>
    <row r="322" ht="15" customHeight="1" s="68">
      <c r="A322" s="114" t="n"/>
      <c r="B322" s="114" t="n"/>
      <c r="C322" s="112">
        <f>ROUND($B322*KarliyukSgkIsciOrani,0)</f>
        <v/>
      </c>
      <c r="D322" s="112">
        <f>ROUND($B322*KarliyukIssizlikIsciOrani,0)</f>
        <v/>
      </c>
      <c r="E322" s="112">
        <f>ROUND($B322*KarliyukStopajOrani,0)</f>
        <v/>
      </c>
      <c r="F322" s="112">
        <f>ROUND($B322*KarliyukDamgaOrani,0)</f>
        <v/>
      </c>
      <c r="G322" s="112">
        <f>$B322-$C322-$D322-$E322-$F322</f>
        <v/>
      </c>
      <c r="H322" s="112">
        <f>ROUND($B322*KarliyukSgkIsverenOrani,0)</f>
        <v/>
      </c>
      <c r="I322" s="112">
        <f>ROUND($B322*KarliyukIssizlikIsverenOrani,0)</f>
        <v/>
      </c>
      <c r="J322" s="112">
        <f>$B322+$H322+$I322</f>
        <v/>
      </c>
      <c r="K322" s="114" t="n"/>
    </row>
    <row r="323" ht="15" customHeight="1" s="68">
      <c r="A323" s="114" t="n"/>
      <c r="B323" s="114" t="n"/>
      <c r="C323" s="112">
        <f>ROUND($B323*KarliyukSgkIsciOrani,0)</f>
        <v/>
      </c>
      <c r="D323" s="112">
        <f>ROUND($B323*KarliyukIssizlikIsciOrani,0)</f>
        <v/>
      </c>
      <c r="E323" s="112">
        <f>ROUND($B323*KarliyukStopajOrani,0)</f>
        <v/>
      </c>
      <c r="F323" s="112">
        <f>ROUND($B323*KarliyukDamgaOrani,0)</f>
        <v/>
      </c>
      <c r="G323" s="112">
        <f>$B323-$C323-$D323-$E323-$F323</f>
        <v/>
      </c>
      <c r="H323" s="112">
        <f>ROUND($B323*KarliyukSgkIsverenOrani,0)</f>
        <v/>
      </c>
      <c r="I323" s="112">
        <f>ROUND($B323*KarliyukIssizlikIsverenOrani,0)</f>
        <v/>
      </c>
      <c r="J323" s="112">
        <f>$B323+$H323+$I323</f>
        <v/>
      </c>
      <c r="K323" s="114" t="n"/>
    </row>
    <row r="324" ht="15" customHeight="1" s="68">
      <c r="A324" s="114" t="n"/>
      <c r="B324" s="114" t="n"/>
      <c r="C324" s="112">
        <f>ROUND($B324*KarliyukSgkIsciOrani,0)</f>
        <v/>
      </c>
      <c r="D324" s="112">
        <f>ROUND($B324*KarliyukIssizlikIsciOrani,0)</f>
        <v/>
      </c>
      <c r="E324" s="112">
        <f>ROUND($B324*KarliyukStopajOrani,0)</f>
        <v/>
      </c>
      <c r="F324" s="112">
        <f>ROUND($B324*KarliyukDamgaOrani,0)</f>
        <v/>
      </c>
      <c r="G324" s="112">
        <f>$B324-$C324-$D324-$E324-$F324</f>
        <v/>
      </c>
      <c r="H324" s="112">
        <f>ROUND($B324*KarliyukSgkIsverenOrani,0)</f>
        <v/>
      </c>
      <c r="I324" s="112">
        <f>ROUND($B324*KarliyukIssizlikIsverenOrani,0)</f>
        <v/>
      </c>
      <c r="J324" s="112">
        <f>$B324+$H324+$I324</f>
        <v/>
      </c>
      <c r="K324" s="114" t="n"/>
    </row>
    <row r="325" ht="15" customHeight="1" s="68">
      <c r="A325" s="114" t="n"/>
      <c r="B325" s="114" t="n"/>
      <c r="C325" s="112">
        <f>ROUND($B325*KarliyukSgkIsciOrani,0)</f>
        <v/>
      </c>
      <c r="D325" s="112">
        <f>ROUND($B325*KarliyukIssizlikIsciOrani,0)</f>
        <v/>
      </c>
      <c r="E325" s="112">
        <f>ROUND($B325*KarliyukStopajOrani,0)</f>
        <v/>
      </c>
      <c r="F325" s="112">
        <f>ROUND($B325*KarliyukDamgaOrani,0)</f>
        <v/>
      </c>
      <c r="G325" s="112">
        <f>$B325-$C325-$D325-$E325-$F325</f>
        <v/>
      </c>
      <c r="H325" s="112">
        <f>ROUND($B325*KarliyukSgkIsverenOrani,0)</f>
        <v/>
      </c>
      <c r="I325" s="112">
        <f>ROUND($B325*KarliyukIssizlikIsverenOrani,0)</f>
        <v/>
      </c>
      <c r="J325" s="112">
        <f>$B325+$H325+$I325</f>
        <v/>
      </c>
      <c r="K325" s="114" t="n"/>
    </row>
    <row r="326" ht="15" customHeight="1" s="68">
      <c r="A326" s="114" t="n"/>
      <c r="B326" s="114" t="n"/>
      <c r="C326" s="112">
        <f>ROUND($B326*KarliyukSgkIsciOrani,0)</f>
        <v/>
      </c>
      <c r="D326" s="112">
        <f>ROUND($B326*KarliyukIssizlikIsciOrani,0)</f>
        <v/>
      </c>
      <c r="E326" s="112">
        <f>ROUND($B326*KarliyukStopajOrani,0)</f>
        <v/>
      </c>
      <c r="F326" s="112">
        <f>ROUND($B326*KarliyukDamgaOrani,0)</f>
        <v/>
      </c>
      <c r="G326" s="112">
        <f>$B326-$C326-$D326-$E326-$F326</f>
        <v/>
      </c>
      <c r="H326" s="112">
        <f>ROUND($B326*KarliyukSgkIsverenOrani,0)</f>
        <v/>
      </c>
      <c r="I326" s="112">
        <f>ROUND($B326*KarliyukIssizlikIsverenOrani,0)</f>
        <v/>
      </c>
      <c r="J326" s="112">
        <f>$B326+$H326+$I326</f>
        <v/>
      </c>
      <c r="K326" s="114" t="n"/>
    </row>
    <row r="327" ht="15" customHeight="1" s="68">
      <c r="A327" s="114" t="n"/>
      <c r="B327" s="114" t="n"/>
      <c r="C327" s="112">
        <f>ROUND($B327*KarliyukSgkIsciOrani,0)</f>
        <v/>
      </c>
      <c r="D327" s="112">
        <f>ROUND($B327*KarliyukIssizlikIsciOrani,0)</f>
        <v/>
      </c>
      <c r="E327" s="112">
        <f>ROUND($B327*KarliyukStopajOrani,0)</f>
        <v/>
      </c>
      <c r="F327" s="112">
        <f>ROUND($B327*KarliyukDamgaOrani,0)</f>
        <v/>
      </c>
      <c r="G327" s="112">
        <f>$B327-$C327-$D327-$E327-$F327</f>
        <v/>
      </c>
      <c r="H327" s="112">
        <f>ROUND($B327*KarliyukSgkIsverenOrani,0)</f>
        <v/>
      </c>
      <c r="I327" s="112">
        <f>ROUND($B327*KarliyukIssizlikIsverenOrani,0)</f>
        <v/>
      </c>
      <c r="J327" s="112">
        <f>$B327+$H327+$I327</f>
        <v/>
      </c>
      <c r="K327" s="114" t="n"/>
    </row>
    <row r="328" ht="15" customHeight="1" s="68">
      <c r="A328" s="114" t="n"/>
      <c r="B328" s="114" t="n"/>
      <c r="C328" s="112">
        <f>ROUND($B328*KarliyukSgkIsciOrani,0)</f>
        <v/>
      </c>
      <c r="D328" s="112">
        <f>ROUND($B328*KarliyukIssizlikIsciOrani,0)</f>
        <v/>
      </c>
      <c r="E328" s="112">
        <f>ROUND($B328*KarliyukStopajOrani,0)</f>
        <v/>
      </c>
      <c r="F328" s="112">
        <f>ROUND($B328*KarliyukDamgaOrani,0)</f>
        <v/>
      </c>
      <c r="G328" s="112">
        <f>$B328-$C328-$D328-$E328-$F328</f>
        <v/>
      </c>
      <c r="H328" s="112">
        <f>ROUND($B328*KarliyukSgkIsverenOrani,0)</f>
        <v/>
      </c>
      <c r="I328" s="112">
        <f>ROUND($B328*KarliyukIssizlikIsverenOrani,0)</f>
        <v/>
      </c>
      <c r="J328" s="112">
        <f>$B328+$H328+$I328</f>
        <v/>
      </c>
      <c r="K328" s="114" t="n"/>
    </row>
    <row r="329" ht="15" customHeight="1" s="68">
      <c r="A329" s="114" t="n"/>
      <c r="B329" s="114" t="n"/>
      <c r="C329" s="112">
        <f>ROUND($B329*KarliyukSgkIsciOrani,0)</f>
        <v/>
      </c>
      <c r="D329" s="112">
        <f>ROUND($B329*KarliyukIssizlikIsciOrani,0)</f>
        <v/>
      </c>
      <c r="E329" s="112">
        <f>ROUND($B329*KarliyukStopajOrani,0)</f>
        <v/>
      </c>
      <c r="F329" s="112">
        <f>ROUND($B329*KarliyukDamgaOrani,0)</f>
        <v/>
      </c>
      <c r="G329" s="112">
        <f>$B329-$C329-$D329-$E329-$F329</f>
        <v/>
      </c>
      <c r="H329" s="112">
        <f>ROUND($B329*KarliyukSgkIsverenOrani,0)</f>
        <v/>
      </c>
      <c r="I329" s="112">
        <f>ROUND($B329*KarliyukIssizlikIsverenOrani,0)</f>
        <v/>
      </c>
      <c r="J329" s="112">
        <f>$B329+$H329+$I329</f>
        <v/>
      </c>
      <c r="K329" s="114" t="n"/>
    </row>
    <row r="330" ht="15" customHeight="1" s="68">
      <c r="A330" s="114" t="n"/>
      <c r="B330" s="114" t="n"/>
      <c r="C330" s="112">
        <f>ROUND($B330*KarliyukSgkIsciOrani,0)</f>
        <v/>
      </c>
      <c r="D330" s="112">
        <f>ROUND($B330*KarliyukIssizlikIsciOrani,0)</f>
        <v/>
      </c>
      <c r="E330" s="112">
        <f>ROUND($B330*KarliyukStopajOrani,0)</f>
        <v/>
      </c>
      <c r="F330" s="112">
        <f>ROUND($B330*KarliyukDamgaOrani,0)</f>
        <v/>
      </c>
      <c r="G330" s="112">
        <f>$B330-$C330-$D330-$E330-$F330</f>
        <v/>
      </c>
      <c r="H330" s="112">
        <f>ROUND($B330*KarliyukSgkIsverenOrani,0)</f>
        <v/>
      </c>
      <c r="I330" s="112">
        <f>ROUND($B330*KarliyukIssizlikIsverenOrani,0)</f>
        <v/>
      </c>
      <c r="J330" s="112">
        <f>$B330+$H330+$I330</f>
        <v/>
      </c>
      <c r="K330" s="114" t="n"/>
    </row>
    <row r="331" ht="15" customHeight="1" s="68">
      <c r="A331" s="114" t="n"/>
      <c r="B331" s="114" t="n"/>
      <c r="C331" s="112">
        <f>ROUND($B331*KarliyukSgkIsciOrani,0)</f>
        <v/>
      </c>
      <c r="D331" s="112">
        <f>ROUND($B331*KarliyukIssizlikIsciOrani,0)</f>
        <v/>
      </c>
      <c r="E331" s="112">
        <f>ROUND($B331*KarliyukStopajOrani,0)</f>
        <v/>
      </c>
      <c r="F331" s="112">
        <f>ROUND($B331*KarliyukDamgaOrani,0)</f>
        <v/>
      </c>
      <c r="G331" s="112">
        <f>$B331-$C331-$D331-$E331-$F331</f>
        <v/>
      </c>
      <c r="H331" s="112">
        <f>ROUND($B331*KarliyukSgkIsverenOrani,0)</f>
        <v/>
      </c>
      <c r="I331" s="112">
        <f>ROUND($B331*KarliyukIssizlikIsverenOrani,0)</f>
        <v/>
      </c>
      <c r="J331" s="112">
        <f>$B331+$H331+$I331</f>
        <v/>
      </c>
      <c r="K331" s="114" t="n"/>
    </row>
    <row r="332" ht="15" customHeight="1" s="68">
      <c r="A332" s="114" t="n"/>
      <c r="B332" s="114" t="n"/>
      <c r="C332" s="112">
        <f>ROUND($B332*KarliyukSgkIsciOrani,0)</f>
        <v/>
      </c>
      <c r="D332" s="112">
        <f>ROUND($B332*KarliyukIssizlikIsciOrani,0)</f>
        <v/>
      </c>
      <c r="E332" s="112">
        <f>ROUND($B332*KarliyukStopajOrani,0)</f>
        <v/>
      </c>
      <c r="F332" s="112">
        <f>ROUND($B332*KarliyukDamgaOrani,0)</f>
        <v/>
      </c>
      <c r="G332" s="112">
        <f>$B332-$C332-$D332-$E332-$F332</f>
        <v/>
      </c>
      <c r="H332" s="112">
        <f>ROUND($B332*KarliyukSgkIsverenOrani,0)</f>
        <v/>
      </c>
      <c r="I332" s="112">
        <f>ROUND($B332*KarliyukIssizlikIsverenOrani,0)</f>
        <v/>
      </c>
      <c r="J332" s="112">
        <f>$B332+$H332+$I332</f>
        <v/>
      </c>
      <c r="K332" s="114" t="n"/>
    </row>
    <row r="333" ht="15" customHeight="1" s="68">
      <c r="A333" s="114" t="n"/>
      <c r="B333" s="114" t="n"/>
      <c r="C333" s="112">
        <f>ROUND($B333*KarliyukSgkIsciOrani,0)</f>
        <v/>
      </c>
      <c r="D333" s="112">
        <f>ROUND($B333*KarliyukIssizlikIsciOrani,0)</f>
        <v/>
      </c>
      <c r="E333" s="112">
        <f>ROUND($B333*KarliyukStopajOrani,0)</f>
        <v/>
      </c>
      <c r="F333" s="112">
        <f>ROUND($B333*KarliyukDamgaOrani,0)</f>
        <v/>
      </c>
      <c r="G333" s="112">
        <f>$B333-$C333-$D333-$E333-$F333</f>
        <v/>
      </c>
      <c r="H333" s="112">
        <f>ROUND($B333*KarliyukSgkIsverenOrani,0)</f>
        <v/>
      </c>
      <c r="I333" s="112">
        <f>ROUND($B333*KarliyukIssizlikIsverenOrani,0)</f>
        <v/>
      </c>
      <c r="J333" s="112">
        <f>$B333+$H333+$I333</f>
        <v/>
      </c>
      <c r="K333" s="114" t="n"/>
    </row>
    <row r="334" ht="15" customHeight="1" s="68">
      <c r="A334" s="114" t="n"/>
      <c r="B334" s="114" t="n"/>
      <c r="C334" s="112">
        <f>ROUND($B334*KarliyukSgkIsciOrani,0)</f>
        <v/>
      </c>
      <c r="D334" s="112">
        <f>ROUND($B334*KarliyukIssizlikIsciOrani,0)</f>
        <v/>
      </c>
      <c r="E334" s="112">
        <f>ROUND($B334*KarliyukStopajOrani,0)</f>
        <v/>
      </c>
      <c r="F334" s="112">
        <f>ROUND($B334*KarliyukDamgaOrani,0)</f>
        <v/>
      </c>
      <c r="G334" s="112">
        <f>$B334-$C334-$D334-$E334-$F334</f>
        <v/>
      </c>
      <c r="H334" s="112">
        <f>ROUND($B334*KarliyukSgkIsverenOrani,0)</f>
        <v/>
      </c>
      <c r="I334" s="112">
        <f>ROUND($B334*KarliyukIssizlikIsverenOrani,0)</f>
        <v/>
      </c>
      <c r="J334" s="112">
        <f>$B334+$H334+$I334</f>
        <v/>
      </c>
      <c r="K334" s="114" t="n"/>
    </row>
    <row r="335" ht="15" customHeight="1" s="68">
      <c r="A335" s="114" t="n"/>
      <c r="B335" s="114" t="n"/>
      <c r="C335" s="112">
        <f>ROUND($B335*KarliyukSgkIsciOrani,0)</f>
        <v/>
      </c>
      <c r="D335" s="112">
        <f>ROUND($B335*KarliyukIssizlikIsciOrani,0)</f>
        <v/>
      </c>
      <c r="E335" s="112">
        <f>ROUND($B335*KarliyukStopajOrani,0)</f>
        <v/>
      </c>
      <c r="F335" s="112">
        <f>ROUND($B335*KarliyukDamgaOrani,0)</f>
        <v/>
      </c>
      <c r="G335" s="112">
        <f>$B335-$C335-$D335-$E335-$F335</f>
        <v/>
      </c>
      <c r="H335" s="112">
        <f>ROUND($B335*KarliyukSgkIsverenOrani,0)</f>
        <v/>
      </c>
      <c r="I335" s="112">
        <f>ROUND($B335*KarliyukIssizlikIsverenOrani,0)</f>
        <v/>
      </c>
      <c r="J335" s="112">
        <f>$B335+$H335+$I335</f>
        <v/>
      </c>
      <c r="K335" s="114" t="n"/>
    </row>
    <row r="336" ht="15" customHeight="1" s="68">
      <c r="A336" s="114" t="n"/>
      <c r="B336" s="114" t="n"/>
      <c r="C336" s="112">
        <f>ROUND($B336*KarliyukSgkIsciOrani,0)</f>
        <v/>
      </c>
      <c r="D336" s="112">
        <f>ROUND($B336*KarliyukIssizlikIsciOrani,0)</f>
        <v/>
      </c>
      <c r="E336" s="112">
        <f>ROUND($B336*KarliyukStopajOrani,0)</f>
        <v/>
      </c>
      <c r="F336" s="112">
        <f>ROUND($B336*KarliyukDamgaOrani,0)</f>
        <v/>
      </c>
      <c r="G336" s="112">
        <f>$B336-$C336-$D336-$E336-$F336</f>
        <v/>
      </c>
      <c r="H336" s="112">
        <f>ROUND($B336*KarliyukSgkIsverenOrani,0)</f>
        <v/>
      </c>
      <c r="I336" s="112">
        <f>ROUND($B336*KarliyukIssizlikIsverenOrani,0)</f>
        <v/>
      </c>
      <c r="J336" s="112">
        <f>$B336+$H336+$I336</f>
        <v/>
      </c>
      <c r="K336" s="114" t="n"/>
    </row>
    <row r="337" ht="15" customHeight="1" s="68">
      <c r="A337" s="114" t="n"/>
      <c r="B337" s="114" t="n"/>
      <c r="C337" s="112">
        <f>ROUND($B337*KarliyukSgkIsciOrani,0)</f>
        <v/>
      </c>
      <c r="D337" s="112">
        <f>ROUND($B337*KarliyukIssizlikIsciOrani,0)</f>
        <v/>
      </c>
      <c r="E337" s="112">
        <f>ROUND($B337*KarliyukStopajOrani,0)</f>
        <v/>
      </c>
      <c r="F337" s="112">
        <f>ROUND($B337*KarliyukDamgaOrani,0)</f>
        <v/>
      </c>
      <c r="G337" s="112">
        <f>$B337-$C337-$D337-$E337-$F337</f>
        <v/>
      </c>
      <c r="H337" s="112">
        <f>ROUND($B337*KarliyukSgkIsverenOrani,0)</f>
        <v/>
      </c>
      <c r="I337" s="112">
        <f>ROUND($B337*KarliyukIssizlikIsverenOrani,0)</f>
        <v/>
      </c>
      <c r="J337" s="112">
        <f>$B337+$H337+$I337</f>
        <v/>
      </c>
      <c r="K337" s="114" t="n"/>
    </row>
    <row r="338" ht="15" customHeight="1" s="68">
      <c r="A338" s="114" t="n"/>
      <c r="B338" s="114" t="n"/>
      <c r="C338" s="112">
        <f>ROUND($B338*KarliyukSgkIsciOrani,0)</f>
        <v/>
      </c>
      <c r="D338" s="112">
        <f>ROUND($B338*KarliyukIssizlikIsciOrani,0)</f>
        <v/>
      </c>
      <c r="E338" s="112">
        <f>ROUND($B338*KarliyukStopajOrani,0)</f>
        <v/>
      </c>
      <c r="F338" s="112">
        <f>ROUND($B338*KarliyukDamgaOrani,0)</f>
        <v/>
      </c>
      <c r="G338" s="112">
        <f>$B338-$C338-$D338-$E338-$F338</f>
        <v/>
      </c>
      <c r="H338" s="112">
        <f>ROUND($B338*KarliyukSgkIsverenOrani,0)</f>
        <v/>
      </c>
      <c r="I338" s="112">
        <f>ROUND($B338*KarliyukIssizlikIsverenOrani,0)</f>
        <v/>
      </c>
      <c r="J338" s="112">
        <f>$B338+$H338+$I338</f>
        <v/>
      </c>
      <c r="K338" s="114" t="n"/>
    </row>
    <row r="339" ht="15" customHeight="1" s="68">
      <c r="A339" s="114" t="n"/>
      <c r="B339" s="114" t="n"/>
      <c r="C339" s="112">
        <f>ROUND($B339*KarliyukSgkIsciOrani,0)</f>
        <v/>
      </c>
      <c r="D339" s="112">
        <f>ROUND($B339*KarliyukIssizlikIsciOrani,0)</f>
        <v/>
      </c>
      <c r="E339" s="112">
        <f>ROUND($B339*KarliyukStopajOrani,0)</f>
        <v/>
      </c>
      <c r="F339" s="112">
        <f>ROUND($B339*KarliyukDamgaOrani,0)</f>
        <v/>
      </c>
      <c r="G339" s="112">
        <f>$B339-$C339-$D339-$E339-$F339</f>
        <v/>
      </c>
      <c r="H339" s="112">
        <f>ROUND($B339*KarliyukSgkIsverenOrani,0)</f>
        <v/>
      </c>
      <c r="I339" s="112">
        <f>ROUND($B339*KarliyukIssizlikIsverenOrani,0)</f>
        <v/>
      </c>
      <c r="J339" s="112">
        <f>$B339+$H339+$I339</f>
        <v/>
      </c>
      <c r="K339" s="114" t="n"/>
    </row>
    <row r="340" ht="15" customHeight="1" s="68">
      <c r="A340" s="114" t="n"/>
      <c r="B340" s="114" t="n"/>
      <c r="C340" s="112">
        <f>ROUND($B340*KarliyukSgkIsciOrani,0)</f>
        <v/>
      </c>
      <c r="D340" s="112">
        <f>ROUND($B340*KarliyukIssizlikIsciOrani,0)</f>
        <v/>
      </c>
      <c r="E340" s="112">
        <f>ROUND($B340*KarliyukStopajOrani,0)</f>
        <v/>
      </c>
      <c r="F340" s="112">
        <f>ROUND($B340*KarliyukDamgaOrani,0)</f>
        <v/>
      </c>
      <c r="G340" s="112">
        <f>$B340-$C340-$D340-$E340-$F340</f>
        <v/>
      </c>
      <c r="H340" s="112">
        <f>ROUND($B340*KarliyukSgkIsverenOrani,0)</f>
        <v/>
      </c>
      <c r="I340" s="112">
        <f>ROUND($B340*KarliyukIssizlikIsverenOrani,0)</f>
        <v/>
      </c>
      <c r="J340" s="112">
        <f>$B340+$H340+$I340</f>
        <v/>
      </c>
      <c r="K340" s="114" t="n"/>
    </row>
    <row r="341" ht="15" customHeight="1" s="68">
      <c r="A341" s="114" t="n"/>
      <c r="B341" s="114" t="n"/>
      <c r="C341" s="112">
        <f>ROUND($B341*KarliyukSgkIsciOrani,0)</f>
        <v/>
      </c>
      <c r="D341" s="112">
        <f>ROUND($B341*KarliyukIssizlikIsciOrani,0)</f>
        <v/>
      </c>
      <c r="E341" s="112">
        <f>ROUND($B341*KarliyukStopajOrani,0)</f>
        <v/>
      </c>
      <c r="F341" s="112">
        <f>ROUND($B341*KarliyukDamgaOrani,0)</f>
        <v/>
      </c>
      <c r="G341" s="112">
        <f>$B341-$C341-$D341-$E341-$F341</f>
        <v/>
      </c>
      <c r="H341" s="112">
        <f>ROUND($B341*KarliyukSgkIsverenOrani,0)</f>
        <v/>
      </c>
      <c r="I341" s="112">
        <f>ROUND($B341*KarliyukIssizlikIsverenOrani,0)</f>
        <v/>
      </c>
      <c r="J341" s="112">
        <f>$B341+$H341+$I341</f>
        <v/>
      </c>
      <c r="K341" s="114" t="n"/>
    </row>
    <row r="342" ht="15" customHeight="1" s="68">
      <c r="A342" s="114" t="n"/>
      <c r="B342" s="114" t="n"/>
      <c r="C342" s="112">
        <f>ROUND($B342*KarliyukSgkIsciOrani,0)</f>
        <v/>
      </c>
      <c r="D342" s="112">
        <f>ROUND($B342*KarliyukIssizlikIsciOrani,0)</f>
        <v/>
      </c>
      <c r="E342" s="112">
        <f>ROUND($B342*KarliyukStopajOrani,0)</f>
        <v/>
      </c>
      <c r="F342" s="112">
        <f>ROUND($B342*KarliyukDamgaOrani,0)</f>
        <v/>
      </c>
      <c r="G342" s="112">
        <f>$B342-$C342-$D342-$E342-$F342</f>
        <v/>
      </c>
      <c r="H342" s="112">
        <f>ROUND($B342*KarliyukSgkIsverenOrani,0)</f>
        <v/>
      </c>
      <c r="I342" s="112">
        <f>ROUND($B342*KarliyukIssizlikIsverenOrani,0)</f>
        <v/>
      </c>
      <c r="J342" s="112">
        <f>$B342+$H342+$I342</f>
        <v/>
      </c>
      <c r="K342" s="114" t="n"/>
    </row>
    <row r="343" ht="15" customHeight="1" s="68">
      <c r="A343" s="114" t="n"/>
      <c r="B343" s="114" t="n"/>
      <c r="C343" s="112">
        <f>ROUND($B343*KarliyukSgkIsciOrani,0)</f>
        <v/>
      </c>
      <c r="D343" s="112">
        <f>ROUND($B343*KarliyukIssizlikIsciOrani,0)</f>
        <v/>
      </c>
      <c r="E343" s="112">
        <f>ROUND($B343*KarliyukStopajOrani,0)</f>
        <v/>
      </c>
      <c r="F343" s="112">
        <f>ROUND($B343*KarliyukDamgaOrani,0)</f>
        <v/>
      </c>
      <c r="G343" s="112">
        <f>$B343-$C343-$D343-$E343-$F343</f>
        <v/>
      </c>
      <c r="H343" s="112">
        <f>ROUND($B343*KarliyukSgkIsverenOrani,0)</f>
        <v/>
      </c>
      <c r="I343" s="112">
        <f>ROUND($B343*KarliyukIssizlikIsverenOrani,0)</f>
        <v/>
      </c>
      <c r="J343" s="112">
        <f>$B343+$H343+$I343</f>
        <v/>
      </c>
      <c r="K343" s="114" t="n"/>
    </row>
    <row r="344" ht="15" customHeight="1" s="68">
      <c r="A344" s="114" t="n"/>
      <c r="B344" s="114" t="n"/>
      <c r="C344" s="112">
        <f>ROUND($B344*KarliyukSgkIsciOrani,0)</f>
        <v/>
      </c>
      <c r="D344" s="112">
        <f>ROUND($B344*KarliyukIssizlikIsciOrani,0)</f>
        <v/>
      </c>
      <c r="E344" s="112">
        <f>ROUND($B344*KarliyukStopajOrani,0)</f>
        <v/>
      </c>
      <c r="F344" s="112">
        <f>ROUND($B344*KarliyukDamgaOrani,0)</f>
        <v/>
      </c>
      <c r="G344" s="112">
        <f>$B344-$C344-$D344-$E344-$F344</f>
        <v/>
      </c>
      <c r="H344" s="112">
        <f>ROUND($B344*KarliyukSgkIsverenOrani,0)</f>
        <v/>
      </c>
      <c r="I344" s="112">
        <f>ROUND($B344*KarliyukIssizlikIsverenOrani,0)</f>
        <v/>
      </c>
      <c r="J344" s="112">
        <f>$B344+$H344+$I344</f>
        <v/>
      </c>
      <c r="K344" s="114" t="n"/>
    </row>
    <row r="345" ht="15" customHeight="1" s="68">
      <c r="A345" s="114" t="n"/>
      <c r="B345" s="114" t="n"/>
      <c r="C345" s="112">
        <f>ROUND($B345*KarliyukSgkIsciOrani,0)</f>
        <v/>
      </c>
      <c r="D345" s="112">
        <f>ROUND($B345*KarliyukIssizlikIsciOrani,0)</f>
        <v/>
      </c>
      <c r="E345" s="112">
        <f>ROUND($B345*KarliyukStopajOrani,0)</f>
        <v/>
      </c>
      <c r="F345" s="112">
        <f>ROUND($B345*KarliyukDamgaOrani,0)</f>
        <v/>
      </c>
      <c r="G345" s="112">
        <f>$B345-$C345-$D345-$E345-$F345</f>
        <v/>
      </c>
      <c r="H345" s="112">
        <f>ROUND($B345*KarliyukSgkIsverenOrani,0)</f>
        <v/>
      </c>
      <c r="I345" s="112">
        <f>ROUND($B345*KarliyukIssizlikIsverenOrani,0)</f>
        <v/>
      </c>
      <c r="J345" s="112">
        <f>$B345+$H345+$I345</f>
        <v/>
      </c>
      <c r="K345" s="114" t="n"/>
    </row>
    <row r="346" ht="15" customHeight="1" s="68">
      <c r="A346" s="114" t="n"/>
      <c r="B346" s="114" t="n"/>
      <c r="C346" s="112">
        <f>ROUND($B346*KarliyukSgkIsciOrani,0)</f>
        <v/>
      </c>
      <c r="D346" s="112">
        <f>ROUND($B346*KarliyukIssizlikIsciOrani,0)</f>
        <v/>
      </c>
      <c r="E346" s="112">
        <f>ROUND($B346*KarliyukStopajOrani,0)</f>
        <v/>
      </c>
      <c r="F346" s="112">
        <f>ROUND($B346*KarliyukDamgaOrani,0)</f>
        <v/>
      </c>
      <c r="G346" s="112">
        <f>$B346-$C346-$D346-$E346-$F346</f>
        <v/>
      </c>
      <c r="H346" s="112">
        <f>ROUND($B346*KarliyukSgkIsverenOrani,0)</f>
        <v/>
      </c>
      <c r="I346" s="112">
        <f>ROUND($B346*KarliyukIssizlikIsverenOrani,0)</f>
        <v/>
      </c>
      <c r="J346" s="112">
        <f>$B346+$H346+$I346</f>
        <v/>
      </c>
      <c r="K346" s="114" t="n"/>
    </row>
    <row r="347" ht="15" customHeight="1" s="68">
      <c r="A347" s="114" t="n"/>
      <c r="B347" s="114" t="n"/>
      <c r="C347" s="112">
        <f>ROUND($B347*KarliyukSgkIsciOrani,0)</f>
        <v/>
      </c>
      <c r="D347" s="112">
        <f>ROUND($B347*KarliyukIssizlikIsciOrani,0)</f>
        <v/>
      </c>
      <c r="E347" s="112">
        <f>ROUND($B347*KarliyukStopajOrani,0)</f>
        <v/>
      </c>
      <c r="F347" s="112">
        <f>ROUND($B347*KarliyukDamgaOrani,0)</f>
        <v/>
      </c>
      <c r="G347" s="112">
        <f>$B347-$C347-$D347-$E347-$F347</f>
        <v/>
      </c>
      <c r="H347" s="112">
        <f>ROUND($B347*KarliyukSgkIsverenOrani,0)</f>
        <v/>
      </c>
      <c r="I347" s="112">
        <f>ROUND($B347*KarliyukIssizlikIsverenOrani,0)</f>
        <v/>
      </c>
      <c r="J347" s="112">
        <f>$B347+$H347+$I347</f>
        <v/>
      </c>
      <c r="K347" s="114" t="n"/>
    </row>
    <row r="348" ht="15" customHeight="1" s="68">
      <c r="A348" s="114" t="n"/>
      <c r="B348" s="114" t="n"/>
      <c r="C348" s="112">
        <f>ROUND($B348*KarliyukSgkIsciOrani,0)</f>
        <v/>
      </c>
      <c r="D348" s="112">
        <f>ROUND($B348*KarliyukIssizlikIsciOrani,0)</f>
        <v/>
      </c>
      <c r="E348" s="112">
        <f>ROUND($B348*KarliyukStopajOrani,0)</f>
        <v/>
      </c>
      <c r="F348" s="112">
        <f>ROUND($B348*KarliyukDamgaOrani,0)</f>
        <v/>
      </c>
      <c r="G348" s="112">
        <f>$B348-$C348-$D348-$E348-$F348</f>
        <v/>
      </c>
      <c r="H348" s="112">
        <f>ROUND($B348*KarliyukSgkIsverenOrani,0)</f>
        <v/>
      </c>
      <c r="I348" s="112">
        <f>ROUND($B348*KarliyukIssizlikIsverenOrani,0)</f>
        <v/>
      </c>
      <c r="J348" s="112">
        <f>$B348+$H348+$I348</f>
        <v/>
      </c>
      <c r="K348" s="114" t="n"/>
    </row>
    <row r="349" ht="15" customHeight="1" s="68">
      <c r="A349" s="114" t="n"/>
      <c r="B349" s="114" t="n"/>
      <c r="C349" s="112">
        <f>ROUND($B349*KarliyukSgkIsciOrani,0)</f>
        <v/>
      </c>
      <c r="D349" s="112">
        <f>ROUND($B349*KarliyukIssizlikIsciOrani,0)</f>
        <v/>
      </c>
      <c r="E349" s="112">
        <f>ROUND($B349*KarliyukStopajOrani,0)</f>
        <v/>
      </c>
      <c r="F349" s="112">
        <f>ROUND($B349*KarliyukDamgaOrani,0)</f>
        <v/>
      </c>
      <c r="G349" s="112">
        <f>$B349-$C349-$D349-$E349-$F349</f>
        <v/>
      </c>
      <c r="H349" s="112">
        <f>ROUND($B349*KarliyukSgkIsverenOrani,0)</f>
        <v/>
      </c>
      <c r="I349" s="112">
        <f>ROUND($B349*KarliyukIssizlikIsverenOrani,0)</f>
        <v/>
      </c>
      <c r="J349" s="112">
        <f>$B349+$H349+$I349</f>
        <v/>
      </c>
      <c r="K349" s="114" t="n"/>
    </row>
    <row r="350" ht="15" customHeight="1" s="68">
      <c r="A350" s="114" t="n"/>
      <c r="B350" s="114" t="n"/>
      <c r="C350" s="112">
        <f>ROUND($B350*KarliyukSgkIsciOrani,0)</f>
        <v/>
      </c>
      <c r="D350" s="112">
        <f>ROUND($B350*KarliyukIssizlikIsciOrani,0)</f>
        <v/>
      </c>
      <c r="E350" s="112">
        <f>ROUND($B350*KarliyukStopajOrani,0)</f>
        <v/>
      </c>
      <c r="F350" s="112">
        <f>ROUND($B350*KarliyukDamgaOrani,0)</f>
        <v/>
      </c>
      <c r="G350" s="112">
        <f>$B350-$C350-$D350-$E350-$F350</f>
        <v/>
      </c>
      <c r="H350" s="112">
        <f>ROUND($B350*KarliyukSgkIsverenOrani,0)</f>
        <v/>
      </c>
      <c r="I350" s="112">
        <f>ROUND($B350*KarliyukIssizlikIsverenOrani,0)</f>
        <v/>
      </c>
      <c r="J350" s="112">
        <f>$B350+$H350+$I350</f>
        <v/>
      </c>
      <c r="K350" s="114" t="n"/>
    </row>
    <row r="351" ht="15" customHeight="1" s="68">
      <c r="A351" s="114" t="n"/>
      <c r="B351" s="114" t="n"/>
      <c r="C351" s="112">
        <f>ROUND($B351*KarliyukSgkIsciOrani,0)</f>
        <v/>
      </c>
      <c r="D351" s="112">
        <f>ROUND($B351*KarliyukIssizlikIsciOrani,0)</f>
        <v/>
      </c>
      <c r="E351" s="112">
        <f>ROUND($B351*KarliyukStopajOrani,0)</f>
        <v/>
      </c>
      <c r="F351" s="112">
        <f>ROUND($B351*KarliyukDamgaOrani,0)</f>
        <v/>
      </c>
      <c r="G351" s="112">
        <f>$B351-$C351-$D351-$E351-$F351</f>
        <v/>
      </c>
      <c r="H351" s="112">
        <f>ROUND($B351*KarliyukSgkIsverenOrani,0)</f>
        <v/>
      </c>
      <c r="I351" s="112">
        <f>ROUND($B351*KarliyukIssizlikIsverenOrani,0)</f>
        <v/>
      </c>
      <c r="J351" s="112">
        <f>$B351+$H351+$I351</f>
        <v/>
      </c>
      <c r="K351" s="114" t="n"/>
    </row>
    <row r="352" ht="15" customHeight="1" s="68">
      <c r="A352" s="114" t="n"/>
      <c r="B352" s="114" t="n"/>
      <c r="C352" s="112">
        <f>ROUND($B352*KarliyukSgkIsciOrani,0)</f>
        <v/>
      </c>
      <c r="D352" s="112">
        <f>ROUND($B352*KarliyukIssizlikIsciOrani,0)</f>
        <v/>
      </c>
      <c r="E352" s="112">
        <f>ROUND($B352*KarliyukStopajOrani,0)</f>
        <v/>
      </c>
      <c r="F352" s="112">
        <f>ROUND($B352*KarliyukDamgaOrani,0)</f>
        <v/>
      </c>
      <c r="G352" s="112">
        <f>$B352-$C352-$D352-$E352-$F352</f>
        <v/>
      </c>
      <c r="H352" s="112">
        <f>ROUND($B352*KarliyukSgkIsverenOrani,0)</f>
        <v/>
      </c>
      <c r="I352" s="112">
        <f>ROUND($B352*KarliyukIssizlikIsverenOrani,0)</f>
        <v/>
      </c>
      <c r="J352" s="112">
        <f>$B352+$H352+$I352</f>
        <v/>
      </c>
      <c r="K352" s="114" t="n"/>
    </row>
    <row r="353" ht="15" customHeight="1" s="68">
      <c r="A353" s="114" t="n"/>
      <c r="B353" s="114" t="n"/>
      <c r="C353" s="112">
        <f>ROUND($B353*KarliyukSgkIsciOrani,0)</f>
        <v/>
      </c>
      <c r="D353" s="112">
        <f>ROUND($B353*KarliyukIssizlikIsciOrani,0)</f>
        <v/>
      </c>
      <c r="E353" s="112">
        <f>ROUND($B353*KarliyukStopajOrani,0)</f>
        <v/>
      </c>
      <c r="F353" s="112">
        <f>ROUND($B353*KarliyukDamgaOrani,0)</f>
        <v/>
      </c>
      <c r="G353" s="112">
        <f>$B353-$C353-$D353-$E353-$F353</f>
        <v/>
      </c>
      <c r="H353" s="112">
        <f>ROUND($B353*KarliyukSgkIsverenOrani,0)</f>
        <v/>
      </c>
      <c r="I353" s="112">
        <f>ROUND($B353*KarliyukIssizlikIsverenOrani,0)</f>
        <v/>
      </c>
      <c r="J353" s="112">
        <f>$B353+$H353+$I353</f>
        <v/>
      </c>
      <c r="K353" s="114" t="n"/>
    </row>
    <row r="354" ht="15" customHeight="1" s="68">
      <c r="A354" s="114" t="n"/>
      <c r="B354" s="114" t="n"/>
      <c r="C354" s="112">
        <f>ROUND($B354*KarliyukSgkIsciOrani,0)</f>
        <v/>
      </c>
      <c r="D354" s="112">
        <f>ROUND($B354*KarliyukIssizlikIsciOrani,0)</f>
        <v/>
      </c>
      <c r="E354" s="112">
        <f>ROUND($B354*KarliyukStopajOrani,0)</f>
        <v/>
      </c>
      <c r="F354" s="112">
        <f>ROUND($B354*KarliyukDamgaOrani,0)</f>
        <v/>
      </c>
      <c r="G354" s="112">
        <f>$B354-$C354-$D354-$E354-$F354</f>
        <v/>
      </c>
      <c r="H354" s="112">
        <f>ROUND($B354*KarliyukSgkIsverenOrani,0)</f>
        <v/>
      </c>
      <c r="I354" s="112">
        <f>ROUND($B354*KarliyukIssizlikIsverenOrani,0)</f>
        <v/>
      </c>
      <c r="J354" s="112">
        <f>$B354+$H354+$I354</f>
        <v/>
      </c>
      <c r="K354" s="114" t="n"/>
    </row>
    <row r="355" ht="15" customHeight="1" s="68">
      <c r="A355" s="114" t="n"/>
      <c r="B355" s="114" t="n"/>
      <c r="C355" s="112">
        <f>ROUND($B355*KarliyukSgkIsciOrani,0)</f>
        <v/>
      </c>
      <c r="D355" s="112">
        <f>ROUND($B355*KarliyukIssizlikIsciOrani,0)</f>
        <v/>
      </c>
      <c r="E355" s="112">
        <f>ROUND($B355*KarliyukStopajOrani,0)</f>
        <v/>
      </c>
      <c r="F355" s="112">
        <f>ROUND($B355*KarliyukDamgaOrani,0)</f>
        <v/>
      </c>
      <c r="G355" s="112">
        <f>$B355-$C355-$D355-$E355-$F355</f>
        <v/>
      </c>
      <c r="H355" s="112">
        <f>ROUND($B355*KarliyukSgkIsverenOrani,0)</f>
        <v/>
      </c>
      <c r="I355" s="112">
        <f>ROUND($B355*KarliyukIssizlikIsverenOrani,0)</f>
        <v/>
      </c>
      <c r="J355" s="112">
        <f>$B355+$H355+$I355</f>
        <v/>
      </c>
      <c r="K355" s="114" t="n"/>
    </row>
    <row r="356" ht="15" customHeight="1" s="68">
      <c r="A356" s="114" t="n"/>
      <c r="B356" s="114" t="n"/>
      <c r="C356" s="112">
        <f>ROUND($B356*KarliyukSgkIsciOrani,0)</f>
        <v/>
      </c>
      <c r="D356" s="112">
        <f>ROUND($B356*KarliyukIssizlikIsciOrani,0)</f>
        <v/>
      </c>
      <c r="E356" s="112">
        <f>ROUND($B356*KarliyukStopajOrani,0)</f>
        <v/>
      </c>
      <c r="F356" s="112">
        <f>ROUND($B356*KarliyukDamgaOrani,0)</f>
        <v/>
      </c>
      <c r="G356" s="112">
        <f>$B356-$C356-$D356-$E356-$F356</f>
        <v/>
      </c>
      <c r="H356" s="112">
        <f>ROUND($B356*KarliyukSgkIsverenOrani,0)</f>
        <v/>
      </c>
      <c r="I356" s="112">
        <f>ROUND($B356*KarliyukIssizlikIsverenOrani,0)</f>
        <v/>
      </c>
      <c r="J356" s="112">
        <f>$B356+$H356+$I356</f>
        <v/>
      </c>
      <c r="K356" s="114" t="n"/>
    </row>
    <row r="357" ht="15" customHeight="1" s="68">
      <c r="A357" s="114" t="n"/>
      <c r="B357" s="114" t="n"/>
      <c r="C357" s="112">
        <f>ROUND($B357*KarliyukSgkIsciOrani,0)</f>
        <v/>
      </c>
      <c r="D357" s="112">
        <f>ROUND($B357*KarliyukIssizlikIsciOrani,0)</f>
        <v/>
      </c>
      <c r="E357" s="112">
        <f>ROUND($B357*KarliyukStopajOrani,0)</f>
        <v/>
      </c>
      <c r="F357" s="112">
        <f>ROUND($B357*KarliyukDamgaOrani,0)</f>
        <v/>
      </c>
      <c r="G357" s="112">
        <f>$B357-$C357-$D357-$E357-$F357</f>
        <v/>
      </c>
      <c r="H357" s="112">
        <f>ROUND($B357*KarliyukSgkIsverenOrani,0)</f>
        <v/>
      </c>
      <c r="I357" s="112">
        <f>ROUND($B357*KarliyukIssizlikIsverenOrani,0)</f>
        <v/>
      </c>
      <c r="J357" s="112">
        <f>$B357+$H357+$I357</f>
        <v/>
      </c>
      <c r="K357" s="114" t="n"/>
    </row>
    <row r="358" ht="15" customHeight="1" s="68">
      <c r="A358" s="114" t="n"/>
      <c r="B358" s="114" t="n"/>
      <c r="C358" s="112">
        <f>ROUND($B358*KarliyukSgkIsciOrani,0)</f>
        <v/>
      </c>
      <c r="D358" s="112">
        <f>ROUND($B358*KarliyukIssizlikIsciOrani,0)</f>
        <v/>
      </c>
      <c r="E358" s="112">
        <f>ROUND($B358*KarliyukStopajOrani,0)</f>
        <v/>
      </c>
      <c r="F358" s="112">
        <f>ROUND($B358*KarliyukDamgaOrani,0)</f>
        <v/>
      </c>
      <c r="G358" s="112">
        <f>$B358-$C358-$D358-$E358-$F358</f>
        <v/>
      </c>
      <c r="H358" s="112">
        <f>ROUND($B358*KarliyukSgkIsverenOrani,0)</f>
        <v/>
      </c>
      <c r="I358" s="112">
        <f>ROUND($B358*KarliyukIssizlikIsverenOrani,0)</f>
        <v/>
      </c>
      <c r="J358" s="112">
        <f>$B358+$H358+$I358</f>
        <v/>
      </c>
      <c r="K358" s="114" t="n"/>
    </row>
    <row r="359" ht="15" customHeight="1" s="68">
      <c r="A359" s="114" t="n"/>
      <c r="B359" s="114" t="n"/>
      <c r="C359" s="112">
        <f>ROUND($B359*KarliyukSgkIsciOrani,0)</f>
        <v/>
      </c>
      <c r="D359" s="112">
        <f>ROUND($B359*KarliyukIssizlikIsciOrani,0)</f>
        <v/>
      </c>
      <c r="E359" s="112">
        <f>ROUND($B359*KarliyukStopajOrani,0)</f>
        <v/>
      </c>
      <c r="F359" s="112">
        <f>ROUND($B359*KarliyukDamgaOrani,0)</f>
        <v/>
      </c>
      <c r="G359" s="112">
        <f>$B359-$C359-$D359-$E359-$F359</f>
        <v/>
      </c>
      <c r="H359" s="112">
        <f>ROUND($B359*KarliyukSgkIsverenOrani,0)</f>
        <v/>
      </c>
      <c r="I359" s="112">
        <f>ROUND($B359*KarliyukIssizlikIsverenOrani,0)</f>
        <v/>
      </c>
      <c r="J359" s="112">
        <f>$B359+$H359+$I359</f>
        <v/>
      </c>
      <c r="K359" s="114" t="n"/>
    </row>
    <row r="360" ht="15" customHeight="1" s="68">
      <c r="A360" s="114" t="n"/>
      <c r="B360" s="114" t="n"/>
      <c r="C360" s="112">
        <f>ROUND($B360*KarliyukSgkIsciOrani,0)</f>
        <v/>
      </c>
      <c r="D360" s="112">
        <f>ROUND($B360*KarliyukIssizlikIsciOrani,0)</f>
        <v/>
      </c>
      <c r="E360" s="112">
        <f>ROUND($B360*KarliyukStopajOrani,0)</f>
        <v/>
      </c>
      <c r="F360" s="112">
        <f>ROUND($B360*KarliyukDamgaOrani,0)</f>
        <v/>
      </c>
      <c r="G360" s="112">
        <f>$B360-$C360-$D360-$E360-$F360</f>
        <v/>
      </c>
      <c r="H360" s="112">
        <f>ROUND($B360*KarliyukSgkIsverenOrani,0)</f>
        <v/>
      </c>
      <c r="I360" s="112">
        <f>ROUND($B360*KarliyukIssizlikIsverenOrani,0)</f>
        <v/>
      </c>
      <c r="J360" s="112">
        <f>$B360+$H360+$I360</f>
        <v/>
      </c>
      <c r="K360" s="114" t="n"/>
    </row>
    <row r="361" ht="15" customHeight="1" s="68">
      <c r="A361" s="114" t="n"/>
      <c r="B361" s="114" t="n"/>
      <c r="C361" s="112">
        <f>ROUND($B361*KarliyukSgkIsciOrani,0)</f>
        <v/>
      </c>
      <c r="D361" s="112">
        <f>ROUND($B361*KarliyukIssizlikIsciOrani,0)</f>
        <v/>
      </c>
      <c r="E361" s="112">
        <f>ROUND($B361*KarliyukStopajOrani,0)</f>
        <v/>
      </c>
      <c r="F361" s="112">
        <f>ROUND($B361*KarliyukDamgaOrani,0)</f>
        <v/>
      </c>
      <c r="G361" s="112">
        <f>$B361-$C361-$D361-$E361-$F361</f>
        <v/>
      </c>
      <c r="H361" s="112">
        <f>ROUND($B361*KarliyukSgkIsverenOrani,0)</f>
        <v/>
      </c>
      <c r="I361" s="112">
        <f>ROUND($B361*KarliyukIssizlikIsverenOrani,0)</f>
        <v/>
      </c>
      <c r="J361" s="112">
        <f>$B361+$H361+$I361</f>
        <v/>
      </c>
      <c r="K361" s="114" t="n"/>
    </row>
    <row r="362" ht="15" customHeight="1" s="68">
      <c r="A362" s="114" t="n"/>
      <c r="B362" s="114" t="n"/>
      <c r="C362" s="112">
        <f>ROUND($B362*KarliyukSgkIsciOrani,0)</f>
        <v/>
      </c>
      <c r="D362" s="112">
        <f>ROUND($B362*KarliyukIssizlikIsciOrani,0)</f>
        <v/>
      </c>
      <c r="E362" s="112">
        <f>ROUND($B362*KarliyukStopajOrani,0)</f>
        <v/>
      </c>
      <c r="F362" s="112">
        <f>ROUND($B362*KarliyukDamgaOrani,0)</f>
        <v/>
      </c>
      <c r="G362" s="112">
        <f>$B362-$C362-$D362-$E362-$F362</f>
        <v/>
      </c>
      <c r="H362" s="112">
        <f>ROUND($B362*KarliyukSgkIsverenOrani,0)</f>
        <v/>
      </c>
      <c r="I362" s="112">
        <f>ROUND($B362*KarliyukIssizlikIsverenOrani,0)</f>
        <v/>
      </c>
      <c r="J362" s="112">
        <f>$B362+$H362+$I362</f>
        <v/>
      </c>
      <c r="K362" s="114" t="n"/>
    </row>
    <row r="363" ht="15" customHeight="1" s="68">
      <c r="A363" s="114" t="n"/>
      <c r="B363" s="114" t="n"/>
      <c r="C363" s="112">
        <f>ROUND($B363*KarliyukSgkIsciOrani,0)</f>
        <v/>
      </c>
      <c r="D363" s="112">
        <f>ROUND($B363*KarliyukIssizlikIsciOrani,0)</f>
        <v/>
      </c>
      <c r="E363" s="112">
        <f>ROUND($B363*KarliyukStopajOrani,0)</f>
        <v/>
      </c>
      <c r="F363" s="112">
        <f>ROUND($B363*KarliyukDamgaOrani,0)</f>
        <v/>
      </c>
      <c r="G363" s="112">
        <f>$B363-$C363-$D363-$E363-$F363</f>
        <v/>
      </c>
      <c r="H363" s="112">
        <f>ROUND($B363*KarliyukSgkIsverenOrani,0)</f>
        <v/>
      </c>
      <c r="I363" s="112">
        <f>ROUND($B363*KarliyukIssizlikIsverenOrani,0)</f>
        <v/>
      </c>
      <c r="J363" s="112">
        <f>$B363+$H363+$I363</f>
        <v/>
      </c>
      <c r="K363" s="114" t="n"/>
    </row>
    <row r="364" ht="15" customHeight="1" s="68">
      <c r="A364" s="114" t="n"/>
      <c r="B364" s="114" t="n"/>
      <c r="C364" s="112">
        <f>ROUND($B364*KarliyukSgkIsciOrani,0)</f>
        <v/>
      </c>
      <c r="D364" s="112">
        <f>ROUND($B364*KarliyukIssizlikIsciOrani,0)</f>
        <v/>
      </c>
      <c r="E364" s="112">
        <f>ROUND($B364*KarliyukStopajOrani,0)</f>
        <v/>
      </c>
      <c r="F364" s="112">
        <f>ROUND($B364*KarliyukDamgaOrani,0)</f>
        <v/>
      </c>
      <c r="G364" s="112">
        <f>$B364-$C364-$D364-$E364-$F364</f>
        <v/>
      </c>
      <c r="H364" s="112">
        <f>ROUND($B364*KarliyukSgkIsverenOrani,0)</f>
        <v/>
      </c>
      <c r="I364" s="112">
        <f>ROUND($B364*KarliyukIssizlikIsverenOrani,0)</f>
        <v/>
      </c>
      <c r="J364" s="112">
        <f>$B364+$H364+$I364</f>
        <v/>
      </c>
      <c r="K364" s="114" t="n"/>
    </row>
    <row r="365" ht="15" customHeight="1" s="68">
      <c r="A365" s="114" t="n"/>
      <c r="B365" s="114" t="n"/>
      <c r="C365" s="112">
        <f>ROUND($B365*KarliyukSgkIsciOrani,0)</f>
        <v/>
      </c>
      <c r="D365" s="112">
        <f>ROUND($B365*KarliyukIssizlikIsciOrani,0)</f>
        <v/>
      </c>
      <c r="E365" s="112">
        <f>ROUND($B365*KarliyukStopajOrani,0)</f>
        <v/>
      </c>
      <c r="F365" s="112">
        <f>ROUND($B365*KarliyukDamgaOrani,0)</f>
        <v/>
      </c>
      <c r="G365" s="112">
        <f>$B365-$C365-$D365-$E365-$F365</f>
        <v/>
      </c>
      <c r="H365" s="112">
        <f>ROUND($B365*KarliyukSgkIsverenOrani,0)</f>
        <v/>
      </c>
      <c r="I365" s="112">
        <f>ROUND($B365*KarliyukIssizlikIsverenOrani,0)</f>
        <v/>
      </c>
      <c r="J365" s="112">
        <f>$B365+$H365+$I365</f>
        <v/>
      </c>
      <c r="K365" s="114" t="n"/>
    </row>
    <row r="366" ht="15" customHeight="1" s="68">
      <c r="A366" s="114" t="n"/>
      <c r="B366" s="114" t="n"/>
      <c r="C366" s="112">
        <f>ROUND($B366*KarliyukSgkIsciOrani,0)</f>
        <v/>
      </c>
      <c r="D366" s="112">
        <f>ROUND($B366*KarliyukIssizlikIsciOrani,0)</f>
        <v/>
      </c>
      <c r="E366" s="112">
        <f>ROUND($B366*KarliyukStopajOrani,0)</f>
        <v/>
      </c>
      <c r="F366" s="112">
        <f>ROUND($B366*KarliyukDamgaOrani,0)</f>
        <v/>
      </c>
      <c r="G366" s="112">
        <f>$B366-$C366-$D366-$E366-$F366</f>
        <v/>
      </c>
      <c r="H366" s="112">
        <f>ROUND($B366*KarliyukSgkIsverenOrani,0)</f>
        <v/>
      </c>
      <c r="I366" s="112">
        <f>ROUND($B366*KarliyukIssizlikIsverenOrani,0)</f>
        <v/>
      </c>
      <c r="J366" s="112">
        <f>$B366+$H366+$I366</f>
        <v/>
      </c>
      <c r="K366" s="114" t="n"/>
    </row>
    <row r="367" ht="15" customHeight="1" s="68">
      <c r="A367" s="114" t="n"/>
      <c r="B367" s="114" t="n"/>
      <c r="C367" s="112">
        <f>ROUND($B367*KarliyukSgkIsciOrani,0)</f>
        <v/>
      </c>
      <c r="D367" s="112">
        <f>ROUND($B367*KarliyukIssizlikIsciOrani,0)</f>
        <v/>
      </c>
      <c r="E367" s="112">
        <f>ROUND($B367*KarliyukStopajOrani,0)</f>
        <v/>
      </c>
      <c r="F367" s="112">
        <f>ROUND($B367*KarliyukDamgaOrani,0)</f>
        <v/>
      </c>
      <c r="G367" s="112">
        <f>$B367-$C367-$D367-$E367-$F367</f>
        <v/>
      </c>
      <c r="H367" s="112">
        <f>ROUND($B367*KarliyukSgkIsverenOrani,0)</f>
        <v/>
      </c>
      <c r="I367" s="112">
        <f>ROUND($B367*KarliyukIssizlikIsverenOrani,0)</f>
        <v/>
      </c>
      <c r="J367" s="112">
        <f>$B367+$H367+$I367</f>
        <v/>
      </c>
      <c r="K367" s="114" t="n"/>
    </row>
    <row r="368" ht="15" customHeight="1" s="68">
      <c r="A368" s="114" t="n"/>
      <c r="B368" s="114" t="n"/>
      <c r="C368" s="112">
        <f>ROUND($B368*KarliyukSgkIsciOrani,0)</f>
        <v/>
      </c>
      <c r="D368" s="112">
        <f>ROUND($B368*KarliyukIssizlikIsciOrani,0)</f>
        <v/>
      </c>
      <c r="E368" s="112">
        <f>ROUND($B368*KarliyukStopajOrani,0)</f>
        <v/>
      </c>
      <c r="F368" s="112">
        <f>ROUND($B368*KarliyukDamgaOrani,0)</f>
        <v/>
      </c>
      <c r="G368" s="112">
        <f>$B368-$C368-$D368-$E368-$F368</f>
        <v/>
      </c>
      <c r="H368" s="112">
        <f>ROUND($B368*KarliyukSgkIsverenOrani,0)</f>
        <v/>
      </c>
      <c r="I368" s="112">
        <f>ROUND($B368*KarliyukIssizlikIsverenOrani,0)</f>
        <v/>
      </c>
      <c r="J368" s="112">
        <f>$B368+$H368+$I368</f>
        <v/>
      </c>
      <c r="K368" s="114" t="n"/>
    </row>
    <row r="369" ht="15" customHeight="1" s="68">
      <c r="A369" s="114" t="n"/>
      <c r="B369" s="114" t="n"/>
      <c r="C369" s="112">
        <f>ROUND($B369*KarliyukSgkIsciOrani,0)</f>
        <v/>
      </c>
      <c r="D369" s="112">
        <f>ROUND($B369*KarliyukIssizlikIsciOrani,0)</f>
        <v/>
      </c>
      <c r="E369" s="112">
        <f>ROUND($B369*KarliyukStopajOrani,0)</f>
        <v/>
      </c>
      <c r="F369" s="112">
        <f>ROUND($B369*KarliyukDamgaOrani,0)</f>
        <v/>
      </c>
      <c r="G369" s="112">
        <f>$B369-$C369-$D369-$E369-$F369</f>
        <v/>
      </c>
      <c r="H369" s="112">
        <f>ROUND($B369*KarliyukSgkIsverenOrani,0)</f>
        <v/>
      </c>
      <c r="I369" s="112">
        <f>ROUND($B369*KarliyukIssizlikIsverenOrani,0)</f>
        <v/>
      </c>
      <c r="J369" s="112">
        <f>$B369+$H369+$I369</f>
        <v/>
      </c>
      <c r="K369" s="114" t="n"/>
    </row>
    <row r="370" ht="15" customHeight="1" s="68">
      <c r="A370" s="114" t="n"/>
      <c r="B370" s="114" t="n"/>
      <c r="C370" s="112">
        <f>ROUND($B370*KarliyukSgkIsciOrani,0)</f>
        <v/>
      </c>
      <c r="D370" s="112">
        <f>ROUND($B370*KarliyukIssizlikIsciOrani,0)</f>
        <v/>
      </c>
      <c r="E370" s="112">
        <f>ROUND($B370*KarliyukStopajOrani,0)</f>
        <v/>
      </c>
      <c r="F370" s="112">
        <f>ROUND($B370*KarliyukDamgaOrani,0)</f>
        <v/>
      </c>
      <c r="G370" s="112">
        <f>$B370-$C370-$D370-$E370-$F370</f>
        <v/>
      </c>
      <c r="H370" s="112">
        <f>ROUND($B370*KarliyukSgkIsverenOrani,0)</f>
        <v/>
      </c>
      <c r="I370" s="112">
        <f>ROUND($B370*KarliyukIssizlikIsverenOrani,0)</f>
        <v/>
      </c>
      <c r="J370" s="112">
        <f>$B370+$H370+$I370</f>
        <v/>
      </c>
      <c r="K370" s="114" t="n"/>
    </row>
    <row r="371" ht="15" customHeight="1" s="68">
      <c r="A371" s="114" t="n"/>
      <c r="B371" s="114" t="n"/>
      <c r="C371" s="112">
        <f>ROUND($B371*KarliyukSgkIsciOrani,0)</f>
        <v/>
      </c>
      <c r="D371" s="112">
        <f>ROUND($B371*KarliyukIssizlikIsciOrani,0)</f>
        <v/>
      </c>
      <c r="E371" s="112">
        <f>ROUND($B371*KarliyukStopajOrani,0)</f>
        <v/>
      </c>
      <c r="F371" s="112">
        <f>ROUND($B371*KarliyukDamgaOrani,0)</f>
        <v/>
      </c>
      <c r="G371" s="112">
        <f>$B371-$C371-$D371-$E371-$F371</f>
        <v/>
      </c>
      <c r="H371" s="112">
        <f>ROUND($B371*KarliyukSgkIsverenOrani,0)</f>
        <v/>
      </c>
      <c r="I371" s="112">
        <f>ROUND($B371*KarliyukIssizlikIsverenOrani,0)</f>
        <v/>
      </c>
      <c r="J371" s="112">
        <f>$B371+$H371+$I371</f>
        <v/>
      </c>
      <c r="K371" s="114" t="n"/>
    </row>
    <row r="372" ht="15" customHeight="1" s="68">
      <c r="A372" s="114" t="n"/>
      <c r="B372" s="114" t="n"/>
      <c r="C372" s="112">
        <f>ROUND($B372*KarliyukSgkIsciOrani,0)</f>
        <v/>
      </c>
      <c r="D372" s="112">
        <f>ROUND($B372*KarliyukIssizlikIsciOrani,0)</f>
        <v/>
      </c>
      <c r="E372" s="112">
        <f>ROUND($B372*KarliyukStopajOrani,0)</f>
        <v/>
      </c>
      <c r="F372" s="112">
        <f>ROUND($B372*KarliyukDamgaOrani,0)</f>
        <v/>
      </c>
      <c r="G372" s="112">
        <f>$B372-$C372-$D372-$E372-$F372</f>
        <v/>
      </c>
      <c r="H372" s="112">
        <f>ROUND($B372*KarliyukSgkIsverenOrani,0)</f>
        <v/>
      </c>
      <c r="I372" s="112">
        <f>ROUND($B372*KarliyukIssizlikIsverenOrani,0)</f>
        <v/>
      </c>
      <c r="J372" s="112">
        <f>$B372+$H372+$I372</f>
        <v/>
      </c>
      <c r="K372" s="114" t="n"/>
    </row>
    <row r="373" ht="15" customHeight="1" s="68">
      <c r="A373" s="114" t="n"/>
      <c r="B373" s="114" t="n"/>
      <c r="C373" s="112">
        <f>ROUND($B373*KarliyukSgkIsciOrani,0)</f>
        <v/>
      </c>
      <c r="D373" s="112">
        <f>ROUND($B373*KarliyukIssizlikIsciOrani,0)</f>
        <v/>
      </c>
      <c r="E373" s="112">
        <f>ROUND($B373*KarliyukStopajOrani,0)</f>
        <v/>
      </c>
      <c r="F373" s="112">
        <f>ROUND($B373*KarliyukDamgaOrani,0)</f>
        <v/>
      </c>
      <c r="G373" s="112">
        <f>$B373-$C373-$D373-$E373-$F373</f>
        <v/>
      </c>
      <c r="H373" s="112">
        <f>ROUND($B373*KarliyukSgkIsverenOrani,0)</f>
        <v/>
      </c>
      <c r="I373" s="112">
        <f>ROUND($B373*KarliyukIssizlikIsverenOrani,0)</f>
        <v/>
      </c>
      <c r="J373" s="112">
        <f>$B373+$H373+$I373</f>
        <v/>
      </c>
      <c r="K373" s="114" t="n"/>
    </row>
    <row r="374" ht="15" customHeight="1" s="68">
      <c r="A374" s="114" t="n"/>
      <c r="B374" s="114" t="n"/>
      <c r="C374" s="112">
        <f>ROUND($B374*KarliyukSgkIsciOrani,0)</f>
        <v/>
      </c>
      <c r="D374" s="112">
        <f>ROUND($B374*KarliyukIssizlikIsciOrani,0)</f>
        <v/>
      </c>
      <c r="E374" s="112">
        <f>ROUND($B374*KarliyukStopajOrani,0)</f>
        <v/>
      </c>
      <c r="F374" s="112">
        <f>ROUND($B374*KarliyukDamgaOrani,0)</f>
        <v/>
      </c>
      <c r="G374" s="112">
        <f>$B374-$C374-$D374-$E374-$F374</f>
        <v/>
      </c>
      <c r="H374" s="112">
        <f>ROUND($B374*KarliyukSgkIsverenOrani,0)</f>
        <v/>
      </c>
      <c r="I374" s="112">
        <f>ROUND($B374*KarliyukIssizlikIsverenOrani,0)</f>
        <v/>
      </c>
      <c r="J374" s="112">
        <f>$B374+$H374+$I374</f>
        <v/>
      </c>
      <c r="K374" s="114" t="n"/>
    </row>
    <row r="375" ht="15" customHeight="1" s="68">
      <c r="A375" s="114" t="n"/>
      <c r="B375" s="114" t="n"/>
      <c r="C375" s="112">
        <f>ROUND($B375*KarliyukSgkIsciOrani,0)</f>
        <v/>
      </c>
      <c r="D375" s="112">
        <f>ROUND($B375*KarliyukIssizlikIsciOrani,0)</f>
        <v/>
      </c>
      <c r="E375" s="112">
        <f>ROUND($B375*KarliyukStopajOrani,0)</f>
        <v/>
      </c>
      <c r="F375" s="112">
        <f>ROUND($B375*KarliyukDamgaOrani,0)</f>
        <v/>
      </c>
      <c r="G375" s="112">
        <f>$B375-$C375-$D375-$E375-$F375</f>
        <v/>
      </c>
      <c r="H375" s="112">
        <f>ROUND($B375*KarliyukSgkIsverenOrani,0)</f>
        <v/>
      </c>
      <c r="I375" s="112">
        <f>ROUND($B375*KarliyukIssizlikIsverenOrani,0)</f>
        <v/>
      </c>
      <c r="J375" s="112">
        <f>$B375+$H375+$I375</f>
        <v/>
      </c>
      <c r="K375" s="114" t="n"/>
    </row>
    <row r="376" ht="15" customHeight="1" s="68">
      <c r="A376" s="114" t="n"/>
      <c r="B376" s="114" t="n"/>
      <c r="C376" s="112">
        <f>ROUND($B376*KarliyukSgkIsciOrani,0)</f>
        <v/>
      </c>
      <c r="D376" s="112">
        <f>ROUND($B376*KarliyukIssizlikIsciOrani,0)</f>
        <v/>
      </c>
      <c r="E376" s="112">
        <f>ROUND($B376*KarliyukStopajOrani,0)</f>
        <v/>
      </c>
      <c r="F376" s="112">
        <f>ROUND($B376*KarliyukDamgaOrani,0)</f>
        <v/>
      </c>
      <c r="G376" s="112">
        <f>$B376-$C376-$D376-$E376-$F376</f>
        <v/>
      </c>
      <c r="H376" s="112">
        <f>ROUND($B376*KarliyukSgkIsverenOrani,0)</f>
        <v/>
      </c>
      <c r="I376" s="112">
        <f>ROUND($B376*KarliyukIssizlikIsverenOrani,0)</f>
        <v/>
      </c>
      <c r="J376" s="112">
        <f>$B376+$H376+$I376</f>
        <v/>
      </c>
      <c r="K376" s="114" t="n"/>
    </row>
    <row r="377" ht="15" customHeight="1" s="68">
      <c r="A377" s="114" t="n"/>
      <c r="B377" s="114" t="n"/>
      <c r="C377" s="112">
        <f>ROUND($B377*KarliyukSgkIsciOrani,0)</f>
        <v/>
      </c>
      <c r="D377" s="112">
        <f>ROUND($B377*KarliyukIssizlikIsciOrani,0)</f>
        <v/>
      </c>
      <c r="E377" s="112">
        <f>ROUND($B377*KarliyukStopajOrani,0)</f>
        <v/>
      </c>
      <c r="F377" s="112">
        <f>ROUND($B377*KarliyukDamgaOrani,0)</f>
        <v/>
      </c>
      <c r="G377" s="112">
        <f>$B377-$C377-$D377-$E377-$F377</f>
        <v/>
      </c>
      <c r="H377" s="112">
        <f>ROUND($B377*KarliyukSgkIsverenOrani,0)</f>
        <v/>
      </c>
      <c r="I377" s="112">
        <f>ROUND($B377*KarliyukIssizlikIsverenOrani,0)</f>
        <v/>
      </c>
      <c r="J377" s="112">
        <f>$B377+$H377+$I377</f>
        <v/>
      </c>
      <c r="K377" s="114" t="n"/>
    </row>
    <row r="378" ht="15" customHeight="1" s="68">
      <c r="A378" s="114" t="n"/>
      <c r="B378" s="114" t="n"/>
      <c r="C378" s="112">
        <f>ROUND($B378*KarliyukSgkIsciOrani,0)</f>
        <v/>
      </c>
      <c r="D378" s="112">
        <f>ROUND($B378*KarliyukIssizlikIsciOrani,0)</f>
        <v/>
      </c>
      <c r="E378" s="112">
        <f>ROUND($B378*KarliyukStopajOrani,0)</f>
        <v/>
      </c>
      <c r="F378" s="112">
        <f>ROUND($B378*KarliyukDamgaOrani,0)</f>
        <v/>
      </c>
      <c r="G378" s="112">
        <f>$B378-$C378-$D378-$E378-$F378</f>
        <v/>
      </c>
      <c r="H378" s="112">
        <f>ROUND($B378*KarliyukSgkIsverenOrani,0)</f>
        <v/>
      </c>
      <c r="I378" s="112">
        <f>ROUND($B378*KarliyukIssizlikIsverenOrani,0)</f>
        <v/>
      </c>
      <c r="J378" s="112">
        <f>$B378+$H378+$I378</f>
        <v/>
      </c>
      <c r="K378" s="114" t="n"/>
    </row>
    <row r="379" ht="15" customHeight="1" s="68">
      <c r="A379" s="114" t="n"/>
      <c r="B379" s="114" t="n"/>
      <c r="C379" s="112">
        <f>ROUND($B379*KarliyukSgkIsciOrani,0)</f>
        <v/>
      </c>
      <c r="D379" s="112">
        <f>ROUND($B379*KarliyukIssizlikIsciOrani,0)</f>
        <v/>
      </c>
      <c r="E379" s="112">
        <f>ROUND($B379*KarliyukStopajOrani,0)</f>
        <v/>
      </c>
      <c r="F379" s="112">
        <f>ROUND($B379*KarliyukDamgaOrani,0)</f>
        <v/>
      </c>
      <c r="G379" s="112">
        <f>$B379-$C379-$D379-$E379-$F379</f>
        <v/>
      </c>
      <c r="H379" s="112">
        <f>ROUND($B379*KarliyukSgkIsverenOrani,0)</f>
        <v/>
      </c>
      <c r="I379" s="112">
        <f>ROUND($B379*KarliyukIssizlikIsverenOrani,0)</f>
        <v/>
      </c>
      <c r="J379" s="112">
        <f>$B379+$H379+$I379</f>
        <v/>
      </c>
      <c r="K379" s="114" t="n"/>
    </row>
    <row r="380" ht="15" customHeight="1" s="68">
      <c r="A380" s="114" t="n"/>
      <c r="B380" s="114" t="n"/>
      <c r="C380" s="112">
        <f>ROUND($B380*KarliyukSgkIsciOrani,0)</f>
        <v/>
      </c>
      <c r="D380" s="112">
        <f>ROUND($B380*KarliyukIssizlikIsciOrani,0)</f>
        <v/>
      </c>
      <c r="E380" s="112">
        <f>ROUND($B380*KarliyukStopajOrani,0)</f>
        <v/>
      </c>
      <c r="F380" s="112">
        <f>ROUND($B380*KarliyukDamgaOrani,0)</f>
        <v/>
      </c>
      <c r="G380" s="112">
        <f>$B380-$C380-$D380-$E380-$F380</f>
        <v/>
      </c>
      <c r="H380" s="112">
        <f>ROUND($B380*KarliyukSgkIsverenOrani,0)</f>
        <v/>
      </c>
      <c r="I380" s="112">
        <f>ROUND($B380*KarliyukIssizlikIsverenOrani,0)</f>
        <v/>
      </c>
      <c r="J380" s="112">
        <f>$B380+$H380+$I380</f>
        <v/>
      </c>
      <c r="K380" s="114" t="n"/>
    </row>
    <row r="381" ht="15" customHeight="1" s="68">
      <c r="A381" s="114" t="n"/>
      <c r="B381" s="114" t="n"/>
      <c r="C381" s="112">
        <f>ROUND($B381*KarliyukSgkIsciOrani,0)</f>
        <v/>
      </c>
      <c r="D381" s="112">
        <f>ROUND($B381*KarliyukIssizlikIsciOrani,0)</f>
        <v/>
      </c>
      <c r="E381" s="112">
        <f>ROUND($B381*KarliyukStopajOrani,0)</f>
        <v/>
      </c>
      <c r="F381" s="112">
        <f>ROUND($B381*KarliyukDamgaOrani,0)</f>
        <v/>
      </c>
      <c r="G381" s="112">
        <f>$B381-$C381-$D381-$E381-$F381</f>
        <v/>
      </c>
      <c r="H381" s="112">
        <f>ROUND($B381*KarliyukSgkIsverenOrani,0)</f>
        <v/>
      </c>
      <c r="I381" s="112">
        <f>ROUND($B381*KarliyukIssizlikIsverenOrani,0)</f>
        <v/>
      </c>
      <c r="J381" s="112">
        <f>$B381+$H381+$I381</f>
        <v/>
      </c>
      <c r="K381" s="114" t="n"/>
    </row>
    <row r="382" ht="15" customHeight="1" s="68">
      <c r="A382" s="114" t="n"/>
      <c r="B382" s="114" t="n"/>
      <c r="C382" s="112">
        <f>ROUND($B382*KarliyukSgkIsciOrani,0)</f>
        <v/>
      </c>
      <c r="D382" s="112">
        <f>ROUND($B382*KarliyukIssizlikIsciOrani,0)</f>
        <v/>
      </c>
      <c r="E382" s="112">
        <f>ROUND($B382*KarliyukStopajOrani,0)</f>
        <v/>
      </c>
      <c r="F382" s="112">
        <f>ROUND($B382*KarliyukDamgaOrani,0)</f>
        <v/>
      </c>
      <c r="G382" s="112">
        <f>$B382-$C382-$D382-$E382-$F382</f>
        <v/>
      </c>
      <c r="H382" s="112">
        <f>ROUND($B382*KarliyukSgkIsverenOrani,0)</f>
        <v/>
      </c>
      <c r="I382" s="112">
        <f>ROUND($B382*KarliyukIssizlikIsverenOrani,0)</f>
        <v/>
      </c>
      <c r="J382" s="112">
        <f>$B382+$H382+$I382</f>
        <v/>
      </c>
      <c r="K382" s="114" t="n"/>
    </row>
    <row r="383" ht="15" customHeight="1" s="68">
      <c r="A383" s="114" t="n"/>
      <c r="B383" s="114" t="n"/>
      <c r="C383" s="112">
        <f>ROUND($B383*KarliyukSgkIsciOrani,0)</f>
        <v/>
      </c>
      <c r="D383" s="112">
        <f>ROUND($B383*KarliyukIssizlikIsciOrani,0)</f>
        <v/>
      </c>
      <c r="E383" s="112">
        <f>ROUND($B383*KarliyukStopajOrani,0)</f>
        <v/>
      </c>
      <c r="F383" s="112">
        <f>ROUND($B383*KarliyukDamgaOrani,0)</f>
        <v/>
      </c>
      <c r="G383" s="112">
        <f>$B383-$C383-$D383-$E383-$F383</f>
        <v/>
      </c>
      <c r="H383" s="112">
        <f>ROUND($B383*KarliyukSgkIsverenOrani,0)</f>
        <v/>
      </c>
      <c r="I383" s="112">
        <f>ROUND($B383*KarliyukIssizlikIsverenOrani,0)</f>
        <v/>
      </c>
      <c r="J383" s="112">
        <f>$B383+$H383+$I383</f>
        <v/>
      </c>
      <c r="K383" s="114" t="n"/>
    </row>
    <row r="384" ht="15" customHeight="1" s="68">
      <c r="A384" s="114" t="n"/>
      <c r="B384" s="114" t="n"/>
      <c r="C384" s="112">
        <f>ROUND($B384*KarliyukSgkIsciOrani,0)</f>
        <v/>
      </c>
      <c r="D384" s="112">
        <f>ROUND($B384*KarliyukIssizlikIsciOrani,0)</f>
        <v/>
      </c>
      <c r="E384" s="112">
        <f>ROUND($B384*KarliyukStopajOrani,0)</f>
        <v/>
      </c>
      <c r="F384" s="112">
        <f>ROUND($B384*KarliyukDamgaOrani,0)</f>
        <v/>
      </c>
      <c r="G384" s="112">
        <f>$B384-$C384-$D384-$E384-$F384</f>
        <v/>
      </c>
      <c r="H384" s="112">
        <f>ROUND($B384*KarliyukSgkIsverenOrani,0)</f>
        <v/>
      </c>
      <c r="I384" s="112">
        <f>ROUND($B384*KarliyukIssizlikIsverenOrani,0)</f>
        <v/>
      </c>
      <c r="J384" s="112">
        <f>$B384+$H384+$I384</f>
        <v/>
      </c>
      <c r="K384" s="114" t="n"/>
    </row>
    <row r="385" ht="15" customHeight="1" s="68">
      <c r="A385" s="114" t="n"/>
      <c r="B385" s="114" t="n"/>
      <c r="C385" s="112">
        <f>ROUND($B385*KarliyukSgkIsciOrani,0)</f>
        <v/>
      </c>
      <c r="D385" s="112">
        <f>ROUND($B385*KarliyukIssizlikIsciOrani,0)</f>
        <v/>
      </c>
      <c r="E385" s="112">
        <f>ROUND($B385*KarliyukStopajOrani,0)</f>
        <v/>
      </c>
      <c r="F385" s="112">
        <f>ROUND($B385*KarliyukDamgaOrani,0)</f>
        <v/>
      </c>
      <c r="G385" s="112">
        <f>$B385-$C385-$D385-$E385-$F385</f>
        <v/>
      </c>
      <c r="H385" s="112">
        <f>ROUND($B385*KarliyukSgkIsverenOrani,0)</f>
        <v/>
      </c>
      <c r="I385" s="112">
        <f>ROUND($B385*KarliyukIssizlikIsverenOrani,0)</f>
        <v/>
      </c>
      <c r="J385" s="112">
        <f>$B385+$H385+$I385</f>
        <v/>
      </c>
      <c r="K385" s="114" t="n"/>
    </row>
    <row r="386" ht="15" customHeight="1" s="68">
      <c r="A386" s="114" t="n"/>
      <c r="B386" s="114" t="n"/>
      <c r="C386" s="112">
        <f>ROUND($B386*KarliyukSgkIsciOrani,0)</f>
        <v/>
      </c>
      <c r="D386" s="112">
        <f>ROUND($B386*KarliyukIssizlikIsciOrani,0)</f>
        <v/>
      </c>
      <c r="E386" s="112">
        <f>ROUND($B386*KarliyukStopajOrani,0)</f>
        <v/>
      </c>
      <c r="F386" s="112">
        <f>ROUND($B386*KarliyukDamgaOrani,0)</f>
        <v/>
      </c>
      <c r="G386" s="112">
        <f>$B386-$C386-$D386-$E386-$F386</f>
        <v/>
      </c>
      <c r="H386" s="112">
        <f>ROUND($B386*KarliyukSgkIsverenOrani,0)</f>
        <v/>
      </c>
      <c r="I386" s="112">
        <f>ROUND($B386*KarliyukIssizlikIsverenOrani,0)</f>
        <v/>
      </c>
      <c r="J386" s="112">
        <f>$B386+$H386+$I386</f>
        <v/>
      </c>
      <c r="K386" s="114" t="n"/>
    </row>
    <row r="387" ht="15" customHeight="1" s="68">
      <c r="A387" s="114" t="n"/>
      <c r="B387" s="114" t="n"/>
      <c r="C387" s="112">
        <f>ROUND($B387*KarliyukSgkIsciOrani,0)</f>
        <v/>
      </c>
      <c r="D387" s="112">
        <f>ROUND($B387*KarliyukIssizlikIsciOrani,0)</f>
        <v/>
      </c>
      <c r="E387" s="112">
        <f>ROUND($B387*KarliyukStopajOrani,0)</f>
        <v/>
      </c>
      <c r="F387" s="112">
        <f>ROUND($B387*KarliyukDamgaOrani,0)</f>
        <v/>
      </c>
      <c r="G387" s="112">
        <f>$B387-$C387-$D387-$E387-$F387</f>
        <v/>
      </c>
      <c r="H387" s="112">
        <f>ROUND($B387*KarliyukSgkIsverenOrani,0)</f>
        <v/>
      </c>
      <c r="I387" s="112">
        <f>ROUND($B387*KarliyukIssizlikIsverenOrani,0)</f>
        <v/>
      </c>
      <c r="J387" s="112">
        <f>$B387+$H387+$I387</f>
        <v/>
      </c>
      <c r="K387" s="114" t="n"/>
    </row>
    <row r="388" ht="15" customHeight="1" s="68">
      <c r="A388" s="114" t="n"/>
      <c r="B388" s="114" t="n"/>
      <c r="C388" s="112">
        <f>ROUND($B388*KarliyukSgkIsciOrani,0)</f>
        <v/>
      </c>
      <c r="D388" s="112">
        <f>ROUND($B388*KarliyukIssizlikIsciOrani,0)</f>
        <v/>
      </c>
      <c r="E388" s="112">
        <f>ROUND($B388*KarliyukStopajOrani,0)</f>
        <v/>
      </c>
      <c r="F388" s="112">
        <f>ROUND($B388*KarliyukDamgaOrani,0)</f>
        <v/>
      </c>
      <c r="G388" s="112">
        <f>$B388-$C388-$D388-$E388-$F388</f>
        <v/>
      </c>
      <c r="H388" s="112">
        <f>ROUND($B388*KarliyukSgkIsverenOrani,0)</f>
        <v/>
      </c>
      <c r="I388" s="112">
        <f>ROUND($B388*KarliyukIssizlikIsverenOrani,0)</f>
        <v/>
      </c>
      <c r="J388" s="112">
        <f>$B388+$H388+$I388</f>
        <v/>
      </c>
      <c r="K388" s="114" t="n"/>
    </row>
    <row r="389" ht="15" customHeight="1" s="68">
      <c r="A389" s="114" t="n"/>
      <c r="B389" s="114" t="n"/>
      <c r="C389" s="112">
        <f>ROUND($B389*KarliyukSgkIsciOrani,0)</f>
        <v/>
      </c>
      <c r="D389" s="112">
        <f>ROUND($B389*KarliyukIssizlikIsciOrani,0)</f>
        <v/>
      </c>
      <c r="E389" s="112">
        <f>ROUND($B389*KarliyukStopajOrani,0)</f>
        <v/>
      </c>
      <c r="F389" s="112">
        <f>ROUND($B389*KarliyukDamgaOrani,0)</f>
        <v/>
      </c>
      <c r="G389" s="112">
        <f>$B389-$C389-$D389-$E389-$F389</f>
        <v/>
      </c>
      <c r="H389" s="112">
        <f>ROUND($B389*KarliyukSgkIsverenOrani,0)</f>
        <v/>
      </c>
      <c r="I389" s="112">
        <f>ROUND($B389*KarliyukIssizlikIsverenOrani,0)</f>
        <v/>
      </c>
      <c r="J389" s="112">
        <f>$B389+$H389+$I389</f>
        <v/>
      </c>
      <c r="K389" s="114" t="n"/>
    </row>
    <row r="390" ht="15" customHeight="1" s="68">
      <c r="A390" s="114" t="n"/>
      <c r="B390" s="114" t="n"/>
      <c r="C390" s="112">
        <f>ROUND($B390*KarliyukSgkIsciOrani,0)</f>
        <v/>
      </c>
      <c r="D390" s="112">
        <f>ROUND($B390*KarliyukIssizlikIsciOrani,0)</f>
        <v/>
      </c>
      <c r="E390" s="112">
        <f>ROUND($B390*KarliyukStopajOrani,0)</f>
        <v/>
      </c>
      <c r="F390" s="112">
        <f>ROUND($B390*KarliyukDamgaOrani,0)</f>
        <v/>
      </c>
      <c r="G390" s="112">
        <f>$B390-$C390-$D390-$E390-$F390</f>
        <v/>
      </c>
      <c r="H390" s="112">
        <f>ROUND($B390*KarliyukSgkIsverenOrani,0)</f>
        <v/>
      </c>
      <c r="I390" s="112">
        <f>ROUND($B390*KarliyukIssizlikIsverenOrani,0)</f>
        <v/>
      </c>
      <c r="J390" s="112">
        <f>$B390+$H390+$I390</f>
        <v/>
      </c>
      <c r="K390" s="114" t="n"/>
    </row>
    <row r="391" ht="15" customHeight="1" s="68">
      <c r="A391" s="114" t="n"/>
      <c r="B391" s="114" t="n"/>
      <c r="C391" s="112">
        <f>ROUND($B391*KarliyukSgkIsciOrani,0)</f>
        <v/>
      </c>
      <c r="D391" s="112">
        <f>ROUND($B391*KarliyukIssizlikIsciOrani,0)</f>
        <v/>
      </c>
      <c r="E391" s="112">
        <f>ROUND($B391*KarliyukStopajOrani,0)</f>
        <v/>
      </c>
      <c r="F391" s="112">
        <f>ROUND($B391*KarliyukDamgaOrani,0)</f>
        <v/>
      </c>
      <c r="G391" s="112">
        <f>$B391-$C391-$D391-$E391-$F391</f>
        <v/>
      </c>
      <c r="H391" s="112">
        <f>ROUND($B391*KarliyukSgkIsverenOrani,0)</f>
        <v/>
      </c>
      <c r="I391" s="112">
        <f>ROUND($B391*KarliyukIssizlikIsverenOrani,0)</f>
        <v/>
      </c>
      <c r="J391" s="112">
        <f>$B391+$H391+$I391</f>
        <v/>
      </c>
      <c r="K391" s="114" t="n"/>
    </row>
    <row r="392" ht="15" customHeight="1" s="68">
      <c r="A392" s="114" t="n"/>
      <c r="B392" s="114" t="n"/>
      <c r="C392" s="112">
        <f>ROUND($B392*KarliyukSgkIsciOrani,0)</f>
        <v/>
      </c>
      <c r="D392" s="112">
        <f>ROUND($B392*KarliyukIssizlikIsciOrani,0)</f>
        <v/>
      </c>
      <c r="E392" s="112">
        <f>ROUND($B392*KarliyukStopajOrani,0)</f>
        <v/>
      </c>
      <c r="F392" s="112">
        <f>ROUND($B392*KarliyukDamgaOrani,0)</f>
        <v/>
      </c>
      <c r="G392" s="112">
        <f>$B392-$C392-$D392-$E392-$F392</f>
        <v/>
      </c>
      <c r="H392" s="112">
        <f>ROUND($B392*KarliyukSgkIsverenOrani,0)</f>
        <v/>
      </c>
      <c r="I392" s="112">
        <f>ROUND($B392*KarliyukIssizlikIsverenOrani,0)</f>
        <v/>
      </c>
      <c r="J392" s="112">
        <f>$B392+$H392+$I392</f>
        <v/>
      </c>
      <c r="K392" s="114" t="n"/>
    </row>
    <row r="393" ht="15" customHeight="1" s="68">
      <c r="A393" s="114" t="n"/>
      <c r="B393" s="114" t="n"/>
      <c r="C393" s="112">
        <f>ROUND($B393*KarliyukSgkIsciOrani,0)</f>
        <v/>
      </c>
      <c r="D393" s="112">
        <f>ROUND($B393*KarliyukIssizlikIsciOrani,0)</f>
        <v/>
      </c>
      <c r="E393" s="112">
        <f>ROUND($B393*KarliyukStopajOrani,0)</f>
        <v/>
      </c>
      <c r="F393" s="112">
        <f>ROUND($B393*KarliyukDamgaOrani,0)</f>
        <v/>
      </c>
      <c r="G393" s="112">
        <f>$B393-$C393-$D393-$E393-$F393</f>
        <v/>
      </c>
      <c r="H393" s="112">
        <f>ROUND($B393*KarliyukSgkIsverenOrani,0)</f>
        <v/>
      </c>
      <c r="I393" s="112">
        <f>ROUND($B393*KarliyukIssizlikIsverenOrani,0)</f>
        <v/>
      </c>
      <c r="J393" s="112">
        <f>$B393+$H393+$I393</f>
        <v/>
      </c>
      <c r="K393" s="114" t="n"/>
    </row>
    <row r="394" ht="15" customHeight="1" s="68">
      <c r="A394" s="114" t="n"/>
      <c r="B394" s="114" t="n"/>
      <c r="C394" s="112">
        <f>ROUND($B394*KarliyukSgkIsciOrani,0)</f>
        <v/>
      </c>
      <c r="D394" s="112">
        <f>ROUND($B394*KarliyukIssizlikIsciOrani,0)</f>
        <v/>
      </c>
      <c r="E394" s="112">
        <f>ROUND($B394*KarliyukStopajOrani,0)</f>
        <v/>
      </c>
      <c r="F394" s="112">
        <f>ROUND($B394*KarliyukDamgaOrani,0)</f>
        <v/>
      </c>
      <c r="G394" s="112">
        <f>$B394-$C394-$D394-$E394-$F394</f>
        <v/>
      </c>
      <c r="H394" s="112">
        <f>ROUND($B394*KarliyukSgkIsverenOrani,0)</f>
        <v/>
      </c>
      <c r="I394" s="112">
        <f>ROUND($B394*KarliyukIssizlikIsverenOrani,0)</f>
        <v/>
      </c>
      <c r="J394" s="112">
        <f>$B394+$H394+$I394</f>
        <v/>
      </c>
      <c r="K394" s="114" t="n"/>
    </row>
    <row r="395" ht="15" customHeight="1" s="68">
      <c r="A395" s="114" t="n"/>
      <c r="B395" s="114" t="n"/>
      <c r="C395" s="112">
        <f>ROUND($B395*KarliyukSgkIsciOrani,0)</f>
        <v/>
      </c>
      <c r="D395" s="112">
        <f>ROUND($B395*KarliyukIssizlikIsciOrani,0)</f>
        <v/>
      </c>
      <c r="E395" s="112">
        <f>ROUND($B395*KarliyukStopajOrani,0)</f>
        <v/>
      </c>
      <c r="F395" s="112">
        <f>ROUND($B395*KarliyukDamgaOrani,0)</f>
        <v/>
      </c>
      <c r="G395" s="112">
        <f>$B395-$C395-$D395-$E395-$F395</f>
        <v/>
      </c>
      <c r="H395" s="112">
        <f>ROUND($B395*KarliyukSgkIsverenOrani,0)</f>
        <v/>
      </c>
      <c r="I395" s="112">
        <f>ROUND($B395*KarliyukIssizlikIsverenOrani,0)</f>
        <v/>
      </c>
      <c r="J395" s="112">
        <f>$B395+$H395+$I395</f>
        <v/>
      </c>
      <c r="K395" s="114" t="n"/>
    </row>
    <row r="396" ht="15" customHeight="1" s="68">
      <c r="A396" s="114" t="n"/>
      <c r="B396" s="114" t="n"/>
      <c r="C396" s="112">
        <f>ROUND($B396*KarliyukSgkIsciOrani,0)</f>
        <v/>
      </c>
      <c r="D396" s="112">
        <f>ROUND($B396*KarliyukIssizlikIsciOrani,0)</f>
        <v/>
      </c>
      <c r="E396" s="112">
        <f>ROUND($B396*KarliyukStopajOrani,0)</f>
        <v/>
      </c>
      <c r="F396" s="112">
        <f>ROUND($B396*KarliyukDamgaOrani,0)</f>
        <v/>
      </c>
      <c r="G396" s="112">
        <f>$B396-$C396-$D396-$E396-$F396</f>
        <v/>
      </c>
      <c r="H396" s="112">
        <f>ROUND($B396*KarliyukSgkIsverenOrani,0)</f>
        <v/>
      </c>
      <c r="I396" s="112">
        <f>ROUND($B396*KarliyukIssizlikIsverenOrani,0)</f>
        <v/>
      </c>
      <c r="J396" s="112">
        <f>$B396+$H396+$I396</f>
        <v/>
      </c>
      <c r="K396" s="114" t="n"/>
    </row>
    <row r="397" ht="15" customHeight="1" s="68">
      <c r="A397" s="114" t="n"/>
      <c r="B397" s="114" t="n"/>
      <c r="C397" s="112">
        <f>ROUND($B397*KarliyukSgkIsciOrani,0)</f>
        <v/>
      </c>
      <c r="D397" s="112">
        <f>ROUND($B397*KarliyukIssizlikIsciOrani,0)</f>
        <v/>
      </c>
      <c r="E397" s="112">
        <f>ROUND($B397*KarliyukStopajOrani,0)</f>
        <v/>
      </c>
      <c r="F397" s="112">
        <f>ROUND($B397*KarliyukDamgaOrani,0)</f>
        <v/>
      </c>
      <c r="G397" s="112">
        <f>$B397-$C397-$D397-$E397-$F397</f>
        <v/>
      </c>
      <c r="H397" s="112">
        <f>ROUND($B397*KarliyukSgkIsverenOrani,0)</f>
        <v/>
      </c>
      <c r="I397" s="112">
        <f>ROUND($B397*KarliyukIssizlikIsverenOrani,0)</f>
        <v/>
      </c>
      <c r="J397" s="112">
        <f>$B397+$H397+$I397</f>
        <v/>
      </c>
      <c r="K397" s="114" t="n"/>
    </row>
    <row r="398" ht="15" customHeight="1" s="68">
      <c r="A398" s="114" t="n"/>
      <c r="B398" s="114" t="n"/>
      <c r="C398" s="112">
        <f>ROUND($B398*KarliyukSgkIsciOrani,0)</f>
        <v/>
      </c>
      <c r="D398" s="112">
        <f>ROUND($B398*KarliyukIssizlikIsciOrani,0)</f>
        <v/>
      </c>
      <c r="E398" s="112">
        <f>ROUND($B398*KarliyukStopajOrani,0)</f>
        <v/>
      </c>
      <c r="F398" s="112">
        <f>ROUND($B398*KarliyukDamgaOrani,0)</f>
        <v/>
      </c>
      <c r="G398" s="112">
        <f>$B398-$C398-$D398-$E398-$F398</f>
        <v/>
      </c>
      <c r="H398" s="112">
        <f>ROUND($B398*KarliyukSgkIsverenOrani,0)</f>
        <v/>
      </c>
      <c r="I398" s="112">
        <f>ROUND($B398*KarliyukIssizlikIsverenOrani,0)</f>
        <v/>
      </c>
      <c r="J398" s="112">
        <f>$B398+$H398+$I398</f>
        <v/>
      </c>
      <c r="K398" s="114" t="n"/>
    </row>
    <row r="399" ht="15" customHeight="1" s="68">
      <c r="A399" s="114" t="n"/>
      <c r="B399" s="114" t="n"/>
      <c r="C399" s="112">
        <f>ROUND($B399*KarliyukSgkIsciOrani,0)</f>
        <v/>
      </c>
      <c r="D399" s="112">
        <f>ROUND($B399*KarliyukIssizlikIsciOrani,0)</f>
        <v/>
      </c>
      <c r="E399" s="112">
        <f>ROUND($B399*KarliyukStopajOrani,0)</f>
        <v/>
      </c>
      <c r="F399" s="112">
        <f>ROUND($B399*KarliyukDamgaOrani,0)</f>
        <v/>
      </c>
      <c r="G399" s="112">
        <f>$B399-$C399-$D399-$E399-$F399</f>
        <v/>
      </c>
      <c r="H399" s="112">
        <f>ROUND($B399*KarliyukSgkIsverenOrani,0)</f>
        <v/>
      </c>
      <c r="I399" s="112">
        <f>ROUND($B399*KarliyukIssizlikIsverenOrani,0)</f>
        <v/>
      </c>
      <c r="J399" s="112">
        <f>$B399+$H399+$I399</f>
        <v/>
      </c>
      <c r="K399" s="114" t="n"/>
    </row>
    <row r="400" ht="15" customHeight="1" s="68">
      <c r="A400" s="114" t="n"/>
      <c r="B400" s="114" t="n"/>
      <c r="C400" s="112">
        <f>ROUND($B400*KarliyukSgkIsciOrani,0)</f>
        <v/>
      </c>
      <c r="D400" s="112">
        <f>ROUND($B400*KarliyukIssizlikIsciOrani,0)</f>
        <v/>
      </c>
      <c r="E400" s="112">
        <f>ROUND($B400*KarliyukStopajOrani,0)</f>
        <v/>
      </c>
      <c r="F400" s="112">
        <f>ROUND($B400*KarliyukDamgaOrani,0)</f>
        <v/>
      </c>
      <c r="G400" s="112">
        <f>$B400-$C400-$D400-$E400-$F400</f>
        <v/>
      </c>
      <c r="H400" s="112">
        <f>ROUND($B400*KarliyukSgkIsverenOrani,0)</f>
        <v/>
      </c>
      <c r="I400" s="112">
        <f>ROUND($B400*KarliyukIssizlikIsverenOrani,0)</f>
        <v/>
      </c>
      <c r="J400" s="112">
        <f>$B400+$H400+$I400</f>
        <v/>
      </c>
      <c r="K400" s="114" t="n"/>
    </row>
    <row r="401" ht="15" customHeight="1" s="68">
      <c r="A401" s="114" t="n"/>
      <c r="B401" s="114" t="n"/>
      <c r="C401" s="112">
        <f>ROUND($B401*KarliyukSgkIsciOrani,0)</f>
        <v/>
      </c>
      <c r="D401" s="112">
        <f>ROUND($B401*KarliyukIssizlikIsciOrani,0)</f>
        <v/>
      </c>
      <c r="E401" s="112">
        <f>ROUND($B401*KarliyukStopajOrani,0)</f>
        <v/>
      </c>
      <c r="F401" s="112">
        <f>ROUND($B401*KarliyukDamgaOrani,0)</f>
        <v/>
      </c>
      <c r="G401" s="112">
        <f>$B401-$C401-$D401-$E401-$F401</f>
        <v/>
      </c>
      <c r="H401" s="112">
        <f>ROUND($B401*KarliyukSgkIsverenOrani,0)</f>
        <v/>
      </c>
      <c r="I401" s="112">
        <f>ROUND($B401*KarliyukIssizlikIsverenOrani,0)</f>
        <v/>
      </c>
      <c r="J401" s="112">
        <f>$B401+$H401+$I401</f>
        <v/>
      </c>
      <c r="K401" s="114" t="n"/>
    </row>
    <row r="402" ht="15" customHeight="1" s="68">
      <c r="A402" s="114" t="n"/>
      <c r="B402" s="114" t="n"/>
      <c r="C402" s="112">
        <f>ROUND($B402*KarliyukSgkIsciOrani,0)</f>
        <v/>
      </c>
      <c r="D402" s="112">
        <f>ROUND($B402*KarliyukIssizlikIsciOrani,0)</f>
        <v/>
      </c>
      <c r="E402" s="112">
        <f>ROUND($B402*KarliyukStopajOrani,0)</f>
        <v/>
      </c>
      <c r="F402" s="112">
        <f>ROUND($B402*KarliyukDamgaOrani,0)</f>
        <v/>
      </c>
      <c r="G402" s="112">
        <f>$B402-$C402-$D402-$E402-$F402</f>
        <v/>
      </c>
      <c r="H402" s="112">
        <f>ROUND($B402*KarliyukSgkIsverenOrani,0)</f>
        <v/>
      </c>
      <c r="I402" s="112">
        <f>ROUND($B402*KarliyukIssizlikIsverenOrani,0)</f>
        <v/>
      </c>
      <c r="J402" s="112">
        <f>$B402+$H402+$I402</f>
        <v/>
      </c>
      <c r="K402" s="114" t="n"/>
    </row>
    <row r="403" ht="15" customHeight="1" s="68">
      <c r="A403" s="114" t="n"/>
      <c r="B403" s="114" t="n"/>
      <c r="C403" s="112">
        <f>ROUND($B403*KarliyukSgkIsciOrani,0)</f>
        <v/>
      </c>
      <c r="D403" s="112">
        <f>ROUND($B403*KarliyukIssizlikIsciOrani,0)</f>
        <v/>
      </c>
      <c r="E403" s="112">
        <f>ROUND($B403*KarliyukStopajOrani,0)</f>
        <v/>
      </c>
      <c r="F403" s="112">
        <f>ROUND($B403*KarliyukDamgaOrani,0)</f>
        <v/>
      </c>
      <c r="G403" s="112">
        <f>$B403-$C403-$D403-$E403-$F403</f>
        <v/>
      </c>
      <c r="H403" s="112">
        <f>ROUND($B403*KarliyukSgkIsverenOrani,0)</f>
        <v/>
      </c>
      <c r="I403" s="112">
        <f>ROUND($B403*KarliyukIssizlikIsverenOrani,0)</f>
        <v/>
      </c>
      <c r="J403" s="112">
        <f>$B403+$H403+$I403</f>
        <v/>
      </c>
      <c r="K403" s="114" t="n"/>
    </row>
    <row r="404" ht="15" customHeight="1" s="68">
      <c r="A404" s="114" t="n"/>
      <c r="B404" s="114" t="n"/>
      <c r="C404" s="112">
        <f>ROUND($B404*KarliyukSgkIsciOrani,0)</f>
        <v/>
      </c>
      <c r="D404" s="112">
        <f>ROUND($B404*KarliyukIssizlikIsciOrani,0)</f>
        <v/>
      </c>
      <c r="E404" s="112">
        <f>ROUND($B404*KarliyukStopajOrani,0)</f>
        <v/>
      </c>
      <c r="F404" s="112">
        <f>ROUND($B404*KarliyukDamgaOrani,0)</f>
        <v/>
      </c>
      <c r="G404" s="112">
        <f>$B404-$C404-$D404-$E404-$F404</f>
        <v/>
      </c>
      <c r="H404" s="112">
        <f>ROUND($B404*KarliyukSgkIsverenOrani,0)</f>
        <v/>
      </c>
      <c r="I404" s="112">
        <f>ROUND($B404*KarliyukIssizlikIsverenOrani,0)</f>
        <v/>
      </c>
      <c r="J404" s="112">
        <f>$B404+$H404+$I404</f>
        <v/>
      </c>
      <c r="K404" s="114" t="n"/>
    </row>
    <row r="405" ht="15" customHeight="1" s="68">
      <c r="A405" s="114" t="n"/>
      <c r="B405" s="114" t="n"/>
      <c r="C405" s="112">
        <f>ROUND($B405*KarliyukSgkIsciOrani,0)</f>
        <v/>
      </c>
      <c r="D405" s="112">
        <f>ROUND($B405*KarliyukIssizlikIsciOrani,0)</f>
        <v/>
      </c>
      <c r="E405" s="112">
        <f>ROUND($B405*KarliyukStopajOrani,0)</f>
        <v/>
      </c>
      <c r="F405" s="112">
        <f>ROUND($B405*KarliyukDamgaOrani,0)</f>
        <v/>
      </c>
      <c r="G405" s="112">
        <f>$B405-$C405-$D405-$E405-$F405</f>
        <v/>
      </c>
      <c r="H405" s="112">
        <f>ROUND($B405*KarliyukSgkIsverenOrani,0)</f>
        <v/>
      </c>
      <c r="I405" s="112">
        <f>ROUND($B405*KarliyukIssizlikIsverenOrani,0)</f>
        <v/>
      </c>
      <c r="J405" s="112">
        <f>$B405+$H405+$I405</f>
        <v/>
      </c>
      <c r="K405" s="114" t="n"/>
    </row>
    <row r="406" ht="15" customHeight="1" s="68">
      <c r="A406" s="114" t="n"/>
      <c r="B406" s="114" t="n"/>
      <c r="C406" s="112">
        <f>ROUND($B406*KarliyukSgkIsciOrani,0)</f>
        <v/>
      </c>
      <c r="D406" s="112">
        <f>ROUND($B406*KarliyukIssizlikIsciOrani,0)</f>
        <v/>
      </c>
      <c r="E406" s="112">
        <f>ROUND($B406*KarliyukStopajOrani,0)</f>
        <v/>
      </c>
      <c r="F406" s="112">
        <f>ROUND($B406*KarliyukDamgaOrani,0)</f>
        <v/>
      </c>
      <c r="G406" s="112">
        <f>$B406-$C406-$D406-$E406-$F406</f>
        <v/>
      </c>
      <c r="H406" s="112">
        <f>ROUND($B406*KarliyukSgkIsverenOrani,0)</f>
        <v/>
      </c>
      <c r="I406" s="112">
        <f>ROUND($B406*KarliyukIssizlikIsverenOrani,0)</f>
        <v/>
      </c>
      <c r="J406" s="112">
        <f>$B406+$H406+$I406</f>
        <v/>
      </c>
      <c r="K406" s="114" t="n"/>
    </row>
    <row r="407" ht="15" customHeight="1" s="68">
      <c r="A407" s="114" t="n"/>
      <c r="B407" s="114" t="n"/>
      <c r="C407" s="112">
        <f>ROUND($B407*KarliyukSgkIsciOrani,0)</f>
        <v/>
      </c>
      <c r="D407" s="112">
        <f>ROUND($B407*KarliyukIssizlikIsciOrani,0)</f>
        <v/>
      </c>
      <c r="E407" s="112">
        <f>ROUND($B407*KarliyukStopajOrani,0)</f>
        <v/>
      </c>
      <c r="F407" s="112">
        <f>ROUND($B407*KarliyukDamgaOrani,0)</f>
        <v/>
      </c>
      <c r="G407" s="112">
        <f>$B407-$C407-$D407-$E407-$F407</f>
        <v/>
      </c>
      <c r="H407" s="112">
        <f>ROUND($B407*KarliyukSgkIsverenOrani,0)</f>
        <v/>
      </c>
      <c r="I407" s="112">
        <f>ROUND($B407*KarliyukIssizlikIsverenOrani,0)</f>
        <v/>
      </c>
      <c r="J407" s="112">
        <f>$B407+$H407+$I407</f>
        <v/>
      </c>
      <c r="K407" s="114" t="n"/>
    </row>
    <row r="408" ht="15" customHeight="1" s="68">
      <c r="A408" s="114" t="n"/>
      <c r="B408" s="114" t="n"/>
      <c r="C408" s="112">
        <f>ROUND($B408*KarliyukSgkIsciOrani,0)</f>
        <v/>
      </c>
      <c r="D408" s="112">
        <f>ROUND($B408*KarliyukIssizlikIsciOrani,0)</f>
        <v/>
      </c>
      <c r="E408" s="112">
        <f>ROUND($B408*KarliyukStopajOrani,0)</f>
        <v/>
      </c>
      <c r="F408" s="112">
        <f>ROUND($B408*KarliyukDamgaOrani,0)</f>
        <v/>
      </c>
      <c r="G408" s="112">
        <f>$B408-$C408-$D408-$E408-$F408</f>
        <v/>
      </c>
      <c r="H408" s="112">
        <f>ROUND($B408*KarliyukSgkIsverenOrani,0)</f>
        <v/>
      </c>
      <c r="I408" s="112">
        <f>ROUND($B408*KarliyukIssizlikIsverenOrani,0)</f>
        <v/>
      </c>
      <c r="J408" s="112">
        <f>$B408+$H408+$I408</f>
        <v/>
      </c>
      <c r="K408" s="114" t="n"/>
    </row>
    <row r="409" ht="15" customHeight="1" s="68">
      <c r="A409" s="114" t="n"/>
      <c r="B409" s="114" t="n"/>
      <c r="C409" s="112">
        <f>ROUND($B409*KarliyukSgkIsciOrani,0)</f>
        <v/>
      </c>
      <c r="D409" s="112">
        <f>ROUND($B409*KarliyukIssizlikIsciOrani,0)</f>
        <v/>
      </c>
      <c r="E409" s="112">
        <f>ROUND($B409*KarliyukStopajOrani,0)</f>
        <v/>
      </c>
      <c r="F409" s="112">
        <f>ROUND($B409*KarliyukDamgaOrani,0)</f>
        <v/>
      </c>
      <c r="G409" s="112">
        <f>$B409-$C409-$D409-$E409-$F409</f>
        <v/>
      </c>
      <c r="H409" s="112">
        <f>ROUND($B409*KarliyukSgkIsverenOrani,0)</f>
        <v/>
      </c>
      <c r="I409" s="112">
        <f>ROUND($B409*KarliyukIssizlikIsverenOrani,0)</f>
        <v/>
      </c>
      <c r="J409" s="112">
        <f>$B409+$H409+$I409</f>
        <v/>
      </c>
      <c r="K409" s="114" t="n"/>
    </row>
    <row r="410" ht="15" customHeight="1" s="68">
      <c r="A410" s="114" t="n"/>
      <c r="B410" s="114" t="n"/>
      <c r="C410" s="112">
        <f>ROUND($B410*KarliyukSgkIsciOrani,0)</f>
        <v/>
      </c>
      <c r="D410" s="112">
        <f>ROUND($B410*KarliyukIssizlikIsciOrani,0)</f>
        <v/>
      </c>
      <c r="E410" s="112">
        <f>ROUND($B410*KarliyukStopajOrani,0)</f>
        <v/>
      </c>
      <c r="F410" s="112">
        <f>ROUND($B410*KarliyukDamgaOrani,0)</f>
        <v/>
      </c>
      <c r="G410" s="112">
        <f>$B410-$C410-$D410-$E410-$F410</f>
        <v/>
      </c>
      <c r="H410" s="112">
        <f>ROUND($B410*KarliyukSgkIsverenOrani,0)</f>
        <v/>
      </c>
      <c r="I410" s="112">
        <f>ROUND($B410*KarliyukIssizlikIsverenOrani,0)</f>
        <v/>
      </c>
      <c r="J410" s="112">
        <f>$B410+$H410+$I410</f>
        <v/>
      </c>
      <c r="K410" s="114" t="n"/>
    </row>
    <row r="411" ht="15" customHeight="1" s="68">
      <c r="A411" s="114" t="n"/>
      <c r="B411" s="114" t="n"/>
      <c r="C411" s="112">
        <f>ROUND($B411*KarliyukSgkIsciOrani,0)</f>
        <v/>
      </c>
      <c r="D411" s="112">
        <f>ROUND($B411*KarliyukIssizlikIsciOrani,0)</f>
        <v/>
      </c>
      <c r="E411" s="112">
        <f>ROUND($B411*KarliyukStopajOrani,0)</f>
        <v/>
      </c>
      <c r="F411" s="112">
        <f>ROUND($B411*KarliyukDamgaOrani,0)</f>
        <v/>
      </c>
      <c r="G411" s="112">
        <f>$B411-$C411-$D411-$E411-$F411</f>
        <v/>
      </c>
      <c r="H411" s="112">
        <f>ROUND($B411*KarliyukSgkIsverenOrani,0)</f>
        <v/>
      </c>
      <c r="I411" s="112">
        <f>ROUND($B411*KarliyukIssizlikIsverenOrani,0)</f>
        <v/>
      </c>
      <c r="J411" s="112">
        <f>$B411+$H411+$I411</f>
        <v/>
      </c>
      <c r="K411" s="114" t="n"/>
    </row>
    <row r="412" ht="15" customHeight="1" s="68">
      <c r="A412" s="114" t="n"/>
      <c r="B412" s="114" t="n"/>
      <c r="C412" s="112">
        <f>ROUND($B412*KarliyukSgkIsciOrani,0)</f>
        <v/>
      </c>
      <c r="D412" s="112">
        <f>ROUND($B412*KarliyukIssizlikIsciOrani,0)</f>
        <v/>
      </c>
      <c r="E412" s="112">
        <f>ROUND($B412*KarliyukStopajOrani,0)</f>
        <v/>
      </c>
      <c r="F412" s="112">
        <f>ROUND($B412*KarliyukDamgaOrani,0)</f>
        <v/>
      </c>
      <c r="G412" s="112">
        <f>$B412-$C412-$D412-$E412-$F412</f>
        <v/>
      </c>
      <c r="H412" s="112">
        <f>ROUND($B412*KarliyukSgkIsverenOrani,0)</f>
        <v/>
      </c>
      <c r="I412" s="112">
        <f>ROUND($B412*KarliyukIssizlikIsverenOrani,0)</f>
        <v/>
      </c>
      <c r="J412" s="112">
        <f>$B412+$H412+$I412</f>
        <v/>
      </c>
      <c r="K412" s="114" t="n"/>
    </row>
    <row r="413" ht="15" customHeight="1" s="68">
      <c r="A413" s="114" t="n"/>
      <c r="B413" s="114" t="n"/>
      <c r="C413" s="112">
        <f>ROUND($B413*KarliyukSgkIsciOrani,0)</f>
        <v/>
      </c>
      <c r="D413" s="112">
        <f>ROUND($B413*KarliyukIssizlikIsciOrani,0)</f>
        <v/>
      </c>
      <c r="E413" s="112">
        <f>ROUND($B413*KarliyukStopajOrani,0)</f>
        <v/>
      </c>
      <c r="F413" s="112">
        <f>ROUND($B413*KarliyukDamgaOrani,0)</f>
        <v/>
      </c>
      <c r="G413" s="112">
        <f>$B413-$C413-$D413-$E413-$F413</f>
        <v/>
      </c>
      <c r="H413" s="112">
        <f>ROUND($B413*KarliyukSgkIsverenOrani,0)</f>
        <v/>
      </c>
      <c r="I413" s="112">
        <f>ROUND($B413*KarliyukIssizlikIsverenOrani,0)</f>
        <v/>
      </c>
      <c r="J413" s="112">
        <f>$B413+$H413+$I413</f>
        <v/>
      </c>
      <c r="K413" s="114" t="n"/>
    </row>
    <row r="414" ht="15" customHeight="1" s="68">
      <c r="A414" s="114" t="n"/>
      <c r="B414" s="114" t="n"/>
      <c r="C414" s="112">
        <f>ROUND($B414*KarliyukSgkIsciOrani,0)</f>
        <v/>
      </c>
      <c r="D414" s="112">
        <f>ROUND($B414*KarliyukIssizlikIsciOrani,0)</f>
        <v/>
      </c>
      <c r="E414" s="112">
        <f>ROUND($B414*KarliyukStopajOrani,0)</f>
        <v/>
      </c>
      <c r="F414" s="112">
        <f>ROUND($B414*KarliyukDamgaOrani,0)</f>
        <v/>
      </c>
      <c r="G414" s="112">
        <f>$B414-$C414-$D414-$E414-$F414</f>
        <v/>
      </c>
      <c r="H414" s="112">
        <f>ROUND($B414*KarliyukSgkIsverenOrani,0)</f>
        <v/>
      </c>
      <c r="I414" s="112">
        <f>ROUND($B414*KarliyukIssizlikIsverenOrani,0)</f>
        <v/>
      </c>
      <c r="J414" s="112">
        <f>$B414+$H414+$I414</f>
        <v/>
      </c>
      <c r="K414" s="114" t="n"/>
    </row>
    <row r="415" ht="15" customHeight="1" s="68">
      <c r="A415" s="114" t="n"/>
      <c r="B415" s="114" t="n"/>
      <c r="C415" s="112">
        <f>ROUND($B415*KarliyukSgkIsciOrani,0)</f>
        <v/>
      </c>
      <c r="D415" s="112">
        <f>ROUND($B415*KarliyukIssizlikIsciOrani,0)</f>
        <v/>
      </c>
      <c r="E415" s="112">
        <f>ROUND($B415*KarliyukStopajOrani,0)</f>
        <v/>
      </c>
      <c r="F415" s="112">
        <f>ROUND($B415*KarliyukDamgaOrani,0)</f>
        <v/>
      </c>
      <c r="G415" s="112">
        <f>$B415-$C415-$D415-$E415-$F415</f>
        <v/>
      </c>
      <c r="H415" s="112">
        <f>ROUND($B415*KarliyukSgkIsverenOrani,0)</f>
        <v/>
      </c>
      <c r="I415" s="112">
        <f>ROUND($B415*KarliyukIssizlikIsverenOrani,0)</f>
        <v/>
      </c>
      <c r="J415" s="112">
        <f>$B415+$H415+$I415</f>
        <v/>
      </c>
      <c r="K415" s="114" t="n"/>
    </row>
    <row r="416" ht="15" customHeight="1" s="68">
      <c r="A416" s="114" t="n"/>
      <c r="B416" s="114" t="n"/>
      <c r="C416" s="112">
        <f>ROUND($B416*KarliyukSgkIsciOrani,0)</f>
        <v/>
      </c>
      <c r="D416" s="112">
        <f>ROUND($B416*KarliyukIssizlikIsciOrani,0)</f>
        <v/>
      </c>
      <c r="E416" s="112">
        <f>ROUND($B416*KarliyukStopajOrani,0)</f>
        <v/>
      </c>
      <c r="F416" s="112">
        <f>ROUND($B416*KarliyukDamgaOrani,0)</f>
        <v/>
      </c>
      <c r="G416" s="112">
        <f>$B416-$C416-$D416-$E416-$F416</f>
        <v/>
      </c>
      <c r="H416" s="112">
        <f>ROUND($B416*KarliyukSgkIsverenOrani,0)</f>
        <v/>
      </c>
      <c r="I416" s="112">
        <f>ROUND($B416*KarliyukIssizlikIsverenOrani,0)</f>
        <v/>
      </c>
      <c r="J416" s="112">
        <f>$B416+$H416+$I416</f>
        <v/>
      </c>
      <c r="K416" s="114" t="n"/>
    </row>
    <row r="417" ht="15" customHeight="1" s="68">
      <c r="A417" s="114" t="n"/>
      <c r="B417" s="114" t="n"/>
      <c r="C417" s="112">
        <f>ROUND($B417*KarliyukSgkIsciOrani,0)</f>
        <v/>
      </c>
      <c r="D417" s="112">
        <f>ROUND($B417*KarliyukIssizlikIsciOrani,0)</f>
        <v/>
      </c>
      <c r="E417" s="112">
        <f>ROUND($B417*KarliyukStopajOrani,0)</f>
        <v/>
      </c>
      <c r="F417" s="112">
        <f>ROUND($B417*KarliyukDamgaOrani,0)</f>
        <v/>
      </c>
      <c r="G417" s="112">
        <f>$B417-$C417-$D417-$E417-$F417</f>
        <v/>
      </c>
      <c r="H417" s="112">
        <f>ROUND($B417*KarliyukSgkIsverenOrani,0)</f>
        <v/>
      </c>
      <c r="I417" s="112">
        <f>ROUND($B417*KarliyukIssizlikIsverenOrani,0)</f>
        <v/>
      </c>
      <c r="J417" s="112">
        <f>$B417+$H417+$I417</f>
        <v/>
      </c>
      <c r="K417" s="114" t="n"/>
    </row>
    <row r="418" ht="15" customHeight="1" s="68">
      <c r="A418" s="114" t="n"/>
      <c r="B418" s="114" t="n"/>
      <c r="C418" s="112">
        <f>ROUND($B418*KarliyukSgkIsciOrani,0)</f>
        <v/>
      </c>
      <c r="D418" s="112">
        <f>ROUND($B418*KarliyukIssizlikIsciOrani,0)</f>
        <v/>
      </c>
      <c r="E418" s="112">
        <f>ROUND($B418*KarliyukStopajOrani,0)</f>
        <v/>
      </c>
      <c r="F418" s="112">
        <f>ROUND($B418*KarliyukDamgaOrani,0)</f>
        <v/>
      </c>
      <c r="G418" s="112">
        <f>$B418-$C418-$D418-$E418-$F418</f>
        <v/>
      </c>
      <c r="H418" s="112">
        <f>ROUND($B418*KarliyukSgkIsverenOrani,0)</f>
        <v/>
      </c>
      <c r="I418" s="112">
        <f>ROUND($B418*KarliyukIssizlikIsverenOrani,0)</f>
        <v/>
      </c>
      <c r="J418" s="112">
        <f>$B418+$H418+$I418</f>
        <v/>
      </c>
      <c r="K418" s="114" t="n"/>
    </row>
    <row r="419" ht="15" customHeight="1" s="68">
      <c r="A419" s="114" t="n"/>
      <c r="B419" s="114" t="n"/>
      <c r="C419" s="112">
        <f>ROUND($B419*KarliyukSgkIsciOrani,0)</f>
        <v/>
      </c>
      <c r="D419" s="112">
        <f>ROUND($B419*KarliyukIssizlikIsciOrani,0)</f>
        <v/>
      </c>
      <c r="E419" s="112">
        <f>ROUND($B419*KarliyukStopajOrani,0)</f>
        <v/>
      </c>
      <c r="F419" s="112">
        <f>ROUND($B419*KarliyukDamgaOrani,0)</f>
        <v/>
      </c>
      <c r="G419" s="112">
        <f>$B419-$C419-$D419-$E419-$F419</f>
        <v/>
      </c>
      <c r="H419" s="112">
        <f>ROUND($B419*KarliyukSgkIsverenOrani,0)</f>
        <v/>
      </c>
      <c r="I419" s="112">
        <f>ROUND($B419*KarliyukIssizlikIsverenOrani,0)</f>
        <v/>
      </c>
      <c r="J419" s="112">
        <f>$B419+$H419+$I419</f>
        <v/>
      </c>
      <c r="K419" s="114" t="n"/>
    </row>
    <row r="420" ht="15" customHeight="1" s="68">
      <c r="A420" s="114" t="n"/>
      <c r="B420" s="114" t="n"/>
      <c r="C420" s="112">
        <f>ROUND($B420*KarliyukSgkIsciOrani,0)</f>
        <v/>
      </c>
      <c r="D420" s="112">
        <f>ROUND($B420*KarliyukIssizlikIsciOrani,0)</f>
        <v/>
      </c>
      <c r="E420" s="112">
        <f>ROUND($B420*KarliyukStopajOrani,0)</f>
        <v/>
      </c>
      <c r="F420" s="112">
        <f>ROUND($B420*KarliyukDamgaOrani,0)</f>
        <v/>
      </c>
      <c r="G420" s="112">
        <f>$B420-$C420-$D420-$E420-$F420</f>
        <v/>
      </c>
      <c r="H420" s="112">
        <f>ROUND($B420*KarliyukSgkIsverenOrani,0)</f>
        <v/>
      </c>
      <c r="I420" s="112">
        <f>ROUND($B420*KarliyukIssizlikIsverenOrani,0)</f>
        <v/>
      </c>
      <c r="J420" s="112">
        <f>$B420+$H420+$I420</f>
        <v/>
      </c>
      <c r="K420" s="114" t="n"/>
    </row>
    <row r="421" ht="15" customHeight="1" s="68">
      <c r="A421" s="114" t="n"/>
      <c r="B421" s="114" t="n"/>
      <c r="C421" s="112">
        <f>ROUND($B421*KarliyukSgkIsciOrani,0)</f>
        <v/>
      </c>
      <c r="D421" s="112">
        <f>ROUND($B421*KarliyukIssizlikIsciOrani,0)</f>
        <v/>
      </c>
      <c r="E421" s="112">
        <f>ROUND($B421*KarliyukStopajOrani,0)</f>
        <v/>
      </c>
      <c r="F421" s="112">
        <f>ROUND($B421*KarliyukDamgaOrani,0)</f>
        <v/>
      </c>
      <c r="G421" s="112">
        <f>$B421-$C421-$D421-$E421-$F421</f>
        <v/>
      </c>
      <c r="H421" s="112">
        <f>ROUND($B421*KarliyukSgkIsverenOrani,0)</f>
        <v/>
      </c>
      <c r="I421" s="112">
        <f>ROUND($B421*KarliyukIssizlikIsverenOrani,0)</f>
        <v/>
      </c>
      <c r="J421" s="112">
        <f>$B421+$H421+$I421</f>
        <v/>
      </c>
      <c r="K421" s="114" t="n"/>
    </row>
    <row r="422" ht="15" customHeight="1" s="68">
      <c r="A422" s="114" t="n"/>
      <c r="B422" s="114" t="n"/>
      <c r="C422" s="112">
        <f>ROUND($B422*KarliyukSgkIsciOrani,0)</f>
        <v/>
      </c>
      <c r="D422" s="112">
        <f>ROUND($B422*KarliyukIssizlikIsciOrani,0)</f>
        <v/>
      </c>
      <c r="E422" s="112">
        <f>ROUND($B422*KarliyukStopajOrani,0)</f>
        <v/>
      </c>
      <c r="F422" s="112">
        <f>ROUND($B422*KarliyukDamgaOrani,0)</f>
        <v/>
      </c>
      <c r="G422" s="112">
        <f>$B422-$C422-$D422-$E422-$F422</f>
        <v/>
      </c>
      <c r="H422" s="112">
        <f>ROUND($B422*KarliyukSgkIsverenOrani,0)</f>
        <v/>
      </c>
      <c r="I422" s="112">
        <f>ROUND($B422*KarliyukIssizlikIsverenOrani,0)</f>
        <v/>
      </c>
      <c r="J422" s="112">
        <f>$B422+$H422+$I422</f>
        <v/>
      </c>
      <c r="K422" s="114" t="n"/>
    </row>
    <row r="423" ht="15" customHeight="1" s="68">
      <c r="A423" s="114" t="n"/>
      <c r="B423" s="114" t="n"/>
      <c r="C423" s="112">
        <f>ROUND($B423*KarliyukSgkIsciOrani,0)</f>
        <v/>
      </c>
      <c r="D423" s="112">
        <f>ROUND($B423*KarliyukIssizlikIsciOrani,0)</f>
        <v/>
      </c>
      <c r="E423" s="112">
        <f>ROUND($B423*KarliyukStopajOrani,0)</f>
        <v/>
      </c>
      <c r="F423" s="112">
        <f>ROUND($B423*KarliyukDamgaOrani,0)</f>
        <v/>
      </c>
      <c r="G423" s="112">
        <f>$B423-$C423-$D423-$E423-$F423</f>
        <v/>
      </c>
      <c r="H423" s="112">
        <f>ROUND($B423*KarliyukSgkIsverenOrani,0)</f>
        <v/>
      </c>
      <c r="I423" s="112">
        <f>ROUND($B423*KarliyukIssizlikIsverenOrani,0)</f>
        <v/>
      </c>
      <c r="J423" s="112">
        <f>$B423+$H423+$I423</f>
        <v/>
      </c>
      <c r="K423" s="114" t="n"/>
    </row>
    <row r="424" ht="15" customHeight="1" s="68">
      <c r="A424" s="114" t="n"/>
      <c r="B424" s="114" t="n"/>
      <c r="C424" s="112">
        <f>ROUND($B424*KarliyukSgkIsciOrani,0)</f>
        <v/>
      </c>
      <c r="D424" s="112">
        <f>ROUND($B424*KarliyukIssizlikIsciOrani,0)</f>
        <v/>
      </c>
      <c r="E424" s="112">
        <f>ROUND($B424*KarliyukStopajOrani,0)</f>
        <v/>
      </c>
      <c r="F424" s="112">
        <f>ROUND($B424*KarliyukDamgaOrani,0)</f>
        <v/>
      </c>
      <c r="G424" s="112">
        <f>$B424-$C424-$D424-$E424-$F424</f>
        <v/>
      </c>
      <c r="H424" s="112">
        <f>ROUND($B424*KarliyukSgkIsverenOrani,0)</f>
        <v/>
      </c>
      <c r="I424" s="112">
        <f>ROUND($B424*KarliyukIssizlikIsverenOrani,0)</f>
        <v/>
      </c>
      <c r="J424" s="112">
        <f>$B424+$H424+$I424</f>
        <v/>
      </c>
      <c r="K424" s="114" t="n"/>
    </row>
    <row r="425" ht="15" customHeight="1" s="68">
      <c r="A425" s="114" t="n"/>
      <c r="B425" s="114" t="n"/>
      <c r="C425" s="112">
        <f>ROUND($B425*KarliyukSgkIsciOrani,0)</f>
        <v/>
      </c>
      <c r="D425" s="112">
        <f>ROUND($B425*KarliyukIssizlikIsciOrani,0)</f>
        <v/>
      </c>
      <c r="E425" s="112">
        <f>ROUND($B425*KarliyukStopajOrani,0)</f>
        <v/>
      </c>
      <c r="F425" s="112">
        <f>ROUND($B425*KarliyukDamgaOrani,0)</f>
        <v/>
      </c>
      <c r="G425" s="112">
        <f>$B425-$C425-$D425-$E425-$F425</f>
        <v/>
      </c>
      <c r="H425" s="112">
        <f>ROUND($B425*KarliyukSgkIsverenOrani,0)</f>
        <v/>
      </c>
      <c r="I425" s="112">
        <f>ROUND($B425*KarliyukIssizlikIsverenOrani,0)</f>
        <v/>
      </c>
      <c r="J425" s="112">
        <f>$B425+$H425+$I425</f>
        <v/>
      </c>
      <c r="K425" s="114" t="n"/>
    </row>
    <row r="426" ht="15" customHeight="1" s="68">
      <c r="A426" s="114" t="n"/>
      <c r="B426" s="114" t="n"/>
      <c r="C426" s="112">
        <f>ROUND($B426*KarliyukSgkIsciOrani,0)</f>
        <v/>
      </c>
      <c r="D426" s="112">
        <f>ROUND($B426*KarliyukIssizlikIsciOrani,0)</f>
        <v/>
      </c>
      <c r="E426" s="112">
        <f>ROUND($B426*KarliyukStopajOrani,0)</f>
        <v/>
      </c>
      <c r="F426" s="112">
        <f>ROUND($B426*KarliyukDamgaOrani,0)</f>
        <v/>
      </c>
      <c r="G426" s="112">
        <f>$B426-$C426-$D426-$E426-$F426</f>
        <v/>
      </c>
      <c r="H426" s="112">
        <f>ROUND($B426*KarliyukSgkIsverenOrani,0)</f>
        <v/>
      </c>
      <c r="I426" s="112">
        <f>ROUND($B426*KarliyukIssizlikIsverenOrani,0)</f>
        <v/>
      </c>
      <c r="J426" s="112">
        <f>$B426+$H426+$I426</f>
        <v/>
      </c>
      <c r="K426" s="114" t="n"/>
    </row>
    <row r="427" ht="15" customHeight="1" s="68">
      <c r="A427" s="114" t="n"/>
      <c r="B427" s="114" t="n"/>
      <c r="C427" s="112">
        <f>ROUND($B427*KarliyukSgkIsciOrani,0)</f>
        <v/>
      </c>
      <c r="D427" s="112">
        <f>ROUND($B427*KarliyukIssizlikIsciOrani,0)</f>
        <v/>
      </c>
      <c r="E427" s="112">
        <f>ROUND($B427*KarliyukStopajOrani,0)</f>
        <v/>
      </c>
      <c r="F427" s="112">
        <f>ROUND($B427*KarliyukDamgaOrani,0)</f>
        <v/>
      </c>
      <c r="G427" s="112">
        <f>$B427-$C427-$D427-$E427-$F427</f>
        <v/>
      </c>
      <c r="H427" s="112">
        <f>ROUND($B427*KarliyukSgkIsverenOrani,0)</f>
        <v/>
      </c>
      <c r="I427" s="112">
        <f>ROUND($B427*KarliyukIssizlikIsverenOrani,0)</f>
        <v/>
      </c>
      <c r="J427" s="112">
        <f>$B427+$H427+$I427</f>
        <v/>
      </c>
      <c r="K427" s="114" t="n"/>
    </row>
    <row r="428" ht="15" customHeight="1" s="68">
      <c r="A428" s="114" t="n"/>
      <c r="B428" s="114" t="n"/>
      <c r="C428" s="112">
        <f>ROUND($B428*KarliyukSgkIsciOrani,0)</f>
        <v/>
      </c>
      <c r="D428" s="112">
        <f>ROUND($B428*KarliyukIssizlikIsciOrani,0)</f>
        <v/>
      </c>
      <c r="E428" s="112">
        <f>ROUND($B428*KarliyukStopajOrani,0)</f>
        <v/>
      </c>
      <c r="F428" s="112">
        <f>ROUND($B428*KarliyukDamgaOrani,0)</f>
        <v/>
      </c>
      <c r="G428" s="112">
        <f>$B428-$C428-$D428-$E428-$F428</f>
        <v/>
      </c>
      <c r="H428" s="112">
        <f>ROUND($B428*KarliyukSgkIsverenOrani,0)</f>
        <v/>
      </c>
      <c r="I428" s="112">
        <f>ROUND($B428*KarliyukIssizlikIsverenOrani,0)</f>
        <v/>
      </c>
      <c r="J428" s="112">
        <f>$B428+$H428+$I428</f>
        <v/>
      </c>
      <c r="K428" s="114" t="n"/>
    </row>
    <row r="429" ht="15" customHeight="1" s="68">
      <c r="A429" s="114" t="n"/>
      <c r="B429" s="114" t="n"/>
      <c r="C429" s="112">
        <f>ROUND($B429*KarliyukSgkIsciOrani,0)</f>
        <v/>
      </c>
      <c r="D429" s="112">
        <f>ROUND($B429*KarliyukIssizlikIsciOrani,0)</f>
        <v/>
      </c>
      <c r="E429" s="112">
        <f>ROUND($B429*KarliyukStopajOrani,0)</f>
        <v/>
      </c>
      <c r="F429" s="112">
        <f>ROUND($B429*KarliyukDamgaOrani,0)</f>
        <v/>
      </c>
      <c r="G429" s="112">
        <f>$B429-$C429-$D429-$E429-$F429</f>
        <v/>
      </c>
      <c r="H429" s="112">
        <f>ROUND($B429*KarliyukSgkIsverenOrani,0)</f>
        <v/>
      </c>
      <c r="I429" s="112">
        <f>ROUND($B429*KarliyukIssizlikIsverenOrani,0)</f>
        <v/>
      </c>
      <c r="J429" s="112">
        <f>$B429+$H429+$I429</f>
        <v/>
      </c>
      <c r="K429" s="114" t="n"/>
    </row>
    <row r="430" ht="15" customHeight="1" s="68">
      <c r="A430" s="114" t="n"/>
      <c r="B430" s="114" t="n"/>
      <c r="C430" s="112">
        <f>ROUND($B430*KarliyukSgkIsciOrani,0)</f>
        <v/>
      </c>
      <c r="D430" s="112">
        <f>ROUND($B430*KarliyukIssizlikIsciOrani,0)</f>
        <v/>
      </c>
      <c r="E430" s="112">
        <f>ROUND($B430*KarliyukStopajOrani,0)</f>
        <v/>
      </c>
      <c r="F430" s="112">
        <f>ROUND($B430*KarliyukDamgaOrani,0)</f>
        <v/>
      </c>
      <c r="G430" s="112">
        <f>$B430-$C430-$D430-$E430-$F430</f>
        <v/>
      </c>
      <c r="H430" s="112">
        <f>ROUND($B430*KarliyukSgkIsverenOrani,0)</f>
        <v/>
      </c>
      <c r="I430" s="112">
        <f>ROUND($B430*KarliyukIssizlikIsverenOrani,0)</f>
        <v/>
      </c>
      <c r="J430" s="112">
        <f>$B430+$H430+$I430</f>
        <v/>
      </c>
      <c r="K430" s="114" t="n"/>
    </row>
    <row r="431" ht="15" customHeight="1" s="68">
      <c r="A431" s="114" t="n"/>
      <c r="B431" s="114" t="n"/>
      <c r="C431" s="112">
        <f>ROUND($B431*KarliyukSgkIsciOrani,0)</f>
        <v/>
      </c>
      <c r="D431" s="112">
        <f>ROUND($B431*KarliyukIssizlikIsciOrani,0)</f>
        <v/>
      </c>
      <c r="E431" s="112">
        <f>ROUND($B431*KarliyukStopajOrani,0)</f>
        <v/>
      </c>
      <c r="F431" s="112">
        <f>ROUND($B431*KarliyukDamgaOrani,0)</f>
        <v/>
      </c>
      <c r="G431" s="112">
        <f>$B431-$C431-$D431-$E431-$F431</f>
        <v/>
      </c>
      <c r="H431" s="112">
        <f>ROUND($B431*KarliyukSgkIsverenOrani,0)</f>
        <v/>
      </c>
      <c r="I431" s="112">
        <f>ROUND($B431*KarliyukIssizlikIsverenOrani,0)</f>
        <v/>
      </c>
      <c r="J431" s="112">
        <f>$B431+$H431+$I431</f>
        <v/>
      </c>
      <c r="K431" s="114" t="n"/>
    </row>
    <row r="432" ht="15" customHeight="1" s="68">
      <c r="A432" s="114" t="n"/>
      <c r="B432" s="114" t="n"/>
      <c r="C432" s="112">
        <f>ROUND($B432*KarliyukSgkIsciOrani,0)</f>
        <v/>
      </c>
      <c r="D432" s="112">
        <f>ROUND($B432*KarliyukIssizlikIsciOrani,0)</f>
        <v/>
      </c>
      <c r="E432" s="112">
        <f>ROUND($B432*KarliyukStopajOrani,0)</f>
        <v/>
      </c>
      <c r="F432" s="112">
        <f>ROUND($B432*KarliyukDamgaOrani,0)</f>
        <v/>
      </c>
      <c r="G432" s="112">
        <f>$B432-$C432-$D432-$E432-$F432</f>
        <v/>
      </c>
      <c r="H432" s="112">
        <f>ROUND($B432*KarliyukSgkIsverenOrani,0)</f>
        <v/>
      </c>
      <c r="I432" s="112">
        <f>ROUND($B432*KarliyukIssizlikIsverenOrani,0)</f>
        <v/>
      </c>
      <c r="J432" s="112">
        <f>$B432+$H432+$I432</f>
        <v/>
      </c>
      <c r="K432" s="114" t="n"/>
    </row>
    <row r="433" ht="15" customHeight="1" s="68">
      <c r="A433" s="114" t="n"/>
      <c r="B433" s="114" t="n"/>
      <c r="C433" s="112">
        <f>ROUND($B433*KarliyukSgkIsciOrani,0)</f>
        <v/>
      </c>
      <c r="D433" s="112">
        <f>ROUND($B433*KarliyukIssizlikIsciOrani,0)</f>
        <v/>
      </c>
      <c r="E433" s="112">
        <f>ROUND($B433*KarliyukStopajOrani,0)</f>
        <v/>
      </c>
      <c r="F433" s="112">
        <f>ROUND($B433*KarliyukDamgaOrani,0)</f>
        <v/>
      </c>
      <c r="G433" s="112">
        <f>$B433-$C433-$D433-$E433-$F433</f>
        <v/>
      </c>
      <c r="H433" s="112">
        <f>ROUND($B433*KarliyukSgkIsverenOrani,0)</f>
        <v/>
      </c>
      <c r="I433" s="112">
        <f>ROUND($B433*KarliyukIssizlikIsverenOrani,0)</f>
        <v/>
      </c>
      <c r="J433" s="112">
        <f>$B433+$H433+$I433</f>
        <v/>
      </c>
      <c r="K433" s="114" t="n"/>
    </row>
    <row r="434" ht="15" customHeight="1" s="68">
      <c r="A434" s="114" t="n"/>
      <c r="B434" s="114" t="n"/>
      <c r="C434" s="112">
        <f>ROUND($B434*KarliyukSgkIsciOrani,0)</f>
        <v/>
      </c>
      <c r="D434" s="112">
        <f>ROUND($B434*KarliyukIssizlikIsciOrani,0)</f>
        <v/>
      </c>
      <c r="E434" s="112">
        <f>ROUND($B434*KarliyukStopajOrani,0)</f>
        <v/>
      </c>
      <c r="F434" s="112">
        <f>ROUND($B434*KarliyukDamgaOrani,0)</f>
        <v/>
      </c>
      <c r="G434" s="112">
        <f>$B434-$C434-$D434-$E434-$F434</f>
        <v/>
      </c>
      <c r="H434" s="112">
        <f>ROUND($B434*KarliyukSgkIsverenOrani,0)</f>
        <v/>
      </c>
      <c r="I434" s="112">
        <f>ROUND($B434*KarliyukIssizlikIsverenOrani,0)</f>
        <v/>
      </c>
      <c r="J434" s="112">
        <f>$B434+$H434+$I434</f>
        <v/>
      </c>
      <c r="K434" s="114" t="n"/>
    </row>
    <row r="435" ht="15" customHeight="1" s="68">
      <c r="A435" s="114" t="n"/>
      <c r="B435" s="114" t="n"/>
      <c r="C435" s="112">
        <f>ROUND($B435*KarliyukSgkIsciOrani,0)</f>
        <v/>
      </c>
      <c r="D435" s="112">
        <f>ROUND($B435*KarliyukIssizlikIsciOrani,0)</f>
        <v/>
      </c>
      <c r="E435" s="112">
        <f>ROUND($B435*KarliyukStopajOrani,0)</f>
        <v/>
      </c>
      <c r="F435" s="112">
        <f>ROUND($B435*KarliyukDamgaOrani,0)</f>
        <v/>
      </c>
      <c r="G435" s="112">
        <f>$B435-$C435-$D435-$E435-$F435</f>
        <v/>
      </c>
      <c r="H435" s="112">
        <f>ROUND($B435*KarliyukSgkIsverenOrani,0)</f>
        <v/>
      </c>
      <c r="I435" s="112">
        <f>ROUND($B435*KarliyukIssizlikIsverenOrani,0)</f>
        <v/>
      </c>
      <c r="J435" s="112">
        <f>$B435+$H435+$I435</f>
        <v/>
      </c>
      <c r="K435" s="114" t="n"/>
    </row>
    <row r="436" ht="15" customHeight="1" s="68">
      <c r="A436" s="114" t="n"/>
      <c r="B436" s="114" t="n"/>
      <c r="C436" s="112">
        <f>ROUND($B436*KarliyukSgkIsciOrani,0)</f>
        <v/>
      </c>
      <c r="D436" s="112">
        <f>ROUND($B436*KarliyukIssizlikIsciOrani,0)</f>
        <v/>
      </c>
      <c r="E436" s="112">
        <f>ROUND($B436*KarliyukStopajOrani,0)</f>
        <v/>
      </c>
      <c r="F436" s="112">
        <f>ROUND($B436*KarliyukDamgaOrani,0)</f>
        <v/>
      </c>
      <c r="G436" s="112">
        <f>$B436-$C436-$D436-$E436-$F436</f>
        <v/>
      </c>
      <c r="H436" s="112">
        <f>ROUND($B436*KarliyukSgkIsverenOrani,0)</f>
        <v/>
      </c>
      <c r="I436" s="112">
        <f>ROUND($B436*KarliyukIssizlikIsverenOrani,0)</f>
        <v/>
      </c>
      <c r="J436" s="112">
        <f>$B436+$H436+$I436</f>
        <v/>
      </c>
      <c r="K436" s="114" t="n"/>
    </row>
    <row r="437" ht="15" customHeight="1" s="68">
      <c r="A437" s="114" t="n"/>
      <c r="B437" s="114" t="n"/>
      <c r="C437" s="112">
        <f>ROUND($B437*KarliyukSgkIsciOrani,0)</f>
        <v/>
      </c>
      <c r="D437" s="112">
        <f>ROUND($B437*KarliyukIssizlikIsciOrani,0)</f>
        <v/>
      </c>
      <c r="E437" s="112">
        <f>ROUND($B437*KarliyukStopajOrani,0)</f>
        <v/>
      </c>
      <c r="F437" s="112">
        <f>ROUND($B437*KarliyukDamgaOrani,0)</f>
        <v/>
      </c>
      <c r="G437" s="112">
        <f>$B437-$C437-$D437-$E437-$F437</f>
        <v/>
      </c>
      <c r="H437" s="112">
        <f>ROUND($B437*KarliyukSgkIsverenOrani,0)</f>
        <v/>
      </c>
      <c r="I437" s="112">
        <f>ROUND($B437*KarliyukIssizlikIsverenOrani,0)</f>
        <v/>
      </c>
      <c r="J437" s="112">
        <f>$B437+$H437+$I437</f>
        <v/>
      </c>
      <c r="K437" s="114" t="n"/>
    </row>
    <row r="438" ht="15" customHeight="1" s="68">
      <c r="A438" s="114" t="n"/>
      <c r="B438" s="114" t="n"/>
      <c r="C438" s="112">
        <f>ROUND($B438*KarliyukSgkIsciOrani,0)</f>
        <v/>
      </c>
      <c r="D438" s="112">
        <f>ROUND($B438*KarliyukIssizlikIsciOrani,0)</f>
        <v/>
      </c>
      <c r="E438" s="112">
        <f>ROUND($B438*KarliyukStopajOrani,0)</f>
        <v/>
      </c>
      <c r="F438" s="112">
        <f>ROUND($B438*KarliyukDamgaOrani,0)</f>
        <v/>
      </c>
      <c r="G438" s="112">
        <f>$B438-$C438-$D438-$E438-$F438</f>
        <v/>
      </c>
      <c r="H438" s="112">
        <f>ROUND($B438*KarliyukSgkIsverenOrani,0)</f>
        <v/>
      </c>
      <c r="I438" s="112">
        <f>ROUND($B438*KarliyukIssizlikIsverenOrani,0)</f>
        <v/>
      </c>
      <c r="J438" s="112">
        <f>$B438+$H438+$I438</f>
        <v/>
      </c>
      <c r="K438" s="114" t="n"/>
    </row>
    <row r="439" ht="15" customHeight="1" s="68">
      <c r="A439" s="114" t="n"/>
      <c r="B439" s="114" t="n"/>
      <c r="C439" s="112">
        <f>ROUND($B439*KarliyukSgkIsciOrani,0)</f>
        <v/>
      </c>
      <c r="D439" s="112">
        <f>ROUND($B439*KarliyukIssizlikIsciOrani,0)</f>
        <v/>
      </c>
      <c r="E439" s="112">
        <f>ROUND($B439*KarliyukStopajOrani,0)</f>
        <v/>
      </c>
      <c r="F439" s="112">
        <f>ROUND($B439*KarliyukDamgaOrani,0)</f>
        <v/>
      </c>
      <c r="G439" s="112">
        <f>$B439-$C439-$D439-$E439-$F439</f>
        <v/>
      </c>
      <c r="H439" s="112">
        <f>ROUND($B439*KarliyukSgkIsverenOrani,0)</f>
        <v/>
      </c>
      <c r="I439" s="112">
        <f>ROUND($B439*KarliyukIssizlikIsverenOrani,0)</f>
        <v/>
      </c>
      <c r="J439" s="112">
        <f>$B439+$H439+$I439</f>
        <v/>
      </c>
      <c r="K439" s="114" t="n"/>
    </row>
    <row r="440" ht="15" customHeight="1" s="68">
      <c r="A440" s="114" t="n"/>
      <c r="B440" s="114" t="n"/>
      <c r="C440" s="112">
        <f>ROUND($B440*KarliyukSgkIsciOrani,0)</f>
        <v/>
      </c>
      <c r="D440" s="112">
        <f>ROUND($B440*KarliyukIssizlikIsciOrani,0)</f>
        <v/>
      </c>
      <c r="E440" s="112">
        <f>ROUND($B440*KarliyukStopajOrani,0)</f>
        <v/>
      </c>
      <c r="F440" s="112">
        <f>ROUND($B440*KarliyukDamgaOrani,0)</f>
        <v/>
      </c>
      <c r="G440" s="112">
        <f>$B440-$C440-$D440-$E440-$F440</f>
        <v/>
      </c>
      <c r="H440" s="112">
        <f>ROUND($B440*KarliyukSgkIsverenOrani,0)</f>
        <v/>
      </c>
      <c r="I440" s="112">
        <f>ROUND($B440*KarliyukIssizlikIsverenOrani,0)</f>
        <v/>
      </c>
      <c r="J440" s="112">
        <f>$B440+$H440+$I440</f>
        <v/>
      </c>
      <c r="K440" s="114" t="n"/>
    </row>
    <row r="441" ht="15" customHeight="1" s="68">
      <c r="A441" s="114" t="n"/>
      <c r="B441" s="114" t="n"/>
      <c r="C441" s="112">
        <f>ROUND($B441*KarliyukSgkIsciOrani,0)</f>
        <v/>
      </c>
      <c r="D441" s="112">
        <f>ROUND($B441*KarliyukIssizlikIsciOrani,0)</f>
        <v/>
      </c>
      <c r="E441" s="112">
        <f>ROUND($B441*KarliyukStopajOrani,0)</f>
        <v/>
      </c>
      <c r="F441" s="112">
        <f>ROUND($B441*KarliyukDamgaOrani,0)</f>
        <v/>
      </c>
      <c r="G441" s="112">
        <f>$B441-$C441-$D441-$E441-$F441</f>
        <v/>
      </c>
      <c r="H441" s="112">
        <f>ROUND($B441*KarliyukSgkIsverenOrani,0)</f>
        <v/>
      </c>
      <c r="I441" s="112">
        <f>ROUND($B441*KarliyukIssizlikIsverenOrani,0)</f>
        <v/>
      </c>
      <c r="J441" s="112">
        <f>$B441+$H441+$I441</f>
        <v/>
      </c>
      <c r="K441" s="114" t="n"/>
    </row>
    <row r="442" ht="15" customHeight="1" s="68">
      <c r="A442" s="114" t="n"/>
      <c r="B442" s="114" t="n"/>
      <c r="C442" s="112">
        <f>ROUND($B442*KarliyukSgkIsciOrani,0)</f>
        <v/>
      </c>
      <c r="D442" s="112">
        <f>ROUND($B442*KarliyukIssizlikIsciOrani,0)</f>
        <v/>
      </c>
      <c r="E442" s="112">
        <f>ROUND($B442*KarliyukStopajOrani,0)</f>
        <v/>
      </c>
      <c r="F442" s="112">
        <f>ROUND($B442*KarliyukDamgaOrani,0)</f>
        <v/>
      </c>
      <c r="G442" s="112">
        <f>$B442-$C442-$D442-$E442-$F442</f>
        <v/>
      </c>
      <c r="H442" s="112">
        <f>ROUND($B442*KarliyukSgkIsverenOrani,0)</f>
        <v/>
      </c>
      <c r="I442" s="112">
        <f>ROUND($B442*KarliyukIssizlikIsverenOrani,0)</f>
        <v/>
      </c>
      <c r="J442" s="112">
        <f>$B442+$H442+$I442</f>
        <v/>
      </c>
      <c r="K442" s="114" t="n"/>
    </row>
    <row r="443" ht="15" customHeight="1" s="68">
      <c r="A443" s="114" t="n"/>
      <c r="B443" s="114" t="n"/>
      <c r="C443" s="112">
        <f>ROUND($B443*KarliyukSgkIsciOrani,0)</f>
        <v/>
      </c>
      <c r="D443" s="112">
        <f>ROUND($B443*KarliyukIssizlikIsciOrani,0)</f>
        <v/>
      </c>
      <c r="E443" s="112">
        <f>ROUND($B443*KarliyukStopajOrani,0)</f>
        <v/>
      </c>
      <c r="F443" s="112">
        <f>ROUND($B443*KarliyukDamgaOrani,0)</f>
        <v/>
      </c>
      <c r="G443" s="112">
        <f>$B443-$C443-$D443-$E443-$F443</f>
        <v/>
      </c>
      <c r="H443" s="112">
        <f>ROUND($B443*KarliyukSgkIsverenOrani,0)</f>
        <v/>
      </c>
      <c r="I443" s="112">
        <f>ROUND($B443*KarliyukIssizlikIsverenOrani,0)</f>
        <v/>
      </c>
      <c r="J443" s="112">
        <f>$B443+$H443+$I443</f>
        <v/>
      </c>
      <c r="K443" s="114" t="n"/>
    </row>
    <row r="444" ht="15" customHeight="1" s="68">
      <c r="A444" s="114" t="n"/>
      <c r="B444" s="114" t="n"/>
      <c r="C444" s="112">
        <f>ROUND($B444*KarliyukSgkIsciOrani,0)</f>
        <v/>
      </c>
      <c r="D444" s="112">
        <f>ROUND($B444*KarliyukIssizlikIsciOrani,0)</f>
        <v/>
      </c>
      <c r="E444" s="112">
        <f>ROUND($B444*KarliyukStopajOrani,0)</f>
        <v/>
      </c>
      <c r="F444" s="112">
        <f>ROUND($B444*KarliyukDamgaOrani,0)</f>
        <v/>
      </c>
      <c r="G444" s="112">
        <f>$B444-$C444-$D444-$E444-$F444</f>
        <v/>
      </c>
      <c r="H444" s="112">
        <f>ROUND($B444*KarliyukSgkIsverenOrani,0)</f>
        <v/>
      </c>
      <c r="I444" s="112">
        <f>ROUND($B444*KarliyukIssizlikIsverenOrani,0)</f>
        <v/>
      </c>
      <c r="J444" s="112">
        <f>$B444+$H444+$I444</f>
        <v/>
      </c>
      <c r="K444" s="114" t="n"/>
    </row>
    <row r="445" ht="15" customHeight="1" s="68">
      <c r="A445" s="114" t="n"/>
      <c r="B445" s="114" t="n"/>
      <c r="C445" s="112">
        <f>ROUND($B445*KarliyukSgkIsciOrani,0)</f>
        <v/>
      </c>
      <c r="D445" s="112">
        <f>ROUND($B445*KarliyukIssizlikIsciOrani,0)</f>
        <v/>
      </c>
      <c r="E445" s="112">
        <f>ROUND($B445*KarliyukStopajOrani,0)</f>
        <v/>
      </c>
      <c r="F445" s="112">
        <f>ROUND($B445*KarliyukDamgaOrani,0)</f>
        <v/>
      </c>
      <c r="G445" s="112">
        <f>$B445-$C445-$D445-$E445-$F445</f>
        <v/>
      </c>
      <c r="H445" s="112">
        <f>ROUND($B445*KarliyukSgkIsverenOrani,0)</f>
        <v/>
      </c>
      <c r="I445" s="112">
        <f>ROUND($B445*KarliyukIssizlikIsverenOrani,0)</f>
        <v/>
      </c>
      <c r="J445" s="112">
        <f>$B445+$H445+$I445</f>
        <v/>
      </c>
      <c r="K445" s="114" t="n"/>
    </row>
    <row r="446" ht="15" customHeight="1" s="68">
      <c r="A446" s="114" t="n"/>
      <c r="B446" s="114" t="n"/>
      <c r="C446" s="112">
        <f>ROUND($B446*KarliyukSgkIsciOrani,0)</f>
        <v/>
      </c>
      <c r="D446" s="112">
        <f>ROUND($B446*KarliyukIssizlikIsciOrani,0)</f>
        <v/>
      </c>
      <c r="E446" s="112">
        <f>ROUND($B446*KarliyukStopajOrani,0)</f>
        <v/>
      </c>
      <c r="F446" s="112">
        <f>ROUND($B446*KarliyukDamgaOrani,0)</f>
        <v/>
      </c>
      <c r="G446" s="112">
        <f>$B446-$C446-$D446-$E446-$F446</f>
        <v/>
      </c>
      <c r="H446" s="112">
        <f>ROUND($B446*KarliyukSgkIsverenOrani,0)</f>
        <v/>
      </c>
      <c r="I446" s="112">
        <f>ROUND($B446*KarliyukIssizlikIsverenOrani,0)</f>
        <v/>
      </c>
      <c r="J446" s="112">
        <f>$B446+$H446+$I446</f>
        <v/>
      </c>
      <c r="K446" s="114" t="n"/>
    </row>
    <row r="447" ht="15" customHeight="1" s="68">
      <c r="A447" s="114" t="n"/>
      <c r="B447" s="114" t="n"/>
      <c r="C447" s="112">
        <f>ROUND($B447*KarliyukSgkIsciOrani,0)</f>
        <v/>
      </c>
      <c r="D447" s="112">
        <f>ROUND($B447*KarliyukIssizlikIsciOrani,0)</f>
        <v/>
      </c>
      <c r="E447" s="112">
        <f>ROUND($B447*KarliyukStopajOrani,0)</f>
        <v/>
      </c>
      <c r="F447" s="112">
        <f>ROUND($B447*KarliyukDamgaOrani,0)</f>
        <v/>
      </c>
      <c r="G447" s="112">
        <f>$B447-$C447-$D447-$E447-$F447</f>
        <v/>
      </c>
      <c r="H447" s="112">
        <f>ROUND($B447*KarliyukSgkIsverenOrani,0)</f>
        <v/>
      </c>
      <c r="I447" s="112">
        <f>ROUND($B447*KarliyukIssizlikIsverenOrani,0)</f>
        <v/>
      </c>
      <c r="J447" s="112">
        <f>$B447+$H447+$I447</f>
        <v/>
      </c>
      <c r="K447" s="114" t="n"/>
    </row>
    <row r="448" ht="15" customHeight="1" s="68">
      <c r="A448" s="114" t="n"/>
      <c r="B448" s="114" t="n"/>
      <c r="C448" s="112">
        <f>ROUND($B448*KarliyukSgkIsciOrani,0)</f>
        <v/>
      </c>
      <c r="D448" s="112">
        <f>ROUND($B448*KarliyukIssizlikIsciOrani,0)</f>
        <v/>
      </c>
      <c r="E448" s="112">
        <f>ROUND($B448*KarliyukStopajOrani,0)</f>
        <v/>
      </c>
      <c r="F448" s="112">
        <f>ROUND($B448*KarliyukDamgaOrani,0)</f>
        <v/>
      </c>
      <c r="G448" s="112">
        <f>$B448-$C448-$D448-$E448-$F448</f>
        <v/>
      </c>
      <c r="H448" s="112">
        <f>ROUND($B448*KarliyukSgkIsverenOrani,0)</f>
        <v/>
      </c>
      <c r="I448" s="112">
        <f>ROUND($B448*KarliyukIssizlikIsverenOrani,0)</f>
        <v/>
      </c>
      <c r="J448" s="112">
        <f>$B448+$H448+$I448</f>
        <v/>
      </c>
      <c r="K448" s="114" t="n"/>
    </row>
    <row r="449" ht="15" customHeight="1" s="68">
      <c r="A449" s="114" t="n"/>
      <c r="B449" s="114" t="n"/>
      <c r="C449" s="112">
        <f>ROUND($B449*KarliyukSgkIsciOrani,0)</f>
        <v/>
      </c>
      <c r="D449" s="112">
        <f>ROUND($B449*KarliyukIssizlikIsciOrani,0)</f>
        <v/>
      </c>
      <c r="E449" s="112">
        <f>ROUND($B449*KarliyukStopajOrani,0)</f>
        <v/>
      </c>
      <c r="F449" s="112">
        <f>ROUND($B449*KarliyukDamgaOrani,0)</f>
        <v/>
      </c>
      <c r="G449" s="112">
        <f>$B449-$C449-$D449-$E449-$F449</f>
        <v/>
      </c>
      <c r="H449" s="112">
        <f>ROUND($B449*KarliyukSgkIsverenOrani,0)</f>
        <v/>
      </c>
      <c r="I449" s="112">
        <f>ROUND($B449*KarliyukIssizlikIsverenOrani,0)</f>
        <v/>
      </c>
      <c r="J449" s="112">
        <f>$B449+$H449+$I449</f>
        <v/>
      </c>
      <c r="K449" s="114" t="n"/>
    </row>
    <row r="450" ht="15" customHeight="1" s="68">
      <c r="A450" s="114" t="n"/>
      <c r="B450" s="114" t="n"/>
      <c r="C450" s="112">
        <f>ROUND($B450*KarliyukSgkIsciOrani,0)</f>
        <v/>
      </c>
      <c r="D450" s="112">
        <f>ROUND($B450*KarliyukIssizlikIsciOrani,0)</f>
        <v/>
      </c>
      <c r="E450" s="112">
        <f>ROUND($B450*KarliyukStopajOrani,0)</f>
        <v/>
      </c>
      <c r="F450" s="112">
        <f>ROUND($B450*KarliyukDamgaOrani,0)</f>
        <v/>
      </c>
      <c r="G450" s="112">
        <f>$B450-$C450-$D450-$E450-$F450</f>
        <v/>
      </c>
      <c r="H450" s="112">
        <f>ROUND($B450*KarliyukSgkIsverenOrani,0)</f>
        <v/>
      </c>
      <c r="I450" s="112">
        <f>ROUND($B450*KarliyukIssizlikIsverenOrani,0)</f>
        <v/>
      </c>
      <c r="J450" s="112">
        <f>$B450+$H450+$I450</f>
        <v/>
      </c>
      <c r="K450" s="114" t="n"/>
    </row>
    <row r="451" ht="15" customHeight="1" s="68">
      <c r="A451" s="114" t="n"/>
      <c r="B451" s="114" t="n"/>
      <c r="C451" s="112">
        <f>ROUND($B451*KarliyukSgkIsciOrani,0)</f>
        <v/>
      </c>
      <c r="D451" s="112">
        <f>ROUND($B451*KarliyukIssizlikIsciOrani,0)</f>
        <v/>
      </c>
      <c r="E451" s="112">
        <f>ROUND($B451*KarliyukStopajOrani,0)</f>
        <v/>
      </c>
      <c r="F451" s="112">
        <f>ROUND($B451*KarliyukDamgaOrani,0)</f>
        <v/>
      </c>
      <c r="G451" s="112">
        <f>$B451-$C451-$D451-$E451-$F451</f>
        <v/>
      </c>
      <c r="H451" s="112">
        <f>ROUND($B451*KarliyukSgkIsverenOrani,0)</f>
        <v/>
      </c>
      <c r="I451" s="112">
        <f>ROUND($B451*KarliyukIssizlikIsverenOrani,0)</f>
        <v/>
      </c>
      <c r="J451" s="112">
        <f>$B451+$H451+$I451</f>
        <v/>
      </c>
      <c r="K451" s="114" t="n"/>
    </row>
    <row r="452" ht="15" customHeight="1" s="68">
      <c r="A452" s="114" t="n"/>
      <c r="B452" s="114" t="n"/>
      <c r="C452" s="112">
        <f>ROUND($B452*KarliyukSgkIsciOrani,0)</f>
        <v/>
      </c>
      <c r="D452" s="112">
        <f>ROUND($B452*KarliyukIssizlikIsciOrani,0)</f>
        <v/>
      </c>
      <c r="E452" s="112">
        <f>ROUND($B452*KarliyukStopajOrani,0)</f>
        <v/>
      </c>
      <c r="F452" s="112">
        <f>ROUND($B452*KarliyukDamgaOrani,0)</f>
        <v/>
      </c>
      <c r="G452" s="112">
        <f>$B452-$C452-$D452-$E452-$F452</f>
        <v/>
      </c>
      <c r="H452" s="112">
        <f>ROUND($B452*KarliyukSgkIsverenOrani,0)</f>
        <v/>
      </c>
      <c r="I452" s="112">
        <f>ROUND($B452*KarliyukIssizlikIsverenOrani,0)</f>
        <v/>
      </c>
      <c r="J452" s="112">
        <f>$B452+$H452+$I452</f>
        <v/>
      </c>
      <c r="K452" s="114" t="n"/>
    </row>
    <row r="453" ht="15" customHeight="1" s="68">
      <c r="A453" s="114" t="n"/>
      <c r="B453" s="114" t="n"/>
      <c r="C453" s="112">
        <f>ROUND($B453*KarliyukSgkIsciOrani,0)</f>
        <v/>
      </c>
      <c r="D453" s="112">
        <f>ROUND($B453*KarliyukIssizlikIsciOrani,0)</f>
        <v/>
      </c>
      <c r="E453" s="112">
        <f>ROUND($B453*KarliyukStopajOrani,0)</f>
        <v/>
      </c>
      <c r="F453" s="112">
        <f>ROUND($B453*KarliyukDamgaOrani,0)</f>
        <v/>
      </c>
      <c r="G453" s="112">
        <f>$B453-$C453-$D453-$E453-$F453</f>
        <v/>
      </c>
      <c r="H453" s="112">
        <f>ROUND($B453*KarliyukSgkIsverenOrani,0)</f>
        <v/>
      </c>
      <c r="I453" s="112">
        <f>ROUND($B453*KarliyukIssizlikIsverenOrani,0)</f>
        <v/>
      </c>
      <c r="J453" s="112">
        <f>$B453+$H453+$I453</f>
        <v/>
      </c>
      <c r="K453" s="114" t="n"/>
    </row>
    <row r="454" ht="15" customHeight="1" s="68">
      <c r="A454" s="114" t="n"/>
      <c r="B454" s="114" t="n"/>
      <c r="C454" s="112">
        <f>ROUND($B454*KarliyukSgkIsciOrani,0)</f>
        <v/>
      </c>
      <c r="D454" s="112">
        <f>ROUND($B454*KarliyukIssizlikIsciOrani,0)</f>
        <v/>
      </c>
      <c r="E454" s="112">
        <f>ROUND($B454*KarliyukStopajOrani,0)</f>
        <v/>
      </c>
      <c r="F454" s="112">
        <f>ROUND($B454*KarliyukDamgaOrani,0)</f>
        <v/>
      </c>
      <c r="G454" s="112">
        <f>$B454-$C454-$D454-$E454-$F454</f>
        <v/>
      </c>
      <c r="H454" s="112">
        <f>ROUND($B454*KarliyukSgkIsverenOrani,0)</f>
        <v/>
      </c>
      <c r="I454" s="112">
        <f>ROUND($B454*KarliyukIssizlikIsverenOrani,0)</f>
        <v/>
      </c>
      <c r="J454" s="112">
        <f>$B454+$H454+$I454</f>
        <v/>
      </c>
      <c r="K454" s="114" t="n"/>
    </row>
    <row r="455" ht="15" customHeight="1" s="68">
      <c r="A455" s="114" t="n"/>
      <c r="B455" s="114" t="n"/>
      <c r="C455" s="112">
        <f>ROUND($B455*KarliyukSgkIsciOrani,0)</f>
        <v/>
      </c>
      <c r="D455" s="112">
        <f>ROUND($B455*KarliyukIssizlikIsciOrani,0)</f>
        <v/>
      </c>
      <c r="E455" s="112">
        <f>ROUND($B455*KarliyukStopajOrani,0)</f>
        <v/>
      </c>
      <c r="F455" s="112">
        <f>ROUND($B455*KarliyukDamgaOrani,0)</f>
        <v/>
      </c>
      <c r="G455" s="112">
        <f>$B455-$C455-$D455-$E455-$F455</f>
        <v/>
      </c>
      <c r="H455" s="112">
        <f>ROUND($B455*KarliyukSgkIsverenOrani,0)</f>
        <v/>
      </c>
      <c r="I455" s="112">
        <f>ROUND($B455*KarliyukIssizlikIsverenOrani,0)</f>
        <v/>
      </c>
      <c r="J455" s="112">
        <f>$B455+$H455+$I455</f>
        <v/>
      </c>
      <c r="K455" s="114" t="n"/>
    </row>
    <row r="456" ht="15" customHeight="1" s="68">
      <c r="A456" s="114" t="n"/>
      <c r="B456" s="114" t="n"/>
      <c r="C456" s="112">
        <f>ROUND($B456*KarliyukSgkIsciOrani,0)</f>
        <v/>
      </c>
      <c r="D456" s="112">
        <f>ROUND($B456*KarliyukIssizlikIsciOrani,0)</f>
        <v/>
      </c>
      <c r="E456" s="112">
        <f>ROUND($B456*KarliyukStopajOrani,0)</f>
        <v/>
      </c>
      <c r="F456" s="112">
        <f>ROUND($B456*KarliyukDamgaOrani,0)</f>
        <v/>
      </c>
      <c r="G456" s="112">
        <f>$B456-$C456-$D456-$E456-$F456</f>
        <v/>
      </c>
      <c r="H456" s="112">
        <f>ROUND($B456*KarliyukSgkIsverenOrani,0)</f>
        <v/>
      </c>
      <c r="I456" s="112">
        <f>ROUND($B456*KarliyukIssizlikIsverenOrani,0)</f>
        <v/>
      </c>
      <c r="J456" s="112">
        <f>$B456+$H456+$I456</f>
        <v/>
      </c>
      <c r="K456" s="114" t="n"/>
    </row>
    <row r="457" ht="15" customHeight="1" s="68">
      <c r="A457" s="114" t="n"/>
      <c r="B457" s="114" t="n"/>
      <c r="C457" s="112">
        <f>ROUND($B457*KarliyukSgkIsciOrani,0)</f>
        <v/>
      </c>
      <c r="D457" s="112">
        <f>ROUND($B457*KarliyukIssizlikIsciOrani,0)</f>
        <v/>
      </c>
      <c r="E457" s="112">
        <f>ROUND($B457*KarliyukStopajOrani,0)</f>
        <v/>
      </c>
      <c r="F457" s="112">
        <f>ROUND($B457*KarliyukDamgaOrani,0)</f>
        <v/>
      </c>
      <c r="G457" s="112">
        <f>$B457-$C457-$D457-$E457-$F457</f>
        <v/>
      </c>
      <c r="H457" s="112">
        <f>ROUND($B457*KarliyukSgkIsverenOrani,0)</f>
        <v/>
      </c>
      <c r="I457" s="112">
        <f>ROUND($B457*KarliyukIssizlikIsverenOrani,0)</f>
        <v/>
      </c>
      <c r="J457" s="112">
        <f>$B457+$H457+$I457</f>
        <v/>
      </c>
      <c r="K457" s="114" t="n"/>
    </row>
    <row r="458" ht="15" customHeight="1" s="68">
      <c r="A458" s="114" t="n"/>
      <c r="B458" s="114" t="n"/>
      <c r="C458" s="112">
        <f>ROUND($B458*KarliyukSgkIsciOrani,0)</f>
        <v/>
      </c>
      <c r="D458" s="112">
        <f>ROUND($B458*KarliyukIssizlikIsciOrani,0)</f>
        <v/>
      </c>
      <c r="E458" s="112">
        <f>ROUND($B458*KarliyukStopajOrani,0)</f>
        <v/>
      </c>
      <c r="F458" s="112">
        <f>ROUND($B458*KarliyukDamgaOrani,0)</f>
        <v/>
      </c>
      <c r="G458" s="112">
        <f>$B458-$C458-$D458-$E458-$F458</f>
        <v/>
      </c>
      <c r="H458" s="112">
        <f>ROUND($B458*KarliyukSgkIsverenOrani,0)</f>
        <v/>
      </c>
      <c r="I458" s="112">
        <f>ROUND($B458*KarliyukIssizlikIsverenOrani,0)</f>
        <v/>
      </c>
      <c r="J458" s="112">
        <f>$B458+$H458+$I458</f>
        <v/>
      </c>
      <c r="K458" s="114" t="n"/>
    </row>
    <row r="459" ht="15" customHeight="1" s="68">
      <c r="A459" s="114" t="n"/>
      <c r="B459" s="114" t="n"/>
      <c r="C459" s="112">
        <f>ROUND($B459*KarliyukSgkIsciOrani,0)</f>
        <v/>
      </c>
      <c r="D459" s="112">
        <f>ROUND($B459*KarliyukIssizlikIsciOrani,0)</f>
        <v/>
      </c>
      <c r="E459" s="112">
        <f>ROUND($B459*KarliyukStopajOrani,0)</f>
        <v/>
      </c>
      <c r="F459" s="112">
        <f>ROUND($B459*KarliyukDamgaOrani,0)</f>
        <v/>
      </c>
      <c r="G459" s="112">
        <f>$B459-$C459-$D459-$E459-$F459</f>
        <v/>
      </c>
      <c r="H459" s="112">
        <f>ROUND($B459*KarliyukSgkIsverenOrani,0)</f>
        <v/>
      </c>
      <c r="I459" s="112">
        <f>ROUND($B459*KarliyukIssizlikIsverenOrani,0)</f>
        <v/>
      </c>
      <c r="J459" s="112">
        <f>$B459+$H459+$I459</f>
        <v/>
      </c>
      <c r="K459" s="114" t="n"/>
    </row>
    <row r="460" ht="15" customHeight="1" s="68">
      <c r="A460" s="114" t="n"/>
      <c r="B460" s="114" t="n"/>
      <c r="C460" s="112">
        <f>ROUND($B460*KarliyukSgkIsciOrani,0)</f>
        <v/>
      </c>
      <c r="D460" s="112">
        <f>ROUND($B460*KarliyukIssizlikIsciOrani,0)</f>
        <v/>
      </c>
      <c r="E460" s="112">
        <f>ROUND($B460*KarliyukStopajOrani,0)</f>
        <v/>
      </c>
      <c r="F460" s="112">
        <f>ROUND($B460*KarliyukDamgaOrani,0)</f>
        <v/>
      </c>
      <c r="G460" s="112">
        <f>$B460-$C460-$D460-$E460-$F460</f>
        <v/>
      </c>
      <c r="H460" s="112">
        <f>ROUND($B460*KarliyukSgkIsverenOrani,0)</f>
        <v/>
      </c>
      <c r="I460" s="112">
        <f>ROUND($B460*KarliyukIssizlikIsverenOrani,0)</f>
        <v/>
      </c>
      <c r="J460" s="112">
        <f>$B460+$H460+$I460</f>
        <v/>
      </c>
      <c r="K460" s="114" t="n"/>
    </row>
    <row r="461" ht="15" customHeight="1" s="68">
      <c r="A461" s="114" t="n"/>
      <c r="B461" s="114" t="n"/>
      <c r="C461" s="112">
        <f>ROUND($B461*KarliyukSgkIsciOrani,0)</f>
        <v/>
      </c>
      <c r="D461" s="112">
        <f>ROUND($B461*KarliyukIssizlikIsciOrani,0)</f>
        <v/>
      </c>
      <c r="E461" s="112">
        <f>ROUND($B461*KarliyukStopajOrani,0)</f>
        <v/>
      </c>
      <c r="F461" s="112">
        <f>ROUND($B461*KarliyukDamgaOrani,0)</f>
        <v/>
      </c>
      <c r="G461" s="112">
        <f>$B461-$C461-$D461-$E461-$F461</f>
        <v/>
      </c>
      <c r="H461" s="112">
        <f>ROUND($B461*KarliyukSgkIsverenOrani,0)</f>
        <v/>
      </c>
      <c r="I461" s="112">
        <f>ROUND($B461*KarliyukIssizlikIsverenOrani,0)</f>
        <v/>
      </c>
      <c r="J461" s="112">
        <f>$B461+$H461+$I461</f>
        <v/>
      </c>
      <c r="K461" s="114" t="n"/>
    </row>
    <row r="462" ht="15" customHeight="1" s="68">
      <c r="A462" s="114" t="n"/>
      <c r="B462" s="114" t="n"/>
      <c r="C462" s="112">
        <f>ROUND($B462*KarliyukSgkIsciOrani,0)</f>
        <v/>
      </c>
      <c r="D462" s="112">
        <f>ROUND($B462*KarliyukIssizlikIsciOrani,0)</f>
        <v/>
      </c>
      <c r="E462" s="112">
        <f>ROUND($B462*KarliyukStopajOrani,0)</f>
        <v/>
      </c>
      <c r="F462" s="112">
        <f>ROUND($B462*KarliyukDamgaOrani,0)</f>
        <v/>
      </c>
      <c r="G462" s="112">
        <f>$B462-$C462-$D462-$E462-$F462</f>
        <v/>
      </c>
      <c r="H462" s="112">
        <f>ROUND($B462*KarliyukSgkIsverenOrani,0)</f>
        <v/>
      </c>
      <c r="I462" s="112">
        <f>ROUND($B462*KarliyukIssizlikIsverenOrani,0)</f>
        <v/>
      </c>
      <c r="J462" s="112">
        <f>$B462+$H462+$I462</f>
        <v/>
      </c>
      <c r="K462" s="114" t="n"/>
    </row>
    <row r="463" ht="15" customHeight="1" s="68">
      <c r="A463" s="114" t="n"/>
      <c r="B463" s="114" t="n"/>
      <c r="C463" s="112">
        <f>ROUND($B463*KarliyukSgkIsciOrani,0)</f>
        <v/>
      </c>
      <c r="D463" s="112">
        <f>ROUND($B463*KarliyukIssizlikIsciOrani,0)</f>
        <v/>
      </c>
      <c r="E463" s="112">
        <f>ROUND($B463*KarliyukStopajOrani,0)</f>
        <v/>
      </c>
      <c r="F463" s="112">
        <f>ROUND($B463*KarliyukDamgaOrani,0)</f>
        <v/>
      </c>
      <c r="G463" s="112">
        <f>$B463-$C463-$D463-$E463-$F463</f>
        <v/>
      </c>
      <c r="H463" s="112">
        <f>ROUND($B463*KarliyukSgkIsverenOrani,0)</f>
        <v/>
      </c>
      <c r="I463" s="112">
        <f>ROUND($B463*KarliyukIssizlikIsverenOrani,0)</f>
        <v/>
      </c>
      <c r="J463" s="112">
        <f>$B463+$H463+$I463</f>
        <v/>
      </c>
      <c r="K463" s="114" t="n"/>
    </row>
    <row r="464" ht="15" customHeight="1" s="68">
      <c r="A464" s="114" t="n"/>
      <c r="B464" s="114" t="n"/>
      <c r="C464" s="112">
        <f>ROUND($B464*KarliyukSgkIsciOrani,0)</f>
        <v/>
      </c>
      <c r="D464" s="112">
        <f>ROUND($B464*KarliyukIssizlikIsciOrani,0)</f>
        <v/>
      </c>
      <c r="E464" s="112">
        <f>ROUND($B464*KarliyukStopajOrani,0)</f>
        <v/>
      </c>
      <c r="F464" s="112">
        <f>ROUND($B464*KarliyukDamgaOrani,0)</f>
        <v/>
      </c>
      <c r="G464" s="112">
        <f>$B464-$C464-$D464-$E464-$F464</f>
        <v/>
      </c>
      <c r="H464" s="112">
        <f>ROUND($B464*KarliyukSgkIsverenOrani,0)</f>
        <v/>
      </c>
      <c r="I464" s="112">
        <f>ROUND($B464*KarliyukIssizlikIsverenOrani,0)</f>
        <v/>
      </c>
      <c r="J464" s="112">
        <f>$B464+$H464+$I464</f>
        <v/>
      </c>
      <c r="K464" s="114" t="n"/>
    </row>
    <row r="465" ht="15" customHeight="1" s="68">
      <c r="A465" s="114" t="n"/>
      <c r="B465" s="114" t="n"/>
      <c r="C465" s="112">
        <f>ROUND($B465*KarliyukSgkIsciOrani,0)</f>
        <v/>
      </c>
      <c r="D465" s="112">
        <f>ROUND($B465*KarliyukIssizlikIsciOrani,0)</f>
        <v/>
      </c>
      <c r="E465" s="112">
        <f>ROUND($B465*KarliyukStopajOrani,0)</f>
        <v/>
      </c>
      <c r="F465" s="112">
        <f>ROUND($B465*KarliyukDamgaOrani,0)</f>
        <v/>
      </c>
      <c r="G465" s="112">
        <f>$B465-$C465-$D465-$E465-$F465</f>
        <v/>
      </c>
      <c r="H465" s="112">
        <f>ROUND($B465*KarliyukSgkIsverenOrani,0)</f>
        <v/>
      </c>
      <c r="I465" s="112">
        <f>ROUND($B465*KarliyukIssizlikIsverenOrani,0)</f>
        <v/>
      </c>
      <c r="J465" s="112">
        <f>$B465+$H465+$I465</f>
        <v/>
      </c>
      <c r="K465" s="114" t="n"/>
    </row>
    <row r="466" ht="15" customHeight="1" s="68">
      <c r="A466" s="114" t="n"/>
      <c r="B466" s="114" t="n"/>
      <c r="C466" s="112">
        <f>ROUND($B466*KarliyukSgkIsciOrani,0)</f>
        <v/>
      </c>
      <c r="D466" s="112">
        <f>ROUND($B466*KarliyukIssizlikIsciOrani,0)</f>
        <v/>
      </c>
      <c r="E466" s="112">
        <f>ROUND($B466*KarliyukStopajOrani,0)</f>
        <v/>
      </c>
      <c r="F466" s="112">
        <f>ROUND($B466*KarliyukDamgaOrani,0)</f>
        <v/>
      </c>
      <c r="G466" s="112">
        <f>$B466-$C466-$D466-$E466-$F466</f>
        <v/>
      </c>
      <c r="H466" s="112">
        <f>ROUND($B466*KarliyukSgkIsverenOrani,0)</f>
        <v/>
      </c>
      <c r="I466" s="112">
        <f>ROUND($B466*KarliyukIssizlikIsverenOrani,0)</f>
        <v/>
      </c>
      <c r="J466" s="112">
        <f>$B466+$H466+$I466</f>
        <v/>
      </c>
      <c r="K466" s="114" t="n"/>
    </row>
    <row r="467" ht="15" customHeight="1" s="68">
      <c r="A467" s="114" t="n"/>
      <c r="B467" s="114" t="n"/>
      <c r="C467" s="112">
        <f>ROUND($B467*KarliyukSgkIsciOrani,0)</f>
        <v/>
      </c>
      <c r="D467" s="112">
        <f>ROUND($B467*KarliyukIssizlikIsciOrani,0)</f>
        <v/>
      </c>
      <c r="E467" s="112">
        <f>ROUND($B467*KarliyukStopajOrani,0)</f>
        <v/>
      </c>
      <c r="F467" s="112">
        <f>ROUND($B467*KarliyukDamgaOrani,0)</f>
        <v/>
      </c>
      <c r="G467" s="112">
        <f>$B467-$C467-$D467-$E467-$F467</f>
        <v/>
      </c>
      <c r="H467" s="112">
        <f>ROUND($B467*KarliyukSgkIsverenOrani,0)</f>
        <v/>
      </c>
      <c r="I467" s="112">
        <f>ROUND($B467*KarliyukIssizlikIsverenOrani,0)</f>
        <v/>
      </c>
      <c r="J467" s="112">
        <f>$B467+$H467+$I467</f>
        <v/>
      </c>
      <c r="K467" s="114" t="n"/>
    </row>
    <row r="468" ht="15" customHeight="1" s="68">
      <c r="A468" s="114" t="n"/>
      <c r="B468" s="114" t="n"/>
      <c r="C468" s="112">
        <f>ROUND($B468*KarliyukSgkIsciOrani,0)</f>
        <v/>
      </c>
      <c r="D468" s="112">
        <f>ROUND($B468*KarliyukIssizlikIsciOrani,0)</f>
        <v/>
      </c>
      <c r="E468" s="112">
        <f>ROUND($B468*KarliyukStopajOrani,0)</f>
        <v/>
      </c>
      <c r="F468" s="112">
        <f>ROUND($B468*KarliyukDamgaOrani,0)</f>
        <v/>
      </c>
      <c r="G468" s="112">
        <f>$B468-$C468-$D468-$E468-$F468</f>
        <v/>
      </c>
      <c r="H468" s="112">
        <f>ROUND($B468*KarliyukSgkIsverenOrani,0)</f>
        <v/>
      </c>
      <c r="I468" s="112">
        <f>ROUND($B468*KarliyukIssizlikIsverenOrani,0)</f>
        <v/>
      </c>
      <c r="J468" s="112">
        <f>$B468+$H468+$I468</f>
        <v/>
      </c>
      <c r="K468" s="114" t="n"/>
    </row>
    <row r="469" ht="15" customHeight="1" s="68">
      <c r="A469" s="114" t="n"/>
      <c r="B469" s="114" t="n"/>
      <c r="C469" s="112">
        <f>ROUND($B469*KarliyukSgkIsciOrani,0)</f>
        <v/>
      </c>
      <c r="D469" s="112">
        <f>ROUND($B469*KarliyukIssizlikIsciOrani,0)</f>
        <v/>
      </c>
      <c r="E469" s="112">
        <f>ROUND($B469*KarliyukStopajOrani,0)</f>
        <v/>
      </c>
      <c r="F469" s="112">
        <f>ROUND($B469*KarliyukDamgaOrani,0)</f>
        <v/>
      </c>
      <c r="G469" s="112">
        <f>$B469-$C469-$D469-$E469-$F469</f>
        <v/>
      </c>
      <c r="H469" s="112">
        <f>ROUND($B469*KarliyukSgkIsverenOrani,0)</f>
        <v/>
      </c>
      <c r="I469" s="112">
        <f>ROUND($B469*KarliyukIssizlikIsverenOrani,0)</f>
        <v/>
      </c>
      <c r="J469" s="112">
        <f>$B469+$H469+$I469</f>
        <v/>
      </c>
      <c r="K469" s="114" t="n"/>
    </row>
    <row r="470" ht="15" customHeight="1" s="68">
      <c r="A470" s="114" t="n"/>
      <c r="B470" s="114" t="n"/>
      <c r="C470" s="112">
        <f>ROUND($B470*KarliyukSgkIsciOrani,0)</f>
        <v/>
      </c>
      <c r="D470" s="112">
        <f>ROUND($B470*KarliyukIssizlikIsciOrani,0)</f>
        <v/>
      </c>
      <c r="E470" s="112">
        <f>ROUND($B470*KarliyukStopajOrani,0)</f>
        <v/>
      </c>
      <c r="F470" s="112">
        <f>ROUND($B470*KarliyukDamgaOrani,0)</f>
        <v/>
      </c>
      <c r="G470" s="112">
        <f>$B470-$C470-$D470-$E470-$F470</f>
        <v/>
      </c>
      <c r="H470" s="112">
        <f>ROUND($B470*KarliyukSgkIsverenOrani,0)</f>
        <v/>
      </c>
      <c r="I470" s="112">
        <f>ROUND($B470*KarliyukIssizlikIsverenOrani,0)</f>
        <v/>
      </c>
      <c r="J470" s="112">
        <f>$B470+$H470+$I470</f>
        <v/>
      </c>
      <c r="K470" s="114" t="n"/>
    </row>
    <row r="471" ht="15" customHeight="1" s="68">
      <c r="A471" s="114" t="n"/>
      <c r="B471" s="114" t="n"/>
      <c r="C471" s="112">
        <f>ROUND($B471*KarliyukSgkIsciOrani,0)</f>
        <v/>
      </c>
      <c r="D471" s="112">
        <f>ROUND($B471*KarliyukIssizlikIsciOrani,0)</f>
        <v/>
      </c>
      <c r="E471" s="112">
        <f>ROUND($B471*KarliyukStopajOrani,0)</f>
        <v/>
      </c>
      <c r="F471" s="112">
        <f>ROUND($B471*KarliyukDamgaOrani,0)</f>
        <v/>
      </c>
      <c r="G471" s="112">
        <f>$B471-$C471-$D471-$E471-$F471</f>
        <v/>
      </c>
      <c r="H471" s="112">
        <f>ROUND($B471*KarliyukSgkIsverenOrani,0)</f>
        <v/>
      </c>
      <c r="I471" s="112">
        <f>ROUND($B471*KarliyukIssizlikIsverenOrani,0)</f>
        <v/>
      </c>
      <c r="J471" s="112">
        <f>$B471+$H471+$I471</f>
        <v/>
      </c>
      <c r="K471" s="114" t="n"/>
    </row>
    <row r="472" ht="15" customHeight="1" s="68">
      <c r="A472" s="114" t="n"/>
      <c r="B472" s="114" t="n"/>
      <c r="C472" s="112">
        <f>ROUND($B472*KarliyukSgkIsciOrani,0)</f>
        <v/>
      </c>
      <c r="D472" s="112">
        <f>ROUND($B472*KarliyukIssizlikIsciOrani,0)</f>
        <v/>
      </c>
      <c r="E472" s="112">
        <f>ROUND($B472*KarliyukStopajOrani,0)</f>
        <v/>
      </c>
      <c r="F472" s="112">
        <f>ROUND($B472*KarliyukDamgaOrani,0)</f>
        <v/>
      </c>
      <c r="G472" s="112">
        <f>$B472-$C472-$D472-$E472-$F472</f>
        <v/>
      </c>
      <c r="H472" s="112">
        <f>ROUND($B472*KarliyukSgkIsverenOrani,0)</f>
        <v/>
      </c>
      <c r="I472" s="112">
        <f>ROUND($B472*KarliyukIssizlikIsverenOrani,0)</f>
        <v/>
      </c>
      <c r="J472" s="112">
        <f>$B472+$H472+$I472</f>
        <v/>
      </c>
      <c r="K472" s="114" t="n"/>
    </row>
    <row r="473" ht="15" customHeight="1" s="68">
      <c r="A473" s="114" t="n"/>
      <c r="B473" s="114" t="n"/>
      <c r="C473" s="112">
        <f>ROUND($B473*KarliyukSgkIsciOrani,0)</f>
        <v/>
      </c>
      <c r="D473" s="112">
        <f>ROUND($B473*KarliyukIssizlikIsciOrani,0)</f>
        <v/>
      </c>
      <c r="E473" s="112">
        <f>ROUND($B473*KarliyukStopajOrani,0)</f>
        <v/>
      </c>
      <c r="F473" s="112">
        <f>ROUND($B473*KarliyukDamgaOrani,0)</f>
        <v/>
      </c>
      <c r="G473" s="112">
        <f>$B473-$C473-$D473-$E473-$F473</f>
        <v/>
      </c>
      <c r="H473" s="112">
        <f>ROUND($B473*KarliyukSgkIsverenOrani,0)</f>
        <v/>
      </c>
      <c r="I473" s="112">
        <f>ROUND($B473*KarliyukIssizlikIsverenOrani,0)</f>
        <v/>
      </c>
      <c r="J473" s="112">
        <f>$B473+$H473+$I473</f>
        <v/>
      </c>
      <c r="K473" s="114" t="n"/>
    </row>
    <row r="474" ht="15" customHeight="1" s="68">
      <c r="A474" s="114" t="n"/>
      <c r="B474" s="114" t="n"/>
      <c r="C474" s="112">
        <f>ROUND($B474*KarliyukSgkIsciOrani,0)</f>
        <v/>
      </c>
      <c r="D474" s="112">
        <f>ROUND($B474*KarliyukIssizlikIsciOrani,0)</f>
        <v/>
      </c>
      <c r="E474" s="112">
        <f>ROUND($B474*KarliyukStopajOrani,0)</f>
        <v/>
      </c>
      <c r="F474" s="112">
        <f>ROUND($B474*KarliyukDamgaOrani,0)</f>
        <v/>
      </c>
      <c r="G474" s="112">
        <f>$B474-$C474-$D474-$E474-$F474</f>
        <v/>
      </c>
      <c r="H474" s="112">
        <f>ROUND($B474*KarliyukSgkIsverenOrani,0)</f>
        <v/>
      </c>
      <c r="I474" s="112">
        <f>ROUND($B474*KarliyukIssizlikIsverenOrani,0)</f>
        <v/>
      </c>
      <c r="J474" s="112">
        <f>$B474+$H474+$I474</f>
        <v/>
      </c>
      <c r="K474" s="114" t="n"/>
    </row>
    <row r="475" ht="15" customHeight="1" s="68">
      <c r="A475" s="114" t="n"/>
      <c r="B475" s="114" t="n"/>
      <c r="C475" s="112">
        <f>ROUND($B475*KarliyukSgkIsciOrani,0)</f>
        <v/>
      </c>
      <c r="D475" s="112">
        <f>ROUND($B475*KarliyukIssizlikIsciOrani,0)</f>
        <v/>
      </c>
      <c r="E475" s="112">
        <f>ROUND($B475*KarliyukStopajOrani,0)</f>
        <v/>
      </c>
      <c r="F475" s="112">
        <f>ROUND($B475*KarliyukDamgaOrani,0)</f>
        <v/>
      </c>
      <c r="G475" s="112">
        <f>$B475-$C475-$D475-$E475-$F475</f>
        <v/>
      </c>
      <c r="H475" s="112">
        <f>ROUND($B475*KarliyukSgkIsverenOrani,0)</f>
        <v/>
      </c>
      <c r="I475" s="112">
        <f>ROUND($B475*KarliyukIssizlikIsverenOrani,0)</f>
        <v/>
      </c>
      <c r="J475" s="112">
        <f>$B475+$H475+$I475</f>
        <v/>
      </c>
      <c r="K475" s="114" t="n"/>
    </row>
    <row r="476" ht="15" customHeight="1" s="68">
      <c r="A476" s="114" t="n"/>
      <c r="B476" s="114" t="n"/>
      <c r="C476" s="112">
        <f>ROUND($B476*KarliyukSgkIsciOrani,0)</f>
        <v/>
      </c>
      <c r="D476" s="112">
        <f>ROUND($B476*KarliyukIssizlikIsciOrani,0)</f>
        <v/>
      </c>
      <c r="E476" s="112">
        <f>ROUND($B476*KarliyukStopajOrani,0)</f>
        <v/>
      </c>
      <c r="F476" s="112">
        <f>ROUND($B476*KarliyukDamgaOrani,0)</f>
        <v/>
      </c>
      <c r="G476" s="112">
        <f>$B476-$C476-$D476-$E476-$F476</f>
        <v/>
      </c>
      <c r="H476" s="112">
        <f>ROUND($B476*KarliyukSgkIsverenOrani,0)</f>
        <v/>
      </c>
      <c r="I476" s="112">
        <f>ROUND($B476*KarliyukIssizlikIsverenOrani,0)</f>
        <v/>
      </c>
      <c r="J476" s="112">
        <f>$B476+$H476+$I476</f>
        <v/>
      </c>
      <c r="K476" s="114" t="n"/>
    </row>
    <row r="477" ht="15" customHeight="1" s="68">
      <c r="A477" s="114" t="n"/>
      <c r="B477" s="114" t="n"/>
      <c r="C477" s="112">
        <f>ROUND($B477*KarliyukSgkIsciOrani,0)</f>
        <v/>
      </c>
      <c r="D477" s="112">
        <f>ROUND($B477*KarliyukIssizlikIsciOrani,0)</f>
        <v/>
      </c>
      <c r="E477" s="112">
        <f>ROUND($B477*KarliyukStopajOrani,0)</f>
        <v/>
      </c>
      <c r="F477" s="112">
        <f>ROUND($B477*KarliyukDamgaOrani,0)</f>
        <v/>
      </c>
      <c r="G477" s="112">
        <f>$B477-$C477-$D477-$E477-$F477</f>
        <v/>
      </c>
      <c r="H477" s="112">
        <f>ROUND($B477*KarliyukSgkIsverenOrani,0)</f>
        <v/>
      </c>
      <c r="I477" s="112">
        <f>ROUND($B477*KarliyukIssizlikIsverenOrani,0)</f>
        <v/>
      </c>
      <c r="J477" s="112">
        <f>$B477+$H477+$I477</f>
        <v/>
      </c>
      <c r="K477" s="114" t="n"/>
    </row>
    <row r="478" ht="15" customHeight="1" s="68">
      <c r="A478" s="114" t="n"/>
      <c r="B478" s="114" t="n"/>
      <c r="C478" s="112">
        <f>ROUND($B478*KarliyukSgkIsciOrani,0)</f>
        <v/>
      </c>
      <c r="D478" s="112">
        <f>ROUND($B478*KarliyukIssizlikIsciOrani,0)</f>
        <v/>
      </c>
      <c r="E478" s="112">
        <f>ROUND($B478*KarliyukStopajOrani,0)</f>
        <v/>
      </c>
      <c r="F478" s="112">
        <f>ROUND($B478*KarliyukDamgaOrani,0)</f>
        <v/>
      </c>
      <c r="G478" s="112">
        <f>$B478-$C478-$D478-$E478-$F478</f>
        <v/>
      </c>
      <c r="H478" s="112">
        <f>ROUND($B478*KarliyukSgkIsverenOrani,0)</f>
        <v/>
      </c>
      <c r="I478" s="112">
        <f>ROUND($B478*KarliyukIssizlikIsverenOrani,0)</f>
        <v/>
      </c>
      <c r="J478" s="112">
        <f>$B478+$H478+$I478</f>
        <v/>
      </c>
      <c r="K478" s="114" t="n"/>
    </row>
    <row r="479" ht="15" customHeight="1" s="68">
      <c r="A479" s="114" t="n"/>
      <c r="B479" s="114" t="n"/>
      <c r="C479" s="112">
        <f>ROUND($B479*KarliyukSgkIsciOrani,0)</f>
        <v/>
      </c>
      <c r="D479" s="112">
        <f>ROUND($B479*KarliyukIssizlikIsciOrani,0)</f>
        <v/>
      </c>
      <c r="E479" s="112">
        <f>ROUND($B479*KarliyukStopajOrani,0)</f>
        <v/>
      </c>
      <c r="F479" s="112">
        <f>ROUND($B479*KarliyukDamgaOrani,0)</f>
        <v/>
      </c>
      <c r="G479" s="112">
        <f>$B479-$C479-$D479-$E479-$F479</f>
        <v/>
      </c>
      <c r="H479" s="112">
        <f>ROUND($B479*KarliyukSgkIsverenOrani,0)</f>
        <v/>
      </c>
      <c r="I479" s="112">
        <f>ROUND($B479*KarliyukIssizlikIsverenOrani,0)</f>
        <v/>
      </c>
      <c r="J479" s="112">
        <f>$B479+$H479+$I479</f>
        <v/>
      </c>
      <c r="K479" s="114" t="n"/>
    </row>
    <row r="480" ht="15" customHeight="1" s="68">
      <c r="A480" s="114" t="n"/>
      <c r="B480" s="114" t="n"/>
      <c r="C480" s="112">
        <f>ROUND($B480*KarliyukSgkIsciOrani,0)</f>
        <v/>
      </c>
      <c r="D480" s="112">
        <f>ROUND($B480*KarliyukIssizlikIsciOrani,0)</f>
        <v/>
      </c>
      <c r="E480" s="112">
        <f>ROUND($B480*KarliyukStopajOrani,0)</f>
        <v/>
      </c>
      <c r="F480" s="112">
        <f>ROUND($B480*KarliyukDamgaOrani,0)</f>
        <v/>
      </c>
      <c r="G480" s="112">
        <f>$B480-$C480-$D480-$E480-$F480</f>
        <v/>
      </c>
      <c r="H480" s="112">
        <f>ROUND($B480*KarliyukSgkIsverenOrani,0)</f>
        <v/>
      </c>
      <c r="I480" s="112">
        <f>ROUND($B480*KarliyukIssizlikIsverenOrani,0)</f>
        <v/>
      </c>
      <c r="J480" s="112">
        <f>$B480+$H480+$I480</f>
        <v/>
      </c>
      <c r="K480" s="114" t="n"/>
    </row>
    <row r="481" ht="15" customHeight="1" s="68">
      <c r="A481" s="114" t="n"/>
      <c r="B481" s="114" t="n"/>
      <c r="C481" s="112">
        <f>ROUND($B481*KarliyukSgkIsciOrani,0)</f>
        <v/>
      </c>
      <c r="D481" s="112">
        <f>ROUND($B481*KarliyukIssizlikIsciOrani,0)</f>
        <v/>
      </c>
      <c r="E481" s="112">
        <f>ROUND($B481*KarliyukStopajOrani,0)</f>
        <v/>
      </c>
      <c r="F481" s="112">
        <f>ROUND($B481*KarliyukDamgaOrani,0)</f>
        <v/>
      </c>
      <c r="G481" s="112">
        <f>$B481-$C481-$D481-$E481-$F481</f>
        <v/>
      </c>
      <c r="H481" s="112">
        <f>ROUND($B481*KarliyukSgkIsverenOrani,0)</f>
        <v/>
      </c>
      <c r="I481" s="112">
        <f>ROUND($B481*KarliyukIssizlikIsverenOrani,0)</f>
        <v/>
      </c>
      <c r="J481" s="112">
        <f>$B481+$H481+$I481</f>
        <v/>
      </c>
      <c r="K481" s="114" t="n"/>
    </row>
    <row r="482" ht="15" customHeight="1" s="68">
      <c r="A482" s="114" t="n"/>
      <c r="B482" s="114" t="n"/>
      <c r="C482" s="112">
        <f>ROUND($B482*KarliyukSgkIsciOrani,0)</f>
        <v/>
      </c>
      <c r="D482" s="112">
        <f>ROUND($B482*KarliyukIssizlikIsciOrani,0)</f>
        <v/>
      </c>
      <c r="E482" s="112">
        <f>ROUND($B482*KarliyukStopajOrani,0)</f>
        <v/>
      </c>
      <c r="F482" s="112">
        <f>ROUND($B482*KarliyukDamgaOrani,0)</f>
        <v/>
      </c>
      <c r="G482" s="112">
        <f>$B482-$C482-$D482-$E482-$F482</f>
        <v/>
      </c>
      <c r="H482" s="112">
        <f>ROUND($B482*KarliyukSgkIsverenOrani,0)</f>
        <v/>
      </c>
      <c r="I482" s="112">
        <f>ROUND($B482*KarliyukIssizlikIsverenOrani,0)</f>
        <v/>
      </c>
      <c r="J482" s="112">
        <f>$B482+$H482+$I482</f>
        <v/>
      </c>
      <c r="K482" s="114" t="n"/>
    </row>
    <row r="483" ht="15" customHeight="1" s="68">
      <c r="A483" s="114" t="n"/>
      <c r="B483" s="114" t="n"/>
      <c r="C483" s="112">
        <f>ROUND($B483*KarliyukSgkIsciOrani,0)</f>
        <v/>
      </c>
      <c r="D483" s="112">
        <f>ROUND($B483*KarliyukIssizlikIsciOrani,0)</f>
        <v/>
      </c>
      <c r="E483" s="112">
        <f>ROUND($B483*KarliyukStopajOrani,0)</f>
        <v/>
      </c>
      <c r="F483" s="112">
        <f>ROUND($B483*KarliyukDamgaOrani,0)</f>
        <v/>
      </c>
      <c r="G483" s="112">
        <f>$B483-$C483-$D483-$E483-$F483</f>
        <v/>
      </c>
      <c r="H483" s="112">
        <f>ROUND($B483*KarliyukSgkIsverenOrani,0)</f>
        <v/>
      </c>
      <c r="I483" s="112">
        <f>ROUND($B483*KarliyukIssizlikIsverenOrani,0)</f>
        <v/>
      </c>
      <c r="J483" s="112">
        <f>$B483+$H483+$I483</f>
        <v/>
      </c>
      <c r="K483" s="114" t="n"/>
    </row>
    <row r="484" ht="15" customHeight="1" s="68">
      <c r="A484" s="114" t="n"/>
      <c r="B484" s="114" t="n"/>
      <c r="C484" s="112">
        <f>ROUND($B484*KarliyukSgkIsciOrani,0)</f>
        <v/>
      </c>
      <c r="D484" s="112">
        <f>ROUND($B484*KarliyukIssizlikIsciOrani,0)</f>
        <v/>
      </c>
      <c r="E484" s="112">
        <f>ROUND($B484*KarliyukStopajOrani,0)</f>
        <v/>
      </c>
      <c r="F484" s="112">
        <f>ROUND($B484*KarliyukDamgaOrani,0)</f>
        <v/>
      </c>
      <c r="G484" s="112">
        <f>$B484-$C484-$D484-$E484-$F484</f>
        <v/>
      </c>
      <c r="H484" s="112">
        <f>ROUND($B484*KarliyukSgkIsverenOrani,0)</f>
        <v/>
      </c>
      <c r="I484" s="112">
        <f>ROUND($B484*KarliyukIssizlikIsverenOrani,0)</f>
        <v/>
      </c>
      <c r="J484" s="112">
        <f>$B484+$H484+$I484</f>
        <v/>
      </c>
      <c r="K484" s="114" t="n"/>
    </row>
    <row r="485" ht="15" customHeight="1" s="68">
      <c r="A485" s="114" t="n"/>
      <c r="B485" s="114" t="n"/>
      <c r="C485" s="112">
        <f>ROUND($B485*KarliyukSgkIsciOrani,0)</f>
        <v/>
      </c>
      <c r="D485" s="112">
        <f>ROUND($B485*KarliyukIssizlikIsciOrani,0)</f>
        <v/>
      </c>
      <c r="E485" s="112">
        <f>ROUND($B485*KarliyukStopajOrani,0)</f>
        <v/>
      </c>
      <c r="F485" s="112">
        <f>ROUND($B485*KarliyukDamgaOrani,0)</f>
        <v/>
      </c>
      <c r="G485" s="112">
        <f>$B485-$C485-$D485-$E485-$F485</f>
        <v/>
      </c>
      <c r="H485" s="112">
        <f>ROUND($B485*KarliyukSgkIsverenOrani,0)</f>
        <v/>
      </c>
      <c r="I485" s="112">
        <f>ROUND($B485*KarliyukIssizlikIsverenOrani,0)</f>
        <v/>
      </c>
      <c r="J485" s="112">
        <f>$B485+$H485+$I485</f>
        <v/>
      </c>
      <c r="K485" s="114" t="n"/>
    </row>
    <row r="486" ht="15" customHeight="1" s="68">
      <c r="A486" s="114" t="n"/>
      <c r="B486" s="114" t="n"/>
      <c r="C486" s="112">
        <f>ROUND($B486*KarliyukSgkIsciOrani,0)</f>
        <v/>
      </c>
      <c r="D486" s="112">
        <f>ROUND($B486*KarliyukIssizlikIsciOrani,0)</f>
        <v/>
      </c>
      <c r="E486" s="112">
        <f>ROUND($B486*KarliyukStopajOrani,0)</f>
        <v/>
      </c>
      <c r="F486" s="112">
        <f>ROUND($B486*KarliyukDamgaOrani,0)</f>
        <v/>
      </c>
      <c r="G486" s="112">
        <f>$B486-$C486-$D486-$E486-$F486</f>
        <v/>
      </c>
      <c r="H486" s="112">
        <f>ROUND($B486*KarliyukSgkIsverenOrani,0)</f>
        <v/>
      </c>
      <c r="I486" s="112">
        <f>ROUND($B486*KarliyukIssizlikIsverenOrani,0)</f>
        <v/>
      </c>
      <c r="J486" s="112">
        <f>$B486+$H486+$I486</f>
        <v/>
      </c>
      <c r="K486" s="114" t="n"/>
    </row>
    <row r="487" ht="15" customHeight="1" s="68">
      <c r="A487" s="114" t="n"/>
      <c r="B487" s="114" t="n"/>
      <c r="C487" s="112">
        <f>ROUND($B487*KarliyukSgkIsciOrani,0)</f>
        <v/>
      </c>
      <c r="D487" s="112">
        <f>ROUND($B487*KarliyukIssizlikIsciOrani,0)</f>
        <v/>
      </c>
      <c r="E487" s="112">
        <f>ROUND($B487*KarliyukStopajOrani,0)</f>
        <v/>
      </c>
      <c r="F487" s="112">
        <f>ROUND($B487*KarliyukDamgaOrani,0)</f>
        <v/>
      </c>
      <c r="G487" s="112">
        <f>$B487-$C487-$D487-$E487-$F487</f>
        <v/>
      </c>
      <c r="H487" s="112">
        <f>ROUND($B487*KarliyukSgkIsverenOrani,0)</f>
        <v/>
      </c>
      <c r="I487" s="112">
        <f>ROUND($B487*KarliyukIssizlikIsverenOrani,0)</f>
        <v/>
      </c>
      <c r="J487" s="112">
        <f>$B487+$H487+$I487</f>
        <v/>
      </c>
      <c r="K487" s="114" t="n"/>
    </row>
    <row r="488" ht="15" customHeight="1" s="68">
      <c r="A488" s="114" t="n"/>
      <c r="B488" s="114" t="n"/>
      <c r="C488" s="112">
        <f>ROUND($B488*KarliyukSgkIsciOrani,0)</f>
        <v/>
      </c>
      <c r="D488" s="112">
        <f>ROUND($B488*KarliyukIssizlikIsciOrani,0)</f>
        <v/>
      </c>
      <c r="E488" s="112">
        <f>ROUND($B488*KarliyukStopajOrani,0)</f>
        <v/>
      </c>
      <c r="F488" s="112">
        <f>ROUND($B488*KarliyukDamgaOrani,0)</f>
        <v/>
      </c>
      <c r="G488" s="112">
        <f>$B488-$C488-$D488-$E488-$F488</f>
        <v/>
      </c>
      <c r="H488" s="112">
        <f>ROUND($B488*KarliyukSgkIsverenOrani,0)</f>
        <v/>
      </c>
      <c r="I488" s="112">
        <f>ROUND($B488*KarliyukIssizlikIsverenOrani,0)</f>
        <v/>
      </c>
      <c r="J488" s="112">
        <f>$B488+$H488+$I488</f>
        <v/>
      </c>
      <c r="K488" s="114" t="n"/>
    </row>
    <row r="489" ht="15" customHeight="1" s="68">
      <c r="A489" s="114" t="n"/>
      <c r="B489" s="114" t="n"/>
      <c r="C489" s="112">
        <f>ROUND($B489*KarliyukSgkIsciOrani,0)</f>
        <v/>
      </c>
      <c r="D489" s="112">
        <f>ROUND($B489*KarliyukIssizlikIsciOrani,0)</f>
        <v/>
      </c>
      <c r="E489" s="112">
        <f>ROUND($B489*KarliyukStopajOrani,0)</f>
        <v/>
      </c>
      <c r="F489" s="112">
        <f>ROUND($B489*KarliyukDamgaOrani,0)</f>
        <v/>
      </c>
      <c r="G489" s="112">
        <f>$B489-$C489-$D489-$E489-$F489</f>
        <v/>
      </c>
      <c r="H489" s="112">
        <f>ROUND($B489*KarliyukSgkIsverenOrani,0)</f>
        <v/>
      </c>
      <c r="I489" s="112">
        <f>ROUND($B489*KarliyukIssizlikIsverenOrani,0)</f>
        <v/>
      </c>
      <c r="J489" s="112">
        <f>$B489+$H489+$I489</f>
        <v/>
      </c>
      <c r="K489" s="114" t="n"/>
    </row>
    <row r="490" ht="15" customHeight="1" s="68">
      <c r="A490" s="114" t="n"/>
      <c r="B490" s="114" t="n"/>
      <c r="C490" s="112">
        <f>ROUND($B490*KarliyukSgkIsciOrani,0)</f>
        <v/>
      </c>
      <c r="D490" s="112">
        <f>ROUND($B490*KarliyukIssizlikIsciOrani,0)</f>
        <v/>
      </c>
      <c r="E490" s="112">
        <f>ROUND($B490*KarliyukStopajOrani,0)</f>
        <v/>
      </c>
      <c r="F490" s="112">
        <f>ROUND($B490*KarliyukDamgaOrani,0)</f>
        <v/>
      </c>
      <c r="G490" s="112">
        <f>$B490-$C490-$D490-$E490-$F490</f>
        <v/>
      </c>
      <c r="H490" s="112">
        <f>ROUND($B490*KarliyukSgkIsverenOrani,0)</f>
        <v/>
      </c>
      <c r="I490" s="112">
        <f>ROUND($B490*KarliyukIssizlikIsverenOrani,0)</f>
        <v/>
      </c>
      <c r="J490" s="112">
        <f>$B490+$H490+$I490</f>
        <v/>
      </c>
      <c r="K490" s="114" t="n"/>
    </row>
    <row r="491" ht="15" customHeight="1" s="68">
      <c r="A491" s="114" t="n"/>
      <c r="B491" s="114" t="n"/>
      <c r="C491" s="112">
        <f>ROUND($B491*KarliyukSgkIsciOrani,0)</f>
        <v/>
      </c>
      <c r="D491" s="112">
        <f>ROUND($B491*KarliyukIssizlikIsciOrani,0)</f>
        <v/>
      </c>
      <c r="E491" s="112">
        <f>ROUND($B491*KarliyukStopajOrani,0)</f>
        <v/>
      </c>
      <c r="F491" s="112">
        <f>ROUND($B491*KarliyukDamgaOrani,0)</f>
        <v/>
      </c>
      <c r="G491" s="112">
        <f>$B491-$C491-$D491-$E491-$F491</f>
        <v/>
      </c>
      <c r="H491" s="112">
        <f>ROUND($B491*KarliyukSgkIsverenOrani,0)</f>
        <v/>
      </c>
      <c r="I491" s="112">
        <f>ROUND($B491*KarliyukIssizlikIsverenOrani,0)</f>
        <v/>
      </c>
      <c r="J491" s="112">
        <f>$B491+$H491+$I491</f>
        <v/>
      </c>
      <c r="K491" s="114" t="n"/>
    </row>
    <row r="492" ht="15" customHeight="1" s="68">
      <c r="A492" s="114" t="n"/>
      <c r="B492" s="114" t="n"/>
      <c r="C492" s="112">
        <f>ROUND($B492*KarliyukSgkIsciOrani,0)</f>
        <v/>
      </c>
      <c r="D492" s="112">
        <f>ROUND($B492*KarliyukIssizlikIsciOrani,0)</f>
        <v/>
      </c>
      <c r="E492" s="112">
        <f>ROUND($B492*KarliyukStopajOrani,0)</f>
        <v/>
      </c>
      <c r="F492" s="112">
        <f>ROUND($B492*KarliyukDamgaOrani,0)</f>
        <v/>
      </c>
      <c r="G492" s="112">
        <f>$B492-$C492-$D492-$E492-$F492</f>
        <v/>
      </c>
      <c r="H492" s="112">
        <f>ROUND($B492*KarliyukSgkIsverenOrani,0)</f>
        <v/>
      </c>
      <c r="I492" s="112">
        <f>ROUND($B492*KarliyukIssizlikIsverenOrani,0)</f>
        <v/>
      </c>
      <c r="J492" s="112">
        <f>$B492+$H492+$I492</f>
        <v/>
      </c>
      <c r="K492" s="114" t="n"/>
    </row>
    <row r="493" ht="15" customHeight="1" s="68">
      <c r="A493" s="114" t="n"/>
      <c r="B493" s="114" t="n"/>
      <c r="C493" s="112">
        <f>ROUND($B493*KarliyukSgkIsciOrani,0)</f>
        <v/>
      </c>
      <c r="D493" s="112">
        <f>ROUND($B493*KarliyukIssizlikIsciOrani,0)</f>
        <v/>
      </c>
      <c r="E493" s="112">
        <f>ROUND($B493*KarliyukStopajOrani,0)</f>
        <v/>
      </c>
      <c r="F493" s="112">
        <f>ROUND($B493*KarliyukDamgaOrani,0)</f>
        <v/>
      </c>
      <c r="G493" s="112">
        <f>$B493-$C493-$D493-$E493-$F493</f>
        <v/>
      </c>
      <c r="H493" s="112">
        <f>ROUND($B493*KarliyukSgkIsverenOrani,0)</f>
        <v/>
      </c>
      <c r="I493" s="112">
        <f>ROUND($B493*KarliyukIssizlikIsverenOrani,0)</f>
        <v/>
      </c>
      <c r="J493" s="112">
        <f>$B493+$H493+$I493</f>
        <v/>
      </c>
      <c r="K493" s="114" t="n"/>
    </row>
    <row r="494" ht="15" customHeight="1" s="68">
      <c r="A494" s="114" t="n"/>
      <c r="B494" s="114" t="n"/>
      <c r="C494" s="112">
        <f>ROUND($B494*KarliyukSgkIsciOrani,0)</f>
        <v/>
      </c>
      <c r="D494" s="112">
        <f>ROUND($B494*KarliyukIssizlikIsciOrani,0)</f>
        <v/>
      </c>
      <c r="E494" s="112">
        <f>ROUND($B494*KarliyukStopajOrani,0)</f>
        <v/>
      </c>
      <c r="F494" s="112">
        <f>ROUND($B494*KarliyukDamgaOrani,0)</f>
        <v/>
      </c>
      <c r="G494" s="112">
        <f>$B494-$C494-$D494-$E494-$F494</f>
        <v/>
      </c>
      <c r="H494" s="112">
        <f>ROUND($B494*KarliyukSgkIsverenOrani,0)</f>
        <v/>
      </c>
      <c r="I494" s="112">
        <f>ROUND($B494*KarliyukIssizlikIsverenOrani,0)</f>
        <v/>
      </c>
      <c r="J494" s="112">
        <f>$B494+$H494+$I494</f>
        <v/>
      </c>
      <c r="K494" s="114" t="n"/>
    </row>
    <row r="495" ht="15" customHeight="1" s="68">
      <c r="A495" s="114" t="n"/>
      <c r="B495" s="114" t="n"/>
      <c r="C495" s="112">
        <f>ROUND($B495*KarliyukSgkIsciOrani,0)</f>
        <v/>
      </c>
      <c r="D495" s="112">
        <f>ROUND($B495*KarliyukIssizlikIsciOrani,0)</f>
        <v/>
      </c>
      <c r="E495" s="112">
        <f>ROUND($B495*KarliyukStopajOrani,0)</f>
        <v/>
      </c>
      <c r="F495" s="112">
        <f>ROUND($B495*KarliyukDamgaOrani,0)</f>
        <v/>
      </c>
      <c r="G495" s="112">
        <f>$B495-$C495-$D495-$E495-$F495</f>
        <v/>
      </c>
      <c r="H495" s="112">
        <f>ROUND($B495*KarliyukSgkIsverenOrani,0)</f>
        <v/>
      </c>
      <c r="I495" s="112">
        <f>ROUND($B495*KarliyukIssizlikIsverenOrani,0)</f>
        <v/>
      </c>
      <c r="J495" s="112">
        <f>$B495+$H495+$I495</f>
        <v/>
      </c>
      <c r="K495" s="114" t="n"/>
    </row>
    <row r="496" ht="15" customHeight="1" s="68">
      <c r="A496" s="114" t="n"/>
      <c r="B496" s="114" t="n"/>
      <c r="C496" s="112">
        <f>ROUND($B496*KarliyukSgkIsciOrani,0)</f>
        <v/>
      </c>
      <c r="D496" s="112">
        <f>ROUND($B496*KarliyukIssizlikIsciOrani,0)</f>
        <v/>
      </c>
      <c r="E496" s="112">
        <f>ROUND($B496*KarliyukStopajOrani,0)</f>
        <v/>
      </c>
      <c r="F496" s="112">
        <f>ROUND($B496*KarliyukDamgaOrani,0)</f>
        <v/>
      </c>
      <c r="G496" s="112">
        <f>$B496-$C496-$D496-$E496-$F496</f>
        <v/>
      </c>
      <c r="H496" s="112">
        <f>ROUND($B496*KarliyukSgkIsverenOrani,0)</f>
        <v/>
      </c>
      <c r="I496" s="112">
        <f>ROUND($B496*KarliyukIssizlikIsverenOrani,0)</f>
        <v/>
      </c>
      <c r="J496" s="112">
        <f>$B496+$H496+$I496</f>
        <v/>
      </c>
      <c r="K496" s="114" t="n"/>
    </row>
    <row r="497" ht="15" customHeight="1" s="68">
      <c r="A497" s="114" t="n"/>
      <c r="B497" s="114" t="n"/>
      <c r="C497" s="112">
        <f>ROUND($B497*KarliyukSgkIsciOrani,0)</f>
        <v/>
      </c>
      <c r="D497" s="112">
        <f>ROUND($B497*KarliyukIssizlikIsciOrani,0)</f>
        <v/>
      </c>
      <c r="E497" s="112">
        <f>ROUND($B497*KarliyukStopajOrani,0)</f>
        <v/>
      </c>
      <c r="F497" s="112">
        <f>ROUND($B497*KarliyukDamgaOrani,0)</f>
        <v/>
      </c>
      <c r="G497" s="112">
        <f>$B497-$C497-$D497-$E497-$F497</f>
        <v/>
      </c>
      <c r="H497" s="112">
        <f>ROUND($B497*KarliyukSgkIsverenOrani,0)</f>
        <v/>
      </c>
      <c r="I497" s="112">
        <f>ROUND($B497*KarliyukIssizlikIsverenOrani,0)</f>
        <v/>
      </c>
      <c r="J497" s="112">
        <f>$B497+$H497+$I497</f>
        <v/>
      </c>
      <c r="K497" s="114" t="n"/>
    </row>
    <row r="498" ht="15" customHeight="1" s="68">
      <c r="A498" s="114" t="n"/>
      <c r="B498" s="114" t="n"/>
      <c r="C498" s="112">
        <f>ROUND($B498*KarliyukSgkIsciOrani,0)</f>
        <v/>
      </c>
      <c r="D498" s="112">
        <f>ROUND($B498*KarliyukIssizlikIsciOrani,0)</f>
        <v/>
      </c>
      <c r="E498" s="112">
        <f>ROUND($B498*KarliyukStopajOrani,0)</f>
        <v/>
      </c>
      <c r="F498" s="112">
        <f>ROUND($B498*KarliyukDamgaOrani,0)</f>
        <v/>
      </c>
      <c r="G498" s="112">
        <f>$B498-$C498-$D498-$E498-$F498</f>
        <v/>
      </c>
      <c r="H498" s="112">
        <f>ROUND($B498*KarliyukSgkIsverenOrani,0)</f>
        <v/>
      </c>
      <c r="I498" s="112">
        <f>ROUND($B498*KarliyukIssizlikIsverenOrani,0)</f>
        <v/>
      </c>
      <c r="J498" s="112">
        <f>$B498+$H498+$I498</f>
        <v/>
      </c>
      <c r="K498" s="114" t="n"/>
    </row>
    <row r="499" ht="15" customHeight="1" s="68">
      <c r="A499" s="114" t="n"/>
      <c r="B499" s="114" t="n"/>
      <c r="C499" s="112">
        <f>ROUND($B499*KarliyukSgkIsciOrani,0)</f>
        <v/>
      </c>
      <c r="D499" s="112">
        <f>ROUND($B499*KarliyukIssizlikIsciOrani,0)</f>
        <v/>
      </c>
      <c r="E499" s="112">
        <f>ROUND($B499*KarliyukStopajOrani,0)</f>
        <v/>
      </c>
      <c r="F499" s="112">
        <f>ROUND($B499*KarliyukDamgaOrani,0)</f>
        <v/>
      </c>
      <c r="G499" s="112">
        <f>$B499-$C499-$D499-$E499-$F499</f>
        <v/>
      </c>
      <c r="H499" s="112">
        <f>ROUND($B499*KarliyukSgkIsverenOrani,0)</f>
        <v/>
      </c>
      <c r="I499" s="112">
        <f>ROUND($B499*KarliyukIssizlikIsverenOrani,0)</f>
        <v/>
      </c>
      <c r="J499" s="112">
        <f>$B499+$H499+$I499</f>
        <v/>
      </c>
      <c r="K499" s="114" t="n"/>
    </row>
    <row r="500" ht="15" customHeight="1" s="68">
      <c r="A500" s="114" t="n"/>
      <c r="B500" s="114" t="n"/>
      <c r="C500" s="112">
        <f>ROUND($B500*KarliyukSgkIsciOrani,0)</f>
        <v/>
      </c>
      <c r="D500" s="112">
        <f>ROUND($B500*KarliyukIssizlikIsciOrani,0)</f>
        <v/>
      </c>
      <c r="E500" s="112">
        <f>ROUND($B500*KarliyukStopajOrani,0)</f>
        <v/>
      </c>
      <c r="F500" s="112">
        <f>ROUND($B500*KarliyukDamgaOrani,0)</f>
        <v/>
      </c>
      <c r="G500" s="112">
        <f>$B500-$C500-$D500-$E500-$F500</f>
        <v/>
      </c>
      <c r="H500" s="112">
        <f>ROUND($B500*KarliyukSgkIsverenOrani,0)</f>
        <v/>
      </c>
      <c r="I500" s="112">
        <f>ROUND($B500*KarliyukIssizlikIsverenOrani,0)</f>
        <v/>
      </c>
      <c r="J500" s="112">
        <f>$B500+$H500+$I500</f>
        <v/>
      </c>
      <c r="K500" s="114" t="n"/>
    </row>
    <row r="501" ht="15" customHeight="1" s="68">
      <c r="A501" s="114" t="n"/>
      <c r="B501" s="114" t="n"/>
      <c r="C501" s="112">
        <f>ROUND($B501*KarliyukSgkIsciOrani,0)</f>
        <v/>
      </c>
      <c r="D501" s="112">
        <f>ROUND($B501*KarliyukIssizlikIsciOrani,0)</f>
        <v/>
      </c>
      <c r="E501" s="112">
        <f>ROUND($B501*KarliyukStopajOrani,0)</f>
        <v/>
      </c>
      <c r="F501" s="112">
        <f>ROUND($B501*KarliyukDamgaOrani,0)</f>
        <v/>
      </c>
      <c r="G501" s="112">
        <f>$B501-$C501-$D501-$E501-$F501</f>
        <v/>
      </c>
      <c r="H501" s="112">
        <f>ROUND($B501*KarliyukSgkIsverenOrani,0)</f>
        <v/>
      </c>
      <c r="I501" s="112">
        <f>ROUND($B501*KarliyukIssizlikIsverenOrani,0)</f>
        <v/>
      </c>
      <c r="J501" s="112">
        <f>$B501+$H501+$I501</f>
        <v/>
      </c>
      <c r="K501" s="114" t="n"/>
    </row>
    <row r="502" ht="15" customHeight="1" s="68">
      <c r="A502" s="114" t="n"/>
      <c r="B502" s="114" t="n"/>
      <c r="C502" s="112">
        <f>ROUND($B502*KarliyukSgkIsciOrani,0)</f>
        <v/>
      </c>
      <c r="D502" s="112">
        <f>ROUND($B502*KarliyukIssizlikIsciOrani,0)</f>
        <v/>
      </c>
      <c r="E502" s="112">
        <f>ROUND($B502*KarliyukStopajOrani,0)</f>
        <v/>
      </c>
      <c r="F502" s="112">
        <f>ROUND($B502*KarliyukDamgaOrani,0)</f>
        <v/>
      </c>
      <c r="G502" s="112">
        <f>$B502-$C502-$D502-$E502-$F502</f>
        <v/>
      </c>
      <c r="H502" s="112">
        <f>ROUND($B502*KarliyukSgkIsverenOrani,0)</f>
        <v/>
      </c>
      <c r="I502" s="112">
        <f>ROUND($B502*KarliyukIssizlikIsverenOrani,0)</f>
        <v/>
      </c>
      <c r="J502" s="112">
        <f>$B502+$H502+$I502</f>
        <v/>
      </c>
      <c r="K502" s="114" t="n"/>
    </row>
    <row r="503" ht="15" customHeight="1" s="68">
      <c r="A503" s="114" t="n"/>
      <c r="B503" s="114" t="n"/>
      <c r="C503" s="112">
        <f>ROUND($B503*KarliyukSgkIsciOrani,0)</f>
        <v/>
      </c>
      <c r="D503" s="112">
        <f>ROUND($B503*KarliyukIssizlikIsciOrani,0)</f>
        <v/>
      </c>
      <c r="E503" s="112">
        <f>ROUND($B503*KarliyukStopajOrani,0)</f>
        <v/>
      </c>
      <c r="F503" s="112">
        <f>ROUND($B503*KarliyukDamgaOrani,0)</f>
        <v/>
      </c>
      <c r="G503" s="112">
        <f>$B503-$C503-$D503-$E503-$F503</f>
        <v/>
      </c>
      <c r="H503" s="112">
        <f>ROUND($B503*KarliyukSgkIsverenOrani,0)</f>
        <v/>
      </c>
      <c r="I503" s="112">
        <f>ROUND($B503*KarliyukIssizlikIsverenOrani,0)</f>
        <v/>
      </c>
      <c r="J503" s="112">
        <f>$B503+$H503+$I503</f>
        <v/>
      </c>
      <c r="K503" s="114" t="n"/>
    </row>
    <row r="504" ht="15" customHeight="1" s="68">
      <c r="A504" s="114" t="n"/>
      <c r="B504" s="114" t="n"/>
      <c r="C504" s="112">
        <f>ROUND($B504*KarliyukSgkIsciOrani,0)</f>
        <v/>
      </c>
      <c r="D504" s="112">
        <f>ROUND($B504*KarliyukIssizlikIsciOrani,0)</f>
        <v/>
      </c>
      <c r="E504" s="112">
        <f>ROUND($B504*KarliyukStopajOrani,0)</f>
        <v/>
      </c>
      <c r="F504" s="112">
        <f>ROUND($B504*KarliyukDamgaOrani,0)</f>
        <v/>
      </c>
      <c r="G504" s="112">
        <f>$B504-$C504-$D504-$E504-$F504</f>
        <v/>
      </c>
      <c r="H504" s="112">
        <f>ROUND($B504*KarliyukSgkIsverenOrani,0)</f>
        <v/>
      </c>
      <c r="I504" s="112">
        <f>ROUND($B504*KarliyukIssizlikIsverenOrani,0)</f>
        <v/>
      </c>
      <c r="J504" s="112">
        <f>$B504+$H504+$I504</f>
        <v/>
      </c>
      <c r="K504" s="114" t="n"/>
    </row>
    <row r="505" ht="15" customHeight="1" s="68">
      <c r="A505" s="114" t="n"/>
      <c r="B505" s="114" t="n"/>
      <c r="C505" s="112">
        <f>ROUND($B505*KarliyukSgkIsciOrani,0)</f>
        <v/>
      </c>
      <c r="D505" s="112">
        <f>ROUND($B505*KarliyukIssizlikIsciOrani,0)</f>
        <v/>
      </c>
      <c r="E505" s="112">
        <f>ROUND($B505*KarliyukStopajOrani,0)</f>
        <v/>
      </c>
      <c r="F505" s="112">
        <f>ROUND($B505*KarliyukDamgaOrani,0)</f>
        <v/>
      </c>
      <c r="G505" s="112">
        <f>$B505-$C505-$D505-$E505-$F505</f>
        <v/>
      </c>
      <c r="H505" s="112">
        <f>ROUND($B505*KarliyukSgkIsverenOrani,0)</f>
        <v/>
      </c>
      <c r="I505" s="112">
        <f>ROUND($B505*KarliyukIssizlikIsverenOrani,0)</f>
        <v/>
      </c>
      <c r="J505" s="112">
        <f>$B505+$H505+$I505</f>
        <v/>
      </c>
      <c r="K505" s="114" t="n"/>
    </row>
    <row r="506" ht="15" customHeight="1" s="68">
      <c r="A506" s="114" t="n"/>
      <c r="B506" s="114" t="n"/>
      <c r="C506" s="112">
        <f>ROUND($B506*KarliyukSgkIsciOrani,0)</f>
        <v/>
      </c>
      <c r="D506" s="112">
        <f>ROUND($B506*KarliyukIssizlikIsciOrani,0)</f>
        <v/>
      </c>
      <c r="E506" s="112">
        <f>ROUND($B506*KarliyukStopajOrani,0)</f>
        <v/>
      </c>
      <c r="F506" s="112">
        <f>ROUND($B506*KarliyukDamgaOrani,0)</f>
        <v/>
      </c>
      <c r="G506" s="112">
        <f>$B506-$C506-$D506-$E506-$F506</f>
        <v/>
      </c>
      <c r="H506" s="112">
        <f>ROUND($B506*KarliyukSgkIsverenOrani,0)</f>
        <v/>
      </c>
      <c r="I506" s="112">
        <f>ROUND($B506*KarliyukIssizlikIsverenOrani,0)</f>
        <v/>
      </c>
      <c r="J506" s="112">
        <f>$B506+$H506+$I506</f>
        <v/>
      </c>
      <c r="K506" s="114" t="n"/>
    </row>
    <row r="507" ht="15" customHeight="1" s="68">
      <c r="A507" s="114" t="n"/>
      <c r="B507" s="114" t="n"/>
      <c r="C507" s="112">
        <f>ROUND($B507*KarliyukSgkIsciOrani,0)</f>
        <v/>
      </c>
      <c r="D507" s="112">
        <f>ROUND($B507*KarliyukIssizlikIsciOrani,0)</f>
        <v/>
      </c>
      <c r="E507" s="112">
        <f>ROUND($B507*KarliyukStopajOrani,0)</f>
        <v/>
      </c>
      <c r="F507" s="112">
        <f>ROUND($B507*KarliyukDamgaOrani,0)</f>
        <v/>
      </c>
      <c r="G507" s="112">
        <f>$B507-$C507-$D507-$E507-$F507</f>
        <v/>
      </c>
      <c r="H507" s="112">
        <f>ROUND($B507*KarliyukSgkIsverenOrani,0)</f>
        <v/>
      </c>
      <c r="I507" s="112">
        <f>ROUND($B507*KarliyukIssizlikIsverenOrani,0)</f>
        <v/>
      </c>
      <c r="J507" s="112">
        <f>$B507+$H507+$I507</f>
        <v/>
      </c>
      <c r="K507" s="114" t="n"/>
    </row>
    <row r="508" ht="15" customHeight="1" s="68">
      <c r="A508" s="114" t="n"/>
      <c r="B508" s="114" t="n"/>
      <c r="C508" s="112">
        <f>ROUND($B508*KarliyukSgkIsciOrani,0)</f>
        <v/>
      </c>
      <c r="D508" s="112">
        <f>ROUND($B508*KarliyukIssizlikIsciOrani,0)</f>
        <v/>
      </c>
      <c r="E508" s="112">
        <f>ROUND($B508*KarliyukStopajOrani,0)</f>
        <v/>
      </c>
      <c r="F508" s="112">
        <f>ROUND($B508*KarliyukDamgaOrani,0)</f>
        <v/>
      </c>
      <c r="G508" s="112">
        <f>$B508-$C508-$D508-$E508-$F508</f>
        <v/>
      </c>
      <c r="H508" s="112">
        <f>ROUND($B508*KarliyukSgkIsverenOrani,0)</f>
        <v/>
      </c>
      <c r="I508" s="112">
        <f>ROUND($B508*KarliyukIssizlikIsverenOrani,0)</f>
        <v/>
      </c>
      <c r="J508" s="112">
        <f>$B508+$H508+$I508</f>
        <v/>
      </c>
      <c r="K508" s="114" t="n"/>
    </row>
    <row r="509" ht="15" customHeight="1" s="68">
      <c r="A509" s="114" t="n"/>
      <c r="B509" s="114" t="n"/>
      <c r="C509" s="112">
        <f>ROUND($B509*KarliyukSgkIsciOrani,0)</f>
        <v/>
      </c>
      <c r="D509" s="112">
        <f>ROUND($B509*KarliyukIssizlikIsciOrani,0)</f>
        <v/>
      </c>
      <c r="E509" s="112">
        <f>ROUND($B509*KarliyukStopajOrani,0)</f>
        <v/>
      </c>
      <c r="F509" s="112">
        <f>ROUND($B509*KarliyukDamgaOrani,0)</f>
        <v/>
      </c>
      <c r="G509" s="112">
        <f>$B509-$C509-$D509-$E509-$F509</f>
        <v/>
      </c>
      <c r="H509" s="112">
        <f>ROUND($B509*KarliyukSgkIsverenOrani,0)</f>
        <v/>
      </c>
      <c r="I509" s="112">
        <f>ROUND($B509*KarliyukIssizlikIsverenOrani,0)</f>
        <v/>
      </c>
      <c r="J509" s="112">
        <f>$B509+$H509+$I509</f>
        <v/>
      </c>
      <c r="K509" s="114" t="n"/>
    </row>
    <row r="510" ht="15" customHeight="1" s="68">
      <c r="A510" s="114" t="n"/>
      <c r="B510" s="114" t="n"/>
      <c r="C510" s="112">
        <f>ROUND($B510*KarliyukSgkIsciOrani,0)</f>
        <v/>
      </c>
      <c r="D510" s="112">
        <f>ROUND($B510*KarliyukIssizlikIsciOrani,0)</f>
        <v/>
      </c>
      <c r="E510" s="112">
        <f>ROUND($B510*KarliyukStopajOrani,0)</f>
        <v/>
      </c>
      <c r="F510" s="112">
        <f>ROUND($B510*KarliyukDamgaOrani,0)</f>
        <v/>
      </c>
      <c r="G510" s="112">
        <f>$B510-$C510-$D510-$E510-$F510</f>
        <v/>
      </c>
      <c r="H510" s="112">
        <f>ROUND($B510*KarliyukSgkIsverenOrani,0)</f>
        <v/>
      </c>
      <c r="I510" s="112">
        <f>ROUND($B510*KarliyukIssizlikIsverenOrani,0)</f>
        <v/>
      </c>
      <c r="J510" s="112">
        <f>$B510+$H510+$I510</f>
        <v/>
      </c>
      <c r="K510" s="114" t="n"/>
    </row>
    <row r="511" ht="15" customHeight="1" s="68">
      <c r="A511" s="114" t="n"/>
      <c r="B511" s="114" t="n"/>
      <c r="C511" s="112">
        <f>ROUND($B511*KarliyukSgkIsciOrani,0)</f>
        <v/>
      </c>
      <c r="D511" s="112">
        <f>ROUND($B511*KarliyukIssizlikIsciOrani,0)</f>
        <v/>
      </c>
      <c r="E511" s="112">
        <f>ROUND($B511*KarliyukStopajOrani,0)</f>
        <v/>
      </c>
      <c r="F511" s="112">
        <f>ROUND($B511*KarliyukDamgaOrani,0)</f>
        <v/>
      </c>
      <c r="G511" s="112">
        <f>$B511-$C511-$D511-$E511-$F511</f>
        <v/>
      </c>
      <c r="H511" s="112">
        <f>ROUND($B511*KarliyukSgkIsverenOrani,0)</f>
        <v/>
      </c>
      <c r="I511" s="112">
        <f>ROUND($B511*KarliyukIssizlikIsverenOrani,0)</f>
        <v/>
      </c>
      <c r="J511" s="112">
        <f>$B511+$H511+$I511</f>
        <v/>
      </c>
      <c r="K511" s="114" t="n"/>
    </row>
    <row r="512" ht="15" customHeight="1" s="68">
      <c r="A512" s="114" t="n"/>
      <c r="B512" s="114" t="n"/>
      <c r="C512" s="112">
        <f>ROUND($B512*KarliyukSgkIsciOrani,0)</f>
        <v/>
      </c>
      <c r="D512" s="112">
        <f>ROUND($B512*KarliyukIssizlikIsciOrani,0)</f>
        <v/>
      </c>
      <c r="E512" s="112">
        <f>ROUND($B512*KarliyukStopajOrani,0)</f>
        <v/>
      </c>
      <c r="F512" s="112">
        <f>ROUND($B512*KarliyukDamgaOrani,0)</f>
        <v/>
      </c>
      <c r="G512" s="112">
        <f>$B512-$C512-$D512-$E512-$F512</f>
        <v/>
      </c>
      <c r="H512" s="112">
        <f>ROUND($B512*KarliyukSgkIsverenOrani,0)</f>
        <v/>
      </c>
      <c r="I512" s="112">
        <f>ROUND($B512*KarliyukIssizlikIsverenOrani,0)</f>
        <v/>
      </c>
      <c r="J512" s="112">
        <f>$B512+$H512+$I512</f>
        <v/>
      </c>
      <c r="K512" s="114" t="n"/>
    </row>
    <row r="513" ht="15" customHeight="1" s="68">
      <c r="A513" s="114" t="n"/>
      <c r="B513" s="114" t="n"/>
      <c r="C513" s="112">
        <f>ROUND($B513*KarliyukSgkIsciOrani,0)</f>
        <v/>
      </c>
      <c r="D513" s="112">
        <f>ROUND($B513*KarliyukIssizlikIsciOrani,0)</f>
        <v/>
      </c>
      <c r="E513" s="112">
        <f>ROUND($B513*KarliyukStopajOrani,0)</f>
        <v/>
      </c>
      <c r="F513" s="112">
        <f>ROUND($B513*KarliyukDamgaOrani,0)</f>
        <v/>
      </c>
      <c r="G513" s="112">
        <f>$B513-$C513-$D513-$E513-$F513</f>
        <v/>
      </c>
      <c r="H513" s="112">
        <f>ROUND($B513*KarliyukSgkIsverenOrani,0)</f>
        <v/>
      </c>
      <c r="I513" s="112">
        <f>ROUND($B513*KarliyukIssizlikIsverenOrani,0)</f>
        <v/>
      </c>
      <c r="J513" s="112">
        <f>$B513+$H513+$I513</f>
        <v/>
      </c>
      <c r="K513" s="114" t="n"/>
    </row>
    <row r="514" ht="15" customHeight="1" s="68">
      <c r="A514" s="114" t="n"/>
      <c r="B514" s="114" t="n"/>
      <c r="C514" s="112">
        <f>ROUND($B514*KarliyukSgkIsciOrani,0)</f>
        <v/>
      </c>
      <c r="D514" s="112">
        <f>ROUND($B514*KarliyukIssizlikIsciOrani,0)</f>
        <v/>
      </c>
      <c r="E514" s="112">
        <f>ROUND($B514*KarliyukStopajOrani,0)</f>
        <v/>
      </c>
      <c r="F514" s="112">
        <f>ROUND($B514*KarliyukDamgaOrani,0)</f>
        <v/>
      </c>
      <c r="G514" s="112">
        <f>$B514-$C514-$D514-$E514-$F514</f>
        <v/>
      </c>
      <c r="H514" s="112">
        <f>ROUND($B514*KarliyukSgkIsverenOrani,0)</f>
        <v/>
      </c>
      <c r="I514" s="112">
        <f>ROUND($B514*KarliyukIssizlikIsverenOrani,0)</f>
        <v/>
      </c>
      <c r="J514" s="112">
        <f>$B514+$H514+$I514</f>
        <v/>
      </c>
      <c r="K514" s="114" t="n"/>
    </row>
    <row r="515" ht="15" customHeight="1" s="68">
      <c r="A515" s="114" t="n"/>
      <c r="B515" s="114" t="n"/>
      <c r="C515" s="112">
        <f>ROUND($B515*KarliyukSgkIsciOrani,0)</f>
        <v/>
      </c>
      <c r="D515" s="112">
        <f>ROUND($B515*KarliyukIssizlikIsciOrani,0)</f>
        <v/>
      </c>
      <c r="E515" s="112">
        <f>ROUND($B515*KarliyukStopajOrani,0)</f>
        <v/>
      </c>
      <c r="F515" s="112">
        <f>ROUND($B515*KarliyukDamgaOrani,0)</f>
        <v/>
      </c>
      <c r="G515" s="112">
        <f>$B515-$C515-$D515-$E515-$F515</f>
        <v/>
      </c>
      <c r="H515" s="112">
        <f>ROUND($B515*KarliyukSgkIsverenOrani,0)</f>
        <v/>
      </c>
      <c r="I515" s="112">
        <f>ROUND($B515*KarliyukIssizlikIsverenOrani,0)</f>
        <v/>
      </c>
      <c r="J515" s="112">
        <f>$B515+$H515+$I515</f>
        <v/>
      </c>
      <c r="K515" s="114" t="n"/>
    </row>
    <row r="516" ht="15" customHeight="1" s="68">
      <c r="A516" s="114" t="n"/>
      <c r="B516" s="114" t="n"/>
      <c r="C516" s="112">
        <f>ROUND($B516*KarliyukSgkIsciOrani,0)</f>
        <v/>
      </c>
      <c r="D516" s="112">
        <f>ROUND($B516*KarliyukIssizlikIsciOrani,0)</f>
        <v/>
      </c>
      <c r="E516" s="112">
        <f>ROUND($B516*KarliyukStopajOrani,0)</f>
        <v/>
      </c>
      <c r="F516" s="112">
        <f>ROUND($B516*KarliyukDamgaOrani,0)</f>
        <v/>
      </c>
      <c r="G516" s="112">
        <f>$B516-$C516-$D516-$E516-$F516</f>
        <v/>
      </c>
      <c r="H516" s="112">
        <f>ROUND($B516*KarliyukSgkIsverenOrani,0)</f>
        <v/>
      </c>
      <c r="I516" s="112">
        <f>ROUND($B516*KarliyukIssizlikIsverenOrani,0)</f>
        <v/>
      </c>
      <c r="J516" s="112">
        <f>$B516+$H516+$I516</f>
        <v/>
      </c>
      <c r="K516" s="114" t="n"/>
    </row>
    <row r="517" ht="15" customHeight="1" s="68">
      <c r="A517" s="114" t="n"/>
      <c r="B517" s="114" t="n"/>
      <c r="C517" s="112">
        <f>ROUND($B517*KarliyukSgkIsciOrani,0)</f>
        <v/>
      </c>
      <c r="D517" s="112">
        <f>ROUND($B517*KarliyukIssizlikIsciOrani,0)</f>
        <v/>
      </c>
      <c r="E517" s="112">
        <f>ROUND($B517*KarliyukStopajOrani,0)</f>
        <v/>
      </c>
      <c r="F517" s="112">
        <f>ROUND($B517*KarliyukDamgaOrani,0)</f>
        <v/>
      </c>
      <c r="G517" s="112">
        <f>$B517-$C517-$D517-$E517-$F517</f>
        <v/>
      </c>
      <c r="H517" s="112">
        <f>ROUND($B517*KarliyukSgkIsverenOrani,0)</f>
        <v/>
      </c>
      <c r="I517" s="112">
        <f>ROUND($B517*KarliyukIssizlikIsverenOrani,0)</f>
        <v/>
      </c>
      <c r="J517" s="112">
        <f>$B517+$H517+$I517</f>
        <v/>
      </c>
      <c r="K517" s="114" t="n"/>
    </row>
    <row r="518" ht="15" customHeight="1" s="68">
      <c r="A518" s="114" t="n"/>
      <c r="B518" s="114" t="n"/>
      <c r="C518" s="112">
        <f>ROUND($B518*KarliyukSgkIsciOrani,0)</f>
        <v/>
      </c>
      <c r="D518" s="112">
        <f>ROUND($B518*KarliyukIssizlikIsciOrani,0)</f>
        <v/>
      </c>
      <c r="E518" s="112">
        <f>ROUND($B518*KarliyukStopajOrani,0)</f>
        <v/>
      </c>
      <c r="F518" s="112">
        <f>ROUND($B518*KarliyukDamgaOrani,0)</f>
        <v/>
      </c>
      <c r="G518" s="112">
        <f>$B518-$C518-$D518-$E518-$F518</f>
        <v/>
      </c>
      <c r="H518" s="112">
        <f>ROUND($B518*KarliyukSgkIsverenOrani,0)</f>
        <v/>
      </c>
      <c r="I518" s="112">
        <f>ROUND($B518*KarliyukIssizlikIsverenOrani,0)</f>
        <v/>
      </c>
      <c r="J518" s="112">
        <f>$B518+$H518+$I518</f>
        <v/>
      </c>
      <c r="K518" s="114" t="n"/>
    </row>
    <row r="519" ht="15" customHeight="1" s="68">
      <c r="A519" s="114" t="n"/>
      <c r="B519" s="114" t="n"/>
      <c r="C519" s="112">
        <f>ROUND($B519*KarliyukSgkIsciOrani,0)</f>
        <v/>
      </c>
      <c r="D519" s="112">
        <f>ROUND($B519*KarliyukIssizlikIsciOrani,0)</f>
        <v/>
      </c>
      <c r="E519" s="112">
        <f>ROUND($B519*KarliyukStopajOrani,0)</f>
        <v/>
      </c>
      <c r="F519" s="112">
        <f>ROUND($B519*KarliyukDamgaOrani,0)</f>
        <v/>
      </c>
      <c r="G519" s="112">
        <f>$B519-$C519-$D519-$E519-$F519</f>
        <v/>
      </c>
      <c r="H519" s="112">
        <f>ROUND($B519*KarliyukSgkIsverenOrani,0)</f>
        <v/>
      </c>
      <c r="I519" s="112">
        <f>ROUND($B519*KarliyukIssizlikIsverenOrani,0)</f>
        <v/>
      </c>
      <c r="J519" s="112">
        <f>$B519+$H519+$I519</f>
        <v/>
      </c>
      <c r="K519" s="114" t="n"/>
    </row>
    <row r="520" ht="15" customHeight="1" s="68">
      <c r="A520" s="114" t="n"/>
      <c r="B520" s="114" t="n"/>
      <c r="C520" s="112">
        <f>ROUND($B520*KarliyukSgkIsciOrani,0)</f>
        <v/>
      </c>
      <c r="D520" s="112">
        <f>ROUND($B520*KarliyukIssizlikIsciOrani,0)</f>
        <v/>
      </c>
      <c r="E520" s="112">
        <f>ROUND($B520*KarliyukStopajOrani,0)</f>
        <v/>
      </c>
      <c r="F520" s="112">
        <f>ROUND($B520*KarliyukDamgaOrani,0)</f>
        <v/>
      </c>
      <c r="G520" s="112">
        <f>$B520-$C520-$D520-$E520-$F520</f>
        <v/>
      </c>
      <c r="H520" s="112">
        <f>ROUND($B520*KarliyukSgkIsverenOrani,0)</f>
        <v/>
      </c>
      <c r="I520" s="112">
        <f>ROUND($B520*KarliyukIssizlikIsverenOrani,0)</f>
        <v/>
      </c>
      <c r="J520" s="112">
        <f>$B520+$H520+$I520</f>
        <v/>
      </c>
      <c r="K520" s="114" t="n"/>
    </row>
    <row r="521" ht="15" customHeight="1" s="68">
      <c r="A521" s="114" t="n"/>
      <c r="B521" s="114" t="n"/>
      <c r="C521" s="112">
        <f>ROUND($B521*KarliyukSgkIsciOrani,0)</f>
        <v/>
      </c>
      <c r="D521" s="112">
        <f>ROUND($B521*KarliyukIssizlikIsciOrani,0)</f>
        <v/>
      </c>
      <c r="E521" s="112">
        <f>ROUND($B521*KarliyukStopajOrani,0)</f>
        <v/>
      </c>
      <c r="F521" s="112">
        <f>ROUND($B521*KarliyukDamgaOrani,0)</f>
        <v/>
      </c>
      <c r="G521" s="112">
        <f>$B521-$C521-$D521-$E521-$F521</f>
        <v/>
      </c>
      <c r="H521" s="112">
        <f>ROUND($B521*KarliyukSgkIsverenOrani,0)</f>
        <v/>
      </c>
      <c r="I521" s="112">
        <f>ROUND($B521*KarliyukIssizlikIsverenOrani,0)</f>
        <v/>
      </c>
      <c r="J521" s="112">
        <f>$B521+$H521+$I521</f>
        <v/>
      </c>
      <c r="K521" s="114" t="n"/>
    </row>
    <row r="522" ht="15" customHeight="1" s="68">
      <c r="A522" s="114" t="n"/>
      <c r="B522" s="114" t="n"/>
      <c r="C522" s="112">
        <f>ROUND($B522*KarliyukSgkIsciOrani,0)</f>
        <v/>
      </c>
      <c r="D522" s="112">
        <f>ROUND($B522*KarliyukIssizlikIsciOrani,0)</f>
        <v/>
      </c>
      <c r="E522" s="112">
        <f>ROUND($B522*KarliyukStopajOrani,0)</f>
        <v/>
      </c>
      <c r="F522" s="112">
        <f>ROUND($B522*KarliyukDamgaOrani,0)</f>
        <v/>
      </c>
      <c r="G522" s="112">
        <f>$B522-$C522-$D522-$E522-$F522</f>
        <v/>
      </c>
      <c r="H522" s="112">
        <f>ROUND($B522*KarliyukSgkIsverenOrani,0)</f>
        <v/>
      </c>
      <c r="I522" s="112">
        <f>ROUND($B522*KarliyukIssizlikIsverenOrani,0)</f>
        <v/>
      </c>
      <c r="J522" s="112">
        <f>$B522+$H522+$I522</f>
        <v/>
      </c>
      <c r="K522" s="114" t="n"/>
    </row>
    <row r="523" ht="15" customHeight="1" s="68">
      <c r="A523" s="114" t="n"/>
      <c r="B523" s="114" t="n"/>
      <c r="C523" s="112">
        <f>ROUND($B523*KarliyukSgkIsciOrani,0)</f>
        <v/>
      </c>
      <c r="D523" s="112">
        <f>ROUND($B523*KarliyukIssizlikIsciOrani,0)</f>
        <v/>
      </c>
      <c r="E523" s="112">
        <f>ROUND($B523*KarliyukStopajOrani,0)</f>
        <v/>
      </c>
      <c r="F523" s="112">
        <f>ROUND($B523*KarliyukDamgaOrani,0)</f>
        <v/>
      </c>
      <c r="G523" s="112">
        <f>$B523-$C523-$D523-$E523-$F523</f>
        <v/>
      </c>
      <c r="H523" s="112">
        <f>ROUND($B523*KarliyukSgkIsverenOrani,0)</f>
        <v/>
      </c>
      <c r="I523" s="112">
        <f>ROUND($B523*KarliyukIssizlikIsverenOrani,0)</f>
        <v/>
      </c>
      <c r="J523" s="112">
        <f>$B523+$H523+$I523</f>
        <v/>
      </c>
      <c r="K523" s="114" t="n"/>
    </row>
    <row r="524" ht="15" customHeight="1" s="68">
      <c r="A524" s="114" t="n"/>
      <c r="B524" s="114" t="n"/>
      <c r="C524" s="112">
        <f>ROUND($B524*KarliyukSgkIsciOrani,0)</f>
        <v/>
      </c>
      <c r="D524" s="112">
        <f>ROUND($B524*KarliyukIssizlikIsciOrani,0)</f>
        <v/>
      </c>
      <c r="E524" s="112">
        <f>ROUND($B524*KarliyukStopajOrani,0)</f>
        <v/>
      </c>
      <c r="F524" s="112">
        <f>ROUND($B524*KarliyukDamgaOrani,0)</f>
        <v/>
      </c>
      <c r="G524" s="112">
        <f>$B524-$C524-$D524-$E524-$F524</f>
        <v/>
      </c>
      <c r="H524" s="112">
        <f>ROUND($B524*KarliyukSgkIsverenOrani,0)</f>
        <v/>
      </c>
      <c r="I524" s="112">
        <f>ROUND($B524*KarliyukIssizlikIsverenOrani,0)</f>
        <v/>
      </c>
      <c r="J524" s="112">
        <f>$B524+$H524+$I524</f>
        <v/>
      </c>
      <c r="K524" s="114" t="n"/>
    </row>
    <row r="525" ht="15" customHeight="1" s="68">
      <c r="A525" s="114" t="n"/>
      <c r="B525" s="114" t="n"/>
      <c r="C525" s="112">
        <f>ROUND($B525*KarliyukSgkIsciOrani,0)</f>
        <v/>
      </c>
      <c r="D525" s="112">
        <f>ROUND($B525*KarliyukIssizlikIsciOrani,0)</f>
        <v/>
      </c>
      <c r="E525" s="112">
        <f>ROUND($B525*KarliyukStopajOrani,0)</f>
        <v/>
      </c>
      <c r="F525" s="112">
        <f>ROUND($B525*KarliyukDamgaOrani,0)</f>
        <v/>
      </c>
      <c r="G525" s="112">
        <f>$B525-$C525-$D525-$E525-$F525</f>
        <v/>
      </c>
      <c r="H525" s="112">
        <f>ROUND($B525*KarliyukSgkIsverenOrani,0)</f>
        <v/>
      </c>
      <c r="I525" s="112">
        <f>ROUND($B525*KarliyukIssizlikIsverenOrani,0)</f>
        <v/>
      </c>
      <c r="J525" s="112">
        <f>$B525+$H525+$I525</f>
        <v/>
      </c>
      <c r="K525" s="114" t="n"/>
    </row>
    <row r="526" ht="15" customHeight="1" s="68">
      <c r="A526" s="114" t="n"/>
      <c r="B526" s="114" t="n"/>
      <c r="C526" s="112">
        <f>ROUND($B526*KarliyukSgkIsciOrani,0)</f>
        <v/>
      </c>
      <c r="D526" s="112">
        <f>ROUND($B526*KarliyukIssizlikIsciOrani,0)</f>
        <v/>
      </c>
      <c r="E526" s="112">
        <f>ROUND($B526*KarliyukStopajOrani,0)</f>
        <v/>
      </c>
      <c r="F526" s="112">
        <f>ROUND($B526*KarliyukDamgaOrani,0)</f>
        <v/>
      </c>
      <c r="G526" s="112">
        <f>$B526-$C526-$D526-$E526-$F526</f>
        <v/>
      </c>
      <c r="H526" s="112">
        <f>ROUND($B526*KarliyukSgkIsverenOrani,0)</f>
        <v/>
      </c>
      <c r="I526" s="112">
        <f>ROUND($B526*KarliyukIssizlikIsverenOrani,0)</f>
        <v/>
      </c>
      <c r="J526" s="112">
        <f>$B526+$H526+$I526</f>
        <v/>
      </c>
      <c r="K526" s="114" t="n"/>
    </row>
    <row r="527" ht="15" customHeight="1" s="68">
      <c r="A527" s="114" t="n"/>
      <c r="B527" s="114" t="n"/>
      <c r="C527" s="112">
        <f>ROUND($B527*KarliyukSgkIsciOrani,0)</f>
        <v/>
      </c>
      <c r="D527" s="112">
        <f>ROUND($B527*KarliyukIssizlikIsciOrani,0)</f>
        <v/>
      </c>
      <c r="E527" s="112">
        <f>ROUND($B527*KarliyukStopajOrani,0)</f>
        <v/>
      </c>
      <c r="F527" s="112">
        <f>ROUND($B527*KarliyukDamgaOrani,0)</f>
        <v/>
      </c>
      <c r="G527" s="112">
        <f>$B527-$C527-$D527-$E527-$F527</f>
        <v/>
      </c>
      <c r="H527" s="112">
        <f>ROUND($B527*KarliyukSgkIsverenOrani,0)</f>
        <v/>
      </c>
      <c r="I527" s="112">
        <f>ROUND($B527*KarliyukIssizlikIsverenOrani,0)</f>
        <v/>
      </c>
      <c r="J527" s="112">
        <f>$B527+$H527+$I527</f>
        <v/>
      </c>
      <c r="K527" s="114" t="n"/>
    </row>
    <row r="528" ht="15" customHeight="1" s="68">
      <c r="A528" s="114" t="n"/>
      <c r="B528" s="114" t="n"/>
      <c r="C528" s="112">
        <f>ROUND($B528*KarliyukSgkIsciOrani,0)</f>
        <v/>
      </c>
      <c r="D528" s="112">
        <f>ROUND($B528*KarliyukIssizlikIsciOrani,0)</f>
        <v/>
      </c>
      <c r="E528" s="112">
        <f>ROUND($B528*KarliyukStopajOrani,0)</f>
        <v/>
      </c>
      <c r="F528" s="112">
        <f>ROUND($B528*KarliyukDamgaOrani,0)</f>
        <v/>
      </c>
      <c r="G528" s="112">
        <f>$B528-$C528-$D528-$E528-$F528</f>
        <v/>
      </c>
      <c r="H528" s="112">
        <f>ROUND($B528*KarliyukSgkIsverenOrani,0)</f>
        <v/>
      </c>
      <c r="I528" s="112">
        <f>ROUND($B528*KarliyukIssizlikIsverenOrani,0)</f>
        <v/>
      </c>
      <c r="J528" s="112">
        <f>$B528+$H528+$I528</f>
        <v/>
      </c>
      <c r="K528" s="114" t="n"/>
    </row>
    <row r="529" ht="15" customHeight="1" s="68">
      <c r="A529" s="114" t="n"/>
      <c r="B529" s="114" t="n"/>
      <c r="C529" s="112">
        <f>ROUND($B529*KarliyukSgkIsciOrani,0)</f>
        <v/>
      </c>
      <c r="D529" s="112">
        <f>ROUND($B529*KarliyukIssizlikIsciOrani,0)</f>
        <v/>
      </c>
      <c r="E529" s="112">
        <f>ROUND($B529*KarliyukStopajOrani,0)</f>
        <v/>
      </c>
      <c r="F529" s="112">
        <f>ROUND($B529*KarliyukDamgaOrani,0)</f>
        <v/>
      </c>
      <c r="G529" s="112">
        <f>$B529-$C529-$D529-$E529-$F529</f>
        <v/>
      </c>
      <c r="H529" s="112">
        <f>ROUND($B529*KarliyukSgkIsverenOrani,0)</f>
        <v/>
      </c>
      <c r="I529" s="112">
        <f>ROUND($B529*KarliyukIssizlikIsverenOrani,0)</f>
        <v/>
      </c>
      <c r="J529" s="112">
        <f>$B529+$H529+$I529</f>
        <v/>
      </c>
      <c r="K529" s="114" t="n"/>
    </row>
    <row r="530" ht="15" customHeight="1" s="68">
      <c r="A530" s="114" t="n"/>
      <c r="B530" s="114" t="n"/>
      <c r="C530" s="112">
        <f>ROUND($B530*KarliyukSgkIsciOrani,0)</f>
        <v/>
      </c>
      <c r="D530" s="112">
        <f>ROUND($B530*KarliyukIssizlikIsciOrani,0)</f>
        <v/>
      </c>
      <c r="E530" s="112">
        <f>ROUND($B530*KarliyukStopajOrani,0)</f>
        <v/>
      </c>
      <c r="F530" s="112">
        <f>ROUND($B530*KarliyukDamgaOrani,0)</f>
        <v/>
      </c>
      <c r="G530" s="112">
        <f>$B530-$C530-$D530-$E530-$F530</f>
        <v/>
      </c>
      <c r="H530" s="112">
        <f>ROUND($B530*KarliyukSgkIsverenOrani,0)</f>
        <v/>
      </c>
      <c r="I530" s="112">
        <f>ROUND($B530*KarliyukIssizlikIsverenOrani,0)</f>
        <v/>
      </c>
      <c r="J530" s="112">
        <f>$B530+$H530+$I530</f>
        <v/>
      </c>
      <c r="K530" s="114" t="n"/>
    </row>
    <row r="531" ht="15" customHeight="1" s="68">
      <c r="A531" s="114" t="n"/>
      <c r="B531" s="114" t="n"/>
      <c r="C531" s="112">
        <f>ROUND($B531*KarliyukSgkIsciOrani,0)</f>
        <v/>
      </c>
      <c r="D531" s="112">
        <f>ROUND($B531*KarliyukIssizlikIsciOrani,0)</f>
        <v/>
      </c>
      <c r="E531" s="112">
        <f>ROUND($B531*KarliyukStopajOrani,0)</f>
        <v/>
      </c>
      <c r="F531" s="112">
        <f>ROUND($B531*KarliyukDamgaOrani,0)</f>
        <v/>
      </c>
      <c r="G531" s="112">
        <f>$B531-$C531-$D531-$E531-$F531</f>
        <v/>
      </c>
      <c r="H531" s="112">
        <f>ROUND($B531*KarliyukSgkIsverenOrani,0)</f>
        <v/>
      </c>
      <c r="I531" s="112">
        <f>ROUND($B531*KarliyukIssizlikIsverenOrani,0)</f>
        <v/>
      </c>
      <c r="J531" s="112">
        <f>$B531+$H531+$I531</f>
        <v/>
      </c>
      <c r="K531" s="114" t="n"/>
    </row>
    <row r="532" ht="15" customHeight="1" s="68">
      <c r="A532" s="114" t="n"/>
      <c r="B532" s="114" t="n"/>
      <c r="C532" s="112">
        <f>ROUND($B532*KarliyukSgkIsciOrani,0)</f>
        <v/>
      </c>
      <c r="D532" s="112">
        <f>ROUND($B532*KarliyukIssizlikIsciOrani,0)</f>
        <v/>
      </c>
      <c r="E532" s="112">
        <f>ROUND($B532*KarliyukStopajOrani,0)</f>
        <v/>
      </c>
      <c r="F532" s="112">
        <f>ROUND($B532*KarliyukDamgaOrani,0)</f>
        <v/>
      </c>
      <c r="G532" s="112">
        <f>$B532-$C532-$D532-$E532-$F532</f>
        <v/>
      </c>
      <c r="H532" s="112">
        <f>ROUND($B532*KarliyukSgkIsverenOrani,0)</f>
        <v/>
      </c>
      <c r="I532" s="112">
        <f>ROUND($B532*KarliyukIssizlikIsverenOrani,0)</f>
        <v/>
      </c>
      <c r="J532" s="112">
        <f>$B532+$H532+$I532</f>
        <v/>
      </c>
      <c r="K532" s="114" t="n"/>
    </row>
    <row r="533" ht="15" customHeight="1" s="68">
      <c r="A533" s="114" t="n"/>
      <c r="B533" s="114" t="n"/>
      <c r="C533" s="112">
        <f>ROUND($B533*KarliyukSgkIsciOrani,0)</f>
        <v/>
      </c>
      <c r="D533" s="112">
        <f>ROUND($B533*KarliyukIssizlikIsciOrani,0)</f>
        <v/>
      </c>
      <c r="E533" s="112">
        <f>ROUND($B533*KarliyukStopajOrani,0)</f>
        <v/>
      </c>
      <c r="F533" s="112">
        <f>ROUND($B533*KarliyukDamgaOrani,0)</f>
        <v/>
      </c>
      <c r="G533" s="112">
        <f>$B533-$C533-$D533-$E533-$F533</f>
        <v/>
      </c>
      <c r="H533" s="112">
        <f>ROUND($B533*KarliyukSgkIsverenOrani,0)</f>
        <v/>
      </c>
      <c r="I533" s="112">
        <f>ROUND($B533*KarliyukIssizlikIsverenOrani,0)</f>
        <v/>
      </c>
      <c r="J533" s="112">
        <f>$B533+$H533+$I533</f>
        <v/>
      </c>
      <c r="K533" s="114" t="n"/>
    </row>
    <row r="534" ht="15" customHeight="1" s="68">
      <c r="A534" s="114" t="n"/>
      <c r="B534" s="114" t="n"/>
      <c r="C534" s="112">
        <f>ROUND($B534*KarliyukSgkIsciOrani,0)</f>
        <v/>
      </c>
      <c r="D534" s="112">
        <f>ROUND($B534*KarliyukIssizlikIsciOrani,0)</f>
        <v/>
      </c>
      <c r="E534" s="112">
        <f>ROUND($B534*KarliyukStopajOrani,0)</f>
        <v/>
      </c>
      <c r="F534" s="112">
        <f>ROUND($B534*KarliyukDamgaOrani,0)</f>
        <v/>
      </c>
      <c r="G534" s="112">
        <f>$B534-$C534-$D534-$E534-$F534</f>
        <v/>
      </c>
      <c r="H534" s="112">
        <f>ROUND($B534*KarliyukSgkIsverenOrani,0)</f>
        <v/>
      </c>
      <c r="I534" s="112">
        <f>ROUND($B534*KarliyukIssizlikIsverenOrani,0)</f>
        <v/>
      </c>
      <c r="J534" s="112">
        <f>$B534+$H534+$I534</f>
        <v/>
      </c>
      <c r="K534" s="114" t="n"/>
    </row>
    <row r="535" ht="15" customHeight="1" s="68">
      <c r="A535" s="114" t="n"/>
      <c r="B535" s="114" t="n"/>
      <c r="C535" s="112">
        <f>ROUND($B535*KarliyukSgkIsciOrani,0)</f>
        <v/>
      </c>
      <c r="D535" s="112">
        <f>ROUND($B535*KarliyukIssizlikIsciOrani,0)</f>
        <v/>
      </c>
      <c r="E535" s="112">
        <f>ROUND($B535*KarliyukStopajOrani,0)</f>
        <v/>
      </c>
      <c r="F535" s="112">
        <f>ROUND($B535*KarliyukDamgaOrani,0)</f>
        <v/>
      </c>
      <c r="G535" s="112">
        <f>$B535-$C535-$D535-$E535-$F535</f>
        <v/>
      </c>
      <c r="H535" s="112">
        <f>ROUND($B535*KarliyukSgkIsverenOrani,0)</f>
        <v/>
      </c>
      <c r="I535" s="112">
        <f>ROUND($B535*KarliyukIssizlikIsverenOrani,0)</f>
        <v/>
      </c>
      <c r="J535" s="112">
        <f>$B535+$H535+$I535</f>
        <v/>
      </c>
      <c r="K535" s="114" t="n"/>
    </row>
    <row r="536" ht="15" customHeight="1" s="68">
      <c r="A536" s="114" t="n"/>
      <c r="B536" s="114" t="n"/>
      <c r="C536" s="112">
        <f>ROUND($B536*KarliyukSgkIsciOrani,0)</f>
        <v/>
      </c>
      <c r="D536" s="112">
        <f>ROUND($B536*KarliyukIssizlikIsciOrani,0)</f>
        <v/>
      </c>
      <c r="E536" s="112">
        <f>ROUND($B536*KarliyukStopajOrani,0)</f>
        <v/>
      </c>
      <c r="F536" s="112">
        <f>ROUND($B536*KarliyukDamgaOrani,0)</f>
        <v/>
      </c>
      <c r="G536" s="112">
        <f>$B536-$C536-$D536-$E536-$F536</f>
        <v/>
      </c>
      <c r="H536" s="112">
        <f>ROUND($B536*KarliyukSgkIsverenOrani,0)</f>
        <v/>
      </c>
      <c r="I536" s="112">
        <f>ROUND($B536*KarliyukIssizlikIsverenOrani,0)</f>
        <v/>
      </c>
      <c r="J536" s="112">
        <f>$B536+$H536+$I536</f>
        <v/>
      </c>
      <c r="K536" s="114" t="n"/>
    </row>
    <row r="537" ht="15" customHeight="1" s="68">
      <c r="A537" s="114" t="n"/>
      <c r="B537" s="114" t="n"/>
      <c r="C537" s="112">
        <f>ROUND($B537*KarliyukSgkIsciOrani,0)</f>
        <v/>
      </c>
      <c r="D537" s="112">
        <f>ROUND($B537*KarliyukIssizlikIsciOrani,0)</f>
        <v/>
      </c>
      <c r="E537" s="112">
        <f>ROUND($B537*KarliyukStopajOrani,0)</f>
        <v/>
      </c>
      <c r="F537" s="112">
        <f>ROUND($B537*KarliyukDamgaOrani,0)</f>
        <v/>
      </c>
      <c r="G537" s="112">
        <f>$B537-$C537-$D537-$E537-$F537</f>
        <v/>
      </c>
      <c r="H537" s="112">
        <f>ROUND($B537*KarliyukSgkIsverenOrani,0)</f>
        <v/>
      </c>
      <c r="I537" s="112">
        <f>ROUND($B537*KarliyukIssizlikIsverenOrani,0)</f>
        <v/>
      </c>
      <c r="J537" s="112">
        <f>$B537+$H537+$I537</f>
        <v/>
      </c>
      <c r="K537" s="114" t="n"/>
    </row>
    <row r="538" ht="15" customHeight="1" s="68">
      <c r="A538" s="114" t="n"/>
      <c r="B538" s="114" t="n"/>
      <c r="C538" s="112">
        <f>ROUND($B538*KarliyukSgkIsciOrani,0)</f>
        <v/>
      </c>
      <c r="D538" s="112">
        <f>ROUND($B538*KarliyukIssizlikIsciOrani,0)</f>
        <v/>
      </c>
      <c r="E538" s="112">
        <f>ROUND($B538*KarliyukStopajOrani,0)</f>
        <v/>
      </c>
      <c r="F538" s="112">
        <f>ROUND($B538*KarliyukDamgaOrani,0)</f>
        <v/>
      </c>
      <c r="G538" s="112">
        <f>$B538-$C538-$D538-$E538-$F538</f>
        <v/>
      </c>
      <c r="H538" s="112">
        <f>ROUND($B538*KarliyukSgkIsverenOrani,0)</f>
        <v/>
      </c>
      <c r="I538" s="112">
        <f>ROUND($B538*KarliyukIssizlikIsverenOrani,0)</f>
        <v/>
      </c>
      <c r="J538" s="112">
        <f>$B538+$H538+$I538</f>
        <v/>
      </c>
      <c r="K538" s="114" t="n"/>
    </row>
    <row r="539" ht="15" customHeight="1" s="68">
      <c r="A539" s="114" t="n"/>
      <c r="B539" s="114" t="n"/>
      <c r="C539" s="112">
        <f>ROUND($B539*KarliyukSgkIsciOrani,0)</f>
        <v/>
      </c>
      <c r="D539" s="112">
        <f>ROUND($B539*KarliyukIssizlikIsciOrani,0)</f>
        <v/>
      </c>
      <c r="E539" s="112">
        <f>ROUND($B539*KarliyukStopajOrani,0)</f>
        <v/>
      </c>
      <c r="F539" s="112">
        <f>ROUND($B539*KarliyukDamgaOrani,0)</f>
        <v/>
      </c>
      <c r="G539" s="112">
        <f>$B539-$C539-$D539-$E539-$F539</f>
        <v/>
      </c>
      <c r="H539" s="112">
        <f>ROUND($B539*KarliyukSgkIsverenOrani,0)</f>
        <v/>
      </c>
      <c r="I539" s="112">
        <f>ROUND($B539*KarliyukIssizlikIsverenOrani,0)</f>
        <v/>
      </c>
      <c r="J539" s="112">
        <f>$B539+$H539+$I539</f>
        <v/>
      </c>
      <c r="K539" s="114" t="n"/>
    </row>
    <row r="540" ht="15" customHeight="1" s="68">
      <c r="A540" s="114" t="n"/>
      <c r="B540" s="114" t="n"/>
      <c r="C540" s="112">
        <f>ROUND($B540*KarliyukSgkIsciOrani,0)</f>
        <v/>
      </c>
      <c r="D540" s="112">
        <f>ROUND($B540*KarliyukIssizlikIsciOrani,0)</f>
        <v/>
      </c>
      <c r="E540" s="112">
        <f>ROUND($B540*KarliyukStopajOrani,0)</f>
        <v/>
      </c>
      <c r="F540" s="112">
        <f>ROUND($B540*KarliyukDamgaOrani,0)</f>
        <v/>
      </c>
      <c r="G540" s="112">
        <f>$B540-$C540-$D540-$E540-$F540</f>
        <v/>
      </c>
      <c r="H540" s="112">
        <f>ROUND($B540*KarliyukSgkIsverenOrani,0)</f>
        <v/>
      </c>
      <c r="I540" s="112">
        <f>ROUND($B540*KarliyukIssizlikIsverenOrani,0)</f>
        <v/>
      </c>
      <c r="J540" s="112">
        <f>$B540+$H540+$I540</f>
        <v/>
      </c>
      <c r="K540" s="114" t="n"/>
    </row>
    <row r="541" ht="15" customHeight="1" s="68">
      <c r="A541" s="114" t="n"/>
      <c r="B541" s="114" t="n"/>
      <c r="C541" s="112">
        <f>ROUND($B541*KarliyukSgkIsciOrani,0)</f>
        <v/>
      </c>
      <c r="D541" s="112">
        <f>ROUND($B541*KarliyukIssizlikIsciOrani,0)</f>
        <v/>
      </c>
      <c r="E541" s="112">
        <f>ROUND($B541*KarliyukStopajOrani,0)</f>
        <v/>
      </c>
      <c r="F541" s="112">
        <f>ROUND($B541*KarliyukDamgaOrani,0)</f>
        <v/>
      </c>
      <c r="G541" s="112">
        <f>$B541-$C541-$D541-$E541-$F541</f>
        <v/>
      </c>
      <c r="H541" s="112">
        <f>ROUND($B541*KarliyukSgkIsverenOrani,0)</f>
        <v/>
      </c>
      <c r="I541" s="112">
        <f>ROUND($B541*KarliyukIssizlikIsverenOrani,0)</f>
        <v/>
      </c>
      <c r="J541" s="112">
        <f>$B541+$H541+$I541</f>
        <v/>
      </c>
      <c r="K541" s="114" t="n"/>
    </row>
    <row r="542" ht="15" customHeight="1" s="68">
      <c r="A542" s="114" t="n"/>
      <c r="B542" s="114" t="n"/>
      <c r="C542" s="112">
        <f>ROUND($B542*KarliyukSgkIsciOrani,0)</f>
        <v/>
      </c>
      <c r="D542" s="112">
        <f>ROUND($B542*KarliyukIssizlikIsciOrani,0)</f>
        <v/>
      </c>
      <c r="E542" s="112">
        <f>ROUND($B542*KarliyukStopajOrani,0)</f>
        <v/>
      </c>
      <c r="F542" s="112">
        <f>ROUND($B542*KarliyukDamgaOrani,0)</f>
        <v/>
      </c>
      <c r="G542" s="112">
        <f>$B542-$C542-$D542-$E542-$F542</f>
        <v/>
      </c>
      <c r="H542" s="112">
        <f>ROUND($B542*KarliyukSgkIsverenOrani,0)</f>
        <v/>
      </c>
      <c r="I542" s="112">
        <f>ROUND($B542*KarliyukIssizlikIsverenOrani,0)</f>
        <v/>
      </c>
      <c r="J542" s="112">
        <f>$B542+$H542+$I542</f>
        <v/>
      </c>
      <c r="K542" s="114" t="n"/>
    </row>
    <row r="543" ht="15" customHeight="1" s="68">
      <c r="A543" s="114" t="n"/>
      <c r="B543" s="114" t="n"/>
      <c r="C543" s="112">
        <f>ROUND($B543*KarliyukSgkIsciOrani,0)</f>
        <v/>
      </c>
      <c r="D543" s="112">
        <f>ROUND($B543*KarliyukIssizlikIsciOrani,0)</f>
        <v/>
      </c>
      <c r="E543" s="112">
        <f>ROUND($B543*KarliyukStopajOrani,0)</f>
        <v/>
      </c>
      <c r="F543" s="112">
        <f>ROUND($B543*KarliyukDamgaOrani,0)</f>
        <v/>
      </c>
      <c r="G543" s="112">
        <f>$B543-$C543-$D543-$E543-$F543</f>
        <v/>
      </c>
      <c r="H543" s="112">
        <f>ROUND($B543*KarliyukSgkIsverenOrani,0)</f>
        <v/>
      </c>
      <c r="I543" s="112">
        <f>ROUND($B543*KarliyukIssizlikIsverenOrani,0)</f>
        <v/>
      </c>
      <c r="J543" s="112">
        <f>$B543+$H543+$I543</f>
        <v/>
      </c>
      <c r="K543" s="114" t="n"/>
    </row>
    <row r="544" ht="15" customHeight="1" s="68">
      <c r="A544" s="114" t="n"/>
      <c r="B544" s="114" t="n"/>
      <c r="C544" s="112">
        <f>ROUND($B544*KarliyukSgkIsciOrani,0)</f>
        <v/>
      </c>
      <c r="D544" s="112">
        <f>ROUND($B544*KarliyukIssizlikIsciOrani,0)</f>
        <v/>
      </c>
      <c r="E544" s="112">
        <f>ROUND($B544*KarliyukStopajOrani,0)</f>
        <v/>
      </c>
      <c r="F544" s="112">
        <f>ROUND($B544*KarliyukDamgaOrani,0)</f>
        <v/>
      </c>
      <c r="G544" s="112">
        <f>$B544-$C544-$D544-$E544-$F544</f>
        <v/>
      </c>
      <c r="H544" s="112">
        <f>ROUND($B544*KarliyukSgkIsverenOrani,0)</f>
        <v/>
      </c>
      <c r="I544" s="112">
        <f>ROUND($B544*KarliyukIssizlikIsverenOrani,0)</f>
        <v/>
      </c>
      <c r="J544" s="112">
        <f>$B544+$H544+$I544</f>
        <v/>
      </c>
      <c r="K544" s="114" t="n"/>
    </row>
    <row r="545" ht="15" customHeight="1" s="68">
      <c r="A545" s="114" t="n"/>
      <c r="B545" s="114" t="n"/>
      <c r="C545" s="112">
        <f>ROUND($B545*KarliyukSgkIsciOrani,0)</f>
        <v/>
      </c>
      <c r="D545" s="112">
        <f>ROUND($B545*KarliyukIssizlikIsciOrani,0)</f>
        <v/>
      </c>
      <c r="E545" s="112">
        <f>ROUND($B545*KarliyukStopajOrani,0)</f>
        <v/>
      </c>
      <c r="F545" s="112">
        <f>ROUND($B545*KarliyukDamgaOrani,0)</f>
        <v/>
      </c>
      <c r="G545" s="112">
        <f>$B545-$C545-$D545-$E545-$F545</f>
        <v/>
      </c>
      <c r="H545" s="112">
        <f>ROUND($B545*KarliyukSgkIsverenOrani,0)</f>
        <v/>
      </c>
      <c r="I545" s="112">
        <f>ROUND($B545*KarliyukIssizlikIsverenOrani,0)</f>
        <v/>
      </c>
      <c r="J545" s="112">
        <f>$B545+$H545+$I545</f>
        <v/>
      </c>
      <c r="K545" s="114" t="n"/>
    </row>
    <row r="546" ht="15" customHeight="1" s="68">
      <c r="A546" s="114" t="n"/>
      <c r="B546" s="114" t="n"/>
      <c r="C546" s="112">
        <f>ROUND($B546*KarliyukSgkIsciOrani,0)</f>
        <v/>
      </c>
      <c r="D546" s="112">
        <f>ROUND($B546*KarliyukIssizlikIsciOrani,0)</f>
        <v/>
      </c>
      <c r="E546" s="112">
        <f>ROUND($B546*KarliyukStopajOrani,0)</f>
        <v/>
      </c>
      <c r="F546" s="112">
        <f>ROUND($B546*KarliyukDamgaOrani,0)</f>
        <v/>
      </c>
      <c r="G546" s="112">
        <f>$B546-$C546-$D546-$E546-$F546</f>
        <v/>
      </c>
      <c r="H546" s="112">
        <f>ROUND($B546*KarliyukSgkIsverenOrani,0)</f>
        <v/>
      </c>
      <c r="I546" s="112">
        <f>ROUND($B546*KarliyukIssizlikIsverenOrani,0)</f>
        <v/>
      </c>
      <c r="J546" s="112">
        <f>$B546+$H546+$I546</f>
        <v/>
      </c>
      <c r="K546" s="114" t="n"/>
    </row>
    <row r="547" ht="15" customHeight="1" s="68">
      <c r="A547" s="114" t="n"/>
      <c r="B547" s="114" t="n"/>
      <c r="C547" s="112">
        <f>ROUND($B547*KarliyukSgkIsciOrani,0)</f>
        <v/>
      </c>
      <c r="D547" s="112">
        <f>ROUND($B547*KarliyukIssizlikIsciOrani,0)</f>
        <v/>
      </c>
      <c r="E547" s="112">
        <f>ROUND($B547*KarliyukStopajOrani,0)</f>
        <v/>
      </c>
      <c r="F547" s="112">
        <f>ROUND($B547*KarliyukDamgaOrani,0)</f>
        <v/>
      </c>
      <c r="G547" s="112">
        <f>$B547-$C547-$D547-$E547-$F547</f>
        <v/>
      </c>
      <c r="H547" s="112">
        <f>ROUND($B547*KarliyukSgkIsverenOrani,0)</f>
        <v/>
      </c>
      <c r="I547" s="112">
        <f>ROUND($B547*KarliyukIssizlikIsverenOrani,0)</f>
        <v/>
      </c>
      <c r="J547" s="112">
        <f>$B547+$H547+$I547</f>
        <v/>
      </c>
      <c r="K547" s="114" t="n"/>
    </row>
    <row r="548" ht="15" customHeight="1" s="68">
      <c r="A548" s="114" t="n"/>
      <c r="B548" s="114" t="n"/>
      <c r="C548" s="112">
        <f>ROUND($B548*KarliyukSgkIsciOrani,0)</f>
        <v/>
      </c>
      <c r="D548" s="112">
        <f>ROUND($B548*KarliyukIssizlikIsciOrani,0)</f>
        <v/>
      </c>
      <c r="E548" s="112">
        <f>ROUND($B548*KarliyukStopajOrani,0)</f>
        <v/>
      </c>
      <c r="F548" s="112">
        <f>ROUND($B548*KarliyukDamgaOrani,0)</f>
        <v/>
      </c>
      <c r="G548" s="112">
        <f>$B548-$C548-$D548-$E548-$F548</f>
        <v/>
      </c>
      <c r="H548" s="112">
        <f>ROUND($B548*KarliyukSgkIsverenOrani,0)</f>
        <v/>
      </c>
      <c r="I548" s="112">
        <f>ROUND($B548*KarliyukIssizlikIsverenOrani,0)</f>
        <v/>
      </c>
      <c r="J548" s="112">
        <f>$B548+$H548+$I548</f>
        <v/>
      </c>
      <c r="K548" s="114" t="n"/>
    </row>
    <row r="549" ht="15" customHeight="1" s="68">
      <c r="A549" s="114" t="n"/>
      <c r="B549" s="114" t="n"/>
      <c r="C549" s="112">
        <f>ROUND($B549*KarliyukSgkIsciOrani,0)</f>
        <v/>
      </c>
      <c r="D549" s="112">
        <f>ROUND($B549*KarliyukIssizlikIsciOrani,0)</f>
        <v/>
      </c>
      <c r="E549" s="112">
        <f>ROUND($B549*KarliyukStopajOrani,0)</f>
        <v/>
      </c>
      <c r="F549" s="112">
        <f>ROUND($B549*KarliyukDamgaOrani,0)</f>
        <v/>
      </c>
      <c r="G549" s="112">
        <f>$B549-$C549-$D549-$E549-$F549</f>
        <v/>
      </c>
      <c r="H549" s="112">
        <f>ROUND($B549*KarliyukSgkIsverenOrani,0)</f>
        <v/>
      </c>
      <c r="I549" s="112">
        <f>ROUND($B549*KarliyukIssizlikIsverenOrani,0)</f>
        <v/>
      </c>
      <c r="J549" s="112">
        <f>$B549+$H549+$I549</f>
        <v/>
      </c>
      <c r="K549" s="114" t="n"/>
    </row>
    <row r="550" ht="15" customHeight="1" s="68">
      <c r="A550" s="114" t="n"/>
      <c r="B550" s="114" t="n"/>
      <c r="C550" s="112">
        <f>ROUND($B550*KarliyukSgkIsciOrani,0)</f>
        <v/>
      </c>
      <c r="D550" s="112">
        <f>ROUND($B550*KarliyukIssizlikIsciOrani,0)</f>
        <v/>
      </c>
      <c r="E550" s="112">
        <f>ROUND($B550*KarliyukStopajOrani,0)</f>
        <v/>
      </c>
      <c r="F550" s="112">
        <f>ROUND($B550*KarliyukDamgaOrani,0)</f>
        <v/>
      </c>
      <c r="G550" s="112">
        <f>$B550-$C550-$D550-$E550-$F550</f>
        <v/>
      </c>
      <c r="H550" s="112">
        <f>ROUND($B550*KarliyukSgkIsverenOrani,0)</f>
        <v/>
      </c>
      <c r="I550" s="112">
        <f>ROUND($B550*KarliyukIssizlikIsverenOrani,0)</f>
        <v/>
      </c>
      <c r="J550" s="112">
        <f>$B550+$H550+$I550</f>
        <v/>
      </c>
      <c r="K550" s="114" t="n"/>
    </row>
    <row r="551" ht="15" customHeight="1" s="68">
      <c r="A551" s="114" t="n"/>
      <c r="B551" s="114" t="n"/>
      <c r="C551" s="112">
        <f>ROUND($B551*KarliyukSgkIsciOrani,0)</f>
        <v/>
      </c>
      <c r="D551" s="112">
        <f>ROUND($B551*KarliyukIssizlikIsciOrani,0)</f>
        <v/>
      </c>
      <c r="E551" s="112">
        <f>ROUND($B551*KarliyukStopajOrani,0)</f>
        <v/>
      </c>
      <c r="F551" s="112">
        <f>ROUND($B551*KarliyukDamgaOrani,0)</f>
        <v/>
      </c>
      <c r="G551" s="112">
        <f>$B551-$C551-$D551-$E551-$F551</f>
        <v/>
      </c>
      <c r="H551" s="112">
        <f>ROUND($B551*KarliyukSgkIsverenOrani,0)</f>
        <v/>
      </c>
      <c r="I551" s="112">
        <f>ROUND($B551*KarliyukIssizlikIsverenOrani,0)</f>
        <v/>
      </c>
      <c r="J551" s="112">
        <f>$B551+$H551+$I551</f>
        <v/>
      </c>
      <c r="K551" s="114" t="n"/>
    </row>
    <row r="552" ht="15" customHeight="1" s="68">
      <c r="A552" s="114" t="n"/>
      <c r="B552" s="114" t="n"/>
      <c r="C552" s="112">
        <f>ROUND($B552*KarliyukSgkIsciOrani,0)</f>
        <v/>
      </c>
      <c r="D552" s="112">
        <f>ROUND($B552*KarliyukIssizlikIsciOrani,0)</f>
        <v/>
      </c>
      <c r="E552" s="112">
        <f>ROUND($B552*KarliyukStopajOrani,0)</f>
        <v/>
      </c>
      <c r="F552" s="112">
        <f>ROUND($B552*KarliyukDamgaOrani,0)</f>
        <v/>
      </c>
      <c r="G552" s="112">
        <f>$B552-$C552-$D552-$E552-$F552</f>
        <v/>
      </c>
      <c r="H552" s="112">
        <f>ROUND($B552*KarliyukSgkIsverenOrani,0)</f>
        <v/>
      </c>
      <c r="I552" s="112">
        <f>ROUND($B552*KarliyukIssizlikIsverenOrani,0)</f>
        <v/>
      </c>
      <c r="J552" s="112">
        <f>$B552+$H552+$I552</f>
        <v/>
      </c>
      <c r="K552" s="114" t="n"/>
    </row>
    <row r="553" ht="15" customHeight="1" s="68">
      <c r="A553" s="114" t="n"/>
      <c r="B553" s="114" t="n"/>
      <c r="C553" s="112">
        <f>ROUND($B553*KarliyukSgkIsciOrani,0)</f>
        <v/>
      </c>
      <c r="D553" s="112">
        <f>ROUND($B553*KarliyukIssizlikIsciOrani,0)</f>
        <v/>
      </c>
      <c r="E553" s="112">
        <f>ROUND($B553*KarliyukStopajOrani,0)</f>
        <v/>
      </c>
      <c r="F553" s="112">
        <f>ROUND($B553*KarliyukDamgaOrani,0)</f>
        <v/>
      </c>
      <c r="G553" s="112">
        <f>$B553-$C553-$D553-$E553-$F553</f>
        <v/>
      </c>
      <c r="H553" s="112">
        <f>ROUND($B553*KarliyukSgkIsverenOrani,0)</f>
        <v/>
      </c>
      <c r="I553" s="112">
        <f>ROUND($B553*KarliyukIssizlikIsverenOrani,0)</f>
        <v/>
      </c>
      <c r="J553" s="112">
        <f>$B553+$H553+$I553</f>
        <v/>
      </c>
      <c r="K553" s="114" t="n"/>
    </row>
    <row r="554" ht="15" customHeight="1" s="68">
      <c r="A554" s="114" t="n"/>
      <c r="B554" s="114" t="n"/>
      <c r="C554" s="112">
        <f>ROUND($B554*KarliyukSgkIsciOrani,0)</f>
        <v/>
      </c>
      <c r="D554" s="112">
        <f>ROUND($B554*KarliyukIssizlikIsciOrani,0)</f>
        <v/>
      </c>
      <c r="E554" s="112">
        <f>ROUND($B554*KarliyukStopajOrani,0)</f>
        <v/>
      </c>
      <c r="F554" s="112">
        <f>ROUND($B554*KarliyukDamgaOrani,0)</f>
        <v/>
      </c>
      <c r="G554" s="112">
        <f>$B554-$C554-$D554-$E554-$F554</f>
        <v/>
      </c>
      <c r="H554" s="112">
        <f>ROUND($B554*KarliyukSgkIsverenOrani,0)</f>
        <v/>
      </c>
      <c r="I554" s="112">
        <f>ROUND($B554*KarliyukIssizlikIsverenOrani,0)</f>
        <v/>
      </c>
      <c r="J554" s="112">
        <f>$B554+$H554+$I554</f>
        <v/>
      </c>
      <c r="K554" s="114" t="n"/>
    </row>
    <row r="555" ht="15" customHeight="1" s="68">
      <c r="A555" s="114" t="n"/>
      <c r="B555" s="114" t="n"/>
      <c r="C555" s="112">
        <f>ROUND($B555*KarliyukSgkIsciOrani,0)</f>
        <v/>
      </c>
      <c r="D555" s="112">
        <f>ROUND($B555*KarliyukIssizlikIsciOrani,0)</f>
        <v/>
      </c>
      <c r="E555" s="112">
        <f>ROUND($B555*KarliyukStopajOrani,0)</f>
        <v/>
      </c>
      <c r="F555" s="112">
        <f>ROUND($B555*KarliyukDamgaOrani,0)</f>
        <v/>
      </c>
      <c r="G555" s="112">
        <f>$B555-$C555-$D555-$E555-$F555</f>
        <v/>
      </c>
      <c r="H555" s="112">
        <f>ROUND($B555*KarliyukSgkIsverenOrani,0)</f>
        <v/>
      </c>
      <c r="I555" s="112">
        <f>ROUND($B555*KarliyukIssizlikIsverenOrani,0)</f>
        <v/>
      </c>
      <c r="J555" s="112">
        <f>$B555+$H555+$I555</f>
        <v/>
      </c>
      <c r="K555" s="114" t="n"/>
    </row>
    <row r="556" ht="15" customHeight="1" s="68">
      <c r="A556" s="114" t="n"/>
      <c r="B556" s="114" t="n"/>
      <c r="C556" s="112">
        <f>ROUND($B556*KarliyukSgkIsciOrani,0)</f>
        <v/>
      </c>
      <c r="D556" s="112">
        <f>ROUND($B556*KarliyukIssizlikIsciOrani,0)</f>
        <v/>
      </c>
      <c r="E556" s="112">
        <f>ROUND($B556*KarliyukStopajOrani,0)</f>
        <v/>
      </c>
      <c r="F556" s="112">
        <f>ROUND($B556*KarliyukDamgaOrani,0)</f>
        <v/>
      </c>
      <c r="G556" s="112">
        <f>$B556-$C556-$D556-$E556-$F556</f>
        <v/>
      </c>
      <c r="H556" s="112">
        <f>ROUND($B556*KarliyukSgkIsverenOrani,0)</f>
        <v/>
      </c>
      <c r="I556" s="112">
        <f>ROUND($B556*KarliyukIssizlikIsverenOrani,0)</f>
        <v/>
      </c>
      <c r="J556" s="112">
        <f>$B556+$H556+$I556</f>
        <v/>
      </c>
      <c r="K556" s="114" t="n"/>
    </row>
    <row r="557" ht="15" customHeight="1" s="68">
      <c r="A557" s="114" t="n"/>
      <c r="B557" s="114" t="n"/>
      <c r="C557" s="112">
        <f>ROUND($B557*KarliyukSgkIsciOrani,0)</f>
        <v/>
      </c>
      <c r="D557" s="112">
        <f>ROUND($B557*KarliyukIssizlikIsciOrani,0)</f>
        <v/>
      </c>
      <c r="E557" s="112">
        <f>ROUND($B557*KarliyukStopajOrani,0)</f>
        <v/>
      </c>
      <c r="F557" s="112">
        <f>ROUND($B557*KarliyukDamgaOrani,0)</f>
        <v/>
      </c>
      <c r="G557" s="112">
        <f>$B557-$C557-$D557-$E557-$F557</f>
        <v/>
      </c>
      <c r="H557" s="112">
        <f>ROUND($B557*KarliyukSgkIsverenOrani,0)</f>
        <v/>
      </c>
      <c r="I557" s="112">
        <f>ROUND($B557*KarliyukIssizlikIsverenOrani,0)</f>
        <v/>
      </c>
      <c r="J557" s="112">
        <f>$B557+$H557+$I557</f>
        <v/>
      </c>
      <c r="K557" s="114" t="n"/>
    </row>
    <row r="558" ht="15" customHeight="1" s="68">
      <c r="A558" s="114" t="n"/>
      <c r="B558" s="114" t="n"/>
      <c r="C558" s="112">
        <f>ROUND($B558*KarliyukSgkIsciOrani,0)</f>
        <v/>
      </c>
      <c r="D558" s="112">
        <f>ROUND($B558*KarliyukIssizlikIsciOrani,0)</f>
        <v/>
      </c>
      <c r="E558" s="112">
        <f>ROUND($B558*KarliyukStopajOrani,0)</f>
        <v/>
      </c>
      <c r="F558" s="112">
        <f>ROUND($B558*KarliyukDamgaOrani,0)</f>
        <v/>
      </c>
      <c r="G558" s="112">
        <f>$B558-$C558-$D558-$E558-$F558</f>
        <v/>
      </c>
      <c r="H558" s="112">
        <f>ROUND($B558*KarliyukSgkIsverenOrani,0)</f>
        <v/>
      </c>
      <c r="I558" s="112">
        <f>ROUND($B558*KarliyukIssizlikIsverenOrani,0)</f>
        <v/>
      </c>
      <c r="J558" s="112">
        <f>$B558+$H558+$I558</f>
        <v/>
      </c>
      <c r="K558" s="114" t="n"/>
    </row>
    <row r="559" ht="15" customHeight="1" s="68">
      <c r="A559" s="114" t="n"/>
      <c r="B559" s="114" t="n"/>
      <c r="C559" s="112">
        <f>ROUND($B559*KarliyukSgkIsciOrani,0)</f>
        <v/>
      </c>
      <c r="D559" s="112">
        <f>ROUND($B559*KarliyukIssizlikIsciOrani,0)</f>
        <v/>
      </c>
      <c r="E559" s="112">
        <f>ROUND($B559*KarliyukStopajOrani,0)</f>
        <v/>
      </c>
      <c r="F559" s="112">
        <f>ROUND($B559*KarliyukDamgaOrani,0)</f>
        <v/>
      </c>
      <c r="G559" s="112">
        <f>$B559-$C559-$D559-$E559-$F559</f>
        <v/>
      </c>
      <c r="H559" s="112">
        <f>ROUND($B559*KarliyukSgkIsverenOrani,0)</f>
        <v/>
      </c>
      <c r="I559" s="112">
        <f>ROUND($B559*KarliyukIssizlikIsverenOrani,0)</f>
        <v/>
      </c>
      <c r="J559" s="112">
        <f>$B559+$H559+$I559</f>
        <v/>
      </c>
      <c r="K559" s="114" t="n"/>
    </row>
    <row r="560" ht="15" customHeight="1" s="68">
      <c r="A560" s="114" t="n"/>
      <c r="B560" s="114" t="n"/>
      <c r="C560" s="112">
        <f>ROUND($B560*KarliyukSgkIsciOrani,0)</f>
        <v/>
      </c>
      <c r="D560" s="112">
        <f>ROUND($B560*KarliyukIssizlikIsciOrani,0)</f>
        <v/>
      </c>
      <c r="E560" s="112">
        <f>ROUND($B560*KarliyukStopajOrani,0)</f>
        <v/>
      </c>
      <c r="F560" s="112">
        <f>ROUND($B560*KarliyukDamgaOrani,0)</f>
        <v/>
      </c>
      <c r="G560" s="112">
        <f>$B560-$C560-$D560-$E560-$F560</f>
        <v/>
      </c>
      <c r="H560" s="112">
        <f>ROUND($B560*KarliyukSgkIsverenOrani,0)</f>
        <v/>
      </c>
      <c r="I560" s="112">
        <f>ROUND($B560*KarliyukIssizlikIsverenOrani,0)</f>
        <v/>
      </c>
      <c r="J560" s="112">
        <f>$B560+$H560+$I560</f>
        <v/>
      </c>
      <c r="K560" s="114" t="n"/>
    </row>
    <row r="561" ht="15" customHeight="1" s="68">
      <c r="A561" s="114" t="n"/>
      <c r="B561" s="114" t="n"/>
      <c r="C561" s="112">
        <f>ROUND($B561*KarliyukSgkIsciOrani,0)</f>
        <v/>
      </c>
      <c r="D561" s="112">
        <f>ROUND($B561*KarliyukIssizlikIsciOrani,0)</f>
        <v/>
      </c>
      <c r="E561" s="112">
        <f>ROUND($B561*KarliyukStopajOrani,0)</f>
        <v/>
      </c>
      <c r="F561" s="112">
        <f>ROUND($B561*KarliyukDamgaOrani,0)</f>
        <v/>
      </c>
      <c r="G561" s="112">
        <f>$B561-$C561-$D561-$E561-$F561</f>
        <v/>
      </c>
      <c r="H561" s="112">
        <f>ROUND($B561*KarliyukSgkIsverenOrani,0)</f>
        <v/>
      </c>
      <c r="I561" s="112">
        <f>ROUND($B561*KarliyukIssizlikIsverenOrani,0)</f>
        <v/>
      </c>
      <c r="J561" s="112">
        <f>$B561+$H561+$I561</f>
        <v/>
      </c>
      <c r="K561" s="114" t="n"/>
    </row>
    <row r="562" ht="15" customHeight="1" s="68">
      <c r="A562" s="114" t="n"/>
      <c r="B562" s="114" t="n"/>
      <c r="C562" s="112">
        <f>ROUND($B562*KarliyukSgkIsciOrani,0)</f>
        <v/>
      </c>
      <c r="D562" s="112">
        <f>ROUND($B562*KarliyukIssizlikIsciOrani,0)</f>
        <v/>
      </c>
      <c r="E562" s="112">
        <f>ROUND($B562*KarliyukStopajOrani,0)</f>
        <v/>
      </c>
      <c r="F562" s="112">
        <f>ROUND($B562*KarliyukDamgaOrani,0)</f>
        <v/>
      </c>
      <c r="G562" s="112">
        <f>$B562-$C562-$D562-$E562-$F562</f>
        <v/>
      </c>
      <c r="H562" s="112">
        <f>ROUND($B562*KarliyukSgkIsverenOrani,0)</f>
        <v/>
      </c>
      <c r="I562" s="112">
        <f>ROUND($B562*KarliyukIssizlikIsverenOrani,0)</f>
        <v/>
      </c>
      <c r="J562" s="112">
        <f>$B562+$H562+$I562</f>
        <v/>
      </c>
      <c r="K562" s="114" t="n"/>
    </row>
    <row r="563" ht="15" customHeight="1" s="68">
      <c r="A563" s="114" t="n"/>
      <c r="B563" s="114" t="n"/>
      <c r="C563" s="112">
        <f>ROUND($B563*KarliyukSgkIsciOrani,0)</f>
        <v/>
      </c>
      <c r="D563" s="112">
        <f>ROUND($B563*KarliyukIssizlikIsciOrani,0)</f>
        <v/>
      </c>
      <c r="E563" s="112">
        <f>ROUND($B563*KarliyukStopajOrani,0)</f>
        <v/>
      </c>
      <c r="F563" s="112">
        <f>ROUND($B563*KarliyukDamgaOrani,0)</f>
        <v/>
      </c>
      <c r="G563" s="112">
        <f>$B563-$C563-$D563-$E563-$F563</f>
        <v/>
      </c>
      <c r="H563" s="112">
        <f>ROUND($B563*KarliyukSgkIsverenOrani,0)</f>
        <v/>
      </c>
      <c r="I563" s="112">
        <f>ROUND($B563*KarliyukIssizlikIsverenOrani,0)</f>
        <v/>
      </c>
      <c r="J563" s="112">
        <f>$B563+$H563+$I563</f>
        <v/>
      </c>
      <c r="K563" s="114" t="n"/>
    </row>
    <row r="564" ht="15" customHeight="1" s="68">
      <c r="A564" s="114" t="n"/>
      <c r="B564" s="114" t="n"/>
      <c r="C564" s="112">
        <f>ROUND($B564*KarliyukSgkIsciOrani,0)</f>
        <v/>
      </c>
      <c r="D564" s="112">
        <f>ROUND($B564*KarliyukIssizlikIsciOrani,0)</f>
        <v/>
      </c>
      <c r="E564" s="112">
        <f>ROUND($B564*KarliyukStopajOrani,0)</f>
        <v/>
      </c>
      <c r="F564" s="112">
        <f>ROUND($B564*KarliyukDamgaOrani,0)</f>
        <v/>
      </c>
      <c r="G564" s="112">
        <f>$B564-$C564-$D564-$E564-$F564</f>
        <v/>
      </c>
      <c r="H564" s="112">
        <f>ROUND($B564*KarliyukSgkIsverenOrani,0)</f>
        <v/>
      </c>
      <c r="I564" s="112">
        <f>ROUND($B564*KarliyukIssizlikIsverenOrani,0)</f>
        <v/>
      </c>
      <c r="J564" s="112">
        <f>$B564+$H564+$I564</f>
        <v/>
      </c>
      <c r="K564" s="114" t="n"/>
    </row>
    <row r="565" ht="15" customHeight="1" s="68">
      <c r="A565" s="114" t="n"/>
      <c r="B565" s="114" t="n"/>
      <c r="C565" s="112">
        <f>ROUND($B565*KarliyukSgkIsciOrani,0)</f>
        <v/>
      </c>
      <c r="D565" s="112">
        <f>ROUND($B565*KarliyukIssizlikIsciOrani,0)</f>
        <v/>
      </c>
      <c r="E565" s="112">
        <f>ROUND($B565*KarliyukStopajOrani,0)</f>
        <v/>
      </c>
      <c r="F565" s="112">
        <f>ROUND($B565*KarliyukDamgaOrani,0)</f>
        <v/>
      </c>
      <c r="G565" s="112">
        <f>$B565-$C565-$D565-$E565-$F565</f>
        <v/>
      </c>
      <c r="H565" s="112">
        <f>ROUND($B565*KarliyukSgkIsverenOrani,0)</f>
        <v/>
      </c>
      <c r="I565" s="112">
        <f>ROUND($B565*KarliyukIssizlikIsverenOrani,0)</f>
        <v/>
      </c>
      <c r="J565" s="112">
        <f>$B565+$H565+$I565</f>
        <v/>
      </c>
      <c r="K565" s="114" t="n"/>
    </row>
    <row r="566" ht="15" customHeight="1" s="68">
      <c r="A566" s="114" t="n"/>
      <c r="B566" s="114" t="n"/>
      <c r="C566" s="112">
        <f>ROUND($B566*KarliyukSgkIsciOrani,0)</f>
        <v/>
      </c>
      <c r="D566" s="112">
        <f>ROUND($B566*KarliyukIssizlikIsciOrani,0)</f>
        <v/>
      </c>
      <c r="E566" s="112">
        <f>ROUND($B566*KarliyukStopajOrani,0)</f>
        <v/>
      </c>
      <c r="F566" s="112">
        <f>ROUND($B566*KarliyukDamgaOrani,0)</f>
        <v/>
      </c>
      <c r="G566" s="112">
        <f>$B566-$C566-$D566-$E566-$F566</f>
        <v/>
      </c>
      <c r="H566" s="112">
        <f>ROUND($B566*KarliyukSgkIsverenOrani,0)</f>
        <v/>
      </c>
      <c r="I566" s="112">
        <f>ROUND($B566*KarliyukIssizlikIsverenOrani,0)</f>
        <v/>
      </c>
      <c r="J566" s="112">
        <f>$B566+$H566+$I566</f>
        <v/>
      </c>
      <c r="K566" s="114" t="n"/>
    </row>
    <row r="567" ht="15" customHeight="1" s="68">
      <c r="A567" s="114" t="n"/>
      <c r="B567" s="114" t="n"/>
      <c r="C567" s="112">
        <f>ROUND($B567*KarliyukSgkIsciOrani,0)</f>
        <v/>
      </c>
      <c r="D567" s="112">
        <f>ROUND($B567*KarliyukIssizlikIsciOrani,0)</f>
        <v/>
      </c>
      <c r="E567" s="112">
        <f>ROUND($B567*KarliyukStopajOrani,0)</f>
        <v/>
      </c>
      <c r="F567" s="112">
        <f>ROUND($B567*KarliyukDamgaOrani,0)</f>
        <v/>
      </c>
      <c r="G567" s="112">
        <f>$B567-$C567-$D567-$E567-$F567</f>
        <v/>
      </c>
      <c r="H567" s="112">
        <f>ROUND($B567*KarliyukSgkIsverenOrani,0)</f>
        <v/>
      </c>
      <c r="I567" s="112">
        <f>ROUND($B567*KarliyukIssizlikIsverenOrani,0)</f>
        <v/>
      </c>
      <c r="J567" s="112">
        <f>$B567+$H567+$I567</f>
        <v/>
      </c>
      <c r="K567" s="114" t="n"/>
    </row>
    <row r="568" ht="15" customHeight="1" s="68">
      <c r="A568" s="114" t="n"/>
      <c r="B568" s="114" t="n"/>
      <c r="C568" s="112">
        <f>ROUND($B568*KarliyukSgkIsciOrani,0)</f>
        <v/>
      </c>
      <c r="D568" s="112">
        <f>ROUND($B568*KarliyukIssizlikIsciOrani,0)</f>
        <v/>
      </c>
      <c r="E568" s="112">
        <f>ROUND($B568*KarliyukStopajOrani,0)</f>
        <v/>
      </c>
      <c r="F568" s="112">
        <f>ROUND($B568*KarliyukDamgaOrani,0)</f>
        <v/>
      </c>
      <c r="G568" s="112">
        <f>$B568-$C568-$D568-$E568-$F568</f>
        <v/>
      </c>
      <c r="H568" s="112">
        <f>ROUND($B568*KarliyukSgkIsverenOrani,0)</f>
        <v/>
      </c>
      <c r="I568" s="112">
        <f>ROUND($B568*KarliyukIssizlikIsverenOrani,0)</f>
        <v/>
      </c>
      <c r="J568" s="112">
        <f>$B568+$H568+$I568</f>
        <v/>
      </c>
      <c r="K568" s="114" t="n"/>
    </row>
    <row r="569" ht="15" customHeight="1" s="68">
      <c r="A569" s="114" t="n"/>
      <c r="B569" s="114" t="n"/>
      <c r="C569" s="112">
        <f>ROUND($B569*KarliyukSgkIsciOrani,0)</f>
        <v/>
      </c>
      <c r="D569" s="112">
        <f>ROUND($B569*KarliyukIssizlikIsciOrani,0)</f>
        <v/>
      </c>
      <c r="E569" s="112">
        <f>ROUND($B569*KarliyukStopajOrani,0)</f>
        <v/>
      </c>
      <c r="F569" s="112">
        <f>ROUND($B569*KarliyukDamgaOrani,0)</f>
        <v/>
      </c>
      <c r="G569" s="112">
        <f>$B569-$C569-$D569-$E569-$F569</f>
        <v/>
      </c>
      <c r="H569" s="112">
        <f>ROUND($B569*KarliyukSgkIsverenOrani,0)</f>
        <v/>
      </c>
      <c r="I569" s="112">
        <f>ROUND($B569*KarliyukIssizlikIsverenOrani,0)</f>
        <v/>
      </c>
      <c r="J569" s="112">
        <f>$B569+$H569+$I569</f>
        <v/>
      </c>
      <c r="K569" s="114" t="n"/>
    </row>
    <row r="570" ht="15" customHeight="1" s="68">
      <c r="A570" s="114" t="n"/>
      <c r="B570" s="114" t="n"/>
      <c r="C570" s="112">
        <f>ROUND($B570*KarliyukSgkIsciOrani,0)</f>
        <v/>
      </c>
      <c r="D570" s="112">
        <f>ROUND($B570*KarliyukIssizlikIsciOrani,0)</f>
        <v/>
      </c>
      <c r="E570" s="112">
        <f>ROUND($B570*KarliyukStopajOrani,0)</f>
        <v/>
      </c>
      <c r="F570" s="112">
        <f>ROUND($B570*KarliyukDamgaOrani,0)</f>
        <v/>
      </c>
      <c r="G570" s="112">
        <f>$B570-$C570-$D570-$E570-$F570</f>
        <v/>
      </c>
      <c r="H570" s="112">
        <f>ROUND($B570*KarliyukSgkIsverenOrani,0)</f>
        <v/>
      </c>
      <c r="I570" s="112">
        <f>ROUND($B570*KarliyukIssizlikIsverenOrani,0)</f>
        <v/>
      </c>
      <c r="J570" s="112">
        <f>$B570+$H570+$I570</f>
        <v/>
      </c>
      <c r="K570" s="114" t="n"/>
    </row>
    <row r="571" ht="15" customHeight="1" s="68">
      <c r="A571" s="114" t="n"/>
      <c r="B571" s="114" t="n"/>
      <c r="C571" s="112">
        <f>ROUND($B571*KarliyukSgkIsciOrani,0)</f>
        <v/>
      </c>
      <c r="D571" s="112">
        <f>ROUND($B571*KarliyukIssizlikIsciOrani,0)</f>
        <v/>
      </c>
      <c r="E571" s="112">
        <f>ROUND($B571*KarliyukStopajOrani,0)</f>
        <v/>
      </c>
      <c r="F571" s="112">
        <f>ROUND($B571*KarliyukDamgaOrani,0)</f>
        <v/>
      </c>
      <c r="G571" s="112">
        <f>$B571-$C571-$D571-$E571-$F571</f>
        <v/>
      </c>
      <c r="H571" s="112">
        <f>ROUND($B571*KarliyukSgkIsverenOrani,0)</f>
        <v/>
      </c>
      <c r="I571" s="112">
        <f>ROUND($B571*KarliyukIssizlikIsverenOrani,0)</f>
        <v/>
      </c>
      <c r="J571" s="112">
        <f>$B571+$H571+$I571</f>
        <v/>
      </c>
      <c r="K571" s="114" t="n"/>
    </row>
    <row r="572" ht="15" customHeight="1" s="68">
      <c r="A572" s="114" t="n"/>
      <c r="B572" s="114" t="n"/>
      <c r="C572" s="112">
        <f>ROUND($B572*KarliyukSgkIsciOrani,0)</f>
        <v/>
      </c>
      <c r="D572" s="112">
        <f>ROUND($B572*KarliyukIssizlikIsciOrani,0)</f>
        <v/>
      </c>
      <c r="E572" s="112">
        <f>ROUND($B572*KarliyukStopajOrani,0)</f>
        <v/>
      </c>
      <c r="F572" s="112">
        <f>ROUND($B572*KarliyukDamgaOrani,0)</f>
        <v/>
      </c>
      <c r="G572" s="112">
        <f>$B572-$C572-$D572-$E572-$F572</f>
        <v/>
      </c>
      <c r="H572" s="112">
        <f>ROUND($B572*KarliyukSgkIsverenOrani,0)</f>
        <v/>
      </c>
      <c r="I572" s="112">
        <f>ROUND($B572*KarliyukIssizlikIsverenOrani,0)</f>
        <v/>
      </c>
      <c r="J572" s="112">
        <f>$B572+$H572+$I572</f>
        <v/>
      </c>
      <c r="K572" s="114" t="n"/>
    </row>
    <row r="573" ht="15" customHeight="1" s="68">
      <c r="A573" s="114" t="n"/>
      <c r="B573" s="114" t="n"/>
      <c r="C573" s="112">
        <f>ROUND($B573*KarliyukSgkIsciOrani,0)</f>
        <v/>
      </c>
      <c r="D573" s="112">
        <f>ROUND($B573*KarliyukIssizlikIsciOrani,0)</f>
        <v/>
      </c>
      <c r="E573" s="112">
        <f>ROUND($B573*KarliyukStopajOrani,0)</f>
        <v/>
      </c>
      <c r="F573" s="112">
        <f>ROUND($B573*KarliyukDamgaOrani,0)</f>
        <v/>
      </c>
      <c r="G573" s="112">
        <f>$B573-$C573-$D573-$E573-$F573</f>
        <v/>
      </c>
      <c r="H573" s="112">
        <f>ROUND($B573*KarliyukSgkIsverenOrani,0)</f>
        <v/>
      </c>
      <c r="I573" s="112">
        <f>ROUND($B573*KarliyukIssizlikIsverenOrani,0)</f>
        <v/>
      </c>
      <c r="J573" s="112">
        <f>$B573+$H573+$I573</f>
        <v/>
      </c>
      <c r="K573" s="114" t="n"/>
    </row>
    <row r="574" ht="15" customHeight="1" s="68">
      <c r="A574" s="114" t="n"/>
      <c r="B574" s="114" t="n"/>
      <c r="C574" s="112">
        <f>ROUND($B574*KarliyukSgkIsciOrani,0)</f>
        <v/>
      </c>
      <c r="D574" s="112">
        <f>ROUND($B574*KarliyukIssizlikIsciOrani,0)</f>
        <v/>
      </c>
      <c r="E574" s="112">
        <f>ROUND($B574*KarliyukStopajOrani,0)</f>
        <v/>
      </c>
      <c r="F574" s="112">
        <f>ROUND($B574*KarliyukDamgaOrani,0)</f>
        <v/>
      </c>
      <c r="G574" s="112">
        <f>$B574-$C574-$D574-$E574-$F574</f>
        <v/>
      </c>
      <c r="H574" s="112">
        <f>ROUND($B574*KarliyukSgkIsverenOrani,0)</f>
        <v/>
      </c>
      <c r="I574" s="112">
        <f>ROUND($B574*KarliyukIssizlikIsverenOrani,0)</f>
        <v/>
      </c>
      <c r="J574" s="112">
        <f>$B574+$H574+$I574</f>
        <v/>
      </c>
      <c r="K574" s="114" t="n"/>
    </row>
    <row r="575" ht="15" customHeight="1" s="68">
      <c r="A575" s="114" t="n"/>
      <c r="B575" s="114" t="n"/>
      <c r="C575" s="112">
        <f>ROUND($B575*KarliyukSgkIsciOrani,0)</f>
        <v/>
      </c>
      <c r="D575" s="112">
        <f>ROUND($B575*KarliyukIssizlikIsciOrani,0)</f>
        <v/>
      </c>
      <c r="E575" s="112">
        <f>ROUND($B575*KarliyukStopajOrani,0)</f>
        <v/>
      </c>
      <c r="F575" s="112">
        <f>ROUND($B575*KarliyukDamgaOrani,0)</f>
        <v/>
      </c>
      <c r="G575" s="112">
        <f>$B575-$C575-$D575-$E575-$F575</f>
        <v/>
      </c>
      <c r="H575" s="112">
        <f>ROUND($B575*KarliyukSgkIsverenOrani,0)</f>
        <v/>
      </c>
      <c r="I575" s="112">
        <f>ROUND($B575*KarliyukIssizlikIsverenOrani,0)</f>
        <v/>
      </c>
      <c r="J575" s="112">
        <f>$B575+$H575+$I575</f>
        <v/>
      </c>
      <c r="K575" s="114" t="n"/>
    </row>
    <row r="576" ht="15" customHeight="1" s="68">
      <c r="A576" s="114" t="n"/>
      <c r="B576" s="114" t="n"/>
      <c r="C576" s="112">
        <f>ROUND($B576*KarliyukSgkIsciOrani,0)</f>
        <v/>
      </c>
      <c r="D576" s="112">
        <f>ROUND($B576*KarliyukIssizlikIsciOrani,0)</f>
        <v/>
      </c>
      <c r="E576" s="112">
        <f>ROUND($B576*KarliyukStopajOrani,0)</f>
        <v/>
      </c>
      <c r="F576" s="112">
        <f>ROUND($B576*KarliyukDamgaOrani,0)</f>
        <v/>
      </c>
      <c r="G576" s="112">
        <f>$B576-$C576-$D576-$E576-$F576</f>
        <v/>
      </c>
      <c r="H576" s="112">
        <f>ROUND($B576*KarliyukSgkIsverenOrani,0)</f>
        <v/>
      </c>
      <c r="I576" s="112">
        <f>ROUND($B576*KarliyukIssizlikIsverenOrani,0)</f>
        <v/>
      </c>
      <c r="J576" s="112">
        <f>$B576+$H576+$I576</f>
        <v/>
      </c>
      <c r="K576" s="114" t="n"/>
    </row>
    <row r="577" ht="15" customHeight="1" s="68">
      <c r="A577" s="114" t="n"/>
      <c r="B577" s="114" t="n"/>
      <c r="C577" s="112">
        <f>ROUND($B577*KarliyukSgkIsciOrani,0)</f>
        <v/>
      </c>
      <c r="D577" s="112">
        <f>ROUND($B577*KarliyukIssizlikIsciOrani,0)</f>
        <v/>
      </c>
      <c r="E577" s="112">
        <f>ROUND($B577*KarliyukStopajOrani,0)</f>
        <v/>
      </c>
      <c r="F577" s="112">
        <f>ROUND($B577*KarliyukDamgaOrani,0)</f>
        <v/>
      </c>
      <c r="G577" s="112">
        <f>$B577-$C577-$D577-$E577-$F577</f>
        <v/>
      </c>
      <c r="H577" s="112">
        <f>ROUND($B577*KarliyukSgkIsverenOrani,0)</f>
        <v/>
      </c>
      <c r="I577" s="112">
        <f>ROUND($B577*KarliyukIssizlikIsverenOrani,0)</f>
        <v/>
      </c>
      <c r="J577" s="112">
        <f>$B577+$H577+$I577</f>
        <v/>
      </c>
      <c r="K577" s="114" t="n"/>
    </row>
    <row r="578" ht="15" customHeight="1" s="68">
      <c r="A578" s="114" t="n"/>
      <c r="B578" s="114" t="n"/>
      <c r="C578" s="112">
        <f>ROUND($B578*KarliyukSgkIsciOrani,0)</f>
        <v/>
      </c>
      <c r="D578" s="112">
        <f>ROUND($B578*KarliyukIssizlikIsciOrani,0)</f>
        <v/>
      </c>
      <c r="E578" s="112">
        <f>ROUND($B578*KarliyukStopajOrani,0)</f>
        <v/>
      </c>
      <c r="F578" s="112">
        <f>ROUND($B578*KarliyukDamgaOrani,0)</f>
        <v/>
      </c>
      <c r="G578" s="112">
        <f>$B578-$C578-$D578-$E578-$F578</f>
        <v/>
      </c>
      <c r="H578" s="112">
        <f>ROUND($B578*KarliyukSgkIsverenOrani,0)</f>
        <v/>
      </c>
      <c r="I578" s="112">
        <f>ROUND($B578*KarliyukIssizlikIsverenOrani,0)</f>
        <v/>
      </c>
      <c r="J578" s="112">
        <f>$B578+$H578+$I578</f>
        <v/>
      </c>
      <c r="K578" s="114" t="n"/>
    </row>
    <row r="579" ht="15" customHeight="1" s="68">
      <c r="A579" s="114" t="n"/>
      <c r="B579" s="114" t="n"/>
      <c r="C579" s="112">
        <f>ROUND($B579*KarliyukSgkIsciOrani,0)</f>
        <v/>
      </c>
      <c r="D579" s="112">
        <f>ROUND($B579*KarliyukIssizlikIsciOrani,0)</f>
        <v/>
      </c>
      <c r="E579" s="112">
        <f>ROUND($B579*KarliyukStopajOrani,0)</f>
        <v/>
      </c>
      <c r="F579" s="112">
        <f>ROUND($B579*KarliyukDamgaOrani,0)</f>
        <v/>
      </c>
      <c r="G579" s="112">
        <f>$B579-$C579-$D579-$E579-$F579</f>
        <v/>
      </c>
      <c r="H579" s="112">
        <f>ROUND($B579*KarliyukSgkIsverenOrani,0)</f>
        <v/>
      </c>
      <c r="I579" s="112">
        <f>ROUND($B579*KarliyukIssizlikIsverenOrani,0)</f>
        <v/>
      </c>
      <c r="J579" s="112">
        <f>$B579+$H579+$I579</f>
        <v/>
      </c>
      <c r="K579" s="114" t="n"/>
    </row>
    <row r="580" ht="15" customHeight="1" s="68">
      <c r="A580" s="114" t="n"/>
      <c r="B580" s="114" t="n"/>
      <c r="C580" s="112">
        <f>ROUND($B580*KarliyukSgkIsciOrani,0)</f>
        <v/>
      </c>
      <c r="D580" s="112">
        <f>ROUND($B580*KarliyukIssizlikIsciOrani,0)</f>
        <v/>
      </c>
      <c r="E580" s="112">
        <f>ROUND($B580*KarliyukStopajOrani,0)</f>
        <v/>
      </c>
      <c r="F580" s="112">
        <f>ROUND($B580*KarliyukDamgaOrani,0)</f>
        <v/>
      </c>
      <c r="G580" s="112">
        <f>$B580-$C580-$D580-$E580-$F580</f>
        <v/>
      </c>
      <c r="H580" s="112">
        <f>ROUND($B580*KarliyukSgkIsverenOrani,0)</f>
        <v/>
      </c>
      <c r="I580" s="112">
        <f>ROUND($B580*KarliyukIssizlikIsverenOrani,0)</f>
        <v/>
      </c>
      <c r="J580" s="112">
        <f>$B580+$H580+$I580</f>
        <v/>
      </c>
      <c r="K580" s="114" t="n"/>
    </row>
    <row r="581" ht="15" customHeight="1" s="68">
      <c r="A581" s="114" t="n"/>
      <c r="B581" s="114" t="n"/>
      <c r="C581" s="112">
        <f>ROUND($B581*KarliyukSgkIsciOrani,0)</f>
        <v/>
      </c>
      <c r="D581" s="112">
        <f>ROUND($B581*KarliyukIssizlikIsciOrani,0)</f>
        <v/>
      </c>
      <c r="E581" s="112">
        <f>ROUND($B581*KarliyukStopajOrani,0)</f>
        <v/>
      </c>
      <c r="F581" s="112">
        <f>ROUND($B581*KarliyukDamgaOrani,0)</f>
        <v/>
      </c>
      <c r="G581" s="112">
        <f>$B581-$C581-$D581-$E581-$F581</f>
        <v/>
      </c>
      <c r="H581" s="112">
        <f>ROUND($B581*KarliyukSgkIsverenOrani,0)</f>
        <v/>
      </c>
      <c r="I581" s="112">
        <f>ROUND($B581*KarliyukIssizlikIsverenOrani,0)</f>
        <v/>
      </c>
      <c r="J581" s="112">
        <f>$B581+$H581+$I581</f>
        <v/>
      </c>
      <c r="K581" s="114" t="n"/>
    </row>
    <row r="582" ht="15" customHeight="1" s="68">
      <c r="A582" s="114" t="n"/>
      <c r="B582" s="114" t="n"/>
      <c r="C582" s="112">
        <f>ROUND($B582*KarliyukSgkIsciOrani,0)</f>
        <v/>
      </c>
      <c r="D582" s="112">
        <f>ROUND($B582*KarliyukIssizlikIsciOrani,0)</f>
        <v/>
      </c>
      <c r="E582" s="112">
        <f>ROUND($B582*KarliyukStopajOrani,0)</f>
        <v/>
      </c>
      <c r="F582" s="112">
        <f>ROUND($B582*KarliyukDamgaOrani,0)</f>
        <v/>
      </c>
      <c r="G582" s="112">
        <f>$B582-$C582-$D582-$E582-$F582</f>
        <v/>
      </c>
      <c r="H582" s="112">
        <f>ROUND($B582*KarliyukSgkIsverenOrani,0)</f>
        <v/>
      </c>
      <c r="I582" s="112">
        <f>ROUND($B582*KarliyukIssizlikIsverenOrani,0)</f>
        <v/>
      </c>
      <c r="J582" s="112">
        <f>$B582+$H582+$I582</f>
        <v/>
      </c>
      <c r="K582" s="114" t="n"/>
    </row>
    <row r="583" ht="15" customHeight="1" s="68">
      <c r="A583" s="114" t="n"/>
      <c r="B583" s="114" t="n"/>
      <c r="C583" s="112">
        <f>ROUND($B583*KarliyukSgkIsciOrani,0)</f>
        <v/>
      </c>
      <c r="D583" s="112">
        <f>ROUND($B583*KarliyukIssizlikIsciOrani,0)</f>
        <v/>
      </c>
      <c r="E583" s="112">
        <f>ROUND($B583*KarliyukStopajOrani,0)</f>
        <v/>
      </c>
      <c r="F583" s="112">
        <f>ROUND($B583*KarliyukDamgaOrani,0)</f>
        <v/>
      </c>
      <c r="G583" s="112">
        <f>$B583-$C583-$D583-$E583-$F583</f>
        <v/>
      </c>
      <c r="H583" s="112">
        <f>ROUND($B583*KarliyukSgkIsverenOrani,0)</f>
        <v/>
      </c>
      <c r="I583" s="112">
        <f>ROUND($B583*KarliyukIssizlikIsverenOrani,0)</f>
        <v/>
      </c>
      <c r="J583" s="112">
        <f>$B583+$H583+$I583</f>
        <v/>
      </c>
      <c r="K583" s="114" t="n"/>
    </row>
    <row r="584" ht="15" customHeight="1" s="68">
      <c r="A584" s="114" t="n"/>
      <c r="B584" s="114" t="n"/>
      <c r="C584" s="112">
        <f>ROUND($B584*KarliyukSgkIsciOrani,0)</f>
        <v/>
      </c>
      <c r="D584" s="112">
        <f>ROUND($B584*KarliyukIssizlikIsciOrani,0)</f>
        <v/>
      </c>
      <c r="E584" s="112">
        <f>ROUND($B584*KarliyukStopajOrani,0)</f>
        <v/>
      </c>
      <c r="F584" s="112">
        <f>ROUND($B584*KarliyukDamgaOrani,0)</f>
        <v/>
      </c>
      <c r="G584" s="112">
        <f>$B584-$C584-$D584-$E584-$F584</f>
        <v/>
      </c>
      <c r="H584" s="112">
        <f>ROUND($B584*KarliyukSgkIsverenOrani,0)</f>
        <v/>
      </c>
      <c r="I584" s="112">
        <f>ROUND($B584*KarliyukIssizlikIsverenOrani,0)</f>
        <v/>
      </c>
      <c r="J584" s="112">
        <f>$B584+$H584+$I584</f>
        <v/>
      </c>
      <c r="K584" s="114" t="n"/>
    </row>
    <row r="585" ht="15" customHeight="1" s="68">
      <c r="A585" s="114" t="n"/>
      <c r="B585" s="114" t="n"/>
      <c r="C585" s="112">
        <f>ROUND($B585*KarliyukSgkIsciOrani,0)</f>
        <v/>
      </c>
      <c r="D585" s="112">
        <f>ROUND($B585*KarliyukIssizlikIsciOrani,0)</f>
        <v/>
      </c>
      <c r="E585" s="112">
        <f>ROUND($B585*KarliyukStopajOrani,0)</f>
        <v/>
      </c>
      <c r="F585" s="112">
        <f>ROUND($B585*KarliyukDamgaOrani,0)</f>
        <v/>
      </c>
      <c r="G585" s="112">
        <f>$B585-$C585-$D585-$E585-$F585</f>
        <v/>
      </c>
      <c r="H585" s="112">
        <f>ROUND($B585*KarliyukSgkIsverenOrani,0)</f>
        <v/>
      </c>
      <c r="I585" s="112">
        <f>ROUND($B585*KarliyukIssizlikIsverenOrani,0)</f>
        <v/>
      </c>
      <c r="J585" s="112">
        <f>$B585+$H585+$I585</f>
        <v/>
      </c>
      <c r="K585" s="114" t="n"/>
    </row>
    <row r="586" ht="15" customHeight="1" s="68">
      <c r="A586" s="114" t="n"/>
      <c r="B586" s="114" t="n"/>
      <c r="C586" s="112">
        <f>ROUND($B586*KarliyukSgkIsciOrani,0)</f>
        <v/>
      </c>
      <c r="D586" s="112">
        <f>ROUND($B586*KarliyukIssizlikIsciOrani,0)</f>
        <v/>
      </c>
      <c r="E586" s="112">
        <f>ROUND($B586*KarliyukStopajOrani,0)</f>
        <v/>
      </c>
      <c r="F586" s="112">
        <f>ROUND($B586*KarliyukDamgaOrani,0)</f>
        <v/>
      </c>
      <c r="G586" s="112">
        <f>$B586-$C586-$D586-$E586-$F586</f>
        <v/>
      </c>
      <c r="H586" s="112">
        <f>ROUND($B586*KarliyukSgkIsverenOrani,0)</f>
        <v/>
      </c>
      <c r="I586" s="112">
        <f>ROUND($B586*KarliyukIssizlikIsverenOrani,0)</f>
        <v/>
      </c>
      <c r="J586" s="112">
        <f>$B586+$H586+$I586</f>
        <v/>
      </c>
      <c r="K586" s="114" t="n"/>
    </row>
    <row r="587" ht="15" customHeight="1" s="68">
      <c r="A587" s="114" t="n"/>
      <c r="B587" s="114" t="n"/>
      <c r="C587" s="112">
        <f>ROUND($B587*KarliyukSgkIsciOrani,0)</f>
        <v/>
      </c>
      <c r="D587" s="112">
        <f>ROUND($B587*KarliyukIssizlikIsciOrani,0)</f>
        <v/>
      </c>
      <c r="E587" s="112">
        <f>ROUND($B587*KarliyukStopajOrani,0)</f>
        <v/>
      </c>
      <c r="F587" s="112">
        <f>ROUND($B587*KarliyukDamgaOrani,0)</f>
        <v/>
      </c>
      <c r="G587" s="112">
        <f>$B587-$C587-$D587-$E587-$F587</f>
        <v/>
      </c>
      <c r="H587" s="112">
        <f>ROUND($B587*KarliyukSgkIsverenOrani,0)</f>
        <v/>
      </c>
      <c r="I587" s="112">
        <f>ROUND($B587*KarliyukIssizlikIsverenOrani,0)</f>
        <v/>
      </c>
      <c r="J587" s="112">
        <f>$B587+$H587+$I587</f>
        <v/>
      </c>
      <c r="K587" s="114" t="n"/>
    </row>
    <row r="588" ht="15" customHeight="1" s="68">
      <c r="A588" s="114" t="n"/>
      <c r="B588" s="114" t="n"/>
      <c r="C588" s="112">
        <f>ROUND($B588*KarliyukSgkIsciOrani,0)</f>
        <v/>
      </c>
      <c r="D588" s="112">
        <f>ROUND($B588*KarliyukIssizlikIsciOrani,0)</f>
        <v/>
      </c>
      <c r="E588" s="112">
        <f>ROUND($B588*KarliyukStopajOrani,0)</f>
        <v/>
      </c>
      <c r="F588" s="112">
        <f>ROUND($B588*KarliyukDamgaOrani,0)</f>
        <v/>
      </c>
      <c r="G588" s="112">
        <f>$B588-$C588-$D588-$E588-$F588</f>
        <v/>
      </c>
      <c r="H588" s="112">
        <f>ROUND($B588*KarliyukSgkIsverenOrani,0)</f>
        <v/>
      </c>
      <c r="I588" s="112">
        <f>ROUND($B588*KarliyukIssizlikIsverenOrani,0)</f>
        <v/>
      </c>
      <c r="J588" s="112">
        <f>$B588+$H588+$I588</f>
        <v/>
      </c>
      <c r="K588" s="114" t="n"/>
    </row>
    <row r="589" ht="15" customHeight="1" s="68">
      <c r="A589" s="114" t="n"/>
      <c r="B589" s="114" t="n"/>
      <c r="C589" s="112">
        <f>ROUND($B589*KarliyukSgkIsciOrani,0)</f>
        <v/>
      </c>
      <c r="D589" s="112">
        <f>ROUND($B589*KarliyukIssizlikIsciOrani,0)</f>
        <v/>
      </c>
      <c r="E589" s="112">
        <f>ROUND($B589*KarliyukStopajOrani,0)</f>
        <v/>
      </c>
      <c r="F589" s="112">
        <f>ROUND($B589*KarliyukDamgaOrani,0)</f>
        <v/>
      </c>
      <c r="G589" s="112">
        <f>$B589-$C589-$D589-$E589-$F589</f>
        <v/>
      </c>
      <c r="H589" s="112">
        <f>ROUND($B589*KarliyukSgkIsverenOrani,0)</f>
        <v/>
      </c>
      <c r="I589" s="112">
        <f>ROUND($B589*KarliyukIssizlikIsverenOrani,0)</f>
        <v/>
      </c>
      <c r="J589" s="112">
        <f>$B589+$H589+$I589</f>
        <v/>
      </c>
      <c r="K589" s="114" t="n"/>
    </row>
    <row r="590" ht="15" customHeight="1" s="68">
      <c r="A590" s="114" t="n"/>
      <c r="B590" s="114" t="n"/>
      <c r="C590" s="112">
        <f>ROUND($B590*KarliyukSgkIsciOrani,0)</f>
        <v/>
      </c>
      <c r="D590" s="112">
        <f>ROUND($B590*KarliyukIssizlikIsciOrani,0)</f>
        <v/>
      </c>
      <c r="E590" s="112">
        <f>ROUND($B590*KarliyukStopajOrani,0)</f>
        <v/>
      </c>
      <c r="F590" s="112">
        <f>ROUND($B590*KarliyukDamgaOrani,0)</f>
        <v/>
      </c>
      <c r="G590" s="112">
        <f>$B590-$C590-$D590-$E590-$F590</f>
        <v/>
      </c>
      <c r="H590" s="112">
        <f>ROUND($B590*KarliyukSgkIsverenOrani,0)</f>
        <v/>
      </c>
      <c r="I590" s="112">
        <f>ROUND($B590*KarliyukIssizlikIsverenOrani,0)</f>
        <v/>
      </c>
      <c r="J590" s="112">
        <f>$B590+$H590+$I590</f>
        <v/>
      </c>
      <c r="K590" s="114" t="n"/>
    </row>
    <row r="591" ht="15" customHeight="1" s="68">
      <c r="A591" s="114" t="n"/>
      <c r="B591" s="114" t="n"/>
      <c r="C591" s="112">
        <f>ROUND($B591*KarliyukSgkIsciOrani,0)</f>
        <v/>
      </c>
      <c r="D591" s="112">
        <f>ROUND($B591*KarliyukIssizlikIsciOrani,0)</f>
        <v/>
      </c>
      <c r="E591" s="112">
        <f>ROUND($B591*KarliyukStopajOrani,0)</f>
        <v/>
      </c>
      <c r="F591" s="112">
        <f>ROUND($B591*KarliyukDamgaOrani,0)</f>
        <v/>
      </c>
      <c r="G591" s="112">
        <f>$B591-$C591-$D591-$E591-$F591</f>
        <v/>
      </c>
      <c r="H591" s="112">
        <f>ROUND($B591*KarliyukSgkIsverenOrani,0)</f>
        <v/>
      </c>
      <c r="I591" s="112">
        <f>ROUND($B591*KarliyukIssizlikIsverenOrani,0)</f>
        <v/>
      </c>
      <c r="J591" s="112">
        <f>$B591+$H591+$I591</f>
        <v/>
      </c>
      <c r="K591" s="114" t="n"/>
    </row>
    <row r="592" ht="15" customHeight="1" s="68">
      <c r="A592" s="114" t="n"/>
      <c r="B592" s="114" t="n"/>
      <c r="C592" s="112">
        <f>ROUND($B592*KarliyukSgkIsciOrani,0)</f>
        <v/>
      </c>
      <c r="D592" s="112">
        <f>ROUND($B592*KarliyukIssizlikIsciOrani,0)</f>
        <v/>
      </c>
      <c r="E592" s="112">
        <f>ROUND($B592*KarliyukStopajOrani,0)</f>
        <v/>
      </c>
      <c r="F592" s="112">
        <f>ROUND($B592*KarliyukDamgaOrani,0)</f>
        <v/>
      </c>
      <c r="G592" s="112">
        <f>$B592-$C592-$D592-$E592-$F592</f>
        <v/>
      </c>
      <c r="H592" s="112">
        <f>ROUND($B592*KarliyukSgkIsverenOrani,0)</f>
        <v/>
      </c>
      <c r="I592" s="112">
        <f>ROUND($B592*KarliyukIssizlikIsverenOrani,0)</f>
        <v/>
      </c>
      <c r="J592" s="112">
        <f>$B592+$H592+$I592</f>
        <v/>
      </c>
      <c r="K592" s="114" t="n"/>
    </row>
    <row r="593" ht="15" customHeight="1" s="68">
      <c r="A593" s="114" t="n"/>
      <c r="B593" s="114" t="n"/>
      <c r="C593" s="112">
        <f>ROUND($B593*KarliyukSgkIsciOrani,0)</f>
        <v/>
      </c>
      <c r="D593" s="112">
        <f>ROUND($B593*KarliyukIssizlikIsciOrani,0)</f>
        <v/>
      </c>
      <c r="E593" s="112">
        <f>ROUND($B593*KarliyukStopajOrani,0)</f>
        <v/>
      </c>
      <c r="F593" s="112">
        <f>ROUND($B593*KarliyukDamgaOrani,0)</f>
        <v/>
      </c>
      <c r="G593" s="112">
        <f>$B593-$C593-$D593-$E593-$F593</f>
        <v/>
      </c>
      <c r="H593" s="112">
        <f>ROUND($B593*KarliyukSgkIsverenOrani,0)</f>
        <v/>
      </c>
      <c r="I593" s="112">
        <f>ROUND($B593*KarliyukIssizlikIsverenOrani,0)</f>
        <v/>
      </c>
      <c r="J593" s="112">
        <f>$B593+$H593+$I593</f>
        <v/>
      </c>
      <c r="K593" s="114" t="n"/>
    </row>
    <row r="594" ht="15" customHeight="1" s="68">
      <c r="A594" s="114" t="n"/>
      <c r="B594" s="114" t="n"/>
      <c r="C594" s="112">
        <f>ROUND($B594*KarliyukSgkIsciOrani,0)</f>
        <v/>
      </c>
      <c r="D594" s="112">
        <f>ROUND($B594*KarliyukIssizlikIsciOrani,0)</f>
        <v/>
      </c>
      <c r="E594" s="112">
        <f>ROUND($B594*KarliyukStopajOrani,0)</f>
        <v/>
      </c>
      <c r="F594" s="112">
        <f>ROUND($B594*KarliyukDamgaOrani,0)</f>
        <v/>
      </c>
      <c r="G594" s="112">
        <f>$B594-$C594-$D594-$E594-$F594</f>
        <v/>
      </c>
      <c r="H594" s="112">
        <f>ROUND($B594*KarliyukSgkIsverenOrani,0)</f>
        <v/>
      </c>
      <c r="I594" s="112">
        <f>ROUND($B594*KarliyukIssizlikIsverenOrani,0)</f>
        <v/>
      </c>
      <c r="J594" s="112">
        <f>$B594+$H594+$I594</f>
        <v/>
      </c>
      <c r="K594" s="114" t="n"/>
    </row>
    <row r="595" ht="15" customHeight="1" s="68">
      <c r="A595" s="114" t="n"/>
      <c r="B595" s="114" t="n"/>
      <c r="C595" s="112">
        <f>ROUND($B595*KarliyukSgkIsciOrani,0)</f>
        <v/>
      </c>
      <c r="D595" s="112">
        <f>ROUND($B595*KarliyukIssizlikIsciOrani,0)</f>
        <v/>
      </c>
      <c r="E595" s="112">
        <f>ROUND($B595*KarliyukStopajOrani,0)</f>
        <v/>
      </c>
      <c r="F595" s="112">
        <f>ROUND($B595*KarliyukDamgaOrani,0)</f>
        <v/>
      </c>
      <c r="G595" s="112">
        <f>$B595-$C595-$D595-$E595-$F595</f>
        <v/>
      </c>
      <c r="H595" s="112">
        <f>ROUND($B595*KarliyukSgkIsverenOrani,0)</f>
        <v/>
      </c>
      <c r="I595" s="112">
        <f>ROUND($B595*KarliyukIssizlikIsverenOrani,0)</f>
        <v/>
      </c>
      <c r="J595" s="112">
        <f>$B595+$H595+$I595</f>
        <v/>
      </c>
      <c r="K595" s="114" t="n"/>
    </row>
    <row r="596" ht="15" customHeight="1" s="68">
      <c r="A596" s="114" t="n"/>
      <c r="B596" s="114" t="n"/>
      <c r="C596" s="112">
        <f>ROUND($B596*KarliyukSgkIsciOrani,0)</f>
        <v/>
      </c>
      <c r="D596" s="112">
        <f>ROUND($B596*KarliyukIssizlikIsciOrani,0)</f>
        <v/>
      </c>
      <c r="E596" s="112">
        <f>ROUND($B596*KarliyukStopajOrani,0)</f>
        <v/>
      </c>
      <c r="F596" s="112">
        <f>ROUND($B596*KarliyukDamgaOrani,0)</f>
        <v/>
      </c>
      <c r="G596" s="112">
        <f>$B596-$C596-$D596-$E596-$F596</f>
        <v/>
      </c>
      <c r="H596" s="112">
        <f>ROUND($B596*KarliyukSgkIsverenOrani,0)</f>
        <v/>
      </c>
      <c r="I596" s="112">
        <f>ROUND($B596*KarliyukIssizlikIsverenOrani,0)</f>
        <v/>
      </c>
      <c r="J596" s="112">
        <f>$B596+$H596+$I596</f>
        <v/>
      </c>
      <c r="K596" s="114" t="n"/>
    </row>
    <row r="597" ht="15" customHeight="1" s="68">
      <c r="A597" s="114" t="n"/>
      <c r="B597" s="114" t="n"/>
      <c r="C597" s="112">
        <f>ROUND($B597*KarliyukSgkIsciOrani,0)</f>
        <v/>
      </c>
      <c r="D597" s="112">
        <f>ROUND($B597*KarliyukIssizlikIsciOrani,0)</f>
        <v/>
      </c>
      <c r="E597" s="112">
        <f>ROUND($B597*KarliyukStopajOrani,0)</f>
        <v/>
      </c>
      <c r="F597" s="112">
        <f>ROUND($B597*KarliyukDamgaOrani,0)</f>
        <v/>
      </c>
      <c r="G597" s="112">
        <f>$B597-$C597-$D597-$E597-$F597</f>
        <v/>
      </c>
      <c r="H597" s="112">
        <f>ROUND($B597*KarliyukSgkIsverenOrani,0)</f>
        <v/>
      </c>
      <c r="I597" s="112">
        <f>ROUND($B597*KarliyukIssizlikIsverenOrani,0)</f>
        <v/>
      </c>
      <c r="J597" s="112">
        <f>$B597+$H597+$I597</f>
        <v/>
      </c>
      <c r="K597" s="114" t="n"/>
    </row>
    <row r="598" ht="15" customHeight="1" s="68">
      <c r="A598" s="114" t="n"/>
      <c r="B598" s="114" t="n"/>
      <c r="C598" s="112">
        <f>ROUND($B598*KarliyukSgkIsciOrani,0)</f>
        <v/>
      </c>
      <c r="D598" s="112">
        <f>ROUND($B598*KarliyukIssizlikIsciOrani,0)</f>
        <v/>
      </c>
      <c r="E598" s="112">
        <f>ROUND($B598*KarliyukStopajOrani,0)</f>
        <v/>
      </c>
      <c r="F598" s="112">
        <f>ROUND($B598*KarliyukDamgaOrani,0)</f>
        <v/>
      </c>
      <c r="G598" s="112">
        <f>$B598-$C598-$D598-$E598-$F598</f>
        <v/>
      </c>
      <c r="H598" s="112">
        <f>ROUND($B598*KarliyukSgkIsverenOrani,0)</f>
        <v/>
      </c>
      <c r="I598" s="112">
        <f>ROUND($B598*KarliyukIssizlikIsverenOrani,0)</f>
        <v/>
      </c>
      <c r="J598" s="112">
        <f>$B598+$H598+$I598</f>
        <v/>
      </c>
      <c r="K598" s="114" t="n"/>
    </row>
    <row r="599" ht="15" customHeight="1" s="68">
      <c r="A599" s="114" t="n"/>
      <c r="B599" s="114" t="n"/>
      <c r="C599" s="112">
        <f>ROUND($B599*KarliyukSgkIsciOrani,0)</f>
        <v/>
      </c>
      <c r="D599" s="112">
        <f>ROUND($B599*KarliyukIssizlikIsciOrani,0)</f>
        <v/>
      </c>
      <c r="E599" s="112">
        <f>ROUND($B599*KarliyukStopajOrani,0)</f>
        <v/>
      </c>
      <c r="F599" s="112">
        <f>ROUND($B599*KarliyukDamgaOrani,0)</f>
        <v/>
      </c>
      <c r="G599" s="112">
        <f>$B599-$C599-$D599-$E599-$F599</f>
        <v/>
      </c>
      <c r="H599" s="112">
        <f>ROUND($B599*KarliyukSgkIsverenOrani,0)</f>
        <v/>
      </c>
      <c r="I599" s="112">
        <f>ROUND($B599*KarliyukIssizlikIsverenOrani,0)</f>
        <v/>
      </c>
      <c r="J599" s="112">
        <f>$B599+$H599+$I599</f>
        <v/>
      </c>
      <c r="K599" s="114" t="n"/>
    </row>
    <row r="600" ht="15" customHeight="1" s="68">
      <c r="A600" s="114" t="n"/>
      <c r="B600" s="114" t="n"/>
      <c r="C600" s="112">
        <f>ROUND($B600*KarliyukSgkIsciOrani,0)</f>
        <v/>
      </c>
      <c r="D600" s="112">
        <f>ROUND($B600*KarliyukIssizlikIsciOrani,0)</f>
        <v/>
      </c>
      <c r="E600" s="112">
        <f>ROUND($B600*KarliyukStopajOrani,0)</f>
        <v/>
      </c>
      <c r="F600" s="112">
        <f>ROUND($B600*KarliyukDamgaOrani,0)</f>
        <v/>
      </c>
      <c r="G600" s="112">
        <f>$B600-$C600-$D600-$E600-$F600</f>
        <v/>
      </c>
      <c r="H600" s="112">
        <f>ROUND($B600*KarliyukSgkIsverenOrani,0)</f>
        <v/>
      </c>
      <c r="I600" s="112">
        <f>ROUND($B600*KarliyukIssizlikIsverenOrani,0)</f>
        <v/>
      </c>
      <c r="J600" s="112">
        <f>$B600+$H600+$I600</f>
        <v/>
      </c>
      <c r="K600" s="114" t="n"/>
    </row>
    <row r="601" ht="15" customHeight="1" s="68">
      <c r="A601" s="114" t="n"/>
      <c r="B601" s="114" t="n"/>
      <c r="C601" s="112">
        <f>ROUND($B601*KarliyukSgkIsciOrani,0)</f>
        <v/>
      </c>
      <c r="D601" s="112">
        <f>ROUND($B601*KarliyukIssizlikIsciOrani,0)</f>
        <v/>
      </c>
      <c r="E601" s="112">
        <f>ROUND($B601*KarliyukStopajOrani,0)</f>
        <v/>
      </c>
      <c r="F601" s="112">
        <f>ROUND($B601*KarliyukDamgaOrani,0)</f>
        <v/>
      </c>
      <c r="G601" s="112">
        <f>$B601-$C601-$D601-$E601-$F601</f>
        <v/>
      </c>
      <c r="H601" s="112">
        <f>ROUND($B601*KarliyukSgkIsverenOrani,0)</f>
        <v/>
      </c>
      <c r="I601" s="112">
        <f>ROUND($B601*KarliyukIssizlikIsverenOrani,0)</f>
        <v/>
      </c>
      <c r="J601" s="112">
        <f>$B601+$H601+$I601</f>
        <v/>
      </c>
      <c r="K601" s="114" t="n"/>
    </row>
    <row r="602" ht="15" customHeight="1" s="68">
      <c r="A602" s="114" t="n"/>
      <c r="B602" s="114" t="n"/>
      <c r="C602" s="112">
        <f>ROUND($B602*KarliyukSgkIsciOrani,0)</f>
        <v/>
      </c>
      <c r="D602" s="112">
        <f>ROUND($B602*KarliyukIssizlikIsciOrani,0)</f>
        <v/>
      </c>
      <c r="E602" s="112">
        <f>ROUND($B602*KarliyukStopajOrani,0)</f>
        <v/>
      </c>
      <c r="F602" s="112">
        <f>ROUND($B602*KarliyukDamgaOrani,0)</f>
        <v/>
      </c>
      <c r="G602" s="112">
        <f>$B602-$C602-$D602-$E602-$F602</f>
        <v/>
      </c>
      <c r="H602" s="112">
        <f>ROUND($B602*KarliyukSgkIsverenOrani,0)</f>
        <v/>
      </c>
      <c r="I602" s="112">
        <f>ROUND($B602*KarliyukIssizlikIsverenOrani,0)</f>
        <v/>
      </c>
      <c r="J602" s="112">
        <f>$B602+$H602+$I602</f>
        <v/>
      </c>
      <c r="K602" s="114" t="n"/>
    </row>
    <row r="603" ht="15" customHeight="1" s="68">
      <c r="A603" s="114" t="n"/>
      <c r="B603" s="114" t="n"/>
      <c r="C603" s="112">
        <f>ROUND($B603*KarliyukSgkIsciOrani,0)</f>
        <v/>
      </c>
      <c r="D603" s="112">
        <f>ROUND($B603*KarliyukIssizlikIsciOrani,0)</f>
        <v/>
      </c>
      <c r="E603" s="112">
        <f>ROUND($B603*KarliyukStopajOrani,0)</f>
        <v/>
      </c>
      <c r="F603" s="112">
        <f>ROUND($B603*KarliyukDamgaOrani,0)</f>
        <v/>
      </c>
      <c r="G603" s="112">
        <f>$B603-$C603-$D603-$E603-$F603</f>
        <v/>
      </c>
      <c r="H603" s="112">
        <f>ROUND($B603*KarliyukSgkIsverenOrani,0)</f>
        <v/>
      </c>
      <c r="I603" s="112">
        <f>ROUND($B603*KarliyukIssizlikIsverenOrani,0)</f>
        <v/>
      </c>
      <c r="J603" s="112">
        <f>$B603+$H603+$I603</f>
        <v/>
      </c>
      <c r="K603" s="114" t="n"/>
    </row>
    <row r="604" ht="15" customHeight="1" s="68">
      <c r="A604" s="114" t="n"/>
      <c r="B604" s="114" t="n"/>
      <c r="C604" s="112">
        <f>ROUND($B604*KarliyukSgkIsciOrani,0)</f>
        <v/>
      </c>
      <c r="D604" s="112">
        <f>ROUND($B604*KarliyukIssizlikIsciOrani,0)</f>
        <v/>
      </c>
      <c r="E604" s="112">
        <f>ROUND($B604*KarliyukStopajOrani,0)</f>
        <v/>
      </c>
      <c r="F604" s="112">
        <f>ROUND($B604*KarliyukDamgaOrani,0)</f>
        <v/>
      </c>
      <c r="G604" s="112">
        <f>$B604-$C604-$D604-$E604-$F604</f>
        <v/>
      </c>
      <c r="H604" s="112">
        <f>ROUND($B604*KarliyukSgkIsverenOrani,0)</f>
        <v/>
      </c>
      <c r="I604" s="112">
        <f>ROUND($B604*KarliyukIssizlikIsverenOrani,0)</f>
        <v/>
      </c>
      <c r="J604" s="112">
        <f>$B604+$H604+$I604</f>
        <v/>
      </c>
      <c r="K604" s="114" t="n"/>
    </row>
    <row r="605" ht="15" customHeight="1" s="68">
      <c r="A605" s="114" t="n"/>
      <c r="B605" s="114" t="n"/>
      <c r="C605" s="112">
        <f>ROUND($B605*KarliyukSgkIsciOrani,0)</f>
        <v/>
      </c>
      <c r="D605" s="112">
        <f>ROUND($B605*KarliyukIssizlikIsciOrani,0)</f>
        <v/>
      </c>
      <c r="E605" s="112">
        <f>ROUND($B605*KarliyukStopajOrani,0)</f>
        <v/>
      </c>
      <c r="F605" s="112">
        <f>ROUND($B605*KarliyukDamgaOrani,0)</f>
        <v/>
      </c>
      <c r="G605" s="112">
        <f>$B605-$C605-$D605-$E605-$F605</f>
        <v/>
      </c>
      <c r="H605" s="112">
        <f>ROUND($B605*KarliyukSgkIsverenOrani,0)</f>
        <v/>
      </c>
      <c r="I605" s="112">
        <f>ROUND($B605*KarliyukIssizlikIsverenOrani,0)</f>
        <v/>
      </c>
      <c r="J605" s="112">
        <f>$B605+$H605+$I605</f>
        <v/>
      </c>
      <c r="K605" s="114" t="n"/>
    </row>
    <row r="606" ht="15" customHeight="1" s="68">
      <c r="A606" s="114" t="n"/>
      <c r="B606" s="114" t="n"/>
      <c r="C606" s="112">
        <f>ROUND($B606*KarliyukSgkIsciOrani,0)</f>
        <v/>
      </c>
      <c r="D606" s="112">
        <f>ROUND($B606*KarliyukIssizlikIsciOrani,0)</f>
        <v/>
      </c>
      <c r="E606" s="112">
        <f>ROUND($B606*KarliyukStopajOrani,0)</f>
        <v/>
      </c>
      <c r="F606" s="112">
        <f>ROUND($B606*KarliyukDamgaOrani,0)</f>
        <v/>
      </c>
      <c r="G606" s="112">
        <f>$B606-$C606-$D606-$E606-$F606</f>
        <v/>
      </c>
      <c r="H606" s="112">
        <f>ROUND($B606*KarliyukSgkIsverenOrani,0)</f>
        <v/>
      </c>
      <c r="I606" s="112">
        <f>ROUND($B606*KarliyukIssizlikIsverenOrani,0)</f>
        <v/>
      </c>
      <c r="J606" s="112">
        <f>$B606+$H606+$I606</f>
        <v/>
      </c>
      <c r="K606" s="114" t="n"/>
    </row>
    <row r="607" ht="15" customHeight="1" s="68">
      <c r="A607" s="114" t="n"/>
      <c r="B607" s="114" t="n"/>
      <c r="C607" s="112">
        <f>ROUND($B607*KarliyukSgkIsciOrani,0)</f>
        <v/>
      </c>
      <c r="D607" s="112">
        <f>ROUND($B607*KarliyukIssizlikIsciOrani,0)</f>
        <v/>
      </c>
      <c r="E607" s="112">
        <f>ROUND($B607*KarliyukStopajOrani,0)</f>
        <v/>
      </c>
      <c r="F607" s="112">
        <f>ROUND($B607*KarliyukDamgaOrani,0)</f>
        <v/>
      </c>
      <c r="G607" s="112">
        <f>$B607-$C607-$D607-$E607-$F607</f>
        <v/>
      </c>
      <c r="H607" s="112">
        <f>ROUND($B607*KarliyukSgkIsverenOrani,0)</f>
        <v/>
      </c>
      <c r="I607" s="112">
        <f>ROUND($B607*KarliyukIssizlikIsverenOrani,0)</f>
        <v/>
      </c>
      <c r="J607" s="112">
        <f>$B607+$H607+$I607</f>
        <v/>
      </c>
      <c r="K607" s="114" t="n"/>
    </row>
    <row r="608" ht="15" customHeight="1" s="68">
      <c r="A608" s="114" t="n"/>
      <c r="B608" s="114" t="n"/>
      <c r="C608" s="112">
        <f>ROUND($B608*KarliyukSgkIsciOrani,0)</f>
        <v/>
      </c>
      <c r="D608" s="112">
        <f>ROUND($B608*KarliyukIssizlikIsciOrani,0)</f>
        <v/>
      </c>
      <c r="E608" s="112">
        <f>ROUND($B608*KarliyukStopajOrani,0)</f>
        <v/>
      </c>
      <c r="F608" s="112">
        <f>ROUND($B608*KarliyukDamgaOrani,0)</f>
        <v/>
      </c>
      <c r="G608" s="112">
        <f>$B608-$C608-$D608-$E608-$F608</f>
        <v/>
      </c>
      <c r="H608" s="112">
        <f>ROUND($B608*KarliyukSgkIsverenOrani,0)</f>
        <v/>
      </c>
      <c r="I608" s="112">
        <f>ROUND($B608*KarliyukIssizlikIsverenOrani,0)</f>
        <v/>
      </c>
      <c r="J608" s="112">
        <f>$B608+$H608+$I608</f>
        <v/>
      </c>
      <c r="K608" s="114" t="n"/>
    </row>
    <row r="609" ht="15" customHeight="1" s="68">
      <c r="A609" s="114" t="n"/>
      <c r="B609" s="114" t="n"/>
      <c r="C609" s="112">
        <f>ROUND($B609*KarliyukSgkIsciOrani,0)</f>
        <v/>
      </c>
      <c r="D609" s="112">
        <f>ROUND($B609*KarliyukIssizlikIsciOrani,0)</f>
        <v/>
      </c>
      <c r="E609" s="112">
        <f>ROUND($B609*KarliyukStopajOrani,0)</f>
        <v/>
      </c>
      <c r="F609" s="112">
        <f>ROUND($B609*KarliyukDamgaOrani,0)</f>
        <v/>
      </c>
      <c r="G609" s="112">
        <f>$B609-$C609-$D609-$E609-$F609</f>
        <v/>
      </c>
      <c r="H609" s="112">
        <f>ROUND($B609*KarliyukSgkIsverenOrani,0)</f>
        <v/>
      </c>
      <c r="I609" s="112">
        <f>ROUND($B609*KarliyukIssizlikIsverenOrani,0)</f>
        <v/>
      </c>
      <c r="J609" s="112">
        <f>$B609+$H609+$I609</f>
        <v/>
      </c>
      <c r="K609" s="114" t="n"/>
    </row>
    <row r="610" ht="15" customHeight="1" s="68">
      <c r="A610" s="114" t="n"/>
      <c r="B610" s="114" t="n"/>
      <c r="C610" s="112">
        <f>ROUND($B610*KarliyukSgkIsciOrani,0)</f>
        <v/>
      </c>
      <c r="D610" s="112">
        <f>ROUND($B610*KarliyukIssizlikIsciOrani,0)</f>
        <v/>
      </c>
      <c r="E610" s="112">
        <f>ROUND($B610*KarliyukStopajOrani,0)</f>
        <v/>
      </c>
      <c r="F610" s="112">
        <f>ROUND($B610*KarliyukDamgaOrani,0)</f>
        <v/>
      </c>
      <c r="G610" s="112">
        <f>$B610-$C610-$D610-$E610-$F610</f>
        <v/>
      </c>
      <c r="H610" s="112">
        <f>ROUND($B610*KarliyukSgkIsverenOrani,0)</f>
        <v/>
      </c>
      <c r="I610" s="112">
        <f>ROUND($B610*KarliyukIssizlikIsverenOrani,0)</f>
        <v/>
      </c>
      <c r="J610" s="112">
        <f>$B610+$H610+$I610</f>
        <v/>
      </c>
      <c r="K610" s="114" t="n"/>
    </row>
    <row r="611" ht="15" customHeight="1" s="68">
      <c r="A611" s="114" t="n"/>
      <c r="B611" s="114" t="n"/>
      <c r="C611" s="112">
        <f>ROUND($B611*KarliyukSgkIsciOrani,0)</f>
        <v/>
      </c>
      <c r="D611" s="112">
        <f>ROUND($B611*KarliyukIssizlikIsciOrani,0)</f>
        <v/>
      </c>
      <c r="E611" s="112">
        <f>ROUND($B611*KarliyukStopajOrani,0)</f>
        <v/>
      </c>
      <c r="F611" s="112">
        <f>ROUND($B611*KarliyukDamgaOrani,0)</f>
        <v/>
      </c>
      <c r="G611" s="112">
        <f>$B611-$C611-$D611-$E611-$F611</f>
        <v/>
      </c>
      <c r="H611" s="112">
        <f>ROUND($B611*KarliyukSgkIsverenOrani,0)</f>
        <v/>
      </c>
      <c r="I611" s="112">
        <f>ROUND($B611*KarliyukIssizlikIsverenOrani,0)</f>
        <v/>
      </c>
      <c r="J611" s="112">
        <f>$B611+$H611+$I611</f>
        <v/>
      </c>
      <c r="K611" s="114" t="n"/>
    </row>
    <row r="612" ht="15" customHeight="1" s="68">
      <c r="A612" s="114" t="n"/>
      <c r="B612" s="114" t="n"/>
      <c r="C612" s="112">
        <f>ROUND($B612*KarliyukSgkIsciOrani,0)</f>
        <v/>
      </c>
      <c r="D612" s="112">
        <f>ROUND($B612*KarliyukIssizlikIsciOrani,0)</f>
        <v/>
      </c>
      <c r="E612" s="112">
        <f>ROUND($B612*KarliyukStopajOrani,0)</f>
        <v/>
      </c>
      <c r="F612" s="112">
        <f>ROUND($B612*KarliyukDamgaOrani,0)</f>
        <v/>
      </c>
      <c r="G612" s="112">
        <f>$B612-$C612-$D612-$E612-$F612</f>
        <v/>
      </c>
      <c r="H612" s="112">
        <f>ROUND($B612*KarliyukSgkIsverenOrani,0)</f>
        <v/>
      </c>
      <c r="I612" s="112">
        <f>ROUND($B612*KarliyukIssizlikIsverenOrani,0)</f>
        <v/>
      </c>
      <c r="J612" s="112">
        <f>$B612+$H612+$I612</f>
        <v/>
      </c>
      <c r="K612" s="114" t="n"/>
    </row>
    <row r="613" ht="15" customHeight="1" s="68">
      <c r="A613" s="114" t="n"/>
      <c r="B613" s="114" t="n"/>
      <c r="C613" s="112">
        <f>ROUND($B613*KarliyukSgkIsciOrani,0)</f>
        <v/>
      </c>
      <c r="D613" s="112">
        <f>ROUND($B613*KarliyukIssizlikIsciOrani,0)</f>
        <v/>
      </c>
      <c r="E613" s="112">
        <f>ROUND($B613*KarliyukStopajOrani,0)</f>
        <v/>
      </c>
      <c r="F613" s="112">
        <f>ROUND($B613*KarliyukDamgaOrani,0)</f>
        <v/>
      </c>
      <c r="G613" s="112">
        <f>$B613-$C613-$D613-$E613-$F613</f>
        <v/>
      </c>
      <c r="H613" s="112">
        <f>ROUND($B613*KarliyukSgkIsverenOrani,0)</f>
        <v/>
      </c>
      <c r="I613" s="112">
        <f>ROUND($B613*KarliyukIssizlikIsverenOrani,0)</f>
        <v/>
      </c>
      <c r="J613" s="112">
        <f>$B613+$H613+$I613</f>
        <v/>
      </c>
      <c r="K613" s="114" t="n"/>
    </row>
    <row r="614" ht="15" customHeight="1" s="68">
      <c r="A614" s="114" t="n"/>
      <c r="B614" s="114" t="n"/>
      <c r="C614" s="112">
        <f>ROUND($B614*KarliyukSgkIsciOrani,0)</f>
        <v/>
      </c>
      <c r="D614" s="112">
        <f>ROUND($B614*KarliyukIssizlikIsciOrani,0)</f>
        <v/>
      </c>
      <c r="E614" s="112">
        <f>ROUND($B614*KarliyukStopajOrani,0)</f>
        <v/>
      </c>
      <c r="F614" s="112">
        <f>ROUND($B614*KarliyukDamgaOrani,0)</f>
        <v/>
      </c>
      <c r="G614" s="112">
        <f>$B614-$C614-$D614-$E614-$F614</f>
        <v/>
      </c>
      <c r="H614" s="112">
        <f>ROUND($B614*KarliyukSgkIsverenOrani,0)</f>
        <v/>
      </c>
      <c r="I614" s="112">
        <f>ROUND($B614*KarliyukIssizlikIsverenOrani,0)</f>
        <v/>
      </c>
      <c r="J614" s="112">
        <f>$B614+$H614+$I614</f>
        <v/>
      </c>
      <c r="K614" s="114" t="n"/>
    </row>
    <row r="615" ht="15" customHeight="1" s="68">
      <c r="A615" s="114" t="n"/>
      <c r="B615" s="114" t="n"/>
      <c r="C615" s="112">
        <f>ROUND($B615*KarliyukSgkIsciOrani,0)</f>
        <v/>
      </c>
      <c r="D615" s="112">
        <f>ROUND($B615*KarliyukIssizlikIsciOrani,0)</f>
        <v/>
      </c>
      <c r="E615" s="112">
        <f>ROUND($B615*KarliyukStopajOrani,0)</f>
        <v/>
      </c>
      <c r="F615" s="112">
        <f>ROUND($B615*KarliyukDamgaOrani,0)</f>
        <v/>
      </c>
      <c r="G615" s="112">
        <f>$B615-$C615-$D615-$E615-$F615</f>
        <v/>
      </c>
      <c r="H615" s="112">
        <f>ROUND($B615*KarliyukSgkIsverenOrani,0)</f>
        <v/>
      </c>
      <c r="I615" s="112">
        <f>ROUND($B615*KarliyukIssizlikIsverenOrani,0)</f>
        <v/>
      </c>
      <c r="J615" s="112">
        <f>$B615+$H615+$I615</f>
        <v/>
      </c>
      <c r="K615" s="114" t="n"/>
    </row>
    <row r="616" ht="15" customHeight="1" s="68">
      <c r="A616" s="114" t="n"/>
      <c r="B616" s="114" t="n"/>
      <c r="C616" s="112">
        <f>ROUND($B616*KarliyukSgkIsciOrani,0)</f>
        <v/>
      </c>
      <c r="D616" s="112">
        <f>ROUND($B616*KarliyukIssizlikIsciOrani,0)</f>
        <v/>
      </c>
      <c r="E616" s="112">
        <f>ROUND($B616*KarliyukStopajOrani,0)</f>
        <v/>
      </c>
      <c r="F616" s="112">
        <f>ROUND($B616*KarliyukDamgaOrani,0)</f>
        <v/>
      </c>
      <c r="G616" s="112">
        <f>$B616-$C616-$D616-$E616-$F616</f>
        <v/>
      </c>
      <c r="H616" s="112">
        <f>ROUND($B616*KarliyukSgkIsverenOrani,0)</f>
        <v/>
      </c>
      <c r="I616" s="112">
        <f>ROUND($B616*KarliyukIssizlikIsverenOrani,0)</f>
        <v/>
      </c>
      <c r="J616" s="112">
        <f>$B616+$H616+$I616</f>
        <v/>
      </c>
      <c r="K616" s="114" t="n"/>
    </row>
    <row r="617" ht="15" customHeight="1" s="68">
      <c r="A617" s="114" t="n"/>
      <c r="B617" s="114" t="n"/>
      <c r="C617" s="112">
        <f>ROUND($B617*KarliyukSgkIsciOrani,0)</f>
        <v/>
      </c>
      <c r="D617" s="112">
        <f>ROUND($B617*KarliyukIssizlikIsciOrani,0)</f>
        <v/>
      </c>
      <c r="E617" s="112">
        <f>ROUND($B617*KarliyukStopajOrani,0)</f>
        <v/>
      </c>
      <c r="F617" s="112">
        <f>ROUND($B617*KarliyukDamgaOrani,0)</f>
        <v/>
      </c>
      <c r="G617" s="112">
        <f>$B617-$C617-$D617-$E617-$F617</f>
        <v/>
      </c>
      <c r="H617" s="112">
        <f>ROUND($B617*KarliyukSgkIsverenOrani,0)</f>
        <v/>
      </c>
      <c r="I617" s="112">
        <f>ROUND($B617*KarliyukIssizlikIsverenOrani,0)</f>
        <v/>
      </c>
      <c r="J617" s="112">
        <f>$B617+$H617+$I617</f>
        <v/>
      </c>
      <c r="K617" s="114" t="n"/>
    </row>
    <row r="618" ht="15" customHeight="1" s="68">
      <c r="A618" s="114" t="n"/>
      <c r="B618" s="114" t="n"/>
      <c r="C618" s="112">
        <f>ROUND($B618*KarliyukSgkIsciOrani,0)</f>
        <v/>
      </c>
      <c r="D618" s="112">
        <f>ROUND($B618*KarliyukIssizlikIsciOrani,0)</f>
        <v/>
      </c>
      <c r="E618" s="112">
        <f>ROUND($B618*KarliyukStopajOrani,0)</f>
        <v/>
      </c>
      <c r="F618" s="112">
        <f>ROUND($B618*KarliyukDamgaOrani,0)</f>
        <v/>
      </c>
      <c r="G618" s="112">
        <f>$B618-$C618-$D618-$E618-$F618</f>
        <v/>
      </c>
      <c r="H618" s="112">
        <f>ROUND($B618*KarliyukSgkIsverenOrani,0)</f>
        <v/>
      </c>
      <c r="I618" s="112">
        <f>ROUND($B618*KarliyukIssizlikIsverenOrani,0)</f>
        <v/>
      </c>
      <c r="J618" s="112">
        <f>$B618+$H618+$I618</f>
        <v/>
      </c>
      <c r="K618" s="114" t="n"/>
    </row>
    <row r="619" ht="15" customHeight="1" s="68">
      <c r="A619" s="114" t="n"/>
      <c r="B619" s="114" t="n"/>
      <c r="C619" s="112">
        <f>ROUND($B619*KarliyukSgkIsciOrani,0)</f>
        <v/>
      </c>
      <c r="D619" s="112">
        <f>ROUND($B619*KarliyukIssizlikIsciOrani,0)</f>
        <v/>
      </c>
      <c r="E619" s="112">
        <f>ROUND($B619*KarliyukStopajOrani,0)</f>
        <v/>
      </c>
      <c r="F619" s="112">
        <f>ROUND($B619*KarliyukDamgaOrani,0)</f>
        <v/>
      </c>
      <c r="G619" s="112">
        <f>$B619-$C619-$D619-$E619-$F619</f>
        <v/>
      </c>
      <c r="H619" s="112">
        <f>ROUND($B619*KarliyukSgkIsverenOrani,0)</f>
        <v/>
      </c>
      <c r="I619" s="112">
        <f>ROUND($B619*KarliyukIssizlikIsverenOrani,0)</f>
        <v/>
      </c>
      <c r="J619" s="112">
        <f>$B619+$H619+$I619</f>
        <v/>
      </c>
      <c r="K619" s="114" t="n"/>
    </row>
    <row r="620" ht="15" customHeight="1" s="68">
      <c r="A620" s="114" t="n"/>
      <c r="B620" s="114" t="n"/>
      <c r="C620" s="112">
        <f>ROUND($B620*KarliyukSgkIsciOrani,0)</f>
        <v/>
      </c>
      <c r="D620" s="112">
        <f>ROUND($B620*KarliyukIssizlikIsciOrani,0)</f>
        <v/>
      </c>
      <c r="E620" s="112">
        <f>ROUND($B620*KarliyukStopajOrani,0)</f>
        <v/>
      </c>
      <c r="F620" s="112">
        <f>ROUND($B620*KarliyukDamgaOrani,0)</f>
        <v/>
      </c>
      <c r="G620" s="112">
        <f>$B620-$C620-$D620-$E620-$F620</f>
        <v/>
      </c>
      <c r="H620" s="112">
        <f>ROUND($B620*KarliyukSgkIsverenOrani,0)</f>
        <v/>
      </c>
      <c r="I620" s="112">
        <f>ROUND($B620*KarliyukIssizlikIsverenOrani,0)</f>
        <v/>
      </c>
      <c r="J620" s="112">
        <f>$B620+$H620+$I620</f>
        <v/>
      </c>
      <c r="K620" s="114" t="n"/>
    </row>
    <row r="621" ht="15" customHeight="1" s="68">
      <c r="A621" s="114" t="n"/>
      <c r="B621" s="114" t="n"/>
      <c r="C621" s="112">
        <f>ROUND($B621*KarliyukSgkIsciOrani,0)</f>
        <v/>
      </c>
      <c r="D621" s="112">
        <f>ROUND($B621*KarliyukIssizlikIsciOrani,0)</f>
        <v/>
      </c>
      <c r="E621" s="112">
        <f>ROUND($B621*KarliyukStopajOrani,0)</f>
        <v/>
      </c>
      <c r="F621" s="112">
        <f>ROUND($B621*KarliyukDamgaOrani,0)</f>
        <v/>
      </c>
      <c r="G621" s="112">
        <f>$B621-$C621-$D621-$E621-$F621</f>
        <v/>
      </c>
      <c r="H621" s="112">
        <f>ROUND($B621*KarliyukSgkIsverenOrani,0)</f>
        <v/>
      </c>
      <c r="I621" s="112">
        <f>ROUND($B621*KarliyukIssizlikIsverenOrani,0)</f>
        <v/>
      </c>
      <c r="J621" s="112">
        <f>$B621+$H621+$I621</f>
        <v/>
      </c>
      <c r="K621" s="114" t="n"/>
    </row>
    <row r="622" ht="15" customHeight="1" s="68">
      <c r="A622" s="114" t="n"/>
      <c r="B622" s="114" t="n"/>
      <c r="C622" s="112">
        <f>ROUND($B622*KarliyukSgkIsciOrani,0)</f>
        <v/>
      </c>
      <c r="D622" s="112">
        <f>ROUND($B622*KarliyukIssizlikIsciOrani,0)</f>
        <v/>
      </c>
      <c r="E622" s="112">
        <f>ROUND($B622*KarliyukStopajOrani,0)</f>
        <v/>
      </c>
      <c r="F622" s="112">
        <f>ROUND($B622*KarliyukDamgaOrani,0)</f>
        <v/>
      </c>
      <c r="G622" s="112">
        <f>$B622-$C622-$D622-$E622-$F622</f>
        <v/>
      </c>
      <c r="H622" s="112">
        <f>ROUND($B622*KarliyukSgkIsverenOrani,0)</f>
        <v/>
      </c>
      <c r="I622" s="112">
        <f>ROUND($B622*KarliyukIssizlikIsverenOrani,0)</f>
        <v/>
      </c>
      <c r="J622" s="112">
        <f>$B622+$H622+$I622</f>
        <v/>
      </c>
      <c r="K622" s="114" t="n"/>
    </row>
    <row r="623" ht="15" customHeight="1" s="68">
      <c r="A623" s="114" t="n"/>
      <c r="B623" s="114" t="n"/>
      <c r="C623" s="112">
        <f>ROUND($B623*KarliyukSgkIsciOrani,0)</f>
        <v/>
      </c>
      <c r="D623" s="112">
        <f>ROUND($B623*KarliyukIssizlikIsciOrani,0)</f>
        <v/>
      </c>
      <c r="E623" s="112">
        <f>ROUND($B623*KarliyukStopajOrani,0)</f>
        <v/>
      </c>
      <c r="F623" s="112">
        <f>ROUND($B623*KarliyukDamgaOrani,0)</f>
        <v/>
      </c>
      <c r="G623" s="112">
        <f>$B623-$C623-$D623-$E623-$F623</f>
        <v/>
      </c>
      <c r="H623" s="112">
        <f>ROUND($B623*KarliyukSgkIsverenOrani,0)</f>
        <v/>
      </c>
      <c r="I623" s="112">
        <f>ROUND($B623*KarliyukIssizlikIsverenOrani,0)</f>
        <v/>
      </c>
      <c r="J623" s="112">
        <f>$B623+$H623+$I623</f>
        <v/>
      </c>
      <c r="K623" s="114" t="n"/>
    </row>
    <row r="624" ht="15" customHeight="1" s="68">
      <c r="A624" s="114" t="n"/>
      <c r="B624" s="114" t="n"/>
      <c r="C624" s="112">
        <f>ROUND($B624*KarliyukSgkIsciOrani,0)</f>
        <v/>
      </c>
      <c r="D624" s="112">
        <f>ROUND($B624*KarliyukIssizlikIsciOrani,0)</f>
        <v/>
      </c>
      <c r="E624" s="112">
        <f>ROUND($B624*KarliyukStopajOrani,0)</f>
        <v/>
      </c>
      <c r="F624" s="112">
        <f>ROUND($B624*KarliyukDamgaOrani,0)</f>
        <v/>
      </c>
      <c r="G624" s="112">
        <f>$B624-$C624-$D624-$E624-$F624</f>
        <v/>
      </c>
      <c r="H624" s="112">
        <f>ROUND($B624*KarliyukSgkIsverenOrani,0)</f>
        <v/>
      </c>
      <c r="I624" s="112">
        <f>ROUND($B624*KarliyukIssizlikIsverenOrani,0)</f>
        <v/>
      </c>
      <c r="J624" s="112">
        <f>$B624+$H624+$I624</f>
        <v/>
      </c>
      <c r="K624" s="114" t="n"/>
    </row>
    <row r="625" ht="15" customHeight="1" s="68">
      <c r="A625" s="114" t="n"/>
      <c r="B625" s="114" t="n"/>
      <c r="C625" s="112">
        <f>ROUND($B625*KarliyukSgkIsciOrani,0)</f>
        <v/>
      </c>
      <c r="D625" s="112">
        <f>ROUND($B625*KarliyukIssizlikIsciOrani,0)</f>
        <v/>
      </c>
      <c r="E625" s="112">
        <f>ROUND($B625*KarliyukStopajOrani,0)</f>
        <v/>
      </c>
      <c r="F625" s="112">
        <f>ROUND($B625*KarliyukDamgaOrani,0)</f>
        <v/>
      </c>
      <c r="G625" s="112">
        <f>$B625-$C625-$D625-$E625-$F625</f>
        <v/>
      </c>
      <c r="H625" s="112">
        <f>ROUND($B625*KarliyukSgkIsverenOrani,0)</f>
        <v/>
      </c>
      <c r="I625" s="112">
        <f>ROUND($B625*KarliyukIssizlikIsverenOrani,0)</f>
        <v/>
      </c>
      <c r="J625" s="112">
        <f>$B625+$H625+$I625</f>
        <v/>
      </c>
      <c r="K625" s="114" t="n"/>
    </row>
    <row r="626" ht="15" customHeight="1" s="68">
      <c r="A626" s="114" t="n"/>
      <c r="B626" s="114" t="n"/>
      <c r="C626" s="112">
        <f>ROUND($B626*KarliyukSgkIsciOrani,0)</f>
        <v/>
      </c>
      <c r="D626" s="112">
        <f>ROUND($B626*KarliyukIssizlikIsciOrani,0)</f>
        <v/>
      </c>
      <c r="E626" s="112">
        <f>ROUND($B626*KarliyukStopajOrani,0)</f>
        <v/>
      </c>
      <c r="F626" s="112">
        <f>ROUND($B626*KarliyukDamgaOrani,0)</f>
        <v/>
      </c>
      <c r="G626" s="112">
        <f>$B626-$C626-$D626-$E626-$F626</f>
        <v/>
      </c>
      <c r="H626" s="112">
        <f>ROUND($B626*KarliyukSgkIsverenOrani,0)</f>
        <v/>
      </c>
      <c r="I626" s="112">
        <f>ROUND($B626*KarliyukIssizlikIsverenOrani,0)</f>
        <v/>
      </c>
      <c r="J626" s="112">
        <f>$B626+$H626+$I626</f>
        <v/>
      </c>
      <c r="K626" s="114" t="n"/>
    </row>
    <row r="627" ht="15" customHeight="1" s="68">
      <c r="A627" s="114" t="n"/>
      <c r="B627" s="114" t="n"/>
      <c r="C627" s="112">
        <f>ROUND($B627*KarliyukSgkIsciOrani,0)</f>
        <v/>
      </c>
      <c r="D627" s="112">
        <f>ROUND($B627*KarliyukIssizlikIsciOrani,0)</f>
        <v/>
      </c>
      <c r="E627" s="112">
        <f>ROUND($B627*KarliyukStopajOrani,0)</f>
        <v/>
      </c>
      <c r="F627" s="112">
        <f>ROUND($B627*KarliyukDamgaOrani,0)</f>
        <v/>
      </c>
      <c r="G627" s="112">
        <f>$B627-$C627-$D627-$E627-$F627</f>
        <v/>
      </c>
      <c r="H627" s="112">
        <f>ROUND($B627*KarliyukSgkIsverenOrani,0)</f>
        <v/>
      </c>
      <c r="I627" s="112">
        <f>ROUND($B627*KarliyukIssizlikIsverenOrani,0)</f>
        <v/>
      </c>
      <c r="J627" s="112">
        <f>$B627+$H627+$I627</f>
        <v/>
      </c>
      <c r="K627" s="114" t="n"/>
    </row>
    <row r="628" ht="15" customHeight="1" s="68">
      <c r="A628" s="114" t="n"/>
      <c r="B628" s="114" t="n"/>
      <c r="C628" s="112">
        <f>ROUND($B628*KarliyukSgkIsciOrani,0)</f>
        <v/>
      </c>
      <c r="D628" s="112">
        <f>ROUND($B628*KarliyukIssizlikIsciOrani,0)</f>
        <v/>
      </c>
      <c r="E628" s="112">
        <f>ROUND($B628*KarliyukStopajOrani,0)</f>
        <v/>
      </c>
      <c r="F628" s="112">
        <f>ROUND($B628*KarliyukDamgaOrani,0)</f>
        <v/>
      </c>
      <c r="G628" s="112">
        <f>$B628-$C628-$D628-$E628-$F628</f>
        <v/>
      </c>
      <c r="H628" s="112">
        <f>ROUND($B628*KarliyukSgkIsverenOrani,0)</f>
        <v/>
      </c>
      <c r="I628" s="112">
        <f>ROUND($B628*KarliyukIssizlikIsverenOrani,0)</f>
        <v/>
      </c>
      <c r="J628" s="112">
        <f>$B628+$H628+$I628</f>
        <v/>
      </c>
      <c r="K628" s="114" t="n"/>
    </row>
    <row r="629" ht="15" customHeight="1" s="68">
      <c r="A629" s="114" t="n"/>
      <c r="B629" s="114" t="n"/>
      <c r="C629" s="112">
        <f>ROUND($B629*KarliyukSgkIsciOrani,0)</f>
        <v/>
      </c>
      <c r="D629" s="112">
        <f>ROUND($B629*KarliyukIssizlikIsciOrani,0)</f>
        <v/>
      </c>
      <c r="E629" s="112">
        <f>ROUND($B629*KarliyukStopajOrani,0)</f>
        <v/>
      </c>
      <c r="F629" s="112">
        <f>ROUND($B629*KarliyukDamgaOrani,0)</f>
        <v/>
      </c>
      <c r="G629" s="112">
        <f>$B629-$C629-$D629-$E629-$F629</f>
        <v/>
      </c>
      <c r="H629" s="112">
        <f>ROUND($B629*KarliyukSgkIsverenOrani,0)</f>
        <v/>
      </c>
      <c r="I629" s="112">
        <f>ROUND($B629*KarliyukIssizlikIsverenOrani,0)</f>
        <v/>
      </c>
      <c r="J629" s="112">
        <f>$B629+$H629+$I629</f>
        <v/>
      </c>
      <c r="K629" s="114" t="n"/>
    </row>
    <row r="630" ht="15" customHeight="1" s="68">
      <c r="A630" s="114" t="n"/>
      <c r="B630" s="114" t="n"/>
      <c r="C630" s="112">
        <f>ROUND($B630*KarliyukSgkIsciOrani,0)</f>
        <v/>
      </c>
      <c r="D630" s="112">
        <f>ROUND($B630*KarliyukIssizlikIsciOrani,0)</f>
        <v/>
      </c>
      <c r="E630" s="112">
        <f>ROUND($B630*KarliyukStopajOrani,0)</f>
        <v/>
      </c>
      <c r="F630" s="112">
        <f>ROUND($B630*KarliyukDamgaOrani,0)</f>
        <v/>
      </c>
      <c r="G630" s="112">
        <f>$B630-$C630-$D630-$E630-$F630</f>
        <v/>
      </c>
      <c r="H630" s="112">
        <f>ROUND($B630*KarliyukSgkIsverenOrani,0)</f>
        <v/>
      </c>
      <c r="I630" s="112">
        <f>ROUND($B630*KarliyukIssizlikIsverenOrani,0)</f>
        <v/>
      </c>
      <c r="J630" s="112">
        <f>$B630+$H630+$I630</f>
        <v/>
      </c>
      <c r="K630" s="114" t="n"/>
    </row>
    <row r="631" ht="15" customHeight="1" s="68">
      <c r="A631" s="114" t="n"/>
      <c r="B631" s="114" t="n"/>
      <c r="C631" s="112">
        <f>ROUND($B631*KarliyukSgkIsciOrani,0)</f>
        <v/>
      </c>
      <c r="D631" s="112">
        <f>ROUND($B631*KarliyukIssizlikIsciOrani,0)</f>
        <v/>
      </c>
      <c r="E631" s="112">
        <f>ROUND($B631*KarliyukStopajOrani,0)</f>
        <v/>
      </c>
      <c r="F631" s="112">
        <f>ROUND($B631*KarliyukDamgaOrani,0)</f>
        <v/>
      </c>
      <c r="G631" s="112">
        <f>$B631-$C631-$D631-$E631-$F631</f>
        <v/>
      </c>
      <c r="H631" s="112">
        <f>ROUND($B631*KarliyukSgkIsverenOrani,0)</f>
        <v/>
      </c>
      <c r="I631" s="112">
        <f>ROUND($B631*KarliyukIssizlikIsverenOrani,0)</f>
        <v/>
      </c>
      <c r="J631" s="112">
        <f>$B631+$H631+$I631</f>
        <v/>
      </c>
      <c r="K631" s="114" t="n"/>
    </row>
    <row r="632" ht="15" customHeight="1" s="68">
      <c r="A632" s="114" t="n"/>
      <c r="B632" s="114" t="n"/>
      <c r="C632" s="112">
        <f>ROUND($B632*KarliyukSgkIsciOrani,0)</f>
        <v/>
      </c>
      <c r="D632" s="112">
        <f>ROUND($B632*KarliyukIssizlikIsciOrani,0)</f>
        <v/>
      </c>
      <c r="E632" s="112">
        <f>ROUND($B632*KarliyukStopajOrani,0)</f>
        <v/>
      </c>
      <c r="F632" s="112">
        <f>ROUND($B632*KarliyukDamgaOrani,0)</f>
        <v/>
      </c>
      <c r="G632" s="112">
        <f>$B632-$C632-$D632-$E632-$F632</f>
        <v/>
      </c>
      <c r="H632" s="112">
        <f>ROUND($B632*KarliyukSgkIsverenOrani,0)</f>
        <v/>
      </c>
      <c r="I632" s="112">
        <f>ROUND($B632*KarliyukIssizlikIsverenOrani,0)</f>
        <v/>
      </c>
      <c r="J632" s="112">
        <f>$B632+$H632+$I632</f>
        <v/>
      </c>
      <c r="K632" s="114" t="n"/>
    </row>
    <row r="633" ht="15" customHeight="1" s="68">
      <c r="A633" s="114" t="n"/>
      <c r="B633" s="114" t="n"/>
      <c r="C633" s="112">
        <f>ROUND($B633*KarliyukSgkIsciOrani,0)</f>
        <v/>
      </c>
      <c r="D633" s="112">
        <f>ROUND($B633*KarliyukIssizlikIsciOrani,0)</f>
        <v/>
      </c>
      <c r="E633" s="112">
        <f>ROUND($B633*KarliyukStopajOrani,0)</f>
        <v/>
      </c>
      <c r="F633" s="112">
        <f>ROUND($B633*KarliyukDamgaOrani,0)</f>
        <v/>
      </c>
      <c r="G633" s="112">
        <f>$B633-$C633-$D633-$E633-$F633</f>
        <v/>
      </c>
      <c r="H633" s="112">
        <f>ROUND($B633*KarliyukSgkIsverenOrani,0)</f>
        <v/>
      </c>
      <c r="I633" s="112">
        <f>ROUND($B633*KarliyukIssizlikIsverenOrani,0)</f>
        <v/>
      </c>
      <c r="J633" s="112">
        <f>$B633+$H633+$I633</f>
        <v/>
      </c>
      <c r="K633" s="114" t="n"/>
    </row>
    <row r="634" ht="15" customHeight="1" s="68">
      <c r="A634" s="114" t="n"/>
      <c r="B634" s="114" t="n"/>
      <c r="C634" s="112">
        <f>ROUND($B634*KarliyukSgkIsciOrani,0)</f>
        <v/>
      </c>
      <c r="D634" s="112">
        <f>ROUND($B634*KarliyukIssizlikIsciOrani,0)</f>
        <v/>
      </c>
      <c r="E634" s="112">
        <f>ROUND($B634*KarliyukStopajOrani,0)</f>
        <v/>
      </c>
      <c r="F634" s="112">
        <f>ROUND($B634*KarliyukDamgaOrani,0)</f>
        <v/>
      </c>
      <c r="G634" s="112">
        <f>$B634-$C634-$D634-$E634-$F634</f>
        <v/>
      </c>
      <c r="H634" s="112">
        <f>ROUND($B634*KarliyukSgkIsverenOrani,0)</f>
        <v/>
      </c>
      <c r="I634" s="112">
        <f>ROUND($B634*KarliyukIssizlikIsverenOrani,0)</f>
        <v/>
      </c>
      <c r="J634" s="112">
        <f>$B634+$H634+$I634</f>
        <v/>
      </c>
      <c r="K634" s="114" t="n"/>
    </row>
    <row r="635" ht="15" customHeight="1" s="68">
      <c r="A635" s="114" t="n"/>
      <c r="B635" s="114" t="n"/>
      <c r="C635" s="112">
        <f>ROUND($B635*KarliyukSgkIsciOrani,0)</f>
        <v/>
      </c>
      <c r="D635" s="112">
        <f>ROUND($B635*KarliyukIssizlikIsciOrani,0)</f>
        <v/>
      </c>
      <c r="E635" s="112">
        <f>ROUND($B635*KarliyukStopajOrani,0)</f>
        <v/>
      </c>
      <c r="F635" s="112">
        <f>ROUND($B635*KarliyukDamgaOrani,0)</f>
        <v/>
      </c>
      <c r="G635" s="112">
        <f>$B635-$C635-$D635-$E635-$F635</f>
        <v/>
      </c>
      <c r="H635" s="112">
        <f>ROUND($B635*KarliyukSgkIsverenOrani,0)</f>
        <v/>
      </c>
      <c r="I635" s="112">
        <f>ROUND($B635*KarliyukIssizlikIsverenOrani,0)</f>
        <v/>
      </c>
      <c r="J635" s="112">
        <f>$B635+$H635+$I635</f>
        <v/>
      </c>
      <c r="K635" s="114" t="n"/>
    </row>
    <row r="636" ht="15" customHeight="1" s="68">
      <c r="A636" s="114" t="n"/>
      <c r="B636" s="114" t="n"/>
      <c r="C636" s="112">
        <f>ROUND($B636*KarliyukSgkIsciOrani,0)</f>
        <v/>
      </c>
      <c r="D636" s="112">
        <f>ROUND($B636*KarliyukIssizlikIsciOrani,0)</f>
        <v/>
      </c>
      <c r="E636" s="112">
        <f>ROUND($B636*KarliyukStopajOrani,0)</f>
        <v/>
      </c>
      <c r="F636" s="112">
        <f>ROUND($B636*KarliyukDamgaOrani,0)</f>
        <v/>
      </c>
      <c r="G636" s="112">
        <f>$B636-$C636-$D636-$E636-$F636</f>
        <v/>
      </c>
      <c r="H636" s="112">
        <f>ROUND($B636*KarliyukSgkIsverenOrani,0)</f>
        <v/>
      </c>
      <c r="I636" s="112">
        <f>ROUND($B636*KarliyukIssizlikIsverenOrani,0)</f>
        <v/>
      </c>
      <c r="J636" s="112">
        <f>$B636+$H636+$I636</f>
        <v/>
      </c>
      <c r="K636" s="114" t="n"/>
    </row>
    <row r="637" ht="15" customHeight="1" s="68">
      <c r="A637" s="114" t="n"/>
      <c r="B637" s="114" t="n"/>
      <c r="C637" s="112">
        <f>ROUND($B637*KarliyukSgkIsciOrani,0)</f>
        <v/>
      </c>
      <c r="D637" s="112">
        <f>ROUND($B637*KarliyukIssizlikIsciOrani,0)</f>
        <v/>
      </c>
      <c r="E637" s="112">
        <f>ROUND($B637*KarliyukStopajOrani,0)</f>
        <v/>
      </c>
      <c r="F637" s="112">
        <f>ROUND($B637*KarliyukDamgaOrani,0)</f>
        <v/>
      </c>
      <c r="G637" s="112">
        <f>$B637-$C637-$D637-$E637-$F637</f>
        <v/>
      </c>
      <c r="H637" s="112">
        <f>ROUND($B637*KarliyukSgkIsverenOrani,0)</f>
        <v/>
      </c>
      <c r="I637" s="112">
        <f>ROUND($B637*KarliyukIssizlikIsverenOrani,0)</f>
        <v/>
      </c>
      <c r="J637" s="112">
        <f>$B637+$H637+$I637</f>
        <v/>
      </c>
      <c r="K637" s="114" t="n"/>
    </row>
    <row r="638" ht="15" customHeight="1" s="68">
      <c r="A638" s="114" t="n"/>
      <c r="B638" s="114" t="n"/>
      <c r="C638" s="112">
        <f>ROUND($B638*KarliyukSgkIsciOrani,0)</f>
        <v/>
      </c>
      <c r="D638" s="112">
        <f>ROUND($B638*KarliyukIssizlikIsciOrani,0)</f>
        <v/>
      </c>
      <c r="E638" s="112">
        <f>ROUND($B638*KarliyukStopajOrani,0)</f>
        <v/>
      </c>
      <c r="F638" s="112">
        <f>ROUND($B638*KarliyukDamgaOrani,0)</f>
        <v/>
      </c>
      <c r="G638" s="112">
        <f>$B638-$C638-$D638-$E638-$F638</f>
        <v/>
      </c>
      <c r="H638" s="112">
        <f>ROUND($B638*KarliyukSgkIsverenOrani,0)</f>
        <v/>
      </c>
      <c r="I638" s="112">
        <f>ROUND($B638*KarliyukIssizlikIsverenOrani,0)</f>
        <v/>
      </c>
      <c r="J638" s="112">
        <f>$B638+$H638+$I638</f>
        <v/>
      </c>
      <c r="K638" s="114" t="n"/>
    </row>
    <row r="639" ht="15" customHeight="1" s="68">
      <c r="A639" s="114" t="n"/>
      <c r="B639" s="114" t="n"/>
      <c r="C639" s="112">
        <f>ROUND($B639*KarliyukSgkIsciOrani,0)</f>
        <v/>
      </c>
      <c r="D639" s="112">
        <f>ROUND($B639*KarliyukIssizlikIsciOrani,0)</f>
        <v/>
      </c>
      <c r="E639" s="112">
        <f>ROUND($B639*KarliyukStopajOrani,0)</f>
        <v/>
      </c>
      <c r="F639" s="112">
        <f>ROUND($B639*KarliyukDamgaOrani,0)</f>
        <v/>
      </c>
      <c r="G639" s="112">
        <f>$B639-$C639-$D639-$E639-$F639</f>
        <v/>
      </c>
      <c r="H639" s="112">
        <f>ROUND($B639*KarliyukSgkIsverenOrani,0)</f>
        <v/>
      </c>
      <c r="I639" s="112">
        <f>ROUND($B639*KarliyukIssizlikIsverenOrani,0)</f>
        <v/>
      </c>
      <c r="J639" s="112">
        <f>$B639+$H639+$I639</f>
        <v/>
      </c>
      <c r="K639" s="114" t="n"/>
    </row>
    <row r="640" ht="15" customHeight="1" s="68">
      <c r="A640" s="114" t="n"/>
      <c r="B640" s="114" t="n"/>
      <c r="C640" s="112">
        <f>ROUND($B640*KarliyukSgkIsciOrani,0)</f>
        <v/>
      </c>
      <c r="D640" s="112">
        <f>ROUND($B640*KarliyukIssizlikIsciOrani,0)</f>
        <v/>
      </c>
      <c r="E640" s="112">
        <f>ROUND($B640*KarliyukStopajOrani,0)</f>
        <v/>
      </c>
      <c r="F640" s="112">
        <f>ROUND($B640*KarliyukDamgaOrani,0)</f>
        <v/>
      </c>
      <c r="G640" s="112">
        <f>$B640-$C640-$D640-$E640-$F640</f>
        <v/>
      </c>
      <c r="H640" s="112">
        <f>ROUND($B640*KarliyukSgkIsverenOrani,0)</f>
        <v/>
      </c>
      <c r="I640" s="112">
        <f>ROUND($B640*KarliyukIssizlikIsverenOrani,0)</f>
        <v/>
      </c>
      <c r="J640" s="112">
        <f>$B640+$H640+$I640</f>
        <v/>
      </c>
      <c r="K640" s="114" t="n"/>
    </row>
    <row r="641" ht="15" customHeight="1" s="68">
      <c r="A641" s="114" t="n"/>
      <c r="B641" s="114" t="n"/>
      <c r="C641" s="112">
        <f>ROUND($B641*KarliyukSgkIsciOrani,0)</f>
        <v/>
      </c>
      <c r="D641" s="112">
        <f>ROUND($B641*KarliyukIssizlikIsciOrani,0)</f>
        <v/>
      </c>
      <c r="E641" s="112">
        <f>ROUND($B641*KarliyukStopajOrani,0)</f>
        <v/>
      </c>
      <c r="F641" s="112">
        <f>ROUND($B641*KarliyukDamgaOrani,0)</f>
        <v/>
      </c>
      <c r="G641" s="112">
        <f>$B641-$C641-$D641-$E641-$F641</f>
        <v/>
      </c>
      <c r="H641" s="112">
        <f>ROUND($B641*KarliyukSgkIsverenOrani,0)</f>
        <v/>
      </c>
      <c r="I641" s="112">
        <f>ROUND($B641*KarliyukIssizlikIsverenOrani,0)</f>
        <v/>
      </c>
      <c r="J641" s="112">
        <f>$B641+$H641+$I641</f>
        <v/>
      </c>
      <c r="K641" s="114" t="n"/>
    </row>
    <row r="642" ht="15" customHeight="1" s="68">
      <c r="A642" s="114" t="n"/>
      <c r="B642" s="114" t="n"/>
      <c r="C642" s="112">
        <f>ROUND($B642*KarliyukSgkIsciOrani,0)</f>
        <v/>
      </c>
      <c r="D642" s="112">
        <f>ROUND($B642*KarliyukIssizlikIsciOrani,0)</f>
        <v/>
      </c>
      <c r="E642" s="112">
        <f>ROUND($B642*KarliyukStopajOrani,0)</f>
        <v/>
      </c>
      <c r="F642" s="112">
        <f>ROUND($B642*KarliyukDamgaOrani,0)</f>
        <v/>
      </c>
      <c r="G642" s="112">
        <f>$B642-$C642-$D642-$E642-$F642</f>
        <v/>
      </c>
      <c r="H642" s="112">
        <f>ROUND($B642*KarliyukSgkIsverenOrani,0)</f>
        <v/>
      </c>
      <c r="I642" s="112">
        <f>ROUND($B642*KarliyukIssizlikIsverenOrani,0)</f>
        <v/>
      </c>
      <c r="J642" s="112">
        <f>$B642+$H642+$I642</f>
        <v/>
      </c>
      <c r="K642" s="114" t="n"/>
    </row>
    <row r="643" ht="15" customHeight="1" s="68">
      <c r="A643" s="114" t="n"/>
      <c r="B643" s="114" t="n"/>
      <c r="C643" s="112">
        <f>ROUND($B643*KarliyukSgkIsciOrani,0)</f>
        <v/>
      </c>
      <c r="D643" s="112">
        <f>ROUND($B643*KarliyukIssizlikIsciOrani,0)</f>
        <v/>
      </c>
      <c r="E643" s="112">
        <f>ROUND($B643*KarliyukStopajOrani,0)</f>
        <v/>
      </c>
      <c r="F643" s="112">
        <f>ROUND($B643*KarliyukDamgaOrani,0)</f>
        <v/>
      </c>
      <c r="G643" s="112">
        <f>$B643-$C643-$D643-$E643-$F643</f>
        <v/>
      </c>
      <c r="H643" s="112">
        <f>ROUND($B643*KarliyukSgkIsverenOrani,0)</f>
        <v/>
      </c>
      <c r="I643" s="112">
        <f>ROUND($B643*KarliyukIssizlikIsverenOrani,0)</f>
        <v/>
      </c>
      <c r="J643" s="112">
        <f>$B643+$H643+$I643</f>
        <v/>
      </c>
      <c r="K643" s="114" t="n"/>
    </row>
    <row r="644" ht="15" customHeight="1" s="68">
      <c r="A644" s="114" t="n"/>
      <c r="B644" s="114" t="n"/>
      <c r="C644" s="112">
        <f>ROUND($B644*KarliyukSgkIsciOrani,0)</f>
        <v/>
      </c>
      <c r="D644" s="112">
        <f>ROUND($B644*KarliyukIssizlikIsciOrani,0)</f>
        <v/>
      </c>
      <c r="E644" s="112">
        <f>ROUND($B644*KarliyukStopajOrani,0)</f>
        <v/>
      </c>
      <c r="F644" s="112">
        <f>ROUND($B644*KarliyukDamgaOrani,0)</f>
        <v/>
      </c>
      <c r="G644" s="112">
        <f>$B644-$C644-$D644-$E644-$F644</f>
        <v/>
      </c>
      <c r="H644" s="112">
        <f>ROUND($B644*KarliyukSgkIsverenOrani,0)</f>
        <v/>
      </c>
      <c r="I644" s="112">
        <f>ROUND($B644*KarliyukIssizlikIsverenOrani,0)</f>
        <v/>
      </c>
      <c r="J644" s="112">
        <f>$B644+$H644+$I644</f>
        <v/>
      </c>
      <c r="K644" s="114" t="n"/>
    </row>
    <row r="645" ht="15" customHeight="1" s="68">
      <c r="A645" s="114" t="n"/>
      <c r="B645" s="114" t="n"/>
      <c r="C645" s="112">
        <f>ROUND($B645*KarliyukSgkIsciOrani,0)</f>
        <v/>
      </c>
      <c r="D645" s="112">
        <f>ROUND($B645*KarliyukIssizlikIsciOrani,0)</f>
        <v/>
      </c>
      <c r="E645" s="112">
        <f>ROUND($B645*KarliyukStopajOrani,0)</f>
        <v/>
      </c>
      <c r="F645" s="112">
        <f>ROUND($B645*KarliyukDamgaOrani,0)</f>
        <v/>
      </c>
      <c r="G645" s="112">
        <f>$B645-$C645-$D645-$E645-$F645</f>
        <v/>
      </c>
      <c r="H645" s="112">
        <f>ROUND($B645*KarliyukSgkIsverenOrani,0)</f>
        <v/>
      </c>
      <c r="I645" s="112">
        <f>ROUND($B645*KarliyukIssizlikIsverenOrani,0)</f>
        <v/>
      </c>
      <c r="J645" s="112">
        <f>$B645+$H645+$I645</f>
        <v/>
      </c>
      <c r="K645" s="114" t="n"/>
    </row>
    <row r="646" ht="15" customHeight="1" s="68">
      <c r="A646" s="114" t="n"/>
      <c r="B646" s="114" t="n"/>
      <c r="C646" s="112">
        <f>ROUND($B646*KarliyukSgkIsciOrani,0)</f>
        <v/>
      </c>
      <c r="D646" s="112">
        <f>ROUND($B646*KarliyukIssizlikIsciOrani,0)</f>
        <v/>
      </c>
      <c r="E646" s="112">
        <f>ROUND($B646*KarliyukStopajOrani,0)</f>
        <v/>
      </c>
      <c r="F646" s="112">
        <f>ROUND($B646*KarliyukDamgaOrani,0)</f>
        <v/>
      </c>
      <c r="G646" s="112">
        <f>$B646-$C646-$D646-$E646-$F646</f>
        <v/>
      </c>
      <c r="H646" s="112">
        <f>ROUND($B646*KarliyukSgkIsverenOrani,0)</f>
        <v/>
      </c>
      <c r="I646" s="112">
        <f>ROUND($B646*KarliyukIssizlikIsverenOrani,0)</f>
        <v/>
      </c>
      <c r="J646" s="112">
        <f>$B646+$H646+$I646</f>
        <v/>
      </c>
      <c r="K646" s="114" t="n"/>
    </row>
    <row r="647" ht="15" customHeight="1" s="68">
      <c r="A647" s="114" t="n"/>
      <c r="B647" s="114" t="n"/>
      <c r="C647" s="112">
        <f>ROUND($B647*KarliyukSgkIsciOrani,0)</f>
        <v/>
      </c>
      <c r="D647" s="112">
        <f>ROUND($B647*KarliyukIssizlikIsciOrani,0)</f>
        <v/>
      </c>
      <c r="E647" s="112">
        <f>ROUND($B647*KarliyukStopajOrani,0)</f>
        <v/>
      </c>
      <c r="F647" s="112">
        <f>ROUND($B647*KarliyukDamgaOrani,0)</f>
        <v/>
      </c>
      <c r="G647" s="112">
        <f>$B647-$C647-$D647-$E647-$F647</f>
        <v/>
      </c>
      <c r="H647" s="112">
        <f>ROUND($B647*KarliyukSgkIsverenOrani,0)</f>
        <v/>
      </c>
      <c r="I647" s="112">
        <f>ROUND($B647*KarliyukIssizlikIsverenOrani,0)</f>
        <v/>
      </c>
      <c r="J647" s="112">
        <f>$B647+$H647+$I647</f>
        <v/>
      </c>
      <c r="K647" s="114" t="n"/>
    </row>
    <row r="648" ht="15" customHeight="1" s="68">
      <c r="A648" s="114" t="n"/>
      <c r="B648" s="114" t="n"/>
      <c r="C648" s="112">
        <f>ROUND($B648*KarliyukSgkIsciOrani,0)</f>
        <v/>
      </c>
      <c r="D648" s="112">
        <f>ROUND($B648*KarliyukIssizlikIsciOrani,0)</f>
        <v/>
      </c>
      <c r="E648" s="112">
        <f>ROUND($B648*KarliyukStopajOrani,0)</f>
        <v/>
      </c>
      <c r="F648" s="112">
        <f>ROUND($B648*KarliyukDamgaOrani,0)</f>
        <v/>
      </c>
      <c r="G648" s="112">
        <f>$B648-$C648-$D648-$E648-$F648</f>
        <v/>
      </c>
      <c r="H648" s="112">
        <f>ROUND($B648*KarliyukSgkIsverenOrani,0)</f>
        <v/>
      </c>
      <c r="I648" s="112">
        <f>ROUND($B648*KarliyukIssizlikIsverenOrani,0)</f>
        <v/>
      </c>
      <c r="J648" s="112">
        <f>$B648+$H648+$I648</f>
        <v/>
      </c>
      <c r="K648" s="114" t="n"/>
    </row>
    <row r="649" ht="15" customHeight="1" s="68">
      <c r="A649" s="114" t="n"/>
      <c r="B649" s="114" t="n"/>
      <c r="C649" s="112">
        <f>ROUND($B649*KarliyukSgkIsciOrani,0)</f>
        <v/>
      </c>
      <c r="D649" s="112">
        <f>ROUND($B649*KarliyukIssizlikIsciOrani,0)</f>
        <v/>
      </c>
      <c r="E649" s="112">
        <f>ROUND($B649*KarliyukStopajOrani,0)</f>
        <v/>
      </c>
      <c r="F649" s="112">
        <f>ROUND($B649*KarliyukDamgaOrani,0)</f>
        <v/>
      </c>
      <c r="G649" s="112">
        <f>$B649-$C649-$D649-$E649-$F649</f>
        <v/>
      </c>
      <c r="H649" s="112">
        <f>ROUND($B649*KarliyukSgkIsverenOrani,0)</f>
        <v/>
      </c>
      <c r="I649" s="112">
        <f>ROUND($B649*KarliyukIssizlikIsverenOrani,0)</f>
        <v/>
      </c>
      <c r="J649" s="112">
        <f>$B649+$H649+$I649</f>
        <v/>
      </c>
      <c r="K649" s="114" t="n"/>
    </row>
    <row r="650" ht="15" customHeight="1" s="68">
      <c r="A650" s="114" t="n"/>
      <c r="B650" s="114" t="n"/>
      <c r="C650" s="112">
        <f>ROUND($B650*KarliyukSgkIsciOrani,0)</f>
        <v/>
      </c>
      <c r="D650" s="112">
        <f>ROUND($B650*KarliyukIssizlikIsciOrani,0)</f>
        <v/>
      </c>
      <c r="E650" s="112">
        <f>ROUND($B650*KarliyukStopajOrani,0)</f>
        <v/>
      </c>
      <c r="F650" s="112">
        <f>ROUND($B650*KarliyukDamgaOrani,0)</f>
        <v/>
      </c>
      <c r="G650" s="112">
        <f>$B650-$C650-$D650-$E650-$F650</f>
        <v/>
      </c>
      <c r="H650" s="112">
        <f>ROUND($B650*KarliyukSgkIsverenOrani,0)</f>
        <v/>
      </c>
      <c r="I650" s="112">
        <f>ROUND($B650*KarliyukIssizlikIsverenOrani,0)</f>
        <v/>
      </c>
      <c r="J650" s="112">
        <f>$B650+$H650+$I650</f>
        <v/>
      </c>
      <c r="K650" s="114" t="n"/>
    </row>
    <row r="651" ht="15" customHeight="1" s="68">
      <c r="A651" s="114" t="n"/>
      <c r="B651" s="114" t="n"/>
      <c r="C651" s="112">
        <f>ROUND($B651*KarliyukSgkIsciOrani,0)</f>
        <v/>
      </c>
      <c r="D651" s="112">
        <f>ROUND($B651*KarliyukIssizlikIsciOrani,0)</f>
        <v/>
      </c>
      <c r="E651" s="112">
        <f>ROUND($B651*KarliyukStopajOrani,0)</f>
        <v/>
      </c>
      <c r="F651" s="112">
        <f>ROUND($B651*KarliyukDamgaOrani,0)</f>
        <v/>
      </c>
      <c r="G651" s="112">
        <f>$B651-$C651-$D651-$E651-$F651</f>
        <v/>
      </c>
      <c r="H651" s="112">
        <f>ROUND($B651*KarliyukSgkIsverenOrani,0)</f>
        <v/>
      </c>
      <c r="I651" s="112">
        <f>ROUND($B651*KarliyukIssizlikIsverenOrani,0)</f>
        <v/>
      </c>
      <c r="J651" s="112">
        <f>$B651+$H651+$I651</f>
        <v/>
      </c>
      <c r="K651" s="114" t="n"/>
    </row>
    <row r="652" ht="15" customHeight="1" s="68">
      <c r="A652" s="114" t="n"/>
      <c r="B652" s="114" t="n"/>
      <c r="C652" s="112">
        <f>ROUND($B652*KarliyukSgkIsciOrani,0)</f>
        <v/>
      </c>
      <c r="D652" s="112">
        <f>ROUND($B652*KarliyukIssizlikIsciOrani,0)</f>
        <v/>
      </c>
      <c r="E652" s="112">
        <f>ROUND($B652*KarliyukStopajOrani,0)</f>
        <v/>
      </c>
      <c r="F652" s="112">
        <f>ROUND($B652*KarliyukDamgaOrani,0)</f>
        <v/>
      </c>
      <c r="G652" s="112">
        <f>$B652-$C652-$D652-$E652-$F652</f>
        <v/>
      </c>
      <c r="H652" s="112">
        <f>ROUND($B652*KarliyukSgkIsverenOrani,0)</f>
        <v/>
      </c>
      <c r="I652" s="112">
        <f>ROUND($B652*KarliyukIssizlikIsverenOrani,0)</f>
        <v/>
      </c>
      <c r="J652" s="112">
        <f>$B652+$H652+$I652</f>
        <v/>
      </c>
      <c r="K652" s="114" t="n"/>
    </row>
    <row r="653" ht="15" customHeight="1" s="68">
      <c r="A653" s="114" t="n"/>
      <c r="B653" s="114" t="n"/>
      <c r="C653" s="112">
        <f>ROUND($B653*KarliyukSgkIsciOrani,0)</f>
        <v/>
      </c>
      <c r="D653" s="112">
        <f>ROUND($B653*KarliyukIssizlikIsciOrani,0)</f>
        <v/>
      </c>
      <c r="E653" s="112">
        <f>ROUND($B653*KarliyukStopajOrani,0)</f>
        <v/>
      </c>
      <c r="F653" s="112">
        <f>ROUND($B653*KarliyukDamgaOrani,0)</f>
        <v/>
      </c>
      <c r="G653" s="112">
        <f>$B653-$C653-$D653-$E653-$F653</f>
        <v/>
      </c>
      <c r="H653" s="112">
        <f>ROUND($B653*KarliyukSgkIsverenOrani,0)</f>
        <v/>
      </c>
      <c r="I653" s="112">
        <f>ROUND($B653*KarliyukIssizlikIsverenOrani,0)</f>
        <v/>
      </c>
      <c r="J653" s="112">
        <f>$B653+$H653+$I653</f>
        <v/>
      </c>
      <c r="K653" s="114" t="n"/>
    </row>
    <row r="654" ht="15" customHeight="1" s="68">
      <c r="A654" s="114" t="n"/>
      <c r="B654" s="114" t="n"/>
      <c r="C654" s="112">
        <f>ROUND($B654*KarliyukSgkIsciOrani,0)</f>
        <v/>
      </c>
      <c r="D654" s="112">
        <f>ROUND($B654*KarliyukIssizlikIsciOrani,0)</f>
        <v/>
      </c>
      <c r="E654" s="112">
        <f>ROUND($B654*KarliyukStopajOrani,0)</f>
        <v/>
      </c>
      <c r="F654" s="112">
        <f>ROUND($B654*KarliyukDamgaOrani,0)</f>
        <v/>
      </c>
      <c r="G654" s="112">
        <f>$B654-$C654-$D654-$E654-$F654</f>
        <v/>
      </c>
      <c r="H654" s="112">
        <f>ROUND($B654*KarliyukSgkIsverenOrani,0)</f>
        <v/>
      </c>
      <c r="I654" s="112">
        <f>ROUND($B654*KarliyukIssizlikIsverenOrani,0)</f>
        <v/>
      </c>
      <c r="J654" s="112">
        <f>$B654+$H654+$I654</f>
        <v/>
      </c>
      <c r="K654" s="114" t="n"/>
    </row>
    <row r="655" ht="15" customHeight="1" s="68">
      <c r="A655" s="114" t="n"/>
      <c r="B655" s="114" t="n"/>
      <c r="C655" s="112">
        <f>ROUND($B655*KarliyukSgkIsciOrani,0)</f>
        <v/>
      </c>
      <c r="D655" s="112">
        <f>ROUND($B655*KarliyukIssizlikIsciOrani,0)</f>
        <v/>
      </c>
      <c r="E655" s="112">
        <f>ROUND($B655*KarliyukStopajOrani,0)</f>
        <v/>
      </c>
      <c r="F655" s="112">
        <f>ROUND($B655*KarliyukDamgaOrani,0)</f>
        <v/>
      </c>
      <c r="G655" s="112">
        <f>$B655-$C655-$D655-$E655-$F655</f>
        <v/>
      </c>
      <c r="H655" s="112">
        <f>ROUND($B655*KarliyukSgkIsverenOrani,0)</f>
        <v/>
      </c>
      <c r="I655" s="112">
        <f>ROUND($B655*KarliyukIssizlikIsverenOrani,0)</f>
        <v/>
      </c>
      <c r="J655" s="112">
        <f>$B655+$H655+$I655</f>
        <v/>
      </c>
      <c r="K655" s="114" t="n"/>
    </row>
    <row r="656" ht="15" customHeight="1" s="68">
      <c r="A656" s="114" t="n"/>
      <c r="B656" s="114" t="n"/>
      <c r="C656" s="112">
        <f>ROUND($B656*KarliyukSgkIsciOrani,0)</f>
        <v/>
      </c>
      <c r="D656" s="112">
        <f>ROUND($B656*KarliyukIssizlikIsciOrani,0)</f>
        <v/>
      </c>
      <c r="E656" s="112">
        <f>ROUND($B656*KarliyukStopajOrani,0)</f>
        <v/>
      </c>
      <c r="F656" s="112">
        <f>ROUND($B656*KarliyukDamgaOrani,0)</f>
        <v/>
      </c>
      <c r="G656" s="112">
        <f>$B656-$C656-$D656-$E656-$F656</f>
        <v/>
      </c>
      <c r="H656" s="112">
        <f>ROUND($B656*KarliyukSgkIsverenOrani,0)</f>
        <v/>
      </c>
      <c r="I656" s="112">
        <f>ROUND($B656*KarliyukIssizlikIsverenOrani,0)</f>
        <v/>
      </c>
      <c r="J656" s="112">
        <f>$B656+$H656+$I656</f>
        <v/>
      </c>
      <c r="K656" s="114" t="n"/>
    </row>
    <row r="657" ht="15" customHeight="1" s="68">
      <c r="A657" s="114" t="n"/>
      <c r="B657" s="114" t="n"/>
      <c r="C657" s="112">
        <f>ROUND($B657*KarliyukSgkIsciOrani,0)</f>
        <v/>
      </c>
      <c r="D657" s="112">
        <f>ROUND($B657*KarliyukIssizlikIsciOrani,0)</f>
        <v/>
      </c>
      <c r="E657" s="112">
        <f>ROUND($B657*KarliyukStopajOrani,0)</f>
        <v/>
      </c>
      <c r="F657" s="112">
        <f>ROUND($B657*KarliyukDamgaOrani,0)</f>
        <v/>
      </c>
      <c r="G657" s="112">
        <f>$B657-$C657-$D657-$E657-$F657</f>
        <v/>
      </c>
      <c r="H657" s="112">
        <f>ROUND($B657*KarliyukSgkIsverenOrani,0)</f>
        <v/>
      </c>
      <c r="I657" s="112">
        <f>ROUND($B657*KarliyukIssizlikIsverenOrani,0)</f>
        <v/>
      </c>
      <c r="J657" s="112">
        <f>$B657+$H657+$I657</f>
        <v/>
      </c>
      <c r="K657" s="114" t="n"/>
    </row>
    <row r="658" ht="15" customHeight="1" s="68">
      <c r="A658" s="114" t="n"/>
      <c r="B658" s="114" t="n"/>
      <c r="C658" s="112">
        <f>ROUND($B658*KarliyukSgkIsciOrani,0)</f>
        <v/>
      </c>
      <c r="D658" s="112">
        <f>ROUND($B658*KarliyukIssizlikIsciOrani,0)</f>
        <v/>
      </c>
      <c r="E658" s="112">
        <f>ROUND($B658*KarliyukStopajOrani,0)</f>
        <v/>
      </c>
      <c r="F658" s="112">
        <f>ROUND($B658*KarliyukDamgaOrani,0)</f>
        <v/>
      </c>
      <c r="G658" s="112">
        <f>$B658-$C658-$D658-$E658-$F658</f>
        <v/>
      </c>
      <c r="H658" s="112">
        <f>ROUND($B658*KarliyukSgkIsverenOrani,0)</f>
        <v/>
      </c>
      <c r="I658" s="112">
        <f>ROUND($B658*KarliyukIssizlikIsverenOrani,0)</f>
        <v/>
      </c>
      <c r="J658" s="112">
        <f>$B658+$H658+$I658</f>
        <v/>
      </c>
      <c r="K658" s="114" t="n"/>
    </row>
    <row r="659" ht="15" customHeight="1" s="68">
      <c r="A659" s="114" t="n"/>
      <c r="B659" s="114" t="n"/>
      <c r="C659" s="112">
        <f>ROUND($B659*KarliyukSgkIsciOrani,0)</f>
        <v/>
      </c>
      <c r="D659" s="112">
        <f>ROUND($B659*KarliyukIssizlikIsciOrani,0)</f>
        <v/>
      </c>
      <c r="E659" s="112">
        <f>ROUND($B659*KarliyukStopajOrani,0)</f>
        <v/>
      </c>
      <c r="F659" s="112">
        <f>ROUND($B659*KarliyukDamgaOrani,0)</f>
        <v/>
      </c>
      <c r="G659" s="112">
        <f>$B659-$C659-$D659-$E659-$F659</f>
        <v/>
      </c>
      <c r="H659" s="112">
        <f>ROUND($B659*KarliyukSgkIsverenOrani,0)</f>
        <v/>
      </c>
      <c r="I659" s="112">
        <f>ROUND($B659*KarliyukIssizlikIsverenOrani,0)</f>
        <v/>
      </c>
      <c r="J659" s="112">
        <f>$B659+$H659+$I659</f>
        <v/>
      </c>
      <c r="K659" s="114" t="n"/>
    </row>
    <row r="660" ht="15" customHeight="1" s="68">
      <c r="A660" s="114" t="n"/>
      <c r="B660" s="114" t="n"/>
      <c r="C660" s="112">
        <f>ROUND($B660*KarliyukSgkIsciOrani,0)</f>
        <v/>
      </c>
      <c r="D660" s="112">
        <f>ROUND($B660*KarliyukIssizlikIsciOrani,0)</f>
        <v/>
      </c>
      <c r="E660" s="112">
        <f>ROUND($B660*KarliyukStopajOrani,0)</f>
        <v/>
      </c>
      <c r="F660" s="112">
        <f>ROUND($B660*KarliyukDamgaOrani,0)</f>
        <v/>
      </c>
      <c r="G660" s="112">
        <f>$B660-$C660-$D660-$E660-$F660</f>
        <v/>
      </c>
      <c r="H660" s="112">
        <f>ROUND($B660*KarliyukSgkIsverenOrani,0)</f>
        <v/>
      </c>
      <c r="I660" s="112">
        <f>ROUND($B660*KarliyukIssizlikIsverenOrani,0)</f>
        <v/>
      </c>
      <c r="J660" s="112">
        <f>$B660+$H660+$I660</f>
        <v/>
      </c>
      <c r="K660" s="114" t="n"/>
    </row>
    <row r="661" ht="15" customHeight="1" s="68">
      <c r="A661" s="114" t="n"/>
      <c r="B661" s="114" t="n"/>
      <c r="C661" s="112">
        <f>ROUND($B661*KarliyukSgkIsciOrani,0)</f>
        <v/>
      </c>
      <c r="D661" s="112">
        <f>ROUND($B661*KarliyukIssizlikIsciOrani,0)</f>
        <v/>
      </c>
      <c r="E661" s="112">
        <f>ROUND($B661*KarliyukStopajOrani,0)</f>
        <v/>
      </c>
      <c r="F661" s="112">
        <f>ROUND($B661*KarliyukDamgaOrani,0)</f>
        <v/>
      </c>
      <c r="G661" s="112">
        <f>$B661-$C661-$D661-$E661-$F661</f>
        <v/>
      </c>
      <c r="H661" s="112">
        <f>ROUND($B661*KarliyukSgkIsverenOrani,0)</f>
        <v/>
      </c>
      <c r="I661" s="112">
        <f>ROUND($B661*KarliyukIssizlikIsverenOrani,0)</f>
        <v/>
      </c>
      <c r="J661" s="112">
        <f>$B661+$H661+$I661</f>
        <v/>
      </c>
      <c r="K661" s="114" t="n"/>
    </row>
    <row r="662" ht="15" customHeight="1" s="68">
      <c r="A662" s="114" t="n"/>
      <c r="B662" s="114" t="n"/>
      <c r="C662" s="112">
        <f>ROUND($B662*KarliyukSgkIsciOrani,0)</f>
        <v/>
      </c>
      <c r="D662" s="112">
        <f>ROUND($B662*KarliyukIssizlikIsciOrani,0)</f>
        <v/>
      </c>
      <c r="E662" s="112">
        <f>ROUND($B662*KarliyukStopajOrani,0)</f>
        <v/>
      </c>
      <c r="F662" s="112">
        <f>ROUND($B662*KarliyukDamgaOrani,0)</f>
        <v/>
      </c>
      <c r="G662" s="112">
        <f>$B662-$C662-$D662-$E662-$F662</f>
        <v/>
      </c>
      <c r="H662" s="112">
        <f>ROUND($B662*KarliyukSgkIsverenOrani,0)</f>
        <v/>
      </c>
      <c r="I662" s="112">
        <f>ROUND($B662*KarliyukIssizlikIsverenOrani,0)</f>
        <v/>
      </c>
      <c r="J662" s="112">
        <f>$B662+$H662+$I662</f>
        <v/>
      </c>
      <c r="K662" s="114" t="n"/>
    </row>
    <row r="663" ht="15" customHeight="1" s="68">
      <c r="A663" s="114" t="n"/>
      <c r="B663" s="114" t="n"/>
      <c r="C663" s="112">
        <f>ROUND($B663*KarliyukSgkIsciOrani,0)</f>
        <v/>
      </c>
      <c r="D663" s="112">
        <f>ROUND($B663*KarliyukIssizlikIsciOrani,0)</f>
        <v/>
      </c>
      <c r="E663" s="112">
        <f>ROUND($B663*KarliyukStopajOrani,0)</f>
        <v/>
      </c>
      <c r="F663" s="112">
        <f>ROUND($B663*KarliyukDamgaOrani,0)</f>
        <v/>
      </c>
      <c r="G663" s="112">
        <f>$B663-$C663-$D663-$E663-$F663</f>
        <v/>
      </c>
      <c r="H663" s="112">
        <f>ROUND($B663*KarliyukSgkIsverenOrani,0)</f>
        <v/>
      </c>
      <c r="I663" s="112">
        <f>ROUND($B663*KarliyukIssizlikIsverenOrani,0)</f>
        <v/>
      </c>
      <c r="J663" s="112">
        <f>$B663+$H663+$I663</f>
        <v/>
      </c>
      <c r="K663" s="114" t="n"/>
    </row>
    <row r="664" ht="15" customHeight="1" s="68">
      <c r="A664" s="114" t="n"/>
      <c r="B664" s="114" t="n"/>
      <c r="C664" s="112">
        <f>ROUND($B664*KarliyukSgkIsciOrani,0)</f>
        <v/>
      </c>
      <c r="D664" s="112">
        <f>ROUND($B664*KarliyukIssizlikIsciOrani,0)</f>
        <v/>
      </c>
      <c r="E664" s="112">
        <f>ROUND($B664*KarliyukStopajOrani,0)</f>
        <v/>
      </c>
      <c r="F664" s="112">
        <f>ROUND($B664*KarliyukDamgaOrani,0)</f>
        <v/>
      </c>
      <c r="G664" s="112">
        <f>$B664-$C664-$D664-$E664-$F664</f>
        <v/>
      </c>
      <c r="H664" s="112">
        <f>ROUND($B664*KarliyukSgkIsverenOrani,0)</f>
        <v/>
      </c>
      <c r="I664" s="112">
        <f>ROUND($B664*KarliyukIssizlikIsverenOrani,0)</f>
        <v/>
      </c>
      <c r="J664" s="112">
        <f>$B664+$H664+$I664</f>
        <v/>
      </c>
      <c r="K664" s="114" t="n"/>
    </row>
    <row r="665" ht="15" customHeight="1" s="68">
      <c r="A665" s="114" t="n"/>
      <c r="B665" s="114" t="n"/>
      <c r="C665" s="112">
        <f>ROUND($B665*KarliyukSgkIsciOrani,0)</f>
        <v/>
      </c>
      <c r="D665" s="112">
        <f>ROUND($B665*KarliyukIssizlikIsciOrani,0)</f>
        <v/>
      </c>
      <c r="E665" s="112">
        <f>ROUND($B665*KarliyukStopajOrani,0)</f>
        <v/>
      </c>
      <c r="F665" s="112">
        <f>ROUND($B665*KarliyukDamgaOrani,0)</f>
        <v/>
      </c>
      <c r="G665" s="112">
        <f>$B665-$C665-$D665-$E665-$F665</f>
        <v/>
      </c>
      <c r="H665" s="112">
        <f>ROUND($B665*KarliyukSgkIsverenOrani,0)</f>
        <v/>
      </c>
      <c r="I665" s="112">
        <f>ROUND($B665*KarliyukIssizlikIsverenOrani,0)</f>
        <v/>
      </c>
      <c r="J665" s="112">
        <f>$B665+$H665+$I665</f>
        <v/>
      </c>
      <c r="K665" s="114" t="n"/>
    </row>
    <row r="666" ht="15" customHeight="1" s="68">
      <c r="A666" s="114" t="n"/>
      <c r="B666" s="114" t="n"/>
      <c r="C666" s="112">
        <f>ROUND($B666*KarliyukSgkIsciOrani,0)</f>
        <v/>
      </c>
      <c r="D666" s="112">
        <f>ROUND($B666*KarliyukIssizlikIsciOrani,0)</f>
        <v/>
      </c>
      <c r="E666" s="112">
        <f>ROUND($B666*KarliyukStopajOrani,0)</f>
        <v/>
      </c>
      <c r="F666" s="112">
        <f>ROUND($B666*KarliyukDamgaOrani,0)</f>
        <v/>
      </c>
      <c r="G666" s="112">
        <f>$B666-$C666-$D666-$E666-$F666</f>
        <v/>
      </c>
      <c r="H666" s="112">
        <f>ROUND($B666*KarliyukSgkIsverenOrani,0)</f>
        <v/>
      </c>
      <c r="I666" s="112">
        <f>ROUND($B666*KarliyukIssizlikIsverenOrani,0)</f>
        <v/>
      </c>
      <c r="J666" s="112">
        <f>$B666+$H666+$I666</f>
        <v/>
      </c>
      <c r="K666" s="114" t="n"/>
    </row>
    <row r="667" ht="15" customHeight="1" s="68">
      <c r="A667" s="114" t="n"/>
      <c r="B667" s="114" t="n"/>
      <c r="C667" s="112">
        <f>ROUND($B667*KarliyukSgkIsciOrani,0)</f>
        <v/>
      </c>
      <c r="D667" s="112">
        <f>ROUND($B667*KarliyukIssizlikIsciOrani,0)</f>
        <v/>
      </c>
      <c r="E667" s="112">
        <f>ROUND($B667*KarliyukStopajOrani,0)</f>
        <v/>
      </c>
      <c r="F667" s="112">
        <f>ROUND($B667*KarliyukDamgaOrani,0)</f>
        <v/>
      </c>
      <c r="G667" s="112">
        <f>$B667-$C667-$D667-$E667-$F667</f>
        <v/>
      </c>
      <c r="H667" s="112">
        <f>ROUND($B667*KarliyukSgkIsverenOrani,0)</f>
        <v/>
      </c>
      <c r="I667" s="112">
        <f>ROUND($B667*KarliyukIssizlikIsverenOrani,0)</f>
        <v/>
      </c>
      <c r="J667" s="112">
        <f>$B667+$H667+$I667</f>
        <v/>
      </c>
      <c r="K667" s="114" t="n"/>
    </row>
    <row r="668" ht="15" customHeight="1" s="68">
      <c r="A668" s="114" t="n"/>
      <c r="B668" s="114" t="n"/>
      <c r="C668" s="112">
        <f>ROUND($B668*KarliyukSgkIsciOrani,0)</f>
        <v/>
      </c>
      <c r="D668" s="112">
        <f>ROUND($B668*KarliyukIssizlikIsciOrani,0)</f>
        <v/>
      </c>
      <c r="E668" s="112">
        <f>ROUND($B668*KarliyukStopajOrani,0)</f>
        <v/>
      </c>
      <c r="F668" s="112">
        <f>ROUND($B668*KarliyukDamgaOrani,0)</f>
        <v/>
      </c>
      <c r="G668" s="112">
        <f>$B668-$C668-$D668-$E668-$F668</f>
        <v/>
      </c>
      <c r="H668" s="112">
        <f>ROUND($B668*KarliyukSgkIsverenOrani,0)</f>
        <v/>
      </c>
      <c r="I668" s="112">
        <f>ROUND($B668*KarliyukIssizlikIsverenOrani,0)</f>
        <v/>
      </c>
      <c r="J668" s="112">
        <f>$B668+$H668+$I668</f>
        <v/>
      </c>
      <c r="K668" s="114" t="n"/>
    </row>
    <row r="669" ht="15" customHeight="1" s="68">
      <c r="A669" s="114" t="n"/>
      <c r="B669" s="114" t="n"/>
      <c r="C669" s="112">
        <f>ROUND($B669*KarliyukSgkIsciOrani,0)</f>
        <v/>
      </c>
      <c r="D669" s="112">
        <f>ROUND($B669*KarliyukIssizlikIsciOrani,0)</f>
        <v/>
      </c>
      <c r="E669" s="112">
        <f>ROUND($B669*KarliyukStopajOrani,0)</f>
        <v/>
      </c>
      <c r="F669" s="112">
        <f>ROUND($B669*KarliyukDamgaOrani,0)</f>
        <v/>
      </c>
      <c r="G669" s="112">
        <f>$B669-$C669-$D669-$E669-$F669</f>
        <v/>
      </c>
      <c r="H669" s="112">
        <f>ROUND($B669*KarliyukSgkIsverenOrani,0)</f>
        <v/>
      </c>
      <c r="I669" s="112">
        <f>ROUND($B669*KarliyukIssizlikIsverenOrani,0)</f>
        <v/>
      </c>
      <c r="J669" s="112">
        <f>$B669+$H669+$I669</f>
        <v/>
      </c>
      <c r="K669" s="114" t="n"/>
    </row>
    <row r="670" ht="15" customHeight="1" s="68">
      <c r="A670" s="114" t="n"/>
      <c r="B670" s="114" t="n"/>
      <c r="C670" s="112">
        <f>ROUND($B670*KarliyukSgkIsciOrani,0)</f>
        <v/>
      </c>
      <c r="D670" s="112">
        <f>ROUND($B670*KarliyukIssizlikIsciOrani,0)</f>
        <v/>
      </c>
      <c r="E670" s="112">
        <f>ROUND($B670*KarliyukStopajOrani,0)</f>
        <v/>
      </c>
      <c r="F670" s="112">
        <f>ROUND($B670*KarliyukDamgaOrani,0)</f>
        <v/>
      </c>
      <c r="G670" s="112">
        <f>$B670-$C670-$D670-$E670-$F670</f>
        <v/>
      </c>
      <c r="H670" s="112">
        <f>ROUND($B670*KarliyukSgkIsverenOrani,0)</f>
        <v/>
      </c>
      <c r="I670" s="112">
        <f>ROUND($B670*KarliyukIssizlikIsverenOrani,0)</f>
        <v/>
      </c>
      <c r="J670" s="112">
        <f>$B670+$H670+$I670</f>
        <v/>
      </c>
      <c r="K670" s="114" t="n"/>
    </row>
    <row r="671" ht="15" customHeight="1" s="68">
      <c r="A671" s="114" t="n"/>
      <c r="B671" s="114" t="n"/>
      <c r="C671" s="112">
        <f>ROUND($B671*KarliyukSgkIsciOrani,0)</f>
        <v/>
      </c>
      <c r="D671" s="112">
        <f>ROUND($B671*KarliyukIssizlikIsciOrani,0)</f>
        <v/>
      </c>
      <c r="E671" s="112">
        <f>ROUND($B671*KarliyukStopajOrani,0)</f>
        <v/>
      </c>
      <c r="F671" s="112">
        <f>ROUND($B671*KarliyukDamgaOrani,0)</f>
        <v/>
      </c>
      <c r="G671" s="112">
        <f>$B671-$C671-$D671-$E671-$F671</f>
        <v/>
      </c>
      <c r="H671" s="112">
        <f>ROUND($B671*KarliyukSgkIsverenOrani,0)</f>
        <v/>
      </c>
      <c r="I671" s="112">
        <f>ROUND($B671*KarliyukIssizlikIsverenOrani,0)</f>
        <v/>
      </c>
      <c r="J671" s="112">
        <f>$B671+$H671+$I671</f>
        <v/>
      </c>
      <c r="K671" s="114" t="n"/>
    </row>
    <row r="672" ht="15" customHeight="1" s="68">
      <c r="A672" s="114" t="n"/>
      <c r="B672" s="114" t="n"/>
      <c r="C672" s="112">
        <f>ROUND($B672*KarliyukSgkIsciOrani,0)</f>
        <v/>
      </c>
      <c r="D672" s="112">
        <f>ROUND($B672*KarliyukIssizlikIsciOrani,0)</f>
        <v/>
      </c>
      <c r="E672" s="112">
        <f>ROUND($B672*KarliyukStopajOrani,0)</f>
        <v/>
      </c>
      <c r="F672" s="112">
        <f>ROUND($B672*KarliyukDamgaOrani,0)</f>
        <v/>
      </c>
      <c r="G672" s="112">
        <f>$B672-$C672-$D672-$E672-$F672</f>
        <v/>
      </c>
      <c r="H672" s="112">
        <f>ROUND($B672*KarliyukSgkIsverenOrani,0)</f>
        <v/>
      </c>
      <c r="I672" s="112">
        <f>ROUND($B672*KarliyukIssizlikIsverenOrani,0)</f>
        <v/>
      </c>
      <c r="J672" s="112">
        <f>$B672+$H672+$I672</f>
        <v/>
      </c>
      <c r="K672" s="114" t="n"/>
    </row>
    <row r="673" ht="15" customHeight="1" s="68">
      <c r="A673" s="114" t="n"/>
      <c r="B673" s="114" t="n"/>
      <c r="C673" s="112">
        <f>ROUND($B673*KarliyukSgkIsciOrani,0)</f>
        <v/>
      </c>
      <c r="D673" s="112">
        <f>ROUND($B673*KarliyukIssizlikIsciOrani,0)</f>
        <v/>
      </c>
      <c r="E673" s="112">
        <f>ROUND($B673*KarliyukStopajOrani,0)</f>
        <v/>
      </c>
      <c r="F673" s="112">
        <f>ROUND($B673*KarliyukDamgaOrani,0)</f>
        <v/>
      </c>
      <c r="G673" s="112">
        <f>$B673-$C673-$D673-$E673-$F673</f>
        <v/>
      </c>
      <c r="H673" s="112">
        <f>ROUND($B673*KarliyukSgkIsverenOrani,0)</f>
        <v/>
      </c>
      <c r="I673" s="112">
        <f>ROUND($B673*KarliyukIssizlikIsverenOrani,0)</f>
        <v/>
      </c>
      <c r="J673" s="112">
        <f>$B673+$H673+$I673</f>
        <v/>
      </c>
      <c r="K673" s="114" t="n"/>
    </row>
    <row r="674" ht="15" customHeight="1" s="68">
      <c r="A674" s="114" t="n"/>
      <c r="B674" s="114" t="n"/>
      <c r="C674" s="112">
        <f>ROUND($B674*KarliyukSgkIsciOrani,0)</f>
        <v/>
      </c>
      <c r="D674" s="112">
        <f>ROUND($B674*KarliyukIssizlikIsciOrani,0)</f>
        <v/>
      </c>
      <c r="E674" s="112">
        <f>ROUND($B674*KarliyukStopajOrani,0)</f>
        <v/>
      </c>
      <c r="F674" s="112">
        <f>ROUND($B674*KarliyukDamgaOrani,0)</f>
        <v/>
      </c>
      <c r="G674" s="112">
        <f>$B674-$C674-$D674-$E674-$F674</f>
        <v/>
      </c>
      <c r="H674" s="112">
        <f>ROUND($B674*KarliyukSgkIsverenOrani,0)</f>
        <v/>
      </c>
      <c r="I674" s="112">
        <f>ROUND($B674*KarliyukIssizlikIsverenOrani,0)</f>
        <v/>
      </c>
      <c r="J674" s="112">
        <f>$B674+$H674+$I674</f>
        <v/>
      </c>
      <c r="K674" s="114" t="n"/>
    </row>
    <row r="675" ht="15" customHeight="1" s="68">
      <c r="A675" s="114" t="n"/>
      <c r="B675" s="114" t="n"/>
      <c r="C675" s="112">
        <f>ROUND($B675*KarliyukSgkIsciOrani,0)</f>
        <v/>
      </c>
      <c r="D675" s="112">
        <f>ROUND($B675*KarliyukIssizlikIsciOrani,0)</f>
        <v/>
      </c>
      <c r="E675" s="112">
        <f>ROUND($B675*KarliyukStopajOrani,0)</f>
        <v/>
      </c>
      <c r="F675" s="112">
        <f>ROUND($B675*KarliyukDamgaOrani,0)</f>
        <v/>
      </c>
      <c r="G675" s="112">
        <f>$B675-$C675-$D675-$E675-$F675</f>
        <v/>
      </c>
      <c r="H675" s="112">
        <f>ROUND($B675*KarliyukSgkIsverenOrani,0)</f>
        <v/>
      </c>
      <c r="I675" s="112">
        <f>ROUND($B675*KarliyukIssizlikIsverenOrani,0)</f>
        <v/>
      </c>
      <c r="J675" s="112">
        <f>$B675+$H675+$I675</f>
        <v/>
      </c>
      <c r="K675" s="114" t="n"/>
    </row>
    <row r="676" ht="15" customHeight="1" s="68">
      <c r="A676" s="114" t="n"/>
      <c r="B676" s="114" t="n"/>
      <c r="C676" s="112">
        <f>ROUND($B676*KarliyukSgkIsciOrani,0)</f>
        <v/>
      </c>
      <c r="D676" s="112">
        <f>ROUND($B676*KarliyukIssizlikIsciOrani,0)</f>
        <v/>
      </c>
      <c r="E676" s="112">
        <f>ROUND($B676*KarliyukStopajOrani,0)</f>
        <v/>
      </c>
      <c r="F676" s="112">
        <f>ROUND($B676*KarliyukDamgaOrani,0)</f>
        <v/>
      </c>
      <c r="G676" s="112">
        <f>$B676-$C676-$D676-$E676-$F676</f>
        <v/>
      </c>
      <c r="H676" s="112">
        <f>ROUND($B676*KarliyukSgkIsverenOrani,0)</f>
        <v/>
      </c>
      <c r="I676" s="112">
        <f>ROUND($B676*KarliyukIssizlikIsverenOrani,0)</f>
        <v/>
      </c>
      <c r="J676" s="112">
        <f>$B676+$H676+$I676</f>
        <v/>
      </c>
      <c r="K676" s="114" t="n"/>
    </row>
    <row r="677" ht="15" customHeight="1" s="68">
      <c r="A677" s="114" t="n"/>
      <c r="B677" s="114" t="n"/>
      <c r="C677" s="112">
        <f>ROUND($B677*KarliyukSgkIsciOrani,0)</f>
        <v/>
      </c>
      <c r="D677" s="112">
        <f>ROUND($B677*KarliyukIssizlikIsciOrani,0)</f>
        <v/>
      </c>
      <c r="E677" s="112">
        <f>ROUND($B677*KarliyukStopajOrani,0)</f>
        <v/>
      </c>
      <c r="F677" s="112">
        <f>ROUND($B677*KarliyukDamgaOrani,0)</f>
        <v/>
      </c>
      <c r="G677" s="112">
        <f>$B677-$C677-$D677-$E677-$F677</f>
        <v/>
      </c>
      <c r="H677" s="112">
        <f>ROUND($B677*KarliyukSgkIsverenOrani,0)</f>
        <v/>
      </c>
      <c r="I677" s="112">
        <f>ROUND($B677*KarliyukIssizlikIsverenOrani,0)</f>
        <v/>
      </c>
      <c r="J677" s="112">
        <f>$B677+$H677+$I677</f>
        <v/>
      </c>
      <c r="K677" s="114" t="n"/>
    </row>
    <row r="678" ht="15" customHeight="1" s="68">
      <c r="A678" s="114" t="n"/>
      <c r="B678" s="114" t="n"/>
      <c r="C678" s="112">
        <f>ROUND($B678*KarliyukSgkIsciOrani,0)</f>
        <v/>
      </c>
      <c r="D678" s="112">
        <f>ROUND($B678*KarliyukIssizlikIsciOrani,0)</f>
        <v/>
      </c>
      <c r="E678" s="112">
        <f>ROUND($B678*KarliyukStopajOrani,0)</f>
        <v/>
      </c>
      <c r="F678" s="112">
        <f>ROUND($B678*KarliyukDamgaOrani,0)</f>
        <v/>
      </c>
      <c r="G678" s="112">
        <f>$B678-$C678-$D678-$E678-$F678</f>
        <v/>
      </c>
      <c r="H678" s="112">
        <f>ROUND($B678*KarliyukSgkIsverenOrani,0)</f>
        <v/>
      </c>
      <c r="I678" s="112">
        <f>ROUND($B678*KarliyukIssizlikIsverenOrani,0)</f>
        <v/>
      </c>
      <c r="J678" s="112">
        <f>$B678+$H678+$I678</f>
        <v/>
      </c>
      <c r="K678" s="114" t="n"/>
    </row>
    <row r="679" ht="15" customHeight="1" s="68">
      <c r="A679" s="114" t="n"/>
      <c r="B679" s="114" t="n"/>
      <c r="C679" s="112">
        <f>ROUND($B679*KarliyukSgkIsciOrani,0)</f>
        <v/>
      </c>
      <c r="D679" s="112">
        <f>ROUND($B679*KarliyukIssizlikIsciOrani,0)</f>
        <v/>
      </c>
      <c r="E679" s="112">
        <f>ROUND($B679*KarliyukStopajOrani,0)</f>
        <v/>
      </c>
      <c r="F679" s="112">
        <f>ROUND($B679*KarliyukDamgaOrani,0)</f>
        <v/>
      </c>
      <c r="G679" s="112">
        <f>$B679-$C679-$D679-$E679-$F679</f>
        <v/>
      </c>
      <c r="H679" s="112">
        <f>ROUND($B679*KarliyukSgkIsverenOrani,0)</f>
        <v/>
      </c>
      <c r="I679" s="112">
        <f>ROUND($B679*KarliyukIssizlikIsverenOrani,0)</f>
        <v/>
      </c>
      <c r="J679" s="112">
        <f>$B679+$H679+$I679</f>
        <v/>
      </c>
      <c r="K679" s="114" t="n"/>
    </row>
    <row r="680" ht="15" customHeight="1" s="68">
      <c r="A680" s="114" t="n"/>
      <c r="B680" s="114" t="n"/>
      <c r="C680" s="112">
        <f>ROUND($B680*KarliyukSgkIsciOrani,0)</f>
        <v/>
      </c>
      <c r="D680" s="112">
        <f>ROUND($B680*KarliyukIssizlikIsciOrani,0)</f>
        <v/>
      </c>
      <c r="E680" s="112">
        <f>ROUND($B680*KarliyukStopajOrani,0)</f>
        <v/>
      </c>
      <c r="F680" s="112">
        <f>ROUND($B680*KarliyukDamgaOrani,0)</f>
        <v/>
      </c>
      <c r="G680" s="112">
        <f>$B680-$C680-$D680-$E680-$F680</f>
        <v/>
      </c>
      <c r="H680" s="112">
        <f>ROUND($B680*KarliyukSgkIsverenOrani,0)</f>
        <v/>
      </c>
      <c r="I680" s="112">
        <f>ROUND($B680*KarliyukIssizlikIsverenOrani,0)</f>
        <v/>
      </c>
      <c r="J680" s="112">
        <f>$B680+$H680+$I680</f>
        <v/>
      </c>
      <c r="K680" s="114" t="n"/>
    </row>
    <row r="681" ht="15" customHeight="1" s="68">
      <c r="A681" s="114" t="n"/>
      <c r="B681" s="114" t="n"/>
      <c r="C681" s="112">
        <f>ROUND($B681*KarliyukSgkIsciOrani,0)</f>
        <v/>
      </c>
      <c r="D681" s="112">
        <f>ROUND($B681*KarliyukIssizlikIsciOrani,0)</f>
        <v/>
      </c>
      <c r="E681" s="112">
        <f>ROUND($B681*KarliyukStopajOrani,0)</f>
        <v/>
      </c>
      <c r="F681" s="112">
        <f>ROUND($B681*KarliyukDamgaOrani,0)</f>
        <v/>
      </c>
      <c r="G681" s="112">
        <f>$B681-$C681-$D681-$E681-$F681</f>
        <v/>
      </c>
      <c r="H681" s="112">
        <f>ROUND($B681*KarliyukSgkIsverenOrani,0)</f>
        <v/>
      </c>
      <c r="I681" s="112">
        <f>ROUND($B681*KarliyukIssizlikIsverenOrani,0)</f>
        <v/>
      </c>
      <c r="J681" s="112">
        <f>$B681+$H681+$I681</f>
        <v/>
      </c>
      <c r="K681" s="114" t="n"/>
    </row>
    <row r="682" ht="15" customHeight="1" s="68">
      <c r="A682" s="114" t="n"/>
      <c r="B682" s="114" t="n"/>
      <c r="C682" s="112">
        <f>ROUND($B682*KarliyukSgkIsciOrani,0)</f>
        <v/>
      </c>
      <c r="D682" s="112">
        <f>ROUND($B682*KarliyukIssizlikIsciOrani,0)</f>
        <v/>
      </c>
      <c r="E682" s="112">
        <f>ROUND($B682*KarliyukStopajOrani,0)</f>
        <v/>
      </c>
      <c r="F682" s="112">
        <f>ROUND($B682*KarliyukDamgaOrani,0)</f>
        <v/>
      </c>
      <c r="G682" s="112">
        <f>$B682-$C682-$D682-$E682-$F682</f>
        <v/>
      </c>
      <c r="H682" s="112">
        <f>ROUND($B682*KarliyukSgkIsverenOrani,0)</f>
        <v/>
      </c>
      <c r="I682" s="112">
        <f>ROUND($B682*KarliyukIssizlikIsverenOrani,0)</f>
        <v/>
      </c>
      <c r="J682" s="112">
        <f>$B682+$H682+$I682</f>
        <v/>
      </c>
      <c r="K682" s="114" t="n"/>
    </row>
    <row r="683" ht="15" customHeight="1" s="68">
      <c r="A683" s="114" t="n"/>
      <c r="B683" s="114" t="n"/>
      <c r="C683" s="112">
        <f>ROUND($B683*KarliyukSgkIsciOrani,0)</f>
        <v/>
      </c>
      <c r="D683" s="112">
        <f>ROUND($B683*KarliyukIssizlikIsciOrani,0)</f>
        <v/>
      </c>
      <c r="E683" s="112">
        <f>ROUND($B683*KarliyukStopajOrani,0)</f>
        <v/>
      </c>
      <c r="F683" s="112">
        <f>ROUND($B683*KarliyukDamgaOrani,0)</f>
        <v/>
      </c>
      <c r="G683" s="112">
        <f>$B683-$C683-$D683-$E683-$F683</f>
        <v/>
      </c>
      <c r="H683" s="112">
        <f>ROUND($B683*KarliyukSgkIsverenOrani,0)</f>
        <v/>
      </c>
      <c r="I683" s="112">
        <f>ROUND($B683*KarliyukIssizlikIsverenOrani,0)</f>
        <v/>
      </c>
      <c r="J683" s="112">
        <f>$B683+$H683+$I683</f>
        <v/>
      </c>
      <c r="K683" s="114" t="n"/>
    </row>
    <row r="684" ht="15" customHeight="1" s="68">
      <c r="A684" s="114" t="n"/>
      <c r="B684" s="114" t="n"/>
      <c r="C684" s="112">
        <f>ROUND($B684*KarliyukSgkIsciOrani,0)</f>
        <v/>
      </c>
      <c r="D684" s="112">
        <f>ROUND($B684*KarliyukIssizlikIsciOrani,0)</f>
        <v/>
      </c>
      <c r="E684" s="112">
        <f>ROUND($B684*KarliyukStopajOrani,0)</f>
        <v/>
      </c>
      <c r="F684" s="112">
        <f>ROUND($B684*KarliyukDamgaOrani,0)</f>
        <v/>
      </c>
      <c r="G684" s="112">
        <f>$B684-$C684-$D684-$E684-$F684</f>
        <v/>
      </c>
      <c r="H684" s="112">
        <f>ROUND($B684*KarliyukSgkIsverenOrani,0)</f>
        <v/>
      </c>
      <c r="I684" s="112">
        <f>ROUND($B684*KarliyukIssizlikIsverenOrani,0)</f>
        <v/>
      </c>
      <c r="J684" s="112">
        <f>$B684+$H684+$I684</f>
        <v/>
      </c>
      <c r="K684" s="114" t="n"/>
    </row>
    <row r="685" ht="15" customHeight="1" s="68">
      <c r="A685" s="114" t="n"/>
      <c r="B685" s="114" t="n"/>
      <c r="C685" s="112">
        <f>ROUND($B685*KarliyukSgkIsciOrani,0)</f>
        <v/>
      </c>
      <c r="D685" s="112">
        <f>ROUND($B685*KarliyukIssizlikIsciOrani,0)</f>
        <v/>
      </c>
      <c r="E685" s="112">
        <f>ROUND($B685*KarliyukStopajOrani,0)</f>
        <v/>
      </c>
      <c r="F685" s="112">
        <f>ROUND($B685*KarliyukDamgaOrani,0)</f>
        <v/>
      </c>
      <c r="G685" s="112">
        <f>$B685-$C685-$D685-$E685-$F685</f>
        <v/>
      </c>
      <c r="H685" s="112">
        <f>ROUND($B685*KarliyukSgkIsverenOrani,0)</f>
        <v/>
      </c>
      <c r="I685" s="112">
        <f>ROUND($B685*KarliyukIssizlikIsverenOrani,0)</f>
        <v/>
      </c>
      <c r="J685" s="112">
        <f>$B685+$H685+$I685</f>
        <v/>
      </c>
      <c r="K685" s="114" t="n"/>
    </row>
    <row r="686" ht="15" customHeight="1" s="68">
      <c r="A686" s="114" t="n"/>
      <c r="B686" s="114" t="n"/>
      <c r="C686" s="112">
        <f>ROUND($B686*KarliyukSgkIsciOrani,0)</f>
        <v/>
      </c>
      <c r="D686" s="112">
        <f>ROUND($B686*KarliyukIssizlikIsciOrani,0)</f>
        <v/>
      </c>
      <c r="E686" s="112">
        <f>ROUND($B686*KarliyukStopajOrani,0)</f>
        <v/>
      </c>
      <c r="F686" s="112">
        <f>ROUND($B686*KarliyukDamgaOrani,0)</f>
        <v/>
      </c>
      <c r="G686" s="112">
        <f>$B686-$C686-$D686-$E686-$F686</f>
        <v/>
      </c>
      <c r="H686" s="112">
        <f>ROUND($B686*KarliyukSgkIsverenOrani,0)</f>
        <v/>
      </c>
      <c r="I686" s="112">
        <f>ROUND($B686*KarliyukIssizlikIsverenOrani,0)</f>
        <v/>
      </c>
      <c r="J686" s="112">
        <f>$B686+$H686+$I686</f>
        <v/>
      </c>
      <c r="K686" s="114" t="n"/>
    </row>
    <row r="687" ht="15" customHeight="1" s="68">
      <c r="A687" s="114" t="n"/>
      <c r="B687" s="114" t="n"/>
      <c r="C687" s="112">
        <f>ROUND($B687*KarliyukSgkIsciOrani,0)</f>
        <v/>
      </c>
      <c r="D687" s="112">
        <f>ROUND($B687*KarliyukIssizlikIsciOrani,0)</f>
        <v/>
      </c>
      <c r="E687" s="112">
        <f>ROUND($B687*KarliyukStopajOrani,0)</f>
        <v/>
      </c>
      <c r="F687" s="112">
        <f>ROUND($B687*KarliyukDamgaOrani,0)</f>
        <v/>
      </c>
      <c r="G687" s="112">
        <f>$B687-$C687-$D687-$E687-$F687</f>
        <v/>
      </c>
      <c r="H687" s="112">
        <f>ROUND($B687*KarliyukSgkIsverenOrani,0)</f>
        <v/>
      </c>
      <c r="I687" s="112">
        <f>ROUND($B687*KarliyukIssizlikIsverenOrani,0)</f>
        <v/>
      </c>
      <c r="J687" s="112">
        <f>$B687+$H687+$I687</f>
        <v/>
      </c>
      <c r="K687" s="114" t="n"/>
    </row>
    <row r="688" ht="15" customHeight="1" s="68">
      <c r="A688" s="114" t="n"/>
      <c r="B688" s="114" t="n"/>
      <c r="C688" s="112">
        <f>ROUND($B688*KarliyukSgkIsciOrani,0)</f>
        <v/>
      </c>
      <c r="D688" s="112">
        <f>ROUND($B688*KarliyukIssizlikIsciOrani,0)</f>
        <v/>
      </c>
      <c r="E688" s="112">
        <f>ROUND($B688*KarliyukStopajOrani,0)</f>
        <v/>
      </c>
      <c r="F688" s="112">
        <f>ROUND($B688*KarliyukDamgaOrani,0)</f>
        <v/>
      </c>
      <c r="G688" s="112">
        <f>$B688-$C688-$D688-$E688-$F688</f>
        <v/>
      </c>
      <c r="H688" s="112">
        <f>ROUND($B688*KarliyukSgkIsverenOrani,0)</f>
        <v/>
      </c>
      <c r="I688" s="112">
        <f>ROUND($B688*KarliyukIssizlikIsverenOrani,0)</f>
        <v/>
      </c>
      <c r="J688" s="112">
        <f>$B688+$H688+$I688</f>
        <v/>
      </c>
      <c r="K688" s="114" t="n"/>
    </row>
    <row r="689" ht="15" customHeight="1" s="68">
      <c r="A689" s="114" t="n"/>
      <c r="B689" s="114" t="n"/>
      <c r="C689" s="112">
        <f>ROUND($B689*KarliyukSgkIsciOrani,0)</f>
        <v/>
      </c>
      <c r="D689" s="112">
        <f>ROUND($B689*KarliyukIssizlikIsciOrani,0)</f>
        <v/>
      </c>
      <c r="E689" s="112">
        <f>ROUND($B689*KarliyukStopajOrani,0)</f>
        <v/>
      </c>
      <c r="F689" s="112">
        <f>ROUND($B689*KarliyukDamgaOrani,0)</f>
        <v/>
      </c>
      <c r="G689" s="112">
        <f>$B689-$C689-$D689-$E689-$F689</f>
        <v/>
      </c>
      <c r="H689" s="112">
        <f>ROUND($B689*KarliyukSgkIsverenOrani,0)</f>
        <v/>
      </c>
      <c r="I689" s="112">
        <f>ROUND($B689*KarliyukIssizlikIsverenOrani,0)</f>
        <v/>
      </c>
      <c r="J689" s="112">
        <f>$B689+$H689+$I689</f>
        <v/>
      </c>
      <c r="K689" s="114" t="n"/>
    </row>
    <row r="690" ht="15" customHeight="1" s="68">
      <c r="A690" s="114" t="n"/>
      <c r="B690" s="114" t="n"/>
      <c r="C690" s="112">
        <f>ROUND($B690*KarliyukSgkIsciOrani,0)</f>
        <v/>
      </c>
      <c r="D690" s="112">
        <f>ROUND($B690*KarliyukIssizlikIsciOrani,0)</f>
        <v/>
      </c>
      <c r="E690" s="112">
        <f>ROUND($B690*KarliyukStopajOrani,0)</f>
        <v/>
      </c>
      <c r="F690" s="112">
        <f>ROUND($B690*KarliyukDamgaOrani,0)</f>
        <v/>
      </c>
      <c r="G690" s="112">
        <f>$B690-$C690-$D690-$E690-$F690</f>
        <v/>
      </c>
      <c r="H690" s="112">
        <f>ROUND($B690*KarliyukSgkIsverenOrani,0)</f>
        <v/>
      </c>
      <c r="I690" s="112">
        <f>ROUND($B690*KarliyukIssizlikIsverenOrani,0)</f>
        <v/>
      </c>
      <c r="J690" s="112">
        <f>$B690+$H690+$I690</f>
        <v/>
      </c>
      <c r="K690" s="114" t="n"/>
    </row>
    <row r="691" ht="15" customHeight="1" s="68">
      <c r="A691" s="114" t="n"/>
      <c r="B691" s="114" t="n"/>
      <c r="C691" s="112">
        <f>ROUND($B691*KarliyukSgkIsciOrani,0)</f>
        <v/>
      </c>
      <c r="D691" s="112">
        <f>ROUND($B691*KarliyukIssizlikIsciOrani,0)</f>
        <v/>
      </c>
      <c r="E691" s="112">
        <f>ROUND($B691*KarliyukStopajOrani,0)</f>
        <v/>
      </c>
      <c r="F691" s="112">
        <f>ROUND($B691*KarliyukDamgaOrani,0)</f>
        <v/>
      </c>
      <c r="G691" s="112">
        <f>$B691-$C691-$D691-$E691-$F691</f>
        <v/>
      </c>
      <c r="H691" s="112">
        <f>ROUND($B691*KarliyukSgkIsverenOrani,0)</f>
        <v/>
      </c>
      <c r="I691" s="112">
        <f>ROUND($B691*KarliyukIssizlikIsverenOrani,0)</f>
        <v/>
      </c>
      <c r="J691" s="112">
        <f>$B691+$H691+$I691</f>
        <v/>
      </c>
      <c r="K691" s="114" t="n"/>
    </row>
    <row r="692" ht="15" customHeight="1" s="68">
      <c r="A692" s="114" t="n"/>
      <c r="B692" s="114" t="n"/>
      <c r="C692" s="112">
        <f>ROUND($B692*KarliyukSgkIsciOrani,0)</f>
        <v/>
      </c>
      <c r="D692" s="112">
        <f>ROUND($B692*KarliyukIssizlikIsciOrani,0)</f>
        <v/>
      </c>
      <c r="E692" s="112">
        <f>ROUND($B692*KarliyukStopajOrani,0)</f>
        <v/>
      </c>
      <c r="F692" s="112">
        <f>ROUND($B692*KarliyukDamgaOrani,0)</f>
        <v/>
      </c>
      <c r="G692" s="112">
        <f>$B692-$C692-$D692-$E692-$F692</f>
        <v/>
      </c>
      <c r="H692" s="112">
        <f>ROUND($B692*KarliyukSgkIsverenOrani,0)</f>
        <v/>
      </c>
      <c r="I692" s="112">
        <f>ROUND($B692*KarliyukIssizlikIsverenOrani,0)</f>
        <v/>
      </c>
      <c r="J692" s="112">
        <f>$B692+$H692+$I692</f>
        <v/>
      </c>
      <c r="K692" s="114" t="n"/>
    </row>
    <row r="693" ht="15" customHeight="1" s="68">
      <c r="A693" s="114" t="n"/>
      <c r="B693" s="114" t="n"/>
      <c r="C693" s="112">
        <f>ROUND($B693*KarliyukSgkIsciOrani,0)</f>
        <v/>
      </c>
      <c r="D693" s="112">
        <f>ROUND($B693*KarliyukIssizlikIsciOrani,0)</f>
        <v/>
      </c>
      <c r="E693" s="112">
        <f>ROUND($B693*KarliyukStopajOrani,0)</f>
        <v/>
      </c>
      <c r="F693" s="112">
        <f>ROUND($B693*KarliyukDamgaOrani,0)</f>
        <v/>
      </c>
      <c r="G693" s="112">
        <f>$B693-$C693-$D693-$E693-$F693</f>
        <v/>
      </c>
      <c r="H693" s="112">
        <f>ROUND($B693*KarliyukSgkIsverenOrani,0)</f>
        <v/>
      </c>
      <c r="I693" s="112">
        <f>ROUND($B693*KarliyukIssizlikIsverenOrani,0)</f>
        <v/>
      </c>
      <c r="J693" s="112">
        <f>$B693+$H693+$I693</f>
        <v/>
      </c>
      <c r="K693" s="114" t="n"/>
    </row>
    <row r="694" ht="15" customHeight="1" s="68">
      <c r="A694" s="114" t="n"/>
      <c r="B694" s="114" t="n"/>
      <c r="C694" s="112">
        <f>ROUND($B694*KarliyukSgkIsciOrani,0)</f>
        <v/>
      </c>
      <c r="D694" s="112">
        <f>ROUND($B694*KarliyukIssizlikIsciOrani,0)</f>
        <v/>
      </c>
      <c r="E694" s="112">
        <f>ROUND($B694*KarliyukStopajOrani,0)</f>
        <v/>
      </c>
      <c r="F694" s="112">
        <f>ROUND($B694*KarliyukDamgaOrani,0)</f>
        <v/>
      </c>
      <c r="G694" s="112">
        <f>$B694-$C694-$D694-$E694-$F694</f>
        <v/>
      </c>
      <c r="H694" s="112">
        <f>ROUND($B694*KarliyukSgkIsverenOrani,0)</f>
        <v/>
      </c>
      <c r="I694" s="112">
        <f>ROUND($B694*KarliyukIssizlikIsverenOrani,0)</f>
        <v/>
      </c>
      <c r="J694" s="112">
        <f>$B694+$H694+$I694</f>
        <v/>
      </c>
      <c r="K694" s="114" t="n"/>
    </row>
    <row r="695" ht="15" customHeight="1" s="68">
      <c r="A695" s="114" t="n"/>
      <c r="B695" s="114" t="n"/>
      <c r="C695" s="112">
        <f>ROUND($B695*KarliyukSgkIsciOrani,0)</f>
        <v/>
      </c>
      <c r="D695" s="112">
        <f>ROUND($B695*KarliyukIssizlikIsciOrani,0)</f>
        <v/>
      </c>
      <c r="E695" s="112">
        <f>ROUND($B695*KarliyukStopajOrani,0)</f>
        <v/>
      </c>
      <c r="F695" s="112">
        <f>ROUND($B695*KarliyukDamgaOrani,0)</f>
        <v/>
      </c>
      <c r="G695" s="112">
        <f>$B695-$C695-$D695-$E695-$F695</f>
        <v/>
      </c>
      <c r="H695" s="112">
        <f>ROUND($B695*KarliyukSgkIsverenOrani,0)</f>
        <v/>
      </c>
      <c r="I695" s="112">
        <f>ROUND($B695*KarliyukIssizlikIsverenOrani,0)</f>
        <v/>
      </c>
      <c r="J695" s="112">
        <f>$B695+$H695+$I695</f>
        <v/>
      </c>
      <c r="K695" s="114" t="n"/>
    </row>
    <row r="696" ht="15" customHeight="1" s="68">
      <c r="A696" s="114" t="n"/>
      <c r="B696" s="114" t="n"/>
      <c r="C696" s="112">
        <f>ROUND($B696*KarliyukSgkIsciOrani,0)</f>
        <v/>
      </c>
      <c r="D696" s="112">
        <f>ROUND($B696*KarliyukIssizlikIsciOrani,0)</f>
        <v/>
      </c>
      <c r="E696" s="112">
        <f>ROUND($B696*KarliyukStopajOrani,0)</f>
        <v/>
      </c>
      <c r="F696" s="112">
        <f>ROUND($B696*KarliyukDamgaOrani,0)</f>
        <v/>
      </c>
      <c r="G696" s="112">
        <f>$B696-$C696-$D696-$E696-$F696</f>
        <v/>
      </c>
      <c r="H696" s="112">
        <f>ROUND($B696*KarliyukSgkIsverenOrani,0)</f>
        <v/>
      </c>
      <c r="I696" s="112">
        <f>ROUND($B696*KarliyukIssizlikIsverenOrani,0)</f>
        <v/>
      </c>
      <c r="J696" s="112">
        <f>$B696+$H696+$I696</f>
        <v/>
      </c>
      <c r="K696" s="114" t="n"/>
    </row>
    <row r="697" ht="15" customHeight="1" s="68">
      <c r="A697" s="114" t="n"/>
      <c r="B697" s="114" t="n"/>
      <c r="C697" s="112">
        <f>ROUND($B697*KarliyukSgkIsciOrani,0)</f>
        <v/>
      </c>
      <c r="D697" s="112">
        <f>ROUND($B697*KarliyukIssizlikIsciOrani,0)</f>
        <v/>
      </c>
      <c r="E697" s="112">
        <f>ROUND($B697*KarliyukStopajOrani,0)</f>
        <v/>
      </c>
      <c r="F697" s="112">
        <f>ROUND($B697*KarliyukDamgaOrani,0)</f>
        <v/>
      </c>
      <c r="G697" s="112">
        <f>$B697-$C697-$D697-$E697-$F697</f>
        <v/>
      </c>
      <c r="H697" s="112">
        <f>ROUND($B697*KarliyukSgkIsverenOrani,0)</f>
        <v/>
      </c>
      <c r="I697" s="112">
        <f>ROUND($B697*KarliyukIssizlikIsverenOrani,0)</f>
        <v/>
      </c>
      <c r="J697" s="112">
        <f>$B697+$H697+$I697</f>
        <v/>
      </c>
      <c r="K697" s="114" t="n"/>
    </row>
    <row r="698" ht="15" customHeight="1" s="68">
      <c r="A698" s="114" t="n"/>
      <c r="B698" s="114" t="n"/>
      <c r="C698" s="112">
        <f>ROUND($B698*KarliyukSgkIsciOrani,0)</f>
        <v/>
      </c>
      <c r="D698" s="112">
        <f>ROUND($B698*KarliyukIssizlikIsciOrani,0)</f>
        <v/>
      </c>
      <c r="E698" s="112">
        <f>ROUND($B698*KarliyukStopajOrani,0)</f>
        <v/>
      </c>
      <c r="F698" s="112">
        <f>ROUND($B698*KarliyukDamgaOrani,0)</f>
        <v/>
      </c>
      <c r="G698" s="112">
        <f>$B698-$C698-$D698-$E698-$F698</f>
        <v/>
      </c>
      <c r="H698" s="112">
        <f>ROUND($B698*KarliyukSgkIsverenOrani,0)</f>
        <v/>
      </c>
      <c r="I698" s="112">
        <f>ROUND($B698*KarliyukIssizlikIsverenOrani,0)</f>
        <v/>
      </c>
      <c r="J698" s="112">
        <f>$B698+$H698+$I698</f>
        <v/>
      </c>
      <c r="K698" s="114" t="n"/>
    </row>
    <row r="699" ht="15" customHeight="1" s="68">
      <c r="A699" s="114" t="n"/>
      <c r="B699" s="114" t="n"/>
      <c r="C699" s="112">
        <f>ROUND($B699*KarliyukSgkIsciOrani,0)</f>
        <v/>
      </c>
      <c r="D699" s="112">
        <f>ROUND($B699*KarliyukIssizlikIsciOrani,0)</f>
        <v/>
      </c>
      <c r="E699" s="112">
        <f>ROUND($B699*KarliyukStopajOrani,0)</f>
        <v/>
      </c>
      <c r="F699" s="112">
        <f>ROUND($B699*KarliyukDamgaOrani,0)</f>
        <v/>
      </c>
      <c r="G699" s="112">
        <f>$B699-$C699-$D699-$E699-$F699</f>
        <v/>
      </c>
      <c r="H699" s="112">
        <f>ROUND($B699*KarliyukSgkIsverenOrani,0)</f>
        <v/>
      </c>
      <c r="I699" s="112">
        <f>ROUND($B699*KarliyukIssizlikIsverenOrani,0)</f>
        <v/>
      </c>
      <c r="J699" s="112">
        <f>$B699+$H699+$I699</f>
        <v/>
      </c>
      <c r="K699" s="114" t="n"/>
    </row>
    <row r="700" ht="15" customHeight="1" s="68">
      <c r="A700" s="114" t="n"/>
      <c r="B700" s="114" t="n"/>
      <c r="C700" s="112">
        <f>ROUND($B700*KarliyukSgkIsciOrani,0)</f>
        <v/>
      </c>
      <c r="D700" s="112">
        <f>ROUND($B700*KarliyukIssizlikIsciOrani,0)</f>
        <v/>
      </c>
      <c r="E700" s="112">
        <f>ROUND($B700*KarliyukStopajOrani,0)</f>
        <v/>
      </c>
      <c r="F700" s="112">
        <f>ROUND($B700*KarliyukDamgaOrani,0)</f>
        <v/>
      </c>
      <c r="G700" s="112">
        <f>$B700-$C700-$D700-$E700-$F700</f>
        <v/>
      </c>
      <c r="H700" s="112">
        <f>ROUND($B700*KarliyukSgkIsverenOrani,0)</f>
        <v/>
      </c>
      <c r="I700" s="112">
        <f>ROUND($B700*KarliyukIssizlikIsverenOrani,0)</f>
        <v/>
      </c>
      <c r="J700" s="112">
        <f>$B700+$H700+$I700</f>
        <v/>
      </c>
      <c r="K700" s="114" t="n"/>
    </row>
    <row r="701" ht="15" customHeight="1" s="68">
      <c r="A701" s="114" t="n"/>
      <c r="B701" s="114" t="n"/>
      <c r="C701" s="112">
        <f>ROUND($B701*KarliyukSgkIsciOrani,0)</f>
        <v/>
      </c>
      <c r="D701" s="112">
        <f>ROUND($B701*KarliyukIssizlikIsciOrani,0)</f>
        <v/>
      </c>
      <c r="E701" s="112">
        <f>ROUND($B701*KarliyukStopajOrani,0)</f>
        <v/>
      </c>
      <c r="F701" s="112">
        <f>ROUND($B701*KarliyukDamgaOrani,0)</f>
        <v/>
      </c>
      <c r="G701" s="112">
        <f>$B701-$C701-$D701-$E701-$F701</f>
        <v/>
      </c>
      <c r="H701" s="112">
        <f>ROUND($B701*KarliyukSgkIsverenOrani,0)</f>
        <v/>
      </c>
      <c r="I701" s="112">
        <f>ROUND($B701*KarliyukIssizlikIsverenOrani,0)</f>
        <v/>
      </c>
      <c r="J701" s="112">
        <f>$B701+$H701+$I701</f>
        <v/>
      </c>
      <c r="K701" s="114" t="n"/>
    </row>
    <row r="702" ht="15" customHeight="1" s="68">
      <c r="A702" s="114" t="n"/>
      <c r="B702" s="114" t="n"/>
      <c r="C702" s="112">
        <f>ROUND($B702*KarliyukSgkIsciOrani,0)</f>
        <v/>
      </c>
      <c r="D702" s="112">
        <f>ROUND($B702*KarliyukIssizlikIsciOrani,0)</f>
        <v/>
      </c>
      <c r="E702" s="112">
        <f>ROUND($B702*KarliyukStopajOrani,0)</f>
        <v/>
      </c>
      <c r="F702" s="112">
        <f>ROUND($B702*KarliyukDamgaOrani,0)</f>
        <v/>
      </c>
      <c r="G702" s="112">
        <f>$B702-$C702-$D702-$E702-$F702</f>
        <v/>
      </c>
      <c r="H702" s="112">
        <f>ROUND($B702*KarliyukSgkIsverenOrani,0)</f>
        <v/>
      </c>
      <c r="I702" s="112">
        <f>ROUND($B702*KarliyukIssizlikIsverenOrani,0)</f>
        <v/>
      </c>
      <c r="J702" s="112">
        <f>$B702+$H702+$I702</f>
        <v/>
      </c>
      <c r="K702" s="114" t="n"/>
    </row>
    <row r="703" ht="15" customHeight="1" s="68">
      <c r="A703" s="114" t="n"/>
      <c r="B703" s="114" t="n"/>
      <c r="C703" s="112">
        <f>ROUND($B703*KarliyukSgkIsciOrani,0)</f>
        <v/>
      </c>
      <c r="D703" s="112">
        <f>ROUND($B703*KarliyukIssizlikIsciOrani,0)</f>
        <v/>
      </c>
      <c r="E703" s="112">
        <f>ROUND($B703*KarliyukStopajOrani,0)</f>
        <v/>
      </c>
      <c r="F703" s="112">
        <f>ROUND($B703*KarliyukDamgaOrani,0)</f>
        <v/>
      </c>
      <c r="G703" s="112">
        <f>$B703-$C703-$D703-$E703-$F703</f>
        <v/>
      </c>
      <c r="H703" s="112">
        <f>ROUND($B703*KarliyukSgkIsverenOrani,0)</f>
        <v/>
      </c>
      <c r="I703" s="112">
        <f>ROUND($B703*KarliyukIssizlikIsverenOrani,0)</f>
        <v/>
      </c>
      <c r="J703" s="112">
        <f>$B703+$H703+$I703</f>
        <v/>
      </c>
      <c r="K703" s="114" t="n"/>
    </row>
    <row r="704" ht="15" customHeight="1" s="68">
      <c r="A704" s="114" t="n"/>
      <c r="B704" s="114" t="n"/>
      <c r="C704" s="112">
        <f>ROUND($B704*KarliyukSgkIsciOrani,0)</f>
        <v/>
      </c>
      <c r="D704" s="112">
        <f>ROUND($B704*KarliyukIssizlikIsciOrani,0)</f>
        <v/>
      </c>
      <c r="E704" s="112">
        <f>ROUND($B704*KarliyukStopajOrani,0)</f>
        <v/>
      </c>
      <c r="F704" s="112">
        <f>ROUND($B704*KarliyukDamgaOrani,0)</f>
        <v/>
      </c>
      <c r="G704" s="112">
        <f>$B704-$C704-$D704-$E704-$F704</f>
        <v/>
      </c>
      <c r="H704" s="112">
        <f>ROUND($B704*KarliyukSgkIsverenOrani,0)</f>
        <v/>
      </c>
      <c r="I704" s="112">
        <f>ROUND($B704*KarliyukIssizlikIsverenOrani,0)</f>
        <v/>
      </c>
      <c r="J704" s="112">
        <f>$B704+$H704+$I704</f>
        <v/>
      </c>
      <c r="K704" s="114" t="n"/>
    </row>
    <row r="705" ht="15" customHeight="1" s="68">
      <c r="A705" s="114" t="n"/>
      <c r="B705" s="114" t="n"/>
      <c r="C705" s="112">
        <f>ROUND($B705*KarliyukSgkIsciOrani,0)</f>
        <v/>
      </c>
      <c r="D705" s="112">
        <f>ROUND($B705*KarliyukIssizlikIsciOrani,0)</f>
        <v/>
      </c>
      <c r="E705" s="112">
        <f>ROUND($B705*KarliyukStopajOrani,0)</f>
        <v/>
      </c>
      <c r="F705" s="112">
        <f>ROUND($B705*KarliyukDamgaOrani,0)</f>
        <v/>
      </c>
      <c r="G705" s="112">
        <f>$B705-$C705-$D705-$E705-$F705</f>
        <v/>
      </c>
      <c r="H705" s="112">
        <f>ROUND($B705*KarliyukSgkIsverenOrani,0)</f>
        <v/>
      </c>
      <c r="I705" s="112">
        <f>ROUND($B705*KarliyukIssizlikIsverenOrani,0)</f>
        <v/>
      </c>
      <c r="J705" s="112">
        <f>$B705+$H705+$I705</f>
        <v/>
      </c>
      <c r="K705" s="114" t="n"/>
    </row>
    <row r="706" ht="15" customHeight="1" s="68">
      <c r="A706" s="114" t="n"/>
      <c r="B706" s="114" t="n"/>
      <c r="C706" s="112">
        <f>ROUND($B706*KarliyukSgkIsciOrani,0)</f>
        <v/>
      </c>
      <c r="D706" s="112">
        <f>ROUND($B706*KarliyukIssizlikIsciOrani,0)</f>
        <v/>
      </c>
      <c r="E706" s="112">
        <f>ROUND($B706*KarliyukStopajOrani,0)</f>
        <v/>
      </c>
      <c r="F706" s="112">
        <f>ROUND($B706*KarliyukDamgaOrani,0)</f>
        <v/>
      </c>
      <c r="G706" s="112">
        <f>$B706-$C706-$D706-$E706-$F706</f>
        <v/>
      </c>
      <c r="H706" s="112">
        <f>ROUND($B706*KarliyukSgkIsverenOrani,0)</f>
        <v/>
      </c>
      <c r="I706" s="112">
        <f>ROUND($B706*KarliyukIssizlikIsverenOrani,0)</f>
        <v/>
      </c>
      <c r="J706" s="112">
        <f>$B706+$H706+$I706</f>
        <v/>
      </c>
      <c r="K706" s="114" t="n"/>
    </row>
    <row r="707" ht="15" customHeight="1" s="68">
      <c r="A707" s="114" t="n"/>
      <c r="B707" s="114" t="n"/>
      <c r="C707" s="112">
        <f>ROUND($B707*KarliyukSgkIsciOrani,0)</f>
        <v/>
      </c>
      <c r="D707" s="112">
        <f>ROUND($B707*KarliyukIssizlikIsciOrani,0)</f>
        <v/>
      </c>
      <c r="E707" s="112">
        <f>ROUND($B707*KarliyukStopajOrani,0)</f>
        <v/>
      </c>
      <c r="F707" s="112">
        <f>ROUND($B707*KarliyukDamgaOrani,0)</f>
        <v/>
      </c>
      <c r="G707" s="112">
        <f>$B707-$C707-$D707-$E707-$F707</f>
        <v/>
      </c>
      <c r="H707" s="112">
        <f>ROUND($B707*KarliyukSgkIsverenOrani,0)</f>
        <v/>
      </c>
      <c r="I707" s="112">
        <f>ROUND($B707*KarliyukIssizlikIsverenOrani,0)</f>
        <v/>
      </c>
      <c r="J707" s="112">
        <f>$B707+$H707+$I707</f>
        <v/>
      </c>
      <c r="K707" s="114" t="n"/>
    </row>
    <row r="708" ht="15" customHeight="1" s="68">
      <c r="A708" s="114" t="n"/>
      <c r="B708" s="114" t="n"/>
      <c r="C708" s="112">
        <f>ROUND($B708*KarliyukSgkIsciOrani,0)</f>
        <v/>
      </c>
      <c r="D708" s="112">
        <f>ROUND($B708*KarliyukIssizlikIsciOrani,0)</f>
        <v/>
      </c>
      <c r="E708" s="112">
        <f>ROUND($B708*KarliyukStopajOrani,0)</f>
        <v/>
      </c>
      <c r="F708" s="112">
        <f>ROUND($B708*KarliyukDamgaOrani,0)</f>
        <v/>
      </c>
      <c r="G708" s="112">
        <f>$B708-$C708-$D708-$E708-$F708</f>
        <v/>
      </c>
      <c r="H708" s="112">
        <f>ROUND($B708*KarliyukSgkIsverenOrani,0)</f>
        <v/>
      </c>
      <c r="I708" s="112">
        <f>ROUND($B708*KarliyukIssizlikIsverenOrani,0)</f>
        <v/>
      </c>
      <c r="J708" s="112">
        <f>$B708+$H708+$I708</f>
        <v/>
      </c>
      <c r="K708" s="114" t="n"/>
    </row>
    <row r="709" ht="15" customHeight="1" s="68">
      <c r="A709" s="114" t="n"/>
      <c r="B709" s="114" t="n"/>
      <c r="C709" s="112">
        <f>ROUND($B709*KarliyukSgkIsciOrani,0)</f>
        <v/>
      </c>
      <c r="D709" s="112">
        <f>ROUND($B709*KarliyukIssizlikIsciOrani,0)</f>
        <v/>
      </c>
      <c r="E709" s="112">
        <f>ROUND($B709*KarliyukStopajOrani,0)</f>
        <v/>
      </c>
      <c r="F709" s="112">
        <f>ROUND($B709*KarliyukDamgaOrani,0)</f>
        <v/>
      </c>
      <c r="G709" s="112">
        <f>$B709-$C709-$D709-$E709-$F709</f>
        <v/>
      </c>
      <c r="H709" s="112">
        <f>ROUND($B709*KarliyukSgkIsverenOrani,0)</f>
        <v/>
      </c>
      <c r="I709" s="112">
        <f>ROUND($B709*KarliyukIssizlikIsverenOrani,0)</f>
        <v/>
      </c>
      <c r="J709" s="112">
        <f>$B709+$H709+$I709</f>
        <v/>
      </c>
      <c r="K709" s="114" t="n"/>
    </row>
    <row r="710" ht="15" customHeight="1" s="68">
      <c r="A710" s="114" t="n"/>
      <c r="B710" s="114" t="n"/>
      <c r="C710" s="112">
        <f>ROUND($B710*KarliyukSgkIsciOrani,0)</f>
        <v/>
      </c>
      <c r="D710" s="112">
        <f>ROUND($B710*KarliyukIssizlikIsciOrani,0)</f>
        <v/>
      </c>
      <c r="E710" s="112">
        <f>ROUND($B710*KarliyukStopajOrani,0)</f>
        <v/>
      </c>
      <c r="F710" s="112">
        <f>ROUND($B710*KarliyukDamgaOrani,0)</f>
        <v/>
      </c>
      <c r="G710" s="112">
        <f>$B710-$C710-$D710-$E710-$F710</f>
        <v/>
      </c>
      <c r="H710" s="112">
        <f>ROUND($B710*KarliyukSgkIsverenOrani,0)</f>
        <v/>
      </c>
      <c r="I710" s="112">
        <f>ROUND($B710*KarliyukIssizlikIsverenOrani,0)</f>
        <v/>
      </c>
      <c r="J710" s="112">
        <f>$B710+$H710+$I710</f>
        <v/>
      </c>
      <c r="K710" s="114" t="n"/>
    </row>
    <row r="711" ht="15" customHeight="1" s="68">
      <c r="A711" s="114" t="n"/>
      <c r="B711" s="114" t="n"/>
      <c r="C711" s="112">
        <f>ROUND($B711*KarliyukSgkIsciOrani,0)</f>
        <v/>
      </c>
      <c r="D711" s="112">
        <f>ROUND($B711*KarliyukIssizlikIsciOrani,0)</f>
        <v/>
      </c>
      <c r="E711" s="112">
        <f>ROUND($B711*KarliyukStopajOrani,0)</f>
        <v/>
      </c>
      <c r="F711" s="112">
        <f>ROUND($B711*KarliyukDamgaOrani,0)</f>
        <v/>
      </c>
      <c r="G711" s="112">
        <f>$B711-$C711-$D711-$E711-$F711</f>
        <v/>
      </c>
      <c r="H711" s="112">
        <f>ROUND($B711*KarliyukSgkIsverenOrani,0)</f>
        <v/>
      </c>
      <c r="I711" s="112">
        <f>ROUND($B711*KarliyukIssizlikIsverenOrani,0)</f>
        <v/>
      </c>
      <c r="J711" s="112">
        <f>$B711+$H711+$I711</f>
        <v/>
      </c>
      <c r="K711" s="114" t="n"/>
    </row>
    <row r="712" ht="15" customHeight="1" s="68">
      <c r="A712" s="114" t="n"/>
      <c r="B712" s="114" t="n"/>
      <c r="C712" s="112">
        <f>ROUND($B712*KarliyukSgkIsciOrani,0)</f>
        <v/>
      </c>
      <c r="D712" s="112">
        <f>ROUND($B712*KarliyukIssizlikIsciOrani,0)</f>
        <v/>
      </c>
      <c r="E712" s="112">
        <f>ROUND($B712*KarliyukStopajOrani,0)</f>
        <v/>
      </c>
      <c r="F712" s="112">
        <f>ROUND($B712*KarliyukDamgaOrani,0)</f>
        <v/>
      </c>
      <c r="G712" s="112">
        <f>$B712-$C712-$D712-$E712-$F712</f>
        <v/>
      </c>
      <c r="H712" s="112">
        <f>ROUND($B712*KarliyukSgkIsverenOrani,0)</f>
        <v/>
      </c>
      <c r="I712" s="112">
        <f>ROUND($B712*KarliyukIssizlikIsverenOrani,0)</f>
        <v/>
      </c>
      <c r="J712" s="112">
        <f>$B712+$H712+$I712</f>
        <v/>
      </c>
      <c r="K712" s="114" t="n"/>
    </row>
    <row r="713" ht="15" customHeight="1" s="68">
      <c r="A713" s="114" t="n"/>
      <c r="B713" s="114" t="n"/>
      <c r="C713" s="112">
        <f>ROUND($B713*KarliyukSgkIsciOrani,0)</f>
        <v/>
      </c>
      <c r="D713" s="112">
        <f>ROUND($B713*KarliyukIssizlikIsciOrani,0)</f>
        <v/>
      </c>
      <c r="E713" s="112">
        <f>ROUND($B713*KarliyukStopajOrani,0)</f>
        <v/>
      </c>
      <c r="F713" s="112">
        <f>ROUND($B713*KarliyukDamgaOrani,0)</f>
        <v/>
      </c>
      <c r="G713" s="112">
        <f>$B713-$C713-$D713-$E713-$F713</f>
        <v/>
      </c>
      <c r="H713" s="112">
        <f>ROUND($B713*KarliyukSgkIsverenOrani,0)</f>
        <v/>
      </c>
      <c r="I713" s="112">
        <f>ROUND($B713*KarliyukIssizlikIsverenOrani,0)</f>
        <v/>
      </c>
      <c r="J713" s="112">
        <f>$B713+$H713+$I713</f>
        <v/>
      </c>
      <c r="K713" s="114" t="n"/>
    </row>
    <row r="714" ht="15" customHeight="1" s="68">
      <c r="A714" s="114" t="n"/>
      <c r="B714" s="114" t="n"/>
      <c r="C714" s="112">
        <f>ROUND($B714*KarliyukSgkIsciOrani,0)</f>
        <v/>
      </c>
      <c r="D714" s="112">
        <f>ROUND($B714*KarliyukIssizlikIsciOrani,0)</f>
        <v/>
      </c>
      <c r="E714" s="112">
        <f>ROUND($B714*KarliyukStopajOrani,0)</f>
        <v/>
      </c>
      <c r="F714" s="112">
        <f>ROUND($B714*KarliyukDamgaOrani,0)</f>
        <v/>
      </c>
      <c r="G714" s="112">
        <f>$B714-$C714-$D714-$E714-$F714</f>
        <v/>
      </c>
      <c r="H714" s="112">
        <f>ROUND($B714*KarliyukSgkIsverenOrani,0)</f>
        <v/>
      </c>
      <c r="I714" s="112">
        <f>ROUND($B714*KarliyukIssizlikIsverenOrani,0)</f>
        <v/>
      </c>
      <c r="J714" s="112">
        <f>$B714+$H714+$I714</f>
        <v/>
      </c>
      <c r="K714" s="114" t="n"/>
    </row>
    <row r="715" ht="15" customHeight="1" s="68">
      <c r="A715" s="114" t="n"/>
      <c r="B715" s="114" t="n"/>
      <c r="C715" s="112">
        <f>ROUND($B715*KarliyukSgkIsciOrani,0)</f>
        <v/>
      </c>
      <c r="D715" s="112">
        <f>ROUND($B715*KarliyukIssizlikIsciOrani,0)</f>
        <v/>
      </c>
      <c r="E715" s="112">
        <f>ROUND($B715*KarliyukStopajOrani,0)</f>
        <v/>
      </c>
      <c r="F715" s="112">
        <f>ROUND($B715*KarliyukDamgaOrani,0)</f>
        <v/>
      </c>
      <c r="G715" s="112">
        <f>$B715-$C715-$D715-$E715-$F715</f>
        <v/>
      </c>
      <c r="H715" s="112">
        <f>ROUND($B715*KarliyukSgkIsverenOrani,0)</f>
        <v/>
      </c>
      <c r="I715" s="112">
        <f>ROUND($B715*KarliyukIssizlikIsverenOrani,0)</f>
        <v/>
      </c>
      <c r="J715" s="112">
        <f>$B715+$H715+$I715</f>
        <v/>
      </c>
      <c r="K715" s="114" t="n"/>
    </row>
    <row r="716" ht="15" customHeight="1" s="68">
      <c r="A716" s="114" t="n"/>
      <c r="B716" s="114" t="n"/>
      <c r="C716" s="112">
        <f>ROUND($B716*KarliyukSgkIsciOrani,0)</f>
        <v/>
      </c>
      <c r="D716" s="112">
        <f>ROUND($B716*KarliyukIssizlikIsciOrani,0)</f>
        <v/>
      </c>
      <c r="E716" s="112">
        <f>ROUND($B716*KarliyukStopajOrani,0)</f>
        <v/>
      </c>
      <c r="F716" s="112">
        <f>ROUND($B716*KarliyukDamgaOrani,0)</f>
        <v/>
      </c>
      <c r="G716" s="112">
        <f>$B716-$C716-$D716-$E716-$F716</f>
        <v/>
      </c>
      <c r="H716" s="112">
        <f>ROUND($B716*KarliyukSgkIsverenOrani,0)</f>
        <v/>
      </c>
      <c r="I716" s="112">
        <f>ROUND($B716*KarliyukIssizlikIsverenOrani,0)</f>
        <v/>
      </c>
      <c r="J716" s="112">
        <f>$B716+$H716+$I716</f>
        <v/>
      </c>
      <c r="K716" s="114" t="n"/>
    </row>
    <row r="717" ht="15" customHeight="1" s="68">
      <c r="A717" s="114" t="n"/>
      <c r="B717" s="114" t="n"/>
      <c r="C717" s="112">
        <f>ROUND($B717*KarliyukSgkIsciOrani,0)</f>
        <v/>
      </c>
      <c r="D717" s="112">
        <f>ROUND($B717*KarliyukIssizlikIsciOrani,0)</f>
        <v/>
      </c>
      <c r="E717" s="112">
        <f>ROUND($B717*KarliyukStopajOrani,0)</f>
        <v/>
      </c>
      <c r="F717" s="112">
        <f>ROUND($B717*KarliyukDamgaOrani,0)</f>
        <v/>
      </c>
      <c r="G717" s="112">
        <f>$B717-$C717-$D717-$E717-$F717</f>
        <v/>
      </c>
      <c r="H717" s="112">
        <f>ROUND($B717*KarliyukSgkIsverenOrani,0)</f>
        <v/>
      </c>
      <c r="I717" s="112">
        <f>ROUND($B717*KarliyukIssizlikIsverenOrani,0)</f>
        <v/>
      </c>
      <c r="J717" s="112">
        <f>$B717+$H717+$I717</f>
        <v/>
      </c>
      <c r="K717" s="114" t="n"/>
    </row>
    <row r="718" ht="15" customHeight="1" s="68">
      <c r="A718" s="114" t="n"/>
      <c r="B718" s="114" t="n"/>
      <c r="C718" s="112">
        <f>ROUND($B718*KarliyukSgkIsciOrani,0)</f>
        <v/>
      </c>
      <c r="D718" s="112">
        <f>ROUND($B718*KarliyukIssizlikIsciOrani,0)</f>
        <v/>
      </c>
      <c r="E718" s="112">
        <f>ROUND($B718*KarliyukStopajOrani,0)</f>
        <v/>
      </c>
      <c r="F718" s="112">
        <f>ROUND($B718*KarliyukDamgaOrani,0)</f>
        <v/>
      </c>
      <c r="G718" s="112">
        <f>$B718-$C718-$D718-$E718-$F718</f>
        <v/>
      </c>
      <c r="H718" s="112">
        <f>ROUND($B718*KarliyukSgkIsverenOrani,0)</f>
        <v/>
      </c>
      <c r="I718" s="112">
        <f>ROUND($B718*KarliyukIssizlikIsverenOrani,0)</f>
        <v/>
      </c>
      <c r="J718" s="112">
        <f>$B718+$H718+$I718</f>
        <v/>
      </c>
      <c r="K718" s="114" t="n"/>
    </row>
    <row r="719" ht="15" customHeight="1" s="68">
      <c r="A719" s="114" t="n"/>
      <c r="B719" s="114" t="n"/>
      <c r="C719" s="112">
        <f>ROUND($B719*KarliyukSgkIsciOrani,0)</f>
        <v/>
      </c>
      <c r="D719" s="112">
        <f>ROUND($B719*KarliyukIssizlikIsciOrani,0)</f>
        <v/>
      </c>
      <c r="E719" s="112">
        <f>ROUND($B719*KarliyukStopajOrani,0)</f>
        <v/>
      </c>
      <c r="F719" s="112">
        <f>ROUND($B719*KarliyukDamgaOrani,0)</f>
        <v/>
      </c>
      <c r="G719" s="112">
        <f>$B719-$C719-$D719-$E719-$F719</f>
        <v/>
      </c>
      <c r="H719" s="112">
        <f>ROUND($B719*KarliyukSgkIsverenOrani,0)</f>
        <v/>
      </c>
      <c r="I719" s="112">
        <f>ROUND($B719*KarliyukIssizlikIsverenOrani,0)</f>
        <v/>
      </c>
      <c r="J719" s="112">
        <f>$B719+$H719+$I719</f>
        <v/>
      </c>
      <c r="K719" s="114" t="n"/>
    </row>
    <row r="720" ht="15" customHeight="1" s="68">
      <c r="A720" s="114" t="n"/>
      <c r="B720" s="114" t="n"/>
      <c r="C720" s="112">
        <f>ROUND($B720*KarliyukSgkIsciOrani,0)</f>
        <v/>
      </c>
      <c r="D720" s="112">
        <f>ROUND($B720*KarliyukIssizlikIsciOrani,0)</f>
        <v/>
      </c>
      <c r="E720" s="112">
        <f>ROUND($B720*KarliyukStopajOrani,0)</f>
        <v/>
      </c>
      <c r="F720" s="112">
        <f>ROUND($B720*KarliyukDamgaOrani,0)</f>
        <v/>
      </c>
      <c r="G720" s="112">
        <f>$B720-$C720-$D720-$E720-$F720</f>
        <v/>
      </c>
      <c r="H720" s="112">
        <f>ROUND($B720*KarliyukSgkIsverenOrani,0)</f>
        <v/>
      </c>
      <c r="I720" s="112">
        <f>ROUND($B720*KarliyukIssizlikIsverenOrani,0)</f>
        <v/>
      </c>
      <c r="J720" s="112">
        <f>$B720+$H720+$I720</f>
        <v/>
      </c>
      <c r="K720" s="114" t="n"/>
    </row>
    <row r="721" ht="15" customHeight="1" s="68">
      <c r="A721" s="114" t="n"/>
      <c r="B721" s="114" t="n"/>
      <c r="C721" s="112">
        <f>ROUND($B721*KarliyukSgkIsciOrani,0)</f>
        <v/>
      </c>
      <c r="D721" s="112">
        <f>ROUND($B721*KarliyukIssizlikIsciOrani,0)</f>
        <v/>
      </c>
      <c r="E721" s="112">
        <f>ROUND($B721*KarliyukStopajOrani,0)</f>
        <v/>
      </c>
      <c r="F721" s="112">
        <f>ROUND($B721*KarliyukDamgaOrani,0)</f>
        <v/>
      </c>
      <c r="G721" s="112">
        <f>$B721-$C721-$D721-$E721-$F721</f>
        <v/>
      </c>
      <c r="H721" s="112">
        <f>ROUND($B721*KarliyukSgkIsverenOrani,0)</f>
        <v/>
      </c>
      <c r="I721" s="112">
        <f>ROUND($B721*KarliyukIssizlikIsverenOrani,0)</f>
        <v/>
      </c>
      <c r="J721" s="112">
        <f>$B721+$H721+$I721</f>
        <v/>
      </c>
      <c r="K721" s="114" t="n"/>
    </row>
    <row r="722" ht="15" customHeight="1" s="68">
      <c r="A722" s="114" t="n"/>
      <c r="B722" s="114" t="n"/>
      <c r="C722" s="112">
        <f>ROUND($B722*KarliyukSgkIsciOrani,0)</f>
        <v/>
      </c>
      <c r="D722" s="112">
        <f>ROUND($B722*KarliyukIssizlikIsciOrani,0)</f>
        <v/>
      </c>
      <c r="E722" s="112">
        <f>ROUND($B722*KarliyukStopajOrani,0)</f>
        <v/>
      </c>
      <c r="F722" s="112">
        <f>ROUND($B722*KarliyukDamgaOrani,0)</f>
        <v/>
      </c>
      <c r="G722" s="112">
        <f>$B722-$C722-$D722-$E722-$F722</f>
        <v/>
      </c>
      <c r="H722" s="112">
        <f>ROUND($B722*KarliyukSgkIsverenOrani,0)</f>
        <v/>
      </c>
      <c r="I722" s="112">
        <f>ROUND($B722*KarliyukIssizlikIsverenOrani,0)</f>
        <v/>
      </c>
      <c r="J722" s="112">
        <f>$B722+$H722+$I722</f>
        <v/>
      </c>
      <c r="K722" s="114" t="n"/>
    </row>
    <row r="723" ht="15" customHeight="1" s="68">
      <c r="A723" s="114" t="n"/>
      <c r="B723" s="114" t="n"/>
      <c r="C723" s="112">
        <f>ROUND($B723*KarliyukSgkIsciOrani,0)</f>
        <v/>
      </c>
      <c r="D723" s="112">
        <f>ROUND($B723*KarliyukIssizlikIsciOrani,0)</f>
        <v/>
      </c>
      <c r="E723" s="112">
        <f>ROUND($B723*KarliyukStopajOrani,0)</f>
        <v/>
      </c>
      <c r="F723" s="112">
        <f>ROUND($B723*KarliyukDamgaOrani,0)</f>
        <v/>
      </c>
      <c r="G723" s="112">
        <f>$B723-$C723-$D723-$E723-$F723</f>
        <v/>
      </c>
      <c r="H723" s="112">
        <f>ROUND($B723*KarliyukSgkIsverenOrani,0)</f>
        <v/>
      </c>
      <c r="I723" s="112">
        <f>ROUND($B723*KarliyukIssizlikIsverenOrani,0)</f>
        <v/>
      </c>
      <c r="J723" s="112">
        <f>$B723+$H723+$I723</f>
        <v/>
      </c>
      <c r="K723" s="114" t="n"/>
    </row>
    <row r="724" ht="15" customHeight="1" s="68">
      <c r="A724" s="114" t="n"/>
      <c r="B724" s="114" t="n"/>
      <c r="C724" s="112">
        <f>ROUND($B724*KarliyukSgkIsciOrani,0)</f>
        <v/>
      </c>
      <c r="D724" s="112">
        <f>ROUND($B724*KarliyukIssizlikIsciOrani,0)</f>
        <v/>
      </c>
      <c r="E724" s="112">
        <f>ROUND($B724*KarliyukStopajOrani,0)</f>
        <v/>
      </c>
      <c r="F724" s="112">
        <f>ROUND($B724*KarliyukDamgaOrani,0)</f>
        <v/>
      </c>
      <c r="G724" s="112">
        <f>$B724-$C724-$D724-$E724-$F724</f>
        <v/>
      </c>
      <c r="H724" s="112">
        <f>ROUND($B724*KarliyukSgkIsverenOrani,0)</f>
        <v/>
      </c>
      <c r="I724" s="112">
        <f>ROUND($B724*KarliyukIssizlikIsverenOrani,0)</f>
        <v/>
      </c>
      <c r="J724" s="112">
        <f>$B724+$H724+$I724</f>
        <v/>
      </c>
      <c r="K724" s="114" t="n"/>
    </row>
    <row r="725" ht="15" customHeight="1" s="68">
      <c r="A725" s="114" t="n"/>
      <c r="B725" s="114" t="n"/>
      <c r="C725" s="112">
        <f>ROUND($B725*KarliyukSgkIsciOrani,0)</f>
        <v/>
      </c>
      <c r="D725" s="112">
        <f>ROUND($B725*KarliyukIssizlikIsciOrani,0)</f>
        <v/>
      </c>
      <c r="E725" s="112">
        <f>ROUND($B725*KarliyukStopajOrani,0)</f>
        <v/>
      </c>
      <c r="F725" s="112">
        <f>ROUND($B725*KarliyukDamgaOrani,0)</f>
        <v/>
      </c>
      <c r="G725" s="112">
        <f>$B725-$C725-$D725-$E725-$F725</f>
        <v/>
      </c>
      <c r="H725" s="112">
        <f>ROUND($B725*KarliyukSgkIsverenOrani,0)</f>
        <v/>
      </c>
      <c r="I725" s="112">
        <f>ROUND($B725*KarliyukIssizlikIsverenOrani,0)</f>
        <v/>
      </c>
      <c r="J725" s="112">
        <f>$B725+$H725+$I725</f>
        <v/>
      </c>
      <c r="K725" s="114" t="n"/>
    </row>
    <row r="726" ht="15" customHeight="1" s="68">
      <c r="A726" s="114" t="n"/>
      <c r="B726" s="114" t="n"/>
      <c r="C726" s="112">
        <f>ROUND($B726*KarliyukSgkIsciOrani,0)</f>
        <v/>
      </c>
      <c r="D726" s="112">
        <f>ROUND($B726*KarliyukIssizlikIsciOrani,0)</f>
        <v/>
      </c>
      <c r="E726" s="112">
        <f>ROUND($B726*KarliyukStopajOrani,0)</f>
        <v/>
      </c>
      <c r="F726" s="112">
        <f>ROUND($B726*KarliyukDamgaOrani,0)</f>
        <v/>
      </c>
      <c r="G726" s="112">
        <f>$B726-$C726-$D726-$E726-$F726</f>
        <v/>
      </c>
      <c r="H726" s="112">
        <f>ROUND($B726*KarliyukSgkIsverenOrani,0)</f>
        <v/>
      </c>
      <c r="I726" s="112">
        <f>ROUND($B726*KarliyukIssizlikIsverenOrani,0)</f>
        <v/>
      </c>
      <c r="J726" s="112">
        <f>$B726+$H726+$I726</f>
        <v/>
      </c>
      <c r="K726" s="114" t="n"/>
    </row>
    <row r="727" ht="15" customHeight="1" s="68">
      <c r="A727" s="114" t="n"/>
      <c r="B727" s="114" t="n"/>
      <c r="C727" s="112">
        <f>ROUND($B727*KarliyukSgkIsciOrani,0)</f>
        <v/>
      </c>
      <c r="D727" s="112">
        <f>ROUND($B727*KarliyukIssizlikIsciOrani,0)</f>
        <v/>
      </c>
      <c r="E727" s="112">
        <f>ROUND($B727*KarliyukStopajOrani,0)</f>
        <v/>
      </c>
      <c r="F727" s="112">
        <f>ROUND($B727*KarliyukDamgaOrani,0)</f>
        <v/>
      </c>
      <c r="G727" s="112">
        <f>$B727-$C727-$D727-$E727-$F727</f>
        <v/>
      </c>
      <c r="H727" s="112">
        <f>ROUND($B727*KarliyukSgkIsverenOrani,0)</f>
        <v/>
      </c>
      <c r="I727" s="112">
        <f>ROUND($B727*KarliyukIssizlikIsverenOrani,0)</f>
        <v/>
      </c>
      <c r="J727" s="112">
        <f>$B727+$H727+$I727</f>
        <v/>
      </c>
      <c r="K727" s="114" t="n"/>
    </row>
    <row r="728" ht="15" customHeight="1" s="68">
      <c r="A728" s="114" t="n"/>
      <c r="B728" s="114" t="n"/>
      <c r="C728" s="112">
        <f>ROUND($B728*KarliyukSgkIsciOrani,0)</f>
        <v/>
      </c>
      <c r="D728" s="112">
        <f>ROUND($B728*KarliyukIssizlikIsciOrani,0)</f>
        <v/>
      </c>
      <c r="E728" s="112">
        <f>ROUND($B728*KarliyukStopajOrani,0)</f>
        <v/>
      </c>
      <c r="F728" s="112">
        <f>ROUND($B728*KarliyukDamgaOrani,0)</f>
        <v/>
      </c>
      <c r="G728" s="112">
        <f>$B728-$C728-$D728-$E728-$F728</f>
        <v/>
      </c>
      <c r="H728" s="112">
        <f>ROUND($B728*KarliyukSgkIsverenOrani,0)</f>
        <v/>
      </c>
      <c r="I728" s="112">
        <f>ROUND($B728*KarliyukIssizlikIsverenOrani,0)</f>
        <v/>
      </c>
      <c r="J728" s="112">
        <f>$B728+$H728+$I728</f>
        <v/>
      </c>
      <c r="K728" s="114" t="n"/>
    </row>
    <row r="729" ht="15" customHeight="1" s="68">
      <c r="A729" s="114" t="n"/>
      <c r="B729" s="114" t="n"/>
      <c r="C729" s="112">
        <f>ROUND($B729*KarliyukSgkIsciOrani,0)</f>
        <v/>
      </c>
      <c r="D729" s="112">
        <f>ROUND($B729*KarliyukIssizlikIsciOrani,0)</f>
        <v/>
      </c>
      <c r="E729" s="112">
        <f>ROUND($B729*KarliyukStopajOrani,0)</f>
        <v/>
      </c>
      <c r="F729" s="112">
        <f>ROUND($B729*KarliyukDamgaOrani,0)</f>
        <v/>
      </c>
      <c r="G729" s="112">
        <f>$B729-$C729-$D729-$E729-$F729</f>
        <v/>
      </c>
      <c r="H729" s="112">
        <f>ROUND($B729*KarliyukSgkIsverenOrani,0)</f>
        <v/>
      </c>
      <c r="I729" s="112">
        <f>ROUND($B729*KarliyukIssizlikIsverenOrani,0)</f>
        <v/>
      </c>
      <c r="J729" s="112">
        <f>$B729+$H729+$I729</f>
        <v/>
      </c>
      <c r="K729" s="114" t="n"/>
    </row>
    <row r="730" ht="15" customHeight="1" s="68">
      <c r="A730" s="114" t="n"/>
      <c r="B730" s="114" t="n"/>
      <c r="C730" s="112">
        <f>ROUND($B730*KarliyukSgkIsciOrani,0)</f>
        <v/>
      </c>
      <c r="D730" s="112">
        <f>ROUND($B730*KarliyukIssizlikIsciOrani,0)</f>
        <v/>
      </c>
      <c r="E730" s="112">
        <f>ROUND($B730*KarliyukStopajOrani,0)</f>
        <v/>
      </c>
      <c r="F730" s="112">
        <f>ROUND($B730*KarliyukDamgaOrani,0)</f>
        <v/>
      </c>
      <c r="G730" s="112">
        <f>$B730-$C730-$D730-$E730-$F730</f>
        <v/>
      </c>
      <c r="H730" s="112">
        <f>ROUND($B730*KarliyukSgkIsverenOrani,0)</f>
        <v/>
      </c>
      <c r="I730" s="112">
        <f>ROUND($B730*KarliyukIssizlikIsverenOrani,0)</f>
        <v/>
      </c>
      <c r="J730" s="112">
        <f>$B730+$H730+$I730</f>
        <v/>
      </c>
      <c r="K730" s="114" t="n"/>
    </row>
    <row r="731" ht="15" customHeight="1" s="68">
      <c r="A731" s="114" t="n"/>
      <c r="B731" s="114" t="n"/>
      <c r="C731" s="112">
        <f>ROUND($B731*KarliyukSgkIsciOrani,0)</f>
        <v/>
      </c>
      <c r="D731" s="112">
        <f>ROUND($B731*KarliyukIssizlikIsciOrani,0)</f>
        <v/>
      </c>
      <c r="E731" s="112">
        <f>ROUND($B731*KarliyukStopajOrani,0)</f>
        <v/>
      </c>
      <c r="F731" s="112">
        <f>ROUND($B731*KarliyukDamgaOrani,0)</f>
        <v/>
      </c>
      <c r="G731" s="112">
        <f>$B731-$C731-$D731-$E731-$F731</f>
        <v/>
      </c>
      <c r="H731" s="112">
        <f>ROUND($B731*KarliyukSgkIsverenOrani,0)</f>
        <v/>
      </c>
      <c r="I731" s="112">
        <f>ROUND($B731*KarliyukIssizlikIsverenOrani,0)</f>
        <v/>
      </c>
      <c r="J731" s="112">
        <f>$B731+$H731+$I731</f>
        <v/>
      </c>
      <c r="K731" s="114" t="n"/>
    </row>
    <row r="732" ht="15" customHeight="1" s="68">
      <c r="A732" s="114" t="n"/>
      <c r="B732" s="114" t="n"/>
      <c r="C732" s="112">
        <f>ROUND($B732*KarliyukSgkIsciOrani,0)</f>
        <v/>
      </c>
      <c r="D732" s="112">
        <f>ROUND($B732*KarliyukIssizlikIsciOrani,0)</f>
        <v/>
      </c>
      <c r="E732" s="112">
        <f>ROUND($B732*KarliyukStopajOrani,0)</f>
        <v/>
      </c>
      <c r="F732" s="112">
        <f>ROUND($B732*KarliyukDamgaOrani,0)</f>
        <v/>
      </c>
      <c r="G732" s="112">
        <f>$B732-$C732-$D732-$E732-$F732</f>
        <v/>
      </c>
      <c r="H732" s="112">
        <f>ROUND($B732*KarliyukSgkIsverenOrani,0)</f>
        <v/>
      </c>
      <c r="I732" s="112">
        <f>ROUND($B732*KarliyukIssizlikIsverenOrani,0)</f>
        <v/>
      </c>
      <c r="J732" s="112">
        <f>$B732+$H732+$I732</f>
        <v/>
      </c>
      <c r="K732" s="114" t="n"/>
    </row>
    <row r="733" ht="15" customHeight="1" s="68">
      <c r="A733" s="114" t="n"/>
      <c r="B733" s="114" t="n"/>
      <c r="C733" s="112">
        <f>ROUND($B733*KarliyukSgkIsciOrani,0)</f>
        <v/>
      </c>
      <c r="D733" s="112">
        <f>ROUND($B733*KarliyukIssizlikIsciOrani,0)</f>
        <v/>
      </c>
      <c r="E733" s="112">
        <f>ROUND($B733*KarliyukStopajOrani,0)</f>
        <v/>
      </c>
      <c r="F733" s="112">
        <f>ROUND($B733*KarliyukDamgaOrani,0)</f>
        <v/>
      </c>
      <c r="G733" s="112">
        <f>$B733-$C733-$D733-$E733-$F733</f>
        <v/>
      </c>
      <c r="H733" s="112">
        <f>ROUND($B733*KarliyukSgkIsverenOrani,0)</f>
        <v/>
      </c>
      <c r="I733" s="112">
        <f>ROUND($B733*KarliyukIssizlikIsverenOrani,0)</f>
        <v/>
      </c>
      <c r="J733" s="112">
        <f>$B733+$H733+$I733</f>
        <v/>
      </c>
      <c r="K733" s="114" t="n"/>
    </row>
    <row r="734" ht="15" customHeight="1" s="68">
      <c r="A734" s="114" t="n"/>
      <c r="B734" s="114" t="n"/>
      <c r="C734" s="112">
        <f>ROUND($B734*KarliyukSgkIsciOrani,0)</f>
        <v/>
      </c>
      <c r="D734" s="112">
        <f>ROUND($B734*KarliyukIssizlikIsciOrani,0)</f>
        <v/>
      </c>
      <c r="E734" s="112">
        <f>ROUND($B734*KarliyukStopajOrani,0)</f>
        <v/>
      </c>
      <c r="F734" s="112">
        <f>ROUND($B734*KarliyukDamgaOrani,0)</f>
        <v/>
      </c>
      <c r="G734" s="112">
        <f>$B734-$C734-$D734-$E734-$F734</f>
        <v/>
      </c>
      <c r="H734" s="112">
        <f>ROUND($B734*KarliyukSgkIsverenOrani,0)</f>
        <v/>
      </c>
      <c r="I734" s="112">
        <f>ROUND($B734*KarliyukIssizlikIsverenOrani,0)</f>
        <v/>
      </c>
      <c r="J734" s="112">
        <f>$B734+$H734+$I734</f>
        <v/>
      </c>
      <c r="K734" s="114" t="n"/>
    </row>
    <row r="735" ht="15" customHeight="1" s="68">
      <c r="A735" s="114" t="n"/>
      <c r="B735" s="114" t="n"/>
      <c r="C735" s="112">
        <f>ROUND($B735*KarliyukSgkIsciOrani,0)</f>
        <v/>
      </c>
      <c r="D735" s="112">
        <f>ROUND($B735*KarliyukIssizlikIsciOrani,0)</f>
        <v/>
      </c>
      <c r="E735" s="112">
        <f>ROUND($B735*KarliyukStopajOrani,0)</f>
        <v/>
      </c>
      <c r="F735" s="112">
        <f>ROUND($B735*KarliyukDamgaOrani,0)</f>
        <v/>
      </c>
      <c r="G735" s="112">
        <f>$B735-$C735-$D735-$E735-$F735</f>
        <v/>
      </c>
      <c r="H735" s="112">
        <f>ROUND($B735*KarliyukSgkIsverenOrani,0)</f>
        <v/>
      </c>
      <c r="I735" s="112">
        <f>ROUND($B735*KarliyukIssizlikIsverenOrani,0)</f>
        <v/>
      </c>
      <c r="J735" s="112">
        <f>$B735+$H735+$I735</f>
        <v/>
      </c>
      <c r="K735" s="114" t="n"/>
    </row>
    <row r="736" ht="15" customHeight="1" s="68">
      <c r="A736" s="114" t="n"/>
      <c r="B736" s="114" t="n"/>
      <c r="C736" s="112">
        <f>ROUND($B736*KarliyukSgkIsciOrani,0)</f>
        <v/>
      </c>
      <c r="D736" s="112">
        <f>ROUND($B736*KarliyukIssizlikIsciOrani,0)</f>
        <v/>
      </c>
      <c r="E736" s="112">
        <f>ROUND($B736*KarliyukStopajOrani,0)</f>
        <v/>
      </c>
      <c r="F736" s="112">
        <f>ROUND($B736*KarliyukDamgaOrani,0)</f>
        <v/>
      </c>
      <c r="G736" s="112">
        <f>$B736-$C736-$D736-$E736-$F736</f>
        <v/>
      </c>
      <c r="H736" s="112">
        <f>ROUND($B736*KarliyukSgkIsverenOrani,0)</f>
        <v/>
      </c>
      <c r="I736" s="112">
        <f>ROUND($B736*KarliyukIssizlikIsverenOrani,0)</f>
        <v/>
      </c>
      <c r="J736" s="112">
        <f>$B736+$H736+$I736</f>
        <v/>
      </c>
      <c r="K736" s="114" t="n"/>
    </row>
    <row r="737" ht="15" customHeight="1" s="68">
      <c r="A737" s="114" t="n"/>
      <c r="B737" s="114" t="n"/>
      <c r="C737" s="112">
        <f>ROUND($B737*KarliyukSgkIsciOrani,0)</f>
        <v/>
      </c>
      <c r="D737" s="112">
        <f>ROUND($B737*KarliyukIssizlikIsciOrani,0)</f>
        <v/>
      </c>
      <c r="E737" s="112">
        <f>ROUND($B737*KarliyukStopajOrani,0)</f>
        <v/>
      </c>
      <c r="F737" s="112">
        <f>ROUND($B737*KarliyukDamgaOrani,0)</f>
        <v/>
      </c>
      <c r="G737" s="112">
        <f>$B737-$C737-$D737-$E737-$F737</f>
        <v/>
      </c>
      <c r="H737" s="112">
        <f>ROUND($B737*KarliyukSgkIsverenOrani,0)</f>
        <v/>
      </c>
      <c r="I737" s="112">
        <f>ROUND($B737*KarliyukIssizlikIsverenOrani,0)</f>
        <v/>
      </c>
      <c r="J737" s="112">
        <f>$B737+$H737+$I737</f>
        <v/>
      </c>
      <c r="K737" s="114" t="n"/>
    </row>
    <row r="738" ht="15" customHeight="1" s="68">
      <c r="A738" s="114" t="n"/>
      <c r="B738" s="114" t="n"/>
      <c r="C738" s="112">
        <f>ROUND($B738*KarliyukSgkIsciOrani,0)</f>
        <v/>
      </c>
      <c r="D738" s="112">
        <f>ROUND($B738*KarliyukIssizlikIsciOrani,0)</f>
        <v/>
      </c>
      <c r="E738" s="112">
        <f>ROUND($B738*KarliyukStopajOrani,0)</f>
        <v/>
      </c>
      <c r="F738" s="112">
        <f>ROUND($B738*KarliyukDamgaOrani,0)</f>
        <v/>
      </c>
      <c r="G738" s="112">
        <f>$B738-$C738-$D738-$E738-$F738</f>
        <v/>
      </c>
      <c r="H738" s="112">
        <f>ROUND($B738*KarliyukSgkIsverenOrani,0)</f>
        <v/>
      </c>
      <c r="I738" s="112">
        <f>ROUND($B738*KarliyukIssizlikIsverenOrani,0)</f>
        <v/>
      </c>
      <c r="J738" s="112">
        <f>$B738+$H738+$I738</f>
        <v/>
      </c>
      <c r="K738" s="114" t="n"/>
    </row>
    <row r="739" ht="15" customHeight="1" s="68">
      <c r="A739" s="114" t="n"/>
      <c r="B739" s="114" t="n"/>
      <c r="C739" s="112">
        <f>ROUND($B739*KarliyukSgkIsciOrani,0)</f>
        <v/>
      </c>
      <c r="D739" s="112">
        <f>ROUND($B739*KarliyukIssizlikIsciOrani,0)</f>
        <v/>
      </c>
      <c r="E739" s="112">
        <f>ROUND($B739*KarliyukStopajOrani,0)</f>
        <v/>
      </c>
      <c r="F739" s="112">
        <f>ROUND($B739*KarliyukDamgaOrani,0)</f>
        <v/>
      </c>
      <c r="G739" s="112">
        <f>$B739-$C739-$D739-$E739-$F739</f>
        <v/>
      </c>
      <c r="H739" s="112">
        <f>ROUND($B739*KarliyukSgkIsverenOrani,0)</f>
        <v/>
      </c>
      <c r="I739" s="112">
        <f>ROUND($B739*KarliyukIssizlikIsverenOrani,0)</f>
        <v/>
      </c>
      <c r="J739" s="112">
        <f>$B739+$H739+$I739</f>
        <v/>
      </c>
      <c r="K739" s="114" t="n"/>
    </row>
    <row r="740" ht="15" customHeight="1" s="68">
      <c r="A740" s="114" t="n"/>
      <c r="B740" s="114" t="n"/>
      <c r="C740" s="112">
        <f>ROUND($B740*KarliyukSgkIsciOrani,0)</f>
        <v/>
      </c>
      <c r="D740" s="112">
        <f>ROUND($B740*KarliyukIssizlikIsciOrani,0)</f>
        <v/>
      </c>
      <c r="E740" s="112">
        <f>ROUND($B740*KarliyukStopajOrani,0)</f>
        <v/>
      </c>
      <c r="F740" s="112">
        <f>ROUND($B740*KarliyukDamgaOrani,0)</f>
        <v/>
      </c>
      <c r="G740" s="112">
        <f>$B740-$C740-$D740-$E740-$F740</f>
        <v/>
      </c>
      <c r="H740" s="112">
        <f>ROUND($B740*KarliyukSgkIsverenOrani,0)</f>
        <v/>
      </c>
      <c r="I740" s="112">
        <f>ROUND($B740*KarliyukIssizlikIsverenOrani,0)</f>
        <v/>
      </c>
      <c r="J740" s="112">
        <f>$B740+$H740+$I740</f>
        <v/>
      </c>
      <c r="K740" s="114" t="n"/>
    </row>
    <row r="741" ht="15" customHeight="1" s="68">
      <c r="A741" s="114" t="n"/>
      <c r="B741" s="114" t="n"/>
      <c r="C741" s="112">
        <f>ROUND($B741*KarliyukSgkIsciOrani,0)</f>
        <v/>
      </c>
      <c r="D741" s="112">
        <f>ROUND($B741*KarliyukIssizlikIsciOrani,0)</f>
        <v/>
      </c>
      <c r="E741" s="112">
        <f>ROUND($B741*KarliyukStopajOrani,0)</f>
        <v/>
      </c>
      <c r="F741" s="112">
        <f>ROUND($B741*KarliyukDamgaOrani,0)</f>
        <v/>
      </c>
      <c r="G741" s="112">
        <f>$B741-$C741-$D741-$E741-$F741</f>
        <v/>
      </c>
      <c r="H741" s="112">
        <f>ROUND($B741*KarliyukSgkIsverenOrani,0)</f>
        <v/>
      </c>
      <c r="I741" s="112">
        <f>ROUND($B741*KarliyukIssizlikIsverenOrani,0)</f>
        <v/>
      </c>
      <c r="J741" s="112">
        <f>$B741+$H741+$I741</f>
        <v/>
      </c>
      <c r="K741" s="114" t="n"/>
    </row>
    <row r="742" ht="15" customHeight="1" s="68">
      <c r="A742" s="114" t="n"/>
      <c r="B742" s="114" t="n"/>
      <c r="C742" s="112">
        <f>ROUND($B742*KarliyukSgkIsciOrani,0)</f>
        <v/>
      </c>
      <c r="D742" s="112">
        <f>ROUND($B742*KarliyukIssizlikIsciOrani,0)</f>
        <v/>
      </c>
      <c r="E742" s="112">
        <f>ROUND($B742*KarliyukStopajOrani,0)</f>
        <v/>
      </c>
      <c r="F742" s="112">
        <f>ROUND($B742*KarliyukDamgaOrani,0)</f>
        <v/>
      </c>
      <c r="G742" s="112">
        <f>$B742-$C742-$D742-$E742-$F742</f>
        <v/>
      </c>
      <c r="H742" s="112">
        <f>ROUND($B742*KarliyukSgkIsverenOrani,0)</f>
        <v/>
      </c>
      <c r="I742" s="112">
        <f>ROUND($B742*KarliyukIssizlikIsverenOrani,0)</f>
        <v/>
      </c>
      <c r="J742" s="112">
        <f>$B742+$H742+$I742</f>
        <v/>
      </c>
      <c r="K742" s="114" t="n"/>
    </row>
    <row r="743" ht="15" customHeight="1" s="68">
      <c r="A743" s="114" t="n"/>
      <c r="B743" s="114" t="n"/>
      <c r="C743" s="112">
        <f>ROUND($B743*KarliyukSgkIsciOrani,0)</f>
        <v/>
      </c>
      <c r="D743" s="112">
        <f>ROUND($B743*KarliyukIssizlikIsciOrani,0)</f>
        <v/>
      </c>
      <c r="E743" s="112">
        <f>ROUND($B743*KarliyukStopajOrani,0)</f>
        <v/>
      </c>
      <c r="F743" s="112">
        <f>ROUND($B743*KarliyukDamgaOrani,0)</f>
        <v/>
      </c>
      <c r="G743" s="112">
        <f>$B743-$C743-$D743-$E743-$F743</f>
        <v/>
      </c>
      <c r="H743" s="112">
        <f>ROUND($B743*KarliyukSgkIsverenOrani,0)</f>
        <v/>
      </c>
      <c r="I743" s="112">
        <f>ROUND($B743*KarliyukIssizlikIsverenOrani,0)</f>
        <v/>
      </c>
      <c r="J743" s="112">
        <f>$B743+$H743+$I743</f>
        <v/>
      </c>
      <c r="K743" s="114" t="n"/>
    </row>
    <row r="744" ht="15" customHeight="1" s="68">
      <c r="A744" s="114" t="n"/>
      <c r="B744" s="114" t="n"/>
      <c r="C744" s="112">
        <f>ROUND($B744*KarliyukSgkIsciOrani,0)</f>
        <v/>
      </c>
      <c r="D744" s="112">
        <f>ROUND($B744*KarliyukIssizlikIsciOrani,0)</f>
        <v/>
      </c>
      <c r="E744" s="112">
        <f>ROUND($B744*KarliyukStopajOrani,0)</f>
        <v/>
      </c>
      <c r="F744" s="112">
        <f>ROUND($B744*KarliyukDamgaOrani,0)</f>
        <v/>
      </c>
      <c r="G744" s="112">
        <f>$B744-$C744-$D744-$E744-$F744</f>
        <v/>
      </c>
      <c r="H744" s="112">
        <f>ROUND($B744*KarliyukSgkIsverenOrani,0)</f>
        <v/>
      </c>
      <c r="I744" s="112">
        <f>ROUND($B744*KarliyukIssizlikIsverenOrani,0)</f>
        <v/>
      </c>
      <c r="J744" s="112">
        <f>$B744+$H744+$I744</f>
        <v/>
      </c>
      <c r="K744" s="114" t="n"/>
    </row>
    <row r="745" ht="15" customHeight="1" s="68">
      <c r="A745" s="114" t="n"/>
      <c r="B745" s="114" t="n"/>
      <c r="C745" s="112">
        <f>ROUND($B745*KarliyukSgkIsciOrani,0)</f>
        <v/>
      </c>
      <c r="D745" s="112">
        <f>ROUND($B745*KarliyukIssizlikIsciOrani,0)</f>
        <v/>
      </c>
      <c r="E745" s="112">
        <f>ROUND($B745*KarliyukStopajOrani,0)</f>
        <v/>
      </c>
      <c r="F745" s="112">
        <f>ROUND($B745*KarliyukDamgaOrani,0)</f>
        <v/>
      </c>
      <c r="G745" s="112">
        <f>$B745-$C745-$D745-$E745-$F745</f>
        <v/>
      </c>
      <c r="H745" s="112">
        <f>ROUND($B745*KarliyukSgkIsverenOrani,0)</f>
        <v/>
      </c>
      <c r="I745" s="112">
        <f>ROUND($B745*KarliyukIssizlikIsverenOrani,0)</f>
        <v/>
      </c>
      <c r="J745" s="112">
        <f>$B745+$H745+$I745</f>
        <v/>
      </c>
      <c r="K745" s="114" t="n"/>
    </row>
    <row r="746" ht="15" customHeight="1" s="68">
      <c r="A746" s="114" t="n"/>
      <c r="B746" s="114" t="n"/>
      <c r="C746" s="112">
        <f>ROUND($B746*KarliyukSgkIsciOrani,0)</f>
        <v/>
      </c>
      <c r="D746" s="112">
        <f>ROUND($B746*KarliyukIssizlikIsciOrani,0)</f>
        <v/>
      </c>
      <c r="E746" s="112">
        <f>ROUND($B746*KarliyukStopajOrani,0)</f>
        <v/>
      </c>
      <c r="F746" s="112">
        <f>ROUND($B746*KarliyukDamgaOrani,0)</f>
        <v/>
      </c>
      <c r="G746" s="112">
        <f>$B746-$C746-$D746-$E746-$F746</f>
        <v/>
      </c>
      <c r="H746" s="112">
        <f>ROUND($B746*KarliyukSgkIsverenOrani,0)</f>
        <v/>
      </c>
      <c r="I746" s="112">
        <f>ROUND($B746*KarliyukIssizlikIsverenOrani,0)</f>
        <v/>
      </c>
      <c r="J746" s="112">
        <f>$B746+$H746+$I746</f>
        <v/>
      </c>
      <c r="K746" s="114" t="n"/>
    </row>
    <row r="747" ht="15" customHeight="1" s="68">
      <c r="A747" s="114" t="n"/>
      <c r="B747" s="114" t="n"/>
      <c r="C747" s="112">
        <f>ROUND($B747*KarliyukSgkIsciOrani,0)</f>
        <v/>
      </c>
      <c r="D747" s="112">
        <f>ROUND($B747*KarliyukIssizlikIsciOrani,0)</f>
        <v/>
      </c>
      <c r="E747" s="112">
        <f>ROUND($B747*KarliyukStopajOrani,0)</f>
        <v/>
      </c>
      <c r="F747" s="112">
        <f>ROUND($B747*KarliyukDamgaOrani,0)</f>
        <v/>
      </c>
      <c r="G747" s="112">
        <f>$B747-$C747-$D747-$E747-$F747</f>
        <v/>
      </c>
      <c r="H747" s="112">
        <f>ROUND($B747*KarliyukSgkIsverenOrani,0)</f>
        <v/>
      </c>
      <c r="I747" s="112">
        <f>ROUND($B747*KarliyukIssizlikIsverenOrani,0)</f>
        <v/>
      </c>
      <c r="J747" s="112">
        <f>$B747+$H747+$I747</f>
        <v/>
      </c>
      <c r="K747" s="114" t="n"/>
    </row>
    <row r="748" ht="15" customHeight="1" s="68">
      <c r="A748" s="114" t="n"/>
      <c r="B748" s="114" t="n"/>
      <c r="C748" s="112">
        <f>ROUND($B748*KarliyukSgkIsciOrani,0)</f>
        <v/>
      </c>
      <c r="D748" s="112">
        <f>ROUND($B748*KarliyukIssizlikIsciOrani,0)</f>
        <v/>
      </c>
      <c r="E748" s="112">
        <f>ROUND($B748*KarliyukStopajOrani,0)</f>
        <v/>
      </c>
      <c r="F748" s="112">
        <f>ROUND($B748*KarliyukDamgaOrani,0)</f>
        <v/>
      </c>
      <c r="G748" s="112">
        <f>$B748-$C748-$D748-$E748-$F748</f>
        <v/>
      </c>
      <c r="H748" s="112">
        <f>ROUND($B748*KarliyukSgkIsverenOrani,0)</f>
        <v/>
      </c>
      <c r="I748" s="112">
        <f>ROUND($B748*KarliyukIssizlikIsverenOrani,0)</f>
        <v/>
      </c>
      <c r="J748" s="112">
        <f>$B748+$H748+$I748</f>
        <v/>
      </c>
      <c r="K748" s="114" t="n"/>
    </row>
    <row r="749" ht="15" customHeight="1" s="68">
      <c r="A749" s="114" t="n"/>
      <c r="B749" s="114" t="n"/>
      <c r="C749" s="112">
        <f>ROUND($B749*KarliyukSgkIsciOrani,0)</f>
        <v/>
      </c>
      <c r="D749" s="112">
        <f>ROUND($B749*KarliyukIssizlikIsciOrani,0)</f>
        <v/>
      </c>
      <c r="E749" s="112">
        <f>ROUND($B749*KarliyukStopajOrani,0)</f>
        <v/>
      </c>
      <c r="F749" s="112">
        <f>ROUND($B749*KarliyukDamgaOrani,0)</f>
        <v/>
      </c>
      <c r="G749" s="112">
        <f>$B749-$C749-$D749-$E749-$F749</f>
        <v/>
      </c>
      <c r="H749" s="112">
        <f>ROUND($B749*KarliyukSgkIsverenOrani,0)</f>
        <v/>
      </c>
      <c r="I749" s="112">
        <f>ROUND($B749*KarliyukIssizlikIsverenOrani,0)</f>
        <v/>
      </c>
      <c r="J749" s="112">
        <f>$B749+$H749+$I749</f>
        <v/>
      </c>
      <c r="K749" s="114" t="n"/>
    </row>
    <row r="750" ht="15" customHeight="1" s="68">
      <c r="A750" s="114" t="n"/>
      <c r="B750" s="114" t="n"/>
      <c r="C750" s="112">
        <f>ROUND($B750*KarliyukSgkIsciOrani,0)</f>
        <v/>
      </c>
      <c r="D750" s="112">
        <f>ROUND($B750*KarliyukIssizlikIsciOrani,0)</f>
        <v/>
      </c>
      <c r="E750" s="112">
        <f>ROUND($B750*KarliyukStopajOrani,0)</f>
        <v/>
      </c>
      <c r="F750" s="112">
        <f>ROUND($B750*KarliyukDamgaOrani,0)</f>
        <v/>
      </c>
      <c r="G750" s="112">
        <f>$B750-$C750-$D750-$E750-$F750</f>
        <v/>
      </c>
      <c r="H750" s="112">
        <f>ROUND($B750*KarliyukSgkIsverenOrani,0)</f>
        <v/>
      </c>
      <c r="I750" s="112">
        <f>ROUND($B750*KarliyukIssizlikIsverenOrani,0)</f>
        <v/>
      </c>
      <c r="J750" s="112">
        <f>$B750+$H750+$I750</f>
        <v/>
      </c>
      <c r="K750" s="114" t="n"/>
    </row>
    <row r="751" ht="15" customHeight="1" s="68">
      <c r="A751" s="114" t="n"/>
      <c r="B751" s="114" t="n"/>
      <c r="C751" s="112">
        <f>ROUND($B751*KarliyukSgkIsciOrani,0)</f>
        <v/>
      </c>
      <c r="D751" s="112">
        <f>ROUND($B751*KarliyukIssizlikIsciOrani,0)</f>
        <v/>
      </c>
      <c r="E751" s="112">
        <f>ROUND($B751*KarliyukStopajOrani,0)</f>
        <v/>
      </c>
      <c r="F751" s="112">
        <f>ROUND($B751*KarliyukDamgaOrani,0)</f>
        <v/>
      </c>
      <c r="G751" s="112">
        <f>$B751-$C751-$D751-$E751-$F751</f>
        <v/>
      </c>
      <c r="H751" s="112">
        <f>ROUND($B751*KarliyukSgkIsverenOrani,0)</f>
        <v/>
      </c>
      <c r="I751" s="112">
        <f>ROUND($B751*KarliyukIssizlikIsverenOrani,0)</f>
        <v/>
      </c>
      <c r="J751" s="112">
        <f>$B751+$H751+$I751</f>
        <v/>
      </c>
      <c r="K751" s="114" t="n"/>
    </row>
    <row r="752" ht="15" customHeight="1" s="68">
      <c r="A752" s="114" t="n"/>
      <c r="B752" s="114" t="n"/>
      <c r="C752" s="112">
        <f>ROUND($B752*KarliyukSgkIsciOrani,0)</f>
        <v/>
      </c>
      <c r="D752" s="112">
        <f>ROUND($B752*KarliyukIssizlikIsciOrani,0)</f>
        <v/>
      </c>
      <c r="E752" s="112">
        <f>ROUND($B752*KarliyukStopajOrani,0)</f>
        <v/>
      </c>
      <c r="F752" s="112">
        <f>ROUND($B752*KarliyukDamgaOrani,0)</f>
        <v/>
      </c>
      <c r="G752" s="112">
        <f>$B752-$C752-$D752-$E752-$F752</f>
        <v/>
      </c>
      <c r="H752" s="112">
        <f>ROUND($B752*KarliyukSgkIsverenOrani,0)</f>
        <v/>
      </c>
      <c r="I752" s="112">
        <f>ROUND($B752*KarliyukIssizlikIsverenOrani,0)</f>
        <v/>
      </c>
      <c r="J752" s="112">
        <f>$B752+$H752+$I752</f>
        <v/>
      </c>
      <c r="K752" s="114" t="n"/>
    </row>
    <row r="753" ht="15" customHeight="1" s="68">
      <c r="A753" s="114" t="n"/>
      <c r="B753" s="114" t="n"/>
      <c r="C753" s="112">
        <f>ROUND($B753*KarliyukSgkIsciOrani,0)</f>
        <v/>
      </c>
      <c r="D753" s="112">
        <f>ROUND($B753*KarliyukIssizlikIsciOrani,0)</f>
        <v/>
      </c>
      <c r="E753" s="112">
        <f>ROUND($B753*KarliyukStopajOrani,0)</f>
        <v/>
      </c>
      <c r="F753" s="112">
        <f>ROUND($B753*KarliyukDamgaOrani,0)</f>
        <v/>
      </c>
      <c r="G753" s="112">
        <f>$B753-$C753-$D753-$E753-$F753</f>
        <v/>
      </c>
      <c r="H753" s="112">
        <f>ROUND($B753*KarliyukSgkIsverenOrani,0)</f>
        <v/>
      </c>
      <c r="I753" s="112">
        <f>ROUND($B753*KarliyukIssizlikIsverenOrani,0)</f>
        <v/>
      </c>
      <c r="J753" s="112">
        <f>$B753+$H753+$I753</f>
        <v/>
      </c>
      <c r="K753" s="114" t="n"/>
    </row>
    <row r="754" ht="15" customHeight="1" s="68">
      <c r="A754" s="114" t="n"/>
      <c r="B754" s="114" t="n"/>
      <c r="C754" s="112">
        <f>ROUND($B754*KarliyukSgkIsciOrani,0)</f>
        <v/>
      </c>
      <c r="D754" s="112">
        <f>ROUND($B754*KarliyukIssizlikIsciOrani,0)</f>
        <v/>
      </c>
      <c r="E754" s="112">
        <f>ROUND($B754*KarliyukStopajOrani,0)</f>
        <v/>
      </c>
      <c r="F754" s="112">
        <f>ROUND($B754*KarliyukDamgaOrani,0)</f>
        <v/>
      </c>
      <c r="G754" s="112">
        <f>$B754-$C754-$D754-$E754-$F754</f>
        <v/>
      </c>
      <c r="H754" s="112">
        <f>ROUND($B754*KarliyukSgkIsverenOrani,0)</f>
        <v/>
      </c>
      <c r="I754" s="112">
        <f>ROUND($B754*KarliyukIssizlikIsverenOrani,0)</f>
        <v/>
      </c>
      <c r="J754" s="112">
        <f>$B754+$H754+$I754</f>
        <v/>
      </c>
      <c r="K754" s="114" t="n"/>
    </row>
    <row r="755" ht="15" customHeight="1" s="68">
      <c r="A755" s="114" t="n"/>
      <c r="B755" s="114" t="n"/>
      <c r="C755" s="112">
        <f>ROUND($B755*KarliyukSgkIsciOrani,0)</f>
        <v/>
      </c>
      <c r="D755" s="112">
        <f>ROUND($B755*KarliyukIssizlikIsciOrani,0)</f>
        <v/>
      </c>
      <c r="E755" s="112">
        <f>ROUND($B755*KarliyukStopajOrani,0)</f>
        <v/>
      </c>
      <c r="F755" s="112">
        <f>ROUND($B755*KarliyukDamgaOrani,0)</f>
        <v/>
      </c>
      <c r="G755" s="112">
        <f>$B755-$C755-$D755-$E755-$F755</f>
        <v/>
      </c>
      <c r="H755" s="112">
        <f>ROUND($B755*KarliyukSgkIsverenOrani,0)</f>
        <v/>
      </c>
      <c r="I755" s="112">
        <f>ROUND($B755*KarliyukIssizlikIsverenOrani,0)</f>
        <v/>
      </c>
      <c r="J755" s="112">
        <f>$B755+$H755+$I755</f>
        <v/>
      </c>
      <c r="K755" s="114" t="n"/>
    </row>
    <row r="756" ht="15" customHeight="1" s="68">
      <c r="A756" s="114" t="n"/>
      <c r="B756" s="114" t="n"/>
      <c r="C756" s="112">
        <f>ROUND($B756*KarliyukSgkIsciOrani,0)</f>
        <v/>
      </c>
      <c r="D756" s="112">
        <f>ROUND($B756*KarliyukIssizlikIsciOrani,0)</f>
        <v/>
      </c>
      <c r="E756" s="112">
        <f>ROUND($B756*KarliyukStopajOrani,0)</f>
        <v/>
      </c>
      <c r="F756" s="112">
        <f>ROUND($B756*KarliyukDamgaOrani,0)</f>
        <v/>
      </c>
      <c r="G756" s="112">
        <f>$B756-$C756-$D756-$E756-$F756</f>
        <v/>
      </c>
      <c r="H756" s="112">
        <f>ROUND($B756*KarliyukSgkIsverenOrani,0)</f>
        <v/>
      </c>
      <c r="I756" s="112">
        <f>ROUND($B756*KarliyukIssizlikIsverenOrani,0)</f>
        <v/>
      </c>
      <c r="J756" s="112">
        <f>$B756+$H756+$I756</f>
        <v/>
      </c>
      <c r="K756" s="114" t="n"/>
    </row>
    <row r="757" ht="15" customHeight="1" s="68">
      <c r="A757" s="114" t="n"/>
      <c r="B757" s="114" t="n"/>
      <c r="C757" s="112">
        <f>ROUND($B757*KarliyukSgkIsciOrani,0)</f>
        <v/>
      </c>
      <c r="D757" s="112">
        <f>ROUND($B757*KarliyukIssizlikIsciOrani,0)</f>
        <v/>
      </c>
      <c r="E757" s="112">
        <f>ROUND($B757*KarliyukStopajOrani,0)</f>
        <v/>
      </c>
      <c r="F757" s="112">
        <f>ROUND($B757*KarliyukDamgaOrani,0)</f>
        <v/>
      </c>
      <c r="G757" s="112">
        <f>$B757-$C757-$D757-$E757-$F757</f>
        <v/>
      </c>
      <c r="H757" s="112">
        <f>ROUND($B757*KarliyukSgkIsverenOrani,0)</f>
        <v/>
      </c>
      <c r="I757" s="112">
        <f>ROUND($B757*KarliyukIssizlikIsverenOrani,0)</f>
        <v/>
      </c>
      <c r="J757" s="112">
        <f>$B757+$H757+$I757</f>
        <v/>
      </c>
      <c r="K757" s="114" t="n"/>
    </row>
    <row r="758" ht="15" customHeight="1" s="68">
      <c r="A758" s="114" t="n"/>
      <c r="B758" s="114" t="n"/>
      <c r="C758" s="112">
        <f>ROUND($B758*KarliyukSgkIsciOrani,0)</f>
        <v/>
      </c>
      <c r="D758" s="112">
        <f>ROUND($B758*KarliyukIssizlikIsciOrani,0)</f>
        <v/>
      </c>
      <c r="E758" s="112">
        <f>ROUND($B758*KarliyukStopajOrani,0)</f>
        <v/>
      </c>
      <c r="F758" s="112">
        <f>ROUND($B758*KarliyukDamgaOrani,0)</f>
        <v/>
      </c>
      <c r="G758" s="112">
        <f>$B758-$C758-$D758-$E758-$F758</f>
        <v/>
      </c>
      <c r="H758" s="112">
        <f>ROUND($B758*KarliyukSgkIsverenOrani,0)</f>
        <v/>
      </c>
      <c r="I758" s="112">
        <f>ROUND($B758*KarliyukIssizlikIsverenOrani,0)</f>
        <v/>
      </c>
      <c r="J758" s="112">
        <f>$B758+$H758+$I758</f>
        <v/>
      </c>
      <c r="K758" s="114" t="n"/>
    </row>
    <row r="759" ht="15" customHeight="1" s="68">
      <c r="A759" s="114" t="n"/>
      <c r="B759" s="114" t="n"/>
      <c r="C759" s="112">
        <f>ROUND($B759*KarliyukSgkIsciOrani,0)</f>
        <v/>
      </c>
      <c r="D759" s="112">
        <f>ROUND($B759*KarliyukIssizlikIsciOrani,0)</f>
        <v/>
      </c>
      <c r="E759" s="112">
        <f>ROUND($B759*KarliyukStopajOrani,0)</f>
        <v/>
      </c>
      <c r="F759" s="112">
        <f>ROUND($B759*KarliyukDamgaOrani,0)</f>
        <v/>
      </c>
      <c r="G759" s="112">
        <f>$B759-$C759-$D759-$E759-$F759</f>
        <v/>
      </c>
      <c r="H759" s="112">
        <f>ROUND($B759*KarliyukSgkIsverenOrani,0)</f>
        <v/>
      </c>
      <c r="I759" s="112">
        <f>ROUND($B759*KarliyukIssizlikIsverenOrani,0)</f>
        <v/>
      </c>
      <c r="J759" s="112">
        <f>$B759+$H759+$I759</f>
        <v/>
      </c>
      <c r="K759" s="114" t="n"/>
    </row>
    <row r="760" ht="15" customHeight="1" s="68">
      <c r="A760" s="114" t="n"/>
      <c r="B760" s="114" t="n"/>
      <c r="C760" s="112">
        <f>ROUND($B760*KarliyukSgkIsciOrani,0)</f>
        <v/>
      </c>
      <c r="D760" s="112">
        <f>ROUND($B760*KarliyukIssizlikIsciOrani,0)</f>
        <v/>
      </c>
      <c r="E760" s="112">
        <f>ROUND($B760*KarliyukStopajOrani,0)</f>
        <v/>
      </c>
      <c r="F760" s="112">
        <f>ROUND($B760*KarliyukDamgaOrani,0)</f>
        <v/>
      </c>
      <c r="G760" s="112">
        <f>$B760-$C760-$D760-$E760-$F760</f>
        <v/>
      </c>
      <c r="H760" s="112">
        <f>ROUND($B760*KarliyukSgkIsverenOrani,0)</f>
        <v/>
      </c>
      <c r="I760" s="112">
        <f>ROUND($B760*KarliyukIssizlikIsverenOrani,0)</f>
        <v/>
      </c>
      <c r="J760" s="112">
        <f>$B760+$H760+$I760</f>
        <v/>
      </c>
      <c r="K760" s="114" t="n"/>
    </row>
    <row r="761" ht="15" customHeight="1" s="68">
      <c r="A761" s="114" t="n"/>
      <c r="B761" s="114" t="n"/>
      <c r="C761" s="112">
        <f>ROUND($B761*KarliyukSgkIsciOrani,0)</f>
        <v/>
      </c>
      <c r="D761" s="112">
        <f>ROUND($B761*KarliyukIssizlikIsciOrani,0)</f>
        <v/>
      </c>
      <c r="E761" s="112">
        <f>ROUND($B761*KarliyukStopajOrani,0)</f>
        <v/>
      </c>
      <c r="F761" s="112">
        <f>ROUND($B761*KarliyukDamgaOrani,0)</f>
        <v/>
      </c>
      <c r="G761" s="112">
        <f>$B761-$C761-$D761-$E761-$F761</f>
        <v/>
      </c>
      <c r="H761" s="112">
        <f>ROUND($B761*KarliyukSgkIsverenOrani,0)</f>
        <v/>
      </c>
      <c r="I761" s="112">
        <f>ROUND($B761*KarliyukIssizlikIsverenOrani,0)</f>
        <v/>
      </c>
      <c r="J761" s="112">
        <f>$B761+$H761+$I761</f>
        <v/>
      </c>
      <c r="K761" s="114" t="n"/>
    </row>
    <row r="762" ht="15" customHeight="1" s="68">
      <c r="A762" s="114" t="n"/>
      <c r="B762" s="114" t="n"/>
      <c r="C762" s="112">
        <f>ROUND($B762*KarliyukSgkIsciOrani,0)</f>
        <v/>
      </c>
      <c r="D762" s="112">
        <f>ROUND($B762*KarliyukIssizlikIsciOrani,0)</f>
        <v/>
      </c>
      <c r="E762" s="112">
        <f>ROUND($B762*KarliyukStopajOrani,0)</f>
        <v/>
      </c>
      <c r="F762" s="112">
        <f>ROUND($B762*KarliyukDamgaOrani,0)</f>
        <v/>
      </c>
      <c r="G762" s="112">
        <f>$B762-$C762-$D762-$E762-$F762</f>
        <v/>
      </c>
      <c r="H762" s="112">
        <f>ROUND($B762*KarliyukSgkIsverenOrani,0)</f>
        <v/>
      </c>
      <c r="I762" s="112">
        <f>ROUND($B762*KarliyukIssizlikIsverenOrani,0)</f>
        <v/>
      </c>
      <c r="J762" s="112">
        <f>$B762+$H762+$I762</f>
        <v/>
      </c>
      <c r="K762" s="114" t="n"/>
    </row>
    <row r="763" ht="15" customHeight="1" s="68">
      <c r="A763" s="114" t="n"/>
      <c r="B763" s="114" t="n"/>
      <c r="C763" s="112">
        <f>ROUND($B763*KarliyukSgkIsciOrani,0)</f>
        <v/>
      </c>
      <c r="D763" s="112">
        <f>ROUND($B763*KarliyukIssizlikIsciOrani,0)</f>
        <v/>
      </c>
      <c r="E763" s="112">
        <f>ROUND($B763*KarliyukStopajOrani,0)</f>
        <v/>
      </c>
      <c r="F763" s="112">
        <f>ROUND($B763*KarliyukDamgaOrani,0)</f>
        <v/>
      </c>
      <c r="G763" s="112">
        <f>$B763-$C763-$D763-$E763-$F763</f>
        <v/>
      </c>
      <c r="H763" s="112">
        <f>ROUND($B763*KarliyukSgkIsverenOrani,0)</f>
        <v/>
      </c>
      <c r="I763" s="112">
        <f>ROUND($B763*KarliyukIssizlikIsverenOrani,0)</f>
        <v/>
      </c>
      <c r="J763" s="112">
        <f>$B763+$H763+$I763</f>
        <v/>
      </c>
      <c r="K763" s="114" t="n"/>
    </row>
    <row r="764" ht="15" customHeight="1" s="68">
      <c r="A764" s="114" t="n"/>
      <c r="B764" s="114" t="n"/>
      <c r="C764" s="112">
        <f>ROUND($B764*KarliyukSgkIsciOrani,0)</f>
        <v/>
      </c>
      <c r="D764" s="112">
        <f>ROUND($B764*KarliyukIssizlikIsciOrani,0)</f>
        <v/>
      </c>
      <c r="E764" s="112">
        <f>ROUND($B764*KarliyukStopajOrani,0)</f>
        <v/>
      </c>
      <c r="F764" s="112">
        <f>ROUND($B764*KarliyukDamgaOrani,0)</f>
        <v/>
      </c>
      <c r="G764" s="112">
        <f>$B764-$C764-$D764-$E764-$F764</f>
        <v/>
      </c>
      <c r="H764" s="112">
        <f>ROUND($B764*KarliyukSgkIsverenOrani,0)</f>
        <v/>
      </c>
      <c r="I764" s="112">
        <f>ROUND($B764*KarliyukIssizlikIsverenOrani,0)</f>
        <v/>
      </c>
      <c r="J764" s="112">
        <f>$B764+$H764+$I764</f>
        <v/>
      </c>
      <c r="K764" s="114" t="n"/>
    </row>
    <row r="765" ht="15" customHeight="1" s="68">
      <c r="A765" s="114" t="n"/>
      <c r="B765" s="114" t="n"/>
      <c r="C765" s="112">
        <f>ROUND($B765*KarliyukSgkIsciOrani,0)</f>
        <v/>
      </c>
      <c r="D765" s="112">
        <f>ROUND($B765*KarliyukIssizlikIsciOrani,0)</f>
        <v/>
      </c>
      <c r="E765" s="112">
        <f>ROUND($B765*KarliyukStopajOrani,0)</f>
        <v/>
      </c>
      <c r="F765" s="112">
        <f>ROUND($B765*KarliyukDamgaOrani,0)</f>
        <v/>
      </c>
      <c r="G765" s="112">
        <f>$B765-$C765-$D765-$E765-$F765</f>
        <v/>
      </c>
      <c r="H765" s="112">
        <f>ROUND($B765*KarliyukSgkIsverenOrani,0)</f>
        <v/>
      </c>
      <c r="I765" s="112">
        <f>ROUND($B765*KarliyukIssizlikIsverenOrani,0)</f>
        <v/>
      </c>
      <c r="J765" s="112">
        <f>$B765+$H765+$I765</f>
        <v/>
      </c>
      <c r="K765" s="114" t="n"/>
    </row>
    <row r="766" ht="15" customHeight="1" s="68">
      <c r="A766" s="114" t="n"/>
      <c r="B766" s="114" t="n"/>
      <c r="C766" s="112">
        <f>ROUND($B766*KarliyukSgkIsciOrani,0)</f>
        <v/>
      </c>
      <c r="D766" s="112">
        <f>ROUND($B766*KarliyukIssizlikIsciOrani,0)</f>
        <v/>
      </c>
      <c r="E766" s="112">
        <f>ROUND($B766*KarliyukStopajOrani,0)</f>
        <v/>
      </c>
      <c r="F766" s="112">
        <f>ROUND($B766*KarliyukDamgaOrani,0)</f>
        <v/>
      </c>
      <c r="G766" s="112">
        <f>$B766-$C766-$D766-$E766-$F766</f>
        <v/>
      </c>
      <c r="H766" s="112">
        <f>ROUND($B766*KarliyukSgkIsverenOrani,0)</f>
        <v/>
      </c>
      <c r="I766" s="112">
        <f>ROUND($B766*KarliyukIssizlikIsverenOrani,0)</f>
        <v/>
      </c>
      <c r="J766" s="112">
        <f>$B766+$H766+$I766</f>
        <v/>
      </c>
      <c r="K766" s="114" t="n"/>
    </row>
    <row r="767" ht="15" customHeight="1" s="68">
      <c r="A767" s="114" t="n"/>
      <c r="B767" s="114" t="n"/>
      <c r="C767" s="112">
        <f>ROUND($B767*KarliyukSgkIsciOrani,0)</f>
        <v/>
      </c>
      <c r="D767" s="112">
        <f>ROUND($B767*KarliyukIssizlikIsciOrani,0)</f>
        <v/>
      </c>
      <c r="E767" s="112">
        <f>ROUND($B767*KarliyukStopajOrani,0)</f>
        <v/>
      </c>
      <c r="F767" s="112">
        <f>ROUND($B767*KarliyukDamgaOrani,0)</f>
        <v/>
      </c>
      <c r="G767" s="112">
        <f>$B767-$C767-$D767-$E767-$F767</f>
        <v/>
      </c>
      <c r="H767" s="112">
        <f>ROUND($B767*KarliyukSgkIsverenOrani,0)</f>
        <v/>
      </c>
      <c r="I767" s="112">
        <f>ROUND($B767*KarliyukIssizlikIsverenOrani,0)</f>
        <v/>
      </c>
      <c r="J767" s="112">
        <f>$B767+$H767+$I767</f>
        <v/>
      </c>
      <c r="K767" s="114" t="n"/>
    </row>
    <row r="768" ht="15" customHeight="1" s="68">
      <c r="A768" s="114" t="n"/>
      <c r="B768" s="114" t="n"/>
      <c r="C768" s="112">
        <f>ROUND($B768*KarliyukSgkIsciOrani,0)</f>
        <v/>
      </c>
      <c r="D768" s="112">
        <f>ROUND($B768*KarliyukIssizlikIsciOrani,0)</f>
        <v/>
      </c>
      <c r="E768" s="112">
        <f>ROUND($B768*KarliyukStopajOrani,0)</f>
        <v/>
      </c>
      <c r="F768" s="112">
        <f>ROUND($B768*KarliyukDamgaOrani,0)</f>
        <v/>
      </c>
      <c r="G768" s="112">
        <f>$B768-$C768-$D768-$E768-$F768</f>
        <v/>
      </c>
      <c r="H768" s="112">
        <f>ROUND($B768*KarliyukSgkIsverenOrani,0)</f>
        <v/>
      </c>
      <c r="I768" s="112">
        <f>ROUND($B768*KarliyukIssizlikIsverenOrani,0)</f>
        <v/>
      </c>
      <c r="J768" s="112">
        <f>$B768+$H768+$I768</f>
        <v/>
      </c>
      <c r="K768" s="114" t="n"/>
    </row>
    <row r="769" ht="15" customHeight="1" s="68">
      <c r="A769" s="114" t="n"/>
      <c r="B769" s="114" t="n"/>
      <c r="C769" s="112">
        <f>ROUND($B769*KarliyukSgkIsciOrani,0)</f>
        <v/>
      </c>
      <c r="D769" s="112">
        <f>ROUND($B769*KarliyukIssizlikIsciOrani,0)</f>
        <v/>
      </c>
      <c r="E769" s="112">
        <f>ROUND($B769*KarliyukStopajOrani,0)</f>
        <v/>
      </c>
      <c r="F769" s="112">
        <f>ROUND($B769*KarliyukDamgaOrani,0)</f>
        <v/>
      </c>
      <c r="G769" s="112">
        <f>$B769-$C769-$D769-$E769-$F769</f>
        <v/>
      </c>
      <c r="H769" s="112">
        <f>ROUND($B769*KarliyukSgkIsverenOrani,0)</f>
        <v/>
      </c>
      <c r="I769" s="112">
        <f>ROUND($B769*KarliyukIssizlikIsverenOrani,0)</f>
        <v/>
      </c>
      <c r="J769" s="112">
        <f>$B769+$H769+$I769</f>
        <v/>
      </c>
      <c r="K769" s="114" t="n"/>
    </row>
    <row r="770" ht="15" customHeight="1" s="68">
      <c r="A770" s="114" t="n"/>
      <c r="B770" s="114" t="n"/>
      <c r="C770" s="112">
        <f>ROUND($B770*KarliyukSgkIsciOrani,0)</f>
        <v/>
      </c>
      <c r="D770" s="112">
        <f>ROUND($B770*KarliyukIssizlikIsciOrani,0)</f>
        <v/>
      </c>
      <c r="E770" s="112">
        <f>ROUND($B770*KarliyukStopajOrani,0)</f>
        <v/>
      </c>
      <c r="F770" s="112">
        <f>ROUND($B770*KarliyukDamgaOrani,0)</f>
        <v/>
      </c>
      <c r="G770" s="112">
        <f>$B770-$C770-$D770-$E770-$F770</f>
        <v/>
      </c>
      <c r="H770" s="112">
        <f>ROUND($B770*KarliyukSgkIsverenOrani,0)</f>
        <v/>
      </c>
      <c r="I770" s="112">
        <f>ROUND($B770*KarliyukIssizlikIsverenOrani,0)</f>
        <v/>
      </c>
      <c r="J770" s="112">
        <f>$B770+$H770+$I770</f>
        <v/>
      </c>
      <c r="K770" s="114" t="n"/>
    </row>
    <row r="771" ht="15" customHeight="1" s="68">
      <c r="A771" s="114" t="n"/>
      <c r="B771" s="114" t="n"/>
      <c r="C771" s="112">
        <f>ROUND($B771*KarliyukSgkIsciOrani,0)</f>
        <v/>
      </c>
      <c r="D771" s="112">
        <f>ROUND($B771*KarliyukIssizlikIsciOrani,0)</f>
        <v/>
      </c>
      <c r="E771" s="112">
        <f>ROUND($B771*KarliyukStopajOrani,0)</f>
        <v/>
      </c>
      <c r="F771" s="112">
        <f>ROUND($B771*KarliyukDamgaOrani,0)</f>
        <v/>
      </c>
      <c r="G771" s="112">
        <f>$B771-$C771-$D771-$E771-$F771</f>
        <v/>
      </c>
      <c r="H771" s="112">
        <f>ROUND($B771*KarliyukSgkIsverenOrani,0)</f>
        <v/>
      </c>
      <c r="I771" s="112">
        <f>ROUND($B771*KarliyukIssizlikIsverenOrani,0)</f>
        <v/>
      </c>
      <c r="J771" s="112">
        <f>$B771+$H771+$I771</f>
        <v/>
      </c>
      <c r="K771" s="114" t="n"/>
    </row>
    <row r="772" ht="15" customHeight="1" s="68">
      <c r="A772" s="114" t="n"/>
      <c r="B772" s="114" t="n"/>
      <c r="C772" s="112">
        <f>ROUND($B772*KarliyukSgkIsciOrani,0)</f>
        <v/>
      </c>
      <c r="D772" s="112">
        <f>ROUND($B772*KarliyukIssizlikIsciOrani,0)</f>
        <v/>
      </c>
      <c r="E772" s="112">
        <f>ROUND($B772*KarliyukStopajOrani,0)</f>
        <v/>
      </c>
      <c r="F772" s="112">
        <f>ROUND($B772*KarliyukDamgaOrani,0)</f>
        <v/>
      </c>
      <c r="G772" s="112">
        <f>$B772-$C772-$D772-$E772-$F772</f>
        <v/>
      </c>
      <c r="H772" s="112">
        <f>ROUND($B772*KarliyukSgkIsverenOrani,0)</f>
        <v/>
      </c>
      <c r="I772" s="112">
        <f>ROUND($B772*KarliyukIssizlikIsverenOrani,0)</f>
        <v/>
      </c>
      <c r="J772" s="112">
        <f>$B772+$H772+$I772</f>
        <v/>
      </c>
      <c r="K772" s="114" t="n"/>
    </row>
    <row r="773" ht="15" customHeight="1" s="68">
      <c r="A773" s="114" t="n"/>
      <c r="B773" s="114" t="n"/>
      <c r="C773" s="112">
        <f>ROUND($B773*KarliyukSgkIsciOrani,0)</f>
        <v/>
      </c>
      <c r="D773" s="112">
        <f>ROUND($B773*KarliyukIssizlikIsciOrani,0)</f>
        <v/>
      </c>
      <c r="E773" s="112">
        <f>ROUND($B773*KarliyukStopajOrani,0)</f>
        <v/>
      </c>
      <c r="F773" s="112">
        <f>ROUND($B773*KarliyukDamgaOrani,0)</f>
        <v/>
      </c>
      <c r="G773" s="112">
        <f>$B773-$C773-$D773-$E773-$F773</f>
        <v/>
      </c>
      <c r="H773" s="112">
        <f>ROUND($B773*KarliyukSgkIsverenOrani,0)</f>
        <v/>
      </c>
      <c r="I773" s="112">
        <f>ROUND($B773*KarliyukIssizlikIsverenOrani,0)</f>
        <v/>
      </c>
      <c r="J773" s="112">
        <f>$B773+$H773+$I773</f>
        <v/>
      </c>
      <c r="K773" s="114" t="n"/>
    </row>
    <row r="774" ht="15" customHeight="1" s="68">
      <c r="A774" s="114" t="n"/>
      <c r="B774" s="114" t="n"/>
      <c r="C774" s="112">
        <f>ROUND($B774*KarliyukSgkIsciOrani,0)</f>
        <v/>
      </c>
      <c r="D774" s="112">
        <f>ROUND($B774*KarliyukIssizlikIsciOrani,0)</f>
        <v/>
      </c>
      <c r="E774" s="112">
        <f>ROUND($B774*KarliyukStopajOrani,0)</f>
        <v/>
      </c>
      <c r="F774" s="112">
        <f>ROUND($B774*KarliyukDamgaOrani,0)</f>
        <v/>
      </c>
      <c r="G774" s="112">
        <f>$B774-$C774-$D774-$E774-$F774</f>
        <v/>
      </c>
      <c r="H774" s="112">
        <f>ROUND($B774*KarliyukSgkIsverenOrani,0)</f>
        <v/>
      </c>
      <c r="I774" s="112">
        <f>ROUND($B774*KarliyukIssizlikIsverenOrani,0)</f>
        <v/>
      </c>
      <c r="J774" s="112">
        <f>$B774+$H774+$I774</f>
        <v/>
      </c>
      <c r="K774" s="114" t="n"/>
    </row>
    <row r="775" ht="15" customHeight="1" s="68">
      <c r="A775" s="114" t="n"/>
      <c r="B775" s="114" t="n"/>
      <c r="C775" s="112">
        <f>ROUND($B775*KarliyukSgkIsciOrani,0)</f>
        <v/>
      </c>
      <c r="D775" s="112">
        <f>ROUND($B775*KarliyukIssizlikIsciOrani,0)</f>
        <v/>
      </c>
      <c r="E775" s="112">
        <f>ROUND($B775*KarliyukStopajOrani,0)</f>
        <v/>
      </c>
      <c r="F775" s="112">
        <f>ROUND($B775*KarliyukDamgaOrani,0)</f>
        <v/>
      </c>
      <c r="G775" s="112">
        <f>$B775-$C775-$D775-$E775-$F775</f>
        <v/>
      </c>
      <c r="H775" s="112">
        <f>ROUND($B775*KarliyukSgkIsverenOrani,0)</f>
        <v/>
      </c>
      <c r="I775" s="112">
        <f>ROUND($B775*KarliyukIssizlikIsverenOrani,0)</f>
        <v/>
      </c>
      <c r="J775" s="112">
        <f>$B775+$H775+$I775</f>
        <v/>
      </c>
      <c r="K775" s="114" t="n"/>
    </row>
    <row r="776" ht="15" customHeight="1" s="68">
      <c r="A776" s="114" t="n"/>
      <c r="B776" s="114" t="n"/>
      <c r="C776" s="112">
        <f>ROUND($B776*KarliyukSgkIsciOrani,0)</f>
        <v/>
      </c>
      <c r="D776" s="112">
        <f>ROUND($B776*KarliyukIssizlikIsciOrani,0)</f>
        <v/>
      </c>
      <c r="E776" s="112">
        <f>ROUND($B776*KarliyukStopajOrani,0)</f>
        <v/>
      </c>
      <c r="F776" s="112">
        <f>ROUND($B776*KarliyukDamgaOrani,0)</f>
        <v/>
      </c>
      <c r="G776" s="112">
        <f>$B776-$C776-$D776-$E776-$F776</f>
        <v/>
      </c>
      <c r="H776" s="112">
        <f>ROUND($B776*KarliyukSgkIsverenOrani,0)</f>
        <v/>
      </c>
      <c r="I776" s="112">
        <f>ROUND($B776*KarliyukIssizlikIsverenOrani,0)</f>
        <v/>
      </c>
      <c r="J776" s="112">
        <f>$B776+$H776+$I776</f>
        <v/>
      </c>
      <c r="K776" s="114" t="n"/>
    </row>
    <row r="777" ht="15" customHeight="1" s="68">
      <c r="A777" s="114" t="n"/>
      <c r="B777" s="114" t="n"/>
      <c r="C777" s="112">
        <f>ROUND($B777*KarliyukSgkIsciOrani,0)</f>
        <v/>
      </c>
      <c r="D777" s="112">
        <f>ROUND($B777*KarliyukIssizlikIsciOrani,0)</f>
        <v/>
      </c>
      <c r="E777" s="112">
        <f>ROUND($B777*KarliyukStopajOrani,0)</f>
        <v/>
      </c>
      <c r="F777" s="112">
        <f>ROUND($B777*KarliyukDamgaOrani,0)</f>
        <v/>
      </c>
      <c r="G777" s="112">
        <f>$B777-$C777-$D777-$E777-$F777</f>
        <v/>
      </c>
      <c r="H777" s="112">
        <f>ROUND($B777*KarliyukSgkIsverenOrani,0)</f>
        <v/>
      </c>
      <c r="I777" s="112">
        <f>ROUND($B777*KarliyukIssizlikIsverenOrani,0)</f>
        <v/>
      </c>
      <c r="J777" s="112">
        <f>$B777+$H777+$I777</f>
        <v/>
      </c>
      <c r="K777" s="114" t="n"/>
    </row>
    <row r="778" ht="15" customHeight="1" s="68">
      <c r="A778" s="114" t="n"/>
      <c r="B778" s="114" t="n"/>
      <c r="C778" s="112">
        <f>ROUND($B778*KarliyukSgkIsciOrani,0)</f>
        <v/>
      </c>
      <c r="D778" s="112">
        <f>ROUND($B778*KarliyukIssizlikIsciOrani,0)</f>
        <v/>
      </c>
      <c r="E778" s="112">
        <f>ROUND($B778*KarliyukStopajOrani,0)</f>
        <v/>
      </c>
      <c r="F778" s="112">
        <f>ROUND($B778*KarliyukDamgaOrani,0)</f>
        <v/>
      </c>
      <c r="G778" s="112">
        <f>$B778-$C778-$D778-$E778-$F778</f>
        <v/>
      </c>
      <c r="H778" s="112">
        <f>ROUND($B778*KarliyukSgkIsverenOrani,0)</f>
        <v/>
      </c>
      <c r="I778" s="112">
        <f>ROUND($B778*KarliyukIssizlikIsverenOrani,0)</f>
        <v/>
      </c>
      <c r="J778" s="112">
        <f>$B778+$H778+$I778</f>
        <v/>
      </c>
      <c r="K778" s="114" t="n"/>
    </row>
    <row r="779" ht="15" customHeight="1" s="68">
      <c r="A779" s="114" t="n"/>
      <c r="B779" s="114" t="n"/>
      <c r="C779" s="112">
        <f>ROUND($B779*KarliyukSgkIsciOrani,0)</f>
        <v/>
      </c>
      <c r="D779" s="112">
        <f>ROUND($B779*KarliyukIssizlikIsciOrani,0)</f>
        <v/>
      </c>
      <c r="E779" s="112">
        <f>ROUND($B779*KarliyukStopajOrani,0)</f>
        <v/>
      </c>
      <c r="F779" s="112">
        <f>ROUND($B779*KarliyukDamgaOrani,0)</f>
        <v/>
      </c>
      <c r="G779" s="112">
        <f>$B779-$C779-$D779-$E779-$F779</f>
        <v/>
      </c>
      <c r="H779" s="112">
        <f>ROUND($B779*KarliyukSgkIsverenOrani,0)</f>
        <v/>
      </c>
      <c r="I779" s="112">
        <f>ROUND($B779*KarliyukIssizlikIsverenOrani,0)</f>
        <v/>
      </c>
      <c r="J779" s="112">
        <f>$B779+$H779+$I779</f>
        <v/>
      </c>
      <c r="K779" s="114" t="n"/>
    </row>
    <row r="780" ht="15" customHeight="1" s="68">
      <c r="A780" s="114" t="n"/>
      <c r="B780" s="114" t="n"/>
      <c r="C780" s="112">
        <f>ROUND($B780*KarliyukSgkIsciOrani,0)</f>
        <v/>
      </c>
      <c r="D780" s="112">
        <f>ROUND($B780*KarliyukIssizlikIsciOrani,0)</f>
        <v/>
      </c>
      <c r="E780" s="112">
        <f>ROUND($B780*KarliyukStopajOrani,0)</f>
        <v/>
      </c>
      <c r="F780" s="112">
        <f>ROUND($B780*KarliyukDamgaOrani,0)</f>
        <v/>
      </c>
      <c r="G780" s="112">
        <f>$B780-$C780-$D780-$E780-$F780</f>
        <v/>
      </c>
      <c r="H780" s="112">
        <f>ROUND($B780*KarliyukSgkIsverenOrani,0)</f>
        <v/>
      </c>
      <c r="I780" s="112">
        <f>ROUND($B780*KarliyukIssizlikIsverenOrani,0)</f>
        <v/>
      </c>
      <c r="J780" s="112">
        <f>$B780+$H780+$I780</f>
        <v/>
      </c>
      <c r="K780" s="114" t="n"/>
    </row>
    <row r="781" ht="15" customHeight="1" s="68">
      <c r="A781" s="114" t="n"/>
      <c r="B781" s="114" t="n"/>
      <c r="C781" s="112">
        <f>ROUND($B781*KarliyukSgkIsciOrani,0)</f>
        <v/>
      </c>
      <c r="D781" s="112">
        <f>ROUND($B781*KarliyukIssizlikIsciOrani,0)</f>
        <v/>
      </c>
      <c r="E781" s="112">
        <f>ROUND($B781*KarliyukStopajOrani,0)</f>
        <v/>
      </c>
      <c r="F781" s="112">
        <f>ROUND($B781*KarliyukDamgaOrani,0)</f>
        <v/>
      </c>
      <c r="G781" s="112">
        <f>$B781-$C781-$D781-$E781-$F781</f>
        <v/>
      </c>
      <c r="H781" s="112">
        <f>ROUND($B781*KarliyukSgkIsverenOrani,0)</f>
        <v/>
      </c>
      <c r="I781" s="112">
        <f>ROUND($B781*KarliyukIssizlikIsverenOrani,0)</f>
        <v/>
      </c>
      <c r="J781" s="112">
        <f>$B781+$H781+$I781</f>
        <v/>
      </c>
      <c r="K781" s="114" t="n"/>
    </row>
    <row r="782" ht="15" customHeight="1" s="68">
      <c r="A782" s="114" t="n"/>
      <c r="B782" s="114" t="n"/>
      <c r="C782" s="112">
        <f>ROUND($B782*KarliyukSgkIsciOrani,0)</f>
        <v/>
      </c>
      <c r="D782" s="112">
        <f>ROUND($B782*KarliyukIssizlikIsciOrani,0)</f>
        <v/>
      </c>
      <c r="E782" s="112">
        <f>ROUND($B782*KarliyukStopajOrani,0)</f>
        <v/>
      </c>
      <c r="F782" s="112">
        <f>ROUND($B782*KarliyukDamgaOrani,0)</f>
        <v/>
      </c>
      <c r="G782" s="112">
        <f>$B782-$C782-$D782-$E782-$F782</f>
        <v/>
      </c>
      <c r="H782" s="112">
        <f>ROUND($B782*KarliyukSgkIsverenOrani,0)</f>
        <v/>
      </c>
      <c r="I782" s="112">
        <f>ROUND($B782*KarliyukIssizlikIsverenOrani,0)</f>
        <v/>
      </c>
      <c r="J782" s="112">
        <f>$B782+$H782+$I782</f>
        <v/>
      </c>
      <c r="K782" s="114" t="n"/>
    </row>
    <row r="783" ht="15" customHeight="1" s="68">
      <c r="A783" s="114" t="n"/>
      <c r="B783" s="114" t="n"/>
      <c r="C783" s="112">
        <f>ROUND($B783*KarliyukSgkIsciOrani,0)</f>
        <v/>
      </c>
      <c r="D783" s="112">
        <f>ROUND($B783*KarliyukIssizlikIsciOrani,0)</f>
        <v/>
      </c>
      <c r="E783" s="112">
        <f>ROUND($B783*KarliyukStopajOrani,0)</f>
        <v/>
      </c>
      <c r="F783" s="112">
        <f>ROUND($B783*KarliyukDamgaOrani,0)</f>
        <v/>
      </c>
      <c r="G783" s="112">
        <f>$B783-$C783-$D783-$E783-$F783</f>
        <v/>
      </c>
      <c r="H783" s="112">
        <f>ROUND($B783*KarliyukSgkIsverenOrani,0)</f>
        <v/>
      </c>
      <c r="I783" s="112">
        <f>ROUND($B783*KarliyukIssizlikIsverenOrani,0)</f>
        <v/>
      </c>
      <c r="J783" s="112">
        <f>$B783+$H783+$I783</f>
        <v/>
      </c>
      <c r="K783" s="114" t="n"/>
    </row>
    <row r="784" ht="15" customHeight="1" s="68">
      <c r="A784" s="114" t="n"/>
      <c r="B784" s="114" t="n"/>
      <c r="C784" s="112">
        <f>ROUND($B784*KarliyukSgkIsciOrani,0)</f>
        <v/>
      </c>
      <c r="D784" s="112">
        <f>ROUND($B784*KarliyukIssizlikIsciOrani,0)</f>
        <v/>
      </c>
      <c r="E784" s="112">
        <f>ROUND($B784*KarliyukStopajOrani,0)</f>
        <v/>
      </c>
      <c r="F784" s="112">
        <f>ROUND($B784*KarliyukDamgaOrani,0)</f>
        <v/>
      </c>
      <c r="G784" s="112">
        <f>$B784-$C784-$D784-$E784-$F784</f>
        <v/>
      </c>
      <c r="H784" s="112">
        <f>ROUND($B784*KarliyukSgkIsverenOrani,0)</f>
        <v/>
      </c>
      <c r="I784" s="112">
        <f>ROUND($B784*KarliyukIssizlikIsverenOrani,0)</f>
        <v/>
      </c>
      <c r="J784" s="112">
        <f>$B784+$H784+$I784</f>
        <v/>
      </c>
      <c r="K784" s="114" t="n"/>
    </row>
    <row r="785" ht="15" customHeight="1" s="68">
      <c r="A785" s="114" t="n"/>
      <c r="B785" s="114" t="n"/>
      <c r="C785" s="112">
        <f>ROUND($B785*KarliyukSgkIsciOrani,0)</f>
        <v/>
      </c>
      <c r="D785" s="112">
        <f>ROUND($B785*KarliyukIssizlikIsciOrani,0)</f>
        <v/>
      </c>
      <c r="E785" s="112">
        <f>ROUND($B785*KarliyukStopajOrani,0)</f>
        <v/>
      </c>
      <c r="F785" s="112">
        <f>ROUND($B785*KarliyukDamgaOrani,0)</f>
        <v/>
      </c>
      <c r="G785" s="112">
        <f>$B785-$C785-$D785-$E785-$F785</f>
        <v/>
      </c>
      <c r="H785" s="112">
        <f>ROUND($B785*KarliyukSgkIsverenOrani,0)</f>
        <v/>
      </c>
      <c r="I785" s="112">
        <f>ROUND($B785*KarliyukIssizlikIsverenOrani,0)</f>
        <v/>
      </c>
      <c r="J785" s="112">
        <f>$B785+$H785+$I785</f>
        <v/>
      </c>
      <c r="K785" s="114" t="n"/>
    </row>
    <row r="786" ht="15" customHeight="1" s="68">
      <c r="A786" s="114" t="n"/>
      <c r="B786" s="114" t="n"/>
      <c r="C786" s="112">
        <f>ROUND($B786*KarliyukSgkIsciOrani,0)</f>
        <v/>
      </c>
      <c r="D786" s="112">
        <f>ROUND($B786*KarliyukIssizlikIsciOrani,0)</f>
        <v/>
      </c>
      <c r="E786" s="112">
        <f>ROUND($B786*KarliyukStopajOrani,0)</f>
        <v/>
      </c>
      <c r="F786" s="112">
        <f>ROUND($B786*KarliyukDamgaOrani,0)</f>
        <v/>
      </c>
      <c r="G786" s="112">
        <f>$B786-$C786-$D786-$E786-$F786</f>
        <v/>
      </c>
      <c r="H786" s="112">
        <f>ROUND($B786*KarliyukSgkIsverenOrani,0)</f>
        <v/>
      </c>
      <c r="I786" s="112">
        <f>ROUND($B786*KarliyukIssizlikIsverenOrani,0)</f>
        <v/>
      </c>
      <c r="J786" s="112">
        <f>$B786+$H786+$I786</f>
        <v/>
      </c>
      <c r="K786" s="114" t="n"/>
    </row>
    <row r="787" ht="15" customHeight="1" s="68">
      <c r="A787" s="114" t="n"/>
      <c r="B787" s="114" t="n"/>
      <c r="C787" s="112">
        <f>ROUND($B787*KarliyukSgkIsciOrani,0)</f>
        <v/>
      </c>
      <c r="D787" s="112">
        <f>ROUND($B787*KarliyukIssizlikIsciOrani,0)</f>
        <v/>
      </c>
      <c r="E787" s="112">
        <f>ROUND($B787*KarliyukStopajOrani,0)</f>
        <v/>
      </c>
      <c r="F787" s="112">
        <f>ROUND($B787*KarliyukDamgaOrani,0)</f>
        <v/>
      </c>
      <c r="G787" s="112">
        <f>$B787-$C787-$D787-$E787-$F787</f>
        <v/>
      </c>
      <c r="H787" s="112">
        <f>ROUND($B787*KarliyukSgkIsverenOrani,0)</f>
        <v/>
      </c>
      <c r="I787" s="112">
        <f>ROUND($B787*KarliyukIssizlikIsverenOrani,0)</f>
        <v/>
      </c>
      <c r="J787" s="112">
        <f>$B787+$H787+$I787</f>
        <v/>
      </c>
      <c r="K787" s="114" t="n"/>
    </row>
    <row r="788" ht="15" customHeight="1" s="68">
      <c r="A788" s="114" t="n"/>
      <c r="B788" s="114" t="n"/>
      <c r="C788" s="112">
        <f>ROUND($B788*KarliyukSgkIsciOrani,0)</f>
        <v/>
      </c>
      <c r="D788" s="112">
        <f>ROUND($B788*KarliyukIssizlikIsciOrani,0)</f>
        <v/>
      </c>
      <c r="E788" s="112">
        <f>ROUND($B788*KarliyukStopajOrani,0)</f>
        <v/>
      </c>
      <c r="F788" s="112">
        <f>ROUND($B788*KarliyukDamgaOrani,0)</f>
        <v/>
      </c>
      <c r="G788" s="112">
        <f>$B788-$C788-$D788-$E788-$F788</f>
        <v/>
      </c>
      <c r="H788" s="112">
        <f>ROUND($B788*KarliyukSgkIsverenOrani,0)</f>
        <v/>
      </c>
      <c r="I788" s="112">
        <f>ROUND($B788*KarliyukIssizlikIsverenOrani,0)</f>
        <v/>
      </c>
      <c r="J788" s="112">
        <f>$B788+$H788+$I788</f>
        <v/>
      </c>
      <c r="K788" s="114" t="n"/>
    </row>
    <row r="789" ht="15" customHeight="1" s="68">
      <c r="A789" s="114" t="n"/>
      <c r="B789" s="114" t="n"/>
      <c r="C789" s="112">
        <f>ROUND($B789*KarliyukSgkIsciOrani,0)</f>
        <v/>
      </c>
      <c r="D789" s="112">
        <f>ROUND($B789*KarliyukIssizlikIsciOrani,0)</f>
        <v/>
      </c>
      <c r="E789" s="112">
        <f>ROUND($B789*KarliyukStopajOrani,0)</f>
        <v/>
      </c>
      <c r="F789" s="112">
        <f>ROUND($B789*KarliyukDamgaOrani,0)</f>
        <v/>
      </c>
      <c r="G789" s="112">
        <f>$B789-$C789-$D789-$E789-$F789</f>
        <v/>
      </c>
      <c r="H789" s="112">
        <f>ROUND($B789*KarliyukSgkIsverenOrani,0)</f>
        <v/>
      </c>
      <c r="I789" s="112">
        <f>ROUND($B789*KarliyukIssizlikIsverenOrani,0)</f>
        <v/>
      </c>
      <c r="J789" s="112">
        <f>$B789+$H789+$I789</f>
        <v/>
      </c>
      <c r="K789" s="114" t="n"/>
    </row>
    <row r="790" ht="15" customHeight="1" s="68">
      <c r="A790" s="114" t="n"/>
      <c r="B790" s="114" t="n"/>
      <c r="C790" s="112">
        <f>ROUND($B790*KarliyukSgkIsciOrani,0)</f>
        <v/>
      </c>
      <c r="D790" s="112">
        <f>ROUND($B790*KarliyukIssizlikIsciOrani,0)</f>
        <v/>
      </c>
      <c r="E790" s="112">
        <f>ROUND($B790*KarliyukStopajOrani,0)</f>
        <v/>
      </c>
      <c r="F790" s="112">
        <f>ROUND($B790*KarliyukDamgaOrani,0)</f>
        <v/>
      </c>
      <c r="G790" s="112">
        <f>$B790-$C790-$D790-$E790-$F790</f>
        <v/>
      </c>
      <c r="H790" s="112">
        <f>ROUND($B790*KarliyukSgkIsverenOrani,0)</f>
        <v/>
      </c>
      <c r="I790" s="112">
        <f>ROUND($B790*KarliyukIssizlikIsverenOrani,0)</f>
        <v/>
      </c>
      <c r="J790" s="112">
        <f>$B790+$H790+$I790</f>
        <v/>
      </c>
      <c r="K790" s="114" t="n"/>
    </row>
    <row r="791" ht="15" customHeight="1" s="68">
      <c r="A791" s="114" t="n"/>
      <c r="B791" s="114" t="n"/>
      <c r="C791" s="112">
        <f>ROUND($B791*KarliyukSgkIsciOrani,0)</f>
        <v/>
      </c>
      <c r="D791" s="112">
        <f>ROUND($B791*KarliyukIssizlikIsciOrani,0)</f>
        <v/>
      </c>
      <c r="E791" s="112">
        <f>ROUND($B791*KarliyukStopajOrani,0)</f>
        <v/>
      </c>
      <c r="F791" s="112">
        <f>ROUND($B791*KarliyukDamgaOrani,0)</f>
        <v/>
      </c>
      <c r="G791" s="112">
        <f>$B791-$C791-$D791-$E791-$F791</f>
        <v/>
      </c>
      <c r="H791" s="112">
        <f>ROUND($B791*KarliyukSgkIsverenOrani,0)</f>
        <v/>
      </c>
      <c r="I791" s="112">
        <f>ROUND($B791*KarliyukIssizlikIsverenOrani,0)</f>
        <v/>
      </c>
      <c r="J791" s="112">
        <f>$B791+$H791+$I791</f>
        <v/>
      </c>
      <c r="K791" s="114" t="n"/>
    </row>
    <row r="792" ht="15" customHeight="1" s="68">
      <c r="A792" s="114" t="n"/>
      <c r="B792" s="114" t="n"/>
      <c r="C792" s="112">
        <f>ROUND($B792*KarliyukSgkIsciOrani,0)</f>
        <v/>
      </c>
      <c r="D792" s="112">
        <f>ROUND($B792*KarliyukIssizlikIsciOrani,0)</f>
        <v/>
      </c>
      <c r="E792" s="112">
        <f>ROUND($B792*KarliyukStopajOrani,0)</f>
        <v/>
      </c>
      <c r="F792" s="112">
        <f>ROUND($B792*KarliyukDamgaOrani,0)</f>
        <v/>
      </c>
      <c r="G792" s="112">
        <f>$B792-$C792-$D792-$E792-$F792</f>
        <v/>
      </c>
      <c r="H792" s="112">
        <f>ROUND($B792*KarliyukSgkIsverenOrani,0)</f>
        <v/>
      </c>
      <c r="I792" s="112">
        <f>ROUND($B792*KarliyukIssizlikIsverenOrani,0)</f>
        <v/>
      </c>
      <c r="J792" s="112">
        <f>$B792+$H792+$I792</f>
        <v/>
      </c>
      <c r="K792" s="114" t="n"/>
    </row>
    <row r="793" ht="15" customHeight="1" s="68">
      <c r="A793" s="114" t="n"/>
      <c r="B793" s="114" t="n"/>
      <c r="C793" s="112">
        <f>ROUND($B793*KarliyukSgkIsciOrani,0)</f>
        <v/>
      </c>
      <c r="D793" s="112">
        <f>ROUND($B793*KarliyukIssizlikIsciOrani,0)</f>
        <v/>
      </c>
      <c r="E793" s="112">
        <f>ROUND($B793*KarliyukStopajOrani,0)</f>
        <v/>
      </c>
      <c r="F793" s="112">
        <f>ROUND($B793*KarliyukDamgaOrani,0)</f>
        <v/>
      </c>
      <c r="G793" s="112">
        <f>$B793-$C793-$D793-$E793-$F793</f>
        <v/>
      </c>
      <c r="H793" s="112">
        <f>ROUND($B793*KarliyukSgkIsverenOrani,0)</f>
        <v/>
      </c>
      <c r="I793" s="112">
        <f>ROUND($B793*KarliyukIssizlikIsverenOrani,0)</f>
        <v/>
      </c>
      <c r="J793" s="112">
        <f>$B793+$H793+$I793</f>
        <v/>
      </c>
      <c r="K793" s="114" t="n"/>
    </row>
    <row r="794" ht="15" customHeight="1" s="68">
      <c r="A794" s="114" t="n"/>
      <c r="B794" s="114" t="n"/>
      <c r="C794" s="112">
        <f>ROUND($B794*KarliyukSgkIsciOrani,0)</f>
        <v/>
      </c>
      <c r="D794" s="112">
        <f>ROUND($B794*KarliyukIssizlikIsciOrani,0)</f>
        <v/>
      </c>
      <c r="E794" s="112">
        <f>ROUND($B794*KarliyukStopajOrani,0)</f>
        <v/>
      </c>
      <c r="F794" s="112">
        <f>ROUND($B794*KarliyukDamgaOrani,0)</f>
        <v/>
      </c>
      <c r="G794" s="112">
        <f>$B794-$C794-$D794-$E794-$F794</f>
        <v/>
      </c>
      <c r="H794" s="112">
        <f>ROUND($B794*KarliyukSgkIsverenOrani,0)</f>
        <v/>
      </c>
      <c r="I794" s="112">
        <f>ROUND($B794*KarliyukIssizlikIsverenOrani,0)</f>
        <v/>
      </c>
      <c r="J794" s="112">
        <f>$B794+$H794+$I794</f>
        <v/>
      </c>
      <c r="K794" s="114" t="n"/>
    </row>
    <row r="795" ht="15" customHeight="1" s="68">
      <c r="A795" s="114" t="n"/>
      <c r="B795" s="114" t="n"/>
      <c r="C795" s="112">
        <f>ROUND($B795*KarliyukSgkIsciOrani,0)</f>
        <v/>
      </c>
      <c r="D795" s="112">
        <f>ROUND($B795*KarliyukIssizlikIsciOrani,0)</f>
        <v/>
      </c>
      <c r="E795" s="112">
        <f>ROUND($B795*KarliyukStopajOrani,0)</f>
        <v/>
      </c>
      <c r="F795" s="112">
        <f>ROUND($B795*KarliyukDamgaOrani,0)</f>
        <v/>
      </c>
      <c r="G795" s="112">
        <f>$B795-$C795-$D795-$E795-$F795</f>
        <v/>
      </c>
      <c r="H795" s="112">
        <f>ROUND($B795*KarliyukSgkIsverenOrani,0)</f>
        <v/>
      </c>
      <c r="I795" s="112">
        <f>ROUND($B795*KarliyukIssizlikIsverenOrani,0)</f>
        <v/>
      </c>
      <c r="J795" s="112">
        <f>$B795+$H795+$I795</f>
        <v/>
      </c>
      <c r="K795" s="114" t="n"/>
    </row>
    <row r="796" ht="15" customHeight="1" s="68">
      <c r="A796" s="114" t="n"/>
      <c r="B796" s="114" t="n"/>
      <c r="C796" s="112">
        <f>ROUND($B796*KarliyukSgkIsciOrani,0)</f>
        <v/>
      </c>
      <c r="D796" s="112">
        <f>ROUND($B796*KarliyukIssizlikIsciOrani,0)</f>
        <v/>
      </c>
      <c r="E796" s="112">
        <f>ROUND($B796*KarliyukStopajOrani,0)</f>
        <v/>
      </c>
      <c r="F796" s="112">
        <f>ROUND($B796*KarliyukDamgaOrani,0)</f>
        <v/>
      </c>
      <c r="G796" s="112">
        <f>$B796-$C796-$D796-$E796-$F796</f>
        <v/>
      </c>
      <c r="H796" s="112">
        <f>ROUND($B796*KarliyukSgkIsverenOrani,0)</f>
        <v/>
      </c>
      <c r="I796" s="112">
        <f>ROUND($B796*KarliyukIssizlikIsverenOrani,0)</f>
        <v/>
      </c>
      <c r="J796" s="112">
        <f>$B796+$H796+$I796</f>
        <v/>
      </c>
      <c r="K796" s="114" t="n"/>
    </row>
    <row r="797" ht="15" customHeight="1" s="68">
      <c r="A797" s="114" t="n"/>
      <c r="B797" s="114" t="n"/>
      <c r="C797" s="112">
        <f>ROUND($B797*KarliyukSgkIsciOrani,0)</f>
        <v/>
      </c>
      <c r="D797" s="112">
        <f>ROUND($B797*KarliyukIssizlikIsciOrani,0)</f>
        <v/>
      </c>
      <c r="E797" s="112">
        <f>ROUND($B797*KarliyukStopajOrani,0)</f>
        <v/>
      </c>
      <c r="F797" s="112">
        <f>ROUND($B797*KarliyukDamgaOrani,0)</f>
        <v/>
      </c>
      <c r="G797" s="112">
        <f>$B797-$C797-$D797-$E797-$F797</f>
        <v/>
      </c>
      <c r="H797" s="112">
        <f>ROUND($B797*KarliyukSgkIsverenOrani,0)</f>
        <v/>
      </c>
      <c r="I797" s="112">
        <f>ROUND($B797*KarliyukIssizlikIsverenOrani,0)</f>
        <v/>
      </c>
      <c r="J797" s="112">
        <f>$B797+$H797+$I797</f>
        <v/>
      </c>
      <c r="K797" s="114" t="n"/>
    </row>
    <row r="798" ht="15" customHeight="1" s="68">
      <c r="A798" s="114" t="n"/>
      <c r="B798" s="114" t="n"/>
      <c r="C798" s="112">
        <f>ROUND($B798*KarliyukSgkIsciOrani,0)</f>
        <v/>
      </c>
      <c r="D798" s="112">
        <f>ROUND($B798*KarliyukIssizlikIsciOrani,0)</f>
        <v/>
      </c>
      <c r="E798" s="112">
        <f>ROUND($B798*KarliyukStopajOrani,0)</f>
        <v/>
      </c>
      <c r="F798" s="112">
        <f>ROUND($B798*KarliyukDamgaOrani,0)</f>
        <v/>
      </c>
      <c r="G798" s="112">
        <f>$B798-$C798-$D798-$E798-$F798</f>
        <v/>
      </c>
      <c r="H798" s="112">
        <f>ROUND($B798*KarliyukSgkIsverenOrani,0)</f>
        <v/>
      </c>
      <c r="I798" s="112">
        <f>ROUND($B798*KarliyukIssizlikIsverenOrani,0)</f>
        <v/>
      </c>
      <c r="J798" s="112">
        <f>$B798+$H798+$I798</f>
        <v/>
      </c>
      <c r="K798" s="114" t="n"/>
    </row>
    <row r="799" ht="15" customHeight="1" s="68">
      <c r="A799" s="114" t="n"/>
      <c r="B799" s="114" t="n"/>
      <c r="C799" s="112">
        <f>ROUND($B799*KarliyukSgkIsciOrani,0)</f>
        <v/>
      </c>
      <c r="D799" s="112">
        <f>ROUND($B799*KarliyukIssizlikIsciOrani,0)</f>
        <v/>
      </c>
      <c r="E799" s="112">
        <f>ROUND($B799*KarliyukStopajOrani,0)</f>
        <v/>
      </c>
      <c r="F799" s="112">
        <f>ROUND($B799*KarliyukDamgaOrani,0)</f>
        <v/>
      </c>
      <c r="G799" s="112">
        <f>$B799-$C799-$D799-$E799-$F799</f>
        <v/>
      </c>
      <c r="H799" s="112">
        <f>ROUND($B799*KarliyukSgkIsverenOrani,0)</f>
        <v/>
      </c>
      <c r="I799" s="112">
        <f>ROUND($B799*KarliyukIssizlikIsverenOrani,0)</f>
        <v/>
      </c>
      <c r="J799" s="112">
        <f>$B799+$H799+$I799</f>
        <v/>
      </c>
      <c r="K799" s="114" t="n"/>
    </row>
    <row r="800" ht="15" customHeight="1" s="68">
      <c r="A800" s="114" t="n"/>
      <c r="B800" s="114" t="n"/>
      <c r="C800" s="112">
        <f>ROUND($B800*KarliyukSgkIsciOrani,0)</f>
        <v/>
      </c>
      <c r="D800" s="112">
        <f>ROUND($B800*KarliyukIssizlikIsciOrani,0)</f>
        <v/>
      </c>
      <c r="E800" s="112">
        <f>ROUND($B800*KarliyukStopajOrani,0)</f>
        <v/>
      </c>
      <c r="F800" s="112">
        <f>ROUND($B800*KarliyukDamgaOrani,0)</f>
        <v/>
      </c>
      <c r="G800" s="112">
        <f>$B800-$C800-$D800-$E800-$F800</f>
        <v/>
      </c>
      <c r="H800" s="112">
        <f>ROUND($B800*KarliyukSgkIsverenOrani,0)</f>
        <v/>
      </c>
      <c r="I800" s="112">
        <f>ROUND($B800*KarliyukIssizlikIsverenOrani,0)</f>
        <v/>
      </c>
      <c r="J800" s="112">
        <f>$B800+$H800+$I800</f>
        <v/>
      </c>
      <c r="K800" s="114" t="n"/>
    </row>
    <row r="801" ht="15" customHeight="1" s="68">
      <c r="A801" s="114" t="n"/>
      <c r="B801" s="114" t="n"/>
      <c r="C801" s="112">
        <f>ROUND($B801*KarliyukSgkIsciOrani,0)</f>
        <v/>
      </c>
      <c r="D801" s="112">
        <f>ROUND($B801*KarliyukIssizlikIsciOrani,0)</f>
        <v/>
      </c>
      <c r="E801" s="112">
        <f>ROUND($B801*KarliyukStopajOrani,0)</f>
        <v/>
      </c>
      <c r="F801" s="112">
        <f>ROUND($B801*KarliyukDamgaOrani,0)</f>
        <v/>
      </c>
      <c r="G801" s="112">
        <f>$B801-$C801-$D801-$E801-$F801</f>
        <v/>
      </c>
      <c r="H801" s="112">
        <f>ROUND($B801*KarliyukSgkIsverenOrani,0)</f>
        <v/>
      </c>
      <c r="I801" s="112">
        <f>ROUND($B801*KarliyukIssizlikIsverenOrani,0)</f>
        <v/>
      </c>
      <c r="J801" s="112">
        <f>$B801+$H801+$I801</f>
        <v/>
      </c>
      <c r="K801" s="114" t="n"/>
    </row>
    <row r="802" ht="15" customHeight="1" s="68">
      <c r="A802" s="114" t="n"/>
      <c r="B802" s="114" t="n"/>
      <c r="C802" s="112">
        <f>ROUND($B802*KarliyukSgkIsciOrani,0)</f>
        <v/>
      </c>
      <c r="D802" s="112">
        <f>ROUND($B802*KarliyukIssizlikIsciOrani,0)</f>
        <v/>
      </c>
      <c r="E802" s="112">
        <f>ROUND($B802*KarliyukStopajOrani,0)</f>
        <v/>
      </c>
      <c r="F802" s="112">
        <f>ROUND($B802*KarliyukDamgaOrani,0)</f>
        <v/>
      </c>
      <c r="G802" s="112">
        <f>$B802-$C802-$D802-$E802-$F802</f>
        <v/>
      </c>
      <c r="H802" s="112">
        <f>ROUND($B802*KarliyukSgkIsverenOrani,0)</f>
        <v/>
      </c>
      <c r="I802" s="112">
        <f>ROUND($B802*KarliyukIssizlikIsverenOrani,0)</f>
        <v/>
      </c>
      <c r="J802" s="112">
        <f>$B802+$H802+$I802</f>
        <v/>
      </c>
      <c r="K802" s="114" t="n"/>
    </row>
    <row r="803" ht="15" customHeight="1" s="68">
      <c r="A803" s="114" t="n"/>
      <c r="B803" s="114" t="n"/>
      <c r="C803" s="112">
        <f>ROUND($B803*KarliyukSgkIsciOrani,0)</f>
        <v/>
      </c>
      <c r="D803" s="112">
        <f>ROUND($B803*KarliyukIssizlikIsciOrani,0)</f>
        <v/>
      </c>
      <c r="E803" s="112">
        <f>ROUND($B803*KarliyukStopajOrani,0)</f>
        <v/>
      </c>
      <c r="F803" s="112">
        <f>ROUND($B803*KarliyukDamgaOrani,0)</f>
        <v/>
      </c>
      <c r="G803" s="112">
        <f>$B803-$C803-$D803-$E803-$F803</f>
        <v/>
      </c>
      <c r="H803" s="112">
        <f>ROUND($B803*KarliyukSgkIsverenOrani,0)</f>
        <v/>
      </c>
      <c r="I803" s="112">
        <f>ROUND($B803*KarliyukIssizlikIsverenOrani,0)</f>
        <v/>
      </c>
      <c r="J803" s="112">
        <f>$B803+$H803+$I803</f>
        <v/>
      </c>
      <c r="K803" s="114" t="n"/>
    </row>
    <row r="804" ht="15" customHeight="1" s="68">
      <c r="A804" s="114" t="n"/>
      <c r="B804" s="114" t="n"/>
      <c r="C804" s="112">
        <f>ROUND($B804*KarliyukSgkIsciOrani,0)</f>
        <v/>
      </c>
      <c r="D804" s="112">
        <f>ROUND($B804*KarliyukIssizlikIsciOrani,0)</f>
        <v/>
      </c>
      <c r="E804" s="112">
        <f>ROUND($B804*KarliyukStopajOrani,0)</f>
        <v/>
      </c>
      <c r="F804" s="112">
        <f>ROUND($B804*KarliyukDamgaOrani,0)</f>
        <v/>
      </c>
      <c r="G804" s="112">
        <f>$B804-$C804-$D804-$E804-$F804</f>
        <v/>
      </c>
      <c r="H804" s="112">
        <f>ROUND($B804*KarliyukSgkIsverenOrani,0)</f>
        <v/>
      </c>
      <c r="I804" s="112">
        <f>ROUND($B804*KarliyukIssizlikIsverenOrani,0)</f>
        <v/>
      </c>
      <c r="J804" s="112">
        <f>$B804+$H804+$I804</f>
        <v/>
      </c>
      <c r="K804" s="114" t="n"/>
    </row>
    <row r="805" ht="15" customHeight="1" s="68">
      <c r="A805" s="114" t="n"/>
      <c r="B805" s="114" t="n"/>
      <c r="C805" s="112">
        <f>ROUND($B805*KarliyukSgkIsciOrani,0)</f>
        <v/>
      </c>
      <c r="D805" s="112">
        <f>ROUND($B805*KarliyukIssizlikIsciOrani,0)</f>
        <v/>
      </c>
      <c r="E805" s="112">
        <f>ROUND($B805*KarliyukStopajOrani,0)</f>
        <v/>
      </c>
      <c r="F805" s="112">
        <f>ROUND($B805*KarliyukDamgaOrani,0)</f>
        <v/>
      </c>
      <c r="G805" s="112">
        <f>$B805-$C805-$D805-$E805-$F805</f>
        <v/>
      </c>
      <c r="H805" s="112">
        <f>ROUND($B805*KarliyukSgkIsverenOrani,0)</f>
        <v/>
      </c>
      <c r="I805" s="112">
        <f>ROUND($B805*KarliyukIssizlikIsverenOrani,0)</f>
        <v/>
      </c>
      <c r="J805" s="112">
        <f>$B805+$H805+$I805</f>
        <v/>
      </c>
      <c r="K805" s="114" t="n"/>
    </row>
    <row r="806" ht="15" customHeight="1" s="68">
      <c r="A806" s="114" t="n"/>
      <c r="B806" s="114" t="n"/>
      <c r="C806" s="112">
        <f>ROUND($B806*KarliyukSgkIsciOrani,0)</f>
        <v/>
      </c>
      <c r="D806" s="112">
        <f>ROUND($B806*KarliyukIssizlikIsciOrani,0)</f>
        <v/>
      </c>
      <c r="E806" s="112">
        <f>ROUND($B806*KarliyukStopajOrani,0)</f>
        <v/>
      </c>
      <c r="F806" s="112">
        <f>ROUND($B806*KarliyukDamgaOrani,0)</f>
        <v/>
      </c>
      <c r="G806" s="112">
        <f>$B806-$C806-$D806-$E806-$F806</f>
        <v/>
      </c>
      <c r="H806" s="112">
        <f>ROUND($B806*KarliyukSgkIsverenOrani,0)</f>
        <v/>
      </c>
      <c r="I806" s="112">
        <f>ROUND($B806*KarliyukIssizlikIsverenOrani,0)</f>
        <v/>
      </c>
      <c r="J806" s="112">
        <f>$B806+$H806+$I806</f>
        <v/>
      </c>
      <c r="K806" s="114" t="n"/>
    </row>
    <row r="807" ht="15" customHeight="1" s="68">
      <c r="A807" s="114" t="n"/>
      <c r="B807" s="114" t="n"/>
      <c r="C807" s="112">
        <f>ROUND($B807*KarliyukSgkIsciOrani,0)</f>
        <v/>
      </c>
      <c r="D807" s="112">
        <f>ROUND($B807*KarliyukIssizlikIsciOrani,0)</f>
        <v/>
      </c>
      <c r="E807" s="112">
        <f>ROUND($B807*KarliyukStopajOrani,0)</f>
        <v/>
      </c>
      <c r="F807" s="112">
        <f>ROUND($B807*KarliyukDamgaOrani,0)</f>
        <v/>
      </c>
      <c r="G807" s="112">
        <f>$B807-$C807-$D807-$E807-$F807</f>
        <v/>
      </c>
      <c r="H807" s="112">
        <f>ROUND($B807*KarliyukSgkIsverenOrani,0)</f>
        <v/>
      </c>
      <c r="I807" s="112">
        <f>ROUND($B807*KarliyukIssizlikIsverenOrani,0)</f>
        <v/>
      </c>
      <c r="J807" s="112">
        <f>$B807+$H807+$I807</f>
        <v/>
      </c>
      <c r="K807" s="114" t="n"/>
    </row>
    <row r="808" ht="15" customHeight="1" s="68">
      <c r="A808" s="114" t="n"/>
      <c r="B808" s="114" t="n"/>
      <c r="C808" s="112">
        <f>ROUND($B808*KarliyukSgkIsciOrani,0)</f>
        <v/>
      </c>
      <c r="D808" s="112">
        <f>ROUND($B808*KarliyukIssizlikIsciOrani,0)</f>
        <v/>
      </c>
      <c r="E808" s="112">
        <f>ROUND($B808*KarliyukStopajOrani,0)</f>
        <v/>
      </c>
      <c r="F808" s="112">
        <f>ROUND($B808*KarliyukDamgaOrani,0)</f>
        <v/>
      </c>
      <c r="G808" s="112">
        <f>$B808-$C808-$D808-$E808-$F808</f>
        <v/>
      </c>
      <c r="H808" s="112">
        <f>ROUND($B808*KarliyukSgkIsverenOrani,0)</f>
        <v/>
      </c>
      <c r="I808" s="112">
        <f>ROUND($B808*KarliyukIssizlikIsverenOrani,0)</f>
        <v/>
      </c>
      <c r="J808" s="112">
        <f>$B808+$H808+$I808</f>
        <v/>
      </c>
      <c r="K808" s="114" t="n"/>
    </row>
    <row r="809" ht="15" customHeight="1" s="68">
      <c r="A809" s="114" t="n"/>
      <c r="B809" s="114" t="n"/>
      <c r="C809" s="112">
        <f>ROUND($B809*KarliyukSgkIsciOrani,0)</f>
        <v/>
      </c>
      <c r="D809" s="112">
        <f>ROUND($B809*KarliyukIssizlikIsciOrani,0)</f>
        <v/>
      </c>
      <c r="E809" s="112">
        <f>ROUND($B809*KarliyukStopajOrani,0)</f>
        <v/>
      </c>
      <c r="F809" s="112">
        <f>ROUND($B809*KarliyukDamgaOrani,0)</f>
        <v/>
      </c>
      <c r="G809" s="112">
        <f>$B809-$C809-$D809-$E809-$F809</f>
        <v/>
      </c>
      <c r="H809" s="112">
        <f>ROUND($B809*KarliyukSgkIsverenOrani,0)</f>
        <v/>
      </c>
      <c r="I809" s="112">
        <f>ROUND($B809*KarliyukIssizlikIsverenOrani,0)</f>
        <v/>
      </c>
      <c r="J809" s="112">
        <f>$B809+$H809+$I809</f>
        <v/>
      </c>
      <c r="K809" s="114" t="n"/>
    </row>
    <row r="810" ht="15" customHeight="1" s="68">
      <c r="A810" s="114" t="n"/>
      <c r="B810" s="114" t="n"/>
      <c r="C810" s="112">
        <f>ROUND($B810*KarliyukSgkIsciOrani,0)</f>
        <v/>
      </c>
      <c r="D810" s="112">
        <f>ROUND($B810*KarliyukIssizlikIsciOrani,0)</f>
        <v/>
      </c>
      <c r="E810" s="112">
        <f>ROUND($B810*KarliyukStopajOrani,0)</f>
        <v/>
      </c>
      <c r="F810" s="112">
        <f>ROUND($B810*KarliyukDamgaOrani,0)</f>
        <v/>
      </c>
      <c r="G810" s="112">
        <f>$B810-$C810-$D810-$E810-$F810</f>
        <v/>
      </c>
      <c r="H810" s="112">
        <f>ROUND($B810*KarliyukSgkIsverenOrani,0)</f>
        <v/>
      </c>
      <c r="I810" s="112">
        <f>ROUND($B810*KarliyukIssizlikIsverenOrani,0)</f>
        <v/>
      </c>
      <c r="J810" s="112">
        <f>$B810+$H810+$I810</f>
        <v/>
      </c>
      <c r="K810" s="114" t="n"/>
    </row>
    <row r="811" ht="15" customHeight="1" s="68">
      <c r="A811" s="114" t="n"/>
      <c r="B811" s="114" t="n"/>
      <c r="C811" s="112">
        <f>ROUND($B811*KarliyukSgkIsciOrani,0)</f>
        <v/>
      </c>
      <c r="D811" s="112">
        <f>ROUND($B811*KarliyukIssizlikIsciOrani,0)</f>
        <v/>
      </c>
      <c r="E811" s="112">
        <f>ROUND($B811*KarliyukStopajOrani,0)</f>
        <v/>
      </c>
      <c r="F811" s="112">
        <f>ROUND($B811*KarliyukDamgaOrani,0)</f>
        <v/>
      </c>
      <c r="G811" s="112">
        <f>$B811-$C811-$D811-$E811-$F811</f>
        <v/>
      </c>
      <c r="H811" s="112">
        <f>ROUND($B811*KarliyukSgkIsverenOrani,0)</f>
        <v/>
      </c>
      <c r="I811" s="112">
        <f>ROUND($B811*KarliyukIssizlikIsverenOrani,0)</f>
        <v/>
      </c>
      <c r="J811" s="112">
        <f>$B811+$H811+$I811</f>
        <v/>
      </c>
      <c r="K811" s="114" t="n"/>
    </row>
    <row r="812" ht="15" customHeight="1" s="68">
      <c r="A812" s="114" t="n"/>
      <c r="B812" s="114" t="n"/>
      <c r="C812" s="112">
        <f>ROUND($B812*KarliyukSgkIsciOrani,0)</f>
        <v/>
      </c>
      <c r="D812" s="112">
        <f>ROUND($B812*KarliyukIssizlikIsciOrani,0)</f>
        <v/>
      </c>
      <c r="E812" s="112">
        <f>ROUND($B812*KarliyukStopajOrani,0)</f>
        <v/>
      </c>
      <c r="F812" s="112">
        <f>ROUND($B812*KarliyukDamgaOrani,0)</f>
        <v/>
      </c>
      <c r="G812" s="112">
        <f>$B812-$C812-$D812-$E812-$F812</f>
        <v/>
      </c>
      <c r="H812" s="112">
        <f>ROUND($B812*KarliyukSgkIsverenOrani,0)</f>
        <v/>
      </c>
      <c r="I812" s="112">
        <f>ROUND($B812*KarliyukIssizlikIsverenOrani,0)</f>
        <v/>
      </c>
      <c r="J812" s="112">
        <f>$B812+$H812+$I812</f>
        <v/>
      </c>
      <c r="K812" s="114" t="n"/>
    </row>
    <row r="813" ht="15" customHeight="1" s="68">
      <c r="A813" s="114" t="n"/>
      <c r="B813" s="114" t="n"/>
      <c r="C813" s="112">
        <f>ROUND($B813*KarliyukSgkIsciOrani,0)</f>
        <v/>
      </c>
      <c r="D813" s="112">
        <f>ROUND($B813*KarliyukIssizlikIsciOrani,0)</f>
        <v/>
      </c>
      <c r="E813" s="112">
        <f>ROUND($B813*KarliyukStopajOrani,0)</f>
        <v/>
      </c>
      <c r="F813" s="112">
        <f>ROUND($B813*KarliyukDamgaOrani,0)</f>
        <v/>
      </c>
      <c r="G813" s="112">
        <f>$B813-$C813-$D813-$E813-$F813</f>
        <v/>
      </c>
      <c r="H813" s="112">
        <f>ROUND($B813*KarliyukSgkIsverenOrani,0)</f>
        <v/>
      </c>
      <c r="I813" s="112">
        <f>ROUND($B813*KarliyukIssizlikIsverenOrani,0)</f>
        <v/>
      </c>
      <c r="J813" s="112">
        <f>$B813+$H813+$I813</f>
        <v/>
      </c>
      <c r="K813" s="114" t="n"/>
    </row>
    <row r="814" ht="15" customHeight="1" s="68">
      <c r="A814" s="114" t="n"/>
      <c r="B814" s="114" t="n"/>
      <c r="C814" s="112">
        <f>ROUND($B814*KarliyukSgkIsciOrani,0)</f>
        <v/>
      </c>
      <c r="D814" s="112">
        <f>ROUND($B814*KarliyukIssizlikIsciOrani,0)</f>
        <v/>
      </c>
      <c r="E814" s="112">
        <f>ROUND($B814*KarliyukStopajOrani,0)</f>
        <v/>
      </c>
      <c r="F814" s="112">
        <f>ROUND($B814*KarliyukDamgaOrani,0)</f>
        <v/>
      </c>
      <c r="G814" s="112">
        <f>$B814-$C814-$D814-$E814-$F814</f>
        <v/>
      </c>
      <c r="H814" s="112">
        <f>ROUND($B814*KarliyukSgkIsverenOrani,0)</f>
        <v/>
      </c>
      <c r="I814" s="112">
        <f>ROUND($B814*KarliyukIssizlikIsverenOrani,0)</f>
        <v/>
      </c>
      <c r="J814" s="112">
        <f>$B814+$H814+$I814</f>
        <v/>
      </c>
      <c r="K814" s="114" t="n"/>
    </row>
    <row r="815" ht="15" customHeight="1" s="68">
      <c r="A815" s="114" t="n"/>
      <c r="B815" s="114" t="n"/>
      <c r="C815" s="112">
        <f>ROUND($B815*KarliyukSgkIsciOrani,0)</f>
        <v/>
      </c>
      <c r="D815" s="112">
        <f>ROUND($B815*KarliyukIssizlikIsciOrani,0)</f>
        <v/>
      </c>
      <c r="E815" s="112">
        <f>ROUND($B815*KarliyukStopajOrani,0)</f>
        <v/>
      </c>
      <c r="F815" s="112">
        <f>ROUND($B815*KarliyukDamgaOrani,0)</f>
        <v/>
      </c>
      <c r="G815" s="112">
        <f>$B815-$C815-$D815-$E815-$F815</f>
        <v/>
      </c>
      <c r="H815" s="112">
        <f>ROUND($B815*KarliyukSgkIsverenOrani,0)</f>
        <v/>
      </c>
      <c r="I815" s="112">
        <f>ROUND($B815*KarliyukIssizlikIsverenOrani,0)</f>
        <v/>
      </c>
      <c r="J815" s="112">
        <f>$B815+$H815+$I815</f>
        <v/>
      </c>
      <c r="K815" s="114" t="n"/>
    </row>
    <row r="816" ht="15" customHeight="1" s="68">
      <c r="A816" s="114" t="n"/>
      <c r="B816" s="114" t="n"/>
      <c r="C816" s="112">
        <f>ROUND($B816*KarliyukSgkIsciOrani,0)</f>
        <v/>
      </c>
      <c r="D816" s="112">
        <f>ROUND($B816*KarliyukIssizlikIsciOrani,0)</f>
        <v/>
      </c>
      <c r="E816" s="112">
        <f>ROUND($B816*KarliyukStopajOrani,0)</f>
        <v/>
      </c>
      <c r="F816" s="112">
        <f>ROUND($B816*KarliyukDamgaOrani,0)</f>
        <v/>
      </c>
      <c r="G816" s="112">
        <f>$B816-$C816-$D816-$E816-$F816</f>
        <v/>
      </c>
      <c r="H816" s="112">
        <f>ROUND($B816*KarliyukSgkIsverenOrani,0)</f>
        <v/>
      </c>
      <c r="I816" s="112">
        <f>ROUND($B816*KarliyukIssizlikIsverenOrani,0)</f>
        <v/>
      </c>
      <c r="J816" s="112">
        <f>$B816+$H816+$I816</f>
        <v/>
      </c>
      <c r="K816" s="114" t="n"/>
    </row>
    <row r="817" ht="15" customHeight="1" s="68">
      <c r="A817" s="114" t="n"/>
      <c r="B817" s="114" t="n"/>
      <c r="C817" s="112">
        <f>ROUND($B817*KarliyukSgkIsciOrani,0)</f>
        <v/>
      </c>
      <c r="D817" s="112">
        <f>ROUND($B817*KarliyukIssizlikIsciOrani,0)</f>
        <v/>
      </c>
      <c r="E817" s="112">
        <f>ROUND($B817*KarliyukStopajOrani,0)</f>
        <v/>
      </c>
      <c r="F817" s="112">
        <f>ROUND($B817*KarliyukDamgaOrani,0)</f>
        <v/>
      </c>
      <c r="G817" s="112">
        <f>$B817-$C817-$D817-$E817-$F817</f>
        <v/>
      </c>
      <c r="H817" s="112">
        <f>ROUND($B817*KarliyukSgkIsverenOrani,0)</f>
        <v/>
      </c>
      <c r="I817" s="112">
        <f>ROUND($B817*KarliyukIssizlikIsverenOrani,0)</f>
        <v/>
      </c>
      <c r="J817" s="112">
        <f>$B817+$H817+$I817</f>
        <v/>
      </c>
      <c r="K817" s="114" t="n"/>
    </row>
    <row r="818" ht="15" customHeight="1" s="68">
      <c r="A818" s="114" t="n"/>
      <c r="B818" s="114" t="n"/>
      <c r="C818" s="112">
        <f>ROUND($B818*KarliyukSgkIsciOrani,0)</f>
        <v/>
      </c>
      <c r="D818" s="112">
        <f>ROUND($B818*KarliyukIssizlikIsciOrani,0)</f>
        <v/>
      </c>
      <c r="E818" s="112">
        <f>ROUND($B818*KarliyukStopajOrani,0)</f>
        <v/>
      </c>
      <c r="F818" s="112">
        <f>ROUND($B818*KarliyukDamgaOrani,0)</f>
        <v/>
      </c>
      <c r="G818" s="112">
        <f>$B818-$C818-$D818-$E818-$F818</f>
        <v/>
      </c>
      <c r="H818" s="112">
        <f>ROUND($B818*KarliyukSgkIsverenOrani,0)</f>
        <v/>
      </c>
      <c r="I818" s="112">
        <f>ROUND($B818*KarliyukIssizlikIsverenOrani,0)</f>
        <v/>
      </c>
      <c r="J818" s="112">
        <f>$B818+$H818+$I818</f>
        <v/>
      </c>
      <c r="K818" s="114" t="n"/>
    </row>
    <row r="819" ht="15" customHeight="1" s="68">
      <c r="A819" s="114" t="n"/>
      <c r="B819" s="114" t="n"/>
      <c r="C819" s="112">
        <f>ROUND($B819*KarliyukSgkIsciOrani,0)</f>
        <v/>
      </c>
      <c r="D819" s="112">
        <f>ROUND($B819*KarliyukIssizlikIsciOrani,0)</f>
        <v/>
      </c>
      <c r="E819" s="112">
        <f>ROUND($B819*KarliyukStopajOrani,0)</f>
        <v/>
      </c>
      <c r="F819" s="112">
        <f>ROUND($B819*KarliyukDamgaOrani,0)</f>
        <v/>
      </c>
      <c r="G819" s="112">
        <f>$B819-$C819-$D819-$E819-$F819</f>
        <v/>
      </c>
      <c r="H819" s="112">
        <f>ROUND($B819*KarliyukSgkIsverenOrani,0)</f>
        <v/>
      </c>
      <c r="I819" s="112">
        <f>ROUND($B819*KarliyukIssizlikIsverenOrani,0)</f>
        <v/>
      </c>
      <c r="J819" s="112">
        <f>$B819+$H819+$I819</f>
        <v/>
      </c>
      <c r="K819" s="114" t="n"/>
    </row>
    <row r="820" ht="15" customHeight="1" s="68">
      <c r="A820" s="114" t="n"/>
      <c r="B820" s="114" t="n"/>
      <c r="C820" s="112">
        <f>ROUND($B820*KarliyukSgkIsciOrani,0)</f>
        <v/>
      </c>
      <c r="D820" s="112">
        <f>ROUND($B820*KarliyukIssizlikIsciOrani,0)</f>
        <v/>
      </c>
      <c r="E820" s="112">
        <f>ROUND($B820*KarliyukStopajOrani,0)</f>
        <v/>
      </c>
      <c r="F820" s="112">
        <f>ROUND($B820*KarliyukDamgaOrani,0)</f>
        <v/>
      </c>
      <c r="G820" s="112">
        <f>$B820-$C820-$D820-$E820-$F820</f>
        <v/>
      </c>
      <c r="H820" s="112">
        <f>ROUND($B820*KarliyukSgkIsverenOrani,0)</f>
        <v/>
      </c>
      <c r="I820" s="112">
        <f>ROUND($B820*KarliyukIssizlikIsverenOrani,0)</f>
        <v/>
      </c>
      <c r="J820" s="112">
        <f>$B820+$H820+$I820</f>
        <v/>
      </c>
      <c r="K820" s="114" t="n"/>
    </row>
    <row r="821" ht="15" customHeight="1" s="68">
      <c r="A821" s="114" t="n"/>
      <c r="B821" s="114" t="n"/>
      <c r="C821" s="112">
        <f>ROUND($B821*KarliyukSgkIsciOrani,0)</f>
        <v/>
      </c>
      <c r="D821" s="112">
        <f>ROUND($B821*KarliyukIssizlikIsciOrani,0)</f>
        <v/>
      </c>
      <c r="E821" s="112">
        <f>ROUND($B821*KarliyukStopajOrani,0)</f>
        <v/>
      </c>
      <c r="F821" s="112">
        <f>ROUND($B821*KarliyukDamgaOrani,0)</f>
        <v/>
      </c>
      <c r="G821" s="112">
        <f>$B821-$C821-$D821-$E821-$F821</f>
        <v/>
      </c>
      <c r="H821" s="112">
        <f>ROUND($B821*KarliyukSgkIsverenOrani,0)</f>
        <v/>
      </c>
      <c r="I821" s="112">
        <f>ROUND($B821*KarliyukIssizlikIsverenOrani,0)</f>
        <v/>
      </c>
      <c r="J821" s="112">
        <f>$B821+$H821+$I821</f>
        <v/>
      </c>
      <c r="K821" s="114" t="n"/>
    </row>
    <row r="822" ht="15" customHeight="1" s="68">
      <c r="A822" s="114" t="n"/>
      <c r="B822" s="114" t="n"/>
      <c r="C822" s="112">
        <f>ROUND($B822*KarliyukSgkIsciOrani,0)</f>
        <v/>
      </c>
      <c r="D822" s="112">
        <f>ROUND($B822*KarliyukIssizlikIsciOrani,0)</f>
        <v/>
      </c>
      <c r="E822" s="112">
        <f>ROUND($B822*KarliyukStopajOrani,0)</f>
        <v/>
      </c>
      <c r="F822" s="112">
        <f>ROUND($B822*KarliyukDamgaOrani,0)</f>
        <v/>
      </c>
      <c r="G822" s="112">
        <f>$B822-$C822-$D822-$E822-$F822</f>
        <v/>
      </c>
      <c r="H822" s="112">
        <f>ROUND($B822*KarliyukSgkIsverenOrani,0)</f>
        <v/>
      </c>
      <c r="I822" s="112">
        <f>ROUND($B822*KarliyukIssizlikIsverenOrani,0)</f>
        <v/>
      </c>
      <c r="J822" s="112">
        <f>$B822+$H822+$I822</f>
        <v/>
      </c>
      <c r="K822" s="114" t="n"/>
    </row>
    <row r="823" ht="15" customHeight="1" s="68">
      <c r="A823" s="114" t="n"/>
      <c r="B823" s="114" t="n"/>
      <c r="C823" s="112">
        <f>ROUND($B823*KarliyukSgkIsciOrani,0)</f>
        <v/>
      </c>
      <c r="D823" s="112">
        <f>ROUND($B823*KarliyukIssizlikIsciOrani,0)</f>
        <v/>
      </c>
      <c r="E823" s="112">
        <f>ROUND($B823*KarliyukStopajOrani,0)</f>
        <v/>
      </c>
      <c r="F823" s="112">
        <f>ROUND($B823*KarliyukDamgaOrani,0)</f>
        <v/>
      </c>
      <c r="G823" s="112">
        <f>$B823-$C823-$D823-$E823-$F823</f>
        <v/>
      </c>
      <c r="H823" s="112">
        <f>ROUND($B823*KarliyukSgkIsverenOrani,0)</f>
        <v/>
      </c>
      <c r="I823" s="112">
        <f>ROUND($B823*KarliyukIssizlikIsverenOrani,0)</f>
        <v/>
      </c>
      <c r="J823" s="112">
        <f>$B823+$H823+$I823</f>
        <v/>
      </c>
      <c r="K823" s="114" t="n"/>
    </row>
    <row r="824" ht="15" customHeight="1" s="68">
      <c r="A824" s="114" t="n"/>
      <c r="B824" s="114" t="n"/>
      <c r="C824" s="112">
        <f>ROUND($B824*KarliyukSgkIsciOrani,0)</f>
        <v/>
      </c>
      <c r="D824" s="112">
        <f>ROUND($B824*KarliyukIssizlikIsciOrani,0)</f>
        <v/>
      </c>
      <c r="E824" s="112">
        <f>ROUND($B824*KarliyukStopajOrani,0)</f>
        <v/>
      </c>
      <c r="F824" s="112">
        <f>ROUND($B824*KarliyukDamgaOrani,0)</f>
        <v/>
      </c>
      <c r="G824" s="112">
        <f>$B824-$C824-$D824-$E824-$F824</f>
        <v/>
      </c>
      <c r="H824" s="112">
        <f>ROUND($B824*KarliyukSgkIsverenOrani,0)</f>
        <v/>
      </c>
      <c r="I824" s="112">
        <f>ROUND($B824*KarliyukIssizlikIsverenOrani,0)</f>
        <v/>
      </c>
      <c r="J824" s="112">
        <f>$B824+$H824+$I824</f>
        <v/>
      </c>
      <c r="K824" s="114" t="n"/>
    </row>
    <row r="825" ht="15" customHeight="1" s="68">
      <c r="A825" s="114" t="n"/>
      <c r="B825" s="114" t="n"/>
      <c r="C825" s="112">
        <f>ROUND($B825*KarliyukSgkIsciOrani,0)</f>
        <v/>
      </c>
      <c r="D825" s="112">
        <f>ROUND($B825*KarliyukIssizlikIsciOrani,0)</f>
        <v/>
      </c>
      <c r="E825" s="112">
        <f>ROUND($B825*KarliyukStopajOrani,0)</f>
        <v/>
      </c>
      <c r="F825" s="112">
        <f>ROUND($B825*KarliyukDamgaOrani,0)</f>
        <v/>
      </c>
      <c r="G825" s="112">
        <f>$B825-$C825-$D825-$E825-$F825</f>
        <v/>
      </c>
      <c r="H825" s="112">
        <f>ROUND($B825*KarliyukSgkIsverenOrani,0)</f>
        <v/>
      </c>
      <c r="I825" s="112">
        <f>ROUND($B825*KarliyukIssizlikIsverenOrani,0)</f>
        <v/>
      </c>
      <c r="J825" s="112">
        <f>$B825+$H825+$I825</f>
        <v/>
      </c>
      <c r="K825" s="114" t="n"/>
    </row>
    <row r="826" ht="15" customHeight="1" s="68">
      <c r="A826" s="114" t="n"/>
      <c r="B826" s="114" t="n"/>
      <c r="C826" s="112">
        <f>ROUND($B826*KarliyukSgkIsciOrani,0)</f>
        <v/>
      </c>
      <c r="D826" s="112">
        <f>ROUND($B826*KarliyukIssizlikIsciOrani,0)</f>
        <v/>
      </c>
      <c r="E826" s="112">
        <f>ROUND($B826*KarliyukStopajOrani,0)</f>
        <v/>
      </c>
      <c r="F826" s="112">
        <f>ROUND($B826*KarliyukDamgaOrani,0)</f>
        <v/>
      </c>
      <c r="G826" s="112">
        <f>$B826-$C826-$D826-$E826-$F826</f>
        <v/>
      </c>
      <c r="H826" s="112">
        <f>ROUND($B826*KarliyukSgkIsverenOrani,0)</f>
        <v/>
      </c>
      <c r="I826" s="112">
        <f>ROUND($B826*KarliyukIssizlikIsverenOrani,0)</f>
        <v/>
      </c>
      <c r="J826" s="112">
        <f>$B826+$H826+$I826</f>
        <v/>
      </c>
      <c r="K826" s="114" t="n"/>
    </row>
    <row r="827" ht="15" customHeight="1" s="68">
      <c r="A827" s="114" t="n"/>
      <c r="B827" s="114" t="n"/>
      <c r="C827" s="112">
        <f>ROUND($B827*KarliyukSgkIsciOrani,0)</f>
        <v/>
      </c>
      <c r="D827" s="112">
        <f>ROUND($B827*KarliyukIssizlikIsciOrani,0)</f>
        <v/>
      </c>
      <c r="E827" s="112">
        <f>ROUND($B827*KarliyukStopajOrani,0)</f>
        <v/>
      </c>
      <c r="F827" s="112">
        <f>ROUND($B827*KarliyukDamgaOrani,0)</f>
        <v/>
      </c>
      <c r="G827" s="112">
        <f>$B827-$C827-$D827-$E827-$F827</f>
        <v/>
      </c>
      <c r="H827" s="112">
        <f>ROUND($B827*KarliyukSgkIsverenOrani,0)</f>
        <v/>
      </c>
      <c r="I827" s="112">
        <f>ROUND($B827*KarliyukIssizlikIsverenOrani,0)</f>
        <v/>
      </c>
      <c r="J827" s="112">
        <f>$B827+$H827+$I827</f>
        <v/>
      </c>
      <c r="K827" s="114" t="n"/>
    </row>
    <row r="828" ht="15" customHeight="1" s="68">
      <c r="A828" s="114" t="n"/>
      <c r="B828" s="114" t="n"/>
      <c r="C828" s="112">
        <f>ROUND($B828*KarliyukSgkIsciOrani,0)</f>
        <v/>
      </c>
      <c r="D828" s="112">
        <f>ROUND($B828*KarliyukIssizlikIsciOrani,0)</f>
        <v/>
      </c>
      <c r="E828" s="112">
        <f>ROUND($B828*KarliyukStopajOrani,0)</f>
        <v/>
      </c>
      <c r="F828" s="112">
        <f>ROUND($B828*KarliyukDamgaOrani,0)</f>
        <v/>
      </c>
      <c r="G828" s="112">
        <f>$B828-$C828-$D828-$E828-$F828</f>
        <v/>
      </c>
      <c r="H828" s="112">
        <f>ROUND($B828*KarliyukSgkIsverenOrani,0)</f>
        <v/>
      </c>
      <c r="I828" s="112">
        <f>ROUND($B828*KarliyukIssizlikIsverenOrani,0)</f>
        <v/>
      </c>
      <c r="J828" s="112">
        <f>$B828+$H828+$I828</f>
        <v/>
      </c>
      <c r="K828" s="114" t="n"/>
    </row>
    <row r="829" ht="15" customHeight="1" s="68">
      <c r="A829" s="114" t="n"/>
      <c r="B829" s="114" t="n"/>
      <c r="C829" s="112">
        <f>ROUND($B829*KarliyukSgkIsciOrani,0)</f>
        <v/>
      </c>
      <c r="D829" s="112">
        <f>ROUND($B829*KarliyukIssizlikIsciOrani,0)</f>
        <v/>
      </c>
      <c r="E829" s="112">
        <f>ROUND($B829*KarliyukStopajOrani,0)</f>
        <v/>
      </c>
      <c r="F829" s="112">
        <f>ROUND($B829*KarliyukDamgaOrani,0)</f>
        <v/>
      </c>
      <c r="G829" s="112">
        <f>$B829-$C829-$D829-$E829-$F829</f>
        <v/>
      </c>
      <c r="H829" s="112">
        <f>ROUND($B829*KarliyukSgkIsverenOrani,0)</f>
        <v/>
      </c>
      <c r="I829" s="112">
        <f>ROUND($B829*KarliyukIssizlikIsverenOrani,0)</f>
        <v/>
      </c>
      <c r="J829" s="112">
        <f>$B829+$H829+$I829</f>
        <v/>
      </c>
      <c r="K829" s="114" t="n"/>
    </row>
    <row r="830" ht="15" customHeight="1" s="68">
      <c r="A830" s="114" t="n"/>
      <c r="B830" s="114" t="n"/>
      <c r="C830" s="112">
        <f>ROUND($B830*KarliyukSgkIsciOrani,0)</f>
        <v/>
      </c>
      <c r="D830" s="112">
        <f>ROUND($B830*KarliyukIssizlikIsciOrani,0)</f>
        <v/>
      </c>
      <c r="E830" s="112">
        <f>ROUND($B830*KarliyukStopajOrani,0)</f>
        <v/>
      </c>
      <c r="F830" s="112">
        <f>ROUND($B830*KarliyukDamgaOrani,0)</f>
        <v/>
      </c>
      <c r="G830" s="112">
        <f>$B830-$C830-$D830-$E830-$F830</f>
        <v/>
      </c>
      <c r="H830" s="112">
        <f>ROUND($B830*KarliyukSgkIsverenOrani,0)</f>
        <v/>
      </c>
      <c r="I830" s="112">
        <f>ROUND($B830*KarliyukIssizlikIsverenOrani,0)</f>
        <v/>
      </c>
      <c r="J830" s="112">
        <f>$B830+$H830+$I830</f>
        <v/>
      </c>
      <c r="K830" s="114" t="n"/>
    </row>
    <row r="831" ht="15" customHeight="1" s="68">
      <c r="A831" s="114" t="n"/>
      <c r="B831" s="114" t="n"/>
      <c r="C831" s="112">
        <f>ROUND($B831*KarliyukSgkIsciOrani,0)</f>
        <v/>
      </c>
      <c r="D831" s="112">
        <f>ROUND($B831*KarliyukIssizlikIsciOrani,0)</f>
        <v/>
      </c>
      <c r="E831" s="112">
        <f>ROUND($B831*KarliyukStopajOrani,0)</f>
        <v/>
      </c>
      <c r="F831" s="112">
        <f>ROUND($B831*KarliyukDamgaOrani,0)</f>
        <v/>
      </c>
      <c r="G831" s="112">
        <f>$B831-$C831-$D831-$E831-$F831</f>
        <v/>
      </c>
      <c r="H831" s="112">
        <f>ROUND($B831*KarliyukSgkIsverenOrani,0)</f>
        <v/>
      </c>
      <c r="I831" s="112">
        <f>ROUND($B831*KarliyukIssizlikIsverenOrani,0)</f>
        <v/>
      </c>
      <c r="J831" s="112">
        <f>$B831+$H831+$I831</f>
        <v/>
      </c>
      <c r="K831" s="114" t="n"/>
    </row>
    <row r="832" ht="15" customHeight="1" s="68">
      <c r="A832" s="114" t="n"/>
      <c r="B832" s="114" t="n"/>
      <c r="C832" s="112">
        <f>ROUND($B832*KarliyukSgkIsciOrani,0)</f>
        <v/>
      </c>
      <c r="D832" s="112">
        <f>ROUND($B832*KarliyukIssizlikIsciOrani,0)</f>
        <v/>
      </c>
      <c r="E832" s="112">
        <f>ROUND($B832*KarliyukStopajOrani,0)</f>
        <v/>
      </c>
      <c r="F832" s="112">
        <f>ROUND($B832*KarliyukDamgaOrani,0)</f>
        <v/>
      </c>
      <c r="G832" s="112">
        <f>$B832-$C832-$D832-$E832-$F832</f>
        <v/>
      </c>
      <c r="H832" s="112">
        <f>ROUND($B832*KarliyukSgkIsverenOrani,0)</f>
        <v/>
      </c>
      <c r="I832" s="112">
        <f>ROUND($B832*KarliyukIssizlikIsverenOrani,0)</f>
        <v/>
      </c>
      <c r="J832" s="112">
        <f>$B832+$H832+$I832</f>
        <v/>
      </c>
      <c r="K832" s="114" t="n"/>
    </row>
    <row r="833" ht="15" customHeight="1" s="68">
      <c r="A833" s="114" t="n"/>
      <c r="B833" s="114" t="n"/>
      <c r="C833" s="112">
        <f>ROUND($B833*KarliyukSgkIsciOrani,0)</f>
        <v/>
      </c>
      <c r="D833" s="112">
        <f>ROUND($B833*KarliyukIssizlikIsciOrani,0)</f>
        <v/>
      </c>
      <c r="E833" s="112">
        <f>ROUND($B833*KarliyukStopajOrani,0)</f>
        <v/>
      </c>
      <c r="F833" s="112">
        <f>ROUND($B833*KarliyukDamgaOrani,0)</f>
        <v/>
      </c>
      <c r="G833" s="112">
        <f>$B833-$C833-$D833-$E833-$F833</f>
        <v/>
      </c>
      <c r="H833" s="112">
        <f>ROUND($B833*KarliyukSgkIsverenOrani,0)</f>
        <v/>
      </c>
      <c r="I833" s="112">
        <f>ROUND($B833*KarliyukIssizlikIsverenOrani,0)</f>
        <v/>
      </c>
      <c r="J833" s="112">
        <f>$B833+$H833+$I833</f>
        <v/>
      </c>
      <c r="K833" s="114" t="n"/>
    </row>
    <row r="834" ht="15" customHeight="1" s="68">
      <c r="A834" s="114" t="n"/>
      <c r="B834" s="114" t="n"/>
      <c r="C834" s="112">
        <f>ROUND($B834*KarliyukSgkIsciOrani,0)</f>
        <v/>
      </c>
      <c r="D834" s="112">
        <f>ROUND($B834*KarliyukIssizlikIsciOrani,0)</f>
        <v/>
      </c>
      <c r="E834" s="112">
        <f>ROUND($B834*KarliyukStopajOrani,0)</f>
        <v/>
      </c>
      <c r="F834" s="112">
        <f>ROUND($B834*KarliyukDamgaOrani,0)</f>
        <v/>
      </c>
      <c r="G834" s="112">
        <f>$B834-$C834-$D834-$E834-$F834</f>
        <v/>
      </c>
      <c r="H834" s="112">
        <f>ROUND($B834*KarliyukSgkIsverenOrani,0)</f>
        <v/>
      </c>
      <c r="I834" s="112">
        <f>ROUND($B834*KarliyukIssizlikIsverenOrani,0)</f>
        <v/>
      </c>
      <c r="J834" s="112">
        <f>$B834+$H834+$I834</f>
        <v/>
      </c>
      <c r="K834" s="114" t="n"/>
    </row>
    <row r="835" ht="15" customHeight="1" s="68">
      <c r="A835" s="114" t="n"/>
      <c r="B835" s="114" t="n"/>
      <c r="C835" s="112">
        <f>ROUND($B835*KarliyukSgkIsciOrani,0)</f>
        <v/>
      </c>
      <c r="D835" s="112">
        <f>ROUND($B835*KarliyukIssizlikIsciOrani,0)</f>
        <v/>
      </c>
      <c r="E835" s="112">
        <f>ROUND($B835*KarliyukStopajOrani,0)</f>
        <v/>
      </c>
      <c r="F835" s="112">
        <f>ROUND($B835*KarliyukDamgaOrani,0)</f>
        <v/>
      </c>
      <c r="G835" s="112">
        <f>$B835-$C835-$D835-$E835-$F835</f>
        <v/>
      </c>
      <c r="H835" s="112">
        <f>ROUND($B835*KarliyukSgkIsverenOrani,0)</f>
        <v/>
      </c>
      <c r="I835" s="112">
        <f>ROUND($B835*KarliyukIssizlikIsverenOrani,0)</f>
        <v/>
      </c>
      <c r="J835" s="112">
        <f>$B835+$H835+$I835</f>
        <v/>
      </c>
      <c r="K835" s="114" t="n"/>
    </row>
    <row r="836" ht="15" customHeight="1" s="68">
      <c r="A836" s="114" t="n"/>
      <c r="B836" s="114" t="n"/>
      <c r="C836" s="112">
        <f>ROUND($B836*KarliyukSgkIsciOrani,0)</f>
        <v/>
      </c>
      <c r="D836" s="112">
        <f>ROUND($B836*KarliyukIssizlikIsciOrani,0)</f>
        <v/>
      </c>
      <c r="E836" s="112">
        <f>ROUND($B836*KarliyukStopajOrani,0)</f>
        <v/>
      </c>
      <c r="F836" s="112">
        <f>ROUND($B836*KarliyukDamgaOrani,0)</f>
        <v/>
      </c>
      <c r="G836" s="112">
        <f>$B836-$C836-$D836-$E836-$F836</f>
        <v/>
      </c>
      <c r="H836" s="112">
        <f>ROUND($B836*KarliyukSgkIsverenOrani,0)</f>
        <v/>
      </c>
      <c r="I836" s="112">
        <f>ROUND($B836*KarliyukIssizlikIsverenOrani,0)</f>
        <v/>
      </c>
      <c r="J836" s="112">
        <f>$B836+$H836+$I836</f>
        <v/>
      </c>
      <c r="K836" s="114" t="n"/>
    </row>
    <row r="837" ht="15" customHeight="1" s="68">
      <c r="A837" s="114" t="n"/>
      <c r="B837" s="114" t="n"/>
      <c r="C837" s="112">
        <f>ROUND($B837*KarliyukSgkIsciOrani,0)</f>
        <v/>
      </c>
      <c r="D837" s="112">
        <f>ROUND($B837*KarliyukIssizlikIsciOrani,0)</f>
        <v/>
      </c>
      <c r="E837" s="112">
        <f>ROUND($B837*KarliyukStopajOrani,0)</f>
        <v/>
      </c>
      <c r="F837" s="112">
        <f>ROUND($B837*KarliyukDamgaOrani,0)</f>
        <v/>
      </c>
      <c r="G837" s="112">
        <f>$B837-$C837-$D837-$E837-$F837</f>
        <v/>
      </c>
      <c r="H837" s="112">
        <f>ROUND($B837*KarliyukSgkIsverenOrani,0)</f>
        <v/>
      </c>
      <c r="I837" s="112">
        <f>ROUND($B837*KarliyukIssizlikIsverenOrani,0)</f>
        <v/>
      </c>
      <c r="J837" s="112">
        <f>$B837+$H837+$I837</f>
        <v/>
      </c>
      <c r="K837" s="114" t="n"/>
    </row>
    <row r="838" ht="15" customHeight="1" s="68">
      <c r="A838" s="114" t="n"/>
      <c r="B838" s="114" t="n"/>
      <c r="C838" s="112">
        <f>ROUND($B838*KarliyukSgkIsciOrani,0)</f>
        <v/>
      </c>
      <c r="D838" s="112">
        <f>ROUND($B838*KarliyukIssizlikIsciOrani,0)</f>
        <v/>
      </c>
      <c r="E838" s="112">
        <f>ROUND($B838*KarliyukStopajOrani,0)</f>
        <v/>
      </c>
      <c r="F838" s="112">
        <f>ROUND($B838*KarliyukDamgaOrani,0)</f>
        <v/>
      </c>
      <c r="G838" s="112">
        <f>$B838-$C838-$D838-$E838-$F838</f>
        <v/>
      </c>
      <c r="H838" s="112">
        <f>ROUND($B838*KarliyukSgkIsverenOrani,0)</f>
        <v/>
      </c>
      <c r="I838" s="112">
        <f>ROUND($B838*KarliyukIssizlikIsverenOrani,0)</f>
        <v/>
      </c>
      <c r="J838" s="112">
        <f>$B838+$H838+$I838</f>
        <v/>
      </c>
      <c r="K838" s="114" t="n"/>
    </row>
    <row r="839" ht="15" customHeight="1" s="68">
      <c r="A839" s="114" t="n"/>
      <c r="B839" s="114" t="n"/>
      <c r="C839" s="112">
        <f>ROUND($B839*KarliyukSgkIsciOrani,0)</f>
        <v/>
      </c>
      <c r="D839" s="112">
        <f>ROUND($B839*KarliyukIssizlikIsciOrani,0)</f>
        <v/>
      </c>
      <c r="E839" s="112">
        <f>ROUND($B839*KarliyukStopajOrani,0)</f>
        <v/>
      </c>
      <c r="F839" s="112">
        <f>ROUND($B839*KarliyukDamgaOrani,0)</f>
        <v/>
      </c>
      <c r="G839" s="112">
        <f>$B839-$C839-$D839-$E839-$F839</f>
        <v/>
      </c>
      <c r="H839" s="112">
        <f>ROUND($B839*KarliyukSgkIsverenOrani,0)</f>
        <v/>
      </c>
      <c r="I839" s="112">
        <f>ROUND($B839*KarliyukIssizlikIsverenOrani,0)</f>
        <v/>
      </c>
      <c r="J839" s="112">
        <f>$B839+$H839+$I839</f>
        <v/>
      </c>
      <c r="K839" s="114" t="n"/>
    </row>
    <row r="840" ht="15" customHeight="1" s="68">
      <c r="A840" s="114" t="n"/>
      <c r="B840" s="114" t="n"/>
      <c r="C840" s="112">
        <f>ROUND($B840*KarliyukSgkIsciOrani,0)</f>
        <v/>
      </c>
      <c r="D840" s="112">
        <f>ROUND($B840*KarliyukIssizlikIsciOrani,0)</f>
        <v/>
      </c>
      <c r="E840" s="112">
        <f>ROUND($B840*KarliyukStopajOrani,0)</f>
        <v/>
      </c>
      <c r="F840" s="112">
        <f>ROUND($B840*KarliyukDamgaOrani,0)</f>
        <v/>
      </c>
      <c r="G840" s="112">
        <f>$B840-$C840-$D840-$E840-$F840</f>
        <v/>
      </c>
      <c r="H840" s="112">
        <f>ROUND($B840*KarliyukSgkIsverenOrani,0)</f>
        <v/>
      </c>
      <c r="I840" s="112">
        <f>ROUND($B840*KarliyukIssizlikIsverenOrani,0)</f>
        <v/>
      </c>
      <c r="J840" s="112">
        <f>$B840+$H840+$I840</f>
        <v/>
      </c>
      <c r="K840" s="114" t="n"/>
    </row>
    <row r="841" ht="15" customHeight="1" s="68">
      <c r="A841" s="114" t="n"/>
      <c r="B841" s="114" t="n"/>
      <c r="C841" s="112">
        <f>ROUND($B841*KarliyukSgkIsciOrani,0)</f>
        <v/>
      </c>
      <c r="D841" s="112">
        <f>ROUND($B841*KarliyukIssizlikIsciOrani,0)</f>
        <v/>
      </c>
      <c r="E841" s="112">
        <f>ROUND($B841*KarliyukStopajOrani,0)</f>
        <v/>
      </c>
      <c r="F841" s="112">
        <f>ROUND($B841*KarliyukDamgaOrani,0)</f>
        <v/>
      </c>
      <c r="G841" s="112">
        <f>$B841-$C841-$D841-$E841-$F841</f>
        <v/>
      </c>
      <c r="H841" s="112">
        <f>ROUND($B841*KarliyukSgkIsverenOrani,0)</f>
        <v/>
      </c>
      <c r="I841" s="112">
        <f>ROUND($B841*KarliyukIssizlikIsverenOrani,0)</f>
        <v/>
      </c>
      <c r="J841" s="112">
        <f>$B841+$H841+$I841</f>
        <v/>
      </c>
      <c r="K841" s="114" t="n"/>
    </row>
    <row r="842" ht="15" customHeight="1" s="68">
      <c r="A842" s="114" t="n"/>
      <c r="B842" s="114" t="n"/>
      <c r="C842" s="112">
        <f>ROUND($B842*KarliyukSgkIsciOrani,0)</f>
        <v/>
      </c>
      <c r="D842" s="112">
        <f>ROUND($B842*KarliyukIssizlikIsciOrani,0)</f>
        <v/>
      </c>
      <c r="E842" s="112">
        <f>ROUND($B842*KarliyukStopajOrani,0)</f>
        <v/>
      </c>
      <c r="F842" s="112">
        <f>ROUND($B842*KarliyukDamgaOrani,0)</f>
        <v/>
      </c>
      <c r="G842" s="112">
        <f>$B842-$C842-$D842-$E842-$F842</f>
        <v/>
      </c>
      <c r="H842" s="112">
        <f>ROUND($B842*KarliyukSgkIsverenOrani,0)</f>
        <v/>
      </c>
      <c r="I842" s="112">
        <f>ROUND($B842*KarliyukIssizlikIsverenOrani,0)</f>
        <v/>
      </c>
      <c r="J842" s="112">
        <f>$B842+$H842+$I842</f>
        <v/>
      </c>
      <c r="K842" s="114" t="n"/>
    </row>
    <row r="843" ht="15" customHeight="1" s="68">
      <c r="A843" s="114" t="n"/>
      <c r="B843" s="114" t="n"/>
      <c r="C843" s="112">
        <f>ROUND($B843*KarliyukSgkIsciOrani,0)</f>
        <v/>
      </c>
      <c r="D843" s="112">
        <f>ROUND($B843*KarliyukIssizlikIsciOrani,0)</f>
        <v/>
      </c>
      <c r="E843" s="112">
        <f>ROUND($B843*KarliyukStopajOrani,0)</f>
        <v/>
      </c>
      <c r="F843" s="112">
        <f>ROUND($B843*KarliyukDamgaOrani,0)</f>
        <v/>
      </c>
      <c r="G843" s="112">
        <f>$B843-$C843-$D843-$E843-$F843</f>
        <v/>
      </c>
      <c r="H843" s="112">
        <f>ROUND($B843*KarliyukSgkIsverenOrani,0)</f>
        <v/>
      </c>
      <c r="I843" s="112">
        <f>ROUND($B843*KarliyukIssizlikIsverenOrani,0)</f>
        <v/>
      </c>
      <c r="J843" s="112">
        <f>$B843+$H843+$I843</f>
        <v/>
      </c>
      <c r="K843" s="114" t="n"/>
    </row>
    <row r="844" ht="15" customHeight="1" s="68">
      <c r="A844" s="114" t="n"/>
      <c r="B844" s="114" t="n"/>
      <c r="C844" s="112">
        <f>ROUND($B844*KarliyukSgkIsciOrani,0)</f>
        <v/>
      </c>
      <c r="D844" s="112">
        <f>ROUND($B844*KarliyukIssizlikIsciOrani,0)</f>
        <v/>
      </c>
      <c r="E844" s="112">
        <f>ROUND($B844*KarliyukStopajOrani,0)</f>
        <v/>
      </c>
      <c r="F844" s="112">
        <f>ROUND($B844*KarliyukDamgaOrani,0)</f>
        <v/>
      </c>
      <c r="G844" s="112">
        <f>$B844-$C844-$D844-$E844-$F844</f>
        <v/>
      </c>
      <c r="H844" s="112">
        <f>ROUND($B844*KarliyukSgkIsverenOrani,0)</f>
        <v/>
      </c>
      <c r="I844" s="112">
        <f>ROUND($B844*KarliyukIssizlikIsverenOrani,0)</f>
        <v/>
      </c>
      <c r="J844" s="112">
        <f>$B844+$H844+$I844</f>
        <v/>
      </c>
      <c r="K844" s="114" t="n"/>
    </row>
    <row r="845" ht="15" customHeight="1" s="68">
      <c r="A845" s="114" t="n"/>
      <c r="B845" s="114" t="n"/>
      <c r="C845" s="112">
        <f>ROUND($B845*KarliyukSgkIsciOrani,0)</f>
        <v/>
      </c>
      <c r="D845" s="112">
        <f>ROUND($B845*KarliyukIssizlikIsciOrani,0)</f>
        <v/>
      </c>
      <c r="E845" s="112">
        <f>ROUND($B845*KarliyukStopajOrani,0)</f>
        <v/>
      </c>
      <c r="F845" s="112">
        <f>ROUND($B845*KarliyukDamgaOrani,0)</f>
        <v/>
      </c>
      <c r="G845" s="112">
        <f>$B845-$C845-$D845-$E845-$F845</f>
        <v/>
      </c>
      <c r="H845" s="112">
        <f>ROUND($B845*KarliyukSgkIsverenOrani,0)</f>
        <v/>
      </c>
      <c r="I845" s="112">
        <f>ROUND($B845*KarliyukIssizlikIsverenOrani,0)</f>
        <v/>
      </c>
      <c r="J845" s="112">
        <f>$B845+$H845+$I845</f>
        <v/>
      </c>
      <c r="K845" s="114" t="n"/>
    </row>
    <row r="846" ht="15" customHeight="1" s="68">
      <c r="A846" s="114" t="n"/>
      <c r="B846" s="114" t="n"/>
      <c r="C846" s="112">
        <f>ROUND($B846*KarliyukSgkIsciOrani,0)</f>
        <v/>
      </c>
      <c r="D846" s="112">
        <f>ROUND($B846*KarliyukIssizlikIsciOrani,0)</f>
        <v/>
      </c>
      <c r="E846" s="112">
        <f>ROUND($B846*KarliyukStopajOrani,0)</f>
        <v/>
      </c>
      <c r="F846" s="112">
        <f>ROUND($B846*KarliyukDamgaOrani,0)</f>
        <v/>
      </c>
      <c r="G846" s="112">
        <f>$B846-$C846-$D846-$E846-$F846</f>
        <v/>
      </c>
      <c r="H846" s="112">
        <f>ROUND($B846*KarliyukSgkIsverenOrani,0)</f>
        <v/>
      </c>
      <c r="I846" s="112">
        <f>ROUND($B846*KarliyukIssizlikIsverenOrani,0)</f>
        <v/>
      </c>
      <c r="J846" s="112">
        <f>$B846+$H846+$I846</f>
        <v/>
      </c>
      <c r="K846" s="114" t="n"/>
    </row>
    <row r="847" ht="15" customHeight="1" s="68">
      <c r="A847" s="114" t="n"/>
      <c r="B847" s="114" t="n"/>
      <c r="C847" s="112">
        <f>ROUND($B847*KarliyukSgkIsciOrani,0)</f>
        <v/>
      </c>
      <c r="D847" s="112">
        <f>ROUND($B847*KarliyukIssizlikIsciOrani,0)</f>
        <v/>
      </c>
      <c r="E847" s="112">
        <f>ROUND($B847*KarliyukStopajOrani,0)</f>
        <v/>
      </c>
      <c r="F847" s="112">
        <f>ROUND($B847*KarliyukDamgaOrani,0)</f>
        <v/>
      </c>
      <c r="G847" s="112">
        <f>$B847-$C847-$D847-$E847-$F847</f>
        <v/>
      </c>
      <c r="H847" s="112">
        <f>ROUND($B847*KarliyukSgkIsverenOrani,0)</f>
        <v/>
      </c>
      <c r="I847" s="112">
        <f>ROUND($B847*KarliyukIssizlikIsverenOrani,0)</f>
        <v/>
      </c>
      <c r="J847" s="112">
        <f>$B847+$H847+$I847</f>
        <v/>
      </c>
      <c r="K847" s="114" t="n"/>
    </row>
    <row r="848" ht="15" customHeight="1" s="68">
      <c r="A848" s="114" t="n"/>
      <c r="B848" s="114" t="n"/>
      <c r="C848" s="112">
        <f>ROUND($B848*KarliyukSgkIsciOrani,0)</f>
        <v/>
      </c>
      <c r="D848" s="112">
        <f>ROUND($B848*KarliyukIssizlikIsciOrani,0)</f>
        <v/>
      </c>
      <c r="E848" s="112">
        <f>ROUND($B848*KarliyukStopajOrani,0)</f>
        <v/>
      </c>
      <c r="F848" s="112">
        <f>ROUND($B848*KarliyukDamgaOrani,0)</f>
        <v/>
      </c>
      <c r="G848" s="112">
        <f>$B848-$C848-$D848-$E848-$F848</f>
        <v/>
      </c>
      <c r="H848" s="112">
        <f>ROUND($B848*KarliyukSgkIsverenOrani,0)</f>
        <v/>
      </c>
      <c r="I848" s="112">
        <f>ROUND($B848*KarliyukIssizlikIsverenOrani,0)</f>
        <v/>
      </c>
      <c r="J848" s="112">
        <f>$B848+$H848+$I848</f>
        <v/>
      </c>
      <c r="K848" s="114" t="n"/>
    </row>
    <row r="849" ht="15" customHeight="1" s="68">
      <c r="A849" s="114" t="n"/>
      <c r="B849" s="114" t="n"/>
      <c r="C849" s="112">
        <f>ROUND($B849*KarliyukSgkIsciOrani,0)</f>
        <v/>
      </c>
      <c r="D849" s="112">
        <f>ROUND($B849*KarliyukIssizlikIsciOrani,0)</f>
        <v/>
      </c>
      <c r="E849" s="112">
        <f>ROUND($B849*KarliyukStopajOrani,0)</f>
        <v/>
      </c>
      <c r="F849" s="112">
        <f>ROUND($B849*KarliyukDamgaOrani,0)</f>
        <v/>
      </c>
      <c r="G849" s="112">
        <f>$B849-$C849-$D849-$E849-$F849</f>
        <v/>
      </c>
      <c r="H849" s="112">
        <f>ROUND($B849*KarliyukSgkIsverenOrani,0)</f>
        <v/>
      </c>
      <c r="I849" s="112">
        <f>ROUND($B849*KarliyukIssizlikIsverenOrani,0)</f>
        <v/>
      </c>
      <c r="J849" s="112">
        <f>$B849+$H849+$I849</f>
        <v/>
      </c>
      <c r="K849" s="114" t="n"/>
    </row>
    <row r="850" ht="15" customHeight="1" s="68">
      <c r="A850" s="114" t="n"/>
      <c r="B850" s="114" t="n"/>
      <c r="C850" s="112">
        <f>ROUND($B850*KarliyukSgkIsciOrani,0)</f>
        <v/>
      </c>
      <c r="D850" s="112">
        <f>ROUND($B850*KarliyukIssizlikIsciOrani,0)</f>
        <v/>
      </c>
      <c r="E850" s="112">
        <f>ROUND($B850*KarliyukStopajOrani,0)</f>
        <v/>
      </c>
      <c r="F850" s="112">
        <f>ROUND($B850*KarliyukDamgaOrani,0)</f>
        <v/>
      </c>
      <c r="G850" s="112">
        <f>$B850-$C850-$D850-$E850-$F850</f>
        <v/>
      </c>
      <c r="H850" s="112">
        <f>ROUND($B850*KarliyukSgkIsverenOrani,0)</f>
        <v/>
      </c>
      <c r="I850" s="112">
        <f>ROUND($B850*KarliyukIssizlikIsverenOrani,0)</f>
        <v/>
      </c>
      <c r="J850" s="112">
        <f>$B850+$H850+$I850</f>
        <v/>
      </c>
      <c r="K850" s="114" t="n"/>
    </row>
    <row r="851" ht="15" customHeight="1" s="68">
      <c r="A851" s="114" t="n"/>
      <c r="B851" s="114" t="n"/>
      <c r="C851" s="112">
        <f>ROUND($B851*KarliyukSgkIsciOrani,0)</f>
        <v/>
      </c>
      <c r="D851" s="112">
        <f>ROUND($B851*KarliyukIssizlikIsciOrani,0)</f>
        <v/>
      </c>
      <c r="E851" s="112">
        <f>ROUND($B851*KarliyukStopajOrani,0)</f>
        <v/>
      </c>
      <c r="F851" s="112">
        <f>ROUND($B851*KarliyukDamgaOrani,0)</f>
        <v/>
      </c>
      <c r="G851" s="112">
        <f>$B851-$C851-$D851-$E851-$F851</f>
        <v/>
      </c>
      <c r="H851" s="112">
        <f>ROUND($B851*KarliyukSgkIsverenOrani,0)</f>
        <v/>
      </c>
      <c r="I851" s="112">
        <f>ROUND($B851*KarliyukIssizlikIsverenOrani,0)</f>
        <v/>
      </c>
      <c r="J851" s="112">
        <f>$B851+$H851+$I851</f>
        <v/>
      </c>
      <c r="K851" s="114" t="n"/>
    </row>
    <row r="852" ht="15" customHeight="1" s="68">
      <c r="A852" s="114" t="n"/>
      <c r="B852" s="114" t="n"/>
      <c r="C852" s="112">
        <f>ROUND($B852*KarliyukSgkIsciOrani,0)</f>
        <v/>
      </c>
      <c r="D852" s="112">
        <f>ROUND($B852*KarliyukIssizlikIsciOrani,0)</f>
        <v/>
      </c>
      <c r="E852" s="112">
        <f>ROUND($B852*KarliyukStopajOrani,0)</f>
        <v/>
      </c>
      <c r="F852" s="112">
        <f>ROUND($B852*KarliyukDamgaOrani,0)</f>
        <v/>
      </c>
      <c r="G852" s="112">
        <f>$B852-$C852-$D852-$E852-$F852</f>
        <v/>
      </c>
      <c r="H852" s="112">
        <f>ROUND($B852*KarliyukSgkIsverenOrani,0)</f>
        <v/>
      </c>
      <c r="I852" s="112">
        <f>ROUND($B852*KarliyukIssizlikIsverenOrani,0)</f>
        <v/>
      </c>
      <c r="J852" s="112">
        <f>$B852+$H852+$I852</f>
        <v/>
      </c>
      <c r="K852" s="114" t="n"/>
    </row>
    <row r="853" ht="15" customHeight="1" s="68">
      <c r="A853" s="114" t="n"/>
      <c r="B853" s="114" t="n"/>
      <c r="C853" s="112">
        <f>ROUND($B853*KarliyukSgkIsciOrani,0)</f>
        <v/>
      </c>
      <c r="D853" s="112">
        <f>ROUND($B853*KarliyukIssizlikIsciOrani,0)</f>
        <v/>
      </c>
      <c r="E853" s="112">
        <f>ROUND($B853*KarliyukStopajOrani,0)</f>
        <v/>
      </c>
      <c r="F853" s="112">
        <f>ROUND($B853*KarliyukDamgaOrani,0)</f>
        <v/>
      </c>
      <c r="G853" s="112">
        <f>$B853-$C853-$D853-$E853-$F853</f>
        <v/>
      </c>
      <c r="H853" s="112">
        <f>ROUND($B853*KarliyukSgkIsverenOrani,0)</f>
        <v/>
      </c>
      <c r="I853" s="112">
        <f>ROUND($B853*KarliyukIssizlikIsverenOrani,0)</f>
        <v/>
      </c>
      <c r="J853" s="112">
        <f>$B853+$H853+$I853</f>
        <v/>
      </c>
      <c r="K853" s="114" t="n"/>
    </row>
    <row r="854" ht="15" customHeight="1" s="68">
      <c r="A854" s="114" t="n"/>
      <c r="B854" s="114" t="n"/>
      <c r="C854" s="112">
        <f>ROUND($B854*KarliyukSgkIsciOrani,0)</f>
        <v/>
      </c>
      <c r="D854" s="112">
        <f>ROUND($B854*KarliyukIssizlikIsciOrani,0)</f>
        <v/>
      </c>
      <c r="E854" s="112">
        <f>ROUND($B854*KarliyukStopajOrani,0)</f>
        <v/>
      </c>
      <c r="F854" s="112">
        <f>ROUND($B854*KarliyukDamgaOrani,0)</f>
        <v/>
      </c>
      <c r="G854" s="112">
        <f>$B854-$C854-$D854-$E854-$F854</f>
        <v/>
      </c>
      <c r="H854" s="112">
        <f>ROUND($B854*KarliyukSgkIsverenOrani,0)</f>
        <v/>
      </c>
      <c r="I854" s="112">
        <f>ROUND($B854*KarliyukIssizlikIsverenOrani,0)</f>
        <v/>
      </c>
      <c r="J854" s="112">
        <f>$B854+$H854+$I854</f>
        <v/>
      </c>
      <c r="K854" s="114" t="n"/>
    </row>
    <row r="855" ht="15" customHeight="1" s="68">
      <c r="A855" s="114" t="n"/>
      <c r="B855" s="114" t="n"/>
      <c r="C855" s="112">
        <f>ROUND($B855*KarliyukSgkIsciOrani,0)</f>
        <v/>
      </c>
      <c r="D855" s="112">
        <f>ROUND($B855*KarliyukIssizlikIsciOrani,0)</f>
        <v/>
      </c>
      <c r="E855" s="112">
        <f>ROUND($B855*KarliyukStopajOrani,0)</f>
        <v/>
      </c>
      <c r="F855" s="112">
        <f>ROUND($B855*KarliyukDamgaOrani,0)</f>
        <v/>
      </c>
      <c r="G855" s="112">
        <f>$B855-$C855-$D855-$E855-$F855</f>
        <v/>
      </c>
      <c r="H855" s="112">
        <f>ROUND($B855*KarliyukSgkIsverenOrani,0)</f>
        <v/>
      </c>
      <c r="I855" s="112">
        <f>ROUND($B855*KarliyukIssizlikIsverenOrani,0)</f>
        <v/>
      </c>
      <c r="J855" s="112">
        <f>$B855+$H855+$I855</f>
        <v/>
      </c>
      <c r="K855" s="114" t="n"/>
    </row>
    <row r="856" ht="15" customHeight="1" s="68">
      <c r="A856" s="114" t="n"/>
      <c r="B856" s="114" t="n"/>
      <c r="C856" s="112">
        <f>ROUND($B856*KarliyukSgkIsciOrani,0)</f>
        <v/>
      </c>
      <c r="D856" s="112">
        <f>ROUND($B856*KarliyukIssizlikIsciOrani,0)</f>
        <v/>
      </c>
      <c r="E856" s="112">
        <f>ROUND($B856*KarliyukStopajOrani,0)</f>
        <v/>
      </c>
      <c r="F856" s="112">
        <f>ROUND($B856*KarliyukDamgaOrani,0)</f>
        <v/>
      </c>
      <c r="G856" s="112">
        <f>$B856-$C856-$D856-$E856-$F856</f>
        <v/>
      </c>
      <c r="H856" s="112">
        <f>ROUND($B856*KarliyukSgkIsverenOrani,0)</f>
        <v/>
      </c>
      <c r="I856" s="112">
        <f>ROUND($B856*KarliyukIssizlikIsverenOrani,0)</f>
        <v/>
      </c>
      <c r="J856" s="112">
        <f>$B856+$H856+$I856</f>
        <v/>
      </c>
      <c r="K856" s="114" t="n"/>
    </row>
    <row r="857" ht="15" customHeight="1" s="68">
      <c r="A857" s="114" t="n"/>
      <c r="B857" s="114" t="n"/>
      <c r="C857" s="112">
        <f>ROUND($B857*KarliyukSgkIsciOrani,0)</f>
        <v/>
      </c>
      <c r="D857" s="112">
        <f>ROUND($B857*KarliyukIssizlikIsciOrani,0)</f>
        <v/>
      </c>
      <c r="E857" s="112">
        <f>ROUND($B857*KarliyukStopajOrani,0)</f>
        <v/>
      </c>
      <c r="F857" s="112">
        <f>ROUND($B857*KarliyukDamgaOrani,0)</f>
        <v/>
      </c>
      <c r="G857" s="112">
        <f>$B857-$C857-$D857-$E857-$F857</f>
        <v/>
      </c>
      <c r="H857" s="112">
        <f>ROUND($B857*KarliyukSgkIsverenOrani,0)</f>
        <v/>
      </c>
      <c r="I857" s="112">
        <f>ROUND($B857*KarliyukIssizlikIsverenOrani,0)</f>
        <v/>
      </c>
      <c r="J857" s="112">
        <f>$B857+$H857+$I857</f>
        <v/>
      </c>
      <c r="K857" s="114" t="n"/>
    </row>
    <row r="858" ht="15" customHeight="1" s="68">
      <c r="A858" s="114" t="n"/>
      <c r="B858" s="114" t="n"/>
      <c r="C858" s="112">
        <f>ROUND($B858*KarliyukSgkIsciOrani,0)</f>
        <v/>
      </c>
      <c r="D858" s="112">
        <f>ROUND($B858*KarliyukIssizlikIsciOrani,0)</f>
        <v/>
      </c>
      <c r="E858" s="112">
        <f>ROUND($B858*KarliyukStopajOrani,0)</f>
        <v/>
      </c>
      <c r="F858" s="112">
        <f>ROUND($B858*KarliyukDamgaOrani,0)</f>
        <v/>
      </c>
      <c r="G858" s="112">
        <f>$B858-$C858-$D858-$E858-$F858</f>
        <v/>
      </c>
      <c r="H858" s="112">
        <f>ROUND($B858*KarliyukSgkIsverenOrani,0)</f>
        <v/>
      </c>
      <c r="I858" s="112">
        <f>ROUND($B858*KarliyukIssizlikIsverenOrani,0)</f>
        <v/>
      </c>
      <c r="J858" s="112">
        <f>$B858+$H858+$I858</f>
        <v/>
      </c>
      <c r="K858" s="114" t="n"/>
    </row>
    <row r="859" ht="15" customHeight="1" s="68">
      <c r="A859" s="114" t="n"/>
      <c r="B859" s="114" t="n"/>
      <c r="C859" s="112">
        <f>ROUND($B859*KarliyukSgkIsciOrani,0)</f>
        <v/>
      </c>
      <c r="D859" s="112">
        <f>ROUND($B859*KarliyukIssizlikIsciOrani,0)</f>
        <v/>
      </c>
      <c r="E859" s="112">
        <f>ROUND($B859*KarliyukStopajOrani,0)</f>
        <v/>
      </c>
      <c r="F859" s="112">
        <f>ROUND($B859*KarliyukDamgaOrani,0)</f>
        <v/>
      </c>
      <c r="G859" s="112">
        <f>$B859-$C859-$D859-$E859-$F859</f>
        <v/>
      </c>
      <c r="H859" s="112">
        <f>ROUND($B859*KarliyukSgkIsverenOrani,0)</f>
        <v/>
      </c>
      <c r="I859" s="112">
        <f>ROUND($B859*KarliyukIssizlikIsverenOrani,0)</f>
        <v/>
      </c>
      <c r="J859" s="112">
        <f>$B859+$H859+$I859</f>
        <v/>
      </c>
      <c r="K859" s="114" t="n"/>
    </row>
    <row r="860" ht="15" customHeight="1" s="68">
      <c r="A860" s="114" t="n"/>
      <c r="B860" s="114" t="n"/>
      <c r="C860" s="112">
        <f>ROUND($B860*KarliyukSgkIsciOrani,0)</f>
        <v/>
      </c>
      <c r="D860" s="112">
        <f>ROUND($B860*KarliyukIssizlikIsciOrani,0)</f>
        <v/>
      </c>
      <c r="E860" s="112">
        <f>ROUND($B860*KarliyukStopajOrani,0)</f>
        <v/>
      </c>
      <c r="F860" s="112">
        <f>ROUND($B860*KarliyukDamgaOrani,0)</f>
        <v/>
      </c>
      <c r="G860" s="112">
        <f>$B860-$C860-$D860-$E860-$F860</f>
        <v/>
      </c>
      <c r="H860" s="112">
        <f>ROUND($B860*KarliyukSgkIsverenOrani,0)</f>
        <v/>
      </c>
      <c r="I860" s="112">
        <f>ROUND($B860*KarliyukIssizlikIsverenOrani,0)</f>
        <v/>
      </c>
      <c r="J860" s="112">
        <f>$B860+$H860+$I860</f>
        <v/>
      </c>
      <c r="K860" s="114" t="n"/>
    </row>
    <row r="861" ht="15" customHeight="1" s="68">
      <c r="A861" s="114" t="n"/>
      <c r="B861" s="114" t="n"/>
      <c r="C861" s="112">
        <f>ROUND($B861*KarliyukSgkIsciOrani,0)</f>
        <v/>
      </c>
      <c r="D861" s="112">
        <f>ROUND($B861*KarliyukIssizlikIsciOrani,0)</f>
        <v/>
      </c>
      <c r="E861" s="112">
        <f>ROUND($B861*KarliyukStopajOrani,0)</f>
        <v/>
      </c>
      <c r="F861" s="112">
        <f>ROUND($B861*KarliyukDamgaOrani,0)</f>
        <v/>
      </c>
      <c r="G861" s="112">
        <f>$B861-$C861-$D861-$E861-$F861</f>
        <v/>
      </c>
      <c r="H861" s="112">
        <f>ROUND($B861*KarliyukSgkIsverenOrani,0)</f>
        <v/>
      </c>
      <c r="I861" s="112">
        <f>ROUND($B861*KarliyukIssizlikIsverenOrani,0)</f>
        <v/>
      </c>
      <c r="J861" s="112">
        <f>$B861+$H861+$I861</f>
        <v/>
      </c>
      <c r="K861" s="114" t="n"/>
    </row>
    <row r="862" ht="15" customHeight="1" s="68">
      <c r="A862" s="114" t="n"/>
      <c r="B862" s="114" t="n"/>
      <c r="C862" s="112">
        <f>ROUND($B862*KarliyukSgkIsciOrani,0)</f>
        <v/>
      </c>
      <c r="D862" s="112">
        <f>ROUND($B862*KarliyukIssizlikIsciOrani,0)</f>
        <v/>
      </c>
      <c r="E862" s="112">
        <f>ROUND($B862*KarliyukStopajOrani,0)</f>
        <v/>
      </c>
      <c r="F862" s="112">
        <f>ROUND($B862*KarliyukDamgaOrani,0)</f>
        <v/>
      </c>
      <c r="G862" s="112">
        <f>$B862-$C862-$D862-$E862-$F862</f>
        <v/>
      </c>
      <c r="H862" s="112">
        <f>ROUND($B862*KarliyukSgkIsverenOrani,0)</f>
        <v/>
      </c>
      <c r="I862" s="112">
        <f>ROUND($B862*KarliyukIssizlikIsverenOrani,0)</f>
        <v/>
      </c>
      <c r="J862" s="112">
        <f>$B862+$H862+$I862</f>
        <v/>
      </c>
      <c r="K862" s="114" t="n"/>
    </row>
    <row r="863" ht="15" customHeight="1" s="68">
      <c r="A863" s="114" t="n"/>
      <c r="B863" s="114" t="n"/>
      <c r="C863" s="112">
        <f>ROUND($B863*KarliyukSgkIsciOrani,0)</f>
        <v/>
      </c>
      <c r="D863" s="112">
        <f>ROUND($B863*KarliyukIssizlikIsciOrani,0)</f>
        <v/>
      </c>
      <c r="E863" s="112">
        <f>ROUND($B863*KarliyukStopajOrani,0)</f>
        <v/>
      </c>
      <c r="F863" s="112">
        <f>ROUND($B863*KarliyukDamgaOrani,0)</f>
        <v/>
      </c>
      <c r="G863" s="112">
        <f>$B863-$C863-$D863-$E863-$F863</f>
        <v/>
      </c>
      <c r="H863" s="112">
        <f>ROUND($B863*KarliyukSgkIsverenOrani,0)</f>
        <v/>
      </c>
      <c r="I863" s="112">
        <f>ROUND($B863*KarliyukIssizlikIsverenOrani,0)</f>
        <v/>
      </c>
      <c r="J863" s="112">
        <f>$B863+$H863+$I863</f>
        <v/>
      </c>
      <c r="K863" s="114" t="n"/>
    </row>
    <row r="864" ht="15" customHeight="1" s="68">
      <c r="A864" s="114" t="n"/>
      <c r="B864" s="114" t="n"/>
      <c r="C864" s="112">
        <f>ROUND($B864*KarliyukSgkIsciOrani,0)</f>
        <v/>
      </c>
      <c r="D864" s="112">
        <f>ROUND($B864*KarliyukIssizlikIsciOrani,0)</f>
        <v/>
      </c>
      <c r="E864" s="112">
        <f>ROUND($B864*KarliyukStopajOrani,0)</f>
        <v/>
      </c>
      <c r="F864" s="112">
        <f>ROUND($B864*KarliyukDamgaOrani,0)</f>
        <v/>
      </c>
      <c r="G864" s="112">
        <f>$B864-$C864-$D864-$E864-$F864</f>
        <v/>
      </c>
      <c r="H864" s="112">
        <f>ROUND($B864*KarliyukSgkIsverenOrani,0)</f>
        <v/>
      </c>
      <c r="I864" s="112">
        <f>ROUND($B864*KarliyukIssizlikIsverenOrani,0)</f>
        <v/>
      </c>
      <c r="J864" s="112">
        <f>$B864+$H864+$I864</f>
        <v/>
      </c>
      <c r="K864" s="114" t="n"/>
    </row>
    <row r="865" ht="15" customHeight="1" s="68">
      <c r="A865" s="114" t="n"/>
      <c r="B865" s="114" t="n"/>
      <c r="C865" s="112">
        <f>ROUND($B865*KarliyukSgkIsciOrani,0)</f>
        <v/>
      </c>
      <c r="D865" s="112">
        <f>ROUND($B865*KarliyukIssizlikIsciOrani,0)</f>
        <v/>
      </c>
      <c r="E865" s="112">
        <f>ROUND($B865*KarliyukStopajOrani,0)</f>
        <v/>
      </c>
      <c r="F865" s="112">
        <f>ROUND($B865*KarliyukDamgaOrani,0)</f>
        <v/>
      </c>
      <c r="G865" s="112">
        <f>$B865-$C865-$D865-$E865-$F865</f>
        <v/>
      </c>
      <c r="H865" s="112">
        <f>ROUND($B865*KarliyukSgkIsverenOrani,0)</f>
        <v/>
      </c>
      <c r="I865" s="112">
        <f>ROUND($B865*KarliyukIssizlikIsverenOrani,0)</f>
        <v/>
      </c>
      <c r="J865" s="112">
        <f>$B865+$H865+$I865</f>
        <v/>
      </c>
      <c r="K865" s="114" t="n"/>
    </row>
    <row r="866" ht="15" customHeight="1" s="68">
      <c r="A866" s="114" t="n"/>
      <c r="B866" s="114" t="n"/>
      <c r="C866" s="112">
        <f>ROUND($B866*KarliyukSgkIsciOrani,0)</f>
        <v/>
      </c>
      <c r="D866" s="112">
        <f>ROUND($B866*KarliyukIssizlikIsciOrani,0)</f>
        <v/>
      </c>
      <c r="E866" s="112">
        <f>ROUND($B866*KarliyukStopajOrani,0)</f>
        <v/>
      </c>
      <c r="F866" s="112">
        <f>ROUND($B866*KarliyukDamgaOrani,0)</f>
        <v/>
      </c>
      <c r="G866" s="112">
        <f>$B866-$C866-$D866-$E866-$F866</f>
        <v/>
      </c>
      <c r="H866" s="112">
        <f>ROUND($B866*KarliyukSgkIsverenOrani,0)</f>
        <v/>
      </c>
      <c r="I866" s="112">
        <f>ROUND($B866*KarliyukIssizlikIsverenOrani,0)</f>
        <v/>
      </c>
      <c r="J866" s="112">
        <f>$B866+$H866+$I866</f>
        <v/>
      </c>
      <c r="K866" s="114" t="n"/>
    </row>
    <row r="867" ht="15" customHeight="1" s="68">
      <c r="A867" s="114" t="n"/>
      <c r="B867" s="114" t="n"/>
      <c r="C867" s="112">
        <f>ROUND($B867*KarliyukSgkIsciOrani,0)</f>
        <v/>
      </c>
      <c r="D867" s="112">
        <f>ROUND($B867*KarliyukIssizlikIsciOrani,0)</f>
        <v/>
      </c>
      <c r="E867" s="112">
        <f>ROUND($B867*KarliyukStopajOrani,0)</f>
        <v/>
      </c>
      <c r="F867" s="112">
        <f>ROUND($B867*KarliyukDamgaOrani,0)</f>
        <v/>
      </c>
      <c r="G867" s="112">
        <f>$B867-$C867-$D867-$E867-$F867</f>
        <v/>
      </c>
      <c r="H867" s="112">
        <f>ROUND($B867*KarliyukSgkIsverenOrani,0)</f>
        <v/>
      </c>
      <c r="I867" s="112">
        <f>ROUND($B867*KarliyukIssizlikIsverenOrani,0)</f>
        <v/>
      </c>
      <c r="J867" s="112">
        <f>$B867+$H867+$I867</f>
        <v/>
      </c>
      <c r="K867" s="114" t="n"/>
    </row>
    <row r="868" ht="15" customHeight="1" s="68">
      <c r="A868" s="114" t="n"/>
      <c r="B868" s="114" t="n"/>
      <c r="C868" s="112">
        <f>ROUND($B868*KarliyukSgkIsciOrani,0)</f>
        <v/>
      </c>
      <c r="D868" s="112">
        <f>ROUND($B868*KarliyukIssizlikIsciOrani,0)</f>
        <v/>
      </c>
      <c r="E868" s="112">
        <f>ROUND($B868*KarliyukStopajOrani,0)</f>
        <v/>
      </c>
      <c r="F868" s="112">
        <f>ROUND($B868*KarliyukDamgaOrani,0)</f>
        <v/>
      </c>
      <c r="G868" s="112">
        <f>$B868-$C868-$D868-$E868-$F868</f>
        <v/>
      </c>
      <c r="H868" s="112">
        <f>ROUND($B868*KarliyukSgkIsverenOrani,0)</f>
        <v/>
      </c>
      <c r="I868" s="112">
        <f>ROUND($B868*KarliyukIssizlikIsverenOrani,0)</f>
        <v/>
      </c>
      <c r="J868" s="112">
        <f>$B868+$H868+$I868</f>
        <v/>
      </c>
      <c r="K868" s="114" t="n"/>
    </row>
    <row r="869" ht="15" customHeight="1" s="68">
      <c r="A869" s="114" t="n"/>
      <c r="B869" s="114" t="n"/>
      <c r="C869" s="112">
        <f>ROUND($B869*KarliyukSgkIsciOrani,0)</f>
        <v/>
      </c>
      <c r="D869" s="112">
        <f>ROUND($B869*KarliyukIssizlikIsciOrani,0)</f>
        <v/>
      </c>
      <c r="E869" s="112">
        <f>ROUND($B869*KarliyukStopajOrani,0)</f>
        <v/>
      </c>
      <c r="F869" s="112">
        <f>ROUND($B869*KarliyukDamgaOrani,0)</f>
        <v/>
      </c>
      <c r="G869" s="112">
        <f>$B869-$C869-$D869-$E869-$F869</f>
        <v/>
      </c>
      <c r="H869" s="112">
        <f>ROUND($B869*KarliyukSgkIsverenOrani,0)</f>
        <v/>
      </c>
      <c r="I869" s="112">
        <f>ROUND($B869*KarliyukIssizlikIsverenOrani,0)</f>
        <v/>
      </c>
      <c r="J869" s="112">
        <f>$B869+$H869+$I869</f>
        <v/>
      </c>
      <c r="K869" s="114" t="n"/>
    </row>
    <row r="870" ht="15" customHeight="1" s="68">
      <c r="A870" s="114" t="n"/>
      <c r="B870" s="114" t="n"/>
      <c r="C870" s="112">
        <f>ROUND($B870*KarliyukSgkIsciOrani,0)</f>
        <v/>
      </c>
      <c r="D870" s="112">
        <f>ROUND($B870*KarliyukIssizlikIsciOrani,0)</f>
        <v/>
      </c>
      <c r="E870" s="112">
        <f>ROUND($B870*KarliyukStopajOrani,0)</f>
        <v/>
      </c>
      <c r="F870" s="112">
        <f>ROUND($B870*KarliyukDamgaOrani,0)</f>
        <v/>
      </c>
      <c r="G870" s="112">
        <f>$B870-$C870-$D870-$E870-$F870</f>
        <v/>
      </c>
      <c r="H870" s="112">
        <f>ROUND($B870*KarliyukSgkIsverenOrani,0)</f>
        <v/>
      </c>
      <c r="I870" s="112">
        <f>ROUND($B870*KarliyukIssizlikIsverenOrani,0)</f>
        <v/>
      </c>
      <c r="J870" s="112">
        <f>$B870+$H870+$I870</f>
        <v/>
      </c>
      <c r="K870" s="114" t="n"/>
    </row>
    <row r="871" ht="15" customHeight="1" s="68">
      <c r="A871" s="114" t="n"/>
      <c r="B871" s="114" t="n"/>
      <c r="C871" s="112">
        <f>ROUND($B871*KarliyukSgkIsciOrani,0)</f>
        <v/>
      </c>
      <c r="D871" s="112">
        <f>ROUND($B871*KarliyukIssizlikIsciOrani,0)</f>
        <v/>
      </c>
      <c r="E871" s="112">
        <f>ROUND($B871*KarliyukStopajOrani,0)</f>
        <v/>
      </c>
      <c r="F871" s="112">
        <f>ROUND($B871*KarliyukDamgaOrani,0)</f>
        <v/>
      </c>
      <c r="G871" s="112">
        <f>$B871-$C871-$D871-$E871-$F871</f>
        <v/>
      </c>
      <c r="H871" s="112">
        <f>ROUND($B871*KarliyukSgkIsverenOrani,0)</f>
        <v/>
      </c>
      <c r="I871" s="112">
        <f>ROUND($B871*KarliyukIssizlikIsverenOrani,0)</f>
        <v/>
      </c>
      <c r="J871" s="112">
        <f>$B871+$H871+$I871</f>
        <v/>
      </c>
      <c r="K871" s="114" t="n"/>
    </row>
    <row r="872" ht="15" customHeight="1" s="68">
      <c r="A872" s="114" t="n"/>
      <c r="B872" s="114" t="n"/>
      <c r="C872" s="112">
        <f>ROUND($B872*KarliyukSgkIsciOrani,0)</f>
        <v/>
      </c>
      <c r="D872" s="112">
        <f>ROUND($B872*KarliyukIssizlikIsciOrani,0)</f>
        <v/>
      </c>
      <c r="E872" s="112">
        <f>ROUND($B872*KarliyukStopajOrani,0)</f>
        <v/>
      </c>
      <c r="F872" s="112">
        <f>ROUND($B872*KarliyukDamgaOrani,0)</f>
        <v/>
      </c>
      <c r="G872" s="112">
        <f>$B872-$C872-$D872-$E872-$F872</f>
        <v/>
      </c>
      <c r="H872" s="112">
        <f>ROUND($B872*KarliyukSgkIsverenOrani,0)</f>
        <v/>
      </c>
      <c r="I872" s="112">
        <f>ROUND($B872*KarliyukIssizlikIsverenOrani,0)</f>
        <v/>
      </c>
      <c r="J872" s="112">
        <f>$B872+$H872+$I872</f>
        <v/>
      </c>
      <c r="K872" s="114" t="n"/>
    </row>
    <row r="873" ht="15" customHeight="1" s="68">
      <c r="A873" s="114" t="n"/>
      <c r="B873" s="114" t="n"/>
      <c r="C873" s="112">
        <f>ROUND($B873*KarliyukSgkIsciOrani,0)</f>
        <v/>
      </c>
      <c r="D873" s="112">
        <f>ROUND($B873*KarliyukIssizlikIsciOrani,0)</f>
        <v/>
      </c>
      <c r="E873" s="112">
        <f>ROUND($B873*KarliyukStopajOrani,0)</f>
        <v/>
      </c>
      <c r="F873" s="112">
        <f>ROUND($B873*KarliyukDamgaOrani,0)</f>
        <v/>
      </c>
      <c r="G873" s="112">
        <f>$B873-$C873-$D873-$E873-$F873</f>
        <v/>
      </c>
      <c r="H873" s="112">
        <f>ROUND($B873*KarliyukSgkIsverenOrani,0)</f>
        <v/>
      </c>
      <c r="I873" s="112">
        <f>ROUND($B873*KarliyukIssizlikIsverenOrani,0)</f>
        <v/>
      </c>
      <c r="J873" s="112">
        <f>$B873+$H873+$I873</f>
        <v/>
      </c>
      <c r="K873" s="114" t="n"/>
    </row>
    <row r="874" ht="15" customHeight="1" s="68">
      <c r="A874" s="114" t="n"/>
      <c r="B874" s="114" t="n"/>
      <c r="C874" s="112">
        <f>ROUND($B874*KarliyukSgkIsciOrani,0)</f>
        <v/>
      </c>
      <c r="D874" s="112">
        <f>ROUND($B874*KarliyukIssizlikIsciOrani,0)</f>
        <v/>
      </c>
      <c r="E874" s="112">
        <f>ROUND($B874*KarliyukStopajOrani,0)</f>
        <v/>
      </c>
      <c r="F874" s="112">
        <f>ROUND($B874*KarliyukDamgaOrani,0)</f>
        <v/>
      </c>
      <c r="G874" s="112">
        <f>$B874-$C874-$D874-$E874-$F874</f>
        <v/>
      </c>
      <c r="H874" s="112">
        <f>ROUND($B874*KarliyukSgkIsverenOrani,0)</f>
        <v/>
      </c>
      <c r="I874" s="112">
        <f>ROUND($B874*KarliyukIssizlikIsverenOrani,0)</f>
        <v/>
      </c>
      <c r="J874" s="112">
        <f>$B874+$H874+$I874</f>
        <v/>
      </c>
      <c r="K874" s="114" t="n"/>
    </row>
    <row r="875" ht="15" customHeight="1" s="68">
      <c r="A875" s="114" t="n"/>
      <c r="B875" s="114" t="n"/>
      <c r="C875" s="112">
        <f>ROUND($B875*KarliyukSgkIsciOrani,0)</f>
        <v/>
      </c>
      <c r="D875" s="112">
        <f>ROUND($B875*KarliyukIssizlikIsciOrani,0)</f>
        <v/>
      </c>
      <c r="E875" s="112">
        <f>ROUND($B875*KarliyukStopajOrani,0)</f>
        <v/>
      </c>
      <c r="F875" s="112">
        <f>ROUND($B875*KarliyukDamgaOrani,0)</f>
        <v/>
      </c>
      <c r="G875" s="112">
        <f>$B875-$C875-$D875-$E875-$F875</f>
        <v/>
      </c>
      <c r="H875" s="112">
        <f>ROUND($B875*KarliyukSgkIsverenOrani,0)</f>
        <v/>
      </c>
      <c r="I875" s="112">
        <f>ROUND($B875*KarliyukIssizlikIsverenOrani,0)</f>
        <v/>
      </c>
      <c r="J875" s="112">
        <f>$B875+$H875+$I875</f>
        <v/>
      </c>
      <c r="K875" s="114" t="n"/>
    </row>
    <row r="876" ht="15" customHeight="1" s="68">
      <c r="A876" s="114" t="n"/>
      <c r="B876" s="114" t="n"/>
      <c r="C876" s="112">
        <f>ROUND($B876*KarliyukSgkIsciOrani,0)</f>
        <v/>
      </c>
      <c r="D876" s="112">
        <f>ROUND($B876*KarliyukIssizlikIsciOrani,0)</f>
        <v/>
      </c>
      <c r="E876" s="112">
        <f>ROUND($B876*KarliyukStopajOrani,0)</f>
        <v/>
      </c>
      <c r="F876" s="112">
        <f>ROUND($B876*KarliyukDamgaOrani,0)</f>
        <v/>
      </c>
      <c r="G876" s="112">
        <f>$B876-$C876-$D876-$E876-$F876</f>
        <v/>
      </c>
      <c r="H876" s="112">
        <f>ROUND($B876*KarliyukSgkIsverenOrani,0)</f>
        <v/>
      </c>
      <c r="I876" s="112">
        <f>ROUND($B876*KarliyukIssizlikIsverenOrani,0)</f>
        <v/>
      </c>
      <c r="J876" s="112">
        <f>$B876+$H876+$I876</f>
        <v/>
      </c>
      <c r="K876" s="114" t="n"/>
    </row>
    <row r="877" ht="15" customHeight="1" s="68">
      <c r="A877" s="114" t="n"/>
      <c r="B877" s="114" t="n"/>
      <c r="C877" s="112">
        <f>ROUND($B877*KarliyukSgkIsciOrani,0)</f>
        <v/>
      </c>
      <c r="D877" s="112">
        <f>ROUND($B877*KarliyukIssizlikIsciOrani,0)</f>
        <v/>
      </c>
      <c r="E877" s="112">
        <f>ROUND($B877*KarliyukStopajOrani,0)</f>
        <v/>
      </c>
      <c r="F877" s="112">
        <f>ROUND($B877*KarliyukDamgaOrani,0)</f>
        <v/>
      </c>
      <c r="G877" s="112">
        <f>$B877-$C877-$D877-$E877-$F877</f>
        <v/>
      </c>
      <c r="H877" s="112">
        <f>ROUND($B877*KarliyukSgkIsverenOrani,0)</f>
        <v/>
      </c>
      <c r="I877" s="112">
        <f>ROUND($B877*KarliyukIssizlikIsverenOrani,0)</f>
        <v/>
      </c>
      <c r="J877" s="112">
        <f>$B877+$H877+$I877</f>
        <v/>
      </c>
      <c r="K877" s="114" t="n"/>
    </row>
    <row r="878" ht="15" customHeight="1" s="68">
      <c r="A878" s="114" t="n"/>
      <c r="B878" s="114" t="n"/>
      <c r="C878" s="112">
        <f>ROUND($B878*KarliyukSgkIsciOrani,0)</f>
        <v/>
      </c>
      <c r="D878" s="112">
        <f>ROUND($B878*KarliyukIssizlikIsciOrani,0)</f>
        <v/>
      </c>
      <c r="E878" s="112">
        <f>ROUND($B878*KarliyukStopajOrani,0)</f>
        <v/>
      </c>
      <c r="F878" s="112">
        <f>ROUND($B878*KarliyukDamgaOrani,0)</f>
        <v/>
      </c>
      <c r="G878" s="112">
        <f>$B878-$C878-$D878-$E878-$F878</f>
        <v/>
      </c>
      <c r="H878" s="112">
        <f>ROUND($B878*KarliyukSgkIsverenOrani,0)</f>
        <v/>
      </c>
      <c r="I878" s="112">
        <f>ROUND($B878*KarliyukIssizlikIsverenOrani,0)</f>
        <v/>
      </c>
      <c r="J878" s="112">
        <f>$B878+$H878+$I878</f>
        <v/>
      </c>
      <c r="K878" s="114" t="n"/>
    </row>
    <row r="879" ht="15" customHeight="1" s="68">
      <c r="A879" s="114" t="n"/>
      <c r="B879" s="114" t="n"/>
      <c r="C879" s="112">
        <f>ROUND($B879*KarliyukSgkIsciOrani,0)</f>
        <v/>
      </c>
      <c r="D879" s="112">
        <f>ROUND($B879*KarliyukIssizlikIsciOrani,0)</f>
        <v/>
      </c>
      <c r="E879" s="112">
        <f>ROUND($B879*KarliyukStopajOrani,0)</f>
        <v/>
      </c>
      <c r="F879" s="112">
        <f>ROUND($B879*KarliyukDamgaOrani,0)</f>
        <v/>
      </c>
      <c r="G879" s="112">
        <f>$B879-$C879-$D879-$E879-$F879</f>
        <v/>
      </c>
      <c r="H879" s="112">
        <f>ROUND($B879*KarliyukSgkIsverenOrani,0)</f>
        <v/>
      </c>
      <c r="I879" s="112">
        <f>ROUND($B879*KarliyukIssizlikIsverenOrani,0)</f>
        <v/>
      </c>
      <c r="J879" s="112">
        <f>$B879+$H879+$I879</f>
        <v/>
      </c>
      <c r="K879" s="114" t="n"/>
    </row>
    <row r="880" ht="15" customHeight="1" s="68">
      <c r="A880" s="114" t="n"/>
      <c r="B880" s="114" t="n"/>
      <c r="C880" s="112">
        <f>ROUND($B880*KarliyukSgkIsciOrani,0)</f>
        <v/>
      </c>
      <c r="D880" s="112">
        <f>ROUND($B880*KarliyukIssizlikIsciOrani,0)</f>
        <v/>
      </c>
      <c r="E880" s="112">
        <f>ROUND($B880*KarliyukStopajOrani,0)</f>
        <v/>
      </c>
      <c r="F880" s="112">
        <f>ROUND($B880*KarliyukDamgaOrani,0)</f>
        <v/>
      </c>
      <c r="G880" s="112">
        <f>$B880-$C880-$D880-$E880-$F880</f>
        <v/>
      </c>
      <c r="H880" s="112">
        <f>ROUND($B880*KarliyukSgkIsverenOrani,0)</f>
        <v/>
      </c>
      <c r="I880" s="112">
        <f>ROUND($B880*KarliyukIssizlikIsverenOrani,0)</f>
        <v/>
      </c>
      <c r="J880" s="112">
        <f>$B880+$H880+$I880</f>
        <v/>
      </c>
      <c r="K880" s="114" t="n"/>
    </row>
    <row r="881" ht="15" customHeight="1" s="68">
      <c r="A881" s="114" t="n"/>
      <c r="B881" s="114" t="n"/>
      <c r="C881" s="112">
        <f>ROUND($B881*KarliyukSgkIsciOrani,0)</f>
        <v/>
      </c>
      <c r="D881" s="112">
        <f>ROUND($B881*KarliyukIssizlikIsciOrani,0)</f>
        <v/>
      </c>
      <c r="E881" s="112">
        <f>ROUND($B881*KarliyukStopajOrani,0)</f>
        <v/>
      </c>
      <c r="F881" s="112">
        <f>ROUND($B881*KarliyukDamgaOrani,0)</f>
        <v/>
      </c>
      <c r="G881" s="112">
        <f>$B881-$C881-$D881-$E881-$F881</f>
        <v/>
      </c>
      <c r="H881" s="112">
        <f>ROUND($B881*KarliyukSgkIsverenOrani,0)</f>
        <v/>
      </c>
      <c r="I881" s="112">
        <f>ROUND($B881*KarliyukIssizlikIsverenOrani,0)</f>
        <v/>
      </c>
      <c r="J881" s="112">
        <f>$B881+$H881+$I881</f>
        <v/>
      </c>
      <c r="K881" s="114" t="n"/>
    </row>
    <row r="882" ht="15" customHeight="1" s="68">
      <c r="A882" s="114" t="n"/>
      <c r="B882" s="114" t="n"/>
      <c r="C882" s="112">
        <f>ROUND($B882*KarliyukSgkIsciOrani,0)</f>
        <v/>
      </c>
      <c r="D882" s="112">
        <f>ROUND($B882*KarliyukIssizlikIsciOrani,0)</f>
        <v/>
      </c>
      <c r="E882" s="112">
        <f>ROUND($B882*KarliyukStopajOrani,0)</f>
        <v/>
      </c>
      <c r="F882" s="112">
        <f>ROUND($B882*KarliyukDamgaOrani,0)</f>
        <v/>
      </c>
      <c r="G882" s="112">
        <f>$B882-$C882-$D882-$E882-$F882</f>
        <v/>
      </c>
      <c r="H882" s="112">
        <f>ROUND($B882*KarliyukSgkIsverenOrani,0)</f>
        <v/>
      </c>
      <c r="I882" s="112">
        <f>ROUND($B882*KarliyukIssizlikIsverenOrani,0)</f>
        <v/>
      </c>
      <c r="J882" s="112">
        <f>$B882+$H882+$I882</f>
        <v/>
      </c>
      <c r="K882" s="114" t="n"/>
    </row>
    <row r="883" ht="15" customHeight="1" s="68">
      <c r="A883" s="114" t="n"/>
      <c r="B883" s="114" t="n"/>
      <c r="C883" s="112">
        <f>ROUND($B883*KarliyukSgkIsciOrani,0)</f>
        <v/>
      </c>
      <c r="D883" s="112">
        <f>ROUND($B883*KarliyukIssizlikIsciOrani,0)</f>
        <v/>
      </c>
      <c r="E883" s="112">
        <f>ROUND($B883*KarliyukStopajOrani,0)</f>
        <v/>
      </c>
      <c r="F883" s="112">
        <f>ROUND($B883*KarliyukDamgaOrani,0)</f>
        <v/>
      </c>
      <c r="G883" s="112">
        <f>$B883-$C883-$D883-$E883-$F883</f>
        <v/>
      </c>
      <c r="H883" s="112">
        <f>ROUND($B883*KarliyukSgkIsverenOrani,0)</f>
        <v/>
      </c>
      <c r="I883" s="112">
        <f>ROUND($B883*KarliyukIssizlikIsverenOrani,0)</f>
        <v/>
      </c>
      <c r="J883" s="112">
        <f>$B883+$H883+$I883</f>
        <v/>
      </c>
      <c r="K883" s="114" t="n"/>
    </row>
    <row r="884" ht="15" customHeight="1" s="68">
      <c r="A884" s="114" t="n"/>
      <c r="B884" s="114" t="n"/>
      <c r="C884" s="112">
        <f>ROUND($B884*KarliyukSgkIsciOrani,0)</f>
        <v/>
      </c>
      <c r="D884" s="112">
        <f>ROUND($B884*KarliyukIssizlikIsciOrani,0)</f>
        <v/>
      </c>
      <c r="E884" s="112">
        <f>ROUND($B884*KarliyukStopajOrani,0)</f>
        <v/>
      </c>
      <c r="F884" s="112">
        <f>ROUND($B884*KarliyukDamgaOrani,0)</f>
        <v/>
      </c>
      <c r="G884" s="112">
        <f>$B884-$C884-$D884-$E884-$F884</f>
        <v/>
      </c>
      <c r="H884" s="112">
        <f>ROUND($B884*KarliyukSgkIsverenOrani,0)</f>
        <v/>
      </c>
      <c r="I884" s="112">
        <f>ROUND($B884*KarliyukIssizlikIsverenOrani,0)</f>
        <v/>
      </c>
      <c r="J884" s="112">
        <f>$B884+$H884+$I884</f>
        <v/>
      </c>
      <c r="K884" s="114" t="n"/>
    </row>
    <row r="885" ht="15" customHeight="1" s="68">
      <c r="A885" s="114" t="n"/>
      <c r="B885" s="114" t="n"/>
      <c r="C885" s="112">
        <f>ROUND($B885*KarliyukSgkIsciOrani,0)</f>
        <v/>
      </c>
      <c r="D885" s="112">
        <f>ROUND($B885*KarliyukIssizlikIsciOrani,0)</f>
        <v/>
      </c>
      <c r="E885" s="112">
        <f>ROUND($B885*KarliyukStopajOrani,0)</f>
        <v/>
      </c>
      <c r="F885" s="112">
        <f>ROUND($B885*KarliyukDamgaOrani,0)</f>
        <v/>
      </c>
      <c r="G885" s="112">
        <f>$B885-$C885-$D885-$E885-$F885</f>
        <v/>
      </c>
      <c r="H885" s="112">
        <f>ROUND($B885*KarliyukSgkIsverenOrani,0)</f>
        <v/>
      </c>
      <c r="I885" s="112">
        <f>ROUND($B885*KarliyukIssizlikIsverenOrani,0)</f>
        <v/>
      </c>
      <c r="J885" s="112">
        <f>$B885+$H885+$I885</f>
        <v/>
      </c>
      <c r="K885" s="114" t="n"/>
    </row>
    <row r="886" ht="15" customHeight="1" s="68">
      <c r="A886" s="114" t="n"/>
      <c r="B886" s="114" t="n"/>
      <c r="C886" s="112">
        <f>ROUND($B886*KarliyukSgkIsciOrani,0)</f>
        <v/>
      </c>
      <c r="D886" s="112">
        <f>ROUND($B886*KarliyukIssizlikIsciOrani,0)</f>
        <v/>
      </c>
      <c r="E886" s="112">
        <f>ROUND($B886*KarliyukStopajOrani,0)</f>
        <v/>
      </c>
      <c r="F886" s="112">
        <f>ROUND($B886*KarliyukDamgaOrani,0)</f>
        <v/>
      </c>
      <c r="G886" s="112">
        <f>$B886-$C886-$D886-$E886-$F886</f>
        <v/>
      </c>
      <c r="H886" s="112">
        <f>ROUND($B886*KarliyukSgkIsverenOrani,0)</f>
        <v/>
      </c>
      <c r="I886" s="112">
        <f>ROUND($B886*KarliyukIssizlikIsverenOrani,0)</f>
        <v/>
      </c>
      <c r="J886" s="112">
        <f>$B886+$H886+$I886</f>
        <v/>
      </c>
      <c r="K886" s="114" t="n"/>
    </row>
    <row r="887" ht="15" customHeight="1" s="68">
      <c r="A887" s="114" t="n"/>
      <c r="B887" s="114" t="n"/>
      <c r="C887" s="112">
        <f>ROUND($B887*KarliyukSgkIsciOrani,0)</f>
        <v/>
      </c>
      <c r="D887" s="112">
        <f>ROUND($B887*KarliyukIssizlikIsciOrani,0)</f>
        <v/>
      </c>
      <c r="E887" s="112">
        <f>ROUND($B887*KarliyukStopajOrani,0)</f>
        <v/>
      </c>
      <c r="F887" s="112">
        <f>ROUND($B887*KarliyukDamgaOrani,0)</f>
        <v/>
      </c>
      <c r="G887" s="112">
        <f>$B887-$C887-$D887-$E887-$F887</f>
        <v/>
      </c>
      <c r="H887" s="112">
        <f>ROUND($B887*KarliyukSgkIsverenOrani,0)</f>
        <v/>
      </c>
      <c r="I887" s="112">
        <f>ROUND($B887*KarliyukIssizlikIsverenOrani,0)</f>
        <v/>
      </c>
      <c r="J887" s="112">
        <f>$B887+$H887+$I887</f>
        <v/>
      </c>
      <c r="K887" s="114" t="n"/>
    </row>
    <row r="888" ht="15" customHeight="1" s="68">
      <c r="A888" s="114" t="n"/>
      <c r="B888" s="114" t="n"/>
      <c r="C888" s="112">
        <f>ROUND($B888*KarliyukSgkIsciOrani,0)</f>
        <v/>
      </c>
      <c r="D888" s="112">
        <f>ROUND($B888*KarliyukIssizlikIsciOrani,0)</f>
        <v/>
      </c>
      <c r="E888" s="112">
        <f>ROUND($B888*KarliyukStopajOrani,0)</f>
        <v/>
      </c>
      <c r="F888" s="112">
        <f>ROUND($B888*KarliyukDamgaOrani,0)</f>
        <v/>
      </c>
      <c r="G888" s="112">
        <f>$B888-$C888-$D888-$E888-$F888</f>
        <v/>
      </c>
      <c r="H888" s="112">
        <f>ROUND($B888*KarliyukSgkIsverenOrani,0)</f>
        <v/>
      </c>
      <c r="I888" s="112">
        <f>ROUND($B888*KarliyukIssizlikIsverenOrani,0)</f>
        <v/>
      </c>
      <c r="J888" s="112">
        <f>$B888+$H888+$I888</f>
        <v/>
      </c>
      <c r="K888" s="114" t="n"/>
    </row>
    <row r="889" ht="15" customHeight="1" s="68">
      <c r="A889" s="114" t="n"/>
      <c r="B889" s="114" t="n"/>
      <c r="C889" s="112">
        <f>ROUND($B889*KarliyukSgkIsciOrani,0)</f>
        <v/>
      </c>
      <c r="D889" s="112">
        <f>ROUND($B889*KarliyukIssizlikIsciOrani,0)</f>
        <v/>
      </c>
      <c r="E889" s="112">
        <f>ROUND($B889*KarliyukStopajOrani,0)</f>
        <v/>
      </c>
      <c r="F889" s="112">
        <f>ROUND($B889*KarliyukDamgaOrani,0)</f>
        <v/>
      </c>
      <c r="G889" s="112">
        <f>$B889-$C889-$D889-$E889-$F889</f>
        <v/>
      </c>
      <c r="H889" s="112">
        <f>ROUND($B889*KarliyukSgkIsverenOrani,0)</f>
        <v/>
      </c>
      <c r="I889" s="112">
        <f>ROUND($B889*KarliyukIssizlikIsverenOrani,0)</f>
        <v/>
      </c>
      <c r="J889" s="112">
        <f>$B889+$H889+$I889</f>
        <v/>
      </c>
      <c r="K889" s="114" t="n"/>
    </row>
    <row r="890" ht="15" customHeight="1" s="68">
      <c r="A890" s="114" t="n"/>
      <c r="B890" s="114" t="n"/>
      <c r="C890" s="112">
        <f>ROUND($B890*KarliyukSgkIsciOrani,0)</f>
        <v/>
      </c>
      <c r="D890" s="112">
        <f>ROUND($B890*KarliyukIssizlikIsciOrani,0)</f>
        <v/>
      </c>
      <c r="E890" s="112">
        <f>ROUND($B890*KarliyukStopajOrani,0)</f>
        <v/>
      </c>
      <c r="F890" s="112">
        <f>ROUND($B890*KarliyukDamgaOrani,0)</f>
        <v/>
      </c>
      <c r="G890" s="112">
        <f>$B890-$C890-$D890-$E890-$F890</f>
        <v/>
      </c>
      <c r="H890" s="112">
        <f>ROUND($B890*KarliyukSgkIsverenOrani,0)</f>
        <v/>
      </c>
      <c r="I890" s="112">
        <f>ROUND($B890*KarliyukIssizlikIsverenOrani,0)</f>
        <v/>
      </c>
      <c r="J890" s="112">
        <f>$B890+$H890+$I890</f>
        <v/>
      </c>
      <c r="K890" s="114" t="n"/>
    </row>
    <row r="891" ht="15" customHeight="1" s="68">
      <c r="A891" s="114" t="n"/>
      <c r="B891" s="114" t="n"/>
      <c r="C891" s="112">
        <f>ROUND($B891*KarliyukSgkIsciOrani,0)</f>
        <v/>
      </c>
      <c r="D891" s="112">
        <f>ROUND($B891*KarliyukIssizlikIsciOrani,0)</f>
        <v/>
      </c>
      <c r="E891" s="112">
        <f>ROUND($B891*KarliyukStopajOrani,0)</f>
        <v/>
      </c>
      <c r="F891" s="112">
        <f>ROUND($B891*KarliyukDamgaOrani,0)</f>
        <v/>
      </c>
      <c r="G891" s="112">
        <f>$B891-$C891-$D891-$E891-$F891</f>
        <v/>
      </c>
      <c r="H891" s="112">
        <f>ROUND($B891*KarliyukSgkIsverenOrani,0)</f>
        <v/>
      </c>
      <c r="I891" s="112">
        <f>ROUND($B891*KarliyukIssizlikIsverenOrani,0)</f>
        <v/>
      </c>
      <c r="J891" s="112">
        <f>$B891+$H891+$I891</f>
        <v/>
      </c>
      <c r="K891" s="114" t="n"/>
    </row>
    <row r="892" ht="15" customHeight="1" s="68">
      <c r="A892" s="114" t="n"/>
      <c r="B892" s="114" t="n"/>
      <c r="C892" s="112">
        <f>ROUND($B892*KarliyukSgkIsciOrani,0)</f>
        <v/>
      </c>
      <c r="D892" s="112">
        <f>ROUND($B892*KarliyukIssizlikIsciOrani,0)</f>
        <v/>
      </c>
      <c r="E892" s="112">
        <f>ROUND($B892*KarliyukStopajOrani,0)</f>
        <v/>
      </c>
      <c r="F892" s="112">
        <f>ROUND($B892*KarliyukDamgaOrani,0)</f>
        <v/>
      </c>
      <c r="G892" s="112">
        <f>$B892-$C892-$D892-$E892-$F892</f>
        <v/>
      </c>
      <c r="H892" s="112">
        <f>ROUND($B892*KarliyukSgkIsverenOrani,0)</f>
        <v/>
      </c>
      <c r="I892" s="112">
        <f>ROUND($B892*KarliyukIssizlikIsverenOrani,0)</f>
        <v/>
      </c>
      <c r="J892" s="112">
        <f>$B892+$H892+$I892</f>
        <v/>
      </c>
      <c r="K892" s="114" t="n"/>
    </row>
    <row r="893" ht="15" customHeight="1" s="68">
      <c r="A893" s="114" t="n"/>
      <c r="B893" s="114" t="n"/>
      <c r="C893" s="112">
        <f>ROUND($B893*KarliyukSgkIsciOrani,0)</f>
        <v/>
      </c>
      <c r="D893" s="112">
        <f>ROUND($B893*KarliyukIssizlikIsciOrani,0)</f>
        <v/>
      </c>
      <c r="E893" s="112">
        <f>ROUND($B893*KarliyukStopajOrani,0)</f>
        <v/>
      </c>
      <c r="F893" s="112">
        <f>ROUND($B893*KarliyukDamgaOrani,0)</f>
        <v/>
      </c>
      <c r="G893" s="112">
        <f>$B893-$C893-$D893-$E893-$F893</f>
        <v/>
      </c>
      <c r="H893" s="112">
        <f>ROUND($B893*KarliyukSgkIsverenOrani,0)</f>
        <v/>
      </c>
      <c r="I893" s="112">
        <f>ROUND($B893*KarliyukIssizlikIsverenOrani,0)</f>
        <v/>
      </c>
      <c r="J893" s="112">
        <f>$B893+$H893+$I893</f>
        <v/>
      </c>
      <c r="K893" s="114" t="n"/>
    </row>
    <row r="894" ht="15" customHeight="1" s="68">
      <c r="A894" s="114" t="n"/>
      <c r="B894" s="114" t="n"/>
      <c r="C894" s="112">
        <f>ROUND($B894*KarliyukSgkIsciOrani,0)</f>
        <v/>
      </c>
      <c r="D894" s="112">
        <f>ROUND($B894*KarliyukIssizlikIsciOrani,0)</f>
        <v/>
      </c>
      <c r="E894" s="112">
        <f>ROUND($B894*KarliyukStopajOrani,0)</f>
        <v/>
      </c>
      <c r="F894" s="112">
        <f>ROUND($B894*KarliyukDamgaOrani,0)</f>
        <v/>
      </c>
      <c r="G894" s="112">
        <f>$B894-$C894-$D894-$E894-$F894</f>
        <v/>
      </c>
      <c r="H894" s="112">
        <f>ROUND($B894*KarliyukSgkIsverenOrani,0)</f>
        <v/>
      </c>
      <c r="I894" s="112">
        <f>ROUND($B894*KarliyukIssizlikIsverenOrani,0)</f>
        <v/>
      </c>
      <c r="J894" s="112">
        <f>$B894+$H894+$I894</f>
        <v/>
      </c>
      <c r="K894" s="114" t="n"/>
    </row>
    <row r="895" ht="15" customHeight="1" s="68">
      <c r="A895" s="114" t="n"/>
      <c r="B895" s="114" t="n"/>
      <c r="C895" s="112">
        <f>ROUND($B895*KarliyukSgkIsciOrani,0)</f>
        <v/>
      </c>
      <c r="D895" s="112">
        <f>ROUND($B895*KarliyukIssizlikIsciOrani,0)</f>
        <v/>
      </c>
      <c r="E895" s="112">
        <f>ROUND($B895*KarliyukStopajOrani,0)</f>
        <v/>
      </c>
      <c r="F895" s="112">
        <f>ROUND($B895*KarliyukDamgaOrani,0)</f>
        <v/>
      </c>
      <c r="G895" s="112">
        <f>$B895-$C895-$D895-$E895-$F895</f>
        <v/>
      </c>
      <c r="H895" s="112">
        <f>ROUND($B895*KarliyukSgkIsverenOrani,0)</f>
        <v/>
      </c>
      <c r="I895" s="112">
        <f>ROUND($B895*KarliyukIssizlikIsverenOrani,0)</f>
        <v/>
      </c>
      <c r="J895" s="112">
        <f>$B895+$H895+$I895</f>
        <v/>
      </c>
      <c r="K895" s="114" t="n"/>
    </row>
    <row r="896" ht="15" customHeight="1" s="68">
      <c r="A896" s="114" t="n"/>
      <c r="B896" s="114" t="n"/>
      <c r="C896" s="112">
        <f>ROUND($B896*KarliyukSgkIsciOrani,0)</f>
        <v/>
      </c>
      <c r="D896" s="112">
        <f>ROUND($B896*KarliyukIssizlikIsciOrani,0)</f>
        <v/>
      </c>
      <c r="E896" s="112">
        <f>ROUND($B896*KarliyukStopajOrani,0)</f>
        <v/>
      </c>
      <c r="F896" s="112">
        <f>ROUND($B896*KarliyukDamgaOrani,0)</f>
        <v/>
      </c>
      <c r="G896" s="112">
        <f>$B896-$C896-$D896-$E896-$F896</f>
        <v/>
      </c>
      <c r="H896" s="112">
        <f>ROUND($B896*KarliyukSgkIsverenOrani,0)</f>
        <v/>
      </c>
      <c r="I896" s="112">
        <f>ROUND($B896*KarliyukIssizlikIsverenOrani,0)</f>
        <v/>
      </c>
      <c r="J896" s="112">
        <f>$B896+$H896+$I896</f>
        <v/>
      </c>
      <c r="K896" s="114" t="n"/>
    </row>
    <row r="897" ht="15" customHeight="1" s="68">
      <c r="A897" s="114" t="n"/>
      <c r="B897" s="114" t="n"/>
      <c r="C897" s="112">
        <f>ROUND($B897*KarliyukSgkIsciOrani,0)</f>
        <v/>
      </c>
      <c r="D897" s="112">
        <f>ROUND($B897*KarliyukIssizlikIsciOrani,0)</f>
        <v/>
      </c>
      <c r="E897" s="112">
        <f>ROUND($B897*KarliyukStopajOrani,0)</f>
        <v/>
      </c>
      <c r="F897" s="112">
        <f>ROUND($B897*KarliyukDamgaOrani,0)</f>
        <v/>
      </c>
      <c r="G897" s="112">
        <f>$B897-$C897-$D897-$E897-$F897</f>
        <v/>
      </c>
      <c r="H897" s="112">
        <f>ROUND($B897*KarliyukSgkIsverenOrani,0)</f>
        <v/>
      </c>
      <c r="I897" s="112">
        <f>ROUND($B897*KarliyukIssizlikIsverenOrani,0)</f>
        <v/>
      </c>
      <c r="J897" s="112">
        <f>$B897+$H897+$I897</f>
        <v/>
      </c>
      <c r="K897" s="114" t="n"/>
    </row>
    <row r="898" ht="15" customHeight="1" s="68">
      <c r="A898" s="114" t="n"/>
      <c r="B898" s="114" t="n"/>
      <c r="C898" s="112">
        <f>ROUND($B898*KarliyukSgkIsciOrani,0)</f>
        <v/>
      </c>
      <c r="D898" s="112">
        <f>ROUND($B898*KarliyukIssizlikIsciOrani,0)</f>
        <v/>
      </c>
      <c r="E898" s="112">
        <f>ROUND($B898*KarliyukStopajOrani,0)</f>
        <v/>
      </c>
      <c r="F898" s="112">
        <f>ROUND($B898*KarliyukDamgaOrani,0)</f>
        <v/>
      </c>
      <c r="G898" s="112">
        <f>$B898-$C898-$D898-$E898-$F898</f>
        <v/>
      </c>
      <c r="H898" s="112">
        <f>ROUND($B898*KarliyukSgkIsverenOrani,0)</f>
        <v/>
      </c>
      <c r="I898" s="112">
        <f>ROUND($B898*KarliyukIssizlikIsverenOrani,0)</f>
        <v/>
      </c>
      <c r="J898" s="112">
        <f>$B898+$H898+$I898</f>
        <v/>
      </c>
      <c r="K898" s="114" t="n"/>
    </row>
    <row r="899" ht="15" customHeight="1" s="68">
      <c r="A899" s="114" t="n"/>
      <c r="B899" s="114" t="n"/>
      <c r="C899" s="112">
        <f>ROUND($B899*KarliyukSgkIsciOrani,0)</f>
        <v/>
      </c>
      <c r="D899" s="112">
        <f>ROUND($B899*KarliyukIssizlikIsciOrani,0)</f>
        <v/>
      </c>
      <c r="E899" s="112">
        <f>ROUND($B899*KarliyukStopajOrani,0)</f>
        <v/>
      </c>
      <c r="F899" s="112">
        <f>ROUND($B899*KarliyukDamgaOrani,0)</f>
        <v/>
      </c>
      <c r="G899" s="112">
        <f>$B899-$C899-$D899-$E899-$F899</f>
        <v/>
      </c>
      <c r="H899" s="112">
        <f>ROUND($B899*KarliyukSgkIsverenOrani,0)</f>
        <v/>
      </c>
      <c r="I899" s="112">
        <f>ROUND($B899*KarliyukIssizlikIsverenOrani,0)</f>
        <v/>
      </c>
      <c r="J899" s="112">
        <f>$B899+$H899+$I899</f>
        <v/>
      </c>
      <c r="K899" s="114" t="n"/>
    </row>
    <row r="900" ht="15" customHeight="1" s="68">
      <c r="A900" s="114" t="n"/>
      <c r="B900" s="114" t="n"/>
      <c r="C900" s="112">
        <f>ROUND($B900*KarliyukSgkIsciOrani,0)</f>
        <v/>
      </c>
      <c r="D900" s="112">
        <f>ROUND($B900*KarliyukIssizlikIsciOrani,0)</f>
        <v/>
      </c>
      <c r="E900" s="112">
        <f>ROUND($B900*KarliyukStopajOrani,0)</f>
        <v/>
      </c>
      <c r="F900" s="112">
        <f>ROUND($B900*KarliyukDamgaOrani,0)</f>
        <v/>
      </c>
      <c r="G900" s="112">
        <f>$B900-$C900-$D900-$E900-$F900</f>
        <v/>
      </c>
      <c r="H900" s="112">
        <f>ROUND($B900*KarliyukSgkIsverenOrani,0)</f>
        <v/>
      </c>
      <c r="I900" s="112">
        <f>ROUND($B900*KarliyukIssizlikIsverenOrani,0)</f>
        <v/>
      </c>
      <c r="J900" s="112">
        <f>$B900+$H900+$I900</f>
        <v/>
      </c>
      <c r="K900" s="114" t="n"/>
    </row>
    <row r="901" ht="15" customHeight="1" s="68">
      <c r="A901" s="114" t="n"/>
      <c r="B901" s="114" t="n"/>
      <c r="C901" s="112">
        <f>ROUND($B901*KarliyukSgkIsciOrani,0)</f>
        <v/>
      </c>
      <c r="D901" s="112">
        <f>ROUND($B901*KarliyukIssizlikIsciOrani,0)</f>
        <v/>
      </c>
      <c r="E901" s="112">
        <f>ROUND($B901*KarliyukStopajOrani,0)</f>
        <v/>
      </c>
      <c r="F901" s="112">
        <f>ROUND($B901*KarliyukDamgaOrani,0)</f>
        <v/>
      </c>
      <c r="G901" s="112">
        <f>$B901-$C901-$D901-$E901-$F901</f>
        <v/>
      </c>
      <c r="H901" s="112">
        <f>ROUND($B901*KarliyukSgkIsverenOrani,0)</f>
        <v/>
      </c>
      <c r="I901" s="112">
        <f>ROUND($B901*KarliyukIssizlikIsverenOrani,0)</f>
        <v/>
      </c>
      <c r="J901" s="112">
        <f>$B901+$H901+$I901</f>
        <v/>
      </c>
      <c r="K901" s="114" t="n"/>
    </row>
    <row r="902" ht="15" customHeight="1" s="68">
      <c r="A902" s="114" t="n"/>
      <c r="B902" s="114" t="n"/>
      <c r="C902" s="112">
        <f>ROUND($B902*KarliyukSgkIsciOrani,0)</f>
        <v/>
      </c>
      <c r="D902" s="112">
        <f>ROUND($B902*KarliyukIssizlikIsciOrani,0)</f>
        <v/>
      </c>
      <c r="E902" s="112">
        <f>ROUND($B902*KarliyukStopajOrani,0)</f>
        <v/>
      </c>
      <c r="F902" s="112">
        <f>ROUND($B902*KarliyukDamgaOrani,0)</f>
        <v/>
      </c>
      <c r="G902" s="112">
        <f>$B902-$C902-$D902-$E902-$F902</f>
        <v/>
      </c>
      <c r="H902" s="112">
        <f>ROUND($B902*KarliyukSgkIsverenOrani,0)</f>
        <v/>
      </c>
      <c r="I902" s="112">
        <f>ROUND($B902*KarliyukIssizlikIsverenOrani,0)</f>
        <v/>
      </c>
      <c r="J902" s="112">
        <f>$B902+$H902+$I902</f>
        <v/>
      </c>
      <c r="K902" s="114" t="n"/>
    </row>
    <row r="903" ht="15" customHeight="1" s="68">
      <c r="A903" s="114" t="n"/>
      <c r="B903" s="114" t="n"/>
      <c r="C903" s="112">
        <f>ROUND($B903*KarliyukSgkIsciOrani,0)</f>
        <v/>
      </c>
      <c r="D903" s="112">
        <f>ROUND($B903*KarliyukIssizlikIsciOrani,0)</f>
        <v/>
      </c>
      <c r="E903" s="112">
        <f>ROUND($B903*KarliyukStopajOrani,0)</f>
        <v/>
      </c>
      <c r="F903" s="112">
        <f>ROUND($B903*KarliyukDamgaOrani,0)</f>
        <v/>
      </c>
      <c r="G903" s="112">
        <f>$B903-$C903-$D903-$E903-$F903</f>
        <v/>
      </c>
      <c r="H903" s="112">
        <f>ROUND($B903*KarliyukSgkIsverenOrani,0)</f>
        <v/>
      </c>
      <c r="I903" s="112">
        <f>ROUND($B903*KarliyukIssizlikIsverenOrani,0)</f>
        <v/>
      </c>
      <c r="J903" s="112">
        <f>$B903+$H903+$I903</f>
        <v/>
      </c>
      <c r="K903" s="114" t="n"/>
    </row>
    <row r="904" ht="15" customHeight="1" s="68">
      <c r="A904" s="114" t="n"/>
      <c r="B904" s="114" t="n"/>
      <c r="C904" s="112">
        <f>ROUND($B904*KarliyukSgkIsciOrani,0)</f>
        <v/>
      </c>
      <c r="D904" s="112">
        <f>ROUND($B904*KarliyukIssizlikIsciOrani,0)</f>
        <v/>
      </c>
      <c r="E904" s="112">
        <f>ROUND($B904*KarliyukStopajOrani,0)</f>
        <v/>
      </c>
      <c r="F904" s="112">
        <f>ROUND($B904*KarliyukDamgaOrani,0)</f>
        <v/>
      </c>
      <c r="G904" s="112">
        <f>$B904-$C904-$D904-$E904-$F904</f>
        <v/>
      </c>
      <c r="H904" s="112">
        <f>ROUND($B904*KarliyukSgkIsverenOrani,0)</f>
        <v/>
      </c>
      <c r="I904" s="112">
        <f>ROUND($B904*KarliyukIssizlikIsverenOrani,0)</f>
        <v/>
      </c>
      <c r="J904" s="112">
        <f>$B904+$H904+$I904</f>
        <v/>
      </c>
      <c r="K904" s="114" t="n"/>
    </row>
    <row r="905" ht="15" customHeight="1" s="68">
      <c r="A905" s="114" t="n"/>
      <c r="B905" s="114" t="n"/>
      <c r="C905" s="112">
        <f>ROUND($B905*KarliyukSgkIsciOrani,0)</f>
        <v/>
      </c>
      <c r="D905" s="112">
        <f>ROUND($B905*KarliyukIssizlikIsciOrani,0)</f>
        <v/>
      </c>
      <c r="E905" s="112">
        <f>ROUND($B905*KarliyukStopajOrani,0)</f>
        <v/>
      </c>
      <c r="F905" s="112">
        <f>ROUND($B905*KarliyukDamgaOrani,0)</f>
        <v/>
      </c>
      <c r="G905" s="112">
        <f>$B905-$C905-$D905-$E905-$F905</f>
        <v/>
      </c>
      <c r="H905" s="112">
        <f>ROUND($B905*KarliyukSgkIsverenOrani,0)</f>
        <v/>
      </c>
      <c r="I905" s="112">
        <f>ROUND($B905*KarliyukIssizlikIsverenOrani,0)</f>
        <v/>
      </c>
      <c r="J905" s="112">
        <f>$B905+$H905+$I905</f>
        <v/>
      </c>
      <c r="K905" s="114" t="n"/>
    </row>
    <row r="906" ht="15" customHeight="1" s="68">
      <c r="A906" s="114" t="n"/>
      <c r="B906" s="114" t="n"/>
      <c r="C906" s="112">
        <f>ROUND($B906*KarliyukSgkIsciOrani,0)</f>
        <v/>
      </c>
      <c r="D906" s="112">
        <f>ROUND($B906*KarliyukIssizlikIsciOrani,0)</f>
        <v/>
      </c>
      <c r="E906" s="112">
        <f>ROUND($B906*KarliyukStopajOrani,0)</f>
        <v/>
      </c>
      <c r="F906" s="112">
        <f>ROUND($B906*KarliyukDamgaOrani,0)</f>
        <v/>
      </c>
      <c r="G906" s="112">
        <f>$B906-$C906-$D906-$E906-$F906</f>
        <v/>
      </c>
      <c r="H906" s="112">
        <f>ROUND($B906*KarliyukSgkIsverenOrani,0)</f>
        <v/>
      </c>
      <c r="I906" s="112">
        <f>ROUND($B906*KarliyukIssizlikIsverenOrani,0)</f>
        <v/>
      </c>
      <c r="J906" s="112">
        <f>$B906+$H906+$I906</f>
        <v/>
      </c>
      <c r="K906" s="114" t="n"/>
    </row>
    <row r="907" ht="15" customHeight="1" s="68">
      <c r="A907" s="114" t="n"/>
      <c r="B907" s="114" t="n"/>
      <c r="C907" s="112">
        <f>ROUND($B907*KarliyukSgkIsciOrani,0)</f>
        <v/>
      </c>
      <c r="D907" s="112">
        <f>ROUND($B907*KarliyukIssizlikIsciOrani,0)</f>
        <v/>
      </c>
      <c r="E907" s="112">
        <f>ROUND($B907*KarliyukStopajOrani,0)</f>
        <v/>
      </c>
      <c r="F907" s="112">
        <f>ROUND($B907*KarliyukDamgaOrani,0)</f>
        <v/>
      </c>
      <c r="G907" s="112">
        <f>$B907-$C907-$D907-$E907-$F907</f>
        <v/>
      </c>
      <c r="H907" s="112">
        <f>ROUND($B907*KarliyukSgkIsverenOrani,0)</f>
        <v/>
      </c>
      <c r="I907" s="112">
        <f>ROUND($B907*KarliyukIssizlikIsverenOrani,0)</f>
        <v/>
      </c>
      <c r="J907" s="112">
        <f>$B907+$H907+$I907</f>
        <v/>
      </c>
      <c r="K907" s="114" t="n"/>
    </row>
    <row r="908" ht="15" customHeight="1" s="68">
      <c r="A908" s="114" t="n"/>
      <c r="B908" s="114" t="n"/>
      <c r="C908" s="112">
        <f>ROUND($B908*KarliyukSgkIsciOrani,0)</f>
        <v/>
      </c>
      <c r="D908" s="112">
        <f>ROUND($B908*KarliyukIssizlikIsciOrani,0)</f>
        <v/>
      </c>
      <c r="E908" s="112">
        <f>ROUND($B908*KarliyukStopajOrani,0)</f>
        <v/>
      </c>
      <c r="F908" s="112">
        <f>ROUND($B908*KarliyukDamgaOrani,0)</f>
        <v/>
      </c>
      <c r="G908" s="112">
        <f>$B908-$C908-$D908-$E908-$F908</f>
        <v/>
      </c>
      <c r="H908" s="112">
        <f>ROUND($B908*KarliyukSgkIsverenOrani,0)</f>
        <v/>
      </c>
      <c r="I908" s="112">
        <f>ROUND($B908*KarliyukIssizlikIsverenOrani,0)</f>
        <v/>
      </c>
      <c r="J908" s="112">
        <f>$B908+$H908+$I908</f>
        <v/>
      </c>
      <c r="K908" s="114" t="n"/>
    </row>
    <row r="909" ht="15" customHeight="1" s="68">
      <c r="A909" s="114" t="n"/>
      <c r="B909" s="114" t="n"/>
      <c r="C909" s="112">
        <f>ROUND($B909*KarliyukSgkIsciOrani,0)</f>
        <v/>
      </c>
      <c r="D909" s="112">
        <f>ROUND($B909*KarliyukIssizlikIsciOrani,0)</f>
        <v/>
      </c>
      <c r="E909" s="112">
        <f>ROUND($B909*KarliyukStopajOrani,0)</f>
        <v/>
      </c>
      <c r="F909" s="112">
        <f>ROUND($B909*KarliyukDamgaOrani,0)</f>
        <v/>
      </c>
      <c r="G909" s="112">
        <f>$B909-$C909-$D909-$E909-$F909</f>
        <v/>
      </c>
      <c r="H909" s="112">
        <f>ROUND($B909*KarliyukSgkIsverenOrani,0)</f>
        <v/>
      </c>
      <c r="I909" s="112">
        <f>ROUND($B909*KarliyukIssizlikIsverenOrani,0)</f>
        <v/>
      </c>
      <c r="J909" s="112">
        <f>$B909+$H909+$I909</f>
        <v/>
      </c>
      <c r="K909" s="114" t="n"/>
    </row>
    <row r="910" ht="15" customHeight="1" s="68">
      <c r="A910" s="114" t="n"/>
      <c r="B910" s="114" t="n"/>
      <c r="C910" s="112">
        <f>ROUND($B910*KarliyukSgkIsciOrani,0)</f>
        <v/>
      </c>
      <c r="D910" s="112">
        <f>ROUND($B910*KarliyukIssizlikIsciOrani,0)</f>
        <v/>
      </c>
      <c r="E910" s="112">
        <f>ROUND($B910*KarliyukStopajOrani,0)</f>
        <v/>
      </c>
      <c r="F910" s="112">
        <f>ROUND($B910*KarliyukDamgaOrani,0)</f>
        <v/>
      </c>
      <c r="G910" s="112">
        <f>$B910-$C910-$D910-$E910-$F910</f>
        <v/>
      </c>
      <c r="H910" s="112">
        <f>ROUND($B910*KarliyukSgkIsverenOrani,0)</f>
        <v/>
      </c>
      <c r="I910" s="112">
        <f>ROUND($B910*KarliyukIssizlikIsverenOrani,0)</f>
        <v/>
      </c>
      <c r="J910" s="112">
        <f>$B910+$H910+$I910</f>
        <v/>
      </c>
      <c r="K910" s="114" t="n"/>
    </row>
    <row r="911" ht="15" customHeight="1" s="68">
      <c r="A911" s="114" t="n"/>
      <c r="B911" s="114" t="n"/>
      <c r="C911" s="112">
        <f>ROUND($B911*KarliyukSgkIsciOrani,0)</f>
        <v/>
      </c>
      <c r="D911" s="112">
        <f>ROUND($B911*KarliyukIssizlikIsciOrani,0)</f>
        <v/>
      </c>
      <c r="E911" s="112">
        <f>ROUND($B911*KarliyukStopajOrani,0)</f>
        <v/>
      </c>
      <c r="F911" s="112">
        <f>ROUND($B911*KarliyukDamgaOrani,0)</f>
        <v/>
      </c>
      <c r="G911" s="112">
        <f>$B911-$C911-$D911-$E911-$F911</f>
        <v/>
      </c>
      <c r="H911" s="112">
        <f>ROUND($B911*KarliyukSgkIsverenOrani,0)</f>
        <v/>
      </c>
      <c r="I911" s="112">
        <f>ROUND($B911*KarliyukIssizlikIsverenOrani,0)</f>
        <v/>
      </c>
      <c r="J911" s="112">
        <f>$B911+$H911+$I911</f>
        <v/>
      </c>
      <c r="K911" s="114" t="n"/>
    </row>
    <row r="912" ht="15" customHeight="1" s="68">
      <c r="A912" s="114" t="n"/>
      <c r="B912" s="114" t="n"/>
      <c r="C912" s="112">
        <f>ROUND($B912*KarliyukSgkIsciOrani,0)</f>
        <v/>
      </c>
      <c r="D912" s="112">
        <f>ROUND($B912*KarliyukIssizlikIsciOrani,0)</f>
        <v/>
      </c>
      <c r="E912" s="112">
        <f>ROUND($B912*KarliyukStopajOrani,0)</f>
        <v/>
      </c>
      <c r="F912" s="112">
        <f>ROUND($B912*KarliyukDamgaOrani,0)</f>
        <v/>
      </c>
      <c r="G912" s="112">
        <f>$B912-$C912-$D912-$E912-$F912</f>
        <v/>
      </c>
      <c r="H912" s="112">
        <f>ROUND($B912*KarliyukSgkIsverenOrani,0)</f>
        <v/>
      </c>
      <c r="I912" s="112">
        <f>ROUND($B912*KarliyukIssizlikIsverenOrani,0)</f>
        <v/>
      </c>
      <c r="J912" s="112">
        <f>$B912+$H912+$I912</f>
        <v/>
      </c>
      <c r="K912" s="114" t="n"/>
    </row>
    <row r="913" ht="15" customHeight="1" s="68">
      <c r="A913" s="114" t="n"/>
      <c r="B913" s="114" t="n"/>
      <c r="C913" s="112">
        <f>ROUND($B913*KarliyukSgkIsciOrani,0)</f>
        <v/>
      </c>
      <c r="D913" s="112">
        <f>ROUND($B913*KarliyukIssizlikIsciOrani,0)</f>
        <v/>
      </c>
      <c r="E913" s="112">
        <f>ROUND($B913*KarliyukStopajOrani,0)</f>
        <v/>
      </c>
      <c r="F913" s="112">
        <f>ROUND($B913*KarliyukDamgaOrani,0)</f>
        <v/>
      </c>
      <c r="G913" s="112">
        <f>$B913-$C913-$D913-$E913-$F913</f>
        <v/>
      </c>
      <c r="H913" s="112">
        <f>ROUND($B913*KarliyukSgkIsverenOrani,0)</f>
        <v/>
      </c>
      <c r="I913" s="112">
        <f>ROUND($B913*KarliyukIssizlikIsverenOrani,0)</f>
        <v/>
      </c>
      <c r="J913" s="112">
        <f>$B913+$H913+$I913</f>
        <v/>
      </c>
      <c r="K913" s="114" t="n"/>
    </row>
    <row r="914" ht="15" customHeight="1" s="68">
      <c r="A914" s="114" t="n"/>
      <c r="B914" s="114" t="n"/>
      <c r="C914" s="112">
        <f>ROUND($B914*KarliyukSgkIsciOrani,0)</f>
        <v/>
      </c>
      <c r="D914" s="112">
        <f>ROUND($B914*KarliyukIssizlikIsciOrani,0)</f>
        <v/>
      </c>
      <c r="E914" s="112">
        <f>ROUND($B914*KarliyukStopajOrani,0)</f>
        <v/>
      </c>
      <c r="F914" s="112">
        <f>ROUND($B914*KarliyukDamgaOrani,0)</f>
        <v/>
      </c>
      <c r="G914" s="112">
        <f>$B914-$C914-$D914-$E914-$F914</f>
        <v/>
      </c>
      <c r="H914" s="112">
        <f>ROUND($B914*KarliyukSgkIsverenOrani,0)</f>
        <v/>
      </c>
      <c r="I914" s="112">
        <f>ROUND($B914*KarliyukIssizlikIsverenOrani,0)</f>
        <v/>
      </c>
      <c r="J914" s="112">
        <f>$B914+$H914+$I914</f>
        <v/>
      </c>
      <c r="K914" s="114" t="n"/>
    </row>
    <row r="915" ht="15" customHeight="1" s="68">
      <c r="A915" s="114" t="n"/>
      <c r="B915" s="114" t="n"/>
      <c r="C915" s="112">
        <f>ROUND($B915*KarliyukSgkIsciOrani,0)</f>
        <v/>
      </c>
      <c r="D915" s="112">
        <f>ROUND($B915*KarliyukIssizlikIsciOrani,0)</f>
        <v/>
      </c>
      <c r="E915" s="112">
        <f>ROUND($B915*KarliyukStopajOrani,0)</f>
        <v/>
      </c>
      <c r="F915" s="112">
        <f>ROUND($B915*KarliyukDamgaOrani,0)</f>
        <v/>
      </c>
      <c r="G915" s="112">
        <f>$B915-$C915-$D915-$E915-$F915</f>
        <v/>
      </c>
      <c r="H915" s="112">
        <f>ROUND($B915*KarliyukSgkIsverenOrani,0)</f>
        <v/>
      </c>
      <c r="I915" s="112">
        <f>ROUND($B915*KarliyukIssizlikIsverenOrani,0)</f>
        <v/>
      </c>
      <c r="J915" s="112">
        <f>$B915+$H915+$I915</f>
        <v/>
      </c>
      <c r="K915" s="114" t="n"/>
    </row>
    <row r="916" ht="15" customHeight="1" s="68">
      <c r="A916" s="114" t="n"/>
      <c r="B916" s="114" t="n"/>
      <c r="C916" s="112">
        <f>ROUND($B916*KarliyukSgkIsciOrani,0)</f>
        <v/>
      </c>
      <c r="D916" s="112">
        <f>ROUND($B916*KarliyukIssizlikIsciOrani,0)</f>
        <v/>
      </c>
      <c r="E916" s="112">
        <f>ROUND($B916*KarliyukStopajOrani,0)</f>
        <v/>
      </c>
      <c r="F916" s="112">
        <f>ROUND($B916*KarliyukDamgaOrani,0)</f>
        <v/>
      </c>
      <c r="G916" s="112">
        <f>$B916-$C916-$D916-$E916-$F916</f>
        <v/>
      </c>
      <c r="H916" s="112">
        <f>ROUND($B916*KarliyukSgkIsverenOrani,0)</f>
        <v/>
      </c>
      <c r="I916" s="112">
        <f>ROUND($B916*KarliyukIssizlikIsverenOrani,0)</f>
        <v/>
      </c>
      <c r="J916" s="112">
        <f>$B916+$H916+$I916</f>
        <v/>
      </c>
      <c r="K916" s="114" t="n"/>
    </row>
    <row r="917" ht="15" customHeight="1" s="68">
      <c r="A917" s="114" t="n"/>
      <c r="B917" s="114" t="n"/>
      <c r="C917" s="112">
        <f>ROUND($B917*KarliyukSgkIsciOrani,0)</f>
        <v/>
      </c>
      <c r="D917" s="112">
        <f>ROUND($B917*KarliyukIssizlikIsciOrani,0)</f>
        <v/>
      </c>
      <c r="E917" s="112">
        <f>ROUND($B917*KarliyukStopajOrani,0)</f>
        <v/>
      </c>
      <c r="F917" s="112">
        <f>ROUND($B917*KarliyukDamgaOrani,0)</f>
        <v/>
      </c>
      <c r="G917" s="112">
        <f>$B917-$C917-$D917-$E917-$F917</f>
        <v/>
      </c>
      <c r="H917" s="112">
        <f>ROUND($B917*KarliyukSgkIsverenOrani,0)</f>
        <v/>
      </c>
      <c r="I917" s="112">
        <f>ROUND($B917*KarliyukIssizlikIsverenOrani,0)</f>
        <v/>
      </c>
      <c r="J917" s="112">
        <f>$B917+$H917+$I917</f>
        <v/>
      </c>
      <c r="K917" s="114" t="n"/>
    </row>
    <row r="918" ht="15" customHeight="1" s="68">
      <c r="A918" s="114" t="n"/>
      <c r="B918" s="114" t="n"/>
      <c r="C918" s="112">
        <f>ROUND($B918*KarliyukSgkIsciOrani,0)</f>
        <v/>
      </c>
      <c r="D918" s="112">
        <f>ROUND($B918*KarliyukIssizlikIsciOrani,0)</f>
        <v/>
      </c>
      <c r="E918" s="112">
        <f>ROUND($B918*KarliyukStopajOrani,0)</f>
        <v/>
      </c>
      <c r="F918" s="112">
        <f>ROUND($B918*KarliyukDamgaOrani,0)</f>
        <v/>
      </c>
      <c r="G918" s="112">
        <f>$B918-$C918-$D918-$E918-$F918</f>
        <v/>
      </c>
      <c r="H918" s="112">
        <f>ROUND($B918*KarliyukSgkIsverenOrani,0)</f>
        <v/>
      </c>
      <c r="I918" s="112">
        <f>ROUND($B918*KarliyukIssizlikIsverenOrani,0)</f>
        <v/>
      </c>
      <c r="J918" s="112">
        <f>$B918+$H918+$I918</f>
        <v/>
      </c>
      <c r="K918" s="114" t="n"/>
    </row>
    <row r="919" ht="15" customHeight="1" s="68">
      <c r="A919" s="114" t="n"/>
      <c r="B919" s="114" t="n"/>
      <c r="C919" s="112">
        <f>ROUND($B919*KarliyukSgkIsciOrani,0)</f>
        <v/>
      </c>
      <c r="D919" s="112">
        <f>ROUND($B919*KarliyukIssizlikIsciOrani,0)</f>
        <v/>
      </c>
      <c r="E919" s="112">
        <f>ROUND($B919*KarliyukStopajOrani,0)</f>
        <v/>
      </c>
      <c r="F919" s="112">
        <f>ROUND($B919*KarliyukDamgaOrani,0)</f>
        <v/>
      </c>
      <c r="G919" s="112">
        <f>$B919-$C919-$D919-$E919-$F919</f>
        <v/>
      </c>
      <c r="H919" s="112">
        <f>ROUND($B919*KarliyukSgkIsverenOrani,0)</f>
        <v/>
      </c>
      <c r="I919" s="112">
        <f>ROUND($B919*KarliyukIssizlikIsverenOrani,0)</f>
        <v/>
      </c>
      <c r="J919" s="112">
        <f>$B919+$H919+$I919</f>
        <v/>
      </c>
      <c r="K919" s="114" t="n"/>
    </row>
    <row r="920" ht="15" customHeight="1" s="68">
      <c r="A920" s="114" t="n"/>
      <c r="B920" s="114" t="n"/>
      <c r="C920" s="112">
        <f>ROUND($B920*KarliyukSgkIsciOrani,0)</f>
        <v/>
      </c>
      <c r="D920" s="112">
        <f>ROUND($B920*KarliyukIssizlikIsciOrani,0)</f>
        <v/>
      </c>
      <c r="E920" s="112">
        <f>ROUND($B920*KarliyukStopajOrani,0)</f>
        <v/>
      </c>
      <c r="F920" s="112">
        <f>ROUND($B920*KarliyukDamgaOrani,0)</f>
        <v/>
      </c>
      <c r="G920" s="112">
        <f>$B920-$C920-$D920-$E920-$F920</f>
        <v/>
      </c>
      <c r="H920" s="112">
        <f>ROUND($B920*KarliyukSgkIsverenOrani,0)</f>
        <v/>
      </c>
      <c r="I920" s="112">
        <f>ROUND($B920*KarliyukIssizlikIsverenOrani,0)</f>
        <v/>
      </c>
      <c r="J920" s="112">
        <f>$B920+$H920+$I920</f>
        <v/>
      </c>
      <c r="K920" s="114" t="n"/>
    </row>
    <row r="921" ht="15" customHeight="1" s="68">
      <c r="A921" s="114" t="n"/>
      <c r="B921" s="114" t="n"/>
      <c r="C921" s="112">
        <f>ROUND($B921*KarliyukSgkIsciOrani,0)</f>
        <v/>
      </c>
      <c r="D921" s="112">
        <f>ROUND($B921*KarliyukIssizlikIsciOrani,0)</f>
        <v/>
      </c>
      <c r="E921" s="112">
        <f>ROUND($B921*KarliyukStopajOrani,0)</f>
        <v/>
      </c>
      <c r="F921" s="112">
        <f>ROUND($B921*KarliyukDamgaOrani,0)</f>
        <v/>
      </c>
      <c r="G921" s="112">
        <f>$B921-$C921-$D921-$E921-$F921</f>
        <v/>
      </c>
      <c r="H921" s="112">
        <f>ROUND($B921*KarliyukSgkIsverenOrani,0)</f>
        <v/>
      </c>
      <c r="I921" s="112">
        <f>ROUND($B921*KarliyukIssizlikIsverenOrani,0)</f>
        <v/>
      </c>
      <c r="J921" s="112">
        <f>$B921+$H921+$I921</f>
        <v/>
      </c>
      <c r="K921" s="114" t="n"/>
    </row>
    <row r="922" ht="15" customHeight="1" s="68">
      <c r="A922" s="114" t="n"/>
      <c r="B922" s="114" t="n"/>
      <c r="C922" s="112">
        <f>ROUND($B922*KarliyukSgkIsciOrani,0)</f>
        <v/>
      </c>
      <c r="D922" s="112">
        <f>ROUND($B922*KarliyukIssizlikIsciOrani,0)</f>
        <v/>
      </c>
      <c r="E922" s="112">
        <f>ROUND($B922*KarliyukStopajOrani,0)</f>
        <v/>
      </c>
      <c r="F922" s="112">
        <f>ROUND($B922*KarliyukDamgaOrani,0)</f>
        <v/>
      </c>
      <c r="G922" s="112">
        <f>$B922-$C922-$D922-$E922-$F922</f>
        <v/>
      </c>
      <c r="H922" s="112">
        <f>ROUND($B922*KarliyukSgkIsverenOrani,0)</f>
        <v/>
      </c>
      <c r="I922" s="112">
        <f>ROUND($B922*KarliyukIssizlikIsverenOrani,0)</f>
        <v/>
      </c>
      <c r="J922" s="112">
        <f>$B922+$H922+$I922</f>
        <v/>
      </c>
      <c r="K922" s="114" t="n"/>
    </row>
    <row r="923" ht="15" customHeight="1" s="68">
      <c r="A923" s="114" t="n"/>
      <c r="B923" s="114" t="n"/>
      <c r="C923" s="112">
        <f>ROUND($B923*KarliyukSgkIsciOrani,0)</f>
        <v/>
      </c>
      <c r="D923" s="112">
        <f>ROUND($B923*KarliyukIssizlikIsciOrani,0)</f>
        <v/>
      </c>
      <c r="E923" s="112">
        <f>ROUND($B923*KarliyukStopajOrani,0)</f>
        <v/>
      </c>
      <c r="F923" s="112">
        <f>ROUND($B923*KarliyukDamgaOrani,0)</f>
        <v/>
      </c>
      <c r="G923" s="112">
        <f>$B923-$C923-$D923-$E923-$F923</f>
        <v/>
      </c>
      <c r="H923" s="112">
        <f>ROUND($B923*KarliyukSgkIsverenOrani,0)</f>
        <v/>
      </c>
      <c r="I923" s="112">
        <f>ROUND($B923*KarliyukIssizlikIsverenOrani,0)</f>
        <v/>
      </c>
      <c r="J923" s="112">
        <f>$B923+$H923+$I923</f>
        <v/>
      </c>
      <c r="K923" s="114" t="n"/>
    </row>
    <row r="924" ht="15" customHeight="1" s="68">
      <c r="A924" s="114" t="n"/>
      <c r="B924" s="114" t="n"/>
      <c r="C924" s="112">
        <f>ROUND($B924*KarliyukSgkIsciOrani,0)</f>
        <v/>
      </c>
      <c r="D924" s="112">
        <f>ROUND($B924*KarliyukIssizlikIsciOrani,0)</f>
        <v/>
      </c>
      <c r="E924" s="112">
        <f>ROUND($B924*KarliyukStopajOrani,0)</f>
        <v/>
      </c>
      <c r="F924" s="112">
        <f>ROUND($B924*KarliyukDamgaOrani,0)</f>
        <v/>
      </c>
      <c r="G924" s="112">
        <f>$B924-$C924-$D924-$E924-$F924</f>
        <v/>
      </c>
      <c r="H924" s="112">
        <f>ROUND($B924*KarliyukSgkIsverenOrani,0)</f>
        <v/>
      </c>
      <c r="I924" s="112">
        <f>ROUND($B924*KarliyukIssizlikIsverenOrani,0)</f>
        <v/>
      </c>
      <c r="J924" s="112">
        <f>$B924+$H924+$I924</f>
        <v/>
      </c>
      <c r="K924" s="114" t="n"/>
    </row>
    <row r="925" ht="15" customHeight="1" s="68">
      <c r="A925" s="114" t="n"/>
      <c r="B925" s="114" t="n"/>
      <c r="C925" s="112">
        <f>ROUND($B925*KarliyukSgkIsciOrani,0)</f>
        <v/>
      </c>
      <c r="D925" s="112">
        <f>ROUND($B925*KarliyukIssizlikIsciOrani,0)</f>
        <v/>
      </c>
      <c r="E925" s="112">
        <f>ROUND($B925*KarliyukStopajOrani,0)</f>
        <v/>
      </c>
      <c r="F925" s="112">
        <f>ROUND($B925*KarliyukDamgaOrani,0)</f>
        <v/>
      </c>
      <c r="G925" s="112">
        <f>$B925-$C925-$D925-$E925-$F925</f>
        <v/>
      </c>
      <c r="H925" s="112">
        <f>ROUND($B925*KarliyukSgkIsverenOrani,0)</f>
        <v/>
      </c>
      <c r="I925" s="112">
        <f>ROUND($B925*KarliyukIssizlikIsverenOrani,0)</f>
        <v/>
      </c>
      <c r="J925" s="112">
        <f>$B925+$H925+$I925</f>
        <v/>
      </c>
      <c r="K925" s="114" t="n"/>
    </row>
    <row r="926" ht="15" customHeight="1" s="68">
      <c r="A926" s="114" t="n"/>
      <c r="B926" s="114" t="n"/>
      <c r="C926" s="112">
        <f>ROUND($B926*KarliyukSgkIsciOrani,0)</f>
        <v/>
      </c>
      <c r="D926" s="112">
        <f>ROUND($B926*KarliyukIssizlikIsciOrani,0)</f>
        <v/>
      </c>
      <c r="E926" s="112">
        <f>ROUND($B926*KarliyukStopajOrani,0)</f>
        <v/>
      </c>
      <c r="F926" s="112">
        <f>ROUND($B926*KarliyukDamgaOrani,0)</f>
        <v/>
      </c>
      <c r="G926" s="112">
        <f>$B926-$C926-$D926-$E926-$F926</f>
        <v/>
      </c>
      <c r="H926" s="112">
        <f>ROUND($B926*KarliyukSgkIsverenOrani,0)</f>
        <v/>
      </c>
      <c r="I926" s="112">
        <f>ROUND($B926*KarliyukIssizlikIsverenOrani,0)</f>
        <v/>
      </c>
      <c r="J926" s="112">
        <f>$B926+$H926+$I926</f>
        <v/>
      </c>
      <c r="K926" s="114" t="n"/>
    </row>
    <row r="927" ht="15" customHeight="1" s="68">
      <c r="A927" s="114" t="n"/>
      <c r="B927" s="114" t="n"/>
      <c r="C927" s="112">
        <f>ROUND($B927*KarliyukSgkIsciOrani,0)</f>
        <v/>
      </c>
      <c r="D927" s="112">
        <f>ROUND($B927*KarliyukIssizlikIsciOrani,0)</f>
        <v/>
      </c>
      <c r="E927" s="112">
        <f>ROUND($B927*KarliyukStopajOrani,0)</f>
        <v/>
      </c>
      <c r="F927" s="112">
        <f>ROUND($B927*KarliyukDamgaOrani,0)</f>
        <v/>
      </c>
      <c r="G927" s="112">
        <f>$B927-$C927-$D927-$E927-$F927</f>
        <v/>
      </c>
      <c r="H927" s="112">
        <f>ROUND($B927*KarliyukSgkIsverenOrani,0)</f>
        <v/>
      </c>
      <c r="I927" s="112">
        <f>ROUND($B927*KarliyukIssizlikIsverenOrani,0)</f>
        <v/>
      </c>
      <c r="J927" s="112">
        <f>$B927+$H927+$I927</f>
        <v/>
      </c>
      <c r="K927" s="114" t="n"/>
    </row>
    <row r="928" ht="15" customHeight="1" s="68">
      <c r="A928" s="114" t="n"/>
      <c r="B928" s="114" t="n"/>
      <c r="C928" s="112">
        <f>ROUND($B928*KarliyukSgkIsciOrani,0)</f>
        <v/>
      </c>
      <c r="D928" s="112">
        <f>ROUND($B928*KarliyukIssizlikIsciOrani,0)</f>
        <v/>
      </c>
      <c r="E928" s="112">
        <f>ROUND($B928*KarliyukStopajOrani,0)</f>
        <v/>
      </c>
      <c r="F928" s="112">
        <f>ROUND($B928*KarliyukDamgaOrani,0)</f>
        <v/>
      </c>
      <c r="G928" s="112">
        <f>$B928-$C928-$D928-$E928-$F928</f>
        <v/>
      </c>
      <c r="H928" s="112">
        <f>ROUND($B928*KarliyukSgkIsverenOrani,0)</f>
        <v/>
      </c>
      <c r="I928" s="112">
        <f>ROUND($B928*KarliyukIssizlikIsverenOrani,0)</f>
        <v/>
      </c>
      <c r="J928" s="112">
        <f>$B928+$H928+$I928</f>
        <v/>
      </c>
      <c r="K928" s="114" t="n"/>
    </row>
    <row r="929" ht="15" customHeight="1" s="68">
      <c r="A929" s="114" t="n"/>
      <c r="B929" s="114" t="n"/>
      <c r="C929" s="112">
        <f>ROUND($B929*KarliyukSgkIsciOrani,0)</f>
        <v/>
      </c>
      <c r="D929" s="112">
        <f>ROUND($B929*KarliyukIssizlikIsciOrani,0)</f>
        <v/>
      </c>
      <c r="E929" s="112">
        <f>ROUND($B929*KarliyukStopajOrani,0)</f>
        <v/>
      </c>
      <c r="F929" s="112">
        <f>ROUND($B929*KarliyukDamgaOrani,0)</f>
        <v/>
      </c>
      <c r="G929" s="112">
        <f>$B929-$C929-$D929-$E929-$F929</f>
        <v/>
      </c>
      <c r="H929" s="112">
        <f>ROUND($B929*KarliyukSgkIsverenOrani,0)</f>
        <v/>
      </c>
      <c r="I929" s="112">
        <f>ROUND($B929*KarliyukIssizlikIsverenOrani,0)</f>
        <v/>
      </c>
      <c r="J929" s="112">
        <f>$B929+$H929+$I929</f>
        <v/>
      </c>
      <c r="K929" s="114" t="n"/>
    </row>
    <row r="930" ht="15" customHeight="1" s="68">
      <c r="A930" s="114" t="n"/>
      <c r="B930" s="114" t="n"/>
      <c r="C930" s="112">
        <f>ROUND($B930*KarliyukSgkIsciOrani,0)</f>
        <v/>
      </c>
      <c r="D930" s="112">
        <f>ROUND($B930*KarliyukIssizlikIsciOrani,0)</f>
        <v/>
      </c>
      <c r="E930" s="112">
        <f>ROUND($B930*KarliyukStopajOrani,0)</f>
        <v/>
      </c>
      <c r="F930" s="112">
        <f>ROUND($B930*KarliyukDamgaOrani,0)</f>
        <v/>
      </c>
      <c r="G930" s="112">
        <f>$B930-$C930-$D930-$E930-$F930</f>
        <v/>
      </c>
      <c r="H930" s="112">
        <f>ROUND($B930*KarliyukSgkIsverenOrani,0)</f>
        <v/>
      </c>
      <c r="I930" s="112">
        <f>ROUND($B930*KarliyukIssizlikIsverenOrani,0)</f>
        <v/>
      </c>
      <c r="J930" s="112">
        <f>$B930+$H930+$I930</f>
        <v/>
      </c>
      <c r="K930" s="114" t="n"/>
    </row>
    <row r="931" ht="15" customHeight="1" s="68">
      <c r="A931" s="114" t="n"/>
      <c r="B931" s="114" t="n"/>
      <c r="C931" s="112">
        <f>ROUND($B931*KarliyukSgkIsciOrani,0)</f>
        <v/>
      </c>
      <c r="D931" s="112">
        <f>ROUND($B931*KarliyukIssizlikIsciOrani,0)</f>
        <v/>
      </c>
      <c r="E931" s="112">
        <f>ROUND($B931*KarliyukStopajOrani,0)</f>
        <v/>
      </c>
      <c r="F931" s="112">
        <f>ROUND($B931*KarliyukDamgaOrani,0)</f>
        <v/>
      </c>
      <c r="G931" s="112">
        <f>$B931-$C931-$D931-$E931-$F931</f>
        <v/>
      </c>
      <c r="H931" s="112">
        <f>ROUND($B931*KarliyukSgkIsverenOrani,0)</f>
        <v/>
      </c>
      <c r="I931" s="112">
        <f>ROUND($B931*KarliyukIssizlikIsverenOrani,0)</f>
        <v/>
      </c>
      <c r="J931" s="112">
        <f>$B931+$H931+$I931</f>
        <v/>
      </c>
      <c r="K931" s="114" t="n"/>
    </row>
    <row r="932" ht="15" customHeight="1" s="68">
      <c r="A932" s="114" t="n"/>
      <c r="B932" s="114" t="n"/>
      <c r="C932" s="112">
        <f>ROUND($B932*KarliyukSgkIsciOrani,0)</f>
        <v/>
      </c>
      <c r="D932" s="112">
        <f>ROUND($B932*KarliyukIssizlikIsciOrani,0)</f>
        <v/>
      </c>
      <c r="E932" s="112">
        <f>ROUND($B932*KarliyukStopajOrani,0)</f>
        <v/>
      </c>
      <c r="F932" s="112">
        <f>ROUND($B932*KarliyukDamgaOrani,0)</f>
        <v/>
      </c>
      <c r="G932" s="112">
        <f>$B932-$C932-$D932-$E932-$F932</f>
        <v/>
      </c>
      <c r="H932" s="112">
        <f>ROUND($B932*KarliyukSgkIsverenOrani,0)</f>
        <v/>
      </c>
      <c r="I932" s="112">
        <f>ROUND($B932*KarliyukIssizlikIsverenOrani,0)</f>
        <v/>
      </c>
      <c r="J932" s="112">
        <f>$B932+$H932+$I932</f>
        <v/>
      </c>
      <c r="K932" s="114" t="n"/>
    </row>
    <row r="933" ht="15" customHeight="1" s="68">
      <c r="A933" s="114" t="n"/>
      <c r="B933" s="114" t="n"/>
      <c r="C933" s="112">
        <f>ROUND($B933*KarliyukSgkIsciOrani,0)</f>
        <v/>
      </c>
      <c r="D933" s="112">
        <f>ROUND($B933*KarliyukIssizlikIsciOrani,0)</f>
        <v/>
      </c>
      <c r="E933" s="112">
        <f>ROUND($B933*KarliyukStopajOrani,0)</f>
        <v/>
      </c>
      <c r="F933" s="112">
        <f>ROUND($B933*KarliyukDamgaOrani,0)</f>
        <v/>
      </c>
      <c r="G933" s="112">
        <f>$B933-$C933-$D933-$E933-$F933</f>
        <v/>
      </c>
      <c r="H933" s="112">
        <f>ROUND($B933*KarliyukSgkIsverenOrani,0)</f>
        <v/>
      </c>
      <c r="I933" s="112">
        <f>ROUND($B933*KarliyukIssizlikIsverenOrani,0)</f>
        <v/>
      </c>
      <c r="J933" s="112">
        <f>$B933+$H933+$I933</f>
        <v/>
      </c>
      <c r="K933" s="114" t="n"/>
    </row>
    <row r="934" ht="15" customHeight="1" s="68">
      <c r="A934" s="114" t="n"/>
      <c r="B934" s="114" t="n"/>
      <c r="C934" s="112">
        <f>ROUND($B934*KarliyukSgkIsciOrani,0)</f>
        <v/>
      </c>
      <c r="D934" s="112">
        <f>ROUND($B934*KarliyukIssizlikIsciOrani,0)</f>
        <v/>
      </c>
      <c r="E934" s="112">
        <f>ROUND($B934*KarliyukStopajOrani,0)</f>
        <v/>
      </c>
      <c r="F934" s="112">
        <f>ROUND($B934*KarliyukDamgaOrani,0)</f>
        <v/>
      </c>
      <c r="G934" s="112">
        <f>$B934-$C934-$D934-$E934-$F934</f>
        <v/>
      </c>
      <c r="H934" s="112">
        <f>ROUND($B934*KarliyukSgkIsverenOrani,0)</f>
        <v/>
      </c>
      <c r="I934" s="112">
        <f>ROUND($B934*KarliyukIssizlikIsverenOrani,0)</f>
        <v/>
      </c>
      <c r="J934" s="112">
        <f>$B934+$H934+$I934</f>
        <v/>
      </c>
      <c r="K934" s="114" t="n"/>
    </row>
    <row r="935" ht="15" customHeight="1" s="68">
      <c r="A935" s="114" t="n"/>
      <c r="B935" s="114" t="n"/>
      <c r="C935" s="112">
        <f>ROUND($B935*KarliyukSgkIsciOrani,0)</f>
        <v/>
      </c>
      <c r="D935" s="112">
        <f>ROUND($B935*KarliyukIssizlikIsciOrani,0)</f>
        <v/>
      </c>
      <c r="E935" s="112">
        <f>ROUND($B935*KarliyukStopajOrani,0)</f>
        <v/>
      </c>
      <c r="F935" s="112">
        <f>ROUND($B935*KarliyukDamgaOrani,0)</f>
        <v/>
      </c>
      <c r="G935" s="112">
        <f>$B935-$C935-$D935-$E935-$F935</f>
        <v/>
      </c>
      <c r="H935" s="112">
        <f>ROUND($B935*KarliyukSgkIsverenOrani,0)</f>
        <v/>
      </c>
      <c r="I935" s="112">
        <f>ROUND($B935*KarliyukIssizlikIsverenOrani,0)</f>
        <v/>
      </c>
      <c r="J935" s="112">
        <f>$B935+$H935+$I935</f>
        <v/>
      </c>
      <c r="K935" s="114" t="n"/>
    </row>
    <row r="936" ht="15" customHeight="1" s="68">
      <c r="A936" s="114" t="n"/>
      <c r="B936" s="114" t="n"/>
      <c r="C936" s="112">
        <f>ROUND($B936*KarliyukSgkIsciOrani,0)</f>
        <v/>
      </c>
      <c r="D936" s="112">
        <f>ROUND($B936*KarliyukIssizlikIsciOrani,0)</f>
        <v/>
      </c>
      <c r="E936" s="112">
        <f>ROUND($B936*KarliyukStopajOrani,0)</f>
        <v/>
      </c>
      <c r="F936" s="112">
        <f>ROUND($B936*KarliyukDamgaOrani,0)</f>
        <v/>
      </c>
      <c r="G936" s="112">
        <f>$B936-$C936-$D936-$E936-$F936</f>
        <v/>
      </c>
      <c r="H936" s="112">
        <f>ROUND($B936*KarliyukSgkIsverenOrani,0)</f>
        <v/>
      </c>
      <c r="I936" s="112">
        <f>ROUND($B936*KarliyukIssizlikIsverenOrani,0)</f>
        <v/>
      </c>
      <c r="J936" s="112">
        <f>$B936+$H936+$I936</f>
        <v/>
      </c>
      <c r="K936" s="114" t="n"/>
    </row>
    <row r="937" ht="15" customHeight="1" s="68">
      <c r="A937" s="114" t="n"/>
      <c r="B937" s="114" t="n"/>
      <c r="C937" s="112">
        <f>ROUND($B937*KarliyukSgkIsciOrani,0)</f>
        <v/>
      </c>
      <c r="D937" s="112">
        <f>ROUND($B937*KarliyukIssizlikIsciOrani,0)</f>
        <v/>
      </c>
      <c r="E937" s="112">
        <f>ROUND($B937*KarliyukStopajOrani,0)</f>
        <v/>
      </c>
      <c r="F937" s="112">
        <f>ROUND($B937*KarliyukDamgaOrani,0)</f>
        <v/>
      </c>
      <c r="G937" s="112">
        <f>$B937-$C937-$D937-$E937-$F937</f>
        <v/>
      </c>
      <c r="H937" s="112">
        <f>ROUND($B937*KarliyukSgkIsverenOrani,0)</f>
        <v/>
      </c>
      <c r="I937" s="112">
        <f>ROUND($B937*KarliyukIssizlikIsverenOrani,0)</f>
        <v/>
      </c>
      <c r="J937" s="112">
        <f>$B937+$H937+$I937</f>
        <v/>
      </c>
      <c r="K937" s="114" t="n"/>
    </row>
    <row r="938" ht="15" customHeight="1" s="68">
      <c r="A938" s="114" t="n"/>
      <c r="B938" s="114" t="n"/>
      <c r="C938" s="112">
        <f>ROUND($B938*KarliyukSgkIsciOrani,0)</f>
        <v/>
      </c>
      <c r="D938" s="112">
        <f>ROUND($B938*KarliyukIssizlikIsciOrani,0)</f>
        <v/>
      </c>
      <c r="E938" s="112">
        <f>ROUND($B938*KarliyukStopajOrani,0)</f>
        <v/>
      </c>
      <c r="F938" s="112">
        <f>ROUND($B938*KarliyukDamgaOrani,0)</f>
        <v/>
      </c>
      <c r="G938" s="112">
        <f>$B938-$C938-$D938-$E938-$F938</f>
        <v/>
      </c>
      <c r="H938" s="112">
        <f>ROUND($B938*KarliyukSgkIsverenOrani,0)</f>
        <v/>
      </c>
      <c r="I938" s="112">
        <f>ROUND($B938*KarliyukIssizlikIsverenOrani,0)</f>
        <v/>
      </c>
      <c r="J938" s="112">
        <f>$B938+$H938+$I938</f>
        <v/>
      </c>
      <c r="K938" s="114" t="n"/>
    </row>
    <row r="939" ht="15" customHeight="1" s="68">
      <c r="A939" s="114" t="n"/>
      <c r="B939" s="114" t="n"/>
      <c r="C939" s="112">
        <f>ROUND($B939*KarliyukSgkIsciOrani,0)</f>
        <v/>
      </c>
      <c r="D939" s="112">
        <f>ROUND($B939*KarliyukIssizlikIsciOrani,0)</f>
        <v/>
      </c>
      <c r="E939" s="112">
        <f>ROUND($B939*KarliyukStopajOrani,0)</f>
        <v/>
      </c>
      <c r="F939" s="112">
        <f>ROUND($B939*KarliyukDamgaOrani,0)</f>
        <v/>
      </c>
      <c r="G939" s="112">
        <f>$B939-$C939-$D939-$E939-$F939</f>
        <v/>
      </c>
      <c r="H939" s="112">
        <f>ROUND($B939*KarliyukSgkIsverenOrani,0)</f>
        <v/>
      </c>
      <c r="I939" s="112">
        <f>ROUND($B939*KarliyukIssizlikIsverenOrani,0)</f>
        <v/>
      </c>
      <c r="J939" s="112">
        <f>$B939+$H939+$I939</f>
        <v/>
      </c>
      <c r="K939" s="114" t="n"/>
    </row>
    <row r="940" ht="15" customHeight="1" s="68">
      <c r="A940" s="114" t="n"/>
      <c r="B940" s="114" t="n"/>
      <c r="C940" s="112">
        <f>ROUND($B940*KarliyukSgkIsciOrani,0)</f>
        <v/>
      </c>
      <c r="D940" s="112">
        <f>ROUND($B940*KarliyukIssizlikIsciOrani,0)</f>
        <v/>
      </c>
      <c r="E940" s="112">
        <f>ROUND($B940*KarliyukStopajOrani,0)</f>
        <v/>
      </c>
      <c r="F940" s="112">
        <f>ROUND($B940*KarliyukDamgaOrani,0)</f>
        <v/>
      </c>
      <c r="G940" s="112">
        <f>$B940-$C940-$D940-$E940-$F940</f>
        <v/>
      </c>
      <c r="H940" s="112">
        <f>ROUND($B940*KarliyukSgkIsverenOrani,0)</f>
        <v/>
      </c>
      <c r="I940" s="112">
        <f>ROUND($B940*KarliyukIssizlikIsverenOrani,0)</f>
        <v/>
      </c>
      <c r="J940" s="112">
        <f>$B940+$H940+$I940</f>
        <v/>
      </c>
      <c r="K940" s="114" t="n"/>
    </row>
    <row r="941" ht="15" customHeight="1" s="68">
      <c r="A941" s="114" t="n"/>
      <c r="B941" s="114" t="n"/>
      <c r="C941" s="112">
        <f>ROUND($B941*KarliyukSgkIsciOrani,0)</f>
        <v/>
      </c>
      <c r="D941" s="112">
        <f>ROUND($B941*KarliyukIssizlikIsciOrani,0)</f>
        <v/>
      </c>
      <c r="E941" s="112">
        <f>ROUND($B941*KarliyukStopajOrani,0)</f>
        <v/>
      </c>
      <c r="F941" s="112">
        <f>ROUND($B941*KarliyukDamgaOrani,0)</f>
        <v/>
      </c>
      <c r="G941" s="112">
        <f>$B941-$C941-$D941-$E941-$F941</f>
        <v/>
      </c>
      <c r="H941" s="112">
        <f>ROUND($B941*KarliyukSgkIsverenOrani,0)</f>
        <v/>
      </c>
      <c r="I941" s="112">
        <f>ROUND($B941*KarliyukIssizlikIsverenOrani,0)</f>
        <v/>
      </c>
      <c r="J941" s="112">
        <f>$B941+$H941+$I941</f>
        <v/>
      </c>
      <c r="K941" s="114" t="n"/>
    </row>
    <row r="942" ht="15" customHeight="1" s="68">
      <c r="A942" s="114" t="n"/>
      <c r="B942" s="114" t="n"/>
      <c r="C942" s="112">
        <f>ROUND($B942*KarliyukSgkIsciOrani,0)</f>
        <v/>
      </c>
      <c r="D942" s="112">
        <f>ROUND($B942*KarliyukIssizlikIsciOrani,0)</f>
        <v/>
      </c>
      <c r="E942" s="112">
        <f>ROUND($B942*KarliyukStopajOrani,0)</f>
        <v/>
      </c>
      <c r="F942" s="112">
        <f>ROUND($B942*KarliyukDamgaOrani,0)</f>
        <v/>
      </c>
      <c r="G942" s="112">
        <f>$B942-$C942-$D942-$E942-$F942</f>
        <v/>
      </c>
      <c r="H942" s="112">
        <f>ROUND($B942*KarliyukSgkIsverenOrani,0)</f>
        <v/>
      </c>
      <c r="I942" s="112">
        <f>ROUND($B942*KarliyukIssizlikIsverenOrani,0)</f>
        <v/>
      </c>
      <c r="J942" s="112">
        <f>$B942+$H942+$I942</f>
        <v/>
      </c>
      <c r="K942" s="114" t="n"/>
    </row>
    <row r="943" ht="15" customHeight="1" s="68">
      <c r="A943" s="114" t="n"/>
      <c r="B943" s="114" t="n"/>
      <c r="C943" s="112">
        <f>ROUND($B943*KarliyukSgkIsciOrani,0)</f>
        <v/>
      </c>
      <c r="D943" s="112">
        <f>ROUND($B943*KarliyukIssizlikIsciOrani,0)</f>
        <v/>
      </c>
      <c r="E943" s="112">
        <f>ROUND($B943*KarliyukStopajOrani,0)</f>
        <v/>
      </c>
      <c r="F943" s="112">
        <f>ROUND($B943*KarliyukDamgaOrani,0)</f>
        <v/>
      </c>
      <c r="G943" s="112">
        <f>$B943-$C943-$D943-$E943-$F943</f>
        <v/>
      </c>
      <c r="H943" s="112">
        <f>ROUND($B943*KarliyukSgkIsverenOrani,0)</f>
        <v/>
      </c>
      <c r="I943" s="112">
        <f>ROUND($B943*KarliyukIssizlikIsverenOrani,0)</f>
        <v/>
      </c>
      <c r="J943" s="112">
        <f>$B943+$H943+$I943</f>
        <v/>
      </c>
      <c r="K943" s="114" t="n"/>
    </row>
    <row r="944" ht="15" customHeight="1" s="68">
      <c r="A944" s="114" t="n"/>
      <c r="B944" s="114" t="n"/>
      <c r="C944" s="112">
        <f>ROUND($B944*KarliyukSgkIsciOrani,0)</f>
        <v/>
      </c>
      <c r="D944" s="112">
        <f>ROUND($B944*KarliyukIssizlikIsciOrani,0)</f>
        <v/>
      </c>
      <c r="E944" s="112">
        <f>ROUND($B944*KarliyukStopajOrani,0)</f>
        <v/>
      </c>
      <c r="F944" s="112">
        <f>ROUND($B944*KarliyukDamgaOrani,0)</f>
        <v/>
      </c>
      <c r="G944" s="112">
        <f>$B944-$C944-$D944-$E944-$F944</f>
        <v/>
      </c>
      <c r="H944" s="112">
        <f>ROUND($B944*KarliyukSgkIsverenOrani,0)</f>
        <v/>
      </c>
      <c r="I944" s="112">
        <f>ROUND($B944*KarliyukIssizlikIsverenOrani,0)</f>
        <v/>
      </c>
      <c r="J944" s="112">
        <f>$B944+$H944+$I944</f>
        <v/>
      </c>
      <c r="K944" s="114" t="n"/>
    </row>
    <row r="945" ht="15" customHeight="1" s="68">
      <c r="A945" s="114" t="n"/>
      <c r="B945" s="114" t="n"/>
      <c r="C945" s="112">
        <f>ROUND($B945*KarliyukSgkIsciOrani,0)</f>
        <v/>
      </c>
      <c r="D945" s="112">
        <f>ROUND($B945*KarliyukIssizlikIsciOrani,0)</f>
        <v/>
      </c>
      <c r="E945" s="112">
        <f>ROUND($B945*KarliyukStopajOrani,0)</f>
        <v/>
      </c>
      <c r="F945" s="112">
        <f>ROUND($B945*KarliyukDamgaOrani,0)</f>
        <v/>
      </c>
      <c r="G945" s="112">
        <f>$B945-$C945-$D945-$E945-$F945</f>
        <v/>
      </c>
      <c r="H945" s="112">
        <f>ROUND($B945*KarliyukSgkIsverenOrani,0)</f>
        <v/>
      </c>
      <c r="I945" s="112">
        <f>ROUND($B945*KarliyukIssizlikIsverenOrani,0)</f>
        <v/>
      </c>
      <c r="J945" s="112">
        <f>$B945+$H945+$I945</f>
        <v/>
      </c>
      <c r="K945" s="114" t="n"/>
    </row>
    <row r="946" ht="15" customHeight="1" s="68">
      <c r="A946" s="114" t="n"/>
      <c r="B946" s="114" t="n"/>
      <c r="C946" s="112">
        <f>ROUND($B946*KarliyukSgkIsciOrani,0)</f>
        <v/>
      </c>
      <c r="D946" s="112">
        <f>ROUND($B946*KarliyukIssizlikIsciOrani,0)</f>
        <v/>
      </c>
      <c r="E946" s="112">
        <f>ROUND($B946*KarliyukStopajOrani,0)</f>
        <v/>
      </c>
      <c r="F946" s="112">
        <f>ROUND($B946*KarliyukDamgaOrani,0)</f>
        <v/>
      </c>
      <c r="G946" s="112">
        <f>$B946-$C946-$D946-$E946-$F946</f>
        <v/>
      </c>
      <c r="H946" s="112">
        <f>ROUND($B946*KarliyukSgkIsverenOrani,0)</f>
        <v/>
      </c>
      <c r="I946" s="112">
        <f>ROUND($B946*KarliyukIssizlikIsverenOrani,0)</f>
        <v/>
      </c>
      <c r="J946" s="112">
        <f>$B946+$H946+$I946</f>
        <v/>
      </c>
      <c r="K946" s="114" t="n"/>
    </row>
    <row r="947" ht="15" customHeight="1" s="68">
      <c r="A947" s="114" t="n"/>
      <c r="B947" s="114" t="n"/>
      <c r="C947" s="112">
        <f>ROUND($B947*KarliyukSgkIsciOrani,0)</f>
        <v/>
      </c>
      <c r="D947" s="112">
        <f>ROUND($B947*KarliyukIssizlikIsciOrani,0)</f>
        <v/>
      </c>
      <c r="E947" s="112">
        <f>ROUND($B947*KarliyukStopajOrani,0)</f>
        <v/>
      </c>
      <c r="F947" s="112">
        <f>ROUND($B947*KarliyukDamgaOrani,0)</f>
        <v/>
      </c>
      <c r="G947" s="112">
        <f>$B947-$C947-$D947-$E947-$F947</f>
        <v/>
      </c>
      <c r="H947" s="112">
        <f>ROUND($B947*KarliyukSgkIsverenOrani,0)</f>
        <v/>
      </c>
      <c r="I947" s="112">
        <f>ROUND($B947*KarliyukIssizlikIsverenOrani,0)</f>
        <v/>
      </c>
      <c r="J947" s="112">
        <f>$B947+$H947+$I947</f>
        <v/>
      </c>
      <c r="K947" s="114" t="n"/>
    </row>
    <row r="948" ht="15" customHeight="1" s="68">
      <c r="A948" s="114" t="n"/>
      <c r="B948" s="114" t="n"/>
      <c r="C948" s="112">
        <f>ROUND($B948*KarliyukSgkIsciOrani,0)</f>
        <v/>
      </c>
      <c r="D948" s="112">
        <f>ROUND($B948*KarliyukIssizlikIsciOrani,0)</f>
        <v/>
      </c>
      <c r="E948" s="112">
        <f>ROUND($B948*KarliyukStopajOrani,0)</f>
        <v/>
      </c>
      <c r="F948" s="112">
        <f>ROUND($B948*KarliyukDamgaOrani,0)</f>
        <v/>
      </c>
      <c r="G948" s="112">
        <f>$B948-$C948-$D948-$E948-$F948</f>
        <v/>
      </c>
      <c r="H948" s="112">
        <f>ROUND($B948*KarliyukSgkIsverenOrani,0)</f>
        <v/>
      </c>
      <c r="I948" s="112">
        <f>ROUND($B948*KarliyukIssizlikIsverenOrani,0)</f>
        <v/>
      </c>
      <c r="J948" s="112">
        <f>$B948+$H948+$I948</f>
        <v/>
      </c>
      <c r="K948" s="114" t="n"/>
    </row>
    <row r="949" ht="15" customHeight="1" s="68">
      <c r="A949" s="114" t="n"/>
      <c r="B949" s="114" t="n"/>
      <c r="C949" s="112">
        <f>ROUND($B949*KarliyukSgkIsciOrani,0)</f>
        <v/>
      </c>
      <c r="D949" s="112">
        <f>ROUND($B949*KarliyukIssizlikIsciOrani,0)</f>
        <v/>
      </c>
      <c r="E949" s="112">
        <f>ROUND($B949*KarliyukStopajOrani,0)</f>
        <v/>
      </c>
      <c r="F949" s="112">
        <f>ROUND($B949*KarliyukDamgaOrani,0)</f>
        <v/>
      </c>
      <c r="G949" s="112">
        <f>$B949-$C949-$D949-$E949-$F949</f>
        <v/>
      </c>
      <c r="H949" s="112">
        <f>ROUND($B949*KarliyukSgkIsverenOrani,0)</f>
        <v/>
      </c>
      <c r="I949" s="112">
        <f>ROUND($B949*KarliyukIssizlikIsverenOrani,0)</f>
        <v/>
      </c>
      <c r="J949" s="112">
        <f>$B949+$H949+$I949</f>
        <v/>
      </c>
      <c r="K949" s="114" t="n"/>
    </row>
    <row r="950" ht="15" customHeight="1" s="68">
      <c r="A950" s="114" t="n"/>
      <c r="B950" s="114" t="n"/>
      <c r="C950" s="112">
        <f>ROUND($B950*KarliyukSgkIsciOrani,0)</f>
        <v/>
      </c>
      <c r="D950" s="112">
        <f>ROUND($B950*KarliyukIssizlikIsciOrani,0)</f>
        <v/>
      </c>
      <c r="E950" s="112">
        <f>ROUND($B950*KarliyukStopajOrani,0)</f>
        <v/>
      </c>
      <c r="F950" s="112">
        <f>ROUND($B950*KarliyukDamgaOrani,0)</f>
        <v/>
      </c>
      <c r="G950" s="112">
        <f>$B950-$C950-$D950-$E950-$F950</f>
        <v/>
      </c>
      <c r="H950" s="112">
        <f>ROUND($B950*KarliyukSgkIsverenOrani,0)</f>
        <v/>
      </c>
      <c r="I950" s="112">
        <f>ROUND($B950*KarliyukIssizlikIsverenOrani,0)</f>
        <v/>
      </c>
      <c r="J950" s="112">
        <f>$B950+$H950+$I950</f>
        <v/>
      </c>
      <c r="K950" s="114" t="n"/>
    </row>
    <row r="951" ht="15" customHeight="1" s="68">
      <c r="A951" s="114" t="n"/>
      <c r="B951" s="114" t="n"/>
      <c r="C951" s="112">
        <f>ROUND($B951*KarliyukSgkIsciOrani,0)</f>
        <v/>
      </c>
      <c r="D951" s="112">
        <f>ROUND($B951*KarliyukIssizlikIsciOrani,0)</f>
        <v/>
      </c>
      <c r="E951" s="112">
        <f>ROUND($B951*KarliyukStopajOrani,0)</f>
        <v/>
      </c>
      <c r="F951" s="112">
        <f>ROUND($B951*KarliyukDamgaOrani,0)</f>
        <v/>
      </c>
      <c r="G951" s="112">
        <f>$B951-$C951-$D951-$E951-$F951</f>
        <v/>
      </c>
      <c r="H951" s="112">
        <f>ROUND($B951*KarliyukSgkIsverenOrani,0)</f>
        <v/>
      </c>
      <c r="I951" s="112">
        <f>ROUND($B951*KarliyukIssizlikIsverenOrani,0)</f>
        <v/>
      </c>
      <c r="J951" s="112">
        <f>$B951+$H951+$I951</f>
        <v/>
      </c>
      <c r="K951" s="114" t="n"/>
    </row>
    <row r="952" ht="15" customHeight="1" s="68">
      <c r="A952" s="114" t="n"/>
      <c r="B952" s="114" t="n"/>
      <c r="C952" s="112">
        <f>ROUND($B952*KarliyukSgkIsciOrani,0)</f>
        <v/>
      </c>
      <c r="D952" s="112">
        <f>ROUND($B952*KarliyukIssizlikIsciOrani,0)</f>
        <v/>
      </c>
      <c r="E952" s="112">
        <f>ROUND($B952*KarliyukStopajOrani,0)</f>
        <v/>
      </c>
      <c r="F952" s="112">
        <f>ROUND($B952*KarliyukDamgaOrani,0)</f>
        <v/>
      </c>
      <c r="G952" s="112">
        <f>$B952-$C952-$D952-$E952-$F952</f>
        <v/>
      </c>
      <c r="H952" s="112">
        <f>ROUND($B952*KarliyukSgkIsverenOrani,0)</f>
        <v/>
      </c>
      <c r="I952" s="112">
        <f>ROUND($B952*KarliyukIssizlikIsverenOrani,0)</f>
        <v/>
      </c>
      <c r="J952" s="112">
        <f>$B952+$H952+$I952</f>
        <v/>
      </c>
      <c r="K952" s="114" t="n"/>
    </row>
    <row r="953" ht="15" customHeight="1" s="68">
      <c r="A953" s="114" t="n"/>
      <c r="B953" s="114" t="n"/>
      <c r="C953" s="112">
        <f>ROUND($B953*KarliyukSgkIsciOrani,0)</f>
        <v/>
      </c>
      <c r="D953" s="112">
        <f>ROUND($B953*KarliyukIssizlikIsciOrani,0)</f>
        <v/>
      </c>
      <c r="E953" s="112">
        <f>ROUND($B953*KarliyukStopajOrani,0)</f>
        <v/>
      </c>
      <c r="F953" s="112">
        <f>ROUND($B953*KarliyukDamgaOrani,0)</f>
        <v/>
      </c>
      <c r="G953" s="112">
        <f>$B953-$C953-$D953-$E953-$F953</f>
        <v/>
      </c>
      <c r="H953" s="112">
        <f>ROUND($B953*KarliyukSgkIsverenOrani,0)</f>
        <v/>
      </c>
      <c r="I953" s="112">
        <f>ROUND($B953*KarliyukIssizlikIsverenOrani,0)</f>
        <v/>
      </c>
      <c r="J953" s="112">
        <f>$B953+$H953+$I953</f>
        <v/>
      </c>
      <c r="K953" s="114" t="n"/>
    </row>
    <row r="954" ht="15" customHeight="1" s="68">
      <c r="A954" s="114" t="n"/>
      <c r="B954" s="114" t="n"/>
      <c r="C954" s="112">
        <f>ROUND($B954*KarliyukSgkIsciOrani,0)</f>
        <v/>
      </c>
      <c r="D954" s="112">
        <f>ROUND($B954*KarliyukIssizlikIsciOrani,0)</f>
        <v/>
      </c>
      <c r="E954" s="112">
        <f>ROUND($B954*KarliyukStopajOrani,0)</f>
        <v/>
      </c>
      <c r="F954" s="112">
        <f>ROUND($B954*KarliyukDamgaOrani,0)</f>
        <v/>
      </c>
      <c r="G954" s="112">
        <f>$B954-$C954-$D954-$E954-$F954</f>
        <v/>
      </c>
      <c r="H954" s="112">
        <f>ROUND($B954*KarliyukSgkIsverenOrani,0)</f>
        <v/>
      </c>
      <c r="I954" s="112">
        <f>ROUND($B954*KarliyukIssizlikIsverenOrani,0)</f>
        <v/>
      </c>
      <c r="J954" s="112">
        <f>$B954+$H954+$I954</f>
        <v/>
      </c>
      <c r="K954" s="114" t="n"/>
    </row>
    <row r="955" ht="15" customHeight="1" s="68">
      <c r="A955" s="114" t="n"/>
      <c r="B955" s="114" t="n"/>
      <c r="C955" s="112">
        <f>ROUND($B955*KarliyukSgkIsciOrani,0)</f>
        <v/>
      </c>
      <c r="D955" s="112">
        <f>ROUND($B955*KarliyukIssizlikIsciOrani,0)</f>
        <v/>
      </c>
      <c r="E955" s="112">
        <f>ROUND($B955*KarliyukStopajOrani,0)</f>
        <v/>
      </c>
      <c r="F955" s="112">
        <f>ROUND($B955*KarliyukDamgaOrani,0)</f>
        <v/>
      </c>
      <c r="G955" s="112">
        <f>$B955-$C955-$D955-$E955-$F955</f>
        <v/>
      </c>
      <c r="H955" s="112">
        <f>ROUND($B955*KarliyukSgkIsverenOrani,0)</f>
        <v/>
      </c>
      <c r="I955" s="112">
        <f>ROUND($B955*KarliyukIssizlikIsverenOrani,0)</f>
        <v/>
      </c>
      <c r="J955" s="112">
        <f>$B955+$H955+$I955</f>
        <v/>
      </c>
      <c r="K955" s="114" t="n"/>
    </row>
    <row r="956" ht="15" customHeight="1" s="68">
      <c r="A956" s="114" t="n"/>
      <c r="B956" s="114" t="n"/>
      <c r="C956" s="112">
        <f>ROUND($B956*KarliyukSgkIsciOrani,0)</f>
        <v/>
      </c>
      <c r="D956" s="112">
        <f>ROUND($B956*KarliyukIssizlikIsciOrani,0)</f>
        <v/>
      </c>
      <c r="E956" s="112">
        <f>ROUND($B956*KarliyukStopajOrani,0)</f>
        <v/>
      </c>
      <c r="F956" s="112">
        <f>ROUND($B956*KarliyukDamgaOrani,0)</f>
        <v/>
      </c>
      <c r="G956" s="112">
        <f>$B956-$C956-$D956-$E956-$F956</f>
        <v/>
      </c>
      <c r="H956" s="112">
        <f>ROUND($B956*KarliyukSgkIsverenOrani,0)</f>
        <v/>
      </c>
      <c r="I956" s="112">
        <f>ROUND($B956*KarliyukIssizlikIsverenOrani,0)</f>
        <v/>
      </c>
      <c r="J956" s="112">
        <f>$B956+$H956+$I956</f>
        <v/>
      </c>
      <c r="K956" s="114" t="n"/>
    </row>
    <row r="957" ht="15" customHeight="1" s="68">
      <c r="A957" s="114" t="n"/>
      <c r="B957" s="114" t="n"/>
      <c r="C957" s="112">
        <f>ROUND($B957*KarliyukSgkIsciOrani,0)</f>
        <v/>
      </c>
      <c r="D957" s="112">
        <f>ROUND($B957*KarliyukIssizlikIsciOrani,0)</f>
        <v/>
      </c>
      <c r="E957" s="112">
        <f>ROUND($B957*KarliyukStopajOrani,0)</f>
        <v/>
      </c>
      <c r="F957" s="112">
        <f>ROUND($B957*KarliyukDamgaOrani,0)</f>
        <v/>
      </c>
      <c r="G957" s="112">
        <f>$B957-$C957-$D957-$E957-$F957</f>
        <v/>
      </c>
      <c r="H957" s="112">
        <f>ROUND($B957*KarliyukSgkIsverenOrani,0)</f>
        <v/>
      </c>
      <c r="I957" s="112">
        <f>ROUND($B957*KarliyukIssizlikIsverenOrani,0)</f>
        <v/>
      </c>
      <c r="J957" s="112">
        <f>$B957+$H957+$I957</f>
        <v/>
      </c>
      <c r="K957" s="114" t="n"/>
    </row>
    <row r="958" ht="15" customHeight="1" s="68">
      <c r="A958" s="114" t="n"/>
      <c r="B958" s="114" t="n"/>
      <c r="C958" s="112">
        <f>ROUND($B958*KarliyukSgkIsciOrani,0)</f>
        <v/>
      </c>
      <c r="D958" s="112">
        <f>ROUND($B958*KarliyukIssizlikIsciOrani,0)</f>
        <v/>
      </c>
      <c r="E958" s="112">
        <f>ROUND($B958*KarliyukStopajOrani,0)</f>
        <v/>
      </c>
      <c r="F958" s="112">
        <f>ROUND($B958*KarliyukDamgaOrani,0)</f>
        <v/>
      </c>
      <c r="G958" s="112">
        <f>$B958-$C958-$D958-$E958-$F958</f>
        <v/>
      </c>
      <c r="H958" s="112">
        <f>ROUND($B958*KarliyukSgkIsverenOrani,0)</f>
        <v/>
      </c>
      <c r="I958" s="112">
        <f>ROUND($B958*KarliyukIssizlikIsverenOrani,0)</f>
        <v/>
      </c>
      <c r="J958" s="112">
        <f>$B958+$H958+$I958</f>
        <v/>
      </c>
      <c r="K958" s="114" t="n"/>
    </row>
    <row r="959" ht="15" customHeight="1" s="68">
      <c r="A959" s="114" t="n"/>
      <c r="B959" s="114" t="n"/>
      <c r="C959" s="112">
        <f>ROUND($B959*KarliyukSgkIsciOrani,0)</f>
        <v/>
      </c>
      <c r="D959" s="112">
        <f>ROUND($B959*KarliyukIssizlikIsciOrani,0)</f>
        <v/>
      </c>
      <c r="E959" s="112">
        <f>ROUND($B959*KarliyukStopajOrani,0)</f>
        <v/>
      </c>
      <c r="F959" s="112">
        <f>ROUND($B959*KarliyukDamgaOrani,0)</f>
        <v/>
      </c>
      <c r="G959" s="112">
        <f>$B959-$C959-$D959-$E959-$F959</f>
        <v/>
      </c>
      <c r="H959" s="112">
        <f>ROUND($B959*KarliyukSgkIsverenOrani,0)</f>
        <v/>
      </c>
      <c r="I959" s="112">
        <f>ROUND($B959*KarliyukIssizlikIsverenOrani,0)</f>
        <v/>
      </c>
      <c r="J959" s="112">
        <f>$B959+$H959+$I959</f>
        <v/>
      </c>
      <c r="K959" s="114" t="n"/>
    </row>
    <row r="960" ht="15" customHeight="1" s="68">
      <c r="A960" s="114" t="n"/>
      <c r="B960" s="114" t="n"/>
      <c r="C960" s="112">
        <f>ROUND($B960*KarliyukSgkIsciOrani,0)</f>
        <v/>
      </c>
      <c r="D960" s="112">
        <f>ROUND($B960*KarliyukIssizlikIsciOrani,0)</f>
        <v/>
      </c>
      <c r="E960" s="112">
        <f>ROUND($B960*KarliyukStopajOrani,0)</f>
        <v/>
      </c>
      <c r="F960" s="112">
        <f>ROUND($B960*KarliyukDamgaOrani,0)</f>
        <v/>
      </c>
      <c r="G960" s="112">
        <f>$B960-$C960-$D960-$E960-$F960</f>
        <v/>
      </c>
      <c r="H960" s="112">
        <f>ROUND($B960*KarliyukSgkIsverenOrani,0)</f>
        <v/>
      </c>
      <c r="I960" s="112">
        <f>ROUND($B960*KarliyukIssizlikIsverenOrani,0)</f>
        <v/>
      </c>
      <c r="J960" s="112">
        <f>$B960+$H960+$I960</f>
        <v/>
      </c>
      <c r="K960" s="114" t="n"/>
    </row>
    <row r="961" ht="15" customHeight="1" s="68">
      <c r="A961" s="114" t="n"/>
      <c r="B961" s="114" t="n"/>
      <c r="C961" s="112">
        <f>ROUND($B961*KarliyukSgkIsciOrani,0)</f>
        <v/>
      </c>
      <c r="D961" s="112">
        <f>ROUND($B961*KarliyukIssizlikIsciOrani,0)</f>
        <v/>
      </c>
      <c r="E961" s="112">
        <f>ROUND($B961*KarliyukStopajOrani,0)</f>
        <v/>
      </c>
      <c r="F961" s="112">
        <f>ROUND($B961*KarliyukDamgaOrani,0)</f>
        <v/>
      </c>
      <c r="G961" s="112">
        <f>$B961-$C961-$D961-$E961-$F961</f>
        <v/>
      </c>
      <c r="H961" s="112">
        <f>ROUND($B961*KarliyukSgkIsverenOrani,0)</f>
        <v/>
      </c>
      <c r="I961" s="112">
        <f>ROUND($B961*KarliyukIssizlikIsverenOrani,0)</f>
        <v/>
      </c>
      <c r="J961" s="112">
        <f>$B961+$H961+$I961</f>
        <v/>
      </c>
      <c r="K961" s="114" t="n"/>
    </row>
    <row r="962" ht="15" customHeight="1" s="68">
      <c r="A962" s="114" t="n"/>
      <c r="B962" s="114" t="n"/>
      <c r="C962" s="112">
        <f>ROUND($B962*KarliyukSgkIsciOrani,0)</f>
        <v/>
      </c>
      <c r="D962" s="112">
        <f>ROUND($B962*KarliyukIssizlikIsciOrani,0)</f>
        <v/>
      </c>
      <c r="E962" s="112">
        <f>ROUND($B962*KarliyukStopajOrani,0)</f>
        <v/>
      </c>
      <c r="F962" s="112">
        <f>ROUND($B962*KarliyukDamgaOrani,0)</f>
        <v/>
      </c>
      <c r="G962" s="112">
        <f>$B962-$C962-$D962-$E962-$F962</f>
        <v/>
      </c>
      <c r="H962" s="112">
        <f>ROUND($B962*KarliyukSgkIsverenOrani,0)</f>
        <v/>
      </c>
      <c r="I962" s="112">
        <f>ROUND($B962*KarliyukIssizlikIsverenOrani,0)</f>
        <v/>
      </c>
      <c r="J962" s="112">
        <f>$B962+$H962+$I962</f>
        <v/>
      </c>
      <c r="K962" s="114" t="n"/>
    </row>
    <row r="963" ht="15" customHeight="1" s="68">
      <c r="A963" s="114" t="n"/>
      <c r="B963" s="114" t="n"/>
      <c r="C963" s="112">
        <f>ROUND($B963*KarliyukSgkIsciOrani,0)</f>
        <v/>
      </c>
      <c r="D963" s="112">
        <f>ROUND($B963*KarliyukIssizlikIsciOrani,0)</f>
        <v/>
      </c>
      <c r="E963" s="112">
        <f>ROUND($B963*KarliyukStopajOrani,0)</f>
        <v/>
      </c>
      <c r="F963" s="112">
        <f>ROUND($B963*KarliyukDamgaOrani,0)</f>
        <v/>
      </c>
      <c r="G963" s="112">
        <f>$B963-$C963-$D963-$E963-$F963</f>
        <v/>
      </c>
      <c r="H963" s="112">
        <f>ROUND($B963*KarliyukSgkIsverenOrani,0)</f>
        <v/>
      </c>
      <c r="I963" s="112">
        <f>ROUND($B963*KarliyukIssizlikIsverenOrani,0)</f>
        <v/>
      </c>
      <c r="J963" s="112">
        <f>$B963+$H963+$I963</f>
        <v/>
      </c>
      <c r="K963" s="114" t="n"/>
    </row>
    <row r="964" ht="15" customHeight="1" s="68">
      <c r="A964" s="114" t="n"/>
      <c r="B964" s="114" t="n"/>
      <c r="C964" s="112">
        <f>ROUND($B964*KarliyukSgkIsciOrani,0)</f>
        <v/>
      </c>
      <c r="D964" s="112">
        <f>ROUND($B964*KarliyukIssizlikIsciOrani,0)</f>
        <v/>
      </c>
      <c r="E964" s="112">
        <f>ROUND($B964*KarliyukStopajOrani,0)</f>
        <v/>
      </c>
      <c r="F964" s="112">
        <f>ROUND($B964*KarliyukDamgaOrani,0)</f>
        <v/>
      </c>
      <c r="G964" s="112">
        <f>$B964-$C964-$D964-$E964-$F964</f>
        <v/>
      </c>
      <c r="H964" s="112">
        <f>ROUND($B964*KarliyukSgkIsverenOrani,0)</f>
        <v/>
      </c>
      <c r="I964" s="112">
        <f>ROUND($B964*KarliyukIssizlikIsverenOrani,0)</f>
        <v/>
      </c>
      <c r="J964" s="112">
        <f>$B964+$H964+$I964</f>
        <v/>
      </c>
      <c r="K964" s="114" t="n"/>
    </row>
    <row r="965" ht="15" customHeight="1" s="68">
      <c r="A965" s="114" t="n"/>
      <c r="B965" s="114" t="n"/>
      <c r="C965" s="112">
        <f>ROUND($B965*KarliyukSgkIsciOrani,0)</f>
        <v/>
      </c>
      <c r="D965" s="112">
        <f>ROUND($B965*KarliyukIssizlikIsciOrani,0)</f>
        <v/>
      </c>
      <c r="E965" s="112">
        <f>ROUND($B965*KarliyukStopajOrani,0)</f>
        <v/>
      </c>
      <c r="F965" s="112">
        <f>ROUND($B965*KarliyukDamgaOrani,0)</f>
        <v/>
      </c>
      <c r="G965" s="112">
        <f>$B965-$C965-$D965-$E965-$F965</f>
        <v/>
      </c>
      <c r="H965" s="112">
        <f>ROUND($B965*KarliyukSgkIsverenOrani,0)</f>
        <v/>
      </c>
      <c r="I965" s="112">
        <f>ROUND($B965*KarliyukIssizlikIsverenOrani,0)</f>
        <v/>
      </c>
      <c r="J965" s="112">
        <f>$B965+$H965+$I965</f>
        <v/>
      </c>
      <c r="K965" s="114" t="n"/>
    </row>
    <row r="966" ht="15" customHeight="1" s="68">
      <c r="A966" s="114" t="n"/>
      <c r="B966" s="114" t="n"/>
      <c r="C966" s="112">
        <f>ROUND($B966*KarliyukSgkIsciOrani,0)</f>
        <v/>
      </c>
      <c r="D966" s="112">
        <f>ROUND($B966*KarliyukIssizlikIsciOrani,0)</f>
        <v/>
      </c>
      <c r="E966" s="112">
        <f>ROUND($B966*KarliyukStopajOrani,0)</f>
        <v/>
      </c>
      <c r="F966" s="112">
        <f>ROUND($B966*KarliyukDamgaOrani,0)</f>
        <v/>
      </c>
      <c r="G966" s="112">
        <f>$B966-$C966-$D966-$E966-$F966</f>
        <v/>
      </c>
      <c r="H966" s="112">
        <f>ROUND($B966*KarliyukSgkIsverenOrani,0)</f>
        <v/>
      </c>
      <c r="I966" s="112">
        <f>ROUND($B966*KarliyukIssizlikIsverenOrani,0)</f>
        <v/>
      </c>
      <c r="J966" s="112">
        <f>$B966+$H966+$I966</f>
        <v/>
      </c>
      <c r="K966" s="114" t="n"/>
    </row>
    <row r="967" ht="15" customHeight="1" s="68">
      <c r="A967" s="114" t="n"/>
      <c r="B967" s="114" t="n"/>
      <c r="C967" s="112">
        <f>ROUND($B967*KarliyukSgkIsciOrani,0)</f>
        <v/>
      </c>
      <c r="D967" s="112">
        <f>ROUND($B967*KarliyukIssizlikIsciOrani,0)</f>
        <v/>
      </c>
      <c r="E967" s="112">
        <f>ROUND($B967*KarliyukStopajOrani,0)</f>
        <v/>
      </c>
      <c r="F967" s="112">
        <f>ROUND($B967*KarliyukDamgaOrani,0)</f>
        <v/>
      </c>
      <c r="G967" s="112">
        <f>$B967-$C967-$D967-$E967-$F967</f>
        <v/>
      </c>
      <c r="H967" s="112">
        <f>ROUND($B967*KarliyukSgkIsverenOrani,0)</f>
        <v/>
      </c>
      <c r="I967" s="112">
        <f>ROUND($B967*KarliyukIssizlikIsverenOrani,0)</f>
        <v/>
      </c>
      <c r="J967" s="112">
        <f>$B967+$H967+$I967</f>
        <v/>
      </c>
      <c r="K967" s="114" t="n"/>
    </row>
    <row r="968" ht="15" customHeight="1" s="68">
      <c r="A968" s="114" t="n"/>
      <c r="B968" s="114" t="n"/>
      <c r="C968" s="112">
        <f>ROUND($B968*KarliyukSgkIsciOrani,0)</f>
        <v/>
      </c>
      <c r="D968" s="112">
        <f>ROUND($B968*KarliyukIssizlikIsciOrani,0)</f>
        <v/>
      </c>
      <c r="E968" s="112">
        <f>ROUND($B968*KarliyukStopajOrani,0)</f>
        <v/>
      </c>
      <c r="F968" s="112">
        <f>ROUND($B968*KarliyukDamgaOrani,0)</f>
        <v/>
      </c>
      <c r="G968" s="112">
        <f>$B968-$C968-$D968-$E968-$F968</f>
        <v/>
      </c>
      <c r="H968" s="112">
        <f>ROUND($B968*KarliyukSgkIsverenOrani,0)</f>
        <v/>
      </c>
      <c r="I968" s="112">
        <f>ROUND($B968*KarliyukIssizlikIsverenOrani,0)</f>
        <v/>
      </c>
      <c r="J968" s="112">
        <f>$B968+$H968+$I968</f>
        <v/>
      </c>
      <c r="K968" s="114" t="n"/>
    </row>
    <row r="969" ht="15" customHeight="1" s="68">
      <c r="A969" s="114" t="n"/>
      <c r="B969" s="114" t="n"/>
      <c r="C969" s="112">
        <f>ROUND($B969*KarliyukSgkIsciOrani,0)</f>
        <v/>
      </c>
      <c r="D969" s="112">
        <f>ROUND($B969*KarliyukIssizlikIsciOrani,0)</f>
        <v/>
      </c>
      <c r="E969" s="112">
        <f>ROUND($B969*KarliyukStopajOrani,0)</f>
        <v/>
      </c>
      <c r="F969" s="112">
        <f>ROUND($B969*KarliyukDamgaOrani,0)</f>
        <v/>
      </c>
      <c r="G969" s="112">
        <f>$B969-$C969-$D969-$E969-$F969</f>
        <v/>
      </c>
      <c r="H969" s="112">
        <f>ROUND($B969*KarliyukSgkIsverenOrani,0)</f>
        <v/>
      </c>
      <c r="I969" s="112">
        <f>ROUND($B969*KarliyukIssizlikIsverenOrani,0)</f>
        <v/>
      </c>
      <c r="J969" s="112">
        <f>$B969+$H969+$I969</f>
        <v/>
      </c>
      <c r="K969" s="114" t="n"/>
    </row>
    <row r="970" ht="15" customHeight="1" s="68">
      <c r="A970" s="114" t="n"/>
      <c r="B970" s="114" t="n"/>
      <c r="C970" s="112">
        <f>ROUND($B970*KarliyukSgkIsciOrani,0)</f>
        <v/>
      </c>
      <c r="D970" s="112">
        <f>ROUND($B970*KarliyukIssizlikIsciOrani,0)</f>
        <v/>
      </c>
      <c r="E970" s="112">
        <f>ROUND($B970*KarliyukStopajOrani,0)</f>
        <v/>
      </c>
      <c r="F970" s="112">
        <f>ROUND($B970*KarliyukDamgaOrani,0)</f>
        <v/>
      </c>
      <c r="G970" s="112">
        <f>$B970-$C970-$D970-$E970-$F970</f>
        <v/>
      </c>
      <c r="H970" s="112">
        <f>ROUND($B970*KarliyukSgkIsverenOrani,0)</f>
        <v/>
      </c>
      <c r="I970" s="112">
        <f>ROUND($B970*KarliyukIssizlikIsverenOrani,0)</f>
        <v/>
      </c>
      <c r="J970" s="112">
        <f>$B970+$H970+$I970</f>
        <v/>
      </c>
      <c r="K970" s="114" t="n"/>
    </row>
    <row r="971" ht="15" customHeight="1" s="68">
      <c r="A971" s="114" t="n"/>
      <c r="B971" s="114" t="n"/>
      <c r="C971" s="112">
        <f>ROUND($B971*KarliyukSgkIsciOrani,0)</f>
        <v/>
      </c>
      <c r="D971" s="112">
        <f>ROUND($B971*KarliyukIssizlikIsciOrani,0)</f>
        <v/>
      </c>
      <c r="E971" s="112">
        <f>ROUND($B971*KarliyukStopajOrani,0)</f>
        <v/>
      </c>
      <c r="F971" s="112">
        <f>ROUND($B971*KarliyukDamgaOrani,0)</f>
        <v/>
      </c>
      <c r="G971" s="112">
        <f>$B971-$C971-$D971-$E971-$F971</f>
        <v/>
      </c>
      <c r="H971" s="112">
        <f>ROUND($B971*KarliyukSgkIsverenOrani,0)</f>
        <v/>
      </c>
      <c r="I971" s="112">
        <f>ROUND($B971*KarliyukIssizlikIsverenOrani,0)</f>
        <v/>
      </c>
      <c r="J971" s="112">
        <f>$B971+$H971+$I971</f>
        <v/>
      </c>
      <c r="K971" s="114" t="n"/>
    </row>
    <row r="972" ht="15" customHeight="1" s="68">
      <c r="A972" s="114" t="n"/>
      <c r="B972" s="114" t="n"/>
      <c r="C972" s="112">
        <f>ROUND($B972*KarliyukSgkIsciOrani,0)</f>
        <v/>
      </c>
      <c r="D972" s="112">
        <f>ROUND($B972*KarliyukIssizlikIsciOrani,0)</f>
        <v/>
      </c>
      <c r="E972" s="112">
        <f>ROUND($B972*KarliyukStopajOrani,0)</f>
        <v/>
      </c>
      <c r="F972" s="112">
        <f>ROUND($B972*KarliyukDamgaOrani,0)</f>
        <v/>
      </c>
      <c r="G972" s="112">
        <f>$B972-$C972-$D972-$E972-$F972</f>
        <v/>
      </c>
      <c r="H972" s="112">
        <f>ROUND($B972*KarliyukSgkIsverenOrani,0)</f>
        <v/>
      </c>
      <c r="I972" s="112">
        <f>ROUND($B972*KarliyukIssizlikIsverenOrani,0)</f>
        <v/>
      </c>
      <c r="J972" s="112">
        <f>$B972+$H972+$I972</f>
        <v/>
      </c>
      <c r="K972" s="114" t="n"/>
    </row>
    <row r="973" ht="15" customHeight="1" s="68">
      <c r="A973" s="114" t="n"/>
      <c r="B973" s="114" t="n"/>
      <c r="C973" s="112">
        <f>ROUND($B973*KarliyukSgkIsciOrani,0)</f>
        <v/>
      </c>
      <c r="D973" s="112">
        <f>ROUND($B973*KarliyukIssizlikIsciOrani,0)</f>
        <v/>
      </c>
      <c r="E973" s="112">
        <f>ROUND($B973*KarliyukStopajOrani,0)</f>
        <v/>
      </c>
      <c r="F973" s="112">
        <f>ROUND($B973*KarliyukDamgaOrani,0)</f>
        <v/>
      </c>
      <c r="G973" s="112">
        <f>$B973-$C973-$D973-$E973-$F973</f>
        <v/>
      </c>
      <c r="H973" s="112">
        <f>ROUND($B973*KarliyukSgkIsverenOrani,0)</f>
        <v/>
      </c>
      <c r="I973" s="112">
        <f>ROUND($B973*KarliyukIssizlikIsverenOrani,0)</f>
        <v/>
      </c>
      <c r="J973" s="112">
        <f>$B973+$H973+$I973</f>
        <v/>
      </c>
      <c r="K973" s="114" t="n"/>
    </row>
    <row r="974" ht="15" customHeight="1" s="68">
      <c r="A974" s="114" t="n"/>
      <c r="B974" s="114" t="n"/>
      <c r="C974" s="112">
        <f>ROUND($B974*KarliyukSgkIsciOrani,0)</f>
        <v/>
      </c>
      <c r="D974" s="112">
        <f>ROUND($B974*KarliyukIssizlikIsciOrani,0)</f>
        <v/>
      </c>
      <c r="E974" s="112">
        <f>ROUND($B974*KarliyukStopajOrani,0)</f>
        <v/>
      </c>
      <c r="F974" s="112">
        <f>ROUND($B974*KarliyukDamgaOrani,0)</f>
        <v/>
      </c>
      <c r="G974" s="112">
        <f>$B974-$C974-$D974-$E974-$F974</f>
        <v/>
      </c>
      <c r="H974" s="112">
        <f>ROUND($B974*KarliyukSgkIsverenOrani,0)</f>
        <v/>
      </c>
      <c r="I974" s="112">
        <f>ROUND($B974*KarliyukIssizlikIsverenOrani,0)</f>
        <v/>
      </c>
      <c r="J974" s="112">
        <f>$B974+$H974+$I974</f>
        <v/>
      </c>
      <c r="K974" s="114" t="n"/>
    </row>
    <row r="975" ht="15" customHeight="1" s="68">
      <c r="A975" s="114" t="n"/>
      <c r="B975" s="114" t="n"/>
      <c r="C975" s="112">
        <f>ROUND($B975*KarliyukSgkIsciOrani,0)</f>
        <v/>
      </c>
      <c r="D975" s="112">
        <f>ROUND($B975*KarliyukIssizlikIsciOrani,0)</f>
        <v/>
      </c>
      <c r="E975" s="112">
        <f>ROUND($B975*KarliyukStopajOrani,0)</f>
        <v/>
      </c>
      <c r="F975" s="112">
        <f>ROUND($B975*KarliyukDamgaOrani,0)</f>
        <v/>
      </c>
      <c r="G975" s="112">
        <f>$B975-$C975-$D975-$E975-$F975</f>
        <v/>
      </c>
      <c r="H975" s="112">
        <f>ROUND($B975*KarliyukSgkIsverenOrani,0)</f>
        <v/>
      </c>
      <c r="I975" s="112">
        <f>ROUND($B975*KarliyukIssizlikIsverenOrani,0)</f>
        <v/>
      </c>
      <c r="J975" s="112">
        <f>$B975+$H975+$I975</f>
        <v/>
      </c>
      <c r="K975" s="114" t="n"/>
    </row>
    <row r="976" ht="15" customHeight="1" s="68">
      <c r="A976" s="114" t="n"/>
      <c r="B976" s="114" t="n"/>
      <c r="C976" s="112">
        <f>ROUND($B976*KarliyukSgkIsciOrani,0)</f>
        <v/>
      </c>
      <c r="D976" s="112">
        <f>ROUND($B976*KarliyukIssizlikIsciOrani,0)</f>
        <v/>
      </c>
      <c r="E976" s="112">
        <f>ROUND($B976*KarliyukStopajOrani,0)</f>
        <v/>
      </c>
      <c r="F976" s="112">
        <f>ROUND($B976*KarliyukDamgaOrani,0)</f>
        <v/>
      </c>
      <c r="G976" s="112">
        <f>$B976-$C976-$D976-$E976-$F976</f>
        <v/>
      </c>
      <c r="H976" s="112">
        <f>ROUND($B976*KarliyukSgkIsverenOrani,0)</f>
        <v/>
      </c>
      <c r="I976" s="112">
        <f>ROUND($B976*KarliyukIssizlikIsverenOrani,0)</f>
        <v/>
      </c>
      <c r="J976" s="112">
        <f>$B976+$H976+$I976</f>
        <v/>
      </c>
      <c r="K976" s="114" t="n"/>
    </row>
    <row r="977" ht="15" customHeight="1" s="68">
      <c r="A977" s="114" t="n"/>
      <c r="B977" s="114" t="n"/>
      <c r="C977" s="112">
        <f>ROUND($B977*KarliyukSgkIsciOrani,0)</f>
        <v/>
      </c>
      <c r="D977" s="112">
        <f>ROUND($B977*KarliyukIssizlikIsciOrani,0)</f>
        <v/>
      </c>
      <c r="E977" s="112">
        <f>ROUND($B977*KarliyukStopajOrani,0)</f>
        <v/>
      </c>
      <c r="F977" s="112">
        <f>ROUND($B977*KarliyukDamgaOrani,0)</f>
        <v/>
      </c>
      <c r="G977" s="112">
        <f>$B977-$C977-$D977-$E977-$F977</f>
        <v/>
      </c>
      <c r="H977" s="112">
        <f>ROUND($B977*KarliyukSgkIsverenOrani,0)</f>
        <v/>
      </c>
      <c r="I977" s="112">
        <f>ROUND($B977*KarliyukIssizlikIsverenOrani,0)</f>
        <v/>
      </c>
      <c r="J977" s="112">
        <f>$B977+$H977+$I977</f>
        <v/>
      </c>
      <c r="K977" s="114" t="n"/>
    </row>
    <row r="978" ht="15" customHeight="1" s="68">
      <c r="A978" s="114" t="n"/>
      <c r="B978" s="114" t="n"/>
      <c r="C978" s="112">
        <f>ROUND($B978*KarliyukSgkIsciOrani,0)</f>
        <v/>
      </c>
      <c r="D978" s="112">
        <f>ROUND($B978*KarliyukIssizlikIsciOrani,0)</f>
        <v/>
      </c>
      <c r="E978" s="112">
        <f>ROUND($B978*KarliyukStopajOrani,0)</f>
        <v/>
      </c>
      <c r="F978" s="112">
        <f>ROUND($B978*KarliyukDamgaOrani,0)</f>
        <v/>
      </c>
      <c r="G978" s="112">
        <f>$B978-$C978-$D978-$E978-$F978</f>
        <v/>
      </c>
      <c r="H978" s="112">
        <f>ROUND($B978*KarliyukSgkIsverenOrani,0)</f>
        <v/>
      </c>
      <c r="I978" s="112">
        <f>ROUND($B978*KarliyukIssizlikIsverenOrani,0)</f>
        <v/>
      </c>
      <c r="J978" s="112">
        <f>$B978+$H978+$I978</f>
        <v/>
      </c>
      <c r="K978" s="114" t="n"/>
    </row>
    <row r="979" ht="15" customHeight="1" s="68">
      <c r="A979" s="114" t="n"/>
      <c r="B979" s="114" t="n"/>
      <c r="C979" s="112">
        <f>ROUND($B979*KarliyukSgkIsciOrani,0)</f>
        <v/>
      </c>
      <c r="D979" s="112">
        <f>ROUND($B979*KarliyukIssizlikIsciOrani,0)</f>
        <v/>
      </c>
      <c r="E979" s="112">
        <f>ROUND($B979*KarliyukStopajOrani,0)</f>
        <v/>
      </c>
      <c r="F979" s="112">
        <f>ROUND($B979*KarliyukDamgaOrani,0)</f>
        <v/>
      </c>
      <c r="G979" s="112">
        <f>$B979-$C979-$D979-$E979-$F979</f>
        <v/>
      </c>
      <c r="H979" s="112">
        <f>ROUND($B979*KarliyukSgkIsverenOrani,0)</f>
        <v/>
      </c>
      <c r="I979" s="112">
        <f>ROUND($B979*KarliyukIssizlikIsverenOrani,0)</f>
        <v/>
      </c>
      <c r="J979" s="112">
        <f>$B979+$H979+$I979</f>
        <v/>
      </c>
      <c r="K979" s="114" t="n"/>
    </row>
    <row r="980" ht="15" customHeight="1" s="68">
      <c r="A980" s="114" t="n"/>
      <c r="B980" s="114" t="n"/>
      <c r="C980" s="112">
        <f>ROUND($B980*KarliyukSgkIsciOrani,0)</f>
        <v/>
      </c>
      <c r="D980" s="112">
        <f>ROUND($B980*KarliyukIssizlikIsciOrani,0)</f>
        <v/>
      </c>
      <c r="E980" s="112">
        <f>ROUND($B980*KarliyukStopajOrani,0)</f>
        <v/>
      </c>
      <c r="F980" s="112">
        <f>ROUND($B980*KarliyukDamgaOrani,0)</f>
        <v/>
      </c>
      <c r="G980" s="112">
        <f>$B980-$C980-$D980-$E980-$F980</f>
        <v/>
      </c>
      <c r="H980" s="112">
        <f>ROUND($B980*KarliyukSgkIsverenOrani,0)</f>
        <v/>
      </c>
      <c r="I980" s="112">
        <f>ROUND($B980*KarliyukIssizlikIsverenOrani,0)</f>
        <v/>
      </c>
      <c r="J980" s="112">
        <f>$B980+$H980+$I980</f>
        <v/>
      </c>
      <c r="K980" s="114" t="n"/>
    </row>
    <row r="981" ht="15" customHeight="1" s="68">
      <c r="A981" s="114" t="n"/>
      <c r="B981" s="114" t="n"/>
      <c r="C981" s="112">
        <f>ROUND($B981*KarliyukSgkIsciOrani,0)</f>
        <v/>
      </c>
      <c r="D981" s="112">
        <f>ROUND($B981*KarliyukIssizlikIsciOrani,0)</f>
        <v/>
      </c>
      <c r="E981" s="112">
        <f>ROUND($B981*KarliyukStopajOrani,0)</f>
        <v/>
      </c>
      <c r="F981" s="112">
        <f>ROUND($B981*KarliyukDamgaOrani,0)</f>
        <v/>
      </c>
      <c r="G981" s="112">
        <f>$B981-$C981-$D981-$E981-$F981</f>
        <v/>
      </c>
      <c r="H981" s="112">
        <f>ROUND($B981*KarliyukSgkIsverenOrani,0)</f>
        <v/>
      </c>
      <c r="I981" s="112">
        <f>ROUND($B981*KarliyukIssizlikIsverenOrani,0)</f>
        <v/>
      </c>
      <c r="J981" s="112">
        <f>$B981+$H981+$I981</f>
        <v/>
      </c>
      <c r="K981" s="114" t="n"/>
    </row>
    <row r="982" ht="15" customHeight="1" s="68">
      <c r="A982" s="114" t="n"/>
      <c r="B982" s="114" t="n"/>
      <c r="C982" s="112">
        <f>ROUND($B982*KarliyukSgkIsciOrani,0)</f>
        <v/>
      </c>
      <c r="D982" s="112">
        <f>ROUND($B982*KarliyukIssizlikIsciOrani,0)</f>
        <v/>
      </c>
      <c r="E982" s="112">
        <f>ROUND($B982*KarliyukStopajOrani,0)</f>
        <v/>
      </c>
      <c r="F982" s="112">
        <f>ROUND($B982*KarliyukDamgaOrani,0)</f>
        <v/>
      </c>
      <c r="G982" s="112">
        <f>$B982-$C982-$D982-$E982-$F982</f>
        <v/>
      </c>
      <c r="H982" s="112">
        <f>ROUND($B982*KarliyukSgkIsverenOrani,0)</f>
        <v/>
      </c>
      <c r="I982" s="112">
        <f>ROUND($B982*KarliyukIssizlikIsverenOrani,0)</f>
        <v/>
      </c>
      <c r="J982" s="112">
        <f>$B982+$H982+$I982</f>
        <v/>
      </c>
      <c r="K982" s="114" t="n"/>
    </row>
    <row r="983" ht="15" customHeight="1" s="68">
      <c r="A983" s="114" t="n"/>
      <c r="B983" s="114" t="n"/>
      <c r="C983" s="112">
        <f>ROUND($B983*KarliyukSgkIsciOrani,0)</f>
        <v/>
      </c>
      <c r="D983" s="112">
        <f>ROUND($B983*KarliyukIssizlikIsciOrani,0)</f>
        <v/>
      </c>
      <c r="E983" s="112">
        <f>ROUND($B983*KarliyukStopajOrani,0)</f>
        <v/>
      </c>
      <c r="F983" s="112">
        <f>ROUND($B983*KarliyukDamgaOrani,0)</f>
        <v/>
      </c>
      <c r="G983" s="112">
        <f>$B983-$C983-$D983-$E983-$F983</f>
        <v/>
      </c>
      <c r="H983" s="112">
        <f>ROUND($B983*KarliyukSgkIsverenOrani,0)</f>
        <v/>
      </c>
      <c r="I983" s="112">
        <f>ROUND($B983*KarliyukIssizlikIsverenOrani,0)</f>
        <v/>
      </c>
      <c r="J983" s="112">
        <f>$B983+$H983+$I983</f>
        <v/>
      </c>
      <c r="K983" s="114" t="n"/>
    </row>
    <row r="984" ht="15" customHeight="1" s="68">
      <c r="A984" s="114" t="n"/>
      <c r="B984" s="114" t="n"/>
      <c r="C984" s="112">
        <f>ROUND($B984*KarliyukSgkIsciOrani,0)</f>
        <v/>
      </c>
      <c r="D984" s="112">
        <f>ROUND($B984*KarliyukIssizlikIsciOrani,0)</f>
        <v/>
      </c>
      <c r="E984" s="112">
        <f>ROUND($B984*KarliyukStopajOrani,0)</f>
        <v/>
      </c>
      <c r="F984" s="112">
        <f>ROUND($B984*KarliyukDamgaOrani,0)</f>
        <v/>
      </c>
      <c r="G984" s="112">
        <f>$B984-$C984-$D984-$E984-$F984</f>
        <v/>
      </c>
      <c r="H984" s="112">
        <f>ROUND($B984*KarliyukSgkIsverenOrani,0)</f>
        <v/>
      </c>
      <c r="I984" s="112">
        <f>ROUND($B984*KarliyukIssizlikIsverenOrani,0)</f>
        <v/>
      </c>
      <c r="J984" s="112">
        <f>$B984+$H984+$I984</f>
        <v/>
      </c>
      <c r="K984" s="114" t="n"/>
    </row>
    <row r="985" ht="15" customHeight="1" s="68">
      <c r="A985" s="114" t="n"/>
      <c r="B985" s="114" t="n"/>
      <c r="C985" s="112">
        <f>ROUND($B985*KarliyukSgkIsciOrani,0)</f>
        <v/>
      </c>
      <c r="D985" s="112">
        <f>ROUND($B985*KarliyukIssizlikIsciOrani,0)</f>
        <v/>
      </c>
      <c r="E985" s="112">
        <f>ROUND($B985*KarliyukStopajOrani,0)</f>
        <v/>
      </c>
      <c r="F985" s="112">
        <f>ROUND($B985*KarliyukDamgaOrani,0)</f>
        <v/>
      </c>
      <c r="G985" s="112">
        <f>$B985-$C985-$D985-$E985-$F985</f>
        <v/>
      </c>
      <c r="H985" s="112">
        <f>ROUND($B985*KarliyukSgkIsverenOrani,0)</f>
        <v/>
      </c>
      <c r="I985" s="112">
        <f>ROUND($B985*KarliyukIssizlikIsverenOrani,0)</f>
        <v/>
      </c>
      <c r="J985" s="112">
        <f>$B985+$H985+$I985</f>
        <v/>
      </c>
      <c r="K985" s="114" t="n"/>
    </row>
    <row r="986" ht="15" customHeight="1" s="68">
      <c r="A986" s="114" t="n"/>
      <c r="B986" s="114" t="n"/>
      <c r="C986" s="112">
        <f>ROUND($B986*KarliyukSgkIsciOrani,0)</f>
        <v/>
      </c>
      <c r="D986" s="112">
        <f>ROUND($B986*KarliyukIssizlikIsciOrani,0)</f>
        <v/>
      </c>
      <c r="E986" s="112">
        <f>ROUND($B986*KarliyukStopajOrani,0)</f>
        <v/>
      </c>
      <c r="F986" s="112">
        <f>ROUND($B986*KarliyukDamgaOrani,0)</f>
        <v/>
      </c>
      <c r="G986" s="112">
        <f>$B986-$C986-$D986-$E986-$F986</f>
        <v/>
      </c>
      <c r="H986" s="112">
        <f>ROUND($B986*KarliyukSgkIsverenOrani,0)</f>
        <v/>
      </c>
      <c r="I986" s="112">
        <f>ROUND($B986*KarliyukIssizlikIsverenOrani,0)</f>
        <v/>
      </c>
      <c r="J986" s="112">
        <f>$B986+$H986+$I986</f>
        <v/>
      </c>
      <c r="K986" s="114" t="n"/>
    </row>
    <row r="987" ht="15" customHeight="1" s="68">
      <c r="A987" s="114" t="n"/>
      <c r="B987" s="114" t="n"/>
      <c r="C987" s="112">
        <f>ROUND($B987*KarliyukSgkIsciOrani,0)</f>
        <v/>
      </c>
      <c r="D987" s="112">
        <f>ROUND($B987*KarliyukIssizlikIsciOrani,0)</f>
        <v/>
      </c>
      <c r="E987" s="112">
        <f>ROUND($B987*KarliyukStopajOrani,0)</f>
        <v/>
      </c>
      <c r="F987" s="112">
        <f>ROUND($B987*KarliyukDamgaOrani,0)</f>
        <v/>
      </c>
      <c r="G987" s="112">
        <f>$B987-$C987-$D987-$E987-$F987</f>
        <v/>
      </c>
      <c r="H987" s="112">
        <f>ROUND($B987*KarliyukSgkIsverenOrani,0)</f>
        <v/>
      </c>
      <c r="I987" s="112">
        <f>ROUND($B987*KarliyukIssizlikIsverenOrani,0)</f>
        <v/>
      </c>
      <c r="J987" s="112">
        <f>$B987+$H987+$I987</f>
        <v/>
      </c>
      <c r="K987" s="114" t="n"/>
    </row>
    <row r="988" ht="15" customHeight="1" s="68">
      <c r="A988" s="114" t="n"/>
      <c r="B988" s="114" t="n"/>
      <c r="C988" s="112">
        <f>ROUND($B988*KarliyukSgkIsciOrani,0)</f>
        <v/>
      </c>
      <c r="D988" s="112">
        <f>ROUND($B988*KarliyukIssizlikIsciOrani,0)</f>
        <v/>
      </c>
      <c r="E988" s="112">
        <f>ROUND($B988*KarliyukStopajOrani,0)</f>
        <v/>
      </c>
      <c r="F988" s="112">
        <f>ROUND($B988*KarliyukDamgaOrani,0)</f>
        <v/>
      </c>
      <c r="G988" s="112">
        <f>$B988-$C988-$D988-$E988-$F988</f>
        <v/>
      </c>
      <c r="H988" s="112">
        <f>ROUND($B988*KarliyukSgkIsverenOrani,0)</f>
        <v/>
      </c>
      <c r="I988" s="112">
        <f>ROUND($B988*KarliyukIssizlikIsverenOrani,0)</f>
        <v/>
      </c>
      <c r="J988" s="112">
        <f>$B988+$H988+$I988</f>
        <v/>
      </c>
      <c r="K988" s="114" t="n"/>
    </row>
    <row r="989" ht="15" customHeight="1" s="68">
      <c r="A989" s="114" t="n"/>
      <c r="B989" s="114" t="n"/>
      <c r="C989" s="112">
        <f>ROUND($B989*KarliyukSgkIsciOrani,0)</f>
        <v/>
      </c>
      <c r="D989" s="112">
        <f>ROUND($B989*KarliyukIssizlikIsciOrani,0)</f>
        <v/>
      </c>
      <c r="E989" s="112">
        <f>ROUND($B989*KarliyukStopajOrani,0)</f>
        <v/>
      </c>
      <c r="F989" s="112">
        <f>ROUND($B989*KarliyukDamgaOrani,0)</f>
        <v/>
      </c>
      <c r="G989" s="112">
        <f>$B989-$C989-$D989-$E989-$F989</f>
        <v/>
      </c>
      <c r="H989" s="112">
        <f>ROUND($B989*KarliyukSgkIsverenOrani,0)</f>
        <v/>
      </c>
      <c r="I989" s="112">
        <f>ROUND($B989*KarliyukIssizlikIsverenOrani,0)</f>
        <v/>
      </c>
      <c r="J989" s="112">
        <f>$B989+$H989+$I989</f>
        <v/>
      </c>
      <c r="K989" s="114" t="n"/>
    </row>
    <row r="990" ht="15" customHeight="1" s="68">
      <c r="A990" s="114" t="n"/>
      <c r="B990" s="114" t="n"/>
      <c r="C990" s="112">
        <f>ROUND($B990*KarliyukSgkIsciOrani,0)</f>
        <v/>
      </c>
      <c r="D990" s="112">
        <f>ROUND($B990*KarliyukIssizlikIsciOrani,0)</f>
        <v/>
      </c>
      <c r="E990" s="112">
        <f>ROUND($B990*KarliyukStopajOrani,0)</f>
        <v/>
      </c>
      <c r="F990" s="112">
        <f>ROUND($B990*KarliyukDamgaOrani,0)</f>
        <v/>
      </c>
      <c r="G990" s="112">
        <f>$B990-$C990-$D990-$E990-$F990</f>
        <v/>
      </c>
      <c r="H990" s="112">
        <f>ROUND($B990*KarliyukSgkIsverenOrani,0)</f>
        <v/>
      </c>
      <c r="I990" s="112">
        <f>ROUND($B990*KarliyukIssizlikIsverenOrani,0)</f>
        <v/>
      </c>
      <c r="J990" s="112">
        <f>$B990+$H990+$I990</f>
        <v/>
      </c>
      <c r="K990" s="114" t="n"/>
    </row>
    <row r="991" ht="15" customHeight="1" s="68">
      <c r="A991" s="114" t="n"/>
      <c r="B991" s="114" t="n"/>
      <c r="C991" s="112">
        <f>ROUND($B991*KarliyukSgkIsciOrani,0)</f>
        <v/>
      </c>
      <c r="D991" s="112">
        <f>ROUND($B991*KarliyukIssizlikIsciOrani,0)</f>
        <v/>
      </c>
      <c r="E991" s="112">
        <f>ROUND($B991*KarliyukStopajOrani,0)</f>
        <v/>
      </c>
      <c r="F991" s="112">
        <f>ROUND($B991*KarliyukDamgaOrani,0)</f>
        <v/>
      </c>
      <c r="G991" s="112">
        <f>$B991-$C991-$D991-$E991-$F991</f>
        <v/>
      </c>
      <c r="H991" s="112">
        <f>ROUND($B991*KarliyukSgkIsverenOrani,0)</f>
        <v/>
      </c>
      <c r="I991" s="112">
        <f>ROUND($B991*KarliyukIssizlikIsverenOrani,0)</f>
        <v/>
      </c>
      <c r="J991" s="112">
        <f>$B991+$H991+$I991</f>
        <v/>
      </c>
      <c r="K991" s="114" t="n"/>
    </row>
    <row r="992" ht="15" customHeight="1" s="68">
      <c r="A992" s="114" t="n"/>
      <c r="B992" s="114" t="n"/>
      <c r="C992" s="112">
        <f>ROUND($B992*KarliyukSgkIsciOrani,0)</f>
        <v/>
      </c>
      <c r="D992" s="112">
        <f>ROUND($B992*KarliyukIssizlikIsciOrani,0)</f>
        <v/>
      </c>
      <c r="E992" s="112">
        <f>ROUND($B992*KarliyukStopajOrani,0)</f>
        <v/>
      </c>
      <c r="F992" s="112">
        <f>ROUND($B992*KarliyukDamgaOrani,0)</f>
        <v/>
      </c>
      <c r="G992" s="112">
        <f>$B992-$C992-$D992-$E992-$F992</f>
        <v/>
      </c>
      <c r="H992" s="112">
        <f>ROUND($B992*KarliyukSgkIsverenOrani,0)</f>
        <v/>
      </c>
      <c r="I992" s="112">
        <f>ROUND($B992*KarliyukIssizlikIsverenOrani,0)</f>
        <v/>
      </c>
      <c r="J992" s="112">
        <f>$B992+$H992+$I992</f>
        <v/>
      </c>
      <c r="K992" s="114" t="n"/>
    </row>
    <row r="993" ht="15" customHeight="1" s="68">
      <c r="A993" s="114" t="n"/>
      <c r="B993" s="114" t="n"/>
      <c r="C993" s="112">
        <f>ROUND($B993*KarliyukSgkIsciOrani,0)</f>
        <v/>
      </c>
      <c r="D993" s="112">
        <f>ROUND($B993*KarliyukIssizlikIsciOrani,0)</f>
        <v/>
      </c>
      <c r="E993" s="112">
        <f>ROUND($B993*KarliyukStopajOrani,0)</f>
        <v/>
      </c>
      <c r="F993" s="112">
        <f>ROUND($B993*KarliyukDamgaOrani,0)</f>
        <v/>
      </c>
      <c r="G993" s="112">
        <f>$B993-$C993-$D993-$E993-$F993</f>
        <v/>
      </c>
      <c r="H993" s="112">
        <f>ROUND($B993*KarliyukSgkIsverenOrani,0)</f>
        <v/>
      </c>
      <c r="I993" s="112">
        <f>ROUND($B993*KarliyukIssizlikIsverenOrani,0)</f>
        <v/>
      </c>
      <c r="J993" s="112">
        <f>$B993+$H993+$I993</f>
        <v/>
      </c>
      <c r="K993" s="114" t="n"/>
    </row>
    <row r="994" ht="15" customHeight="1" s="68">
      <c r="A994" s="114" t="n"/>
      <c r="B994" s="114" t="n"/>
      <c r="C994" s="112">
        <f>ROUND($B994*KarliyukSgkIsciOrani,0)</f>
        <v/>
      </c>
      <c r="D994" s="112">
        <f>ROUND($B994*KarliyukIssizlikIsciOrani,0)</f>
        <v/>
      </c>
      <c r="E994" s="112">
        <f>ROUND($B994*KarliyukStopajOrani,0)</f>
        <v/>
      </c>
      <c r="F994" s="112">
        <f>ROUND($B994*KarliyukDamgaOrani,0)</f>
        <v/>
      </c>
      <c r="G994" s="112">
        <f>$B994-$C994-$D994-$E994-$F994</f>
        <v/>
      </c>
      <c r="H994" s="112">
        <f>ROUND($B994*KarliyukSgkIsverenOrani,0)</f>
        <v/>
      </c>
      <c r="I994" s="112">
        <f>ROUND($B994*KarliyukIssizlikIsverenOrani,0)</f>
        <v/>
      </c>
      <c r="J994" s="112">
        <f>$B994+$H994+$I994</f>
        <v/>
      </c>
      <c r="K994" s="114" t="n"/>
    </row>
    <row r="995" ht="15" customHeight="1" s="68">
      <c r="A995" s="114" t="n"/>
      <c r="B995" s="114" t="n"/>
      <c r="C995" s="112">
        <f>ROUND($B995*KarliyukSgkIsciOrani,0)</f>
        <v/>
      </c>
      <c r="D995" s="112">
        <f>ROUND($B995*KarliyukIssizlikIsciOrani,0)</f>
        <v/>
      </c>
      <c r="E995" s="112">
        <f>ROUND($B995*KarliyukStopajOrani,0)</f>
        <v/>
      </c>
      <c r="F995" s="112">
        <f>ROUND($B995*KarliyukDamgaOrani,0)</f>
        <v/>
      </c>
      <c r="G995" s="112">
        <f>$B995-$C995-$D995-$E995-$F995</f>
        <v/>
      </c>
      <c r="H995" s="112">
        <f>ROUND($B995*KarliyukSgkIsverenOrani,0)</f>
        <v/>
      </c>
      <c r="I995" s="112">
        <f>ROUND($B995*KarliyukIssizlikIsverenOrani,0)</f>
        <v/>
      </c>
      <c r="J995" s="112">
        <f>$B995+$H995+$I995</f>
        <v/>
      </c>
      <c r="K995" s="114" t="n"/>
    </row>
    <row r="996" ht="15" customHeight="1" s="68">
      <c r="A996" s="114" t="n"/>
      <c r="B996" s="114" t="n"/>
      <c r="C996" s="112">
        <f>ROUND($B996*KarliyukSgkIsciOrani,0)</f>
        <v/>
      </c>
      <c r="D996" s="112">
        <f>ROUND($B996*KarliyukIssizlikIsciOrani,0)</f>
        <v/>
      </c>
      <c r="E996" s="112">
        <f>ROUND($B996*KarliyukStopajOrani,0)</f>
        <v/>
      </c>
      <c r="F996" s="112">
        <f>ROUND($B996*KarliyukDamgaOrani,0)</f>
        <v/>
      </c>
      <c r="G996" s="112">
        <f>$B996-$C996-$D996-$E996-$F996</f>
        <v/>
      </c>
      <c r="H996" s="112">
        <f>ROUND($B996*KarliyukSgkIsverenOrani,0)</f>
        <v/>
      </c>
      <c r="I996" s="112">
        <f>ROUND($B996*KarliyukIssizlikIsverenOrani,0)</f>
        <v/>
      </c>
      <c r="J996" s="112">
        <f>$B996+$H996+$I996</f>
        <v/>
      </c>
      <c r="K996" s="114" t="n"/>
    </row>
    <row r="997" ht="15" customHeight="1" s="68">
      <c r="A997" s="114" t="n"/>
      <c r="B997" s="114" t="n"/>
      <c r="C997" s="112">
        <f>ROUND($B997*KarliyukSgkIsciOrani,0)</f>
        <v/>
      </c>
      <c r="D997" s="112">
        <f>ROUND($B997*KarliyukIssizlikIsciOrani,0)</f>
        <v/>
      </c>
      <c r="E997" s="112">
        <f>ROUND($B997*KarliyukStopajOrani,0)</f>
        <v/>
      </c>
      <c r="F997" s="112">
        <f>ROUND($B997*KarliyukDamgaOrani,0)</f>
        <v/>
      </c>
      <c r="G997" s="112">
        <f>$B997-$C997-$D997-$E997-$F997</f>
        <v/>
      </c>
      <c r="H997" s="112">
        <f>ROUND($B997*KarliyukSgkIsverenOrani,0)</f>
        <v/>
      </c>
      <c r="I997" s="112">
        <f>ROUND($B997*KarliyukIssizlikIsverenOrani,0)</f>
        <v/>
      </c>
      <c r="J997" s="112">
        <f>$B997+$H997+$I997</f>
        <v/>
      </c>
      <c r="K997" s="114" t="n"/>
    </row>
    <row r="998" ht="15" customHeight="1" s="68">
      <c r="A998" s="114" t="n"/>
      <c r="B998" s="114" t="n"/>
      <c r="C998" s="112">
        <f>ROUND($B998*KarliyukSgkIsciOrani,0)</f>
        <v/>
      </c>
      <c r="D998" s="112">
        <f>ROUND($B998*KarliyukIssizlikIsciOrani,0)</f>
        <v/>
      </c>
      <c r="E998" s="112">
        <f>ROUND($B998*KarliyukStopajOrani,0)</f>
        <v/>
      </c>
      <c r="F998" s="112">
        <f>ROUND($B998*KarliyukDamgaOrani,0)</f>
        <v/>
      </c>
      <c r="G998" s="112">
        <f>$B998-$C998-$D998-$E998-$F998</f>
        <v/>
      </c>
      <c r="H998" s="112">
        <f>ROUND($B998*KarliyukSgkIsverenOrani,0)</f>
        <v/>
      </c>
      <c r="I998" s="112">
        <f>ROUND($B998*KarliyukIssizlikIsverenOrani,0)</f>
        <v/>
      </c>
      <c r="J998" s="112">
        <f>$B998+$H998+$I998</f>
        <v/>
      </c>
      <c r="K998" s="114" t="n"/>
    </row>
    <row r="999" ht="15" customHeight="1" s="68">
      <c r="A999" s="114" t="n"/>
      <c r="B999" s="114" t="n"/>
      <c r="C999" s="112">
        <f>ROUND($B999*KarliyukSgkIsciOrani,0)</f>
        <v/>
      </c>
      <c r="D999" s="112">
        <f>ROUND($B999*KarliyukIssizlikIsciOrani,0)</f>
        <v/>
      </c>
      <c r="E999" s="112">
        <f>ROUND($B999*KarliyukStopajOrani,0)</f>
        <v/>
      </c>
      <c r="F999" s="112">
        <f>ROUND($B999*KarliyukDamgaOrani,0)</f>
        <v/>
      </c>
      <c r="G999" s="112">
        <f>$B999-$C999-$D999-$E999-$F999</f>
        <v/>
      </c>
      <c r="H999" s="112">
        <f>ROUND($B999*KarliyukSgkIsverenOrani,0)</f>
        <v/>
      </c>
      <c r="I999" s="112">
        <f>ROUND($B999*KarliyukIssizlikIsverenOrani,0)</f>
        <v/>
      </c>
      <c r="J999" s="112">
        <f>$B999+$H999+$I999</f>
        <v/>
      </c>
      <c r="K999" s="114" t="n"/>
    </row>
    <row r="1000" ht="15" customHeight="1" s="68">
      <c r="A1000" s="114" t="n"/>
      <c r="B1000" s="114" t="n"/>
      <c r="C1000" s="112">
        <f>ROUND($B1000*KarliyukSgkIsciOrani,0)</f>
        <v/>
      </c>
      <c r="D1000" s="112">
        <f>ROUND($B1000*KarliyukIssizlikIsciOrani,0)</f>
        <v/>
      </c>
      <c r="E1000" s="112">
        <f>ROUND($B1000*KarliyukStopajOrani,0)</f>
        <v/>
      </c>
      <c r="F1000" s="112">
        <f>ROUND($B1000*KarliyukDamgaOrani,0)</f>
        <v/>
      </c>
      <c r="G1000" s="112">
        <f>$B1000-$C1000-$D1000-$E1000-$F1000</f>
        <v/>
      </c>
      <c r="H1000" s="112">
        <f>ROUND($B1000*KarliyukSgkIsverenOrani,0)</f>
        <v/>
      </c>
      <c r="I1000" s="112">
        <f>ROUND($B1000*KarliyukIssizlikIsverenOrani,0)</f>
        <v/>
      </c>
      <c r="J1000" s="112">
        <f>$B1000+$H1000+$I1000</f>
        <v/>
      </c>
      <c r="K1000" s="114" t="n"/>
    </row>
    <row r="1001" ht="15" customHeight="1" s="68">
      <c r="A1001" s="114" t="n"/>
      <c r="B1001" s="114" t="n"/>
      <c r="C1001" s="112">
        <f>ROUND($B1001*KarliyukSgkIsciOrani,0)</f>
        <v/>
      </c>
      <c r="D1001" s="112">
        <f>ROUND($B1001*KarliyukIssizlikIsciOrani,0)</f>
        <v/>
      </c>
      <c r="E1001" s="112">
        <f>ROUND($B1001*KarliyukStopajOrani,0)</f>
        <v/>
      </c>
      <c r="F1001" s="112">
        <f>ROUND($B1001*KarliyukDamgaOrani,0)</f>
        <v/>
      </c>
      <c r="G1001" s="112">
        <f>$B1001-$C1001-$D1001-$E1001-$F1001</f>
        <v/>
      </c>
      <c r="H1001" s="112">
        <f>ROUND($B1001*KarliyukSgkIsverenOrani,0)</f>
        <v/>
      </c>
      <c r="I1001" s="112">
        <f>ROUND($B1001*KarliyukIssizlikIsverenOrani,0)</f>
        <v/>
      </c>
      <c r="J1001" s="112">
        <f>$B1001+$H1001+$I1001</f>
        <v/>
      </c>
      <c r="K1001" s="114" t="n"/>
    </row>
    <row r="1002" ht="15" customHeight="1" s="68">
      <c r="A1002" s="114" t="n"/>
      <c r="B1002" s="114" t="n"/>
      <c r="C1002" s="112">
        <f>ROUND($B1002*KarliyukSgkIsciOrani,0)</f>
        <v/>
      </c>
      <c r="D1002" s="112">
        <f>ROUND($B1002*KarliyukIssizlikIsciOrani,0)</f>
        <v/>
      </c>
      <c r="E1002" s="112">
        <f>ROUND($B1002*KarliyukStopajOrani,0)</f>
        <v/>
      </c>
      <c r="F1002" s="112">
        <f>ROUND($B1002*KarliyukDamgaOrani,0)</f>
        <v/>
      </c>
      <c r="G1002" s="112">
        <f>$B1002-$C1002-$D1002-$E1002-$F1002</f>
        <v/>
      </c>
      <c r="H1002" s="112">
        <f>ROUND($B1002*KarliyukSgkIsverenOrani,0)</f>
        <v/>
      </c>
      <c r="I1002" s="112">
        <f>ROUND($B1002*KarliyukIssizlikIsverenOrani,0)</f>
        <v/>
      </c>
      <c r="J1002" s="112">
        <f>$B1002+$H1002+$I1002</f>
        <v/>
      </c>
      <c r="K1002" s="114" t="n"/>
    </row>
    <row r="1003" ht="15" customHeight="1" s="68">
      <c r="A1003" s="114" t="n"/>
      <c r="B1003" s="114" t="n"/>
      <c r="C1003" s="112">
        <f>ROUND($B1003*KarliyukSgkIsciOrani,0)</f>
        <v/>
      </c>
      <c r="D1003" s="112">
        <f>ROUND($B1003*KarliyukIssizlikIsciOrani,0)</f>
        <v/>
      </c>
      <c r="E1003" s="112">
        <f>ROUND($B1003*KarliyukStopajOrani,0)</f>
        <v/>
      </c>
      <c r="F1003" s="112">
        <f>ROUND($B1003*KarliyukDamgaOrani,0)</f>
        <v/>
      </c>
      <c r="G1003" s="112">
        <f>$B1003-$C1003-$D1003-$E1003-$F1003</f>
        <v/>
      </c>
      <c r="H1003" s="112">
        <f>ROUND($B1003*KarliyukSgkIsverenOrani,0)</f>
        <v/>
      </c>
      <c r="I1003" s="112">
        <f>ROUND($B1003*KarliyukIssizlikIsverenOrani,0)</f>
        <v/>
      </c>
      <c r="J1003" s="112">
        <f>$B1003+$H1003+$I1003</f>
        <v/>
      </c>
      <c r="K1003" s="114" t="n"/>
    </row>
    <row r="1004" ht="15" customHeight="1" s="68">
      <c r="A1004" s="114" t="n"/>
      <c r="B1004" s="114" t="n"/>
      <c r="C1004" s="112">
        <f>ROUND($B1004*KarliyukSgkIsciOrani,0)</f>
        <v/>
      </c>
      <c r="D1004" s="112">
        <f>ROUND($B1004*KarliyukIssizlikIsciOrani,0)</f>
        <v/>
      </c>
      <c r="E1004" s="112">
        <f>ROUND($B1004*KarliyukStopajOrani,0)</f>
        <v/>
      </c>
      <c r="F1004" s="112">
        <f>ROUND($B1004*KarliyukDamgaOrani,0)</f>
        <v/>
      </c>
      <c r="G1004" s="112">
        <f>$B1004-$C1004-$D1004-$E1004-$F1004</f>
        <v/>
      </c>
      <c r="H1004" s="112">
        <f>ROUND($B1004*KarliyukSgkIsverenOrani,0)</f>
        <v/>
      </c>
      <c r="I1004" s="112">
        <f>ROUND($B1004*KarliyukIssizlikIsverenOrani,0)</f>
        <v/>
      </c>
      <c r="J1004" s="112">
        <f>$B1004+$H1004+$I1004</f>
        <v/>
      </c>
      <c r="K1004" s="114" t="n"/>
    </row>
    <row r="1005"/>
    <row r="1006" ht="19.5" customHeight="1" s="68">
      <c r="A1006" s="105" t="inlineStr">
        <is>
          <t>Net maaş, SGK ve işsizlik tutarları AYARLAR'daki oranlardan hesaplanır.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K1"/>
    <mergeCell ref="A1006:AN1006"/>
    <mergeCell ref="A3:K3"/>
  </mergeCells>
  <conditionalFormatting sqref="B6:B1004">
    <cfRule type="cellIs" rank="0" priority="2" equalAverage="0" operator="lessThan" aboveAverage="0" dxfId="7" text="" percent="0" bottom="0">
      <formula>0</formula>
    </cfRule>
    <cfRule type="cellIs" rank="0" priority="3" equalAverage="0" operator="greaterThan" aboveAverage="0" dxfId="8" text="" percent="0" bottom="0">
      <formula>1000000</formula>
    </cfRule>
  </conditionalFormatting>
  <conditionalFormatting sqref="J6:J1004">
    <cfRule type="cellIs" rank="0" priority="4" equalAverage="0" operator="lessThan" aboveAverage="0" dxfId="7" text="" percent="0" bottom="0">
      <formula>0</formula>
    </cfRule>
  </conditionalFormatting>
  <conditionalFormatting sqref="G6:G1004">
    <cfRule type="cellIs" rank="0" priority="5" equalAverage="0" operator="lessThan" aboveAverage="0" dxfId="7" text="" percent="0" bottom="0">
      <formula>0</formula>
    </cfRule>
  </conditionalFormatting>
  <dataValidations count="1">
    <dataValidation sqref="B6:B1004" showDropDown="0" showInputMessage="1" showErrorMessage="1" allowBlank="1" errorTitle="Hatalı giriş" error="Brüt maaş negatif olamaz." promptTitle="Brüt Maaş" prompt="Brüt maaşı TL olarak girin. Net maaş girmeyin; kesintiler otomatik hesaplanır.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0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4" min="1" max="1"/>
    <col width="16" customWidth="1" style="94" min="2" max="2"/>
    <col width="18" customWidth="1" style="94" min="3" max="4"/>
    <col width="13" customWidth="1" style="68" min="4" max="4"/>
    <col width="20" customWidth="1" style="94" min="5" max="5"/>
    <col width="14" customWidth="1" style="94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KARSILIK MOTORU — VERGİ, SGK VE MAAŞ KARŞILIK AYIRMA SİSTEMİ</t>
        </is>
      </c>
    </row>
    <row r="2"/>
    <row r="3" ht="15.75" customHeight="1" s="68">
      <c r="A3" s="102" t="inlineStr">
        <is>
          <t>Karşılık Motoru</t>
        </is>
      </c>
    </row>
    <row r="4" ht="27.75" customHeight="1" s="68">
      <c r="A4" s="108" t="inlineStr">
        <is>
          <t>Aşağıdaki kalemler giriş sayfalarından otomatik beslenir. Bu sayfa elle değiştirilmez.</t>
        </is>
      </c>
    </row>
    <row r="5"/>
    <row r="6" ht="15" customHeight="1" s="68">
      <c r="A6" s="117" t="inlineStr">
        <is>
          <t>Dönem Toplam Geliri</t>
        </is>
      </c>
      <c r="B6" s="118">
        <f>SUM(tblDonem[Gelir (₺)])+SUM(tblDonem[[KDV Yüklenimi (₺)]])</f>
        <v/>
      </c>
    </row>
    <row r="7" ht="15" customHeight="1" s="68">
      <c r="A7" s="117" t="inlineStr">
        <is>
          <t>Dönem Toplam Gideri</t>
        </is>
      </c>
      <c r="B7" s="118">
        <f>SUM(tblDonem[Gider (₺)])</f>
        <v/>
      </c>
    </row>
    <row r="8" ht="15" customHeight="1" s="68">
      <c r="A8" s="117" t="inlineStr">
        <is>
          <t>Tahsil Edilen KDV (Gelir Üzerinden)</t>
        </is>
      </c>
      <c r="B8" s="118">
        <f>SUM(tblDonem[KDV Tutarı (₺)])-SUM(tblDonem[[KDV Yüklenimi (₺)]])</f>
        <v/>
      </c>
    </row>
    <row r="9" ht="15" customHeight="1" s="68">
      <c r="A9" s="117" t="inlineStr">
        <is>
          <t>KDV Karşılığı (Ödenecek Net KDV)</t>
        </is>
      </c>
      <c r="B9" s="118">
        <f>MAX(0,SUM(tblDonem[KDV Tutarı (₺)])-SUM(tblDonem[[KDV Yüklenimi (₺)]]))</f>
        <v/>
      </c>
    </row>
    <row r="10" ht="15" customHeight="1" s="68">
      <c r="A10" s="117" t="inlineStr">
        <is>
          <t>Kurumlar Vergisi Karşılığı</t>
        </is>
      </c>
      <c r="B10" s="118">
        <f>SUM(tblDonem[Vergi Karşılığı (₺)])</f>
        <v/>
      </c>
    </row>
    <row r="11" ht="15" customHeight="1" s="68">
      <c r="A11" s="117" t="inlineStr">
        <is>
          <t>SGK İşveren Karşılığı</t>
        </is>
      </c>
      <c r="B11" s="118">
        <f>SUM(tblBordro[SGK İşveren (₺)])</f>
        <v/>
      </c>
    </row>
    <row r="12" ht="15" customHeight="1" s="68">
      <c r="A12" s="117" t="inlineStr">
        <is>
          <t>İşsizlik İşveren Karşılığı</t>
        </is>
      </c>
      <c r="B12" s="118">
        <f>SUM(tblBordro[İşsizlik İşveren (₺)])</f>
        <v/>
      </c>
    </row>
    <row r="13" ht="15" customHeight="1" s="68">
      <c r="A13" s="117" t="inlineStr">
        <is>
          <t>Bordro Stopaj Karşılığı</t>
        </is>
      </c>
      <c r="B13" s="118">
        <f>SUM(tblBordro[Gelir Vergisi (₺)])+SUM(tblBordro[Damga (₺)])</f>
        <v/>
      </c>
    </row>
    <row r="14" ht="15" customHeight="1" s="68">
      <c r="A14" s="117" t="inlineStr">
        <is>
          <t>Net Maaş Karşılığı</t>
        </is>
      </c>
      <c r="B14" s="118">
        <f>SUM(tblBordro[Net Maaş (₺)])</f>
        <v/>
      </c>
    </row>
    <row r="15" ht="15" customHeight="1" s="68">
      <c r="A15" s="117" t="inlineStr">
        <is>
          <t>Toplam Karşılık Yükü</t>
        </is>
      </c>
      <c r="B15" s="118">
        <f>SUM(KarsilikKdv,KarsilikKurumlar,KarsilikSgkIsveren,KarsilikIssizlikIsveren,KarsilikStopaj,KarsilikNetMaas)</f>
        <v/>
      </c>
    </row>
    <row r="16" ht="15" customHeight="1" s="68">
      <c r="A16" s="117" t="inlineStr">
        <is>
          <t>Ay Başı Kasa</t>
        </is>
      </c>
      <c r="B16" s="118">
        <f>AYARLAR!$B$21</f>
        <v/>
      </c>
    </row>
    <row r="17" ht="15" customHeight="1" s="68">
      <c r="A17" s="117" t="inlineStr">
        <is>
          <t>Dönem Nakit Girişi (Tahsilat)</t>
        </is>
      </c>
      <c r="B17" s="118">
        <f>SUM(tblDonem[Gelir (₺)])</f>
        <v/>
      </c>
    </row>
    <row r="18" ht="15" customHeight="1" s="68">
      <c r="A18" s="117" t="inlineStr">
        <is>
          <t>Dönem Nakit Çıkışı (Gider)</t>
        </is>
      </c>
      <c r="B18" s="118">
        <f>SUM(tblDonem[Gider (₺)])</f>
        <v/>
      </c>
    </row>
    <row r="19" ht="15" customHeight="1" s="68">
      <c r="A19" s="117" t="inlineStr">
        <is>
          <t>Karşılık Sonrası Nakit Fazlası</t>
        </is>
      </c>
      <c r="B19" s="118">
        <f>KarsilikAyBasiKasa+KarsilikNakitGiris-KarsilikNakitCikis-KarsilikToplam</f>
        <v/>
      </c>
    </row>
    <row r="20" ht="15" customHeight="1" s="68">
      <c r="A20" s="117" t="inlineStr">
        <is>
          <t>Karşılık / Gelir Oranı</t>
        </is>
      </c>
      <c r="B20" s="119">
        <f>IF(KarsilikDonemGelir=0,0,KarsilikToplam/KarsilikDonemGelir)</f>
        <v/>
      </c>
    </row>
    <row r="21"/>
    <row r="22" ht="15" customHeight="1" s="68">
      <c r="A22" s="115" t="inlineStr">
        <is>
          <t>Aylık Karşılık Dağılımı (Ay Bazında)</t>
        </is>
      </c>
    </row>
    <row r="23" ht="27.75" customHeight="1" s="68">
      <c r="A23" s="108" t="inlineStr">
        <is>
          <t>Aşağıdaki tablo her ayın karşılık kalemlerini özetler; hesaplanan kolonlardır.</t>
        </is>
      </c>
    </row>
    <row r="24" ht="30" customHeight="1" s="68">
      <c r="A24" s="109" t="inlineStr">
        <is>
          <t>Dönem</t>
        </is>
      </c>
      <c r="B24" s="109" t="inlineStr">
        <is>
          <t>Gelir TL</t>
        </is>
      </c>
      <c r="C24" s="109" t="inlineStr">
        <is>
          <t>KDV Karşılığı TL</t>
        </is>
      </c>
      <c r="D24" s="109" t="inlineStr">
        <is>
          <t>Kurumlar Vergisi TL</t>
        </is>
      </c>
      <c r="E24" s="109" t="inlineStr">
        <is>
          <t>Toplam Ay Karşılığı TL</t>
        </is>
      </c>
      <c r="F24" s="109" t="inlineStr">
        <is>
          <t>Gelir Oranı %</t>
        </is>
      </c>
    </row>
    <row r="25" ht="15" customHeight="1" s="68">
      <c r="A25" s="110" t="inlineStr">
        <is>
          <t>Ağustos 2026</t>
        </is>
      </c>
      <c r="B25" s="120">
        <f>SUMIFS(tblDonem[Gelir (₺)],tblDonem[Dönem],$A25)</f>
        <v/>
      </c>
      <c r="C25" s="120">
        <f>SUMIFS(tblDonem[KDV Tutarı (₺)],tblDonem[Dönem],$A25)-SUMIFS(tblDonem[KDV Yüklenimi (₺)],tblDonem[Dönem],$A25)</f>
        <v/>
      </c>
      <c r="D25" s="120">
        <f>SUMIFS(tblDonem[Vergi Karşılığı (₺)],tblDonem[Dönem],$A25)</f>
        <v/>
      </c>
      <c r="E25" s="120">
        <f>$C25+$D25</f>
        <v/>
      </c>
      <c r="F25" s="120">
        <f>IF($B25=0,0,$E25/$B25)</f>
        <v/>
      </c>
    </row>
    <row r="26" ht="15" customHeight="1" s="68">
      <c r="A26" s="110" t="inlineStr">
        <is>
          <t>Eylül 2026</t>
        </is>
      </c>
      <c r="B26" s="120">
        <f>SUMIFS(tblDonem[Gelir (₺)],tblDonem[Dönem],$A26)</f>
        <v/>
      </c>
      <c r="C26" s="120">
        <f>SUMIFS(tblDonem[KDV Tutarı (₺)],tblDonem[Dönem],$A26)-SUMIFS(tblDonem[KDV Yüklenimi (₺)],tblDonem[Dönem],$A26)</f>
        <v/>
      </c>
      <c r="D26" s="120">
        <f>SUMIFS(tblDonem[Vergi Karşılığı (₺)],tblDonem[Dönem],$A26)</f>
        <v/>
      </c>
      <c r="E26" s="120">
        <f>$C26+$D26</f>
        <v/>
      </c>
      <c r="F26" s="120">
        <f>IF($B26=0,0,$E26/$B26)</f>
        <v/>
      </c>
    </row>
    <row r="27" ht="15" customHeight="1" s="68">
      <c r="A27" s="110" t="inlineStr">
        <is>
          <t>Ekim 2026</t>
        </is>
      </c>
      <c r="B27" s="120">
        <f>SUMIFS(tblDonem[Gelir (₺)],tblDonem[Dönem],$A27)</f>
        <v/>
      </c>
      <c r="C27" s="120">
        <f>SUMIFS(tblDonem[KDV Tutarı (₺)],tblDonem[Dönem],$A27)-SUMIFS(tblDonem[KDV Yüklenimi (₺)],tblDonem[Dönem],$A27)</f>
        <v/>
      </c>
      <c r="D27" s="120">
        <f>SUMIFS(tblDonem[Vergi Karşılığı (₺)],tblDonem[Dönem],$A27)</f>
        <v/>
      </c>
      <c r="E27" s="120">
        <f>$C27+$D27</f>
        <v/>
      </c>
      <c r="F27" s="120">
        <f>IF($B27=0,0,$E27/$B27)</f>
        <v/>
      </c>
    </row>
    <row r="28" ht="15" customHeight="1" s="68">
      <c r="A28" s="110" t="inlineStr">
        <is>
          <t>Kasım 2026</t>
        </is>
      </c>
      <c r="B28" s="120">
        <f>SUMIFS(tblDonem[Gelir (₺)],tblDonem[Dönem],$A28)</f>
        <v/>
      </c>
      <c r="C28" s="120">
        <f>SUMIFS(tblDonem[KDV Tutarı (₺)],tblDonem[Dönem],$A28)-SUMIFS(tblDonem[KDV Yüklenimi (₺)],tblDonem[Dönem],$A28)</f>
        <v/>
      </c>
      <c r="D28" s="120">
        <f>SUMIFS(tblDonem[Vergi Karşılığı (₺)],tblDonem[Dönem],$A28)</f>
        <v/>
      </c>
      <c r="E28" s="120">
        <f>$C28+$D28</f>
        <v/>
      </c>
      <c r="F28" s="120">
        <f>IF($B28=0,0,$E28/$B28)</f>
        <v/>
      </c>
    </row>
    <row r="29" ht="15" customHeight="1" s="68">
      <c r="A29" s="110" t="inlineStr">
        <is>
          <t>Aralık 2026</t>
        </is>
      </c>
      <c r="B29" s="120">
        <f>SUMIFS(tblDonem[Gelir (₺)],tblDonem[Dönem],$A29)</f>
        <v/>
      </c>
      <c r="C29" s="120">
        <f>SUMIFS(tblDonem[KDV Tutarı (₺)],tblDonem[Dönem],$A29)-SUMIFS(tblDonem[KDV Yüklenimi (₺)],tblDonem[Dönem],$A29)</f>
        <v/>
      </c>
      <c r="D29" s="120">
        <f>SUMIFS(tblDonem[Vergi Karşılığı (₺)],tblDonem[Dönem],$A29)</f>
        <v/>
      </c>
      <c r="E29" s="120">
        <f>$C29+$D29</f>
        <v/>
      </c>
      <c r="F29" s="120">
        <f>IF($B29=0,0,$E29/$B29)</f>
        <v/>
      </c>
    </row>
    <row r="30" ht="15" customHeight="1" s="68">
      <c r="A30" s="110" t="inlineStr">
        <is>
          <t>Ocak 2027</t>
        </is>
      </c>
      <c r="B30" s="120">
        <f>SUMIFS(tblDonem[Gelir (₺)],tblDonem[Dönem],$A30)</f>
        <v/>
      </c>
      <c r="C30" s="120">
        <f>SUMIFS(tblDonem[KDV Tutarı (₺)],tblDonem[Dönem],$A30)-SUMIFS(tblDonem[KDV Yüklenimi (₺)],tblDonem[Dönem],$A30)</f>
        <v/>
      </c>
      <c r="D30" s="120">
        <f>SUMIFS(tblDonem[Vergi Karşılığı (₺)],tblDonem[Dönem],$A30)</f>
        <v/>
      </c>
      <c r="E30" s="120">
        <f>$C30+$D30</f>
        <v/>
      </c>
      <c r="F30" s="120">
        <f>IF($B30=0,0,$E30/$B30)</f>
        <v/>
      </c>
    </row>
    <row r="31" ht="15" customHeight="1" s="68">
      <c r="A31" s="114" t="n"/>
      <c r="B31" s="120">
        <f>SUMIFS(tblDonem[Gelir (₺)],tblDonem[Dönem],$A31)</f>
        <v/>
      </c>
      <c r="C31" s="120">
        <f>SUMIFS(tblDonem[KDV Tutarı (₺)],tblDonem[Dönem],$A31)-SUMIFS(tblDonem[KDV Yüklenimi (₺)],tblDonem[Dönem],$A31)</f>
        <v/>
      </c>
      <c r="D31" s="120">
        <f>SUMIFS(tblDonem[Vergi Karşılığı (₺)],tblDonem[Dönem],$A31)</f>
        <v/>
      </c>
      <c r="E31" s="120">
        <f>$C31+$D31</f>
        <v/>
      </c>
      <c r="F31" s="120">
        <f>IF($B31=0,0,$E31/$B31)</f>
        <v/>
      </c>
    </row>
    <row r="32" ht="15" customHeight="1" s="68">
      <c r="A32" s="114" t="n"/>
      <c r="B32" s="120">
        <f>SUMIFS(tblDonem[Gelir (₺)],tblDonem[Dönem],$A32)</f>
        <v/>
      </c>
      <c r="C32" s="120">
        <f>SUMIFS(tblDonem[KDV Tutarı (₺)],tblDonem[Dönem],$A32)-SUMIFS(tblDonem[KDV Yüklenimi (₺)],tblDonem[Dönem],$A32)</f>
        <v/>
      </c>
      <c r="D32" s="120">
        <f>SUMIFS(tblDonem[Vergi Karşılığı (₺)],tblDonem[Dönem],$A32)</f>
        <v/>
      </c>
      <c r="E32" s="120">
        <f>$C32+$D32</f>
        <v/>
      </c>
      <c r="F32" s="120">
        <f>IF($B32=0,0,$E32/$B32)</f>
        <v/>
      </c>
    </row>
    <row r="33" ht="15" customHeight="1" s="68">
      <c r="A33" s="114" t="n"/>
      <c r="B33" s="120">
        <f>SUMIFS(tblDonem[Gelir (₺)],tblDonem[Dönem],$A33)</f>
        <v/>
      </c>
      <c r="C33" s="120">
        <f>SUMIFS(tblDonem[KDV Tutarı (₺)],tblDonem[Dönem],$A33)-SUMIFS(tblDonem[KDV Yüklenimi (₺)],tblDonem[Dönem],$A33)</f>
        <v/>
      </c>
      <c r="D33" s="120">
        <f>SUMIFS(tblDonem[Vergi Karşılığı (₺)],tblDonem[Dönem],$A33)</f>
        <v/>
      </c>
      <c r="E33" s="120">
        <f>$C33+$D33</f>
        <v/>
      </c>
      <c r="F33" s="120">
        <f>IF($B33=0,0,$E33/$B33)</f>
        <v/>
      </c>
    </row>
    <row r="34" ht="15" customHeight="1" s="68">
      <c r="A34" s="114" t="n"/>
      <c r="B34" s="120">
        <f>SUMIFS(tblDonem[Gelir (₺)],tblDonem[Dönem],$A34)</f>
        <v/>
      </c>
      <c r="C34" s="120">
        <f>SUMIFS(tblDonem[KDV Tutarı (₺)],tblDonem[Dönem],$A34)-SUMIFS(tblDonem[KDV Yüklenimi (₺)],tblDonem[Dönem],$A34)</f>
        <v/>
      </c>
      <c r="D34" s="120">
        <f>SUMIFS(tblDonem[Vergi Karşılığı (₺)],tblDonem[Dönem],$A34)</f>
        <v/>
      </c>
      <c r="E34" s="120">
        <f>$C34+$D34</f>
        <v/>
      </c>
      <c r="F34" s="120">
        <f>IF($B34=0,0,$E34/$B34)</f>
        <v/>
      </c>
    </row>
    <row r="35" ht="15" customHeight="1" s="68">
      <c r="A35" s="114" t="n"/>
      <c r="B35" s="120">
        <f>SUMIFS(tblDonem[Gelir (₺)],tblDonem[Dönem],$A35)</f>
        <v/>
      </c>
      <c r="C35" s="120">
        <f>SUMIFS(tblDonem[KDV Tutarı (₺)],tblDonem[Dönem],$A35)-SUMIFS(tblDonem[KDV Yüklenimi (₺)],tblDonem[Dönem],$A35)</f>
        <v/>
      </c>
      <c r="D35" s="120">
        <f>SUMIFS(tblDonem[Vergi Karşılığı (₺)],tblDonem[Dönem],$A35)</f>
        <v/>
      </c>
      <c r="E35" s="120">
        <f>$C35+$D35</f>
        <v/>
      </c>
      <c r="F35" s="120">
        <f>IF($B35=0,0,$E35/$B35)</f>
        <v/>
      </c>
    </row>
    <row r="36" ht="15" customHeight="1" s="68">
      <c r="A36" s="114" t="n"/>
      <c r="B36" s="120">
        <f>SUMIFS(tblDonem[Gelir (₺)],tblDonem[Dönem],$A36)</f>
        <v/>
      </c>
      <c r="C36" s="120">
        <f>SUMIFS(tblDonem[KDV Tutarı (₺)],tblDonem[Dönem],$A36)-SUMIFS(tblDonem[KDV Yüklenimi (₺)],tblDonem[Dönem],$A36)</f>
        <v/>
      </c>
      <c r="D36" s="120">
        <f>SUMIFS(tblDonem[Vergi Karşılığı (₺)],tblDonem[Dönem],$A36)</f>
        <v/>
      </c>
      <c r="E36" s="120">
        <f>$C36+$D36</f>
        <v/>
      </c>
      <c r="F36" s="120">
        <f>IF($B36=0,0,$E36/$B36)</f>
        <v/>
      </c>
    </row>
    <row r="37" ht="15" customHeight="1" s="68">
      <c r="A37" s="114" t="n"/>
      <c r="B37" s="120">
        <f>SUMIFS(tblDonem[Gelir (₺)],tblDonem[Dönem],$A37)</f>
        <v/>
      </c>
      <c r="C37" s="120">
        <f>SUMIFS(tblDonem[KDV Tutarı (₺)],tblDonem[Dönem],$A37)-SUMIFS(tblDonem[KDV Yüklenimi (₺)],tblDonem[Dönem],$A37)</f>
        <v/>
      </c>
      <c r="D37" s="120">
        <f>SUMIFS(tblDonem[Vergi Karşılığı (₺)],tblDonem[Dönem],$A37)</f>
        <v/>
      </c>
      <c r="E37" s="120">
        <f>$C37+$D37</f>
        <v/>
      </c>
      <c r="F37" s="120">
        <f>IF($B37=0,0,$E37/$B37)</f>
        <v/>
      </c>
    </row>
    <row r="38" ht="15" customHeight="1" s="68">
      <c r="A38" s="114" t="n"/>
      <c r="B38" s="120">
        <f>SUMIFS(tblDonem[Gelir (₺)],tblDonem[Dönem],$A38)</f>
        <v/>
      </c>
      <c r="C38" s="120">
        <f>SUMIFS(tblDonem[KDV Tutarı (₺)],tblDonem[Dönem],$A38)-SUMIFS(tblDonem[KDV Yüklenimi (₺)],tblDonem[Dönem],$A38)</f>
        <v/>
      </c>
      <c r="D38" s="120">
        <f>SUMIFS(tblDonem[Vergi Karşılığı (₺)],tblDonem[Dönem],$A38)</f>
        <v/>
      </c>
      <c r="E38" s="120">
        <f>$C38+$D38</f>
        <v/>
      </c>
      <c r="F38" s="120">
        <f>IF($B38=0,0,$E38/$B38)</f>
        <v/>
      </c>
    </row>
    <row r="39" ht="15" customHeight="1" s="68">
      <c r="A39" s="114" t="n"/>
      <c r="B39" s="120">
        <f>SUMIFS(tblDonem[Gelir (₺)],tblDonem[Dönem],$A39)</f>
        <v/>
      </c>
      <c r="C39" s="120">
        <f>SUMIFS(tblDonem[KDV Tutarı (₺)],tblDonem[Dönem],$A39)-SUMIFS(tblDonem[KDV Yüklenimi (₺)],tblDonem[Dönem],$A39)</f>
        <v/>
      </c>
      <c r="D39" s="120">
        <f>SUMIFS(tblDonem[Vergi Karşılığı (₺)],tblDonem[Dönem],$A39)</f>
        <v/>
      </c>
      <c r="E39" s="120">
        <f>$C39+$D39</f>
        <v/>
      </c>
      <c r="F39" s="120">
        <f>IF($B39=0,0,$E39/$B39)</f>
        <v/>
      </c>
    </row>
    <row r="40" ht="15" customHeight="1" s="68">
      <c r="A40" s="114" t="n"/>
      <c r="B40" s="120">
        <f>SUMIFS(tblDonem[Gelir (₺)],tblDonem[Dönem],$A40)</f>
        <v/>
      </c>
      <c r="C40" s="120">
        <f>SUMIFS(tblDonem[KDV Tutarı (₺)],tblDonem[Dönem],$A40)-SUMIFS(tblDonem[KDV Yüklenimi (₺)],tblDonem[Dönem],$A40)</f>
        <v/>
      </c>
      <c r="D40" s="120">
        <f>SUMIFS(tblDonem[Vergi Karşılığı (₺)],tblDonem[Dönem],$A40)</f>
        <v/>
      </c>
      <c r="E40" s="120">
        <f>$C40+$D40</f>
        <v/>
      </c>
      <c r="F40" s="120">
        <f>IF($B40=0,0,$E40/$B40)</f>
        <v/>
      </c>
    </row>
    <row r="41" ht="15" customHeight="1" s="68">
      <c r="A41" s="114" t="n"/>
      <c r="B41" s="120">
        <f>SUMIFS(tblDonem[Gelir (₺)],tblDonem[Dönem],$A41)</f>
        <v/>
      </c>
      <c r="C41" s="120">
        <f>SUMIFS(tblDonem[KDV Tutarı (₺)],tblDonem[Dönem],$A41)-SUMIFS(tblDonem[KDV Yüklenimi (₺)],tblDonem[Dönem],$A41)</f>
        <v/>
      </c>
      <c r="D41" s="120">
        <f>SUMIFS(tblDonem[Vergi Karşılığı (₺)],tblDonem[Dönem],$A41)</f>
        <v/>
      </c>
      <c r="E41" s="120">
        <f>$C41+$D41</f>
        <v/>
      </c>
      <c r="F41" s="120">
        <f>IF($B41=0,0,$E41/$B41)</f>
        <v/>
      </c>
    </row>
    <row r="42" ht="15" customHeight="1" s="68">
      <c r="A42" s="114" t="n"/>
      <c r="B42" s="120">
        <f>SUMIFS(tblDonem[Gelir (₺)],tblDonem[Dönem],$A42)</f>
        <v/>
      </c>
      <c r="C42" s="120">
        <f>SUMIFS(tblDonem[KDV Tutarı (₺)],tblDonem[Dönem],$A42)-SUMIFS(tblDonem[KDV Yüklenimi (₺)],tblDonem[Dönem],$A42)</f>
        <v/>
      </c>
      <c r="D42" s="120">
        <f>SUMIFS(tblDonem[Vergi Karşılığı (₺)],tblDonem[Dönem],$A42)</f>
        <v/>
      </c>
      <c r="E42" s="120">
        <f>$C42+$D42</f>
        <v/>
      </c>
      <c r="F42" s="120">
        <f>IF($B42=0,0,$E42/$B42)</f>
        <v/>
      </c>
    </row>
    <row r="43" ht="15" customHeight="1" s="68">
      <c r="A43" s="114" t="n"/>
      <c r="B43" s="120">
        <f>SUMIFS(tblDonem[Gelir (₺)],tblDonem[Dönem],$A43)</f>
        <v/>
      </c>
      <c r="C43" s="120">
        <f>SUMIFS(tblDonem[KDV Tutarı (₺)],tblDonem[Dönem],$A43)-SUMIFS(tblDonem[KDV Yüklenimi (₺)],tblDonem[Dönem],$A43)</f>
        <v/>
      </c>
      <c r="D43" s="120">
        <f>SUMIFS(tblDonem[Vergi Karşılığı (₺)],tblDonem[Dönem],$A43)</f>
        <v/>
      </c>
      <c r="E43" s="120">
        <f>$C43+$D43</f>
        <v/>
      </c>
      <c r="F43" s="120">
        <f>IF($B43=0,0,$E43/$B43)</f>
        <v/>
      </c>
    </row>
    <row r="44" ht="15" customHeight="1" s="68">
      <c r="A44" s="114" t="n"/>
      <c r="B44" s="120">
        <f>SUMIFS(tblDonem[Gelir (₺)],tblDonem[Dönem],$A44)</f>
        <v/>
      </c>
      <c r="C44" s="120">
        <f>SUMIFS(tblDonem[KDV Tutarı (₺)],tblDonem[Dönem],$A44)-SUMIFS(tblDonem[KDV Yüklenimi (₺)],tblDonem[Dönem],$A44)</f>
        <v/>
      </c>
      <c r="D44" s="120">
        <f>SUMIFS(tblDonem[Vergi Karşılığı (₺)],tblDonem[Dönem],$A44)</f>
        <v/>
      </c>
      <c r="E44" s="120">
        <f>$C44+$D44</f>
        <v/>
      </c>
      <c r="F44" s="120">
        <f>IF($B44=0,0,$E44/$B44)</f>
        <v/>
      </c>
    </row>
    <row r="45" ht="15" customHeight="1" s="68">
      <c r="A45" s="114" t="n"/>
      <c r="B45" s="120">
        <f>SUMIFS(tblDonem[Gelir (₺)],tblDonem[Dönem],$A45)</f>
        <v/>
      </c>
      <c r="C45" s="120">
        <f>SUMIFS(tblDonem[KDV Tutarı (₺)],tblDonem[Dönem],$A45)-SUMIFS(tblDonem[KDV Yüklenimi (₺)],tblDonem[Dönem],$A45)</f>
        <v/>
      </c>
      <c r="D45" s="120">
        <f>SUMIFS(tblDonem[Vergi Karşılığı (₺)],tblDonem[Dönem],$A45)</f>
        <v/>
      </c>
      <c r="E45" s="120">
        <f>$C45+$D45</f>
        <v/>
      </c>
      <c r="F45" s="120">
        <f>IF($B45=0,0,$E45/$B45)</f>
        <v/>
      </c>
    </row>
    <row r="46" ht="15" customHeight="1" s="68">
      <c r="A46" s="114" t="n"/>
      <c r="B46" s="120">
        <f>SUMIFS(tblDonem[Gelir (₺)],tblDonem[Dönem],$A46)</f>
        <v/>
      </c>
      <c r="C46" s="120">
        <f>SUMIFS(tblDonem[KDV Tutarı (₺)],tblDonem[Dönem],$A46)-SUMIFS(tblDonem[KDV Yüklenimi (₺)],tblDonem[Dönem],$A46)</f>
        <v/>
      </c>
      <c r="D46" s="120">
        <f>SUMIFS(tblDonem[Vergi Karşılığı (₺)],tblDonem[Dönem],$A46)</f>
        <v/>
      </c>
      <c r="E46" s="120">
        <f>$C46+$D46</f>
        <v/>
      </c>
      <c r="F46" s="120">
        <f>IF($B46=0,0,$E46/$B46)</f>
        <v/>
      </c>
    </row>
    <row r="47" ht="15" customHeight="1" s="68">
      <c r="A47" s="114" t="n"/>
      <c r="B47" s="120">
        <f>SUMIFS(tblDonem[Gelir (₺)],tblDonem[Dönem],$A47)</f>
        <v/>
      </c>
      <c r="C47" s="120">
        <f>SUMIFS(tblDonem[KDV Tutarı (₺)],tblDonem[Dönem],$A47)-SUMIFS(tblDonem[KDV Yüklenimi (₺)],tblDonem[Dönem],$A47)</f>
        <v/>
      </c>
      <c r="D47" s="120">
        <f>SUMIFS(tblDonem[Vergi Karşılığı (₺)],tblDonem[Dönem],$A47)</f>
        <v/>
      </c>
      <c r="E47" s="120">
        <f>$C47+$D47</f>
        <v/>
      </c>
      <c r="F47" s="120">
        <f>IF($B47=0,0,$E47/$B47)</f>
        <v/>
      </c>
    </row>
    <row r="48" ht="15" customHeight="1" s="68">
      <c r="A48" s="114" t="n"/>
      <c r="B48" s="120">
        <f>SUMIFS(tblDonem[Gelir (₺)],tblDonem[Dönem],$A48)</f>
        <v/>
      </c>
      <c r="C48" s="120">
        <f>SUMIFS(tblDonem[KDV Tutarı (₺)],tblDonem[Dönem],$A48)-SUMIFS(tblDonem[KDV Yüklenimi (₺)],tblDonem[Dönem],$A48)</f>
        <v/>
      </c>
      <c r="D48" s="120">
        <f>SUMIFS(tblDonem[Vergi Karşılığı (₺)],tblDonem[Dönem],$A48)</f>
        <v/>
      </c>
      <c r="E48" s="120">
        <f>$C48+$D48</f>
        <v/>
      </c>
      <c r="F48" s="120">
        <f>IF($B48=0,0,$E48/$B48)</f>
        <v/>
      </c>
    </row>
    <row r="49" ht="15" customHeight="1" s="68">
      <c r="A49" s="114" t="n"/>
      <c r="B49" s="120">
        <f>SUMIFS(tblDonem[Gelir (₺)],tblDonem[Dönem],$A49)</f>
        <v/>
      </c>
      <c r="C49" s="120">
        <f>SUMIFS(tblDonem[KDV Tutarı (₺)],tblDonem[Dönem],$A49)-SUMIFS(tblDonem[KDV Yüklenimi (₺)],tblDonem[Dönem],$A49)</f>
        <v/>
      </c>
      <c r="D49" s="120">
        <f>SUMIFS(tblDonem[Vergi Karşılığı (₺)],tblDonem[Dönem],$A49)</f>
        <v/>
      </c>
      <c r="E49" s="120">
        <f>$C49+$D49</f>
        <v/>
      </c>
      <c r="F49" s="120">
        <f>IF($B49=0,0,$E49/$B49)</f>
        <v/>
      </c>
    </row>
    <row r="50" ht="15" customHeight="1" s="68">
      <c r="A50" s="114" t="n"/>
      <c r="B50" s="120">
        <f>SUMIFS(tblDonem[Gelir (₺)],tblDonem[Dönem],$A50)</f>
        <v/>
      </c>
      <c r="C50" s="120">
        <f>SUMIFS(tblDonem[KDV Tutarı (₺)],tblDonem[Dönem],$A50)-SUMIFS(tblDonem[KDV Yüklenimi (₺)],tblDonem[Dönem],$A50)</f>
        <v/>
      </c>
      <c r="D50" s="120">
        <f>SUMIFS(tblDonem[Vergi Karşılığı (₺)],tblDonem[Dönem],$A50)</f>
        <v/>
      </c>
      <c r="E50" s="120">
        <f>$C50+$D50</f>
        <v/>
      </c>
      <c r="F50" s="120">
        <f>IF($B50=0,0,$E50/$B50)</f>
        <v/>
      </c>
    </row>
    <row r="51" ht="15" customHeight="1" s="68">
      <c r="A51" s="114" t="n"/>
      <c r="B51" s="120">
        <f>SUMIFS(tblDonem[Gelir (₺)],tblDonem[Dönem],$A51)</f>
        <v/>
      </c>
      <c r="C51" s="120">
        <f>SUMIFS(tblDonem[KDV Tutarı (₺)],tblDonem[Dönem],$A51)-SUMIFS(tblDonem[KDV Yüklenimi (₺)],tblDonem[Dönem],$A51)</f>
        <v/>
      </c>
      <c r="D51" s="120">
        <f>SUMIFS(tblDonem[Vergi Karşılığı (₺)],tblDonem[Dönem],$A51)</f>
        <v/>
      </c>
      <c r="E51" s="120">
        <f>$C51+$D51</f>
        <v/>
      </c>
      <c r="F51" s="120">
        <f>IF($B51=0,0,$E51/$B51)</f>
        <v/>
      </c>
    </row>
    <row r="52" ht="15" customHeight="1" s="68">
      <c r="A52" s="114" t="n"/>
      <c r="B52" s="120">
        <f>SUMIFS(tblDonem[Gelir (₺)],tblDonem[Dönem],$A52)</f>
        <v/>
      </c>
      <c r="C52" s="120">
        <f>SUMIFS(tblDonem[KDV Tutarı (₺)],tblDonem[Dönem],$A52)-SUMIFS(tblDonem[KDV Yüklenimi (₺)],tblDonem[Dönem],$A52)</f>
        <v/>
      </c>
      <c r="D52" s="120">
        <f>SUMIFS(tblDonem[Vergi Karşılığı (₺)],tblDonem[Dönem],$A52)</f>
        <v/>
      </c>
      <c r="E52" s="120">
        <f>$C52+$D52</f>
        <v/>
      </c>
      <c r="F52" s="120">
        <f>IF($B52=0,0,$E52/$B52)</f>
        <v/>
      </c>
    </row>
    <row r="53" ht="15" customHeight="1" s="68">
      <c r="A53" s="114" t="n"/>
      <c r="B53" s="120">
        <f>SUMIFS(tblDonem[Gelir (₺)],tblDonem[Dönem],$A53)</f>
        <v/>
      </c>
      <c r="C53" s="120">
        <f>SUMIFS(tblDonem[KDV Tutarı (₺)],tblDonem[Dönem],$A53)-SUMIFS(tblDonem[KDV Yüklenimi (₺)],tblDonem[Dönem],$A53)</f>
        <v/>
      </c>
      <c r="D53" s="120">
        <f>SUMIFS(tblDonem[Vergi Karşılığı (₺)],tblDonem[Dönem],$A53)</f>
        <v/>
      </c>
      <c r="E53" s="120">
        <f>$C53+$D53</f>
        <v/>
      </c>
      <c r="F53" s="120">
        <f>IF($B53=0,0,$E53/$B53)</f>
        <v/>
      </c>
    </row>
    <row r="54" ht="15" customHeight="1" s="68">
      <c r="A54" s="114" t="n"/>
      <c r="B54" s="120">
        <f>SUMIFS(tblDonem[Gelir (₺)],tblDonem[Dönem],$A54)</f>
        <v/>
      </c>
      <c r="C54" s="120">
        <f>SUMIFS(tblDonem[KDV Tutarı (₺)],tblDonem[Dönem],$A54)-SUMIFS(tblDonem[KDV Yüklenimi (₺)],tblDonem[Dönem],$A54)</f>
        <v/>
      </c>
      <c r="D54" s="120">
        <f>SUMIFS(tblDonem[Vergi Karşılığı (₺)],tblDonem[Dönem],$A54)</f>
        <v/>
      </c>
      <c r="E54" s="120">
        <f>$C54+$D54</f>
        <v/>
      </c>
      <c r="F54" s="120">
        <f>IF($B54=0,0,$E54/$B54)</f>
        <v/>
      </c>
    </row>
    <row r="55" ht="15" customHeight="1" s="68">
      <c r="A55" s="114" t="n"/>
      <c r="B55" s="120">
        <f>SUMIFS(tblDonem[Gelir (₺)],tblDonem[Dönem],$A55)</f>
        <v/>
      </c>
      <c r="C55" s="120">
        <f>SUMIFS(tblDonem[KDV Tutarı (₺)],tblDonem[Dönem],$A55)-SUMIFS(tblDonem[KDV Yüklenimi (₺)],tblDonem[Dönem],$A55)</f>
        <v/>
      </c>
      <c r="D55" s="120">
        <f>SUMIFS(tblDonem[Vergi Karşılığı (₺)],tblDonem[Dönem],$A55)</f>
        <v/>
      </c>
      <c r="E55" s="120">
        <f>$C55+$D55</f>
        <v/>
      </c>
      <c r="F55" s="120">
        <f>IF($B55=0,0,$E55/$B55)</f>
        <v/>
      </c>
    </row>
    <row r="56" ht="15" customHeight="1" s="68">
      <c r="A56" s="114" t="n"/>
      <c r="B56" s="120">
        <f>SUMIFS(tblDonem[Gelir (₺)],tblDonem[Dönem],$A56)</f>
        <v/>
      </c>
      <c r="C56" s="120">
        <f>SUMIFS(tblDonem[KDV Tutarı (₺)],tblDonem[Dönem],$A56)-SUMIFS(tblDonem[KDV Yüklenimi (₺)],tblDonem[Dönem],$A56)</f>
        <v/>
      </c>
      <c r="D56" s="120">
        <f>SUMIFS(tblDonem[Vergi Karşılığı (₺)],tblDonem[Dönem],$A56)</f>
        <v/>
      </c>
      <c r="E56" s="120">
        <f>$C56+$D56</f>
        <v/>
      </c>
      <c r="F56" s="120">
        <f>IF($B56=0,0,$E56/$B56)</f>
        <v/>
      </c>
    </row>
    <row r="57" ht="15" customHeight="1" s="68">
      <c r="A57" s="114" t="n"/>
      <c r="B57" s="120">
        <f>SUMIFS(tblDonem[Gelir (₺)],tblDonem[Dönem],$A57)</f>
        <v/>
      </c>
      <c r="C57" s="120">
        <f>SUMIFS(tblDonem[KDV Tutarı (₺)],tblDonem[Dönem],$A57)-SUMIFS(tblDonem[KDV Yüklenimi (₺)],tblDonem[Dönem],$A57)</f>
        <v/>
      </c>
      <c r="D57" s="120">
        <f>SUMIFS(tblDonem[Vergi Karşılığı (₺)],tblDonem[Dönem],$A57)</f>
        <v/>
      </c>
      <c r="E57" s="120">
        <f>$C57+$D57</f>
        <v/>
      </c>
      <c r="F57" s="120">
        <f>IF($B57=0,0,$E57/$B57)</f>
        <v/>
      </c>
    </row>
    <row r="58" ht="15" customHeight="1" s="68">
      <c r="A58" s="114" t="n"/>
      <c r="B58" s="120">
        <f>SUMIFS(tblDonem[Gelir (₺)],tblDonem[Dönem],$A58)</f>
        <v/>
      </c>
      <c r="C58" s="120">
        <f>SUMIFS(tblDonem[KDV Tutarı (₺)],tblDonem[Dönem],$A58)-SUMIFS(tblDonem[KDV Yüklenimi (₺)],tblDonem[Dönem],$A58)</f>
        <v/>
      </c>
      <c r="D58" s="120">
        <f>SUMIFS(tblDonem[Vergi Karşılığı (₺)],tblDonem[Dönem],$A58)</f>
        <v/>
      </c>
      <c r="E58" s="120">
        <f>$C58+$D58</f>
        <v/>
      </c>
      <c r="F58" s="120">
        <f>IF($B58=0,0,$E58/$B58)</f>
        <v/>
      </c>
    </row>
    <row r="59" ht="15" customHeight="1" s="68">
      <c r="A59" s="114" t="n"/>
      <c r="B59" s="120">
        <f>SUMIFS(tblDonem[Gelir (₺)],tblDonem[Dönem],$A59)</f>
        <v/>
      </c>
      <c r="C59" s="120">
        <f>SUMIFS(tblDonem[KDV Tutarı (₺)],tblDonem[Dönem],$A59)-SUMIFS(tblDonem[KDV Yüklenimi (₺)],tblDonem[Dönem],$A59)</f>
        <v/>
      </c>
      <c r="D59" s="120">
        <f>SUMIFS(tblDonem[Vergi Karşılığı (₺)],tblDonem[Dönem],$A59)</f>
        <v/>
      </c>
      <c r="E59" s="120">
        <f>$C59+$D59</f>
        <v/>
      </c>
      <c r="F59" s="120">
        <f>IF($B59=0,0,$E59/$B59)</f>
        <v/>
      </c>
    </row>
    <row r="60" ht="15" customHeight="1" s="68">
      <c r="A60" s="114" t="n"/>
      <c r="B60" s="120">
        <f>SUMIFS(tblDonem[Gelir (₺)],tblDonem[Dönem],$A60)</f>
        <v/>
      </c>
      <c r="C60" s="120">
        <f>SUMIFS(tblDonem[KDV Tutarı (₺)],tblDonem[Dönem],$A60)-SUMIFS(tblDonem[KDV Yüklenimi (₺)],tblDonem[Dönem],$A60)</f>
        <v/>
      </c>
      <c r="D60" s="120">
        <f>SUMIFS(tblDonem[Vergi Karşılığı (₺)],tblDonem[Dönem],$A60)</f>
        <v/>
      </c>
      <c r="E60" s="120">
        <f>$C60+$D60</f>
        <v/>
      </c>
      <c r="F60" s="120">
        <f>IF($B60=0,0,$E60/$B60)</f>
        <v/>
      </c>
    </row>
    <row r="61" ht="15" customHeight="1" s="68">
      <c r="A61" s="114" t="n"/>
      <c r="B61" s="120">
        <f>SUMIFS(tblDonem[Gelir (₺)],tblDonem[Dönem],$A61)</f>
        <v/>
      </c>
      <c r="C61" s="120">
        <f>SUMIFS(tblDonem[KDV Tutarı (₺)],tblDonem[Dönem],$A61)-SUMIFS(tblDonem[KDV Yüklenimi (₺)],tblDonem[Dönem],$A61)</f>
        <v/>
      </c>
      <c r="D61" s="120">
        <f>SUMIFS(tblDonem[Vergi Karşılığı (₺)],tblDonem[Dönem],$A61)</f>
        <v/>
      </c>
      <c r="E61" s="120">
        <f>$C61+$D61</f>
        <v/>
      </c>
      <c r="F61" s="120">
        <f>IF($B61=0,0,$E61/$B61)</f>
        <v/>
      </c>
    </row>
    <row r="62" ht="15" customHeight="1" s="68">
      <c r="A62" s="114" t="n"/>
      <c r="B62" s="120">
        <f>SUMIFS(tblDonem[Gelir (₺)],tblDonem[Dönem],$A62)</f>
        <v/>
      </c>
      <c r="C62" s="120">
        <f>SUMIFS(tblDonem[KDV Tutarı (₺)],tblDonem[Dönem],$A62)-SUMIFS(tblDonem[KDV Yüklenimi (₺)],tblDonem[Dönem],$A62)</f>
        <v/>
      </c>
      <c r="D62" s="120">
        <f>SUMIFS(tblDonem[Vergi Karşılığı (₺)],tblDonem[Dönem],$A62)</f>
        <v/>
      </c>
      <c r="E62" s="120">
        <f>$C62+$D62</f>
        <v/>
      </c>
      <c r="F62" s="120">
        <f>IF($B62=0,0,$E62/$B62)</f>
        <v/>
      </c>
    </row>
    <row r="63" ht="15" customHeight="1" s="68">
      <c r="A63" s="114" t="n"/>
      <c r="B63" s="120">
        <f>SUMIFS(tblDonem[Gelir (₺)],tblDonem[Dönem],$A63)</f>
        <v/>
      </c>
      <c r="C63" s="120">
        <f>SUMIFS(tblDonem[KDV Tutarı (₺)],tblDonem[Dönem],$A63)-SUMIFS(tblDonem[KDV Yüklenimi (₺)],tblDonem[Dönem],$A63)</f>
        <v/>
      </c>
      <c r="D63" s="120">
        <f>SUMIFS(tblDonem[Vergi Karşılığı (₺)],tblDonem[Dönem],$A63)</f>
        <v/>
      </c>
      <c r="E63" s="120">
        <f>$C63+$D63</f>
        <v/>
      </c>
      <c r="F63" s="120">
        <f>IF($B63=0,0,$E63/$B63)</f>
        <v/>
      </c>
    </row>
    <row r="64" ht="15" customHeight="1" s="68">
      <c r="A64" s="114" t="n"/>
      <c r="B64" s="120">
        <f>SUMIFS(tblDonem[Gelir (₺)],tblDonem[Dönem],$A64)</f>
        <v/>
      </c>
      <c r="C64" s="120">
        <f>SUMIFS(tblDonem[KDV Tutarı (₺)],tblDonem[Dönem],$A64)-SUMIFS(tblDonem[KDV Yüklenimi (₺)],tblDonem[Dönem],$A64)</f>
        <v/>
      </c>
      <c r="D64" s="120">
        <f>SUMIFS(tblDonem[Vergi Karşılığı (₺)],tblDonem[Dönem],$A64)</f>
        <v/>
      </c>
      <c r="E64" s="120">
        <f>$C64+$D64</f>
        <v/>
      </c>
      <c r="F64" s="120">
        <f>IF($B64=0,0,$E64/$B64)</f>
        <v/>
      </c>
    </row>
    <row r="65" ht="15" customHeight="1" s="68">
      <c r="A65" s="114" t="n"/>
      <c r="B65" s="120">
        <f>SUMIFS(tblDonem[Gelir (₺)],tblDonem[Dönem],$A65)</f>
        <v/>
      </c>
      <c r="C65" s="120">
        <f>SUMIFS(tblDonem[KDV Tutarı (₺)],tblDonem[Dönem],$A65)-SUMIFS(tblDonem[KDV Yüklenimi (₺)],tblDonem[Dönem],$A65)</f>
        <v/>
      </c>
      <c r="D65" s="120">
        <f>SUMIFS(tblDonem[Vergi Karşılığı (₺)],tblDonem[Dönem],$A65)</f>
        <v/>
      </c>
      <c r="E65" s="120">
        <f>$C65+$D65</f>
        <v/>
      </c>
      <c r="F65" s="120">
        <f>IF($B65=0,0,$E65/$B65)</f>
        <v/>
      </c>
    </row>
    <row r="66" ht="15" customHeight="1" s="68">
      <c r="A66" s="114" t="n"/>
      <c r="B66" s="120">
        <f>SUMIFS(tblDonem[Gelir (₺)],tblDonem[Dönem],$A66)</f>
        <v/>
      </c>
      <c r="C66" s="120">
        <f>SUMIFS(tblDonem[KDV Tutarı (₺)],tblDonem[Dönem],$A66)-SUMIFS(tblDonem[KDV Yüklenimi (₺)],tblDonem[Dönem],$A66)</f>
        <v/>
      </c>
      <c r="D66" s="120">
        <f>SUMIFS(tblDonem[Vergi Karşılığı (₺)],tblDonem[Dönem],$A66)</f>
        <v/>
      </c>
      <c r="E66" s="120">
        <f>$C66+$D66</f>
        <v/>
      </c>
      <c r="F66" s="120">
        <f>IF($B66=0,0,$E66/$B66)</f>
        <v/>
      </c>
    </row>
    <row r="67" ht="15" customHeight="1" s="68">
      <c r="A67" s="114" t="n"/>
      <c r="B67" s="120">
        <f>SUMIFS(tblDonem[Gelir (₺)],tblDonem[Dönem],$A67)</f>
        <v/>
      </c>
      <c r="C67" s="120">
        <f>SUMIFS(tblDonem[KDV Tutarı (₺)],tblDonem[Dönem],$A67)-SUMIFS(tblDonem[KDV Yüklenimi (₺)],tblDonem[Dönem],$A67)</f>
        <v/>
      </c>
      <c r="D67" s="120">
        <f>SUMIFS(tblDonem[Vergi Karşılığı (₺)],tblDonem[Dönem],$A67)</f>
        <v/>
      </c>
      <c r="E67" s="120">
        <f>$C67+$D67</f>
        <v/>
      </c>
      <c r="F67" s="120">
        <f>IF($B67=0,0,$E67/$B67)</f>
        <v/>
      </c>
    </row>
    <row r="68" ht="15" customHeight="1" s="68">
      <c r="A68" s="114" t="n"/>
      <c r="B68" s="120">
        <f>SUMIFS(tblDonem[Gelir (₺)],tblDonem[Dönem],$A68)</f>
        <v/>
      </c>
      <c r="C68" s="120">
        <f>SUMIFS(tblDonem[KDV Tutarı (₺)],tblDonem[Dönem],$A68)-SUMIFS(tblDonem[KDV Yüklenimi (₺)],tblDonem[Dönem],$A68)</f>
        <v/>
      </c>
      <c r="D68" s="120">
        <f>SUMIFS(tblDonem[Vergi Karşılığı (₺)],tblDonem[Dönem],$A68)</f>
        <v/>
      </c>
      <c r="E68" s="120">
        <f>$C68+$D68</f>
        <v/>
      </c>
      <c r="F68" s="120">
        <f>IF($B68=0,0,$E68/$B68)</f>
        <v/>
      </c>
    </row>
    <row r="69" ht="15" customHeight="1" s="68">
      <c r="A69" s="114" t="n"/>
      <c r="B69" s="120">
        <f>SUMIFS(tblDonem[Gelir (₺)],tblDonem[Dönem],$A69)</f>
        <v/>
      </c>
      <c r="C69" s="120">
        <f>SUMIFS(tblDonem[KDV Tutarı (₺)],tblDonem[Dönem],$A69)-SUMIFS(tblDonem[KDV Yüklenimi (₺)],tblDonem[Dönem],$A69)</f>
        <v/>
      </c>
      <c r="D69" s="120">
        <f>SUMIFS(tblDonem[Vergi Karşılığı (₺)],tblDonem[Dönem],$A69)</f>
        <v/>
      </c>
      <c r="E69" s="120">
        <f>$C69+$D69</f>
        <v/>
      </c>
      <c r="F69" s="120">
        <f>IF($B69=0,0,$E69/$B69)</f>
        <v/>
      </c>
    </row>
    <row r="70" ht="15" customHeight="1" s="68">
      <c r="A70" s="114" t="n"/>
      <c r="B70" s="120">
        <f>SUMIFS(tblDonem[Gelir (₺)],tblDonem[Dönem],$A70)</f>
        <v/>
      </c>
      <c r="C70" s="120">
        <f>SUMIFS(tblDonem[KDV Tutarı (₺)],tblDonem[Dönem],$A70)-SUMIFS(tblDonem[KDV Yüklenimi (₺)],tblDonem[Dönem],$A70)</f>
        <v/>
      </c>
      <c r="D70" s="120">
        <f>SUMIFS(tblDonem[Vergi Karşılığı (₺)],tblDonem[Dönem],$A70)</f>
        <v/>
      </c>
      <c r="E70" s="120">
        <f>$C70+$D70</f>
        <v/>
      </c>
      <c r="F70" s="120">
        <f>IF($B70=0,0,$E70/$B70)</f>
        <v/>
      </c>
    </row>
    <row r="71" ht="15" customHeight="1" s="68">
      <c r="A71" s="114" t="n"/>
      <c r="B71" s="120">
        <f>SUMIFS(tblDonem[Gelir (₺)],tblDonem[Dönem],$A71)</f>
        <v/>
      </c>
      <c r="C71" s="120">
        <f>SUMIFS(tblDonem[KDV Tutarı (₺)],tblDonem[Dönem],$A71)-SUMIFS(tblDonem[KDV Yüklenimi (₺)],tblDonem[Dönem],$A71)</f>
        <v/>
      </c>
      <c r="D71" s="120">
        <f>SUMIFS(tblDonem[Vergi Karşılığı (₺)],tblDonem[Dönem],$A71)</f>
        <v/>
      </c>
      <c r="E71" s="120">
        <f>$C71+$D71</f>
        <v/>
      </c>
      <c r="F71" s="120">
        <f>IF($B71=0,0,$E71/$B71)</f>
        <v/>
      </c>
    </row>
    <row r="72" ht="15" customHeight="1" s="68">
      <c r="A72" s="114" t="n"/>
      <c r="B72" s="120">
        <f>SUMIFS(tblDonem[Gelir (₺)],tblDonem[Dönem],$A72)</f>
        <v/>
      </c>
      <c r="C72" s="120">
        <f>SUMIFS(tblDonem[KDV Tutarı (₺)],tblDonem[Dönem],$A72)-SUMIFS(tblDonem[KDV Yüklenimi (₺)],tblDonem[Dönem],$A72)</f>
        <v/>
      </c>
      <c r="D72" s="120">
        <f>SUMIFS(tblDonem[Vergi Karşılığı (₺)],tblDonem[Dönem],$A72)</f>
        <v/>
      </c>
      <c r="E72" s="120">
        <f>$C72+$D72</f>
        <v/>
      </c>
      <c r="F72" s="120">
        <f>IF($B72=0,0,$E72/$B72)</f>
        <v/>
      </c>
    </row>
    <row r="73" ht="15" customHeight="1" s="68">
      <c r="A73" s="114" t="n"/>
      <c r="B73" s="120">
        <f>SUMIFS(tblDonem[Gelir (₺)],tblDonem[Dönem],$A73)</f>
        <v/>
      </c>
      <c r="C73" s="120">
        <f>SUMIFS(tblDonem[KDV Tutarı (₺)],tblDonem[Dönem],$A73)-SUMIFS(tblDonem[KDV Yüklenimi (₺)],tblDonem[Dönem],$A73)</f>
        <v/>
      </c>
      <c r="D73" s="120">
        <f>SUMIFS(tblDonem[Vergi Karşılığı (₺)],tblDonem[Dönem],$A73)</f>
        <v/>
      </c>
      <c r="E73" s="120">
        <f>$C73+$D73</f>
        <v/>
      </c>
      <c r="F73" s="120">
        <f>IF($B73=0,0,$E73/$B73)</f>
        <v/>
      </c>
    </row>
    <row r="74" ht="15" customHeight="1" s="68">
      <c r="A74" s="114" t="n"/>
      <c r="B74" s="120">
        <f>SUMIFS(tblDonem[Gelir (₺)],tblDonem[Dönem],$A74)</f>
        <v/>
      </c>
      <c r="C74" s="120">
        <f>SUMIFS(tblDonem[KDV Tutarı (₺)],tblDonem[Dönem],$A74)-SUMIFS(tblDonem[KDV Yüklenimi (₺)],tblDonem[Dönem],$A74)</f>
        <v/>
      </c>
      <c r="D74" s="120">
        <f>SUMIFS(tblDonem[Vergi Karşılığı (₺)],tblDonem[Dönem],$A74)</f>
        <v/>
      </c>
      <c r="E74" s="120">
        <f>$C74+$D74</f>
        <v/>
      </c>
      <c r="F74" s="120">
        <f>IF($B74=0,0,$E74/$B74)</f>
        <v/>
      </c>
    </row>
    <row r="75" ht="15" customHeight="1" s="68">
      <c r="A75" s="114" t="n"/>
      <c r="B75" s="120">
        <f>SUMIFS(tblDonem[Gelir (₺)],tblDonem[Dönem],$A75)</f>
        <v/>
      </c>
      <c r="C75" s="120">
        <f>SUMIFS(tblDonem[KDV Tutarı (₺)],tblDonem[Dönem],$A75)-SUMIFS(tblDonem[KDV Yüklenimi (₺)],tblDonem[Dönem],$A75)</f>
        <v/>
      </c>
      <c r="D75" s="120">
        <f>SUMIFS(tblDonem[Vergi Karşılığı (₺)],tblDonem[Dönem],$A75)</f>
        <v/>
      </c>
      <c r="E75" s="120">
        <f>$C75+$D75</f>
        <v/>
      </c>
      <c r="F75" s="120">
        <f>IF($B75=0,0,$E75/$B75)</f>
        <v/>
      </c>
    </row>
    <row r="76" ht="15" customHeight="1" s="68">
      <c r="A76" s="114" t="n"/>
      <c r="B76" s="120">
        <f>SUMIFS(tblDonem[Gelir (₺)],tblDonem[Dönem],$A76)</f>
        <v/>
      </c>
      <c r="C76" s="120">
        <f>SUMIFS(tblDonem[KDV Tutarı (₺)],tblDonem[Dönem],$A76)-SUMIFS(tblDonem[KDV Yüklenimi (₺)],tblDonem[Dönem],$A76)</f>
        <v/>
      </c>
      <c r="D76" s="120">
        <f>SUMIFS(tblDonem[Vergi Karşılığı (₺)],tblDonem[Dönem],$A76)</f>
        <v/>
      </c>
      <c r="E76" s="120">
        <f>$C76+$D76</f>
        <v/>
      </c>
      <c r="F76" s="120">
        <f>IF($B76=0,0,$E76/$B76)</f>
        <v/>
      </c>
    </row>
    <row r="77" ht="15" customHeight="1" s="68">
      <c r="A77" s="114" t="n"/>
      <c r="B77" s="120">
        <f>SUMIFS(tblDonem[Gelir (₺)],tblDonem[Dönem],$A77)</f>
        <v/>
      </c>
      <c r="C77" s="120">
        <f>SUMIFS(tblDonem[KDV Tutarı (₺)],tblDonem[Dönem],$A77)-SUMIFS(tblDonem[KDV Yüklenimi (₺)],tblDonem[Dönem],$A77)</f>
        <v/>
      </c>
      <c r="D77" s="120">
        <f>SUMIFS(tblDonem[Vergi Karşılığı (₺)],tblDonem[Dönem],$A77)</f>
        <v/>
      </c>
      <c r="E77" s="120">
        <f>$C77+$D77</f>
        <v/>
      </c>
      <c r="F77" s="120">
        <f>IF($B77=0,0,$E77/$B77)</f>
        <v/>
      </c>
    </row>
    <row r="78" ht="15" customHeight="1" s="68">
      <c r="A78" s="114" t="n"/>
      <c r="B78" s="120">
        <f>SUMIFS(tblDonem[Gelir (₺)],tblDonem[Dönem],$A78)</f>
        <v/>
      </c>
      <c r="C78" s="120">
        <f>SUMIFS(tblDonem[KDV Tutarı (₺)],tblDonem[Dönem],$A78)-SUMIFS(tblDonem[KDV Yüklenimi (₺)],tblDonem[Dönem],$A78)</f>
        <v/>
      </c>
      <c r="D78" s="120">
        <f>SUMIFS(tblDonem[Vergi Karşılığı (₺)],tblDonem[Dönem],$A78)</f>
        <v/>
      </c>
      <c r="E78" s="120">
        <f>$C78+$D78</f>
        <v/>
      </c>
      <c r="F78" s="120">
        <f>IF($B78=0,0,$E78/$B78)</f>
        <v/>
      </c>
    </row>
    <row r="79" ht="15" customHeight="1" s="68">
      <c r="A79" s="114" t="n"/>
      <c r="B79" s="120">
        <f>SUMIFS(tblDonem[Gelir (₺)],tblDonem[Dönem],$A79)</f>
        <v/>
      </c>
      <c r="C79" s="120">
        <f>SUMIFS(tblDonem[KDV Tutarı (₺)],tblDonem[Dönem],$A79)-SUMIFS(tblDonem[KDV Yüklenimi (₺)],tblDonem[Dönem],$A79)</f>
        <v/>
      </c>
      <c r="D79" s="120">
        <f>SUMIFS(tblDonem[Vergi Karşılığı (₺)],tblDonem[Dönem],$A79)</f>
        <v/>
      </c>
      <c r="E79" s="120">
        <f>$C79+$D79</f>
        <v/>
      </c>
      <c r="F79" s="120">
        <f>IF($B79=0,0,$E79/$B79)</f>
        <v/>
      </c>
    </row>
    <row r="80" ht="15" customHeight="1" s="68">
      <c r="A80" s="114" t="n"/>
      <c r="B80" s="120">
        <f>SUMIFS(tblDonem[Gelir (₺)],tblDonem[Dönem],$A80)</f>
        <v/>
      </c>
      <c r="C80" s="120">
        <f>SUMIFS(tblDonem[KDV Tutarı (₺)],tblDonem[Dönem],$A80)-SUMIFS(tblDonem[KDV Yüklenimi (₺)],tblDonem[Dönem],$A80)</f>
        <v/>
      </c>
      <c r="D80" s="120">
        <f>SUMIFS(tblDonem[Vergi Karşılığı (₺)],tblDonem[Dönem],$A80)</f>
        <v/>
      </c>
      <c r="E80" s="120">
        <f>$C80+$D80</f>
        <v/>
      </c>
      <c r="F80" s="120">
        <f>IF($B80=0,0,$E80/$B80)</f>
        <v/>
      </c>
    </row>
    <row r="81" ht="15" customHeight="1" s="68">
      <c r="A81" s="114" t="n"/>
      <c r="B81" s="120">
        <f>SUMIFS(tblDonem[Gelir (₺)],tblDonem[Dönem],$A81)</f>
        <v/>
      </c>
      <c r="C81" s="120">
        <f>SUMIFS(tblDonem[KDV Tutarı (₺)],tblDonem[Dönem],$A81)-SUMIFS(tblDonem[KDV Yüklenimi (₺)],tblDonem[Dönem],$A81)</f>
        <v/>
      </c>
      <c r="D81" s="120">
        <f>SUMIFS(tblDonem[Vergi Karşılığı (₺)],tblDonem[Dönem],$A81)</f>
        <v/>
      </c>
      <c r="E81" s="120">
        <f>$C81+$D81</f>
        <v/>
      </c>
      <c r="F81" s="120">
        <f>IF($B81=0,0,$E81/$B81)</f>
        <v/>
      </c>
    </row>
    <row r="82" ht="15" customHeight="1" s="68">
      <c r="A82" s="114" t="n"/>
      <c r="B82" s="120">
        <f>SUMIFS(tblDonem[Gelir (₺)],tblDonem[Dönem],$A82)</f>
        <v/>
      </c>
      <c r="C82" s="120">
        <f>SUMIFS(tblDonem[KDV Tutarı (₺)],tblDonem[Dönem],$A82)-SUMIFS(tblDonem[KDV Yüklenimi (₺)],tblDonem[Dönem],$A82)</f>
        <v/>
      </c>
      <c r="D82" s="120">
        <f>SUMIFS(tblDonem[Vergi Karşılığı (₺)],tblDonem[Dönem],$A82)</f>
        <v/>
      </c>
      <c r="E82" s="120">
        <f>$C82+$D82</f>
        <v/>
      </c>
      <c r="F82" s="120">
        <f>IF($B82=0,0,$E82/$B82)</f>
        <v/>
      </c>
    </row>
    <row r="83" ht="15" customHeight="1" s="68">
      <c r="A83" s="114" t="n"/>
      <c r="B83" s="120">
        <f>SUMIFS(tblDonem[Gelir (₺)],tblDonem[Dönem],$A83)</f>
        <v/>
      </c>
      <c r="C83" s="120">
        <f>SUMIFS(tblDonem[KDV Tutarı (₺)],tblDonem[Dönem],$A83)-SUMIFS(tblDonem[KDV Yüklenimi (₺)],tblDonem[Dönem],$A83)</f>
        <v/>
      </c>
      <c r="D83" s="120">
        <f>SUMIFS(tblDonem[Vergi Karşılığı (₺)],tblDonem[Dönem],$A83)</f>
        <v/>
      </c>
      <c r="E83" s="120">
        <f>$C83+$D83</f>
        <v/>
      </c>
      <c r="F83" s="120">
        <f>IF($B83=0,0,$E83/$B83)</f>
        <v/>
      </c>
    </row>
    <row r="84" ht="15" customHeight="1" s="68">
      <c r="A84" s="114" t="n"/>
      <c r="B84" s="120">
        <f>SUMIFS(tblDonem[Gelir (₺)],tblDonem[Dönem],$A84)</f>
        <v/>
      </c>
      <c r="C84" s="120">
        <f>SUMIFS(tblDonem[KDV Tutarı (₺)],tblDonem[Dönem],$A84)-SUMIFS(tblDonem[KDV Yüklenimi (₺)],tblDonem[Dönem],$A84)</f>
        <v/>
      </c>
      <c r="D84" s="120">
        <f>SUMIFS(tblDonem[Vergi Karşılığı (₺)],tblDonem[Dönem],$A84)</f>
        <v/>
      </c>
      <c r="E84" s="120">
        <f>$C84+$D84</f>
        <v/>
      </c>
      <c r="F84" s="120">
        <f>IF($B84=0,0,$E84/$B84)</f>
        <v/>
      </c>
    </row>
    <row r="85" ht="15" customHeight="1" s="68">
      <c r="A85" s="114" t="n"/>
      <c r="B85" s="120">
        <f>SUMIFS(tblDonem[Gelir (₺)],tblDonem[Dönem],$A85)</f>
        <v/>
      </c>
      <c r="C85" s="120">
        <f>SUMIFS(tblDonem[KDV Tutarı (₺)],tblDonem[Dönem],$A85)-SUMIFS(tblDonem[KDV Yüklenimi (₺)],tblDonem[Dönem],$A85)</f>
        <v/>
      </c>
      <c r="D85" s="120">
        <f>SUMIFS(tblDonem[Vergi Karşılığı (₺)],tblDonem[Dönem],$A85)</f>
        <v/>
      </c>
      <c r="E85" s="120">
        <f>$C85+$D85</f>
        <v/>
      </c>
      <c r="F85" s="120">
        <f>IF($B85=0,0,$E85/$B85)</f>
        <v/>
      </c>
    </row>
    <row r="86" ht="15" customHeight="1" s="68">
      <c r="A86" s="114" t="n"/>
      <c r="B86" s="120">
        <f>SUMIFS(tblDonem[Gelir (₺)],tblDonem[Dönem],$A86)</f>
        <v/>
      </c>
      <c r="C86" s="120">
        <f>SUMIFS(tblDonem[KDV Tutarı (₺)],tblDonem[Dönem],$A86)-SUMIFS(tblDonem[KDV Yüklenimi (₺)],tblDonem[Dönem],$A86)</f>
        <v/>
      </c>
      <c r="D86" s="120">
        <f>SUMIFS(tblDonem[Vergi Karşılığı (₺)],tblDonem[Dönem],$A86)</f>
        <v/>
      </c>
      <c r="E86" s="120">
        <f>$C86+$D86</f>
        <v/>
      </c>
      <c r="F86" s="120">
        <f>IF($B86=0,0,$E86/$B86)</f>
        <v/>
      </c>
    </row>
    <row r="87" ht="15" customHeight="1" s="68">
      <c r="A87" s="114" t="n"/>
      <c r="B87" s="120">
        <f>SUMIFS(tblDonem[Gelir (₺)],tblDonem[Dönem],$A87)</f>
        <v/>
      </c>
      <c r="C87" s="120">
        <f>SUMIFS(tblDonem[KDV Tutarı (₺)],tblDonem[Dönem],$A87)-SUMIFS(tblDonem[KDV Yüklenimi (₺)],tblDonem[Dönem],$A87)</f>
        <v/>
      </c>
      <c r="D87" s="120">
        <f>SUMIFS(tblDonem[Vergi Karşılığı (₺)],tblDonem[Dönem],$A87)</f>
        <v/>
      </c>
      <c r="E87" s="120">
        <f>$C87+$D87</f>
        <v/>
      </c>
      <c r="F87" s="120">
        <f>IF($B87=0,0,$E87/$B87)</f>
        <v/>
      </c>
    </row>
    <row r="88" ht="15" customHeight="1" s="68">
      <c r="A88" s="114" t="n"/>
      <c r="B88" s="120">
        <f>SUMIFS(tblDonem[Gelir (₺)],tblDonem[Dönem],$A88)</f>
        <v/>
      </c>
      <c r="C88" s="120">
        <f>SUMIFS(tblDonem[KDV Tutarı (₺)],tblDonem[Dönem],$A88)-SUMIFS(tblDonem[KDV Yüklenimi (₺)],tblDonem[Dönem],$A88)</f>
        <v/>
      </c>
      <c r="D88" s="120">
        <f>SUMIFS(tblDonem[Vergi Karşılığı (₺)],tblDonem[Dönem],$A88)</f>
        <v/>
      </c>
      <c r="E88" s="120">
        <f>$C88+$D88</f>
        <v/>
      </c>
      <c r="F88" s="120">
        <f>IF($B88=0,0,$E88/$B88)</f>
        <v/>
      </c>
    </row>
    <row r="89" ht="15" customHeight="1" s="68">
      <c r="A89" s="114" t="n"/>
      <c r="B89" s="120">
        <f>SUMIFS(tblDonem[Gelir (₺)],tblDonem[Dönem],$A89)</f>
        <v/>
      </c>
      <c r="C89" s="120">
        <f>SUMIFS(tblDonem[KDV Tutarı (₺)],tblDonem[Dönem],$A89)-SUMIFS(tblDonem[KDV Yüklenimi (₺)],tblDonem[Dönem],$A89)</f>
        <v/>
      </c>
      <c r="D89" s="120">
        <f>SUMIFS(tblDonem[Vergi Karşılığı (₺)],tblDonem[Dönem],$A89)</f>
        <v/>
      </c>
      <c r="E89" s="120">
        <f>$C89+$D89</f>
        <v/>
      </c>
      <c r="F89" s="120">
        <f>IF($B89=0,0,$E89/$B89)</f>
        <v/>
      </c>
    </row>
    <row r="90" ht="15" customHeight="1" s="68">
      <c r="A90" s="114" t="n"/>
      <c r="B90" s="120">
        <f>SUMIFS(tblDonem[Gelir (₺)],tblDonem[Dönem],$A90)</f>
        <v/>
      </c>
      <c r="C90" s="120">
        <f>SUMIFS(tblDonem[KDV Tutarı (₺)],tblDonem[Dönem],$A90)-SUMIFS(tblDonem[KDV Yüklenimi (₺)],tblDonem[Dönem],$A90)</f>
        <v/>
      </c>
      <c r="D90" s="120">
        <f>SUMIFS(tblDonem[Vergi Karşılığı (₺)],tblDonem[Dönem],$A90)</f>
        <v/>
      </c>
      <c r="E90" s="120">
        <f>$C90+$D90</f>
        <v/>
      </c>
      <c r="F90" s="120">
        <f>IF($B90=0,0,$E90/$B90)</f>
        <v/>
      </c>
    </row>
    <row r="91" ht="15" customHeight="1" s="68">
      <c r="A91" s="114" t="n"/>
      <c r="B91" s="120">
        <f>SUMIFS(tblDonem[Gelir (₺)],tblDonem[Dönem],$A91)</f>
        <v/>
      </c>
      <c r="C91" s="120">
        <f>SUMIFS(tblDonem[KDV Tutarı (₺)],tblDonem[Dönem],$A91)-SUMIFS(tblDonem[KDV Yüklenimi (₺)],tblDonem[Dönem],$A91)</f>
        <v/>
      </c>
      <c r="D91" s="120">
        <f>SUMIFS(tblDonem[Vergi Karşılığı (₺)],tblDonem[Dönem],$A91)</f>
        <v/>
      </c>
      <c r="E91" s="120">
        <f>$C91+$D91</f>
        <v/>
      </c>
      <c r="F91" s="120">
        <f>IF($B91=0,0,$E91/$B91)</f>
        <v/>
      </c>
    </row>
    <row r="92" ht="15" customHeight="1" s="68">
      <c r="A92" s="114" t="n"/>
      <c r="B92" s="120">
        <f>SUMIFS(tblDonem[Gelir (₺)],tblDonem[Dönem],$A92)</f>
        <v/>
      </c>
      <c r="C92" s="120">
        <f>SUMIFS(tblDonem[KDV Tutarı (₺)],tblDonem[Dönem],$A92)-SUMIFS(tblDonem[KDV Yüklenimi (₺)],tblDonem[Dönem],$A92)</f>
        <v/>
      </c>
      <c r="D92" s="120">
        <f>SUMIFS(tblDonem[Vergi Karşılığı (₺)],tblDonem[Dönem],$A92)</f>
        <v/>
      </c>
      <c r="E92" s="120">
        <f>$C92+$D92</f>
        <v/>
      </c>
      <c r="F92" s="120">
        <f>IF($B92=0,0,$E92/$B92)</f>
        <v/>
      </c>
    </row>
    <row r="93" ht="15" customHeight="1" s="68">
      <c r="A93" s="114" t="n"/>
      <c r="B93" s="120">
        <f>SUMIFS(tblDonem[Gelir (₺)],tblDonem[Dönem],$A93)</f>
        <v/>
      </c>
      <c r="C93" s="120">
        <f>SUMIFS(tblDonem[KDV Tutarı (₺)],tblDonem[Dönem],$A93)-SUMIFS(tblDonem[KDV Yüklenimi (₺)],tblDonem[Dönem],$A93)</f>
        <v/>
      </c>
      <c r="D93" s="120">
        <f>SUMIFS(tblDonem[Vergi Karşılığı (₺)],tblDonem[Dönem],$A93)</f>
        <v/>
      </c>
      <c r="E93" s="120">
        <f>$C93+$D93</f>
        <v/>
      </c>
      <c r="F93" s="120">
        <f>IF($B93=0,0,$E93/$B93)</f>
        <v/>
      </c>
    </row>
    <row r="94" ht="15" customHeight="1" s="68">
      <c r="A94" s="114" t="n"/>
      <c r="B94" s="120">
        <f>SUMIFS(tblDonem[Gelir (₺)],tblDonem[Dönem],$A94)</f>
        <v/>
      </c>
      <c r="C94" s="120">
        <f>SUMIFS(tblDonem[KDV Tutarı (₺)],tblDonem[Dönem],$A94)-SUMIFS(tblDonem[KDV Yüklenimi (₺)],tblDonem[Dönem],$A94)</f>
        <v/>
      </c>
      <c r="D94" s="120">
        <f>SUMIFS(tblDonem[Vergi Karşılığı (₺)],tblDonem[Dönem],$A94)</f>
        <v/>
      </c>
      <c r="E94" s="120">
        <f>$C94+$D94</f>
        <v/>
      </c>
      <c r="F94" s="120">
        <f>IF($B94=0,0,$E94/$B94)</f>
        <v/>
      </c>
    </row>
    <row r="95" ht="15" customHeight="1" s="68">
      <c r="A95" s="114" t="n"/>
      <c r="B95" s="120">
        <f>SUMIFS(tblDonem[Gelir (₺)],tblDonem[Dönem],$A95)</f>
        <v/>
      </c>
      <c r="C95" s="120">
        <f>SUMIFS(tblDonem[KDV Tutarı (₺)],tblDonem[Dönem],$A95)-SUMIFS(tblDonem[KDV Yüklenimi (₺)],tblDonem[Dönem],$A95)</f>
        <v/>
      </c>
      <c r="D95" s="120">
        <f>SUMIFS(tblDonem[Vergi Karşılığı (₺)],tblDonem[Dönem],$A95)</f>
        <v/>
      </c>
      <c r="E95" s="120">
        <f>$C95+$D95</f>
        <v/>
      </c>
      <c r="F95" s="120">
        <f>IF($B95=0,0,$E95/$B95)</f>
        <v/>
      </c>
    </row>
    <row r="96" ht="15" customHeight="1" s="68">
      <c r="A96" s="114" t="n"/>
      <c r="B96" s="120">
        <f>SUMIFS(tblDonem[Gelir (₺)],tblDonem[Dönem],$A96)</f>
        <v/>
      </c>
      <c r="C96" s="120">
        <f>SUMIFS(tblDonem[KDV Tutarı (₺)],tblDonem[Dönem],$A96)-SUMIFS(tblDonem[KDV Yüklenimi (₺)],tblDonem[Dönem],$A96)</f>
        <v/>
      </c>
      <c r="D96" s="120">
        <f>SUMIFS(tblDonem[Vergi Karşılığı (₺)],tblDonem[Dönem],$A96)</f>
        <v/>
      </c>
      <c r="E96" s="120">
        <f>$C96+$D96</f>
        <v/>
      </c>
      <c r="F96" s="120">
        <f>IF($B96=0,0,$E96/$B96)</f>
        <v/>
      </c>
    </row>
    <row r="97" ht="15" customHeight="1" s="68">
      <c r="A97" s="114" t="n"/>
      <c r="B97" s="120">
        <f>SUMIFS(tblDonem[Gelir (₺)],tblDonem[Dönem],$A97)</f>
        <v/>
      </c>
      <c r="C97" s="120">
        <f>SUMIFS(tblDonem[KDV Tutarı (₺)],tblDonem[Dönem],$A97)-SUMIFS(tblDonem[KDV Yüklenimi (₺)],tblDonem[Dönem],$A97)</f>
        <v/>
      </c>
      <c r="D97" s="120">
        <f>SUMIFS(tblDonem[Vergi Karşılığı (₺)],tblDonem[Dönem],$A97)</f>
        <v/>
      </c>
      <c r="E97" s="120">
        <f>$C97+$D97</f>
        <v/>
      </c>
      <c r="F97" s="120">
        <f>IF($B97=0,0,$E97/$B97)</f>
        <v/>
      </c>
    </row>
    <row r="98" ht="15" customHeight="1" s="68">
      <c r="A98" s="114" t="n"/>
      <c r="B98" s="120">
        <f>SUMIFS(tblDonem[Gelir (₺)],tblDonem[Dönem],$A98)</f>
        <v/>
      </c>
      <c r="C98" s="120">
        <f>SUMIFS(tblDonem[KDV Tutarı (₺)],tblDonem[Dönem],$A98)-SUMIFS(tblDonem[KDV Yüklenimi (₺)],tblDonem[Dönem],$A98)</f>
        <v/>
      </c>
      <c r="D98" s="120">
        <f>SUMIFS(tblDonem[Vergi Karşılığı (₺)],tblDonem[Dönem],$A98)</f>
        <v/>
      </c>
      <c r="E98" s="120">
        <f>$C98+$D98</f>
        <v/>
      </c>
      <c r="F98" s="120">
        <f>IF($B98=0,0,$E98/$B98)</f>
        <v/>
      </c>
    </row>
    <row r="99" ht="15" customHeight="1" s="68">
      <c r="A99" s="114" t="n"/>
      <c r="B99" s="120">
        <f>SUMIFS(tblDonem[Gelir (₺)],tblDonem[Dönem],$A99)</f>
        <v/>
      </c>
      <c r="C99" s="120">
        <f>SUMIFS(tblDonem[KDV Tutarı (₺)],tblDonem[Dönem],$A99)-SUMIFS(tblDonem[KDV Yüklenimi (₺)],tblDonem[Dönem],$A99)</f>
        <v/>
      </c>
      <c r="D99" s="120">
        <f>SUMIFS(tblDonem[Vergi Karşılığı (₺)],tblDonem[Dönem],$A99)</f>
        <v/>
      </c>
      <c r="E99" s="120">
        <f>$C99+$D99</f>
        <v/>
      </c>
      <c r="F99" s="120">
        <f>IF($B99=0,0,$E99/$B99)</f>
        <v/>
      </c>
    </row>
    <row r="100" ht="15" customHeight="1" s="68">
      <c r="A100" s="114" t="n"/>
      <c r="B100" s="120">
        <f>SUMIFS(tblDonem[Gelir (₺)],tblDonem[Dönem],$A100)</f>
        <v/>
      </c>
      <c r="C100" s="120">
        <f>SUMIFS(tblDonem[KDV Tutarı (₺)],tblDonem[Dönem],$A100)-SUMIFS(tblDonem[KDV Yüklenimi (₺)],tblDonem[Dönem],$A100)</f>
        <v/>
      </c>
      <c r="D100" s="120">
        <f>SUMIFS(tblDonem[Vergi Karşılığı (₺)],tblDonem[Dönem],$A100)</f>
        <v/>
      </c>
      <c r="E100" s="120">
        <f>$C100+$D100</f>
        <v/>
      </c>
      <c r="F100" s="120">
        <f>IF($B100=0,0,$E100/$B100)</f>
        <v/>
      </c>
    </row>
    <row r="101" ht="15" customHeight="1" s="68">
      <c r="A101" s="114" t="n"/>
      <c r="B101" s="120">
        <f>SUMIFS(tblDonem[Gelir (₺)],tblDonem[Dönem],$A101)</f>
        <v/>
      </c>
      <c r="C101" s="120">
        <f>SUMIFS(tblDonem[KDV Tutarı (₺)],tblDonem[Dönem],$A101)-SUMIFS(tblDonem[KDV Yüklenimi (₺)],tblDonem[Dönem],$A101)</f>
        <v/>
      </c>
      <c r="D101" s="120">
        <f>SUMIFS(tblDonem[Vergi Karşılığı (₺)],tblDonem[Dönem],$A101)</f>
        <v/>
      </c>
      <c r="E101" s="120">
        <f>$C101+$D101</f>
        <v/>
      </c>
      <c r="F101" s="120">
        <f>IF($B101=0,0,$E101/$B101)</f>
        <v/>
      </c>
    </row>
    <row r="102" ht="15" customHeight="1" s="68">
      <c r="A102" s="114" t="n"/>
      <c r="B102" s="120">
        <f>SUMIFS(tblDonem[Gelir (₺)],tblDonem[Dönem],$A102)</f>
        <v/>
      </c>
      <c r="C102" s="120">
        <f>SUMIFS(tblDonem[KDV Tutarı (₺)],tblDonem[Dönem],$A102)-SUMIFS(tblDonem[KDV Yüklenimi (₺)],tblDonem[Dönem],$A102)</f>
        <v/>
      </c>
      <c r="D102" s="120">
        <f>SUMIFS(tblDonem[Vergi Karşılığı (₺)],tblDonem[Dönem],$A102)</f>
        <v/>
      </c>
      <c r="E102" s="120">
        <f>$C102+$D102</f>
        <v/>
      </c>
      <c r="F102" s="120">
        <f>IF($B102=0,0,$E102/$B102)</f>
        <v/>
      </c>
    </row>
    <row r="103" ht="15" customHeight="1" s="68">
      <c r="A103" s="114" t="n"/>
      <c r="B103" s="120">
        <f>SUMIFS(tblDonem[Gelir (₺)],tblDonem[Dönem],$A103)</f>
        <v/>
      </c>
      <c r="C103" s="120">
        <f>SUMIFS(tblDonem[KDV Tutarı (₺)],tblDonem[Dönem],$A103)-SUMIFS(tblDonem[KDV Yüklenimi (₺)],tblDonem[Dönem],$A103)</f>
        <v/>
      </c>
      <c r="D103" s="120">
        <f>SUMIFS(tblDonem[Vergi Karşılığı (₺)],tblDonem[Dönem],$A103)</f>
        <v/>
      </c>
      <c r="E103" s="120">
        <f>$C103+$D103</f>
        <v/>
      </c>
      <c r="F103" s="120">
        <f>IF($B103=0,0,$E103/$B103)</f>
        <v/>
      </c>
    </row>
    <row r="104" ht="15" customHeight="1" s="68">
      <c r="A104" s="114" t="n"/>
      <c r="B104" s="120">
        <f>SUMIFS(tblDonem[Gelir (₺)],tblDonem[Dönem],$A104)</f>
        <v/>
      </c>
      <c r="C104" s="120">
        <f>SUMIFS(tblDonem[KDV Tutarı (₺)],tblDonem[Dönem],$A104)-SUMIFS(tblDonem[KDV Yüklenimi (₺)],tblDonem[Dönem],$A104)</f>
        <v/>
      </c>
      <c r="D104" s="120">
        <f>SUMIFS(tblDonem[Vergi Karşılığı (₺)],tblDonem[Dönem],$A104)</f>
        <v/>
      </c>
      <c r="E104" s="120">
        <f>$C104+$D104</f>
        <v/>
      </c>
      <c r="F104" s="120">
        <f>IF($B104=0,0,$E104/$B104)</f>
        <v/>
      </c>
    </row>
    <row r="105" ht="15" customHeight="1" s="68">
      <c r="A105" s="114" t="n"/>
      <c r="B105" s="120">
        <f>SUMIFS(tblDonem[Gelir (₺)],tblDonem[Dönem],$A105)</f>
        <v/>
      </c>
      <c r="C105" s="120">
        <f>SUMIFS(tblDonem[KDV Tutarı (₺)],tblDonem[Dönem],$A105)-SUMIFS(tblDonem[KDV Yüklenimi (₺)],tblDonem[Dönem],$A105)</f>
        <v/>
      </c>
      <c r="D105" s="120">
        <f>SUMIFS(tblDonem[Vergi Karşılığı (₺)],tblDonem[Dönem],$A105)</f>
        <v/>
      </c>
      <c r="E105" s="120">
        <f>$C105+$D105</f>
        <v/>
      </c>
      <c r="F105" s="120">
        <f>IF($B105=0,0,$E105/$B105)</f>
        <v/>
      </c>
    </row>
    <row r="106" ht="15" customHeight="1" s="68">
      <c r="A106" s="114" t="n"/>
      <c r="B106" s="120">
        <f>SUMIFS(tblDonem[Gelir (₺)],tblDonem[Dönem],$A106)</f>
        <v/>
      </c>
      <c r="C106" s="120">
        <f>SUMIFS(tblDonem[KDV Tutarı (₺)],tblDonem[Dönem],$A106)-SUMIFS(tblDonem[KDV Yüklenimi (₺)],tblDonem[Dönem],$A106)</f>
        <v/>
      </c>
      <c r="D106" s="120">
        <f>SUMIFS(tblDonem[Vergi Karşılığı (₺)],tblDonem[Dönem],$A106)</f>
        <v/>
      </c>
      <c r="E106" s="120">
        <f>$C106+$D106</f>
        <v/>
      </c>
      <c r="F106" s="120">
        <f>IF($B106=0,0,$E106/$B106)</f>
        <v/>
      </c>
    </row>
    <row r="107" ht="15" customHeight="1" s="68">
      <c r="A107" s="114" t="n"/>
      <c r="B107" s="120">
        <f>SUMIFS(tblDonem[Gelir (₺)],tblDonem[Dönem],$A107)</f>
        <v/>
      </c>
      <c r="C107" s="120">
        <f>SUMIFS(tblDonem[KDV Tutarı (₺)],tblDonem[Dönem],$A107)-SUMIFS(tblDonem[KDV Yüklenimi (₺)],tblDonem[Dönem],$A107)</f>
        <v/>
      </c>
      <c r="D107" s="120">
        <f>SUMIFS(tblDonem[Vergi Karşılığı (₺)],tblDonem[Dönem],$A107)</f>
        <v/>
      </c>
      <c r="E107" s="120">
        <f>$C107+$D107</f>
        <v/>
      </c>
      <c r="F107" s="120">
        <f>IF($B107=0,0,$E107/$B107)</f>
        <v/>
      </c>
    </row>
    <row r="108" ht="15" customHeight="1" s="68">
      <c r="A108" s="114" t="n"/>
      <c r="B108" s="120">
        <f>SUMIFS(tblDonem[Gelir (₺)],tblDonem[Dönem],$A108)</f>
        <v/>
      </c>
      <c r="C108" s="120">
        <f>SUMIFS(tblDonem[KDV Tutarı (₺)],tblDonem[Dönem],$A108)-SUMIFS(tblDonem[KDV Yüklenimi (₺)],tblDonem[Dönem],$A108)</f>
        <v/>
      </c>
      <c r="D108" s="120">
        <f>SUMIFS(tblDonem[Vergi Karşılığı (₺)],tblDonem[Dönem],$A108)</f>
        <v/>
      </c>
      <c r="E108" s="120">
        <f>$C108+$D108</f>
        <v/>
      </c>
      <c r="F108" s="120">
        <f>IF($B108=0,0,$E108/$B108)</f>
        <v/>
      </c>
    </row>
    <row r="109" ht="15" customHeight="1" s="68">
      <c r="A109" s="114" t="n"/>
      <c r="B109" s="120">
        <f>SUMIFS(tblDonem[Gelir (₺)],tblDonem[Dönem],$A109)</f>
        <v/>
      </c>
      <c r="C109" s="120">
        <f>SUMIFS(tblDonem[KDV Tutarı (₺)],tblDonem[Dönem],$A109)-SUMIFS(tblDonem[KDV Yüklenimi (₺)],tblDonem[Dönem],$A109)</f>
        <v/>
      </c>
      <c r="D109" s="120">
        <f>SUMIFS(tblDonem[Vergi Karşılığı (₺)],tblDonem[Dönem],$A109)</f>
        <v/>
      </c>
      <c r="E109" s="120">
        <f>$C109+$D109</f>
        <v/>
      </c>
      <c r="F109" s="120">
        <f>IF($B109=0,0,$E109/$B109)</f>
        <v/>
      </c>
    </row>
    <row r="110" ht="15" customHeight="1" s="68">
      <c r="A110" s="114" t="n"/>
      <c r="B110" s="120">
        <f>SUMIFS(tblDonem[Gelir (₺)],tblDonem[Dönem],$A110)</f>
        <v/>
      </c>
      <c r="C110" s="120">
        <f>SUMIFS(tblDonem[KDV Tutarı (₺)],tblDonem[Dönem],$A110)-SUMIFS(tblDonem[KDV Yüklenimi (₺)],tblDonem[Dönem],$A110)</f>
        <v/>
      </c>
      <c r="D110" s="120">
        <f>SUMIFS(tblDonem[Vergi Karşılığı (₺)],tblDonem[Dönem],$A110)</f>
        <v/>
      </c>
      <c r="E110" s="120">
        <f>$C110+$D110</f>
        <v/>
      </c>
      <c r="F110" s="120">
        <f>IF($B110=0,0,$E110/$B110)</f>
        <v/>
      </c>
    </row>
    <row r="111" ht="15" customHeight="1" s="68">
      <c r="A111" s="114" t="n"/>
      <c r="B111" s="120">
        <f>SUMIFS(tblDonem[Gelir (₺)],tblDonem[Dönem],$A111)</f>
        <v/>
      </c>
      <c r="C111" s="120">
        <f>SUMIFS(tblDonem[KDV Tutarı (₺)],tblDonem[Dönem],$A111)-SUMIFS(tblDonem[KDV Yüklenimi (₺)],tblDonem[Dönem],$A111)</f>
        <v/>
      </c>
      <c r="D111" s="120">
        <f>SUMIFS(tblDonem[Vergi Karşılığı (₺)],tblDonem[Dönem],$A111)</f>
        <v/>
      </c>
      <c r="E111" s="120">
        <f>$C111+$D111</f>
        <v/>
      </c>
      <c r="F111" s="120">
        <f>IF($B111=0,0,$E111/$B111)</f>
        <v/>
      </c>
    </row>
    <row r="112" ht="15" customHeight="1" s="68">
      <c r="A112" s="114" t="n"/>
      <c r="B112" s="120">
        <f>SUMIFS(tblDonem[Gelir (₺)],tblDonem[Dönem],$A112)</f>
        <v/>
      </c>
      <c r="C112" s="120">
        <f>SUMIFS(tblDonem[KDV Tutarı (₺)],tblDonem[Dönem],$A112)-SUMIFS(tblDonem[KDV Yüklenimi (₺)],tblDonem[Dönem],$A112)</f>
        <v/>
      </c>
      <c r="D112" s="120">
        <f>SUMIFS(tblDonem[Vergi Karşılığı (₺)],tblDonem[Dönem],$A112)</f>
        <v/>
      </c>
      <c r="E112" s="120">
        <f>$C112+$D112</f>
        <v/>
      </c>
      <c r="F112" s="120">
        <f>IF($B112=0,0,$E112/$B112)</f>
        <v/>
      </c>
    </row>
    <row r="113" ht="15" customHeight="1" s="68">
      <c r="A113" s="114" t="n"/>
      <c r="B113" s="120">
        <f>SUMIFS(tblDonem[Gelir (₺)],tblDonem[Dönem],$A113)</f>
        <v/>
      </c>
      <c r="C113" s="120">
        <f>SUMIFS(tblDonem[KDV Tutarı (₺)],tblDonem[Dönem],$A113)-SUMIFS(tblDonem[KDV Yüklenimi (₺)],tblDonem[Dönem],$A113)</f>
        <v/>
      </c>
      <c r="D113" s="120">
        <f>SUMIFS(tblDonem[Vergi Karşılığı (₺)],tblDonem[Dönem],$A113)</f>
        <v/>
      </c>
      <c r="E113" s="120">
        <f>$C113+$D113</f>
        <v/>
      </c>
      <c r="F113" s="120">
        <f>IF($B113=0,0,$E113/$B113)</f>
        <v/>
      </c>
    </row>
    <row r="114" ht="15" customHeight="1" s="68">
      <c r="A114" s="114" t="n"/>
      <c r="B114" s="120">
        <f>SUMIFS(tblDonem[Gelir (₺)],tblDonem[Dönem],$A114)</f>
        <v/>
      </c>
      <c r="C114" s="120">
        <f>SUMIFS(tblDonem[KDV Tutarı (₺)],tblDonem[Dönem],$A114)-SUMIFS(tblDonem[KDV Yüklenimi (₺)],tblDonem[Dönem],$A114)</f>
        <v/>
      </c>
      <c r="D114" s="120">
        <f>SUMIFS(tblDonem[Vergi Karşılığı (₺)],tblDonem[Dönem],$A114)</f>
        <v/>
      </c>
      <c r="E114" s="120">
        <f>$C114+$D114</f>
        <v/>
      </c>
      <c r="F114" s="120">
        <f>IF($B114=0,0,$E114/$B114)</f>
        <v/>
      </c>
    </row>
    <row r="115" ht="15" customHeight="1" s="68">
      <c r="A115" s="114" t="n"/>
      <c r="B115" s="120">
        <f>SUMIFS(tblDonem[Gelir (₺)],tblDonem[Dönem],$A115)</f>
        <v/>
      </c>
      <c r="C115" s="120">
        <f>SUMIFS(tblDonem[KDV Tutarı (₺)],tblDonem[Dönem],$A115)-SUMIFS(tblDonem[KDV Yüklenimi (₺)],tblDonem[Dönem],$A115)</f>
        <v/>
      </c>
      <c r="D115" s="120">
        <f>SUMIFS(tblDonem[Vergi Karşılığı (₺)],tblDonem[Dönem],$A115)</f>
        <v/>
      </c>
      <c r="E115" s="120">
        <f>$C115+$D115</f>
        <v/>
      </c>
      <c r="F115" s="120">
        <f>IF($B115=0,0,$E115/$B115)</f>
        <v/>
      </c>
    </row>
    <row r="116" ht="15" customHeight="1" s="68">
      <c r="A116" s="114" t="n"/>
      <c r="B116" s="120">
        <f>SUMIFS(tblDonem[Gelir (₺)],tblDonem[Dönem],$A116)</f>
        <v/>
      </c>
      <c r="C116" s="120">
        <f>SUMIFS(tblDonem[KDV Tutarı (₺)],tblDonem[Dönem],$A116)-SUMIFS(tblDonem[KDV Yüklenimi (₺)],tblDonem[Dönem],$A116)</f>
        <v/>
      </c>
      <c r="D116" s="120">
        <f>SUMIFS(tblDonem[Vergi Karşılığı (₺)],tblDonem[Dönem],$A116)</f>
        <v/>
      </c>
      <c r="E116" s="120">
        <f>$C116+$D116</f>
        <v/>
      </c>
      <c r="F116" s="120">
        <f>IF($B116=0,0,$E116/$B116)</f>
        <v/>
      </c>
    </row>
    <row r="117" ht="15" customHeight="1" s="68">
      <c r="A117" s="114" t="n"/>
      <c r="B117" s="120">
        <f>SUMIFS(tblDonem[Gelir (₺)],tblDonem[Dönem],$A117)</f>
        <v/>
      </c>
      <c r="C117" s="120">
        <f>SUMIFS(tblDonem[KDV Tutarı (₺)],tblDonem[Dönem],$A117)-SUMIFS(tblDonem[KDV Yüklenimi (₺)],tblDonem[Dönem],$A117)</f>
        <v/>
      </c>
      <c r="D117" s="120">
        <f>SUMIFS(tblDonem[Vergi Karşılığı (₺)],tblDonem[Dönem],$A117)</f>
        <v/>
      </c>
      <c r="E117" s="120">
        <f>$C117+$D117</f>
        <v/>
      </c>
      <c r="F117" s="120">
        <f>IF($B117=0,0,$E117/$B117)</f>
        <v/>
      </c>
    </row>
    <row r="118" ht="15" customHeight="1" s="68">
      <c r="A118" s="114" t="n"/>
      <c r="B118" s="120">
        <f>SUMIFS(tblDonem[Gelir (₺)],tblDonem[Dönem],$A118)</f>
        <v/>
      </c>
      <c r="C118" s="120">
        <f>SUMIFS(tblDonem[KDV Tutarı (₺)],tblDonem[Dönem],$A118)-SUMIFS(tblDonem[KDV Yüklenimi (₺)],tblDonem[Dönem],$A118)</f>
        <v/>
      </c>
      <c r="D118" s="120">
        <f>SUMIFS(tblDonem[Vergi Karşılığı (₺)],tblDonem[Dönem],$A118)</f>
        <v/>
      </c>
      <c r="E118" s="120">
        <f>$C118+$D118</f>
        <v/>
      </c>
      <c r="F118" s="120">
        <f>IF($B118=0,0,$E118/$B118)</f>
        <v/>
      </c>
    </row>
    <row r="119" ht="15" customHeight="1" s="68">
      <c r="A119" s="114" t="n"/>
      <c r="B119" s="120">
        <f>SUMIFS(tblDonem[Gelir (₺)],tblDonem[Dönem],$A119)</f>
        <v/>
      </c>
      <c r="C119" s="120">
        <f>SUMIFS(tblDonem[KDV Tutarı (₺)],tblDonem[Dönem],$A119)-SUMIFS(tblDonem[KDV Yüklenimi (₺)],tblDonem[Dönem],$A119)</f>
        <v/>
      </c>
      <c r="D119" s="120">
        <f>SUMIFS(tblDonem[Vergi Karşılığı (₺)],tblDonem[Dönem],$A119)</f>
        <v/>
      </c>
      <c r="E119" s="120">
        <f>$C119+$D119</f>
        <v/>
      </c>
      <c r="F119" s="120">
        <f>IF($B119=0,0,$E119/$B119)</f>
        <v/>
      </c>
    </row>
    <row r="120" ht="15" customHeight="1" s="68">
      <c r="A120" s="114" t="n"/>
      <c r="B120" s="120">
        <f>SUMIFS(tblDonem[Gelir (₺)],tblDonem[Dönem],$A120)</f>
        <v/>
      </c>
      <c r="C120" s="120">
        <f>SUMIFS(tblDonem[KDV Tutarı (₺)],tblDonem[Dönem],$A120)-SUMIFS(tblDonem[KDV Yüklenimi (₺)],tblDonem[Dönem],$A120)</f>
        <v/>
      </c>
      <c r="D120" s="120">
        <f>SUMIFS(tblDonem[Vergi Karşılığı (₺)],tblDonem[Dönem],$A120)</f>
        <v/>
      </c>
      <c r="E120" s="120">
        <f>$C120+$D120</f>
        <v/>
      </c>
      <c r="F120" s="120">
        <f>IF($B120=0,0,$E120/$B120)</f>
        <v/>
      </c>
    </row>
    <row r="121" ht="15" customHeight="1" s="68">
      <c r="A121" s="114" t="n"/>
      <c r="B121" s="120">
        <f>SUMIFS(tblDonem[Gelir (₺)],tblDonem[Dönem],$A121)</f>
        <v/>
      </c>
      <c r="C121" s="120">
        <f>SUMIFS(tblDonem[KDV Tutarı (₺)],tblDonem[Dönem],$A121)-SUMIFS(tblDonem[KDV Yüklenimi (₺)],tblDonem[Dönem],$A121)</f>
        <v/>
      </c>
      <c r="D121" s="120">
        <f>SUMIFS(tblDonem[Vergi Karşılığı (₺)],tblDonem[Dönem],$A121)</f>
        <v/>
      </c>
      <c r="E121" s="120">
        <f>$C121+$D121</f>
        <v/>
      </c>
      <c r="F121" s="120">
        <f>IF($B121=0,0,$E121/$B121)</f>
        <v/>
      </c>
    </row>
    <row r="122" ht="15" customHeight="1" s="68">
      <c r="A122" s="114" t="n"/>
      <c r="B122" s="120">
        <f>SUMIFS(tblDonem[Gelir (₺)],tblDonem[Dönem],$A122)</f>
        <v/>
      </c>
      <c r="C122" s="120">
        <f>SUMIFS(tblDonem[KDV Tutarı (₺)],tblDonem[Dönem],$A122)-SUMIFS(tblDonem[KDV Yüklenimi (₺)],tblDonem[Dönem],$A122)</f>
        <v/>
      </c>
      <c r="D122" s="120">
        <f>SUMIFS(tblDonem[Vergi Karşılığı (₺)],tblDonem[Dönem],$A122)</f>
        <v/>
      </c>
      <c r="E122" s="120">
        <f>$C122+$D122</f>
        <v/>
      </c>
      <c r="F122" s="120">
        <f>IF($B122=0,0,$E122/$B122)</f>
        <v/>
      </c>
    </row>
    <row r="123" ht="15" customHeight="1" s="68">
      <c r="A123" s="114" t="n"/>
      <c r="B123" s="120">
        <f>SUMIFS(tblDonem[Gelir (₺)],tblDonem[Dönem],$A123)</f>
        <v/>
      </c>
      <c r="C123" s="120">
        <f>SUMIFS(tblDonem[KDV Tutarı (₺)],tblDonem[Dönem],$A123)-SUMIFS(tblDonem[KDV Yüklenimi (₺)],tblDonem[Dönem],$A123)</f>
        <v/>
      </c>
      <c r="D123" s="120">
        <f>SUMIFS(tblDonem[Vergi Karşılığı (₺)],tblDonem[Dönem],$A123)</f>
        <v/>
      </c>
      <c r="E123" s="120">
        <f>$C123+$D123</f>
        <v/>
      </c>
      <c r="F123" s="120">
        <f>IF($B123=0,0,$E123/$B123)</f>
        <v/>
      </c>
    </row>
    <row r="124" ht="15" customHeight="1" s="68">
      <c r="A124" s="114" t="n"/>
      <c r="B124" s="120">
        <f>SUMIFS(tblDonem[Gelir (₺)],tblDonem[Dönem],$A124)</f>
        <v/>
      </c>
      <c r="C124" s="120">
        <f>SUMIFS(tblDonem[KDV Tutarı (₺)],tblDonem[Dönem],$A124)-SUMIFS(tblDonem[KDV Yüklenimi (₺)],tblDonem[Dönem],$A124)</f>
        <v/>
      </c>
      <c r="D124" s="120">
        <f>SUMIFS(tblDonem[Vergi Karşılığı (₺)],tblDonem[Dönem],$A124)</f>
        <v/>
      </c>
      <c r="E124" s="120">
        <f>$C124+$D124</f>
        <v/>
      </c>
      <c r="F124" s="120">
        <f>IF($B124=0,0,$E124/$B124)</f>
        <v/>
      </c>
    </row>
    <row r="125" ht="15" customHeight="1" s="68">
      <c r="A125" s="114" t="n"/>
      <c r="B125" s="120">
        <f>SUMIFS(tblDonem[Gelir (₺)],tblDonem[Dönem],$A125)</f>
        <v/>
      </c>
      <c r="C125" s="120">
        <f>SUMIFS(tblDonem[KDV Tutarı (₺)],tblDonem[Dönem],$A125)-SUMIFS(tblDonem[KDV Yüklenimi (₺)],tblDonem[Dönem],$A125)</f>
        <v/>
      </c>
      <c r="D125" s="120">
        <f>SUMIFS(tblDonem[Vergi Karşılığı (₺)],tblDonem[Dönem],$A125)</f>
        <v/>
      </c>
      <c r="E125" s="120">
        <f>$C125+$D125</f>
        <v/>
      </c>
      <c r="F125" s="120">
        <f>IF($B125=0,0,$E125/$B125)</f>
        <v/>
      </c>
    </row>
    <row r="126" ht="15" customHeight="1" s="68">
      <c r="A126" s="114" t="n"/>
      <c r="B126" s="120">
        <f>SUMIFS(tblDonem[Gelir (₺)],tblDonem[Dönem],$A126)</f>
        <v/>
      </c>
      <c r="C126" s="120">
        <f>SUMIFS(tblDonem[KDV Tutarı (₺)],tblDonem[Dönem],$A126)-SUMIFS(tblDonem[KDV Yüklenimi (₺)],tblDonem[Dönem],$A126)</f>
        <v/>
      </c>
      <c r="D126" s="120">
        <f>SUMIFS(tblDonem[Vergi Karşılığı (₺)],tblDonem[Dönem],$A126)</f>
        <v/>
      </c>
      <c r="E126" s="120">
        <f>$C126+$D126</f>
        <v/>
      </c>
      <c r="F126" s="120">
        <f>IF($B126=0,0,$E126/$B126)</f>
        <v/>
      </c>
    </row>
    <row r="127" ht="15" customHeight="1" s="68">
      <c r="A127" s="114" t="n"/>
      <c r="B127" s="120">
        <f>SUMIFS(tblDonem[Gelir (₺)],tblDonem[Dönem],$A127)</f>
        <v/>
      </c>
      <c r="C127" s="120">
        <f>SUMIFS(tblDonem[KDV Tutarı (₺)],tblDonem[Dönem],$A127)-SUMIFS(tblDonem[KDV Yüklenimi (₺)],tblDonem[Dönem],$A127)</f>
        <v/>
      </c>
      <c r="D127" s="120">
        <f>SUMIFS(tblDonem[Vergi Karşılığı (₺)],tblDonem[Dönem],$A127)</f>
        <v/>
      </c>
      <c r="E127" s="120">
        <f>$C127+$D127</f>
        <v/>
      </c>
      <c r="F127" s="120">
        <f>IF($B127=0,0,$E127/$B127)</f>
        <v/>
      </c>
    </row>
    <row r="128" ht="15" customHeight="1" s="68">
      <c r="A128" s="114" t="n"/>
      <c r="B128" s="120">
        <f>SUMIFS(tblDonem[Gelir (₺)],tblDonem[Dönem],$A128)</f>
        <v/>
      </c>
      <c r="C128" s="120">
        <f>SUMIFS(tblDonem[KDV Tutarı (₺)],tblDonem[Dönem],$A128)-SUMIFS(tblDonem[KDV Yüklenimi (₺)],tblDonem[Dönem],$A128)</f>
        <v/>
      </c>
      <c r="D128" s="120">
        <f>SUMIFS(tblDonem[Vergi Karşılığı (₺)],tblDonem[Dönem],$A128)</f>
        <v/>
      </c>
      <c r="E128" s="120">
        <f>$C128+$D128</f>
        <v/>
      </c>
      <c r="F128" s="120">
        <f>IF($B128=0,0,$E128/$B128)</f>
        <v/>
      </c>
    </row>
    <row r="129" ht="15" customHeight="1" s="68">
      <c r="A129" s="114" t="n"/>
      <c r="B129" s="120">
        <f>SUMIFS(tblDonem[Gelir (₺)],tblDonem[Dönem],$A129)</f>
        <v/>
      </c>
      <c r="C129" s="120">
        <f>SUMIFS(tblDonem[KDV Tutarı (₺)],tblDonem[Dönem],$A129)-SUMIFS(tblDonem[KDV Yüklenimi (₺)],tblDonem[Dönem],$A129)</f>
        <v/>
      </c>
      <c r="D129" s="120">
        <f>SUMIFS(tblDonem[Vergi Karşılığı (₺)],tblDonem[Dönem],$A129)</f>
        <v/>
      </c>
      <c r="E129" s="120">
        <f>$C129+$D129</f>
        <v/>
      </c>
      <c r="F129" s="120">
        <f>IF($B129=0,0,$E129/$B129)</f>
        <v/>
      </c>
    </row>
    <row r="130" ht="15" customHeight="1" s="68">
      <c r="A130" s="114" t="n"/>
      <c r="B130" s="120">
        <f>SUMIFS(tblDonem[Gelir (₺)],tblDonem[Dönem],$A130)</f>
        <v/>
      </c>
      <c r="C130" s="120">
        <f>SUMIFS(tblDonem[KDV Tutarı (₺)],tblDonem[Dönem],$A130)-SUMIFS(tblDonem[KDV Yüklenimi (₺)],tblDonem[Dönem],$A130)</f>
        <v/>
      </c>
      <c r="D130" s="120">
        <f>SUMIFS(tblDonem[Vergi Karşılığı (₺)],tblDonem[Dönem],$A130)</f>
        <v/>
      </c>
      <c r="E130" s="120">
        <f>$C130+$D130</f>
        <v/>
      </c>
      <c r="F130" s="120">
        <f>IF($B130=0,0,$E130/$B130)</f>
        <v/>
      </c>
    </row>
    <row r="131" ht="15" customHeight="1" s="68">
      <c r="A131" s="114" t="n"/>
      <c r="B131" s="120">
        <f>SUMIFS(tblDonem[Gelir (₺)],tblDonem[Dönem],$A131)</f>
        <v/>
      </c>
      <c r="C131" s="120">
        <f>SUMIFS(tblDonem[KDV Tutarı (₺)],tblDonem[Dönem],$A131)-SUMIFS(tblDonem[KDV Yüklenimi (₺)],tblDonem[Dönem],$A131)</f>
        <v/>
      </c>
      <c r="D131" s="120">
        <f>SUMIFS(tblDonem[Vergi Karşılığı (₺)],tblDonem[Dönem],$A131)</f>
        <v/>
      </c>
      <c r="E131" s="120">
        <f>$C131+$D131</f>
        <v/>
      </c>
      <c r="F131" s="120">
        <f>IF($B131=0,0,$E131/$B131)</f>
        <v/>
      </c>
    </row>
    <row r="132" ht="15" customHeight="1" s="68">
      <c r="A132" s="114" t="n"/>
      <c r="B132" s="120">
        <f>SUMIFS(tblDonem[Gelir (₺)],tblDonem[Dönem],$A132)</f>
        <v/>
      </c>
      <c r="C132" s="120">
        <f>SUMIFS(tblDonem[KDV Tutarı (₺)],tblDonem[Dönem],$A132)-SUMIFS(tblDonem[KDV Yüklenimi (₺)],tblDonem[Dönem],$A132)</f>
        <v/>
      </c>
      <c r="D132" s="120">
        <f>SUMIFS(tblDonem[Vergi Karşılığı (₺)],tblDonem[Dönem],$A132)</f>
        <v/>
      </c>
      <c r="E132" s="120">
        <f>$C132+$D132</f>
        <v/>
      </c>
      <c r="F132" s="120">
        <f>IF($B132=0,0,$E132/$B132)</f>
        <v/>
      </c>
    </row>
    <row r="133" ht="15" customHeight="1" s="68">
      <c r="A133" s="114" t="n"/>
      <c r="B133" s="120">
        <f>SUMIFS(tblDonem[Gelir (₺)],tblDonem[Dönem],$A133)</f>
        <v/>
      </c>
      <c r="C133" s="120">
        <f>SUMIFS(tblDonem[KDV Tutarı (₺)],tblDonem[Dönem],$A133)-SUMIFS(tblDonem[KDV Yüklenimi (₺)],tblDonem[Dönem],$A133)</f>
        <v/>
      </c>
      <c r="D133" s="120">
        <f>SUMIFS(tblDonem[Vergi Karşılığı (₺)],tblDonem[Dönem],$A133)</f>
        <v/>
      </c>
      <c r="E133" s="120">
        <f>$C133+$D133</f>
        <v/>
      </c>
      <c r="F133" s="120">
        <f>IF($B133=0,0,$E133/$B133)</f>
        <v/>
      </c>
    </row>
    <row r="134" ht="15" customHeight="1" s="68">
      <c r="A134" s="114" t="n"/>
      <c r="B134" s="120">
        <f>SUMIFS(tblDonem[Gelir (₺)],tblDonem[Dönem],$A134)</f>
        <v/>
      </c>
      <c r="C134" s="120">
        <f>SUMIFS(tblDonem[KDV Tutarı (₺)],tblDonem[Dönem],$A134)-SUMIFS(tblDonem[KDV Yüklenimi (₺)],tblDonem[Dönem],$A134)</f>
        <v/>
      </c>
      <c r="D134" s="120">
        <f>SUMIFS(tblDonem[Vergi Karşılığı (₺)],tblDonem[Dönem],$A134)</f>
        <v/>
      </c>
      <c r="E134" s="120">
        <f>$C134+$D134</f>
        <v/>
      </c>
      <c r="F134" s="120">
        <f>IF($B134=0,0,$E134/$B134)</f>
        <v/>
      </c>
    </row>
    <row r="135" ht="15" customHeight="1" s="68">
      <c r="A135" s="114" t="n"/>
      <c r="B135" s="120">
        <f>SUMIFS(tblDonem[Gelir (₺)],tblDonem[Dönem],$A135)</f>
        <v/>
      </c>
      <c r="C135" s="120">
        <f>SUMIFS(tblDonem[KDV Tutarı (₺)],tblDonem[Dönem],$A135)-SUMIFS(tblDonem[KDV Yüklenimi (₺)],tblDonem[Dönem],$A135)</f>
        <v/>
      </c>
      <c r="D135" s="120">
        <f>SUMIFS(tblDonem[Vergi Karşılığı (₺)],tblDonem[Dönem],$A135)</f>
        <v/>
      </c>
      <c r="E135" s="120">
        <f>$C135+$D135</f>
        <v/>
      </c>
      <c r="F135" s="120">
        <f>IF($B135=0,0,$E135/$B135)</f>
        <v/>
      </c>
    </row>
    <row r="136" ht="15" customHeight="1" s="68">
      <c r="A136" s="114" t="n"/>
      <c r="B136" s="120">
        <f>SUMIFS(tblDonem[Gelir (₺)],tblDonem[Dönem],$A136)</f>
        <v/>
      </c>
      <c r="C136" s="120">
        <f>SUMIFS(tblDonem[KDV Tutarı (₺)],tblDonem[Dönem],$A136)-SUMIFS(tblDonem[KDV Yüklenimi (₺)],tblDonem[Dönem],$A136)</f>
        <v/>
      </c>
      <c r="D136" s="120">
        <f>SUMIFS(tblDonem[Vergi Karşılığı (₺)],tblDonem[Dönem],$A136)</f>
        <v/>
      </c>
      <c r="E136" s="120">
        <f>$C136+$D136</f>
        <v/>
      </c>
      <c r="F136" s="120">
        <f>IF($B136=0,0,$E136/$B136)</f>
        <v/>
      </c>
    </row>
    <row r="137" ht="15" customHeight="1" s="68">
      <c r="A137" s="114" t="n"/>
      <c r="B137" s="120">
        <f>SUMIFS(tblDonem[Gelir (₺)],tblDonem[Dönem],$A137)</f>
        <v/>
      </c>
      <c r="C137" s="120">
        <f>SUMIFS(tblDonem[KDV Tutarı (₺)],tblDonem[Dönem],$A137)-SUMIFS(tblDonem[KDV Yüklenimi (₺)],tblDonem[Dönem],$A137)</f>
        <v/>
      </c>
      <c r="D137" s="120">
        <f>SUMIFS(tblDonem[Vergi Karşılığı (₺)],tblDonem[Dönem],$A137)</f>
        <v/>
      </c>
      <c r="E137" s="120">
        <f>$C137+$D137</f>
        <v/>
      </c>
      <c r="F137" s="120">
        <f>IF($B137=0,0,$E137/$B137)</f>
        <v/>
      </c>
    </row>
    <row r="138" ht="15" customHeight="1" s="68">
      <c r="A138" s="114" t="n"/>
      <c r="B138" s="120">
        <f>SUMIFS(tblDonem[Gelir (₺)],tblDonem[Dönem],$A138)</f>
        <v/>
      </c>
      <c r="C138" s="120">
        <f>SUMIFS(tblDonem[KDV Tutarı (₺)],tblDonem[Dönem],$A138)-SUMIFS(tblDonem[KDV Yüklenimi (₺)],tblDonem[Dönem],$A138)</f>
        <v/>
      </c>
      <c r="D138" s="120">
        <f>SUMIFS(tblDonem[Vergi Karşılığı (₺)],tblDonem[Dönem],$A138)</f>
        <v/>
      </c>
      <c r="E138" s="120">
        <f>$C138+$D138</f>
        <v/>
      </c>
      <c r="F138" s="120">
        <f>IF($B138=0,0,$E138/$B138)</f>
        <v/>
      </c>
    </row>
    <row r="139" ht="15" customHeight="1" s="68">
      <c r="A139" s="114" t="n"/>
      <c r="B139" s="120">
        <f>SUMIFS(tblDonem[Gelir (₺)],tblDonem[Dönem],$A139)</f>
        <v/>
      </c>
      <c r="C139" s="120">
        <f>SUMIFS(tblDonem[KDV Tutarı (₺)],tblDonem[Dönem],$A139)-SUMIFS(tblDonem[KDV Yüklenimi (₺)],tblDonem[Dönem],$A139)</f>
        <v/>
      </c>
      <c r="D139" s="120">
        <f>SUMIFS(tblDonem[Vergi Karşılığı (₺)],tblDonem[Dönem],$A139)</f>
        <v/>
      </c>
      <c r="E139" s="120">
        <f>$C139+$D139</f>
        <v/>
      </c>
      <c r="F139" s="120">
        <f>IF($B139=0,0,$E139/$B139)</f>
        <v/>
      </c>
    </row>
    <row r="140" ht="15" customHeight="1" s="68">
      <c r="A140" s="114" t="n"/>
      <c r="B140" s="120">
        <f>SUMIFS(tblDonem[Gelir (₺)],tblDonem[Dönem],$A140)</f>
        <v/>
      </c>
      <c r="C140" s="120">
        <f>SUMIFS(tblDonem[KDV Tutarı (₺)],tblDonem[Dönem],$A140)-SUMIFS(tblDonem[KDV Yüklenimi (₺)],tblDonem[Dönem],$A140)</f>
        <v/>
      </c>
      <c r="D140" s="120">
        <f>SUMIFS(tblDonem[Vergi Karşılığı (₺)],tblDonem[Dönem],$A140)</f>
        <v/>
      </c>
      <c r="E140" s="120">
        <f>$C140+$D140</f>
        <v/>
      </c>
      <c r="F140" s="120">
        <f>IF($B140=0,0,$E140/$B140)</f>
        <v/>
      </c>
    </row>
    <row r="141" ht="15" customHeight="1" s="68">
      <c r="A141" s="114" t="n"/>
      <c r="B141" s="120">
        <f>SUMIFS(tblDonem[Gelir (₺)],tblDonem[Dönem],$A141)</f>
        <v/>
      </c>
      <c r="C141" s="120">
        <f>SUMIFS(tblDonem[KDV Tutarı (₺)],tblDonem[Dönem],$A141)-SUMIFS(tblDonem[KDV Yüklenimi (₺)],tblDonem[Dönem],$A141)</f>
        <v/>
      </c>
      <c r="D141" s="120">
        <f>SUMIFS(tblDonem[Vergi Karşılığı (₺)],tblDonem[Dönem],$A141)</f>
        <v/>
      </c>
      <c r="E141" s="120">
        <f>$C141+$D141</f>
        <v/>
      </c>
      <c r="F141" s="120">
        <f>IF($B141=0,0,$E141/$B141)</f>
        <v/>
      </c>
    </row>
    <row r="142" ht="15" customHeight="1" s="68">
      <c r="A142" s="114" t="n"/>
      <c r="B142" s="120">
        <f>SUMIFS(tblDonem[Gelir (₺)],tblDonem[Dönem],$A142)</f>
        <v/>
      </c>
      <c r="C142" s="120">
        <f>SUMIFS(tblDonem[KDV Tutarı (₺)],tblDonem[Dönem],$A142)-SUMIFS(tblDonem[KDV Yüklenimi (₺)],tblDonem[Dönem],$A142)</f>
        <v/>
      </c>
      <c r="D142" s="120">
        <f>SUMIFS(tblDonem[Vergi Karşılığı (₺)],tblDonem[Dönem],$A142)</f>
        <v/>
      </c>
      <c r="E142" s="120">
        <f>$C142+$D142</f>
        <v/>
      </c>
      <c r="F142" s="120">
        <f>IF($B142=0,0,$E142/$B142)</f>
        <v/>
      </c>
    </row>
    <row r="143" ht="15" customHeight="1" s="68">
      <c r="A143" s="114" t="n"/>
      <c r="B143" s="120">
        <f>SUMIFS(tblDonem[Gelir (₺)],tblDonem[Dönem],$A143)</f>
        <v/>
      </c>
      <c r="C143" s="120">
        <f>SUMIFS(tblDonem[KDV Tutarı (₺)],tblDonem[Dönem],$A143)-SUMIFS(tblDonem[KDV Yüklenimi (₺)],tblDonem[Dönem],$A143)</f>
        <v/>
      </c>
      <c r="D143" s="120">
        <f>SUMIFS(tblDonem[Vergi Karşılığı (₺)],tblDonem[Dönem],$A143)</f>
        <v/>
      </c>
      <c r="E143" s="120">
        <f>$C143+$D143</f>
        <v/>
      </c>
      <c r="F143" s="120">
        <f>IF($B143=0,0,$E143/$B143)</f>
        <v/>
      </c>
    </row>
    <row r="144" ht="15" customHeight="1" s="68">
      <c r="A144" s="114" t="n"/>
      <c r="B144" s="120">
        <f>SUMIFS(tblDonem[Gelir (₺)],tblDonem[Dönem],$A144)</f>
        <v/>
      </c>
      <c r="C144" s="120">
        <f>SUMIFS(tblDonem[KDV Tutarı (₺)],tblDonem[Dönem],$A144)-SUMIFS(tblDonem[KDV Yüklenimi (₺)],tblDonem[Dönem],$A144)</f>
        <v/>
      </c>
      <c r="D144" s="120">
        <f>SUMIFS(tblDonem[Vergi Karşılığı (₺)],tblDonem[Dönem],$A144)</f>
        <v/>
      </c>
      <c r="E144" s="120">
        <f>$C144+$D144</f>
        <v/>
      </c>
      <c r="F144" s="120">
        <f>IF($B144=0,0,$E144/$B144)</f>
        <v/>
      </c>
    </row>
    <row r="145" ht="15" customHeight="1" s="68">
      <c r="A145" s="114" t="n"/>
      <c r="B145" s="120">
        <f>SUMIFS(tblDonem[Gelir (₺)],tblDonem[Dönem],$A145)</f>
        <v/>
      </c>
      <c r="C145" s="120">
        <f>SUMIFS(tblDonem[KDV Tutarı (₺)],tblDonem[Dönem],$A145)-SUMIFS(tblDonem[KDV Yüklenimi (₺)],tblDonem[Dönem],$A145)</f>
        <v/>
      </c>
      <c r="D145" s="120">
        <f>SUMIFS(tblDonem[Vergi Karşılığı (₺)],tblDonem[Dönem],$A145)</f>
        <v/>
      </c>
      <c r="E145" s="120">
        <f>$C145+$D145</f>
        <v/>
      </c>
      <c r="F145" s="120">
        <f>IF($B145=0,0,$E145/$B145)</f>
        <v/>
      </c>
    </row>
    <row r="146" ht="15" customHeight="1" s="68">
      <c r="A146" s="114" t="n"/>
      <c r="B146" s="120">
        <f>SUMIFS(tblDonem[Gelir (₺)],tblDonem[Dönem],$A146)</f>
        <v/>
      </c>
      <c r="C146" s="120">
        <f>SUMIFS(tblDonem[KDV Tutarı (₺)],tblDonem[Dönem],$A146)-SUMIFS(tblDonem[KDV Yüklenimi (₺)],tblDonem[Dönem],$A146)</f>
        <v/>
      </c>
      <c r="D146" s="120">
        <f>SUMIFS(tblDonem[Vergi Karşılığı (₺)],tblDonem[Dönem],$A146)</f>
        <v/>
      </c>
      <c r="E146" s="120">
        <f>$C146+$D146</f>
        <v/>
      </c>
      <c r="F146" s="120">
        <f>IF($B146=0,0,$E146/$B146)</f>
        <v/>
      </c>
    </row>
    <row r="147" ht="15" customHeight="1" s="68">
      <c r="A147" s="114" t="n"/>
      <c r="B147" s="120">
        <f>SUMIFS(tblDonem[Gelir (₺)],tblDonem[Dönem],$A147)</f>
        <v/>
      </c>
      <c r="C147" s="120">
        <f>SUMIFS(tblDonem[KDV Tutarı (₺)],tblDonem[Dönem],$A147)-SUMIFS(tblDonem[KDV Yüklenimi (₺)],tblDonem[Dönem],$A147)</f>
        <v/>
      </c>
      <c r="D147" s="120">
        <f>SUMIFS(tblDonem[Vergi Karşılığı (₺)],tblDonem[Dönem],$A147)</f>
        <v/>
      </c>
      <c r="E147" s="120">
        <f>$C147+$D147</f>
        <v/>
      </c>
      <c r="F147" s="120">
        <f>IF($B147=0,0,$E147/$B147)</f>
        <v/>
      </c>
    </row>
    <row r="148" ht="15" customHeight="1" s="68">
      <c r="A148" s="114" t="n"/>
      <c r="B148" s="120">
        <f>SUMIFS(tblDonem[Gelir (₺)],tblDonem[Dönem],$A148)</f>
        <v/>
      </c>
      <c r="C148" s="120">
        <f>SUMIFS(tblDonem[KDV Tutarı (₺)],tblDonem[Dönem],$A148)-SUMIFS(tblDonem[KDV Yüklenimi (₺)],tblDonem[Dönem],$A148)</f>
        <v/>
      </c>
      <c r="D148" s="120">
        <f>SUMIFS(tblDonem[Vergi Karşılığı (₺)],tblDonem[Dönem],$A148)</f>
        <v/>
      </c>
      <c r="E148" s="120">
        <f>$C148+$D148</f>
        <v/>
      </c>
      <c r="F148" s="120">
        <f>IF($B148=0,0,$E148/$B148)</f>
        <v/>
      </c>
    </row>
    <row r="149" ht="15" customHeight="1" s="68">
      <c r="A149" s="114" t="n"/>
      <c r="B149" s="120">
        <f>SUMIFS(tblDonem[Gelir (₺)],tblDonem[Dönem],$A149)</f>
        <v/>
      </c>
      <c r="C149" s="120">
        <f>SUMIFS(tblDonem[KDV Tutarı (₺)],tblDonem[Dönem],$A149)-SUMIFS(tblDonem[KDV Yüklenimi (₺)],tblDonem[Dönem],$A149)</f>
        <v/>
      </c>
      <c r="D149" s="120">
        <f>SUMIFS(tblDonem[Vergi Karşılığı (₺)],tblDonem[Dönem],$A149)</f>
        <v/>
      </c>
      <c r="E149" s="120">
        <f>$C149+$D149</f>
        <v/>
      </c>
      <c r="F149" s="120">
        <f>IF($B149=0,0,$E149/$B149)</f>
        <v/>
      </c>
    </row>
    <row r="150" ht="15" customHeight="1" s="68">
      <c r="A150" s="114" t="n"/>
      <c r="B150" s="120">
        <f>SUMIFS(tblDonem[Gelir (₺)],tblDonem[Dönem],$A150)</f>
        <v/>
      </c>
      <c r="C150" s="120">
        <f>SUMIFS(tblDonem[KDV Tutarı (₺)],tblDonem[Dönem],$A150)-SUMIFS(tblDonem[KDV Yüklenimi (₺)],tblDonem[Dönem],$A150)</f>
        <v/>
      </c>
      <c r="D150" s="120">
        <f>SUMIFS(tblDonem[Vergi Karşılığı (₺)],tblDonem[Dönem],$A150)</f>
        <v/>
      </c>
      <c r="E150" s="120">
        <f>$C150+$D150</f>
        <v/>
      </c>
      <c r="F150" s="120">
        <f>IF($B150=0,0,$E150/$B150)</f>
        <v/>
      </c>
    </row>
    <row r="151" ht="15" customHeight="1" s="68">
      <c r="A151" s="114" t="n"/>
      <c r="B151" s="120">
        <f>SUMIFS(tblDonem[Gelir (₺)],tblDonem[Dönem],$A151)</f>
        <v/>
      </c>
      <c r="C151" s="120">
        <f>SUMIFS(tblDonem[KDV Tutarı (₺)],tblDonem[Dönem],$A151)-SUMIFS(tblDonem[KDV Yüklenimi (₺)],tblDonem[Dönem],$A151)</f>
        <v/>
      </c>
      <c r="D151" s="120">
        <f>SUMIFS(tblDonem[Vergi Karşılığı (₺)],tblDonem[Dönem],$A151)</f>
        <v/>
      </c>
      <c r="E151" s="120">
        <f>$C151+$D151</f>
        <v/>
      </c>
      <c r="F151" s="120">
        <f>IF($B151=0,0,$E151/$B151)</f>
        <v/>
      </c>
    </row>
    <row r="152" ht="15" customHeight="1" s="68">
      <c r="A152" s="114" t="n"/>
      <c r="B152" s="120">
        <f>SUMIFS(tblDonem[Gelir (₺)],tblDonem[Dönem],$A152)</f>
        <v/>
      </c>
      <c r="C152" s="120">
        <f>SUMIFS(tblDonem[KDV Tutarı (₺)],tblDonem[Dönem],$A152)-SUMIFS(tblDonem[KDV Yüklenimi (₺)],tblDonem[Dönem],$A152)</f>
        <v/>
      </c>
      <c r="D152" s="120">
        <f>SUMIFS(tblDonem[Vergi Karşılığı (₺)],tblDonem[Dönem],$A152)</f>
        <v/>
      </c>
      <c r="E152" s="120">
        <f>$C152+$D152</f>
        <v/>
      </c>
      <c r="F152" s="120">
        <f>IF($B152=0,0,$E152/$B152)</f>
        <v/>
      </c>
    </row>
    <row r="153" ht="15" customHeight="1" s="68">
      <c r="A153" s="114" t="n"/>
      <c r="B153" s="120">
        <f>SUMIFS(tblDonem[Gelir (₺)],tblDonem[Dönem],$A153)</f>
        <v/>
      </c>
      <c r="C153" s="120">
        <f>SUMIFS(tblDonem[KDV Tutarı (₺)],tblDonem[Dönem],$A153)-SUMIFS(tblDonem[KDV Yüklenimi (₺)],tblDonem[Dönem],$A153)</f>
        <v/>
      </c>
      <c r="D153" s="120">
        <f>SUMIFS(tblDonem[Vergi Karşılığı (₺)],tblDonem[Dönem],$A153)</f>
        <v/>
      </c>
      <c r="E153" s="120">
        <f>$C153+$D153</f>
        <v/>
      </c>
      <c r="F153" s="120">
        <f>IF($B153=0,0,$E153/$B153)</f>
        <v/>
      </c>
    </row>
    <row r="154" ht="15" customHeight="1" s="68">
      <c r="A154" s="114" t="n"/>
      <c r="B154" s="120">
        <f>SUMIFS(tblDonem[Gelir (₺)],tblDonem[Dönem],$A154)</f>
        <v/>
      </c>
      <c r="C154" s="120">
        <f>SUMIFS(tblDonem[KDV Tutarı (₺)],tblDonem[Dönem],$A154)-SUMIFS(tblDonem[KDV Yüklenimi (₺)],tblDonem[Dönem],$A154)</f>
        <v/>
      </c>
      <c r="D154" s="120">
        <f>SUMIFS(tblDonem[Vergi Karşılığı (₺)],tblDonem[Dönem],$A154)</f>
        <v/>
      </c>
      <c r="E154" s="120">
        <f>$C154+$D154</f>
        <v/>
      </c>
      <c r="F154" s="120">
        <f>IF($B154=0,0,$E154/$B154)</f>
        <v/>
      </c>
    </row>
    <row r="155" ht="15" customHeight="1" s="68">
      <c r="A155" s="114" t="n"/>
      <c r="B155" s="120">
        <f>SUMIFS(tblDonem[Gelir (₺)],tblDonem[Dönem],$A155)</f>
        <v/>
      </c>
      <c r="C155" s="120">
        <f>SUMIFS(tblDonem[KDV Tutarı (₺)],tblDonem[Dönem],$A155)-SUMIFS(tblDonem[KDV Yüklenimi (₺)],tblDonem[Dönem],$A155)</f>
        <v/>
      </c>
      <c r="D155" s="120">
        <f>SUMIFS(tblDonem[Vergi Karşılığı (₺)],tblDonem[Dönem],$A155)</f>
        <v/>
      </c>
      <c r="E155" s="120">
        <f>$C155+$D155</f>
        <v/>
      </c>
      <c r="F155" s="120">
        <f>IF($B155=0,0,$E155/$B155)</f>
        <v/>
      </c>
    </row>
    <row r="156" ht="15" customHeight="1" s="68">
      <c r="A156" s="114" t="n"/>
      <c r="B156" s="120">
        <f>SUMIFS(tblDonem[Gelir (₺)],tblDonem[Dönem],$A156)</f>
        <v/>
      </c>
      <c r="C156" s="120">
        <f>SUMIFS(tblDonem[KDV Tutarı (₺)],tblDonem[Dönem],$A156)-SUMIFS(tblDonem[KDV Yüklenimi (₺)],tblDonem[Dönem],$A156)</f>
        <v/>
      </c>
      <c r="D156" s="120">
        <f>SUMIFS(tblDonem[Vergi Karşılığı (₺)],tblDonem[Dönem],$A156)</f>
        <v/>
      </c>
      <c r="E156" s="120">
        <f>$C156+$D156</f>
        <v/>
      </c>
      <c r="F156" s="120">
        <f>IF($B156=0,0,$E156/$B156)</f>
        <v/>
      </c>
    </row>
    <row r="157" ht="15" customHeight="1" s="68">
      <c r="A157" s="114" t="n"/>
      <c r="B157" s="120">
        <f>SUMIFS(tblDonem[Gelir (₺)],tblDonem[Dönem],$A157)</f>
        <v/>
      </c>
      <c r="C157" s="120">
        <f>SUMIFS(tblDonem[KDV Tutarı (₺)],tblDonem[Dönem],$A157)-SUMIFS(tblDonem[KDV Yüklenimi (₺)],tblDonem[Dönem],$A157)</f>
        <v/>
      </c>
      <c r="D157" s="120">
        <f>SUMIFS(tblDonem[Vergi Karşılığı (₺)],tblDonem[Dönem],$A157)</f>
        <v/>
      </c>
      <c r="E157" s="120">
        <f>$C157+$D157</f>
        <v/>
      </c>
      <c r="F157" s="120">
        <f>IF($B157=0,0,$E157/$B157)</f>
        <v/>
      </c>
    </row>
    <row r="158" ht="15" customHeight="1" s="68">
      <c r="A158" s="114" t="n"/>
      <c r="B158" s="120">
        <f>SUMIFS(tblDonem[Gelir (₺)],tblDonem[Dönem],$A158)</f>
        <v/>
      </c>
      <c r="C158" s="120">
        <f>SUMIFS(tblDonem[KDV Tutarı (₺)],tblDonem[Dönem],$A158)-SUMIFS(tblDonem[KDV Yüklenimi (₺)],tblDonem[Dönem],$A158)</f>
        <v/>
      </c>
      <c r="D158" s="120">
        <f>SUMIFS(tblDonem[Vergi Karşılığı (₺)],tblDonem[Dönem],$A158)</f>
        <v/>
      </c>
      <c r="E158" s="120">
        <f>$C158+$D158</f>
        <v/>
      </c>
      <c r="F158" s="120">
        <f>IF($B158=0,0,$E158/$B158)</f>
        <v/>
      </c>
    </row>
    <row r="159" ht="15" customHeight="1" s="68">
      <c r="A159" s="114" t="n"/>
      <c r="B159" s="120">
        <f>SUMIFS(tblDonem[Gelir (₺)],tblDonem[Dönem],$A159)</f>
        <v/>
      </c>
      <c r="C159" s="120">
        <f>SUMIFS(tblDonem[KDV Tutarı (₺)],tblDonem[Dönem],$A159)-SUMIFS(tblDonem[KDV Yüklenimi (₺)],tblDonem[Dönem],$A159)</f>
        <v/>
      </c>
      <c r="D159" s="120">
        <f>SUMIFS(tblDonem[Vergi Karşılığı (₺)],tblDonem[Dönem],$A159)</f>
        <v/>
      </c>
      <c r="E159" s="120">
        <f>$C159+$D159</f>
        <v/>
      </c>
      <c r="F159" s="120">
        <f>IF($B159=0,0,$E159/$B159)</f>
        <v/>
      </c>
    </row>
    <row r="160" ht="15" customHeight="1" s="68">
      <c r="A160" s="114" t="n"/>
      <c r="B160" s="120">
        <f>SUMIFS(tblDonem[Gelir (₺)],tblDonem[Dönem],$A160)</f>
        <v/>
      </c>
      <c r="C160" s="120">
        <f>SUMIFS(tblDonem[KDV Tutarı (₺)],tblDonem[Dönem],$A160)-SUMIFS(tblDonem[KDV Yüklenimi (₺)],tblDonem[Dönem],$A160)</f>
        <v/>
      </c>
      <c r="D160" s="120">
        <f>SUMIFS(tblDonem[Vergi Karşılığı (₺)],tblDonem[Dönem],$A160)</f>
        <v/>
      </c>
      <c r="E160" s="120">
        <f>$C160+$D160</f>
        <v/>
      </c>
      <c r="F160" s="120">
        <f>IF($B160=0,0,$E160/$B160)</f>
        <v/>
      </c>
    </row>
    <row r="161" ht="15" customHeight="1" s="68">
      <c r="A161" s="114" t="n"/>
      <c r="B161" s="120">
        <f>SUMIFS(tblDonem[Gelir (₺)],tblDonem[Dönem],$A161)</f>
        <v/>
      </c>
      <c r="C161" s="120">
        <f>SUMIFS(tblDonem[KDV Tutarı (₺)],tblDonem[Dönem],$A161)-SUMIFS(tblDonem[KDV Yüklenimi (₺)],tblDonem[Dönem],$A161)</f>
        <v/>
      </c>
      <c r="D161" s="120">
        <f>SUMIFS(tblDonem[Vergi Karşılığı (₺)],tblDonem[Dönem],$A161)</f>
        <v/>
      </c>
      <c r="E161" s="120">
        <f>$C161+$D161</f>
        <v/>
      </c>
      <c r="F161" s="120">
        <f>IF($B161=0,0,$E161/$B161)</f>
        <v/>
      </c>
    </row>
    <row r="162" ht="15" customHeight="1" s="68">
      <c r="A162" s="114" t="n"/>
      <c r="B162" s="120">
        <f>SUMIFS(tblDonem[Gelir (₺)],tblDonem[Dönem],$A162)</f>
        <v/>
      </c>
      <c r="C162" s="120">
        <f>SUMIFS(tblDonem[KDV Tutarı (₺)],tblDonem[Dönem],$A162)-SUMIFS(tblDonem[KDV Yüklenimi (₺)],tblDonem[Dönem],$A162)</f>
        <v/>
      </c>
      <c r="D162" s="120">
        <f>SUMIFS(tblDonem[Vergi Karşılığı (₺)],tblDonem[Dönem],$A162)</f>
        <v/>
      </c>
      <c r="E162" s="120">
        <f>$C162+$D162</f>
        <v/>
      </c>
      <c r="F162" s="120">
        <f>IF($B162=0,0,$E162/$B162)</f>
        <v/>
      </c>
    </row>
    <row r="163" ht="15" customHeight="1" s="68">
      <c r="A163" s="114" t="n"/>
      <c r="B163" s="120">
        <f>SUMIFS(tblDonem[Gelir (₺)],tblDonem[Dönem],$A163)</f>
        <v/>
      </c>
      <c r="C163" s="120">
        <f>SUMIFS(tblDonem[KDV Tutarı (₺)],tblDonem[Dönem],$A163)-SUMIFS(tblDonem[KDV Yüklenimi (₺)],tblDonem[Dönem],$A163)</f>
        <v/>
      </c>
      <c r="D163" s="120">
        <f>SUMIFS(tblDonem[Vergi Karşılığı (₺)],tblDonem[Dönem],$A163)</f>
        <v/>
      </c>
      <c r="E163" s="120">
        <f>$C163+$D163</f>
        <v/>
      </c>
      <c r="F163" s="120">
        <f>IF($B163=0,0,$E163/$B163)</f>
        <v/>
      </c>
    </row>
    <row r="164" ht="15" customHeight="1" s="68">
      <c r="A164" s="114" t="n"/>
      <c r="B164" s="120">
        <f>SUMIFS(tblDonem[Gelir (₺)],tblDonem[Dönem],$A164)</f>
        <v/>
      </c>
      <c r="C164" s="120">
        <f>SUMIFS(tblDonem[KDV Tutarı (₺)],tblDonem[Dönem],$A164)-SUMIFS(tblDonem[KDV Yüklenimi (₺)],tblDonem[Dönem],$A164)</f>
        <v/>
      </c>
      <c r="D164" s="120">
        <f>SUMIFS(tblDonem[Vergi Karşılığı (₺)],tblDonem[Dönem],$A164)</f>
        <v/>
      </c>
      <c r="E164" s="120">
        <f>$C164+$D164</f>
        <v/>
      </c>
      <c r="F164" s="120">
        <f>IF($B164=0,0,$E164/$B164)</f>
        <v/>
      </c>
    </row>
    <row r="165" ht="15" customHeight="1" s="68">
      <c r="A165" s="114" t="n"/>
      <c r="B165" s="120">
        <f>SUMIFS(tblDonem[Gelir (₺)],tblDonem[Dönem],$A165)</f>
        <v/>
      </c>
      <c r="C165" s="120">
        <f>SUMIFS(tblDonem[KDV Tutarı (₺)],tblDonem[Dönem],$A165)-SUMIFS(tblDonem[KDV Yüklenimi (₺)],tblDonem[Dönem],$A165)</f>
        <v/>
      </c>
      <c r="D165" s="120">
        <f>SUMIFS(tblDonem[Vergi Karşılığı (₺)],tblDonem[Dönem],$A165)</f>
        <v/>
      </c>
      <c r="E165" s="120">
        <f>$C165+$D165</f>
        <v/>
      </c>
      <c r="F165" s="120">
        <f>IF($B165=0,0,$E165/$B165)</f>
        <v/>
      </c>
    </row>
    <row r="166" ht="15" customHeight="1" s="68">
      <c r="A166" s="114" t="n"/>
      <c r="B166" s="120">
        <f>SUMIFS(tblDonem[Gelir (₺)],tblDonem[Dönem],$A166)</f>
        <v/>
      </c>
      <c r="C166" s="120">
        <f>SUMIFS(tblDonem[KDV Tutarı (₺)],tblDonem[Dönem],$A166)-SUMIFS(tblDonem[KDV Yüklenimi (₺)],tblDonem[Dönem],$A166)</f>
        <v/>
      </c>
      <c r="D166" s="120">
        <f>SUMIFS(tblDonem[Vergi Karşılığı (₺)],tblDonem[Dönem],$A166)</f>
        <v/>
      </c>
      <c r="E166" s="120">
        <f>$C166+$D166</f>
        <v/>
      </c>
      <c r="F166" s="120">
        <f>IF($B166=0,0,$E166/$B166)</f>
        <v/>
      </c>
    </row>
    <row r="167" ht="15" customHeight="1" s="68">
      <c r="A167" s="114" t="n"/>
      <c r="B167" s="120">
        <f>SUMIFS(tblDonem[Gelir (₺)],tblDonem[Dönem],$A167)</f>
        <v/>
      </c>
      <c r="C167" s="120">
        <f>SUMIFS(tblDonem[KDV Tutarı (₺)],tblDonem[Dönem],$A167)-SUMIFS(tblDonem[KDV Yüklenimi (₺)],tblDonem[Dönem],$A167)</f>
        <v/>
      </c>
      <c r="D167" s="120">
        <f>SUMIFS(tblDonem[Vergi Karşılığı (₺)],tblDonem[Dönem],$A167)</f>
        <v/>
      </c>
      <c r="E167" s="120">
        <f>$C167+$D167</f>
        <v/>
      </c>
      <c r="F167" s="120">
        <f>IF($B167=0,0,$E167/$B167)</f>
        <v/>
      </c>
    </row>
    <row r="168" ht="15" customHeight="1" s="68">
      <c r="A168" s="114" t="n"/>
      <c r="B168" s="120">
        <f>SUMIFS(tblDonem[Gelir (₺)],tblDonem[Dönem],$A168)</f>
        <v/>
      </c>
      <c r="C168" s="120">
        <f>SUMIFS(tblDonem[KDV Tutarı (₺)],tblDonem[Dönem],$A168)-SUMIFS(tblDonem[KDV Yüklenimi (₺)],tblDonem[Dönem],$A168)</f>
        <v/>
      </c>
      <c r="D168" s="120">
        <f>SUMIFS(tblDonem[Vergi Karşılığı (₺)],tblDonem[Dönem],$A168)</f>
        <v/>
      </c>
      <c r="E168" s="120">
        <f>$C168+$D168</f>
        <v/>
      </c>
      <c r="F168" s="120">
        <f>IF($B168=0,0,$E168/$B168)</f>
        <v/>
      </c>
    </row>
    <row r="169" ht="15" customHeight="1" s="68">
      <c r="A169" s="114" t="n"/>
      <c r="B169" s="120">
        <f>SUMIFS(tblDonem[Gelir (₺)],tblDonem[Dönem],$A169)</f>
        <v/>
      </c>
      <c r="C169" s="120">
        <f>SUMIFS(tblDonem[KDV Tutarı (₺)],tblDonem[Dönem],$A169)-SUMIFS(tblDonem[KDV Yüklenimi (₺)],tblDonem[Dönem],$A169)</f>
        <v/>
      </c>
      <c r="D169" s="120">
        <f>SUMIFS(tblDonem[Vergi Karşılığı (₺)],tblDonem[Dönem],$A169)</f>
        <v/>
      </c>
      <c r="E169" s="120">
        <f>$C169+$D169</f>
        <v/>
      </c>
      <c r="F169" s="120">
        <f>IF($B169=0,0,$E169/$B169)</f>
        <v/>
      </c>
    </row>
    <row r="170" ht="15" customHeight="1" s="68">
      <c r="A170" s="114" t="n"/>
      <c r="B170" s="120">
        <f>SUMIFS(tblDonem[Gelir (₺)],tblDonem[Dönem],$A170)</f>
        <v/>
      </c>
      <c r="C170" s="120">
        <f>SUMIFS(tblDonem[KDV Tutarı (₺)],tblDonem[Dönem],$A170)-SUMIFS(tblDonem[KDV Yüklenimi (₺)],tblDonem[Dönem],$A170)</f>
        <v/>
      </c>
      <c r="D170" s="120">
        <f>SUMIFS(tblDonem[Vergi Karşılığı (₺)],tblDonem[Dönem],$A170)</f>
        <v/>
      </c>
      <c r="E170" s="120">
        <f>$C170+$D170</f>
        <v/>
      </c>
      <c r="F170" s="120">
        <f>IF($B170=0,0,$E170/$B170)</f>
        <v/>
      </c>
    </row>
    <row r="171" ht="15" customHeight="1" s="68">
      <c r="A171" s="114" t="n"/>
      <c r="B171" s="120">
        <f>SUMIFS(tblDonem[Gelir (₺)],tblDonem[Dönem],$A171)</f>
        <v/>
      </c>
      <c r="C171" s="120">
        <f>SUMIFS(tblDonem[KDV Tutarı (₺)],tblDonem[Dönem],$A171)-SUMIFS(tblDonem[KDV Yüklenimi (₺)],tblDonem[Dönem],$A171)</f>
        <v/>
      </c>
      <c r="D171" s="120">
        <f>SUMIFS(tblDonem[Vergi Karşılığı (₺)],tblDonem[Dönem],$A171)</f>
        <v/>
      </c>
      <c r="E171" s="120">
        <f>$C171+$D171</f>
        <v/>
      </c>
      <c r="F171" s="120">
        <f>IF($B171=0,0,$E171/$B171)</f>
        <v/>
      </c>
    </row>
    <row r="172" ht="15" customHeight="1" s="68">
      <c r="A172" s="114" t="n"/>
      <c r="B172" s="120">
        <f>SUMIFS(tblDonem[Gelir (₺)],tblDonem[Dönem],$A172)</f>
        <v/>
      </c>
      <c r="C172" s="120">
        <f>SUMIFS(tblDonem[KDV Tutarı (₺)],tblDonem[Dönem],$A172)-SUMIFS(tblDonem[KDV Yüklenimi (₺)],tblDonem[Dönem],$A172)</f>
        <v/>
      </c>
      <c r="D172" s="120">
        <f>SUMIFS(tblDonem[Vergi Karşılığı (₺)],tblDonem[Dönem],$A172)</f>
        <v/>
      </c>
      <c r="E172" s="120">
        <f>$C172+$D172</f>
        <v/>
      </c>
      <c r="F172" s="120">
        <f>IF($B172=0,0,$E172/$B172)</f>
        <v/>
      </c>
    </row>
    <row r="173" ht="15" customHeight="1" s="68">
      <c r="A173" s="114" t="n"/>
      <c r="B173" s="120">
        <f>SUMIFS(tblDonem[Gelir (₺)],tblDonem[Dönem],$A173)</f>
        <v/>
      </c>
      <c r="C173" s="120">
        <f>SUMIFS(tblDonem[KDV Tutarı (₺)],tblDonem[Dönem],$A173)-SUMIFS(tblDonem[KDV Yüklenimi (₺)],tblDonem[Dönem],$A173)</f>
        <v/>
      </c>
      <c r="D173" s="120">
        <f>SUMIFS(tblDonem[Vergi Karşılığı (₺)],tblDonem[Dönem],$A173)</f>
        <v/>
      </c>
      <c r="E173" s="120">
        <f>$C173+$D173</f>
        <v/>
      </c>
      <c r="F173" s="120">
        <f>IF($B173=0,0,$E173/$B173)</f>
        <v/>
      </c>
    </row>
    <row r="174" ht="15" customHeight="1" s="68">
      <c r="A174" s="114" t="n"/>
      <c r="B174" s="120">
        <f>SUMIFS(tblDonem[Gelir (₺)],tblDonem[Dönem],$A174)</f>
        <v/>
      </c>
      <c r="C174" s="120">
        <f>SUMIFS(tblDonem[KDV Tutarı (₺)],tblDonem[Dönem],$A174)-SUMIFS(tblDonem[KDV Yüklenimi (₺)],tblDonem[Dönem],$A174)</f>
        <v/>
      </c>
      <c r="D174" s="120">
        <f>SUMIFS(tblDonem[Vergi Karşılığı (₺)],tblDonem[Dönem],$A174)</f>
        <v/>
      </c>
      <c r="E174" s="120">
        <f>$C174+$D174</f>
        <v/>
      </c>
      <c r="F174" s="120">
        <f>IF($B174=0,0,$E174/$B174)</f>
        <v/>
      </c>
    </row>
    <row r="175" ht="15" customHeight="1" s="68">
      <c r="A175" s="114" t="n"/>
      <c r="B175" s="120">
        <f>SUMIFS(tblDonem[Gelir (₺)],tblDonem[Dönem],$A175)</f>
        <v/>
      </c>
      <c r="C175" s="120">
        <f>SUMIFS(tblDonem[KDV Tutarı (₺)],tblDonem[Dönem],$A175)-SUMIFS(tblDonem[KDV Yüklenimi (₺)],tblDonem[Dönem],$A175)</f>
        <v/>
      </c>
      <c r="D175" s="120">
        <f>SUMIFS(tblDonem[Vergi Karşılığı (₺)],tblDonem[Dönem],$A175)</f>
        <v/>
      </c>
      <c r="E175" s="120">
        <f>$C175+$D175</f>
        <v/>
      </c>
      <c r="F175" s="120">
        <f>IF($B175=0,0,$E175/$B175)</f>
        <v/>
      </c>
    </row>
    <row r="176" ht="15" customHeight="1" s="68">
      <c r="A176" s="114" t="n"/>
      <c r="B176" s="120">
        <f>SUMIFS(tblDonem[Gelir (₺)],tblDonem[Dönem],$A176)</f>
        <v/>
      </c>
      <c r="C176" s="120">
        <f>SUMIFS(tblDonem[KDV Tutarı (₺)],tblDonem[Dönem],$A176)-SUMIFS(tblDonem[KDV Yüklenimi (₺)],tblDonem[Dönem],$A176)</f>
        <v/>
      </c>
      <c r="D176" s="120">
        <f>SUMIFS(tblDonem[Vergi Karşılığı (₺)],tblDonem[Dönem],$A176)</f>
        <v/>
      </c>
      <c r="E176" s="120">
        <f>$C176+$D176</f>
        <v/>
      </c>
      <c r="F176" s="120">
        <f>IF($B176=0,0,$E176/$B176)</f>
        <v/>
      </c>
    </row>
    <row r="177" ht="15" customHeight="1" s="68">
      <c r="A177" s="114" t="n"/>
      <c r="B177" s="120">
        <f>SUMIFS(tblDonem[Gelir (₺)],tblDonem[Dönem],$A177)</f>
        <v/>
      </c>
      <c r="C177" s="120">
        <f>SUMIFS(tblDonem[KDV Tutarı (₺)],tblDonem[Dönem],$A177)-SUMIFS(tblDonem[KDV Yüklenimi (₺)],tblDonem[Dönem],$A177)</f>
        <v/>
      </c>
      <c r="D177" s="120">
        <f>SUMIFS(tblDonem[Vergi Karşılığı (₺)],tblDonem[Dönem],$A177)</f>
        <v/>
      </c>
      <c r="E177" s="120">
        <f>$C177+$D177</f>
        <v/>
      </c>
      <c r="F177" s="120">
        <f>IF($B177=0,0,$E177/$B177)</f>
        <v/>
      </c>
    </row>
    <row r="178" ht="15" customHeight="1" s="68">
      <c r="A178" s="114" t="n"/>
      <c r="B178" s="120">
        <f>SUMIFS(tblDonem[Gelir (₺)],tblDonem[Dönem],$A178)</f>
        <v/>
      </c>
      <c r="C178" s="120">
        <f>SUMIFS(tblDonem[KDV Tutarı (₺)],tblDonem[Dönem],$A178)-SUMIFS(tblDonem[KDV Yüklenimi (₺)],tblDonem[Dönem],$A178)</f>
        <v/>
      </c>
      <c r="D178" s="120">
        <f>SUMIFS(tblDonem[Vergi Karşılığı (₺)],tblDonem[Dönem],$A178)</f>
        <v/>
      </c>
      <c r="E178" s="120">
        <f>$C178+$D178</f>
        <v/>
      </c>
      <c r="F178" s="120">
        <f>IF($B178=0,0,$E178/$B178)</f>
        <v/>
      </c>
    </row>
    <row r="179" ht="15" customHeight="1" s="68">
      <c r="A179" s="114" t="n"/>
      <c r="B179" s="120">
        <f>SUMIFS(tblDonem[Gelir (₺)],tblDonem[Dönem],$A179)</f>
        <v/>
      </c>
      <c r="C179" s="120">
        <f>SUMIFS(tblDonem[KDV Tutarı (₺)],tblDonem[Dönem],$A179)-SUMIFS(tblDonem[KDV Yüklenimi (₺)],tblDonem[Dönem],$A179)</f>
        <v/>
      </c>
      <c r="D179" s="120">
        <f>SUMIFS(tblDonem[Vergi Karşılığı (₺)],tblDonem[Dönem],$A179)</f>
        <v/>
      </c>
      <c r="E179" s="120">
        <f>$C179+$D179</f>
        <v/>
      </c>
      <c r="F179" s="120">
        <f>IF($B179=0,0,$E179/$B179)</f>
        <v/>
      </c>
    </row>
    <row r="180" ht="15" customHeight="1" s="68">
      <c r="A180" s="114" t="n"/>
      <c r="B180" s="120">
        <f>SUMIFS(tblDonem[Gelir (₺)],tblDonem[Dönem],$A180)</f>
        <v/>
      </c>
      <c r="C180" s="120">
        <f>SUMIFS(tblDonem[KDV Tutarı (₺)],tblDonem[Dönem],$A180)-SUMIFS(tblDonem[KDV Yüklenimi (₺)],tblDonem[Dönem],$A180)</f>
        <v/>
      </c>
      <c r="D180" s="120">
        <f>SUMIFS(tblDonem[Vergi Karşılığı (₺)],tblDonem[Dönem],$A180)</f>
        <v/>
      </c>
      <c r="E180" s="120">
        <f>$C180+$D180</f>
        <v/>
      </c>
      <c r="F180" s="120">
        <f>IF($B180=0,0,$E180/$B180)</f>
        <v/>
      </c>
    </row>
    <row r="181" ht="15" customHeight="1" s="68">
      <c r="A181" s="114" t="n"/>
      <c r="B181" s="120">
        <f>SUMIFS(tblDonem[Gelir (₺)],tblDonem[Dönem],$A181)</f>
        <v/>
      </c>
      <c r="C181" s="120">
        <f>SUMIFS(tblDonem[KDV Tutarı (₺)],tblDonem[Dönem],$A181)-SUMIFS(tblDonem[KDV Yüklenimi (₺)],tblDonem[Dönem],$A181)</f>
        <v/>
      </c>
      <c r="D181" s="120">
        <f>SUMIFS(tblDonem[Vergi Karşılığı (₺)],tblDonem[Dönem],$A181)</f>
        <v/>
      </c>
      <c r="E181" s="120">
        <f>$C181+$D181</f>
        <v/>
      </c>
      <c r="F181" s="120">
        <f>IF($B181=0,0,$E181/$B181)</f>
        <v/>
      </c>
    </row>
    <row r="182" ht="15" customHeight="1" s="68">
      <c r="A182" s="114" t="n"/>
      <c r="B182" s="120">
        <f>SUMIFS(tblDonem[Gelir (₺)],tblDonem[Dönem],$A182)</f>
        <v/>
      </c>
      <c r="C182" s="120">
        <f>SUMIFS(tblDonem[KDV Tutarı (₺)],tblDonem[Dönem],$A182)-SUMIFS(tblDonem[KDV Yüklenimi (₺)],tblDonem[Dönem],$A182)</f>
        <v/>
      </c>
      <c r="D182" s="120">
        <f>SUMIFS(tblDonem[Vergi Karşılığı (₺)],tblDonem[Dönem],$A182)</f>
        <v/>
      </c>
      <c r="E182" s="120">
        <f>$C182+$D182</f>
        <v/>
      </c>
      <c r="F182" s="120">
        <f>IF($B182=0,0,$E182/$B182)</f>
        <v/>
      </c>
    </row>
    <row r="183" ht="15" customHeight="1" s="68">
      <c r="A183" s="114" t="n"/>
      <c r="B183" s="120">
        <f>SUMIFS(tblDonem[Gelir (₺)],tblDonem[Dönem],$A183)</f>
        <v/>
      </c>
      <c r="C183" s="120">
        <f>SUMIFS(tblDonem[KDV Tutarı (₺)],tblDonem[Dönem],$A183)-SUMIFS(tblDonem[KDV Yüklenimi (₺)],tblDonem[Dönem],$A183)</f>
        <v/>
      </c>
      <c r="D183" s="120">
        <f>SUMIFS(tblDonem[Vergi Karşılığı (₺)],tblDonem[Dönem],$A183)</f>
        <v/>
      </c>
      <c r="E183" s="120">
        <f>$C183+$D183</f>
        <v/>
      </c>
      <c r="F183" s="120">
        <f>IF($B183=0,0,$E183/$B183)</f>
        <v/>
      </c>
    </row>
    <row r="184" ht="15" customHeight="1" s="68">
      <c r="A184" s="114" t="n"/>
      <c r="B184" s="120">
        <f>SUMIFS(tblDonem[Gelir (₺)],tblDonem[Dönem],$A184)</f>
        <v/>
      </c>
      <c r="C184" s="120">
        <f>SUMIFS(tblDonem[KDV Tutarı (₺)],tblDonem[Dönem],$A184)-SUMIFS(tblDonem[KDV Yüklenimi (₺)],tblDonem[Dönem],$A184)</f>
        <v/>
      </c>
      <c r="D184" s="120">
        <f>SUMIFS(tblDonem[Vergi Karşılığı (₺)],tblDonem[Dönem],$A184)</f>
        <v/>
      </c>
      <c r="E184" s="120">
        <f>$C184+$D184</f>
        <v/>
      </c>
      <c r="F184" s="120">
        <f>IF($B184=0,0,$E184/$B184)</f>
        <v/>
      </c>
    </row>
    <row r="185" ht="15" customHeight="1" s="68">
      <c r="A185" s="114" t="n"/>
      <c r="B185" s="120">
        <f>SUMIFS(tblDonem[Gelir (₺)],tblDonem[Dönem],$A185)</f>
        <v/>
      </c>
      <c r="C185" s="120">
        <f>SUMIFS(tblDonem[KDV Tutarı (₺)],tblDonem[Dönem],$A185)-SUMIFS(tblDonem[KDV Yüklenimi (₺)],tblDonem[Dönem],$A185)</f>
        <v/>
      </c>
      <c r="D185" s="120">
        <f>SUMIFS(tblDonem[Vergi Karşılığı (₺)],tblDonem[Dönem],$A185)</f>
        <v/>
      </c>
      <c r="E185" s="120">
        <f>$C185+$D185</f>
        <v/>
      </c>
      <c r="F185" s="120">
        <f>IF($B185=0,0,$E185/$B185)</f>
        <v/>
      </c>
    </row>
    <row r="186" ht="15" customHeight="1" s="68">
      <c r="A186" s="114" t="n"/>
      <c r="B186" s="120">
        <f>SUMIFS(tblDonem[Gelir (₺)],tblDonem[Dönem],$A186)</f>
        <v/>
      </c>
      <c r="C186" s="120">
        <f>SUMIFS(tblDonem[KDV Tutarı (₺)],tblDonem[Dönem],$A186)-SUMIFS(tblDonem[KDV Yüklenimi (₺)],tblDonem[Dönem],$A186)</f>
        <v/>
      </c>
      <c r="D186" s="120">
        <f>SUMIFS(tblDonem[Vergi Karşılığı (₺)],tblDonem[Dönem],$A186)</f>
        <v/>
      </c>
      <c r="E186" s="120">
        <f>$C186+$D186</f>
        <v/>
      </c>
      <c r="F186" s="120">
        <f>IF($B186=0,0,$E186/$B186)</f>
        <v/>
      </c>
    </row>
    <row r="187" ht="15" customHeight="1" s="68">
      <c r="A187" s="114" t="n"/>
      <c r="B187" s="120">
        <f>SUMIFS(tblDonem[Gelir (₺)],tblDonem[Dönem],$A187)</f>
        <v/>
      </c>
      <c r="C187" s="120">
        <f>SUMIFS(tblDonem[KDV Tutarı (₺)],tblDonem[Dönem],$A187)-SUMIFS(tblDonem[KDV Yüklenimi (₺)],tblDonem[Dönem],$A187)</f>
        <v/>
      </c>
      <c r="D187" s="120">
        <f>SUMIFS(tblDonem[Vergi Karşılığı (₺)],tblDonem[Dönem],$A187)</f>
        <v/>
      </c>
      <c r="E187" s="120">
        <f>$C187+$D187</f>
        <v/>
      </c>
      <c r="F187" s="120">
        <f>IF($B187=0,0,$E187/$B187)</f>
        <v/>
      </c>
    </row>
    <row r="188" ht="15" customHeight="1" s="68">
      <c r="A188" s="114" t="n"/>
      <c r="B188" s="120">
        <f>SUMIFS(tblDonem[Gelir (₺)],tblDonem[Dönem],$A188)</f>
        <v/>
      </c>
      <c r="C188" s="120">
        <f>SUMIFS(tblDonem[KDV Tutarı (₺)],tblDonem[Dönem],$A188)-SUMIFS(tblDonem[KDV Yüklenimi (₺)],tblDonem[Dönem],$A188)</f>
        <v/>
      </c>
      <c r="D188" s="120">
        <f>SUMIFS(tblDonem[Vergi Karşılığı (₺)],tblDonem[Dönem],$A188)</f>
        <v/>
      </c>
      <c r="E188" s="120">
        <f>$C188+$D188</f>
        <v/>
      </c>
      <c r="F188" s="120">
        <f>IF($B188=0,0,$E188/$B188)</f>
        <v/>
      </c>
    </row>
    <row r="189" ht="15" customHeight="1" s="68">
      <c r="A189" s="114" t="n"/>
      <c r="B189" s="120">
        <f>SUMIFS(tblDonem[Gelir (₺)],tblDonem[Dönem],$A189)</f>
        <v/>
      </c>
      <c r="C189" s="120">
        <f>SUMIFS(tblDonem[KDV Tutarı (₺)],tblDonem[Dönem],$A189)-SUMIFS(tblDonem[KDV Yüklenimi (₺)],tblDonem[Dönem],$A189)</f>
        <v/>
      </c>
      <c r="D189" s="120">
        <f>SUMIFS(tblDonem[Vergi Karşılığı (₺)],tblDonem[Dönem],$A189)</f>
        <v/>
      </c>
      <c r="E189" s="120">
        <f>$C189+$D189</f>
        <v/>
      </c>
      <c r="F189" s="120">
        <f>IF($B189=0,0,$E189/$B189)</f>
        <v/>
      </c>
    </row>
    <row r="190" ht="15" customHeight="1" s="68">
      <c r="A190" s="114" t="n"/>
      <c r="B190" s="120">
        <f>SUMIFS(tblDonem[Gelir (₺)],tblDonem[Dönem],$A190)</f>
        <v/>
      </c>
      <c r="C190" s="120">
        <f>SUMIFS(tblDonem[KDV Tutarı (₺)],tblDonem[Dönem],$A190)-SUMIFS(tblDonem[KDV Yüklenimi (₺)],tblDonem[Dönem],$A190)</f>
        <v/>
      </c>
      <c r="D190" s="120">
        <f>SUMIFS(tblDonem[Vergi Karşılığı (₺)],tblDonem[Dönem],$A190)</f>
        <v/>
      </c>
      <c r="E190" s="120">
        <f>$C190+$D190</f>
        <v/>
      </c>
      <c r="F190" s="120">
        <f>IF($B190=0,0,$E190/$B190)</f>
        <v/>
      </c>
    </row>
    <row r="191" ht="15" customHeight="1" s="68">
      <c r="A191" s="114" t="n"/>
      <c r="B191" s="120">
        <f>SUMIFS(tblDonem[Gelir (₺)],tblDonem[Dönem],$A191)</f>
        <v/>
      </c>
      <c r="C191" s="120">
        <f>SUMIFS(tblDonem[KDV Tutarı (₺)],tblDonem[Dönem],$A191)-SUMIFS(tblDonem[KDV Yüklenimi (₺)],tblDonem[Dönem],$A191)</f>
        <v/>
      </c>
      <c r="D191" s="120">
        <f>SUMIFS(tblDonem[Vergi Karşılığı (₺)],tblDonem[Dönem],$A191)</f>
        <v/>
      </c>
      <c r="E191" s="120">
        <f>$C191+$D191</f>
        <v/>
      </c>
      <c r="F191" s="120">
        <f>IF($B191=0,0,$E191/$B191)</f>
        <v/>
      </c>
    </row>
    <row r="192" ht="15" customHeight="1" s="68">
      <c r="A192" s="114" t="n"/>
      <c r="B192" s="120">
        <f>SUMIFS(tblDonem[Gelir (₺)],tblDonem[Dönem],$A192)</f>
        <v/>
      </c>
      <c r="C192" s="120">
        <f>SUMIFS(tblDonem[KDV Tutarı (₺)],tblDonem[Dönem],$A192)-SUMIFS(tblDonem[KDV Yüklenimi (₺)],tblDonem[Dönem],$A192)</f>
        <v/>
      </c>
      <c r="D192" s="120">
        <f>SUMIFS(tblDonem[Vergi Karşılığı (₺)],tblDonem[Dönem],$A192)</f>
        <v/>
      </c>
      <c r="E192" s="120">
        <f>$C192+$D192</f>
        <v/>
      </c>
      <c r="F192" s="120">
        <f>IF($B192=0,0,$E192/$B192)</f>
        <v/>
      </c>
    </row>
    <row r="193" ht="15" customHeight="1" s="68">
      <c r="A193" s="114" t="n"/>
      <c r="B193" s="120">
        <f>SUMIFS(tblDonem[Gelir (₺)],tblDonem[Dönem],$A193)</f>
        <v/>
      </c>
      <c r="C193" s="120">
        <f>SUMIFS(tblDonem[KDV Tutarı (₺)],tblDonem[Dönem],$A193)-SUMIFS(tblDonem[KDV Yüklenimi (₺)],tblDonem[Dönem],$A193)</f>
        <v/>
      </c>
      <c r="D193" s="120">
        <f>SUMIFS(tblDonem[Vergi Karşılığı (₺)],tblDonem[Dönem],$A193)</f>
        <v/>
      </c>
      <c r="E193" s="120">
        <f>$C193+$D193</f>
        <v/>
      </c>
      <c r="F193" s="120">
        <f>IF($B193=0,0,$E193/$B193)</f>
        <v/>
      </c>
    </row>
    <row r="194" ht="15" customHeight="1" s="68">
      <c r="A194" s="114" t="n"/>
      <c r="B194" s="120">
        <f>SUMIFS(tblDonem[Gelir (₺)],tblDonem[Dönem],$A194)</f>
        <v/>
      </c>
      <c r="C194" s="120">
        <f>SUMIFS(tblDonem[KDV Tutarı (₺)],tblDonem[Dönem],$A194)-SUMIFS(tblDonem[KDV Yüklenimi (₺)],tblDonem[Dönem],$A194)</f>
        <v/>
      </c>
      <c r="D194" s="120">
        <f>SUMIFS(tblDonem[Vergi Karşılığı (₺)],tblDonem[Dönem],$A194)</f>
        <v/>
      </c>
      <c r="E194" s="120">
        <f>$C194+$D194</f>
        <v/>
      </c>
      <c r="F194" s="120">
        <f>IF($B194=0,0,$E194/$B194)</f>
        <v/>
      </c>
    </row>
    <row r="195" ht="15" customHeight="1" s="68">
      <c r="A195" s="114" t="n"/>
      <c r="B195" s="120">
        <f>SUMIFS(tblDonem[Gelir (₺)],tblDonem[Dönem],$A195)</f>
        <v/>
      </c>
      <c r="C195" s="120">
        <f>SUMIFS(tblDonem[KDV Tutarı (₺)],tblDonem[Dönem],$A195)-SUMIFS(tblDonem[KDV Yüklenimi (₺)],tblDonem[Dönem],$A195)</f>
        <v/>
      </c>
      <c r="D195" s="120">
        <f>SUMIFS(tblDonem[Vergi Karşılığı (₺)],tblDonem[Dönem],$A195)</f>
        <v/>
      </c>
      <c r="E195" s="120">
        <f>$C195+$D195</f>
        <v/>
      </c>
      <c r="F195" s="120">
        <f>IF($B195=0,0,$E195/$B195)</f>
        <v/>
      </c>
    </row>
    <row r="196" ht="15" customHeight="1" s="68">
      <c r="A196" s="114" t="n"/>
      <c r="B196" s="120">
        <f>SUMIFS(tblDonem[Gelir (₺)],tblDonem[Dönem],$A196)</f>
        <v/>
      </c>
      <c r="C196" s="120">
        <f>SUMIFS(tblDonem[KDV Tutarı (₺)],tblDonem[Dönem],$A196)-SUMIFS(tblDonem[KDV Yüklenimi (₺)],tblDonem[Dönem],$A196)</f>
        <v/>
      </c>
      <c r="D196" s="120">
        <f>SUMIFS(tblDonem[Vergi Karşılığı (₺)],tblDonem[Dönem],$A196)</f>
        <v/>
      </c>
      <c r="E196" s="120">
        <f>$C196+$D196</f>
        <v/>
      </c>
      <c r="F196" s="120">
        <f>IF($B196=0,0,$E196/$B196)</f>
        <v/>
      </c>
    </row>
    <row r="197" ht="15" customHeight="1" s="68">
      <c r="A197" s="114" t="n"/>
      <c r="B197" s="120">
        <f>SUMIFS(tblDonem[Gelir (₺)],tblDonem[Dönem],$A197)</f>
        <v/>
      </c>
      <c r="C197" s="120">
        <f>SUMIFS(tblDonem[KDV Tutarı (₺)],tblDonem[Dönem],$A197)-SUMIFS(tblDonem[KDV Yüklenimi (₺)],tblDonem[Dönem],$A197)</f>
        <v/>
      </c>
      <c r="D197" s="120">
        <f>SUMIFS(tblDonem[Vergi Karşılığı (₺)],tblDonem[Dönem],$A197)</f>
        <v/>
      </c>
      <c r="E197" s="120">
        <f>$C197+$D197</f>
        <v/>
      </c>
      <c r="F197" s="120">
        <f>IF($B197=0,0,$E197/$B197)</f>
        <v/>
      </c>
    </row>
    <row r="198" ht="15" customHeight="1" s="68">
      <c r="A198" s="114" t="n"/>
      <c r="B198" s="120">
        <f>SUMIFS(tblDonem[Gelir (₺)],tblDonem[Dönem],$A198)</f>
        <v/>
      </c>
      <c r="C198" s="120">
        <f>SUMIFS(tblDonem[KDV Tutarı (₺)],tblDonem[Dönem],$A198)-SUMIFS(tblDonem[KDV Yüklenimi (₺)],tblDonem[Dönem],$A198)</f>
        <v/>
      </c>
      <c r="D198" s="120">
        <f>SUMIFS(tblDonem[Vergi Karşılığı (₺)],tblDonem[Dönem],$A198)</f>
        <v/>
      </c>
      <c r="E198" s="120">
        <f>$C198+$D198</f>
        <v/>
      </c>
      <c r="F198" s="120">
        <f>IF($B198=0,0,$E198/$B198)</f>
        <v/>
      </c>
    </row>
    <row r="199" ht="15" customHeight="1" s="68">
      <c r="A199" s="114" t="n"/>
      <c r="B199" s="120">
        <f>SUMIFS(tblDonem[Gelir (₺)],tblDonem[Dönem],$A199)</f>
        <v/>
      </c>
      <c r="C199" s="120">
        <f>SUMIFS(tblDonem[KDV Tutarı (₺)],tblDonem[Dönem],$A199)-SUMIFS(tblDonem[KDV Yüklenimi (₺)],tblDonem[Dönem],$A199)</f>
        <v/>
      </c>
      <c r="D199" s="120">
        <f>SUMIFS(tblDonem[Vergi Karşılığı (₺)],tblDonem[Dönem],$A199)</f>
        <v/>
      </c>
      <c r="E199" s="120">
        <f>$C199+$D199</f>
        <v/>
      </c>
      <c r="F199" s="120">
        <f>IF($B199=0,0,$E199/$B199)</f>
        <v/>
      </c>
    </row>
    <row r="200" ht="15" customHeight="1" s="68">
      <c r="A200" s="114" t="n"/>
      <c r="B200" s="120">
        <f>SUMIFS(tblDonem[Gelir (₺)],tblDonem[Dönem],$A200)</f>
        <v/>
      </c>
      <c r="C200" s="120">
        <f>SUMIFS(tblDonem[KDV Tutarı (₺)],tblDonem[Dönem],$A200)-SUMIFS(tblDonem[KDV Yüklenimi (₺)],tblDonem[Dönem],$A200)</f>
        <v/>
      </c>
      <c r="D200" s="120">
        <f>SUMIFS(tblDonem[Vergi Karşılığı (₺)],tblDonem[Dönem],$A200)</f>
        <v/>
      </c>
      <c r="E200" s="120">
        <f>$C200+$D200</f>
        <v/>
      </c>
      <c r="F200" s="120">
        <f>IF($B200=0,0,$E200/$B200)</f>
        <v/>
      </c>
    </row>
    <row r="201" ht="15" customHeight="1" s="68">
      <c r="A201" s="114" t="n"/>
      <c r="B201" s="120">
        <f>SUMIFS(tblDonem[Gelir (₺)],tblDonem[Dönem],$A201)</f>
        <v/>
      </c>
      <c r="C201" s="120">
        <f>SUMIFS(tblDonem[KDV Tutarı (₺)],tblDonem[Dönem],$A201)-SUMIFS(tblDonem[KDV Yüklenimi (₺)],tblDonem[Dönem],$A201)</f>
        <v/>
      </c>
      <c r="D201" s="120">
        <f>SUMIFS(tblDonem[Vergi Karşılığı (₺)],tblDonem[Dönem],$A201)</f>
        <v/>
      </c>
      <c r="E201" s="120">
        <f>$C201+$D201</f>
        <v/>
      </c>
      <c r="F201" s="120">
        <f>IF($B201=0,0,$E201/$B201)</f>
        <v/>
      </c>
    </row>
    <row r="202" ht="15" customHeight="1" s="68">
      <c r="A202" s="114" t="n"/>
      <c r="B202" s="120">
        <f>SUMIFS(tblDonem[Gelir (₺)],tblDonem[Dönem],$A202)</f>
        <v/>
      </c>
      <c r="C202" s="120">
        <f>SUMIFS(tblDonem[KDV Tutarı (₺)],tblDonem[Dönem],$A202)-SUMIFS(tblDonem[KDV Yüklenimi (₺)],tblDonem[Dönem],$A202)</f>
        <v/>
      </c>
      <c r="D202" s="120">
        <f>SUMIFS(tblDonem[Vergi Karşılığı (₺)],tblDonem[Dönem],$A202)</f>
        <v/>
      </c>
      <c r="E202" s="120">
        <f>$C202+$D202</f>
        <v/>
      </c>
      <c r="F202" s="120">
        <f>IF($B202=0,0,$E202/$B202)</f>
        <v/>
      </c>
    </row>
    <row r="203" ht="15" customHeight="1" s="68">
      <c r="A203" s="114" t="n"/>
      <c r="B203" s="120">
        <f>SUMIFS(tblDonem[Gelir (₺)],tblDonem[Dönem],$A203)</f>
        <v/>
      </c>
      <c r="C203" s="120">
        <f>SUMIFS(tblDonem[KDV Tutarı (₺)],tblDonem[Dönem],$A203)-SUMIFS(tblDonem[KDV Yüklenimi (₺)],tblDonem[Dönem],$A203)</f>
        <v/>
      </c>
      <c r="D203" s="120">
        <f>SUMIFS(tblDonem[Vergi Karşılığı (₺)],tblDonem[Dönem],$A203)</f>
        <v/>
      </c>
      <c r="E203" s="120">
        <f>$C203+$D203</f>
        <v/>
      </c>
      <c r="F203" s="120">
        <f>IF($B203=0,0,$E203/$B203)</f>
        <v/>
      </c>
    </row>
    <row r="204" ht="15" customHeight="1" s="68">
      <c r="A204" s="114" t="n"/>
      <c r="B204" s="120">
        <f>SUMIFS(tblDonem[Gelir (₺)],tblDonem[Dönem],$A204)</f>
        <v/>
      </c>
      <c r="C204" s="120">
        <f>SUMIFS(tblDonem[KDV Tutarı (₺)],tblDonem[Dönem],$A204)-SUMIFS(tblDonem[KDV Yüklenimi (₺)],tblDonem[Dönem],$A204)</f>
        <v/>
      </c>
      <c r="D204" s="120">
        <f>SUMIFS(tblDonem[Vergi Karşılığı (₺)],tblDonem[Dönem],$A204)</f>
        <v/>
      </c>
      <c r="E204" s="120">
        <f>$C204+$D204</f>
        <v/>
      </c>
      <c r="F204" s="120">
        <f>IF($B204=0,0,$E204/$B204)</f>
        <v/>
      </c>
    </row>
    <row r="205" ht="15" customHeight="1" s="68">
      <c r="A205" s="114" t="n"/>
      <c r="B205" s="120">
        <f>SUMIFS(tblDonem[Gelir (₺)],tblDonem[Dönem],$A205)</f>
        <v/>
      </c>
      <c r="C205" s="120">
        <f>SUMIFS(tblDonem[KDV Tutarı (₺)],tblDonem[Dönem],$A205)-SUMIFS(tblDonem[KDV Yüklenimi (₺)],tblDonem[Dönem],$A205)</f>
        <v/>
      </c>
      <c r="D205" s="120">
        <f>SUMIFS(tblDonem[Vergi Karşılığı (₺)],tblDonem[Dönem],$A205)</f>
        <v/>
      </c>
      <c r="E205" s="120">
        <f>$C205+$D205</f>
        <v/>
      </c>
      <c r="F205" s="120">
        <f>IF($B205=0,0,$E205/$B205)</f>
        <v/>
      </c>
    </row>
    <row r="206" ht="15" customHeight="1" s="68">
      <c r="A206" s="114" t="n"/>
      <c r="B206" s="120">
        <f>SUMIFS(tblDonem[Gelir (₺)],tblDonem[Dönem],$A206)</f>
        <v/>
      </c>
      <c r="C206" s="120">
        <f>SUMIFS(tblDonem[KDV Tutarı (₺)],tblDonem[Dönem],$A206)-SUMIFS(tblDonem[KDV Yüklenimi (₺)],tblDonem[Dönem],$A206)</f>
        <v/>
      </c>
      <c r="D206" s="120">
        <f>SUMIFS(tblDonem[Vergi Karşılığı (₺)],tblDonem[Dönem],$A206)</f>
        <v/>
      </c>
      <c r="E206" s="120">
        <f>$C206+$D206</f>
        <v/>
      </c>
      <c r="F206" s="120">
        <f>IF($B206=0,0,$E206/$B206)</f>
        <v/>
      </c>
    </row>
    <row r="207" ht="15" customHeight="1" s="68">
      <c r="A207" s="114" t="n"/>
      <c r="B207" s="120">
        <f>SUMIFS(tblDonem[Gelir (₺)],tblDonem[Dönem],$A207)</f>
        <v/>
      </c>
      <c r="C207" s="120">
        <f>SUMIFS(tblDonem[KDV Tutarı (₺)],tblDonem[Dönem],$A207)-SUMIFS(tblDonem[KDV Yüklenimi (₺)],tblDonem[Dönem],$A207)</f>
        <v/>
      </c>
      <c r="D207" s="120">
        <f>SUMIFS(tblDonem[Vergi Karşılığı (₺)],tblDonem[Dönem],$A207)</f>
        <v/>
      </c>
      <c r="E207" s="120">
        <f>$C207+$D207</f>
        <v/>
      </c>
      <c r="F207" s="120">
        <f>IF($B207=0,0,$E207/$B207)</f>
        <v/>
      </c>
    </row>
    <row r="208" ht="15" customHeight="1" s="68">
      <c r="A208" s="114" t="n"/>
      <c r="B208" s="120">
        <f>SUMIFS(tblDonem[Gelir (₺)],tblDonem[Dönem],$A208)</f>
        <v/>
      </c>
      <c r="C208" s="120">
        <f>SUMIFS(tblDonem[KDV Tutarı (₺)],tblDonem[Dönem],$A208)-SUMIFS(tblDonem[KDV Yüklenimi (₺)],tblDonem[Dönem],$A208)</f>
        <v/>
      </c>
      <c r="D208" s="120">
        <f>SUMIFS(tblDonem[Vergi Karşılığı (₺)],tblDonem[Dönem],$A208)</f>
        <v/>
      </c>
      <c r="E208" s="120">
        <f>$C208+$D208</f>
        <v/>
      </c>
      <c r="F208" s="120">
        <f>IF($B208=0,0,$E208/$B208)</f>
        <v/>
      </c>
    </row>
    <row r="209" ht="15" customHeight="1" s="68">
      <c r="A209" s="114" t="n"/>
      <c r="B209" s="120">
        <f>SUMIFS(tblDonem[Gelir (₺)],tblDonem[Dönem],$A209)</f>
        <v/>
      </c>
      <c r="C209" s="120">
        <f>SUMIFS(tblDonem[KDV Tutarı (₺)],tblDonem[Dönem],$A209)-SUMIFS(tblDonem[KDV Yüklenimi (₺)],tblDonem[Dönem],$A209)</f>
        <v/>
      </c>
      <c r="D209" s="120">
        <f>SUMIFS(tblDonem[Vergi Karşılığı (₺)],tblDonem[Dönem],$A209)</f>
        <v/>
      </c>
      <c r="E209" s="120">
        <f>$C209+$D209</f>
        <v/>
      </c>
      <c r="F209" s="120">
        <f>IF($B209=0,0,$E209/$B209)</f>
        <v/>
      </c>
    </row>
    <row r="210" ht="15" customHeight="1" s="68">
      <c r="A210" s="114" t="n"/>
      <c r="B210" s="120">
        <f>SUMIFS(tblDonem[Gelir (₺)],tblDonem[Dönem],$A210)</f>
        <v/>
      </c>
      <c r="C210" s="120">
        <f>SUMIFS(tblDonem[KDV Tutarı (₺)],tblDonem[Dönem],$A210)-SUMIFS(tblDonem[KDV Yüklenimi (₺)],tblDonem[Dönem],$A210)</f>
        <v/>
      </c>
      <c r="D210" s="120">
        <f>SUMIFS(tblDonem[Vergi Karşılığı (₺)],tblDonem[Dönem],$A210)</f>
        <v/>
      </c>
      <c r="E210" s="120">
        <f>$C210+$D210</f>
        <v/>
      </c>
      <c r="F210" s="120">
        <f>IF($B210=0,0,$E210/$B210)</f>
        <v/>
      </c>
    </row>
    <row r="211" ht="15" customHeight="1" s="68">
      <c r="A211" s="114" t="n"/>
      <c r="B211" s="120">
        <f>SUMIFS(tblDonem[Gelir (₺)],tblDonem[Dönem],$A211)</f>
        <v/>
      </c>
      <c r="C211" s="120">
        <f>SUMIFS(tblDonem[KDV Tutarı (₺)],tblDonem[Dönem],$A211)-SUMIFS(tblDonem[KDV Yüklenimi (₺)],tblDonem[Dönem],$A211)</f>
        <v/>
      </c>
      <c r="D211" s="120">
        <f>SUMIFS(tblDonem[Vergi Karşılığı (₺)],tblDonem[Dönem],$A211)</f>
        <v/>
      </c>
      <c r="E211" s="120">
        <f>$C211+$D211</f>
        <v/>
      </c>
      <c r="F211" s="120">
        <f>IF($B211=0,0,$E211/$B211)</f>
        <v/>
      </c>
    </row>
    <row r="212" ht="15" customHeight="1" s="68">
      <c r="A212" s="114" t="n"/>
      <c r="B212" s="120">
        <f>SUMIFS(tblDonem[Gelir (₺)],tblDonem[Dönem],$A212)</f>
        <v/>
      </c>
      <c r="C212" s="120">
        <f>SUMIFS(tblDonem[KDV Tutarı (₺)],tblDonem[Dönem],$A212)-SUMIFS(tblDonem[KDV Yüklenimi (₺)],tblDonem[Dönem],$A212)</f>
        <v/>
      </c>
      <c r="D212" s="120">
        <f>SUMIFS(tblDonem[Vergi Karşılığı (₺)],tblDonem[Dönem],$A212)</f>
        <v/>
      </c>
      <c r="E212" s="120">
        <f>$C212+$D212</f>
        <v/>
      </c>
      <c r="F212" s="120">
        <f>IF($B212=0,0,$E212/$B212)</f>
        <v/>
      </c>
    </row>
    <row r="213" ht="15" customHeight="1" s="68">
      <c r="A213" s="114" t="n"/>
      <c r="B213" s="120">
        <f>SUMIFS(tblDonem[Gelir (₺)],tblDonem[Dönem],$A213)</f>
        <v/>
      </c>
      <c r="C213" s="120">
        <f>SUMIFS(tblDonem[KDV Tutarı (₺)],tblDonem[Dönem],$A213)-SUMIFS(tblDonem[KDV Yüklenimi (₺)],tblDonem[Dönem],$A213)</f>
        <v/>
      </c>
      <c r="D213" s="120">
        <f>SUMIFS(tblDonem[Vergi Karşılığı (₺)],tblDonem[Dönem],$A213)</f>
        <v/>
      </c>
      <c r="E213" s="120">
        <f>$C213+$D213</f>
        <v/>
      </c>
      <c r="F213" s="120">
        <f>IF($B213=0,0,$E213/$B213)</f>
        <v/>
      </c>
    </row>
    <row r="214" ht="15" customHeight="1" s="68">
      <c r="A214" s="114" t="n"/>
      <c r="B214" s="120">
        <f>SUMIFS(tblDonem[Gelir (₺)],tblDonem[Dönem],$A214)</f>
        <v/>
      </c>
      <c r="C214" s="120">
        <f>SUMIFS(tblDonem[KDV Tutarı (₺)],tblDonem[Dönem],$A214)-SUMIFS(tblDonem[KDV Yüklenimi (₺)],tblDonem[Dönem],$A214)</f>
        <v/>
      </c>
      <c r="D214" s="120">
        <f>SUMIFS(tblDonem[Vergi Karşılığı (₺)],tblDonem[Dönem],$A214)</f>
        <v/>
      </c>
      <c r="E214" s="120">
        <f>$C214+$D214</f>
        <v/>
      </c>
      <c r="F214" s="120">
        <f>IF($B214=0,0,$E214/$B214)</f>
        <v/>
      </c>
    </row>
    <row r="215" ht="15" customHeight="1" s="68">
      <c r="A215" s="114" t="n"/>
      <c r="B215" s="120">
        <f>SUMIFS(tblDonem[Gelir (₺)],tblDonem[Dönem],$A215)</f>
        <v/>
      </c>
      <c r="C215" s="120">
        <f>SUMIFS(tblDonem[KDV Tutarı (₺)],tblDonem[Dönem],$A215)-SUMIFS(tblDonem[KDV Yüklenimi (₺)],tblDonem[Dönem],$A215)</f>
        <v/>
      </c>
      <c r="D215" s="120">
        <f>SUMIFS(tblDonem[Vergi Karşılığı (₺)],tblDonem[Dönem],$A215)</f>
        <v/>
      </c>
      <c r="E215" s="120">
        <f>$C215+$D215</f>
        <v/>
      </c>
      <c r="F215" s="120">
        <f>IF($B215=0,0,$E215/$B215)</f>
        <v/>
      </c>
    </row>
    <row r="216" ht="15" customHeight="1" s="68">
      <c r="A216" s="114" t="n"/>
      <c r="B216" s="120">
        <f>SUMIFS(tblDonem[Gelir (₺)],tblDonem[Dönem],$A216)</f>
        <v/>
      </c>
      <c r="C216" s="120">
        <f>SUMIFS(tblDonem[KDV Tutarı (₺)],tblDonem[Dönem],$A216)-SUMIFS(tblDonem[KDV Yüklenimi (₺)],tblDonem[Dönem],$A216)</f>
        <v/>
      </c>
      <c r="D216" s="120">
        <f>SUMIFS(tblDonem[Vergi Karşılığı (₺)],tblDonem[Dönem],$A216)</f>
        <v/>
      </c>
      <c r="E216" s="120">
        <f>$C216+$D216</f>
        <v/>
      </c>
      <c r="F216" s="120">
        <f>IF($B216=0,0,$E216/$B216)</f>
        <v/>
      </c>
    </row>
    <row r="217" ht="15" customHeight="1" s="68">
      <c r="A217" s="114" t="n"/>
      <c r="B217" s="120">
        <f>SUMIFS(tblDonem[Gelir (₺)],tblDonem[Dönem],$A217)</f>
        <v/>
      </c>
      <c r="C217" s="120">
        <f>SUMIFS(tblDonem[KDV Tutarı (₺)],tblDonem[Dönem],$A217)-SUMIFS(tblDonem[KDV Yüklenimi (₺)],tblDonem[Dönem],$A217)</f>
        <v/>
      </c>
      <c r="D217" s="120">
        <f>SUMIFS(tblDonem[Vergi Karşılığı (₺)],tblDonem[Dönem],$A217)</f>
        <v/>
      </c>
      <c r="E217" s="120">
        <f>$C217+$D217</f>
        <v/>
      </c>
      <c r="F217" s="120">
        <f>IF($B217=0,0,$E217/$B217)</f>
        <v/>
      </c>
    </row>
    <row r="218" ht="15" customHeight="1" s="68">
      <c r="A218" s="114" t="n"/>
      <c r="B218" s="120">
        <f>SUMIFS(tblDonem[Gelir (₺)],tblDonem[Dönem],$A218)</f>
        <v/>
      </c>
      <c r="C218" s="120">
        <f>SUMIFS(tblDonem[KDV Tutarı (₺)],tblDonem[Dönem],$A218)-SUMIFS(tblDonem[KDV Yüklenimi (₺)],tblDonem[Dönem],$A218)</f>
        <v/>
      </c>
      <c r="D218" s="120">
        <f>SUMIFS(tblDonem[Vergi Karşılığı (₺)],tblDonem[Dönem],$A218)</f>
        <v/>
      </c>
      <c r="E218" s="120">
        <f>$C218+$D218</f>
        <v/>
      </c>
      <c r="F218" s="120">
        <f>IF($B218=0,0,$E218/$B218)</f>
        <v/>
      </c>
    </row>
    <row r="219" ht="15" customHeight="1" s="68">
      <c r="A219" s="114" t="n"/>
      <c r="B219" s="120">
        <f>SUMIFS(tblDonem[Gelir (₺)],tblDonem[Dönem],$A219)</f>
        <v/>
      </c>
      <c r="C219" s="120">
        <f>SUMIFS(tblDonem[KDV Tutarı (₺)],tblDonem[Dönem],$A219)-SUMIFS(tblDonem[KDV Yüklenimi (₺)],tblDonem[Dönem],$A219)</f>
        <v/>
      </c>
      <c r="D219" s="120">
        <f>SUMIFS(tblDonem[Vergi Karşılığı (₺)],tblDonem[Dönem],$A219)</f>
        <v/>
      </c>
      <c r="E219" s="120">
        <f>$C219+$D219</f>
        <v/>
      </c>
      <c r="F219" s="120">
        <f>IF($B219=0,0,$E219/$B219)</f>
        <v/>
      </c>
    </row>
    <row r="220" ht="15" customHeight="1" s="68">
      <c r="A220" s="114" t="n"/>
      <c r="B220" s="120">
        <f>SUMIFS(tblDonem[Gelir (₺)],tblDonem[Dönem],$A220)</f>
        <v/>
      </c>
      <c r="C220" s="120">
        <f>SUMIFS(tblDonem[KDV Tutarı (₺)],tblDonem[Dönem],$A220)-SUMIFS(tblDonem[KDV Yüklenimi (₺)],tblDonem[Dönem],$A220)</f>
        <v/>
      </c>
      <c r="D220" s="120">
        <f>SUMIFS(tblDonem[Vergi Karşılığı (₺)],tblDonem[Dönem],$A220)</f>
        <v/>
      </c>
      <c r="E220" s="120">
        <f>$C220+$D220</f>
        <v/>
      </c>
      <c r="F220" s="120">
        <f>IF($B220=0,0,$E220/$B220)</f>
        <v/>
      </c>
    </row>
    <row r="221" ht="15" customHeight="1" s="68">
      <c r="A221" s="114" t="n"/>
      <c r="B221" s="120">
        <f>SUMIFS(tblDonem[Gelir (₺)],tblDonem[Dönem],$A221)</f>
        <v/>
      </c>
      <c r="C221" s="120">
        <f>SUMIFS(tblDonem[KDV Tutarı (₺)],tblDonem[Dönem],$A221)-SUMIFS(tblDonem[KDV Yüklenimi (₺)],tblDonem[Dönem],$A221)</f>
        <v/>
      </c>
      <c r="D221" s="120">
        <f>SUMIFS(tblDonem[Vergi Karşılığı (₺)],tblDonem[Dönem],$A221)</f>
        <v/>
      </c>
      <c r="E221" s="120">
        <f>$C221+$D221</f>
        <v/>
      </c>
      <c r="F221" s="120">
        <f>IF($B221=0,0,$E221/$B221)</f>
        <v/>
      </c>
    </row>
    <row r="222" ht="15" customHeight="1" s="68">
      <c r="A222" s="114" t="n"/>
      <c r="B222" s="120">
        <f>SUMIFS(tblDonem[Gelir (₺)],tblDonem[Dönem],$A222)</f>
        <v/>
      </c>
      <c r="C222" s="120">
        <f>SUMIFS(tblDonem[KDV Tutarı (₺)],tblDonem[Dönem],$A222)-SUMIFS(tblDonem[KDV Yüklenimi (₺)],tblDonem[Dönem],$A222)</f>
        <v/>
      </c>
      <c r="D222" s="120">
        <f>SUMIFS(tblDonem[Vergi Karşılığı (₺)],tblDonem[Dönem],$A222)</f>
        <v/>
      </c>
      <c r="E222" s="120">
        <f>$C222+$D222</f>
        <v/>
      </c>
      <c r="F222" s="120">
        <f>IF($B222=0,0,$E222/$B222)</f>
        <v/>
      </c>
    </row>
    <row r="223" ht="15" customHeight="1" s="68">
      <c r="A223" s="114" t="n"/>
      <c r="B223" s="120">
        <f>SUMIFS(tblDonem[Gelir (₺)],tblDonem[Dönem],$A223)</f>
        <v/>
      </c>
      <c r="C223" s="120">
        <f>SUMIFS(tblDonem[KDV Tutarı (₺)],tblDonem[Dönem],$A223)-SUMIFS(tblDonem[KDV Yüklenimi (₺)],tblDonem[Dönem],$A223)</f>
        <v/>
      </c>
      <c r="D223" s="120">
        <f>SUMIFS(tblDonem[Vergi Karşılığı (₺)],tblDonem[Dönem],$A223)</f>
        <v/>
      </c>
      <c r="E223" s="120">
        <f>$C223+$D223</f>
        <v/>
      </c>
      <c r="F223" s="120">
        <f>IF($B223=0,0,$E223/$B223)</f>
        <v/>
      </c>
    </row>
    <row r="224" ht="15" customHeight="1" s="68">
      <c r="A224" s="114" t="n"/>
      <c r="B224" s="120">
        <f>SUMIFS(tblDonem[Gelir (₺)],tblDonem[Dönem],$A224)</f>
        <v/>
      </c>
      <c r="C224" s="120">
        <f>SUMIFS(tblDonem[KDV Tutarı (₺)],tblDonem[Dönem],$A224)-SUMIFS(tblDonem[KDV Yüklenimi (₺)],tblDonem[Dönem],$A224)</f>
        <v/>
      </c>
      <c r="D224" s="120">
        <f>SUMIFS(tblDonem[Vergi Karşılığı (₺)],tblDonem[Dönem],$A224)</f>
        <v/>
      </c>
      <c r="E224" s="120">
        <f>$C224+$D224</f>
        <v/>
      </c>
      <c r="F224" s="120">
        <f>IF($B224=0,0,$E224/$B224)</f>
        <v/>
      </c>
    </row>
    <row r="225" ht="15" customHeight="1" s="68">
      <c r="A225" s="114" t="n"/>
      <c r="B225" s="120">
        <f>SUMIFS(tblDonem[Gelir (₺)],tblDonem[Dönem],$A225)</f>
        <v/>
      </c>
      <c r="C225" s="120">
        <f>SUMIFS(tblDonem[KDV Tutarı (₺)],tblDonem[Dönem],$A225)-SUMIFS(tblDonem[KDV Yüklenimi (₺)],tblDonem[Dönem],$A225)</f>
        <v/>
      </c>
      <c r="D225" s="120">
        <f>SUMIFS(tblDonem[Vergi Karşılığı (₺)],tblDonem[Dönem],$A225)</f>
        <v/>
      </c>
      <c r="E225" s="120">
        <f>$C225+$D225</f>
        <v/>
      </c>
      <c r="F225" s="120">
        <f>IF($B225=0,0,$E225/$B225)</f>
        <v/>
      </c>
    </row>
    <row r="226" ht="15" customHeight="1" s="68">
      <c r="A226" s="114" t="n"/>
      <c r="B226" s="120">
        <f>SUMIFS(tblDonem[Gelir (₺)],tblDonem[Dönem],$A226)</f>
        <v/>
      </c>
      <c r="C226" s="120">
        <f>SUMIFS(tblDonem[KDV Tutarı (₺)],tblDonem[Dönem],$A226)-SUMIFS(tblDonem[KDV Yüklenimi (₺)],tblDonem[Dönem],$A226)</f>
        <v/>
      </c>
      <c r="D226" s="120">
        <f>SUMIFS(tblDonem[Vergi Karşılığı (₺)],tblDonem[Dönem],$A226)</f>
        <v/>
      </c>
      <c r="E226" s="120">
        <f>$C226+$D226</f>
        <v/>
      </c>
      <c r="F226" s="120">
        <f>IF($B226=0,0,$E226/$B226)</f>
        <v/>
      </c>
    </row>
    <row r="227" ht="15" customHeight="1" s="68">
      <c r="A227" s="114" t="n"/>
      <c r="B227" s="120">
        <f>SUMIFS(tblDonem[Gelir (₺)],tblDonem[Dönem],$A227)</f>
        <v/>
      </c>
      <c r="C227" s="120">
        <f>SUMIFS(tblDonem[KDV Tutarı (₺)],tblDonem[Dönem],$A227)-SUMIFS(tblDonem[KDV Yüklenimi (₺)],tblDonem[Dönem],$A227)</f>
        <v/>
      </c>
      <c r="D227" s="120">
        <f>SUMIFS(tblDonem[Vergi Karşılığı (₺)],tblDonem[Dönem],$A227)</f>
        <v/>
      </c>
      <c r="E227" s="120">
        <f>$C227+$D227</f>
        <v/>
      </c>
      <c r="F227" s="120">
        <f>IF($B227=0,0,$E227/$B227)</f>
        <v/>
      </c>
    </row>
    <row r="228" ht="15" customHeight="1" s="68">
      <c r="A228" s="114" t="n"/>
      <c r="B228" s="120">
        <f>SUMIFS(tblDonem[Gelir (₺)],tblDonem[Dönem],$A228)</f>
        <v/>
      </c>
      <c r="C228" s="120">
        <f>SUMIFS(tblDonem[KDV Tutarı (₺)],tblDonem[Dönem],$A228)-SUMIFS(tblDonem[KDV Yüklenimi (₺)],tblDonem[Dönem],$A228)</f>
        <v/>
      </c>
      <c r="D228" s="120">
        <f>SUMIFS(tblDonem[Vergi Karşılığı (₺)],tblDonem[Dönem],$A228)</f>
        <v/>
      </c>
      <c r="E228" s="120">
        <f>$C228+$D228</f>
        <v/>
      </c>
      <c r="F228" s="120">
        <f>IF($B228=0,0,$E228/$B228)</f>
        <v/>
      </c>
    </row>
    <row r="229" ht="15" customHeight="1" s="68">
      <c r="A229" s="114" t="n"/>
      <c r="B229" s="120">
        <f>SUMIFS(tblDonem[Gelir (₺)],tblDonem[Dönem],$A229)</f>
        <v/>
      </c>
      <c r="C229" s="120">
        <f>SUMIFS(tblDonem[KDV Tutarı (₺)],tblDonem[Dönem],$A229)-SUMIFS(tblDonem[KDV Yüklenimi (₺)],tblDonem[Dönem],$A229)</f>
        <v/>
      </c>
      <c r="D229" s="120">
        <f>SUMIFS(tblDonem[Vergi Karşılığı (₺)],tblDonem[Dönem],$A229)</f>
        <v/>
      </c>
      <c r="E229" s="120">
        <f>$C229+$D229</f>
        <v/>
      </c>
      <c r="F229" s="120">
        <f>IF($B229=0,0,$E229/$B229)</f>
        <v/>
      </c>
    </row>
    <row r="230" ht="15" customHeight="1" s="68">
      <c r="A230" s="114" t="n"/>
      <c r="B230" s="120">
        <f>SUMIFS(tblDonem[Gelir (₺)],tblDonem[Dönem],$A230)</f>
        <v/>
      </c>
      <c r="C230" s="120">
        <f>SUMIFS(tblDonem[KDV Tutarı (₺)],tblDonem[Dönem],$A230)-SUMIFS(tblDonem[KDV Yüklenimi (₺)],tblDonem[Dönem],$A230)</f>
        <v/>
      </c>
      <c r="D230" s="120">
        <f>SUMIFS(tblDonem[Vergi Karşılığı (₺)],tblDonem[Dönem],$A230)</f>
        <v/>
      </c>
      <c r="E230" s="120">
        <f>$C230+$D230</f>
        <v/>
      </c>
      <c r="F230" s="120">
        <f>IF($B230=0,0,$E230/$B230)</f>
        <v/>
      </c>
    </row>
    <row r="231" ht="15" customHeight="1" s="68">
      <c r="A231" s="114" t="n"/>
      <c r="B231" s="120">
        <f>SUMIFS(tblDonem[Gelir (₺)],tblDonem[Dönem],$A231)</f>
        <v/>
      </c>
      <c r="C231" s="120">
        <f>SUMIFS(tblDonem[KDV Tutarı (₺)],tblDonem[Dönem],$A231)-SUMIFS(tblDonem[KDV Yüklenimi (₺)],tblDonem[Dönem],$A231)</f>
        <v/>
      </c>
      <c r="D231" s="120">
        <f>SUMIFS(tblDonem[Vergi Karşılığı (₺)],tblDonem[Dönem],$A231)</f>
        <v/>
      </c>
      <c r="E231" s="120">
        <f>$C231+$D231</f>
        <v/>
      </c>
      <c r="F231" s="120">
        <f>IF($B231=0,0,$E231/$B231)</f>
        <v/>
      </c>
    </row>
    <row r="232" ht="15" customHeight="1" s="68">
      <c r="A232" s="114" t="n"/>
      <c r="B232" s="120">
        <f>SUMIFS(tblDonem[Gelir (₺)],tblDonem[Dönem],$A232)</f>
        <v/>
      </c>
      <c r="C232" s="120">
        <f>SUMIFS(tblDonem[KDV Tutarı (₺)],tblDonem[Dönem],$A232)-SUMIFS(tblDonem[KDV Yüklenimi (₺)],tblDonem[Dönem],$A232)</f>
        <v/>
      </c>
      <c r="D232" s="120">
        <f>SUMIFS(tblDonem[Vergi Karşılığı (₺)],tblDonem[Dönem],$A232)</f>
        <v/>
      </c>
      <c r="E232" s="120">
        <f>$C232+$D232</f>
        <v/>
      </c>
      <c r="F232" s="120">
        <f>IF($B232=0,0,$E232/$B232)</f>
        <v/>
      </c>
    </row>
    <row r="233" ht="15" customHeight="1" s="68">
      <c r="A233" s="114" t="n"/>
      <c r="B233" s="120">
        <f>SUMIFS(tblDonem[Gelir (₺)],tblDonem[Dönem],$A233)</f>
        <v/>
      </c>
      <c r="C233" s="120">
        <f>SUMIFS(tblDonem[KDV Tutarı (₺)],tblDonem[Dönem],$A233)-SUMIFS(tblDonem[KDV Yüklenimi (₺)],tblDonem[Dönem],$A233)</f>
        <v/>
      </c>
      <c r="D233" s="120">
        <f>SUMIFS(tblDonem[Vergi Karşılığı (₺)],tblDonem[Dönem],$A233)</f>
        <v/>
      </c>
      <c r="E233" s="120">
        <f>$C233+$D233</f>
        <v/>
      </c>
      <c r="F233" s="120">
        <f>IF($B233=0,0,$E233/$B233)</f>
        <v/>
      </c>
    </row>
    <row r="234" ht="15" customHeight="1" s="68">
      <c r="A234" s="114" t="n"/>
      <c r="B234" s="120">
        <f>SUMIFS(tblDonem[Gelir (₺)],tblDonem[Dönem],$A234)</f>
        <v/>
      </c>
      <c r="C234" s="120">
        <f>SUMIFS(tblDonem[KDV Tutarı (₺)],tblDonem[Dönem],$A234)-SUMIFS(tblDonem[KDV Yüklenimi (₺)],tblDonem[Dönem],$A234)</f>
        <v/>
      </c>
      <c r="D234" s="120">
        <f>SUMIFS(tblDonem[Vergi Karşılığı (₺)],tblDonem[Dönem],$A234)</f>
        <v/>
      </c>
      <c r="E234" s="120">
        <f>$C234+$D234</f>
        <v/>
      </c>
      <c r="F234" s="120">
        <f>IF($B234=0,0,$E234/$B234)</f>
        <v/>
      </c>
    </row>
    <row r="235" ht="15" customHeight="1" s="68">
      <c r="A235" s="114" t="n"/>
      <c r="B235" s="120">
        <f>SUMIFS(tblDonem[Gelir (₺)],tblDonem[Dönem],$A235)</f>
        <v/>
      </c>
      <c r="C235" s="120">
        <f>SUMIFS(tblDonem[KDV Tutarı (₺)],tblDonem[Dönem],$A235)-SUMIFS(tblDonem[KDV Yüklenimi (₺)],tblDonem[Dönem],$A235)</f>
        <v/>
      </c>
      <c r="D235" s="120">
        <f>SUMIFS(tblDonem[Vergi Karşılığı (₺)],tblDonem[Dönem],$A235)</f>
        <v/>
      </c>
      <c r="E235" s="120">
        <f>$C235+$D235</f>
        <v/>
      </c>
      <c r="F235" s="120">
        <f>IF($B235=0,0,$E235/$B235)</f>
        <v/>
      </c>
    </row>
    <row r="236" ht="15" customHeight="1" s="68">
      <c r="A236" s="114" t="n"/>
      <c r="B236" s="120">
        <f>SUMIFS(tblDonem[Gelir (₺)],tblDonem[Dönem],$A236)</f>
        <v/>
      </c>
      <c r="C236" s="120">
        <f>SUMIFS(tblDonem[KDV Tutarı (₺)],tblDonem[Dönem],$A236)-SUMIFS(tblDonem[KDV Yüklenimi (₺)],tblDonem[Dönem],$A236)</f>
        <v/>
      </c>
      <c r="D236" s="120">
        <f>SUMIFS(tblDonem[Vergi Karşılığı (₺)],tblDonem[Dönem],$A236)</f>
        <v/>
      </c>
      <c r="E236" s="120">
        <f>$C236+$D236</f>
        <v/>
      </c>
      <c r="F236" s="120">
        <f>IF($B236=0,0,$E236/$B236)</f>
        <v/>
      </c>
    </row>
    <row r="237" ht="15" customHeight="1" s="68">
      <c r="A237" s="114" t="n"/>
      <c r="B237" s="120">
        <f>SUMIFS(tblDonem[Gelir (₺)],tblDonem[Dönem],$A237)</f>
        <v/>
      </c>
      <c r="C237" s="120">
        <f>SUMIFS(tblDonem[KDV Tutarı (₺)],tblDonem[Dönem],$A237)-SUMIFS(tblDonem[KDV Yüklenimi (₺)],tblDonem[Dönem],$A237)</f>
        <v/>
      </c>
      <c r="D237" s="120">
        <f>SUMIFS(tblDonem[Vergi Karşılığı (₺)],tblDonem[Dönem],$A237)</f>
        <v/>
      </c>
      <c r="E237" s="120">
        <f>$C237+$D237</f>
        <v/>
      </c>
      <c r="F237" s="120">
        <f>IF($B237=0,0,$E237/$B237)</f>
        <v/>
      </c>
    </row>
    <row r="238" ht="15" customHeight="1" s="68">
      <c r="A238" s="114" t="n"/>
      <c r="B238" s="120">
        <f>SUMIFS(tblDonem[Gelir (₺)],tblDonem[Dönem],$A238)</f>
        <v/>
      </c>
      <c r="C238" s="120">
        <f>SUMIFS(tblDonem[KDV Tutarı (₺)],tblDonem[Dönem],$A238)-SUMIFS(tblDonem[KDV Yüklenimi (₺)],tblDonem[Dönem],$A238)</f>
        <v/>
      </c>
      <c r="D238" s="120">
        <f>SUMIFS(tblDonem[Vergi Karşılığı (₺)],tblDonem[Dönem],$A238)</f>
        <v/>
      </c>
      <c r="E238" s="120">
        <f>$C238+$D238</f>
        <v/>
      </c>
      <c r="F238" s="120">
        <f>IF($B238=0,0,$E238/$B238)</f>
        <v/>
      </c>
    </row>
    <row r="239" ht="15" customHeight="1" s="68">
      <c r="A239" s="114" t="n"/>
      <c r="B239" s="120">
        <f>SUMIFS(tblDonem[Gelir (₺)],tblDonem[Dönem],$A239)</f>
        <v/>
      </c>
      <c r="C239" s="120">
        <f>SUMIFS(tblDonem[KDV Tutarı (₺)],tblDonem[Dönem],$A239)-SUMIFS(tblDonem[KDV Yüklenimi (₺)],tblDonem[Dönem],$A239)</f>
        <v/>
      </c>
      <c r="D239" s="120">
        <f>SUMIFS(tblDonem[Vergi Karşılığı (₺)],tblDonem[Dönem],$A239)</f>
        <v/>
      </c>
      <c r="E239" s="120">
        <f>$C239+$D239</f>
        <v/>
      </c>
      <c r="F239" s="120">
        <f>IF($B239=0,0,$E239/$B239)</f>
        <v/>
      </c>
    </row>
    <row r="240" ht="15" customHeight="1" s="68">
      <c r="A240" s="114" t="n"/>
      <c r="B240" s="120">
        <f>SUMIFS(tblDonem[Gelir (₺)],tblDonem[Dönem],$A240)</f>
        <v/>
      </c>
      <c r="C240" s="120">
        <f>SUMIFS(tblDonem[KDV Tutarı (₺)],tblDonem[Dönem],$A240)-SUMIFS(tblDonem[KDV Yüklenimi (₺)],tblDonem[Dönem],$A240)</f>
        <v/>
      </c>
      <c r="D240" s="120">
        <f>SUMIFS(tblDonem[Vergi Karşılığı (₺)],tblDonem[Dönem],$A240)</f>
        <v/>
      </c>
      <c r="E240" s="120">
        <f>$C240+$D240</f>
        <v/>
      </c>
      <c r="F240" s="120">
        <f>IF($B240=0,0,$E240/$B240)</f>
        <v/>
      </c>
    </row>
    <row r="241" ht="15" customHeight="1" s="68">
      <c r="A241" s="114" t="n"/>
      <c r="B241" s="120">
        <f>SUMIFS(tblDonem[Gelir (₺)],tblDonem[Dönem],$A241)</f>
        <v/>
      </c>
      <c r="C241" s="120">
        <f>SUMIFS(tblDonem[KDV Tutarı (₺)],tblDonem[Dönem],$A241)-SUMIFS(tblDonem[KDV Yüklenimi (₺)],tblDonem[Dönem],$A241)</f>
        <v/>
      </c>
      <c r="D241" s="120">
        <f>SUMIFS(tblDonem[Vergi Karşılığı (₺)],tblDonem[Dönem],$A241)</f>
        <v/>
      </c>
      <c r="E241" s="120">
        <f>$C241+$D241</f>
        <v/>
      </c>
      <c r="F241" s="120">
        <f>IF($B241=0,0,$E241/$B241)</f>
        <v/>
      </c>
    </row>
    <row r="242" ht="15" customHeight="1" s="68">
      <c r="A242" s="114" t="n"/>
      <c r="B242" s="120">
        <f>SUMIFS(tblDonem[Gelir (₺)],tblDonem[Dönem],$A242)</f>
        <v/>
      </c>
      <c r="C242" s="120">
        <f>SUMIFS(tblDonem[KDV Tutarı (₺)],tblDonem[Dönem],$A242)-SUMIFS(tblDonem[KDV Yüklenimi (₺)],tblDonem[Dönem],$A242)</f>
        <v/>
      </c>
      <c r="D242" s="120">
        <f>SUMIFS(tblDonem[Vergi Karşılığı (₺)],tblDonem[Dönem],$A242)</f>
        <v/>
      </c>
      <c r="E242" s="120">
        <f>$C242+$D242</f>
        <v/>
      </c>
      <c r="F242" s="120">
        <f>IF($B242=0,0,$E242/$B242)</f>
        <v/>
      </c>
    </row>
    <row r="243" ht="15" customHeight="1" s="68">
      <c r="A243" s="114" t="n"/>
      <c r="B243" s="120">
        <f>SUMIFS(tblDonem[Gelir (₺)],tblDonem[Dönem],$A243)</f>
        <v/>
      </c>
      <c r="C243" s="120">
        <f>SUMIFS(tblDonem[KDV Tutarı (₺)],tblDonem[Dönem],$A243)-SUMIFS(tblDonem[KDV Yüklenimi (₺)],tblDonem[Dönem],$A243)</f>
        <v/>
      </c>
      <c r="D243" s="120">
        <f>SUMIFS(tblDonem[Vergi Karşılığı (₺)],tblDonem[Dönem],$A243)</f>
        <v/>
      </c>
      <c r="E243" s="120">
        <f>$C243+$D243</f>
        <v/>
      </c>
      <c r="F243" s="120">
        <f>IF($B243=0,0,$E243/$B243)</f>
        <v/>
      </c>
    </row>
    <row r="244" ht="15" customHeight="1" s="68">
      <c r="A244" s="114" t="n"/>
      <c r="B244" s="120">
        <f>SUMIFS(tblDonem[Gelir (₺)],tblDonem[Dönem],$A244)</f>
        <v/>
      </c>
      <c r="C244" s="120">
        <f>SUMIFS(tblDonem[KDV Tutarı (₺)],tblDonem[Dönem],$A244)-SUMIFS(tblDonem[KDV Yüklenimi (₺)],tblDonem[Dönem],$A244)</f>
        <v/>
      </c>
      <c r="D244" s="120">
        <f>SUMIFS(tblDonem[Vergi Karşılığı (₺)],tblDonem[Dönem],$A244)</f>
        <v/>
      </c>
      <c r="E244" s="120">
        <f>$C244+$D244</f>
        <v/>
      </c>
      <c r="F244" s="120">
        <f>IF($B244=0,0,$E244/$B244)</f>
        <v/>
      </c>
    </row>
    <row r="245" ht="15" customHeight="1" s="68">
      <c r="A245" s="114" t="n"/>
      <c r="B245" s="120">
        <f>SUMIFS(tblDonem[Gelir (₺)],tblDonem[Dönem],$A245)</f>
        <v/>
      </c>
      <c r="C245" s="120">
        <f>SUMIFS(tblDonem[KDV Tutarı (₺)],tblDonem[Dönem],$A245)-SUMIFS(tblDonem[KDV Yüklenimi (₺)],tblDonem[Dönem],$A245)</f>
        <v/>
      </c>
      <c r="D245" s="120">
        <f>SUMIFS(tblDonem[Vergi Karşılığı (₺)],tblDonem[Dönem],$A245)</f>
        <v/>
      </c>
      <c r="E245" s="120">
        <f>$C245+$D245</f>
        <v/>
      </c>
      <c r="F245" s="120">
        <f>IF($B245=0,0,$E245/$B245)</f>
        <v/>
      </c>
    </row>
    <row r="246" ht="15" customHeight="1" s="68">
      <c r="A246" s="114" t="n"/>
      <c r="B246" s="120">
        <f>SUMIFS(tblDonem[Gelir (₺)],tblDonem[Dönem],$A246)</f>
        <v/>
      </c>
      <c r="C246" s="120">
        <f>SUMIFS(tblDonem[KDV Tutarı (₺)],tblDonem[Dönem],$A246)-SUMIFS(tblDonem[KDV Yüklenimi (₺)],tblDonem[Dönem],$A246)</f>
        <v/>
      </c>
      <c r="D246" s="120">
        <f>SUMIFS(tblDonem[Vergi Karşılığı (₺)],tblDonem[Dönem],$A246)</f>
        <v/>
      </c>
      <c r="E246" s="120">
        <f>$C246+$D246</f>
        <v/>
      </c>
      <c r="F246" s="120">
        <f>IF($B246=0,0,$E246/$B246)</f>
        <v/>
      </c>
    </row>
    <row r="247" ht="15" customHeight="1" s="68">
      <c r="A247" s="114" t="n"/>
      <c r="B247" s="120">
        <f>SUMIFS(tblDonem[Gelir (₺)],tblDonem[Dönem],$A247)</f>
        <v/>
      </c>
      <c r="C247" s="120">
        <f>SUMIFS(tblDonem[KDV Tutarı (₺)],tblDonem[Dönem],$A247)-SUMIFS(tblDonem[KDV Yüklenimi (₺)],tblDonem[Dönem],$A247)</f>
        <v/>
      </c>
      <c r="D247" s="120">
        <f>SUMIFS(tblDonem[Vergi Karşılığı (₺)],tblDonem[Dönem],$A247)</f>
        <v/>
      </c>
      <c r="E247" s="120">
        <f>$C247+$D247</f>
        <v/>
      </c>
      <c r="F247" s="120">
        <f>IF($B247=0,0,$E247/$B247)</f>
        <v/>
      </c>
    </row>
    <row r="248" ht="15" customHeight="1" s="68">
      <c r="A248" s="114" t="n"/>
      <c r="B248" s="120">
        <f>SUMIFS(tblDonem[Gelir (₺)],tblDonem[Dönem],$A248)</f>
        <v/>
      </c>
      <c r="C248" s="120">
        <f>SUMIFS(tblDonem[KDV Tutarı (₺)],tblDonem[Dönem],$A248)-SUMIFS(tblDonem[KDV Yüklenimi (₺)],tblDonem[Dönem],$A248)</f>
        <v/>
      </c>
      <c r="D248" s="120">
        <f>SUMIFS(tblDonem[Vergi Karşılığı (₺)],tblDonem[Dönem],$A248)</f>
        <v/>
      </c>
      <c r="E248" s="120">
        <f>$C248+$D248</f>
        <v/>
      </c>
      <c r="F248" s="120">
        <f>IF($B248=0,0,$E248/$B248)</f>
        <v/>
      </c>
    </row>
    <row r="249" ht="15" customHeight="1" s="68">
      <c r="A249" s="114" t="n"/>
      <c r="B249" s="120">
        <f>SUMIFS(tblDonem[Gelir (₺)],tblDonem[Dönem],$A249)</f>
        <v/>
      </c>
      <c r="C249" s="120">
        <f>SUMIFS(tblDonem[KDV Tutarı (₺)],tblDonem[Dönem],$A249)-SUMIFS(tblDonem[KDV Yüklenimi (₺)],tblDonem[Dönem],$A249)</f>
        <v/>
      </c>
      <c r="D249" s="120">
        <f>SUMIFS(tblDonem[Vergi Karşılığı (₺)],tblDonem[Dönem],$A249)</f>
        <v/>
      </c>
      <c r="E249" s="120">
        <f>$C249+$D249</f>
        <v/>
      </c>
      <c r="F249" s="120">
        <f>IF($B249=0,0,$E249/$B249)</f>
        <v/>
      </c>
    </row>
    <row r="250" ht="15" customHeight="1" s="68">
      <c r="A250" s="114" t="n"/>
      <c r="B250" s="120">
        <f>SUMIFS(tblDonem[Gelir (₺)],tblDonem[Dönem],$A250)</f>
        <v/>
      </c>
      <c r="C250" s="120">
        <f>SUMIFS(tblDonem[KDV Tutarı (₺)],tblDonem[Dönem],$A250)-SUMIFS(tblDonem[KDV Yüklenimi (₺)],tblDonem[Dönem],$A250)</f>
        <v/>
      </c>
      <c r="D250" s="120">
        <f>SUMIFS(tblDonem[Vergi Karşılığı (₺)],tblDonem[Dönem],$A250)</f>
        <v/>
      </c>
      <c r="E250" s="120">
        <f>$C250+$D250</f>
        <v/>
      </c>
      <c r="F250" s="120">
        <f>IF($B250=0,0,$E250/$B250)</f>
        <v/>
      </c>
    </row>
    <row r="251" ht="15" customHeight="1" s="68">
      <c r="A251" s="114" t="n"/>
      <c r="B251" s="120">
        <f>SUMIFS(tblDonem[Gelir (₺)],tblDonem[Dönem],$A251)</f>
        <v/>
      </c>
      <c r="C251" s="120">
        <f>SUMIFS(tblDonem[KDV Tutarı (₺)],tblDonem[Dönem],$A251)-SUMIFS(tblDonem[KDV Yüklenimi (₺)],tblDonem[Dönem],$A251)</f>
        <v/>
      </c>
      <c r="D251" s="120">
        <f>SUMIFS(tblDonem[Vergi Karşılığı (₺)],tblDonem[Dönem],$A251)</f>
        <v/>
      </c>
      <c r="E251" s="120">
        <f>$C251+$D251</f>
        <v/>
      </c>
      <c r="F251" s="120">
        <f>IF($B251=0,0,$E251/$B251)</f>
        <v/>
      </c>
    </row>
    <row r="252" ht="15" customHeight="1" s="68">
      <c r="A252" s="114" t="n"/>
      <c r="B252" s="120">
        <f>SUMIFS(tblDonem[Gelir (₺)],tblDonem[Dönem],$A252)</f>
        <v/>
      </c>
      <c r="C252" s="120">
        <f>SUMIFS(tblDonem[KDV Tutarı (₺)],tblDonem[Dönem],$A252)-SUMIFS(tblDonem[KDV Yüklenimi (₺)],tblDonem[Dönem],$A252)</f>
        <v/>
      </c>
      <c r="D252" s="120">
        <f>SUMIFS(tblDonem[Vergi Karşılığı (₺)],tblDonem[Dönem],$A252)</f>
        <v/>
      </c>
      <c r="E252" s="120">
        <f>$C252+$D252</f>
        <v/>
      </c>
      <c r="F252" s="120">
        <f>IF($B252=0,0,$E252/$B252)</f>
        <v/>
      </c>
    </row>
    <row r="253" ht="15" customHeight="1" s="68">
      <c r="A253" s="114" t="n"/>
      <c r="B253" s="120">
        <f>SUMIFS(tblDonem[Gelir (₺)],tblDonem[Dönem],$A253)</f>
        <v/>
      </c>
      <c r="C253" s="120">
        <f>SUMIFS(tblDonem[KDV Tutarı (₺)],tblDonem[Dönem],$A253)-SUMIFS(tblDonem[KDV Yüklenimi (₺)],tblDonem[Dönem],$A253)</f>
        <v/>
      </c>
      <c r="D253" s="120">
        <f>SUMIFS(tblDonem[Vergi Karşılığı (₺)],tblDonem[Dönem],$A253)</f>
        <v/>
      </c>
      <c r="E253" s="120">
        <f>$C253+$D253</f>
        <v/>
      </c>
      <c r="F253" s="120">
        <f>IF($B253=0,0,$E253/$B253)</f>
        <v/>
      </c>
    </row>
    <row r="254" ht="15" customHeight="1" s="68">
      <c r="A254" s="114" t="n"/>
      <c r="B254" s="120">
        <f>SUMIFS(tblDonem[Gelir (₺)],tblDonem[Dönem],$A254)</f>
        <v/>
      </c>
      <c r="C254" s="120">
        <f>SUMIFS(tblDonem[KDV Tutarı (₺)],tblDonem[Dönem],$A254)-SUMIFS(tblDonem[KDV Yüklenimi (₺)],tblDonem[Dönem],$A254)</f>
        <v/>
      </c>
      <c r="D254" s="120">
        <f>SUMIFS(tblDonem[Vergi Karşılığı (₺)],tblDonem[Dönem],$A254)</f>
        <v/>
      </c>
      <c r="E254" s="120">
        <f>$C254+$D254</f>
        <v/>
      </c>
      <c r="F254" s="120">
        <f>IF($B254=0,0,$E254/$B254)</f>
        <v/>
      </c>
    </row>
    <row r="255" ht="15" customHeight="1" s="68">
      <c r="A255" s="114" t="n"/>
      <c r="B255" s="120">
        <f>SUMIFS(tblDonem[Gelir (₺)],tblDonem[Dönem],$A255)</f>
        <v/>
      </c>
      <c r="C255" s="120">
        <f>SUMIFS(tblDonem[KDV Tutarı (₺)],tblDonem[Dönem],$A255)-SUMIFS(tblDonem[KDV Yüklenimi (₺)],tblDonem[Dönem],$A255)</f>
        <v/>
      </c>
      <c r="D255" s="120">
        <f>SUMIFS(tblDonem[Vergi Karşılığı (₺)],tblDonem[Dönem],$A255)</f>
        <v/>
      </c>
      <c r="E255" s="120">
        <f>$C255+$D255</f>
        <v/>
      </c>
      <c r="F255" s="120">
        <f>IF($B255=0,0,$E255/$B255)</f>
        <v/>
      </c>
    </row>
    <row r="256" ht="15" customHeight="1" s="68">
      <c r="A256" s="114" t="n"/>
      <c r="B256" s="120">
        <f>SUMIFS(tblDonem[Gelir (₺)],tblDonem[Dönem],$A256)</f>
        <v/>
      </c>
      <c r="C256" s="120">
        <f>SUMIFS(tblDonem[KDV Tutarı (₺)],tblDonem[Dönem],$A256)-SUMIFS(tblDonem[KDV Yüklenimi (₺)],tblDonem[Dönem],$A256)</f>
        <v/>
      </c>
      <c r="D256" s="120">
        <f>SUMIFS(tblDonem[Vergi Karşılığı (₺)],tblDonem[Dönem],$A256)</f>
        <v/>
      </c>
      <c r="E256" s="120">
        <f>$C256+$D256</f>
        <v/>
      </c>
      <c r="F256" s="120">
        <f>IF($B256=0,0,$E256/$B256)</f>
        <v/>
      </c>
    </row>
    <row r="257" ht="15" customHeight="1" s="68">
      <c r="A257" s="114" t="n"/>
      <c r="B257" s="120">
        <f>SUMIFS(tblDonem[Gelir (₺)],tblDonem[Dönem],$A257)</f>
        <v/>
      </c>
      <c r="C257" s="120">
        <f>SUMIFS(tblDonem[KDV Tutarı (₺)],tblDonem[Dönem],$A257)-SUMIFS(tblDonem[KDV Yüklenimi (₺)],tblDonem[Dönem],$A257)</f>
        <v/>
      </c>
      <c r="D257" s="120">
        <f>SUMIFS(tblDonem[Vergi Karşılığı (₺)],tblDonem[Dönem],$A257)</f>
        <v/>
      </c>
      <c r="E257" s="120">
        <f>$C257+$D257</f>
        <v/>
      </c>
      <c r="F257" s="120">
        <f>IF($B257=0,0,$E257/$B257)</f>
        <v/>
      </c>
    </row>
    <row r="258" ht="15" customHeight="1" s="68">
      <c r="A258" s="114" t="n"/>
      <c r="B258" s="120">
        <f>SUMIFS(tblDonem[Gelir (₺)],tblDonem[Dönem],$A258)</f>
        <v/>
      </c>
      <c r="C258" s="120">
        <f>SUMIFS(tblDonem[KDV Tutarı (₺)],tblDonem[Dönem],$A258)-SUMIFS(tblDonem[KDV Yüklenimi (₺)],tblDonem[Dönem],$A258)</f>
        <v/>
      </c>
      <c r="D258" s="120">
        <f>SUMIFS(tblDonem[Vergi Karşılığı (₺)],tblDonem[Dönem],$A258)</f>
        <v/>
      </c>
      <c r="E258" s="120">
        <f>$C258+$D258</f>
        <v/>
      </c>
      <c r="F258" s="120">
        <f>IF($B258=0,0,$E258/$B258)</f>
        <v/>
      </c>
    </row>
    <row r="259" ht="15" customHeight="1" s="68">
      <c r="A259" s="114" t="n"/>
      <c r="B259" s="120">
        <f>SUMIFS(tblDonem[Gelir (₺)],tblDonem[Dönem],$A259)</f>
        <v/>
      </c>
      <c r="C259" s="120">
        <f>SUMIFS(tblDonem[KDV Tutarı (₺)],tblDonem[Dönem],$A259)-SUMIFS(tblDonem[KDV Yüklenimi (₺)],tblDonem[Dönem],$A259)</f>
        <v/>
      </c>
      <c r="D259" s="120">
        <f>SUMIFS(tblDonem[Vergi Karşılığı (₺)],tblDonem[Dönem],$A259)</f>
        <v/>
      </c>
      <c r="E259" s="120">
        <f>$C259+$D259</f>
        <v/>
      </c>
      <c r="F259" s="120">
        <f>IF($B259=0,0,$E259/$B259)</f>
        <v/>
      </c>
    </row>
    <row r="260" ht="15" customHeight="1" s="68">
      <c r="A260" s="114" t="n"/>
      <c r="B260" s="120">
        <f>SUMIFS(tblDonem[Gelir (₺)],tblDonem[Dönem],$A260)</f>
        <v/>
      </c>
      <c r="C260" s="120">
        <f>SUMIFS(tblDonem[KDV Tutarı (₺)],tblDonem[Dönem],$A260)-SUMIFS(tblDonem[KDV Yüklenimi (₺)],tblDonem[Dönem],$A260)</f>
        <v/>
      </c>
      <c r="D260" s="120">
        <f>SUMIFS(tblDonem[Vergi Karşılığı (₺)],tblDonem[Dönem],$A260)</f>
        <v/>
      </c>
      <c r="E260" s="120">
        <f>$C260+$D260</f>
        <v/>
      </c>
      <c r="F260" s="120">
        <f>IF($B260=0,0,$E260/$B260)</f>
        <v/>
      </c>
    </row>
    <row r="261" ht="15" customHeight="1" s="68">
      <c r="A261" s="114" t="n"/>
      <c r="B261" s="120">
        <f>SUMIFS(tblDonem[Gelir (₺)],tblDonem[Dönem],$A261)</f>
        <v/>
      </c>
      <c r="C261" s="120">
        <f>SUMIFS(tblDonem[KDV Tutarı (₺)],tblDonem[Dönem],$A261)-SUMIFS(tblDonem[KDV Yüklenimi (₺)],tblDonem[Dönem],$A261)</f>
        <v/>
      </c>
      <c r="D261" s="120">
        <f>SUMIFS(tblDonem[Vergi Karşılığı (₺)],tblDonem[Dönem],$A261)</f>
        <v/>
      </c>
      <c r="E261" s="120">
        <f>$C261+$D261</f>
        <v/>
      </c>
      <c r="F261" s="120">
        <f>IF($B261=0,0,$E261/$B261)</f>
        <v/>
      </c>
    </row>
    <row r="262" ht="15" customHeight="1" s="68">
      <c r="A262" s="114" t="n"/>
      <c r="B262" s="120">
        <f>SUMIFS(tblDonem[Gelir (₺)],tblDonem[Dönem],$A262)</f>
        <v/>
      </c>
      <c r="C262" s="120">
        <f>SUMIFS(tblDonem[KDV Tutarı (₺)],tblDonem[Dönem],$A262)-SUMIFS(tblDonem[KDV Yüklenimi (₺)],tblDonem[Dönem],$A262)</f>
        <v/>
      </c>
      <c r="D262" s="120">
        <f>SUMIFS(tblDonem[Vergi Karşılığı (₺)],tblDonem[Dönem],$A262)</f>
        <v/>
      </c>
      <c r="E262" s="120">
        <f>$C262+$D262</f>
        <v/>
      </c>
      <c r="F262" s="120">
        <f>IF($B262=0,0,$E262/$B262)</f>
        <v/>
      </c>
    </row>
    <row r="263" ht="15" customHeight="1" s="68">
      <c r="A263" s="114" t="n"/>
      <c r="B263" s="120">
        <f>SUMIFS(tblDonem[Gelir (₺)],tblDonem[Dönem],$A263)</f>
        <v/>
      </c>
      <c r="C263" s="120">
        <f>SUMIFS(tblDonem[KDV Tutarı (₺)],tblDonem[Dönem],$A263)-SUMIFS(tblDonem[KDV Yüklenimi (₺)],tblDonem[Dönem],$A263)</f>
        <v/>
      </c>
      <c r="D263" s="120">
        <f>SUMIFS(tblDonem[Vergi Karşılığı (₺)],tblDonem[Dönem],$A263)</f>
        <v/>
      </c>
      <c r="E263" s="120">
        <f>$C263+$D263</f>
        <v/>
      </c>
      <c r="F263" s="120">
        <f>IF($B263=0,0,$E263/$B263)</f>
        <v/>
      </c>
    </row>
    <row r="264" ht="15" customHeight="1" s="68">
      <c r="A264" s="114" t="n"/>
      <c r="B264" s="120">
        <f>SUMIFS(tblDonem[Gelir (₺)],tblDonem[Dönem],$A264)</f>
        <v/>
      </c>
      <c r="C264" s="120">
        <f>SUMIFS(tblDonem[KDV Tutarı (₺)],tblDonem[Dönem],$A264)-SUMIFS(tblDonem[KDV Yüklenimi (₺)],tblDonem[Dönem],$A264)</f>
        <v/>
      </c>
      <c r="D264" s="120">
        <f>SUMIFS(tblDonem[Vergi Karşılığı (₺)],tblDonem[Dönem],$A264)</f>
        <v/>
      </c>
      <c r="E264" s="120">
        <f>$C264+$D264</f>
        <v/>
      </c>
      <c r="F264" s="120">
        <f>IF($B264=0,0,$E264/$B264)</f>
        <v/>
      </c>
    </row>
    <row r="265" ht="15" customHeight="1" s="68">
      <c r="A265" s="114" t="n"/>
      <c r="B265" s="120">
        <f>SUMIFS(tblDonem[Gelir (₺)],tblDonem[Dönem],$A265)</f>
        <v/>
      </c>
      <c r="C265" s="120">
        <f>SUMIFS(tblDonem[KDV Tutarı (₺)],tblDonem[Dönem],$A265)-SUMIFS(tblDonem[KDV Yüklenimi (₺)],tblDonem[Dönem],$A265)</f>
        <v/>
      </c>
      <c r="D265" s="120">
        <f>SUMIFS(tblDonem[Vergi Karşılığı (₺)],tblDonem[Dönem],$A265)</f>
        <v/>
      </c>
      <c r="E265" s="120">
        <f>$C265+$D265</f>
        <v/>
      </c>
      <c r="F265" s="120">
        <f>IF($B265=0,0,$E265/$B265)</f>
        <v/>
      </c>
    </row>
    <row r="266" ht="15" customHeight="1" s="68">
      <c r="A266" s="114" t="n"/>
      <c r="B266" s="120">
        <f>SUMIFS(tblDonem[Gelir (₺)],tblDonem[Dönem],$A266)</f>
        <v/>
      </c>
      <c r="C266" s="120">
        <f>SUMIFS(tblDonem[KDV Tutarı (₺)],tblDonem[Dönem],$A266)-SUMIFS(tblDonem[KDV Yüklenimi (₺)],tblDonem[Dönem],$A266)</f>
        <v/>
      </c>
      <c r="D266" s="120">
        <f>SUMIFS(tblDonem[Vergi Karşılığı (₺)],tblDonem[Dönem],$A266)</f>
        <v/>
      </c>
      <c r="E266" s="120">
        <f>$C266+$D266</f>
        <v/>
      </c>
      <c r="F266" s="120">
        <f>IF($B266=0,0,$E266/$B266)</f>
        <v/>
      </c>
    </row>
    <row r="267" ht="15" customHeight="1" s="68">
      <c r="A267" s="114" t="n"/>
      <c r="B267" s="120">
        <f>SUMIFS(tblDonem[Gelir (₺)],tblDonem[Dönem],$A267)</f>
        <v/>
      </c>
      <c r="C267" s="120">
        <f>SUMIFS(tblDonem[KDV Tutarı (₺)],tblDonem[Dönem],$A267)-SUMIFS(tblDonem[KDV Yüklenimi (₺)],tblDonem[Dönem],$A267)</f>
        <v/>
      </c>
      <c r="D267" s="120">
        <f>SUMIFS(tblDonem[Vergi Karşılığı (₺)],tblDonem[Dönem],$A267)</f>
        <v/>
      </c>
      <c r="E267" s="120">
        <f>$C267+$D267</f>
        <v/>
      </c>
      <c r="F267" s="120">
        <f>IF($B267=0,0,$E267/$B267)</f>
        <v/>
      </c>
    </row>
    <row r="268" ht="15" customHeight="1" s="68">
      <c r="A268" s="114" t="n"/>
      <c r="B268" s="120">
        <f>SUMIFS(tblDonem[Gelir (₺)],tblDonem[Dönem],$A268)</f>
        <v/>
      </c>
      <c r="C268" s="120">
        <f>SUMIFS(tblDonem[KDV Tutarı (₺)],tblDonem[Dönem],$A268)-SUMIFS(tblDonem[KDV Yüklenimi (₺)],tblDonem[Dönem],$A268)</f>
        <v/>
      </c>
      <c r="D268" s="120">
        <f>SUMIFS(tblDonem[Vergi Karşılığı (₺)],tblDonem[Dönem],$A268)</f>
        <v/>
      </c>
      <c r="E268" s="120">
        <f>$C268+$D268</f>
        <v/>
      </c>
      <c r="F268" s="120">
        <f>IF($B268=0,0,$E268/$B268)</f>
        <v/>
      </c>
    </row>
    <row r="269" ht="15" customHeight="1" s="68">
      <c r="A269" s="114" t="n"/>
      <c r="B269" s="120">
        <f>SUMIFS(tblDonem[Gelir (₺)],tblDonem[Dönem],$A269)</f>
        <v/>
      </c>
      <c r="C269" s="120">
        <f>SUMIFS(tblDonem[KDV Tutarı (₺)],tblDonem[Dönem],$A269)-SUMIFS(tblDonem[KDV Yüklenimi (₺)],tblDonem[Dönem],$A269)</f>
        <v/>
      </c>
      <c r="D269" s="120">
        <f>SUMIFS(tblDonem[Vergi Karşılığı (₺)],tblDonem[Dönem],$A269)</f>
        <v/>
      </c>
      <c r="E269" s="120">
        <f>$C269+$D269</f>
        <v/>
      </c>
      <c r="F269" s="120">
        <f>IF($B269=0,0,$E269/$B269)</f>
        <v/>
      </c>
    </row>
    <row r="270" ht="15" customHeight="1" s="68">
      <c r="A270" s="114" t="n"/>
      <c r="B270" s="120">
        <f>SUMIFS(tblDonem[Gelir (₺)],tblDonem[Dönem],$A270)</f>
        <v/>
      </c>
      <c r="C270" s="120">
        <f>SUMIFS(tblDonem[KDV Tutarı (₺)],tblDonem[Dönem],$A270)-SUMIFS(tblDonem[KDV Yüklenimi (₺)],tblDonem[Dönem],$A270)</f>
        <v/>
      </c>
      <c r="D270" s="120">
        <f>SUMIFS(tblDonem[Vergi Karşılığı (₺)],tblDonem[Dönem],$A270)</f>
        <v/>
      </c>
      <c r="E270" s="120">
        <f>$C270+$D270</f>
        <v/>
      </c>
      <c r="F270" s="120">
        <f>IF($B270=0,0,$E270/$B270)</f>
        <v/>
      </c>
    </row>
    <row r="271" ht="15" customHeight="1" s="68">
      <c r="A271" s="114" t="n"/>
      <c r="B271" s="120">
        <f>SUMIFS(tblDonem[Gelir (₺)],tblDonem[Dönem],$A271)</f>
        <v/>
      </c>
      <c r="C271" s="120">
        <f>SUMIFS(tblDonem[KDV Tutarı (₺)],tblDonem[Dönem],$A271)-SUMIFS(tblDonem[KDV Yüklenimi (₺)],tblDonem[Dönem],$A271)</f>
        <v/>
      </c>
      <c r="D271" s="120">
        <f>SUMIFS(tblDonem[Vergi Karşılığı (₺)],tblDonem[Dönem],$A271)</f>
        <v/>
      </c>
      <c r="E271" s="120">
        <f>$C271+$D271</f>
        <v/>
      </c>
      <c r="F271" s="120">
        <f>IF($B271=0,0,$E271/$B271)</f>
        <v/>
      </c>
    </row>
    <row r="272" ht="15" customHeight="1" s="68">
      <c r="A272" s="114" t="n"/>
      <c r="B272" s="120">
        <f>SUMIFS(tblDonem[Gelir (₺)],tblDonem[Dönem],$A272)</f>
        <v/>
      </c>
      <c r="C272" s="120">
        <f>SUMIFS(tblDonem[KDV Tutarı (₺)],tblDonem[Dönem],$A272)-SUMIFS(tblDonem[KDV Yüklenimi (₺)],tblDonem[Dönem],$A272)</f>
        <v/>
      </c>
      <c r="D272" s="120">
        <f>SUMIFS(tblDonem[Vergi Karşılığı (₺)],tblDonem[Dönem],$A272)</f>
        <v/>
      </c>
      <c r="E272" s="120">
        <f>$C272+$D272</f>
        <v/>
      </c>
      <c r="F272" s="120">
        <f>IF($B272=0,0,$E272/$B272)</f>
        <v/>
      </c>
    </row>
    <row r="273" ht="15" customHeight="1" s="68">
      <c r="A273" s="114" t="n"/>
      <c r="B273" s="120">
        <f>SUMIFS(tblDonem[Gelir (₺)],tblDonem[Dönem],$A273)</f>
        <v/>
      </c>
      <c r="C273" s="120">
        <f>SUMIFS(tblDonem[KDV Tutarı (₺)],tblDonem[Dönem],$A273)-SUMIFS(tblDonem[KDV Yüklenimi (₺)],tblDonem[Dönem],$A273)</f>
        <v/>
      </c>
      <c r="D273" s="120">
        <f>SUMIFS(tblDonem[Vergi Karşılığı (₺)],tblDonem[Dönem],$A273)</f>
        <v/>
      </c>
      <c r="E273" s="120">
        <f>$C273+$D273</f>
        <v/>
      </c>
      <c r="F273" s="120">
        <f>IF($B273=0,0,$E273/$B273)</f>
        <v/>
      </c>
    </row>
    <row r="274" ht="15" customHeight="1" s="68">
      <c r="A274" s="114" t="n"/>
      <c r="B274" s="120">
        <f>SUMIFS(tblDonem[Gelir (₺)],tblDonem[Dönem],$A274)</f>
        <v/>
      </c>
      <c r="C274" s="120">
        <f>SUMIFS(tblDonem[KDV Tutarı (₺)],tblDonem[Dönem],$A274)-SUMIFS(tblDonem[KDV Yüklenimi (₺)],tblDonem[Dönem],$A274)</f>
        <v/>
      </c>
      <c r="D274" s="120">
        <f>SUMIFS(tblDonem[Vergi Karşılığı (₺)],tblDonem[Dönem],$A274)</f>
        <v/>
      </c>
      <c r="E274" s="120">
        <f>$C274+$D274</f>
        <v/>
      </c>
      <c r="F274" s="120">
        <f>IF($B274=0,0,$E274/$B274)</f>
        <v/>
      </c>
    </row>
    <row r="275" ht="15" customHeight="1" s="68">
      <c r="A275" s="114" t="n"/>
      <c r="B275" s="120">
        <f>SUMIFS(tblDonem[Gelir (₺)],tblDonem[Dönem],$A275)</f>
        <v/>
      </c>
      <c r="C275" s="120">
        <f>SUMIFS(tblDonem[KDV Tutarı (₺)],tblDonem[Dönem],$A275)-SUMIFS(tblDonem[KDV Yüklenimi (₺)],tblDonem[Dönem],$A275)</f>
        <v/>
      </c>
      <c r="D275" s="120">
        <f>SUMIFS(tblDonem[Vergi Karşılığı (₺)],tblDonem[Dönem],$A275)</f>
        <v/>
      </c>
      <c r="E275" s="120">
        <f>$C275+$D275</f>
        <v/>
      </c>
      <c r="F275" s="120">
        <f>IF($B275=0,0,$E275/$B275)</f>
        <v/>
      </c>
    </row>
    <row r="276" ht="15" customHeight="1" s="68">
      <c r="A276" s="114" t="n"/>
      <c r="B276" s="120">
        <f>SUMIFS(tblDonem[Gelir (₺)],tblDonem[Dönem],$A276)</f>
        <v/>
      </c>
      <c r="C276" s="120">
        <f>SUMIFS(tblDonem[KDV Tutarı (₺)],tblDonem[Dönem],$A276)-SUMIFS(tblDonem[KDV Yüklenimi (₺)],tblDonem[Dönem],$A276)</f>
        <v/>
      </c>
      <c r="D276" s="120">
        <f>SUMIFS(tblDonem[Vergi Karşılığı (₺)],tblDonem[Dönem],$A276)</f>
        <v/>
      </c>
      <c r="E276" s="120">
        <f>$C276+$D276</f>
        <v/>
      </c>
      <c r="F276" s="120">
        <f>IF($B276=0,0,$E276/$B276)</f>
        <v/>
      </c>
    </row>
    <row r="277" ht="15" customHeight="1" s="68">
      <c r="A277" s="114" t="n"/>
      <c r="B277" s="120">
        <f>SUMIFS(tblDonem[Gelir (₺)],tblDonem[Dönem],$A277)</f>
        <v/>
      </c>
      <c r="C277" s="120">
        <f>SUMIFS(tblDonem[KDV Tutarı (₺)],tblDonem[Dönem],$A277)-SUMIFS(tblDonem[KDV Yüklenimi (₺)],tblDonem[Dönem],$A277)</f>
        <v/>
      </c>
      <c r="D277" s="120">
        <f>SUMIFS(tblDonem[Vergi Karşılığı (₺)],tblDonem[Dönem],$A277)</f>
        <v/>
      </c>
      <c r="E277" s="120">
        <f>$C277+$D277</f>
        <v/>
      </c>
      <c r="F277" s="120">
        <f>IF($B277=0,0,$E277/$B277)</f>
        <v/>
      </c>
    </row>
    <row r="278" ht="15" customHeight="1" s="68">
      <c r="A278" s="114" t="n"/>
      <c r="B278" s="120">
        <f>SUMIFS(tblDonem[Gelir (₺)],tblDonem[Dönem],$A278)</f>
        <v/>
      </c>
      <c r="C278" s="120">
        <f>SUMIFS(tblDonem[KDV Tutarı (₺)],tblDonem[Dönem],$A278)-SUMIFS(tblDonem[KDV Yüklenimi (₺)],tblDonem[Dönem],$A278)</f>
        <v/>
      </c>
      <c r="D278" s="120">
        <f>SUMIFS(tblDonem[Vergi Karşılığı (₺)],tblDonem[Dönem],$A278)</f>
        <v/>
      </c>
      <c r="E278" s="120">
        <f>$C278+$D278</f>
        <v/>
      </c>
      <c r="F278" s="120">
        <f>IF($B278=0,0,$E278/$B278)</f>
        <v/>
      </c>
    </row>
    <row r="279" ht="15" customHeight="1" s="68">
      <c r="A279" s="114" t="n"/>
      <c r="B279" s="120">
        <f>SUMIFS(tblDonem[Gelir (₺)],tblDonem[Dönem],$A279)</f>
        <v/>
      </c>
      <c r="C279" s="120">
        <f>SUMIFS(tblDonem[KDV Tutarı (₺)],tblDonem[Dönem],$A279)-SUMIFS(tblDonem[KDV Yüklenimi (₺)],tblDonem[Dönem],$A279)</f>
        <v/>
      </c>
      <c r="D279" s="120">
        <f>SUMIFS(tblDonem[Vergi Karşılığı (₺)],tblDonem[Dönem],$A279)</f>
        <v/>
      </c>
      <c r="E279" s="120">
        <f>$C279+$D279</f>
        <v/>
      </c>
      <c r="F279" s="120">
        <f>IF($B279=0,0,$E279/$B279)</f>
        <v/>
      </c>
    </row>
    <row r="280" ht="15" customHeight="1" s="68">
      <c r="A280" s="114" t="n"/>
      <c r="B280" s="120">
        <f>SUMIFS(tblDonem[Gelir (₺)],tblDonem[Dönem],$A280)</f>
        <v/>
      </c>
      <c r="C280" s="120">
        <f>SUMIFS(tblDonem[KDV Tutarı (₺)],tblDonem[Dönem],$A280)-SUMIFS(tblDonem[KDV Yüklenimi (₺)],tblDonem[Dönem],$A280)</f>
        <v/>
      </c>
      <c r="D280" s="120">
        <f>SUMIFS(tblDonem[Vergi Karşılığı (₺)],tblDonem[Dönem],$A280)</f>
        <v/>
      </c>
      <c r="E280" s="120">
        <f>$C280+$D280</f>
        <v/>
      </c>
      <c r="F280" s="120">
        <f>IF($B280=0,0,$E280/$B280)</f>
        <v/>
      </c>
    </row>
    <row r="281" ht="15" customHeight="1" s="68">
      <c r="A281" s="114" t="n"/>
      <c r="B281" s="120">
        <f>SUMIFS(tblDonem[Gelir (₺)],tblDonem[Dönem],$A281)</f>
        <v/>
      </c>
      <c r="C281" s="120">
        <f>SUMIFS(tblDonem[KDV Tutarı (₺)],tblDonem[Dönem],$A281)-SUMIFS(tblDonem[KDV Yüklenimi (₺)],tblDonem[Dönem],$A281)</f>
        <v/>
      </c>
      <c r="D281" s="120">
        <f>SUMIFS(tblDonem[Vergi Karşılığı (₺)],tblDonem[Dönem],$A281)</f>
        <v/>
      </c>
      <c r="E281" s="120">
        <f>$C281+$D281</f>
        <v/>
      </c>
      <c r="F281" s="120">
        <f>IF($B281=0,0,$E281/$B281)</f>
        <v/>
      </c>
    </row>
    <row r="282" ht="15" customHeight="1" s="68">
      <c r="A282" s="114" t="n"/>
      <c r="B282" s="120">
        <f>SUMIFS(tblDonem[Gelir (₺)],tblDonem[Dönem],$A282)</f>
        <v/>
      </c>
      <c r="C282" s="120">
        <f>SUMIFS(tblDonem[KDV Tutarı (₺)],tblDonem[Dönem],$A282)-SUMIFS(tblDonem[KDV Yüklenimi (₺)],tblDonem[Dönem],$A282)</f>
        <v/>
      </c>
      <c r="D282" s="120">
        <f>SUMIFS(tblDonem[Vergi Karşılığı (₺)],tblDonem[Dönem],$A282)</f>
        <v/>
      </c>
      <c r="E282" s="120">
        <f>$C282+$D282</f>
        <v/>
      </c>
      <c r="F282" s="120">
        <f>IF($B282=0,0,$E282/$B282)</f>
        <v/>
      </c>
    </row>
    <row r="283" ht="15" customHeight="1" s="68">
      <c r="A283" s="114" t="n"/>
      <c r="B283" s="120">
        <f>SUMIFS(tblDonem[Gelir (₺)],tblDonem[Dönem],$A283)</f>
        <v/>
      </c>
      <c r="C283" s="120">
        <f>SUMIFS(tblDonem[KDV Tutarı (₺)],tblDonem[Dönem],$A283)-SUMIFS(tblDonem[KDV Yüklenimi (₺)],tblDonem[Dönem],$A283)</f>
        <v/>
      </c>
      <c r="D283" s="120">
        <f>SUMIFS(tblDonem[Vergi Karşılığı (₺)],tblDonem[Dönem],$A283)</f>
        <v/>
      </c>
      <c r="E283" s="120">
        <f>$C283+$D283</f>
        <v/>
      </c>
      <c r="F283" s="120">
        <f>IF($B283=0,0,$E283/$B283)</f>
        <v/>
      </c>
    </row>
    <row r="284" ht="15" customHeight="1" s="68">
      <c r="A284" s="114" t="n"/>
      <c r="B284" s="120">
        <f>SUMIFS(tblDonem[Gelir (₺)],tblDonem[Dönem],$A284)</f>
        <v/>
      </c>
      <c r="C284" s="120">
        <f>SUMIFS(tblDonem[KDV Tutarı (₺)],tblDonem[Dönem],$A284)-SUMIFS(tblDonem[KDV Yüklenimi (₺)],tblDonem[Dönem],$A284)</f>
        <v/>
      </c>
      <c r="D284" s="120">
        <f>SUMIFS(tblDonem[Vergi Karşılığı (₺)],tblDonem[Dönem],$A284)</f>
        <v/>
      </c>
      <c r="E284" s="120">
        <f>$C284+$D284</f>
        <v/>
      </c>
      <c r="F284" s="120">
        <f>IF($B284=0,0,$E284/$B284)</f>
        <v/>
      </c>
    </row>
    <row r="285" ht="15" customHeight="1" s="68">
      <c r="A285" s="114" t="n"/>
      <c r="B285" s="120">
        <f>SUMIFS(tblDonem[Gelir (₺)],tblDonem[Dönem],$A285)</f>
        <v/>
      </c>
      <c r="C285" s="120">
        <f>SUMIFS(tblDonem[KDV Tutarı (₺)],tblDonem[Dönem],$A285)-SUMIFS(tblDonem[KDV Yüklenimi (₺)],tblDonem[Dönem],$A285)</f>
        <v/>
      </c>
      <c r="D285" s="120">
        <f>SUMIFS(tblDonem[Vergi Karşılığı (₺)],tblDonem[Dönem],$A285)</f>
        <v/>
      </c>
      <c r="E285" s="120">
        <f>$C285+$D285</f>
        <v/>
      </c>
      <c r="F285" s="120">
        <f>IF($B285=0,0,$E285/$B285)</f>
        <v/>
      </c>
    </row>
    <row r="286" ht="15" customHeight="1" s="68">
      <c r="A286" s="114" t="n"/>
      <c r="B286" s="120">
        <f>SUMIFS(tblDonem[Gelir (₺)],tblDonem[Dönem],$A286)</f>
        <v/>
      </c>
      <c r="C286" s="120">
        <f>SUMIFS(tblDonem[KDV Tutarı (₺)],tblDonem[Dönem],$A286)-SUMIFS(tblDonem[KDV Yüklenimi (₺)],tblDonem[Dönem],$A286)</f>
        <v/>
      </c>
      <c r="D286" s="120">
        <f>SUMIFS(tblDonem[Vergi Karşılığı (₺)],tblDonem[Dönem],$A286)</f>
        <v/>
      </c>
      <c r="E286" s="120">
        <f>$C286+$D286</f>
        <v/>
      </c>
      <c r="F286" s="120">
        <f>IF($B286=0,0,$E286/$B286)</f>
        <v/>
      </c>
    </row>
    <row r="287" ht="15" customHeight="1" s="68">
      <c r="A287" s="114" t="n"/>
      <c r="B287" s="120">
        <f>SUMIFS(tblDonem[Gelir (₺)],tblDonem[Dönem],$A287)</f>
        <v/>
      </c>
      <c r="C287" s="120">
        <f>SUMIFS(tblDonem[KDV Tutarı (₺)],tblDonem[Dönem],$A287)-SUMIFS(tblDonem[KDV Yüklenimi (₺)],tblDonem[Dönem],$A287)</f>
        <v/>
      </c>
      <c r="D287" s="120">
        <f>SUMIFS(tblDonem[Vergi Karşılığı (₺)],tblDonem[Dönem],$A287)</f>
        <v/>
      </c>
      <c r="E287" s="120">
        <f>$C287+$D287</f>
        <v/>
      </c>
      <c r="F287" s="120">
        <f>IF($B287=0,0,$E287/$B287)</f>
        <v/>
      </c>
    </row>
    <row r="288" ht="15" customHeight="1" s="68">
      <c r="A288" s="114" t="n"/>
      <c r="B288" s="120">
        <f>SUMIFS(tblDonem[Gelir (₺)],tblDonem[Dönem],$A288)</f>
        <v/>
      </c>
      <c r="C288" s="120">
        <f>SUMIFS(tblDonem[KDV Tutarı (₺)],tblDonem[Dönem],$A288)-SUMIFS(tblDonem[KDV Yüklenimi (₺)],tblDonem[Dönem],$A288)</f>
        <v/>
      </c>
      <c r="D288" s="120">
        <f>SUMIFS(tblDonem[Vergi Karşılığı (₺)],tblDonem[Dönem],$A288)</f>
        <v/>
      </c>
      <c r="E288" s="120">
        <f>$C288+$D288</f>
        <v/>
      </c>
      <c r="F288" s="120">
        <f>IF($B288=0,0,$E288/$B288)</f>
        <v/>
      </c>
    </row>
    <row r="289" ht="15" customHeight="1" s="68">
      <c r="A289" s="114" t="n"/>
      <c r="B289" s="120">
        <f>SUMIFS(tblDonem[Gelir (₺)],tblDonem[Dönem],$A289)</f>
        <v/>
      </c>
      <c r="C289" s="120">
        <f>SUMIFS(tblDonem[KDV Tutarı (₺)],tblDonem[Dönem],$A289)-SUMIFS(tblDonem[KDV Yüklenimi (₺)],tblDonem[Dönem],$A289)</f>
        <v/>
      </c>
      <c r="D289" s="120">
        <f>SUMIFS(tblDonem[Vergi Karşılığı (₺)],tblDonem[Dönem],$A289)</f>
        <v/>
      </c>
      <c r="E289" s="120">
        <f>$C289+$D289</f>
        <v/>
      </c>
      <c r="F289" s="120">
        <f>IF($B289=0,0,$E289/$B289)</f>
        <v/>
      </c>
    </row>
    <row r="290" ht="15" customHeight="1" s="68">
      <c r="A290" s="114" t="n"/>
      <c r="B290" s="120">
        <f>SUMIFS(tblDonem[Gelir (₺)],tblDonem[Dönem],$A290)</f>
        <v/>
      </c>
      <c r="C290" s="120">
        <f>SUMIFS(tblDonem[KDV Tutarı (₺)],tblDonem[Dönem],$A290)-SUMIFS(tblDonem[KDV Yüklenimi (₺)],tblDonem[Dönem],$A290)</f>
        <v/>
      </c>
      <c r="D290" s="120">
        <f>SUMIFS(tblDonem[Vergi Karşılığı (₺)],tblDonem[Dönem],$A290)</f>
        <v/>
      </c>
      <c r="E290" s="120">
        <f>$C290+$D290</f>
        <v/>
      </c>
      <c r="F290" s="120">
        <f>IF($B290=0,0,$E290/$B290)</f>
        <v/>
      </c>
    </row>
    <row r="291" ht="15" customHeight="1" s="68">
      <c r="A291" s="114" t="n"/>
      <c r="B291" s="120">
        <f>SUMIFS(tblDonem[Gelir (₺)],tblDonem[Dönem],$A291)</f>
        <v/>
      </c>
      <c r="C291" s="120">
        <f>SUMIFS(tblDonem[KDV Tutarı (₺)],tblDonem[Dönem],$A291)-SUMIFS(tblDonem[KDV Yüklenimi (₺)],tblDonem[Dönem],$A291)</f>
        <v/>
      </c>
      <c r="D291" s="120">
        <f>SUMIFS(tblDonem[Vergi Karşılığı (₺)],tblDonem[Dönem],$A291)</f>
        <v/>
      </c>
      <c r="E291" s="120">
        <f>$C291+$D291</f>
        <v/>
      </c>
      <c r="F291" s="120">
        <f>IF($B291=0,0,$E291/$B291)</f>
        <v/>
      </c>
    </row>
    <row r="292" ht="15" customHeight="1" s="68">
      <c r="A292" s="114" t="n"/>
      <c r="B292" s="120">
        <f>SUMIFS(tblDonem[Gelir (₺)],tblDonem[Dönem],$A292)</f>
        <v/>
      </c>
      <c r="C292" s="120">
        <f>SUMIFS(tblDonem[KDV Tutarı (₺)],tblDonem[Dönem],$A292)-SUMIFS(tblDonem[KDV Yüklenimi (₺)],tblDonem[Dönem],$A292)</f>
        <v/>
      </c>
      <c r="D292" s="120">
        <f>SUMIFS(tblDonem[Vergi Karşılığı (₺)],tblDonem[Dönem],$A292)</f>
        <v/>
      </c>
      <c r="E292" s="120">
        <f>$C292+$D292</f>
        <v/>
      </c>
      <c r="F292" s="120">
        <f>IF($B292=0,0,$E292/$B292)</f>
        <v/>
      </c>
    </row>
    <row r="293" ht="15" customHeight="1" s="68">
      <c r="A293" s="114" t="n"/>
      <c r="B293" s="120">
        <f>SUMIFS(tblDonem[Gelir (₺)],tblDonem[Dönem],$A293)</f>
        <v/>
      </c>
      <c r="C293" s="120">
        <f>SUMIFS(tblDonem[KDV Tutarı (₺)],tblDonem[Dönem],$A293)-SUMIFS(tblDonem[KDV Yüklenimi (₺)],tblDonem[Dönem],$A293)</f>
        <v/>
      </c>
      <c r="D293" s="120">
        <f>SUMIFS(tblDonem[Vergi Karşılığı (₺)],tblDonem[Dönem],$A293)</f>
        <v/>
      </c>
      <c r="E293" s="120">
        <f>$C293+$D293</f>
        <v/>
      </c>
      <c r="F293" s="120">
        <f>IF($B293=0,0,$E293/$B293)</f>
        <v/>
      </c>
    </row>
    <row r="294" ht="15" customHeight="1" s="68">
      <c r="A294" s="114" t="n"/>
      <c r="B294" s="120">
        <f>SUMIFS(tblDonem[Gelir (₺)],tblDonem[Dönem],$A294)</f>
        <v/>
      </c>
      <c r="C294" s="120">
        <f>SUMIFS(tblDonem[KDV Tutarı (₺)],tblDonem[Dönem],$A294)-SUMIFS(tblDonem[KDV Yüklenimi (₺)],tblDonem[Dönem],$A294)</f>
        <v/>
      </c>
      <c r="D294" s="120">
        <f>SUMIFS(tblDonem[Vergi Karşılığı (₺)],tblDonem[Dönem],$A294)</f>
        <v/>
      </c>
      <c r="E294" s="120">
        <f>$C294+$D294</f>
        <v/>
      </c>
      <c r="F294" s="120">
        <f>IF($B294=0,0,$E294/$B294)</f>
        <v/>
      </c>
    </row>
    <row r="295" ht="15" customHeight="1" s="68">
      <c r="A295" s="114" t="n"/>
      <c r="B295" s="120">
        <f>SUMIFS(tblDonem[Gelir (₺)],tblDonem[Dönem],$A295)</f>
        <v/>
      </c>
      <c r="C295" s="120">
        <f>SUMIFS(tblDonem[KDV Tutarı (₺)],tblDonem[Dönem],$A295)-SUMIFS(tblDonem[KDV Yüklenimi (₺)],tblDonem[Dönem],$A295)</f>
        <v/>
      </c>
      <c r="D295" s="120">
        <f>SUMIFS(tblDonem[Vergi Karşılığı (₺)],tblDonem[Dönem],$A295)</f>
        <v/>
      </c>
      <c r="E295" s="120">
        <f>$C295+$D295</f>
        <v/>
      </c>
      <c r="F295" s="120">
        <f>IF($B295=0,0,$E295/$B295)</f>
        <v/>
      </c>
    </row>
    <row r="296" ht="15" customHeight="1" s="68">
      <c r="A296" s="114" t="n"/>
      <c r="B296" s="120">
        <f>SUMIFS(tblDonem[Gelir (₺)],tblDonem[Dönem],$A296)</f>
        <v/>
      </c>
      <c r="C296" s="120">
        <f>SUMIFS(tblDonem[KDV Tutarı (₺)],tblDonem[Dönem],$A296)-SUMIFS(tblDonem[KDV Yüklenimi (₺)],tblDonem[Dönem],$A296)</f>
        <v/>
      </c>
      <c r="D296" s="120">
        <f>SUMIFS(tblDonem[Vergi Karşılığı (₺)],tblDonem[Dönem],$A296)</f>
        <v/>
      </c>
      <c r="E296" s="120">
        <f>$C296+$D296</f>
        <v/>
      </c>
      <c r="F296" s="120">
        <f>IF($B296=0,0,$E296/$B296)</f>
        <v/>
      </c>
    </row>
    <row r="297" ht="15" customHeight="1" s="68">
      <c r="A297" s="114" t="n"/>
      <c r="B297" s="120">
        <f>SUMIFS(tblDonem[Gelir (₺)],tblDonem[Dönem],$A297)</f>
        <v/>
      </c>
      <c r="C297" s="120">
        <f>SUMIFS(tblDonem[KDV Tutarı (₺)],tblDonem[Dönem],$A297)-SUMIFS(tblDonem[KDV Yüklenimi (₺)],tblDonem[Dönem],$A297)</f>
        <v/>
      </c>
      <c r="D297" s="120">
        <f>SUMIFS(tblDonem[Vergi Karşılığı (₺)],tblDonem[Dönem],$A297)</f>
        <v/>
      </c>
      <c r="E297" s="120">
        <f>$C297+$D297</f>
        <v/>
      </c>
      <c r="F297" s="120">
        <f>IF($B297=0,0,$E297/$B297)</f>
        <v/>
      </c>
    </row>
    <row r="298" ht="15" customHeight="1" s="68">
      <c r="A298" s="114" t="n"/>
      <c r="B298" s="120">
        <f>SUMIFS(tblDonem[Gelir (₺)],tblDonem[Dönem],$A298)</f>
        <v/>
      </c>
      <c r="C298" s="120">
        <f>SUMIFS(tblDonem[KDV Tutarı (₺)],tblDonem[Dönem],$A298)-SUMIFS(tblDonem[KDV Yüklenimi (₺)],tblDonem[Dönem],$A298)</f>
        <v/>
      </c>
      <c r="D298" s="120">
        <f>SUMIFS(tblDonem[Vergi Karşılığı (₺)],tblDonem[Dönem],$A298)</f>
        <v/>
      </c>
      <c r="E298" s="120">
        <f>$C298+$D298</f>
        <v/>
      </c>
      <c r="F298" s="120">
        <f>IF($B298=0,0,$E298/$B298)</f>
        <v/>
      </c>
    </row>
    <row r="299" ht="15" customHeight="1" s="68">
      <c r="A299" s="114" t="n"/>
      <c r="B299" s="120">
        <f>SUMIFS(tblDonem[Gelir (₺)],tblDonem[Dönem],$A299)</f>
        <v/>
      </c>
      <c r="C299" s="120">
        <f>SUMIFS(tblDonem[KDV Tutarı (₺)],tblDonem[Dönem],$A299)-SUMIFS(tblDonem[KDV Yüklenimi (₺)],tblDonem[Dönem],$A299)</f>
        <v/>
      </c>
      <c r="D299" s="120">
        <f>SUMIFS(tblDonem[Vergi Karşılığı (₺)],tblDonem[Dönem],$A299)</f>
        <v/>
      </c>
      <c r="E299" s="120">
        <f>$C299+$D299</f>
        <v/>
      </c>
      <c r="F299" s="120">
        <f>IF($B299=0,0,$E299/$B299)</f>
        <v/>
      </c>
    </row>
    <row r="300" ht="15" customHeight="1" s="68">
      <c r="A300" s="114" t="n"/>
      <c r="B300" s="120">
        <f>SUMIFS(tblDonem[Gelir (₺)],tblDonem[Dönem],$A300)</f>
        <v/>
      </c>
      <c r="C300" s="120">
        <f>SUMIFS(tblDonem[KDV Tutarı (₺)],tblDonem[Dönem],$A300)-SUMIFS(tblDonem[KDV Yüklenimi (₺)],tblDonem[Dönem],$A300)</f>
        <v/>
      </c>
      <c r="D300" s="120">
        <f>SUMIFS(tblDonem[Vergi Karşılığı (₺)],tblDonem[Dönem],$A300)</f>
        <v/>
      </c>
      <c r="E300" s="120">
        <f>$C300+$D300</f>
        <v/>
      </c>
      <c r="F300" s="120">
        <f>IF($B300=0,0,$E300/$B300)</f>
        <v/>
      </c>
    </row>
    <row r="301" ht="15" customHeight="1" s="68">
      <c r="A301" s="114" t="n"/>
      <c r="B301" s="120">
        <f>SUMIFS(tblDonem[Gelir (₺)],tblDonem[Dönem],$A301)</f>
        <v/>
      </c>
      <c r="C301" s="120">
        <f>SUMIFS(tblDonem[KDV Tutarı (₺)],tblDonem[Dönem],$A301)-SUMIFS(tblDonem[KDV Yüklenimi (₺)],tblDonem[Dönem],$A301)</f>
        <v/>
      </c>
      <c r="D301" s="120">
        <f>SUMIFS(tblDonem[Vergi Karşılığı (₺)],tblDonem[Dönem],$A301)</f>
        <v/>
      </c>
      <c r="E301" s="120">
        <f>$C301+$D301</f>
        <v/>
      </c>
      <c r="F301" s="120">
        <f>IF($B301=0,0,$E301/$B301)</f>
        <v/>
      </c>
    </row>
    <row r="302" ht="15" customHeight="1" s="68">
      <c r="A302" s="114" t="n"/>
      <c r="B302" s="120">
        <f>SUMIFS(tblDonem[Gelir (₺)],tblDonem[Dönem],$A302)</f>
        <v/>
      </c>
      <c r="C302" s="120">
        <f>SUMIFS(tblDonem[KDV Tutarı (₺)],tblDonem[Dönem],$A302)-SUMIFS(tblDonem[KDV Yüklenimi (₺)],tblDonem[Dönem],$A302)</f>
        <v/>
      </c>
      <c r="D302" s="120">
        <f>SUMIFS(tblDonem[Vergi Karşılığı (₺)],tblDonem[Dönem],$A302)</f>
        <v/>
      </c>
      <c r="E302" s="120">
        <f>$C302+$D302</f>
        <v/>
      </c>
      <c r="F302" s="120">
        <f>IF($B302=0,0,$E302/$B302)</f>
        <v/>
      </c>
    </row>
    <row r="303" ht="15" customHeight="1" s="68">
      <c r="A303" s="114" t="n"/>
      <c r="B303" s="120">
        <f>SUMIFS(tblDonem[Gelir (₺)],tblDonem[Dönem],$A303)</f>
        <v/>
      </c>
      <c r="C303" s="120">
        <f>SUMIFS(tblDonem[KDV Tutarı (₺)],tblDonem[Dönem],$A303)-SUMIFS(tblDonem[KDV Yüklenimi (₺)],tblDonem[Dönem],$A303)</f>
        <v/>
      </c>
      <c r="D303" s="120">
        <f>SUMIFS(tblDonem[Vergi Karşılığı (₺)],tblDonem[Dönem],$A303)</f>
        <v/>
      </c>
      <c r="E303" s="120">
        <f>$C303+$D303</f>
        <v/>
      </c>
      <c r="F303" s="120">
        <f>IF($B303=0,0,$E303/$B303)</f>
        <v/>
      </c>
    </row>
    <row r="304" ht="15" customHeight="1" s="68">
      <c r="A304" s="114" t="n"/>
      <c r="B304" s="120">
        <f>SUMIFS(tblDonem[Gelir (₺)],tblDonem[Dönem],$A304)</f>
        <v/>
      </c>
      <c r="C304" s="120">
        <f>SUMIFS(tblDonem[KDV Tutarı (₺)],tblDonem[Dönem],$A304)-SUMIFS(tblDonem[KDV Yüklenimi (₺)],tblDonem[Dönem],$A304)</f>
        <v/>
      </c>
      <c r="D304" s="120">
        <f>SUMIFS(tblDonem[Vergi Karşılığı (₺)],tblDonem[Dönem],$A304)</f>
        <v/>
      </c>
      <c r="E304" s="120">
        <f>$C304+$D304</f>
        <v/>
      </c>
      <c r="F304" s="120">
        <f>IF($B304=0,0,$E304/$B304)</f>
        <v/>
      </c>
    </row>
    <row r="305" ht="15" customHeight="1" s="68">
      <c r="A305" s="114" t="n"/>
      <c r="B305" s="120">
        <f>SUMIFS(tblDonem[Gelir (₺)],tblDonem[Dönem],$A305)</f>
        <v/>
      </c>
      <c r="C305" s="120">
        <f>SUMIFS(tblDonem[KDV Tutarı (₺)],tblDonem[Dönem],$A305)-SUMIFS(tblDonem[KDV Yüklenimi (₺)],tblDonem[Dönem],$A305)</f>
        <v/>
      </c>
      <c r="D305" s="120">
        <f>SUMIFS(tblDonem[Vergi Karşılığı (₺)],tblDonem[Dönem],$A305)</f>
        <v/>
      </c>
      <c r="E305" s="120">
        <f>$C305+$D305</f>
        <v/>
      </c>
      <c r="F305" s="120">
        <f>IF($B305=0,0,$E305/$B305)</f>
        <v/>
      </c>
    </row>
    <row r="306" ht="15" customHeight="1" s="68">
      <c r="A306" s="114" t="n"/>
      <c r="B306" s="120">
        <f>SUMIFS(tblDonem[Gelir (₺)],tblDonem[Dönem],$A306)</f>
        <v/>
      </c>
      <c r="C306" s="120">
        <f>SUMIFS(tblDonem[KDV Tutarı (₺)],tblDonem[Dönem],$A306)-SUMIFS(tblDonem[KDV Yüklenimi (₺)],tblDonem[Dönem],$A306)</f>
        <v/>
      </c>
      <c r="D306" s="120">
        <f>SUMIFS(tblDonem[Vergi Karşılığı (₺)],tblDonem[Dönem],$A306)</f>
        <v/>
      </c>
      <c r="E306" s="120">
        <f>$C306+$D306</f>
        <v/>
      </c>
      <c r="F306" s="120">
        <f>IF($B306=0,0,$E306/$B306)</f>
        <v/>
      </c>
    </row>
    <row r="307" ht="15" customHeight="1" s="68">
      <c r="A307" s="114" t="n"/>
      <c r="B307" s="120">
        <f>SUMIFS(tblDonem[Gelir (₺)],tblDonem[Dönem],$A307)</f>
        <v/>
      </c>
      <c r="C307" s="120">
        <f>SUMIFS(tblDonem[KDV Tutarı (₺)],tblDonem[Dönem],$A307)-SUMIFS(tblDonem[KDV Yüklenimi (₺)],tblDonem[Dönem],$A307)</f>
        <v/>
      </c>
      <c r="D307" s="120">
        <f>SUMIFS(tblDonem[Vergi Karşılığı (₺)],tblDonem[Dönem],$A307)</f>
        <v/>
      </c>
      <c r="E307" s="120">
        <f>$C307+$D307</f>
        <v/>
      </c>
      <c r="F307" s="120">
        <f>IF($B307=0,0,$E307/$B307)</f>
        <v/>
      </c>
    </row>
    <row r="308" ht="15" customHeight="1" s="68">
      <c r="A308" s="114" t="n"/>
      <c r="B308" s="120">
        <f>SUMIFS(tblDonem[Gelir (₺)],tblDonem[Dönem],$A308)</f>
        <v/>
      </c>
      <c r="C308" s="120">
        <f>SUMIFS(tblDonem[KDV Tutarı (₺)],tblDonem[Dönem],$A308)-SUMIFS(tblDonem[KDV Yüklenimi (₺)],tblDonem[Dönem],$A308)</f>
        <v/>
      </c>
      <c r="D308" s="120">
        <f>SUMIFS(tblDonem[Vergi Karşılığı (₺)],tblDonem[Dönem],$A308)</f>
        <v/>
      </c>
      <c r="E308" s="120">
        <f>$C308+$D308</f>
        <v/>
      </c>
      <c r="F308" s="120">
        <f>IF($B308=0,0,$E308/$B308)</f>
        <v/>
      </c>
    </row>
    <row r="309" ht="15" customHeight="1" s="68">
      <c r="A309" s="114" t="n"/>
      <c r="B309" s="120">
        <f>SUMIFS(tblDonem[Gelir (₺)],tblDonem[Dönem],$A309)</f>
        <v/>
      </c>
      <c r="C309" s="120">
        <f>SUMIFS(tblDonem[KDV Tutarı (₺)],tblDonem[Dönem],$A309)-SUMIFS(tblDonem[KDV Yüklenimi (₺)],tblDonem[Dönem],$A309)</f>
        <v/>
      </c>
      <c r="D309" s="120">
        <f>SUMIFS(tblDonem[Vergi Karşılığı (₺)],tblDonem[Dönem],$A309)</f>
        <v/>
      </c>
      <c r="E309" s="120">
        <f>$C309+$D309</f>
        <v/>
      </c>
      <c r="F309" s="120">
        <f>IF($B309=0,0,$E309/$B309)</f>
        <v/>
      </c>
    </row>
    <row r="310" ht="15" customHeight="1" s="68">
      <c r="A310" s="114" t="n"/>
      <c r="B310" s="120">
        <f>SUMIFS(tblDonem[Gelir (₺)],tblDonem[Dönem],$A310)</f>
        <v/>
      </c>
      <c r="C310" s="120">
        <f>SUMIFS(tblDonem[KDV Tutarı (₺)],tblDonem[Dönem],$A310)-SUMIFS(tblDonem[KDV Yüklenimi (₺)],tblDonem[Dönem],$A310)</f>
        <v/>
      </c>
      <c r="D310" s="120">
        <f>SUMIFS(tblDonem[Vergi Karşılığı (₺)],tblDonem[Dönem],$A310)</f>
        <v/>
      </c>
      <c r="E310" s="120">
        <f>$C310+$D310</f>
        <v/>
      </c>
      <c r="F310" s="120">
        <f>IF($B310=0,0,$E310/$B310)</f>
        <v/>
      </c>
    </row>
    <row r="311" ht="15" customHeight="1" s="68">
      <c r="A311" s="114" t="n"/>
      <c r="B311" s="120">
        <f>SUMIFS(tblDonem[Gelir (₺)],tblDonem[Dönem],$A311)</f>
        <v/>
      </c>
      <c r="C311" s="120">
        <f>SUMIFS(tblDonem[KDV Tutarı (₺)],tblDonem[Dönem],$A311)-SUMIFS(tblDonem[KDV Yüklenimi (₺)],tblDonem[Dönem],$A311)</f>
        <v/>
      </c>
      <c r="D311" s="120">
        <f>SUMIFS(tblDonem[Vergi Karşılığı (₺)],tblDonem[Dönem],$A311)</f>
        <v/>
      </c>
      <c r="E311" s="120">
        <f>$C311+$D311</f>
        <v/>
      </c>
      <c r="F311" s="120">
        <f>IF($B311=0,0,$E311/$B311)</f>
        <v/>
      </c>
    </row>
    <row r="312" ht="15" customHeight="1" s="68">
      <c r="A312" s="114" t="n"/>
      <c r="B312" s="120">
        <f>SUMIFS(tblDonem[Gelir (₺)],tblDonem[Dönem],$A312)</f>
        <v/>
      </c>
      <c r="C312" s="120">
        <f>SUMIFS(tblDonem[KDV Tutarı (₺)],tblDonem[Dönem],$A312)-SUMIFS(tblDonem[KDV Yüklenimi (₺)],tblDonem[Dönem],$A312)</f>
        <v/>
      </c>
      <c r="D312" s="120">
        <f>SUMIFS(tblDonem[Vergi Karşılığı (₺)],tblDonem[Dönem],$A312)</f>
        <v/>
      </c>
      <c r="E312" s="120">
        <f>$C312+$D312</f>
        <v/>
      </c>
      <c r="F312" s="120">
        <f>IF($B312=0,0,$E312/$B312)</f>
        <v/>
      </c>
    </row>
    <row r="313" ht="15" customHeight="1" s="68">
      <c r="A313" s="114" t="n"/>
      <c r="B313" s="120">
        <f>SUMIFS(tblDonem[Gelir (₺)],tblDonem[Dönem],$A313)</f>
        <v/>
      </c>
      <c r="C313" s="120">
        <f>SUMIFS(tblDonem[KDV Tutarı (₺)],tblDonem[Dönem],$A313)-SUMIFS(tblDonem[KDV Yüklenimi (₺)],tblDonem[Dönem],$A313)</f>
        <v/>
      </c>
      <c r="D313" s="120">
        <f>SUMIFS(tblDonem[Vergi Karşılığı (₺)],tblDonem[Dönem],$A313)</f>
        <v/>
      </c>
      <c r="E313" s="120">
        <f>$C313+$D313</f>
        <v/>
      </c>
      <c r="F313" s="120">
        <f>IF($B313=0,0,$E313/$B313)</f>
        <v/>
      </c>
    </row>
    <row r="314" ht="15" customHeight="1" s="68">
      <c r="A314" s="114" t="n"/>
      <c r="B314" s="120">
        <f>SUMIFS(tblDonem[Gelir (₺)],tblDonem[Dönem],$A314)</f>
        <v/>
      </c>
      <c r="C314" s="120">
        <f>SUMIFS(tblDonem[KDV Tutarı (₺)],tblDonem[Dönem],$A314)-SUMIFS(tblDonem[KDV Yüklenimi (₺)],tblDonem[Dönem],$A314)</f>
        <v/>
      </c>
      <c r="D314" s="120">
        <f>SUMIFS(tblDonem[Vergi Karşılığı (₺)],tblDonem[Dönem],$A314)</f>
        <v/>
      </c>
      <c r="E314" s="120">
        <f>$C314+$D314</f>
        <v/>
      </c>
      <c r="F314" s="120">
        <f>IF($B314=0,0,$E314/$B314)</f>
        <v/>
      </c>
    </row>
    <row r="315" ht="15" customHeight="1" s="68">
      <c r="A315" s="114" t="n"/>
      <c r="B315" s="120">
        <f>SUMIFS(tblDonem[Gelir (₺)],tblDonem[Dönem],$A315)</f>
        <v/>
      </c>
      <c r="C315" s="120">
        <f>SUMIFS(tblDonem[KDV Tutarı (₺)],tblDonem[Dönem],$A315)-SUMIFS(tblDonem[KDV Yüklenimi (₺)],tblDonem[Dönem],$A315)</f>
        <v/>
      </c>
      <c r="D315" s="120">
        <f>SUMIFS(tblDonem[Vergi Karşılığı (₺)],tblDonem[Dönem],$A315)</f>
        <v/>
      </c>
      <c r="E315" s="120">
        <f>$C315+$D315</f>
        <v/>
      </c>
      <c r="F315" s="120">
        <f>IF($B315=0,0,$E315/$B315)</f>
        <v/>
      </c>
    </row>
    <row r="316" ht="15" customHeight="1" s="68">
      <c r="A316" s="114" t="n"/>
      <c r="B316" s="120">
        <f>SUMIFS(tblDonem[Gelir (₺)],tblDonem[Dönem],$A316)</f>
        <v/>
      </c>
      <c r="C316" s="120">
        <f>SUMIFS(tblDonem[KDV Tutarı (₺)],tblDonem[Dönem],$A316)-SUMIFS(tblDonem[KDV Yüklenimi (₺)],tblDonem[Dönem],$A316)</f>
        <v/>
      </c>
      <c r="D316" s="120">
        <f>SUMIFS(tblDonem[Vergi Karşılığı (₺)],tblDonem[Dönem],$A316)</f>
        <v/>
      </c>
      <c r="E316" s="120">
        <f>$C316+$D316</f>
        <v/>
      </c>
      <c r="F316" s="120">
        <f>IF($B316=0,0,$E316/$B316)</f>
        <v/>
      </c>
    </row>
    <row r="317" ht="15" customHeight="1" s="68">
      <c r="A317" s="114" t="n"/>
      <c r="B317" s="120">
        <f>SUMIFS(tblDonem[Gelir (₺)],tblDonem[Dönem],$A317)</f>
        <v/>
      </c>
      <c r="C317" s="120">
        <f>SUMIFS(tblDonem[KDV Tutarı (₺)],tblDonem[Dönem],$A317)-SUMIFS(tblDonem[KDV Yüklenimi (₺)],tblDonem[Dönem],$A317)</f>
        <v/>
      </c>
      <c r="D317" s="120">
        <f>SUMIFS(tblDonem[Vergi Karşılığı (₺)],tblDonem[Dönem],$A317)</f>
        <v/>
      </c>
      <c r="E317" s="120">
        <f>$C317+$D317</f>
        <v/>
      </c>
      <c r="F317" s="120">
        <f>IF($B317=0,0,$E317/$B317)</f>
        <v/>
      </c>
    </row>
    <row r="318" ht="15" customHeight="1" s="68">
      <c r="A318" s="114" t="n"/>
      <c r="B318" s="120">
        <f>SUMIFS(tblDonem[Gelir (₺)],tblDonem[Dönem],$A318)</f>
        <v/>
      </c>
      <c r="C318" s="120">
        <f>SUMIFS(tblDonem[KDV Tutarı (₺)],tblDonem[Dönem],$A318)-SUMIFS(tblDonem[KDV Yüklenimi (₺)],tblDonem[Dönem],$A318)</f>
        <v/>
      </c>
      <c r="D318" s="120">
        <f>SUMIFS(tblDonem[Vergi Karşılığı (₺)],tblDonem[Dönem],$A318)</f>
        <v/>
      </c>
      <c r="E318" s="120">
        <f>$C318+$D318</f>
        <v/>
      </c>
      <c r="F318" s="120">
        <f>IF($B318=0,0,$E318/$B318)</f>
        <v/>
      </c>
    </row>
    <row r="319" ht="15" customHeight="1" s="68">
      <c r="A319" s="114" t="n"/>
      <c r="B319" s="120">
        <f>SUMIFS(tblDonem[Gelir (₺)],tblDonem[Dönem],$A319)</f>
        <v/>
      </c>
      <c r="C319" s="120">
        <f>SUMIFS(tblDonem[KDV Tutarı (₺)],tblDonem[Dönem],$A319)-SUMIFS(tblDonem[KDV Yüklenimi (₺)],tblDonem[Dönem],$A319)</f>
        <v/>
      </c>
      <c r="D319" s="120">
        <f>SUMIFS(tblDonem[Vergi Karşılığı (₺)],tblDonem[Dönem],$A319)</f>
        <v/>
      </c>
      <c r="E319" s="120">
        <f>$C319+$D319</f>
        <v/>
      </c>
      <c r="F319" s="120">
        <f>IF($B319=0,0,$E319/$B319)</f>
        <v/>
      </c>
    </row>
    <row r="320" ht="15" customHeight="1" s="68">
      <c r="A320" s="114" t="n"/>
      <c r="B320" s="120">
        <f>SUMIFS(tblDonem[Gelir (₺)],tblDonem[Dönem],$A320)</f>
        <v/>
      </c>
      <c r="C320" s="120">
        <f>SUMIFS(tblDonem[KDV Tutarı (₺)],tblDonem[Dönem],$A320)-SUMIFS(tblDonem[KDV Yüklenimi (₺)],tblDonem[Dönem],$A320)</f>
        <v/>
      </c>
      <c r="D320" s="120">
        <f>SUMIFS(tblDonem[Vergi Karşılığı (₺)],tblDonem[Dönem],$A320)</f>
        <v/>
      </c>
      <c r="E320" s="120">
        <f>$C320+$D320</f>
        <v/>
      </c>
      <c r="F320" s="120">
        <f>IF($B320=0,0,$E320/$B320)</f>
        <v/>
      </c>
    </row>
    <row r="321" ht="15" customHeight="1" s="68">
      <c r="A321" s="114" t="n"/>
      <c r="B321" s="120">
        <f>SUMIFS(tblDonem[Gelir (₺)],tblDonem[Dönem],$A321)</f>
        <v/>
      </c>
      <c r="C321" s="120">
        <f>SUMIFS(tblDonem[KDV Tutarı (₺)],tblDonem[Dönem],$A321)-SUMIFS(tblDonem[KDV Yüklenimi (₺)],tblDonem[Dönem],$A321)</f>
        <v/>
      </c>
      <c r="D321" s="120">
        <f>SUMIFS(tblDonem[Vergi Karşılığı (₺)],tblDonem[Dönem],$A321)</f>
        <v/>
      </c>
      <c r="E321" s="120">
        <f>$C321+$D321</f>
        <v/>
      </c>
      <c r="F321" s="120">
        <f>IF($B321=0,0,$E321/$B321)</f>
        <v/>
      </c>
    </row>
    <row r="322" ht="15" customHeight="1" s="68">
      <c r="A322" s="114" t="n"/>
      <c r="B322" s="120">
        <f>SUMIFS(tblDonem[Gelir (₺)],tblDonem[Dönem],$A322)</f>
        <v/>
      </c>
      <c r="C322" s="120">
        <f>SUMIFS(tblDonem[KDV Tutarı (₺)],tblDonem[Dönem],$A322)-SUMIFS(tblDonem[KDV Yüklenimi (₺)],tblDonem[Dönem],$A322)</f>
        <v/>
      </c>
      <c r="D322" s="120">
        <f>SUMIFS(tblDonem[Vergi Karşılığı (₺)],tblDonem[Dönem],$A322)</f>
        <v/>
      </c>
      <c r="E322" s="120">
        <f>$C322+$D322</f>
        <v/>
      </c>
      <c r="F322" s="120">
        <f>IF($B322=0,0,$E322/$B322)</f>
        <v/>
      </c>
    </row>
    <row r="323" ht="15" customHeight="1" s="68">
      <c r="A323" s="114" t="n"/>
      <c r="B323" s="120">
        <f>SUMIFS(tblDonem[Gelir (₺)],tblDonem[Dönem],$A323)</f>
        <v/>
      </c>
      <c r="C323" s="120">
        <f>SUMIFS(tblDonem[KDV Tutarı (₺)],tblDonem[Dönem],$A323)-SUMIFS(tblDonem[KDV Yüklenimi (₺)],tblDonem[Dönem],$A323)</f>
        <v/>
      </c>
      <c r="D323" s="120">
        <f>SUMIFS(tblDonem[Vergi Karşılığı (₺)],tblDonem[Dönem],$A323)</f>
        <v/>
      </c>
      <c r="E323" s="120">
        <f>$C323+$D323</f>
        <v/>
      </c>
      <c r="F323" s="120">
        <f>IF($B323=0,0,$E323/$B323)</f>
        <v/>
      </c>
    </row>
    <row r="324" ht="15" customHeight="1" s="68">
      <c r="A324" s="114" t="n"/>
      <c r="B324" s="120">
        <f>SUMIFS(tblDonem[Gelir (₺)],tblDonem[Dönem],$A324)</f>
        <v/>
      </c>
      <c r="C324" s="120">
        <f>SUMIFS(tblDonem[KDV Tutarı (₺)],tblDonem[Dönem],$A324)-SUMIFS(tblDonem[KDV Yüklenimi (₺)],tblDonem[Dönem],$A324)</f>
        <v/>
      </c>
      <c r="D324" s="120">
        <f>SUMIFS(tblDonem[Vergi Karşılığı (₺)],tblDonem[Dönem],$A324)</f>
        <v/>
      </c>
      <c r="E324" s="120">
        <f>$C324+$D324</f>
        <v/>
      </c>
      <c r="F324" s="120">
        <f>IF($B324=0,0,$E324/$B324)</f>
        <v/>
      </c>
    </row>
    <row r="325" ht="15" customHeight="1" s="68">
      <c r="A325" s="114" t="n"/>
      <c r="B325" s="120">
        <f>SUMIFS(tblDonem[Gelir (₺)],tblDonem[Dönem],$A325)</f>
        <v/>
      </c>
      <c r="C325" s="120">
        <f>SUMIFS(tblDonem[KDV Tutarı (₺)],tblDonem[Dönem],$A325)-SUMIFS(tblDonem[KDV Yüklenimi (₺)],tblDonem[Dönem],$A325)</f>
        <v/>
      </c>
      <c r="D325" s="120">
        <f>SUMIFS(tblDonem[Vergi Karşılığı (₺)],tblDonem[Dönem],$A325)</f>
        <v/>
      </c>
      <c r="E325" s="120">
        <f>$C325+$D325</f>
        <v/>
      </c>
      <c r="F325" s="120">
        <f>IF($B325=0,0,$E325/$B325)</f>
        <v/>
      </c>
    </row>
    <row r="326" ht="15" customHeight="1" s="68">
      <c r="A326" s="114" t="n"/>
      <c r="B326" s="120">
        <f>SUMIFS(tblDonem[Gelir (₺)],tblDonem[Dönem],$A326)</f>
        <v/>
      </c>
      <c r="C326" s="120">
        <f>SUMIFS(tblDonem[KDV Tutarı (₺)],tblDonem[Dönem],$A326)-SUMIFS(tblDonem[KDV Yüklenimi (₺)],tblDonem[Dönem],$A326)</f>
        <v/>
      </c>
      <c r="D326" s="120">
        <f>SUMIFS(tblDonem[Vergi Karşılığı (₺)],tblDonem[Dönem],$A326)</f>
        <v/>
      </c>
      <c r="E326" s="120">
        <f>$C326+$D326</f>
        <v/>
      </c>
      <c r="F326" s="120">
        <f>IF($B326=0,0,$E326/$B326)</f>
        <v/>
      </c>
    </row>
    <row r="327" ht="15" customHeight="1" s="68">
      <c r="A327" s="114" t="n"/>
      <c r="B327" s="120">
        <f>SUMIFS(tblDonem[Gelir (₺)],tblDonem[Dönem],$A327)</f>
        <v/>
      </c>
      <c r="C327" s="120">
        <f>SUMIFS(tblDonem[KDV Tutarı (₺)],tblDonem[Dönem],$A327)-SUMIFS(tblDonem[KDV Yüklenimi (₺)],tblDonem[Dönem],$A327)</f>
        <v/>
      </c>
      <c r="D327" s="120">
        <f>SUMIFS(tblDonem[Vergi Karşılığı (₺)],tblDonem[Dönem],$A327)</f>
        <v/>
      </c>
      <c r="E327" s="120">
        <f>$C327+$D327</f>
        <v/>
      </c>
      <c r="F327" s="120">
        <f>IF($B327=0,0,$E327/$B327)</f>
        <v/>
      </c>
    </row>
    <row r="328" ht="15" customHeight="1" s="68">
      <c r="A328" s="114" t="n"/>
      <c r="B328" s="120">
        <f>SUMIFS(tblDonem[Gelir (₺)],tblDonem[Dönem],$A328)</f>
        <v/>
      </c>
      <c r="C328" s="120">
        <f>SUMIFS(tblDonem[KDV Tutarı (₺)],tblDonem[Dönem],$A328)-SUMIFS(tblDonem[KDV Yüklenimi (₺)],tblDonem[Dönem],$A328)</f>
        <v/>
      </c>
      <c r="D328" s="120">
        <f>SUMIFS(tblDonem[Vergi Karşılığı (₺)],tblDonem[Dönem],$A328)</f>
        <v/>
      </c>
      <c r="E328" s="120">
        <f>$C328+$D328</f>
        <v/>
      </c>
      <c r="F328" s="120">
        <f>IF($B328=0,0,$E328/$B328)</f>
        <v/>
      </c>
    </row>
    <row r="329" ht="15" customHeight="1" s="68">
      <c r="A329" s="114" t="n"/>
      <c r="B329" s="120">
        <f>SUMIFS(tblDonem[Gelir (₺)],tblDonem[Dönem],$A329)</f>
        <v/>
      </c>
      <c r="C329" s="120">
        <f>SUMIFS(tblDonem[KDV Tutarı (₺)],tblDonem[Dönem],$A329)-SUMIFS(tblDonem[KDV Yüklenimi (₺)],tblDonem[Dönem],$A329)</f>
        <v/>
      </c>
      <c r="D329" s="120">
        <f>SUMIFS(tblDonem[Vergi Karşılığı (₺)],tblDonem[Dönem],$A329)</f>
        <v/>
      </c>
      <c r="E329" s="120">
        <f>$C329+$D329</f>
        <v/>
      </c>
      <c r="F329" s="120">
        <f>IF($B329=0,0,$E329/$B329)</f>
        <v/>
      </c>
    </row>
    <row r="330" ht="15" customHeight="1" s="68">
      <c r="A330" s="114" t="n"/>
      <c r="B330" s="120">
        <f>SUMIFS(tblDonem[Gelir (₺)],tblDonem[Dönem],$A330)</f>
        <v/>
      </c>
      <c r="C330" s="120">
        <f>SUMIFS(tblDonem[KDV Tutarı (₺)],tblDonem[Dönem],$A330)-SUMIFS(tblDonem[KDV Yüklenimi (₺)],tblDonem[Dönem],$A330)</f>
        <v/>
      </c>
      <c r="D330" s="120">
        <f>SUMIFS(tblDonem[Vergi Karşılığı (₺)],tblDonem[Dönem],$A330)</f>
        <v/>
      </c>
      <c r="E330" s="120">
        <f>$C330+$D330</f>
        <v/>
      </c>
      <c r="F330" s="120">
        <f>IF($B330=0,0,$E330/$B330)</f>
        <v/>
      </c>
    </row>
    <row r="331" ht="15" customHeight="1" s="68">
      <c r="A331" s="114" t="n"/>
      <c r="B331" s="120">
        <f>SUMIFS(tblDonem[Gelir (₺)],tblDonem[Dönem],$A331)</f>
        <v/>
      </c>
      <c r="C331" s="120">
        <f>SUMIFS(tblDonem[KDV Tutarı (₺)],tblDonem[Dönem],$A331)-SUMIFS(tblDonem[KDV Yüklenimi (₺)],tblDonem[Dönem],$A331)</f>
        <v/>
      </c>
      <c r="D331" s="120">
        <f>SUMIFS(tblDonem[Vergi Karşılığı (₺)],tblDonem[Dönem],$A331)</f>
        <v/>
      </c>
      <c r="E331" s="120">
        <f>$C331+$D331</f>
        <v/>
      </c>
      <c r="F331" s="120">
        <f>IF($B331=0,0,$E331/$B331)</f>
        <v/>
      </c>
    </row>
    <row r="332" ht="15" customHeight="1" s="68">
      <c r="A332" s="114" t="n"/>
      <c r="B332" s="120">
        <f>SUMIFS(tblDonem[Gelir (₺)],tblDonem[Dönem],$A332)</f>
        <v/>
      </c>
      <c r="C332" s="120">
        <f>SUMIFS(tblDonem[KDV Tutarı (₺)],tblDonem[Dönem],$A332)-SUMIFS(tblDonem[KDV Yüklenimi (₺)],tblDonem[Dönem],$A332)</f>
        <v/>
      </c>
      <c r="D332" s="120">
        <f>SUMIFS(tblDonem[Vergi Karşılığı (₺)],tblDonem[Dönem],$A332)</f>
        <v/>
      </c>
      <c r="E332" s="120">
        <f>$C332+$D332</f>
        <v/>
      </c>
      <c r="F332" s="120">
        <f>IF($B332=0,0,$E332/$B332)</f>
        <v/>
      </c>
    </row>
    <row r="333" ht="15" customHeight="1" s="68">
      <c r="A333" s="114" t="n"/>
      <c r="B333" s="120">
        <f>SUMIFS(tblDonem[Gelir (₺)],tblDonem[Dönem],$A333)</f>
        <v/>
      </c>
      <c r="C333" s="120">
        <f>SUMIFS(tblDonem[KDV Tutarı (₺)],tblDonem[Dönem],$A333)-SUMIFS(tblDonem[KDV Yüklenimi (₺)],tblDonem[Dönem],$A333)</f>
        <v/>
      </c>
      <c r="D333" s="120">
        <f>SUMIFS(tblDonem[Vergi Karşılığı (₺)],tblDonem[Dönem],$A333)</f>
        <v/>
      </c>
      <c r="E333" s="120">
        <f>$C333+$D333</f>
        <v/>
      </c>
      <c r="F333" s="120">
        <f>IF($B333=0,0,$E333/$B333)</f>
        <v/>
      </c>
    </row>
    <row r="334" ht="15" customHeight="1" s="68">
      <c r="A334" s="114" t="n"/>
      <c r="B334" s="120">
        <f>SUMIFS(tblDonem[Gelir (₺)],tblDonem[Dönem],$A334)</f>
        <v/>
      </c>
      <c r="C334" s="120">
        <f>SUMIFS(tblDonem[KDV Tutarı (₺)],tblDonem[Dönem],$A334)-SUMIFS(tblDonem[KDV Yüklenimi (₺)],tblDonem[Dönem],$A334)</f>
        <v/>
      </c>
      <c r="D334" s="120">
        <f>SUMIFS(tblDonem[Vergi Karşılığı (₺)],tblDonem[Dönem],$A334)</f>
        <v/>
      </c>
      <c r="E334" s="120">
        <f>$C334+$D334</f>
        <v/>
      </c>
      <c r="F334" s="120">
        <f>IF($B334=0,0,$E334/$B334)</f>
        <v/>
      </c>
    </row>
    <row r="335" ht="15" customHeight="1" s="68">
      <c r="A335" s="114" t="n"/>
      <c r="B335" s="120">
        <f>SUMIFS(tblDonem[Gelir (₺)],tblDonem[Dönem],$A335)</f>
        <v/>
      </c>
      <c r="C335" s="120">
        <f>SUMIFS(tblDonem[KDV Tutarı (₺)],tblDonem[Dönem],$A335)-SUMIFS(tblDonem[KDV Yüklenimi (₺)],tblDonem[Dönem],$A335)</f>
        <v/>
      </c>
      <c r="D335" s="120">
        <f>SUMIFS(tblDonem[Vergi Karşılığı (₺)],tblDonem[Dönem],$A335)</f>
        <v/>
      </c>
      <c r="E335" s="120">
        <f>$C335+$D335</f>
        <v/>
      </c>
      <c r="F335" s="120">
        <f>IF($B335=0,0,$E335/$B335)</f>
        <v/>
      </c>
    </row>
    <row r="336" ht="15" customHeight="1" s="68">
      <c r="A336" s="114" t="n"/>
      <c r="B336" s="120">
        <f>SUMIFS(tblDonem[Gelir (₺)],tblDonem[Dönem],$A336)</f>
        <v/>
      </c>
      <c r="C336" s="120">
        <f>SUMIFS(tblDonem[KDV Tutarı (₺)],tblDonem[Dönem],$A336)-SUMIFS(tblDonem[KDV Yüklenimi (₺)],tblDonem[Dönem],$A336)</f>
        <v/>
      </c>
      <c r="D336" s="120">
        <f>SUMIFS(tblDonem[Vergi Karşılığı (₺)],tblDonem[Dönem],$A336)</f>
        <v/>
      </c>
      <c r="E336" s="120">
        <f>$C336+$D336</f>
        <v/>
      </c>
      <c r="F336" s="120">
        <f>IF($B336=0,0,$E336/$B336)</f>
        <v/>
      </c>
    </row>
    <row r="337" ht="15" customHeight="1" s="68">
      <c r="A337" s="114" t="n"/>
      <c r="B337" s="120">
        <f>SUMIFS(tblDonem[Gelir (₺)],tblDonem[Dönem],$A337)</f>
        <v/>
      </c>
      <c r="C337" s="120">
        <f>SUMIFS(tblDonem[KDV Tutarı (₺)],tblDonem[Dönem],$A337)-SUMIFS(tblDonem[KDV Yüklenimi (₺)],tblDonem[Dönem],$A337)</f>
        <v/>
      </c>
      <c r="D337" s="120">
        <f>SUMIFS(tblDonem[Vergi Karşılığı (₺)],tblDonem[Dönem],$A337)</f>
        <v/>
      </c>
      <c r="E337" s="120">
        <f>$C337+$D337</f>
        <v/>
      </c>
      <c r="F337" s="120">
        <f>IF($B337=0,0,$E337/$B337)</f>
        <v/>
      </c>
    </row>
    <row r="338" ht="15" customHeight="1" s="68">
      <c r="A338" s="114" t="n"/>
      <c r="B338" s="120">
        <f>SUMIFS(tblDonem[Gelir (₺)],tblDonem[Dönem],$A338)</f>
        <v/>
      </c>
      <c r="C338" s="120">
        <f>SUMIFS(tblDonem[KDV Tutarı (₺)],tblDonem[Dönem],$A338)-SUMIFS(tblDonem[KDV Yüklenimi (₺)],tblDonem[Dönem],$A338)</f>
        <v/>
      </c>
      <c r="D338" s="120">
        <f>SUMIFS(tblDonem[Vergi Karşılığı (₺)],tblDonem[Dönem],$A338)</f>
        <v/>
      </c>
      <c r="E338" s="120">
        <f>$C338+$D338</f>
        <v/>
      </c>
      <c r="F338" s="120">
        <f>IF($B338=0,0,$E338/$B338)</f>
        <v/>
      </c>
    </row>
    <row r="339" ht="15" customHeight="1" s="68">
      <c r="A339" s="114" t="n"/>
      <c r="B339" s="120">
        <f>SUMIFS(tblDonem[Gelir (₺)],tblDonem[Dönem],$A339)</f>
        <v/>
      </c>
      <c r="C339" s="120">
        <f>SUMIFS(tblDonem[KDV Tutarı (₺)],tblDonem[Dönem],$A339)-SUMIFS(tblDonem[KDV Yüklenimi (₺)],tblDonem[Dönem],$A339)</f>
        <v/>
      </c>
      <c r="D339" s="120">
        <f>SUMIFS(tblDonem[Vergi Karşılığı (₺)],tblDonem[Dönem],$A339)</f>
        <v/>
      </c>
      <c r="E339" s="120">
        <f>$C339+$D339</f>
        <v/>
      </c>
      <c r="F339" s="120">
        <f>IF($B339=0,0,$E339/$B339)</f>
        <v/>
      </c>
    </row>
    <row r="340" ht="15" customHeight="1" s="68">
      <c r="A340" s="114" t="n"/>
      <c r="B340" s="120">
        <f>SUMIFS(tblDonem[Gelir (₺)],tblDonem[Dönem],$A340)</f>
        <v/>
      </c>
      <c r="C340" s="120">
        <f>SUMIFS(tblDonem[KDV Tutarı (₺)],tblDonem[Dönem],$A340)-SUMIFS(tblDonem[KDV Yüklenimi (₺)],tblDonem[Dönem],$A340)</f>
        <v/>
      </c>
      <c r="D340" s="120">
        <f>SUMIFS(tblDonem[Vergi Karşılığı (₺)],tblDonem[Dönem],$A340)</f>
        <v/>
      </c>
      <c r="E340" s="120">
        <f>$C340+$D340</f>
        <v/>
      </c>
      <c r="F340" s="120">
        <f>IF($B340=0,0,$E340/$B340)</f>
        <v/>
      </c>
    </row>
    <row r="341" ht="15" customHeight="1" s="68">
      <c r="A341" s="114" t="n"/>
      <c r="B341" s="120">
        <f>SUMIFS(tblDonem[Gelir (₺)],tblDonem[Dönem],$A341)</f>
        <v/>
      </c>
      <c r="C341" s="120">
        <f>SUMIFS(tblDonem[KDV Tutarı (₺)],tblDonem[Dönem],$A341)-SUMIFS(tblDonem[KDV Yüklenimi (₺)],tblDonem[Dönem],$A341)</f>
        <v/>
      </c>
      <c r="D341" s="120">
        <f>SUMIFS(tblDonem[Vergi Karşılığı (₺)],tblDonem[Dönem],$A341)</f>
        <v/>
      </c>
      <c r="E341" s="120">
        <f>$C341+$D341</f>
        <v/>
      </c>
      <c r="F341" s="120">
        <f>IF($B341=0,0,$E341/$B341)</f>
        <v/>
      </c>
    </row>
    <row r="342" ht="15" customHeight="1" s="68">
      <c r="A342" s="114" t="n"/>
      <c r="B342" s="120">
        <f>SUMIFS(tblDonem[Gelir (₺)],tblDonem[Dönem],$A342)</f>
        <v/>
      </c>
      <c r="C342" s="120">
        <f>SUMIFS(tblDonem[KDV Tutarı (₺)],tblDonem[Dönem],$A342)-SUMIFS(tblDonem[KDV Yüklenimi (₺)],tblDonem[Dönem],$A342)</f>
        <v/>
      </c>
      <c r="D342" s="120">
        <f>SUMIFS(tblDonem[Vergi Karşılığı (₺)],tblDonem[Dönem],$A342)</f>
        <v/>
      </c>
      <c r="E342" s="120">
        <f>$C342+$D342</f>
        <v/>
      </c>
      <c r="F342" s="120">
        <f>IF($B342=0,0,$E342/$B342)</f>
        <v/>
      </c>
    </row>
    <row r="343" ht="15" customHeight="1" s="68">
      <c r="A343" s="114" t="n"/>
      <c r="B343" s="120">
        <f>SUMIFS(tblDonem[Gelir (₺)],tblDonem[Dönem],$A343)</f>
        <v/>
      </c>
      <c r="C343" s="120">
        <f>SUMIFS(tblDonem[KDV Tutarı (₺)],tblDonem[Dönem],$A343)-SUMIFS(tblDonem[KDV Yüklenimi (₺)],tblDonem[Dönem],$A343)</f>
        <v/>
      </c>
      <c r="D343" s="120">
        <f>SUMIFS(tblDonem[Vergi Karşılığı (₺)],tblDonem[Dönem],$A343)</f>
        <v/>
      </c>
      <c r="E343" s="120">
        <f>$C343+$D343</f>
        <v/>
      </c>
      <c r="F343" s="120">
        <f>IF($B343=0,0,$E343/$B343)</f>
        <v/>
      </c>
    </row>
    <row r="344" ht="15" customHeight="1" s="68">
      <c r="A344" s="114" t="n"/>
      <c r="B344" s="120">
        <f>SUMIFS(tblDonem[Gelir (₺)],tblDonem[Dönem],$A344)</f>
        <v/>
      </c>
      <c r="C344" s="120">
        <f>SUMIFS(tblDonem[KDV Tutarı (₺)],tblDonem[Dönem],$A344)-SUMIFS(tblDonem[KDV Yüklenimi (₺)],tblDonem[Dönem],$A344)</f>
        <v/>
      </c>
      <c r="D344" s="120">
        <f>SUMIFS(tblDonem[Vergi Karşılığı (₺)],tblDonem[Dönem],$A344)</f>
        <v/>
      </c>
      <c r="E344" s="120">
        <f>$C344+$D344</f>
        <v/>
      </c>
      <c r="F344" s="120">
        <f>IF($B344=0,0,$E344/$B344)</f>
        <v/>
      </c>
    </row>
    <row r="345" ht="15" customHeight="1" s="68">
      <c r="A345" s="114" t="n"/>
      <c r="B345" s="120">
        <f>SUMIFS(tblDonem[Gelir (₺)],tblDonem[Dönem],$A345)</f>
        <v/>
      </c>
      <c r="C345" s="120">
        <f>SUMIFS(tblDonem[KDV Tutarı (₺)],tblDonem[Dönem],$A345)-SUMIFS(tblDonem[KDV Yüklenimi (₺)],tblDonem[Dönem],$A345)</f>
        <v/>
      </c>
      <c r="D345" s="120">
        <f>SUMIFS(tblDonem[Vergi Karşılığı (₺)],tblDonem[Dönem],$A345)</f>
        <v/>
      </c>
      <c r="E345" s="120">
        <f>$C345+$D345</f>
        <v/>
      </c>
      <c r="F345" s="120">
        <f>IF($B345=0,0,$E345/$B345)</f>
        <v/>
      </c>
    </row>
    <row r="346" ht="15" customHeight="1" s="68">
      <c r="A346" s="114" t="n"/>
      <c r="B346" s="120">
        <f>SUMIFS(tblDonem[Gelir (₺)],tblDonem[Dönem],$A346)</f>
        <v/>
      </c>
      <c r="C346" s="120">
        <f>SUMIFS(tblDonem[KDV Tutarı (₺)],tblDonem[Dönem],$A346)-SUMIFS(tblDonem[KDV Yüklenimi (₺)],tblDonem[Dönem],$A346)</f>
        <v/>
      </c>
      <c r="D346" s="120">
        <f>SUMIFS(tblDonem[Vergi Karşılığı (₺)],tblDonem[Dönem],$A346)</f>
        <v/>
      </c>
      <c r="E346" s="120">
        <f>$C346+$D346</f>
        <v/>
      </c>
      <c r="F346" s="120">
        <f>IF($B346=0,0,$E346/$B346)</f>
        <v/>
      </c>
    </row>
    <row r="347" ht="15" customHeight="1" s="68">
      <c r="A347" s="114" t="n"/>
      <c r="B347" s="120">
        <f>SUMIFS(tblDonem[Gelir (₺)],tblDonem[Dönem],$A347)</f>
        <v/>
      </c>
      <c r="C347" s="120">
        <f>SUMIFS(tblDonem[KDV Tutarı (₺)],tblDonem[Dönem],$A347)-SUMIFS(tblDonem[KDV Yüklenimi (₺)],tblDonem[Dönem],$A347)</f>
        <v/>
      </c>
      <c r="D347" s="120">
        <f>SUMIFS(tblDonem[Vergi Karşılığı (₺)],tblDonem[Dönem],$A347)</f>
        <v/>
      </c>
      <c r="E347" s="120">
        <f>$C347+$D347</f>
        <v/>
      </c>
      <c r="F347" s="120">
        <f>IF($B347=0,0,$E347/$B347)</f>
        <v/>
      </c>
    </row>
    <row r="348" ht="15" customHeight="1" s="68">
      <c r="A348" s="114" t="n"/>
      <c r="B348" s="120">
        <f>SUMIFS(tblDonem[Gelir (₺)],tblDonem[Dönem],$A348)</f>
        <v/>
      </c>
      <c r="C348" s="120">
        <f>SUMIFS(tblDonem[KDV Tutarı (₺)],tblDonem[Dönem],$A348)-SUMIFS(tblDonem[KDV Yüklenimi (₺)],tblDonem[Dönem],$A348)</f>
        <v/>
      </c>
      <c r="D348" s="120">
        <f>SUMIFS(tblDonem[Vergi Karşılığı (₺)],tblDonem[Dönem],$A348)</f>
        <v/>
      </c>
      <c r="E348" s="120">
        <f>$C348+$D348</f>
        <v/>
      </c>
      <c r="F348" s="120">
        <f>IF($B348=0,0,$E348/$B348)</f>
        <v/>
      </c>
    </row>
    <row r="349" ht="15" customHeight="1" s="68">
      <c r="A349" s="114" t="n"/>
      <c r="B349" s="120">
        <f>SUMIFS(tblDonem[Gelir (₺)],tblDonem[Dönem],$A349)</f>
        <v/>
      </c>
      <c r="C349" s="120">
        <f>SUMIFS(tblDonem[KDV Tutarı (₺)],tblDonem[Dönem],$A349)-SUMIFS(tblDonem[KDV Yüklenimi (₺)],tblDonem[Dönem],$A349)</f>
        <v/>
      </c>
      <c r="D349" s="120">
        <f>SUMIFS(tblDonem[Vergi Karşılığı (₺)],tblDonem[Dönem],$A349)</f>
        <v/>
      </c>
      <c r="E349" s="120">
        <f>$C349+$D349</f>
        <v/>
      </c>
      <c r="F349" s="120">
        <f>IF($B349=0,0,$E349/$B349)</f>
        <v/>
      </c>
    </row>
    <row r="350" ht="15" customHeight="1" s="68">
      <c r="A350" s="114" t="n"/>
      <c r="B350" s="120">
        <f>SUMIFS(tblDonem[Gelir (₺)],tblDonem[Dönem],$A350)</f>
        <v/>
      </c>
      <c r="C350" s="120">
        <f>SUMIFS(tblDonem[KDV Tutarı (₺)],tblDonem[Dönem],$A350)-SUMIFS(tblDonem[KDV Yüklenimi (₺)],tblDonem[Dönem],$A350)</f>
        <v/>
      </c>
      <c r="D350" s="120">
        <f>SUMIFS(tblDonem[Vergi Karşılığı (₺)],tblDonem[Dönem],$A350)</f>
        <v/>
      </c>
      <c r="E350" s="120">
        <f>$C350+$D350</f>
        <v/>
      </c>
      <c r="F350" s="120">
        <f>IF($B350=0,0,$E350/$B350)</f>
        <v/>
      </c>
    </row>
    <row r="351" ht="15" customHeight="1" s="68">
      <c r="A351" s="114" t="n"/>
      <c r="B351" s="120">
        <f>SUMIFS(tblDonem[Gelir (₺)],tblDonem[Dönem],$A351)</f>
        <v/>
      </c>
      <c r="C351" s="120">
        <f>SUMIFS(tblDonem[KDV Tutarı (₺)],tblDonem[Dönem],$A351)-SUMIFS(tblDonem[KDV Yüklenimi (₺)],tblDonem[Dönem],$A351)</f>
        <v/>
      </c>
      <c r="D351" s="120">
        <f>SUMIFS(tblDonem[Vergi Karşılığı (₺)],tblDonem[Dönem],$A351)</f>
        <v/>
      </c>
      <c r="E351" s="120">
        <f>$C351+$D351</f>
        <v/>
      </c>
      <c r="F351" s="120">
        <f>IF($B351=0,0,$E351/$B351)</f>
        <v/>
      </c>
    </row>
    <row r="352" ht="15" customHeight="1" s="68">
      <c r="A352" s="114" t="n"/>
      <c r="B352" s="120">
        <f>SUMIFS(tblDonem[Gelir (₺)],tblDonem[Dönem],$A352)</f>
        <v/>
      </c>
      <c r="C352" s="120">
        <f>SUMIFS(tblDonem[KDV Tutarı (₺)],tblDonem[Dönem],$A352)-SUMIFS(tblDonem[KDV Yüklenimi (₺)],tblDonem[Dönem],$A352)</f>
        <v/>
      </c>
      <c r="D352" s="120">
        <f>SUMIFS(tblDonem[Vergi Karşılığı (₺)],tblDonem[Dönem],$A352)</f>
        <v/>
      </c>
      <c r="E352" s="120">
        <f>$C352+$D352</f>
        <v/>
      </c>
      <c r="F352" s="120">
        <f>IF($B352=0,0,$E352/$B352)</f>
        <v/>
      </c>
    </row>
    <row r="353" ht="15" customHeight="1" s="68">
      <c r="A353" s="114" t="n"/>
      <c r="B353" s="120">
        <f>SUMIFS(tblDonem[Gelir (₺)],tblDonem[Dönem],$A353)</f>
        <v/>
      </c>
      <c r="C353" s="120">
        <f>SUMIFS(tblDonem[KDV Tutarı (₺)],tblDonem[Dönem],$A353)-SUMIFS(tblDonem[KDV Yüklenimi (₺)],tblDonem[Dönem],$A353)</f>
        <v/>
      </c>
      <c r="D353" s="120">
        <f>SUMIFS(tblDonem[Vergi Karşılığı (₺)],tblDonem[Dönem],$A353)</f>
        <v/>
      </c>
      <c r="E353" s="120">
        <f>$C353+$D353</f>
        <v/>
      </c>
      <c r="F353" s="120">
        <f>IF($B353=0,0,$E353/$B353)</f>
        <v/>
      </c>
    </row>
    <row r="354" ht="15" customHeight="1" s="68">
      <c r="A354" s="114" t="n"/>
      <c r="B354" s="120">
        <f>SUMIFS(tblDonem[Gelir (₺)],tblDonem[Dönem],$A354)</f>
        <v/>
      </c>
      <c r="C354" s="120">
        <f>SUMIFS(tblDonem[KDV Tutarı (₺)],tblDonem[Dönem],$A354)-SUMIFS(tblDonem[KDV Yüklenimi (₺)],tblDonem[Dönem],$A354)</f>
        <v/>
      </c>
      <c r="D354" s="120">
        <f>SUMIFS(tblDonem[Vergi Karşılığı (₺)],tblDonem[Dönem],$A354)</f>
        <v/>
      </c>
      <c r="E354" s="120">
        <f>$C354+$D354</f>
        <v/>
      </c>
      <c r="F354" s="120">
        <f>IF($B354=0,0,$E354/$B354)</f>
        <v/>
      </c>
    </row>
    <row r="355" ht="15" customHeight="1" s="68">
      <c r="A355" s="114" t="n"/>
      <c r="B355" s="120">
        <f>SUMIFS(tblDonem[Gelir (₺)],tblDonem[Dönem],$A355)</f>
        <v/>
      </c>
      <c r="C355" s="120">
        <f>SUMIFS(tblDonem[KDV Tutarı (₺)],tblDonem[Dönem],$A355)-SUMIFS(tblDonem[KDV Yüklenimi (₺)],tblDonem[Dönem],$A355)</f>
        <v/>
      </c>
      <c r="D355" s="120">
        <f>SUMIFS(tblDonem[Vergi Karşılığı (₺)],tblDonem[Dönem],$A355)</f>
        <v/>
      </c>
      <c r="E355" s="120">
        <f>$C355+$D355</f>
        <v/>
      </c>
      <c r="F355" s="120">
        <f>IF($B355=0,0,$E355/$B355)</f>
        <v/>
      </c>
    </row>
    <row r="356" ht="15" customHeight="1" s="68">
      <c r="A356" s="114" t="n"/>
      <c r="B356" s="120">
        <f>SUMIFS(tblDonem[Gelir (₺)],tblDonem[Dönem],$A356)</f>
        <v/>
      </c>
      <c r="C356" s="120">
        <f>SUMIFS(tblDonem[KDV Tutarı (₺)],tblDonem[Dönem],$A356)-SUMIFS(tblDonem[KDV Yüklenimi (₺)],tblDonem[Dönem],$A356)</f>
        <v/>
      </c>
      <c r="D356" s="120">
        <f>SUMIFS(tblDonem[Vergi Karşılığı (₺)],tblDonem[Dönem],$A356)</f>
        <v/>
      </c>
      <c r="E356" s="120">
        <f>$C356+$D356</f>
        <v/>
      </c>
      <c r="F356" s="120">
        <f>IF($B356=0,0,$E356/$B356)</f>
        <v/>
      </c>
    </row>
    <row r="357" ht="15" customHeight="1" s="68">
      <c r="A357" s="114" t="n"/>
      <c r="B357" s="120">
        <f>SUMIFS(tblDonem[Gelir (₺)],tblDonem[Dönem],$A357)</f>
        <v/>
      </c>
      <c r="C357" s="120">
        <f>SUMIFS(tblDonem[KDV Tutarı (₺)],tblDonem[Dönem],$A357)-SUMIFS(tblDonem[KDV Yüklenimi (₺)],tblDonem[Dönem],$A357)</f>
        <v/>
      </c>
      <c r="D357" s="120">
        <f>SUMIFS(tblDonem[Vergi Karşılığı (₺)],tblDonem[Dönem],$A357)</f>
        <v/>
      </c>
      <c r="E357" s="120">
        <f>$C357+$D357</f>
        <v/>
      </c>
      <c r="F357" s="120">
        <f>IF($B357=0,0,$E357/$B357)</f>
        <v/>
      </c>
    </row>
    <row r="358" ht="15" customHeight="1" s="68">
      <c r="A358" s="114" t="n"/>
      <c r="B358" s="120">
        <f>SUMIFS(tblDonem[Gelir (₺)],tblDonem[Dönem],$A358)</f>
        <v/>
      </c>
      <c r="C358" s="120">
        <f>SUMIFS(tblDonem[KDV Tutarı (₺)],tblDonem[Dönem],$A358)-SUMIFS(tblDonem[KDV Yüklenimi (₺)],tblDonem[Dönem],$A358)</f>
        <v/>
      </c>
      <c r="D358" s="120">
        <f>SUMIFS(tblDonem[Vergi Karşılığı (₺)],tblDonem[Dönem],$A358)</f>
        <v/>
      </c>
      <c r="E358" s="120">
        <f>$C358+$D358</f>
        <v/>
      </c>
      <c r="F358" s="120">
        <f>IF($B358=0,0,$E358/$B358)</f>
        <v/>
      </c>
    </row>
    <row r="359" ht="15" customHeight="1" s="68">
      <c r="A359" s="114" t="n"/>
      <c r="B359" s="120">
        <f>SUMIFS(tblDonem[Gelir (₺)],tblDonem[Dönem],$A359)</f>
        <v/>
      </c>
      <c r="C359" s="120">
        <f>SUMIFS(tblDonem[KDV Tutarı (₺)],tblDonem[Dönem],$A359)-SUMIFS(tblDonem[KDV Yüklenimi (₺)],tblDonem[Dönem],$A359)</f>
        <v/>
      </c>
      <c r="D359" s="120">
        <f>SUMIFS(tblDonem[Vergi Karşılığı (₺)],tblDonem[Dönem],$A359)</f>
        <v/>
      </c>
      <c r="E359" s="120">
        <f>$C359+$D359</f>
        <v/>
      </c>
      <c r="F359" s="120">
        <f>IF($B359=0,0,$E359/$B359)</f>
        <v/>
      </c>
    </row>
    <row r="360" ht="15" customHeight="1" s="68">
      <c r="A360" s="114" t="n"/>
      <c r="B360" s="120">
        <f>SUMIFS(tblDonem[Gelir (₺)],tblDonem[Dönem],$A360)</f>
        <v/>
      </c>
      <c r="C360" s="120">
        <f>SUMIFS(tblDonem[KDV Tutarı (₺)],tblDonem[Dönem],$A360)-SUMIFS(tblDonem[KDV Yüklenimi (₺)],tblDonem[Dönem],$A360)</f>
        <v/>
      </c>
      <c r="D360" s="120">
        <f>SUMIFS(tblDonem[Vergi Karşılığı (₺)],tblDonem[Dönem],$A360)</f>
        <v/>
      </c>
      <c r="E360" s="120">
        <f>$C360+$D360</f>
        <v/>
      </c>
      <c r="F360" s="120">
        <f>IF($B360=0,0,$E360/$B360)</f>
        <v/>
      </c>
    </row>
    <row r="361" ht="15" customHeight="1" s="68">
      <c r="A361" s="114" t="n"/>
      <c r="B361" s="120">
        <f>SUMIFS(tblDonem[Gelir (₺)],tblDonem[Dönem],$A361)</f>
        <v/>
      </c>
      <c r="C361" s="120">
        <f>SUMIFS(tblDonem[KDV Tutarı (₺)],tblDonem[Dönem],$A361)-SUMIFS(tblDonem[KDV Yüklenimi (₺)],tblDonem[Dönem],$A361)</f>
        <v/>
      </c>
      <c r="D361" s="120">
        <f>SUMIFS(tblDonem[Vergi Karşılığı (₺)],tblDonem[Dönem],$A361)</f>
        <v/>
      </c>
      <c r="E361" s="120">
        <f>$C361+$D361</f>
        <v/>
      </c>
      <c r="F361" s="120">
        <f>IF($B361=0,0,$E361/$B361)</f>
        <v/>
      </c>
    </row>
    <row r="362" ht="15" customHeight="1" s="68">
      <c r="A362" s="114" t="n"/>
      <c r="B362" s="120">
        <f>SUMIFS(tblDonem[Gelir (₺)],tblDonem[Dönem],$A362)</f>
        <v/>
      </c>
      <c r="C362" s="120">
        <f>SUMIFS(tblDonem[KDV Tutarı (₺)],tblDonem[Dönem],$A362)-SUMIFS(tblDonem[KDV Yüklenimi (₺)],tblDonem[Dönem],$A362)</f>
        <v/>
      </c>
      <c r="D362" s="120">
        <f>SUMIFS(tblDonem[Vergi Karşılığı (₺)],tblDonem[Dönem],$A362)</f>
        <v/>
      </c>
      <c r="E362" s="120">
        <f>$C362+$D362</f>
        <v/>
      </c>
      <c r="F362" s="120">
        <f>IF($B362=0,0,$E362/$B362)</f>
        <v/>
      </c>
    </row>
    <row r="363" ht="15" customHeight="1" s="68">
      <c r="A363" s="114" t="n"/>
      <c r="B363" s="120">
        <f>SUMIFS(tblDonem[Gelir (₺)],tblDonem[Dönem],$A363)</f>
        <v/>
      </c>
      <c r="C363" s="120">
        <f>SUMIFS(tblDonem[KDV Tutarı (₺)],tblDonem[Dönem],$A363)-SUMIFS(tblDonem[KDV Yüklenimi (₺)],tblDonem[Dönem],$A363)</f>
        <v/>
      </c>
      <c r="D363" s="120">
        <f>SUMIFS(tblDonem[Vergi Karşılığı (₺)],tblDonem[Dönem],$A363)</f>
        <v/>
      </c>
      <c r="E363" s="120">
        <f>$C363+$D363</f>
        <v/>
      </c>
      <c r="F363" s="120">
        <f>IF($B363=0,0,$E363/$B363)</f>
        <v/>
      </c>
    </row>
    <row r="364" ht="15" customHeight="1" s="68">
      <c r="A364" s="114" t="n"/>
      <c r="B364" s="120">
        <f>SUMIFS(tblDonem[Gelir (₺)],tblDonem[Dönem],$A364)</f>
        <v/>
      </c>
      <c r="C364" s="120">
        <f>SUMIFS(tblDonem[KDV Tutarı (₺)],tblDonem[Dönem],$A364)-SUMIFS(tblDonem[KDV Yüklenimi (₺)],tblDonem[Dönem],$A364)</f>
        <v/>
      </c>
      <c r="D364" s="120">
        <f>SUMIFS(tblDonem[Vergi Karşılığı (₺)],tblDonem[Dönem],$A364)</f>
        <v/>
      </c>
      <c r="E364" s="120">
        <f>$C364+$D364</f>
        <v/>
      </c>
      <c r="F364" s="120">
        <f>IF($B364=0,0,$E364/$B364)</f>
        <v/>
      </c>
    </row>
    <row r="365" ht="15" customHeight="1" s="68">
      <c r="A365" s="114" t="n"/>
      <c r="B365" s="120">
        <f>SUMIFS(tblDonem[Gelir (₺)],tblDonem[Dönem],$A365)</f>
        <v/>
      </c>
      <c r="C365" s="120">
        <f>SUMIFS(tblDonem[KDV Tutarı (₺)],tblDonem[Dönem],$A365)-SUMIFS(tblDonem[KDV Yüklenimi (₺)],tblDonem[Dönem],$A365)</f>
        <v/>
      </c>
      <c r="D365" s="120">
        <f>SUMIFS(tblDonem[Vergi Karşılığı (₺)],tblDonem[Dönem],$A365)</f>
        <v/>
      </c>
      <c r="E365" s="120">
        <f>$C365+$D365</f>
        <v/>
      </c>
      <c r="F365" s="120">
        <f>IF($B365=0,0,$E365/$B365)</f>
        <v/>
      </c>
    </row>
    <row r="366" ht="15" customHeight="1" s="68">
      <c r="A366" s="114" t="n"/>
      <c r="B366" s="120">
        <f>SUMIFS(tblDonem[Gelir (₺)],tblDonem[Dönem],$A366)</f>
        <v/>
      </c>
      <c r="C366" s="120">
        <f>SUMIFS(tblDonem[KDV Tutarı (₺)],tblDonem[Dönem],$A366)-SUMIFS(tblDonem[KDV Yüklenimi (₺)],tblDonem[Dönem],$A366)</f>
        <v/>
      </c>
      <c r="D366" s="120">
        <f>SUMIFS(tblDonem[Vergi Karşılığı (₺)],tblDonem[Dönem],$A366)</f>
        <v/>
      </c>
      <c r="E366" s="120">
        <f>$C366+$D366</f>
        <v/>
      </c>
      <c r="F366" s="120">
        <f>IF($B366=0,0,$E366/$B366)</f>
        <v/>
      </c>
    </row>
    <row r="367" ht="15" customHeight="1" s="68">
      <c r="A367" s="114" t="n"/>
      <c r="B367" s="120">
        <f>SUMIFS(tblDonem[Gelir (₺)],tblDonem[Dönem],$A367)</f>
        <v/>
      </c>
      <c r="C367" s="120">
        <f>SUMIFS(tblDonem[KDV Tutarı (₺)],tblDonem[Dönem],$A367)-SUMIFS(tblDonem[KDV Yüklenimi (₺)],tblDonem[Dönem],$A367)</f>
        <v/>
      </c>
      <c r="D367" s="120">
        <f>SUMIFS(tblDonem[Vergi Karşılığı (₺)],tblDonem[Dönem],$A367)</f>
        <v/>
      </c>
      <c r="E367" s="120">
        <f>$C367+$D367</f>
        <v/>
      </c>
      <c r="F367" s="120">
        <f>IF($B367=0,0,$E367/$B367)</f>
        <v/>
      </c>
    </row>
    <row r="368" ht="15" customHeight="1" s="68">
      <c r="A368" s="114" t="n"/>
      <c r="B368" s="120">
        <f>SUMIFS(tblDonem[Gelir (₺)],tblDonem[Dönem],$A368)</f>
        <v/>
      </c>
      <c r="C368" s="120">
        <f>SUMIFS(tblDonem[KDV Tutarı (₺)],tblDonem[Dönem],$A368)-SUMIFS(tblDonem[KDV Yüklenimi (₺)],tblDonem[Dönem],$A368)</f>
        <v/>
      </c>
      <c r="D368" s="120">
        <f>SUMIFS(tblDonem[Vergi Karşılığı (₺)],tblDonem[Dönem],$A368)</f>
        <v/>
      </c>
      <c r="E368" s="120">
        <f>$C368+$D368</f>
        <v/>
      </c>
      <c r="F368" s="120">
        <f>IF($B368=0,0,$E368/$B368)</f>
        <v/>
      </c>
    </row>
    <row r="369" ht="15" customHeight="1" s="68">
      <c r="A369" s="114" t="n"/>
      <c r="B369" s="120">
        <f>SUMIFS(tblDonem[Gelir (₺)],tblDonem[Dönem],$A369)</f>
        <v/>
      </c>
      <c r="C369" s="120">
        <f>SUMIFS(tblDonem[KDV Tutarı (₺)],tblDonem[Dönem],$A369)-SUMIFS(tblDonem[KDV Yüklenimi (₺)],tblDonem[Dönem],$A369)</f>
        <v/>
      </c>
      <c r="D369" s="120">
        <f>SUMIFS(tblDonem[Vergi Karşılığı (₺)],tblDonem[Dönem],$A369)</f>
        <v/>
      </c>
      <c r="E369" s="120">
        <f>$C369+$D369</f>
        <v/>
      </c>
      <c r="F369" s="120">
        <f>IF($B369=0,0,$E369/$B369)</f>
        <v/>
      </c>
    </row>
    <row r="370" ht="15" customHeight="1" s="68">
      <c r="A370" s="114" t="n"/>
      <c r="B370" s="120">
        <f>SUMIFS(tblDonem[Gelir (₺)],tblDonem[Dönem],$A370)</f>
        <v/>
      </c>
      <c r="C370" s="120">
        <f>SUMIFS(tblDonem[KDV Tutarı (₺)],tblDonem[Dönem],$A370)-SUMIFS(tblDonem[KDV Yüklenimi (₺)],tblDonem[Dönem],$A370)</f>
        <v/>
      </c>
      <c r="D370" s="120">
        <f>SUMIFS(tblDonem[Vergi Karşılığı (₺)],tblDonem[Dönem],$A370)</f>
        <v/>
      </c>
      <c r="E370" s="120">
        <f>$C370+$D370</f>
        <v/>
      </c>
      <c r="F370" s="120">
        <f>IF($B370=0,0,$E370/$B370)</f>
        <v/>
      </c>
    </row>
    <row r="371" ht="15" customHeight="1" s="68">
      <c r="A371" s="114" t="n"/>
      <c r="B371" s="120">
        <f>SUMIFS(tblDonem[Gelir (₺)],tblDonem[Dönem],$A371)</f>
        <v/>
      </c>
      <c r="C371" s="120">
        <f>SUMIFS(tblDonem[KDV Tutarı (₺)],tblDonem[Dönem],$A371)-SUMIFS(tblDonem[KDV Yüklenimi (₺)],tblDonem[Dönem],$A371)</f>
        <v/>
      </c>
      <c r="D371" s="120">
        <f>SUMIFS(tblDonem[Vergi Karşılığı (₺)],tblDonem[Dönem],$A371)</f>
        <v/>
      </c>
      <c r="E371" s="120">
        <f>$C371+$D371</f>
        <v/>
      </c>
      <c r="F371" s="120">
        <f>IF($B371=0,0,$E371/$B371)</f>
        <v/>
      </c>
    </row>
    <row r="372" ht="15" customHeight="1" s="68">
      <c r="A372" s="114" t="n"/>
      <c r="B372" s="120">
        <f>SUMIFS(tblDonem[Gelir (₺)],tblDonem[Dönem],$A372)</f>
        <v/>
      </c>
      <c r="C372" s="120">
        <f>SUMIFS(tblDonem[KDV Tutarı (₺)],tblDonem[Dönem],$A372)-SUMIFS(tblDonem[KDV Yüklenimi (₺)],tblDonem[Dönem],$A372)</f>
        <v/>
      </c>
      <c r="D372" s="120">
        <f>SUMIFS(tblDonem[Vergi Karşılığı (₺)],tblDonem[Dönem],$A372)</f>
        <v/>
      </c>
      <c r="E372" s="120">
        <f>$C372+$D372</f>
        <v/>
      </c>
      <c r="F372" s="120">
        <f>IF($B372=0,0,$E372/$B372)</f>
        <v/>
      </c>
    </row>
    <row r="373" ht="15" customHeight="1" s="68">
      <c r="A373" s="114" t="n"/>
      <c r="B373" s="120">
        <f>SUMIFS(tblDonem[Gelir (₺)],tblDonem[Dönem],$A373)</f>
        <v/>
      </c>
      <c r="C373" s="120">
        <f>SUMIFS(tblDonem[KDV Tutarı (₺)],tblDonem[Dönem],$A373)-SUMIFS(tblDonem[KDV Yüklenimi (₺)],tblDonem[Dönem],$A373)</f>
        <v/>
      </c>
      <c r="D373" s="120">
        <f>SUMIFS(tblDonem[Vergi Karşılığı (₺)],tblDonem[Dönem],$A373)</f>
        <v/>
      </c>
      <c r="E373" s="120">
        <f>$C373+$D373</f>
        <v/>
      </c>
      <c r="F373" s="120">
        <f>IF($B373=0,0,$E373/$B373)</f>
        <v/>
      </c>
    </row>
    <row r="374" ht="15" customHeight="1" s="68">
      <c r="A374" s="114" t="n"/>
      <c r="B374" s="120">
        <f>SUMIFS(tblDonem[Gelir (₺)],tblDonem[Dönem],$A374)</f>
        <v/>
      </c>
      <c r="C374" s="120">
        <f>SUMIFS(tblDonem[KDV Tutarı (₺)],tblDonem[Dönem],$A374)-SUMIFS(tblDonem[KDV Yüklenimi (₺)],tblDonem[Dönem],$A374)</f>
        <v/>
      </c>
      <c r="D374" s="120">
        <f>SUMIFS(tblDonem[Vergi Karşılığı (₺)],tblDonem[Dönem],$A374)</f>
        <v/>
      </c>
      <c r="E374" s="120">
        <f>$C374+$D374</f>
        <v/>
      </c>
      <c r="F374" s="120">
        <f>IF($B374=0,0,$E374/$B374)</f>
        <v/>
      </c>
    </row>
    <row r="375" ht="15" customHeight="1" s="68">
      <c r="A375" s="114" t="n"/>
      <c r="B375" s="120">
        <f>SUMIFS(tblDonem[Gelir (₺)],tblDonem[Dönem],$A375)</f>
        <v/>
      </c>
      <c r="C375" s="120">
        <f>SUMIFS(tblDonem[KDV Tutarı (₺)],tblDonem[Dönem],$A375)-SUMIFS(tblDonem[KDV Yüklenimi (₺)],tblDonem[Dönem],$A375)</f>
        <v/>
      </c>
      <c r="D375" s="120">
        <f>SUMIFS(tblDonem[Vergi Karşılığı (₺)],tblDonem[Dönem],$A375)</f>
        <v/>
      </c>
      <c r="E375" s="120">
        <f>$C375+$D375</f>
        <v/>
      </c>
      <c r="F375" s="120">
        <f>IF($B375=0,0,$E375/$B375)</f>
        <v/>
      </c>
    </row>
    <row r="376" ht="15" customHeight="1" s="68">
      <c r="A376" s="114" t="n"/>
      <c r="B376" s="120">
        <f>SUMIFS(tblDonem[Gelir (₺)],tblDonem[Dönem],$A376)</f>
        <v/>
      </c>
      <c r="C376" s="120">
        <f>SUMIFS(tblDonem[KDV Tutarı (₺)],tblDonem[Dönem],$A376)-SUMIFS(tblDonem[KDV Yüklenimi (₺)],tblDonem[Dönem],$A376)</f>
        <v/>
      </c>
      <c r="D376" s="120">
        <f>SUMIFS(tblDonem[Vergi Karşılığı (₺)],tblDonem[Dönem],$A376)</f>
        <v/>
      </c>
      <c r="E376" s="120">
        <f>$C376+$D376</f>
        <v/>
      </c>
      <c r="F376" s="120">
        <f>IF($B376=0,0,$E376/$B376)</f>
        <v/>
      </c>
    </row>
    <row r="377" ht="15" customHeight="1" s="68">
      <c r="A377" s="114" t="n"/>
      <c r="B377" s="120">
        <f>SUMIFS(tblDonem[Gelir (₺)],tblDonem[Dönem],$A377)</f>
        <v/>
      </c>
      <c r="C377" s="120">
        <f>SUMIFS(tblDonem[KDV Tutarı (₺)],tblDonem[Dönem],$A377)-SUMIFS(tblDonem[KDV Yüklenimi (₺)],tblDonem[Dönem],$A377)</f>
        <v/>
      </c>
      <c r="D377" s="120">
        <f>SUMIFS(tblDonem[Vergi Karşılığı (₺)],tblDonem[Dönem],$A377)</f>
        <v/>
      </c>
      <c r="E377" s="120">
        <f>$C377+$D377</f>
        <v/>
      </c>
      <c r="F377" s="120">
        <f>IF($B377=0,0,$E377/$B377)</f>
        <v/>
      </c>
    </row>
    <row r="378" ht="15" customHeight="1" s="68">
      <c r="A378" s="114" t="n"/>
      <c r="B378" s="120">
        <f>SUMIFS(tblDonem[Gelir (₺)],tblDonem[Dönem],$A378)</f>
        <v/>
      </c>
      <c r="C378" s="120">
        <f>SUMIFS(tblDonem[KDV Tutarı (₺)],tblDonem[Dönem],$A378)-SUMIFS(tblDonem[KDV Yüklenimi (₺)],tblDonem[Dönem],$A378)</f>
        <v/>
      </c>
      <c r="D378" s="120">
        <f>SUMIFS(tblDonem[Vergi Karşılığı (₺)],tblDonem[Dönem],$A378)</f>
        <v/>
      </c>
      <c r="E378" s="120">
        <f>$C378+$D378</f>
        <v/>
      </c>
      <c r="F378" s="120">
        <f>IF($B378=0,0,$E378/$B378)</f>
        <v/>
      </c>
    </row>
    <row r="379" ht="15" customHeight="1" s="68">
      <c r="A379" s="114" t="n"/>
      <c r="B379" s="120">
        <f>SUMIFS(tblDonem[Gelir (₺)],tblDonem[Dönem],$A379)</f>
        <v/>
      </c>
      <c r="C379" s="120">
        <f>SUMIFS(tblDonem[KDV Tutarı (₺)],tblDonem[Dönem],$A379)-SUMIFS(tblDonem[KDV Yüklenimi (₺)],tblDonem[Dönem],$A379)</f>
        <v/>
      </c>
      <c r="D379" s="120">
        <f>SUMIFS(tblDonem[Vergi Karşılığı (₺)],tblDonem[Dönem],$A379)</f>
        <v/>
      </c>
      <c r="E379" s="120">
        <f>$C379+$D379</f>
        <v/>
      </c>
      <c r="F379" s="120">
        <f>IF($B379=0,0,$E379/$B379)</f>
        <v/>
      </c>
    </row>
    <row r="380" ht="15" customHeight="1" s="68">
      <c r="A380" s="114" t="n"/>
      <c r="B380" s="120">
        <f>SUMIFS(tblDonem[Gelir (₺)],tblDonem[Dönem],$A380)</f>
        <v/>
      </c>
      <c r="C380" s="120">
        <f>SUMIFS(tblDonem[KDV Tutarı (₺)],tblDonem[Dönem],$A380)-SUMIFS(tblDonem[KDV Yüklenimi (₺)],tblDonem[Dönem],$A380)</f>
        <v/>
      </c>
      <c r="D380" s="120">
        <f>SUMIFS(tblDonem[Vergi Karşılığı (₺)],tblDonem[Dönem],$A380)</f>
        <v/>
      </c>
      <c r="E380" s="120">
        <f>$C380+$D380</f>
        <v/>
      </c>
      <c r="F380" s="120">
        <f>IF($B380=0,0,$E380/$B380)</f>
        <v/>
      </c>
    </row>
    <row r="381" ht="15" customHeight="1" s="68">
      <c r="A381" s="114" t="n"/>
      <c r="B381" s="120">
        <f>SUMIFS(tblDonem[Gelir (₺)],tblDonem[Dönem],$A381)</f>
        <v/>
      </c>
      <c r="C381" s="120">
        <f>SUMIFS(tblDonem[KDV Tutarı (₺)],tblDonem[Dönem],$A381)-SUMIFS(tblDonem[KDV Yüklenimi (₺)],tblDonem[Dönem],$A381)</f>
        <v/>
      </c>
      <c r="D381" s="120">
        <f>SUMIFS(tblDonem[Vergi Karşılığı (₺)],tblDonem[Dönem],$A381)</f>
        <v/>
      </c>
      <c r="E381" s="120">
        <f>$C381+$D381</f>
        <v/>
      </c>
      <c r="F381" s="120">
        <f>IF($B381=0,0,$E381/$B381)</f>
        <v/>
      </c>
    </row>
    <row r="382" ht="15" customHeight="1" s="68">
      <c r="A382" s="114" t="n"/>
      <c r="B382" s="120">
        <f>SUMIFS(tblDonem[Gelir (₺)],tblDonem[Dönem],$A382)</f>
        <v/>
      </c>
      <c r="C382" s="120">
        <f>SUMIFS(tblDonem[KDV Tutarı (₺)],tblDonem[Dönem],$A382)-SUMIFS(tblDonem[KDV Yüklenimi (₺)],tblDonem[Dönem],$A382)</f>
        <v/>
      </c>
      <c r="D382" s="120">
        <f>SUMIFS(tblDonem[Vergi Karşılığı (₺)],tblDonem[Dönem],$A382)</f>
        <v/>
      </c>
      <c r="E382" s="120">
        <f>$C382+$D382</f>
        <v/>
      </c>
      <c r="F382" s="120">
        <f>IF($B382=0,0,$E382/$B382)</f>
        <v/>
      </c>
    </row>
    <row r="383" ht="15" customHeight="1" s="68">
      <c r="A383" s="114" t="n"/>
      <c r="B383" s="120">
        <f>SUMIFS(tblDonem[Gelir (₺)],tblDonem[Dönem],$A383)</f>
        <v/>
      </c>
      <c r="C383" s="120">
        <f>SUMIFS(tblDonem[KDV Tutarı (₺)],tblDonem[Dönem],$A383)-SUMIFS(tblDonem[KDV Yüklenimi (₺)],tblDonem[Dönem],$A383)</f>
        <v/>
      </c>
      <c r="D383" s="120">
        <f>SUMIFS(tblDonem[Vergi Karşılığı (₺)],tblDonem[Dönem],$A383)</f>
        <v/>
      </c>
      <c r="E383" s="120">
        <f>$C383+$D383</f>
        <v/>
      </c>
      <c r="F383" s="120">
        <f>IF($B383=0,0,$E383/$B383)</f>
        <v/>
      </c>
    </row>
    <row r="384" ht="15" customHeight="1" s="68">
      <c r="A384" s="114" t="n"/>
      <c r="B384" s="120">
        <f>SUMIFS(tblDonem[Gelir (₺)],tblDonem[Dönem],$A384)</f>
        <v/>
      </c>
      <c r="C384" s="120">
        <f>SUMIFS(tblDonem[KDV Tutarı (₺)],tblDonem[Dönem],$A384)-SUMIFS(tblDonem[KDV Yüklenimi (₺)],tblDonem[Dönem],$A384)</f>
        <v/>
      </c>
      <c r="D384" s="120">
        <f>SUMIFS(tblDonem[Vergi Karşılığı (₺)],tblDonem[Dönem],$A384)</f>
        <v/>
      </c>
      <c r="E384" s="120">
        <f>$C384+$D384</f>
        <v/>
      </c>
      <c r="F384" s="120">
        <f>IF($B384=0,0,$E384/$B384)</f>
        <v/>
      </c>
    </row>
    <row r="385" ht="15" customHeight="1" s="68">
      <c r="A385" s="114" t="n"/>
      <c r="B385" s="120">
        <f>SUMIFS(tblDonem[Gelir (₺)],tblDonem[Dönem],$A385)</f>
        <v/>
      </c>
      <c r="C385" s="120">
        <f>SUMIFS(tblDonem[KDV Tutarı (₺)],tblDonem[Dönem],$A385)-SUMIFS(tblDonem[KDV Yüklenimi (₺)],tblDonem[Dönem],$A385)</f>
        <v/>
      </c>
      <c r="D385" s="120">
        <f>SUMIFS(tblDonem[Vergi Karşılığı (₺)],tblDonem[Dönem],$A385)</f>
        <v/>
      </c>
      <c r="E385" s="120">
        <f>$C385+$D385</f>
        <v/>
      </c>
      <c r="F385" s="120">
        <f>IF($B385=0,0,$E385/$B385)</f>
        <v/>
      </c>
    </row>
    <row r="386" ht="15" customHeight="1" s="68">
      <c r="A386" s="114" t="n"/>
      <c r="B386" s="120">
        <f>SUMIFS(tblDonem[Gelir (₺)],tblDonem[Dönem],$A386)</f>
        <v/>
      </c>
      <c r="C386" s="120">
        <f>SUMIFS(tblDonem[KDV Tutarı (₺)],tblDonem[Dönem],$A386)-SUMIFS(tblDonem[KDV Yüklenimi (₺)],tblDonem[Dönem],$A386)</f>
        <v/>
      </c>
      <c r="D386" s="120">
        <f>SUMIFS(tblDonem[Vergi Karşılığı (₺)],tblDonem[Dönem],$A386)</f>
        <v/>
      </c>
      <c r="E386" s="120">
        <f>$C386+$D386</f>
        <v/>
      </c>
      <c r="F386" s="120">
        <f>IF($B386=0,0,$E386/$B386)</f>
        <v/>
      </c>
    </row>
    <row r="387" ht="15" customHeight="1" s="68">
      <c r="A387" s="114" t="n"/>
      <c r="B387" s="120">
        <f>SUMIFS(tblDonem[Gelir (₺)],tblDonem[Dönem],$A387)</f>
        <v/>
      </c>
      <c r="C387" s="120">
        <f>SUMIFS(tblDonem[KDV Tutarı (₺)],tblDonem[Dönem],$A387)-SUMIFS(tblDonem[KDV Yüklenimi (₺)],tblDonem[Dönem],$A387)</f>
        <v/>
      </c>
      <c r="D387" s="120">
        <f>SUMIFS(tblDonem[Vergi Karşılığı (₺)],tblDonem[Dönem],$A387)</f>
        <v/>
      </c>
      <c r="E387" s="120">
        <f>$C387+$D387</f>
        <v/>
      </c>
      <c r="F387" s="120">
        <f>IF($B387=0,0,$E387/$B387)</f>
        <v/>
      </c>
    </row>
    <row r="388" ht="15" customHeight="1" s="68">
      <c r="A388" s="114" t="n"/>
      <c r="B388" s="120">
        <f>SUMIFS(tblDonem[Gelir (₺)],tblDonem[Dönem],$A388)</f>
        <v/>
      </c>
      <c r="C388" s="120">
        <f>SUMIFS(tblDonem[KDV Tutarı (₺)],tblDonem[Dönem],$A388)-SUMIFS(tblDonem[KDV Yüklenimi (₺)],tblDonem[Dönem],$A388)</f>
        <v/>
      </c>
      <c r="D388" s="120">
        <f>SUMIFS(tblDonem[Vergi Karşılığı (₺)],tblDonem[Dönem],$A388)</f>
        <v/>
      </c>
      <c r="E388" s="120">
        <f>$C388+$D388</f>
        <v/>
      </c>
      <c r="F388" s="120">
        <f>IF($B388=0,0,$E388/$B388)</f>
        <v/>
      </c>
    </row>
    <row r="389" ht="15" customHeight="1" s="68">
      <c r="A389" s="114" t="n"/>
      <c r="B389" s="120">
        <f>SUMIFS(tblDonem[Gelir (₺)],tblDonem[Dönem],$A389)</f>
        <v/>
      </c>
      <c r="C389" s="120">
        <f>SUMIFS(tblDonem[KDV Tutarı (₺)],tblDonem[Dönem],$A389)-SUMIFS(tblDonem[KDV Yüklenimi (₺)],tblDonem[Dönem],$A389)</f>
        <v/>
      </c>
      <c r="D389" s="120">
        <f>SUMIFS(tblDonem[Vergi Karşılığı (₺)],tblDonem[Dönem],$A389)</f>
        <v/>
      </c>
      <c r="E389" s="120">
        <f>$C389+$D389</f>
        <v/>
      </c>
      <c r="F389" s="120">
        <f>IF($B389=0,0,$E389/$B389)</f>
        <v/>
      </c>
    </row>
    <row r="390" ht="15" customHeight="1" s="68">
      <c r="A390" s="114" t="n"/>
      <c r="B390" s="120">
        <f>SUMIFS(tblDonem[Gelir (₺)],tblDonem[Dönem],$A390)</f>
        <v/>
      </c>
      <c r="C390" s="120">
        <f>SUMIFS(tblDonem[KDV Tutarı (₺)],tblDonem[Dönem],$A390)-SUMIFS(tblDonem[KDV Yüklenimi (₺)],tblDonem[Dönem],$A390)</f>
        <v/>
      </c>
      <c r="D390" s="120">
        <f>SUMIFS(tblDonem[Vergi Karşılığı (₺)],tblDonem[Dönem],$A390)</f>
        <v/>
      </c>
      <c r="E390" s="120">
        <f>$C390+$D390</f>
        <v/>
      </c>
      <c r="F390" s="120">
        <f>IF($B390=0,0,$E390/$B390)</f>
        <v/>
      </c>
    </row>
    <row r="391" ht="15" customHeight="1" s="68">
      <c r="A391" s="114" t="n"/>
      <c r="B391" s="120">
        <f>SUMIFS(tblDonem[Gelir (₺)],tblDonem[Dönem],$A391)</f>
        <v/>
      </c>
      <c r="C391" s="120">
        <f>SUMIFS(tblDonem[KDV Tutarı (₺)],tblDonem[Dönem],$A391)-SUMIFS(tblDonem[KDV Yüklenimi (₺)],tblDonem[Dönem],$A391)</f>
        <v/>
      </c>
      <c r="D391" s="120">
        <f>SUMIFS(tblDonem[Vergi Karşılığı (₺)],tblDonem[Dönem],$A391)</f>
        <v/>
      </c>
      <c r="E391" s="120">
        <f>$C391+$D391</f>
        <v/>
      </c>
      <c r="F391" s="120">
        <f>IF($B391=0,0,$E391/$B391)</f>
        <v/>
      </c>
    </row>
    <row r="392" ht="15" customHeight="1" s="68">
      <c r="A392" s="114" t="n"/>
      <c r="B392" s="120">
        <f>SUMIFS(tblDonem[Gelir (₺)],tblDonem[Dönem],$A392)</f>
        <v/>
      </c>
      <c r="C392" s="120">
        <f>SUMIFS(tblDonem[KDV Tutarı (₺)],tblDonem[Dönem],$A392)-SUMIFS(tblDonem[KDV Yüklenimi (₺)],tblDonem[Dönem],$A392)</f>
        <v/>
      </c>
      <c r="D392" s="120">
        <f>SUMIFS(tblDonem[Vergi Karşılığı (₺)],tblDonem[Dönem],$A392)</f>
        <v/>
      </c>
      <c r="E392" s="120">
        <f>$C392+$D392</f>
        <v/>
      </c>
      <c r="F392" s="120">
        <f>IF($B392=0,0,$E392/$B392)</f>
        <v/>
      </c>
    </row>
    <row r="393" ht="15" customHeight="1" s="68">
      <c r="A393" s="114" t="n"/>
      <c r="B393" s="120">
        <f>SUMIFS(tblDonem[Gelir (₺)],tblDonem[Dönem],$A393)</f>
        <v/>
      </c>
      <c r="C393" s="120">
        <f>SUMIFS(tblDonem[KDV Tutarı (₺)],tblDonem[Dönem],$A393)-SUMIFS(tblDonem[KDV Yüklenimi (₺)],tblDonem[Dönem],$A393)</f>
        <v/>
      </c>
      <c r="D393" s="120">
        <f>SUMIFS(tblDonem[Vergi Karşılığı (₺)],tblDonem[Dönem],$A393)</f>
        <v/>
      </c>
      <c r="E393" s="120">
        <f>$C393+$D393</f>
        <v/>
      </c>
      <c r="F393" s="120">
        <f>IF($B393=0,0,$E393/$B393)</f>
        <v/>
      </c>
    </row>
    <row r="394" ht="15" customHeight="1" s="68">
      <c r="A394" s="114" t="n"/>
      <c r="B394" s="120">
        <f>SUMIFS(tblDonem[Gelir (₺)],tblDonem[Dönem],$A394)</f>
        <v/>
      </c>
      <c r="C394" s="120">
        <f>SUMIFS(tblDonem[KDV Tutarı (₺)],tblDonem[Dönem],$A394)-SUMIFS(tblDonem[KDV Yüklenimi (₺)],tblDonem[Dönem],$A394)</f>
        <v/>
      </c>
      <c r="D394" s="120">
        <f>SUMIFS(tblDonem[Vergi Karşılığı (₺)],tblDonem[Dönem],$A394)</f>
        <v/>
      </c>
      <c r="E394" s="120">
        <f>$C394+$D394</f>
        <v/>
      </c>
      <c r="F394" s="120">
        <f>IF($B394=0,0,$E394/$B394)</f>
        <v/>
      </c>
    </row>
    <row r="395" ht="15" customHeight="1" s="68">
      <c r="A395" s="114" t="n"/>
      <c r="B395" s="120">
        <f>SUMIFS(tblDonem[Gelir (₺)],tblDonem[Dönem],$A395)</f>
        <v/>
      </c>
      <c r="C395" s="120">
        <f>SUMIFS(tblDonem[KDV Tutarı (₺)],tblDonem[Dönem],$A395)-SUMIFS(tblDonem[KDV Yüklenimi (₺)],tblDonem[Dönem],$A395)</f>
        <v/>
      </c>
      <c r="D395" s="120">
        <f>SUMIFS(tblDonem[Vergi Karşılığı (₺)],tblDonem[Dönem],$A395)</f>
        <v/>
      </c>
      <c r="E395" s="120">
        <f>$C395+$D395</f>
        <v/>
      </c>
      <c r="F395" s="120">
        <f>IF($B395=0,0,$E395/$B395)</f>
        <v/>
      </c>
    </row>
    <row r="396" ht="15" customHeight="1" s="68">
      <c r="A396" s="114" t="n"/>
      <c r="B396" s="120">
        <f>SUMIFS(tblDonem[Gelir (₺)],tblDonem[Dönem],$A396)</f>
        <v/>
      </c>
      <c r="C396" s="120">
        <f>SUMIFS(tblDonem[KDV Tutarı (₺)],tblDonem[Dönem],$A396)-SUMIFS(tblDonem[KDV Yüklenimi (₺)],tblDonem[Dönem],$A396)</f>
        <v/>
      </c>
      <c r="D396" s="120">
        <f>SUMIFS(tblDonem[Vergi Karşılığı (₺)],tblDonem[Dönem],$A396)</f>
        <v/>
      </c>
      <c r="E396" s="120">
        <f>$C396+$D396</f>
        <v/>
      </c>
      <c r="F396" s="120">
        <f>IF($B396=0,0,$E396/$B396)</f>
        <v/>
      </c>
    </row>
    <row r="397" ht="15" customHeight="1" s="68">
      <c r="A397" s="114" t="n"/>
      <c r="B397" s="120">
        <f>SUMIFS(tblDonem[Gelir (₺)],tblDonem[Dönem],$A397)</f>
        <v/>
      </c>
      <c r="C397" s="120">
        <f>SUMIFS(tblDonem[KDV Tutarı (₺)],tblDonem[Dönem],$A397)-SUMIFS(tblDonem[KDV Yüklenimi (₺)],tblDonem[Dönem],$A397)</f>
        <v/>
      </c>
      <c r="D397" s="120">
        <f>SUMIFS(tblDonem[Vergi Karşılığı (₺)],tblDonem[Dönem],$A397)</f>
        <v/>
      </c>
      <c r="E397" s="120">
        <f>$C397+$D397</f>
        <v/>
      </c>
      <c r="F397" s="120">
        <f>IF($B397=0,0,$E397/$B397)</f>
        <v/>
      </c>
    </row>
    <row r="398" ht="15" customHeight="1" s="68">
      <c r="A398" s="114" t="n"/>
      <c r="B398" s="120">
        <f>SUMIFS(tblDonem[Gelir (₺)],tblDonem[Dönem],$A398)</f>
        <v/>
      </c>
      <c r="C398" s="120">
        <f>SUMIFS(tblDonem[KDV Tutarı (₺)],tblDonem[Dönem],$A398)-SUMIFS(tblDonem[KDV Yüklenimi (₺)],tblDonem[Dönem],$A398)</f>
        <v/>
      </c>
      <c r="D398" s="120">
        <f>SUMIFS(tblDonem[Vergi Karşılığı (₺)],tblDonem[Dönem],$A398)</f>
        <v/>
      </c>
      <c r="E398" s="120">
        <f>$C398+$D398</f>
        <v/>
      </c>
      <c r="F398" s="120">
        <f>IF($B398=0,0,$E398/$B398)</f>
        <v/>
      </c>
    </row>
    <row r="399" ht="15" customHeight="1" s="68">
      <c r="A399" s="114" t="n"/>
      <c r="B399" s="120">
        <f>SUMIFS(tblDonem[Gelir (₺)],tblDonem[Dönem],$A399)</f>
        <v/>
      </c>
      <c r="C399" s="120">
        <f>SUMIFS(tblDonem[KDV Tutarı (₺)],tblDonem[Dönem],$A399)-SUMIFS(tblDonem[KDV Yüklenimi (₺)],tblDonem[Dönem],$A399)</f>
        <v/>
      </c>
      <c r="D399" s="120">
        <f>SUMIFS(tblDonem[Vergi Karşılığı (₺)],tblDonem[Dönem],$A399)</f>
        <v/>
      </c>
      <c r="E399" s="120">
        <f>$C399+$D399</f>
        <v/>
      </c>
      <c r="F399" s="120">
        <f>IF($B399=0,0,$E399/$B399)</f>
        <v/>
      </c>
    </row>
    <row r="400" ht="15" customHeight="1" s="68">
      <c r="A400" s="114" t="n"/>
      <c r="B400" s="120">
        <f>SUMIFS(tblDonem[Gelir (₺)],tblDonem[Dönem],$A400)</f>
        <v/>
      </c>
      <c r="C400" s="120">
        <f>SUMIFS(tblDonem[KDV Tutarı (₺)],tblDonem[Dönem],$A400)-SUMIFS(tblDonem[KDV Yüklenimi (₺)],tblDonem[Dönem],$A400)</f>
        <v/>
      </c>
      <c r="D400" s="120">
        <f>SUMIFS(tblDonem[Vergi Karşılığı (₺)],tblDonem[Dönem],$A400)</f>
        <v/>
      </c>
      <c r="E400" s="120">
        <f>$C400+$D400</f>
        <v/>
      </c>
      <c r="F400" s="120">
        <f>IF($B400=0,0,$E400/$B400)</f>
        <v/>
      </c>
    </row>
    <row r="401" ht="15" customHeight="1" s="68">
      <c r="A401" s="114" t="n"/>
      <c r="B401" s="120">
        <f>SUMIFS(tblDonem[Gelir (₺)],tblDonem[Dönem],$A401)</f>
        <v/>
      </c>
      <c r="C401" s="120">
        <f>SUMIFS(tblDonem[KDV Tutarı (₺)],tblDonem[Dönem],$A401)-SUMIFS(tblDonem[KDV Yüklenimi (₺)],tblDonem[Dönem],$A401)</f>
        <v/>
      </c>
      <c r="D401" s="120">
        <f>SUMIFS(tblDonem[Vergi Karşılığı (₺)],tblDonem[Dönem],$A401)</f>
        <v/>
      </c>
      <c r="E401" s="120">
        <f>$C401+$D401</f>
        <v/>
      </c>
      <c r="F401" s="120">
        <f>IF($B401=0,0,$E401/$B401)</f>
        <v/>
      </c>
    </row>
    <row r="402" ht="15" customHeight="1" s="68">
      <c r="A402" s="114" t="n"/>
      <c r="B402" s="120">
        <f>SUMIFS(tblDonem[Gelir (₺)],tblDonem[Dönem],$A402)</f>
        <v/>
      </c>
      <c r="C402" s="120">
        <f>SUMIFS(tblDonem[KDV Tutarı (₺)],tblDonem[Dönem],$A402)-SUMIFS(tblDonem[KDV Yüklenimi (₺)],tblDonem[Dönem],$A402)</f>
        <v/>
      </c>
      <c r="D402" s="120">
        <f>SUMIFS(tblDonem[Vergi Karşılığı (₺)],tblDonem[Dönem],$A402)</f>
        <v/>
      </c>
      <c r="E402" s="120">
        <f>$C402+$D402</f>
        <v/>
      </c>
      <c r="F402" s="120">
        <f>IF($B402=0,0,$E402/$B402)</f>
        <v/>
      </c>
    </row>
    <row r="403" ht="15" customHeight="1" s="68">
      <c r="A403" s="114" t="n"/>
      <c r="B403" s="120">
        <f>SUMIFS(tblDonem[Gelir (₺)],tblDonem[Dönem],$A403)</f>
        <v/>
      </c>
      <c r="C403" s="120">
        <f>SUMIFS(tblDonem[KDV Tutarı (₺)],tblDonem[Dönem],$A403)-SUMIFS(tblDonem[KDV Yüklenimi (₺)],tblDonem[Dönem],$A403)</f>
        <v/>
      </c>
      <c r="D403" s="120">
        <f>SUMIFS(tblDonem[Vergi Karşılığı (₺)],tblDonem[Dönem],$A403)</f>
        <v/>
      </c>
      <c r="E403" s="120">
        <f>$C403+$D403</f>
        <v/>
      </c>
      <c r="F403" s="120">
        <f>IF($B403=0,0,$E403/$B403)</f>
        <v/>
      </c>
    </row>
    <row r="404" ht="15" customHeight="1" s="68">
      <c r="A404" s="114" t="n"/>
      <c r="B404" s="120">
        <f>SUMIFS(tblDonem[Gelir (₺)],tblDonem[Dönem],$A404)</f>
        <v/>
      </c>
      <c r="C404" s="120">
        <f>SUMIFS(tblDonem[KDV Tutarı (₺)],tblDonem[Dönem],$A404)-SUMIFS(tblDonem[KDV Yüklenimi (₺)],tblDonem[Dönem],$A404)</f>
        <v/>
      </c>
      <c r="D404" s="120">
        <f>SUMIFS(tblDonem[Vergi Karşılığı (₺)],tblDonem[Dönem],$A404)</f>
        <v/>
      </c>
      <c r="E404" s="120">
        <f>$C404+$D404</f>
        <v/>
      </c>
      <c r="F404" s="120">
        <f>IF($B404=0,0,$E404/$B404)</f>
        <v/>
      </c>
    </row>
    <row r="405" ht="15" customHeight="1" s="68">
      <c r="A405" s="114" t="n"/>
      <c r="B405" s="120">
        <f>SUMIFS(tblDonem[Gelir (₺)],tblDonem[Dönem],$A405)</f>
        <v/>
      </c>
      <c r="C405" s="120">
        <f>SUMIFS(tblDonem[KDV Tutarı (₺)],tblDonem[Dönem],$A405)-SUMIFS(tblDonem[KDV Yüklenimi (₺)],tblDonem[Dönem],$A405)</f>
        <v/>
      </c>
      <c r="D405" s="120">
        <f>SUMIFS(tblDonem[Vergi Karşılığı (₺)],tblDonem[Dönem],$A405)</f>
        <v/>
      </c>
      <c r="E405" s="120">
        <f>$C405+$D405</f>
        <v/>
      </c>
      <c r="F405" s="120">
        <f>IF($B405=0,0,$E405/$B405)</f>
        <v/>
      </c>
    </row>
    <row r="406" ht="15" customHeight="1" s="68">
      <c r="A406" s="114" t="n"/>
      <c r="B406" s="120">
        <f>SUMIFS(tblDonem[Gelir (₺)],tblDonem[Dönem],$A406)</f>
        <v/>
      </c>
      <c r="C406" s="120">
        <f>SUMIFS(tblDonem[KDV Tutarı (₺)],tblDonem[Dönem],$A406)-SUMIFS(tblDonem[KDV Yüklenimi (₺)],tblDonem[Dönem],$A406)</f>
        <v/>
      </c>
      <c r="D406" s="120">
        <f>SUMIFS(tblDonem[Vergi Karşılığı (₺)],tblDonem[Dönem],$A406)</f>
        <v/>
      </c>
      <c r="E406" s="120">
        <f>$C406+$D406</f>
        <v/>
      </c>
      <c r="F406" s="120">
        <f>IF($B406=0,0,$E406/$B406)</f>
        <v/>
      </c>
    </row>
    <row r="407" ht="15" customHeight="1" s="68">
      <c r="A407" s="114" t="n"/>
      <c r="B407" s="120">
        <f>SUMIFS(tblDonem[Gelir (₺)],tblDonem[Dönem],$A407)</f>
        <v/>
      </c>
      <c r="C407" s="120">
        <f>SUMIFS(tblDonem[KDV Tutarı (₺)],tblDonem[Dönem],$A407)-SUMIFS(tblDonem[KDV Yüklenimi (₺)],tblDonem[Dönem],$A407)</f>
        <v/>
      </c>
      <c r="D407" s="120">
        <f>SUMIFS(tblDonem[Vergi Karşılığı (₺)],tblDonem[Dönem],$A407)</f>
        <v/>
      </c>
      <c r="E407" s="120">
        <f>$C407+$D407</f>
        <v/>
      </c>
      <c r="F407" s="120">
        <f>IF($B407=0,0,$E407/$B407)</f>
        <v/>
      </c>
    </row>
    <row r="408" ht="15" customHeight="1" s="68">
      <c r="A408" s="114" t="n"/>
      <c r="B408" s="120">
        <f>SUMIFS(tblDonem[Gelir (₺)],tblDonem[Dönem],$A408)</f>
        <v/>
      </c>
      <c r="C408" s="120">
        <f>SUMIFS(tblDonem[KDV Tutarı (₺)],tblDonem[Dönem],$A408)-SUMIFS(tblDonem[KDV Yüklenimi (₺)],tblDonem[Dönem],$A408)</f>
        <v/>
      </c>
      <c r="D408" s="120">
        <f>SUMIFS(tblDonem[Vergi Karşılığı (₺)],tblDonem[Dönem],$A408)</f>
        <v/>
      </c>
      <c r="E408" s="120">
        <f>$C408+$D408</f>
        <v/>
      </c>
      <c r="F408" s="120">
        <f>IF($B408=0,0,$E408/$B408)</f>
        <v/>
      </c>
    </row>
    <row r="409" ht="15" customHeight="1" s="68">
      <c r="A409" s="114" t="n"/>
      <c r="B409" s="120">
        <f>SUMIFS(tblDonem[Gelir (₺)],tblDonem[Dönem],$A409)</f>
        <v/>
      </c>
      <c r="C409" s="120">
        <f>SUMIFS(tblDonem[KDV Tutarı (₺)],tblDonem[Dönem],$A409)-SUMIFS(tblDonem[KDV Yüklenimi (₺)],tblDonem[Dönem],$A409)</f>
        <v/>
      </c>
      <c r="D409" s="120">
        <f>SUMIFS(tblDonem[Vergi Karşılığı (₺)],tblDonem[Dönem],$A409)</f>
        <v/>
      </c>
      <c r="E409" s="120">
        <f>$C409+$D409</f>
        <v/>
      </c>
      <c r="F409" s="120">
        <f>IF($B409=0,0,$E409/$B409)</f>
        <v/>
      </c>
    </row>
    <row r="410" ht="15" customHeight="1" s="68">
      <c r="A410" s="114" t="n"/>
      <c r="B410" s="120">
        <f>SUMIFS(tblDonem[Gelir (₺)],tblDonem[Dönem],$A410)</f>
        <v/>
      </c>
      <c r="C410" s="120">
        <f>SUMIFS(tblDonem[KDV Tutarı (₺)],tblDonem[Dönem],$A410)-SUMIFS(tblDonem[KDV Yüklenimi (₺)],tblDonem[Dönem],$A410)</f>
        <v/>
      </c>
      <c r="D410" s="120">
        <f>SUMIFS(tblDonem[Vergi Karşılığı (₺)],tblDonem[Dönem],$A410)</f>
        <v/>
      </c>
      <c r="E410" s="120">
        <f>$C410+$D410</f>
        <v/>
      </c>
      <c r="F410" s="120">
        <f>IF($B410=0,0,$E410/$B410)</f>
        <v/>
      </c>
    </row>
    <row r="411" ht="15" customHeight="1" s="68">
      <c r="A411" s="114" t="n"/>
      <c r="B411" s="120">
        <f>SUMIFS(tblDonem[Gelir (₺)],tblDonem[Dönem],$A411)</f>
        <v/>
      </c>
      <c r="C411" s="120">
        <f>SUMIFS(tblDonem[KDV Tutarı (₺)],tblDonem[Dönem],$A411)-SUMIFS(tblDonem[KDV Yüklenimi (₺)],tblDonem[Dönem],$A411)</f>
        <v/>
      </c>
      <c r="D411" s="120">
        <f>SUMIFS(tblDonem[Vergi Karşılığı (₺)],tblDonem[Dönem],$A411)</f>
        <v/>
      </c>
      <c r="E411" s="120">
        <f>$C411+$D411</f>
        <v/>
      </c>
      <c r="F411" s="120">
        <f>IF($B411=0,0,$E411/$B411)</f>
        <v/>
      </c>
    </row>
    <row r="412" ht="15" customHeight="1" s="68">
      <c r="A412" s="114" t="n"/>
      <c r="B412" s="120">
        <f>SUMIFS(tblDonem[Gelir (₺)],tblDonem[Dönem],$A412)</f>
        <v/>
      </c>
      <c r="C412" s="120">
        <f>SUMIFS(tblDonem[KDV Tutarı (₺)],tblDonem[Dönem],$A412)-SUMIFS(tblDonem[KDV Yüklenimi (₺)],tblDonem[Dönem],$A412)</f>
        <v/>
      </c>
      <c r="D412" s="120">
        <f>SUMIFS(tblDonem[Vergi Karşılığı (₺)],tblDonem[Dönem],$A412)</f>
        <v/>
      </c>
      <c r="E412" s="120">
        <f>$C412+$D412</f>
        <v/>
      </c>
      <c r="F412" s="120">
        <f>IF($B412=0,0,$E412/$B412)</f>
        <v/>
      </c>
    </row>
    <row r="413" ht="15" customHeight="1" s="68">
      <c r="A413" s="114" t="n"/>
      <c r="B413" s="120">
        <f>SUMIFS(tblDonem[Gelir (₺)],tblDonem[Dönem],$A413)</f>
        <v/>
      </c>
      <c r="C413" s="120">
        <f>SUMIFS(tblDonem[KDV Tutarı (₺)],tblDonem[Dönem],$A413)-SUMIFS(tblDonem[KDV Yüklenimi (₺)],tblDonem[Dönem],$A413)</f>
        <v/>
      </c>
      <c r="D413" s="120">
        <f>SUMIFS(tblDonem[Vergi Karşılığı (₺)],tblDonem[Dönem],$A413)</f>
        <v/>
      </c>
      <c r="E413" s="120">
        <f>$C413+$D413</f>
        <v/>
      </c>
      <c r="F413" s="120">
        <f>IF($B413=0,0,$E413/$B413)</f>
        <v/>
      </c>
    </row>
    <row r="414" ht="15" customHeight="1" s="68">
      <c r="A414" s="114" t="n"/>
      <c r="B414" s="120">
        <f>SUMIFS(tblDonem[Gelir (₺)],tblDonem[Dönem],$A414)</f>
        <v/>
      </c>
      <c r="C414" s="120">
        <f>SUMIFS(tblDonem[KDV Tutarı (₺)],tblDonem[Dönem],$A414)-SUMIFS(tblDonem[KDV Yüklenimi (₺)],tblDonem[Dönem],$A414)</f>
        <v/>
      </c>
      <c r="D414" s="120">
        <f>SUMIFS(tblDonem[Vergi Karşılığı (₺)],tblDonem[Dönem],$A414)</f>
        <v/>
      </c>
      <c r="E414" s="120">
        <f>$C414+$D414</f>
        <v/>
      </c>
      <c r="F414" s="120">
        <f>IF($B414=0,0,$E414/$B414)</f>
        <v/>
      </c>
    </row>
    <row r="415" ht="15" customHeight="1" s="68">
      <c r="A415" s="114" t="n"/>
      <c r="B415" s="120">
        <f>SUMIFS(tblDonem[Gelir (₺)],tblDonem[Dönem],$A415)</f>
        <v/>
      </c>
      <c r="C415" s="120">
        <f>SUMIFS(tblDonem[KDV Tutarı (₺)],tblDonem[Dönem],$A415)-SUMIFS(tblDonem[KDV Yüklenimi (₺)],tblDonem[Dönem],$A415)</f>
        <v/>
      </c>
      <c r="D415" s="120">
        <f>SUMIFS(tblDonem[Vergi Karşılığı (₺)],tblDonem[Dönem],$A415)</f>
        <v/>
      </c>
      <c r="E415" s="120">
        <f>$C415+$D415</f>
        <v/>
      </c>
      <c r="F415" s="120">
        <f>IF($B415=0,0,$E415/$B415)</f>
        <v/>
      </c>
    </row>
    <row r="416" ht="15" customHeight="1" s="68">
      <c r="A416" s="114" t="n"/>
      <c r="B416" s="120">
        <f>SUMIFS(tblDonem[Gelir (₺)],tblDonem[Dönem],$A416)</f>
        <v/>
      </c>
      <c r="C416" s="120">
        <f>SUMIFS(tblDonem[KDV Tutarı (₺)],tblDonem[Dönem],$A416)-SUMIFS(tblDonem[KDV Yüklenimi (₺)],tblDonem[Dönem],$A416)</f>
        <v/>
      </c>
      <c r="D416" s="120">
        <f>SUMIFS(tblDonem[Vergi Karşılığı (₺)],tblDonem[Dönem],$A416)</f>
        <v/>
      </c>
      <c r="E416" s="120">
        <f>$C416+$D416</f>
        <v/>
      </c>
      <c r="F416" s="120">
        <f>IF($B416=0,0,$E416/$B416)</f>
        <v/>
      </c>
    </row>
    <row r="417" ht="15" customHeight="1" s="68">
      <c r="A417" s="114" t="n"/>
      <c r="B417" s="120">
        <f>SUMIFS(tblDonem[Gelir (₺)],tblDonem[Dönem],$A417)</f>
        <v/>
      </c>
      <c r="C417" s="120">
        <f>SUMIFS(tblDonem[KDV Tutarı (₺)],tblDonem[Dönem],$A417)-SUMIFS(tblDonem[KDV Yüklenimi (₺)],tblDonem[Dönem],$A417)</f>
        <v/>
      </c>
      <c r="D417" s="120">
        <f>SUMIFS(tblDonem[Vergi Karşılığı (₺)],tblDonem[Dönem],$A417)</f>
        <v/>
      </c>
      <c r="E417" s="120">
        <f>$C417+$D417</f>
        <v/>
      </c>
      <c r="F417" s="120">
        <f>IF($B417=0,0,$E417/$B417)</f>
        <v/>
      </c>
    </row>
    <row r="418" ht="15" customHeight="1" s="68">
      <c r="A418" s="114" t="n"/>
      <c r="B418" s="120">
        <f>SUMIFS(tblDonem[Gelir (₺)],tblDonem[Dönem],$A418)</f>
        <v/>
      </c>
      <c r="C418" s="120">
        <f>SUMIFS(tblDonem[KDV Tutarı (₺)],tblDonem[Dönem],$A418)-SUMIFS(tblDonem[KDV Yüklenimi (₺)],tblDonem[Dönem],$A418)</f>
        <v/>
      </c>
      <c r="D418" s="120">
        <f>SUMIFS(tblDonem[Vergi Karşılığı (₺)],tblDonem[Dönem],$A418)</f>
        <v/>
      </c>
      <c r="E418" s="120">
        <f>$C418+$D418</f>
        <v/>
      </c>
      <c r="F418" s="120">
        <f>IF($B418=0,0,$E418/$B418)</f>
        <v/>
      </c>
    </row>
    <row r="419" ht="15" customHeight="1" s="68">
      <c r="A419" s="114" t="n"/>
      <c r="B419" s="120">
        <f>SUMIFS(tblDonem[Gelir (₺)],tblDonem[Dönem],$A419)</f>
        <v/>
      </c>
      <c r="C419" s="120">
        <f>SUMIFS(tblDonem[KDV Tutarı (₺)],tblDonem[Dönem],$A419)-SUMIFS(tblDonem[KDV Yüklenimi (₺)],tblDonem[Dönem],$A419)</f>
        <v/>
      </c>
      <c r="D419" s="120">
        <f>SUMIFS(tblDonem[Vergi Karşılığı (₺)],tblDonem[Dönem],$A419)</f>
        <v/>
      </c>
      <c r="E419" s="120">
        <f>$C419+$D419</f>
        <v/>
      </c>
      <c r="F419" s="120">
        <f>IF($B419=0,0,$E419/$B419)</f>
        <v/>
      </c>
    </row>
    <row r="420" ht="15" customHeight="1" s="68">
      <c r="A420" s="114" t="n"/>
      <c r="B420" s="120">
        <f>SUMIFS(tblDonem[Gelir (₺)],tblDonem[Dönem],$A420)</f>
        <v/>
      </c>
      <c r="C420" s="120">
        <f>SUMIFS(tblDonem[KDV Tutarı (₺)],tblDonem[Dönem],$A420)-SUMIFS(tblDonem[KDV Yüklenimi (₺)],tblDonem[Dönem],$A420)</f>
        <v/>
      </c>
      <c r="D420" s="120">
        <f>SUMIFS(tblDonem[Vergi Karşılığı (₺)],tblDonem[Dönem],$A420)</f>
        <v/>
      </c>
      <c r="E420" s="120">
        <f>$C420+$D420</f>
        <v/>
      </c>
      <c r="F420" s="120">
        <f>IF($B420=0,0,$E420/$B420)</f>
        <v/>
      </c>
    </row>
    <row r="421" ht="15" customHeight="1" s="68">
      <c r="A421" s="114" t="n"/>
      <c r="B421" s="120">
        <f>SUMIFS(tblDonem[Gelir (₺)],tblDonem[Dönem],$A421)</f>
        <v/>
      </c>
      <c r="C421" s="120">
        <f>SUMIFS(tblDonem[KDV Tutarı (₺)],tblDonem[Dönem],$A421)-SUMIFS(tblDonem[KDV Yüklenimi (₺)],tblDonem[Dönem],$A421)</f>
        <v/>
      </c>
      <c r="D421" s="120">
        <f>SUMIFS(tblDonem[Vergi Karşılığı (₺)],tblDonem[Dönem],$A421)</f>
        <v/>
      </c>
      <c r="E421" s="120">
        <f>$C421+$D421</f>
        <v/>
      </c>
      <c r="F421" s="120">
        <f>IF($B421=0,0,$E421/$B421)</f>
        <v/>
      </c>
    </row>
    <row r="422" ht="15" customHeight="1" s="68">
      <c r="A422" s="114" t="n"/>
      <c r="B422" s="120">
        <f>SUMIFS(tblDonem[Gelir (₺)],tblDonem[Dönem],$A422)</f>
        <v/>
      </c>
      <c r="C422" s="120">
        <f>SUMIFS(tblDonem[KDV Tutarı (₺)],tblDonem[Dönem],$A422)-SUMIFS(tblDonem[KDV Yüklenimi (₺)],tblDonem[Dönem],$A422)</f>
        <v/>
      </c>
      <c r="D422" s="120">
        <f>SUMIFS(tblDonem[Vergi Karşılığı (₺)],tblDonem[Dönem],$A422)</f>
        <v/>
      </c>
      <c r="E422" s="120">
        <f>$C422+$D422</f>
        <v/>
      </c>
      <c r="F422" s="120">
        <f>IF($B422=0,0,$E422/$B422)</f>
        <v/>
      </c>
    </row>
    <row r="423" ht="15" customHeight="1" s="68">
      <c r="A423" s="114" t="n"/>
      <c r="B423" s="120">
        <f>SUMIFS(tblDonem[Gelir (₺)],tblDonem[Dönem],$A423)</f>
        <v/>
      </c>
      <c r="C423" s="120">
        <f>SUMIFS(tblDonem[KDV Tutarı (₺)],tblDonem[Dönem],$A423)-SUMIFS(tblDonem[KDV Yüklenimi (₺)],tblDonem[Dönem],$A423)</f>
        <v/>
      </c>
      <c r="D423" s="120">
        <f>SUMIFS(tblDonem[Vergi Karşılığı (₺)],tblDonem[Dönem],$A423)</f>
        <v/>
      </c>
      <c r="E423" s="120">
        <f>$C423+$D423</f>
        <v/>
      </c>
      <c r="F423" s="120">
        <f>IF($B423=0,0,$E423/$B423)</f>
        <v/>
      </c>
    </row>
    <row r="424" ht="15" customHeight="1" s="68">
      <c r="A424" s="114" t="n"/>
      <c r="B424" s="120">
        <f>SUMIFS(tblDonem[Gelir (₺)],tblDonem[Dönem],$A424)</f>
        <v/>
      </c>
      <c r="C424" s="120">
        <f>SUMIFS(tblDonem[KDV Tutarı (₺)],tblDonem[Dönem],$A424)-SUMIFS(tblDonem[KDV Yüklenimi (₺)],tblDonem[Dönem],$A424)</f>
        <v/>
      </c>
      <c r="D424" s="120">
        <f>SUMIFS(tblDonem[Vergi Karşılığı (₺)],tblDonem[Dönem],$A424)</f>
        <v/>
      </c>
      <c r="E424" s="120">
        <f>$C424+$D424</f>
        <v/>
      </c>
      <c r="F424" s="120">
        <f>IF($B424=0,0,$E424/$B424)</f>
        <v/>
      </c>
    </row>
    <row r="425" ht="15" customHeight="1" s="68">
      <c r="A425" s="114" t="n"/>
      <c r="B425" s="120">
        <f>SUMIFS(tblDonem[Gelir (₺)],tblDonem[Dönem],$A425)</f>
        <v/>
      </c>
      <c r="C425" s="120">
        <f>SUMIFS(tblDonem[KDV Tutarı (₺)],tblDonem[Dönem],$A425)-SUMIFS(tblDonem[KDV Yüklenimi (₺)],tblDonem[Dönem],$A425)</f>
        <v/>
      </c>
      <c r="D425" s="120">
        <f>SUMIFS(tblDonem[Vergi Karşılığı (₺)],tblDonem[Dönem],$A425)</f>
        <v/>
      </c>
      <c r="E425" s="120">
        <f>$C425+$D425</f>
        <v/>
      </c>
      <c r="F425" s="120">
        <f>IF($B425=0,0,$E425/$B425)</f>
        <v/>
      </c>
    </row>
    <row r="426" ht="15" customHeight="1" s="68">
      <c r="A426" s="114" t="n"/>
      <c r="B426" s="120">
        <f>SUMIFS(tblDonem[Gelir (₺)],tblDonem[Dönem],$A426)</f>
        <v/>
      </c>
      <c r="C426" s="120">
        <f>SUMIFS(tblDonem[KDV Tutarı (₺)],tblDonem[Dönem],$A426)-SUMIFS(tblDonem[KDV Yüklenimi (₺)],tblDonem[Dönem],$A426)</f>
        <v/>
      </c>
      <c r="D426" s="120">
        <f>SUMIFS(tblDonem[Vergi Karşılığı (₺)],tblDonem[Dönem],$A426)</f>
        <v/>
      </c>
      <c r="E426" s="120">
        <f>$C426+$D426</f>
        <v/>
      </c>
      <c r="F426" s="120">
        <f>IF($B426=0,0,$E426/$B426)</f>
        <v/>
      </c>
    </row>
    <row r="427" ht="15" customHeight="1" s="68">
      <c r="A427" s="114" t="n"/>
      <c r="B427" s="120">
        <f>SUMIFS(tblDonem[Gelir (₺)],tblDonem[Dönem],$A427)</f>
        <v/>
      </c>
      <c r="C427" s="120">
        <f>SUMIFS(tblDonem[KDV Tutarı (₺)],tblDonem[Dönem],$A427)-SUMIFS(tblDonem[KDV Yüklenimi (₺)],tblDonem[Dönem],$A427)</f>
        <v/>
      </c>
      <c r="D427" s="120">
        <f>SUMIFS(tblDonem[Vergi Karşılığı (₺)],tblDonem[Dönem],$A427)</f>
        <v/>
      </c>
      <c r="E427" s="120">
        <f>$C427+$D427</f>
        <v/>
      </c>
      <c r="F427" s="120">
        <f>IF($B427=0,0,$E427/$B427)</f>
        <v/>
      </c>
    </row>
    <row r="428" ht="15" customHeight="1" s="68">
      <c r="A428" s="114" t="n"/>
      <c r="B428" s="120">
        <f>SUMIFS(tblDonem[Gelir (₺)],tblDonem[Dönem],$A428)</f>
        <v/>
      </c>
      <c r="C428" s="120">
        <f>SUMIFS(tblDonem[KDV Tutarı (₺)],tblDonem[Dönem],$A428)-SUMIFS(tblDonem[KDV Yüklenimi (₺)],tblDonem[Dönem],$A428)</f>
        <v/>
      </c>
      <c r="D428" s="120">
        <f>SUMIFS(tblDonem[Vergi Karşılığı (₺)],tblDonem[Dönem],$A428)</f>
        <v/>
      </c>
      <c r="E428" s="120">
        <f>$C428+$D428</f>
        <v/>
      </c>
      <c r="F428" s="120">
        <f>IF($B428=0,0,$E428/$B428)</f>
        <v/>
      </c>
    </row>
    <row r="429" ht="15" customHeight="1" s="68">
      <c r="A429" s="114" t="n"/>
      <c r="B429" s="120">
        <f>SUMIFS(tblDonem[Gelir (₺)],tblDonem[Dönem],$A429)</f>
        <v/>
      </c>
      <c r="C429" s="120">
        <f>SUMIFS(tblDonem[KDV Tutarı (₺)],tblDonem[Dönem],$A429)-SUMIFS(tblDonem[KDV Yüklenimi (₺)],tblDonem[Dönem],$A429)</f>
        <v/>
      </c>
      <c r="D429" s="120">
        <f>SUMIFS(tblDonem[Vergi Karşılığı (₺)],tblDonem[Dönem],$A429)</f>
        <v/>
      </c>
      <c r="E429" s="120">
        <f>$C429+$D429</f>
        <v/>
      </c>
      <c r="F429" s="120">
        <f>IF($B429=0,0,$E429/$B429)</f>
        <v/>
      </c>
    </row>
    <row r="430" ht="15" customHeight="1" s="68">
      <c r="A430" s="114" t="n"/>
      <c r="B430" s="120">
        <f>SUMIFS(tblDonem[Gelir (₺)],tblDonem[Dönem],$A430)</f>
        <v/>
      </c>
      <c r="C430" s="120">
        <f>SUMIFS(tblDonem[KDV Tutarı (₺)],tblDonem[Dönem],$A430)-SUMIFS(tblDonem[KDV Yüklenimi (₺)],tblDonem[Dönem],$A430)</f>
        <v/>
      </c>
      <c r="D430" s="120">
        <f>SUMIFS(tblDonem[Vergi Karşılığı (₺)],tblDonem[Dönem],$A430)</f>
        <v/>
      </c>
      <c r="E430" s="120">
        <f>$C430+$D430</f>
        <v/>
      </c>
      <c r="F430" s="120">
        <f>IF($B430=0,0,$E430/$B430)</f>
        <v/>
      </c>
    </row>
    <row r="431" ht="15" customHeight="1" s="68">
      <c r="A431" s="114" t="n"/>
      <c r="B431" s="120">
        <f>SUMIFS(tblDonem[Gelir (₺)],tblDonem[Dönem],$A431)</f>
        <v/>
      </c>
      <c r="C431" s="120">
        <f>SUMIFS(tblDonem[KDV Tutarı (₺)],tblDonem[Dönem],$A431)-SUMIFS(tblDonem[KDV Yüklenimi (₺)],tblDonem[Dönem],$A431)</f>
        <v/>
      </c>
      <c r="D431" s="120">
        <f>SUMIFS(tblDonem[Vergi Karşılığı (₺)],tblDonem[Dönem],$A431)</f>
        <v/>
      </c>
      <c r="E431" s="120">
        <f>$C431+$D431</f>
        <v/>
      </c>
      <c r="F431" s="120">
        <f>IF($B431=0,0,$E431/$B431)</f>
        <v/>
      </c>
    </row>
    <row r="432" ht="15" customHeight="1" s="68">
      <c r="A432" s="114" t="n"/>
      <c r="B432" s="120">
        <f>SUMIFS(tblDonem[Gelir (₺)],tblDonem[Dönem],$A432)</f>
        <v/>
      </c>
      <c r="C432" s="120">
        <f>SUMIFS(tblDonem[KDV Tutarı (₺)],tblDonem[Dönem],$A432)-SUMIFS(tblDonem[KDV Yüklenimi (₺)],tblDonem[Dönem],$A432)</f>
        <v/>
      </c>
      <c r="D432" s="120">
        <f>SUMIFS(tblDonem[Vergi Karşılığı (₺)],tblDonem[Dönem],$A432)</f>
        <v/>
      </c>
      <c r="E432" s="120">
        <f>$C432+$D432</f>
        <v/>
      </c>
      <c r="F432" s="120">
        <f>IF($B432=0,0,$E432/$B432)</f>
        <v/>
      </c>
    </row>
    <row r="433" ht="15" customHeight="1" s="68">
      <c r="A433" s="114" t="n"/>
      <c r="B433" s="120">
        <f>SUMIFS(tblDonem[Gelir (₺)],tblDonem[Dönem],$A433)</f>
        <v/>
      </c>
      <c r="C433" s="120">
        <f>SUMIFS(tblDonem[KDV Tutarı (₺)],tblDonem[Dönem],$A433)-SUMIFS(tblDonem[KDV Yüklenimi (₺)],tblDonem[Dönem],$A433)</f>
        <v/>
      </c>
      <c r="D433" s="120">
        <f>SUMIFS(tblDonem[Vergi Karşılığı (₺)],tblDonem[Dönem],$A433)</f>
        <v/>
      </c>
      <c r="E433" s="120">
        <f>$C433+$D433</f>
        <v/>
      </c>
      <c r="F433" s="120">
        <f>IF($B433=0,0,$E433/$B433)</f>
        <v/>
      </c>
    </row>
    <row r="434" ht="15" customHeight="1" s="68">
      <c r="A434" s="114" t="n"/>
      <c r="B434" s="120">
        <f>SUMIFS(tblDonem[Gelir (₺)],tblDonem[Dönem],$A434)</f>
        <v/>
      </c>
      <c r="C434" s="120">
        <f>SUMIFS(tblDonem[KDV Tutarı (₺)],tblDonem[Dönem],$A434)-SUMIFS(tblDonem[KDV Yüklenimi (₺)],tblDonem[Dönem],$A434)</f>
        <v/>
      </c>
      <c r="D434" s="120">
        <f>SUMIFS(tblDonem[Vergi Karşılığı (₺)],tblDonem[Dönem],$A434)</f>
        <v/>
      </c>
      <c r="E434" s="120">
        <f>$C434+$D434</f>
        <v/>
      </c>
      <c r="F434" s="120">
        <f>IF($B434=0,0,$E434/$B434)</f>
        <v/>
      </c>
    </row>
    <row r="435" ht="15" customHeight="1" s="68">
      <c r="A435" s="114" t="n"/>
      <c r="B435" s="120">
        <f>SUMIFS(tblDonem[Gelir (₺)],tblDonem[Dönem],$A435)</f>
        <v/>
      </c>
      <c r="C435" s="120">
        <f>SUMIFS(tblDonem[KDV Tutarı (₺)],tblDonem[Dönem],$A435)-SUMIFS(tblDonem[KDV Yüklenimi (₺)],tblDonem[Dönem],$A435)</f>
        <v/>
      </c>
      <c r="D435" s="120">
        <f>SUMIFS(tblDonem[Vergi Karşılığı (₺)],tblDonem[Dönem],$A435)</f>
        <v/>
      </c>
      <c r="E435" s="120">
        <f>$C435+$D435</f>
        <v/>
      </c>
      <c r="F435" s="120">
        <f>IF($B435=0,0,$E435/$B435)</f>
        <v/>
      </c>
    </row>
    <row r="436" ht="15" customHeight="1" s="68">
      <c r="A436" s="114" t="n"/>
      <c r="B436" s="120">
        <f>SUMIFS(tblDonem[Gelir (₺)],tblDonem[Dönem],$A436)</f>
        <v/>
      </c>
      <c r="C436" s="120">
        <f>SUMIFS(tblDonem[KDV Tutarı (₺)],tblDonem[Dönem],$A436)-SUMIFS(tblDonem[KDV Yüklenimi (₺)],tblDonem[Dönem],$A436)</f>
        <v/>
      </c>
      <c r="D436" s="120">
        <f>SUMIFS(tblDonem[Vergi Karşılığı (₺)],tblDonem[Dönem],$A436)</f>
        <v/>
      </c>
      <c r="E436" s="120">
        <f>$C436+$D436</f>
        <v/>
      </c>
      <c r="F436" s="120">
        <f>IF($B436=0,0,$E436/$B436)</f>
        <v/>
      </c>
    </row>
    <row r="437" ht="15" customHeight="1" s="68">
      <c r="A437" s="114" t="n"/>
      <c r="B437" s="120">
        <f>SUMIFS(tblDonem[Gelir (₺)],tblDonem[Dönem],$A437)</f>
        <v/>
      </c>
      <c r="C437" s="120">
        <f>SUMIFS(tblDonem[KDV Tutarı (₺)],tblDonem[Dönem],$A437)-SUMIFS(tblDonem[KDV Yüklenimi (₺)],tblDonem[Dönem],$A437)</f>
        <v/>
      </c>
      <c r="D437" s="120">
        <f>SUMIFS(tblDonem[Vergi Karşılığı (₺)],tblDonem[Dönem],$A437)</f>
        <v/>
      </c>
      <c r="E437" s="120">
        <f>$C437+$D437</f>
        <v/>
      </c>
      <c r="F437" s="120">
        <f>IF($B437=0,0,$E437/$B437)</f>
        <v/>
      </c>
    </row>
    <row r="438" ht="15" customHeight="1" s="68">
      <c r="A438" s="114" t="n"/>
      <c r="B438" s="120">
        <f>SUMIFS(tblDonem[Gelir (₺)],tblDonem[Dönem],$A438)</f>
        <v/>
      </c>
      <c r="C438" s="120">
        <f>SUMIFS(tblDonem[KDV Tutarı (₺)],tblDonem[Dönem],$A438)-SUMIFS(tblDonem[KDV Yüklenimi (₺)],tblDonem[Dönem],$A438)</f>
        <v/>
      </c>
      <c r="D438" s="120">
        <f>SUMIFS(tblDonem[Vergi Karşılığı (₺)],tblDonem[Dönem],$A438)</f>
        <v/>
      </c>
      <c r="E438" s="120">
        <f>$C438+$D438</f>
        <v/>
      </c>
      <c r="F438" s="120">
        <f>IF($B438=0,0,$E438/$B438)</f>
        <v/>
      </c>
    </row>
    <row r="439" ht="15" customHeight="1" s="68">
      <c r="A439" s="114" t="n"/>
      <c r="B439" s="120">
        <f>SUMIFS(tblDonem[Gelir (₺)],tblDonem[Dönem],$A439)</f>
        <v/>
      </c>
      <c r="C439" s="120">
        <f>SUMIFS(tblDonem[KDV Tutarı (₺)],tblDonem[Dönem],$A439)-SUMIFS(tblDonem[KDV Yüklenimi (₺)],tblDonem[Dönem],$A439)</f>
        <v/>
      </c>
      <c r="D439" s="120">
        <f>SUMIFS(tblDonem[Vergi Karşılığı (₺)],tblDonem[Dönem],$A439)</f>
        <v/>
      </c>
      <c r="E439" s="120">
        <f>$C439+$D439</f>
        <v/>
      </c>
      <c r="F439" s="120">
        <f>IF($B439=0,0,$E439/$B439)</f>
        <v/>
      </c>
    </row>
    <row r="440" ht="15" customHeight="1" s="68">
      <c r="A440" s="114" t="n"/>
      <c r="B440" s="120">
        <f>SUMIFS(tblDonem[Gelir (₺)],tblDonem[Dönem],$A440)</f>
        <v/>
      </c>
      <c r="C440" s="120">
        <f>SUMIFS(tblDonem[KDV Tutarı (₺)],tblDonem[Dönem],$A440)-SUMIFS(tblDonem[KDV Yüklenimi (₺)],tblDonem[Dönem],$A440)</f>
        <v/>
      </c>
      <c r="D440" s="120">
        <f>SUMIFS(tblDonem[Vergi Karşılığı (₺)],tblDonem[Dönem],$A440)</f>
        <v/>
      </c>
      <c r="E440" s="120">
        <f>$C440+$D440</f>
        <v/>
      </c>
      <c r="F440" s="120">
        <f>IF($B440=0,0,$E440/$B440)</f>
        <v/>
      </c>
    </row>
    <row r="441" ht="15" customHeight="1" s="68">
      <c r="A441" s="114" t="n"/>
      <c r="B441" s="120">
        <f>SUMIFS(tblDonem[Gelir (₺)],tblDonem[Dönem],$A441)</f>
        <v/>
      </c>
      <c r="C441" s="120">
        <f>SUMIFS(tblDonem[KDV Tutarı (₺)],tblDonem[Dönem],$A441)-SUMIFS(tblDonem[KDV Yüklenimi (₺)],tblDonem[Dönem],$A441)</f>
        <v/>
      </c>
      <c r="D441" s="120">
        <f>SUMIFS(tblDonem[Vergi Karşılığı (₺)],tblDonem[Dönem],$A441)</f>
        <v/>
      </c>
      <c r="E441" s="120">
        <f>$C441+$D441</f>
        <v/>
      </c>
      <c r="F441" s="120">
        <f>IF($B441=0,0,$E441/$B441)</f>
        <v/>
      </c>
    </row>
    <row r="442" ht="15" customHeight="1" s="68">
      <c r="A442" s="114" t="n"/>
      <c r="B442" s="120">
        <f>SUMIFS(tblDonem[Gelir (₺)],tblDonem[Dönem],$A442)</f>
        <v/>
      </c>
      <c r="C442" s="120">
        <f>SUMIFS(tblDonem[KDV Tutarı (₺)],tblDonem[Dönem],$A442)-SUMIFS(tblDonem[KDV Yüklenimi (₺)],tblDonem[Dönem],$A442)</f>
        <v/>
      </c>
      <c r="D442" s="120">
        <f>SUMIFS(tblDonem[Vergi Karşılığı (₺)],tblDonem[Dönem],$A442)</f>
        <v/>
      </c>
      <c r="E442" s="120">
        <f>$C442+$D442</f>
        <v/>
      </c>
      <c r="F442" s="120">
        <f>IF($B442=0,0,$E442/$B442)</f>
        <v/>
      </c>
    </row>
    <row r="443" ht="15" customHeight="1" s="68">
      <c r="A443" s="114" t="n"/>
      <c r="B443" s="120">
        <f>SUMIFS(tblDonem[Gelir (₺)],tblDonem[Dönem],$A443)</f>
        <v/>
      </c>
      <c r="C443" s="120">
        <f>SUMIFS(tblDonem[KDV Tutarı (₺)],tblDonem[Dönem],$A443)-SUMIFS(tblDonem[KDV Yüklenimi (₺)],tblDonem[Dönem],$A443)</f>
        <v/>
      </c>
      <c r="D443" s="120">
        <f>SUMIFS(tblDonem[Vergi Karşılığı (₺)],tblDonem[Dönem],$A443)</f>
        <v/>
      </c>
      <c r="E443" s="120">
        <f>$C443+$D443</f>
        <v/>
      </c>
      <c r="F443" s="120">
        <f>IF($B443=0,0,$E443/$B443)</f>
        <v/>
      </c>
    </row>
    <row r="444" ht="15" customHeight="1" s="68">
      <c r="A444" s="114" t="n"/>
      <c r="B444" s="120">
        <f>SUMIFS(tblDonem[Gelir (₺)],tblDonem[Dönem],$A444)</f>
        <v/>
      </c>
      <c r="C444" s="120">
        <f>SUMIFS(tblDonem[KDV Tutarı (₺)],tblDonem[Dönem],$A444)-SUMIFS(tblDonem[KDV Yüklenimi (₺)],tblDonem[Dönem],$A444)</f>
        <v/>
      </c>
      <c r="D444" s="120">
        <f>SUMIFS(tblDonem[Vergi Karşılığı (₺)],tblDonem[Dönem],$A444)</f>
        <v/>
      </c>
      <c r="E444" s="120">
        <f>$C444+$D444</f>
        <v/>
      </c>
      <c r="F444" s="120">
        <f>IF($B444=0,0,$E444/$B444)</f>
        <v/>
      </c>
    </row>
    <row r="445" ht="15" customHeight="1" s="68">
      <c r="A445" s="114" t="n"/>
      <c r="B445" s="120">
        <f>SUMIFS(tblDonem[Gelir (₺)],tblDonem[Dönem],$A445)</f>
        <v/>
      </c>
      <c r="C445" s="120">
        <f>SUMIFS(tblDonem[KDV Tutarı (₺)],tblDonem[Dönem],$A445)-SUMIFS(tblDonem[KDV Yüklenimi (₺)],tblDonem[Dönem],$A445)</f>
        <v/>
      </c>
      <c r="D445" s="120">
        <f>SUMIFS(tblDonem[Vergi Karşılığı (₺)],tblDonem[Dönem],$A445)</f>
        <v/>
      </c>
      <c r="E445" s="120">
        <f>$C445+$D445</f>
        <v/>
      </c>
      <c r="F445" s="120">
        <f>IF($B445=0,0,$E445/$B445)</f>
        <v/>
      </c>
    </row>
    <row r="446" ht="15" customHeight="1" s="68">
      <c r="A446" s="114" t="n"/>
      <c r="B446" s="120">
        <f>SUMIFS(tblDonem[Gelir (₺)],tblDonem[Dönem],$A446)</f>
        <v/>
      </c>
      <c r="C446" s="120">
        <f>SUMIFS(tblDonem[KDV Tutarı (₺)],tblDonem[Dönem],$A446)-SUMIFS(tblDonem[KDV Yüklenimi (₺)],tblDonem[Dönem],$A446)</f>
        <v/>
      </c>
      <c r="D446" s="120">
        <f>SUMIFS(tblDonem[Vergi Karşılığı (₺)],tblDonem[Dönem],$A446)</f>
        <v/>
      </c>
      <c r="E446" s="120">
        <f>$C446+$D446</f>
        <v/>
      </c>
      <c r="F446" s="120">
        <f>IF($B446=0,0,$E446/$B446)</f>
        <v/>
      </c>
    </row>
    <row r="447" ht="15" customHeight="1" s="68">
      <c r="A447" s="114" t="n"/>
      <c r="B447" s="120">
        <f>SUMIFS(tblDonem[Gelir (₺)],tblDonem[Dönem],$A447)</f>
        <v/>
      </c>
      <c r="C447" s="120">
        <f>SUMIFS(tblDonem[KDV Tutarı (₺)],tblDonem[Dönem],$A447)-SUMIFS(tblDonem[KDV Yüklenimi (₺)],tblDonem[Dönem],$A447)</f>
        <v/>
      </c>
      <c r="D447" s="120">
        <f>SUMIFS(tblDonem[Vergi Karşılığı (₺)],tblDonem[Dönem],$A447)</f>
        <v/>
      </c>
      <c r="E447" s="120">
        <f>$C447+$D447</f>
        <v/>
      </c>
      <c r="F447" s="120">
        <f>IF($B447=0,0,$E447/$B447)</f>
        <v/>
      </c>
    </row>
    <row r="448" ht="15" customHeight="1" s="68">
      <c r="A448" s="114" t="n"/>
      <c r="B448" s="120">
        <f>SUMIFS(tblDonem[Gelir (₺)],tblDonem[Dönem],$A448)</f>
        <v/>
      </c>
      <c r="C448" s="120">
        <f>SUMIFS(tblDonem[KDV Tutarı (₺)],tblDonem[Dönem],$A448)-SUMIFS(tblDonem[KDV Yüklenimi (₺)],tblDonem[Dönem],$A448)</f>
        <v/>
      </c>
      <c r="D448" s="120">
        <f>SUMIFS(tblDonem[Vergi Karşılığı (₺)],tblDonem[Dönem],$A448)</f>
        <v/>
      </c>
      <c r="E448" s="120">
        <f>$C448+$D448</f>
        <v/>
      </c>
      <c r="F448" s="120">
        <f>IF($B448=0,0,$E448/$B448)</f>
        <v/>
      </c>
    </row>
    <row r="449" ht="15" customHeight="1" s="68">
      <c r="A449" s="114" t="n"/>
      <c r="B449" s="120">
        <f>SUMIFS(tblDonem[Gelir (₺)],tblDonem[Dönem],$A449)</f>
        <v/>
      </c>
      <c r="C449" s="120">
        <f>SUMIFS(tblDonem[KDV Tutarı (₺)],tblDonem[Dönem],$A449)-SUMIFS(tblDonem[KDV Yüklenimi (₺)],tblDonem[Dönem],$A449)</f>
        <v/>
      </c>
      <c r="D449" s="120">
        <f>SUMIFS(tblDonem[Vergi Karşılığı (₺)],tblDonem[Dönem],$A449)</f>
        <v/>
      </c>
      <c r="E449" s="120">
        <f>$C449+$D449</f>
        <v/>
      </c>
      <c r="F449" s="120">
        <f>IF($B449=0,0,$E449/$B449)</f>
        <v/>
      </c>
    </row>
    <row r="450" ht="15" customHeight="1" s="68">
      <c r="A450" s="114" t="n"/>
      <c r="B450" s="120">
        <f>SUMIFS(tblDonem[Gelir (₺)],tblDonem[Dönem],$A450)</f>
        <v/>
      </c>
      <c r="C450" s="120">
        <f>SUMIFS(tblDonem[KDV Tutarı (₺)],tblDonem[Dönem],$A450)-SUMIFS(tblDonem[KDV Yüklenimi (₺)],tblDonem[Dönem],$A450)</f>
        <v/>
      </c>
      <c r="D450" s="120">
        <f>SUMIFS(tblDonem[Vergi Karşılığı (₺)],tblDonem[Dönem],$A450)</f>
        <v/>
      </c>
      <c r="E450" s="120">
        <f>$C450+$D450</f>
        <v/>
      </c>
      <c r="F450" s="120">
        <f>IF($B450=0,0,$E450/$B450)</f>
        <v/>
      </c>
    </row>
    <row r="451" ht="15" customHeight="1" s="68">
      <c r="A451" s="114" t="n"/>
      <c r="B451" s="120">
        <f>SUMIFS(tblDonem[Gelir (₺)],tblDonem[Dönem],$A451)</f>
        <v/>
      </c>
      <c r="C451" s="120">
        <f>SUMIFS(tblDonem[KDV Tutarı (₺)],tblDonem[Dönem],$A451)-SUMIFS(tblDonem[KDV Yüklenimi (₺)],tblDonem[Dönem],$A451)</f>
        <v/>
      </c>
      <c r="D451" s="120">
        <f>SUMIFS(tblDonem[Vergi Karşılığı (₺)],tblDonem[Dönem],$A451)</f>
        <v/>
      </c>
      <c r="E451" s="120">
        <f>$C451+$D451</f>
        <v/>
      </c>
      <c r="F451" s="120">
        <f>IF($B451=0,0,$E451/$B451)</f>
        <v/>
      </c>
    </row>
    <row r="452" ht="15" customHeight="1" s="68">
      <c r="A452" s="114" t="n"/>
      <c r="B452" s="120">
        <f>SUMIFS(tblDonem[Gelir (₺)],tblDonem[Dönem],$A452)</f>
        <v/>
      </c>
      <c r="C452" s="120">
        <f>SUMIFS(tblDonem[KDV Tutarı (₺)],tblDonem[Dönem],$A452)-SUMIFS(tblDonem[KDV Yüklenimi (₺)],tblDonem[Dönem],$A452)</f>
        <v/>
      </c>
      <c r="D452" s="120">
        <f>SUMIFS(tblDonem[Vergi Karşılığı (₺)],tblDonem[Dönem],$A452)</f>
        <v/>
      </c>
      <c r="E452" s="120">
        <f>$C452+$D452</f>
        <v/>
      </c>
      <c r="F452" s="120">
        <f>IF($B452=0,0,$E452/$B452)</f>
        <v/>
      </c>
    </row>
    <row r="453" ht="15" customHeight="1" s="68">
      <c r="A453" s="114" t="n"/>
      <c r="B453" s="120">
        <f>SUMIFS(tblDonem[Gelir (₺)],tblDonem[Dönem],$A453)</f>
        <v/>
      </c>
      <c r="C453" s="120">
        <f>SUMIFS(tblDonem[KDV Tutarı (₺)],tblDonem[Dönem],$A453)-SUMIFS(tblDonem[KDV Yüklenimi (₺)],tblDonem[Dönem],$A453)</f>
        <v/>
      </c>
      <c r="D453" s="120">
        <f>SUMIFS(tblDonem[Vergi Karşılığı (₺)],tblDonem[Dönem],$A453)</f>
        <v/>
      </c>
      <c r="E453" s="120">
        <f>$C453+$D453</f>
        <v/>
      </c>
      <c r="F453" s="120">
        <f>IF($B453=0,0,$E453/$B453)</f>
        <v/>
      </c>
    </row>
    <row r="454" ht="15" customHeight="1" s="68">
      <c r="A454" s="114" t="n"/>
      <c r="B454" s="120">
        <f>SUMIFS(tblDonem[Gelir (₺)],tblDonem[Dönem],$A454)</f>
        <v/>
      </c>
      <c r="C454" s="120">
        <f>SUMIFS(tblDonem[KDV Tutarı (₺)],tblDonem[Dönem],$A454)-SUMIFS(tblDonem[KDV Yüklenimi (₺)],tblDonem[Dönem],$A454)</f>
        <v/>
      </c>
      <c r="D454" s="120">
        <f>SUMIFS(tblDonem[Vergi Karşılığı (₺)],tblDonem[Dönem],$A454)</f>
        <v/>
      </c>
      <c r="E454" s="120">
        <f>$C454+$D454</f>
        <v/>
      </c>
      <c r="F454" s="120">
        <f>IF($B454=0,0,$E454/$B454)</f>
        <v/>
      </c>
    </row>
    <row r="455" ht="15" customHeight="1" s="68">
      <c r="A455" s="114" t="n"/>
      <c r="B455" s="120">
        <f>SUMIFS(tblDonem[Gelir (₺)],tblDonem[Dönem],$A455)</f>
        <v/>
      </c>
      <c r="C455" s="120">
        <f>SUMIFS(tblDonem[KDV Tutarı (₺)],tblDonem[Dönem],$A455)-SUMIFS(tblDonem[KDV Yüklenimi (₺)],tblDonem[Dönem],$A455)</f>
        <v/>
      </c>
      <c r="D455" s="120">
        <f>SUMIFS(tblDonem[Vergi Karşılığı (₺)],tblDonem[Dönem],$A455)</f>
        <v/>
      </c>
      <c r="E455" s="120">
        <f>$C455+$D455</f>
        <v/>
      </c>
      <c r="F455" s="120">
        <f>IF($B455=0,0,$E455/$B455)</f>
        <v/>
      </c>
    </row>
    <row r="456" ht="15" customHeight="1" s="68">
      <c r="A456" s="114" t="n"/>
      <c r="B456" s="120">
        <f>SUMIFS(tblDonem[Gelir (₺)],tblDonem[Dönem],$A456)</f>
        <v/>
      </c>
      <c r="C456" s="120">
        <f>SUMIFS(tblDonem[KDV Tutarı (₺)],tblDonem[Dönem],$A456)-SUMIFS(tblDonem[KDV Yüklenimi (₺)],tblDonem[Dönem],$A456)</f>
        <v/>
      </c>
      <c r="D456" s="120">
        <f>SUMIFS(tblDonem[Vergi Karşılığı (₺)],tblDonem[Dönem],$A456)</f>
        <v/>
      </c>
      <c r="E456" s="120">
        <f>$C456+$D456</f>
        <v/>
      </c>
      <c r="F456" s="120">
        <f>IF($B456=0,0,$E456/$B456)</f>
        <v/>
      </c>
    </row>
    <row r="457" ht="15" customHeight="1" s="68">
      <c r="A457" s="114" t="n"/>
      <c r="B457" s="120">
        <f>SUMIFS(tblDonem[Gelir (₺)],tblDonem[Dönem],$A457)</f>
        <v/>
      </c>
      <c r="C457" s="120">
        <f>SUMIFS(tblDonem[KDV Tutarı (₺)],tblDonem[Dönem],$A457)-SUMIFS(tblDonem[KDV Yüklenimi (₺)],tblDonem[Dönem],$A457)</f>
        <v/>
      </c>
      <c r="D457" s="120">
        <f>SUMIFS(tblDonem[Vergi Karşılığı (₺)],tblDonem[Dönem],$A457)</f>
        <v/>
      </c>
      <c r="E457" s="120">
        <f>$C457+$D457</f>
        <v/>
      </c>
      <c r="F457" s="120">
        <f>IF($B457=0,0,$E457/$B457)</f>
        <v/>
      </c>
    </row>
    <row r="458" ht="15" customHeight="1" s="68">
      <c r="A458" s="114" t="n"/>
      <c r="B458" s="120">
        <f>SUMIFS(tblDonem[Gelir (₺)],tblDonem[Dönem],$A458)</f>
        <v/>
      </c>
      <c r="C458" s="120">
        <f>SUMIFS(tblDonem[KDV Tutarı (₺)],tblDonem[Dönem],$A458)-SUMIFS(tblDonem[KDV Yüklenimi (₺)],tblDonem[Dönem],$A458)</f>
        <v/>
      </c>
      <c r="D458" s="120">
        <f>SUMIFS(tblDonem[Vergi Karşılığı (₺)],tblDonem[Dönem],$A458)</f>
        <v/>
      </c>
      <c r="E458" s="120">
        <f>$C458+$D458</f>
        <v/>
      </c>
      <c r="F458" s="120">
        <f>IF($B458=0,0,$E458/$B458)</f>
        <v/>
      </c>
    </row>
    <row r="459" ht="15" customHeight="1" s="68">
      <c r="A459" s="114" t="n"/>
      <c r="B459" s="120">
        <f>SUMIFS(tblDonem[Gelir (₺)],tblDonem[Dönem],$A459)</f>
        <v/>
      </c>
      <c r="C459" s="120">
        <f>SUMIFS(tblDonem[KDV Tutarı (₺)],tblDonem[Dönem],$A459)-SUMIFS(tblDonem[KDV Yüklenimi (₺)],tblDonem[Dönem],$A459)</f>
        <v/>
      </c>
      <c r="D459" s="120">
        <f>SUMIFS(tblDonem[Vergi Karşılığı (₺)],tblDonem[Dönem],$A459)</f>
        <v/>
      </c>
      <c r="E459" s="120">
        <f>$C459+$D459</f>
        <v/>
      </c>
      <c r="F459" s="120">
        <f>IF($B459=0,0,$E459/$B459)</f>
        <v/>
      </c>
    </row>
    <row r="460" ht="15" customHeight="1" s="68">
      <c r="A460" s="114" t="n"/>
      <c r="B460" s="120">
        <f>SUMIFS(tblDonem[Gelir (₺)],tblDonem[Dönem],$A460)</f>
        <v/>
      </c>
      <c r="C460" s="120">
        <f>SUMIFS(tblDonem[KDV Tutarı (₺)],tblDonem[Dönem],$A460)-SUMIFS(tblDonem[KDV Yüklenimi (₺)],tblDonem[Dönem],$A460)</f>
        <v/>
      </c>
      <c r="D460" s="120">
        <f>SUMIFS(tblDonem[Vergi Karşılığı (₺)],tblDonem[Dönem],$A460)</f>
        <v/>
      </c>
      <c r="E460" s="120">
        <f>$C460+$D460</f>
        <v/>
      </c>
      <c r="F460" s="120">
        <f>IF($B460=0,0,$E460/$B460)</f>
        <v/>
      </c>
    </row>
    <row r="461" ht="15" customHeight="1" s="68">
      <c r="A461" s="114" t="n"/>
      <c r="B461" s="120">
        <f>SUMIFS(tblDonem[Gelir (₺)],tblDonem[Dönem],$A461)</f>
        <v/>
      </c>
      <c r="C461" s="120">
        <f>SUMIFS(tblDonem[KDV Tutarı (₺)],tblDonem[Dönem],$A461)-SUMIFS(tblDonem[KDV Yüklenimi (₺)],tblDonem[Dönem],$A461)</f>
        <v/>
      </c>
      <c r="D461" s="120">
        <f>SUMIFS(tblDonem[Vergi Karşılığı (₺)],tblDonem[Dönem],$A461)</f>
        <v/>
      </c>
      <c r="E461" s="120">
        <f>$C461+$D461</f>
        <v/>
      </c>
      <c r="F461" s="120">
        <f>IF($B461=0,0,$E461/$B461)</f>
        <v/>
      </c>
    </row>
    <row r="462" ht="15" customHeight="1" s="68">
      <c r="A462" s="114" t="n"/>
      <c r="B462" s="120">
        <f>SUMIFS(tblDonem[Gelir (₺)],tblDonem[Dönem],$A462)</f>
        <v/>
      </c>
      <c r="C462" s="120">
        <f>SUMIFS(tblDonem[KDV Tutarı (₺)],tblDonem[Dönem],$A462)-SUMIFS(tblDonem[KDV Yüklenimi (₺)],tblDonem[Dönem],$A462)</f>
        <v/>
      </c>
      <c r="D462" s="120">
        <f>SUMIFS(tblDonem[Vergi Karşılığı (₺)],tblDonem[Dönem],$A462)</f>
        <v/>
      </c>
      <c r="E462" s="120">
        <f>$C462+$D462</f>
        <v/>
      </c>
      <c r="F462" s="120">
        <f>IF($B462=0,0,$E462/$B462)</f>
        <v/>
      </c>
    </row>
    <row r="463" ht="15" customHeight="1" s="68">
      <c r="A463" s="114" t="n"/>
      <c r="B463" s="120">
        <f>SUMIFS(tblDonem[Gelir (₺)],tblDonem[Dönem],$A463)</f>
        <v/>
      </c>
      <c r="C463" s="120">
        <f>SUMIFS(tblDonem[KDV Tutarı (₺)],tblDonem[Dönem],$A463)-SUMIFS(tblDonem[KDV Yüklenimi (₺)],tblDonem[Dönem],$A463)</f>
        <v/>
      </c>
      <c r="D463" s="120">
        <f>SUMIFS(tblDonem[Vergi Karşılığı (₺)],tblDonem[Dönem],$A463)</f>
        <v/>
      </c>
      <c r="E463" s="120">
        <f>$C463+$D463</f>
        <v/>
      </c>
      <c r="F463" s="120">
        <f>IF($B463=0,0,$E463/$B463)</f>
        <v/>
      </c>
    </row>
    <row r="464" ht="15" customHeight="1" s="68">
      <c r="A464" s="114" t="n"/>
      <c r="B464" s="120">
        <f>SUMIFS(tblDonem[Gelir (₺)],tblDonem[Dönem],$A464)</f>
        <v/>
      </c>
      <c r="C464" s="120">
        <f>SUMIFS(tblDonem[KDV Tutarı (₺)],tblDonem[Dönem],$A464)-SUMIFS(tblDonem[KDV Yüklenimi (₺)],tblDonem[Dönem],$A464)</f>
        <v/>
      </c>
      <c r="D464" s="120">
        <f>SUMIFS(tblDonem[Vergi Karşılığı (₺)],tblDonem[Dönem],$A464)</f>
        <v/>
      </c>
      <c r="E464" s="120">
        <f>$C464+$D464</f>
        <v/>
      </c>
      <c r="F464" s="120">
        <f>IF($B464=0,0,$E464/$B464)</f>
        <v/>
      </c>
    </row>
    <row r="465" ht="15" customHeight="1" s="68">
      <c r="A465" s="114" t="n"/>
      <c r="B465" s="120">
        <f>SUMIFS(tblDonem[Gelir (₺)],tblDonem[Dönem],$A465)</f>
        <v/>
      </c>
      <c r="C465" s="120">
        <f>SUMIFS(tblDonem[KDV Tutarı (₺)],tblDonem[Dönem],$A465)-SUMIFS(tblDonem[KDV Yüklenimi (₺)],tblDonem[Dönem],$A465)</f>
        <v/>
      </c>
      <c r="D465" s="120">
        <f>SUMIFS(tblDonem[Vergi Karşılığı (₺)],tblDonem[Dönem],$A465)</f>
        <v/>
      </c>
      <c r="E465" s="120">
        <f>$C465+$D465</f>
        <v/>
      </c>
      <c r="F465" s="120">
        <f>IF($B465=0,0,$E465/$B465)</f>
        <v/>
      </c>
    </row>
    <row r="466" ht="15" customHeight="1" s="68">
      <c r="A466" s="114" t="n"/>
      <c r="B466" s="120">
        <f>SUMIFS(tblDonem[Gelir (₺)],tblDonem[Dönem],$A466)</f>
        <v/>
      </c>
      <c r="C466" s="120">
        <f>SUMIFS(tblDonem[KDV Tutarı (₺)],tblDonem[Dönem],$A466)-SUMIFS(tblDonem[KDV Yüklenimi (₺)],tblDonem[Dönem],$A466)</f>
        <v/>
      </c>
      <c r="D466" s="120">
        <f>SUMIFS(tblDonem[Vergi Karşılığı (₺)],tblDonem[Dönem],$A466)</f>
        <v/>
      </c>
      <c r="E466" s="120">
        <f>$C466+$D466</f>
        <v/>
      </c>
      <c r="F466" s="120">
        <f>IF($B466=0,0,$E466/$B466)</f>
        <v/>
      </c>
    </row>
    <row r="467" ht="15" customHeight="1" s="68">
      <c r="A467" s="114" t="n"/>
      <c r="B467" s="120">
        <f>SUMIFS(tblDonem[Gelir (₺)],tblDonem[Dönem],$A467)</f>
        <v/>
      </c>
      <c r="C467" s="120">
        <f>SUMIFS(tblDonem[KDV Tutarı (₺)],tblDonem[Dönem],$A467)-SUMIFS(tblDonem[KDV Yüklenimi (₺)],tblDonem[Dönem],$A467)</f>
        <v/>
      </c>
      <c r="D467" s="120">
        <f>SUMIFS(tblDonem[Vergi Karşılığı (₺)],tblDonem[Dönem],$A467)</f>
        <v/>
      </c>
      <c r="E467" s="120">
        <f>$C467+$D467</f>
        <v/>
      </c>
      <c r="F467" s="120">
        <f>IF($B467=0,0,$E467/$B467)</f>
        <v/>
      </c>
    </row>
    <row r="468" ht="15" customHeight="1" s="68">
      <c r="A468" s="114" t="n"/>
      <c r="B468" s="120">
        <f>SUMIFS(tblDonem[Gelir (₺)],tblDonem[Dönem],$A468)</f>
        <v/>
      </c>
      <c r="C468" s="120">
        <f>SUMIFS(tblDonem[KDV Tutarı (₺)],tblDonem[Dönem],$A468)-SUMIFS(tblDonem[KDV Yüklenimi (₺)],tblDonem[Dönem],$A468)</f>
        <v/>
      </c>
      <c r="D468" s="120">
        <f>SUMIFS(tblDonem[Vergi Karşılığı (₺)],tblDonem[Dönem],$A468)</f>
        <v/>
      </c>
      <c r="E468" s="120">
        <f>$C468+$D468</f>
        <v/>
      </c>
      <c r="F468" s="120">
        <f>IF($B468=0,0,$E468/$B468)</f>
        <v/>
      </c>
    </row>
    <row r="469" ht="15" customHeight="1" s="68">
      <c r="A469" s="114" t="n"/>
      <c r="B469" s="120">
        <f>SUMIFS(tblDonem[Gelir (₺)],tblDonem[Dönem],$A469)</f>
        <v/>
      </c>
      <c r="C469" s="120">
        <f>SUMIFS(tblDonem[KDV Tutarı (₺)],tblDonem[Dönem],$A469)-SUMIFS(tblDonem[KDV Yüklenimi (₺)],tblDonem[Dönem],$A469)</f>
        <v/>
      </c>
      <c r="D469" s="120">
        <f>SUMIFS(tblDonem[Vergi Karşılığı (₺)],tblDonem[Dönem],$A469)</f>
        <v/>
      </c>
      <c r="E469" s="120">
        <f>$C469+$D469</f>
        <v/>
      </c>
      <c r="F469" s="120">
        <f>IF($B469=0,0,$E469/$B469)</f>
        <v/>
      </c>
    </row>
    <row r="470" ht="15" customHeight="1" s="68">
      <c r="A470" s="114" t="n"/>
      <c r="B470" s="120">
        <f>SUMIFS(tblDonem[Gelir (₺)],tblDonem[Dönem],$A470)</f>
        <v/>
      </c>
      <c r="C470" s="120">
        <f>SUMIFS(tblDonem[KDV Tutarı (₺)],tblDonem[Dönem],$A470)-SUMIFS(tblDonem[KDV Yüklenimi (₺)],tblDonem[Dönem],$A470)</f>
        <v/>
      </c>
      <c r="D470" s="120">
        <f>SUMIFS(tblDonem[Vergi Karşılığı (₺)],tblDonem[Dönem],$A470)</f>
        <v/>
      </c>
      <c r="E470" s="120">
        <f>$C470+$D470</f>
        <v/>
      </c>
      <c r="F470" s="120">
        <f>IF($B470=0,0,$E470/$B470)</f>
        <v/>
      </c>
    </row>
    <row r="471" ht="15" customHeight="1" s="68">
      <c r="A471" s="114" t="n"/>
      <c r="B471" s="120">
        <f>SUMIFS(tblDonem[Gelir (₺)],tblDonem[Dönem],$A471)</f>
        <v/>
      </c>
      <c r="C471" s="120">
        <f>SUMIFS(tblDonem[KDV Tutarı (₺)],tblDonem[Dönem],$A471)-SUMIFS(tblDonem[KDV Yüklenimi (₺)],tblDonem[Dönem],$A471)</f>
        <v/>
      </c>
      <c r="D471" s="120">
        <f>SUMIFS(tblDonem[Vergi Karşılığı (₺)],tblDonem[Dönem],$A471)</f>
        <v/>
      </c>
      <c r="E471" s="120">
        <f>$C471+$D471</f>
        <v/>
      </c>
      <c r="F471" s="120">
        <f>IF($B471=0,0,$E471/$B471)</f>
        <v/>
      </c>
    </row>
    <row r="472" ht="15" customHeight="1" s="68">
      <c r="A472" s="114" t="n"/>
      <c r="B472" s="120">
        <f>SUMIFS(tblDonem[Gelir (₺)],tblDonem[Dönem],$A472)</f>
        <v/>
      </c>
      <c r="C472" s="120">
        <f>SUMIFS(tblDonem[KDV Tutarı (₺)],tblDonem[Dönem],$A472)-SUMIFS(tblDonem[KDV Yüklenimi (₺)],tblDonem[Dönem],$A472)</f>
        <v/>
      </c>
      <c r="D472" s="120">
        <f>SUMIFS(tblDonem[Vergi Karşılığı (₺)],tblDonem[Dönem],$A472)</f>
        <v/>
      </c>
      <c r="E472" s="120">
        <f>$C472+$D472</f>
        <v/>
      </c>
      <c r="F472" s="120">
        <f>IF($B472=0,0,$E472/$B472)</f>
        <v/>
      </c>
    </row>
    <row r="473" ht="15" customHeight="1" s="68">
      <c r="A473" s="114" t="n"/>
      <c r="B473" s="120">
        <f>SUMIFS(tblDonem[Gelir (₺)],tblDonem[Dönem],$A473)</f>
        <v/>
      </c>
      <c r="C473" s="120">
        <f>SUMIFS(tblDonem[KDV Tutarı (₺)],tblDonem[Dönem],$A473)-SUMIFS(tblDonem[KDV Yüklenimi (₺)],tblDonem[Dönem],$A473)</f>
        <v/>
      </c>
      <c r="D473" s="120">
        <f>SUMIFS(tblDonem[Vergi Karşılığı (₺)],tblDonem[Dönem],$A473)</f>
        <v/>
      </c>
      <c r="E473" s="120">
        <f>$C473+$D473</f>
        <v/>
      </c>
      <c r="F473" s="120">
        <f>IF($B473=0,0,$E473/$B473)</f>
        <v/>
      </c>
    </row>
    <row r="474" ht="15" customHeight="1" s="68">
      <c r="A474" s="114" t="n"/>
      <c r="B474" s="120">
        <f>SUMIFS(tblDonem[Gelir (₺)],tblDonem[Dönem],$A474)</f>
        <v/>
      </c>
      <c r="C474" s="120">
        <f>SUMIFS(tblDonem[KDV Tutarı (₺)],tblDonem[Dönem],$A474)-SUMIFS(tblDonem[KDV Yüklenimi (₺)],tblDonem[Dönem],$A474)</f>
        <v/>
      </c>
      <c r="D474" s="120">
        <f>SUMIFS(tblDonem[Vergi Karşılığı (₺)],tblDonem[Dönem],$A474)</f>
        <v/>
      </c>
      <c r="E474" s="120">
        <f>$C474+$D474</f>
        <v/>
      </c>
      <c r="F474" s="120">
        <f>IF($B474=0,0,$E474/$B474)</f>
        <v/>
      </c>
    </row>
    <row r="475" ht="15" customHeight="1" s="68">
      <c r="A475" s="114" t="n"/>
      <c r="B475" s="120">
        <f>SUMIFS(tblDonem[Gelir (₺)],tblDonem[Dönem],$A475)</f>
        <v/>
      </c>
      <c r="C475" s="120">
        <f>SUMIFS(tblDonem[KDV Tutarı (₺)],tblDonem[Dönem],$A475)-SUMIFS(tblDonem[KDV Yüklenimi (₺)],tblDonem[Dönem],$A475)</f>
        <v/>
      </c>
      <c r="D475" s="120">
        <f>SUMIFS(tblDonem[Vergi Karşılığı (₺)],tblDonem[Dönem],$A475)</f>
        <v/>
      </c>
      <c r="E475" s="120">
        <f>$C475+$D475</f>
        <v/>
      </c>
      <c r="F475" s="120">
        <f>IF($B475=0,0,$E475/$B475)</f>
        <v/>
      </c>
    </row>
    <row r="476" ht="15" customHeight="1" s="68">
      <c r="A476" s="114" t="n"/>
      <c r="B476" s="120">
        <f>SUMIFS(tblDonem[Gelir (₺)],tblDonem[Dönem],$A476)</f>
        <v/>
      </c>
      <c r="C476" s="120">
        <f>SUMIFS(tblDonem[KDV Tutarı (₺)],tblDonem[Dönem],$A476)-SUMIFS(tblDonem[KDV Yüklenimi (₺)],tblDonem[Dönem],$A476)</f>
        <v/>
      </c>
      <c r="D476" s="120">
        <f>SUMIFS(tblDonem[Vergi Karşılığı (₺)],tblDonem[Dönem],$A476)</f>
        <v/>
      </c>
      <c r="E476" s="120">
        <f>$C476+$D476</f>
        <v/>
      </c>
      <c r="F476" s="120">
        <f>IF($B476=0,0,$E476/$B476)</f>
        <v/>
      </c>
    </row>
    <row r="477" ht="15" customHeight="1" s="68">
      <c r="A477" s="114" t="n"/>
      <c r="B477" s="120">
        <f>SUMIFS(tblDonem[Gelir (₺)],tblDonem[Dönem],$A477)</f>
        <v/>
      </c>
      <c r="C477" s="120">
        <f>SUMIFS(tblDonem[KDV Tutarı (₺)],tblDonem[Dönem],$A477)-SUMIFS(tblDonem[KDV Yüklenimi (₺)],tblDonem[Dönem],$A477)</f>
        <v/>
      </c>
      <c r="D477" s="120">
        <f>SUMIFS(tblDonem[Vergi Karşılığı (₺)],tblDonem[Dönem],$A477)</f>
        <v/>
      </c>
      <c r="E477" s="120">
        <f>$C477+$D477</f>
        <v/>
      </c>
      <c r="F477" s="120">
        <f>IF($B477=0,0,$E477/$B477)</f>
        <v/>
      </c>
    </row>
    <row r="478" ht="15" customHeight="1" s="68">
      <c r="A478" s="114" t="n"/>
      <c r="B478" s="120">
        <f>SUMIFS(tblDonem[Gelir (₺)],tblDonem[Dönem],$A478)</f>
        <v/>
      </c>
      <c r="C478" s="120">
        <f>SUMIFS(tblDonem[KDV Tutarı (₺)],tblDonem[Dönem],$A478)-SUMIFS(tblDonem[KDV Yüklenimi (₺)],tblDonem[Dönem],$A478)</f>
        <v/>
      </c>
      <c r="D478" s="120">
        <f>SUMIFS(tblDonem[Vergi Karşılığı (₺)],tblDonem[Dönem],$A478)</f>
        <v/>
      </c>
      <c r="E478" s="120">
        <f>$C478+$D478</f>
        <v/>
      </c>
      <c r="F478" s="120">
        <f>IF($B478=0,0,$E478/$B478)</f>
        <v/>
      </c>
    </row>
    <row r="479" ht="15" customHeight="1" s="68">
      <c r="A479" s="114" t="n"/>
      <c r="B479" s="120">
        <f>SUMIFS(tblDonem[Gelir (₺)],tblDonem[Dönem],$A479)</f>
        <v/>
      </c>
      <c r="C479" s="120">
        <f>SUMIFS(tblDonem[KDV Tutarı (₺)],tblDonem[Dönem],$A479)-SUMIFS(tblDonem[KDV Yüklenimi (₺)],tblDonem[Dönem],$A479)</f>
        <v/>
      </c>
      <c r="D479" s="120">
        <f>SUMIFS(tblDonem[Vergi Karşılığı (₺)],tblDonem[Dönem],$A479)</f>
        <v/>
      </c>
      <c r="E479" s="120">
        <f>$C479+$D479</f>
        <v/>
      </c>
      <c r="F479" s="120">
        <f>IF($B479=0,0,$E479/$B479)</f>
        <v/>
      </c>
    </row>
    <row r="480" ht="15" customHeight="1" s="68">
      <c r="A480" s="114" t="n"/>
      <c r="B480" s="120">
        <f>SUMIFS(tblDonem[Gelir (₺)],tblDonem[Dönem],$A480)</f>
        <v/>
      </c>
      <c r="C480" s="120">
        <f>SUMIFS(tblDonem[KDV Tutarı (₺)],tblDonem[Dönem],$A480)-SUMIFS(tblDonem[KDV Yüklenimi (₺)],tblDonem[Dönem],$A480)</f>
        <v/>
      </c>
      <c r="D480" s="120">
        <f>SUMIFS(tblDonem[Vergi Karşılığı (₺)],tblDonem[Dönem],$A480)</f>
        <v/>
      </c>
      <c r="E480" s="120">
        <f>$C480+$D480</f>
        <v/>
      </c>
      <c r="F480" s="120">
        <f>IF($B480=0,0,$E480/$B480)</f>
        <v/>
      </c>
    </row>
    <row r="481" ht="15" customHeight="1" s="68">
      <c r="A481" s="114" t="n"/>
      <c r="B481" s="120">
        <f>SUMIFS(tblDonem[Gelir (₺)],tblDonem[Dönem],$A481)</f>
        <v/>
      </c>
      <c r="C481" s="120">
        <f>SUMIFS(tblDonem[KDV Tutarı (₺)],tblDonem[Dönem],$A481)-SUMIFS(tblDonem[KDV Yüklenimi (₺)],tblDonem[Dönem],$A481)</f>
        <v/>
      </c>
      <c r="D481" s="120">
        <f>SUMIFS(tblDonem[Vergi Karşılığı (₺)],tblDonem[Dönem],$A481)</f>
        <v/>
      </c>
      <c r="E481" s="120">
        <f>$C481+$D481</f>
        <v/>
      </c>
      <c r="F481" s="120">
        <f>IF($B481=0,0,$E481/$B481)</f>
        <v/>
      </c>
    </row>
    <row r="482" ht="15" customHeight="1" s="68">
      <c r="A482" s="114" t="n"/>
      <c r="B482" s="120">
        <f>SUMIFS(tblDonem[Gelir (₺)],tblDonem[Dönem],$A482)</f>
        <v/>
      </c>
      <c r="C482" s="120">
        <f>SUMIFS(tblDonem[KDV Tutarı (₺)],tblDonem[Dönem],$A482)-SUMIFS(tblDonem[KDV Yüklenimi (₺)],tblDonem[Dönem],$A482)</f>
        <v/>
      </c>
      <c r="D482" s="120">
        <f>SUMIFS(tblDonem[Vergi Karşılığı (₺)],tblDonem[Dönem],$A482)</f>
        <v/>
      </c>
      <c r="E482" s="120">
        <f>$C482+$D482</f>
        <v/>
      </c>
      <c r="F482" s="120">
        <f>IF($B482=0,0,$E482/$B482)</f>
        <v/>
      </c>
    </row>
    <row r="483" ht="15" customHeight="1" s="68">
      <c r="A483" s="114" t="n"/>
      <c r="B483" s="120">
        <f>SUMIFS(tblDonem[Gelir (₺)],tblDonem[Dönem],$A483)</f>
        <v/>
      </c>
      <c r="C483" s="120">
        <f>SUMIFS(tblDonem[KDV Tutarı (₺)],tblDonem[Dönem],$A483)-SUMIFS(tblDonem[KDV Yüklenimi (₺)],tblDonem[Dönem],$A483)</f>
        <v/>
      </c>
      <c r="D483" s="120">
        <f>SUMIFS(tblDonem[Vergi Karşılığı (₺)],tblDonem[Dönem],$A483)</f>
        <v/>
      </c>
      <c r="E483" s="120">
        <f>$C483+$D483</f>
        <v/>
      </c>
      <c r="F483" s="120">
        <f>IF($B483=0,0,$E483/$B483)</f>
        <v/>
      </c>
    </row>
    <row r="484" ht="15" customHeight="1" s="68">
      <c r="A484" s="114" t="n"/>
      <c r="B484" s="120">
        <f>SUMIFS(tblDonem[Gelir (₺)],tblDonem[Dönem],$A484)</f>
        <v/>
      </c>
      <c r="C484" s="120">
        <f>SUMIFS(tblDonem[KDV Tutarı (₺)],tblDonem[Dönem],$A484)-SUMIFS(tblDonem[KDV Yüklenimi (₺)],tblDonem[Dönem],$A484)</f>
        <v/>
      </c>
      <c r="D484" s="120">
        <f>SUMIFS(tblDonem[Vergi Karşılığı (₺)],tblDonem[Dönem],$A484)</f>
        <v/>
      </c>
      <c r="E484" s="120">
        <f>$C484+$D484</f>
        <v/>
      </c>
      <c r="F484" s="120">
        <f>IF($B484=0,0,$E484/$B484)</f>
        <v/>
      </c>
    </row>
    <row r="485" ht="15" customHeight="1" s="68">
      <c r="A485" s="114" t="n"/>
      <c r="B485" s="120">
        <f>SUMIFS(tblDonem[Gelir (₺)],tblDonem[Dönem],$A485)</f>
        <v/>
      </c>
      <c r="C485" s="120">
        <f>SUMIFS(tblDonem[KDV Tutarı (₺)],tblDonem[Dönem],$A485)-SUMIFS(tblDonem[KDV Yüklenimi (₺)],tblDonem[Dönem],$A485)</f>
        <v/>
      </c>
      <c r="D485" s="120">
        <f>SUMIFS(tblDonem[Vergi Karşılığı (₺)],tblDonem[Dönem],$A485)</f>
        <v/>
      </c>
      <c r="E485" s="120">
        <f>$C485+$D485</f>
        <v/>
      </c>
      <c r="F485" s="120">
        <f>IF($B485=0,0,$E485/$B485)</f>
        <v/>
      </c>
    </row>
    <row r="486" ht="15" customHeight="1" s="68">
      <c r="A486" s="114" t="n"/>
      <c r="B486" s="120">
        <f>SUMIFS(tblDonem[Gelir (₺)],tblDonem[Dönem],$A486)</f>
        <v/>
      </c>
      <c r="C486" s="120">
        <f>SUMIFS(tblDonem[KDV Tutarı (₺)],tblDonem[Dönem],$A486)-SUMIFS(tblDonem[KDV Yüklenimi (₺)],tblDonem[Dönem],$A486)</f>
        <v/>
      </c>
      <c r="D486" s="120">
        <f>SUMIFS(tblDonem[Vergi Karşılığı (₺)],tblDonem[Dönem],$A486)</f>
        <v/>
      </c>
      <c r="E486" s="120">
        <f>$C486+$D486</f>
        <v/>
      </c>
      <c r="F486" s="120">
        <f>IF($B486=0,0,$E486/$B486)</f>
        <v/>
      </c>
    </row>
    <row r="487" ht="15" customHeight="1" s="68">
      <c r="A487" s="114" t="n"/>
      <c r="B487" s="120">
        <f>SUMIFS(tblDonem[Gelir (₺)],tblDonem[Dönem],$A487)</f>
        <v/>
      </c>
      <c r="C487" s="120">
        <f>SUMIFS(tblDonem[KDV Tutarı (₺)],tblDonem[Dönem],$A487)-SUMIFS(tblDonem[KDV Yüklenimi (₺)],tblDonem[Dönem],$A487)</f>
        <v/>
      </c>
      <c r="D487" s="120">
        <f>SUMIFS(tblDonem[Vergi Karşılığı (₺)],tblDonem[Dönem],$A487)</f>
        <v/>
      </c>
      <c r="E487" s="120">
        <f>$C487+$D487</f>
        <v/>
      </c>
      <c r="F487" s="120">
        <f>IF($B487=0,0,$E487/$B487)</f>
        <v/>
      </c>
    </row>
    <row r="488" ht="15" customHeight="1" s="68">
      <c r="A488" s="114" t="n"/>
      <c r="B488" s="120">
        <f>SUMIFS(tblDonem[Gelir (₺)],tblDonem[Dönem],$A488)</f>
        <v/>
      </c>
      <c r="C488" s="120">
        <f>SUMIFS(tblDonem[KDV Tutarı (₺)],tblDonem[Dönem],$A488)-SUMIFS(tblDonem[KDV Yüklenimi (₺)],tblDonem[Dönem],$A488)</f>
        <v/>
      </c>
      <c r="D488" s="120">
        <f>SUMIFS(tblDonem[Vergi Karşılığı (₺)],tblDonem[Dönem],$A488)</f>
        <v/>
      </c>
      <c r="E488" s="120">
        <f>$C488+$D488</f>
        <v/>
      </c>
      <c r="F488" s="120">
        <f>IF($B488=0,0,$E488/$B488)</f>
        <v/>
      </c>
    </row>
    <row r="489" ht="15" customHeight="1" s="68">
      <c r="A489" s="114" t="n"/>
      <c r="B489" s="120">
        <f>SUMIFS(tblDonem[Gelir (₺)],tblDonem[Dönem],$A489)</f>
        <v/>
      </c>
      <c r="C489" s="120">
        <f>SUMIFS(tblDonem[KDV Tutarı (₺)],tblDonem[Dönem],$A489)-SUMIFS(tblDonem[KDV Yüklenimi (₺)],tblDonem[Dönem],$A489)</f>
        <v/>
      </c>
      <c r="D489" s="120">
        <f>SUMIFS(tblDonem[Vergi Karşılığı (₺)],tblDonem[Dönem],$A489)</f>
        <v/>
      </c>
      <c r="E489" s="120">
        <f>$C489+$D489</f>
        <v/>
      </c>
      <c r="F489" s="120">
        <f>IF($B489=0,0,$E489/$B489)</f>
        <v/>
      </c>
    </row>
    <row r="490" ht="15" customHeight="1" s="68">
      <c r="A490" s="114" t="n"/>
      <c r="B490" s="120">
        <f>SUMIFS(tblDonem[Gelir (₺)],tblDonem[Dönem],$A490)</f>
        <v/>
      </c>
      <c r="C490" s="120">
        <f>SUMIFS(tblDonem[KDV Tutarı (₺)],tblDonem[Dönem],$A490)-SUMIFS(tblDonem[KDV Yüklenimi (₺)],tblDonem[Dönem],$A490)</f>
        <v/>
      </c>
      <c r="D490" s="120">
        <f>SUMIFS(tblDonem[Vergi Karşılığı (₺)],tblDonem[Dönem],$A490)</f>
        <v/>
      </c>
      <c r="E490" s="120">
        <f>$C490+$D490</f>
        <v/>
      </c>
      <c r="F490" s="120">
        <f>IF($B490=0,0,$E490/$B490)</f>
        <v/>
      </c>
    </row>
    <row r="491" ht="15" customHeight="1" s="68">
      <c r="A491" s="114" t="n"/>
      <c r="B491" s="120">
        <f>SUMIFS(tblDonem[Gelir (₺)],tblDonem[Dönem],$A491)</f>
        <v/>
      </c>
      <c r="C491" s="120">
        <f>SUMIFS(tblDonem[KDV Tutarı (₺)],tblDonem[Dönem],$A491)-SUMIFS(tblDonem[KDV Yüklenimi (₺)],tblDonem[Dönem],$A491)</f>
        <v/>
      </c>
      <c r="D491" s="120">
        <f>SUMIFS(tblDonem[Vergi Karşılığı (₺)],tblDonem[Dönem],$A491)</f>
        <v/>
      </c>
      <c r="E491" s="120">
        <f>$C491+$D491</f>
        <v/>
      </c>
      <c r="F491" s="120">
        <f>IF($B491=0,0,$E491/$B491)</f>
        <v/>
      </c>
    </row>
    <row r="492" ht="15" customHeight="1" s="68">
      <c r="A492" s="114" t="n"/>
      <c r="B492" s="120">
        <f>SUMIFS(tblDonem[Gelir (₺)],tblDonem[Dönem],$A492)</f>
        <v/>
      </c>
      <c r="C492" s="120">
        <f>SUMIFS(tblDonem[KDV Tutarı (₺)],tblDonem[Dönem],$A492)-SUMIFS(tblDonem[KDV Yüklenimi (₺)],tblDonem[Dönem],$A492)</f>
        <v/>
      </c>
      <c r="D492" s="120">
        <f>SUMIFS(tblDonem[Vergi Karşılığı (₺)],tblDonem[Dönem],$A492)</f>
        <v/>
      </c>
      <c r="E492" s="120">
        <f>$C492+$D492</f>
        <v/>
      </c>
      <c r="F492" s="120">
        <f>IF($B492=0,0,$E492/$B492)</f>
        <v/>
      </c>
    </row>
    <row r="493" ht="15" customHeight="1" s="68">
      <c r="A493" s="114" t="n"/>
      <c r="B493" s="120">
        <f>SUMIFS(tblDonem[Gelir (₺)],tblDonem[Dönem],$A493)</f>
        <v/>
      </c>
      <c r="C493" s="120">
        <f>SUMIFS(tblDonem[KDV Tutarı (₺)],tblDonem[Dönem],$A493)-SUMIFS(tblDonem[KDV Yüklenimi (₺)],tblDonem[Dönem],$A493)</f>
        <v/>
      </c>
      <c r="D493" s="120">
        <f>SUMIFS(tblDonem[Vergi Karşılığı (₺)],tblDonem[Dönem],$A493)</f>
        <v/>
      </c>
      <c r="E493" s="120">
        <f>$C493+$D493</f>
        <v/>
      </c>
      <c r="F493" s="120">
        <f>IF($B493=0,0,$E493/$B493)</f>
        <v/>
      </c>
    </row>
    <row r="494" ht="15" customHeight="1" s="68">
      <c r="A494" s="114" t="n"/>
      <c r="B494" s="120">
        <f>SUMIFS(tblDonem[Gelir (₺)],tblDonem[Dönem],$A494)</f>
        <v/>
      </c>
      <c r="C494" s="120">
        <f>SUMIFS(tblDonem[KDV Tutarı (₺)],tblDonem[Dönem],$A494)-SUMIFS(tblDonem[KDV Yüklenimi (₺)],tblDonem[Dönem],$A494)</f>
        <v/>
      </c>
      <c r="D494" s="120">
        <f>SUMIFS(tblDonem[Vergi Karşılığı (₺)],tblDonem[Dönem],$A494)</f>
        <v/>
      </c>
      <c r="E494" s="120">
        <f>$C494+$D494</f>
        <v/>
      </c>
      <c r="F494" s="120">
        <f>IF($B494=0,0,$E494/$B494)</f>
        <v/>
      </c>
    </row>
    <row r="495" ht="15" customHeight="1" s="68">
      <c r="A495" s="114" t="n"/>
      <c r="B495" s="120">
        <f>SUMIFS(tblDonem[Gelir (₺)],tblDonem[Dönem],$A495)</f>
        <v/>
      </c>
      <c r="C495" s="120">
        <f>SUMIFS(tblDonem[KDV Tutarı (₺)],tblDonem[Dönem],$A495)-SUMIFS(tblDonem[KDV Yüklenimi (₺)],tblDonem[Dönem],$A495)</f>
        <v/>
      </c>
      <c r="D495" s="120">
        <f>SUMIFS(tblDonem[Vergi Karşılığı (₺)],tblDonem[Dönem],$A495)</f>
        <v/>
      </c>
      <c r="E495" s="120">
        <f>$C495+$D495</f>
        <v/>
      </c>
      <c r="F495" s="120">
        <f>IF($B495=0,0,$E495/$B495)</f>
        <v/>
      </c>
    </row>
    <row r="496" ht="15" customHeight="1" s="68">
      <c r="A496" s="114" t="n"/>
      <c r="B496" s="120">
        <f>SUMIFS(tblDonem[Gelir (₺)],tblDonem[Dönem],$A496)</f>
        <v/>
      </c>
      <c r="C496" s="120">
        <f>SUMIFS(tblDonem[KDV Tutarı (₺)],tblDonem[Dönem],$A496)-SUMIFS(tblDonem[KDV Yüklenimi (₺)],tblDonem[Dönem],$A496)</f>
        <v/>
      </c>
      <c r="D496" s="120">
        <f>SUMIFS(tblDonem[Vergi Karşılığı (₺)],tblDonem[Dönem],$A496)</f>
        <v/>
      </c>
      <c r="E496" s="120">
        <f>$C496+$D496</f>
        <v/>
      </c>
      <c r="F496" s="120">
        <f>IF($B496=0,0,$E496/$B496)</f>
        <v/>
      </c>
    </row>
    <row r="497" ht="15" customHeight="1" s="68">
      <c r="A497" s="114" t="n"/>
      <c r="B497" s="120">
        <f>SUMIFS(tblDonem[Gelir (₺)],tblDonem[Dönem],$A497)</f>
        <v/>
      </c>
      <c r="C497" s="120">
        <f>SUMIFS(tblDonem[KDV Tutarı (₺)],tblDonem[Dönem],$A497)-SUMIFS(tblDonem[KDV Yüklenimi (₺)],tblDonem[Dönem],$A497)</f>
        <v/>
      </c>
      <c r="D497" s="120">
        <f>SUMIFS(tblDonem[Vergi Karşılığı (₺)],tblDonem[Dönem],$A497)</f>
        <v/>
      </c>
      <c r="E497" s="120">
        <f>$C497+$D497</f>
        <v/>
      </c>
      <c r="F497" s="120">
        <f>IF($B497=0,0,$E497/$B497)</f>
        <v/>
      </c>
    </row>
    <row r="498" ht="15" customHeight="1" s="68">
      <c r="A498" s="114" t="n"/>
      <c r="B498" s="120">
        <f>SUMIFS(tblDonem[Gelir (₺)],tblDonem[Dönem],$A498)</f>
        <v/>
      </c>
      <c r="C498" s="120">
        <f>SUMIFS(tblDonem[KDV Tutarı (₺)],tblDonem[Dönem],$A498)-SUMIFS(tblDonem[KDV Yüklenimi (₺)],tblDonem[Dönem],$A498)</f>
        <v/>
      </c>
      <c r="D498" s="120">
        <f>SUMIFS(tblDonem[Vergi Karşılığı (₺)],tblDonem[Dönem],$A498)</f>
        <v/>
      </c>
      <c r="E498" s="120">
        <f>$C498+$D498</f>
        <v/>
      </c>
      <c r="F498" s="120">
        <f>IF($B498=0,0,$E498/$B498)</f>
        <v/>
      </c>
    </row>
    <row r="499" ht="15" customHeight="1" s="68">
      <c r="A499" s="114" t="n"/>
      <c r="B499" s="120">
        <f>SUMIFS(tblDonem[Gelir (₺)],tblDonem[Dönem],$A499)</f>
        <v/>
      </c>
      <c r="C499" s="120">
        <f>SUMIFS(tblDonem[KDV Tutarı (₺)],tblDonem[Dönem],$A499)-SUMIFS(tblDonem[KDV Yüklenimi (₺)],tblDonem[Dönem],$A499)</f>
        <v/>
      </c>
      <c r="D499" s="120">
        <f>SUMIFS(tblDonem[Vergi Karşılığı (₺)],tblDonem[Dönem],$A499)</f>
        <v/>
      </c>
      <c r="E499" s="120">
        <f>$C499+$D499</f>
        <v/>
      </c>
      <c r="F499" s="120">
        <f>IF($B499=0,0,$E499/$B499)</f>
        <v/>
      </c>
    </row>
    <row r="500" ht="15" customHeight="1" s="68">
      <c r="A500" s="114" t="n"/>
      <c r="B500" s="120">
        <f>SUMIFS(tblDonem[Gelir (₺)],tblDonem[Dönem],$A500)</f>
        <v/>
      </c>
      <c r="C500" s="120">
        <f>SUMIFS(tblDonem[KDV Tutarı (₺)],tblDonem[Dönem],$A500)-SUMIFS(tblDonem[KDV Yüklenimi (₺)],tblDonem[Dönem],$A500)</f>
        <v/>
      </c>
      <c r="D500" s="120">
        <f>SUMIFS(tblDonem[Vergi Karşılığı (₺)],tblDonem[Dönem],$A500)</f>
        <v/>
      </c>
      <c r="E500" s="120">
        <f>$C500+$D500</f>
        <v/>
      </c>
      <c r="F500" s="120">
        <f>IF($B500=0,0,$E500/$B500)</f>
        <v/>
      </c>
    </row>
    <row r="501" ht="15" customHeight="1" s="68">
      <c r="A501" s="114" t="n"/>
      <c r="B501" s="120">
        <f>SUMIFS(tblDonem[Gelir (₺)],tblDonem[Dönem],$A501)</f>
        <v/>
      </c>
      <c r="C501" s="120">
        <f>SUMIFS(tblDonem[KDV Tutarı (₺)],tblDonem[Dönem],$A501)-SUMIFS(tblDonem[KDV Yüklenimi (₺)],tblDonem[Dönem],$A501)</f>
        <v/>
      </c>
      <c r="D501" s="120">
        <f>SUMIFS(tblDonem[Vergi Karşılığı (₺)],tblDonem[Dönem],$A501)</f>
        <v/>
      </c>
      <c r="E501" s="120">
        <f>$C501+$D501</f>
        <v/>
      </c>
      <c r="F501" s="120">
        <f>IF($B501=0,0,$E501/$B501)</f>
        <v/>
      </c>
    </row>
    <row r="502" ht="15" customHeight="1" s="68">
      <c r="A502" s="114" t="n"/>
      <c r="B502" s="120">
        <f>SUMIFS(tblDonem[Gelir (₺)],tblDonem[Dönem],$A502)</f>
        <v/>
      </c>
      <c r="C502" s="120">
        <f>SUMIFS(tblDonem[KDV Tutarı (₺)],tblDonem[Dönem],$A502)-SUMIFS(tblDonem[KDV Yüklenimi (₺)],tblDonem[Dönem],$A502)</f>
        <v/>
      </c>
      <c r="D502" s="120">
        <f>SUMIFS(tblDonem[Vergi Karşılığı (₺)],tblDonem[Dönem],$A502)</f>
        <v/>
      </c>
      <c r="E502" s="120">
        <f>$C502+$D502</f>
        <v/>
      </c>
      <c r="F502" s="120">
        <f>IF($B502=0,0,$E502/$B502)</f>
        <v/>
      </c>
    </row>
    <row r="503" ht="15" customHeight="1" s="68">
      <c r="A503" s="114" t="n"/>
      <c r="B503" s="120">
        <f>SUMIFS(tblDonem[Gelir (₺)],tblDonem[Dönem],$A503)</f>
        <v/>
      </c>
      <c r="C503" s="120">
        <f>SUMIFS(tblDonem[KDV Tutarı (₺)],tblDonem[Dönem],$A503)-SUMIFS(tblDonem[KDV Yüklenimi (₺)],tblDonem[Dönem],$A503)</f>
        <v/>
      </c>
      <c r="D503" s="120">
        <f>SUMIFS(tblDonem[Vergi Karşılığı (₺)],tblDonem[Dönem],$A503)</f>
        <v/>
      </c>
      <c r="E503" s="120">
        <f>$C503+$D503</f>
        <v/>
      </c>
      <c r="F503" s="120">
        <f>IF($B503=0,0,$E503/$B503)</f>
        <v/>
      </c>
    </row>
    <row r="504" ht="15" customHeight="1" s="68">
      <c r="A504" s="114" t="n"/>
      <c r="B504" s="120">
        <f>SUMIFS(tblDonem[Gelir (₺)],tblDonem[Dönem],$A504)</f>
        <v/>
      </c>
      <c r="C504" s="120">
        <f>SUMIFS(tblDonem[KDV Tutarı (₺)],tblDonem[Dönem],$A504)-SUMIFS(tblDonem[KDV Yüklenimi (₺)],tblDonem[Dönem],$A504)</f>
        <v/>
      </c>
      <c r="D504" s="120">
        <f>SUMIFS(tblDonem[Vergi Karşılığı (₺)],tblDonem[Dönem],$A504)</f>
        <v/>
      </c>
      <c r="E504" s="120">
        <f>$C504+$D504</f>
        <v/>
      </c>
      <c r="F504" s="120">
        <f>IF($B504=0,0,$E504/$B504)</f>
        <v/>
      </c>
    </row>
    <row r="505" ht="15" customHeight="1" s="68">
      <c r="A505" s="114" t="n"/>
      <c r="B505" s="120">
        <f>SUMIFS(tblDonem[Gelir (₺)],tblDonem[Dönem],$A505)</f>
        <v/>
      </c>
      <c r="C505" s="120">
        <f>SUMIFS(tblDonem[KDV Tutarı (₺)],tblDonem[Dönem],$A505)-SUMIFS(tblDonem[KDV Yüklenimi (₺)],tblDonem[Dönem],$A505)</f>
        <v/>
      </c>
      <c r="D505" s="120">
        <f>SUMIFS(tblDonem[Vergi Karşılığı (₺)],tblDonem[Dönem],$A505)</f>
        <v/>
      </c>
      <c r="E505" s="120">
        <f>$C505+$D505</f>
        <v/>
      </c>
      <c r="F505" s="120">
        <f>IF($B505=0,0,$E505/$B505)</f>
        <v/>
      </c>
    </row>
    <row r="506" ht="15" customHeight="1" s="68">
      <c r="A506" s="114" t="n"/>
      <c r="B506" s="120">
        <f>SUMIFS(tblDonem[Gelir (₺)],tblDonem[Dönem],$A506)</f>
        <v/>
      </c>
      <c r="C506" s="120">
        <f>SUMIFS(tblDonem[KDV Tutarı (₺)],tblDonem[Dönem],$A506)-SUMIFS(tblDonem[KDV Yüklenimi (₺)],tblDonem[Dönem],$A506)</f>
        <v/>
      </c>
      <c r="D506" s="120">
        <f>SUMIFS(tblDonem[Vergi Karşılığı (₺)],tblDonem[Dönem],$A506)</f>
        <v/>
      </c>
      <c r="E506" s="120">
        <f>$C506+$D506</f>
        <v/>
      </c>
      <c r="F506" s="120">
        <f>IF($B506=0,0,$E506/$B506)</f>
        <v/>
      </c>
    </row>
    <row r="507" ht="15" customHeight="1" s="68">
      <c r="A507" s="114" t="n"/>
      <c r="B507" s="120">
        <f>SUMIFS(tblDonem[Gelir (₺)],tblDonem[Dönem],$A507)</f>
        <v/>
      </c>
      <c r="C507" s="120">
        <f>SUMIFS(tblDonem[KDV Tutarı (₺)],tblDonem[Dönem],$A507)-SUMIFS(tblDonem[KDV Yüklenimi (₺)],tblDonem[Dönem],$A507)</f>
        <v/>
      </c>
      <c r="D507" s="120">
        <f>SUMIFS(tblDonem[Vergi Karşılığı (₺)],tblDonem[Dönem],$A507)</f>
        <v/>
      </c>
      <c r="E507" s="120">
        <f>$C507+$D507</f>
        <v/>
      </c>
      <c r="F507" s="120">
        <f>IF($B507=0,0,$E507/$B507)</f>
        <v/>
      </c>
    </row>
    <row r="508" ht="15" customHeight="1" s="68">
      <c r="A508" s="114" t="n"/>
      <c r="B508" s="120">
        <f>SUMIFS(tblDonem[Gelir (₺)],tblDonem[Dönem],$A508)</f>
        <v/>
      </c>
      <c r="C508" s="120">
        <f>SUMIFS(tblDonem[KDV Tutarı (₺)],tblDonem[Dönem],$A508)-SUMIFS(tblDonem[KDV Yüklenimi (₺)],tblDonem[Dönem],$A508)</f>
        <v/>
      </c>
      <c r="D508" s="120">
        <f>SUMIFS(tblDonem[Vergi Karşılığı (₺)],tblDonem[Dönem],$A508)</f>
        <v/>
      </c>
      <c r="E508" s="120">
        <f>$C508+$D508</f>
        <v/>
      </c>
      <c r="F508" s="120">
        <f>IF($B508=0,0,$E508/$B508)</f>
        <v/>
      </c>
    </row>
    <row r="509" ht="15" customHeight="1" s="68">
      <c r="A509" s="114" t="n"/>
      <c r="B509" s="120">
        <f>SUMIFS(tblDonem[Gelir (₺)],tblDonem[Dönem],$A509)</f>
        <v/>
      </c>
      <c r="C509" s="120">
        <f>SUMIFS(tblDonem[KDV Tutarı (₺)],tblDonem[Dönem],$A509)-SUMIFS(tblDonem[KDV Yüklenimi (₺)],tblDonem[Dönem],$A509)</f>
        <v/>
      </c>
      <c r="D509" s="120">
        <f>SUMIFS(tblDonem[Vergi Karşılığı (₺)],tblDonem[Dönem],$A509)</f>
        <v/>
      </c>
      <c r="E509" s="120">
        <f>$C509+$D509</f>
        <v/>
      </c>
      <c r="F509" s="120">
        <f>IF($B509=0,0,$E509/$B509)</f>
        <v/>
      </c>
    </row>
    <row r="510" ht="15" customHeight="1" s="68">
      <c r="A510" s="114" t="n"/>
      <c r="B510" s="120">
        <f>SUMIFS(tblDonem[Gelir (₺)],tblDonem[Dönem],$A510)</f>
        <v/>
      </c>
      <c r="C510" s="120">
        <f>SUMIFS(tblDonem[KDV Tutarı (₺)],tblDonem[Dönem],$A510)-SUMIFS(tblDonem[KDV Yüklenimi (₺)],tblDonem[Dönem],$A510)</f>
        <v/>
      </c>
      <c r="D510" s="120">
        <f>SUMIFS(tblDonem[Vergi Karşılığı (₺)],tblDonem[Dönem],$A510)</f>
        <v/>
      </c>
      <c r="E510" s="120">
        <f>$C510+$D510</f>
        <v/>
      </c>
      <c r="F510" s="120">
        <f>IF($B510=0,0,$E510/$B510)</f>
        <v/>
      </c>
    </row>
    <row r="511" ht="15" customHeight="1" s="68">
      <c r="A511" s="114" t="n"/>
      <c r="B511" s="120">
        <f>SUMIFS(tblDonem[Gelir (₺)],tblDonem[Dönem],$A511)</f>
        <v/>
      </c>
      <c r="C511" s="120">
        <f>SUMIFS(tblDonem[KDV Tutarı (₺)],tblDonem[Dönem],$A511)-SUMIFS(tblDonem[KDV Yüklenimi (₺)],tblDonem[Dönem],$A511)</f>
        <v/>
      </c>
      <c r="D511" s="120">
        <f>SUMIFS(tblDonem[Vergi Karşılığı (₺)],tblDonem[Dönem],$A511)</f>
        <v/>
      </c>
      <c r="E511" s="120">
        <f>$C511+$D511</f>
        <v/>
      </c>
      <c r="F511" s="120">
        <f>IF($B511=0,0,$E511/$B511)</f>
        <v/>
      </c>
    </row>
    <row r="512" ht="15" customHeight="1" s="68">
      <c r="A512" s="114" t="n"/>
      <c r="B512" s="120">
        <f>SUMIFS(tblDonem[Gelir (₺)],tblDonem[Dönem],$A512)</f>
        <v/>
      </c>
      <c r="C512" s="120">
        <f>SUMIFS(tblDonem[KDV Tutarı (₺)],tblDonem[Dönem],$A512)-SUMIFS(tblDonem[KDV Yüklenimi (₺)],tblDonem[Dönem],$A512)</f>
        <v/>
      </c>
      <c r="D512" s="120">
        <f>SUMIFS(tblDonem[Vergi Karşılığı (₺)],tblDonem[Dönem],$A512)</f>
        <v/>
      </c>
      <c r="E512" s="120">
        <f>$C512+$D512</f>
        <v/>
      </c>
      <c r="F512" s="120">
        <f>IF($B512=0,0,$E512/$B512)</f>
        <v/>
      </c>
    </row>
    <row r="513" ht="15" customHeight="1" s="68">
      <c r="A513" s="114" t="n"/>
      <c r="B513" s="120">
        <f>SUMIFS(tblDonem[Gelir (₺)],tblDonem[Dönem],$A513)</f>
        <v/>
      </c>
      <c r="C513" s="120">
        <f>SUMIFS(tblDonem[KDV Tutarı (₺)],tblDonem[Dönem],$A513)-SUMIFS(tblDonem[KDV Yüklenimi (₺)],tblDonem[Dönem],$A513)</f>
        <v/>
      </c>
      <c r="D513" s="120">
        <f>SUMIFS(tblDonem[Vergi Karşılığı (₺)],tblDonem[Dönem],$A513)</f>
        <v/>
      </c>
      <c r="E513" s="120">
        <f>$C513+$D513</f>
        <v/>
      </c>
      <c r="F513" s="120">
        <f>IF($B513=0,0,$E513/$B513)</f>
        <v/>
      </c>
    </row>
    <row r="514" ht="15" customHeight="1" s="68">
      <c r="A514" s="114" t="n"/>
      <c r="B514" s="120">
        <f>SUMIFS(tblDonem[Gelir (₺)],tblDonem[Dönem],$A514)</f>
        <v/>
      </c>
      <c r="C514" s="120">
        <f>SUMIFS(tblDonem[KDV Tutarı (₺)],tblDonem[Dönem],$A514)-SUMIFS(tblDonem[KDV Yüklenimi (₺)],tblDonem[Dönem],$A514)</f>
        <v/>
      </c>
      <c r="D514" s="120">
        <f>SUMIFS(tblDonem[Vergi Karşılığı (₺)],tblDonem[Dönem],$A514)</f>
        <v/>
      </c>
      <c r="E514" s="120">
        <f>$C514+$D514</f>
        <v/>
      </c>
      <c r="F514" s="120">
        <f>IF($B514=0,0,$E514/$B514)</f>
        <v/>
      </c>
    </row>
    <row r="515" ht="15" customHeight="1" s="68">
      <c r="A515" s="114" t="n"/>
      <c r="B515" s="120">
        <f>SUMIFS(tblDonem[Gelir (₺)],tblDonem[Dönem],$A515)</f>
        <v/>
      </c>
      <c r="C515" s="120">
        <f>SUMIFS(tblDonem[KDV Tutarı (₺)],tblDonem[Dönem],$A515)-SUMIFS(tblDonem[KDV Yüklenimi (₺)],tblDonem[Dönem],$A515)</f>
        <v/>
      </c>
      <c r="D515" s="120">
        <f>SUMIFS(tblDonem[Vergi Karşılığı (₺)],tblDonem[Dönem],$A515)</f>
        <v/>
      </c>
      <c r="E515" s="120">
        <f>$C515+$D515</f>
        <v/>
      </c>
      <c r="F515" s="120">
        <f>IF($B515=0,0,$E515/$B515)</f>
        <v/>
      </c>
    </row>
    <row r="516" ht="15" customHeight="1" s="68">
      <c r="A516" s="114" t="n"/>
      <c r="B516" s="120">
        <f>SUMIFS(tblDonem[Gelir (₺)],tblDonem[Dönem],$A516)</f>
        <v/>
      </c>
      <c r="C516" s="120">
        <f>SUMIFS(tblDonem[KDV Tutarı (₺)],tblDonem[Dönem],$A516)-SUMIFS(tblDonem[KDV Yüklenimi (₺)],tblDonem[Dönem],$A516)</f>
        <v/>
      </c>
      <c r="D516" s="120">
        <f>SUMIFS(tblDonem[Vergi Karşılığı (₺)],tblDonem[Dönem],$A516)</f>
        <v/>
      </c>
      <c r="E516" s="120">
        <f>$C516+$D516</f>
        <v/>
      </c>
      <c r="F516" s="120">
        <f>IF($B516=0,0,$E516/$B516)</f>
        <v/>
      </c>
    </row>
    <row r="517" ht="15" customHeight="1" s="68">
      <c r="A517" s="114" t="n"/>
      <c r="B517" s="120">
        <f>SUMIFS(tblDonem[Gelir (₺)],tblDonem[Dönem],$A517)</f>
        <v/>
      </c>
      <c r="C517" s="120">
        <f>SUMIFS(tblDonem[KDV Tutarı (₺)],tblDonem[Dönem],$A517)-SUMIFS(tblDonem[KDV Yüklenimi (₺)],tblDonem[Dönem],$A517)</f>
        <v/>
      </c>
      <c r="D517" s="120">
        <f>SUMIFS(tblDonem[Vergi Karşılığı (₺)],tblDonem[Dönem],$A517)</f>
        <v/>
      </c>
      <c r="E517" s="120">
        <f>$C517+$D517</f>
        <v/>
      </c>
      <c r="F517" s="120">
        <f>IF($B517=0,0,$E517/$B517)</f>
        <v/>
      </c>
    </row>
    <row r="518" ht="15" customHeight="1" s="68">
      <c r="A518" s="114" t="n"/>
      <c r="B518" s="120">
        <f>SUMIFS(tblDonem[Gelir (₺)],tblDonem[Dönem],$A518)</f>
        <v/>
      </c>
      <c r="C518" s="120">
        <f>SUMIFS(tblDonem[KDV Tutarı (₺)],tblDonem[Dönem],$A518)-SUMIFS(tblDonem[KDV Yüklenimi (₺)],tblDonem[Dönem],$A518)</f>
        <v/>
      </c>
      <c r="D518" s="120">
        <f>SUMIFS(tblDonem[Vergi Karşılığı (₺)],tblDonem[Dönem],$A518)</f>
        <v/>
      </c>
      <c r="E518" s="120">
        <f>$C518+$D518</f>
        <v/>
      </c>
      <c r="F518" s="120">
        <f>IF($B518=0,0,$E518/$B518)</f>
        <v/>
      </c>
    </row>
    <row r="519" ht="15" customHeight="1" s="68">
      <c r="A519" s="114" t="n"/>
      <c r="B519" s="120">
        <f>SUMIFS(tblDonem[Gelir (₺)],tblDonem[Dönem],$A519)</f>
        <v/>
      </c>
      <c r="C519" s="120">
        <f>SUMIFS(tblDonem[KDV Tutarı (₺)],tblDonem[Dönem],$A519)-SUMIFS(tblDonem[KDV Yüklenimi (₺)],tblDonem[Dönem],$A519)</f>
        <v/>
      </c>
      <c r="D519" s="120">
        <f>SUMIFS(tblDonem[Vergi Karşılığı (₺)],tblDonem[Dönem],$A519)</f>
        <v/>
      </c>
      <c r="E519" s="120">
        <f>$C519+$D519</f>
        <v/>
      </c>
      <c r="F519" s="120">
        <f>IF($B519=0,0,$E519/$B519)</f>
        <v/>
      </c>
    </row>
    <row r="520" ht="15" customHeight="1" s="68">
      <c r="A520" s="114" t="n"/>
      <c r="B520" s="120">
        <f>SUMIFS(tblDonem[Gelir (₺)],tblDonem[Dönem],$A520)</f>
        <v/>
      </c>
      <c r="C520" s="120">
        <f>SUMIFS(tblDonem[KDV Tutarı (₺)],tblDonem[Dönem],$A520)-SUMIFS(tblDonem[KDV Yüklenimi (₺)],tblDonem[Dönem],$A520)</f>
        <v/>
      </c>
      <c r="D520" s="120">
        <f>SUMIFS(tblDonem[Vergi Karşılığı (₺)],tblDonem[Dönem],$A520)</f>
        <v/>
      </c>
      <c r="E520" s="120">
        <f>$C520+$D520</f>
        <v/>
      </c>
      <c r="F520" s="120">
        <f>IF($B520=0,0,$E520/$B520)</f>
        <v/>
      </c>
    </row>
    <row r="521" ht="15" customHeight="1" s="68">
      <c r="A521" s="114" t="n"/>
      <c r="B521" s="120">
        <f>SUMIFS(tblDonem[Gelir (₺)],tblDonem[Dönem],$A521)</f>
        <v/>
      </c>
      <c r="C521" s="120">
        <f>SUMIFS(tblDonem[KDV Tutarı (₺)],tblDonem[Dönem],$A521)-SUMIFS(tblDonem[KDV Yüklenimi (₺)],tblDonem[Dönem],$A521)</f>
        <v/>
      </c>
      <c r="D521" s="120">
        <f>SUMIFS(tblDonem[Vergi Karşılığı (₺)],tblDonem[Dönem],$A521)</f>
        <v/>
      </c>
      <c r="E521" s="120">
        <f>$C521+$D521</f>
        <v/>
      </c>
      <c r="F521" s="120">
        <f>IF($B521=0,0,$E521/$B521)</f>
        <v/>
      </c>
    </row>
    <row r="522" ht="15" customHeight="1" s="68">
      <c r="A522" s="114" t="n"/>
      <c r="B522" s="120">
        <f>SUMIFS(tblDonem[Gelir (₺)],tblDonem[Dönem],$A522)</f>
        <v/>
      </c>
      <c r="C522" s="120">
        <f>SUMIFS(tblDonem[KDV Tutarı (₺)],tblDonem[Dönem],$A522)-SUMIFS(tblDonem[KDV Yüklenimi (₺)],tblDonem[Dönem],$A522)</f>
        <v/>
      </c>
      <c r="D522" s="120">
        <f>SUMIFS(tblDonem[Vergi Karşılığı (₺)],tblDonem[Dönem],$A522)</f>
        <v/>
      </c>
      <c r="E522" s="120">
        <f>$C522+$D522</f>
        <v/>
      </c>
      <c r="F522" s="120">
        <f>IF($B522=0,0,$E522/$B522)</f>
        <v/>
      </c>
    </row>
    <row r="523" ht="15" customHeight="1" s="68">
      <c r="A523" s="114" t="n"/>
      <c r="B523" s="120">
        <f>SUMIFS(tblDonem[Gelir (₺)],tblDonem[Dönem],$A523)</f>
        <v/>
      </c>
      <c r="C523" s="120">
        <f>SUMIFS(tblDonem[KDV Tutarı (₺)],tblDonem[Dönem],$A523)-SUMIFS(tblDonem[KDV Yüklenimi (₺)],tblDonem[Dönem],$A523)</f>
        <v/>
      </c>
      <c r="D523" s="120">
        <f>SUMIFS(tblDonem[Vergi Karşılığı (₺)],tblDonem[Dönem],$A523)</f>
        <v/>
      </c>
      <c r="E523" s="120">
        <f>$C523+$D523</f>
        <v/>
      </c>
      <c r="F523" s="120">
        <f>IF($B523=0,0,$E523/$B523)</f>
        <v/>
      </c>
    </row>
    <row r="524" ht="15" customHeight="1" s="68">
      <c r="A524" s="114" t="n"/>
      <c r="B524" s="120">
        <f>SUMIFS(tblDonem[Gelir (₺)],tblDonem[Dönem],$A524)</f>
        <v/>
      </c>
      <c r="C524" s="120">
        <f>SUMIFS(tblDonem[KDV Tutarı (₺)],tblDonem[Dönem],$A524)-SUMIFS(tblDonem[KDV Yüklenimi (₺)],tblDonem[Dönem],$A524)</f>
        <v/>
      </c>
      <c r="D524" s="120">
        <f>SUMIFS(tblDonem[Vergi Karşılığı (₺)],tblDonem[Dönem],$A524)</f>
        <v/>
      </c>
      <c r="E524" s="120">
        <f>$C524+$D524</f>
        <v/>
      </c>
      <c r="F524" s="120">
        <f>IF($B524=0,0,$E524/$B524)</f>
        <v/>
      </c>
    </row>
    <row r="525" ht="15" customHeight="1" s="68">
      <c r="A525" s="114" t="n"/>
      <c r="B525" s="120">
        <f>SUMIFS(tblDonem[Gelir (₺)],tblDonem[Dönem],$A525)</f>
        <v/>
      </c>
      <c r="C525" s="120">
        <f>SUMIFS(tblDonem[KDV Tutarı (₺)],tblDonem[Dönem],$A525)-SUMIFS(tblDonem[KDV Yüklenimi (₺)],tblDonem[Dönem],$A525)</f>
        <v/>
      </c>
      <c r="D525" s="120">
        <f>SUMIFS(tblDonem[Vergi Karşılığı (₺)],tblDonem[Dönem],$A525)</f>
        <v/>
      </c>
      <c r="E525" s="120">
        <f>$C525+$D525</f>
        <v/>
      </c>
      <c r="F525" s="120">
        <f>IF($B525=0,0,$E525/$B525)</f>
        <v/>
      </c>
    </row>
    <row r="526" ht="15" customHeight="1" s="68">
      <c r="A526" s="114" t="n"/>
      <c r="B526" s="120">
        <f>SUMIFS(tblDonem[Gelir (₺)],tblDonem[Dönem],$A526)</f>
        <v/>
      </c>
      <c r="C526" s="120">
        <f>SUMIFS(tblDonem[KDV Tutarı (₺)],tblDonem[Dönem],$A526)-SUMIFS(tblDonem[KDV Yüklenimi (₺)],tblDonem[Dönem],$A526)</f>
        <v/>
      </c>
      <c r="D526" s="120">
        <f>SUMIFS(tblDonem[Vergi Karşılığı (₺)],tblDonem[Dönem],$A526)</f>
        <v/>
      </c>
      <c r="E526" s="120">
        <f>$C526+$D526</f>
        <v/>
      </c>
      <c r="F526" s="120">
        <f>IF($B526=0,0,$E526/$B526)</f>
        <v/>
      </c>
    </row>
    <row r="527" ht="15" customHeight="1" s="68">
      <c r="A527" s="114" t="n"/>
      <c r="B527" s="120">
        <f>SUMIFS(tblDonem[Gelir (₺)],tblDonem[Dönem],$A527)</f>
        <v/>
      </c>
      <c r="C527" s="120">
        <f>SUMIFS(tblDonem[KDV Tutarı (₺)],tblDonem[Dönem],$A527)-SUMIFS(tblDonem[KDV Yüklenimi (₺)],tblDonem[Dönem],$A527)</f>
        <v/>
      </c>
      <c r="D527" s="120">
        <f>SUMIFS(tblDonem[Vergi Karşılığı (₺)],tblDonem[Dönem],$A527)</f>
        <v/>
      </c>
      <c r="E527" s="120">
        <f>$C527+$D527</f>
        <v/>
      </c>
      <c r="F527" s="120">
        <f>IF($B527=0,0,$E527/$B527)</f>
        <v/>
      </c>
    </row>
    <row r="528" ht="15" customHeight="1" s="68">
      <c r="A528" s="114" t="n"/>
      <c r="B528" s="120">
        <f>SUMIFS(tblDonem[Gelir (₺)],tblDonem[Dönem],$A528)</f>
        <v/>
      </c>
      <c r="C528" s="120">
        <f>SUMIFS(tblDonem[KDV Tutarı (₺)],tblDonem[Dönem],$A528)-SUMIFS(tblDonem[KDV Yüklenimi (₺)],tblDonem[Dönem],$A528)</f>
        <v/>
      </c>
      <c r="D528" s="120">
        <f>SUMIFS(tblDonem[Vergi Karşılığı (₺)],tblDonem[Dönem],$A528)</f>
        <v/>
      </c>
      <c r="E528" s="120">
        <f>$C528+$D528</f>
        <v/>
      </c>
      <c r="F528" s="120">
        <f>IF($B528=0,0,$E528/$B528)</f>
        <v/>
      </c>
    </row>
    <row r="529" ht="15" customHeight="1" s="68">
      <c r="A529" s="114" t="n"/>
      <c r="B529" s="120">
        <f>SUMIFS(tblDonem[Gelir (₺)],tblDonem[Dönem],$A529)</f>
        <v/>
      </c>
      <c r="C529" s="120">
        <f>SUMIFS(tblDonem[KDV Tutarı (₺)],tblDonem[Dönem],$A529)-SUMIFS(tblDonem[KDV Yüklenimi (₺)],tblDonem[Dönem],$A529)</f>
        <v/>
      </c>
      <c r="D529" s="120">
        <f>SUMIFS(tblDonem[Vergi Karşılığı (₺)],tblDonem[Dönem],$A529)</f>
        <v/>
      </c>
      <c r="E529" s="120">
        <f>$C529+$D529</f>
        <v/>
      </c>
      <c r="F529" s="120">
        <f>IF($B529=0,0,$E529/$B529)</f>
        <v/>
      </c>
    </row>
    <row r="530" ht="15" customHeight="1" s="68">
      <c r="A530" s="114" t="n"/>
      <c r="B530" s="120">
        <f>SUMIFS(tblDonem[Gelir (₺)],tblDonem[Dönem],$A530)</f>
        <v/>
      </c>
      <c r="C530" s="120">
        <f>SUMIFS(tblDonem[KDV Tutarı (₺)],tblDonem[Dönem],$A530)-SUMIFS(tblDonem[KDV Yüklenimi (₺)],tblDonem[Dönem],$A530)</f>
        <v/>
      </c>
      <c r="D530" s="120">
        <f>SUMIFS(tblDonem[Vergi Karşılığı (₺)],tblDonem[Dönem],$A530)</f>
        <v/>
      </c>
      <c r="E530" s="120">
        <f>$C530+$D530</f>
        <v/>
      </c>
      <c r="F530" s="120">
        <f>IF($B530=0,0,$E530/$B530)</f>
        <v/>
      </c>
    </row>
    <row r="531" ht="15" customHeight="1" s="68">
      <c r="A531" s="114" t="n"/>
      <c r="B531" s="120">
        <f>SUMIFS(tblDonem[Gelir (₺)],tblDonem[Dönem],$A531)</f>
        <v/>
      </c>
      <c r="C531" s="120">
        <f>SUMIFS(tblDonem[KDV Tutarı (₺)],tblDonem[Dönem],$A531)-SUMIFS(tblDonem[KDV Yüklenimi (₺)],tblDonem[Dönem],$A531)</f>
        <v/>
      </c>
      <c r="D531" s="120">
        <f>SUMIFS(tblDonem[Vergi Karşılığı (₺)],tblDonem[Dönem],$A531)</f>
        <v/>
      </c>
      <c r="E531" s="120">
        <f>$C531+$D531</f>
        <v/>
      </c>
      <c r="F531" s="120">
        <f>IF($B531=0,0,$E531/$B531)</f>
        <v/>
      </c>
    </row>
    <row r="532" ht="15" customHeight="1" s="68">
      <c r="A532" s="114" t="n"/>
      <c r="B532" s="120">
        <f>SUMIFS(tblDonem[Gelir (₺)],tblDonem[Dönem],$A532)</f>
        <v/>
      </c>
      <c r="C532" s="120">
        <f>SUMIFS(tblDonem[KDV Tutarı (₺)],tblDonem[Dönem],$A532)-SUMIFS(tblDonem[KDV Yüklenimi (₺)],tblDonem[Dönem],$A532)</f>
        <v/>
      </c>
      <c r="D532" s="120">
        <f>SUMIFS(tblDonem[Vergi Karşılığı (₺)],tblDonem[Dönem],$A532)</f>
        <v/>
      </c>
      <c r="E532" s="120">
        <f>$C532+$D532</f>
        <v/>
      </c>
      <c r="F532" s="120">
        <f>IF($B532=0,0,$E532/$B532)</f>
        <v/>
      </c>
    </row>
    <row r="533" ht="15" customHeight="1" s="68">
      <c r="A533" s="114" t="n"/>
      <c r="B533" s="120">
        <f>SUMIFS(tblDonem[Gelir (₺)],tblDonem[Dönem],$A533)</f>
        <v/>
      </c>
      <c r="C533" s="120">
        <f>SUMIFS(tblDonem[KDV Tutarı (₺)],tblDonem[Dönem],$A533)-SUMIFS(tblDonem[KDV Yüklenimi (₺)],tblDonem[Dönem],$A533)</f>
        <v/>
      </c>
      <c r="D533" s="120">
        <f>SUMIFS(tblDonem[Vergi Karşılığı (₺)],tblDonem[Dönem],$A533)</f>
        <v/>
      </c>
      <c r="E533" s="120">
        <f>$C533+$D533</f>
        <v/>
      </c>
      <c r="F533" s="120">
        <f>IF($B533=0,0,$E533/$B533)</f>
        <v/>
      </c>
    </row>
    <row r="534" ht="15" customHeight="1" s="68">
      <c r="A534" s="114" t="n"/>
      <c r="B534" s="120">
        <f>SUMIFS(tblDonem[Gelir (₺)],tblDonem[Dönem],$A534)</f>
        <v/>
      </c>
      <c r="C534" s="120">
        <f>SUMIFS(tblDonem[KDV Tutarı (₺)],tblDonem[Dönem],$A534)-SUMIFS(tblDonem[KDV Yüklenimi (₺)],tblDonem[Dönem],$A534)</f>
        <v/>
      </c>
      <c r="D534" s="120">
        <f>SUMIFS(tblDonem[Vergi Karşılığı (₺)],tblDonem[Dönem],$A534)</f>
        <v/>
      </c>
      <c r="E534" s="120">
        <f>$C534+$D534</f>
        <v/>
      </c>
      <c r="F534" s="120">
        <f>IF($B534=0,0,$E534/$B534)</f>
        <v/>
      </c>
    </row>
    <row r="535" ht="15" customHeight="1" s="68">
      <c r="A535" s="114" t="n"/>
      <c r="B535" s="120">
        <f>SUMIFS(tblDonem[Gelir (₺)],tblDonem[Dönem],$A535)</f>
        <v/>
      </c>
      <c r="C535" s="120">
        <f>SUMIFS(tblDonem[KDV Tutarı (₺)],tblDonem[Dönem],$A535)-SUMIFS(tblDonem[KDV Yüklenimi (₺)],tblDonem[Dönem],$A535)</f>
        <v/>
      </c>
      <c r="D535" s="120">
        <f>SUMIFS(tblDonem[Vergi Karşılığı (₺)],tblDonem[Dönem],$A535)</f>
        <v/>
      </c>
      <c r="E535" s="120">
        <f>$C535+$D535</f>
        <v/>
      </c>
      <c r="F535" s="120">
        <f>IF($B535=0,0,$E535/$B535)</f>
        <v/>
      </c>
    </row>
    <row r="536" ht="15" customHeight="1" s="68">
      <c r="A536" s="114" t="n"/>
      <c r="B536" s="120">
        <f>SUMIFS(tblDonem[Gelir (₺)],tblDonem[Dönem],$A536)</f>
        <v/>
      </c>
      <c r="C536" s="120">
        <f>SUMIFS(tblDonem[KDV Tutarı (₺)],tblDonem[Dönem],$A536)-SUMIFS(tblDonem[KDV Yüklenimi (₺)],tblDonem[Dönem],$A536)</f>
        <v/>
      </c>
      <c r="D536" s="120">
        <f>SUMIFS(tblDonem[Vergi Karşılığı (₺)],tblDonem[Dönem],$A536)</f>
        <v/>
      </c>
      <c r="E536" s="120">
        <f>$C536+$D536</f>
        <v/>
      </c>
      <c r="F536" s="120">
        <f>IF($B536=0,0,$E536/$B536)</f>
        <v/>
      </c>
    </row>
    <row r="537" ht="15" customHeight="1" s="68">
      <c r="A537" s="114" t="n"/>
      <c r="B537" s="120">
        <f>SUMIFS(tblDonem[Gelir (₺)],tblDonem[Dönem],$A537)</f>
        <v/>
      </c>
      <c r="C537" s="120">
        <f>SUMIFS(tblDonem[KDV Tutarı (₺)],tblDonem[Dönem],$A537)-SUMIFS(tblDonem[KDV Yüklenimi (₺)],tblDonem[Dönem],$A537)</f>
        <v/>
      </c>
      <c r="D537" s="120">
        <f>SUMIFS(tblDonem[Vergi Karşılığı (₺)],tblDonem[Dönem],$A537)</f>
        <v/>
      </c>
      <c r="E537" s="120">
        <f>$C537+$D537</f>
        <v/>
      </c>
      <c r="F537" s="120">
        <f>IF($B537=0,0,$E537/$B537)</f>
        <v/>
      </c>
    </row>
    <row r="538" ht="15" customHeight="1" s="68">
      <c r="A538" s="114" t="n"/>
      <c r="B538" s="120">
        <f>SUMIFS(tblDonem[Gelir (₺)],tblDonem[Dönem],$A538)</f>
        <v/>
      </c>
      <c r="C538" s="120">
        <f>SUMIFS(tblDonem[KDV Tutarı (₺)],tblDonem[Dönem],$A538)-SUMIFS(tblDonem[KDV Yüklenimi (₺)],tblDonem[Dönem],$A538)</f>
        <v/>
      </c>
      <c r="D538" s="120">
        <f>SUMIFS(tblDonem[Vergi Karşılığı (₺)],tblDonem[Dönem],$A538)</f>
        <v/>
      </c>
      <c r="E538" s="120">
        <f>$C538+$D538</f>
        <v/>
      </c>
      <c r="F538" s="120">
        <f>IF($B538=0,0,$E538/$B538)</f>
        <v/>
      </c>
    </row>
    <row r="539" ht="15" customHeight="1" s="68">
      <c r="A539" s="114" t="n"/>
      <c r="B539" s="120">
        <f>SUMIFS(tblDonem[Gelir (₺)],tblDonem[Dönem],$A539)</f>
        <v/>
      </c>
      <c r="C539" s="120">
        <f>SUMIFS(tblDonem[KDV Tutarı (₺)],tblDonem[Dönem],$A539)-SUMIFS(tblDonem[KDV Yüklenimi (₺)],tblDonem[Dönem],$A539)</f>
        <v/>
      </c>
      <c r="D539" s="120">
        <f>SUMIFS(tblDonem[Vergi Karşılığı (₺)],tblDonem[Dönem],$A539)</f>
        <v/>
      </c>
      <c r="E539" s="120">
        <f>$C539+$D539</f>
        <v/>
      </c>
      <c r="F539" s="120">
        <f>IF($B539=0,0,$E539/$B539)</f>
        <v/>
      </c>
    </row>
    <row r="540" ht="15" customHeight="1" s="68">
      <c r="A540" s="114" t="n"/>
      <c r="B540" s="120">
        <f>SUMIFS(tblDonem[Gelir (₺)],tblDonem[Dönem],$A540)</f>
        <v/>
      </c>
      <c r="C540" s="120">
        <f>SUMIFS(tblDonem[KDV Tutarı (₺)],tblDonem[Dönem],$A540)-SUMIFS(tblDonem[KDV Yüklenimi (₺)],tblDonem[Dönem],$A540)</f>
        <v/>
      </c>
      <c r="D540" s="120">
        <f>SUMIFS(tblDonem[Vergi Karşılığı (₺)],tblDonem[Dönem],$A540)</f>
        <v/>
      </c>
      <c r="E540" s="120">
        <f>$C540+$D540</f>
        <v/>
      </c>
      <c r="F540" s="120">
        <f>IF($B540=0,0,$E540/$B540)</f>
        <v/>
      </c>
    </row>
    <row r="541" ht="15" customHeight="1" s="68">
      <c r="A541" s="114" t="n"/>
      <c r="B541" s="120">
        <f>SUMIFS(tblDonem[Gelir (₺)],tblDonem[Dönem],$A541)</f>
        <v/>
      </c>
      <c r="C541" s="120">
        <f>SUMIFS(tblDonem[KDV Tutarı (₺)],tblDonem[Dönem],$A541)-SUMIFS(tblDonem[KDV Yüklenimi (₺)],tblDonem[Dönem],$A541)</f>
        <v/>
      </c>
      <c r="D541" s="120">
        <f>SUMIFS(tblDonem[Vergi Karşılığı (₺)],tblDonem[Dönem],$A541)</f>
        <v/>
      </c>
      <c r="E541" s="120">
        <f>$C541+$D541</f>
        <v/>
      </c>
      <c r="F541" s="120">
        <f>IF($B541=0,0,$E541/$B541)</f>
        <v/>
      </c>
    </row>
    <row r="542" ht="15" customHeight="1" s="68">
      <c r="A542" s="114" t="n"/>
      <c r="B542" s="120">
        <f>SUMIFS(tblDonem[Gelir (₺)],tblDonem[Dönem],$A542)</f>
        <v/>
      </c>
      <c r="C542" s="120">
        <f>SUMIFS(tblDonem[KDV Tutarı (₺)],tblDonem[Dönem],$A542)-SUMIFS(tblDonem[KDV Yüklenimi (₺)],tblDonem[Dönem],$A542)</f>
        <v/>
      </c>
      <c r="D542" s="120">
        <f>SUMIFS(tblDonem[Vergi Karşılığı (₺)],tblDonem[Dönem],$A542)</f>
        <v/>
      </c>
      <c r="E542" s="120">
        <f>$C542+$D542</f>
        <v/>
      </c>
      <c r="F542" s="120">
        <f>IF($B542=0,0,$E542/$B542)</f>
        <v/>
      </c>
    </row>
    <row r="543" ht="15" customHeight="1" s="68">
      <c r="A543" s="114" t="n"/>
      <c r="B543" s="120">
        <f>SUMIFS(tblDonem[Gelir (₺)],tblDonem[Dönem],$A543)</f>
        <v/>
      </c>
      <c r="C543" s="120">
        <f>SUMIFS(tblDonem[KDV Tutarı (₺)],tblDonem[Dönem],$A543)-SUMIFS(tblDonem[KDV Yüklenimi (₺)],tblDonem[Dönem],$A543)</f>
        <v/>
      </c>
      <c r="D543" s="120">
        <f>SUMIFS(tblDonem[Vergi Karşılığı (₺)],tblDonem[Dönem],$A543)</f>
        <v/>
      </c>
      <c r="E543" s="120">
        <f>$C543+$D543</f>
        <v/>
      </c>
      <c r="F543" s="120">
        <f>IF($B543=0,0,$E543/$B543)</f>
        <v/>
      </c>
    </row>
    <row r="544" ht="15" customHeight="1" s="68">
      <c r="A544" s="114" t="n"/>
      <c r="B544" s="120">
        <f>SUMIFS(tblDonem[Gelir (₺)],tblDonem[Dönem],$A544)</f>
        <v/>
      </c>
      <c r="C544" s="120">
        <f>SUMIFS(tblDonem[KDV Tutarı (₺)],tblDonem[Dönem],$A544)-SUMIFS(tblDonem[KDV Yüklenimi (₺)],tblDonem[Dönem],$A544)</f>
        <v/>
      </c>
      <c r="D544" s="120">
        <f>SUMIFS(tblDonem[Vergi Karşılığı (₺)],tblDonem[Dönem],$A544)</f>
        <v/>
      </c>
      <c r="E544" s="120">
        <f>$C544+$D544</f>
        <v/>
      </c>
      <c r="F544" s="120">
        <f>IF($B544=0,0,$E544/$B544)</f>
        <v/>
      </c>
    </row>
    <row r="545" ht="15" customHeight="1" s="68">
      <c r="A545" s="114" t="n"/>
      <c r="B545" s="120">
        <f>SUMIFS(tblDonem[Gelir (₺)],tblDonem[Dönem],$A545)</f>
        <v/>
      </c>
      <c r="C545" s="120">
        <f>SUMIFS(tblDonem[KDV Tutarı (₺)],tblDonem[Dönem],$A545)-SUMIFS(tblDonem[KDV Yüklenimi (₺)],tblDonem[Dönem],$A545)</f>
        <v/>
      </c>
      <c r="D545" s="120">
        <f>SUMIFS(tblDonem[Vergi Karşılığı (₺)],tblDonem[Dönem],$A545)</f>
        <v/>
      </c>
      <c r="E545" s="120">
        <f>$C545+$D545</f>
        <v/>
      </c>
      <c r="F545" s="120">
        <f>IF($B545=0,0,$E545/$B545)</f>
        <v/>
      </c>
    </row>
    <row r="546" ht="15" customHeight="1" s="68">
      <c r="A546" s="114" t="n"/>
      <c r="B546" s="120">
        <f>SUMIFS(tblDonem[Gelir (₺)],tblDonem[Dönem],$A546)</f>
        <v/>
      </c>
      <c r="C546" s="120">
        <f>SUMIFS(tblDonem[KDV Tutarı (₺)],tblDonem[Dönem],$A546)-SUMIFS(tblDonem[KDV Yüklenimi (₺)],tblDonem[Dönem],$A546)</f>
        <v/>
      </c>
      <c r="D546" s="120">
        <f>SUMIFS(tblDonem[Vergi Karşılığı (₺)],tblDonem[Dönem],$A546)</f>
        <v/>
      </c>
      <c r="E546" s="120">
        <f>$C546+$D546</f>
        <v/>
      </c>
      <c r="F546" s="120">
        <f>IF($B546=0,0,$E546/$B546)</f>
        <v/>
      </c>
    </row>
    <row r="547" ht="15" customHeight="1" s="68">
      <c r="A547" s="114" t="n"/>
      <c r="B547" s="120">
        <f>SUMIFS(tblDonem[Gelir (₺)],tblDonem[Dönem],$A547)</f>
        <v/>
      </c>
      <c r="C547" s="120">
        <f>SUMIFS(tblDonem[KDV Tutarı (₺)],tblDonem[Dönem],$A547)-SUMIFS(tblDonem[KDV Yüklenimi (₺)],tblDonem[Dönem],$A547)</f>
        <v/>
      </c>
      <c r="D547" s="120">
        <f>SUMIFS(tblDonem[Vergi Karşılığı (₺)],tblDonem[Dönem],$A547)</f>
        <v/>
      </c>
      <c r="E547" s="120">
        <f>$C547+$D547</f>
        <v/>
      </c>
      <c r="F547" s="120">
        <f>IF($B547=0,0,$E547/$B547)</f>
        <v/>
      </c>
    </row>
    <row r="548" ht="15" customHeight="1" s="68">
      <c r="A548" s="114" t="n"/>
      <c r="B548" s="120">
        <f>SUMIFS(tblDonem[Gelir (₺)],tblDonem[Dönem],$A548)</f>
        <v/>
      </c>
      <c r="C548" s="120">
        <f>SUMIFS(tblDonem[KDV Tutarı (₺)],tblDonem[Dönem],$A548)-SUMIFS(tblDonem[KDV Yüklenimi (₺)],tblDonem[Dönem],$A548)</f>
        <v/>
      </c>
      <c r="D548" s="120">
        <f>SUMIFS(tblDonem[Vergi Karşılığı (₺)],tblDonem[Dönem],$A548)</f>
        <v/>
      </c>
      <c r="E548" s="120">
        <f>$C548+$D548</f>
        <v/>
      </c>
      <c r="F548" s="120">
        <f>IF($B548=0,0,$E548/$B548)</f>
        <v/>
      </c>
    </row>
    <row r="549" ht="15" customHeight="1" s="68">
      <c r="A549" s="114" t="n"/>
      <c r="B549" s="120">
        <f>SUMIFS(tblDonem[Gelir (₺)],tblDonem[Dönem],$A549)</f>
        <v/>
      </c>
      <c r="C549" s="120">
        <f>SUMIFS(tblDonem[KDV Tutarı (₺)],tblDonem[Dönem],$A549)-SUMIFS(tblDonem[KDV Yüklenimi (₺)],tblDonem[Dönem],$A549)</f>
        <v/>
      </c>
      <c r="D549" s="120">
        <f>SUMIFS(tblDonem[Vergi Karşılığı (₺)],tblDonem[Dönem],$A549)</f>
        <v/>
      </c>
      <c r="E549" s="120">
        <f>$C549+$D549</f>
        <v/>
      </c>
      <c r="F549" s="120">
        <f>IF($B549=0,0,$E549/$B549)</f>
        <v/>
      </c>
    </row>
    <row r="550" ht="15" customHeight="1" s="68">
      <c r="A550" s="114" t="n"/>
      <c r="B550" s="120">
        <f>SUMIFS(tblDonem[Gelir (₺)],tblDonem[Dönem],$A550)</f>
        <v/>
      </c>
      <c r="C550" s="120">
        <f>SUMIFS(tblDonem[KDV Tutarı (₺)],tblDonem[Dönem],$A550)-SUMIFS(tblDonem[KDV Yüklenimi (₺)],tblDonem[Dönem],$A550)</f>
        <v/>
      </c>
      <c r="D550" s="120">
        <f>SUMIFS(tblDonem[Vergi Karşılığı (₺)],tblDonem[Dönem],$A550)</f>
        <v/>
      </c>
      <c r="E550" s="120">
        <f>$C550+$D550</f>
        <v/>
      </c>
      <c r="F550" s="120">
        <f>IF($B550=0,0,$E550/$B550)</f>
        <v/>
      </c>
    </row>
    <row r="551" ht="15" customHeight="1" s="68">
      <c r="A551" s="114" t="n"/>
      <c r="B551" s="120">
        <f>SUMIFS(tblDonem[Gelir (₺)],tblDonem[Dönem],$A551)</f>
        <v/>
      </c>
      <c r="C551" s="120">
        <f>SUMIFS(tblDonem[KDV Tutarı (₺)],tblDonem[Dönem],$A551)-SUMIFS(tblDonem[KDV Yüklenimi (₺)],tblDonem[Dönem],$A551)</f>
        <v/>
      </c>
      <c r="D551" s="120">
        <f>SUMIFS(tblDonem[Vergi Karşılığı (₺)],tblDonem[Dönem],$A551)</f>
        <v/>
      </c>
      <c r="E551" s="120">
        <f>$C551+$D551</f>
        <v/>
      </c>
      <c r="F551" s="120">
        <f>IF($B551=0,0,$E551/$B551)</f>
        <v/>
      </c>
    </row>
    <row r="552" ht="15" customHeight="1" s="68">
      <c r="A552" s="114" t="n"/>
      <c r="B552" s="120">
        <f>SUMIFS(tblDonem[Gelir (₺)],tblDonem[Dönem],$A552)</f>
        <v/>
      </c>
      <c r="C552" s="120">
        <f>SUMIFS(tblDonem[KDV Tutarı (₺)],tblDonem[Dönem],$A552)-SUMIFS(tblDonem[KDV Yüklenimi (₺)],tblDonem[Dönem],$A552)</f>
        <v/>
      </c>
      <c r="D552" s="120">
        <f>SUMIFS(tblDonem[Vergi Karşılığı (₺)],tblDonem[Dönem],$A552)</f>
        <v/>
      </c>
      <c r="E552" s="120">
        <f>$C552+$D552</f>
        <v/>
      </c>
      <c r="F552" s="120">
        <f>IF($B552=0,0,$E552/$B552)</f>
        <v/>
      </c>
    </row>
    <row r="553" ht="15" customHeight="1" s="68">
      <c r="A553" s="114" t="n"/>
      <c r="B553" s="120">
        <f>SUMIFS(tblDonem[Gelir (₺)],tblDonem[Dönem],$A553)</f>
        <v/>
      </c>
      <c r="C553" s="120">
        <f>SUMIFS(tblDonem[KDV Tutarı (₺)],tblDonem[Dönem],$A553)-SUMIFS(tblDonem[KDV Yüklenimi (₺)],tblDonem[Dönem],$A553)</f>
        <v/>
      </c>
      <c r="D553" s="120">
        <f>SUMIFS(tblDonem[Vergi Karşılığı (₺)],tblDonem[Dönem],$A553)</f>
        <v/>
      </c>
      <c r="E553" s="120">
        <f>$C553+$D553</f>
        <v/>
      </c>
      <c r="F553" s="120">
        <f>IF($B553=0,0,$E553/$B553)</f>
        <v/>
      </c>
    </row>
    <row r="554" ht="15" customHeight="1" s="68">
      <c r="A554" s="114" t="n"/>
      <c r="B554" s="120">
        <f>SUMIFS(tblDonem[Gelir (₺)],tblDonem[Dönem],$A554)</f>
        <v/>
      </c>
      <c r="C554" s="120">
        <f>SUMIFS(tblDonem[KDV Tutarı (₺)],tblDonem[Dönem],$A554)-SUMIFS(tblDonem[KDV Yüklenimi (₺)],tblDonem[Dönem],$A554)</f>
        <v/>
      </c>
      <c r="D554" s="120">
        <f>SUMIFS(tblDonem[Vergi Karşılığı (₺)],tblDonem[Dönem],$A554)</f>
        <v/>
      </c>
      <c r="E554" s="120">
        <f>$C554+$D554</f>
        <v/>
      </c>
      <c r="F554" s="120">
        <f>IF($B554=0,0,$E554/$B554)</f>
        <v/>
      </c>
    </row>
    <row r="555" ht="15" customHeight="1" s="68">
      <c r="A555" s="114" t="n"/>
      <c r="B555" s="120">
        <f>SUMIFS(tblDonem[Gelir (₺)],tblDonem[Dönem],$A555)</f>
        <v/>
      </c>
      <c r="C555" s="120">
        <f>SUMIFS(tblDonem[KDV Tutarı (₺)],tblDonem[Dönem],$A555)-SUMIFS(tblDonem[KDV Yüklenimi (₺)],tblDonem[Dönem],$A555)</f>
        <v/>
      </c>
      <c r="D555" s="120">
        <f>SUMIFS(tblDonem[Vergi Karşılığı (₺)],tblDonem[Dönem],$A555)</f>
        <v/>
      </c>
      <c r="E555" s="120">
        <f>$C555+$D555</f>
        <v/>
      </c>
      <c r="F555" s="120">
        <f>IF($B555=0,0,$E555/$B555)</f>
        <v/>
      </c>
    </row>
    <row r="556" ht="15" customHeight="1" s="68">
      <c r="A556" s="114" t="n"/>
      <c r="B556" s="120">
        <f>SUMIFS(tblDonem[Gelir (₺)],tblDonem[Dönem],$A556)</f>
        <v/>
      </c>
      <c r="C556" s="120">
        <f>SUMIFS(tblDonem[KDV Tutarı (₺)],tblDonem[Dönem],$A556)-SUMIFS(tblDonem[KDV Yüklenimi (₺)],tblDonem[Dönem],$A556)</f>
        <v/>
      </c>
      <c r="D556" s="120">
        <f>SUMIFS(tblDonem[Vergi Karşılığı (₺)],tblDonem[Dönem],$A556)</f>
        <v/>
      </c>
      <c r="E556" s="120">
        <f>$C556+$D556</f>
        <v/>
      </c>
      <c r="F556" s="120">
        <f>IF($B556=0,0,$E556/$B556)</f>
        <v/>
      </c>
    </row>
    <row r="557" ht="15" customHeight="1" s="68">
      <c r="A557" s="114" t="n"/>
      <c r="B557" s="120">
        <f>SUMIFS(tblDonem[Gelir (₺)],tblDonem[Dönem],$A557)</f>
        <v/>
      </c>
      <c r="C557" s="120">
        <f>SUMIFS(tblDonem[KDV Tutarı (₺)],tblDonem[Dönem],$A557)-SUMIFS(tblDonem[KDV Yüklenimi (₺)],tblDonem[Dönem],$A557)</f>
        <v/>
      </c>
      <c r="D557" s="120">
        <f>SUMIFS(tblDonem[Vergi Karşılığı (₺)],tblDonem[Dönem],$A557)</f>
        <v/>
      </c>
      <c r="E557" s="120">
        <f>$C557+$D557</f>
        <v/>
      </c>
      <c r="F557" s="120">
        <f>IF($B557=0,0,$E557/$B557)</f>
        <v/>
      </c>
    </row>
    <row r="558" ht="15" customHeight="1" s="68">
      <c r="A558" s="114" t="n"/>
      <c r="B558" s="120">
        <f>SUMIFS(tblDonem[Gelir (₺)],tblDonem[Dönem],$A558)</f>
        <v/>
      </c>
      <c r="C558" s="120">
        <f>SUMIFS(tblDonem[KDV Tutarı (₺)],tblDonem[Dönem],$A558)-SUMIFS(tblDonem[KDV Yüklenimi (₺)],tblDonem[Dönem],$A558)</f>
        <v/>
      </c>
      <c r="D558" s="120">
        <f>SUMIFS(tblDonem[Vergi Karşılığı (₺)],tblDonem[Dönem],$A558)</f>
        <v/>
      </c>
      <c r="E558" s="120">
        <f>$C558+$D558</f>
        <v/>
      </c>
      <c r="F558" s="120">
        <f>IF($B558=0,0,$E558/$B558)</f>
        <v/>
      </c>
    </row>
    <row r="559" ht="15" customHeight="1" s="68">
      <c r="A559" s="114" t="n"/>
      <c r="B559" s="120">
        <f>SUMIFS(tblDonem[Gelir (₺)],tblDonem[Dönem],$A559)</f>
        <v/>
      </c>
      <c r="C559" s="120">
        <f>SUMIFS(tblDonem[KDV Tutarı (₺)],tblDonem[Dönem],$A559)-SUMIFS(tblDonem[KDV Yüklenimi (₺)],tblDonem[Dönem],$A559)</f>
        <v/>
      </c>
      <c r="D559" s="120">
        <f>SUMIFS(tblDonem[Vergi Karşılığı (₺)],tblDonem[Dönem],$A559)</f>
        <v/>
      </c>
      <c r="E559" s="120">
        <f>$C559+$D559</f>
        <v/>
      </c>
      <c r="F559" s="120">
        <f>IF($B559=0,0,$E559/$B559)</f>
        <v/>
      </c>
    </row>
    <row r="560" ht="15" customHeight="1" s="68">
      <c r="A560" s="114" t="n"/>
      <c r="B560" s="120">
        <f>SUMIFS(tblDonem[Gelir (₺)],tblDonem[Dönem],$A560)</f>
        <v/>
      </c>
      <c r="C560" s="120">
        <f>SUMIFS(tblDonem[KDV Tutarı (₺)],tblDonem[Dönem],$A560)-SUMIFS(tblDonem[KDV Yüklenimi (₺)],tblDonem[Dönem],$A560)</f>
        <v/>
      </c>
      <c r="D560" s="120">
        <f>SUMIFS(tblDonem[Vergi Karşılığı (₺)],tblDonem[Dönem],$A560)</f>
        <v/>
      </c>
      <c r="E560" s="120">
        <f>$C560+$D560</f>
        <v/>
      </c>
      <c r="F560" s="120">
        <f>IF($B560=0,0,$E560/$B560)</f>
        <v/>
      </c>
    </row>
    <row r="561" ht="15" customHeight="1" s="68">
      <c r="A561" s="114" t="n"/>
      <c r="B561" s="120">
        <f>SUMIFS(tblDonem[Gelir (₺)],tblDonem[Dönem],$A561)</f>
        <v/>
      </c>
      <c r="C561" s="120">
        <f>SUMIFS(tblDonem[KDV Tutarı (₺)],tblDonem[Dönem],$A561)-SUMIFS(tblDonem[KDV Yüklenimi (₺)],tblDonem[Dönem],$A561)</f>
        <v/>
      </c>
      <c r="D561" s="120">
        <f>SUMIFS(tblDonem[Vergi Karşılığı (₺)],tblDonem[Dönem],$A561)</f>
        <v/>
      </c>
      <c r="E561" s="120">
        <f>$C561+$D561</f>
        <v/>
      </c>
      <c r="F561" s="120">
        <f>IF($B561=0,0,$E561/$B561)</f>
        <v/>
      </c>
    </row>
    <row r="562" ht="15" customHeight="1" s="68">
      <c r="A562" s="114" t="n"/>
      <c r="B562" s="120">
        <f>SUMIFS(tblDonem[Gelir (₺)],tblDonem[Dönem],$A562)</f>
        <v/>
      </c>
      <c r="C562" s="120">
        <f>SUMIFS(tblDonem[KDV Tutarı (₺)],tblDonem[Dönem],$A562)-SUMIFS(tblDonem[KDV Yüklenimi (₺)],tblDonem[Dönem],$A562)</f>
        <v/>
      </c>
      <c r="D562" s="120">
        <f>SUMIFS(tblDonem[Vergi Karşılığı (₺)],tblDonem[Dönem],$A562)</f>
        <v/>
      </c>
      <c r="E562" s="120">
        <f>$C562+$D562</f>
        <v/>
      </c>
      <c r="F562" s="120">
        <f>IF($B562=0,0,$E562/$B562)</f>
        <v/>
      </c>
    </row>
    <row r="563" ht="15" customHeight="1" s="68">
      <c r="A563" s="114" t="n"/>
      <c r="B563" s="120">
        <f>SUMIFS(tblDonem[Gelir (₺)],tblDonem[Dönem],$A563)</f>
        <v/>
      </c>
      <c r="C563" s="120">
        <f>SUMIFS(tblDonem[KDV Tutarı (₺)],tblDonem[Dönem],$A563)-SUMIFS(tblDonem[KDV Yüklenimi (₺)],tblDonem[Dönem],$A563)</f>
        <v/>
      </c>
      <c r="D563" s="120">
        <f>SUMIFS(tblDonem[Vergi Karşılığı (₺)],tblDonem[Dönem],$A563)</f>
        <v/>
      </c>
      <c r="E563" s="120">
        <f>$C563+$D563</f>
        <v/>
      </c>
      <c r="F563" s="120">
        <f>IF($B563=0,0,$E563/$B563)</f>
        <v/>
      </c>
    </row>
    <row r="564" ht="15" customHeight="1" s="68">
      <c r="A564" s="114" t="n"/>
      <c r="B564" s="120">
        <f>SUMIFS(tblDonem[Gelir (₺)],tblDonem[Dönem],$A564)</f>
        <v/>
      </c>
      <c r="C564" s="120">
        <f>SUMIFS(tblDonem[KDV Tutarı (₺)],tblDonem[Dönem],$A564)-SUMIFS(tblDonem[KDV Yüklenimi (₺)],tblDonem[Dönem],$A564)</f>
        <v/>
      </c>
      <c r="D564" s="120">
        <f>SUMIFS(tblDonem[Vergi Karşılığı (₺)],tblDonem[Dönem],$A564)</f>
        <v/>
      </c>
      <c r="E564" s="120">
        <f>$C564+$D564</f>
        <v/>
      </c>
      <c r="F564" s="120">
        <f>IF($B564=0,0,$E564/$B564)</f>
        <v/>
      </c>
    </row>
    <row r="565" ht="15" customHeight="1" s="68">
      <c r="A565" s="114" t="n"/>
      <c r="B565" s="120">
        <f>SUMIFS(tblDonem[Gelir (₺)],tblDonem[Dönem],$A565)</f>
        <v/>
      </c>
      <c r="C565" s="120">
        <f>SUMIFS(tblDonem[KDV Tutarı (₺)],tblDonem[Dönem],$A565)-SUMIFS(tblDonem[KDV Yüklenimi (₺)],tblDonem[Dönem],$A565)</f>
        <v/>
      </c>
      <c r="D565" s="120">
        <f>SUMIFS(tblDonem[Vergi Karşılığı (₺)],tblDonem[Dönem],$A565)</f>
        <v/>
      </c>
      <c r="E565" s="120">
        <f>$C565+$D565</f>
        <v/>
      </c>
      <c r="F565" s="120">
        <f>IF($B565=0,0,$E565/$B565)</f>
        <v/>
      </c>
    </row>
    <row r="566" ht="15" customHeight="1" s="68">
      <c r="A566" s="114" t="n"/>
      <c r="B566" s="120">
        <f>SUMIFS(tblDonem[Gelir (₺)],tblDonem[Dönem],$A566)</f>
        <v/>
      </c>
      <c r="C566" s="120">
        <f>SUMIFS(tblDonem[KDV Tutarı (₺)],tblDonem[Dönem],$A566)-SUMIFS(tblDonem[KDV Yüklenimi (₺)],tblDonem[Dönem],$A566)</f>
        <v/>
      </c>
      <c r="D566" s="120">
        <f>SUMIFS(tblDonem[Vergi Karşılığı (₺)],tblDonem[Dönem],$A566)</f>
        <v/>
      </c>
      <c r="E566" s="120">
        <f>$C566+$D566</f>
        <v/>
      </c>
      <c r="F566" s="120">
        <f>IF($B566=0,0,$E566/$B566)</f>
        <v/>
      </c>
    </row>
    <row r="567" ht="15" customHeight="1" s="68">
      <c r="A567" s="114" t="n"/>
      <c r="B567" s="120">
        <f>SUMIFS(tblDonem[Gelir (₺)],tblDonem[Dönem],$A567)</f>
        <v/>
      </c>
      <c r="C567" s="120">
        <f>SUMIFS(tblDonem[KDV Tutarı (₺)],tblDonem[Dönem],$A567)-SUMIFS(tblDonem[KDV Yüklenimi (₺)],tblDonem[Dönem],$A567)</f>
        <v/>
      </c>
      <c r="D567" s="120">
        <f>SUMIFS(tblDonem[Vergi Karşılığı (₺)],tblDonem[Dönem],$A567)</f>
        <v/>
      </c>
      <c r="E567" s="120">
        <f>$C567+$D567</f>
        <v/>
      </c>
      <c r="F567" s="120">
        <f>IF($B567=0,0,$E567/$B567)</f>
        <v/>
      </c>
    </row>
    <row r="568" ht="15" customHeight="1" s="68">
      <c r="A568" s="114" t="n"/>
      <c r="B568" s="120">
        <f>SUMIFS(tblDonem[Gelir (₺)],tblDonem[Dönem],$A568)</f>
        <v/>
      </c>
      <c r="C568" s="120">
        <f>SUMIFS(tblDonem[KDV Tutarı (₺)],tblDonem[Dönem],$A568)-SUMIFS(tblDonem[KDV Yüklenimi (₺)],tblDonem[Dönem],$A568)</f>
        <v/>
      </c>
      <c r="D568" s="120">
        <f>SUMIFS(tblDonem[Vergi Karşılığı (₺)],tblDonem[Dönem],$A568)</f>
        <v/>
      </c>
      <c r="E568" s="120">
        <f>$C568+$D568</f>
        <v/>
      </c>
      <c r="F568" s="120">
        <f>IF($B568=0,0,$E568/$B568)</f>
        <v/>
      </c>
    </row>
    <row r="569" ht="15" customHeight="1" s="68">
      <c r="A569" s="114" t="n"/>
      <c r="B569" s="120">
        <f>SUMIFS(tblDonem[Gelir (₺)],tblDonem[Dönem],$A569)</f>
        <v/>
      </c>
      <c r="C569" s="120">
        <f>SUMIFS(tblDonem[KDV Tutarı (₺)],tblDonem[Dönem],$A569)-SUMIFS(tblDonem[KDV Yüklenimi (₺)],tblDonem[Dönem],$A569)</f>
        <v/>
      </c>
      <c r="D569" s="120">
        <f>SUMIFS(tblDonem[Vergi Karşılığı (₺)],tblDonem[Dönem],$A569)</f>
        <v/>
      </c>
      <c r="E569" s="120">
        <f>$C569+$D569</f>
        <v/>
      </c>
      <c r="F569" s="120">
        <f>IF($B569=0,0,$E569/$B569)</f>
        <v/>
      </c>
    </row>
    <row r="570" ht="15" customHeight="1" s="68">
      <c r="A570" s="114" t="n"/>
      <c r="B570" s="120">
        <f>SUMIFS(tblDonem[Gelir (₺)],tblDonem[Dönem],$A570)</f>
        <v/>
      </c>
      <c r="C570" s="120">
        <f>SUMIFS(tblDonem[KDV Tutarı (₺)],tblDonem[Dönem],$A570)-SUMIFS(tblDonem[KDV Yüklenimi (₺)],tblDonem[Dönem],$A570)</f>
        <v/>
      </c>
      <c r="D570" s="120">
        <f>SUMIFS(tblDonem[Vergi Karşılığı (₺)],tblDonem[Dönem],$A570)</f>
        <v/>
      </c>
      <c r="E570" s="120">
        <f>$C570+$D570</f>
        <v/>
      </c>
      <c r="F570" s="120">
        <f>IF($B570=0,0,$E570/$B570)</f>
        <v/>
      </c>
    </row>
    <row r="571" ht="15" customHeight="1" s="68">
      <c r="A571" s="114" t="n"/>
      <c r="B571" s="120">
        <f>SUMIFS(tblDonem[Gelir (₺)],tblDonem[Dönem],$A571)</f>
        <v/>
      </c>
      <c r="C571" s="120">
        <f>SUMIFS(tblDonem[KDV Tutarı (₺)],tblDonem[Dönem],$A571)-SUMIFS(tblDonem[KDV Yüklenimi (₺)],tblDonem[Dönem],$A571)</f>
        <v/>
      </c>
      <c r="D571" s="120">
        <f>SUMIFS(tblDonem[Vergi Karşılığı (₺)],tblDonem[Dönem],$A571)</f>
        <v/>
      </c>
      <c r="E571" s="120">
        <f>$C571+$D571</f>
        <v/>
      </c>
      <c r="F571" s="120">
        <f>IF($B571=0,0,$E571/$B571)</f>
        <v/>
      </c>
    </row>
    <row r="572" ht="15" customHeight="1" s="68">
      <c r="A572" s="114" t="n"/>
      <c r="B572" s="120">
        <f>SUMIFS(tblDonem[Gelir (₺)],tblDonem[Dönem],$A572)</f>
        <v/>
      </c>
      <c r="C572" s="120">
        <f>SUMIFS(tblDonem[KDV Tutarı (₺)],tblDonem[Dönem],$A572)-SUMIFS(tblDonem[KDV Yüklenimi (₺)],tblDonem[Dönem],$A572)</f>
        <v/>
      </c>
      <c r="D572" s="120">
        <f>SUMIFS(tblDonem[Vergi Karşılığı (₺)],tblDonem[Dönem],$A572)</f>
        <v/>
      </c>
      <c r="E572" s="120">
        <f>$C572+$D572</f>
        <v/>
      </c>
      <c r="F572" s="120">
        <f>IF($B572=0,0,$E572/$B572)</f>
        <v/>
      </c>
    </row>
    <row r="573" ht="15" customHeight="1" s="68">
      <c r="A573" s="114" t="n"/>
      <c r="B573" s="120">
        <f>SUMIFS(tblDonem[Gelir (₺)],tblDonem[Dönem],$A573)</f>
        <v/>
      </c>
      <c r="C573" s="120">
        <f>SUMIFS(tblDonem[KDV Tutarı (₺)],tblDonem[Dönem],$A573)-SUMIFS(tblDonem[KDV Yüklenimi (₺)],tblDonem[Dönem],$A573)</f>
        <v/>
      </c>
      <c r="D573" s="120">
        <f>SUMIFS(tblDonem[Vergi Karşılığı (₺)],tblDonem[Dönem],$A573)</f>
        <v/>
      </c>
      <c r="E573" s="120">
        <f>$C573+$D573</f>
        <v/>
      </c>
      <c r="F573" s="120">
        <f>IF($B573=0,0,$E573/$B573)</f>
        <v/>
      </c>
    </row>
    <row r="574" ht="15" customHeight="1" s="68">
      <c r="A574" s="114" t="n"/>
      <c r="B574" s="120">
        <f>SUMIFS(tblDonem[Gelir (₺)],tblDonem[Dönem],$A574)</f>
        <v/>
      </c>
      <c r="C574" s="120">
        <f>SUMIFS(tblDonem[KDV Tutarı (₺)],tblDonem[Dönem],$A574)-SUMIFS(tblDonem[KDV Yüklenimi (₺)],tblDonem[Dönem],$A574)</f>
        <v/>
      </c>
      <c r="D574" s="120">
        <f>SUMIFS(tblDonem[Vergi Karşılığı (₺)],tblDonem[Dönem],$A574)</f>
        <v/>
      </c>
      <c r="E574" s="120">
        <f>$C574+$D574</f>
        <v/>
      </c>
      <c r="F574" s="120">
        <f>IF($B574=0,0,$E574/$B574)</f>
        <v/>
      </c>
    </row>
    <row r="575" ht="15" customHeight="1" s="68">
      <c r="A575" s="114" t="n"/>
      <c r="B575" s="120">
        <f>SUMIFS(tblDonem[Gelir (₺)],tblDonem[Dönem],$A575)</f>
        <v/>
      </c>
      <c r="C575" s="120">
        <f>SUMIFS(tblDonem[KDV Tutarı (₺)],tblDonem[Dönem],$A575)-SUMIFS(tblDonem[KDV Yüklenimi (₺)],tblDonem[Dönem],$A575)</f>
        <v/>
      </c>
      <c r="D575" s="120">
        <f>SUMIFS(tblDonem[Vergi Karşılığı (₺)],tblDonem[Dönem],$A575)</f>
        <v/>
      </c>
      <c r="E575" s="120">
        <f>$C575+$D575</f>
        <v/>
      </c>
      <c r="F575" s="120">
        <f>IF($B575=0,0,$E575/$B575)</f>
        <v/>
      </c>
    </row>
    <row r="576" ht="15" customHeight="1" s="68">
      <c r="A576" s="114" t="n"/>
      <c r="B576" s="120">
        <f>SUMIFS(tblDonem[Gelir (₺)],tblDonem[Dönem],$A576)</f>
        <v/>
      </c>
      <c r="C576" s="120">
        <f>SUMIFS(tblDonem[KDV Tutarı (₺)],tblDonem[Dönem],$A576)-SUMIFS(tblDonem[KDV Yüklenimi (₺)],tblDonem[Dönem],$A576)</f>
        <v/>
      </c>
      <c r="D576" s="120">
        <f>SUMIFS(tblDonem[Vergi Karşılığı (₺)],tblDonem[Dönem],$A576)</f>
        <v/>
      </c>
      <c r="E576" s="120">
        <f>$C576+$D576</f>
        <v/>
      </c>
      <c r="F576" s="120">
        <f>IF($B576=0,0,$E576/$B576)</f>
        <v/>
      </c>
    </row>
    <row r="577" ht="15" customHeight="1" s="68">
      <c r="A577" s="114" t="n"/>
      <c r="B577" s="120">
        <f>SUMIFS(tblDonem[Gelir (₺)],tblDonem[Dönem],$A577)</f>
        <v/>
      </c>
      <c r="C577" s="120">
        <f>SUMIFS(tblDonem[KDV Tutarı (₺)],tblDonem[Dönem],$A577)-SUMIFS(tblDonem[KDV Yüklenimi (₺)],tblDonem[Dönem],$A577)</f>
        <v/>
      </c>
      <c r="D577" s="120">
        <f>SUMIFS(tblDonem[Vergi Karşılığı (₺)],tblDonem[Dönem],$A577)</f>
        <v/>
      </c>
      <c r="E577" s="120">
        <f>$C577+$D577</f>
        <v/>
      </c>
      <c r="F577" s="120">
        <f>IF($B577=0,0,$E577/$B577)</f>
        <v/>
      </c>
    </row>
    <row r="578" ht="15" customHeight="1" s="68">
      <c r="A578" s="114" t="n"/>
      <c r="B578" s="120">
        <f>SUMIFS(tblDonem[Gelir (₺)],tblDonem[Dönem],$A578)</f>
        <v/>
      </c>
      <c r="C578" s="120">
        <f>SUMIFS(tblDonem[KDV Tutarı (₺)],tblDonem[Dönem],$A578)-SUMIFS(tblDonem[KDV Yüklenimi (₺)],tblDonem[Dönem],$A578)</f>
        <v/>
      </c>
      <c r="D578" s="120">
        <f>SUMIFS(tblDonem[Vergi Karşılığı (₺)],tblDonem[Dönem],$A578)</f>
        <v/>
      </c>
      <c r="E578" s="120">
        <f>$C578+$D578</f>
        <v/>
      </c>
      <c r="F578" s="120">
        <f>IF($B578=0,0,$E578/$B578)</f>
        <v/>
      </c>
    </row>
    <row r="579" ht="15" customHeight="1" s="68">
      <c r="A579" s="114" t="n"/>
      <c r="B579" s="120">
        <f>SUMIFS(tblDonem[Gelir (₺)],tblDonem[Dönem],$A579)</f>
        <v/>
      </c>
      <c r="C579" s="120">
        <f>SUMIFS(tblDonem[KDV Tutarı (₺)],tblDonem[Dönem],$A579)-SUMIFS(tblDonem[KDV Yüklenimi (₺)],tblDonem[Dönem],$A579)</f>
        <v/>
      </c>
      <c r="D579" s="120">
        <f>SUMIFS(tblDonem[Vergi Karşılığı (₺)],tblDonem[Dönem],$A579)</f>
        <v/>
      </c>
      <c r="E579" s="120">
        <f>$C579+$D579</f>
        <v/>
      </c>
      <c r="F579" s="120">
        <f>IF($B579=0,0,$E579/$B579)</f>
        <v/>
      </c>
    </row>
    <row r="580" ht="15" customHeight="1" s="68">
      <c r="A580" s="114" t="n"/>
      <c r="B580" s="120">
        <f>SUMIFS(tblDonem[Gelir (₺)],tblDonem[Dönem],$A580)</f>
        <v/>
      </c>
      <c r="C580" s="120">
        <f>SUMIFS(tblDonem[KDV Tutarı (₺)],tblDonem[Dönem],$A580)-SUMIFS(tblDonem[KDV Yüklenimi (₺)],tblDonem[Dönem],$A580)</f>
        <v/>
      </c>
      <c r="D580" s="120">
        <f>SUMIFS(tblDonem[Vergi Karşılığı (₺)],tblDonem[Dönem],$A580)</f>
        <v/>
      </c>
      <c r="E580" s="120">
        <f>$C580+$D580</f>
        <v/>
      </c>
      <c r="F580" s="120">
        <f>IF($B580=0,0,$E580/$B580)</f>
        <v/>
      </c>
    </row>
    <row r="581" ht="15" customHeight="1" s="68">
      <c r="A581" s="114" t="n"/>
      <c r="B581" s="120">
        <f>SUMIFS(tblDonem[Gelir (₺)],tblDonem[Dönem],$A581)</f>
        <v/>
      </c>
      <c r="C581" s="120">
        <f>SUMIFS(tblDonem[KDV Tutarı (₺)],tblDonem[Dönem],$A581)-SUMIFS(tblDonem[KDV Yüklenimi (₺)],tblDonem[Dönem],$A581)</f>
        <v/>
      </c>
      <c r="D581" s="120">
        <f>SUMIFS(tblDonem[Vergi Karşılığı (₺)],tblDonem[Dönem],$A581)</f>
        <v/>
      </c>
      <c r="E581" s="120">
        <f>$C581+$D581</f>
        <v/>
      </c>
      <c r="F581" s="120">
        <f>IF($B581=0,0,$E581/$B581)</f>
        <v/>
      </c>
    </row>
    <row r="582" ht="15" customHeight="1" s="68">
      <c r="A582" s="114" t="n"/>
      <c r="B582" s="120">
        <f>SUMIFS(tblDonem[Gelir (₺)],tblDonem[Dönem],$A582)</f>
        <v/>
      </c>
      <c r="C582" s="120">
        <f>SUMIFS(tblDonem[KDV Tutarı (₺)],tblDonem[Dönem],$A582)-SUMIFS(tblDonem[KDV Yüklenimi (₺)],tblDonem[Dönem],$A582)</f>
        <v/>
      </c>
      <c r="D582" s="120">
        <f>SUMIFS(tblDonem[Vergi Karşılığı (₺)],tblDonem[Dönem],$A582)</f>
        <v/>
      </c>
      <c r="E582" s="120">
        <f>$C582+$D582</f>
        <v/>
      </c>
      <c r="F582" s="120">
        <f>IF($B582=0,0,$E582/$B582)</f>
        <v/>
      </c>
    </row>
    <row r="583" ht="15" customHeight="1" s="68">
      <c r="A583" s="114" t="n"/>
      <c r="B583" s="120">
        <f>SUMIFS(tblDonem[Gelir (₺)],tblDonem[Dönem],$A583)</f>
        <v/>
      </c>
      <c r="C583" s="120">
        <f>SUMIFS(tblDonem[KDV Tutarı (₺)],tblDonem[Dönem],$A583)-SUMIFS(tblDonem[KDV Yüklenimi (₺)],tblDonem[Dönem],$A583)</f>
        <v/>
      </c>
      <c r="D583" s="120">
        <f>SUMIFS(tblDonem[Vergi Karşılığı (₺)],tblDonem[Dönem],$A583)</f>
        <v/>
      </c>
      <c r="E583" s="120">
        <f>$C583+$D583</f>
        <v/>
      </c>
      <c r="F583" s="120">
        <f>IF($B583=0,0,$E583/$B583)</f>
        <v/>
      </c>
    </row>
    <row r="584" ht="15" customHeight="1" s="68">
      <c r="A584" s="114" t="n"/>
      <c r="B584" s="120">
        <f>SUMIFS(tblDonem[Gelir (₺)],tblDonem[Dönem],$A584)</f>
        <v/>
      </c>
      <c r="C584" s="120">
        <f>SUMIFS(tblDonem[KDV Tutarı (₺)],tblDonem[Dönem],$A584)-SUMIFS(tblDonem[KDV Yüklenimi (₺)],tblDonem[Dönem],$A584)</f>
        <v/>
      </c>
      <c r="D584" s="120">
        <f>SUMIFS(tblDonem[Vergi Karşılığı (₺)],tblDonem[Dönem],$A584)</f>
        <v/>
      </c>
      <c r="E584" s="120">
        <f>$C584+$D584</f>
        <v/>
      </c>
      <c r="F584" s="120">
        <f>IF($B584=0,0,$E584/$B584)</f>
        <v/>
      </c>
    </row>
    <row r="585" ht="15" customHeight="1" s="68">
      <c r="A585" s="114" t="n"/>
      <c r="B585" s="120">
        <f>SUMIFS(tblDonem[Gelir (₺)],tblDonem[Dönem],$A585)</f>
        <v/>
      </c>
      <c r="C585" s="120">
        <f>SUMIFS(tblDonem[KDV Tutarı (₺)],tblDonem[Dönem],$A585)-SUMIFS(tblDonem[KDV Yüklenimi (₺)],tblDonem[Dönem],$A585)</f>
        <v/>
      </c>
      <c r="D585" s="120">
        <f>SUMIFS(tblDonem[Vergi Karşılığı (₺)],tblDonem[Dönem],$A585)</f>
        <v/>
      </c>
      <c r="E585" s="120">
        <f>$C585+$D585</f>
        <v/>
      </c>
      <c r="F585" s="120">
        <f>IF($B585=0,0,$E585/$B585)</f>
        <v/>
      </c>
    </row>
    <row r="586" ht="15" customHeight="1" s="68">
      <c r="A586" s="114" t="n"/>
      <c r="B586" s="120">
        <f>SUMIFS(tblDonem[Gelir (₺)],tblDonem[Dönem],$A586)</f>
        <v/>
      </c>
      <c r="C586" s="120">
        <f>SUMIFS(tblDonem[KDV Tutarı (₺)],tblDonem[Dönem],$A586)-SUMIFS(tblDonem[KDV Yüklenimi (₺)],tblDonem[Dönem],$A586)</f>
        <v/>
      </c>
      <c r="D586" s="120">
        <f>SUMIFS(tblDonem[Vergi Karşılığı (₺)],tblDonem[Dönem],$A586)</f>
        <v/>
      </c>
      <c r="E586" s="120">
        <f>$C586+$D586</f>
        <v/>
      </c>
      <c r="F586" s="120">
        <f>IF($B586=0,0,$E586/$B586)</f>
        <v/>
      </c>
    </row>
    <row r="587" ht="15" customHeight="1" s="68">
      <c r="A587" s="114" t="n"/>
      <c r="B587" s="120">
        <f>SUMIFS(tblDonem[Gelir (₺)],tblDonem[Dönem],$A587)</f>
        <v/>
      </c>
      <c r="C587" s="120">
        <f>SUMIFS(tblDonem[KDV Tutarı (₺)],tblDonem[Dönem],$A587)-SUMIFS(tblDonem[KDV Yüklenimi (₺)],tblDonem[Dönem],$A587)</f>
        <v/>
      </c>
      <c r="D587" s="120">
        <f>SUMIFS(tblDonem[Vergi Karşılığı (₺)],tblDonem[Dönem],$A587)</f>
        <v/>
      </c>
      <c r="E587" s="120">
        <f>$C587+$D587</f>
        <v/>
      </c>
      <c r="F587" s="120">
        <f>IF($B587=0,0,$E587/$B587)</f>
        <v/>
      </c>
    </row>
    <row r="588" ht="15" customHeight="1" s="68">
      <c r="A588" s="114" t="n"/>
      <c r="B588" s="120">
        <f>SUMIFS(tblDonem[Gelir (₺)],tblDonem[Dönem],$A588)</f>
        <v/>
      </c>
      <c r="C588" s="120">
        <f>SUMIFS(tblDonem[KDV Tutarı (₺)],tblDonem[Dönem],$A588)-SUMIFS(tblDonem[KDV Yüklenimi (₺)],tblDonem[Dönem],$A588)</f>
        <v/>
      </c>
      <c r="D588" s="120">
        <f>SUMIFS(tblDonem[Vergi Karşılığı (₺)],tblDonem[Dönem],$A588)</f>
        <v/>
      </c>
      <c r="E588" s="120">
        <f>$C588+$D588</f>
        <v/>
      </c>
      <c r="F588" s="120">
        <f>IF($B588=0,0,$E588/$B588)</f>
        <v/>
      </c>
    </row>
    <row r="589" ht="15" customHeight="1" s="68">
      <c r="A589" s="114" t="n"/>
      <c r="B589" s="120">
        <f>SUMIFS(tblDonem[Gelir (₺)],tblDonem[Dönem],$A589)</f>
        <v/>
      </c>
      <c r="C589" s="120">
        <f>SUMIFS(tblDonem[KDV Tutarı (₺)],tblDonem[Dönem],$A589)-SUMIFS(tblDonem[KDV Yüklenimi (₺)],tblDonem[Dönem],$A589)</f>
        <v/>
      </c>
      <c r="D589" s="120">
        <f>SUMIFS(tblDonem[Vergi Karşılığı (₺)],tblDonem[Dönem],$A589)</f>
        <v/>
      </c>
      <c r="E589" s="120">
        <f>$C589+$D589</f>
        <v/>
      </c>
      <c r="F589" s="120">
        <f>IF($B589=0,0,$E589/$B589)</f>
        <v/>
      </c>
    </row>
    <row r="590" ht="15" customHeight="1" s="68">
      <c r="A590" s="114" t="n"/>
      <c r="B590" s="120">
        <f>SUMIFS(tblDonem[Gelir (₺)],tblDonem[Dönem],$A590)</f>
        <v/>
      </c>
      <c r="C590" s="120">
        <f>SUMIFS(tblDonem[KDV Tutarı (₺)],tblDonem[Dönem],$A590)-SUMIFS(tblDonem[KDV Yüklenimi (₺)],tblDonem[Dönem],$A590)</f>
        <v/>
      </c>
      <c r="D590" s="120">
        <f>SUMIFS(tblDonem[Vergi Karşılığı (₺)],tblDonem[Dönem],$A590)</f>
        <v/>
      </c>
      <c r="E590" s="120">
        <f>$C590+$D590</f>
        <v/>
      </c>
      <c r="F590" s="120">
        <f>IF($B590=0,0,$E590/$B590)</f>
        <v/>
      </c>
    </row>
    <row r="591" ht="15" customHeight="1" s="68">
      <c r="A591" s="114" t="n"/>
      <c r="B591" s="120">
        <f>SUMIFS(tblDonem[Gelir (₺)],tblDonem[Dönem],$A591)</f>
        <v/>
      </c>
      <c r="C591" s="120">
        <f>SUMIFS(tblDonem[KDV Tutarı (₺)],tblDonem[Dönem],$A591)-SUMIFS(tblDonem[KDV Yüklenimi (₺)],tblDonem[Dönem],$A591)</f>
        <v/>
      </c>
      <c r="D591" s="120">
        <f>SUMIFS(tblDonem[Vergi Karşılığı (₺)],tblDonem[Dönem],$A591)</f>
        <v/>
      </c>
      <c r="E591" s="120">
        <f>$C591+$D591</f>
        <v/>
      </c>
      <c r="F591" s="120">
        <f>IF($B591=0,0,$E591/$B591)</f>
        <v/>
      </c>
    </row>
    <row r="592" ht="15" customHeight="1" s="68">
      <c r="A592" s="114" t="n"/>
      <c r="B592" s="120">
        <f>SUMIFS(tblDonem[Gelir (₺)],tblDonem[Dönem],$A592)</f>
        <v/>
      </c>
      <c r="C592" s="120">
        <f>SUMIFS(tblDonem[KDV Tutarı (₺)],tblDonem[Dönem],$A592)-SUMIFS(tblDonem[KDV Yüklenimi (₺)],tblDonem[Dönem],$A592)</f>
        <v/>
      </c>
      <c r="D592" s="120">
        <f>SUMIFS(tblDonem[Vergi Karşılığı (₺)],tblDonem[Dönem],$A592)</f>
        <v/>
      </c>
      <c r="E592" s="120">
        <f>$C592+$D592</f>
        <v/>
      </c>
      <c r="F592" s="120">
        <f>IF($B592=0,0,$E592/$B592)</f>
        <v/>
      </c>
    </row>
    <row r="593" ht="15" customHeight="1" s="68">
      <c r="A593" s="114" t="n"/>
      <c r="B593" s="120">
        <f>SUMIFS(tblDonem[Gelir (₺)],tblDonem[Dönem],$A593)</f>
        <v/>
      </c>
      <c r="C593" s="120">
        <f>SUMIFS(tblDonem[KDV Tutarı (₺)],tblDonem[Dönem],$A593)-SUMIFS(tblDonem[KDV Yüklenimi (₺)],tblDonem[Dönem],$A593)</f>
        <v/>
      </c>
      <c r="D593" s="120">
        <f>SUMIFS(tblDonem[Vergi Karşılığı (₺)],tblDonem[Dönem],$A593)</f>
        <v/>
      </c>
      <c r="E593" s="120">
        <f>$C593+$D593</f>
        <v/>
      </c>
      <c r="F593" s="120">
        <f>IF($B593=0,0,$E593/$B593)</f>
        <v/>
      </c>
    </row>
    <row r="594" ht="15" customHeight="1" s="68">
      <c r="A594" s="114" t="n"/>
      <c r="B594" s="120">
        <f>SUMIFS(tblDonem[Gelir (₺)],tblDonem[Dönem],$A594)</f>
        <v/>
      </c>
      <c r="C594" s="120">
        <f>SUMIFS(tblDonem[KDV Tutarı (₺)],tblDonem[Dönem],$A594)-SUMIFS(tblDonem[KDV Yüklenimi (₺)],tblDonem[Dönem],$A594)</f>
        <v/>
      </c>
      <c r="D594" s="120">
        <f>SUMIFS(tblDonem[Vergi Karşılığı (₺)],tblDonem[Dönem],$A594)</f>
        <v/>
      </c>
      <c r="E594" s="120">
        <f>$C594+$D594</f>
        <v/>
      </c>
      <c r="F594" s="120">
        <f>IF($B594=0,0,$E594/$B594)</f>
        <v/>
      </c>
    </row>
    <row r="595" ht="15" customHeight="1" s="68">
      <c r="A595" s="114" t="n"/>
      <c r="B595" s="120">
        <f>SUMIFS(tblDonem[Gelir (₺)],tblDonem[Dönem],$A595)</f>
        <v/>
      </c>
      <c r="C595" s="120">
        <f>SUMIFS(tblDonem[KDV Tutarı (₺)],tblDonem[Dönem],$A595)-SUMIFS(tblDonem[KDV Yüklenimi (₺)],tblDonem[Dönem],$A595)</f>
        <v/>
      </c>
      <c r="D595" s="120">
        <f>SUMIFS(tblDonem[Vergi Karşılığı (₺)],tblDonem[Dönem],$A595)</f>
        <v/>
      </c>
      <c r="E595" s="120">
        <f>$C595+$D595</f>
        <v/>
      </c>
      <c r="F595" s="120">
        <f>IF($B595=0,0,$E595/$B595)</f>
        <v/>
      </c>
    </row>
    <row r="596" ht="15" customHeight="1" s="68">
      <c r="A596" s="114" t="n"/>
      <c r="B596" s="120">
        <f>SUMIFS(tblDonem[Gelir (₺)],tblDonem[Dönem],$A596)</f>
        <v/>
      </c>
      <c r="C596" s="120">
        <f>SUMIFS(tblDonem[KDV Tutarı (₺)],tblDonem[Dönem],$A596)-SUMIFS(tblDonem[KDV Yüklenimi (₺)],tblDonem[Dönem],$A596)</f>
        <v/>
      </c>
      <c r="D596" s="120">
        <f>SUMIFS(tblDonem[Vergi Karşılığı (₺)],tblDonem[Dönem],$A596)</f>
        <v/>
      </c>
      <c r="E596" s="120">
        <f>$C596+$D596</f>
        <v/>
      </c>
      <c r="F596" s="120">
        <f>IF($B596=0,0,$E596/$B596)</f>
        <v/>
      </c>
    </row>
    <row r="597" ht="15" customHeight="1" s="68">
      <c r="A597" s="114" t="n"/>
      <c r="B597" s="120">
        <f>SUMIFS(tblDonem[Gelir (₺)],tblDonem[Dönem],$A597)</f>
        <v/>
      </c>
      <c r="C597" s="120">
        <f>SUMIFS(tblDonem[KDV Tutarı (₺)],tblDonem[Dönem],$A597)-SUMIFS(tblDonem[KDV Yüklenimi (₺)],tblDonem[Dönem],$A597)</f>
        <v/>
      </c>
      <c r="D597" s="120">
        <f>SUMIFS(tblDonem[Vergi Karşılığı (₺)],tblDonem[Dönem],$A597)</f>
        <v/>
      </c>
      <c r="E597" s="120">
        <f>$C597+$D597</f>
        <v/>
      </c>
      <c r="F597" s="120">
        <f>IF($B597=0,0,$E597/$B597)</f>
        <v/>
      </c>
    </row>
    <row r="598" ht="15" customHeight="1" s="68">
      <c r="A598" s="114" t="n"/>
      <c r="B598" s="120">
        <f>SUMIFS(tblDonem[Gelir (₺)],tblDonem[Dönem],$A598)</f>
        <v/>
      </c>
      <c r="C598" s="120">
        <f>SUMIFS(tblDonem[KDV Tutarı (₺)],tblDonem[Dönem],$A598)-SUMIFS(tblDonem[KDV Yüklenimi (₺)],tblDonem[Dönem],$A598)</f>
        <v/>
      </c>
      <c r="D598" s="120">
        <f>SUMIFS(tblDonem[Vergi Karşılığı (₺)],tblDonem[Dönem],$A598)</f>
        <v/>
      </c>
      <c r="E598" s="120">
        <f>$C598+$D598</f>
        <v/>
      </c>
      <c r="F598" s="120">
        <f>IF($B598=0,0,$E598/$B598)</f>
        <v/>
      </c>
    </row>
    <row r="599" ht="15" customHeight="1" s="68">
      <c r="A599" s="114" t="n"/>
      <c r="B599" s="120">
        <f>SUMIFS(tblDonem[Gelir (₺)],tblDonem[Dönem],$A599)</f>
        <v/>
      </c>
      <c r="C599" s="120">
        <f>SUMIFS(tblDonem[KDV Tutarı (₺)],tblDonem[Dönem],$A599)-SUMIFS(tblDonem[KDV Yüklenimi (₺)],tblDonem[Dönem],$A599)</f>
        <v/>
      </c>
      <c r="D599" s="120">
        <f>SUMIFS(tblDonem[Vergi Karşılığı (₺)],tblDonem[Dönem],$A599)</f>
        <v/>
      </c>
      <c r="E599" s="120">
        <f>$C599+$D599</f>
        <v/>
      </c>
      <c r="F599" s="120">
        <f>IF($B599=0,0,$E599/$B599)</f>
        <v/>
      </c>
    </row>
    <row r="600" ht="15" customHeight="1" s="68">
      <c r="A600" s="114" t="n"/>
      <c r="B600" s="120">
        <f>SUMIFS(tblDonem[Gelir (₺)],tblDonem[Dönem],$A600)</f>
        <v/>
      </c>
      <c r="C600" s="120">
        <f>SUMIFS(tblDonem[KDV Tutarı (₺)],tblDonem[Dönem],$A600)-SUMIFS(tblDonem[KDV Yüklenimi (₺)],tblDonem[Dönem],$A600)</f>
        <v/>
      </c>
      <c r="D600" s="120">
        <f>SUMIFS(tblDonem[Vergi Karşılığı (₺)],tblDonem[Dönem],$A600)</f>
        <v/>
      </c>
      <c r="E600" s="120">
        <f>$C600+$D600</f>
        <v/>
      </c>
      <c r="F600" s="120">
        <f>IF($B600=0,0,$E600/$B600)</f>
        <v/>
      </c>
    </row>
    <row r="601" ht="15" customHeight="1" s="68">
      <c r="A601" s="114" t="n"/>
      <c r="B601" s="120">
        <f>SUMIFS(tblDonem[Gelir (₺)],tblDonem[Dönem],$A601)</f>
        <v/>
      </c>
      <c r="C601" s="120">
        <f>SUMIFS(tblDonem[KDV Tutarı (₺)],tblDonem[Dönem],$A601)-SUMIFS(tblDonem[KDV Yüklenimi (₺)],tblDonem[Dönem],$A601)</f>
        <v/>
      </c>
      <c r="D601" s="120">
        <f>SUMIFS(tblDonem[Vergi Karşılığı (₺)],tblDonem[Dönem],$A601)</f>
        <v/>
      </c>
      <c r="E601" s="120">
        <f>$C601+$D601</f>
        <v/>
      </c>
      <c r="F601" s="120">
        <f>IF($B601=0,0,$E601/$B601)</f>
        <v/>
      </c>
    </row>
    <row r="602" ht="15" customHeight="1" s="68">
      <c r="A602" s="114" t="n"/>
      <c r="B602" s="120">
        <f>SUMIFS(tblDonem[Gelir (₺)],tblDonem[Dönem],$A602)</f>
        <v/>
      </c>
      <c r="C602" s="120">
        <f>SUMIFS(tblDonem[KDV Tutarı (₺)],tblDonem[Dönem],$A602)-SUMIFS(tblDonem[KDV Yüklenimi (₺)],tblDonem[Dönem],$A602)</f>
        <v/>
      </c>
      <c r="D602" s="120">
        <f>SUMIFS(tblDonem[Vergi Karşılığı (₺)],tblDonem[Dönem],$A602)</f>
        <v/>
      </c>
      <c r="E602" s="120">
        <f>$C602+$D602</f>
        <v/>
      </c>
      <c r="F602" s="120">
        <f>IF($B602=0,0,$E602/$B602)</f>
        <v/>
      </c>
    </row>
    <row r="603" ht="15" customHeight="1" s="68">
      <c r="A603" s="114" t="n"/>
      <c r="B603" s="120">
        <f>SUMIFS(tblDonem[Gelir (₺)],tblDonem[Dönem],$A603)</f>
        <v/>
      </c>
      <c r="C603" s="120">
        <f>SUMIFS(tblDonem[KDV Tutarı (₺)],tblDonem[Dönem],$A603)-SUMIFS(tblDonem[KDV Yüklenimi (₺)],tblDonem[Dönem],$A603)</f>
        <v/>
      </c>
      <c r="D603" s="120">
        <f>SUMIFS(tblDonem[Vergi Karşılığı (₺)],tblDonem[Dönem],$A603)</f>
        <v/>
      </c>
      <c r="E603" s="120">
        <f>$C603+$D603</f>
        <v/>
      </c>
      <c r="F603" s="120">
        <f>IF($B603=0,0,$E603/$B603)</f>
        <v/>
      </c>
    </row>
    <row r="604" ht="15" customHeight="1" s="68">
      <c r="A604" s="114" t="n"/>
      <c r="B604" s="120">
        <f>SUMIFS(tblDonem[Gelir (₺)],tblDonem[Dönem],$A604)</f>
        <v/>
      </c>
      <c r="C604" s="120">
        <f>SUMIFS(tblDonem[KDV Tutarı (₺)],tblDonem[Dönem],$A604)-SUMIFS(tblDonem[KDV Yüklenimi (₺)],tblDonem[Dönem],$A604)</f>
        <v/>
      </c>
      <c r="D604" s="120">
        <f>SUMIFS(tblDonem[Vergi Karşılığı (₺)],tblDonem[Dönem],$A604)</f>
        <v/>
      </c>
      <c r="E604" s="120">
        <f>$C604+$D604</f>
        <v/>
      </c>
      <c r="F604" s="120">
        <f>IF($B604=0,0,$E604/$B604)</f>
        <v/>
      </c>
    </row>
    <row r="605" ht="15" customHeight="1" s="68">
      <c r="A605" s="114" t="n"/>
      <c r="B605" s="120">
        <f>SUMIFS(tblDonem[Gelir (₺)],tblDonem[Dönem],$A605)</f>
        <v/>
      </c>
      <c r="C605" s="120">
        <f>SUMIFS(tblDonem[KDV Tutarı (₺)],tblDonem[Dönem],$A605)-SUMIFS(tblDonem[KDV Yüklenimi (₺)],tblDonem[Dönem],$A605)</f>
        <v/>
      </c>
      <c r="D605" s="120">
        <f>SUMIFS(tblDonem[Vergi Karşılığı (₺)],tblDonem[Dönem],$A605)</f>
        <v/>
      </c>
      <c r="E605" s="120">
        <f>$C605+$D605</f>
        <v/>
      </c>
      <c r="F605" s="120">
        <f>IF($B605=0,0,$E605/$B605)</f>
        <v/>
      </c>
    </row>
    <row r="606" ht="15" customHeight="1" s="68">
      <c r="A606" s="114" t="n"/>
      <c r="B606" s="120">
        <f>SUMIFS(tblDonem[Gelir (₺)],tblDonem[Dönem],$A606)</f>
        <v/>
      </c>
      <c r="C606" s="120">
        <f>SUMIFS(tblDonem[KDV Tutarı (₺)],tblDonem[Dönem],$A606)-SUMIFS(tblDonem[KDV Yüklenimi (₺)],tblDonem[Dönem],$A606)</f>
        <v/>
      </c>
      <c r="D606" s="120">
        <f>SUMIFS(tblDonem[Vergi Karşılığı (₺)],tblDonem[Dönem],$A606)</f>
        <v/>
      </c>
      <c r="E606" s="120">
        <f>$C606+$D606</f>
        <v/>
      </c>
      <c r="F606" s="120">
        <f>IF($B606=0,0,$E606/$B606)</f>
        <v/>
      </c>
    </row>
    <row r="607" ht="15" customHeight="1" s="68">
      <c r="A607" s="114" t="n"/>
      <c r="B607" s="120">
        <f>SUMIFS(tblDonem[Gelir (₺)],tblDonem[Dönem],$A607)</f>
        <v/>
      </c>
      <c r="C607" s="120">
        <f>SUMIFS(tblDonem[KDV Tutarı (₺)],tblDonem[Dönem],$A607)-SUMIFS(tblDonem[KDV Yüklenimi (₺)],tblDonem[Dönem],$A607)</f>
        <v/>
      </c>
      <c r="D607" s="120">
        <f>SUMIFS(tblDonem[Vergi Karşılığı (₺)],tblDonem[Dönem],$A607)</f>
        <v/>
      </c>
      <c r="E607" s="120">
        <f>$C607+$D607</f>
        <v/>
      </c>
      <c r="F607" s="120">
        <f>IF($B607=0,0,$E607/$B607)</f>
        <v/>
      </c>
    </row>
    <row r="608" ht="15" customHeight="1" s="68">
      <c r="A608" s="114" t="n"/>
      <c r="B608" s="120">
        <f>SUMIFS(tblDonem[Gelir (₺)],tblDonem[Dönem],$A608)</f>
        <v/>
      </c>
      <c r="C608" s="120">
        <f>SUMIFS(tblDonem[KDV Tutarı (₺)],tblDonem[Dönem],$A608)-SUMIFS(tblDonem[KDV Yüklenimi (₺)],tblDonem[Dönem],$A608)</f>
        <v/>
      </c>
      <c r="D608" s="120">
        <f>SUMIFS(tblDonem[Vergi Karşılığı (₺)],tblDonem[Dönem],$A608)</f>
        <v/>
      </c>
      <c r="E608" s="120">
        <f>$C608+$D608</f>
        <v/>
      </c>
      <c r="F608" s="120">
        <f>IF($B608=0,0,$E608/$B608)</f>
        <v/>
      </c>
    </row>
    <row r="609" ht="15" customHeight="1" s="68">
      <c r="A609" s="114" t="n"/>
      <c r="B609" s="120">
        <f>SUMIFS(tblDonem[Gelir (₺)],tblDonem[Dönem],$A609)</f>
        <v/>
      </c>
      <c r="C609" s="120">
        <f>SUMIFS(tblDonem[KDV Tutarı (₺)],tblDonem[Dönem],$A609)-SUMIFS(tblDonem[KDV Yüklenimi (₺)],tblDonem[Dönem],$A609)</f>
        <v/>
      </c>
      <c r="D609" s="120">
        <f>SUMIFS(tblDonem[Vergi Karşılığı (₺)],tblDonem[Dönem],$A609)</f>
        <v/>
      </c>
      <c r="E609" s="120">
        <f>$C609+$D609</f>
        <v/>
      </c>
      <c r="F609" s="120">
        <f>IF($B609=0,0,$E609/$B609)</f>
        <v/>
      </c>
    </row>
    <row r="610" ht="15" customHeight="1" s="68">
      <c r="A610" s="114" t="n"/>
      <c r="B610" s="120">
        <f>SUMIFS(tblDonem[Gelir (₺)],tblDonem[Dönem],$A610)</f>
        <v/>
      </c>
      <c r="C610" s="120">
        <f>SUMIFS(tblDonem[KDV Tutarı (₺)],tblDonem[Dönem],$A610)-SUMIFS(tblDonem[KDV Yüklenimi (₺)],tblDonem[Dönem],$A610)</f>
        <v/>
      </c>
      <c r="D610" s="120">
        <f>SUMIFS(tblDonem[Vergi Karşılığı (₺)],tblDonem[Dönem],$A610)</f>
        <v/>
      </c>
      <c r="E610" s="120">
        <f>$C610+$D610</f>
        <v/>
      </c>
      <c r="F610" s="120">
        <f>IF($B610=0,0,$E610/$B610)</f>
        <v/>
      </c>
    </row>
    <row r="611" ht="15" customHeight="1" s="68">
      <c r="A611" s="114" t="n"/>
      <c r="B611" s="120">
        <f>SUMIFS(tblDonem[Gelir (₺)],tblDonem[Dönem],$A611)</f>
        <v/>
      </c>
      <c r="C611" s="120">
        <f>SUMIFS(tblDonem[KDV Tutarı (₺)],tblDonem[Dönem],$A611)-SUMIFS(tblDonem[KDV Yüklenimi (₺)],tblDonem[Dönem],$A611)</f>
        <v/>
      </c>
      <c r="D611" s="120">
        <f>SUMIFS(tblDonem[Vergi Karşılığı (₺)],tblDonem[Dönem],$A611)</f>
        <v/>
      </c>
      <c r="E611" s="120">
        <f>$C611+$D611</f>
        <v/>
      </c>
      <c r="F611" s="120">
        <f>IF($B611=0,0,$E611/$B611)</f>
        <v/>
      </c>
    </row>
    <row r="612" ht="15" customHeight="1" s="68">
      <c r="A612" s="114" t="n"/>
      <c r="B612" s="120">
        <f>SUMIFS(tblDonem[Gelir (₺)],tblDonem[Dönem],$A612)</f>
        <v/>
      </c>
      <c r="C612" s="120">
        <f>SUMIFS(tblDonem[KDV Tutarı (₺)],tblDonem[Dönem],$A612)-SUMIFS(tblDonem[KDV Yüklenimi (₺)],tblDonem[Dönem],$A612)</f>
        <v/>
      </c>
      <c r="D612" s="120">
        <f>SUMIFS(tblDonem[Vergi Karşılığı (₺)],tblDonem[Dönem],$A612)</f>
        <v/>
      </c>
      <c r="E612" s="120">
        <f>$C612+$D612</f>
        <v/>
      </c>
      <c r="F612" s="120">
        <f>IF($B612=0,0,$E612/$B612)</f>
        <v/>
      </c>
    </row>
    <row r="613" ht="15" customHeight="1" s="68">
      <c r="A613" s="114" t="n"/>
      <c r="B613" s="120">
        <f>SUMIFS(tblDonem[Gelir (₺)],tblDonem[Dönem],$A613)</f>
        <v/>
      </c>
      <c r="C613" s="120">
        <f>SUMIFS(tblDonem[KDV Tutarı (₺)],tblDonem[Dönem],$A613)-SUMIFS(tblDonem[KDV Yüklenimi (₺)],tblDonem[Dönem],$A613)</f>
        <v/>
      </c>
      <c r="D613" s="120">
        <f>SUMIFS(tblDonem[Vergi Karşılığı (₺)],tblDonem[Dönem],$A613)</f>
        <v/>
      </c>
      <c r="E613" s="120">
        <f>$C613+$D613</f>
        <v/>
      </c>
      <c r="F613" s="120">
        <f>IF($B613=0,0,$E613/$B613)</f>
        <v/>
      </c>
    </row>
    <row r="614" ht="15" customHeight="1" s="68">
      <c r="A614" s="114" t="n"/>
      <c r="B614" s="120">
        <f>SUMIFS(tblDonem[Gelir (₺)],tblDonem[Dönem],$A614)</f>
        <v/>
      </c>
      <c r="C614" s="120">
        <f>SUMIFS(tblDonem[KDV Tutarı (₺)],tblDonem[Dönem],$A614)-SUMIFS(tblDonem[KDV Yüklenimi (₺)],tblDonem[Dönem],$A614)</f>
        <v/>
      </c>
      <c r="D614" s="120">
        <f>SUMIFS(tblDonem[Vergi Karşılığı (₺)],tblDonem[Dönem],$A614)</f>
        <v/>
      </c>
      <c r="E614" s="120">
        <f>$C614+$D614</f>
        <v/>
      </c>
      <c r="F614" s="120">
        <f>IF($B614=0,0,$E614/$B614)</f>
        <v/>
      </c>
    </row>
    <row r="615" ht="15" customHeight="1" s="68">
      <c r="A615" s="114" t="n"/>
      <c r="B615" s="120">
        <f>SUMIFS(tblDonem[Gelir (₺)],tblDonem[Dönem],$A615)</f>
        <v/>
      </c>
      <c r="C615" s="120">
        <f>SUMIFS(tblDonem[KDV Tutarı (₺)],tblDonem[Dönem],$A615)-SUMIFS(tblDonem[KDV Yüklenimi (₺)],tblDonem[Dönem],$A615)</f>
        <v/>
      </c>
      <c r="D615" s="120">
        <f>SUMIFS(tblDonem[Vergi Karşılığı (₺)],tblDonem[Dönem],$A615)</f>
        <v/>
      </c>
      <c r="E615" s="120">
        <f>$C615+$D615</f>
        <v/>
      </c>
      <c r="F615" s="120">
        <f>IF($B615=0,0,$E615/$B615)</f>
        <v/>
      </c>
    </row>
    <row r="616" ht="15" customHeight="1" s="68">
      <c r="A616" s="114" t="n"/>
      <c r="B616" s="120">
        <f>SUMIFS(tblDonem[Gelir (₺)],tblDonem[Dönem],$A616)</f>
        <v/>
      </c>
      <c r="C616" s="120">
        <f>SUMIFS(tblDonem[KDV Tutarı (₺)],tblDonem[Dönem],$A616)-SUMIFS(tblDonem[KDV Yüklenimi (₺)],tblDonem[Dönem],$A616)</f>
        <v/>
      </c>
      <c r="D616" s="120">
        <f>SUMIFS(tblDonem[Vergi Karşılığı (₺)],tblDonem[Dönem],$A616)</f>
        <v/>
      </c>
      <c r="E616" s="120">
        <f>$C616+$D616</f>
        <v/>
      </c>
      <c r="F616" s="120">
        <f>IF($B616=0,0,$E616/$B616)</f>
        <v/>
      </c>
    </row>
    <row r="617" ht="15" customHeight="1" s="68">
      <c r="A617" s="114" t="n"/>
      <c r="B617" s="120">
        <f>SUMIFS(tblDonem[Gelir (₺)],tblDonem[Dönem],$A617)</f>
        <v/>
      </c>
      <c r="C617" s="120">
        <f>SUMIFS(tblDonem[KDV Tutarı (₺)],tblDonem[Dönem],$A617)-SUMIFS(tblDonem[KDV Yüklenimi (₺)],tblDonem[Dönem],$A617)</f>
        <v/>
      </c>
      <c r="D617" s="120">
        <f>SUMIFS(tblDonem[Vergi Karşılığı (₺)],tblDonem[Dönem],$A617)</f>
        <v/>
      </c>
      <c r="E617" s="120">
        <f>$C617+$D617</f>
        <v/>
      </c>
      <c r="F617" s="120">
        <f>IF($B617=0,0,$E617/$B617)</f>
        <v/>
      </c>
    </row>
    <row r="618" ht="15" customHeight="1" s="68">
      <c r="A618" s="114" t="n"/>
      <c r="B618" s="120">
        <f>SUMIFS(tblDonem[Gelir (₺)],tblDonem[Dönem],$A618)</f>
        <v/>
      </c>
      <c r="C618" s="120">
        <f>SUMIFS(tblDonem[KDV Tutarı (₺)],tblDonem[Dönem],$A618)-SUMIFS(tblDonem[KDV Yüklenimi (₺)],tblDonem[Dönem],$A618)</f>
        <v/>
      </c>
      <c r="D618" s="120">
        <f>SUMIFS(tblDonem[Vergi Karşılığı (₺)],tblDonem[Dönem],$A618)</f>
        <v/>
      </c>
      <c r="E618" s="120">
        <f>$C618+$D618</f>
        <v/>
      </c>
      <c r="F618" s="120">
        <f>IF($B618=0,0,$E618/$B618)</f>
        <v/>
      </c>
    </row>
    <row r="619" ht="15" customHeight="1" s="68">
      <c r="A619" s="114" t="n"/>
      <c r="B619" s="120">
        <f>SUMIFS(tblDonem[Gelir (₺)],tblDonem[Dönem],$A619)</f>
        <v/>
      </c>
      <c r="C619" s="120">
        <f>SUMIFS(tblDonem[KDV Tutarı (₺)],tblDonem[Dönem],$A619)-SUMIFS(tblDonem[KDV Yüklenimi (₺)],tblDonem[Dönem],$A619)</f>
        <v/>
      </c>
      <c r="D619" s="120">
        <f>SUMIFS(tblDonem[Vergi Karşılığı (₺)],tblDonem[Dönem],$A619)</f>
        <v/>
      </c>
      <c r="E619" s="120">
        <f>$C619+$D619</f>
        <v/>
      </c>
      <c r="F619" s="120">
        <f>IF($B619=0,0,$E619/$B619)</f>
        <v/>
      </c>
    </row>
    <row r="620" ht="15" customHeight="1" s="68">
      <c r="A620" s="114" t="n"/>
      <c r="B620" s="120">
        <f>SUMIFS(tblDonem[Gelir (₺)],tblDonem[Dönem],$A620)</f>
        <v/>
      </c>
      <c r="C620" s="120">
        <f>SUMIFS(tblDonem[KDV Tutarı (₺)],tblDonem[Dönem],$A620)-SUMIFS(tblDonem[KDV Yüklenimi (₺)],tblDonem[Dönem],$A620)</f>
        <v/>
      </c>
      <c r="D620" s="120">
        <f>SUMIFS(tblDonem[Vergi Karşılığı (₺)],tblDonem[Dönem],$A620)</f>
        <v/>
      </c>
      <c r="E620" s="120">
        <f>$C620+$D620</f>
        <v/>
      </c>
      <c r="F620" s="120">
        <f>IF($B620=0,0,$E620/$B620)</f>
        <v/>
      </c>
    </row>
    <row r="621" ht="15" customHeight="1" s="68">
      <c r="A621" s="114" t="n"/>
      <c r="B621" s="120">
        <f>SUMIFS(tblDonem[Gelir (₺)],tblDonem[Dönem],$A621)</f>
        <v/>
      </c>
      <c r="C621" s="120">
        <f>SUMIFS(tblDonem[KDV Tutarı (₺)],tblDonem[Dönem],$A621)-SUMIFS(tblDonem[KDV Yüklenimi (₺)],tblDonem[Dönem],$A621)</f>
        <v/>
      </c>
      <c r="D621" s="120">
        <f>SUMIFS(tblDonem[Vergi Karşılığı (₺)],tblDonem[Dönem],$A621)</f>
        <v/>
      </c>
      <c r="E621" s="120">
        <f>$C621+$D621</f>
        <v/>
      </c>
      <c r="F621" s="120">
        <f>IF($B621=0,0,$E621/$B621)</f>
        <v/>
      </c>
    </row>
    <row r="622" ht="15" customHeight="1" s="68">
      <c r="A622" s="114" t="n"/>
      <c r="B622" s="120">
        <f>SUMIFS(tblDonem[Gelir (₺)],tblDonem[Dönem],$A622)</f>
        <v/>
      </c>
      <c r="C622" s="120">
        <f>SUMIFS(tblDonem[KDV Tutarı (₺)],tblDonem[Dönem],$A622)-SUMIFS(tblDonem[KDV Yüklenimi (₺)],tblDonem[Dönem],$A622)</f>
        <v/>
      </c>
      <c r="D622" s="120">
        <f>SUMIFS(tblDonem[Vergi Karşılığı (₺)],tblDonem[Dönem],$A622)</f>
        <v/>
      </c>
      <c r="E622" s="120">
        <f>$C622+$D622</f>
        <v/>
      </c>
      <c r="F622" s="120">
        <f>IF($B622=0,0,$E622/$B622)</f>
        <v/>
      </c>
    </row>
    <row r="623" ht="15" customHeight="1" s="68">
      <c r="A623" s="114" t="n"/>
      <c r="B623" s="120">
        <f>SUMIFS(tblDonem[Gelir (₺)],tblDonem[Dönem],$A623)</f>
        <v/>
      </c>
      <c r="C623" s="120">
        <f>SUMIFS(tblDonem[KDV Tutarı (₺)],tblDonem[Dönem],$A623)-SUMIFS(tblDonem[KDV Yüklenimi (₺)],tblDonem[Dönem],$A623)</f>
        <v/>
      </c>
      <c r="D623" s="120">
        <f>SUMIFS(tblDonem[Vergi Karşılığı (₺)],tblDonem[Dönem],$A623)</f>
        <v/>
      </c>
      <c r="E623" s="120">
        <f>$C623+$D623</f>
        <v/>
      </c>
      <c r="F623" s="120">
        <f>IF($B623=0,0,$E623/$B623)</f>
        <v/>
      </c>
    </row>
    <row r="624" ht="15" customHeight="1" s="68">
      <c r="A624" s="114" t="n"/>
      <c r="B624" s="120">
        <f>SUMIFS(tblDonem[Gelir (₺)],tblDonem[Dönem],$A624)</f>
        <v/>
      </c>
      <c r="C624" s="120">
        <f>SUMIFS(tblDonem[KDV Tutarı (₺)],tblDonem[Dönem],$A624)-SUMIFS(tblDonem[KDV Yüklenimi (₺)],tblDonem[Dönem],$A624)</f>
        <v/>
      </c>
      <c r="D624" s="120">
        <f>SUMIFS(tblDonem[Vergi Karşılığı (₺)],tblDonem[Dönem],$A624)</f>
        <v/>
      </c>
      <c r="E624" s="120">
        <f>$C624+$D624</f>
        <v/>
      </c>
      <c r="F624" s="120">
        <f>IF($B624=0,0,$E624/$B624)</f>
        <v/>
      </c>
    </row>
    <row r="625" ht="15" customHeight="1" s="68">
      <c r="A625" s="114" t="n"/>
      <c r="B625" s="120">
        <f>SUMIFS(tblDonem[Gelir (₺)],tblDonem[Dönem],$A625)</f>
        <v/>
      </c>
      <c r="C625" s="120">
        <f>SUMIFS(tblDonem[KDV Tutarı (₺)],tblDonem[Dönem],$A625)-SUMIFS(tblDonem[KDV Yüklenimi (₺)],tblDonem[Dönem],$A625)</f>
        <v/>
      </c>
      <c r="D625" s="120">
        <f>SUMIFS(tblDonem[Vergi Karşılığı (₺)],tblDonem[Dönem],$A625)</f>
        <v/>
      </c>
      <c r="E625" s="120">
        <f>$C625+$D625</f>
        <v/>
      </c>
      <c r="F625" s="120">
        <f>IF($B625=0,0,$E625/$B625)</f>
        <v/>
      </c>
    </row>
    <row r="626" ht="15" customHeight="1" s="68">
      <c r="A626" s="114" t="n"/>
      <c r="B626" s="120">
        <f>SUMIFS(tblDonem[Gelir (₺)],tblDonem[Dönem],$A626)</f>
        <v/>
      </c>
      <c r="C626" s="120">
        <f>SUMIFS(tblDonem[KDV Tutarı (₺)],tblDonem[Dönem],$A626)-SUMIFS(tblDonem[KDV Yüklenimi (₺)],tblDonem[Dönem],$A626)</f>
        <v/>
      </c>
      <c r="D626" s="120">
        <f>SUMIFS(tblDonem[Vergi Karşılığı (₺)],tblDonem[Dönem],$A626)</f>
        <v/>
      </c>
      <c r="E626" s="120">
        <f>$C626+$D626</f>
        <v/>
      </c>
      <c r="F626" s="120">
        <f>IF($B626=0,0,$E626/$B626)</f>
        <v/>
      </c>
    </row>
    <row r="627" ht="15" customHeight="1" s="68">
      <c r="A627" s="114" t="n"/>
      <c r="B627" s="120">
        <f>SUMIFS(tblDonem[Gelir (₺)],tblDonem[Dönem],$A627)</f>
        <v/>
      </c>
      <c r="C627" s="120">
        <f>SUMIFS(tblDonem[KDV Tutarı (₺)],tblDonem[Dönem],$A627)-SUMIFS(tblDonem[KDV Yüklenimi (₺)],tblDonem[Dönem],$A627)</f>
        <v/>
      </c>
      <c r="D627" s="120">
        <f>SUMIFS(tblDonem[Vergi Karşılığı (₺)],tblDonem[Dönem],$A627)</f>
        <v/>
      </c>
      <c r="E627" s="120">
        <f>$C627+$D627</f>
        <v/>
      </c>
      <c r="F627" s="120">
        <f>IF($B627=0,0,$E627/$B627)</f>
        <v/>
      </c>
    </row>
    <row r="628" ht="15" customHeight="1" s="68">
      <c r="A628" s="114" t="n"/>
      <c r="B628" s="120">
        <f>SUMIFS(tblDonem[Gelir (₺)],tblDonem[Dönem],$A628)</f>
        <v/>
      </c>
      <c r="C628" s="120">
        <f>SUMIFS(tblDonem[KDV Tutarı (₺)],tblDonem[Dönem],$A628)-SUMIFS(tblDonem[KDV Yüklenimi (₺)],tblDonem[Dönem],$A628)</f>
        <v/>
      </c>
      <c r="D628" s="120">
        <f>SUMIFS(tblDonem[Vergi Karşılığı (₺)],tblDonem[Dönem],$A628)</f>
        <v/>
      </c>
      <c r="E628" s="120">
        <f>$C628+$D628</f>
        <v/>
      </c>
      <c r="F628" s="120">
        <f>IF($B628=0,0,$E628/$B628)</f>
        <v/>
      </c>
    </row>
    <row r="629" ht="15" customHeight="1" s="68">
      <c r="A629" s="114" t="n"/>
      <c r="B629" s="120">
        <f>SUMIFS(tblDonem[Gelir (₺)],tblDonem[Dönem],$A629)</f>
        <v/>
      </c>
      <c r="C629" s="120">
        <f>SUMIFS(tblDonem[KDV Tutarı (₺)],tblDonem[Dönem],$A629)-SUMIFS(tblDonem[KDV Yüklenimi (₺)],tblDonem[Dönem],$A629)</f>
        <v/>
      </c>
      <c r="D629" s="120">
        <f>SUMIFS(tblDonem[Vergi Karşılığı (₺)],tblDonem[Dönem],$A629)</f>
        <v/>
      </c>
      <c r="E629" s="120">
        <f>$C629+$D629</f>
        <v/>
      </c>
      <c r="F629" s="120">
        <f>IF($B629=0,0,$E629/$B629)</f>
        <v/>
      </c>
    </row>
    <row r="630" ht="15" customHeight="1" s="68">
      <c r="A630" s="114" t="n"/>
      <c r="B630" s="120">
        <f>SUMIFS(tblDonem[Gelir (₺)],tblDonem[Dönem],$A630)</f>
        <v/>
      </c>
      <c r="C630" s="120">
        <f>SUMIFS(tblDonem[KDV Tutarı (₺)],tblDonem[Dönem],$A630)-SUMIFS(tblDonem[KDV Yüklenimi (₺)],tblDonem[Dönem],$A630)</f>
        <v/>
      </c>
      <c r="D630" s="120">
        <f>SUMIFS(tblDonem[Vergi Karşılığı (₺)],tblDonem[Dönem],$A630)</f>
        <v/>
      </c>
      <c r="E630" s="120">
        <f>$C630+$D630</f>
        <v/>
      </c>
      <c r="F630" s="120">
        <f>IF($B630=0,0,$E630/$B630)</f>
        <v/>
      </c>
    </row>
    <row r="631" ht="15" customHeight="1" s="68">
      <c r="A631" s="114" t="n"/>
      <c r="B631" s="120">
        <f>SUMIFS(tblDonem[Gelir (₺)],tblDonem[Dönem],$A631)</f>
        <v/>
      </c>
      <c r="C631" s="120">
        <f>SUMIFS(tblDonem[KDV Tutarı (₺)],tblDonem[Dönem],$A631)-SUMIFS(tblDonem[KDV Yüklenimi (₺)],tblDonem[Dönem],$A631)</f>
        <v/>
      </c>
      <c r="D631" s="120">
        <f>SUMIFS(tblDonem[Vergi Karşılığı (₺)],tblDonem[Dönem],$A631)</f>
        <v/>
      </c>
      <c r="E631" s="120">
        <f>$C631+$D631</f>
        <v/>
      </c>
      <c r="F631" s="120">
        <f>IF($B631=0,0,$E631/$B631)</f>
        <v/>
      </c>
    </row>
    <row r="632" ht="15" customHeight="1" s="68">
      <c r="A632" s="114" t="n"/>
      <c r="B632" s="120">
        <f>SUMIFS(tblDonem[Gelir (₺)],tblDonem[Dönem],$A632)</f>
        <v/>
      </c>
      <c r="C632" s="120">
        <f>SUMIFS(tblDonem[KDV Tutarı (₺)],tblDonem[Dönem],$A632)-SUMIFS(tblDonem[KDV Yüklenimi (₺)],tblDonem[Dönem],$A632)</f>
        <v/>
      </c>
      <c r="D632" s="120">
        <f>SUMIFS(tblDonem[Vergi Karşılığı (₺)],tblDonem[Dönem],$A632)</f>
        <v/>
      </c>
      <c r="E632" s="120">
        <f>$C632+$D632</f>
        <v/>
      </c>
      <c r="F632" s="120">
        <f>IF($B632=0,0,$E632/$B632)</f>
        <v/>
      </c>
    </row>
    <row r="633" ht="15" customHeight="1" s="68">
      <c r="A633" s="114" t="n"/>
      <c r="B633" s="120">
        <f>SUMIFS(tblDonem[Gelir (₺)],tblDonem[Dönem],$A633)</f>
        <v/>
      </c>
      <c r="C633" s="120">
        <f>SUMIFS(tblDonem[KDV Tutarı (₺)],tblDonem[Dönem],$A633)-SUMIFS(tblDonem[KDV Yüklenimi (₺)],tblDonem[Dönem],$A633)</f>
        <v/>
      </c>
      <c r="D633" s="120">
        <f>SUMIFS(tblDonem[Vergi Karşılığı (₺)],tblDonem[Dönem],$A633)</f>
        <v/>
      </c>
      <c r="E633" s="120">
        <f>$C633+$D633</f>
        <v/>
      </c>
      <c r="F633" s="120">
        <f>IF($B633=0,0,$E633/$B633)</f>
        <v/>
      </c>
    </row>
    <row r="634" ht="15" customHeight="1" s="68">
      <c r="A634" s="114" t="n"/>
      <c r="B634" s="120">
        <f>SUMIFS(tblDonem[Gelir (₺)],tblDonem[Dönem],$A634)</f>
        <v/>
      </c>
      <c r="C634" s="120">
        <f>SUMIFS(tblDonem[KDV Tutarı (₺)],tblDonem[Dönem],$A634)-SUMIFS(tblDonem[KDV Yüklenimi (₺)],tblDonem[Dönem],$A634)</f>
        <v/>
      </c>
      <c r="D634" s="120">
        <f>SUMIFS(tblDonem[Vergi Karşılığı (₺)],tblDonem[Dönem],$A634)</f>
        <v/>
      </c>
      <c r="E634" s="120">
        <f>$C634+$D634</f>
        <v/>
      </c>
      <c r="F634" s="120">
        <f>IF($B634=0,0,$E634/$B634)</f>
        <v/>
      </c>
    </row>
    <row r="635" ht="15" customHeight="1" s="68">
      <c r="A635" s="114" t="n"/>
      <c r="B635" s="120">
        <f>SUMIFS(tblDonem[Gelir (₺)],tblDonem[Dönem],$A635)</f>
        <v/>
      </c>
      <c r="C635" s="120">
        <f>SUMIFS(tblDonem[KDV Tutarı (₺)],tblDonem[Dönem],$A635)-SUMIFS(tblDonem[KDV Yüklenimi (₺)],tblDonem[Dönem],$A635)</f>
        <v/>
      </c>
      <c r="D635" s="120">
        <f>SUMIFS(tblDonem[Vergi Karşılığı (₺)],tblDonem[Dönem],$A635)</f>
        <v/>
      </c>
      <c r="E635" s="120">
        <f>$C635+$D635</f>
        <v/>
      </c>
      <c r="F635" s="120">
        <f>IF($B635=0,0,$E635/$B635)</f>
        <v/>
      </c>
    </row>
    <row r="636" ht="15" customHeight="1" s="68">
      <c r="A636" s="114" t="n"/>
      <c r="B636" s="120">
        <f>SUMIFS(tblDonem[Gelir (₺)],tblDonem[Dönem],$A636)</f>
        <v/>
      </c>
      <c r="C636" s="120">
        <f>SUMIFS(tblDonem[KDV Tutarı (₺)],tblDonem[Dönem],$A636)-SUMIFS(tblDonem[KDV Yüklenimi (₺)],tblDonem[Dönem],$A636)</f>
        <v/>
      </c>
      <c r="D636" s="120">
        <f>SUMIFS(tblDonem[Vergi Karşılığı (₺)],tblDonem[Dönem],$A636)</f>
        <v/>
      </c>
      <c r="E636" s="120">
        <f>$C636+$D636</f>
        <v/>
      </c>
      <c r="F636" s="120">
        <f>IF($B636=0,0,$E636/$B636)</f>
        <v/>
      </c>
    </row>
    <row r="637" ht="15" customHeight="1" s="68">
      <c r="A637" s="114" t="n"/>
      <c r="B637" s="120">
        <f>SUMIFS(tblDonem[Gelir (₺)],tblDonem[Dönem],$A637)</f>
        <v/>
      </c>
      <c r="C637" s="120">
        <f>SUMIFS(tblDonem[KDV Tutarı (₺)],tblDonem[Dönem],$A637)-SUMIFS(tblDonem[KDV Yüklenimi (₺)],tblDonem[Dönem],$A637)</f>
        <v/>
      </c>
      <c r="D637" s="120">
        <f>SUMIFS(tblDonem[Vergi Karşılığı (₺)],tblDonem[Dönem],$A637)</f>
        <v/>
      </c>
      <c r="E637" s="120">
        <f>$C637+$D637</f>
        <v/>
      </c>
      <c r="F637" s="120">
        <f>IF($B637=0,0,$E637/$B637)</f>
        <v/>
      </c>
    </row>
    <row r="638" ht="15" customHeight="1" s="68">
      <c r="A638" s="114" t="n"/>
      <c r="B638" s="120">
        <f>SUMIFS(tblDonem[Gelir (₺)],tblDonem[Dönem],$A638)</f>
        <v/>
      </c>
      <c r="C638" s="120">
        <f>SUMIFS(tblDonem[KDV Tutarı (₺)],tblDonem[Dönem],$A638)-SUMIFS(tblDonem[KDV Yüklenimi (₺)],tblDonem[Dönem],$A638)</f>
        <v/>
      </c>
      <c r="D638" s="120">
        <f>SUMIFS(tblDonem[Vergi Karşılığı (₺)],tblDonem[Dönem],$A638)</f>
        <v/>
      </c>
      <c r="E638" s="120">
        <f>$C638+$D638</f>
        <v/>
      </c>
      <c r="F638" s="120">
        <f>IF($B638=0,0,$E638/$B638)</f>
        <v/>
      </c>
    </row>
    <row r="639" ht="15" customHeight="1" s="68">
      <c r="A639" s="114" t="n"/>
      <c r="B639" s="120">
        <f>SUMIFS(tblDonem[Gelir (₺)],tblDonem[Dönem],$A639)</f>
        <v/>
      </c>
      <c r="C639" s="120">
        <f>SUMIFS(tblDonem[KDV Tutarı (₺)],tblDonem[Dönem],$A639)-SUMIFS(tblDonem[KDV Yüklenimi (₺)],tblDonem[Dönem],$A639)</f>
        <v/>
      </c>
      <c r="D639" s="120">
        <f>SUMIFS(tblDonem[Vergi Karşılığı (₺)],tblDonem[Dönem],$A639)</f>
        <v/>
      </c>
      <c r="E639" s="120">
        <f>$C639+$D639</f>
        <v/>
      </c>
      <c r="F639" s="120">
        <f>IF($B639=0,0,$E639/$B639)</f>
        <v/>
      </c>
    </row>
    <row r="640" ht="15" customHeight="1" s="68">
      <c r="A640" s="114" t="n"/>
      <c r="B640" s="120">
        <f>SUMIFS(tblDonem[Gelir (₺)],tblDonem[Dönem],$A640)</f>
        <v/>
      </c>
      <c r="C640" s="120">
        <f>SUMIFS(tblDonem[KDV Tutarı (₺)],tblDonem[Dönem],$A640)-SUMIFS(tblDonem[KDV Yüklenimi (₺)],tblDonem[Dönem],$A640)</f>
        <v/>
      </c>
      <c r="D640" s="120">
        <f>SUMIFS(tblDonem[Vergi Karşılığı (₺)],tblDonem[Dönem],$A640)</f>
        <v/>
      </c>
      <c r="E640" s="120">
        <f>$C640+$D640</f>
        <v/>
      </c>
      <c r="F640" s="120">
        <f>IF($B640=0,0,$E640/$B640)</f>
        <v/>
      </c>
    </row>
    <row r="641" ht="15" customHeight="1" s="68">
      <c r="A641" s="114" t="n"/>
      <c r="B641" s="120">
        <f>SUMIFS(tblDonem[Gelir (₺)],tblDonem[Dönem],$A641)</f>
        <v/>
      </c>
      <c r="C641" s="120">
        <f>SUMIFS(tblDonem[KDV Tutarı (₺)],tblDonem[Dönem],$A641)-SUMIFS(tblDonem[KDV Yüklenimi (₺)],tblDonem[Dönem],$A641)</f>
        <v/>
      </c>
      <c r="D641" s="120">
        <f>SUMIFS(tblDonem[Vergi Karşılığı (₺)],tblDonem[Dönem],$A641)</f>
        <v/>
      </c>
      <c r="E641" s="120">
        <f>$C641+$D641</f>
        <v/>
      </c>
      <c r="F641" s="120">
        <f>IF($B641=0,0,$E641/$B641)</f>
        <v/>
      </c>
    </row>
    <row r="642" ht="15" customHeight="1" s="68">
      <c r="A642" s="114" t="n"/>
      <c r="B642" s="120">
        <f>SUMIFS(tblDonem[Gelir (₺)],tblDonem[Dönem],$A642)</f>
        <v/>
      </c>
      <c r="C642" s="120">
        <f>SUMIFS(tblDonem[KDV Tutarı (₺)],tblDonem[Dönem],$A642)-SUMIFS(tblDonem[KDV Yüklenimi (₺)],tblDonem[Dönem],$A642)</f>
        <v/>
      </c>
      <c r="D642" s="120">
        <f>SUMIFS(tblDonem[Vergi Karşılığı (₺)],tblDonem[Dönem],$A642)</f>
        <v/>
      </c>
      <c r="E642" s="120">
        <f>$C642+$D642</f>
        <v/>
      </c>
      <c r="F642" s="120">
        <f>IF($B642=0,0,$E642/$B642)</f>
        <v/>
      </c>
    </row>
    <row r="643" ht="15" customHeight="1" s="68">
      <c r="A643" s="114" t="n"/>
      <c r="B643" s="120">
        <f>SUMIFS(tblDonem[Gelir (₺)],tblDonem[Dönem],$A643)</f>
        <v/>
      </c>
      <c r="C643" s="120">
        <f>SUMIFS(tblDonem[KDV Tutarı (₺)],tblDonem[Dönem],$A643)-SUMIFS(tblDonem[KDV Yüklenimi (₺)],tblDonem[Dönem],$A643)</f>
        <v/>
      </c>
      <c r="D643" s="120">
        <f>SUMIFS(tblDonem[Vergi Karşılığı (₺)],tblDonem[Dönem],$A643)</f>
        <v/>
      </c>
      <c r="E643" s="120">
        <f>$C643+$D643</f>
        <v/>
      </c>
      <c r="F643" s="120">
        <f>IF($B643=0,0,$E643/$B643)</f>
        <v/>
      </c>
    </row>
    <row r="644" ht="15" customHeight="1" s="68">
      <c r="A644" s="114" t="n"/>
      <c r="B644" s="120">
        <f>SUMIFS(tblDonem[Gelir (₺)],tblDonem[Dönem],$A644)</f>
        <v/>
      </c>
      <c r="C644" s="120">
        <f>SUMIFS(tblDonem[KDV Tutarı (₺)],tblDonem[Dönem],$A644)-SUMIFS(tblDonem[KDV Yüklenimi (₺)],tblDonem[Dönem],$A644)</f>
        <v/>
      </c>
      <c r="D644" s="120">
        <f>SUMIFS(tblDonem[Vergi Karşılığı (₺)],tblDonem[Dönem],$A644)</f>
        <v/>
      </c>
      <c r="E644" s="120">
        <f>$C644+$D644</f>
        <v/>
      </c>
      <c r="F644" s="120">
        <f>IF($B644=0,0,$E644/$B644)</f>
        <v/>
      </c>
    </row>
    <row r="645" ht="15" customHeight="1" s="68">
      <c r="A645" s="114" t="n"/>
      <c r="B645" s="120">
        <f>SUMIFS(tblDonem[Gelir (₺)],tblDonem[Dönem],$A645)</f>
        <v/>
      </c>
      <c r="C645" s="120">
        <f>SUMIFS(tblDonem[KDV Tutarı (₺)],tblDonem[Dönem],$A645)-SUMIFS(tblDonem[KDV Yüklenimi (₺)],tblDonem[Dönem],$A645)</f>
        <v/>
      </c>
      <c r="D645" s="120">
        <f>SUMIFS(tblDonem[Vergi Karşılığı (₺)],tblDonem[Dönem],$A645)</f>
        <v/>
      </c>
      <c r="E645" s="120">
        <f>$C645+$D645</f>
        <v/>
      </c>
      <c r="F645" s="120">
        <f>IF($B645=0,0,$E645/$B645)</f>
        <v/>
      </c>
    </row>
    <row r="646" ht="15" customHeight="1" s="68">
      <c r="A646" s="114" t="n"/>
      <c r="B646" s="120">
        <f>SUMIFS(tblDonem[Gelir (₺)],tblDonem[Dönem],$A646)</f>
        <v/>
      </c>
      <c r="C646" s="120">
        <f>SUMIFS(tblDonem[KDV Tutarı (₺)],tblDonem[Dönem],$A646)-SUMIFS(tblDonem[KDV Yüklenimi (₺)],tblDonem[Dönem],$A646)</f>
        <v/>
      </c>
      <c r="D646" s="120">
        <f>SUMIFS(tblDonem[Vergi Karşılığı (₺)],tblDonem[Dönem],$A646)</f>
        <v/>
      </c>
      <c r="E646" s="120">
        <f>$C646+$D646</f>
        <v/>
      </c>
      <c r="F646" s="120">
        <f>IF($B646=0,0,$E646/$B646)</f>
        <v/>
      </c>
    </row>
    <row r="647" ht="15" customHeight="1" s="68">
      <c r="A647" s="114" t="n"/>
      <c r="B647" s="120">
        <f>SUMIFS(tblDonem[Gelir (₺)],tblDonem[Dönem],$A647)</f>
        <v/>
      </c>
      <c r="C647" s="120">
        <f>SUMIFS(tblDonem[KDV Tutarı (₺)],tblDonem[Dönem],$A647)-SUMIFS(tblDonem[KDV Yüklenimi (₺)],tblDonem[Dönem],$A647)</f>
        <v/>
      </c>
      <c r="D647" s="120">
        <f>SUMIFS(tblDonem[Vergi Karşılığı (₺)],tblDonem[Dönem],$A647)</f>
        <v/>
      </c>
      <c r="E647" s="120">
        <f>$C647+$D647</f>
        <v/>
      </c>
      <c r="F647" s="120">
        <f>IF($B647=0,0,$E647/$B647)</f>
        <v/>
      </c>
    </row>
    <row r="648" ht="15" customHeight="1" s="68">
      <c r="A648" s="114" t="n"/>
      <c r="B648" s="120">
        <f>SUMIFS(tblDonem[Gelir (₺)],tblDonem[Dönem],$A648)</f>
        <v/>
      </c>
      <c r="C648" s="120">
        <f>SUMIFS(tblDonem[KDV Tutarı (₺)],tblDonem[Dönem],$A648)-SUMIFS(tblDonem[KDV Yüklenimi (₺)],tblDonem[Dönem],$A648)</f>
        <v/>
      </c>
      <c r="D648" s="120">
        <f>SUMIFS(tblDonem[Vergi Karşılığı (₺)],tblDonem[Dönem],$A648)</f>
        <v/>
      </c>
      <c r="E648" s="120">
        <f>$C648+$D648</f>
        <v/>
      </c>
      <c r="F648" s="120">
        <f>IF($B648=0,0,$E648/$B648)</f>
        <v/>
      </c>
    </row>
    <row r="649" ht="15" customHeight="1" s="68">
      <c r="A649" s="114" t="n"/>
      <c r="B649" s="120">
        <f>SUMIFS(tblDonem[Gelir (₺)],tblDonem[Dönem],$A649)</f>
        <v/>
      </c>
      <c r="C649" s="120">
        <f>SUMIFS(tblDonem[KDV Tutarı (₺)],tblDonem[Dönem],$A649)-SUMIFS(tblDonem[KDV Yüklenimi (₺)],tblDonem[Dönem],$A649)</f>
        <v/>
      </c>
      <c r="D649" s="120">
        <f>SUMIFS(tblDonem[Vergi Karşılığı (₺)],tblDonem[Dönem],$A649)</f>
        <v/>
      </c>
      <c r="E649" s="120">
        <f>$C649+$D649</f>
        <v/>
      </c>
      <c r="F649" s="120">
        <f>IF($B649=0,0,$E649/$B649)</f>
        <v/>
      </c>
    </row>
    <row r="650" ht="15" customHeight="1" s="68">
      <c r="A650" s="114" t="n"/>
      <c r="B650" s="120">
        <f>SUMIFS(tblDonem[Gelir (₺)],tblDonem[Dönem],$A650)</f>
        <v/>
      </c>
      <c r="C650" s="120">
        <f>SUMIFS(tblDonem[KDV Tutarı (₺)],tblDonem[Dönem],$A650)-SUMIFS(tblDonem[KDV Yüklenimi (₺)],tblDonem[Dönem],$A650)</f>
        <v/>
      </c>
      <c r="D650" s="120">
        <f>SUMIFS(tblDonem[Vergi Karşılığı (₺)],tblDonem[Dönem],$A650)</f>
        <v/>
      </c>
      <c r="E650" s="120">
        <f>$C650+$D650</f>
        <v/>
      </c>
      <c r="F650" s="120">
        <f>IF($B650=0,0,$E650/$B650)</f>
        <v/>
      </c>
    </row>
    <row r="651" ht="15" customHeight="1" s="68">
      <c r="A651" s="114" t="n"/>
      <c r="B651" s="120">
        <f>SUMIFS(tblDonem[Gelir (₺)],tblDonem[Dönem],$A651)</f>
        <v/>
      </c>
      <c r="C651" s="120">
        <f>SUMIFS(tblDonem[KDV Tutarı (₺)],tblDonem[Dönem],$A651)-SUMIFS(tblDonem[KDV Yüklenimi (₺)],tblDonem[Dönem],$A651)</f>
        <v/>
      </c>
      <c r="D651" s="120">
        <f>SUMIFS(tblDonem[Vergi Karşılığı (₺)],tblDonem[Dönem],$A651)</f>
        <v/>
      </c>
      <c r="E651" s="120">
        <f>$C651+$D651</f>
        <v/>
      </c>
      <c r="F651" s="120">
        <f>IF($B651=0,0,$E651/$B651)</f>
        <v/>
      </c>
    </row>
    <row r="652" ht="15" customHeight="1" s="68">
      <c r="A652" s="114" t="n"/>
      <c r="B652" s="120">
        <f>SUMIFS(tblDonem[Gelir (₺)],tblDonem[Dönem],$A652)</f>
        <v/>
      </c>
      <c r="C652" s="120">
        <f>SUMIFS(tblDonem[KDV Tutarı (₺)],tblDonem[Dönem],$A652)-SUMIFS(tblDonem[KDV Yüklenimi (₺)],tblDonem[Dönem],$A652)</f>
        <v/>
      </c>
      <c r="D652" s="120">
        <f>SUMIFS(tblDonem[Vergi Karşılığı (₺)],tblDonem[Dönem],$A652)</f>
        <v/>
      </c>
      <c r="E652" s="120">
        <f>$C652+$D652</f>
        <v/>
      </c>
      <c r="F652" s="120">
        <f>IF($B652=0,0,$E652/$B652)</f>
        <v/>
      </c>
    </row>
    <row r="653" ht="15" customHeight="1" s="68">
      <c r="A653" s="114" t="n"/>
      <c r="B653" s="120">
        <f>SUMIFS(tblDonem[Gelir (₺)],tblDonem[Dönem],$A653)</f>
        <v/>
      </c>
      <c r="C653" s="120">
        <f>SUMIFS(tblDonem[KDV Tutarı (₺)],tblDonem[Dönem],$A653)-SUMIFS(tblDonem[KDV Yüklenimi (₺)],tblDonem[Dönem],$A653)</f>
        <v/>
      </c>
      <c r="D653" s="120">
        <f>SUMIFS(tblDonem[Vergi Karşılığı (₺)],tblDonem[Dönem],$A653)</f>
        <v/>
      </c>
      <c r="E653" s="120">
        <f>$C653+$D653</f>
        <v/>
      </c>
      <c r="F653" s="120">
        <f>IF($B653=0,0,$E653/$B653)</f>
        <v/>
      </c>
    </row>
    <row r="654" ht="15" customHeight="1" s="68">
      <c r="A654" s="114" t="n"/>
      <c r="B654" s="120">
        <f>SUMIFS(tblDonem[Gelir (₺)],tblDonem[Dönem],$A654)</f>
        <v/>
      </c>
      <c r="C654" s="120">
        <f>SUMIFS(tblDonem[KDV Tutarı (₺)],tblDonem[Dönem],$A654)-SUMIFS(tblDonem[KDV Yüklenimi (₺)],tblDonem[Dönem],$A654)</f>
        <v/>
      </c>
      <c r="D654" s="120">
        <f>SUMIFS(tblDonem[Vergi Karşılığı (₺)],tblDonem[Dönem],$A654)</f>
        <v/>
      </c>
      <c r="E654" s="120">
        <f>$C654+$D654</f>
        <v/>
      </c>
      <c r="F654" s="120">
        <f>IF($B654=0,0,$E654/$B654)</f>
        <v/>
      </c>
    </row>
    <row r="655" ht="15" customHeight="1" s="68">
      <c r="A655" s="114" t="n"/>
      <c r="B655" s="120">
        <f>SUMIFS(tblDonem[Gelir (₺)],tblDonem[Dönem],$A655)</f>
        <v/>
      </c>
      <c r="C655" s="120">
        <f>SUMIFS(tblDonem[KDV Tutarı (₺)],tblDonem[Dönem],$A655)-SUMIFS(tblDonem[KDV Yüklenimi (₺)],tblDonem[Dönem],$A655)</f>
        <v/>
      </c>
      <c r="D655" s="120">
        <f>SUMIFS(tblDonem[Vergi Karşılığı (₺)],tblDonem[Dönem],$A655)</f>
        <v/>
      </c>
      <c r="E655" s="120">
        <f>$C655+$D655</f>
        <v/>
      </c>
      <c r="F655" s="120">
        <f>IF($B655=0,0,$E655/$B655)</f>
        <v/>
      </c>
    </row>
    <row r="656" ht="15" customHeight="1" s="68">
      <c r="A656" s="114" t="n"/>
      <c r="B656" s="120">
        <f>SUMIFS(tblDonem[Gelir (₺)],tblDonem[Dönem],$A656)</f>
        <v/>
      </c>
      <c r="C656" s="120">
        <f>SUMIFS(tblDonem[KDV Tutarı (₺)],tblDonem[Dönem],$A656)-SUMIFS(tblDonem[KDV Yüklenimi (₺)],tblDonem[Dönem],$A656)</f>
        <v/>
      </c>
      <c r="D656" s="120">
        <f>SUMIFS(tblDonem[Vergi Karşılığı (₺)],tblDonem[Dönem],$A656)</f>
        <v/>
      </c>
      <c r="E656" s="120">
        <f>$C656+$D656</f>
        <v/>
      </c>
      <c r="F656" s="120">
        <f>IF($B656=0,0,$E656/$B656)</f>
        <v/>
      </c>
    </row>
    <row r="657" ht="15" customHeight="1" s="68">
      <c r="A657" s="114" t="n"/>
      <c r="B657" s="120">
        <f>SUMIFS(tblDonem[Gelir (₺)],tblDonem[Dönem],$A657)</f>
        <v/>
      </c>
      <c r="C657" s="120">
        <f>SUMIFS(tblDonem[KDV Tutarı (₺)],tblDonem[Dönem],$A657)-SUMIFS(tblDonem[KDV Yüklenimi (₺)],tblDonem[Dönem],$A657)</f>
        <v/>
      </c>
      <c r="D657" s="120">
        <f>SUMIFS(tblDonem[Vergi Karşılığı (₺)],tblDonem[Dönem],$A657)</f>
        <v/>
      </c>
      <c r="E657" s="120">
        <f>$C657+$D657</f>
        <v/>
      </c>
      <c r="F657" s="120">
        <f>IF($B657=0,0,$E657/$B657)</f>
        <v/>
      </c>
    </row>
    <row r="658" ht="15" customHeight="1" s="68">
      <c r="A658" s="114" t="n"/>
      <c r="B658" s="120">
        <f>SUMIFS(tblDonem[Gelir (₺)],tblDonem[Dönem],$A658)</f>
        <v/>
      </c>
      <c r="C658" s="120">
        <f>SUMIFS(tblDonem[KDV Tutarı (₺)],tblDonem[Dönem],$A658)-SUMIFS(tblDonem[KDV Yüklenimi (₺)],tblDonem[Dönem],$A658)</f>
        <v/>
      </c>
      <c r="D658" s="120">
        <f>SUMIFS(tblDonem[Vergi Karşılığı (₺)],tblDonem[Dönem],$A658)</f>
        <v/>
      </c>
      <c r="E658" s="120">
        <f>$C658+$D658</f>
        <v/>
      </c>
      <c r="F658" s="120">
        <f>IF($B658=0,0,$E658/$B658)</f>
        <v/>
      </c>
    </row>
    <row r="659" ht="15" customHeight="1" s="68">
      <c r="A659" s="114" t="n"/>
      <c r="B659" s="120">
        <f>SUMIFS(tblDonem[Gelir (₺)],tblDonem[Dönem],$A659)</f>
        <v/>
      </c>
      <c r="C659" s="120">
        <f>SUMIFS(tblDonem[KDV Tutarı (₺)],tblDonem[Dönem],$A659)-SUMIFS(tblDonem[KDV Yüklenimi (₺)],tblDonem[Dönem],$A659)</f>
        <v/>
      </c>
      <c r="D659" s="120">
        <f>SUMIFS(tblDonem[Vergi Karşılığı (₺)],tblDonem[Dönem],$A659)</f>
        <v/>
      </c>
      <c r="E659" s="120">
        <f>$C659+$D659</f>
        <v/>
      </c>
      <c r="F659" s="120">
        <f>IF($B659=0,0,$E659/$B659)</f>
        <v/>
      </c>
    </row>
    <row r="660" ht="15" customHeight="1" s="68">
      <c r="A660" s="114" t="n"/>
      <c r="B660" s="120">
        <f>SUMIFS(tblDonem[Gelir (₺)],tblDonem[Dönem],$A660)</f>
        <v/>
      </c>
      <c r="C660" s="120">
        <f>SUMIFS(tblDonem[KDV Tutarı (₺)],tblDonem[Dönem],$A660)-SUMIFS(tblDonem[KDV Yüklenimi (₺)],tblDonem[Dönem],$A660)</f>
        <v/>
      </c>
      <c r="D660" s="120">
        <f>SUMIFS(tblDonem[Vergi Karşılığı (₺)],tblDonem[Dönem],$A660)</f>
        <v/>
      </c>
      <c r="E660" s="120">
        <f>$C660+$D660</f>
        <v/>
      </c>
      <c r="F660" s="120">
        <f>IF($B660=0,0,$E660/$B660)</f>
        <v/>
      </c>
    </row>
    <row r="661" ht="15" customHeight="1" s="68">
      <c r="A661" s="114" t="n"/>
      <c r="B661" s="120">
        <f>SUMIFS(tblDonem[Gelir (₺)],tblDonem[Dönem],$A661)</f>
        <v/>
      </c>
      <c r="C661" s="120">
        <f>SUMIFS(tblDonem[KDV Tutarı (₺)],tblDonem[Dönem],$A661)-SUMIFS(tblDonem[KDV Yüklenimi (₺)],tblDonem[Dönem],$A661)</f>
        <v/>
      </c>
      <c r="D661" s="120">
        <f>SUMIFS(tblDonem[Vergi Karşılığı (₺)],tblDonem[Dönem],$A661)</f>
        <v/>
      </c>
      <c r="E661" s="120">
        <f>$C661+$D661</f>
        <v/>
      </c>
      <c r="F661" s="120">
        <f>IF($B661=0,0,$E661/$B661)</f>
        <v/>
      </c>
    </row>
    <row r="662" ht="15" customHeight="1" s="68">
      <c r="A662" s="114" t="n"/>
      <c r="B662" s="120">
        <f>SUMIFS(tblDonem[Gelir (₺)],tblDonem[Dönem],$A662)</f>
        <v/>
      </c>
      <c r="C662" s="120">
        <f>SUMIFS(tblDonem[KDV Tutarı (₺)],tblDonem[Dönem],$A662)-SUMIFS(tblDonem[KDV Yüklenimi (₺)],tblDonem[Dönem],$A662)</f>
        <v/>
      </c>
      <c r="D662" s="120">
        <f>SUMIFS(tblDonem[Vergi Karşılığı (₺)],tblDonem[Dönem],$A662)</f>
        <v/>
      </c>
      <c r="E662" s="120">
        <f>$C662+$D662</f>
        <v/>
      </c>
      <c r="F662" s="120">
        <f>IF($B662=0,0,$E662/$B662)</f>
        <v/>
      </c>
    </row>
    <row r="663" ht="15" customHeight="1" s="68">
      <c r="A663" s="114" t="n"/>
      <c r="B663" s="120">
        <f>SUMIFS(tblDonem[Gelir (₺)],tblDonem[Dönem],$A663)</f>
        <v/>
      </c>
      <c r="C663" s="120">
        <f>SUMIFS(tblDonem[KDV Tutarı (₺)],tblDonem[Dönem],$A663)-SUMIFS(tblDonem[KDV Yüklenimi (₺)],tblDonem[Dönem],$A663)</f>
        <v/>
      </c>
      <c r="D663" s="120">
        <f>SUMIFS(tblDonem[Vergi Karşılığı (₺)],tblDonem[Dönem],$A663)</f>
        <v/>
      </c>
      <c r="E663" s="120">
        <f>$C663+$D663</f>
        <v/>
      </c>
      <c r="F663" s="120">
        <f>IF($B663=0,0,$E663/$B663)</f>
        <v/>
      </c>
    </row>
    <row r="664" ht="15" customHeight="1" s="68">
      <c r="A664" s="114" t="n"/>
      <c r="B664" s="120">
        <f>SUMIFS(tblDonem[Gelir (₺)],tblDonem[Dönem],$A664)</f>
        <v/>
      </c>
      <c r="C664" s="120">
        <f>SUMIFS(tblDonem[KDV Tutarı (₺)],tblDonem[Dönem],$A664)-SUMIFS(tblDonem[KDV Yüklenimi (₺)],tblDonem[Dönem],$A664)</f>
        <v/>
      </c>
      <c r="D664" s="120">
        <f>SUMIFS(tblDonem[Vergi Karşılığı (₺)],tblDonem[Dönem],$A664)</f>
        <v/>
      </c>
      <c r="E664" s="120">
        <f>$C664+$D664</f>
        <v/>
      </c>
      <c r="F664" s="120">
        <f>IF($B664=0,0,$E664/$B664)</f>
        <v/>
      </c>
    </row>
    <row r="665" ht="15" customHeight="1" s="68">
      <c r="A665" s="114" t="n"/>
      <c r="B665" s="120">
        <f>SUMIFS(tblDonem[Gelir (₺)],tblDonem[Dönem],$A665)</f>
        <v/>
      </c>
      <c r="C665" s="120">
        <f>SUMIFS(tblDonem[KDV Tutarı (₺)],tblDonem[Dönem],$A665)-SUMIFS(tblDonem[KDV Yüklenimi (₺)],tblDonem[Dönem],$A665)</f>
        <v/>
      </c>
      <c r="D665" s="120">
        <f>SUMIFS(tblDonem[Vergi Karşılığı (₺)],tblDonem[Dönem],$A665)</f>
        <v/>
      </c>
      <c r="E665" s="120">
        <f>$C665+$D665</f>
        <v/>
      </c>
      <c r="F665" s="120">
        <f>IF($B665=0,0,$E665/$B665)</f>
        <v/>
      </c>
    </row>
    <row r="666" ht="15" customHeight="1" s="68">
      <c r="A666" s="114" t="n"/>
      <c r="B666" s="120">
        <f>SUMIFS(tblDonem[Gelir (₺)],tblDonem[Dönem],$A666)</f>
        <v/>
      </c>
      <c r="C666" s="120">
        <f>SUMIFS(tblDonem[KDV Tutarı (₺)],tblDonem[Dönem],$A666)-SUMIFS(tblDonem[KDV Yüklenimi (₺)],tblDonem[Dönem],$A666)</f>
        <v/>
      </c>
      <c r="D666" s="120">
        <f>SUMIFS(tblDonem[Vergi Karşılığı (₺)],tblDonem[Dönem],$A666)</f>
        <v/>
      </c>
      <c r="E666" s="120">
        <f>$C666+$D666</f>
        <v/>
      </c>
      <c r="F666" s="120">
        <f>IF($B666=0,0,$E666/$B666)</f>
        <v/>
      </c>
    </row>
    <row r="667" ht="15" customHeight="1" s="68">
      <c r="A667" s="114" t="n"/>
      <c r="B667" s="120">
        <f>SUMIFS(tblDonem[Gelir (₺)],tblDonem[Dönem],$A667)</f>
        <v/>
      </c>
      <c r="C667" s="120">
        <f>SUMIFS(tblDonem[KDV Tutarı (₺)],tblDonem[Dönem],$A667)-SUMIFS(tblDonem[KDV Yüklenimi (₺)],tblDonem[Dönem],$A667)</f>
        <v/>
      </c>
      <c r="D667" s="120">
        <f>SUMIFS(tblDonem[Vergi Karşılığı (₺)],tblDonem[Dönem],$A667)</f>
        <v/>
      </c>
      <c r="E667" s="120">
        <f>$C667+$D667</f>
        <v/>
      </c>
      <c r="F667" s="120">
        <f>IF($B667=0,0,$E667/$B667)</f>
        <v/>
      </c>
    </row>
    <row r="668" ht="15" customHeight="1" s="68">
      <c r="A668" s="114" t="n"/>
      <c r="B668" s="120">
        <f>SUMIFS(tblDonem[Gelir (₺)],tblDonem[Dönem],$A668)</f>
        <v/>
      </c>
      <c r="C668" s="120">
        <f>SUMIFS(tblDonem[KDV Tutarı (₺)],tblDonem[Dönem],$A668)-SUMIFS(tblDonem[KDV Yüklenimi (₺)],tblDonem[Dönem],$A668)</f>
        <v/>
      </c>
      <c r="D668" s="120">
        <f>SUMIFS(tblDonem[Vergi Karşılığı (₺)],tblDonem[Dönem],$A668)</f>
        <v/>
      </c>
      <c r="E668" s="120">
        <f>$C668+$D668</f>
        <v/>
      </c>
      <c r="F668" s="120">
        <f>IF($B668=0,0,$E668/$B668)</f>
        <v/>
      </c>
    </row>
    <row r="669" ht="15" customHeight="1" s="68">
      <c r="A669" s="114" t="n"/>
      <c r="B669" s="120">
        <f>SUMIFS(tblDonem[Gelir (₺)],tblDonem[Dönem],$A669)</f>
        <v/>
      </c>
      <c r="C669" s="120">
        <f>SUMIFS(tblDonem[KDV Tutarı (₺)],tblDonem[Dönem],$A669)-SUMIFS(tblDonem[KDV Yüklenimi (₺)],tblDonem[Dönem],$A669)</f>
        <v/>
      </c>
      <c r="D669" s="120">
        <f>SUMIFS(tblDonem[Vergi Karşılığı (₺)],tblDonem[Dönem],$A669)</f>
        <v/>
      </c>
      <c r="E669" s="120">
        <f>$C669+$D669</f>
        <v/>
      </c>
      <c r="F669" s="120">
        <f>IF($B669=0,0,$E669/$B669)</f>
        <v/>
      </c>
    </row>
    <row r="670" ht="15" customHeight="1" s="68">
      <c r="A670" s="114" t="n"/>
      <c r="B670" s="120">
        <f>SUMIFS(tblDonem[Gelir (₺)],tblDonem[Dönem],$A670)</f>
        <v/>
      </c>
      <c r="C670" s="120">
        <f>SUMIFS(tblDonem[KDV Tutarı (₺)],tblDonem[Dönem],$A670)-SUMIFS(tblDonem[KDV Yüklenimi (₺)],tblDonem[Dönem],$A670)</f>
        <v/>
      </c>
      <c r="D670" s="120">
        <f>SUMIFS(tblDonem[Vergi Karşılığı (₺)],tblDonem[Dönem],$A670)</f>
        <v/>
      </c>
      <c r="E670" s="120">
        <f>$C670+$D670</f>
        <v/>
      </c>
      <c r="F670" s="120">
        <f>IF($B670=0,0,$E670/$B670)</f>
        <v/>
      </c>
    </row>
    <row r="671" ht="15" customHeight="1" s="68">
      <c r="A671" s="114" t="n"/>
      <c r="B671" s="120">
        <f>SUMIFS(tblDonem[Gelir (₺)],tblDonem[Dönem],$A671)</f>
        <v/>
      </c>
      <c r="C671" s="120">
        <f>SUMIFS(tblDonem[KDV Tutarı (₺)],tblDonem[Dönem],$A671)-SUMIFS(tblDonem[KDV Yüklenimi (₺)],tblDonem[Dönem],$A671)</f>
        <v/>
      </c>
      <c r="D671" s="120">
        <f>SUMIFS(tblDonem[Vergi Karşılığı (₺)],tblDonem[Dönem],$A671)</f>
        <v/>
      </c>
      <c r="E671" s="120">
        <f>$C671+$D671</f>
        <v/>
      </c>
      <c r="F671" s="120">
        <f>IF($B671=0,0,$E671/$B671)</f>
        <v/>
      </c>
    </row>
    <row r="672" ht="15" customHeight="1" s="68">
      <c r="A672" s="114" t="n"/>
      <c r="B672" s="120">
        <f>SUMIFS(tblDonem[Gelir (₺)],tblDonem[Dönem],$A672)</f>
        <v/>
      </c>
      <c r="C672" s="120">
        <f>SUMIFS(tblDonem[KDV Tutarı (₺)],tblDonem[Dönem],$A672)-SUMIFS(tblDonem[KDV Yüklenimi (₺)],tblDonem[Dönem],$A672)</f>
        <v/>
      </c>
      <c r="D672" s="120">
        <f>SUMIFS(tblDonem[Vergi Karşılığı (₺)],tblDonem[Dönem],$A672)</f>
        <v/>
      </c>
      <c r="E672" s="120">
        <f>$C672+$D672</f>
        <v/>
      </c>
      <c r="F672" s="120">
        <f>IF($B672=0,0,$E672/$B672)</f>
        <v/>
      </c>
    </row>
    <row r="673" ht="15" customHeight="1" s="68">
      <c r="A673" s="114" t="n"/>
      <c r="B673" s="120">
        <f>SUMIFS(tblDonem[Gelir (₺)],tblDonem[Dönem],$A673)</f>
        <v/>
      </c>
      <c r="C673" s="120">
        <f>SUMIFS(tblDonem[KDV Tutarı (₺)],tblDonem[Dönem],$A673)-SUMIFS(tblDonem[KDV Yüklenimi (₺)],tblDonem[Dönem],$A673)</f>
        <v/>
      </c>
      <c r="D673" s="120">
        <f>SUMIFS(tblDonem[Vergi Karşılığı (₺)],tblDonem[Dönem],$A673)</f>
        <v/>
      </c>
      <c r="E673" s="120">
        <f>$C673+$D673</f>
        <v/>
      </c>
      <c r="F673" s="120">
        <f>IF($B673=0,0,$E673/$B673)</f>
        <v/>
      </c>
    </row>
    <row r="674" ht="15" customHeight="1" s="68">
      <c r="A674" s="114" t="n"/>
      <c r="B674" s="120">
        <f>SUMIFS(tblDonem[Gelir (₺)],tblDonem[Dönem],$A674)</f>
        <v/>
      </c>
      <c r="C674" s="120">
        <f>SUMIFS(tblDonem[KDV Tutarı (₺)],tblDonem[Dönem],$A674)-SUMIFS(tblDonem[KDV Yüklenimi (₺)],tblDonem[Dönem],$A674)</f>
        <v/>
      </c>
      <c r="D674" s="120">
        <f>SUMIFS(tblDonem[Vergi Karşılığı (₺)],tblDonem[Dönem],$A674)</f>
        <v/>
      </c>
      <c r="E674" s="120">
        <f>$C674+$D674</f>
        <v/>
      </c>
      <c r="F674" s="120">
        <f>IF($B674=0,0,$E674/$B674)</f>
        <v/>
      </c>
    </row>
    <row r="675" ht="15" customHeight="1" s="68">
      <c r="A675" s="114" t="n"/>
      <c r="B675" s="120">
        <f>SUMIFS(tblDonem[Gelir (₺)],tblDonem[Dönem],$A675)</f>
        <v/>
      </c>
      <c r="C675" s="120">
        <f>SUMIFS(tblDonem[KDV Tutarı (₺)],tblDonem[Dönem],$A675)-SUMIFS(tblDonem[KDV Yüklenimi (₺)],tblDonem[Dönem],$A675)</f>
        <v/>
      </c>
      <c r="D675" s="120">
        <f>SUMIFS(tblDonem[Vergi Karşılığı (₺)],tblDonem[Dönem],$A675)</f>
        <v/>
      </c>
      <c r="E675" s="120">
        <f>$C675+$D675</f>
        <v/>
      </c>
      <c r="F675" s="120">
        <f>IF($B675=0,0,$E675/$B675)</f>
        <v/>
      </c>
    </row>
    <row r="676" ht="15" customHeight="1" s="68">
      <c r="A676" s="114" t="n"/>
      <c r="B676" s="120">
        <f>SUMIFS(tblDonem[Gelir (₺)],tblDonem[Dönem],$A676)</f>
        <v/>
      </c>
      <c r="C676" s="120">
        <f>SUMIFS(tblDonem[KDV Tutarı (₺)],tblDonem[Dönem],$A676)-SUMIFS(tblDonem[KDV Yüklenimi (₺)],tblDonem[Dönem],$A676)</f>
        <v/>
      </c>
      <c r="D676" s="120">
        <f>SUMIFS(tblDonem[Vergi Karşılığı (₺)],tblDonem[Dönem],$A676)</f>
        <v/>
      </c>
      <c r="E676" s="120">
        <f>$C676+$D676</f>
        <v/>
      </c>
      <c r="F676" s="120">
        <f>IF($B676=0,0,$E676/$B676)</f>
        <v/>
      </c>
    </row>
    <row r="677" ht="15" customHeight="1" s="68">
      <c r="A677" s="114" t="n"/>
      <c r="B677" s="120">
        <f>SUMIFS(tblDonem[Gelir (₺)],tblDonem[Dönem],$A677)</f>
        <v/>
      </c>
      <c r="C677" s="120">
        <f>SUMIFS(tblDonem[KDV Tutarı (₺)],tblDonem[Dönem],$A677)-SUMIFS(tblDonem[KDV Yüklenimi (₺)],tblDonem[Dönem],$A677)</f>
        <v/>
      </c>
      <c r="D677" s="120">
        <f>SUMIFS(tblDonem[Vergi Karşılığı (₺)],tblDonem[Dönem],$A677)</f>
        <v/>
      </c>
      <c r="E677" s="120">
        <f>$C677+$D677</f>
        <v/>
      </c>
      <c r="F677" s="120">
        <f>IF($B677=0,0,$E677/$B677)</f>
        <v/>
      </c>
    </row>
    <row r="678" ht="15" customHeight="1" s="68">
      <c r="A678" s="114" t="n"/>
      <c r="B678" s="120">
        <f>SUMIFS(tblDonem[Gelir (₺)],tblDonem[Dönem],$A678)</f>
        <v/>
      </c>
      <c r="C678" s="120">
        <f>SUMIFS(tblDonem[KDV Tutarı (₺)],tblDonem[Dönem],$A678)-SUMIFS(tblDonem[KDV Yüklenimi (₺)],tblDonem[Dönem],$A678)</f>
        <v/>
      </c>
      <c r="D678" s="120">
        <f>SUMIFS(tblDonem[Vergi Karşılığı (₺)],tblDonem[Dönem],$A678)</f>
        <v/>
      </c>
      <c r="E678" s="120">
        <f>$C678+$D678</f>
        <v/>
      </c>
      <c r="F678" s="120">
        <f>IF($B678=0,0,$E678/$B678)</f>
        <v/>
      </c>
    </row>
    <row r="679" ht="15" customHeight="1" s="68">
      <c r="A679" s="114" t="n"/>
      <c r="B679" s="120">
        <f>SUMIFS(tblDonem[Gelir (₺)],tblDonem[Dönem],$A679)</f>
        <v/>
      </c>
      <c r="C679" s="120">
        <f>SUMIFS(tblDonem[KDV Tutarı (₺)],tblDonem[Dönem],$A679)-SUMIFS(tblDonem[KDV Yüklenimi (₺)],tblDonem[Dönem],$A679)</f>
        <v/>
      </c>
      <c r="D679" s="120">
        <f>SUMIFS(tblDonem[Vergi Karşılığı (₺)],tblDonem[Dönem],$A679)</f>
        <v/>
      </c>
      <c r="E679" s="120">
        <f>$C679+$D679</f>
        <v/>
      </c>
      <c r="F679" s="120">
        <f>IF($B679=0,0,$E679/$B679)</f>
        <v/>
      </c>
    </row>
    <row r="680" ht="15" customHeight="1" s="68">
      <c r="A680" s="114" t="n"/>
      <c r="B680" s="120">
        <f>SUMIFS(tblDonem[Gelir (₺)],tblDonem[Dönem],$A680)</f>
        <v/>
      </c>
      <c r="C680" s="120">
        <f>SUMIFS(tblDonem[KDV Tutarı (₺)],tblDonem[Dönem],$A680)-SUMIFS(tblDonem[KDV Yüklenimi (₺)],tblDonem[Dönem],$A680)</f>
        <v/>
      </c>
      <c r="D680" s="120">
        <f>SUMIFS(tblDonem[Vergi Karşılığı (₺)],tblDonem[Dönem],$A680)</f>
        <v/>
      </c>
      <c r="E680" s="120">
        <f>$C680+$D680</f>
        <v/>
      </c>
      <c r="F680" s="120">
        <f>IF($B680=0,0,$E680/$B680)</f>
        <v/>
      </c>
    </row>
    <row r="681" ht="15" customHeight="1" s="68">
      <c r="A681" s="114" t="n"/>
      <c r="B681" s="120">
        <f>SUMIFS(tblDonem[Gelir (₺)],tblDonem[Dönem],$A681)</f>
        <v/>
      </c>
      <c r="C681" s="120">
        <f>SUMIFS(tblDonem[KDV Tutarı (₺)],tblDonem[Dönem],$A681)-SUMIFS(tblDonem[KDV Yüklenimi (₺)],tblDonem[Dönem],$A681)</f>
        <v/>
      </c>
      <c r="D681" s="120">
        <f>SUMIFS(tblDonem[Vergi Karşılığı (₺)],tblDonem[Dönem],$A681)</f>
        <v/>
      </c>
      <c r="E681" s="120">
        <f>$C681+$D681</f>
        <v/>
      </c>
      <c r="F681" s="120">
        <f>IF($B681=0,0,$E681/$B681)</f>
        <v/>
      </c>
    </row>
    <row r="682" ht="15" customHeight="1" s="68">
      <c r="A682" s="114" t="n"/>
      <c r="B682" s="120">
        <f>SUMIFS(tblDonem[Gelir (₺)],tblDonem[Dönem],$A682)</f>
        <v/>
      </c>
      <c r="C682" s="120">
        <f>SUMIFS(tblDonem[KDV Tutarı (₺)],tblDonem[Dönem],$A682)-SUMIFS(tblDonem[KDV Yüklenimi (₺)],tblDonem[Dönem],$A682)</f>
        <v/>
      </c>
      <c r="D682" s="120">
        <f>SUMIFS(tblDonem[Vergi Karşılığı (₺)],tblDonem[Dönem],$A682)</f>
        <v/>
      </c>
      <c r="E682" s="120">
        <f>$C682+$D682</f>
        <v/>
      </c>
      <c r="F682" s="120">
        <f>IF($B682=0,0,$E682/$B682)</f>
        <v/>
      </c>
    </row>
    <row r="683" ht="15" customHeight="1" s="68">
      <c r="A683" s="114" t="n"/>
      <c r="B683" s="120">
        <f>SUMIFS(tblDonem[Gelir (₺)],tblDonem[Dönem],$A683)</f>
        <v/>
      </c>
      <c r="C683" s="120">
        <f>SUMIFS(tblDonem[KDV Tutarı (₺)],tblDonem[Dönem],$A683)-SUMIFS(tblDonem[KDV Yüklenimi (₺)],tblDonem[Dönem],$A683)</f>
        <v/>
      </c>
      <c r="D683" s="120">
        <f>SUMIFS(tblDonem[Vergi Karşılığı (₺)],tblDonem[Dönem],$A683)</f>
        <v/>
      </c>
      <c r="E683" s="120">
        <f>$C683+$D683</f>
        <v/>
      </c>
      <c r="F683" s="120">
        <f>IF($B683=0,0,$E683/$B683)</f>
        <v/>
      </c>
    </row>
    <row r="684" ht="15" customHeight="1" s="68">
      <c r="A684" s="114" t="n"/>
      <c r="B684" s="120">
        <f>SUMIFS(tblDonem[Gelir (₺)],tblDonem[Dönem],$A684)</f>
        <v/>
      </c>
      <c r="C684" s="120">
        <f>SUMIFS(tblDonem[KDV Tutarı (₺)],tblDonem[Dönem],$A684)-SUMIFS(tblDonem[KDV Yüklenimi (₺)],tblDonem[Dönem],$A684)</f>
        <v/>
      </c>
      <c r="D684" s="120">
        <f>SUMIFS(tblDonem[Vergi Karşılığı (₺)],tblDonem[Dönem],$A684)</f>
        <v/>
      </c>
      <c r="E684" s="120">
        <f>$C684+$D684</f>
        <v/>
      </c>
      <c r="F684" s="120">
        <f>IF($B684=0,0,$E684/$B684)</f>
        <v/>
      </c>
    </row>
    <row r="685" ht="15" customHeight="1" s="68">
      <c r="A685" s="114" t="n"/>
      <c r="B685" s="120">
        <f>SUMIFS(tblDonem[Gelir (₺)],tblDonem[Dönem],$A685)</f>
        <v/>
      </c>
      <c r="C685" s="120">
        <f>SUMIFS(tblDonem[KDV Tutarı (₺)],tblDonem[Dönem],$A685)-SUMIFS(tblDonem[KDV Yüklenimi (₺)],tblDonem[Dönem],$A685)</f>
        <v/>
      </c>
      <c r="D685" s="120">
        <f>SUMIFS(tblDonem[Vergi Karşılığı (₺)],tblDonem[Dönem],$A685)</f>
        <v/>
      </c>
      <c r="E685" s="120">
        <f>$C685+$D685</f>
        <v/>
      </c>
      <c r="F685" s="120">
        <f>IF($B685=0,0,$E685/$B685)</f>
        <v/>
      </c>
    </row>
    <row r="686" ht="15" customHeight="1" s="68">
      <c r="A686" s="114" t="n"/>
      <c r="B686" s="120">
        <f>SUMIFS(tblDonem[Gelir (₺)],tblDonem[Dönem],$A686)</f>
        <v/>
      </c>
      <c r="C686" s="120">
        <f>SUMIFS(tblDonem[KDV Tutarı (₺)],tblDonem[Dönem],$A686)-SUMIFS(tblDonem[KDV Yüklenimi (₺)],tblDonem[Dönem],$A686)</f>
        <v/>
      </c>
      <c r="D686" s="120">
        <f>SUMIFS(tblDonem[Vergi Karşılığı (₺)],tblDonem[Dönem],$A686)</f>
        <v/>
      </c>
      <c r="E686" s="120">
        <f>$C686+$D686</f>
        <v/>
      </c>
      <c r="F686" s="120">
        <f>IF($B686=0,0,$E686/$B686)</f>
        <v/>
      </c>
    </row>
    <row r="687" ht="15" customHeight="1" s="68">
      <c r="A687" s="114" t="n"/>
      <c r="B687" s="120">
        <f>SUMIFS(tblDonem[Gelir (₺)],tblDonem[Dönem],$A687)</f>
        <v/>
      </c>
      <c r="C687" s="120">
        <f>SUMIFS(tblDonem[KDV Tutarı (₺)],tblDonem[Dönem],$A687)-SUMIFS(tblDonem[KDV Yüklenimi (₺)],tblDonem[Dönem],$A687)</f>
        <v/>
      </c>
      <c r="D687" s="120">
        <f>SUMIFS(tblDonem[Vergi Karşılığı (₺)],tblDonem[Dönem],$A687)</f>
        <v/>
      </c>
      <c r="E687" s="120">
        <f>$C687+$D687</f>
        <v/>
      </c>
      <c r="F687" s="120">
        <f>IF($B687=0,0,$E687/$B687)</f>
        <v/>
      </c>
    </row>
    <row r="688" ht="15" customHeight="1" s="68">
      <c r="A688" s="114" t="n"/>
      <c r="B688" s="120">
        <f>SUMIFS(tblDonem[Gelir (₺)],tblDonem[Dönem],$A688)</f>
        <v/>
      </c>
      <c r="C688" s="120">
        <f>SUMIFS(tblDonem[KDV Tutarı (₺)],tblDonem[Dönem],$A688)-SUMIFS(tblDonem[KDV Yüklenimi (₺)],tblDonem[Dönem],$A688)</f>
        <v/>
      </c>
      <c r="D688" s="120">
        <f>SUMIFS(tblDonem[Vergi Karşılığı (₺)],tblDonem[Dönem],$A688)</f>
        <v/>
      </c>
      <c r="E688" s="120">
        <f>$C688+$D688</f>
        <v/>
      </c>
      <c r="F688" s="120">
        <f>IF($B688=0,0,$E688/$B688)</f>
        <v/>
      </c>
    </row>
    <row r="689" ht="15" customHeight="1" s="68">
      <c r="A689" s="114" t="n"/>
      <c r="B689" s="120">
        <f>SUMIFS(tblDonem[Gelir (₺)],tblDonem[Dönem],$A689)</f>
        <v/>
      </c>
      <c r="C689" s="120">
        <f>SUMIFS(tblDonem[KDV Tutarı (₺)],tblDonem[Dönem],$A689)-SUMIFS(tblDonem[KDV Yüklenimi (₺)],tblDonem[Dönem],$A689)</f>
        <v/>
      </c>
      <c r="D689" s="120">
        <f>SUMIFS(tblDonem[Vergi Karşılığı (₺)],tblDonem[Dönem],$A689)</f>
        <v/>
      </c>
      <c r="E689" s="120">
        <f>$C689+$D689</f>
        <v/>
      </c>
      <c r="F689" s="120">
        <f>IF($B689=0,0,$E689/$B689)</f>
        <v/>
      </c>
    </row>
    <row r="690" ht="15" customHeight="1" s="68">
      <c r="A690" s="114" t="n"/>
      <c r="B690" s="120">
        <f>SUMIFS(tblDonem[Gelir (₺)],tblDonem[Dönem],$A690)</f>
        <v/>
      </c>
      <c r="C690" s="120">
        <f>SUMIFS(tblDonem[KDV Tutarı (₺)],tblDonem[Dönem],$A690)-SUMIFS(tblDonem[KDV Yüklenimi (₺)],tblDonem[Dönem],$A690)</f>
        <v/>
      </c>
      <c r="D690" s="120">
        <f>SUMIFS(tblDonem[Vergi Karşılığı (₺)],tblDonem[Dönem],$A690)</f>
        <v/>
      </c>
      <c r="E690" s="120">
        <f>$C690+$D690</f>
        <v/>
      </c>
      <c r="F690" s="120">
        <f>IF($B690=0,0,$E690/$B690)</f>
        <v/>
      </c>
    </row>
    <row r="691" ht="15" customHeight="1" s="68">
      <c r="A691" s="114" t="n"/>
      <c r="B691" s="120">
        <f>SUMIFS(tblDonem[Gelir (₺)],tblDonem[Dönem],$A691)</f>
        <v/>
      </c>
      <c r="C691" s="120">
        <f>SUMIFS(tblDonem[KDV Tutarı (₺)],tblDonem[Dönem],$A691)-SUMIFS(tblDonem[KDV Yüklenimi (₺)],tblDonem[Dönem],$A691)</f>
        <v/>
      </c>
      <c r="D691" s="120">
        <f>SUMIFS(tblDonem[Vergi Karşılığı (₺)],tblDonem[Dönem],$A691)</f>
        <v/>
      </c>
      <c r="E691" s="120">
        <f>$C691+$D691</f>
        <v/>
      </c>
      <c r="F691" s="120">
        <f>IF($B691=0,0,$E691/$B691)</f>
        <v/>
      </c>
    </row>
    <row r="692" ht="15" customHeight="1" s="68">
      <c r="A692" s="114" t="n"/>
      <c r="B692" s="120">
        <f>SUMIFS(tblDonem[Gelir (₺)],tblDonem[Dönem],$A692)</f>
        <v/>
      </c>
      <c r="C692" s="120">
        <f>SUMIFS(tblDonem[KDV Tutarı (₺)],tblDonem[Dönem],$A692)-SUMIFS(tblDonem[KDV Yüklenimi (₺)],tblDonem[Dönem],$A692)</f>
        <v/>
      </c>
      <c r="D692" s="120">
        <f>SUMIFS(tblDonem[Vergi Karşılığı (₺)],tblDonem[Dönem],$A692)</f>
        <v/>
      </c>
      <c r="E692" s="120">
        <f>$C692+$D692</f>
        <v/>
      </c>
      <c r="F692" s="120">
        <f>IF($B692=0,0,$E692/$B692)</f>
        <v/>
      </c>
    </row>
    <row r="693" ht="15" customHeight="1" s="68">
      <c r="A693" s="114" t="n"/>
      <c r="B693" s="120">
        <f>SUMIFS(tblDonem[Gelir (₺)],tblDonem[Dönem],$A693)</f>
        <v/>
      </c>
      <c r="C693" s="120">
        <f>SUMIFS(tblDonem[KDV Tutarı (₺)],tblDonem[Dönem],$A693)-SUMIFS(tblDonem[KDV Yüklenimi (₺)],tblDonem[Dönem],$A693)</f>
        <v/>
      </c>
      <c r="D693" s="120">
        <f>SUMIFS(tblDonem[Vergi Karşılığı (₺)],tblDonem[Dönem],$A693)</f>
        <v/>
      </c>
      <c r="E693" s="120">
        <f>$C693+$D693</f>
        <v/>
      </c>
      <c r="F693" s="120">
        <f>IF($B693=0,0,$E693/$B693)</f>
        <v/>
      </c>
    </row>
    <row r="694" ht="15" customHeight="1" s="68">
      <c r="A694" s="114" t="n"/>
      <c r="B694" s="120">
        <f>SUMIFS(tblDonem[Gelir (₺)],tblDonem[Dönem],$A694)</f>
        <v/>
      </c>
      <c r="C694" s="120">
        <f>SUMIFS(tblDonem[KDV Tutarı (₺)],tblDonem[Dönem],$A694)-SUMIFS(tblDonem[KDV Yüklenimi (₺)],tblDonem[Dönem],$A694)</f>
        <v/>
      </c>
      <c r="D694" s="120">
        <f>SUMIFS(tblDonem[Vergi Karşılığı (₺)],tblDonem[Dönem],$A694)</f>
        <v/>
      </c>
      <c r="E694" s="120">
        <f>$C694+$D694</f>
        <v/>
      </c>
      <c r="F694" s="120">
        <f>IF($B694=0,0,$E694/$B694)</f>
        <v/>
      </c>
    </row>
    <row r="695" ht="15" customHeight="1" s="68">
      <c r="A695" s="114" t="n"/>
      <c r="B695" s="120">
        <f>SUMIFS(tblDonem[Gelir (₺)],tblDonem[Dönem],$A695)</f>
        <v/>
      </c>
      <c r="C695" s="120">
        <f>SUMIFS(tblDonem[KDV Tutarı (₺)],tblDonem[Dönem],$A695)-SUMIFS(tblDonem[KDV Yüklenimi (₺)],tblDonem[Dönem],$A695)</f>
        <v/>
      </c>
      <c r="D695" s="120">
        <f>SUMIFS(tblDonem[Vergi Karşılığı (₺)],tblDonem[Dönem],$A695)</f>
        <v/>
      </c>
      <c r="E695" s="120">
        <f>$C695+$D695</f>
        <v/>
      </c>
      <c r="F695" s="120">
        <f>IF($B695=0,0,$E695/$B695)</f>
        <v/>
      </c>
    </row>
    <row r="696" ht="15" customHeight="1" s="68">
      <c r="A696" s="114" t="n"/>
      <c r="B696" s="120">
        <f>SUMIFS(tblDonem[Gelir (₺)],tblDonem[Dönem],$A696)</f>
        <v/>
      </c>
      <c r="C696" s="120">
        <f>SUMIFS(tblDonem[KDV Tutarı (₺)],tblDonem[Dönem],$A696)-SUMIFS(tblDonem[KDV Yüklenimi (₺)],tblDonem[Dönem],$A696)</f>
        <v/>
      </c>
      <c r="D696" s="120">
        <f>SUMIFS(tblDonem[Vergi Karşılığı (₺)],tblDonem[Dönem],$A696)</f>
        <v/>
      </c>
      <c r="E696" s="120">
        <f>$C696+$D696</f>
        <v/>
      </c>
      <c r="F696" s="120">
        <f>IF($B696=0,0,$E696/$B696)</f>
        <v/>
      </c>
    </row>
    <row r="697" ht="15" customHeight="1" s="68">
      <c r="A697" s="114" t="n"/>
      <c r="B697" s="120">
        <f>SUMIFS(tblDonem[Gelir (₺)],tblDonem[Dönem],$A697)</f>
        <v/>
      </c>
      <c r="C697" s="120">
        <f>SUMIFS(tblDonem[KDV Tutarı (₺)],tblDonem[Dönem],$A697)-SUMIFS(tblDonem[KDV Yüklenimi (₺)],tblDonem[Dönem],$A697)</f>
        <v/>
      </c>
      <c r="D697" s="120">
        <f>SUMIFS(tblDonem[Vergi Karşılığı (₺)],tblDonem[Dönem],$A697)</f>
        <v/>
      </c>
      <c r="E697" s="120">
        <f>$C697+$D697</f>
        <v/>
      </c>
      <c r="F697" s="120">
        <f>IF($B697=0,0,$E697/$B697)</f>
        <v/>
      </c>
    </row>
    <row r="698" ht="15" customHeight="1" s="68">
      <c r="A698" s="114" t="n"/>
      <c r="B698" s="120">
        <f>SUMIFS(tblDonem[Gelir (₺)],tblDonem[Dönem],$A698)</f>
        <v/>
      </c>
      <c r="C698" s="120">
        <f>SUMIFS(tblDonem[KDV Tutarı (₺)],tblDonem[Dönem],$A698)-SUMIFS(tblDonem[KDV Yüklenimi (₺)],tblDonem[Dönem],$A698)</f>
        <v/>
      </c>
      <c r="D698" s="120">
        <f>SUMIFS(tblDonem[Vergi Karşılığı (₺)],tblDonem[Dönem],$A698)</f>
        <v/>
      </c>
      <c r="E698" s="120">
        <f>$C698+$D698</f>
        <v/>
      </c>
      <c r="F698" s="120">
        <f>IF($B698=0,0,$E698/$B698)</f>
        <v/>
      </c>
    </row>
    <row r="699" ht="15" customHeight="1" s="68">
      <c r="A699" s="114" t="n"/>
      <c r="B699" s="120">
        <f>SUMIFS(tblDonem[Gelir (₺)],tblDonem[Dönem],$A699)</f>
        <v/>
      </c>
      <c r="C699" s="120">
        <f>SUMIFS(tblDonem[KDV Tutarı (₺)],tblDonem[Dönem],$A699)-SUMIFS(tblDonem[KDV Yüklenimi (₺)],tblDonem[Dönem],$A699)</f>
        <v/>
      </c>
      <c r="D699" s="120">
        <f>SUMIFS(tblDonem[Vergi Karşılığı (₺)],tblDonem[Dönem],$A699)</f>
        <v/>
      </c>
      <c r="E699" s="120">
        <f>$C699+$D699</f>
        <v/>
      </c>
      <c r="F699" s="120">
        <f>IF($B699=0,0,$E699/$B699)</f>
        <v/>
      </c>
    </row>
    <row r="700" ht="15" customHeight="1" s="68">
      <c r="A700" s="114" t="n"/>
      <c r="B700" s="120">
        <f>SUMIFS(tblDonem[Gelir (₺)],tblDonem[Dönem],$A700)</f>
        <v/>
      </c>
      <c r="C700" s="120">
        <f>SUMIFS(tblDonem[KDV Tutarı (₺)],tblDonem[Dönem],$A700)-SUMIFS(tblDonem[KDV Yüklenimi (₺)],tblDonem[Dönem],$A700)</f>
        <v/>
      </c>
      <c r="D700" s="120">
        <f>SUMIFS(tblDonem[Vergi Karşılığı (₺)],tblDonem[Dönem],$A700)</f>
        <v/>
      </c>
      <c r="E700" s="120">
        <f>$C700+$D700</f>
        <v/>
      </c>
      <c r="F700" s="120">
        <f>IF($B700=0,0,$E700/$B700)</f>
        <v/>
      </c>
    </row>
    <row r="701" ht="15" customHeight="1" s="68">
      <c r="A701" s="114" t="n"/>
      <c r="B701" s="120">
        <f>SUMIFS(tblDonem[Gelir (₺)],tblDonem[Dönem],$A701)</f>
        <v/>
      </c>
      <c r="C701" s="120">
        <f>SUMIFS(tblDonem[KDV Tutarı (₺)],tblDonem[Dönem],$A701)-SUMIFS(tblDonem[KDV Yüklenimi (₺)],tblDonem[Dönem],$A701)</f>
        <v/>
      </c>
      <c r="D701" s="120">
        <f>SUMIFS(tblDonem[Vergi Karşılığı (₺)],tblDonem[Dönem],$A701)</f>
        <v/>
      </c>
      <c r="E701" s="120">
        <f>$C701+$D701</f>
        <v/>
      </c>
      <c r="F701" s="120">
        <f>IF($B701=0,0,$E701/$B701)</f>
        <v/>
      </c>
    </row>
    <row r="702" ht="15" customHeight="1" s="68">
      <c r="A702" s="114" t="n"/>
      <c r="B702" s="120">
        <f>SUMIFS(tblDonem[Gelir (₺)],tblDonem[Dönem],$A702)</f>
        <v/>
      </c>
      <c r="C702" s="120">
        <f>SUMIFS(tblDonem[KDV Tutarı (₺)],tblDonem[Dönem],$A702)-SUMIFS(tblDonem[KDV Yüklenimi (₺)],tblDonem[Dönem],$A702)</f>
        <v/>
      </c>
      <c r="D702" s="120">
        <f>SUMIFS(tblDonem[Vergi Karşılığı (₺)],tblDonem[Dönem],$A702)</f>
        <v/>
      </c>
      <c r="E702" s="120">
        <f>$C702+$D702</f>
        <v/>
      </c>
      <c r="F702" s="120">
        <f>IF($B702=0,0,$E702/$B702)</f>
        <v/>
      </c>
    </row>
    <row r="703" ht="15" customHeight="1" s="68">
      <c r="A703" s="114" t="n"/>
      <c r="B703" s="120">
        <f>SUMIFS(tblDonem[Gelir (₺)],tblDonem[Dönem],$A703)</f>
        <v/>
      </c>
      <c r="C703" s="120">
        <f>SUMIFS(tblDonem[KDV Tutarı (₺)],tblDonem[Dönem],$A703)-SUMIFS(tblDonem[KDV Yüklenimi (₺)],tblDonem[Dönem],$A703)</f>
        <v/>
      </c>
      <c r="D703" s="120">
        <f>SUMIFS(tblDonem[Vergi Karşılığı (₺)],tblDonem[Dönem],$A703)</f>
        <v/>
      </c>
      <c r="E703" s="120">
        <f>$C703+$D703</f>
        <v/>
      </c>
      <c r="F703" s="120">
        <f>IF($B703=0,0,$E703/$B703)</f>
        <v/>
      </c>
    </row>
    <row r="704" ht="15" customHeight="1" s="68">
      <c r="A704" s="114" t="n"/>
      <c r="B704" s="120">
        <f>SUMIFS(tblDonem[Gelir (₺)],tblDonem[Dönem],$A704)</f>
        <v/>
      </c>
      <c r="C704" s="120">
        <f>SUMIFS(tblDonem[KDV Tutarı (₺)],tblDonem[Dönem],$A704)-SUMIFS(tblDonem[KDV Yüklenimi (₺)],tblDonem[Dönem],$A704)</f>
        <v/>
      </c>
      <c r="D704" s="120">
        <f>SUMIFS(tblDonem[Vergi Karşılığı (₺)],tblDonem[Dönem],$A704)</f>
        <v/>
      </c>
      <c r="E704" s="120">
        <f>$C704+$D704</f>
        <v/>
      </c>
      <c r="F704" s="120">
        <f>IF($B704=0,0,$E704/$B704)</f>
        <v/>
      </c>
    </row>
    <row r="705" ht="15" customHeight="1" s="68">
      <c r="A705" s="114" t="n"/>
      <c r="B705" s="120">
        <f>SUMIFS(tblDonem[Gelir (₺)],tblDonem[Dönem],$A705)</f>
        <v/>
      </c>
      <c r="C705" s="120">
        <f>SUMIFS(tblDonem[KDV Tutarı (₺)],tblDonem[Dönem],$A705)-SUMIFS(tblDonem[KDV Yüklenimi (₺)],tblDonem[Dönem],$A705)</f>
        <v/>
      </c>
      <c r="D705" s="120">
        <f>SUMIFS(tblDonem[Vergi Karşılığı (₺)],tblDonem[Dönem],$A705)</f>
        <v/>
      </c>
      <c r="E705" s="120">
        <f>$C705+$D705</f>
        <v/>
      </c>
      <c r="F705" s="120">
        <f>IF($B705=0,0,$E705/$B705)</f>
        <v/>
      </c>
    </row>
    <row r="706" ht="15" customHeight="1" s="68">
      <c r="A706" s="114" t="n"/>
      <c r="B706" s="120">
        <f>SUMIFS(tblDonem[Gelir (₺)],tblDonem[Dönem],$A706)</f>
        <v/>
      </c>
      <c r="C706" s="120">
        <f>SUMIFS(tblDonem[KDV Tutarı (₺)],tblDonem[Dönem],$A706)-SUMIFS(tblDonem[KDV Yüklenimi (₺)],tblDonem[Dönem],$A706)</f>
        <v/>
      </c>
      <c r="D706" s="120">
        <f>SUMIFS(tblDonem[Vergi Karşılığı (₺)],tblDonem[Dönem],$A706)</f>
        <v/>
      </c>
      <c r="E706" s="120">
        <f>$C706+$D706</f>
        <v/>
      </c>
      <c r="F706" s="120">
        <f>IF($B706=0,0,$E706/$B706)</f>
        <v/>
      </c>
    </row>
    <row r="707" ht="15" customHeight="1" s="68">
      <c r="A707" s="114" t="n"/>
      <c r="B707" s="120">
        <f>SUMIFS(tblDonem[Gelir (₺)],tblDonem[Dönem],$A707)</f>
        <v/>
      </c>
      <c r="C707" s="120">
        <f>SUMIFS(tblDonem[KDV Tutarı (₺)],tblDonem[Dönem],$A707)-SUMIFS(tblDonem[KDV Yüklenimi (₺)],tblDonem[Dönem],$A707)</f>
        <v/>
      </c>
      <c r="D707" s="120">
        <f>SUMIFS(tblDonem[Vergi Karşılığı (₺)],tblDonem[Dönem],$A707)</f>
        <v/>
      </c>
      <c r="E707" s="120">
        <f>$C707+$D707</f>
        <v/>
      </c>
      <c r="F707" s="120">
        <f>IF($B707=0,0,$E707/$B707)</f>
        <v/>
      </c>
    </row>
    <row r="708" ht="15" customHeight="1" s="68">
      <c r="A708" s="114" t="n"/>
      <c r="B708" s="120">
        <f>SUMIFS(tblDonem[Gelir (₺)],tblDonem[Dönem],$A708)</f>
        <v/>
      </c>
      <c r="C708" s="120">
        <f>SUMIFS(tblDonem[KDV Tutarı (₺)],tblDonem[Dönem],$A708)-SUMIFS(tblDonem[KDV Yüklenimi (₺)],tblDonem[Dönem],$A708)</f>
        <v/>
      </c>
      <c r="D708" s="120">
        <f>SUMIFS(tblDonem[Vergi Karşılığı (₺)],tblDonem[Dönem],$A708)</f>
        <v/>
      </c>
      <c r="E708" s="120">
        <f>$C708+$D708</f>
        <v/>
      </c>
      <c r="F708" s="120">
        <f>IF($B708=0,0,$E708/$B708)</f>
        <v/>
      </c>
    </row>
    <row r="709" ht="15" customHeight="1" s="68">
      <c r="A709" s="114" t="n"/>
      <c r="B709" s="120">
        <f>SUMIFS(tblDonem[Gelir (₺)],tblDonem[Dönem],$A709)</f>
        <v/>
      </c>
      <c r="C709" s="120">
        <f>SUMIFS(tblDonem[KDV Tutarı (₺)],tblDonem[Dönem],$A709)-SUMIFS(tblDonem[KDV Yüklenimi (₺)],tblDonem[Dönem],$A709)</f>
        <v/>
      </c>
      <c r="D709" s="120">
        <f>SUMIFS(tblDonem[Vergi Karşılığı (₺)],tblDonem[Dönem],$A709)</f>
        <v/>
      </c>
      <c r="E709" s="120">
        <f>$C709+$D709</f>
        <v/>
      </c>
      <c r="F709" s="120">
        <f>IF($B709=0,0,$E709/$B709)</f>
        <v/>
      </c>
    </row>
    <row r="710" ht="15" customHeight="1" s="68">
      <c r="A710" s="114" t="n"/>
      <c r="B710" s="120">
        <f>SUMIFS(tblDonem[Gelir (₺)],tblDonem[Dönem],$A710)</f>
        <v/>
      </c>
      <c r="C710" s="120">
        <f>SUMIFS(tblDonem[KDV Tutarı (₺)],tblDonem[Dönem],$A710)-SUMIFS(tblDonem[KDV Yüklenimi (₺)],tblDonem[Dönem],$A710)</f>
        <v/>
      </c>
      <c r="D710" s="120">
        <f>SUMIFS(tblDonem[Vergi Karşılığı (₺)],tblDonem[Dönem],$A710)</f>
        <v/>
      </c>
      <c r="E710" s="120">
        <f>$C710+$D710</f>
        <v/>
      </c>
      <c r="F710" s="120">
        <f>IF($B710=0,0,$E710/$B710)</f>
        <v/>
      </c>
    </row>
    <row r="711" ht="15" customHeight="1" s="68">
      <c r="A711" s="114" t="n"/>
      <c r="B711" s="120">
        <f>SUMIFS(tblDonem[Gelir (₺)],tblDonem[Dönem],$A711)</f>
        <v/>
      </c>
      <c r="C711" s="120">
        <f>SUMIFS(tblDonem[KDV Tutarı (₺)],tblDonem[Dönem],$A711)-SUMIFS(tblDonem[KDV Yüklenimi (₺)],tblDonem[Dönem],$A711)</f>
        <v/>
      </c>
      <c r="D711" s="120">
        <f>SUMIFS(tblDonem[Vergi Karşılığı (₺)],tblDonem[Dönem],$A711)</f>
        <v/>
      </c>
      <c r="E711" s="120">
        <f>$C711+$D711</f>
        <v/>
      </c>
      <c r="F711" s="120">
        <f>IF($B711=0,0,$E711/$B711)</f>
        <v/>
      </c>
    </row>
    <row r="712" ht="15" customHeight="1" s="68">
      <c r="A712" s="114" t="n"/>
      <c r="B712" s="120">
        <f>SUMIFS(tblDonem[Gelir (₺)],tblDonem[Dönem],$A712)</f>
        <v/>
      </c>
      <c r="C712" s="120">
        <f>SUMIFS(tblDonem[KDV Tutarı (₺)],tblDonem[Dönem],$A712)-SUMIFS(tblDonem[KDV Yüklenimi (₺)],tblDonem[Dönem],$A712)</f>
        <v/>
      </c>
      <c r="D712" s="120">
        <f>SUMIFS(tblDonem[Vergi Karşılığı (₺)],tblDonem[Dönem],$A712)</f>
        <v/>
      </c>
      <c r="E712" s="120">
        <f>$C712+$D712</f>
        <v/>
      </c>
      <c r="F712" s="120">
        <f>IF($B712=0,0,$E712/$B712)</f>
        <v/>
      </c>
    </row>
    <row r="713" ht="15" customHeight="1" s="68">
      <c r="A713" s="114" t="n"/>
      <c r="B713" s="120">
        <f>SUMIFS(tblDonem[Gelir (₺)],tblDonem[Dönem],$A713)</f>
        <v/>
      </c>
      <c r="C713" s="120">
        <f>SUMIFS(tblDonem[KDV Tutarı (₺)],tblDonem[Dönem],$A713)-SUMIFS(tblDonem[KDV Yüklenimi (₺)],tblDonem[Dönem],$A713)</f>
        <v/>
      </c>
      <c r="D713" s="120">
        <f>SUMIFS(tblDonem[Vergi Karşılığı (₺)],tblDonem[Dönem],$A713)</f>
        <v/>
      </c>
      <c r="E713" s="120">
        <f>$C713+$D713</f>
        <v/>
      </c>
      <c r="F713" s="120">
        <f>IF($B713=0,0,$E713/$B713)</f>
        <v/>
      </c>
    </row>
    <row r="714" ht="15" customHeight="1" s="68">
      <c r="A714" s="114" t="n"/>
      <c r="B714" s="120">
        <f>SUMIFS(tblDonem[Gelir (₺)],tblDonem[Dönem],$A714)</f>
        <v/>
      </c>
      <c r="C714" s="120">
        <f>SUMIFS(tblDonem[KDV Tutarı (₺)],tblDonem[Dönem],$A714)-SUMIFS(tblDonem[KDV Yüklenimi (₺)],tblDonem[Dönem],$A714)</f>
        <v/>
      </c>
      <c r="D714" s="120">
        <f>SUMIFS(tblDonem[Vergi Karşılığı (₺)],tblDonem[Dönem],$A714)</f>
        <v/>
      </c>
      <c r="E714" s="120">
        <f>$C714+$D714</f>
        <v/>
      </c>
      <c r="F714" s="120">
        <f>IF($B714=0,0,$E714/$B714)</f>
        <v/>
      </c>
    </row>
    <row r="715" ht="15" customHeight="1" s="68">
      <c r="A715" s="114" t="n"/>
      <c r="B715" s="120">
        <f>SUMIFS(tblDonem[Gelir (₺)],tblDonem[Dönem],$A715)</f>
        <v/>
      </c>
      <c r="C715" s="120">
        <f>SUMIFS(tblDonem[KDV Tutarı (₺)],tblDonem[Dönem],$A715)-SUMIFS(tblDonem[KDV Yüklenimi (₺)],tblDonem[Dönem],$A715)</f>
        <v/>
      </c>
      <c r="D715" s="120">
        <f>SUMIFS(tblDonem[Vergi Karşılığı (₺)],tblDonem[Dönem],$A715)</f>
        <v/>
      </c>
      <c r="E715" s="120">
        <f>$C715+$D715</f>
        <v/>
      </c>
      <c r="F715" s="120">
        <f>IF($B715=0,0,$E715/$B715)</f>
        <v/>
      </c>
    </row>
    <row r="716" ht="15" customHeight="1" s="68">
      <c r="A716" s="114" t="n"/>
      <c r="B716" s="120">
        <f>SUMIFS(tblDonem[Gelir (₺)],tblDonem[Dönem],$A716)</f>
        <v/>
      </c>
      <c r="C716" s="120">
        <f>SUMIFS(tblDonem[KDV Tutarı (₺)],tblDonem[Dönem],$A716)-SUMIFS(tblDonem[KDV Yüklenimi (₺)],tblDonem[Dönem],$A716)</f>
        <v/>
      </c>
      <c r="D716" s="120">
        <f>SUMIFS(tblDonem[Vergi Karşılığı (₺)],tblDonem[Dönem],$A716)</f>
        <v/>
      </c>
      <c r="E716" s="120">
        <f>$C716+$D716</f>
        <v/>
      </c>
      <c r="F716" s="120">
        <f>IF($B716=0,0,$E716/$B716)</f>
        <v/>
      </c>
    </row>
    <row r="717" ht="15" customHeight="1" s="68">
      <c r="A717" s="114" t="n"/>
      <c r="B717" s="120">
        <f>SUMIFS(tblDonem[Gelir (₺)],tblDonem[Dönem],$A717)</f>
        <v/>
      </c>
      <c r="C717" s="120">
        <f>SUMIFS(tblDonem[KDV Tutarı (₺)],tblDonem[Dönem],$A717)-SUMIFS(tblDonem[KDV Yüklenimi (₺)],tblDonem[Dönem],$A717)</f>
        <v/>
      </c>
      <c r="D717" s="120">
        <f>SUMIFS(tblDonem[Vergi Karşılığı (₺)],tblDonem[Dönem],$A717)</f>
        <v/>
      </c>
      <c r="E717" s="120">
        <f>$C717+$D717</f>
        <v/>
      </c>
      <c r="F717" s="120">
        <f>IF($B717=0,0,$E717/$B717)</f>
        <v/>
      </c>
    </row>
    <row r="718" ht="15" customHeight="1" s="68">
      <c r="A718" s="114" t="n"/>
      <c r="B718" s="120">
        <f>SUMIFS(tblDonem[Gelir (₺)],tblDonem[Dönem],$A718)</f>
        <v/>
      </c>
      <c r="C718" s="120">
        <f>SUMIFS(tblDonem[KDV Tutarı (₺)],tblDonem[Dönem],$A718)-SUMIFS(tblDonem[KDV Yüklenimi (₺)],tblDonem[Dönem],$A718)</f>
        <v/>
      </c>
      <c r="D718" s="120">
        <f>SUMIFS(tblDonem[Vergi Karşılığı (₺)],tblDonem[Dönem],$A718)</f>
        <v/>
      </c>
      <c r="E718" s="120">
        <f>$C718+$D718</f>
        <v/>
      </c>
      <c r="F718" s="120">
        <f>IF($B718=0,0,$E718/$B718)</f>
        <v/>
      </c>
    </row>
    <row r="719" ht="15" customHeight="1" s="68">
      <c r="A719" s="114" t="n"/>
      <c r="B719" s="120">
        <f>SUMIFS(tblDonem[Gelir (₺)],tblDonem[Dönem],$A719)</f>
        <v/>
      </c>
      <c r="C719" s="120">
        <f>SUMIFS(tblDonem[KDV Tutarı (₺)],tblDonem[Dönem],$A719)-SUMIFS(tblDonem[KDV Yüklenimi (₺)],tblDonem[Dönem],$A719)</f>
        <v/>
      </c>
      <c r="D719" s="120">
        <f>SUMIFS(tblDonem[Vergi Karşılığı (₺)],tblDonem[Dönem],$A719)</f>
        <v/>
      </c>
      <c r="E719" s="120">
        <f>$C719+$D719</f>
        <v/>
      </c>
      <c r="F719" s="120">
        <f>IF($B719=0,0,$E719/$B719)</f>
        <v/>
      </c>
    </row>
    <row r="720" ht="15" customHeight="1" s="68">
      <c r="A720" s="114" t="n"/>
      <c r="B720" s="120">
        <f>SUMIFS(tblDonem[Gelir (₺)],tblDonem[Dönem],$A720)</f>
        <v/>
      </c>
      <c r="C720" s="120">
        <f>SUMIFS(tblDonem[KDV Tutarı (₺)],tblDonem[Dönem],$A720)-SUMIFS(tblDonem[KDV Yüklenimi (₺)],tblDonem[Dönem],$A720)</f>
        <v/>
      </c>
      <c r="D720" s="120">
        <f>SUMIFS(tblDonem[Vergi Karşılığı (₺)],tblDonem[Dönem],$A720)</f>
        <v/>
      </c>
      <c r="E720" s="120">
        <f>$C720+$D720</f>
        <v/>
      </c>
      <c r="F720" s="120">
        <f>IF($B720=0,0,$E720/$B720)</f>
        <v/>
      </c>
    </row>
    <row r="721" ht="15" customHeight="1" s="68">
      <c r="A721" s="114" t="n"/>
      <c r="B721" s="120">
        <f>SUMIFS(tblDonem[Gelir (₺)],tblDonem[Dönem],$A721)</f>
        <v/>
      </c>
      <c r="C721" s="120">
        <f>SUMIFS(tblDonem[KDV Tutarı (₺)],tblDonem[Dönem],$A721)-SUMIFS(tblDonem[KDV Yüklenimi (₺)],tblDonem[Dönem],$A721)</f>
        <v/>
      </c>
      <c r="D721" s="120">
        <f>SUMIFS(tblDonem[Vergi Karşılığı (₺)],tblDonem[Dönem],$A721)</f>
        <v/>
      </c>
      <c r="E721" s="120">
        <f>$C721+$D721</f>
        <v/>
      </c>
      <c r="F721" s="120">
        <f>IF($B721=0,0,$E721/$B721)</f>
        <v/>
      </c>
    </row>
    <row r="722" ht="15" customHeight="1" s="68">
      <c r="A722" s="114" t="n"/>
      <c r="B722" s="120">
        <f>SUMIFS(tblDonem[Gelir (₺)],tblDonem[Dönem],$A722)</f>
        <v/>
      </c>
      <c r="C722" s="120">
        <f>SUMIFS(tblDonem[KDV Tutarı (₺)],tblDonem[Dönem],$A722)-SUMIFS(tblDonem[KDV Yüklenimi (₺)],tblDonem[Dönem],$A722)</f>
        <v/>
      </c>
      <c r="D722" s="120">
        <f>SUMIFS(tblDonem[Vergi Karşılığı (₺)],tblDonem[Dönem],$A722)</f>
        <v/>
      </c>
      <c r="E722" s="120">
        <f>$C722+$D722</f>
        <v/>
      </c>
      <c r="F722" s="120">
        <f>IF($B722=0,0,$E722/$B722)</f>
        <v/>
      </c>
    </row>
    <row r="723" ht="15" customHeight="1" s="68">
      <c r="A723" s="114" t="n"/>
      <c r="B723" s="120">
        <f>SUMIFS(tblDonem[Gelir (₺)],tblDonem[Dönem],$A723)</f>
        <v/>
      </c>
      <c r="C723" s="120">
        <f>SUMIFS(tblDonem[KDV Tutarı (₺)],tblDonem[Dönem],$A723)-SUMIFS(tblDonem[KDV Yüklenimi (₺)],tblDonem[Dönem],$A723)</f>
        <v/>
      </c>
      <c r="D723" s="120">
        <f>SUMIFS(tblDonem[Vergi Karşılığı (₺)],tblDonem[Dönem],$A723)</f>
        <v/>
      </c>
      <c r="E723" s="120">
        <f>$C723+$D723</f>
        <v/>
      </c>
      <c r="F723" s="120">
        <f>IF($B723=0,0,$E723/$B723)</f>
        <v/>
      </c>
    </row>
    <row r="724" ht="15" customHeight="1" s="68">
      <c r="A724" s="114" t="n"/>
      <c r="B724" s="120">
        <f>SUMIFS(tblDonem[Gelir (₺)],tblDonem[Dönem],$A724)</f>
        <v/>
      </c>
      <c r="C724" s="120">
        <f>SUMIFS(tblDonem[KDV Tutarı (₺)],tblDonem[Dönem],$A724)-SUMIFS(tblDonem[KDV Yüklenimi (₺)],tblDonem[Dönem],$A724)</f>
        <v/>
      </c>
      <c r="D724" s="120">
        <f>SUMIFS(tblDonem[Vergi Karşılığı (₺)],tblDonem[Dönem],$A724)</f>
        <v/>
      </c>
      <c r="E724" s="120">
        <f>$C724+$D724</f>
        <v/>
      </c>
      <c r="F724" s="120">
        <f>IF($B724=0,0,$E724/$B724)</f>
        <v/>
      </c>
    </row>
    <row r="725" ht="15" customHeight="1" s="68">
      <c r="A725" s="114" t="n"/>
      <c r="B725" s="120">
        <f>SUMIFS(tblDonem[Gelir (₺)],tblDonem[Dönem],$A725)</f>
        <v/>
      </c>
      <c r="C725" s="120">
        <f>SUMIFS(tblDonem[KDV Tutarı (₺)],tblDonem[Dönem],$A725)-SUMIFS(tblDonem[KDV Yüklenimi (₺)],tblDonem[Dönem],$A725)</f>
        <v/>
      </c>
      <c r="D725" s="120">
        <f>SUMIFS(tblDonem[Vergi Karşılığı (₺)],tblDonem[Dönem],$A725)</f>
        <v/>
      </c>
      <c r="E725" s="120">
        <f>$C725+$D725</f>
        <v/>
      </c>
      <c r="F725" s="120">
        <f>IF($B725=0,0,$E725/$B725)</f>
        <v/>
      </c>
    </row>
    <row r="726" ht="15" customHeight="1" s="68">
      <c r="A726" s="114" t="n"/>
      <c r="B726" s="120">
        <f>SUMIFS(tblDonem[Gelir (₺)],tblDonem[Dönem],$A726)</f>
        <v/>
      </c>
      <c r="C726" s="120">
        <f>SUMIFS(tblDonem[KDV Tutarı (₺)],tblDonem[Dönem],$A726)-SUMIFS(tblDonem[KDV Yüklenimi (₺)],tblDonem[Dönem],$A726)</f>
        <v/>
      </c>
      <c r="D726" s="120">
        <f>SUMIFS(tblDonem[Vergi Karşılığı (₺)],tblDonem[Dönem],$A726)</f>
        <v/>
      </c>
      <c r="E726" s="120">
        <f>$C726+$D726</f>
        <v/>
      </c>
      <c r="F726" s="120">
        <f>IF($B726=0,0,$E726/$B726)</f>
        <v/>
      </c>
    </row>
    <row r="727" ht="15" customHeight="1" s="68">
      <c r="A727" s="114" t="n"/>
      <c r="B727" s="120">
        <f>SUMIFS(tblDonem[Gelir (₺)],tblDonem[Dönem],$A727)</f>
        <v/>
      </c>
      <c r="C727" s="120">
        <f>SUMIFS(tblDonem[KDV Tutarı (₺)],tblDonem[Dönem],$A727)-SUMIFS(tblDonem[KDV Yüklenimi (₺)],tblDonem[Dönem],$A727)</f>
        <v/>
      </c>
      <c r="D727" s="120">
        <f>SUMIFS(tblDonem[Vergi Karşılığı (₺)],tblDonem[Dönem],$A727)</f>
        <v/>
      </c>
      <c r="E727" s="120">
        <f>$C727+$D727</f>
        <v/>
      </c>
      <c r="F727" s="120">
        <f>IF($B727=0,0,$E727/$B727)</f>
        <v/>
      </c>
    </row>
    <row r="728" ht="15" customHeight="1" s="68">
      <c r="A728" s="114" t="n"/>
      <c r="B728" s="120">
        <f>SUMIFS(tblDonem[Gelir (₺)],tblDonem[Dönem],$A728)</f>
        <v/>
      </c>
      <c r="C728" s="120">
        <f>SUMIFS(tblDonem[KDV Tutarı (₺)],tblDonem[Dönem],$A728)-SUMIFS(tblDonem[KDV Yüklenimi (₺)],tblDonem[Dönem],$A728)</f>
        <v/>
      </c>
      <c r="D728" s="120">
        <f>SUMIFS(tblDonem[Vergi Karşılığı (₺)],tblDonem[Dönem],$A728)</f>
        <v/>
      </c>
      <c r="E728" s="120">
        <f>$C728+$D728</f>
        <v/>
      </c>
      <c r="F728" s="120">
        <f>IF($B728=0,0,$E728/$B728)</f>
        <v/>
      </c>
    </row>
    <row r="729" ht="15" customHeight="1" s="68">
      <c r="A729" s="114" t="n"/>
      <c r="B729" s="120">
        <f>SUMIFS(tblDonem[Gelir (₺)],tblDonem[Dönem],$A729)</f>
        <v/>
      </c>
      <c r="C729" s="120">
        <f>SUMIFS(tblDonem[KDV Tutarı (₺)],tblDonem[Dönem],$A729)-SUMIFS(tblDonem[KDV Yüklenimi (₺)],tblDonem[Dönem],$A729)</f>
        <v/>
      </c>
      <c r="D729" s="120">
        <f>SUMIFS(tblDonem[Vergi Karşılığı (₺)],tblDonem[Dönem],$A729)</f>
        <v/>
      </c>
      <c r="E729" s="120">
        <f>$C729+$D729</f>
        <v/>
      </c>
      <c r="F729" s="120">
        <f>IF($B729=0,0,$E729/$B729)</f>
        <v/>
      </c>
    </row>
    <row r="730" ht="15" customHeight="1" s="68">
      <c r="A730" s="114" t="n"/>
      <c r="B730" s="120">
        <f>SUMIFS(tblDonem[Gelir (₺)],tblDonem[Dönem],$A730)</f>
        <v/>
      </c>
      <c r="C730" s="120">
        <f>SUMIFS(tblDonem[KDV Tutarı (₺)],tblDonem[Dönem],$A730)-SUMIFS(tblDonem[KDV Yüklenimi (₺)],tblDonem[Dönem],$A730)</f>
        <v/>
      </c>
      <c r="D730" s="120">
        <f>SUMIFS(tblDonem[Vergi Karşılığı (₺)],tblDonem[Dönem],$A730)</f>
        <v/>
      </c>
      <c r="E730" s="120">
        <f>$C730+$D730</f>
        <v/>
      </c>
      <c r="F730" s="120">
        <f>IF($B730=0,0,$E730/$B730)</f>
        <v/>
      </c>
    </row>
    <row r="731" ht="15" customHeight="1" s="68">
      <c r="A731" s="114" t="n"/>
      <c r="B731" s="120">
        <f>SUMIFS(tblDonem[Gelir (₺)],tblDonem[Dönem],$A731)</f>
        <v/>
      </c>
      <c r="C731" s="120">
        <f>SUMIFS(tblDonem[KDV Tutarı (₺)],tblDonem[Dönem],$A731)-SUMIFS(tblDonem[KDV Yüklenimi (₺)],tblDonem[Dönem],$A731)</f>
        <v/>
      </c>
      <c r="D731" s="120">
        <f>SUMIFS(tblDonem[Vergi Karşılığı (₺)],tblDonem[Dönem],$A731)</f>
        <v/>
      </c>
      <c r="E731" s="120">
        <f>$C731+$D731</f>
        <v/>
      </c>
      <c r="F731" s="120">
        <f>IF($B731=0,0,$E731/$B731)</f>
        <v/>
      </c>
    </row>
    <row r="732" ht="15" customHeight="1" s="68">
      <c r="A732" s="114" t="n"/>
      <c r="B732" s="120">
        <f>SUMIFS(tblDonem[Gelir (₺)],tblDonem[Dönem],$A732)</f>
        <v/>
      </c>
      <c r="C732" s="120">
        <f>SUMIFS(tblDonem[KDV Tutarı (₺)],tblDonem[Dönem],$A732)-SUMIFS(tblDonem[KDV Yüklenimi (₺)],tblDonem[Dönem],$A732)</f>
        <v/>
      </c>
      <c r="D732" s="120">
        <f>SUMIFS(tblDonem[Vergi Karşılığı (₺)],tblDonem[Dönem],$A732)</f>
        <v/>
      </c>
      <c r="E732" s="120">
        <f>$C732+$D732</f>
        <v/>
      </c>
      <c r="F732" s="120">
        <f>IF($B732=0,0,$E732/$B732)</f>
        <v/>
      </c>
    </row>
    <row r="733" ht="15" customHeight="1" s="68">
      <c r="A733" s="114" t="n"/>
      <c r="B733" s="120">
        <f>SUMIFS(tblDonem[Gelir (₺)],tblDonem[Dönem],$A733)</f>
        <v/>
      </c>
      <c r="C733" s="120">
        <f>SUMIFS(tblDonem[KDV Tutarı (₺)],tblDonem[Dönem],$A733)-SUMIFS(tblDonem[KDV Yüklenimi (₺)],tblDonem[Dönem],$A733)</f>
        <v/>
      </c>
      <c r="D733" s="120">
        <f>SUMIFS(tblDonem[Vergi Karşılığı (₺)],tblDonem[Dönem],$A733)</f>
        <v/>
      </c>
      <c r="E733" s="120">
        <f>$C733+$D733</f>
        <v/>
      </c>
      <c r="F733" s="120">
        <f>IF($B733=0,0,$E733/$B733)</f>
        <v/>
      </c>
    </row>
    <row r="734" ht="15" customHeight="1" s="68">
      <c r="A734" s="114" t="n"/>
      <c r="B734" s="120">
        <f>SUMIFS(tblDonem[Gelir (₺)],tblDonem[Dönem],$A734)</f>
        <v/>
      </c>
      <c r="C734" s="120">
        <f>SUMIFS(tblDonem[KDV Tutarı (₺)],tblDonem[Dönem],$A734)-SUMIFS(tblDonem[KDV Yüklenimi (₺)],tblDonem[Dönem],$A734)</f>
        <v/>
      </c>
      <c r="D734" s="120">
        <f>SUMIFS(tblDonem[Vergi Karşılığı (₺)],tblDonem[Dönem],$A734)</f>
        <v/>
      </c>
      <c r="E734" s="120">
        <f>$C734+$D734</f>
        <v/>
      </c>
      <c r="F734" s="120">
        <f>IF($B734=0,0,$E734/$B734)</f>
        <v/>
      </c>
    </row>
    <row r="735" ht="15" customHeight="1" s="68">
      <c r="A735" s="114" t="n"/>
      <c r="B735" s="120">
        <f>SUMIFS(tblDonem[Gelir (₺)],tblDonem[Dönem],$A735)</f>
        <v/>
      </c>
      <c r="C735" s="120">
        <f>SUMIFS(tblDonem[KDV Tutarı (₺)],tblDonem[Dönem],$A735)-SUMIFS(tblDonem[KDV Yüklenimi (₺)],tblDonem[Dönem],$A735)</f>
        <v/>
      </c>
      <c r="D735" s="120">
        <f>SUMIFS(tblDonem[Vergi Karşılığı (₺)],tblDonem[Dönem],$A735)</f>
        <v/>
      </c>
      <c r="E735" s="120">
        <f>$C735+$D735</f>
        <v/>
      </c>
      <c r="F735" s="120">
        <f>IF($B735=0,0,$E735/$B735)</f>
        <v/>
      </c>
    </row>
    <row r="736" ht="15" customHeight="1" s="68">
      <c r="A736" s="114" t="n"/>
      <c r="B736" s="120">
        <f>SUMIFS(tblDonem[Gelir (₺)],tblDonem[Dönem],$A736)</f>
        <v/>
      </c>
      <c r="C736" s="120">
        <f>SUMIFS(tblDonem[KDV Tutarı (₺)],tblDonem[Dönem],$A736)-SUMIFS(tblDonem[KDV Yüklenimi (₺)],tblDonem[Dönem],$A736)</f>
        <v/>
      </c>
      <c r="D736" s="120">
        <f>SUMIFS(tblDonem[Vergi Karşılığı (₺)],tblDonem[Dönem],$A736)</f>
        <v/>
      </c>
      <c r="E736" s="120">
        <f>$C736+$D736</f>
        <v/>
      </c>
      <c r="F736" s="120">
        <f>IF($B736=0,0,$E736/$B736)</f>
        <v/>
      </c>
    </row>
    <row r="737" ht="15" customHeight="1" s="68">
      <c r="A737" s="114" t="n"/>
      <c r="B737" s="120">
        <f>SUMIFS(tblDonem[Gelir (₺)],tblDonem[Dönem],$A737)</f>
        <v/>
      </c>
      <c r="C737" s="120">
        <f>SUMIFS(tblDonem[KDV Tutarı (₺)],tblDonem[Dönem],$A737)-SUMIFS(tblDonem[KDV Yüklenimi (₺)],tblDonem[Dönem],$A737)</f>
        <v/>
      </c>
      <c r="D737" s="120">
        <f>SUMIFS(tblDonem[Vergi Karşılığı (₺)],tblDonem[Dönem],$A737)</f>
        <v/>
      </c>
      <c r="E737" s="120">
        <f>$C737+$D737</f>
        <v/>
      </c>
      <c r="F737" s="120">
        <f>IF($B737=0,0,$E737/$B737)</f>
        <v/>
      </c>
    </row>
    <row r="738" ht="15" customHeight="1" s="68">
      <c r="A738" s="114" t="n"/>
      <c r="B738" s="120">
        <f>SUMIFS(tblDonem[Gelir (₺)],tblDonem[Dönem],$A738)</f>
        <v/>
      </c>
      <c r="C738" s="120">
        <f>SUMIFS(tblDonem[KDV Tutarı (₺)],tblDonem[Dönem],$A738)-SUMIFS(tblDonem[KDV Yüklenimi (₺)],tblDonem[Dönem],$A738)</f>
        <v/>
      </c>
      <c r="D738" s="120">
        <f>SUMIFS(tblDonem[Vergi Karşılığı (₺)],tblDonem[Dönem],$A738)</f>
        <v/>
      </c>
      <c r="E738" s="120">
        <f>$C738+$D738</f>
        <v/>
      </c>
      <c r="F738" s="120">
        <f>IF($B738=0,0,$E738/$B738)</f>
        <v/>
      </c>
    </row>
    <row r="739" ht="15" customHeight="1" s="68">
      <c r="A739" s="114" t="n"/>
      <c r="B739" s="120">
        <f>SUMIFS(tblDonem[Gelir (₺)],tblDonem[Dönem],$A739)</f>
        <v/>
      </c>
      <c r="C739" s="120">
        <f>SUMIFS(tblDonem[KDV Tutarı (₺)],tblDonem[Dönem],$A739)-SUMIFS(tblDonem[KDV Yüklenimi (₺)],tblDonem[Dönem],$A739)</f>
        <v/>
      </c>
      <c r="D739" s="120">
        <f>SUMIFS(tblDonem[Vergi Karşılığı (₺)],tblDonem[Dönem],$A739)</f>
        <v/>
      </c>
      <c r="E739" s="120">
        <f>$C739+$D739</f>
        <v/>
      </c>
      <c r="F739" s="120">
        <f>IF($B739=0,0,$E739/$B739)</f>
        <v/>
      </c>
    </row>
    <row r="740" ht="15" customHeight="1" s="68">
      <c r="A740" s="114" t="n"/>
      <c r="B740" s="120">
        <f>SUMIFS(tblDonem[Gelir (₺)],tblDonem[Dönem],$A740)</f>
        <v/>
      </c>
      <c r="C740" s="120">
        <f>SUMIFS(tblDonem[KDV Tutarı (₺)],tblDonem[Dönem],$A740)-SUMIFS(tblDonem[KDV Yüklenimi (₺)],tblDonem[Dönem],$A740)</f>
        <v/>
      </c>
      <c r="D740" s="120">
        <f>SUMIFS(tblDonem[Vergi Karşılığı (₺)],tblDonem[Dönem],$A740)</f>
        <v/>
      </c>
      <c r="E740" s="120">
        <f>$C740+$D740</f>
        <v/>
      </c>
      <c r="F740" s="120">
        <f>IF($B740=0,0,$E740/$B740)</f>
        <v/>
      </c>
    </row>
    <row r="741" ht="15" customHeight="1" s="68">
      <c r="A741" s="114" t="n"/>
      <c r="B741" s="120">
        <f>SUMIFS(tblDonem[Gelir (₺)],tblDonem[Dönem],$A741)</f>
        <v/>
      </c>
      <c r="C741" s="120">
        <f>SUMIFS(tblDonem[KDV Tutarı (₺)],tblDonem[Dönem],$A741)-SUMIFS(tblDonem[KDV Yüklenimi (₺)],tblDonem[Dönem],$A741)</f>
        <v/>
      </c>
      <c r="D741" s="120">
        <f>SUMIFS(tblDonem[Vergi Karşılığı (₺)],tblDonem[Dönem],$A741)</f>
        <v/>
      </c>
      <c r="E741" s="120">
        <f>$C741+$D741</f>
        <v/>
      </c>
      <c r="F741" s="120">
        <f>IF($B741=0,0,$E741/$B741)</f>
        <v/>
      </c>
    </row>
    <row r="742" ht="15" customHeight="1" s="68">
      <c r="A742" s="114" t="n"/>
      <c r="B742" s="120">
        <f>SUMIFS(tblDonem[Gelir (₺)],tblDonem[Dönem],$A742)</f>
        <v/>
      </c>
      <c r="C742" s="120">
        <f>SUMIFS(tblDonem[KDV Tutarı (₺)],tblDonem[Dönem],$A742)-SUMIFS(tblDonem[KDV Yüklenimi (₺)],tblDonem[Dönem],$A742)</f>
        <v/>
      </c>
      <c r="D742" s="120">
        <f>SUMIFS(tblDonem[Vergi Karşılığı (₺)],tblDonem[Dönem],$A742)</f>
        <v/>
      </c>
      <c r="E742" s="120">
        <f>$C742+$D742</f>
        <v/>
      </c>
      <c r="F742" s="120">
        <f>IF($B742=0,0,$E742/$B742)</f>
        <v/>
      </c>
    </row>
    <row r="743" ht="15" customHeight="1" s="68">
      <c r="A743" s="114" t="n"/>
      <c r="B743" s="120">
        <f>SUMIFS(tblDonem[Gelir (₺)],tblDonem[Dönem],$A743)</f>
        <v/>
      </c>
      <c r="C743" s="120">
        <f>SUMIFS(tblDonem[KDV Tutarı (₺)],tblDonem[Dönem],$A743)-SUMIFS(tblDonem[KDV Yüklenimi (₺)],tblDonem[Dönem],$A743)</f>
        <v/>
      </c>
      <c r="D743" s="120">
        <f>SUMIFS(tblDonem[Vergi Karşılığı (₺)],tblDonem[Dönem],$A743)</f>
        <v/>
      </c>
      <c r="E743" s="120">
        <f>$C743+$D743</f>
        <v/>
      </c>
      <c r="F743" s="120">
        <f>IF($B743=0,0,$E743/$B743)</f>
        <v/>
      </c>
    </row>
    <row r="744" ht="15" customHeight="1" s="68">
      <c r="A744" s="114" t="n"/>
      <c r="B744" s="120">
        <f>SUMIFS(tblDonem[Gelir (₺)],tblDonem[Dönem],$A744)</f>
        <v/>
      </c>
      <c r="C744" s="120">
        <f>SUMIFS(tblDonem[KDV Tutarı (₺)],tblDonem[Dönem],$A744)-SUMIFS(tblDonem[KDV Yüklenimi (₺)],tblDonem[Dönem],$A744)</f>
        <v/>
      </c>
      <c r="D744" s="120">
        <f>SUMIFS(tblDonem[Vergi Karşılığı (₺)],tblDonem[Dönem],$A744)</f>
        <v/>
      </c>
      <c r="E744" s="120">
        <f>$C744+$D744</f>
        <v/>
      </c>
      <c r="F744" s="120">
        <f>IF($B744=0,0,$E744/$B744)</f>
        <v/>
      </c>
    </row>
    <row r="745" ht="15" customHeight="1" s="68">
      <c r="A745" s="114" t="n"/>
      <c r="B745" s="120">
        <f>SUMIFS(tblDonem[Gelir (₺)],tblDonem[Dönem],$A745)</f>
        <v/>
      </c>
      <c r="C745" s="120">
        <f>SUMIFS(tblDonem[KDV Tutarı (₺)],tblDonem[Dönem],$A745)-SUMIFS(tblDonem[KDV Yüklenimi (₺)],tblDonem[Dönem],$A745)</f>
        <v/>
      </c>
      <c r="D745" s="120">
        <f>SUMIFS(tblDonem[Vergi Karşılığı (₺)],tblDonem[Dönem],$A745)</f>
        <v/>
      </c>
      <c r="E745" s="120">
        <f>$C745+$D745</f>
        <v/>
      </c>
      <c r="F745" s="120">
        <f>IF($B745=0,0,$E745/$B745)</f>
        <v/>
      </c>
    </row>
    <row r="746" ht="15" customHeight="1" s="68">
      <c r="A746" s="114" t="n"/>
      <c r="B746" s="120">
        <f>SUMIFS(tblDonem[Gelir (₺)],tblDonem[Dönem],$A746)</f>
        <v/>
      </c>
      <c r="C746" s="120">
        <f>SUMIFS(tblDonem[KDV Tutarı (₺)],tblDonem[Dönem],$A746)-SUMIFS(tblDonem[KDV Yüklenimi (₺)],tblDonem[Dönem],$A746)</f>
        <v/>
      </c>
      <c r="D746" s="120">
        <f>SUMIFS(tblDonem[Vergi Karşılığı (₺)],tblDonem[Dönem],$A746)</f>
        <v/>
      </c>
      <c r="E746" s="120">
        <f>$C746+$D746</f>
        <v/>
      </c>
      <c r="F746" s="120">
        <f>IF($B746=0,0,$E746/$B746)</f>
        <v/>
      </c>
    </row>
    <row r="747" ht="15" customHeight="1" s="68">
      <c r="A747" s="114" t="n"/>
      <c r="B747" s="120">
        <f>SUMIFS(tblDonem[Gelir (₺)],tblDonem[Dönem],$A747)</f>
        <v/>
      </c>
      <c r="C747" s="120">
        <f>SUMIFS(tblDonem[KDV Tutarı (₺)],tblDonem[Dönem],$A747)-SUMIFS(tblDonem[KDV Yüklenimi (₺)],tblDonem[Dönem],$A747)</f>
        <v/>
      </c>
      <c r="D747" s="120">
        <f>SUMIFS(tblDonem[Vergi Karşılığı (₺)],tblDonem[Dönem],$A747)</f>
        <v/>
      </c>
      <c r="E747" s="120">
        <f>$C747+$D747</f>
        <v/>
      </c>
      <c r="F747" s="120">
        <f>IF($B747=0,0,$E747/$B747)</f>
        <v/>
      </c>
    </row>
    <row r="748" ht="15" customHeight="1" s="68">
      <c r="A748" s="114" t="n"/>
      <c r="B748" s="120">
        <f>SUMIFS(tblDonem[Gelir (₺)],tblDonem[Dönem],$A748)</f>
        <v/>
      </c>
      <c r="C748" s="120">
        <f>SUMIFS(tblDonem[KDV Tutarı (₺)],tblDonem[Dönem],$A748)-SUMIFS(tblDonem[KDV Yüklenimi (₺)],tblDonem[Dönem],$A748)</f>
        <v/>
      </c>
      <c r="D748" s="120">
        <f>SUMIFS(tblDonem[Vergi Karşılığı (₺)],tblDonem[Dönem],$A748)</f>
        <v/>
      </c>
      <c r="E748" s="120">
        <f>$C748+$D748</f>
        <v/>
      </c>
      <c r="F748" s="120">
        <f>IF($B748=0,0,$E748/$B748)</f>
        <v/>
      </c>
    </row>
    <row r="749" ht="15" customHeight="1" s="68">
      <c r="A749" s="114" t="n"/>
      <c r="B749" s="120">
        <f>SUMIFS(tblDonem[Gelir (₺)],tblDonem[Dönem],$A749)</f>
        <v/>
      </c>
      <c r="C749" s="120">
        <f>SUMIFS(tblDonem[KDV Tutarı (₺)],tblDonem[Dönem],$A749)-SUMIFS(tblDonem[KDV Yüklenimi (₺)],tblDonem[Dönem],$A749)</f>
        <v/>
      </c>
      <c r="D749" s="120">
        <f>SUMIFS(tblDonem[Vergi Karşılığı (₺)],tblDonem[Dönem],$A749)</f>
        <v/>
      </c>
      <c r="E749" s="120">
        <f>$C749+$D749</f>
        <v/>
      </c>
      <c r="F749" s="120">
        <f>IF($B749=0,0,$E749/$B749)</f>
        <v/>
      </c>
    </row>
    <row r="750" ht="15" customHeight="1" s="68">
      <c r="A750" s="114" t="n"/>
      <c r="B750" s="120">
        <f>SUMIFS(tblDonem[Gelir (₺)],tblDonem[Dönem],$A750)</f>
        <v/>
      </c>
      <c r="C750" s="120">
        <f>SUMIFS(tblDonem[KDV Tutarı (₺)],tblDonem[Dönem],$A750)-SUMIFS(tblDonem[KDV Yüklenimi (₺)],tblDonem[Dönem],$A750)</f>
        <v/>
      </c>
      <c r="D750" s="120">
        <f>SUMIFS(tblDonem[Vergi Karşılığı (₺)],tblDonem[Dönem],$A750)</f>
        <v/>
      </c>
      <c r="E750" s="120">
        <f>$C750+$D750</f>
        <v/>
      </c>
      <c r="F750" s="120">
        <f>IF($B750=0,0,$E750/$B750)</f>
        <v/>
      </c>
    </row>
    <row r="751" ht="15" customHeight="1" s="68">
      <c r="A751" s="114" t="n"/>
      <c r="B751" s="120">
        <f>SUMIFS(tblDonem[Gelir (₺)],tblDonem[Dönem],$A751)</f>
        <v/>
      </c>
      <c r="C751" s="120">
        <f>SUMIFS(tblDonem[KDV Tutarı (₺)],tblDonem[Dönem],$A751)-SUMIFS(tblDonem[KDV Yüklenimi (₺)],tblDonem[Dönem],$A751)</f>
        <v/>
      </c>
      <c r="D751" s="120">
        <f>SUMIFS(tblDonem[Vergi Karşılığı (₺)],tblDonem[Dönem],$A751)</f>
        <v/>
      </c>
      <c r="E751" s="120">
        <f>$C751+$D751</f>
        <v/>
      </c>
      <c r="F751" s="120">
        <f>IF($B751=0,0,$E751/$B751)</f>
        <v/>
      </c>
    </row>
    <row r="752" ht="15" customHeight="1" s="68">
      <c r="A752" s="114" t="n"/>
      <c r="B752" s="120">
        <f>SUMIFS(tblDonem[Gelir (₺)],tblDonem[Dönem],$A752)</f>
        <v/>
      </c>
      <c r="C752" s="120">
        <f>SUMIFS(tblDonem[KDV Tutarı (₺)],tblDonem[Dönem],$A752)-SUMIFS(tblDonem[KDV Yüklenimi (₺)],tblDonem[Dönem],$A752)</f>
        <v/>
      </c>
      <c r="D752" s="120">
        <f>SUMIFS(tblDonem[Vergi Karşılığı (₺)],tblDonem[Dönem],$A752)</f>
        <v/>
      </c>
      <c r="E752" s="120">
        <f>$C752+$D752</f>
        <v/>
      </c>
      <c r="F752" s="120">
        <f>IF($B752=0,0,$E752/$B752)</f>
        <v/>
      </c>
    </row>
    <row r="753" ht="15" customHeight="1" s="68">
      <c r="A753" s="114" t="n"/>
      <c r="B753" s="120">
        <f>SUMIFS(tblDonem[Gelir (₺)],tblDonem[Dönem],$A753)</f>
        <v/>
      </c>
      <c r="C753" s="120">
        <f>SUMIFS(tblDonem[KDV Tutarı (₺)],tblDonem[Dönem],$A753)-SUMIFS(tblDonem[KDV Yüklenimi (₺)],tblDonem[Dönem],$A753)</f>
        <v/>
      </c>
      <c r="D753" s="120">
        <f>SUMIFS(tblDonem[Vergi Karşılığı (₺)],tblDonem[Dönem],$A753)</f>
        <v/>
      </c>
      <c r="E753" s="120">
        <f>$C753+$D753</f>
        <v/>
      </c>
      <c r="F753" s="120">
        <f>IF($B753=0,0,$E753/$B753)</f>
        <v/>
      </c>
    </row>
    <row r="754" ht="15" customHeight="1" s="68">
      <c r="A754" s="114" t="n"/>
      <c r="B754" s="120">
        <f>SUMIFS(tblDonem[Gelir (₺)],tblDonem[Dönem],$A754)</f>
        <v/>
      </c>
      <c r="C754" s="120">
        <f>SUMIFS(tblDonem[KDV Tutarı (₺)],tblDonem[Dönem],$A754)-SUMIFS(tblDonem[KDV Yüklenimi (₺)],tblDonem[Dönem],$A754)</f>
        <v/>
      </c>
      <c r="D754" s="120">
        <f>SUMIFS(tblDonem[Vergi Karşılığı (₺)],tblDonem[Dönem],$A754)</f>
        <v/>
      </c>
      <c r="E754" s="120">
        <f>$C754+$D754</f>
        <v/>
      </c>
      <c r="F754" s="120">
        <f>IF($B754=0,0,$E754/$B754)</f>
        <v/>
      </c>
    </row>
    <row r="755" ht="15" customHeight="1" s="68">
      <c r="A755" s="114" t="n"/>
      <c r="B755" s="120">
        <f>SUMIFS(tblDonem[Gelir (₺)],tblDonem[Dönem],$A755)</f>
        <v/>
      </c>
      <c r="C755" s="120">
        <f>SUMIFS(tblDonem[KDV Tutarı (₺)],tblDonem[Dönem],$A755)-SUMIFS(tblDonem[KDV Yüklenimi (₺)],tblDonem[Dönem],$A755)</f>
        <v/>
      </c>
      <c r="D755" s="120">
        <f>SUMIFS(tblDonem[Vergi Karşılığı (₺)],tblDonem[Dönem],$A755)</f>
        <v/>
      </c>
      <c r="E755" s="120">
        <f>$C755+$D755</f>
        <v/>
      </c>
      <c r="F755" s="120">
        <f>IF($B755=0,0,$E755/$B755)</f>
        <v/>
      </c>
    </row>
    <row r="756" ht="15" customHeight="1" s="68">
      <c r="A756" s="114" t="n"/>
      <c r="B756" s="120">
        <f>SUMIFS(tblDonem[Gelir (₺)],tblDonem[Dönem],$A756)</f>
        <v/>
      </c>
      <c r="C756" s="120">
        <f>SUMIFS(tblDonem[KDV Tutarı (₺)],tblDonem[Dönem],$A756)-SUMIFS(tblDonem[KDV Yüklenimi (₺)],tblDonem[Dönem],$A756)</f>
        <v/>
      </c>
      <c r="D756" s="120">
        <f>SUMIFS(tblDonem[Vergi Karşılığı (₺)],tblDonem[Dönem],$A756)</f>
        <v/>
      </c>
      <c r="E756" s="120">
        <f>$C756+$D756</f>
        <v/>
      </c>
      <c r="F756" s="120">
        <f>IF($B756=0,0,$E756/$B756)</f>
        <v/>
      </c>
    </row>
    <row r="757" ht="15" customHeight="1" s="68">
      <c r="A757" s="114" t="n"/>
      <c r="B757" s="120">
        <f>SUMIFS(tblDonem[Gelir (₺)],tblDonem[Dönem],$A757)</f>
        <v/>
      </c>
      <c r="C757" s="120">
        <f>SUMIFS(tblDonem[KDV Tutarı (₺)],tblDonem[Dönem],$A757)-SUMIFS(tblDonem[KDV Yüklenimi (₺)],tblDonem[Dönem],$A757)</f>
        <v/>
      </c>
      <c r="D757" s="120">
        <f>SUMIFS(tblDonem[Vergi Karşılığı (₺)],tblDonem[Dönem],$A757)</f>
        <v/>
      </c>
      <c r="E757" s="120">
        <f>$C757+$D757</f>
        <v/>
      </c>
      <c r="F757" s="120">
        <f>IF($B757=0,0,$E757/$B757)</f>
        <v/>
      </c>
    </row>
    <row r="758" ht="15" customHeight="1" s="68">
      <c r="A758" s="114" t="n"/>
      <c r="B758" s="120">
        <f>SUMIFS(tblDonem[Gelir (₺)],tblDonem[Dönem],$A758)</f>
        <v/>
      </c>
      <c r="C758" s="120">
        <f>SUMIFS(tblDonem[KDV Tutarı (₺)],tblDonem[Dönem],$A758)-SUMIFS(tblDonem[KDV Yüklenimi (₺)],tblDonem[Dönem],$A758)</f>
        <v/>
      </c>
      <c r="D758" s="120">
        <f>SUMIFS(tblDonem[Vergi Karşılığı (₺)],tblDonem[Dönem],$A758)</f>
        <v/>
      </c>
      <c r="E758" s="120">
        <f>$C758+$D758</f>
        <v/>
      </c>
      <c r="F758" s="120">
        <f>IF($B758=0,0,$E758/$B758)</f>
        <v/>
      </c>
    </row>
    <row r="759" ht="15" customHeight="1" s="68">
      <c r="A759" s="114" t="n"/>
      <c r="B759" s="120">
        <f>SUMIFS(tblDonem[Gelir (₺)],tblDonem[Dönem],$A759)</f>
        <v/>
      </c>
      <c r="C759" s="120">
        <f>SUMIFS(tblDonem[KDV Tutarı (₺)],tblDonem[Dönem],$A759)-SUMIFS(tblDonem[KDV Yüklenimi (₺)],tblDonem[Dönem],$A759)</f>
        <v/>
      </c>
      <c r="D759" s="120">
        <f>SUMIFS(tblDonem[Vergi Karşılığı (₺)],tblDonem[Dönem],$A759)</f>
        <v/>
      </c>
      <c r="E759" s="120">
        <f>$C759+$D759</f>
        <v/>
      </c>
      <c r="F759" s="120">
        <f>IF($B759=0,0,$E759/$B759)</f>
        <v/>
      </c>
    </row>
    <row r="760" ht="15" customHeight="1" s="68">
      <c r="A760" s="114" t="n"/>
      <c r="B760" s="120">
        <f>SUMIFS(tblDonem[Gelir (₺)],tblDonem[Dönem],$A760)</f>
        <v/>
      </c>
      <c r="C760" s="120">
        <f>SUMIFS(tblDonem[KDV Tutarı (₺)],tblDonem[Dönem],$A760)-SUMIFS(tblDonem[KDV Yüklenimi (₺)],tblDonem[Dönem],$A760)</f>
        <v/>
      </c>
      <c r="D760" s="120">
        <f>SUMIFS(tblDonem[Vergi Karşılığı (₺)],tblDonem[Dönem],$A760)</f>
        <v/>
      </c>
      <c r="E760" s="120">
        <f>$C760+$D760</f>
        <v/>
      </c>
      <c r="F760" s="120">
        <f>IF($B760=0,0,$E760/$B760)</f>
        <v/>
      </c>
    </row>
    <row r="761" ht="15" customHeight="1" s="68">
      <c r="A761" s="114" t="n"/>
      <c r="B761" s="120">
        <f>SUMIFS(tblDonem[Gelir (₺)],tblDonem[Dönem],$A761)</f>
        <v/>
      </c>
      <c r="C761" s="120">
        <f>SUMIFS(tblDonem[KDV Tutarı (₺)],tblDonem[Dönem],$A761)-SUMIFS(tblDonem[KDV Yüklenimi (₺)],tblDonem[Dönem],$A761)</f>
        <v/>
      </c>
      <c r="D761" s="120">
        <f>SUMIFS(tblDonem[Vergi Karşılığı (₺)],tblDonem[Dönem],$A761)</f>
        <v/>
      </c>
      <c r="E761" s="120">
        <f>$C761+$D761</f>
        <v/>
      </c>
      <c r="F761" s="120">
        <f>IF($B761=0,0,$E761/$B761)</f>
        <v/>
      </c>
    </row>
    <row r="762" ht="15" customHeight="1" s="68">
      <c r="A762" s="114" t="n"/>
      <c r="B762" s="120">
        <f>SUMIFS(tblDonem[Gelir (₺)],tblDonem[Dönem],$A762)</f>
        <v/>
      </c>
      <c r="C762" s="120">
        <f>SUMIFS(tblDonem[KDV Tutarı (₺)],tblDonem[Dönem],$A762)-SUMIFS(tblDonem[KDV Yüklenimi (₺)],tblDonem[Dönem],$A762)</f>
        <v/>
      </c>
      <c r="D762" s="120">
        <f>SUMIFS(tblDonem[Vergi Karşılığı (₺)],tblDonem[Dönem],$A762)</f>
        <v/>
      </c>
      <c r="E762" s="120">
        <f>$C762+$D762</f>
        <v/>
      </c>
      <c r="F762" s="120">
        <f>IF($B762=0,0,$E762/$B762)</f>
        <v/>
      </c>
    </row>
    <row r="763" ht="15" customHeight="1" s="68">
      <c r="A763" s="114" t="n"/>
      <c r="B763" s="120">
        <f>SUMIFS(tblDonem[Gelir (₺)],tblDonem[Dönem],$A763)</f>
        <v/>
      </c>
      <c r="C763" s="120">
        <f>SUMIFS(tblDonem[KDV Tutarı (₺)],tblDonem[Dönem],$A763)-SUMIFS(tblDonem[KDV Yüklenimi (₺)],tblDonem[Dönem],$A763)</f>
        <v/>
      </c>
      <c r="D763" s="120">
        <f>SUMIFS(tblDonem[Vergi Karşılığı (₺)],tblDonem[Dönem],$A763)</f>
        <v/>
      </c>
      <c r="E763" s="120">
        <f>$C763+$D763</f>
        <v/>
      </c>
      <c r="F763" s="120">
        <f>IF($B763=0,0,$E763/$B763)</f>
        <v/>
      </c>
    </row>
    <row r="764" ht="15" customHeight="1" s="68">
      <c r="A764" s="114" t="n"/>
      <c r="B764" s="120">
        <f>SUMIFS(tblDonem[Gelir (₺)],tblDonem[Dönem],$A764)</f>
        <v/>
      </c>
      <c r="C764" s="120">
        <f>SUMIFS(tblDonem[KDV Tutarı (₺)],tblDonem[Dönem],$A764)-SUMIFS(tblDonem[KDV Yüklenimi (₺)],tblDonem[Dönem],$A764)</f>
        <v/>
      </c>
      <c r="D764" s="120">
        <f>SUMIFS(tblDonem[Vergi Karşılığı (₺)],tblDonem[Dönem],$A764)</f>
        <v/>
      </c>
      <c r="E764" s="120">
        <f>$C764+$D764</f>
        <v/>
      </c>
      <c r="F764" s="120">
        <f>IF($B764=0,0,$E764/$B764)</f>
        <v/>
      </c>
    </row>
    <row r="765" ht="15" customHeight="1" s="68">
      <c r="A765" s="114" t="n"/>
      <c r="B765" s="120">
        <f>SUMIFS(tblDonem[Gelir (₺)],tblDonem[Dönem],$A765)</f>
        <v/>
      </c>
      <c r="C765" s="120">
        <f>SUMIFS(tblDonem[KDV Tutarı (₺)],tblDonem[Dönem],$A765)-SUMIFS(tblDonem[KDV Yüklenimi (₺)],tblDonem[Dönem],$A765)</f>
        <v/>
      </c>
      <c r="D765" s="120">
        <f>SUMIFS(tblDonem[Vergi Karşılığı (₺)],tblDonem[Dönem],$A765)</f>
        <v/>
      </c>
      <c r="E765" s="120">
        <f>$C765+$D765</f>
        <v/>
      </c>
      <c r="F765" s="120">
        <f>IF($B765=0,0,$E765/$B765)</f>
        <v/>
      </c>
    </row>
    <row r="766" ht="15" customHeight="1" s="68">
      <c r="A766" s="114" t="n"/>
      <c r="B766" s="120">
        <f>SUMIFS(tblDonem[Gelir (₺)],tblDonem[Dönem],$A766)</f>
        <v/>
      </c>
      <c r="C766" s="120">
        <f>SUMIFS(tblDonem[KDV Tutarı (₺)],tblDonem[Dönem],$A766)-SUMIFS(tblDonem[KDV Yüklenimi (₺)],tblDonem[Dönem],$A766)</f>
        <v/>
      </c>
      <c r="D766" s="120">
        <f>SUMIFS(tblDonem[Vergi Karşılığı (₺)],tblDonem[Dönem],$A766)</f>
        <v/>
      </c>
      <c r="E766" s="120">
        <f>$C766+$D766</f>
        <v/>
      </c>
      <c r="F766" s="120">
        <f>IF($B766=0,0,$E766/$B766)</f>
        <v/>
      </c>
    </row>
    <row r="767" ht="15" customHeight="1" s="68">
      <c r="A767" s="114" t="n"/>
      <c r="B767" s="120">
        <f>SUMIFS(tblDonem[Gelir (₺)],tblDonem[Dönem],$A767)</f>
        <v/>
      </c>
      <c r="C767" s="120">
        <f>SUMIFS(tblDonem[KDV Tutarı (₺)],tblDonem[Dönem],$A767)-SUMIFS(tblDonem[KDV Yüklenimi (₺)],tblDonem[Dönem],$A767)</f>
        <v/>
      </c>
      <c r="D767" s="120">
        <f>SUMIFS(tblDonem[Vergi Karşılığı (₺)],tblDonem[Dönem],$A767)</f>
        <v/>
      </c>
      <c r="E767" s="120">
        <f>$C767+$D767</f>
        <v/>
      </c>
      <c r="F767" s="120">
        <f>IF($B767=0,0,$E767/$B767)</f>
        <v/>
      </c>
    </row>
    <row r="768" ht="15" customHeight="1" s="68">
      <c r="A768" s="114" t="n"/>
      <c r="B768" s="120">
        <f>SUMIFS(tblDonem[Gelir (₺)],tblDonem[Dönem],$A768)</f>
        <v/>
      </c>
      <c r="C768" s="120">
        <f>SUMIFS(tblDonem[KDV Tutarı (₺)],tblDonem[Dönem],$A768)-SUMIFS(tblDonem[KDV Yüklenimi (₺)],tblDonem[Dönem],$A768)</f>
        <v/>
      </c>
      <c r="D768" s="120">
        <f>SUMIFS(tblDonem[Vergi Karşılığı (₺)],tblDonem[Dönem],$A768)</f>
        <v/>
      </c>
      <c r="E768" s="120">
        <f>$C768+$D768</f>
        <v/>
      </c>
      <c r="F768" s="120">
        <f>IF($B768=0,0,$E768/$B768)</f>
        <v/>
      </c>
    </row>
    <row r="769" ht="15" customHeight="1" s="68">
      <c r="A769" s="114" t="n"/>
      <c r="B769" s="120">
        <f>SUMIFS(tblDonem[Gelir (₺)],tblDonem[Dönem],$A769)</f>
        <v/>
      </c>
      <c r="C769" s="120">
        <f>SUMIFS(tblDonem[KDV Tutarı (₺)],tblDonem[Dönem],$A769)-SUMIFS(tblDonem[KDV Yüklenimi (₺)],tblDonem[Dönem],$A769)</f>
        <v/>
      </c>
      <c r="D769" s="120">
        <f>SUMIFS(tblDonem[Vergi Karşılığı (₺)],tblDonem[Dönem],$A769)</f>
        <v/>
      </c>
      <c r="E769" s="120">
        <f>$C769+$D769</f>
        <v/>
      </c>
      <c r="F769" s="120">
        <f>IF($B769=0,0,$E769/$B769)</f>
        <v/>
      </c>
    </row>
    <row r="770" ht="15" customHeight="1" s="68">
      <c r="A770" s="114" t="n"/>
      <c r="B770" s="120">
        <f>SUMIFS(tblDonem[Gelir (₺)],tblDonem[Dönem],$A770)</f>
        <v/>
      </c>
      <c r="C770" s="120">
        <f>SUMIFS(tblDonem[KDV Tutarı (₺)],tblDonem[Dönem],$A770)-SUMIFS(tblDonem[KDV Yüklenimi (₺)],tblDonem[Dönem],$A770)</f>
        <v/>
      </c>
      <c r="D770" s="120">
        <f>SUMIFS(tblDonem[Vergi Karşılığı (₺)],tblDonem[Dönem],$A770)</f>
        <v/>
      </c>
      <c r="E770" s="120">
        <f>$C770+$D770</f>
        <v/>
      </c>
      <c r="F770" s="120">
        <f>IF($B770=0,0,$E770/$B770)</f>
        <v/>
      </c>
    </row>
    <row r="771" ht="15" customHeight="1" s="68">
      <c r="A771" s="114" t="n"/>
      <c r="B771" s="120">
        <f>SUMIFS(tblDonem[Gelir (₺)],tblDonem[Dönem],$A771)</f>
        <v/>
      </c>
      <c r="C771" s="120">
        <f>SUMIFS(tblDonem[KDV Tutarı (₺)],tblDonem[Dönem],$A771)-SUMIFS(tblDonem[KDV Yüklenimi (₺)],tblDonem[Dönem],$A771)</f>
        <v/>
      </c>
      <c r="D771" s="120">
        <f>SUMIFS(tblDonem[Vergi Karşılığı (₺)],tblDonem[Dönem],$A771)</f>
        <v/>
      </c>
      <c r="E771" s="120">
        <f>$C771+$D771</f>
        <v/>
      </c>
      <c r="F771" s="120">
        <f>IF($B771=0,0,$E771/$B771)</f>
        <v/>
      </c>
    </row>
    <row r="772" ht="15" customHeight="1" s="68">
      <c r="A772" s="114" t="n"/>
      <c r="B772" s="120">
        <f>SUMIFS(tblDonem[Gelir (₺)],tblDonem[Dönem],$A772)</f>
        <v/>
      </c>
      <c r="C772" s="120">
        <f>SUMIFS(tblDonem[KDV Tutarı (₺)],tblDonem[Dönem],$A772)-SUMIFS(tblDonem[KDV Yüklenimi (₺)],tblDonem[Dönem],$A772)</f>
        <v/>
      </c>
      <c r="D772" s="120">
        <f>SUMIFS(tblDonem[Vergi Karşılığı (₺)],tblDonem[Dönem],$A772)</f>
        <v/>
      </c>
      <c r="E772" s="120">
        <f>$C772+$D772</f>
        <v/>
      </c>
      <c r="F772" s="120">
        <f>IF($B772=0,0,$E772/$B772)</f>
        <v/>
      </c>
    </row>
    <row r="773" ht="15" customHeight="1" s="68">
      <c r="A773" s="114" t="n"/>
      <c r="B773" s="120">
        <f>SUMIFS(tblDonem[Gelir (₺)],tblDonem[Dönem],$A773)</f>
        <v/>
      </c>
      <c r="C773" s="120">
        <f>SUMIFS(tblDonem[KDV Tutarı (₺)],tblDonem[Dönem],$A773)-SUMIFS(tblDonem[KDV Yüklenimi (₺)],tblDonem[Dönem],$A773)</f>
        <v/>
      </c>
      <c r="D773" s="120">
        <f>SUMIFS(tblDonem[Vergi Karşılığı (₺)],tblDonem[Dönem],$A773)</f>
        <v/>
      </c>
      <c r="E773" s="120">
        <f>$C773+$D773</f>
        <v/>
      </c>
      <c r="F773" s="120">
        <f>IF($B773=0,0,$E773/$B773)</f>
        <v/>
      </c>
    </row>
    <row r="774" ht="15" customHeight="1" s="68">
      <c r="A774" s="114" t="n"/>
      <c r="B774" s="120">
        <f>SUMIFS(tblDonem[Gelir (₺)],tblDonem[Dönem],$A774)</f>
        <v/>
      </c>
      <c r="C774" s="120">
        <f>SUMIFS(tblDonem[KDV Tutarı (₺)],tblDonem[Dönem],$A774)-SUMIFS(tblDonem[KDV Yüklenimi (₺)],tblDonem[Dönem],$A774)</f>
        <v/>
      </c>
      <c r="D774" s="120">
        <f>SUMIFS(tblDonem[Vergi Karşılığı (₺)],tblDonem[Dönem],$A774)</f>
        <v/>
      </c>
      <c r="E774" s="120">
        <f>$C774+$D774</f>
        <v/>
      </c>
      <c r="F774" s="120">
        <f>IF($B774=0,0,$E774/$B774)</f>
        <v/>
      </c>
    </row>
    <row r="775" ht="15" customHeight="1" s="68">
      <c r="A775" s="114" t="n"/>
      <c r="B775" s="120">
        <f>SUMIFS(tblDonem[Gelir (₺)],tblDonem[Dönem],$A775)</f>
        <v/>
      </c>
      <c r="C775" s="120">
        <f>SUMIFS(tblDonem[KDV Tutarı (₺)],tblDonem[Dönem],$A775)-SUMIFS(tblDonem[KDV Yüklenimi (₺)],tblDonem[Dönem],$A775)</f>
        <v/>
      </c>
      <c r="D775" s="120">
        <f>SUMIFS(tblDonem[Vergi Karşılığı (₺)],tblDonem[Dönem],$A775)</f>
        <v/>
      </c>
      <c r="E775" s="120">
        <f>$C775+$D775</f>
        <v/>
      </c>
      <c r="F775" s="120">
        <f>IF($B775=0,0,$E775/$B775)</f>
        <v/>
      </c>
    </row>
    <row r="776" ht="15" customHeight="1" s="68">
      <c r="A776" s="114" t="n"/>
      <c r="B776" s="120">
        <f>SUMIFS(tblDonem[Gelir (₺)],tblDonem[Dönem],$A776)</f>
        <v/>
      </c>
      <c r="C776" s="120">
        <f>SUMIFS(tblDonem[KDV Tutarı (₺)],tblDonem[Dönem],$A776)-SUMIFS(tblDonem[KDV Yüklenimi (₺)],tblDonem[Dönem],$A776)</f>
        <v/>
      </c>
      <c r="D776" s="120">
        <f>SUMIFS(tblDonem[Vergi Karşılığı (₺)],tblDonem[Dönem],$A776)</f>
        <v/>
      </c>
      <c r="E776" s="120">
        <f>$C776+$D776</f>
        <v/>
      </c>
      <c r="F776" s="120">
        <f>IF($B776=0,0,$E776/$B776)</f>
        <v/>
      </c>
    </row>
    <row r="777" ht="15" customHeight="1" s="68">
      <c r="A777" s="114" t="n"/>
      <c r="B777" s="120">
        <f>SUMIFS(tblDonem[Gelir (₺)],tblDonem[Dönem],$A777)</f>
        <v/>
      </c>
      <c r="C777" s="120">
        <f>SUMIFS(tblDonem[KDV Tutarı (₺)],tblDonem[Dönem],$A777)-SUMIFS(tblDonem[KDV Yüklenimi (₺)],tblDonem[Dönem],$A777)</f>
        <v/>
      </c>
      <c r="D777" s="120">
        <f>SUMIFS(tblDonem[Vergi Karşılığı (₺)],tblDonem[Dönem],$A777)</f>
        <v/>
      </c>
      <c r="E777" s="120">
        <f>$C777+$D777</f>
        <v/>
      </c>
      <c r="F777" s="120">
        <f>IF($B777=0,0,$E777/$B777)</f>
        <v/>
      </c>
    </row>
    <row r="778" ht="15" customHeight="1" s="68">
      <c r="A778" s="114" t="n"/>
      <c r="B778" s="120">
        <f>SUMIFS(tblDonem[Gelir (₺)],tblDonem[Dönem],$A778)</f>
        <v/>
      </c>
      <c r="C778" s="120">
        <f>SUMIFS(tblDonem[KDV Tutarı (₺)],tblDonem[Dönem],$A778)-SUMIFS(tblDonem[KDV Yüklenimi (₺)],tblDonem[Dönem],$A778)</f>
        <v/>
      </c>
      <c r="D778" s="120">
        <f>SUMIFS(tblDonem[Vergi Karşılığı (₺)],tblDonem[Dönem],$A778)</f>
        <v/>
      </c>
      <c r="E778" s="120">
        <f>$C778+$D778</f>
        <v/>
      </c>
      <c r="F778" s="120">
        <f>IF($B778=0,0,$E778/$B778)</f>
        <v/>
      </c>
    </row>
    <row r="779" ht="15" customHeight="1" s="68">
      <c r="A779" s="114" t="n"/>
      <c r="B779" s="120">
        <f>SUMIFS(tblDonem[Gelir (₺)],tblDonem[Dönem],$A779)</f>
        <v/>
      </c>
      <c r="C779" s="120">
        <f>SUMIFS(tblDonem[KDV Tutarı (₺)],tblDonem[Dönem],$A779)-SUMIFS(tblDonem[KDV Yüklenimi (₺)],tblDonem[Dönem],$A779)</f>
        <v/>
      </c>
      <c r="D779" s="120">
        <f>SUMIFS(tblDonem[Vergi Karşılığı (₺)],tblDonem[Dönem],$A779)</f>
        <v/>
      </c>
      <c r="E779" s="120">
        <f>$C779+$D779</f>
        <v/>
      </c>
      <c r="F779" s="120">
        <f>IF($B779=0,0,$E779/$B779)</f>
        <v/>
      </c>
    </row>
    <row r="780" ht="15" customHeight="1" s="68">
      <c r="A780" s="114" t="n"/>
      <c r="B780" s="120">
        <f>SUMIFS(tblDonem[Gelir (₺)],tblDonem[Dönem],$A780)</f>
        <v/>
      </c>
      <c r="C780" s="120">
        <f>SUMIFS(tblDonem[KDV Tutarı (₺)],tblDonem[Dönem],$A780)-SUMIFS(tblDonem[KDV Yüklenimi (₺)],tblDonem[Dönem],$A780)</f>
        <v/>
      </c>
      <c r="D780" s="120">
        <f>SUMIFS(tblDonem[Vergi Karşılığı (₺)],tblDonem[Dönem],$A780)</f>
        <v/>
      </c>
      <c r="E780" s="120">
        <f>$C780+$D780</f>
        <v/>
      </c>
      <c r="F780" s="120">
        <f>IF($B780=0,0,$E780/$B780)</f>
        <v/>
      </c>
    </row>
    <row r="781" ht="15" customHeight="1" s="68">
      <c r="A781" s="114" t="n"/>
      <c r="B781" s="120">
        <f>SUMIFS(tblDonem[Gelir (₺)],tblDonem[Dönem],$A781)</f>
        <v/>
      </c>
      <c r="C781" s="120">
        <f>SUMIFS(tblDonem[KDV Tutarı (₺)],tblDonem[Dönem],$A781)-SUMIFS(tblDonem[KDV Yüklenimi (₺)],tblDonem[Dönem],$A781)</f>
        <v/>
      </c>
      <c r="D781" s="120">
        <f>SUMIFS(tblDonem[Vergi Karşılığı (₺)],tblDonem[Dönem],$A781)</f>
        <v/>
      </c>
      <c r="E781" s="120">
        <f>$C781+$D781</f>
        <v/>
      </c>
      <c r="F781" s="120">
        <f>IF($B781=0,0,$E781/$B781)</f>
        <v/>
      </c>
    </row>
    <row r="782" ht="15" customHeight="1" s="68">
      <c r="A782" s="114" t="n"/>
      <c r="B782" s="120">
        <f>SUMIFS(tblDonem[Gelir (₺)],tblDonem[Dönem],$A782)</f>
        <v/>
      </c>
      <c r="C782" s="120">
        <f>SUMIFS(tblDonem[KDV Tutarı (₺)],tblDonem[Dönem],$A782)-SUMIFS(tblDonem[KDV Yüklenimi (₺)],tblDonem[Dönem],$A782)</f>
        <v/>
      </c>
      <c r="D782" s="120">
        <f>SUMIFS(tblDonem[Vergi Karşılığı (₺)],tblDonem[Dönem],$A782)</f>
        <v/>
      </c>
      <c r="E782" s="120">
        <f>$C782+$D782</f>
        <v/>
      </c>
      <c r="F782" s="120">
        <f>IF($B782=0,0,$E782/$B782)</f>
        <v/>
      </c>
    </row>
    <row r="783" ht="15" customHeight="1" s="68">
      <c r="A783" s="114" t="n"/>
      <c r="B783" s="120">
        <f>SUMIFS(tblDonem[Gelir (₺)],tblDonem[Dönem],$A783)</f>
        <v/>
      </c>
      <c r="C783" s="120">
        <f>SUMIFS(tblDonem[KDV Tutarı (₺)],tblDonem[Dönem],$A783)-SUMIFS(tblDonem[KDV Yüklenimi (₺)],tblDonem[Dönem],$A783)</f>
        <v/>
      </c>
      <c r="D783" s="120">
        <f>SUMIFS(tblDonem[Vergi Karşılığı (₺)],tblDonem[Dönem],$A783)</f>
        <v/>
      </c>
      <c r="E783" s="120">
        <f>$C783+$D783</f>
        <v/>
      </c>
      <c r="F783" s="120">
        <f>IF($B783=0,0,$E783/$B783)</f>
        <v/>
      </c>
    </row>
    <row r="784" ht="15" customHeight="1" s="68">
      <c r="A784" s="114" t="n"/>
      <c r="B784" s="120">
        <f>SUMIFS(tblDonem[Gelir (₺)],tblDonem[Dönem],$A784)</f>
        <v/>
      </c>
      <c r="C784" s="120">
        <f>SUMIFS(tblDonem[KDV Tutarı (₺)],tblDonem[Dönem],$A784)-SUMIFS(tblDonem[KDV Yüklenimi (₺)],tblDonem[Dönem],$A784)</f>
        <v/>
      </c>
      <c r="D784" s="120">
        <f>SUMIFS(tblDonem[Vergi Karşılığı (₺)],tblDonem[Dönem],$A784)</f>
        <v/>
      </c>
      <c r="E784" s="120">
        <f>$C784+$D784</f>
        <v/>
      </c>
      <c r="F784" s="120">
        <f>IF($B784=0,0,$E784/$B784)</f>
        <v/>
      </c>
    </row>
    <row r="785" ht="15" customHeight="1" s="68">
      <c r="A785" s="114" t="n"/>
      <c r="B785" s="120">
        <f>SUMIFS(tblDonem[Gelir (₺)],tblDonem[Dönem],$A785)</f>
        <v/>
      </c>
      <c r="C785" s="120">
        <f>SUMIFS(tblDonem[KDV Tutarı (₺)],tblDonem[Dönem],$A785)-SUMIFS(tblDonem[KDV Yüklenimi (₺)],tblDonem[Dönem],$A785)</f>
        <v/>
      </c>
      <c r="D785" s="120">
        <f>SUMIFS(tblDonem[Vergi Karşılığı (₺)],tblDonem[Dönem],$A785)</f>
        <v/>
      </c>
      <c r="E785" s="120">
        <f>$C785+$D785</f>
        <v/>
      </c>
      <c r="F785" s="120">
        <f>IF($B785=0,0,$E785/$B785)</f>
        <v/>
      </c>
    </row>
    <row r="786" ht="15" customHeight="1" s="68">
      <c r="A786" s="114" t="n"/>
      <c r="B786" s="120">
        <f>SUMIFS(tblDonem[Gelir (₺)],tblDonem[Dönem],$A786)</f>
        <v/>
      </c>
      <c r="C786" s="120">
        <f>SUMIFS(tblDonem[KDV Tutarı (₺)],tblDonem[Dönem],$A786)-SUMIFS(tblDonem[KDV Yüklenimi (₺)],tblDonem[Dönem],$A786)</f>
        <v/>
      </c>
      <c r="D786" s="120">
        <f>SUMIFS(tblDonem[Vergi Karşılığı (₺)],tblDonem[Dönem],$A786)</f>
        <v/>
      </c>
      <c r="E786" s="120">
        <f>$C786+$D786</f>
        <v/>
      </c>
      <c r="F786" s="120">
        <f>IF($B786=0,0,$E786/$B786)</f>
        <v/>
      </c>
    </row>
    <row r="787" ht="15" customHeight="1" s="68">
      <c r="A787" s="114" t="n"/>
      <c r="B787" s="120">
        <f>SUMIFS(tblDonem[Gelir (₺)],tblDonem[Dönem],$A787)</f>
        <v/>
      </c>
      <c r="C787" s="120">
        <f>SUMIFS(tblDonem[KDV Tutarı (₺)],tblDonem[Dönem],$A787)-SUMIFS(tblDonem[KDV Yüklenimi (₺)],tblDonem[Dönem],$A787)</f>
        <v/>
      </c>
      <c r="D787" s="120">
        <f>SUMIFS(tblDonem[Vergi Karşılığı (₺)],tblDonem[Dönem],$A787)</f>
        <v/>
      </c>
      <c r="E787" s="120">
        <f>$C787+$D787</f>
        <v/>
      </c>
      <c r="F787" s="120">
        <f>IF($B787=0,0,$E787/$B787)</f>
        <v/>
      </c>
    </row>
    <row r="788" ht="15" customHeight="1" s="68">
      <c r="A788" s="114" t="n"/>
      <c r="B788" s="120">
        <f>SUMIFS(tblDonem[Gelir (₺)],tblDonem[Dönem],$A788)</f>
        <v/>
      </c>
      <c r="C788" s="120">
        <f>SUMIFS(tblDonem[KDV Tutarı (₺)],tblDonem[Dönem],$A788)-SUMIFS(tblDonem[KDV Yüklenimi (₺)],tblDonem[Dönem],$A788)</f>
        <v/>
      </c>
      <c r="D788" s="120">
        <f>SUMIFS(tblDonem[Vergi Karşılığı (₺)],tblDonem[Dönem],$A788)</f>
        <v/>
      </c>
      <c r="E788" s="120">
        <f>$C788+$D788</f>
        <v/>
      </c>
      <c r="F788" s="120">
        <f>IF($B788=0,0,$E788/$B788)</f>
        <v/>
      </c>
    </row>
    <row r="789" ht="15" customHeight="1" s="68">
      <c r="A789" s="114" t="n"/>
      <c r="B789" s="120">
        <f>SUMIFS(tblDonem[Gelir (₺)],tblDonem[Dönem],$A789)</f>
        <v/>
      </c>
      <c r="C789" s="120">
        <f>SUMIFS(tblDonem[KDV Tutarı (₺)],tblDonem[Dönem],$A789)-SUMIFS(tblDonem[KDV Yüklenimi (₺)],tblDonem[Dönem],$A789)</f>
        <v/>
      </c>
      <c r="D789" s="120">
        <f>SUMIFS(tblDonem[Vergi Karşılığı (₺)],tblDonem[Dönem],$A789)</f>
        <v/>
      </c>
      <c r="E789" s="120">
        <f>$C789+$D789</f>
        <v/>
      </c>
      <c r="F789" s="120">
        <f>IF($B789=0,0,$E789/$B789)</f>
        <v/>
      </c>
    </row>
    <row r="790" ht="15" customHeight="1" s="68">
      <c r="A790" s="114" t="n"/>
      <c r="B790" s="120">
        <f>SUMIFS(tblDonem[Gelir (₺)],tblDonem[Dönem],$A790)</f>
        <v/>
      </c>
      <c r="C790" s="120">
        <f>SUMIFS(tblDonem[KDV Tutarı (₺)],tblDonem[Dönem],$A790)-SUMIFS(tblDonem[KDV Yüklenimi (₺)],tblDonem[Dönem],$A790)</f>
        <v/>
      </c>
      <c r="D790" s="120">
        <f>SUMIFS(tblDonem[Vergi Karşılığı (₺)],tblDonem[Dönem],$A790)</f>
        <v/>
      </c>
      <c r="E790" s="120">
        <f>$C790+$D790</f>
        <v/>
      </c>
      <c r="F790" s="120">
        <f>IF($B790=0,0,$E790/$B790)</f>
        <v/>
      </c>
    </row>
    <row r="791" ht="15" customHeight="1" s="68">
      <c r="A791" s="114" t="n"/>
      <c r="B791" s="120">
        <f>SUMIFS(tblDonem[Gelir (₺)],tblDonem[Dönem],$A791)</f>
        <v/>
      </c>
      <c r="C791" s="120">
        <f>SUMIFS(tblDonem[KDV Tutarı (₺)],tblDonem[Dönem],$A791)-SUMIFS(tblDonem[KDV Yüklenimi (₺)],tblDonem[Dönem],$A791)</f>
        <v/>
      </c>
      <c r="D791" s="120">
        <f>SUMIFS(tblDonem[Vergi Karşılığı (₺)],tblDonem[Dönem],$A791)</f>
        <v/>
      </c>
      <c r="E791" s="120">
        <f>$C791+$D791</f>
        <v/>
      </c>
      <c r="F791" s="120">
        <f>IF($B791=0,0,$E791/$B791)</f>
        <v/>
      </c>
    </row>
    <row r="792" ht="15" customHeight="1" s="68">
      <c r="A792" s="114" t="n"/>
      <c r="B792" s="120">
        <f>SUMIFS(tblDonem[Gelir (₺)],tblDonem[Dönem],$A792)</f>
        <v/>
      </c>
      <c r="C792" s="120">
        <f>SUMIFS(tblDonem[KDV Tutarı (₺)],tblDonem[Dönem],$A792)-SUMIFS(tblDonem[KDV Yüklenimi (₺)],tblDonem[Dönem],$A792)</f>
        <v/>
      </c>
      <c r="D792" s="120">
        <f>SUMIFS(tblDonem[Vergi Karşılığı (₺)],tblDonem[Dönem],$A792)</f>
        <v/>
      </c>
      <c r="E792" s="120">
        <f>$C792+$D792</f>
        <v/>
      </c>
      <c r="F792" s="120">
        <f>IF($B792=0,0,$E792/$B792)</f>
        <v/>
      </c>
    </row>
    <row r="793" ht="15" customHeight="1" s="68">
      <c r="A793" s="114" t="n"/>
      <c r="B793" s="120">
        <f>SUMIFS(tblDonem[Gelir (₺)],tblDonem[Dönem],$A793)</f>
        <v/>
      </c>
      <c r="C793" s="120">
        <f>SUMIFS(tblDonem[KDV Tutarı (₺)],tblDonem[Dönem],$A793)-SUMIFS(tblDonem[KDV Yüklenimi (₺)],tblDonem[Dönem],$A793)</f>
        <v/>
      </c>
      <c r="D793" s="120">
        <f>SUMIFS(tblDonem[Vergi Karşılığı (₺)],tblDonem[Dönem],$A793)</f>
        <v/>
      </c>
      <c r="E793" s="120">
        <f>$C793+$D793</f>
        <v/>
      </c>
      <c r="F793" s="120">
        <f>IF($B793=0,0,$E793/$B793)</f>
        <v/>
      </c>
    </row>
    <row r="794" ht="15" customHeight="1" s="68">
      <c r="A794" s="114" t="n"/>
      <c r="B794" s="120">
        <f>SUMIFS(tblDonem[Gelir (₺)],tblDonem[Dönem],$A794)</f>
        <v/>
      </c>
      <c r="C794" s="120">
        <f>SUMIFS(tblDonem[KDV Tutarı (₺)],tblDonem[Dönem],$A794)-SUMIFS(tblDonem[KDV Yüklenimi (₺)],tblDonem[Dönem],$A794)</f>
        <v/>
      </c>
      <c r="D794" s="120">
        <f>SUMIFS(tblDonem[Vergi Karşılığı (₺)],tblDonem[Dönem],$A794)</f>
        <v/>
      </c>
      <c r="E794" s="120">
        <f>$C794+$D794</f>
        <v/>
      </c>
      <c r="F794" s="120">
        <f>IF($B794=0,0,$E794/$B794)</f>
        <v/>
      </c>
    </row>
    <row r="795" ht="15" customHeight="1" s="68">
      <c r="A795" s="114" t="n"/>
      <c r="B795" s="120">
        <f>SUMIFS(tblDonem[Gelir (₺)],tblDonem[Dönem],$A795)</f>
        <v/>
      </c>
      <c r="C795" s="120">
        <f>SUMIFS(tblDonem[KDV Tutarı (₺)],tblDonem[Dönem],$A795)-SUMIFS(tblDonem[KDV Yüklenimi (₺)],tblDonem[Dönem],$A795)</f>
        <v/>
      </c>
      <c r="D795" s="120">
        <f>SUMIFS(tblDonem[Vergi Karşılığı (₺)],tblDonem[Dönem],$A795)</f>
        <v/>
      </c>
      <c r="E795" s="120">
        <f>$C795+$D795</f>
        <v/>
      </c>
      <c r="F795" s="120">
        <f>IF($B795=0,0,$E795/$B795)</f>
        <v/>
      </c>
    </row>
    <row r="796" ht="15" customHeight="1" s="68">
      <c r="A796" s="114" t="n"/>
      <c r="B796" s="120">
        <f>SUMIFS(tblDonem[Gelir (₺)],tblDonem[Dönem],$A796)</f>
        <v/>
      </c>
      <c r="C796" s="120">
        <f>SUMIFS(tblDonem[KDV Tutarı (₺)],tblDonem[Dönem],$A796)-SUMIFS(tblDonem[KDV Yüklenimi (₺)],tblDonem[Dönem],$A796)</f>
        <v/>
      </c>
      <c r="D796" s="120">
        <f>SUMIFS(tblDonem[Vergi Karşılığı (₺)],tblDonem[Dönem],$A796)</f>
        <v/>
      </c>
      <c r="E796" s="120">
        <f>$C796+$D796</f>
        <v/>
      </c>
      <c r="F796" s="120">
        <f>IF($B796=0,0,$E796/$B796)</f>
        <v/>
      </c>
    </row>
    <row r="797" ht="15" customHeight="1" s="68">
      <c r="A797" s="114" t="n"/>
      <c r="B797" s="120">
        <f>SUMIFS(tblDonem[Gelir (₺)],tblDonem[Dönem],$A797)</f>
        <v/>
      </c>
      <c r="C797" s="120">
        <f>SUMIFS(tblDonem[KDV Tutarı (₺)],tblDonem[Dönem],$A797)-SUMIFS(tblDonem[KDV Yüklenimi (₺)],tblDonem[Dönem],$A797)</f>
        <v/>
      </c>
      <c r="D797" s="120">
        <f>SUMIFS(tblDonem[Vergi Karşılığı (₺)],tblDonem[Dönem],$A797)</f>
        <v/>
      </c>
      <c r="E797" s="120">
        <f>$C797+$D797</f>
        <v/>
      </c>
      <c r="F797" s="120">
        <f>IF($B797=0,0,$E797/$B797)</f>
        <v/>
      </c>
    </row>
    <row r="798" ht="15" customHeight="1" s="68">
      <c r="A798" s="114" t="n"/>
      <c r="B798" s="120">
        <f>SUMIFS(tblDonem[Gelir (₺)],tblDonem[Dönem],$A798)</f>
        <v/>
      </c>
      <c r="C798" s="120">
        <f>SUMIFS(tblDonem[KDV Tutarı (₺)],tblDonem[Dönem],$A798)-SUMIFS(tblDonem[KDV Yüklenimi (₺)],tblDonem[Dönem],$A798)</f>
        <v/>
      </c>
      <c r="D798" s="120">
        <f>SUMIFS(tblDonem[Vergi Karşılığı (₺)],tblDonem[Dönem],$A798)</f>
        <v/>
      </c>
      <c r="E798" s="120">
        <f>$C798+$D798</f>
        <v/>
      </c>
      <c r="F798" s="120">
        <f>IF($B798=0,0,$E798/$B798)</f>
        <v/>
      </c>
    </row>
    <row r="799" ht="15" customHeight="1" s="68">
      <c r="A799" s="114" t="n"/>
      <c r="B799" s="120">
        <f>SUMIFS(tblDonem[Gelir (₺)],tblDonem[Dönem],$A799)</f>
        <v/>
      </c>
      <c r="C799" s="120">
        <f>SUMIFS(tblDonem[KDV Tutarı (₺)],tblDonem[Dönem],$A799)-SUMIFS(tblDonem[KDV Yüklenimi (₺)],tblDonem[Dönem],$A799)</f>
        <v/>
      </c>
      <c r="D799" s="120">
        <f>SUMIFS(tblDonem[Vergi Karşılığı (₺)],tblDonem[Dönem],$A799)</f>
        <v/>
      </c>
      <c r="E799" s="120">
        <f>$C799+$D799</f>
        <v/>
      </c>
      <c r="F799" s="120">
        <f>IF($B799=0,0,$E799/$B799)</f>
        <v/>
      </c>
    </row>
    <row r="800" ht="15" customHeight="1" s="68">
      <c r="A800" s="114" t="n"/>
      <c r="B800" s="120">
        <f>SUMIFS(tblDonem[Gelir (₺)],tblDonem[Dönem],$A800)</f>
        <v/>
      </c>
      <c r="C800" s="120">
        <f>SUMIFS(tblDonem[KDV Tutarı (₺)],tblDonem[Dönem],$A800)-SUMIFS(tblDonem[KDV Yüklenimi (₺)],tblDonem[Dönem],$A800)</f>
        <v/>
      </c>
      <c r="D800" s="120">
        <f>SUMIFS(tblDonem[Vergi Karşılığı (₺)],tblDonem[Dönem],$A800)</f>
        <v/>
      </c>
      <c r="E800" s="120">
        <f>$C800+$D800</f>
        <v/>
      </c>
      <c r="F800" s="120">
        <f>IF($B800=0,0,$E800/$B800)</f>
        <v/>
      </c>
    </row>
    <row r="801" ht="15" customHeight="1" s="68">
      <c r="A801" s="114" t="n"/>
      <c r="B801" s="120">
        <f>SUMIFS(tblDonem[Gelir (₺)],tblDonem[Dönem],$A801)</f>
        <v/>
      </c>
      <c r="C801" s="120">
        <f>SUMIFS(tblDonem[KDV Tutarı (₺)],tblDonem[Dönem],$A801)-SUMIFS(tblDonem[KDV Yüklenimi (₺)],tblDonem[Dönem],$A801)</f>
        <v/>
      </c>
      <c r="D801" s="120">
        <f>SUMIFS(tblDonem[Vergi Karşılığı (₺)],tblDonem[Dönem],$A801)</f>
        <v/>
      </c>
      <c r="E801" s="120">
        <f>$C801+$D801</f>
        <v/>
      </c>
      <c r="F801" s="120">
        <f>IF($B801=0,0,$E801/$B801)</f>
        <v/>
      </c>
    </row>
    <row r="802" ht="15" customHeight="1" s="68">
      <c r="A802" s="114" t="n"/>
      <c r="B802" s="120">
        <f>SUMIFS(tblDonem[Gelir (₺)],tblDonem[Dönem],$A802)</f>
        <v/>
      </c>
      <c r="C802" s="120">
        <f>SUMIFS(tblDonem[KDV Tutarı (₺)],tblDonem[Dönem],$A802)-SUMIFS(tblDonem[KDV Yüklenimi (₺)],tblDonem[Dönem],$A802)</f>
        <v/>
      </c>
      <c r="D802" s="120">
        <f>SUMIFS(tblDonem[Vergi Karşılığı (₺)],tblDonem[Dönem],$A802)</f>
        <v/>
      </c>
      <c r="E802" s="120">
        <f>$C802+$D802</f>
        <v/>
      </c>
      <c r="F802" s="120">
        <f>IF($B802=0,0,$E802/$B802)</f>
        <v/>
      </c>
    </row>
    <row r="803" ht="15" customHeight="1" s="68">
      <c r="A803" s="114" t="n"/>
      <c r="B803" s="120">
        <f>SUMIFS(tblDonem[Gelir (₺)],tblDonem[Dönem],$A803)</f>
        <v/>
      </c>
      <c r="C803" s="120">
        <f>SUMIFS(tblDonem[KDV Tutarı (₺)],tblDonem[Dönem],$A803)-SUMIFS(tblDonem[KDV Yüklenimi (₺)],tblDonem[Dönem],$A803)</f>
        <v/>
      </c>
      <c r="D803" s="120">
        <f>SUMIFS(tblDonem[Vergi Karşılığı (₺)],tblDonem[Dönem],$A803)</f>
        <v/>
      </c>
      <c r="E803" s="120">
        <f>$C803+$D803</f>
        <v/>
      </c>
      <c r="F803" s="120">
        <f>IF($B803=0,0,$E803/$B803)</f>
        <v/>
      </c>
    </row>
    <row r="804" ht="15" customHeight="1" s="68">
      <c r="A804" s="114" t="n"/>
      <c r="B804" s="120">
        <f>SUMIFS(tblDonem[Gelir (₺)],tblDonem[Dönem],$A804)</f>
        <v/>
      </c>
      <c r="C804" s="120">
        <f>SUMIFS(tblDonem[KDV Tutarı (₺)],tblDonem[Dönem],$A804)-SUMIFS(tblDonem[KDV Yüklenimi (₺)],tblDonem[Dönem],$A804)</f>
        <v/>
      </c>
      <c r="D804" s="120">
        <f>SUMIFS(tblDonem[Vergi Karşılığı (₺)],tblDonem[Dönem],$A804)</f>
        <v/>
      </c>
      <c r="E804" s="120">
        <f>$C804+$D804</f>
        <v/>
      </c>
      <c r="F804" s="120">
        <f>IF($B804=0,0,$E804/$B804)</f>
        <v/>
      </c>
    </row>
    <row r="805" ht="15" customHeight="1" s="68">
      <c r="A805" s="114" t="n"/>
      <c r="B805" s="120">
        <f>SUMIFS(tblDonem[Gelir (₺)],tblDonem[Dönem],$A805)</f>
        <v/>
      </c>
      <c r="C805" s="120">
        <f>SUMIFS(tblDonem[KDV Tutarı (₺)],tblDonem[Dönem],$A805)-SUMIFS(tblDonem[KDV Yüklenimi (₺)],tblDonem[Dönem],$A805)</f>
        <v/>
      </c>
      <c r="D805" s="120">
        <f>SUMIFS(tblDonem[Vergi Karşılığı (₺)],tblDonem[Dönem],$A805)</f>
        <v/>
      </c>
      <c r="E805" s="120">
        <f>$C805+$D805</f>
        <v/>
      </c>
      <c r="F805" s="120">
        <f>IF($B805=0,0,$E805/$B805)</f>
        <v/>
      </c>
    </row>
    <row r="806" ht="15" customHeight="1" s="68">
      <c r="A806" s="114" t="n"/>
      <c r="B806" s="120">
        <f>SUMIFS(tblDonem[Gelir (₺)],tblDonem[Dönem],$A806)</f>
        <v/>
      </c>
      <c r="C806" s="120">
        <f>SUMIFS(tblDonem[KDV Tutarı (₺)],tblDonem[Dönem],$A806)-SUMIFS(tblDonem[KDV Yüklenimi (₺)],tblDonem[Dönem],$A806)</f>
        <v/>
      </c>
      <c r="D806" s="120">
        <f>SUMIFS(tblDonem[Vergi Karşılığı (₺)],tblDonem[Dönem],$A806)</f>
        <v/>
      </c>
      <c r="E806" s="120">
        <f>$C806+$D806</f>
        <v/>
      </c>
      <c r="F806" s="120">
        <f>IF($B806=0,0,$E806/$B806)</f>
        <v/>
      </c>
    </row>
    <row r="807" ht="15" customHeight="1" s="68">
      <c r="A807" s="114" t="n"/>
      <c r="B807" s="120">
        <f>SUMIFS(tblDonem[Gelir (₺)],tblDonem[Dönem],$A807)</f>
        <v/>
      </c>
      <c r="C807" s="120">
        <f>SUMIFS(tblDonem[KDV Tutarı (₺)],tblDonem[Dönem],$A807)-SUMIFS(tblDonem[KDV Yüklenimi (₺)],tblDonem[Dönem],$A807)</f>
        <v/>
      </c>
      <c r="D807" s="120">
        <f>SUMIFS(tblDonem[Vergi Karşılığı (₺)],tblDonem[Dönem],$A807)</f>
        <v/>
      </c>
      <c r="E807" s="120">
        <f>$C807+$D807</f>
        <v/>
      </c>
      <c r="F807" s="120">
        <f>IF($B807=0,0,$E807/$B807)</f>
        <v/>
      </c>
    </row>
    <row r="808" ht="15" customHeight="1" s="68">
      <c r="A808" s="114" t="n"/>
      <c r="B808" s="120">
        <f>SUMIFS(tblDonem[Gelir (₺)],tblDonem[Dönem],$A808)</f>
        <v/>
      </c>
      <c r="C808" s="120">
        <f>SUMIFS(tblDonem[KDV Tutarı (₺)],tblDonem[Dönem],$A808)-SUMIFS(tblDonem[KDV Yüklenimi (₺)],tblDonem[Dönem],$A808)</f>
        <v/>
      </c>
      <c r="D808" s="120">
        <f>SUMIFS(tblDonem[Vergi Karşılığı (₺)],tblDonem[Dönem],$A808)</f>
        <v/>
      </c>
      <c r="E808" s="120">
        <f>$C808+$D808</f>
        <v/>
      </c>
      <c r="F808" s="120">
        <f>IF($B808=0,0,$E808/$B808)</f>
        <v/>
      </c>
    </row>
    <row r="809" ht="15" customHeight="1" s="68">
      <c r="A809" s="114" t="n"/>
      <c r="B809" s="120">
        <f>SUMIFS(tblDonem[Gelir (₺)],tblDonem[Dönem],$A809)</f>
        <v/>
      </c>
      <c r="C809" s="120">
        <f>SUMIFS(tblDonem[KDV Tutarı (₺)],tblDonem[Dönem],$A809)-SUMIFS(tblDonem[KDV Yüklenimi (₺)],tblDonem[Dönem],$A809)</f>
        <v/>
      </c>
      <c r="D809" s="120">
        <f>SUMIFS(tblDonem[Vergi Karşılığı (₺)],tblDonem[Dönem],$A809)</f>
        <v/>
      </c>
      <c r="E809" s="120">
        <f>$C809+$D809</f>
        <v/>
      </c>
      <c r="F809" s="120">
        <f>IF($B809=0,0,$E809/$B809)</f>
        <v/>
      </c>
    </row>
    <row r="810" ht="15" customHeight="1" s="68">
      <c r="A810" s="114" t="n"/>
      <c r="B810" s="120">
        <f>SUMIFS(tblDonem[Gelir (₺)],tblDonem[Dönem],$A810)</f>
        <v/>
      </c>
      <c r="C810" s="120">
        <f>SUMIFS(tblDonem[KDV Tutarı (₺)],tblDonem[Dönem],$A810)-SUMIFS(tblDonem[KDV Yüklenimi (₺)],tblDonem[Dönem],$A810)</f>
        <v/>
      </c>
      <c r="D810" s="120">
        <f>SUMIFS(tblDonem[Vergi Karşılığı (₺)],tblDonem[Dönem],$A810)</f>
        <v/>
      </c>
      <c r="E810" s="120">
        <f>$C810+$D810</f>
        <v/>
      </c>
      <c r="F810" s="120">
        <f>IF($B810=0,0,$E810/$B810)</f>
        <v/>
      </c>
    </row>
    <row r="811" ht="15" customHeight="1" s="68">
      <c r="A811" s="114" t="n"/>
      <c r="B811" s="120">
        <f>SUMIFS(tblDonem[Gelir (₺)],tblDonem[Dönem],$A811)</f>
        <v/>
      </c>
      <c r="C811" s="120">
        <f>SUMIFS(tblDonem[KDV Tutarı (₺)],tblDonem[Dönem],$A811)-SUMIFS(tblDonem[KDV Yüklenimi (₺)],tblDonem[Dönem],$A811)</f>
        <v/>
      </c>
      <c r="D811" s="120">
        <f>SUMIFS(tblDonem[Vergi Karşılığı (₺)],tblDonem[Dönem],$A811)</f>
        <v/>
      </c>
      <c r="E811" s="120">
        <f>$C811+$D811</f>
        <v/>
      </c>
      <c r="F811" s="120">
        <f>IF($B811=0,0,$E811/$B811)</f>
        <v/>
      </c>
    </row>
    <row r="812" ht="15" customHeight="1" s="68">
      <c r="A812" s="114" t="n"/>
      <c r="B812" s="120">
        <f>SUMIFS(tblDonem[Gelir (₺)],tblDonem[Dönem],$A812)</f>
        <v/>
      </c>
      <c r="C812" s="120">
        <f>SUMIFS(tblDonem[KDV Tutarı (₺)],tblDonem[Dönem],$A812)-SUMIFS(tblDonem[KDV Yüklenimi (₺)],tblDonem[Dönem],$A812)</f>
        <v/>
      </c>
      <c r="D812" s="120">
        <f>SUMIFS(tblDonem[Vergi Karşılığı (₺)],tblDonem[Dönem],$A812)</f>
        <v/>
      </c>
      <c r="E812" s="120">
        <f>$C812+$D812</f>
        <v/>
      </c>
      <c r="F812" s="120">
        <f>IF($B812=0,0,$E812/$B812)</f>
        <v/>
      </c>
    </row>
    <row r="813" ht="15" customHeight="1" s="68">
      <c r="A813" s="114" t="n"/>
      <c r="B813" s="120">
        <f>SUMIFS(tblDonem[Gelir (₺)],tblDonem[Dönem],$A813)</f>
        <v/>
      </c>
      <c r="C813" s="120">
        <f>SUMIFS(tblDonem[KDV Tutarı (₺)],tblDonem[Dönem],$A813)-SUMIFS(tblDonem[KDV Yüklenimi (₺)],tblDonem[Dönem],$A813)</f>
        <v/>
      </c>
      <c r="D813" s="120">
        <f>SUMIFS(tblDonem[Vergi Karşılığı (₺)],tblDonem[Dönem],$A813)</f>
        <v/>
      </c>
      <c r="E813" s="120">
        <f>$C813+$D813</f>
        <v/>
      </c>
      <c r="F813" s="120">
        <f>IF($B813=0,0,$E813/$B813)</f>
        <v/>
      </c>
    </row>
    <row r="814" ht="15" customHeight="1" s="68">
      <c r="A814" s="114" t="n"/>
      <c r="B814" s="120">
        <f>SUMIFS(tblDonem[Gelir (₺)],tblDonem[Dönem],$A814)</f>
        <v/>
      </c>
      <c r="C814" s="120">
        <f>SUMIFS(tblDonem[KDV Tutarı (₺)],tblDonem[Dönem],$A814)-SUMIFS(tblDonem[KDV Yüklenimi (₺)],tblDonem[Dönem],$A814)</f>
        <v/>
      </c>
      <c r="D814" s="120">
        <f>SUMIFS(tblDonem[Vergi Karşılığı (₺)],tblDonem[Dönem],$A814)</f>
        <v/>
      </c>
      <c r="E814" s="120">
        <f>$C814+$D814</f>
        <v/>
      </c>
      <c r="F814" s="120">
        <f>IF($B814=0,0,$E814/$B814)</f>
        <v/>
      </c>
    </row>
    <row r="815" ht="15" customHeight="1" s="68">
      <c r="A815" s="114" t="n"/>
      <c r="B815" s="120">
        <f>SUMIFS(tblDonem[Gelir (₺)],tblDonem[Dönem],$A815)</f>
        <v/>
      </c>
      <c r="C815" s="120">
        <f>SUMIFS(tblDonem[KDV Tutarı (₺)],tblDonem[Dönem],$A815)-SUMIFS(tblDonem[KDV Yüklenimi (₺)],tblDonem[Dönem],$A815)</f>
        <v/>
      </c>
      <c r="D815" s="120">
        <f>SUMIFS(tblDonem[Vergi Karşılığı (₺)],tblDonem[Dönem],$A815)</f>
        <v/>
      </c>
      <c r="E815" s="120">
        <f>$C815+$D815</f>
        <v/>
      </c>
      <c r="F815" s="120">
        <f>IF($B815=0,0,$E815/$B815)</f>
        <v/>
      </c>
    </row>
    <row r="816" ht="15" customHeight="1" s="68">
      <c r="A816" s="114" t="n"/>
      <c r="B816" s="120">
        <f>SUMIFS(tblDonem[Gelir (₺)],tblDonem[Dönem],$A816)</f>
        <v/>
      </c>
      <c r="C816" s="120">
        <f>SUMIFS(tblDonem[KDV Tutarı (₺)],tblDonem[Dönem],$A816)-SUMIFS(tblDonem[KDV Yüklenimi (₺)],tblDonem[Dönem],$A816)</f>
        <v/>
      </c>
      <c r="D816" s="120">
        <f>SUMIFS(tblDonem[Vergi Karşılığı (₺)],tblDonem[Dönem],$A816)</f>
        <v/>
      </c>
      <c r="E816" s="120">
        <f>$C816+$D816</f>
        <v/>
      </c>
      <c r="F816" s="120">
        <f>IF($B816=0,0,$E816/$B816)</f>
        <v/>
      </c>
    </row>
    <row r="817" ht="15" customHeight="1" s="68">
      <c r="A817" s="114" t="n"/>
      <c r="B817" s="120">
        <f>SUMIFS(tblDonem[Gelir (₺)],tblDonem[Dönem],$A817)</f>
        <v/>
      </c>
      <c r="C817" s="120">
        <f>SUMIFS(tblDonem[KDV Tutarı (₺)],tblDonem[Dönem],$A817)-SUMIFS(tblDonem[KDV Yüklenimi (₺)],tblDonem[Dönem],$A817)</f>
        <v/>
      </c>
      <c r="D817" s="120">
        <f>SUMIFS(tblDonem[Vergi Karşılığı (₺)],tblDonem[Dönem],$A817)</f>
        <v/>
      </c>
      <c r="E817" s="120">
        <f>$C817+$D817</f>
        <v/>
      </c>
      <c r="F817" s="120">
        <f>IF($B817=0,0,$E817/$B817)</f>
        <v/>
      </c>
    </row>
    <row r="818" ht="15" customHeight="1" s="68">
      <c r="A818" s="114" t="n"/>
      <c r="B818" s="120">
        <f>SUMIFS(tblDonem[Gelir (₺)],tblDonem[Dönem],$A818)</f>
        <v/>
      </c>
      <c r="C818" s="120">
        <f>SUMIFS(tblDonem[KDV Tutarı (₺)],tblDonem[Dönem],$A818)-SUMIFS(tblDonem[KDV Yüklenimi (₺)],tblDonem[Dönem],$A818)</f>
        <v/>
      </c>
      <c r="D818" s="120">
        <f>SUMIFS(tblDonem[Vergi Karşılığı (₺)],tblDonem[Dönem],$A818)</f>
        <v/>
      </c>
      <c r="E818" s="120">
        <f>$C818+$D818</f>
        <v/>
      </c>
      <c r="F818" s="120">
        <f>IF($B818=0,0,$E818/$B818)</f>
        <v/>
      </c>
    </row>
    <row r="819" ht="15" customHeight="1" s="68">
      <c r="A819" s="114" t="n"/>
      <c r="B819" s="120">
        <f>SUMIFS(tblDonem[Gelir (₺)],tblDonem[Dönem],$A819)</f>
        <v/>
      </c>
      <c r="C819" s="120">
        <f>SUMIFS(tblDonem[KDV Tutarı (₺)],tblDonem[Dönem],$A819)-SUMIFS(tblDonem[KDV Yüklenimi (₺)],tblDonem[Dönem],$A819)</f>
        <v/>
      </c>
      <c r="D819" s="120">
        <f>SUMIFS(tblDonem[Vergi Karşılığı (₺)],tblDonem[Dönem],$A819)</f>
        <v/>
      </c>
      <c r="E819" s="120">
        <f>$C819+$D819</f>
        <v/>
      </c>
      <c r="F819" s="120">
        <f>IF($B819=0,0,$E819/$B819)</f>
        <v/>
      </c>
    </row>
    <row r="820" ht="15" customHeight="1" s="68">
      <c r="A820" s="114" t="n"/>
      <c r="B820" s="120">
        <f>SUMIFS(tblDonem[Gelir (₺)],tblDonem[Dönem],$A820)</f>
        <v/>
      </c>
      <c r="C820" s="120">
        <f>SUMIFS(tblDonem[KDV Tutarı (₺)],tblDonem[Dönem],$A820)-SUMIFS(tblDonem[KDV Yüklenimi (₺)],tblDonem[Dönem],$A820)</f>
        <v/>
      </c>
      <c r="D820" s="120">
        <f>SUMIFS(tblDonem[Vergi Karşılığı (₺)],tblDonem[Dönem],$A820)</f>
        <v/>
      </c>
      <c r="E820" s="120">
        <f>$C820+$D820</f>
        <v/>
      </c>
      <c r="F820" s="120">
        <f>IF($B820=0,0,$E820/$B820)</f>
        <v/>
      </c>
    </row>
    <row r="821" ht="15" customHeight="1" s="68">
      <c r="A821" s="114" t="n"/>
      <c r="B821" s="120">
        <f>SUMIFS(tblDonem[Gelir (₺)],tblDonem[Dönem],$A821)</f>
        <v/>
      </c>
      <c r="C821" s="120">
        <f>SUMIFS(tblDonem[KDV Tutarı (₺)],tblDonem[Dönem],$A821)-SUMIFS(tblDonem[KDV Yüklenimi (₺)],tblDonem[Dönem],$A821)</f>
        <v/>
      </c>
      <c r="D821" s="120">
        <f>SUMIFS(tblDonem[Vergi Karşılığı (₺)],tblDonem[Dönem],$A821)</f>
        <v/>
      </c>
      <c r="E821" s="120">
        <f>$C821+$D821</f>
        <v/>
      </c>
      <c r="F821" s="120">
        <f>IF($B821=0,0,$E821/$B821)</f>
        <v/>
      </c>
    </row>
    <row r="822" ht="15" customHeight="1" s="68">
      <c r="A822" s="114" t="n"/>
      <c r="B822" s="120">
        <f>SUMIFS(tblDonem[Gelir (₺)],tblDonem[Dönem],$A822)</f>
        <v/>
      </c>
      <c r="C822" s="120">
        <f>SUMIFS(tblDonem[KDV Tutarı (₺)],tblDonem[Dönem],$A822)-SUMIFS(tblDonem[KDV Yüklenimi (₺)],tblDonem[Dönem],$A822)</f>
        <v/>
      </c>
      <c r="D822" s="120">
        <f>SUMIFS(tblDonem[Vergi Karşılığı (₺)],tblDonem[Dönem],$A822)</f>
        <v/>
      </c>
      <c r="E822" s="120">
        <f>$C822+$D822</f>
        <v/>
      </c>
      <c r="F822" s="120">
        <f>IF($B822=0,0,$E822/$B822)</f>
        <v/>
      </c>
    </row>
    <row r="823" ht="15" customHeight="1" s="68">
      <c r="A823" s="114" t="n"/>
      <c r="B823" s="120">
        <f>SUMIFS(tblDonem[Gelir (₺)],tblDonem[Dönem],$A823)</f>
        <v/>
      </c>
      <c r="C823" s="120">
        <f>SUMIFS(tblDonem[KDV Tutarı (₺)],tblDonem[Dönem],$A823)-SUMIFS(tblDonem[KDV Yüklenimi (₺)],tblDonem[Dönem],$A823)</f>
        <v/>
      </c>
      <c r="D823" s="120">
        <f>SUMIFS(tblDonem[Vergi Karşılığı (₺)],tblDonem[Dönem],$A823)</f>
        <v/>
      </c>
      <c r="E823" s="120">
        <f>$C823+$D823</f>
        <v/>
      </c>
      <c r="F823" s="120">
        <f>IF($B823=0,0,$E823/$B823)</f>
        <v/>
      </c>
    </row>
    <row r="824" ht="15" customHeight="1" s="68">
      <c r="A824" s="114" t="n"/>
      <c r="B824" s="120">
        <f>SUMIFS(tblDonem[Gelir (₺)],tblDonem[Dönem],$A824)</f>
        <v/>
      </c>
      <c r="C824" s="120">
        <f>SUMIFS(tblDonem[KDV Tutarı (₺)],tblDonem[Dönem],$A824)-SUMIFS(tblDonem[KDV Yüklenimi (₺)],tblDonem[Dönem],$A824)</f>
        <v/>
      </c>
      <c r="D824" s="120">
        <f>SUMIFS(tblDonem[Vergi Karşılığı (₺)],tblDonem[Dönem],$A824)</f>
        <v/>
      </c>
      <c r="E824" s="120">
        <f>$C824+$D824</f>
        <v/>
      </c>
      <c r="F824" s="120">
        <f>IF($B824=0,0,$E824/$B824)</f>
        <v/>
      </c>
    </row>
    <row r="825" ht="15" customHeight="1" s="68">
      <c r="A825" s="114" t="n"/>
      <c r="B825" s="120">
        <f>SUMIFS(tblDonem[Gelir (₺)],tblDonem[Dönem],$A825)</f>
        <v/>
      </c>
      <c r="C825" s="120">
        <f>SUMIFS(tblDonem[KDV Tutarı (₺)],tblDonem[Dönem],$A825)-SUMIFS(tblDonem[KDV Yüklenimi (₺)],tblDonem[Dönem],$A825)</f>
        <v/>
      </c>
      <c r="D825" s="120">
        <f>SUMIFS(tblDonem[Vergi Karşılığı (₺)],tblDonem[Dönem],$A825)</f>
        <v/>
      </c>
      <c r="E825" s="120">
        <f>$C825+$D825</f>
        <v/>
      </c>
      <c r="F825" s="120">
        <f>IF($B825=0,0,$E825/$B825)</f>
        <v/>
      </c>
    </row>
    <row r="826" ht="15" customHeight="1" s="68">
      <c r="A826" s="114" t="n"/>
      <c r="B826" s="120">
        <f>SUMIFS(tblDonem[Gelir (₺)],tblDonem[Dönem],$A826)</f>
        <v/>
      </c>
      <c r="C826" s="120">
        <f>SUMIFS(tblDonem[KDV Tutarı (₺)],tblDonem[Dönem],$A826)-SUMIFS(tblDonem[KDV Yüklenimi (₺)],tblDonem[Dönem],$A826)</f>
        <v/>
      </c>
      <c r="D826" s="120">
        <f>SUMIFS(tblDonem[Vergi Karşılığı (₺)],tblDonem[Dönem],$A826)</f>
        <v/>
      </c>
      <c r="E826" s="120">
        <f>$C826+$D826</f>
        <v/>
      </c>
      <c r="F826" s="120">
        <f>IF($B826=0,0,$E826/$B826)</f>
        <v/>
      </c>
    </row>
    <row r="827" ht="15" customHeight="1" s="68">
      <c r="A827" s="114" t="n"/>
      <c r="B827" s="120">
        <f>SUMIFS(tblDonem[Gelir (₺)],tblDonem[Dönem],$A827)</f>
        <v/>
      </c>
      <c r="C827" s="120">
        <f>SUMIFS(tblDonem[KDV Tutarı (₺)],tblDonem[Dönem],$A827)-SUMIFS(tblDonem[KDV Yüklenimi (₺)],tblDonem[Dönem],$A827)</f>
        <v/>
      </c>
      <c r="D827" s="120">
        <f>SUMIFS(tblDonem[Vergi Karşılığı (₺)],tblDonem[Dönem],$A827)</f>
        <v/>
      </c>
      <c r="E827" s="120">
        <f>$C827+$D827</f>
        <v/>
      </c>
      <c r="F827" s="120">
        <f>IF($B827=0,0,$E827/$B827)</f>
        <v/>
      </c>
    </row>
    <row r="828" ht="15" customHeight="1" s="68">
      <c r="A828" s="114" t="n"/>
      <c r="B828" s="120">
        <f>SUMIFS(tblDonem[Gelir (₺)],tblDonem[Dönem],$A828)</f>
        <v/>
      </c>
      <c r="C828" s="120">
        <f>SUMIFS(tblDonem[KDV Tutarı (₺)],tblDonem[Dönem],$A828)-SUMIFS(tblDonem[KDV Yüklenimi (₺)],tblDonem[Dönem],$A828)</f>
        <v/>
      </c>
      <c r="D828" s="120">
        <f>SUMIFS(tblDonem[Vergi Karşılığı (₺)],tblDonem[Dönem],$A828)</f>
        <v/>
      </c>
      <c r="E828" s="120">
        <f>$C828+$D828</f>
        <v/>
      </c>
      <c r="F828" s="120">
        <f>IF($B828=0,0,$E828/$B828)</f>
        <v/>
      </c>
    </row>
    <row r="829" ht="15" customHeight="1" s="68">
      <c r="A829" s="114" t="n"/>
      <c r="B829" s="120">
        <f>SUMIFS(tblDonem[Gelir (₺)],tblDonem[Dönem],$A829)</f>
        <v/>
      </c>
      <c r="C829" s="120">
        <f>SUMIFS(tblDonem[KDV Tutarı (₺)],tblDonem[Dönem],$A829)-SUMIFS(tblDonem[KDV Yüklenimi (₺)],tblDonem[Dönem],$A829)</f>
        <v/>
      </c>
      <c r="D829" s="120">
        <f>SUMIFS(tblDonem[Vergi Karşılığı (₺)],tblDonem[Dönem],$A829)</f>
        <v/>
      </c>
      <c r="E829" s="120">
        <f>$C829+$D829</f>
        <v/>
      </c>
      <c r="F829" s="120">
        <f>IF($B829=0,0,$E829/$B829)</f>
        <v/>
      </c>
    </row>
    <row r="830" ht="15" customHeight="1" s="68">
      <c r="A830" s="114" t="n"/>
      <c r="B830" s="120">
        <f>SUMIFS(tblDonem[Gelir (₺)],tblDonem[Dönem],$A830)</f>
        <v/>
      </c>
      <c r="C830" s="120">
        <f>SUMIFS(tblDonem[KDV Tutarı (₺)],tblDonem[Dönem],$A830)-SUMIFS(tblDonem[KDV Yüklenimi (₺)],tblDonem[Dönem],$A830)</f>
        <v/>
      </c>
      <c r="D830" s="120">
        <f>SUMIFS(tblDonem[Vergi Karşılığı (₺)],tblDonem[Dönem],$A830)</f>
        <v/>
      </c>
      <c r="E830" s="120">
        <f>$C830+$D830</f>
        <v/>
      </c>
      <c r="F830" s="120">
        <f>IF($B830=0,0,$E830/$B830)</f>
        <v/>
      </c>
    </row>
    <row r="831" ht="15" customHeight="1" s="68">
      <c r="A831" s="114" t="n"/>
      <c r="B831" s="120">
        <f>SUMIFS(tblDonem[Gelir (₺)],tblDonem[Dönem],$A831)</f>
        <v/>
      </c>
      <c r="C831" s="120">
        <f>SUMIFS(tblDonem[KDV Tutarı (₺)],tblDonem[Dönem],$A831)-SUMIFS(tblDonem[KDV Yüklenimi (₺)],tblDonem[Dönem],$A831)</f>
        <v/>
      </c>
      <c r="D831" s="120">
        <f>SUMIFS(tblDonem[Vergi Karşılığı (₺)],tblDonem[Dönem],$A831)</f>
        <v/>
      </c>
      <c r="E831" s="120">
        <f>$C831+$D831</f>
        <v/>
      </c>
      <c r="F831" s="120">
        <f>IF($B831=0,0,$E831/$B831)</f>
        <v/>
      </c>
    </row>
    <row r="832" ht="15" customHeight="1" s="68">
      <c r="A832" s="114" t="n"/>
      <c r="B832" s="120">
        <f>SUMIFS(tblDonem[Gelir (₺)],tblDonem[Dönem],$A832)</f>
        <v/>
      </c>
      <c r="C832" s="120">
        <f>SUMIFS(tblDonem[KDV Tutarı (₺)],tblDonem[Dönem],$A832)-SUMIFS(tblDonem[KDV Yüklenimi (₺)],tblDonem[Dönem],$A832)</f>
        <v/>
      </c>
      <c r="D832" s="120">
        <f>SUMIFS(tblDonem[Vergi Karşılığı (₺)],tblDonem[Dönem],$A832)</f>
        <v/>
      </c>
      <c r="E832" s="120">
        <f>$C832+$D832</f>
        <v/>
      </c>
      <c r="F832" s="120">
        <f>IF($B832=0,0,$E832/$B832)</f>
        <v/>
      </c>
    </row>
    <row r="833" ht="15" customHeight="1" s="68">
      <c r="A833" s="114" t="n"/>
      <c r="B833" s="120">
        <f>SUMIFS(tblDonem[Gelir (₺)],tblDonem[Dönem],$A833)</f>
        <v/>
      </c>
      <c r="C833" s="120">
        <f>SUMIFS(tblDonem[KDV Tutarı (₺)],tblDonem[Dönem],$A833)-SUMIFS(tblDonem[KDV Yüklenimi (₺)],tblDonem[Dönem],$A833)</f>
        <v/>
      </c>
      <c r="D833" s="120">
        <f>SUMIFS(tblDonem[Vergi Karşılığı (₺)],tblDonem[Dönem],$A833)</f>
        <v/>
      </c>
      <c r="E833" s="120">
        <f>$C833+$D833</f>
        <v/>
      </c>
      <c r="F833" s="120">
        <f>IF($B833=0,0,$E833/$B833)</f>
        <v/>
      </c>
    </row>
    <row r="834" ht="15" customHeight="1" s="68">
      <c r="A834" s="114" t="n"/>
      <c r="B834" s="120">
        <f>SUMIFS(tblDonem[Gelir (₺)],tblDonem[Dönem],$A834)</f>
        <v/>
      </c>
      <c r="C834" s="120">
        <f>SUMIFS(tblDonem[KDV Tutarı (₺)],tblDonem[Dönem],$A834)-SUMIFS(tblDonem[KDV Yüklenimi (₺)],tblDonem[Dönem],$A834)</f>
        <v/>
      </c>
      <c r="D834" s="120">
        <f>SUMIFS(tblDonem[Vergi Karşılığı (₺)],tblDonem[Dönem],$A834)</f>
        <v/>
      </c>
      <c r="E834" s="120">
        <f>$C834+$D834</f>
        <v/>
      </c>
      <c r="F834" s="120">
        <f>IF($B834=0,0,$E834/$B834)</f>
        <v/>
      </c>
    </row>
    <row r="835" ht="15" customHeight="1" s="68">
      <c r="A835" s="114" t="n"/>
      <c r="B835" s="120">
        <f>SUMIFS(tblDonem[Gelir (₺)],tblDonem[Dönem],$A835)</f>
        <v/>
      </c>
      <c r="C835" s="120">
        <f>SUMIFS(tblDonem[KDV Tutarı (₺)],tblDonem[Dönem],$A835)-SUMIFS(tblDonem[KDV Yüklenimi (₺)],tblDonem[Dönem],$A835)</f>
        <v/>
      </c>
      <c r="D835" s="120">
        <f>SUMIFS(tblDonem[Vergi Karşılığı (₺)],tblDonem[Dönem],$A835)</f>
        <v/>
      </c>
      <c r="E835" s="120">
        <f>$C835+$D835</f>
        <v/>
      </c>
      <c r="F835" s="120">
        <f>IF($B835=0,0,$E835/$B835)</f>
        <v/>
      </c>
    </row>
    <row r="836" ht="15" customHeight="1" s="68">
      <c r="A836" s="114" t="n"/>
      <c r="B836" s="120">
        <f>SUMIFS(tblDonem[Gelir (₺)],tblDonem[Dönem],$A836)</f>
        <v/>
      </c>
      <c r="C836" s="120">
        <f>SUMIFS(tblDonem[KDV Tutarı (₺)],tblDonem[Dönem],$A836)-SUMIFS(tblDonem[KDV Yüklenimi (₺)],tblDonem[Dönem],$A836)</f>
        <v/>
      </c>
      <c r="D836" s="120">
        <f>SUMIFS(tblDonem[Vergi Karşılığı (₺)],tblDonem[Dönem],$A836)</f>
        <v/>
      </c>
      <c r="E836" s="120">
        <f>$C836+$D836</f>
        <v/>
      </c>
      <c r="F836" s="120">
        <f>IF($B836=0,0,$E836/$B836)</f>
        <v/>
      </c>
    </row>
    <row r="837" ht="15" customHeight="1" s="68">
      <c r="A837" s="114" t="n"/>
      <c r="B837" s="120">
        <f>SUMIFS(tblDonem[Gelir (₺)],tblDonem[Dönem],$A837)</f>
        <v/>
      </c>
      <c r="C837" s="120">
        <f>SUMIFS(tblDonem[KDV Tutarı (₺)],tblDonem[Dönem],$A837)-SUMIFS(tblDonem[KDV Yüklenimi (₺)],tblDonem[Dönem],$A837)</f>
        <v/>
      </c>
      <c r="D837" s="120">
        <f>SUMIFS(tblDonem[Vergi Karşılığı (₺)],tblDonem[Dönem],$A837)</f>
        <v/>
      </c>
      <c r="E837" s="120">
        <f>$C837+$D837</f>
        <v/>
      </c>
      <c r="F837" s="120">
        <f>IF($B837=0,0,$E837/$B837)</f>
        <v/>
      </c>
    </row>
    <row r="838" ht="15" customHeight="1" s="68">
      <c r="A838" s="114" t="n"/>
      <c r="B838" s="120">
        <f>SUMIFS(tblDonem[Gelir (₺)],tblDonem[Dönem],$A838)</f>
        <v/>
      </c>
      <c r="C838" s="120">
        <f>SUMIFS(tblDonem[KDV Tutarı (₺)],tblDonem[Dönem],$A838)-SUMIFS(tblDonem[KDV Yüklenimi (₺)],tblDonem[Dönem],$A838)</f>
        <v/>
      </c>
      <c r="D838" s="120">
        <f>SUMIFS(tblDonem[Vergi Karşılığı (₺)],tblDonem[Dönem],$A838)</f>
        <v/>
      </c>
      <c r="E838" s="120">
        <f>$C838+$D838</f>
        <v/>
      </c>
      <c r="F838" s="120">
        <f>IF($B838=0,0,$E838/$B838)</f>
        <v/>
      </c>
    </row>
    <row r="839" ht="15" customHeight="1" s="68">
      <c r="A839" s="114" t="n"/>
      <c r="B839" s="120">
        <f>SUMIFS(tblDonem[Gelir (₺)],tblDonem[Dönem],$A839)</f>
        <v/>
      </c>
      <c r="C839" s="120">
        <f>SUMIFS(tblDonem[KDV Tutarı (₺)],tblDonem[Dönem],$A839)-SUMIFS(tblDonem[KDV Yüklenimi (₺)],tblDonem[Dönem],$A839)</f>
        <v/>
      </c>
      <c r="D839" s="120">
        <f>SUMIFS(tblDonem[Vergi Karşılığı (₺)],tblDonem[Dönem],$A839)</f>
        <v/>
      </c>
      <c r="E839" s="120">
        <f>$C839+$D839</f>
        <v/>
      </c>
      <c r="F839" s="120">
        <f>IF($B839=0,0,$E839/$B839)</f>
        <v/>
      </c>
    </row>
    <row r="840" ht="15" customHeight="1" s="68">
      <c r="A840" s="114" t="n"/>
      <c r="B840" s="120">
        <f>SUMIFS(tblDonem[Gelir (₺)],tblDonem[Dönem],$A840)</f>
        <v/>
      </c>
      <c r="C840" s="120">
        <f>SUMIFS(tblDonem[KDV Tutarı (₺)],tblDonem[Dönem],$A840)-SUMIFS(tblDonem[KDV Yüklenimi (₺)],tblDonem[Dönem],$A840)</f>
        <v/>
      </c>
      <c r="D840" s="120">
        <f>SUMIFS(tblDonem[Vergi Karşılığı (₺)],tblDonem[Dönem],$A840)</f>
        <v/>
      </c>
      <c r="E840" s="120">
        <f>$C840+$D840</f>
        <v/>
      </c>
      <c r="F840" s="120">
        <f>IF($B840=0,0,$E840/$B840)</f>
        <v/>
      </c>
    </row>
    <row r="841" ht="15" customHeight="1" s="68">
      <c r="A841" s="114" t="n"/>
      <c r="B841" s="120">
        <f>SUMIFS(tblDonem[Gelir (₺)],tblDonem[Dönem],$A841)</f>
        <v/>
      </c>
      <c r="C841" s="120">
        <f>SUMIFS(tblDonem[KDV Tutarı (₺)],tblDonem[Dönem],$A841)-SUMIFS(tblDonem[KDV Yüklenimi (₺)],tblDonem[Dönem],$A841)</f>
        <v/>
      </c>
      <c r="D841" s="120">
        <f>SUMIFS(tblDonem[Vergi Karşılığı (₺)],tblDonem[Dönem],$A841)</f>
        <v/>
      </c>
      <c r="E841" s="120">
        <f>$C841+$D841</f>
        <v/>
      </c>
      <c r="F841" s="120">
        <f>IF($B841=0,0,$E841/$B841)</f>
        <v/>
      </c>
    </row>
    <row r="842" ht="15" customHeight="1" s="68">
      <c r="A842" s="114" t="n"/>
      <c r="B842" s="120">
        <f>SUMIFS(tblDonem[Gelir (₺)],tblDonem[Dönem],$A842)</f>
        <v/>
      </c>
      <c r="C842" s="120">
        <f>SUMIFS(tblDonem[KDV Tutarı (₺)],tblDonem[Dönem],$A842)-SUMIFS(tblDonem[KDV Yüklenimi (₺)],tblDonem[Dönem],$A842)</f>
        <v/>
      </c>
      <c r="D842" s="120">
        <f>SUMIFS(tblDonem[Vergi Karşılığı (₺)],tblDonem[Dönem],$A842)</f>
        <v/>
      </c>
      <c r="E842" s="120">
        <f>$C842+$D842</f>
        <v/>
      </c>
      <c r="F842" s="120">
        <f>IF($B842=0,0,$E842/$B842)</f>
        <v/>
      </c>
    </row>
    <row r="843" ht="15" customHeight="1" s="68">
      <c r="A843" s="114" t="n"/>
      <c r="B843" s="120">
        <f>SUMIFS(tblDonem[Gelir (₺)],tblDonem[Dönem],$A843)</f>
        <v/>
      </c>
      <c r="C843" s="120">
        <f>SUMIFS(tblDonem[KDV Tutarı (₺)],tblDonem[Dönem],$A843)-SUMIFS(tblDonem[KDV Yüklenimi (₺)],tblDonem[Dönem],$A843)</f>
        <v/>
      </c>
      <c r="D843" s="120">
        <f>SUMIFS(tblDonem[Vergi Karşılığı (₺)],tblDonem[Dönem],$A843)</f>
        <v/>
      </c>
      <c r="E843" s="120">
        <f>$C843+$D843</f>
        <v/>
      </c>
      <c r="F843" s="120">
        <f>IF($B843=0,0,$E843/$B843)</f>
        <v/>
      </c>
    </row>
    <row r="844" ht="15" customHeight="1" s="68">
      <c r="A844" s="114" t="n"/>
      <c r="B844" s="120">
        <f>SUMIFS(tblDonem[Gelir (₺)],tblDonem[Dönem],$A844)</f>
        <v/>
      </c>
      <c r="C844" s="120">
        <f>SUMIFS(tblDonem[KDV Tutarı (₺)],tblDonem[Dönem],$A844)-SUMIFS(tblDonem[KDV Yüklenimi (₺)],tblDonem[Dönem],$A844)</f>
        <v/>
      </c>
      <c r="D844" s="120">
        <f>SUMIFS(tblDonem[Vergi Karşılığı (₺)],tblDonem[Dönem],$A844)</f>
        <v/>
      </c>
      <c r="E844" s="120">
        <f>$C844+$D844</f>
        <v/>
      </c>
      <c r="F844" s="120">
        <f>IF($B844=0,0,$E844/$B844)</f>
        <v/>
      </c>
    </row>
    <row r="845" ht="15" customHeight="1" s="68">
      <c r="A845" s="114" t="n"/>
      <c r="B845" s="120">
        <f>SUMIFS(tblDonem[Gelir (₺)],tblDonem[Dönem],$A845)</f>
        <v/>
      </c>
      <c r="C845" s="120">
        <f>SUMIFS(tblDonem[KDV Tutarı (₺)],tblDonem[Dönem],$A845)-SUMIFS(tblDonem[KDV Yüklenimi (₺)],tblDonem[Dönem],$A845)</f>
        <v/>
      </c>
      <c r="D845" s="120">
        <f>SUMIFS(tblDonem[Vergi Karşılığı (₺)],tblDonem[Dönem],$A845)</f>
        <v/>
      </c>
      <c r="E845" s="120">
        <f>$C845+$D845</f>
        <v/>
      </c>
      <c r="F845" s="120">
        <f>IF($B845=0,0,$E845/$B845)</f>
        <v/>
      </c>
    </row>
    <row r="846" ht="15" customHeight="1" s="68">
      <c r="A846" s="114" t="n"/>
      <c r="B846" s="120">
        <f>SUMIFS(tblDonem[Gelir (₺)],tblDonem[Dönem],$A846)</f>
        <v/>
      </c>
      <c r="C846" s="120">
        <f>SUMIFS(tblDonem[KDV Tutarı (₺)],tblDonem[Dönem],$A846)-SUMIFS(tblDonem[KDV Yüklenimi (₺)],tblDonem[Dönem],$A846)</f>
        <v/>
      </c>
      <c r="D846" s="120">
        <f>SUMIFS(tblDonem[Vergi Karşılığı (₺)],tblDonem[Dönem],$A846)</f>
        <v/>
      </c>
      <c r="E846" s="120">
        <f>$C846+$D846</f>
        <v/>
      </c>
      <c r="F846" s="120">
        <f>IF($B846=0,0,$E846/$B846)</f>
        <v/>
      </c>
    </row>
    <row r="847" ht="15" customHeight="1" s="68">
      <c r="A847" s="114" t="n"/>
      <c r="B847" s="120">
        <f>SUMIFS(tblDonem[Gelir (₺)],tblDonem[Dönem],$A847)</f>
        <v/>
      </c>
      <c r="C847" s="120">
        <f>SUMIFS(tblDonem[KDV Tutarı (₺)],tblDonem[Dönem],$A847)-SUMIFS(tblDonem[KDV Yüklenimi (₺)],tblDonem[Dönem],$A847)</f>
        <v/>
      </c>
      <c r="D847" s="120">
        <f>SUMIFS(tblDonem[Vergi Karşılığı (₺)],tblDonem[Dönem],$A847)</f>
        <v/>
      </c>
      <c r="E847" s="120">
        <f>$C847+$D847</f>
        <v/>
      </c>
      <c r="F847" s="120">
        <f>IF($B847=0,0,$E847/$B847)</f>
        <v/>
      </c>
    </row>
    <row r="848" ht="15" customHeight="1" s="68">
      <c r="A848" s="114" t="n"/>
      <c r="B848" s="120">
        <f>SUMIFS(tblDonem[Gelir (₺)],tblDonem[Dönem],$A848)</f>
        <v/>
      </c>
      <c r="C848" s="120">
        <f>SUMIFS(tblDonem[KDV Tutarı (₺)],tblDonem[Dönem],$A848)-SUMIFS(tblDonem[KDV Yüklenimi (₺)],tblDonem[Dönem],$A848)</f>
        <v/>
      </c>
      <c r="D848" s="120">
        <f>SUMIFS(tblDonem[Vergi Karşılığı (₺)],tblDonem[Dönem],$A848)</f>
        <v/>
      </c>
      <c r="E848" s="120">
        <f>$C848+$D848</f>
        <v/>
      </c>
      <c r="F848" s="120">
        <f>IF($B848=0,0,$E848/$B848)</f>
        <v/>
      </c>
    </row>
    <row r="849" ht="15" customHeight="1" s="68">
      <c r="A849" s="114" t="n"/>
      <c r="B849" s="120">
        <f>SUMIFS(tblDonem[Gelir (₺)],tblDonem[Dönem],$A849)</f>
        <v/>
      </c>
      <c r="C849" s="120">
        <f>SUMIFS(tblDonem[KDV Tutarı (₺)],tblDonem[Dönem],$A849)-SUMIFS(tblDonem[KDV Yüklenimi (₺)],tblDonem[Dönem],$A849)</f>
        <v/>
      </c>
      <c r="D849" s="120">
        <f>SUMIFS(tblDonem[Vergi Karşılığı (₺)],tblDonem[Dönem],$A849)</f>
        <v/>
      </c>
      <c r="E849" s="120">
        <f>$C849+$D849</f>
        <v/>
      </c>
      <c r="F849" s="120">
        <f>IF($B849=0,0,$E849/$B849)</f>
        <v/>
      </c>
    </row>
    <row r="850" ht="15" customHeight="1" s="68">
      <c r="A850" s="114" t="n"/>
      <c r="B850" s="120">
        <f>SUMIFS(tblDonem[Gelir (₺)],tblDonem[Dönem],$A850)</f>
        <v/>
      </c>
      <c r="C850" s="120">
        <f>SUMIFS(tblDonem[KDV Tutarı (₺)],tblDonem[Dönem],$A850)-SUMIFS(tblDonem[KDV Yüklenimi (₺)],tblDonem[Dönem],$A850)</f>
        <v/>
      </c>
      <c r="D850" s="120">
        <f>SUMIFS(tblDonem[Vergi Karşılığı (₺)],tblDonem[Dönem],$A850)</f>
        <v/>
      </c>
      <c r="E850" s="120">
        <f>$C850+$D850</f>
        <v/>
      </c>
      <c r="F850" s="120">
        <f>IF($B850=0,0,$E850/$B850)</f>
        <v/>
      </c>
    </row>
    <row r="851" ht="15" customHeight="1" s="68">
      <c r="A851" s="114" t="n"/>
      <c r="B851" s="120">
        <f>SUMIFS(tblDonem[Gelir (₺)],tblDonem[Dönem],$A851)</f>
        <v/>
      </c>
      <c r="C851" s="120">
        <f>SUMIFS(tblDonem[KDV Tutarı (₺)],tblDonem[Dönem],$A851)-SUMIFS(tblDonem[KDV Yüklenimi (₺)],tblDonem[Dönem],$A851)</f>
        <v/>
      </c>
      <c r="D851" s="120">
        <f>SUMIFS(tblDonem[Vergi Karşılığı (₺)],tblDonem[Dönem],$A851)</f>
        <v/>
      </c>
      <c r="E851" s="120">
        <f>$C851+$D851</f>
        <v/>
      </c>
      <c r="F851" s="120">
        <f>IF($B851=0,0,$E851/$B851)</f>
        <v/>
      </c>
    </row>
    <row r="852" ht="15" customHeight="1" s="68">
      <c r="A852" s="114" t="n"/>
      <c r="B852" s="120">
        <f>SUMIFS(tblDonem[Gelir (₺)],tblDonem[Dönem],$A852)</f>
        <v/>
      </c>
      <c r="C852" s="120">
        <f>SUMIFS(tblDonem[KDV Tutarı (₺)],tblDonem[Dönem],$A852)-SUMIFS(tblDonem[KDV Yüklenimi (₺)],tblDonem[Dönem],$A852)</f>
        <v/>
      </c>
      <c r="D852" s="120">
        <f>SUMIFS(tblDonem[Vergi Karşılığı (₺)],tblDonem[Dönem],$A852)</f>
        <v/>
      </c>
      <c r="E852" s="120">
        <f>$C852+$D852</f>
        <v/>
      </c>
      <c r="F852" s="120">
        <f>IF($B852=0,0,$E852/$B852)</f>
        <v/>
      </c>
    </row>
    <row r="853" ht="15" customHeight="1" s="68">
      <c r="A853" s="114" t="n"/>
      <c r="B853" s="120">
        <f>SUMIFS(tblDonem[Gelir (₺)],tblDonem[Dönem],$A853)</f>
        <v/>
      </c>
      <c r="C853" s="120">
        <f>SUMIFS(tblDonem[KDV Tutarı (₺)],tblDonem[Dönem],$A853)-SUMIFS(tblDonem[KDV Yüklenimi (₺)],tblDonem[Dönem],$A853)</f>
        <v/>
      </c>
      <c r="D853" s="120">
        <f>SUMIFS(tblDonem[Vergi Karşılığı (₺)],tblDonem[Dönem],$A853)</f>
        <v/>
      </c>
      <c r="E853" s="120">
        <f>$C853+$D853</f>
        <v/>
      </c>
      <c r="F853" s="120">
        <f>IF($B853=0,0,$E853/$B853)</f>
        <v/>
      </c>
    </row>
    <row r="854" ht="15" customHeight="1" s="68">
      <c r="A854" s="114" t="n"/>
      <c r="B854" s="120">
        <f>SUMIFS(tblDonem[Gelir (₺)],tblDonem[Dönem],$A854)</f>
        <v/>
      </c>
      <c r="C854" s="120">
        <f>SUMIFS(tblDonem[KDV Tutarı (₺)],tblDonem[Dönem],$A854)-SUMIFS(tblDonem[KDV Yüklenimi (₺)],tblDonem[Dönem],$A854)</f>
        <v/>
      </c>
      <c r="D854" s="120">
        <f>SUMIFS(tblDonem[Vergi Karşılığı (₺)],tblDonem[Dönem],$A854)</f>
        <v/>
      </c>
      <c r="E854" s="120">
        <f>$C854+$D854</f>
        <v/>
      </c>
      <c r="F854" s="120">
        <f>IF($B854=0,0,$E854/$B854)</f>
        <v/>
      </c>
    </row>
    <row r="855" ht="15" customHeight="1" s="68">
      <c r="A855" s="114" t="n"/>
      <c r="B855" s="120">
        <f>SUMIFS(tblDonem[Gelir (₺)],tblDonem[Dönem],$A855)</f>
        <v/>
      </c>
      <c r="C855" s="120">
        <f>SUMIFS(tblDonem[KDV Tutarı (₺)],tblDonem[Dönem],$A855)-SUMIFS(tblDonem[KDV Yüklenimi (₺)],tblDonem[Dönem],$A855)</f>
        <v/>
      </c>
      <c r="D855" s="120">
        <f>SUMIFS(tblDonem[Vergi Karşılığı (₺)],tblDonem[Dönem],$A855)</f>
        <v/>
      </c>
      <c r="E855" s="120">
        <f>$C855+$D855</f>
        <v/>
      </c>
      <c r="F855" s="120">
        <f>IF($B855=0,0,$E855/$B855)</f>
        <v/>
      </c>
    </row>
    <row r="856" ht="15" customHeight="1" s="68">
      <c r="A856" s="114" t="n"/>
      <c r="B856" s="120">
        <f>SUMIFS(tblDonem[Gelir (₺)],tblDonem[Dönem],$A856)</f>
        <v/>
      </c>
      <c r="C856" s="120">
        <f>SUMIFS(tblDonem[KDV Tutarı (₺)],tblDonem[Dönem],$A856)-SUMIFS(tblDonem[KDV Yüklenimi (₺)],tblDonem[Dönem],$A856)</f>
        <v/>
      </c>
      <c r="D856" s="120">
        <f>SUMIFS(tblDonem[Vergi Karşılığı (₺)],tblDonem[Dönem],$A856)</f>
        <v/>
      </c>
      <c r="E856" s="120">
        <f>$C856+$D856</f>
        <v/>
      </c>
      <c r="F856" s="120">
        <f>IF($B856=0,0,$E856/$B856)</f>
        <v/>
      </c>
    </row>
    <row r="857" ht="15" customHeight="1" s="68">
      <c r="A857" s="114" t="n"/>
      <c r="B857" s="120">
        <f>SUMIFS(tblDonem[Gelir (₺)],tblDonem[Dönem],$A857)</f>
        <v/>
      </c>
      <c r="C857" s="120">
        <f>SUMIFS(tblDonem[KDV Tutarı (₺)],tblDonem[Dönem],$A857)-SUMIFS(tblDonem[KDV Yüklenimi (₺)],tblDonem[Dönem],$A857)</f>
        <v/>
      </c>
      <c r="D857" s="120">
        <f>SUMIFS(tblDonem[Vergi Karşılığı (₺)],tblDonem[Dönem],$A857)</f>
        <v/>
      </c>
      <c r="E857" s="120">
        <f>$C857+$D857</f>
        <v/>
      </c>
      <c r="F857" s="120">
        <f>IF($B857=0,0,$E857/$B857)</f>
        <v/>
      </c>
    </row>
    <row r="858" ht="15" customHeight="1" s="68">
      <c r="A858" s="114" t="n"/>
      <c r="B858" s="120">
        <f>SUMIFS(tblDonem[Gelir (₺)],tblDonem[Dönem],$A858)</f>
        <v/>
      </c>
      <c r="C858" s="120">
        <f>SUMIFS(tblDonem[KDV Tutarı (₺)],tblDonem[Dönem],$A858)-SUMIFS(tblDonem[KDV Yüklenimi (₺)],tblDonem[Dönem],$A858)</f>
        <v/>
      </c>
      <c r="D858" s="120">
        <f>SUMIFS(tblDonem[Vergi Karşılığı (₺)],tblDonem[Dönem],$A858)</f>
        <v/>
      </c>
      <c r="E858" s="120">
        <f>$C858+$D858</f>
        <v/>
      </c>
      <c r="F858" s="120">
        <f>IF($B858=0,0,$E858/$B858)</f>
        <v/>
      </c>
    </row>
    <row r="859" ht="15" customHeight="1" s="68">
      <c r="A859" s="114" t="n"/>
      <c r="B859" s="120">
        <f>SUMIFS(tblDonem[Gelir (₺)],tblDonem[Dönem],$A859)</f>
        <v/>
      </c>
      <c r="C859" s="120">
        <f>SUMIFS(tblDonem[KDV Tutarı (₺)],tblDonem[Dönem],$A859)-SUMIFS(tblDonem[KDV Yüklenimi (₺)],tblDonem[Dönem],$A859)</f>
        <v/>
      </c>
      <c r="D859" s="120">
        <f>SUMIFS(tblDonem[Vergi Karşılığı (₺)],tblDonem[Dönem],$A859)</f>
        <v/>
      </c>
      <c r="E859" s="120">
        <f>$C859+$D859</f>
        <v/>
      </c>
      <c r="F859" s="120">
        <f>IF($B859=0,0,$E859/$B859)</f>
        <v/>
      </c>
    </row>
    <row r="860" ht="15" customHeight="1" s="68">
      <c r="A860" s="114" t="n"/>
      <c r="B860" s="120">
        <f>SUMIFS(tblDonem[Gelir (₺)],tblDonem[Dönem],$A860)</f>
        <v/>
      </c>
      <c r="C860" s="120">
        <f>SUMIFS(tblDonem[KDV Tutarı (₺)],tblDonem[Dönem],$A860)-SUMIFS(tblDonem[KDV Yüklenimi (₺)],tblDonem[Dönem],$A860)</f>
        <v/>
      </c>
      <c r="D860" s="120">
        <f>SUMIFS(tblDonem[Vergi Karşılığı (₺)],tblDonem[Dönem],$A860)</f>
        <v/>
      </c>
      <c r="E860" s="120">
        <f>$C860+$D860</f>
        <v/>
      </c>
      <c r="F860" s="120">
        <f>IF($B860=0,0,$E860/$B860)</f>
        <v/>
      </c>
    </row>
    <row r="861" ht="15" customHeight="1" s="68">
      <c r="A861" s="114" t="n"/>
      <c r="B861" s="120">
        <f>SUMIFS(tblDonem[Gelir (₺)],tblDonem[Dönem],$A861)</f>
        <v/>
      </c>
      <c r="C861" s="120">
        <f>SUMIFS(tblDonem[KDV Tutarı (₺)],tblDonem[Dönem],$A861)-SUMIFS(tblDonem[KDV Yüklenimi (₺)],tblDonem[Dönem],$A861)</f>
        <v/>
      </c>
      <c r="D861" s="120">
        <f>SUMIFS(tblDonem[Vergi Karşılığı (₺)],tblDonem[Dönem],$A861)</f>
        <v/>
      </c>
      <c r="E861" s="120">
        <f>$C861+$D861</f>
        <v/>
      </c>
      <c r="F861" s="120">
        <f>IF($B861=0,0,$E861/$B861)</f>
        <v/>
      </c>
    </row>
    <row r="862" ht="15" customHeight="1" s="68">
      <c r="A862" s="114" t="n"/>
      <c r="B862" s="120">
        <f>SUMIFS(tblDonem[Gelir (₺)],tblDonem[Dönem],$A862)</f>
        <v/>
      </c>
      <c r="C862" s="120">
        <f>SUMIFS(tblDonem[KDV Tutarı (₺)],tblDonem[Dönem],$A862)-SUMIFS(tblDonem[KDV Yüklenimi (₺)],tblDonem[Dönem],$A862)</f>
        <v/>
      </c>
      <c r="D862" s="120">
        <f>SUMIFS(tblDonem[Vergi Karşılığı (₺)],tblDonem[Dönem],$A862)</f>
        <v/>
      </c>
      <c r="E862" s="120">
        <f>$C862+$D862</f>
        <v/>
      </c>
      <c r="F862" s="120">
        <f>IF($B862=0,0,$E862/$B862)</f>
        <v/>
      </c>
    </row>
    <row r="863" ht="15" customHeight="1" s="68">
      <c r="A863" s="114" t="n"/>
      <c r="B863" s="120">
        <f>SUMIFS(tblDonem[Gelir (₺)],tblDonem[Dönem],$A863)</f>
        <v/>
      </c>
      <c r="C863" s="120">
        <f>SUMIFS(tblDonem[KDV Tutarı (₺)],tblDonem[Dönem],$A863)-SUMIFS(tblDonem[KDV Yüklenimi (₺)],tblDonem[Dönem],$A863)</f>
        <v/>
      </c>
      <c r="D863" s="120">
        <f>SUMIFS(tblDonem[Vergi Karşılığı (₺)],tblDonem[Dönem],$A863)</f>
        <v/>
      </c>
      <c r="E863" s="120">
        <f>$C863+$D863</f>
        <v/>
      </c>
      <c r="F863" s="120">
        <f>IF($B863=0,0,$E863/$B863)</f>
        <v/>
      </c>
    </row>
    <row r="864" ht="15" customHeight="1" s="68">
      <c r="A864" s="114" t="n"/>
      <c r="B864" s="120">
        <f>SUMIFS(tblDonem[Gelir (₺)],tblDonem[Dönem],$A864)</f>
        <v/>
      </c>
      <c r="C864" s="120">
        <f>SUMIFS(tblDonem[KDV Tutarı (₺)],tblDonem[Dönem],$A864)-SUMIFS(tblDonem[KDV Yüklenimi (₺)],tblDonem[Dönem],$A864)</f>
        <v/>
      </c>
      <c r="D864" s="120">
        <f>SUMIFS(tblDonem[Vergi Karşılığı (₺)],tblDonem[Dönem],$A864)</f>
        <v/>
      </c>
      <c r="E864" s="120">
        <f>$C864+$D864</f>
        <v/>
      </c>
      <c r="F864" s="120">
        <f>IF($B864=0,0,$E864/$B864)</f>
        <v/>
      </c>
    </row>
    <row r="865" ht="15" customHeight="1" s="68">
      <c r="A865" s="114" t="n"/>
      <c r="B865" s="120">
        <f>SUMIFS(tblDonem[Gelir (₺)],tblDonem[Dönem],$A865)</f>
        <v/>
      </c>
      <c r="C865" s="120">
        <f>SUMIFS(tblDonem[KDV Tutarı (₺)],tblDonem[Dönem],$A865)-SUMIFS(tblDonem[KDV Yüklenimi (₺)],tblDonem[Dönem],$A865)</f>
        <v/>
      </c>
      <c r="D865" s="120">
        <f>SUMIFS(tblDonem[Vergi Karşılığı (₺)],tblDonem[Dönem],$A865)</f>
        <v/>
      </c>
      <c r="E865" s="120">
        <f>$C865+$D865</f>
        <v/>
      </c>
      <c r="F865" s="120">
        <f>IF($B865=0,0,$E865/$B865)</f>
        <v/>
      </c>
    </row>
    <row r="866" ht="15" customHeight="1" s="68">
      <c r="A866" s="114" t="n"/>
      <c r="B866" s="120">
        <f>SUMIFS(tblDonem[Gelir (₺)],tblDonem[Dönem],$A866)</f>
        <v/>
      </c>
      <c r="C866" s="120">
        <f>SUMIFS(tblDonem[KDV Tutarı (₺)],tblDonem[Dönem],$A866)-SUMIFS(tblDonem[KDV Yüklenimi (₺)],tblDonem[Dönem],$A866)</f>
        <v/>
      </c>
      <c r="D866" s="120">
        <f>SUMIFS(tblDonem[Vergi Karşılığı (₺)],tblDonem[Dönem],$A866)</f>
        <v/>
      </c>
      <c r="E866" s="120">
        <f>$C866+$D866</f>
        <v/>
      </c>
      <c r="F866" s="120">
        <f>IF($B866=0,0,$E866/$B866)</f>
        <v/>
      </c>
    </row>
    <row r="867" ht="15" customHeight="1" s="68">
      <c r="A867" s="114" t="n"/>
      <c r="B867" s="120">
        <f>SUMIFS(tblDonem[Gelir (₺)],tblDonem[Dönem],$A867)</f>
        <v/>
      </c>
      <c r="C867" s="120">
        <f>SUMIFS(tblDonem[KDV Tutarı (₺)],tblDonem[Dönem],$A867)-SUMIFS(tblDonem[KDV Yüklenimi (₺)],tblDonem[Dönem],$A867)</f>
        <v/>
      </c>
      <c r="D867" s="120">
        <f>SUMIFS(tblDonem[Vergi Karşılığı (₺)],tblDonem[Dönem],$A867)</f>
        <v/>
      </c>
      <c r="E867" s="120">
        <f>$C867+$D867</f>
        <v/>
      </c>
      <c r="F867" s="120">
        <f>IF($B867=0,0,$E867/$B867)</f>
        <v/>
      </c>
    </row>
    <row r="868" ht="15" customHeight="1" s="68">
      <c r="A868" s="114" t="n"/>
      <c r="B868" s="120">
        <f>SUMIFS(tblDonem[Gelir (₺)],tblDonem[Dönem],$A868)</f>
        <v/>
      </c>
      <c r="C868" s="120">
        <f>SUMIFS(tblDonem[KDV Tutarı (₺)],tblDonem[Dönem],$A868)-SUMIFS(tblDonem[KDV Yüklenimi (₺)],tblDonem[Dönem],$A868)</f>
        <v/>
      </c>
      <c r="D868" s="120">
        <f>SUMIFS(tblDonem[Vergi Karşılığı (₺)],tblDonem[Dönem],$A868)</f>
        <v/>
      </c>
      <c r="E868" s="120">
        <f>$C868+$D868</f>
        <v/>
      </c>
      <c r="F868" s="120">
        <f>IF($B868=0,0,$E868/$B868)</f>
        <v/>
      </c>
    </row>
    <row r="869" ht="15" customHeight="1" s="68">
      <c r="A869" s="114" t="n"/>
      <c r="B869" s="120">
        <f>SUMIFS(tblDonem[Gelir (₺)],tblDonem[Dönem],$A869)</f>
        <v/>
      </c>
      <c r="C869" s="120">
        <f>SUMIFS(tblDonem[KDV Tutarı (₺)],tblDonem[Dönem],$A869)-SUMIFS(tblDonem[KDV Yüklenimi (₺)],tblDonem[Dönem],$A869)</f>
        <v/>
      </c>
      <c r="D869" s="120">
        <f>SUMIFS(tblDonem[Vergi Karşılığı (₺)],tblDonem[Dönem],$A869)</f>
        <v/>
      </c>
      <c r="E869" s="120">
        <f>$C869+$D869</f>
        <v/>
      </c>
      <c r="F869" s="120">
        <f>IF($B869=0,0,$E869/$B869)</f>
        <v/>
      </c>
    </row>
    <row r="870" ht="15" customHeight="1" s="68">
      <c r="A870" s="114" t="n"/>
      <c r="B870" s="120">
        <f>SUMIFS(tblDonem[Gelir (₺)],tblDonem[Dönem],$A870)</f>
        <v/>
      </c>
      <c r="C870" s="120">
        <f>SUMIFS(tblDonem[KDV Tutarı (₺)],tblDonem[Dönem],$A870)-SUMIFS(tblDonem[KDV Yüklenimi (₺)],tblDonem[Dönem],$A870)</f>
        <v/>
      </c>
      <c r="D870" s="120">
        <f>SUMIFS(tblDonem[Vergi Karşılığı (₺)],tblDonem[Dönem],$A870)</f>
        <v/>
      </c>
      <c r="E870" s="120">
        <f>$C870+$D870</f>
        <v/>
      </c>
      <c r="F870" s="120">
        <f>IF($B870=0,0,$E870/$B870)</f>
        <v/>
      </c>
    </row>
    <row r="871" ht="15" customHeight="1" s="68">
      <c r="A871" s="114" t="n"/>
      <c r="B871" s="120">
        <f>SUMIFS(tblDonem[Gelir (₺)],tblDonem[Dönem],$A871)</f>
        <v/>
      </c>
      <c r="C871" s="120">
        <f>SUMIFS(tblDonem[KDV Tutarı (₺)],tblDonem[Dönem],$A871)-SUMIFS(tblDonem[KDV Yüklenimi (₺)],tblDonem[Dönem],$A871)</f>
        <v/>
      </c>
      <c r="D871" s="120">
        <f>SUMIFS(tblDonem[Vergi Karşılığı (₺)],tblDonem[Dönem],$A871)</f>
        <v/>
      </c>
      <c r="E871" s="120">
        <f>$C871+$D871</f>
        <v/>
      </c>
      <c r="F871" s="120">
        <f>IF($B871=0,0,$E871/$B871)</f>
        <v/>
      </c>
    </row>
    <row r="872" ht="15" customHeight="1" s="68">
      <c r="A872" s="114" t="n"/>
      <c r="B872" s="120">
        <f>SUMIFS(tblDonem[Gelir (₺)],tblDonem[Dönem],$A872)</f>
        <v/>
      </c>
      <c r="C872" s="120">
        <f>SUMIFS(tblDonem[KDV Tutarı (₺)],tblDonem[Dönem],$A872)-SUMIFS(tblDonem[KDV Yüklenimi (₺)],tblDonem[Dönem],$A872)</f>
        <v/>
      </c>
      <c r="D872" s="120">
        <f>SUMIFS(tblDonem[Vergi Karşılığı (₺)],tblDonem[Dönem],$A872)</f>
        <v/>
      </c>
      <c r="E872" s="120">
        <f>$C872+$D872</f>
        <v/>
      </c>
      <c r="F872" s="120">
        <f>IF($B872=0,0,$E872/$B872)</f>
        <v/>
      </c>
    </row>
    <row r="873" ht="15" customHeight="1" s="68">
      <c r="A873" s="114" t="n"/>
      <c r="B873" s="120">
        <f>SUMIFS(tblDonem[Gelir (₺)],tblDonem[Dönem],$A873)</f>
        <v/>
      </c>
      <c r="C873" s="120">
        <f>SUMIFS(tblDonem[KDV Tutarı (₺)],tblDonem[Dönem],$A873)-SUMIFS(tblDonem[KDV Yüklenimi (₺)],tblDonem[Dönem],$A873)</f>
        <v/>
      </c>
      <c r="D873" s="120">
        <f>SUMIFS(tblDonem[Vergi Karşılığı (₺)],tblDonem[Dönem],$A873)</f>
        <v/>
      </c>
      <c r="E873" s="120">
        <f>$C873+$D873</f>
        <v/>
      </c>
      <c r="F873" s="120">
        <f>IF($B873=0,0,$E873/$B873)</f>
        <v/>
      </c>
    </row>
    <row r="874" ht="15" customHeight="1" s="68">
      <c r="A874" s="114" t="n"/>
      <c r="B874" s="120">
        <f>SUMIFS(tblDonem[Gelir (₺)],tblDonem[Dönem],$A874)</f>
        <v/>
      </c>
      <c r="C874" s="120">
        <f>SUMIFS(tblDonem[KDV Tutarı (₺)],tblDonem[Dönem],$A874)-SUMIFS(tblDonem[KDV Yüklenimi (₺)],tblDonem[Dönem],$A874)</f>
        <v/>
      </c>
      <c r="D874" s="120">
        <f>SUMIFS(tblDonem[Vergi Karşılığı (₺)],tblDonem[Dönem],$A874)</f>
        <v/>
      </c>
      <c r="E874" s="120">
        <f>$C874+$D874</f>
        <v/>
      </c>
      <c r="F874" s="120">
        <f>IF($B874=0,0,$E874/$B874)</f>
        <v/>
      </c>
    </row>
    <row r="875" ht="15" customHeight="1" s="68">
      <c r="A875" s="114" t="n"/>
      <c r="B875" s="120">
        <f>SUMIFS(tblDonem[Gelir (₺)],tblDonem[Dönem],$A875)</f>
        <v/>
      </c>
      <c r="C875" s="120">
        <f>SUMIFS(tblDonem[KDV Tutarı (₺)],tblDonem[Dönem],$A875)-SUMIFS(tblDonem[KDV Yüklenimi (₺)],tblDonem[Dönem],$A875)</f>
        <v/>
      </c>
      <c r="D875" s="120">
        <f>SUMIFS(tblDonem[Vergi Karşılığı (₺)],tblDonem[Dönem],$A875)</f>
        <v/>
      </c>
      <c r="E875" s="120">
        <f>$C875+$D875</f>
        <v/>
      </c>
      <c r="F875" s="120">
        <f>IF($B875=0,0,$E875/$B875)</f>
        <v/>
      </c>
    </row>
    <row r="876" ht="15" customHeight="1" s="68">
      <c r="A876" s="114" t="n"/>
      <c r="B876" s="120">
        <f>SUMIFS(tblDonem[Gelir (₺)],tblDonem[Dönem],$A876)</f>
        <v/>
      </c>
      <c r="C876" s="120">
        <f>SUMIFS(tblDonem[KDV Tutarı (₺)],tblDonem[Dönem],$A876)-SUMIFS(tblDonem[KDV Yüklenimi (₺)],tblDonem[Dönem],$A876)</f>
        <v/>
      </c>
      <c r="D876" s="120">
        <f>SUMIFS(tblDonem[Vergi Karşılığı (₺)],tblDonem[Dönem],$A876)</f>
        <v/>
      </c>
      <c r="E876" s="120">
        <f>$C876+$D876</f>
        <v/>
      </c>
      <c r="F876" s="120">
        <f>IF($B876=0,0,$E876/$B876)</f>
        <v/>
      </c>
    </row>
    <row r="877" ht="15" customHeight="1" s="68">
      <c r="A877" s="114" t="n"/>
      <c r="B877" s="120">
        <f>SUMIFS(tblDonem[Gelir (₺)],tblDonem[Dönem],$A877)</f>
        <v/>
      </c>
      <c r="C877" s="120">
        <f>SUMIFS(tblDonem[KDV Tutarı (₺)],tblDonem[Dönem],$A877)-SUMIFS(tblDonem[KDV Yüklenimi (₺)],tblDonem[Dönem],$A877)</f>
        <v/>
      </c>
      <c r="D877" s="120">
        <f>SUMIFS(tblDonem[Vergi Karşılığı (₺)],tblDonem[Dönem],$A877)</f>
        <v/>
      </c>
      <c r="E877" s="120">
        <f>$C877+$D877</f>
        <v/>
      </c>
      <c r="F877" s="120">
        <f>IF($B877=0,0,$E877/$B877)</f>
        <v/>
      </c>
    </row>
    <row r="878" ht="15" customHeight="1" s="68">
      <c r="A878" s="114" t="n"/>
      <c r="B878" s="120">
        <f>SUMIFS(tblDonem[Gelir (₺)],tblDonem[Dönem],$A878)</f>
        <v/>
      </c>
      <c r="C878" s="120">
        <f>SUMIFS(tblDonem[KDV Tutarı (₺)],tblDonem[Dönem],$A878)-SUMIFS(tblDonem[KDV Yüklenimi (₺)],tblDonem[Dönem],$A878)</f>
        <v/>
      </c>
      <c r="D878" s="120">
        <f>SUMIFS(tblDonem[Vergi Karşılığı (₺)],tblDonem[Dönem],$A878)</f>
        <v/>
      </c>
      <c r="E878" s="120">
        <f>$C878+$D878</f>
        <v/>
      </c>
      <c r="F878" s="120">
        <f>IF($B878=0,0,$E878/$B878)</f>
        <v/>
      </c>
    </row>
    <row r="879" ht="15" customHeight="1" s="68">
      <c r="A879" s="114" t="n"/>
      <c r="B879" s="120">
        <f>SUMIFS(tblDonem[Gelir (₺)],tblDonem[Dönem],$A879)</f>
        <v/>
      </c>
      <c r="C879" s="120">
        <f>SUMIFS(tblDonem[KDV Tutarı (₺)],tblDonem[Dönem],$A879)-SUMIFS(tblDonem[KDV Yüklenimi (₺)],tblDonem[Dönem],$A879)</f>
        <v/>
      </c>
      <c r="D879" s="120">
        <f>SUMIFS(tblDonem[Vergi Karşılığı (₺)],tblDonem[Dönem],$A879)</f>
        <v/>
      </c>
      <c r="E879" s="120">
        <f>$C879+$D879</f>
        <v/>
      </c>
      <c r="F879" s="120">
        <f>IF($B879=0,0,$E879/$B879)</f>
        <v/>
      </c>
    </row>
    <row r="880" ht="15" customHeight="1" s="68">
      <c r="A880" s="114" t="n"/>
      <c r="B880" s="120">
        <f>SUMIFS(tblDonem[Gelir (₺)],tblDonem[Dönem],$A880)</f>
        <v/>
      </c>
      <c r="C880" s="120">
        <f>SUMIFS(tblDonem[KDV Tutarı (₺)],tblDonem[Dönem],$A880)-SUMIFS(tblDonem[KDV Yüklenimi (₺)],tblDonem[Dönem],$A880)</f>
        <v/>
      </c>
      <c r="D880" s="120">
        <f>SUMIFS(tblDonem[Vergi Karşılığı (₺)],tblDonem[Dönem],$A880)</f>
        <v/>
      </c>
      <c r="E880" s="120">
        <f>$C880+$D880</f>
        <v/>
      </c>
      <c r="F880" s="120">
        <f>IF($B880=0,0,$E880/$B880)</f>
        <v/>
      </c>
    </row>
    <row r="881" ht="15" customHeight="1" s="68">
      <c r="A881" s="114" t="n"/>
      <c r="B881" s="120">
        <f>SUMIFS(tblDonem[Gelir (₺)],tblDonem[Dönem],$A881)</f>
        <v/>
      </c>
      <c r="C881" s="120">
        <f>SUMIFS(tblDonem[KDV Tutarı (₺)],tblDonem[Dönem],$A881)-SUMIFS(tblDonem[KDV Yüklenimi (₺)],tblDonem[Dönem],$A881)</f>
        <v/>
      </c>
      <c r="D881" s="120">
        <f>SUMIFS(tblDonem[Vergi Karşılığı (₺)],tblDonem[Dönem],$A881)</f>
        <v/>
      </c>
      <c r="E881" s="120">
        <f>$C881+$D881</f>
        <v/>
      </c>
      <c r="F881" s="120">
        <f>IF($B881=0,0,$E881/$B881)</f>
        <v/>
      </c>
    </row>
    <row r="882" ht="15" customHeight="1" s="68">
      <c r="A882" s="114" t="n"/>
      <c r="B882" s="120">
        <f>SUMIFS(tblDonem[Gelir (₺)],tblDonem[Dönem],$A882)</f>
        <v/>
      </c>
      <c r="C882" s="120">
        <f>SUMIFS(tblDonem[KDV Tutarı (₺)],tblDonem[Dönem],$A882)-SUMIFS(tblDonem[KDV Yüklenimi (₺)],tblDonem[Dönem],$A882)</f>
        <v/>
      </c>
      <c r="D882" s="120">
        <f>SUMIFS(tblDonem[Vergi Karşılığı (₺)],tblDonem[Dönem],$A882)</f>
        <v/>
      </c>
      <c r="E882" s="120">
        <f>$C882+$D882</f>
        <v/>
      </c>
      <c r="F882" s="120">
        <f>IF($B882=0,0,$E882/$B882)</f>
        <v/>
      </c>
    </row>
    <row r="883" ht="15" customHeight="1" s="68">
      <c r="A883" s="114" t="n"/>
      <c r="B883" s="120">
        <f>SUMIFS(tblDonem[Gelir (₺)],tblDonem[Dönem],$A883)</f>
        <v/>
      </c>
      <c r="C883" s="120">
        <f>SUMIFS(tblDonem[KDV Tutarı (₺)],tblDonem[Dönem],$A883)-SUMIFS(tblDonem[KDV Yüklenimi (₺)],tblDonem[Dönem],$A883)</f>
        <v/>
      </c>
      <c r="D883" s="120">
        <f>SUMIFS(tblDonem[Vergi Karşılığı (₺)],tblDonem[Dönem],$A883)</f>
        <v/>
      </c>
      <c r="E883" s="120">
        <f>$C883+$D883</f>
        <v/>
      </c>
      <c r="F883" s="120">
        <f>IF($B883=0,0,$E883/$B883)</f>
        <v/>
      </c>
    </row>
    <row r="884" ht="15" customHeight="1" s="68">
      <c r="A884" s="114" t="n"/>
      <c r="B884" s="120">
        <f>SUMIFS(tblDonem[Gelir (₺)],tblDonem[Dönem],$A884)</f>
        <v/>
      </c>
      <c r="C884" s="120">
        <f>SUMIFS(tblDonem[KDV Tutarı (₺)],tblDonem[Dönem],$A884)-SUMIFS(tblDonem[KDV Yüklenimi (₺)],tblDonem[Dönem],$A884)</f>
        <v/>
      </c>
      <c r="D884" s="120">
        <f>SUMIFS(tblDonem[Vergi Karşılığı (₺)],tblDonem[Dönem],$A884)</f>
        <v/>
      </c>
      <c r="E884" s="120">
        <f>$C884+$D884</f>
        <v/>
      </c>
      <c r="F884" s="120">
        <f>IF($B884=0,0,$E884/$B884)</f>
        <v/>
      </c>
    </row>
    <row r="885" ht="15" customHeight="1" s="68">
      <c r="A885" s="114" t="n"/>
      <c r="B885" s="120">
        <f>SUMIFS(tblDonem[Gelir (₺)],tblDonem[Dönem],$A885)</f>
        <v/>
      </c>
      <c r="C885" s="120">
        <f>SUMIFS(tblDonem[KDV Tutarı (₺)],tblDonem[Dönem],$A885)-SUMIFS(tblDonem[KDV Yüklenimi (₺)],tblDonem[Dönem],$A885)</f>
        <v/>
      </c>
      <c r="D885" s="120">
        <f>SUMIFS(tblDonem[Vergi Karşılığı (₺)],tblDonem[Dönem],$A885)</f>
        <v/>
      </c>
      <c r="E885" s="120">
        <f>$C885+$D885</f>
        <v/>
      </c>
      <c r="F885" s="120">
        <f>IF($B885=0,0,$E885/$B885)</f>
        <v/>
      </c>
    </row>
    <row r="886" ht="15" customHeight="1" s="68">
      <c r="A886" s="114" t="n"/>
      <c r="B886" s="120">
        <f>SUMIFS(tblDonem[Gelir (₺)],tblDonem[Dönem],$A886)</f>
        <v/>
      </c>
      <c r="C886" s="120">
        <f>SUMIFS(tblDonem[KDV Tutarı (₺)],tblDonem[Dönem],$A886)-SUMIFS(tblDonem[KDV Yüklenimi (₺)],tblDonem[Dönem],$A886)</f>
        <v/>
      </c>
      <c r="D886" s="120">
        <f>SUMIFS(tblDonem[Vergi Karşılığı (₺)],tblDonem[Dönem],$A886)</f>
        <v/>
      </c>
      <c r="E886" s="120">
        <f>$C886+$D886</f>
        <v/>
      </c>
      <c r="F886" s="120">
        <f>IF($B886=0,0,$E886/$B886)</f>
        <v/>
      </c>
    </row>
    <row r="887" ht="15" customHeight="1" s="68">
      <c r="A887" s="114" t="n"/>
      <c r="B887" s="120">
        <f>SUMIFS(tblDonem[Gelir (₺)],tblDonem[Dönem],$A887)</f>
        <v/>
      </c>
      <c r="C887" s="120">
        <f>SUMIFS(tblDonem[KDV Tutarı (₺)],tblDonem[Dönem],$A887)-SUMIFS(tblDonem[KDV Yüklenimi (₺)],tblDonem[Dönem],$A887)</f>
        <v/>
      </c>
      <c r="D887" s="120">
        <f>SUMIFS(tblDonem[Vergi Karşılığı (₺)],tblDonem[Dönem],$A887)</f>
        <v/>
      </c>
      <c r="E887" s="120">
        <f>$C887+$D887</f>
        <v/>
      </c>
      <c r="F887" s="120">
        <f>IF($B887=0,0,$E887/$B887)</f>
        <v/>
      </c>
    </row>
    <row r="888" ht="15" customHeight="1" s="68">
      <c r="A888" s="114" t="n"/>
      <c r="B888" s="120">
        <f>SUMIFS(tblDonem[Gelir (₺)],tblDonem[Dönem],$A888)</f>
        <v/>
      </c>
      <c r="C888" s="120">
        <f>SUMIFS(tblDonem[KDV Tutarı (₺)],tblDonem[Dönem],$A888)-SUMIFS(tblDonem[KDV Yüklenimi (₺)],tblDonem[Dönem],$A888)</f>
        <v/>
      </c>
      <c r="D888" s="120">
        <f>SUMIFS(tblDonem[Vergi Karşılığı (₺)],tblDonem[Dönem],$A888)</f>
        <v/>
      </c>
      <c r="E888" s="120">
        <f>$C888+$D888</f>
        <v/>
      </c>
      <c r="F888" s="120">
        <f>IF($B888=0,0,$E888/$B888)</f>
        <v/>
      </c>
    </row>
    <row r="889" ht="15" customHeight="1" s="68">
      <c r="A889" s="114" t="n"/>
      <c r="B889" s="120">
        <f>SUMIFS(tblDonem[Gelir (₺)],tblDonem[Dönem],$A889)</f>
        <v/>
      </c>
      <c r="C889" s="120">
        <f>SUMIFS(tblDonem[KDV Tutarı (₺)],tblDonem[Dönem],$A889)-SUMIFS(tblDonem[KDV Yüklenimi (₺)],tblDonem[Dönem],$A889)</f>
        <v/>
      </c>
      <c r="D889" s="120">
        <f>SUMIFS(tblDonem[Vergi Karşılığı (₺)],tblDonem[Dönem],$A889)</f>
        <v/>
      </c>
      <c r="E889" s="120">
        <f>$C889+$D889</f>
        <v/>
      </c>
      <c r="F889" s="120">
        <f>IF($B889=0,0,$E889/$B889)</f>
        <v/>
      </c>
    </row>
    <row r="890" ht="15" customHeight="1" s="68">
      <c r="A890" s="114" t="n"/>
      <c r="B890" s="120">
        <f>SUMIFS(tblDonem[Gelir (₺)],tblDonem[Dönem],$A890)</f>
        <v/>
      </c>
      <c r="C890" s="120">
        <f>SUMIFS(tblDonem[KDV Tutarı (₺)],tblDonem[Dönem],$A890)-SUMIFS(tblDonem[KDV Yüklenimi (₺)],tblDonem[Dönem],$A890)</f>
        <v/>
      </c>
      <c r="D890" s="120">
        <f>SUMIFS(tblDonem[Vergi Karşılığı (₺)],tblDonem[Dönem],$A890)</f>
        <v/>
      </c>
      <c r="E890" s="120">
        <f>$C890+$D890</f>
        <v/>
      </c>
      <c r="F890" s="120">
        <f>IF($B890=0,0,$E890/$B890)</f>
        <v/>
      </c>
    </row>
    <row r="891" ht="15" customHeight="1" s="68">
      <c r="A891" s="114" t="n"/>
      <c r="B891" s="120">
        <f>SUMIFS(tblDonem[Gelir (₺)],tblDonem[Dönem],$A891)</f>
        <v/>
      </c>
      <c r="C891" s="120">
        <f>SUMIFS(tblDonem[KDV Tutarı (₺)],tblDonem[Dönem],$A891)-SUMIFS(tblDonem[KDV Yüklenimi (₺)],tblDonem[Dönem],$A891)</f>
        <v/>
      </c>
      <c r="D891" s="120">
        <f>SUMIFS(tblDonem[Vergi Karşılığı (₺)],tblDonem[Dönem],$A891)</f>
        <v/>
      </c>
      <c r="E891" s="120">
        <f>$C891+$D891</f>
        <v/>
      </c>
      <c r="F891" s="120">
        <f>IF($B891=0,0,$E891/$B891)</f>
        <v/>
      </c>
    </row>
    <row r="892" ht="15" customHeight="1" s="68">
      <c r="A892" s="114" t="n"/>
      <c r="B892" s="120">
        <f>SUMIFS(tblDonem[Gelir (₺)],tblDonem[Dönem],$A892)</f>
        <v/>
      </c>
      <c r="C892" s="120">
        <f>SUMIFS(tblDonem[KDV Tutarı (₺)],tblDonem[Dönem],$A892)-SUMIFS(tblDonem[KDV Yüklenimi (₺)],tblDonem[Dönem],$A892)</f>
        <v/>
      </c>
      <c r="D892" s="120">
        <f>SUMIFS(tblDonem[Vergi Karşılığı (₺)],tblDonem[Dönem],$A892)</f>
        <v/>
      </c>
      <c r="E892" s="120">
        <f>$C892+$D892</f>
        <v/>
      </c>
      <c r="F892" s="120">
        <f>IF($B892=0,0,$E892/$B892)</f>
        <v/>
      </c>
    </row>
    <row r="893" ht="15" customHeight="1" s="68">
      <c r="A893" s="114" t="n"/>
      <c r="B893" s="120">
        <f>SUMIFS(tblDonem[Gelir (₺)],tblDonem[Dönem],$A893)</f>
        <v/>
      </c>
      <c r="C893" s="120">
        <f>SUMIFS(tblDonem[KDV Tutarı (₺)],tblDonem[Dönem],$A893)-SUMIFS(tblDonem[KDV Yüklenimi (₺)],tblDonem[Dönem],$A893)</f>
        <v/>
      </c>
      <c r="D893" s="120">
        <f>SUMIFS(tblDonem[Vergi Karşılığı (₺)],tblDonem[Dönem],$A893)</f>
        <v/>
      </c>
      <c r="E893" s="120">
        <f>$C893+$D893</f>
        <v/>
      </c>
      <c r="F893" s="120">
        <f>IF($B893=0,0,$E893/$B893)</f>
        <v/>
      </c>
    </row>
    <row r="894" ht="15" customHeight="1" s="68">
      <c r="A894" s="114" t="n"/>
      <c r="B894" s="120">
        <f>SUMIFS(tblDonem[Gelir (₺)],tblDonem[Dönem],$A894)</f>
        <v/>
      </c>
      <c r="C894" s="120">
        <f>SUMIFS(tblDonem[KDV Tutarı (₺)],tblDonem[Dönem],$A894)-SUMIFS(tblDonem[KDV Yüklenimi (₺)],tblDonem[Dönem],$A894)</f>
        <v/>
      </c>
      <c r="D894" s="120">
        <f>SUMIFS(tblDonem[Vergi Karşılığı (₺)],tblDonem[Dönem],$A894)</f>
        <v/>
      </c>
      <c r="E894" s="120">
        <f>$C894+$D894</f>
        <v/>
      </c>
      <c r="F894" s="120">
        <f>IF($B894=0,0,$E894/$B894)</f>
        <v/>
      </c>
    </row>
    <row r="895" ht="15" customHeight="1" s="68">
      <c r="A895" s="114" t="n"/>
      <c r="B895" s="120">
        <f>SUMIFS(tblDonem[Gelir (₺)],tblDonem[Dönem],$A895)</f>
        <v/>
      </c>
      <c r="C895" s="120">
        <f>SUMIFS(tblDonem[KDV Tutarı (₺)],tblDonem[Dönem],$A895)-SUMIFS(tblDonem[KDV Yüklenimi (₺)],tblDonem[Dönem],$A895)</f>
        <v/>
      </c>
      <c r="D895" s="120">
        <f>SUMIFS(tblDonem[Vergi Karşılığı (₺)],tblDonem[Dönem],$A895)</f>
        <v/>
      </c>
      <c r="E895" s="120">
        <f>$C895+$D895</f>
        <v/>
      </c>
      <c r="F895" s="120">
        <f>IF($B895=0,0,$E895/$B895)</f>
        <v/>
      </c>
    </row>
    <row r="896" ht="15" customHeight="1" s="68">
      <c r="A896" s="114" t="n"/>
      <c r="B896" s="120">
        <f>SUMIFS(tblDonem[Gelir (₺)],tblDonem[Dönem],$A896)</f>
        <v/>
      </c>
      <c r="C896" s="120">
        <f>SUMIFS(tblDonem[KDV Tutarı (₺)],tblDonem[Dönem],$A896)-SUMIFS(tblDonem[KDV Yüklenimi (₺)],tblDonem[Dönem],$A896)</f>
        <v/>
      </c>
      <c r="D896" s="120">
        <f>SUMIFS(tblDonem[Vergi Karşılığı (₺)],tblDonem[Dönem],$A896)</f>
        <v/>
      </c>
      <c r="E896" s="120">
        <f>$C896+$D896</f>
        <v/>
      </c>
      <c r="F896" s="120">
        <f>IF($B896=0,0,$E896/$B896)</f>
        <v/>
      </c>
    </row>
    <row r="897" ht="15" customHeight="1" s="68">
      <c r="A897" s="114" t="n"/>
      <c r="B897" s="120">
        <f>SUMIFS(tblDonem[Gelir (₺)],tblDonem[Dönem],$A897)</f>
        <v/>
      </c>
      <c r="C897" s="120">
        <f>SUMIFS(tblDonem[KDV Tutarı (₺)],tblDonem[Dönem],$A897)-SUMIFS(tblDonem[KDV Yüklenimi (₺)],tblDonem[Dönem],$A897)</f>
        <v/>
      </c>
      <c r="D897" s="120">
        <f>SUMIFS(tblDonem[Vergi Karşılığı (₺)],tblDonem[Dönem],$A897)</f>
        <v/>
      </c>
      <c r="E897" s="120">
        <f>$C897+$D897</f>
        <v/>
      </c>
      <c r="F897" s="120">
        <f>IF($B897=0,0,$E897/$B897)</f>
        <v/>
      </c>
    </row>
    <row r="898" ht="15" customHeight="1" s="68">
      <c r="A898" s="114" t="n"/>
      <c r="B898" s="120">
        <f>SUMIFS(tblDonem[Gelir (₺)],tblDonem[Dönem],$A898)</f>
        <v/>
      </c>
      <c r="C898" s="120">
        <f>SUMIFS(tblDonem[KDV Tutarı (₺)],tblDonem[Dönem],$A898)-SUMIFS(tblDonem[KDV Yüklenimi (₺)],tblDonem[Dönem],$A898)</f>
        <v/>
      </c>
      <c r="D898" s="120">
        <f>SUMIFS(tblDonem[Vergi Karşılığı (₺)],tblDonem[Dönem],$A898)</f>
        <v/>
      </c>
      <c r="E898" s="120">
        <f>$C898+$D898</f>
        <v/>
      </c>
      <c r="F898" s="120">
        <f>IF($B898=0,0,$E898/$B898)</f>
        <v/>
      </c>
    </row>
    <row r="899" ht="15" customHeight="1" s="68">
      <c r="A899" s="114" t="n"/>
      <c r="B899" s="120">
        <f>SUMIFS(tblDonem[Gelir (₺)],tblDonem[Dönem],$A899)</f>
        <v/>
      </c>
      <c r="C899" s="120">
        <f>SUMIFS(tblDonem[KDV Tutarı (₺)],tblDonem[Dönem],$A899)-SUMIFS(tblDonem[KDV Yüklenimi (₺)],tblDonem[Dönem],$A899)</f>
        <v/>
      </c>
      <c r="D899" s="120">
        <f>SUMIFS(tblDonem[Vergi Karşılığı (₺)],tblDonem[Dönem],$A899)</f>
        <v/>
      </c>
      <c r="E899" s="120">
        <f>$C899+$D899</f>
        <v/>
      </c>
      <c r="F899" s="120">
        <f>IF($B899=0,0,$E899/$B899)</f>
        <v/>
      </c>
    </row>
    <row r="900" ht="15" customHeight="1" s="68">
      <c r="A900" s="114" t="n"/>
      <c r="B900" s="120">
        <f>SUMIFS(tblDonem[Gelir (₺)],tblDonem[Dönem],$A900)</f>
        <v/>
      </c>
      <c r="C900" s="120">
        <f>SUMIFS(tblDonem[KDV Tutarı (₺)],tblDonem[Dönem],$A900)-SUMIFS(tblDonem[KDV Yüklenimi (₺)],tblDonem[Dönem],$A900)</f>
        <v/>
      </c>
      <c r="D900" s="120">
        <f>SUMIFS(tblDonem[Vergi Karşılığı (₺)],tblDonem[Dönem],$A900)</f>
        <v/>
      </c>
      <c r="E900" s="120">
        <f>$C900+$D900</f>
        <v/>
      </c>
      <c r="F900" s="120">
        <f>IF($B900=0,0,$E900/$B900)</f>
        <v/>
      </c>
    </row>
    <row r="901" ht="15" customHeight="1" s="68">
      <c r="A901" s="114" t="n"/>
      <c r="B901" s="120">
        <f>SUMIFS(tblDonem[Gelir (₺)],tblDonem[Dönem],$A901)</f>
        <v/>
      </c>
      <c r="C901" s="120">
        <f>SUMIFS(tblDonem[KDV Tutarı (₺)],tblDonem[Dönem],$A901)-SUMIFS(tblDonem[KDV Yüklenimi (₺)],tblDonem[Dönem],$A901)</f>
        <v/>
      </c>
      <c r="D901" s="120">
        <f>SUMIFS(tblDonem[Vergi Karşılığı (₺)],tblDonem[Dönem],$A901)</f>
        <v/>
      </c>
      <c r="E901" s="120">
        <f>$C901+$D901</f>
        <v/>
      </c>
      <c r="F901" s="120">
        <f>IF($B901=0,0,$E901/$B901)</f>
        <v/>
      </c>
    </row>
    <row r="902" ht="15" customHeight="1" s="68">
      <c r="A902" s="114" t="n"/>
      <c r="B902" s="120">
        <f>SUMIFS(tblDonem[Gelir (₺)],tblDonem[Dönem],$A902)</f>
        <v/>
      </c>
      <c r="C902" s="120">
        <f>SUMIFS(tblDonem[KDV Tutarı (₺)],tblDonem[Dönem],$A902)-SUMIFS(tblDonem[KDV Yüklenimi (₺)],tblDonem[Dönem],$A902)</f>
        <v/>
      </c>
      <c r="D902" s="120">
        <f>SUMIFS(tblDonem[Vergi Karşılığı (₺)],tblDonem[Dönem],$A902)</f>
        <v/>
      </c>
      <c r="E902" s="120">
        <f>$C902+$D902</f>
        <v/>
      </c>
      <c r="F902" s="120">
        <f>IF($B902=0,0,$E902/$B902)</f>
        <v/>
      </c>
    </row>
    <row r="903" ht="15" customHeight="1" s="68">
      <c r="A903" s="114" t="n"/>
      <c r="B903" s="120">
        <f>SUMIFS(tblDonem[Gelir (₺)],tblDonem[Dönem],$A903)</f>
        <v/>
      </c>
      <c r="C903" s="120">
        <f>SUMIFS(tblDonem[KDV Tutarı (₺)],tblDonem[Dönem],$A903)-SUMIFS(tblDonem[KDV Yüklenimi (₺)],tblDonem[Dönem],$A903)</f>
        <v/>
      </c>
      <c r="D903" s="120">
        <f>SUMIFS(tblDonem[Vergi Karşılığı (₺)],tblDonem[Dönem],$A903)</f>
        <v/>
      </c>
      <c r="E903" s="120">
        <f>$C903+$D903</f>
        <v/>
      </c>
      <c r="F903" s="120">
        <f>IF($B903=0,0,$E903/$B903)</f>
        <v/>
      </c>
    </row>
    <row r="904" ht="15" customHeight="1" s="68">
      <c r="A904" s="114" t="n"/>
      <c r="B904" s="120">
        <f>SUMIFS(tblDonem[Gelir (₺)],tblDonem[Dönem],$A904)</f>
        <v/>
      </c>
      <c r="C904" s="120">
        <f>SUMIFS(tblDonem[KDV Tutarı (₺)],tblDonem[Dönem],$A904)-SUMIFS(tblDonem[KDV Yüklenimi (₺)],tblDonem[Dönem],$A904)</f>
        <v/>
      </c>
      <c r="D904" s="120">
        <f>SUMIFS(tblDonem[Vergi Karşılığı (₺)],tblDonem[Dönem],$A904)</f>
        <v/>
      </c>
      <c r="E904" s="120">
        <f>$C904+$D904</f>
        <v/>
      </c>
      <c r="F904" s="120">
        <f>IF($B904=0,0,$E904/$B904)</f>
        <v/>
      </c>
    </row>
    <row r="905" ht="15" customHeight="1" s="68">
      <c r="A905" s="114" t="n"/>
      <c r="B905" s="120">
        <f>SUMIFS(tblDonem[Gelir (₺)],tblDonem[Dönem],$A905)</f>
        <v/>
      </c>
      <c r="C905" s="120">
        <f>SUMIFS(tblDonem[KDV Tutarı (₺)],tblDonem[Dönem],$A905)-SUMIFS(tblDonem[KDV Yüklenimi (₺)],tblDonem[Dönem],$A905)</f>
        <v/>
      </c>
      <c r="D905" s="120">
        <f>SUMIFS(tblDonem[Vergi Karşılığı (₺)],tblDonem[Dönem],$A905)</f>
        <v/>
      </c>
      <c r="E905" s="120">
        <f>$C905+$D905</f>
        <v/>
      </c>
      <c r="F905" s="120">
        <f>IF($B905=0,0,$E905/$B905)</f>
        <v/>
      </c>
    </row>
    <row r="906" ht="15" customHeight="1" s="68">
      <c r="A906" s="114" t="n"/>
      <c r="B906" s="120">
        <f>SUMIFS(tblDonem[Gelir (₺)],tblDonem[Dönem],$A906)</f>
        <v/>
      </c>
      <c r="C906" s="120">
        <f>SUMIFS(tblDonem[KDV Tutarı (₺)],tblDonem[Dönem],$A906)-SUMIFS(tblDonem[KDV Yüklenimi (₺)],tblDonem[Dönem],$A906)</f>
        <v/>
      </c>
      <c r="D906" s="120">
        <f>SUMIFS(tblDonem[Vergi Karşılığı (₺)],tblDonem[Dönem],$A906)</f>
        <v/>
      </c>
      <c r="E906" s="120">
        <f>$C906+$D906</f>
        <v/>
      </c>
      <c r="F906" s="120">
        <f>IF($B906=0,0,$E906/$B906)</f>
        <v/>
      </c>
    </row>
    <row r="907" ht="15" customHeight="1" s="68">
      <c r="A907" s="114" t="n"/>
      <c r="B907" s="120">
        <f>SUMIFS(tblDonem[Gelir (₺)],tblDonem[Dönem],$A907)</f>
        <v/>
      </c>
      <c r="C907" s="120">
        <f>SUMIFS(tblDonem[KDV Tutarı (₺)],tblDonem[Dönem],$A907)-SUMIFS(tblDonem[KDV Yüklenimi (₺)],tblDonem[Dönem],$A907)</f>
        <v/>
      </c>
      <c r="D907" s="120">
        <f>SUMIFS(tblDonem[Vergi Karşılığı (₺)],tblDonem[Dönem],$A907)</f>
        <v/>
      </c>
      <c r="E907" s="120">
        <f>$C907+$D907</f>
        <v/>
      </c>
      <c r="F907" s="120">
        <f>IF($B907=0,0,$E907/$B907)</f>
        <v/>
      </c>
    </row>
    <row r="908" ht="15" customHeight="1" s="68">
      <c r="A908" s="114" t="n"/>
      <c r="B908" s="120">
        <f>SUMIFS(tblDonem[Gelir (₺)],tblDonem[Dönem],$A908)</f>
        <v/>
      </c>
      <c r="C908" s="120">
        <f>SUMIFS(tblDonem[KDV Tutarı (₺)],tblDonem[Dönem],$A908)-SUMIFS(tblDonem[KDV Yüklenimi (₺)],tblDonem[Dönem],$A908)</f>
        <v/>
      </c>
      <c r="D908" s="120">
        <f>SUMIFS(tblDonem[Vergi Karşılığı (₺)],tblDonem[Dönem],$A908)</f>
        <v/>
      </c>
      <c r="E908" s="120">
        <f>$C908+$D908</f>
        <v/>
      </c>
      <c r="F908" s="120">
        <f>IF($B908=0,0,$E908/$B908)</f>
        <v/>
      </c>
    </row>
    <row r="909" ht="15" customHeight="1" s="68">
      <c r="A909" s="114" t="n"/>
      <c r="B909" s="120">
        <f>SUMIFS(tblDonem[Gelir (₺)],tblDonem[Dönem],$A909)</f>
        <v/>
      </c>
      <c r="C909" s="120">
        <f>SUMIFS(tblDonem[KDV Tutarı (₺)],tblDonem[Dönem],$A909)-SUMIFS(tblDonem[KDV Yüklenimi (₺)],tblDonem[Dönem],$A909)</f>
        <v/>
      </c>
      <c r="D909" s="120">
        <f>SUMIFS(tblDonem[Vergi Karşılığı (₺)],tblDonem[Dönem],$A909)</f>
        <v/>
      </c>
      <c r="E909" s="120">
        <f>$C909+$D909</f>
        <v/>
      </c>
      <c r="F909" s="120">
        <f>IF($B909=0,0,$E909/$B909)</f>
        <v/>
      </c>
    </row>
    <row r="910" ht="15" customHeight="1" s="68">
      <c r="A910" s="114" t="n"/>
      <c r="B910" s="120">
        <f>SUMIFS(tblDonem[Gelir (₺)],tblDonem[Dönem],$A910)</f>
        <v/>
      </c>
      <c r="C910" s="120">
        <f>SUMIFS(tblDonem[KDV Tutarı (₺)],tblDonem[Dönem],$A910)-SUMIFS(tblDonem[KDV Yüklenimi (₺)],tblDonem[Dönem],$A910)</f>
        <v/>
      </c>
      <c r="D910" s="120">
        <f>SUMIFS(tblDonem[Vergi Karşılığı (₺)],tblDonem[Dönem],$A910)</f>
        <v/>
      </c>
      <c r="E910" s="120">
        <f>$C910+$D910</f>
        <v/>
      </c>
      <c r="F910" s="120">
        <f>IF($B910=0,0,$E910/$B910)</f>
        <v/>
      </c>
    </row>
    <row r="911" ht="15" customHeight="1" s="68">
      <c r="A911" s="114" t="n"/>
      <c r="B911" s="120">
        <f>SUMIFS(tblDonem[Gelir (₺)],tblDonem[Dönem],$A911)</f>
        <v/>
      </c>
      <c r="C911" s="120">
        <f>SUMIFS(tblDonem[KDV Tutarı (₺)],tblDonem[Dönem],$A911)-SUMIFS(tblDonem[KDV Yüklenimi (₺)],tblDonem[Dönem],$A911)</f>
        <v/>
      </c>
      <c r="D911" s="120">
        <f>SUMIFS(tblDonem[Vergi Karşılığı (₺)],tblDonem[Dönem],$A911)</f>
        <v/>
      </c>
      <c r="E911" s="120">
        <f>$C911+$D911</f>
        <v/>
      </c>
      <c r="F911" s="120">
        <f>IF($B911=0,0,$E911/$B911)</f>
        <v/>
      </c>
    </row>
    <row r="912" ht="15" customHeight="1" s="68">
      <c r="A912" s="114" t="n"/>
      <c r="B912" s="120">
        <f>SUMIFS(tblDonem[Gelir (₺)],tblDonem[Dönem],$A912)</f>
        <v/>
      </c>
      <c r="C912" s="120">
        <f>SUMIFS(tblDonem[KDV Tutarı (₺)],tblDonem[Dönem],$A912)-SUMIFS(tblDonem[KDV Yüklenimi (₺)],tblDonem[Dönem],$A912)</f>
        <v/>
      </c>
      <c r="D912" s="120">
        <f>SUMIFS(tblDonem[Vergi Karşılığı (₺)],tblDonem[Dönem],$A912)</f>
        <v/>
      </c>
      <c r="E912" s="120">
        <f>$C912+$D912</f>
        <v/>
      </c>
      <c r="F912" s="120">
        <f>IF($B912=0,0,$E912/$B912)</f>
        <v/>
      </c>
    </row>
    <row r="913" ht="15" customHeight="1" s="68">
      <c r="A913" s="114" t="n"/>
      <c r="B913" s="120">
        <f>SUMIFS(tblDonem[Gelir (₺)],tblDonem[Dönem],$A913)</f>
        <v/>
      </c>
      <c r="C913" s="120">
        <f>SUMIFS(tblDonem[KDV Tutarı (₺)],tblDonem[Dönem],$A913)-SUMIFS(tblDonem[KDV Yüklenimi (₺)],tblDonem[Dönem],$A913)</f>
        <v/>
      </c>
      <c r="D913" s="120">
        <f>SUMIFS(tblDonem[Vergi Karşılığı (₺)],tblDonem[Dönem],$A913)</f>
        <v/>
      </c>
      <c r="E913" s="120">
        <f>$C913+$D913</f>
        <v/>
      </c>
      <c r="F913" s="120">
        <f>IF($B913=0,0,$E913/$B913)</f>
        <v/>
      </c>
    </row>
    <row r="914" ht="15" customHeight="1" s="68">
      <c r="A914" s="114" t="n"/>
      <c r="B914" s="120">
        <f>SUMIFS(tblDonem[Gelir (₺)],tblDonem[Dönem],$A914)</f>
        <v/>
      </c>
      <c r="C914" s="120">
        <f>SUMIFS(tblDonem[KDV Tutarı (₺)],tblDonem[Dönem],$A914)-SUMIFS(tblDonem[KDV Yüklenimi (₺)],tblDonem[Dönem],$A914)</f>
        <v/>
      </c>
      <c r="D914" s="120">
        <f>SUMIFS(tblDonem[Vergi Karşılığı (₺)],tblDonem[Dönem],$A914)</f>
        <v/>
      </c>
      <c r="E914" s="120">
        <f>$C914+$D914</f>
        <v/>
      </c>
      <c r="F914" s="120">
        <f>IF($B914=0,0,$E914/$B914)</f>
        <v/>
      </c>
    </row>
    <row r="915" ht="15" customHeight="1" s="68">
      <c r="A915" s="114" t="n"/>
      <c r="B915" s="120">
        <f>SUMIFS(tblDonem[Gelir (₺)],tblDonem[Dönem],$A915)</f>
        <v/>
      </c>
      <c r="C915" s="120">
        <f>SUMIFS(tblDonem[KDV Tutarı (₺)],tblDonem[Dönem],$A915)-SUMIFS(tblDonem[KDV Yüklenimi (₺)],tblDonem[Dönem],$A915)</f>
        <v/>
      </c>
      <c r="D915" s="120">
        <f>SUMIFS(tblDonem[Vergi Karşılığı (₺)],tblDonem[Dönem],$A915)</f>
        <v/>
      </c>
      <c r="E915" s="120">
        <f>$C915+$D915</f>
        <v/>
      </c>
      <c r="F915" s="120">
        <f>IF($B915=0,0,$E915/$B915)</f>
        <v/>
      </c>
    </row>
    <row r="916" ht="15" customHeight="1" s="68">
      <c r="A916" s="114" t="n"/>
      <c r="B916" s="120">
        <f>SUMIFS(tblDonem[Gelir (₺)],tblDonem[Dönem],$A916)</f>
        <v/>
      </c>
      <c r="C916" s="120">
        <f>SUMIFS(tblDonem[KDV Tutarı (₺)],tblDonem[Dönem],$A916)-SUMIFS(tblDonem[KDV Yüklenimi (₺)],tblDonem[Dönem],$A916)</f>
        <v/>
      </c>
      <c r="D916" s="120">
        <f>SUMIFS(tblDonem[Vergi Karşılığı (₺)],tblDonem[Dönem],$A916)</f>
        <v/>
      </c>
      <c r="E916" s="120">
        <f>$C916+$D916</f>
        <v/>
      </c>
      <c r="F916" s="120">
        <f>IF($B916=0,0,$E916/$B916)</f>
        <v/>
      </c>
    </row>
    <row r="917" ht="15" customHeight="1" s="68">
      <c r="A917" s="114" t="n"/>
      <c r="B917" s="120">
        <f>SUMIFS(tblDonem[Gelir (₺)],tblDonem[Dönem],$A917)</f>
        <v/>
      </c>
      <c r="C917" s="120">
        <f>SUMIFS(tblDonem[KDV Tutarı (₺)],tblDonem[Dönem],$A917)-SUMIFS(tblDonem[KDV Yüklenimi (₺)],tblDonem[Dönem],$A917)</f>
        <v/>
      </c>
      <c r="D917" s="120">
        <f>SUMIFS(tblDonem[Vergi Karşılığı (₺)],tblDonem[Dönem],$A917)</f>
        <v/>
      </c>
      <c r="E917" s="120">
        <f>$C917+$D917</f>
        <v/>
      </c>
      <c r="F917" s="120">
        <f>IF($B917=0,0,$E917/$B917)</f>
        <v/>
      </c>
    </row>
    <row r="918" ht="15" customHeight="1" s="68">
      <c r="A918" s="114" t="n"/>
      <c r="B918" s="120">
        <f>SUMIFS(tblDonem[Gelir (₺)],tblDonem[Dönem],$A918)</f>
        <v/>
      </c>
      <c r="C918" s="120">
        <f>SUMIFS(tblDonem[KDV Tutarı (₺)],tblDonem[Dönem],$A918)-SUMIFS(tblDonem[KDV Yüklenimi (₺)],tblDonem[Dönem],$A918)</f>
        <v/>
      </c>
      <c r="D918" s="120">
        <f>SUMIFS(tblDonem[Vergi Karşılığı (₺)],tblDonem[Dönem],$A918)</f>
        <v/>
      </c>
      <c r="E918" s="120">
        <f>$C918+$D918</f>
        <v/>
      </c>
      <c r="F918" s="120">
        <f>IF($B918=0,0,$E918/$B918)</f>
        <v/>
      </c>
    </row>
    <row r="919" ht="15" customHeight="1" s="68">
      <c r="A919" s="114" t="n"/>
      <c r="B919" s="120">
        <f>SUMIFS(tblDonem[Gelir (₺)],tblDonem[Dönem],$A919)</f>
        <v/>
      </c>
      <c r="C919" s="120">
        <f>SUMIFS(tblDonem[KDV Tutarı (₺)],tblDonem[Dönem],$A919)-SUMIFS(tblDonem[KDV Yüklenimi (₺)],tblDonem[Dönem],$A919)</f>
        <v/>
      </c>
      <c r="D919" s="120">
        <f>SUMIFS(tblDonem[Vergi Karşılığı (₺)],tblDonem[Dönem],$A919)</f>
        <v/>
      </c>
      <c r="E919" s="120">
        <f>$C919+$D919</f>
        <v/>
      </c>
      <c r="F919" s="120">
        <f>IF($B919=0,0,$E919/$B919)</f>
        <v/>
      </c>
    </row>
    <row r="920" ht="15" customHeight="1" s="68">
      <c r="A920" s="114" t="n"/>
      <c r="B920" s="120">
        <f>SUMIFS(tblDonem[Gelir (₺)],tblDonem[Dönem],$A920)</f>
        <v/>
      </c>
      <c r="C920" s="120">
        <f>SUMIFS(tblDonem[KDV Tutarı (₺)],tblDonem[Dönem],$A920)-SUMIFS(tblDonem[KDV Yüklenimi (₺)],tblDonem[Dönem],$A920)</f>
        <v/>
      </c>
      <c r="D920" s="120">
        <f>SUMIFS(tblDonem[Vergi Karşılığı (₺)],tblDonem[Dönem],$A920)</f>
        <v/>
      </c>
      <c r="E920" s="120">
        <f>$C920+$D920</f>
        <v/>
      </c>
      <c r="F920" s="120">
        <f>IF($B920=0,0,$E920/$B920)</f>
        <v/>
      </c>
    </row>
    <row r="921" ht="15" customHeight="1" s="68">
      <c r="A921" s="114" t="n"/>
      <c r="B921" s="120">
        <f>SUMIFS(tblDonem[Gelir (₺)],tblDonem[Dönem],$A921)</f>
        <v/>
      </c>
      <c r="C921" s="120">
        <f>SUMIFS(tblDonem[KDV Tutarı (₺)],tblDonem[Dönem],$A921)-SUMIFS(tblDonem[KDV Yüklenimi (₺)],tblDonem[Dönem],$A921)</f>
        <v/>
      </c>
      <c r="D921" s="120">
        <f>SUMIFS(tblDonem[Vergi Karşılığı (₺)],tblDonem[Dönem],$A921)</f>
        <v/>
      </c>
      <c r="E921" s="120">
        <f>$C921+$D921</f>
        <v/>
      </c>
      <c r="F921" s="120">
        <f>IF($B921=0,0,$E921/$B921)</f>
        <v/>
      </c>
    </row>
    <row r="922" ht="15" customHeight="1" s="68">
      <c r="A922" s="114" t="n"/>
      <c r="B922" s="120">
        <f>SUMIFS(tblDonem[Gelir (₺)],tblDonem[Dönem],$A922)</f>
        <v/>
      </c>
      <c r="C922" s="120">
        <f>SUMIFS(tblDonem[KDV Tutarı (₺)],tblDonem[Dönem],$A922)-SUMIFS(tblDonem[KDV Yüklenimi (₺)],tblDonem[Dönem],$A922)</f>
        <v/>
      </c>
      <c r="D922" s="120">
        <f>SUMIFS(tblDonem[Vergi Karşılığı (₺)],tblDonem[Dönem],$A922)</f>
        <v/>
      </c>
      <c r="E922" s="120">
        <f>$C922+$D922</f>
        <v/>
      </c>
      <c r="F922" s="120">
        <f>IF($B922=0,0,$E922/$B922)</f>
        <v/>
      </c>
    </row>
    <row r="923" ht="15" customHeight="1" s="68">
      <c r="A923" s="114" t="n"/>
      <c r="B923" s="120">
        <f>SUMIFS(tblDonem[Gelir (₺)],tblDonem[Dönem],$A923)</f>
        <v/>
      </c>
      <c r="C923" s="120">
        <f>SUMIFS(tblDonem[KDV Tutarı (₺)],tblDonem[Dönem],$A923)-SUMIFS(tblDonem[KDV Yüklenimi (₺)],tblDonem[Dönem],$A923)</f>
        <v/>
      </c>
      <c r="D923" s="120">
        <f>SUMIFS(tblDonem[Vergi Karşılığı (₺)],tblDonem[Dönem],$A923)</f>
        <v/>
      </c>
      <c r="E923" s="120">
        <f>$C923+$D923</f>
        <v/>
      </c>
      <c r="F923" s="120">
        <f>IF($B923=0,0,$E923/$B923)</f>
        <v/>
      </c>
    </row>
    <row r="924" ht="15" customHeight="1" s="68">
      <c r="A924" s="114" t="n"/>
      <c r="B924" s="120">
        <f>SUMIFS(tblDonem[Gelir (₺)],tblDonem[Dönem],$A924)</f>
        <v/>
      </c>
      <c r="C924" s="120">
        <f>SUMIFS(tblDonem[KDV Tutarı (₺)],tblDonem[Dönem],$A924)-SUMIFS(tblDonem[KDV Yüklenimi (₺)],tblDonem[Dönem],$A924)</f>
        <v/>
      </c>
      <c r="D924" s="120">
        <f>SUMIFS(tblDonem[Vergi Karşılığı (₺)],tblDonem[Dönem],$A924)</f>
        <v/>
      </c>
      <c r="E924" s="120">
        <f>$C924+$D924</f>
        <v/>
      </c>
      <c r="F924" s="120">
        <f>IF($B924=0,0,$E924/$B924)</f>
        <v/>
      </c>
    </row>
    <row r="925" ht="15" customHeight="1" s="68">
      <c r="A925" s="114" t="n"/>
      <c r="B925" s="120">
        <f>SUMIFS(tblDonem[Gelir (₺)],tblDonem[Dönem],$A925)</f>
        <v/>
      </c>
      <c r="C925" s="120">
        <f>SUMIFS(tblDonem[KDV Tutarı (₺)],tblDonem[Dönem],$A925)-SUMIFS(tblDonem[KDV Yüklenimi (₺)],tblDonem[Dönem],$A925)</f>
        <v/>
      </c>
      <c r="D925" s="120">
        <f>SUMIFS(tblDonem[Vergi Karşılığı (₺)],tblDonem[Dönem],$A925)</f>
        <v/>
      </c>
      <c r="E925" s="120">
        <f>$C925+$D925</f>
        <v/>
      </c>
      <c r="F925" s="120">
        <f>IF($B925=0,0,$E925/$B925)</f>
        <v/>
      </c>
    </row>
    <row r="926" ht="15" customHeight="1" s="68">
      <c r="A926" s="114" t="n"/>
      <c r="B926" s="120">
        <f>SUMIFS(tblDonem[Gelir (₺)],tblDonem[Dönem],$A926)</f>
        <v/>
      </c>
      <c r="C926" s="120">
        <f>SUMIFS(tblDonem[KDV Tutarı (₺)],tblDonem[Dönem],$A926)-SUMIFS(tblDonem[KDV Yüklenimi (₺)],tblDonem[Dönem],$A926)</f>
        <v/>
      </c>
      <c r="D926" s="120">
        <f>SUMIFS(tblDonem[Vergi Karşılığı (₺)],tblDonem[Dönem],$A926)</f>
        <v/>
      </c>
      <c r="E926" s="120">
        <f>$C926+$D926</f>
        <v/>
      </c>
      <c r="F926" s="120">
        <f>IF($B926=0,0,$E926/$B926)</f>
        <v/>
      </c>
    </row>
    <row r="927" ht="15" customHeight="1" s="68">
      <c r="A927" s="114" t="n"/>
      <c r="B927" s="120">
        <f>SUMIFS(tblDonem[Gelir (₺)],tblDonem[Dönem],$A927)</f>
        <v/>
      </c>
      <c r="C927" s="120">
        <f>SUMIFS(tblDonem[KDV Tutarı (₺)],tblDonem[Dönem],$A927)-SUMIFS(tblDonem[KDV Yüklenimi (₺)],tblDonem[Dönem],$A927)</f>
        <v/>
      </c>
      <c r="D927" s="120">
        <f>SUMIFS(tblDonem[Vergi Karşılığı (₺)],tblDonem[Dönem],$A927)</f>
        <v/>
      </c>
      <c r="E927" s="120">
        <f>$C927+$D927</f>
        <v/>
      </c>
      <c r="F927" s="120">
        <f>IF($B927=0,0,$E927/$B927)</f>
        <v/>
      </c>
    </row>
    <row r="928" ht="15" customHeight="1" s="68">
      <c r="A928" s="114" t="n"/>
      <c r="B928" s="120">
        <f>SUMIFS(tblDonem[Gelir (₺)],tblDonem[Dönem],$A928)</f>
        <v/>
      </c>
      <c r="C928" s="120">
        <f>SUMIFS(tblDonem[KDV Tutarı (₺)],tblDonem[Dönem],$A928)-SUMIFS(tblDonem[KDV Yüklenimi (₺)],tblDonem[Dönem],$A928)</f>
        <v/>
      </c>
      <c r="D928" s="120">
        <f>SUMIFS(tblDonem[Vergi Karşılığı (₺)],tblDonem[Dönem],$A928)</f>
        <v/>
      </c>
      <c r="E928" s="120">
        <f>$C928+$D928</f>
        <v/>
      </c>
      <c r="F928" s="120">
        <f>IF($B928=0,0,$E928/$B928)</f>
        <v/>
      </c>
    </row>
    <row r="929" ht="15" customHeight="1" s="68">
      <c r="A929" s="114" t="n"/>
      <c r="B929" s="120">
        <f>SUMIFS(tblDonem[Gelir (₺)],tblDonem[Dönem],$A929)</f>
        <v/>
      </c>
      <c r="C929" s="120">
        <f>SUMIFS(tblDonem[KDV Tutarı (₺)],tblDonem[Dönem],$A929)-SUMIFS(tblDonem[KDV Yüklenimi (₺)],tblDonem[Dönem],$A929)</f>
        <v/>
      </c>
      <c r="D929" s="120">
        <f>SUMIFS(tblDonem[Vergi Karşılığı (₺)],tblDonem[Dönem],$A929)</f>
        <v/>
      </c>
      <c r="E929" s="120">
        <f>$C929+$D929</f>
        <v/>
      </c>
      <c r="F929" s="120">
        <f>IF($B929=0,0,$E929/$B929)</f>
        <v/>
      </c>
    </row>
    <row r="930" ht="15" customHeight="1" s="68">
      <c r="A930" s="114" t="n"/>
      <c r="B930" s="120">
        <f>SUMIFS(tblDonem[Gelir (₺)],tblDonem[Dönem],$A930)</f>
        <v/>
      </c>
      <c r="C930" s="120">
        <f>SUMIFS(tblDonem[KDV Tutarı (₺)],tblDonem[Dönem],$A930)-SUMIFS(tblDonem[KDV Yüklenimi (₺)],tblDonem[Dönem],$A930)</f>
        <v/>
      </c>
      <c r="D930" s="120">
        <f>SUMIFS(tblDonem[Vergi Karşılığı (₺)],tblDonem[Dönem],$A930)</f>
        <v/>
      </c>
      <c r="E930" s="120">
        <f>$C930+$D930</f>
        <v/>
      </c>
      <c r="F930" s="120">
        <f>IF($B930=0,0,$E930/$B930)</f>
        <v/>
      </c>
    </row>
    <row r="931" ht="15" customHeight="1" s="68">
      <c r="A931" s="114" t="n"/>
      <c r="B931" s="120">
        <f>SUMIFS(tblDonem[Gelir (₺)],tblDonem[Dönem],$A931)</f>
        <v/>
      </c>
      <c r="C931" s="120">
        <f>SUMIFS(tblDonem[KDV Tutarı (₺)],tblDonem[Dönem],$A931)-SUMIFS(tblDonem[KDV Yüklenimi (₺)],tblDonem[Dönem],$A931)</f>
        <v/>
      </c>
      <c r="D931" s="120">
        <f>SUMIFS(tblDonem[Vergi Karşılığı (₺)],tblDonem[Dönem],$A931)</f>
        <v/>
      </c>
      <c r="E931" s="120">
        <f>$C931+$D931</f>
        <v/>
      </c>
      <c r="F931" s="120">
        <f>IF($B931=0,0,$E931/$B931)</f>
        <v/>
      </c>
    </row>
    <row r="932" ht="15" customHeight="1" s="68">
      <c r="A932" s="114" t="n"/>
      <c r="B932" s="120">
        <f>SUMIFS(tblDonem[Gelir (₺)],tblDonem[Dönem],$A932)</f>
        <v/>
      </c>
      <c r="C932" s="120">
        <f>SUMIFS(tblDonem[KDV Tutarı (₺)],tblDonem[Dönem],$A932)-SUMIFS(tblDonem[KDV Yüklenimi (₺)],tblDonem[Dönem],$A932)</f>
        <v/>
      </c>
      <c r="D932" s="120">
        <f>SUMIFS(tblDonem[Vergi Karşılığı (₺)],tblDonem[Dönem],$A932)</f>
        <v/>
      </c>
      <c r="E932" s="120">
        <f>$C932+$D932</f>
        <v/>
      </c>
      <c r="F932" s="120">
        <f>IF($B932=0,0,$E932/$B932)</f>
        <v/>
      </c>
    </row>
    <row r="933" ht="15" customHeight="1" s="68">
      <c r="A933" s="114" t="n"/>
      <c r="B933" s="120">
        <f>SUMIFS(tblDonem[Gelir (₺)],tblDonem[Dönem],$A933)</f>
        <v/>
      </c>
      <c r="C933" s="120">
        <f>SUMIFS(tblDonem[KDV Tutarı (₺)],tblDonem[Dönem],$A933)-SUMIFS(tblDonem[KDV Yüklenimi (₺)],tblDonem[Dönem],$A933)</f>
        <v/>
      </c>
      <c r="D933" s="120">
        <f>SUMIFS(tblDonem[Vergi Karşılığı (₺)],tblDonem[Dönem],$A933)</f>
        <v/>
      </c>
      <c r="E933" s="120">
        <f>$C933+$D933</f>
        <v/>
      </c>
      <c r="F933" s="120">
        <f>IF($B933=0,0,$E933/$B933)</f>
        <v/>
      </c>
    </row>
    <row r="934" ht="15" customHeight="1" s="68">
      <c r="A934" s="114" t="n"/>
      <c r="B934" s="120">
        <f>SUMIFS(tblDonem[Gelir (₺)],tblDonem[Dönem],$A934)</f>
        <v/>
      </c>
      <c r="C934" s="120">
        <f>SUMIFS(tblDonem[KDV Tutarı (₺)],tblDonem[Dönem],$A934)-SUMIFS(tblDonem[KDV Yüklenimi (₺)],tblDonem[Dönem],$A934)</f>
        <v/>
      </c>
      <c r="D934" s="120">
        <f>SUMIFS(tblDonem[Vergi Karşılığı (₺)],tblDonem[Dönem],$A934)</f>
        <v/>
      </c>
      <c r="E934" s="120">
        <f>$C934+$D934</f>
        <v/>
      </c>
      <c r="F934" s="120">
        <f>IF($B934=0,0,$E934/$B934)</f>
        <v/>
      </c>
    </row>
    <row r="935" ht="15" customHeight="1" s="68">
      <c r="A935" s="114" t="n"/>
      <c r="B935" s="120">
        <f>SUMIFS(tblDonem[Gelir (₺)],tblDonem[Dönem],$A935)</f>
        <v/>
      </c>
      <c r="C935" s="120">
        <f>SUMIFS(tblDonem[KDV Tutarı (₺)],tblDonem[Dönem],$A935)-SUMIFS(tblDonem[KDV Yüklenimi (₺)],tblDonem[Dönem],$A935)</f>
        <v/>
      </c>
      <c r="D935" s="120">
        <f>SUMIFS(tblDonem[Vergi Karşılığı (₺)],tblDonem[Dönem],$A935)</f>
        <v/>
      </c>
      <c r="E935" s="120">
        <f>$C935+$D935</f>
        <v/>
      </c>
      <c r="F935" s="120">
        <f>IF($B935=0,0,$E935/$B935)</f>
        <v/>
      </c>
    </row>
    <row r="936" ht="15" customHeight="1" s="68">
      <c r="A936" s="114" t="n"/>
      <c r="B936" s="120">
        <f>SUMIFS(tblDonem[Gelir (₺)],tblDonem[Dönem],$A936)</f>
        <v/>
      </c>
      <c r="C936" s="120">
        <f>SUMIFS(tblDonem[KDV Tutarı (₺)],tblDonem[Dönem],$A936)-SUMIFS(tblDonem[KDV Yüklenimi (₺)],tblDonem[Dönem],$A936)</f>
        <v/>
      </c>
      <c r="D936" s="120">
        <f>SUMIFS(tblDonem[Vergi Karşılığı (₺)],tblDonem[Dönem],$A936)</f>
        <v/>
      </c>
      <c r="E936" s="120">
        <f>$C936+$D936</f>
        <v/>
      </c>
      <c r="F936" s="120">
        <f>IF($B936=0,0,$E936/$B936)</f>
        <v/>
      </c>
    </row>
    <row r="937" ht="15" customHeight="1" s="68">
      <c r="A937" s="114" t="n"/>
      <c r="B937" s="120">
        <f>SUMIFS(tblDonem[Gelir (₺)],tblDonem[Dönem],$A937)</f>
        <v/>
      </c>
      <c r="C937" s="120">
        <f>SUMIFS(tblDonem[KDV Tutarı (₺)],tblDonem[Dönem],$A937)-SUMIFS(tblDonem[KDV Yüklenimi (₺)],tblDonem[Dönem],$A937)</f>
        <v/>
      </c>
      <c r="D937" s="120">
        <f>SUMIFS(tblDonem[Vergi Karşılığı (₺)],tblDonem[Dönem],$A937)</f>
        <v/>
      </c>
      <c r="E937" s="120">
        <f>$C937+$D937</f>
        <v/>
      </c>
      <c r="F937" s="120">
        <f>IF($B937=0,0,$E937/$B937)</f>
        <v/>
      </c>
    </row>
    <row r="938" ht="15" customHeight="1" s="68">
      <c r="A938" s="114" t="n"/>
      <c r="B938" s="120">
        <f>SUMIFS(tblDonem[Gelir (₺)],tblDonem[Dönem],$A938)</f>
        <v/>
      </c>
      <c r="C938" s="120">
        <f>SUMIFS(tblDonem[KDV Tutarı (₺)],tblDonem[Dönem],$A938)-SUMIFS(tblDonem[KDV Yüklenimi (₺)],tblDonem[Dönem],$A938)</f>
        <v/>
      </c>
      <c r="D938" s="120">
        <f>SUMIFS(tblDonem[Vergi Karşılığı (₺)],tblDonem[Dönem],$A938)</f>
        <v/>
      </c>
      <c r="E938" s="120">
        <f>$C938+$D938</f>
        <v/>
      </c>
      <c r="F938" s="120">
        <f>IF($B938=0,0,$E938/$B938)</f>
        <v/>
      </c>
    </row>
    <row r="939" ht="15" customHeight="1" s="68">
      <c r="A939" s="114" t="n"/>
      <c r="B939" s="120">
        <f>SUMIFS(tblDonem[Gelir (₺)],tblDonem[Dönem],$A939)</f>
        <v/>
      </c>
      <c r="C939" s="120">
        <f>SUMIFS(tblDonem[KDV Tutarı (₺)],tblDonem[Dönem],$A939)-SUMIFS(tblDonem[KDV Yüklenimi (₺)],tblDonem[Dönem],$A939)</f>
        <v/>
      </c>
      <c r="D939" s="120">
        <f>SUMIFS(tblDonem[Vergi Karşılığı (₺)],tblDonem[Dönem],$A939)</f>
        <v/>
      </c>
      <c r="E939" s="120">
        <f>$C939+$D939</f>
        <v/>
      </c>
      <c r="F939" s="120">
        <f>IF($B939=0,0,$E939/$B939)</f>
        <v/>
      </c>
    </row>
    <row r="940" ht="15" customHeight="1" s="68">
      <c r="A940" s="114" t="n"/>
      <c r="B940" s="120">
        <f>SUMIFS(tblDonem[Gelir (₺)],tblDonem[Dönem],$A940)</f>
        <v/>
      </c>
      <c r="C940" s="120">
        <f>SUMIFS(tblDonem[KDV Tutarı (₺)],tblDonem[Dönem],$A940)-SUMIFS(tblDonem[KDV Yüklenimi (₺)],tblDonem[Dönem],$A940)</f>
        <v/>
      </c>
      <c r="D940" s="120">
        <f>SUMIFS(tblDonem[Vergi Karşılığı (₺)],tblDonem[Dönem],$A940)</f>
        <v/>
      </c>
      <c r="E940" s="120">
        <f>$C940+$D940</f>
        <v/>
      </c>
      <c r="F940" s="120">
        <f>IF($B940=0,0,$E940/$B940)</f>
        <v/>
      </c>
    </row>
    <row r="941" ht="15" customHeight="1" s="68">
      <c r="A941" s="114" t="n"/>
      <c r="B941" s="120">
        <f>SUMIFS(tblDonem[Gelir (₺)],tblDonem[Dönem],$A941)</f>
        <v/>
      </c>
      <c r="C941" s="120">
        <f>SUMIFS(tblDonem[KDV Tutarı (₺)],tblDonem[Dönem],$A941)-SUMIFS(tblDonem[KDV Yüklenimi (₺)],tblDonem[Dönem],$A941)</f>
        <v/>
      </c>
      <c r="D941" s="120">
        <f>SUMIFS(tblDonem[Vergi Karşılığı (₺)],tblDonem[Dönem],$A941)</f>
        <v/>
      </c>
      <c r="E941" s="120">
        <f>$C941+$D941</f>
        <v/>
      </c>
      <c r="F941" s="120">
        <f>IF($B941=0,0,$E941/$B941)</f>
        <v/>
      </c>
    </row>
    <row r="942" ht="15" customHeight="1" s="68">
      <c r="A942" s="114" t="n"/>
      <c r="B942" s="120">
        <f>SUMIFS(tblDonem[Gelir (₺)],tblDonem[Dönem],$A942)</f>
        <v/>
      </c>
      <c r="C942" s="120">
        <f>SUMIFS(tblDonem[KDV Tutarı (₺)],tblDonem[Dönem],$A942)-SUMIFS(tblDonem[KDV Yüklenimi (₺)],tblDonem[Dönem],$A942)</f>
        <v/>
      </c>
      <c r="D942" s="120">
        <f>SUMIFS(tblDonem[Vergi Karşılığı (₺)],tblDonem[Dönem],$A942)</f>
        <v/>
      </c>
      <c r="E942" s="120">
        <f>$C942+$D942</f>
        <v/>
      </c>
      <c r="F942" s="120">
        <f>IF($B942=0,0,$E942/$B942)</f>
        <v/>
      </c>
    </row>
    <row r="943" ht="15" customHeight="1" s="68">
      <c r="A943" s="114" t="n"/>
      <c r="B943" s="120">
        <f>SUMIFS(tblDonem[Gelir (₺)],tblDonem[Dönem],$A943)</f>
        <v/>
      </c>
      <c r="C943" s="120">
        <f>SUMIFS(tblDonem[KDV Tutarı (₺)],tblDonem[Dönem],$A943)-SUMIFS(tblDonem[KDV Yüklenimi (₺)],tblDonem[Dönem],$A943)</f>
        <v/>
      </c>
      <c r="D943" s="120">
        <f>SUMIFS(tblDonem[Vergi Karşılığı (₺)],tblDonem[Dönem],$A943)</f>
        <v/>
      </c>
      <c r="E943" s="120">
        <f>$C943+$D943</f>
        <v/>
      </c>
      <c r="F943" s="120">
        <f>IF($B943=0,0,$E943/$B943)</f>
        <v/>
      </c>
    </row>
    <row r="944" ht="15" customHeight="1" s="68">
      <c r="A944" s="114" t="n"/>
      <c r="B944" s="120">
        <f>SUMIFS(tblDonem[Gelir (₺)],tblDonem[Dönem],$A944)</f>
        <v/>
      </c>
      <c r="C944" s="120">
        <f>SUMIFS(tblDonem[KDV Tutarı (₺)],tblDonem[Dönem],$A944)-SUMIFS(tblDonem[KDV Yüklenimi (₺)],tblDonem[Dönem],$A944)</f>
        <v/>
      </c>
      <c r="D944" s="120">
        <f>SUMIFS(tblDonem[Vergi Karşılığı (₺)],tblDonem[Dönem],$A944)</f>
        <v/>
      </c>
      <c r="E944" s="120">
        <f>$C944+$D944</f>
        <v/>
      </c>
      <c r="F944" s="120">
        <f>IF($B944=0,0,$E944/$B944)</f>
        <v/>
      </c>
    </row>
    <row r="945" ht="15" customHeight="1" s="68">
      <c r="A945" s="114" t="n"/>
      <c r="B945" s="120">
        <f>SUMIFS(tblDonem[Gelir (₺)],tblDonem[Dönem],$A945)</f>
        <v/>
      </c>
      <c r="C945" s="120">
        <f>SUMIFS(tblDonem[KDV Tutarı (₺)],tblDonem[Dönem],$A945)-SUMIFS(tblDonem[KDV Yüklenimi (₺)],tblDonem[Dönem],$A945)</f>
        <v/>
      </c>
      <c r="D945" s="120">
        <f>SUMIFS(tblDonem[Vergi Karşılığı (₺)],tblDonem[Dönem],$A945)</f>
        <v/>
      </c>
      <c r="E945" s="120">
        <f>$C945+$D945</f>
        <v/>
      </c>
      <c r="F945" s="120">
        <f>IF($B945=0,0,$E945/$B945)</f>
        <v/>
      </c>
    </row>
    <row r="946" ht="15" customHeight="1" s="68">
      <c r="A946" s="114" t="n"/>
      <c r="B946" s="120">
        <f>SUMIFS(tblDonem[Gelir (₺)],tblDonem[Dönem],$A946)</f>
        <v/>
      </c>
      <c r="C946" s="120">
        <f>SUMIFS(tblDonem[KDV Tutarı (₺)],tblDonem[Dönem],$A946)-SUMIFS(tblDonem[KDV Yüklenimi (₺)],tblDonem[Dönem],$A946)</f>
        <v/>
      </c>
      <c r="D946" s="120">
        <f>SUMIFS(tblDonem[Vergi Karşılığı (₺)],tblDonem[Dönem],$A946)</f>
        <v/>
      </c>
      <c r="E946" s="120">
        <f>$C946+$D946</f>
        <v/>
      </c>
      <c r="F946" s="120">
        <f>IF($B946=0,0,$E946/$B946)</f>
        <v/>
      </c>
    </row>
    <row r="947" ht="15" customHeight="1" s="68">
      <c r="A947" s="114" t="n"/>
      <c r="B947" s="120">
        <f>SUMIFS(tblDonem[Gelir (₺)],tblDonem[Dönem],$A947)</f>
        <v/>
      </c>
      <c r="C947" s="120">
        <f>SUMIFS(tblDonem[KDV Tutarı (₺)],tblDonem[Dönem],$A947)-SUMIFS(tblDonem[KDV Yüklenimi (₺)],tblDonem[Dönem],$A947)</f>
        <v/>
      </c>
      <c r="D947" s="120">
        <f>SUMIFS(tblDonem[Vergi Karşılığı (₺)],tblDonem[Dönem],$A947)</f>
        <v/>
      </c>
      <c r="E947" s="120">
        <f>$C947+$D947</f>
        <v/>
      </c>
      <c r="F947" s="120">
        <f>IF($B947=0,0,$E947/$B947)</f>
        <v/>
      </c>
    </row>
    <row r="948" ht="15" customHeight="1" s="68">
      <c r="A948" s="114" t="n"/>
      <c r="B948" s="120">
        <f>SUMIFS(tblDonem[Gelir (₺)],tblDonem[Dönem],$A948)</f>
        <v/>
      </c>
      <c r="C948" s="120">
        <f>SUMIFS(tblDonem[KDV Tutarı (₺)],tblDonem[Dönem],$A948)-SUMIFS(tblDonem[KDV Yüklenimi (₺)],tblDonem[Dönem],$A948)</f>
        <v/>
      </c>
      <c r="D948" s="120">
        <f>SUMIFS(tblDonem[Vergi Karşılığı (₺)],tblDonem[Dönem],$A948)</f>
        <v/>
      </c>
      <c r="E948" s="120">
        <f>$C948+$D948</f>
        <v/>
      </c>
      <c r="F948" s="120">
        <f>IF($B948=0,0,$E948/$B948)</f>
        <v/>
      </c>
    </row>
    <row r="949" ht="15" customHeight="1" s="68">
      <c r="A949" s="114" t="n"/>
      <c r="B949" s="120">
        <f>SUMIFS(tblDonem[Gelir (₺)],tblDonem[Dönem],$A949)</f>
        <v/>
      </c>
      <c r="C949" s="120">
        <f>SUMIFS(tblDonem[KDV Tutarı (₺)],tblDonem[Dönem],$A949)-SUMIFS(tblDonem[KDV Yüklenimi (₺)],tblDonem[Dönem],$A949)</f>
        <v/>
      </c>
      <c r="D949" s="120">
        <f>SUMIFS(tblDonem[Vergi Karşılığı (₺)],tblDonem[Dönem],$A949)</f>
        <v/>
      </c>
      <c r="E949" s="120">
        <f>$C949+$D949</f>
        <v/>
      </c>
      <c r="F949" s="120">
        <f>IF($B949=0,0,$E949/$B949)</f>
        <v/>
      </c>
    </row>
    <row r="950" ht="15" customHeight="1" s="68">
      <c r="A950" s="114" t="n"/>
      <c r="B950" s="120">
        <f>SUMIFS(tblDonem[Gelir (₺)],tblDonem[Dönem],$A950)</f>
        <v/>
      </c>
      <c r="C950" s="120">
        <f>SUMIFS(tblDonem[KDV Tutarı (₺)],tblDonem[Dönem],$A950)-SUMIFS(tblDonem[KDV Yüklenimi (₺)],tblDonem[Dönem],$A950)</f>
        <v/>
      </c>
      <c r="D950" s="120">
        <f>SUMIFS(tblDonem[Vergi Karşılığı (₺)],tblDonem[Dönem],$A950)</f>
        <v/>
      </c>
      <c r="E950" s="120">
        <f>$C950+$D950</f>
        <v/>
      </c>
      <c r="F950" s="120">
        <f>IF($B950=0,0,$E950/$B950)</f>
        <v/>
      </c>
    </row>
    <row r="951" ht="15" customHeight="1" s="68">
      <c r="A951" s="114" t="n"/>
      <c r="B951" s="120">
        <f>SUMIFS(tblDonem[Gelir (₺)],tblDonem[Dönem],$A951)</f>
        <v/>
      </c>
      <c r="C951" s="120">
        <f>SUMIFS(tblDonem[KDV Tutarı (₺)],tblDonem[Dönem],$A951)-SUMIFS(tblDonem[KDV Yüklenimi (₺)],tblDonem[Dönem],$A951)</f>
        <v/>
      </c>
      <c r="D951" s="120">
        <f>SUMIFS(tblDonem[Vergi Karşılığı (₺)],tblDonem[Dönem],$A951)</f>
        <v/>
      </c>
      <c r="E951" s="120">
        <f>$C951+$D951</f>
        <v/>
      </c>
      <c r="F951" s="120">
        <f>IF($B951=0,0,$E951/$B951)</f>
        <v/>
      </c>
    </row>
    <row r="952" ht="15" customHeight="1" s="68">
      <c r="A952" s="114" t="n"/>
      <c r="B952" s="120">
        <f>SUMIFS(tblDonem[Gelir (₺)],tblDonem[Dönem],$A952)</f>
        <v/>
      </c>
      <c r="C952" s="120">
        <f>SUMIFS(tblDonem[KDV Tutarı (₺)],tblDonem[Dönem],$A952)-SUMIFS(tblDonem[KDV Yüklenimi (₺)],tblDonem[Dönem],$A952)</f>
        <v/>
      </c>
      <c r="D952" s="120">
        <f>SUMIFS(tblDonem[Vergi Karşılığı (₺)],tblDonem[Dönem],$A952)</f>
        <v/>
      </c>
      <c r="E952" s="120">
        <f>$C952+$D952</f>
        <v/>
      </c>
      <c r="F952" s="120">
        <f>IF($B952=0,0,$E952/$B952)</f>
        <v/>
      </c>
    </row>
    <row r="953" ht="15" customHeight="1" s="68">
      <c r="A953" s="114" t="n"/>
      <c r="B953" s="120">
        <f>SUMIFS(tblDonem[Gelir (₺)],tblDonem[Dönem],$A953)</f>
        <v/>
      </c>
      <c r="C953" s="120">
        <f>SUMIFS(tblDonem[KDV Tutarı (₺)],tblDonem[Dönem],$A953)-SUMIFS(tblDonem[KDV Yüklenimi (₺)],tblDonem[Dönem],$A953)</f>
        <v/>
      </c>
      <c r="D953" s="120">
        <f>SUMIFS(tblDonem[Vergi Karşılığı (₺)],tblDonem[Dönem],$A953)</f>
        <v/>
      </c>
      <c r="E953" s="120">
        <f>$C953+$D953</f>
        <v/>
      </c>
      <c r="F953" s="120">
        <f>IF($B953=0,0,$E953/$B953)</f>
        <v/>
      </c>
    </row>
    <row r="954" ht="15" customHeight="1" s="68">
      <c r="A954" s="114" t="n"/>
      <c r="B954" s="120">
        <f>SUMIFS(tblDonem[Gelir (₺)],tblDonem[Dönem],$A954)</f>
        <v/>
      </c>
      <c r="C954" s="120">
        <f>SUMIFS(tblDonem[KDV Tutarı (₺)],tblDonem[Dönem],$A954)-SUMIFS(tblDonem[KDV Yüklenimi (₺)],tblDonem[Dönem],$A954)</f>
        <v/>
      </c>
      <c r="D954" s="120">
        <f>SUMIFS(tblDonem[Vergi Karşılığı (₺)],tblDonem[Dönem],$A954)</f>
        <v/>
      </c>
      <c r="E954" s="120">
        <f>$C954+$D954</f>
        <v/>
      </c>
      <c r="F954" s="120">
        <f>IF($B954=0,0,$E954/$B954)</f>
        <v/>
      </c>
    </row>
    <row r="955" ht="15" customHeight="1" s="68">
      <c r="A955" s="114" t="n"/>
      <c r="B955" s="120">
        <f>SUMIFS(tblDonem[Gelir (₺)],tblDonem[Dönem],$A955)</f>
        <v/>
      </c>
      <c r="C955" s="120">
        <f>SUMIFS(tblDonem[KDV Tutarı (₺)],tblDonem[Dönem],$A955)-SUMIFS(tblDonem[KDV Yüklenimi (₺)],tblDonem[Dönem],$A955)</f>
        <v/>
      </c>
      <c r="D955" s="120">
        <f>SUMIFS(tblDonem[Vergi Karşılığı (₺)],tblDonem[Dönem],$A955)</f>
        <v/>
      </c>
      <c r="E955" s="120">
        <f>$C955+$D955</f>
        <v/>
      </c>
      <c r="F955" s="120">
        <f>IF($B955=0,0,$E955/$B955)</f>
        <v/>
      </c>
    </row>
    <row r="956" ht="15" customHeight="1" s="68">
      <c r="A956" s="114" t="n"/>
      <c r="B956" s="120">
        <f>SUMIFS(tblDonem[Gelir (₺)],tblDonem[Dönem],$A956)</f>
        <v/>
      </c>
      <c r="C956" s="120">
        <f>SUMIFS(tblDonem[KDV Tutarı (₺)],tblDonem[Dönem],$A956)-SUMIFS(tblDonem[KDV Yüklenimi (₺)],tblDonem[Dönem],$A956)</f>
        <v/>
      </c>
      <c r="D956" s="120">
        <f>SUMIFS(tblDonem[Vergi Karşılığı (₺)],tblDonem[Dönem],$A956)</f>
        <v/>
      </c>
      <c r="E956" s="120">
        <f>$C956+$D956</f>
        <v/>
      </c>
      <c r="F956" s="120">
        <f>IF($B956=0,0,$E956/$B956)</f>
        <v/>
      </c>
    </row>
    <row r="957" ht="15" customHeight="1" s="68">
      <c r="A957" s="114" t="n"/>
      <c r="B957" s="120">
        <f>SUMIFS(tblDonem[Gelir (₺)],tblDonem[Dönem],$A957)</f>
        <v/>
      </c>
      <c r="C957" s="120">
        <f>SUMIFS(tblDonem[KDV Tutarı (₺)],tblDonem[Dönem],$A957)-SUMIFS(tblDonem[KDV Yüklenimi (₺)],tblDonem[Dönem],$A957)</f>
        <v/>
      </c>
      <c r="D957" s="120">
        <f>SUMIFS(tblDonem[Vergi Karşılığı (₺)],tblDonem[Dönem],$A957)</f>
        <v/>
      </c>
      <c r="E957" s="120">
        <f>$C957+$D957</f>
        <v/>
      </c>
      <c r="F957" s="120">
        <f>IF($B957=0,0,$E957/$B957)</f>
        <v/>
      </c>
    </row>
    <row r="958" ht="15" customHeight="1" s="68">
      <c r="A958" s="114" t="n"/>
      <c r="B958" s="120">
        <f>SUMIFS(tblDonem[Gelir (₺)],tblDonem[Dönem],$A958)</f>
        <v/>
      </c>
      <c r="C958" s="120">
        <f>SUMIFS(tblDonem[KDV Tutarı (₺)],tblDonem[Dönem],$A958)-SUMIFS(tblDonem[KDV Yüklenimi (₺)],tblDonem[Dönem],$A958)</f>
        <v/>
      </c>
      <c r="D958" s="120">
        <f>SUMIFS(tblDonem[Vergi Karşılığı (₺)],tblDonem[Dönem],$A958)</f>
        <v/>
      </c>
      <c r="E958" s="120">
        <f>$C958+$D958</f>
        <v/>
      </c>
      <c r="F958" s="120">
        <f>IF($B958=0,0,$E958/$B958)</f>
        <v/>
      </c>
    </row>
    <row r="959" ht="15" customHeight="1" s="68">
      <c r="A959" s="114" t="n"/>
      <c r="B959" s="120">
        <f>SUMIFS(tblDonem[Gelir (₺)],tblDonem[Dönem],$A959)</f>
        <v/>
      </c>
      <c r="C959" s="120">
        <f>SUMIFS(tblDonem[KDV Tutarı (₺)],tblDonem[Dönem],$A959)-SUMIFS(tblDonem[KDV Yüklenimi (₺)],tblDonem[Dönem],$A959)</f>
        <v/>
      </c>
      <c r="D959" s="120">
        <f>SUMIFS(tblDonem[Vergi Karşılığı (₺)],tblDonem[Dönem],$A959)</f>
        <v/>
      </c>
      <c r="E959" s="120">
        <f>$C959+$D959</f>
        <v/>
      </c>
      <c r="F959" s="120">
        <f>IF($B959=0,0,$E959/$B959)</f>
        <v/>
      </c>
    </row>
    <row r="960" ht="15" customHeight="1" s="68">
      <c r="A960" s="114" t="n"/>
      <c r="B960" s="120">
        <f>SUMIFS(tblDonem[Gelir (₺)],tblDonem[Dönem],$A960)</f>
        <v/>
      </c>
      <c r="C960" s="120">
        <f>SUMIFS(tblDonem[KDV Tutarı (₺)],tblDonem[Dönem],$A960)-SUMIFS(tblDonem[KDV Yüklenimi (₺)],tblDonem[Dönem],$A960)</f>
        <v/>
      </c>
      <c r="D960" s="120">
        <f>SUMIFS(tblDonem[Vergi Karşılığı (₺)],tblDonem[Dönem],$A960)</f>
        <v/>
      </c>
      <c r="E960" s="120">
        <f>$C960+$D960</f>
        <v/>
      </c>
      <c r="F960" s="120">
        <f>IF($B960=0,0,$E960/$B960)</f>
        <v/>
      </c>
    </row>
    <row r="961" ht="15" customHeight="1" s="68">
      <c r="A961" s="114" t="n"/>
      <c r="B961" s="120">
        <f>SUMIFS(tblDonem[Gelir (₺)],tblDonem[Dönem],$A961)</f>
        <v/>
      </c>
      <c r="C961" s="120">
        <f>SUMIFS(tblDonem[KDV Tutarı (₺)],tblDonem[Dönem],$A961)-SUMIFS(tblDonem[KDV Yüklenimi (₺)],tblDonem[Dönem],$A961)</f>
        <v/>
      </c>
      <c r="D961" s="120">
        <f>SUMIFS(tblDonem[Vergi Karşılığı (₺)],tblDonem[Dönem],$A961)</f>
        <v/>
      </c>
      <c r="E961" s="120">
        <f>$C961+$D961</f>
        <v/>
      </c>
      <c r="F961" s="120">
        <f>IF($B961=0,0,$E961/$B961)</f>
        <v/>
      </c>
    </row>
    <row r="962" ht="15" customHeight="1" s="68">
      <c r="A962" s="114" t="n"/>
      <c r="B962" s="120">
        <f>SUMIFS(tblDonem[Gelir (₺)],tblDonem[Dönem],$A962)</f>
        <v/>
      </c>
      <c r="C962" s="120">
        <f>SUMIFS(tblDonem[KDV Tutarı (₺)],tblDonem[Dönem],$A962)-SUMIFS(tblDonem[KDV Yüklenimi (₺)],tblDonem[Dönem],$A962)</f>
        <v/>
      </c>
      <c r="D962" s="120">
        <f>SUMIFS(tblDonem[Vergi Karşılığı (₺)],tblDonem[Dönem],$A962)</f>
        <v/>
      </c>
      <c r="E962" s="120">
        <f>$C962+$D962</f>
        <v/>
      </c>
      <c r="F962" s="120">
        <f>IF($B962=0,0,$E962/$B962)</f>
        <v/>
      </c>
    </row>
    <row r="963" ht="15" customHeight="1" s="68">
      <c r="A963" s="114" t="n"/>
      <c r="B963" s="120">
        <f>SUMIFS(tblDonem[Gelir (₺)],tblDonem[Dönem],$A963)</f>
        <v/>
      </c>
      <c r="C963" s="120">
        <f>SUMIFS(tblDonem[KDV Tutarı (₺)],tblDonem[Dönem],$A963)-SUMIFS(tblDonem[KDV Yüklenimi (₺)],tblDonem[Dönem],$A963)</f>
        <v/>
      </c>
      <c r="D963" s="120">
        <f>SUMIFS(tblDonem[Vergi Karşılığı (₺)],tblDonem[Dönem],$A963)</f>
        <v/>
      </c>
      <c r="E963" s="120">
        <f>$C963+$D963</f>
        <v/>
      </c>
      <c r="F963" s="120">
        <f>IF($B963=0,0,$E963/$B963)</f>
        <v/>
      </c>
    </row>
    <row r="964" ht="15" customHeight="1" s="68">
      <c r="A964" s="114" t="n"/>
      <c r="B964" s="120">
        <f>SUMIFS(tblDonem[Gelir (₺)],tblDonem[Dönem],$A964)</f>
        <v/>
      </c>
      <c r="C964" s="120">
        <f>SUMIFS(tblDonem[KDV Tutarı (₺)],tblDonem[Dönem],$A964)-SUMIFS(tblDonem[KDV Yüklenimi (₺)],tblDonem[Dönem],$A964)</f>
        <v/>
      </c>
      <c r="D964" s="120">
        <f>SUMIFS(tblDonem[Vergi Karşılığı (₺)],tblDonem[Dönem],$A964)</f>
        <v/>
      </c>
      <c r="E964" s="120">
        <f>$C964+$D964</f>
        <v/>
      </c>
      <c r="F964" s="120">
        <f>IF($B964=0,0,$E964/$B964)</f>
        <v/>
      </c>
    </row>
    <row r="965" ht="15" customHeight="1" s="68">
      <c r="A965" s="114" t="n"/>
      <c r="B965" s="120">
        <f>SUMIFS(tblDonem[Gelir (₺)],tblDonem[Dönem],$A965)</f>
        <v/>
      </c>
      <c r="C965" s="120">
        <f>SUMIFS(tblDonem[KDV Tutarı (₺)],tblDonem[Dönem],$A965)-SUMIFS(tblDonem[KDV Yüklenimi (₺)],tblDonem[Dönem],$A965)</f>
        <v/>
      </c>
      <c r="D965" s="120">
        <f>SUMIFS(tblDonem[Vergi Karşılığı (₺)],tblDonem[Dönem],$A965)</f>
        <v/>
      </c>
      <c r="E965" s="120">
        <f>$C965+$D965</f>
        <v/>
      </c>
      <c r="F965" s="120">
        <f>IF($B965=0,0,$E965/$B965)</f>
        <v/>
      </c>
    </row>
    <row r="966" ht="15" customHeight="1" s="68">
      <c r="A966" s="114" t="n"/>
      <c r="B966" s="120">
        <f>SUMIFS(tblDonem[Gelir (₺)],tblDonem[Dönem],$A966)</f>
        <v/>
      </c>
      <c r="C966" s="120">
        <f>SUMIFS(tblDonem[KDV Tutarı (₺)],tblDonem[Dönem],$A966)-SUMIFS(tblDonem[KDV Yüklenimi (₺)],tblDonem[Dönem],$A966)</f>
        <v/>
      </c>
      <c r="D966" s="120">
        <f>SUMIFS(tblDonem[Vergi Karşılığı (₺)],tblDonem[Dönem],$A966)</f>
        <v/>
      </c>
      <c r="E966" s="120">
        <f>$C966+$D966</f>
        <v/>
      </c>
      <c r="F966" s="120">
        <f>IF($B966=0,0,$E966/$B966)</f>
        <v/>
      </c>
    </row>
    <row r="967" ht="15" customHeight="1" s="68">
      <c r="A967" s="114" t="n"/>
      <c r="B967" s="120">
        <f>SUMIFS(tblDonem[Gelir (₺)],tblDonem[Dönem],$A967)</f>
        <v/>
      </c>
      <c r="C967" s="120">
        <f>SUMIFS(tblDonem[KDV Tutarı (₺)],tblDonem[Dönem],$A967)-SUMIFS(tblDonem[KDV Yüklenimi (₺)],tblDonem[Dönem],$A967)</f>
        <v/>
      </c>
      <c r="D967" s="120">
        <f>SUMIFS(tblDonem[Vergi Karşılığı (₺)],tblDonem[Dönem],$A967)</f>
        <v/>
      </c>
      <c r="E967" s="120">
        <f>$C967+$D967</f>
        <v/>
      </c>
      <c r="F967" s="120">
        <f>IF($B967=0,0,$E967/$B967)</f>
        <v/>
      </c>
    </row>
    <row r="968" ht="15" customHeight="1" s="68">
      <c r="A968" s="114" t="n"/>
      <c r="B968" s="120">
        <f>SUMIFS(tblDonem[Gelir (₺)],tblDonem[Dönem],$A968)</f>
        <v/>
      </c>
      <c r="C968" s="120">
        <f>SUMIFS(tblDonem[KDV Tutarı (₺)],tblDonem[Dönem],$A968)-SUMIFS(tblDonem[KDV Yüklenimi (₺)],tblDonem[Dönem],$A968)</f>
        <v/>
      </c>
      <c r="D968" s="120">
        <f>SUMIFS(tblDonem[Vergi Karşılığı (₺)],tblDonem[Dönem],$A968)</f>
        <v/>
      </c>
      <c r="E968" s="120">
        <f>$C968+$D968</f>
        <v/>
      </c>
      <c r="F968" s="120">
        <f>IF($B968=0,0,$E968/$B968)</f>
        <v/>
      </c>
    </row>
    <row r="969" ht="15" customHeight="1" s="68">
      <c r="A969" s="114" t="n"/>
      <c r="B969" s="120">
        <f>SUMIFS(tblDonem[Gelir (₺)],tblDonem[Dönem],$A969)</f>
        <v/>
      </c>
      <c r="C969" s="120">
        <f>SUMIFS(tblDonem[KDV Tutarı (₺)],tblDonem[Dönem],$A969)-SUMIFS(tblDonem[KDV Yüklenimi (₺)],tblDonem[Dönem],$A969)</f>
        <v/>
      </c>
      <c r="D969" s="120">
        <f>SUMIFS(tblDonem[Vergi Karşılığı (₺)],tblDonem[Dönem],$A969)</f>
        <v/>
      </c>
      <c r="E969" s="120">
        <f>$C969+$D969</f>
        <v/>
      </c>
      <c r="F969" s="120">
        <f>IF($B969=0,0,$E969/$B969)</f>
        <v/>
      </c>
    </row>
    <row r="970" ht="15" customHeight="1" s="68">
      <c r="A970" s="114" t="n"/>
      <c r="B970" s="120">
        <f>SUMIFS(tblDonem[Gelir (₺)],tblDonem[Dönem],$A970)</f>
        <v/>
      </c>
      <c r="C970" s="120">
        <f>SUMIFS(tblDonem[KDV Tutarı (₺)],tblDonem[Dönem],$A970)-SUMIFS(tblDonem[KDV Yüklenimi (₺)],tblDonem[Dönem],$A970)</f>
        <v/>
      </c>
      <c r="D970" s="120">
        <f>SUMIFS(tblDonem[Vergi Karşılığı (₺)],tblDonem[Dönem],$A970)</f>
        <v/>
      </c>
      <c r="E970" s="120">
        <f>$C970+$D970</f>
        <v/>
      </c>
      <c r="F970" s="120">
        <f>IF($B970=0,0,$E970/$B970)</f>
        <v/>
      </c>
    </row>
    <row r="971" ht="15" customHeight="1" s="68">
      <c r="A971" s="114" t="n"/>
      <c r="B971" s="120">
        <f>SUMIFS(tblDonem[Gelir (₺)],tblDonem[Dönem],$A971)</f>
        <v/>
      </c>
      <c r="C971" s="120">
        <f>SUMIFS(tblDonem[KDV Tutarı (₺)],tblDonem[Dönem],$A971)-SUMIFS(tblDonem[KDV Yüklenimi (₺)],tblDonem[Dönem],$A971)</f>
        <v/>
      </c>
      <c r="D971" s="120">
        <f>SUMIFS(tblDonem[Vergi Karşılığı (₺)],tblDonem[Dönem],$A971)</f>
        <v/>
      </c>
      <c r="E971" s="120">
        <f>$C971+$D971</f>
        <v/>
      </c>
      <c r="F971" s="120">
        <f>IF($B971=0,0,$E971/$B971)</f>
        <v/>
      </c>
    </row>
    <row r="972" ht="15" customHeight="1" s="68">
      <c r="A972" s="114" t="n"/>
      <c r="B972" s="120">
        <f>SUMIFS(tblDonem[Gelir (₺)],tblDonem[Dönem],$A972)</f>
        <v/>
      </c>
      <c r="C972" s="120">
        <f>SUMIFS(tblDonem[KDV Tutarı (₺)],tblDonem[Dönem],$A972)-SUMIFS(tblDonem[KDV Yüklenimi (₺)],tblDonem[Dönem],$A972)</f>
        <v/>
      </c>
      <c r="D972" s="120">
        <f>SUMIFS(tblDonem[Vergi Karşılığı (₺)],tblDonem[Dönem],$A972)</f>
        <v/>
      </c>
      <c r="E972" s="120">
        <f>$C972+$D972</f>
        <v/>
      </c>
      <c r="F972" s="120">
        <f>IF($B972=0,0,$E972/$B972)</f>
        <v/>
      </c>
    </row>
    <row r="973" ht="15" customHeight="1" s="68">
      <c r="A973" s="114" t="n"/>
      <c r="B973" s="120">
        <f>SUMIFS(tblDonem[Gelir (₺)],tblDonem[Dönem],$A973)</f>
        <v/>
      </c>
      <c r="C973" s="120">
        <f>SUMIFS(tblDonem[KDV Tutarı (₺)],tblDonem[Dönem],$A973)-SUMIFS(tblDonem[KDV Yüklenimi (₺)],tblDonem[Dönem],$A973)</f>
        <v/>
      </c>
      <c r="D973" s="120">
        <f>SUMIFS(tblDonem[Vergi Karşılığı (₺)],tblDonem[Dönem],$A973)</f>
        <v/>
      </c>
      <c r="E973" s="120">
        <f>$C973+$D973</f>
        <v/>
      </c>
      <c r="F973" s="120">
        <f>IF($B973=0,0,$E973/$B973)</f>
        <v/>
      </c>
    </row>
    <row r="974" ht="15" customHeight="1" s="68">
      <c r="A974" s="114" t="n"/>
      <c r="B974" s="120">
        <f>SUMIFS(tblDonem[Gelir (₺)],tblDonem[Dönem],$A974)</f>
        <v/>
      </c>
      <c r="C974" s="120">
        <f>SUMIFS(tblDonem[KDV Tutarı (₺)],tblDonem[Dönem],$A974)-SUMIFS(tblDonem[KDV Yüklenimi (₺)],tblDonem[Dönem],$A974)</f>
        <v/>
      </c>
      <c r="D974" s="120">
        <f>SUMIFS(tblDonem[Vergi Karşılığı (₺)],tblDonem[Dönem],$A974)</f>
        <v/>
      </c>
      <c r="E974" s="120">
        <f>$C974+$D974</f>
        <v/>
      </c>
      <c r="F974" s="120">
        <f>IF($B974=0,0,$E974/$B974)</f>
        <v/>
      </c>
    </row>
    <row r="975" ht="15" customHeight="1" s="68">
      <c r="A975" s="114" t="n"/>
      <c r="B975" s="120">
        <f>SUMIFS(tblDonem[Gelir (₺)],tblDonem[Dönem],$A975)</f>
        <v/>
      </c>
      <c r="C975" s="120">
        <f>SUMIFS(tblDonem[KDV Tutarı (₺)],tblDonem[Dönem],$A975)-SUMIFS(tblDonem[KDV Yüklenimi (₺)],tblDonem[Dönem],$A975)</f>
        <v/>
      </c>
      <c r="D975" s="120">
        <f>SUMIFS(tblDonem[Vergi Karşılığı (₺)],tblDonem[Dönem],$A975)</f>
        <v/>
      </c>
      <c r="E975" s="120">
        <f>$C975+$D975</f>
        <v/>
      </c>
      <c r="F975" s="120">
        <f>IF($B975=0,0,$E975/$B975)</f>
        <v/>
      </c>
    </row>
    <row r="976" ht="15" customHeight="1" s="68">
      <c r="A976" s="114" t="n"/>
      <c r="B976" s="120">
        <f>SUMIFS(tblDonem[Gelir (₺)],tblDonem[Dönem],$A976)</f>
        <v/>
      </c>
      <c r="C976" s="120">
        <f>SUMIFS(tblDonem[KDV Tutarı (₺)],tblDonem[Dönem],$A976)-SUMIFS(tblDonem[KDV Yüklenimi (₺)],tblDonem[Dönem],$A976)</f>
        <v/>
      </c>
      <c r="D976" s="120">
        <f>SUMIFS(tblDonem[Vergi Karşılığı (₺)],tblDonem[Dönem],$A976)</f>
        <v/>
      </c>
      <c r="E976" s="120">
        <f>$C976+$D976</f>
        <v/>
      </c>
      <c r="F976" s="120">
        <f>IF($B976=0,0,$E976/$B976)</f>
        <v/>
      </c>
    </row>
    <row r="977" ht="15" customHeight="1" s="68">
      <c r="A977" s="114" t="n"/>
      <c r="B977" s="120">
        <f>SUMIFS(tblDonem[Gelir (₺)],tblDonem[Dönem],$A977)</f>
        <v/>
      </c>
      <c r="C977" s="120">
        <f>SUMIFS(tblDonem[KDV Tutarı (₺)],tblDonem[Dönem],$A977)-SUMIFS(tblDonem[KDV Yüklenimi (₺)],tblDonem[Dönem],$A977)</f>
        <v/>
      </c>
      <c r="D977" s="120">
        <f>SUMIFS(tblDonem[Vergi Karşılığı (₺)],tblDonem[Dönem],$A977)</f>
        <v/>
      </c>
      <c r="E977" s="120">
        <f>$C977+$D977</f>
        <v/>
      </c>
      <c r="F977" s="120">
        <f>IF($B977=0,0,$E977/$B977)</f>
        <v/>
      </c>
    </row>
    <row r="978" ht="15" customHeight="1" s="68">
      <c r="A978" s="114" t="n"/>
      <c r="B978" s="120">
        <f>SUMIFS(tblDonem[Gelir (₺)],tblDonem[Dönem],$A978)</f>
        <v/>
      </c>
      <c r="C978" s="120">
        <f>SUMIFS(tblDonem[KDV Tutarı (₺)],tblDonem[Dönem],$A978)-SUMIFS(tblDonem[KDV Yüklenimi (₺)],tblDonem[Dönem],$A978)</f>
        <v/>
      </c>
      <c r="D978" s="120">
        <f>SUMIFS(tblDonem[Vergi Karşılığı (₺)],tblDonem[Dönem],$A978)</f>
        <v/>
      </c>
      <c r="E978" s="120">
        <f>$C978+$D978</f>
        <v/>
      </c>
      <c r="F978" s="120">
        <f>IF($B978=0,0,$E978/$B978)</f>
        <v/>
      </c>
    </row>
    <row r="979" ht="15" customHeight="1" s="68">
      <c r="A979" s="114" t="n"/>
      <c r="B979" s="120">
        <f>SUMIFS(tblDonem[Gelir (₺)],tblDonem[Dönem],$A979)</f>
        <v/>
      </c>
      <c r="C979" s="120">
        <f>SUMIFS(tblDonem[KDV Tutarı (₺)],tblDonem[Dönem],$A979)-SUMIFS(tblDonem[KDV Yüklenimi (₺)],tblDonem[Dönem],$A979)</f>
        <v/>
      </c>
      <c r="D979" s="120">
        <f>SUMIFS(tblDonem[Vergi Karşılığı (₺)],tblDonem[Dönem],$A979)</f>
        <v/>
      </c>
      <c r="E979" s="120">
        <f>$C979+$D979</f>
        <v/>
      </c>
      <c r="F979" s="120">
        <f>IF($B979=0,0,$E979/$B979)</f>
        <v/>
      </c>
    </row>
    <row r="980" ht="15" customHeight="1" s="68">
      <c r="A980" s="114" t="n"/>
      <c r="B980" s="120">
        <f>SUMIFS(tblDonem[Gelir (₺)],tblDonem[Dönem],$A980)</f>
        <v/>
      </c>
      <c r="C980" s="120">
        <f>SUMIFS(tblDonem[KDV Tutarı (₺)],tblDonem[Dönem],$A980)-SUMIFS(tblDonem[KDV Yüklenimi (₺)],tblDonem[Dönem],$A980)</f>
        <v/>
      </c>
      <c r="D980" s="120">
        <f>SUMIFS(tblDonem[Vergi Karşılığı (₺)],tblDonem[Dönem],$A980)</f>
        <v/>
      </c>
      <c r="E980" s="120">
        <f>$C980+$D980</f>
        <v/>
      </c>
      <c r="F980" s="120">
        <f>IF($B980=0,0,$E980/$B980)</f>
        <v/>
      </c>
    </row>
    <row r="981" ht="15" customHeight="1" s="68">
      <c r="A981" s="114" t="n"/>
      <c r="B981" s="120">
        <f>SUMIFS(tblDonem[Gelir (₺)],tblDonem[Dönem],$A981)</f>
        <v/>
      </c>
      <c r="C981" s="120">
        <f>SUMIFS(tblDonem[KDV Tutarı (₺)],tblDonem[Dönem],$A981)-SUMIFS(tblDonem[KDV Yüklenimi (₺)],tblDonem[Dönem],$A981)</f>
        <v/>
      </c>
      <c r="D981" s="120">
        <f>SUMIFS(tblDonem[Vergi Karşılığı (₺)],tblDonem[Dönem],$A981)</f>
        <v/>
      </c>
      <c r="E981" s="120">
        <f>$C981+$D981</f>
        <v/>
      </c>
      <c r="F981" s="120">
        <f>IF($B981=0,0,$E981/$B981)</f>
        <v/>
      </c>
    </row>
    <row r="982" ht="15" customHeight="1" s="68">
      <c r="A982" s="114" t="n"/>
      <c r="B982" s="120">
        <f>SUMIFS(tblDonem[Gelir (₺)],tblDonem[Dönem],$A982)</f>
        <v/>
      </c>
      <c r="C982" s="120">
        <f>SUMIFS(tblDonem[KDV Tutarı (₺)],tblDonem[Dönem],$A982)-SUMIFS(tblDonem[KDV Yüklenimi (₺)],tblDonem[Dönem],$A982)</f>
        <v/>
      </c>
      <c r="D982" s="120">
        <f>SUMIFS(tblDonem[Vergi Karşılığı (₺)],tblDonem[Dönem],$A982)</f>
        <v/>
      </c>
      <c r="E982" s="120">
        <f>$C982+$D982</f>
        <v/>
      </c>
      <c r="F982" s="120">
        <f>IF($B982=0,0,$E982/$B982)</f>
        <v/>
      </c>
    </row>
    <row r="983" ht="15" customHeight="1" s="68">
      <c r="A983" s="114" t="n"/>
      <c r="B983" s="120">
        <f>SUMIFS(tblDonem[Gelir (₺)],tblDonem[Dönem],$A983)</f>
        <v/>
      </c>
      <c r="C983" s="120">
        <f>SUMIFS(tblDonem[KDV Tutarı (₺)],tblDonem[Dönem],$A983)-SUMIFS(tblDonem[KDV Yüklenimi (₺)],tblDonem[Dönem],$A983)</f>
        <v/>
      </c>
      <c r="D983" s="120">
        <f>SUMIFS(tblDonem[Vergi Karşılığı (₺)],tblDonem[Dönem],$A983)</f>
        <v/>
      </c>
      <c r="E983" s="120">
        <f>$C983+$D983</f>
        <v/>
      </c>
      <c r="F983" s="120">
        <f>IF($B983=0,0,$E983/$B983)</f>
        <v/>
      </c>
    </row>
    <row r="984" ht="15" customHeight="1" s="68">
      <c r="A984" s="114" t="n"/>
      <c r="B984" s="120">
        <f>SUMIFS(tblDonem[Gelir (₺)],tblDonem[Dönem],$A984)</f>
        <v/>
      </c>
      <c r="C984" s="120">
        <f>SUMIFS(tblDonem[KDV Tutarı (₺)],tblDonem[Dönem],$A984)-SUMIFS(tblDonem[KDV Yüklenimi (₺)],tblDonem[Dönem],$A984)</f>
        <v/>
      </c>
      <c r="D984" s="120">
        <f>SUMIFS(tblDonem[Vergi Karşılığı (₺)],tblDonem[Dönem],$A984)</f>
        <v/>
      </c>
      <c r="E984" s="120">
        <f>$C984+$D984</f>
        <v/>
      </c>
      <c r="F984" s="120">
        <f>IF($B984=0,0,$E984/$B984)</f>
        <v/>
      </c>
    </row>
    <row r="985" ht="15" customHeight="1" s="68">
      <c r="A985" s="114" t="n"/>
      <c r="B985" s="120">
        <f>SUMIFS(tblDonem[Gelir (₺)],tblDonem[Dönem],$A985)</f>
        <v/>
      </c>
      <c r="C985" s="120">
        <f>SUMIFS(tblDonem[KDV Tutarı (₺)],tblDonem[Dönem],$A985)-SUMIFS(tblDonem[KDV Yüklenimi (₺)],tblDonem[Dönem],$A985)</f>
        <v/>
      </c>
      <c r="D985" s="120">
        <f>SUMIFS(tblDonem[Vergi Karşılığı (₺)],tblDonem[Dönem],$A985)</f>
        <v/>
      </c>
      <c r="E985" s="120">
        <f>$C985+$D985</f>
        <v/>
      </c>
      <c r="F985" s="120">
        <f>IF($B985=0,0,$E985/$B985)</f>
        <v/>
      </c>
    </row>
    <row r="986" ht="15" customHeight="1" s="68">
      <c r="A986" s="114" t="n"/>
      <c r="B986" s="120">
        <f>SUMIFS(tblDonem[Gelir (₺)],tblDonem[Dönem],$A986)</f>
        <v/>
      </c>
      <c r="C986" s="120">
        <f>SUMIFS(tblDonem[KDV Tutarı (₺)],tblDonem[Dönem],$A986)-SUMIFS(tblDonem[KDV Yüklenimi (₺)],tblDonem[Dönem],$A986)</f>
        <v/>
      </c>
      <c r="D986" s="120">
        <f>SUMIFS(tblDonem[Vergi Karşılığı (₺)],tblDonem[Dönem],$A986)</f>
        <v/>
      </c>
      <c r="E986" s="120">
        <f>$C986+$D986</f>
        <v/>
      </c>
      <c r="F986" s="120">
        <f>IF($B986=0,0,$E986/$B986)</f>
        <v/>
      </c>
    </row>
    <row r="987" ht="15" customHeight="1" s="68">
      <c r="A987" s="114" t="n"/>
      <c r="B987" s="120">
        <f>SUMIFS(tblDonem[Gelir (₺)],tblDonem[Dönem],$A987)</f>
        <v/>
      </c>
      <c r="C987" s="120">
        <f>SUMIFS(tblDonem[KDV Tutarı (₺)],tblDonem[Dönem],$A987)-SUMIFS(tblDonem[KDV Yüklenimi (₺)],tblDonem[Dönem],$A987)</f>
        <v/>
      </c>
      <c r="D987" s="120">
        <f>SUMIFS(tblDonem[Vergi Karşılığı (₺)],tblDonem[Dönem],$A987)</f>
        <v/>
      </c>
      <c r="E987" s="120">
        <f>$C987+$D987</f>
        <v/>
      </c>
      <c r="F987" s="120">
        <f>IF($B987=0,0,$E987/$B987)</f>
        <v/>
      </c>
    </row>
    <row r="988" ht="15" customHeight="1" s="68">
      <c r="A988" s="114" t="n"/>
      <c r="B988" s="120">
        <f>SUMIFS(tblDonem[Gelir (₺)],tblDonem[Dönem],$A988)</f>
        <v/>
      </c>
      <c r="C988" s="120">
        <f>SUMIFS(tblDonem[KDV Tutarı (₺)],tblDonem[Dönem],$A988)-SUMIFS(tblDonem[KDV Yüklenimi (₺)],tblDonem[Dönem],$A988)</f>
        <v/>
      </c>
      <c r="D988" s="120">
        <f>SUMIFS(tblDonem[Vergi Karşılığı (₺)],tblDonem[Dönem],$A988)</f>
        <v/>
      </c>
      <c r="E988" s="120">
        <f>$C988+$D988</f>
        <v/>
      </c>
      <c r="F988" s="120">
        <f>IF($B988=0,0,$E988/$B988)</f>
        <v/>
      </c>
    </row>
    <row r="989" ht="15" customHeight="1" s="68">
      <c r="A989" s="114" t="n"/>
      <c r="B989" s="120">
        <f>SUMIFS(tblDonem[Gelir (₺)],tblDonem[Dönem],$A989)</f>
        <v/>
      </c>
      <c r="C989" s="120">
        <f>SUMIFS(tblDonem[KDV Tutarı (₺)],tblDonem[Dönem],$A989)-SUMIFS(tblDonem[KDV Yüklenimi (₺)],tblDonem[Dönem],$A989)</f>
        <v/>
      </c>
      <c r="D989" s="120">
        <f>SUMIFS(tblDonem[Vergi Karşılığı (₺)],tblDonem[Dönem],$A989)</f>
        <v/>
      </c>
      <c r="E989" s="120">
        <f>$C989+$D989</f>
        <v/>
      </c>
      <c r="F989" s="120">
        <f>IF($B989=0,0,$E989/$B989)</f>
        <v/>
      </c>
    </row>
    <row r="990" ht="15" customHeight="1" s="68">
      <c r="A990" s="114" t="n"/>
      <c r="B990" s="120">
        <f>SUMIFS(tblDonem[Gelir (₺)],tblDonem[Dönem],$A990)</f>
        <v/>
      </c>
      <c r="C990" s="120">
        <f>SUMIFS(tblDonem[KDV Tutarı (₺)],tblDonem[Dönem],$A990)-SUMIFS(tblDonem[KDV Yüklenimi (₺)],tblDonem[Dönem],$A990)</f>
        <v/>
      </c>
      <c r="D990" s="120">
        <f>SUMIFS(tblDonem[Vergi Karşılığı (₺)],tblDonem[Dönem],$A990)</f>
        <v/>
      </c>
      <c r="E990" s="120">
        <f>$C990+$D990</f>
        <v/>
      </c>
      <c r="F990" s="120">
        <f>IF($B990=0,0,$E990/$B990)</f>
        <v/>
      </c>
    </row>
    <row r="991" ht="15" customHeight="1" s="68">
      <c r="A991" s="114" t="n"/>
      <c r="B991" s="120">
        <f>SUMIFS(tblDonem[Gelir (₺)],tblDonem[Dönem],$A991)</f>
        <v/>
      </c>
      <c r="C991" s="120">
        <f>SUMIFS(tblDonem[KDV Tutarı (₺)],tblDonem[Dönem],$A991)-SUMIFS(tblDonem[KDV Yüklenimi (₺)],tblDonem[Dönem],$A991)</f>
        <v/>
      </c>
      <c r="D991" s="120">
        <f>SUMIFS(tblDonem[Vergi Karşılığı (₺)],tblDonem[Dönem],$A991)</f>
        <v/>
      </c>
      <c r="E991" s="120">
        <f>$C991+$D991</f>
        <v/>
      </c>
      <c r="F991" s="120">
        <f>IF($B991=0,0,$E991/$B991)</f>
        <v/>
      </c>
    </row>
    <row r="992" ht="15" customHeight="1" s="68">
      <c r="A992" s="114" t="n"/>
      <c r="B992" s="120">
        <f>SUMIFS(tblDonem[Gelir (₺)],tblDonem[Dönem],$A992)</f>
        <v/>
      </c>
      <c r="C992" s="120">
        <f>SUMIFS(tblDonem[KDV Tutarı (₺)],tblDonem[Dönem],$A992)-SUMIFS(tblDonem[KDV Yüklenimi (₺)],tblDonem[Dönem],$A992)</f>
        <v/>
      </c>
      <c r="D992" s="120">
        <f>SUMIFS(tblDonem[Vergi Karşılığı (₺)],tblDonem[Dönem],$A992)</f>
        <v/>
      </c>
      <c r="E992" s="120">
        <f>$C992+$D992</f>
        <v/>
      </c>
      <c r="F992" s="120">
        <f>IF($B992=0,0,$E992/$B992)</f>
        <v/>
      </c>
    </row>
    <row r="993" ht="15" customHeight="1" s="68">
      <c r="A993" s="114" t="n"/>
      <c r="B993" s="120">
        <f>SUMIFS(tblDonem[Gelir (₺)],tblDonem[Dönem],$A993)</f>
        <v/>
      </c>
      <c r="C993" s="120">
        <f>SUMIFS(tblDonem[KDV Tutarı (₺)],tblDonem[Dönem],$A993)-SUMIFS(tblDonem[KDV Yüklenimi (₺)],tblDonem[Dönem],$A993)</f>
        <v/>
      </c>
      <c r="D993" s="120">
        <f>SUMIFS(tblDonem[Vergi Karşılığı (₺)],tblDonem[Dönem],$A993)</f>
        <v/>
      </c>
      <c r="E993" s="120">
        <f>$C993+$D993</f>
        <v/>
      </c>
      <c r="F993" s="120">
        <f>IF($B993=0,0,$E993/$B993)</f>
        <v/>
      </c>
    </row>
    <row r="994" ht="15" customHeight="1" s="68">
      <c r="A994" s="114" t="n"/>
      <c r="B994" s="120">
        <f>SUMIFS(tblDonem[Gelir (₺)],tblDonem[Dönem],$A994)</f>
        <v/>
      </c>
      <c r="C994" s="120">
        <f>SUMIFS(tblDonem[KDV Tutarı (₺)],tblDonem[Dönem],$A994)-SUMIFS(tblDonem[KDV Yüklenimi (₺)],tblDonem[Dönem],$A994)</f>
        <v/>
      </c>
      <c r="D994" s="120">
        <f>SUMIFS(tblDonem[Vergi Karşılığı (₺)],tblDonem[Dönem],$A994)</f>
        <v/>
      </c>
      <c r="E994" s="120">
        <f>$C994+$D994</f>
        <v/>
      </c>
      <c r="F994" s="120">
        <f>IF($B994=0,0,$E994/$B994)</f>
        <v/>
      </c>
    </row>
    <row r="995" ht="15" customHeight="1" s="68">
      <c r="A995" s="114" t="n"/>
      <c r="B995" s="120">
        <f>SUMIFS(tblDonem[Gelir (₺)],tblDonem[Dönem],$A995)</f>
        <v/>
      </c>
      <c r="C995" s="120">
        <f>SUMIFS(tblDonem[KDV Tutarı (₺)],tblDonem[Dönem],$A995)-SUMIFS(tblDonem[KDV Yüklenimi (₺)],tblDonem[Dönem],$A995)</f>
        <v/>
      </c>
      <c r="D995" s="120">
        <f>SUMIFS(tblDonem[Vergi Karşılığı (₺)],tblDonem[Dönem],$A995)</f>
        <v/>
      </c>
      <c r="E995" s="120">
        <f>$C995+$D995</f>
        <v/>
      </c>
      <c r="F995" s="120">
        <f>IF($B995=0,0,$E995/$B995)</f>
        <v/>
      </c>
    </row>
    <row r="996" ht="15" customHeight="1" s="68">
      <c r="A996" s="114" t="n"/>
      <c r="B996" s="120">
        <f>SUMIFS(tblDonem[Gelir (₺)],tblDonem[Dönem],$A996)</f>
        <v/>
      </c>
      <c r="C996" s="120">
        <f>SUMIFS(tblDonem[KDV Tutarı (₺)],tblDonem[Dönem],$A996)-SUMIFS(tblDonem[KDV Yüklenimi (₺)],tblDonem[Dönem],$A996)</f>
        <v/>
      </c>
      <c r="D996" s="120">
        <f>SUMIFS(tblDonem[Vergi Karşılığı (₺)],tblDonem[Dönem],$A996)</f>
        <v/>
      </c>
      <c r="E996" s="120">
        <f>$C996+$D996</f>
        <v/>
      </c>
      <c r="F996" s="120">
        <f>IF($B996=0,0,$E996/$B996)</f>
        <v/>
      </c>
    </row>
    <row r="997" ht="15" customHeight="1" s="68">
      <c r="A997" s="114" t="n"/>
      <c r="B997" s="120">
        <f>SUMIFS(tblDonem[Gelir (₺)],tblDonem[Dönem],$A997)</f>
        <v/>
      </c>
      <c r="C997" s="120">
        <f>SUMIFS(tblDonem[KDV Tutarı (₺)],tblDonem[Dönem],$A997)-SUMIFS(tblDonem[KDV Yüklenimi (₺)],tblDonem[Dönem],$A997)</f>
        <v/>
      </c>
      <c r="D997" s="120">
        <f>SUMIFS(tblDonem[Vergi Karşılığı (₺)],tblDonem[Dönem],$A997)</f>
        <v/>
      </c>
      <c r="E997" s="120">
        <f>$C997+$D997</f>
        <v/>
      </c>
      <c r="F997" s="120">
        <f>IF($B997=0,0,$E997/$B997)</f>
        <v/>
      </c>
    </row>
    <row r="998" ht="15" customHeight="1" s="68">
      <c r="A998" s="114" t="n"/>
      <c r="B998" s="120">
        <f>SUMIFS(tblDonem[Gelir (₺)],tblDonem[Dönem],$A998)</f>
        <v/>
      </c>
      <c r="C998" s="120">
        <f>SUMIFS(tblDonem[KDV Tutarı (₺)],tblDonem[Dönem],$A998)-SUMIFS(tblDonem[KDV Yüklenimi (₺)],tblDonem[Dönem],$A998)</f>
        <v/>
      </c>
      <c r="D998" s="120">
        <f>SUMIFS(tblDonem[Vergi Karşılığı (₺)],tblDonem[Dönem],$A998)</f>
        <v/>
      </c>
      <c r="E998" s="120">
        <f>$C998+$D998</f>
        <v/>
      </c>
      <c r="F998" s="120">
        <f>IF($B998=0,0,$E998/$B998)</f>
        <v/>
      </c>
    </row>
    <row r="999" ht="15" customHeight="1" s="68">
      <c r="A999" s="114" t="n"/>
      <c r="B999" s="120">
        <f>SUMIFS(tblDonem[Gelir (₺)],tblDonem[Dönem],$A999)</f>
        <v/>
      </c>
      <c r="C999" s="120">
        <f>SUMIFS(tblDonem[KDV Tutarı (₺)],tblDonem[Dönem],$A999)-SUMIFS(tblDonem[KDV Yüklenimi (₺)],tblDonem[Dönem],$A999)</f>
        <v/>
      </c>
      <c r="D999" s="120">
        <f>SUMIFS(tblDonem[Vergi Karşılığı (₺)],tblDonem[Dönem],$A999)</f>
        <v/>
      </c>
      <c r="E999" s="120">
        <f>$C999+$D999</f>
        <v/>
      </c>
      <c r="F999" s="120">
        <f>IF($B999=0,0,$E999/$B999)</f>
        <v/>
      </c>
    </row>
    <row r="1000" ht="15" customHeight="1" s="68">
      <c r="A1000" s="114" t="n"/>
      <c r="B1000" s="120">
        <f>SUMIFS(tblDonem[Gelir (₺)],tblDonem[Dönem],$A1000)</f>
        <v/>
      </c>
      <c r="C1000" s="120">
        <f>SUMIFS(tblDonem[KDV Tutarı (₺)],tblDonem[Dönem],$A1000)-SUMIFS(tblDonem[KDV Yüklenimi (₺)],tblDonem[Dönem],$A1000)</f>
        <v/>
      </c>
      <c r="D1000" s="120">
        <f>SUMIFS(tblDonem[Vergi Karşılığı (₺)],tblDonem[Dönem],$A1000)</f>
        <v/>
      </c>
      <c r="E1000" s="120">
        <f>$C1000+$D1000</f>
        <v/>
      </c>
      <c r="F1000" s="120">
        <f>IF($B1000=0,0,$E1000/$B1000)</f>
        <v/>
      </c>
    </row>
    <row r="1001" ht="15" customHeight="1" s="68">
      <c r="A1001" s="114" t="n"/>
      <c r="B1001" s="120">
        <f>SUMIFS(tblDonem[Gelir (₺)],tblDonem[Dönem],$A1001)</f>
        <v/>
      </c>
      <c r="C1001" s="120">
        <f>SUMIFS(tblDonem[KDV Tutarı (₺)],tblDonem[Dönem],$A1001)-SUMIFS(tblDonem[KDV Yüklenimi (₺)],tblDonem[Dönem],$A1001)</f>
        <v/>
      </c>
      <c r="D1001" s="120">
        <f>SUMIFS(tblDonem[Vergi Karşılığı (₺)],tblDonem[Dönem],$A1001)</f>
        <v/>
      </c>
      <c r="E1001" s="120">
        <f>$C1001+$D1001</f>
        <v/>
      </c>
      <c r="F1001" s="120">
        <f>IF($B1001=0,0,$E1001/$B1001)</f>
        <v/>
      </c>
    </row>
    <row r="1002" ht="15" customHeight="1" s="68">
      <c r="A1002" s="114" t="n"/>
      <c r="B1002" s="120">
        <f>SUMIFS(tblDonem[Gelir (₺)],tblDonem[Dönem],$A1002)</f>
        <v/>
      </c>
      <c r="C1002" s="120">
        <f>SUMIFS(tblDonem[KDV Tutarı (₺)],tblDonem[Dönem],$A1002)-SUMIFS(tblDonem[KDV Yüklenimi (₺)],tblDonem[Dönem],$A1002)</f>
        <v/>
      </c>
      <c r="D1002" s="120">
        <f>SUMIFS(tblDonem[Vergi Karşılığı (₺)],tblDonem[Dönem],$A1002)</f>
        <v/>
      </c>
      <c r="E1002" s="120">
        <f>$C1002+$D1002</f>
        <v/>
      </c>
      <c r="F1002" s="120">
        <f>IF($B1002=0,0,$E1002/$B1002)</f>
        <v/>
      </c>
    </row>
    <row r="1003" ht="15" customHeight="1" s="68">
      <c r="A1003" s="114" t="n"/>
      <c r="B1003" s="120">
        <f>SUMIFS(tblDonem[Gelir (₺)],tblDonem[Dönem],$A1003)</f>
        <v/>
      </c>
      <c r="C1003" s="120">
        <f>SUMIFS(tblDonem[KDV Tutarı (₺)],tblDonem[Dönem],$A1003)-SUMIFS(tblDonem[KDV Yüklenimi (₺)],tblDonem[Dönem],$A1003)</f>
        <v/>
      </c>
      <c r="D1003" s="120">
        <f>SUMIFS(tblDonem[Vergi Karşılığı (₺)],tblDonem[Dönem],$A1003)</f>
        <v/>
      </c>
      <c r="E1003" s="120">
        <f>$C1003+$D1003</f>
        <v/>
      </c>
      <c r="F1003" s="120">
        <f>IF($B1003=0,0,$E1003/$B1003)</f>
        <v/>
      </c>
    </row>
    <row r="1004" ht="15" customHeight="1" s="68">
      <c r="A1004" s="114" t="n"/>
      <c r="B1004" s="120">
        <f>SUMIFS(tblDonem[Gelir (₺)],tblDonem[Dönem],$A1004)</f>
        <v/>
      </c>
      <c r="C1004" s="120">
        <f>SUMIFS(tblDonem[KDV Tutarı (₺)],tblDonem[Dönem],$A1004)-SUMIFS(tblDonem[KDV Yüklenimi (₺)],tblDonem[Dönem],$A1004)</f>
        <v/>
      </c>
      <c r="D1004" s="120">
        <f>SUMIFS(tblDonem[Vergi Karşılığı (₺)],tblDonem[Dönem],$A1004)</f>
        <v/>
      </c>
      <c r="E1004" s="120">
        <f>$C1004+$D1004</f>
        <v/>
      </c>
      <c r="F1004" s="120">
        <f>IF($B1004=0,0,$E1004/$B1004)</f>
        <v/>
      </c>
    </row>
    <row r="1005" ht="15" customHeight="1" s="68">
      <c r="A1005" s="114" t="n"/>
    </row>
    <row r="1006" ht="15" customHeight="1" s="68">
      <c r="A1006" s="114" t="n"/>
    </row>
    <row r="1007" ht="15" customHeight="1" s="68">
      <c r="A1007" s="114" t="n"/>
    </row>
    <row r="1008" ht="15" customHeight="1" s="68">
      <c r="A1008" s="114" t="n"/>
    </row>
    <row r="1009" ht="15" customHeight="1" s="68">
      <c r="A1009" s="114" t="n"/>
    </row>
    <row r="1010" ht="15" customHeight="1" s="68">
      <c r="A1010" s="114" t="n"/>
    </row>
    <row r="1011" ht="15" customHeight="1" s="68">
      <c r="A1011" s="114" t="n"/>
    </row>
    <row r="1012" ht="15" customHeight="1" s="68">
      <c r="A1012" s="114" t="n"/>
    </row>
    <row r="1013" ht="15" customHeight="1" s="68">
      <c r="A1013" s="114" t="n"/>
    </row>
    <row r="1014" ht="15" customHeight="1" s="68">
      <c r="A1014" s="114" t="n"/>
    </row>
    <row r="1015" ht="15" customHeight="1" s="68">
      <c r="A1015" s="114" t="n"/>
    </row>
    <row r="1016" ht="15" customHeight="1" s="68">
      <c r="A1016" s="114" t="n"/>
    </row>
    <row r="1017" ht="15" customHeight="1" s="68">
      <c r="A1017" s="114" t="n"/>
    </row>
    <row r="1018" ht="15" customHeight="1" s="68">
      <c r="A1018" s="114" t="n"/>
    </row>
    <row r="1019" ht="15" customHeight="1" s="68">
      <c r="A1019" s="114" t="n"/>
    </row>
    <row r="1020" ht="15" customHeight="1" s="68">
      <c r="A1020" s="114" t="n"/>
    </row>
    <row r="1021" ht="15" customHeight="1" s="68">
      <c r="A1021" s="114" t="n"/>
    </row>
    <row r="1022" ht="15" customHeight="1" s="68">
      <c r="A1022" s="114" t="n"/>
    </row>
    <row r="1023" ht="15" customHeight="1" s="68">
      <c r="A1023" s="114" t="n"/>
    </row>
    <row r="1024"/>
    <row r="1025" ht="19.5" customHeight="1" s="68">
      <c r="A1025" s="105" t="inlineStr">
        <is>
          <t>Motor hücrelerinin tümü formüldür; sarı giriş hücresi yalnızca Dönem kolonundadır.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1025:AN1025"/>
  </mergeCells>
  <conditionalFormatting sqref="B6:B20">
    <cfRule type="cellIs" rank="0" priority="2" equalAverage="0" operator="lessThan" aboveAverage="0" dxfId="7" text="" percent="0" bottom="0">
      <formula>0</formula>
    </cfRule>
  </conditionalFormatting>
  <conditionalFormatting sqref="B15:B20">
    <cfRule type="cellIs" rank="0" priority="3" equalAverage="0" operator="lessThan" aboveAverage="0" dxfId="10" text="" percent="0" bottom="0">
      <formula>0</formula>
    </cfRule>
  </conditionalFormatting>
  <conditionalFormatting sqref="B12">
    <cfRule type="cellIs" rank="0" priority="4" equalAverage="0" operator="between" aboveAverage="0" dxfId="8" text="" percent="0" bottom="0">
      <formula>0.3</formula>
      <formula>0.5</formula>
    </cfRule>
    <cfRule type="cellIs" rank="0" priority="5" equalAverage="0" operator="greaterThan" aboveAverage="0" dxfId="7" text="" percent="0" bottom="0">
      <formula>0.5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.5" customWidth="1" style="94" min="1" max="1"/>
    <col width="43.5" customWidth="1" style="94" min="2" max="2"/>
    <col width="50" customWidth="1" style="94" min="3" max="3"/>
    <col width="74" customWidth="1" style="94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ANALITIK MOTOR — VERGİ, SGK VE MAAŞ KARŞILIK AYIRMA SİSTEMİ</t>
        </is>
      </c>
    </row>
    <row r="2"/>
    <row r="3" ht="22" customHeight="1" s="68">
      <c r="A3" s="286" t="inlineStr">
        <is>
          <t>ANALİTİK MOTOR — DERİNLİK KATMANI</t>
        </is>
      </c>
    </row>
    <row r="4"/>
    <row r="5" ht="30" customHeight="1" s="68">
      <c r="A5" s="109" t="inlineStr">
        <is>
          <t>Kod</t>
        </is>
      </c>
      <c r="B5" s="109" t="inlineStr">
        <is>
          <t>Gösterge</t>
        </is>
      </c>
      <c r="C5" s="109" t="inlineStr">
        <is>
          <t>Değer</t>
        </is>
      </c>
      <c r="D5" s="109" t="inlineStr">
        <is>
          <t>Makine Yorumu</t>
        </is>
      </c>
    </row>
    <row r="6" ht="30" customHeight="1" s="68">
      <c r="A6" s="121" t="inlineStr">
        <is>
          <t>T2</t>
        </is>
      </c>
      <c r="B6" s="122" t="inlineStr">
        <is>
          <t>Son-İlk Ay Gelir Farkı (₺)</t>
        </is>
      </c>
      <c r="C6" s="123">
        <f>IFERROR(INDEX(tblDonem[Gelir (₺)],COUNTA(tblDonem[Gelir (₺)]))-INDEX(tblDonem[Gelir (₺)],1),0)</f>
        <v/>
      </c>
      <c r="D6" s="124">
        <f>_xlfn.TEXTJOIN("; ",TRUE(),"Son ile ilk ay gelir farkı ",TEXT(C6,"₺ #,##0")," TL — artış büyümeyi, düşüş daralmayı gösterir")</f>
        <v/>
      </c>
    </row>
    <row r="7" ht="30" customHeight="1" s="68">
      <c r="A7" s="121" t="inlineStr">
        <is>
          <t>T4</t>
        </is>
      </c>
      <c r="B7" s="122" t="inlineStr">
        <is>
          <t>Son / İlk Ay Gelir Oranı</t>
        </is>
      </c>
      <c r="C7" s="123">
        <f>IFERROR(INDEX(tblDonem[Gelir (₺)],COUNTA(tblDonem[Gelir (₺)]))/INDEX(tblDonem[Gelir (₺)],1),0)</f>
        <v/>
      </c>
      <c r="D7" s="124">
        <f>_xlfn.TEXTJOIN("; ",TRUE(),"Son ay geliri ilk ay gelirinin ",TEXT(C7,"%0,0")," i kadar — dönem büyüme oranını gösterir")</f>
        <v/>
      </c>
    </row>
    <row r="8" ht="30" customHeight="1" s="68">
      <c r="A8" s="121" t="inlineStr">
        <is>
          <t>O1</t>
        </is>
      </c>
      <c r="B8" s="122" t="inlineStr">
        <is>
          <t>Gelir Anomali Oranı (Değişim Katsayısı)</t>
        </is>
      </c>
      <c r="C8" s="123">
        <f>IFERROR(stdev.p(tblDonem[Gelir (₺)])/AVERAGE(tblDonem[Gelir (₺)]),0)</f>
        <v/>
      </c>
      <c r="D8" s="124">
        <f>_xlfn.TEXTJOIN("; ",TRUE(),"Gelir değişim katsayısı ",TEXT(C8,"%0,0")," — oran yükseldikçe gelir öngörülemezleşir")</f>
        <v/>
      </c>
    </row>
    <row r="9" ht="30" customHeight="1" s="68">
      <c r="A9" s="121" t="inlineStr">
        <is>
          <t>O2</t>
        </is>
      </c>
      <c r="B9" s="122" t="inlineStr">
        <is>
          <t>Tornado: En Büyük Etki (₺)</t>
        </is>
      </c>
      <c r="C9" s="123">
        <f>MAX(SENARYO_DUYARLILIK!B12:B15)</f>
        <v/>
      </c>
      <c r="D9" s="124">
        <f>_xlfn.TEXTJOIN("; ",TRUE(),"Karşılığı en çok etkileyen değişkenin etkisi ",TEXT(C9,"₺ #,##0")," TL — izleme önceliği bu değişkendedir")</f>
        <v/>
      </c>
    </row>
    <row r="10" ht="30" customHeight="1" s="68">
      <c r="A10" s="121" t="inlineStr">
        <is>
          <t>O3</t>
        </is>
      </c>
      <c r="B10" s="122" t="inlineStr">
        <is>
          <t>Senaryo Bant Genişliği (₺)</t>
        </is>
      </c>
      <c r="C10" s="123">
        <f>SENARYO_DUYARLILIK!B7-SENARYO_DUYARLILIK!B9</f>
        <v/>
      </c>
      <c r="D10" s="124">
        <f>_xlfn.TEXTJOIN("; ",TRUE(),"İyimser ile kötümser karşılık yükü farkı ",TEXT(C10,"₺ #,##0")," TL — belirsizlik aralığını gösterir")</f>
        <v/>
      </c>
    </row>
    <row r="11" ht="30" customHeight="1" s="68">
      <c r="A11" s="121" t="inlineStr">
        <is>
          <t>O8</t>
        </is>
      </c>
      <c r="B11" s="122" t="inlineStr">
        <is>
          <t>Veri Kalite Skoru</t>
        </is>
      </c>
      <c r="C11" s="125">
        <f>KONTROLLER!B19</f>
        <v/>
      </c>
      <c r="D11" s="124">
        <f>_xlfn.TEXTJOIN("; ",TRUE(),"Veri kalite skoru ",TEXT(C11,"0")," puan — ",IF(C11&gt;=KarsilikKaliteIyi,"yüksek güven","veri girişi tamamlanmalı"))</f>
        <v/>
      </c>
    </row>
    <row r="12" ht="30" customHeight="1" s="68">
      <c r="A12" s="121" t="inlineStr">
        <is>
          <t>I1</t>
        </is>
      </c>
      <c r="B12" s="122" t="inlineStr">
        <is>
          <t>Tahmini Gelir (1 Ay Sonra)</t>
        </is>
      </c>
      <c r="C12" s="118">
        <f>PANO!B29</f>
        <v/>
      </c>
      <c r="D12" s="124">
        <f>_xlfn.TEXTJOIN("; ",TRUE(),"Gelecek ay gelir tahmini ",TEXT(C12,"₺ #,##0")," TL — alt/üst sınır PANO sayfasındadır")</f>
        <v/>
      </c>
    </row>
    <row r="13" ht="30" customHeight="1" s="68">
      <c r="A13" s="121" t="inlineStr">
        <is>
          <t>I2</t>
        </is>
      </c>
      <c r="B13" s="122" t="inlineStr">
        <is>
          <t>Gelir Yüzdelik P90 (₺)</t>
        </is>
      </c>
      <c r="C13" s="123">
        <f>IFERROR(_xlfn.PERCENTILE.INC(tblDonem[Gelir (₺)],KarsilikP90Oran),0)</f>
        <v/>
      </c>
      <c r="D13" s="124">
        <f>_xlfn.TEXTJOIN("; ",TRUE(),"Dönem gelirlerinin %90 ı ",TEXT(C13,"₺ #,##0")," TL altında kalır — üst sınır nakit planı için kullanılabilir")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94" min="1" max="1"/>
    <col width="29.5" customWidth="1" style="94" min="2" max="4"/>
    <col width="29.5" customWidth="1" style="68" min="3" max="3"/>
    <col width="27.5" customWidth="1" style="68" min="4" max="4"/>
    <col width="21.5" customWidth="1" style="94" min="5" max="6"/>
    <col width="23.5" customWidth="1" style="68" min="6" max="6"/>
    <col width="17.5" customWidth="1" style="94" min="7" max="7"/>
    <col width="22" customWidth="1" style="94" min="8" max="8"/>
    <col width="13" customWidth="1" style="68" min="9" max="9"/>
  </cols>
  <sheetData>
    <row r="1" ht="32" customHeight="1" s="68">
      <c r="A1" s="267" t="inlineStr">
        <is>
          <t>NAKIT PROJEKSIYON — VERGİ, SGK VE MAAŞ KARŞILIK AYIRMA SİSTEMİ</t>
        </is>
      </c>
    </row>
    <row r="2"/>
    <row r="3" ht="22" customHeight="1" s="68">
      <c r="A3" s="286" t="inlineStr">
        <is>
          <t>Karşılık Sonrası Nakit Projeksiyonu</t>
        </is>
      </c>
    </row>
    <row r="4" ht="41.25" customHeight="1" s="68">
      <c r="A4" s="108" t="inlineStr">
        <is>
          <t>Önümüzdeki 6 ay için karşılık yükü düşüldükten sonraki nakit durumu. Kırılım (eşik) satırı, nakit eksiye düşme riskini gösterir.</t>
        </is>
      </c>
    </row>
    <row r="5" ht="30" customHeight="1" s="68">
      <c r="A5" s="109" t="inlineStr">
        <is>
          <t>Ay Etiketi</t>
        </is>
      </c>
      <c r="B5" s="109" t="inlineStr">
        <is>
          <t>Beklenen Nakit Girişi (₺)</t>
        </is>
      </c>
      <c r="C5" s="109" t="inlineStr">
        <is>
          <t>Beklenen Nakit Çıkışı (₺)</t>
        </is>
      </c>
      <c r="D5" s="109" t="inlineStr">
        <is>
          <t>Dönem Karşılık Yükü (₺)</t>
        </is>
      </c>
      <c r="E5" s="109" t="inlineStr">
        <is>
          <t>Nakit Dengesi (₺)</t>
        </is>
      </c>
      <c r="F5" s="109" t="inlineStr">
        <is>
          <t>Kümülatif Nakit (₺)</t>
        </is>
      </c>
      <c r="G5" s="109" t="inlineStr">
        <is>
          <t>Eşik Altı mı?</t>
        </is>
      </c>
      <c r="H5" s="109" t="inlineStr">
        <is>
          <t>Not</t>
        </is>
      </c>
    </row>
    <row r="6" ht="15" customHeight="1" s="68">
      <c r="A6" s="126" t="inlineStr">
        <is>
          <t>Ağustos 2026</t>
        </is>
      </c>
      <c r="B6" s="127" t="n">
        <v>850000</v>
      </c>
      <c r="C6" s="127" t="n">
        <v>620000</v>
      </c>
      <c r="D6" s="120">
        <f>ROUND($B6*KarliyukNakitKarliikOrani,0)</f>
        <v/>
      </c>
      <c r="E6" s="120">
        <f>$B6-$C6-$D6</f>
        <v/>
      </c>
      <c r="F6" s="118">
        <f>KarsilikAyBasiKasa+SUM($E$6:E6)</f>
        <v/>
      </c>
      <c r="G6" s="120">
        <f>IF($F6&lt;KarsilikNakitEsigi,"EVET","HAYIR")</f>
        <v/>
      </c>
      <c r="H6" s="126" t="inlineStr">
        <is>
          <t>Örnek ay 1</t>
        </is>
      </c>
    </row>
    <row r="7" ht="15" customHeight="1" s="68">
      <c r="A7" s="126" t="inlineStr">
        <is>
          <t>Eylül 2026</t>
        </is>
      </c>
      <c r="B7" s="127" t="n">
        <v>920000</v>
      </c>
      <c r="C7" s="127" t="n">
        <v>650000</v>
      </c>
      <c r="D7" s="120">
        <f>ROUND($B7*KarliyukNakitKarliikOrani,0)</f>
        <v/>
      </c>
      <c r="E7" s="120">
        <f>$B7-$C7-$D7</f>
        <v/>
      </c>
      <c r="F7" s="118">
        <f>KarsilikAyBasiKasa+SUM($E$6:E7)</f>
        <v/>
      </c>
      <c r="G7" s="120">
        <f>IF($F7&lt;KarsilikNakitEsigi,"EVET","HAYIR")</f>
        <v/>
      </c>
      <c r="H7" s="126" t="inlineStr">
        <is>
          <t>Örnek ay 2</t>
        </is>
      </c>
    </row>
    <row r="8" ht="15" customHeight="1" s="68">
      <c r="A8" s="126" t="inlineStr">
        <is>
          <t>Ekim 2026</t>
        </is>
      </c>
      <c r="B8" s="127" t="n">
        <v>880000</v>
      </c>
      <c r="C8" s="127" t="n">
        <v>610000</v>
      </c>
      <c r="D8" s="120">
        <f>ROUND($B8*KarliyukNakitKarliikOrani,0)</f>
        <v/>
      </c>
      <c r="E8" s="120">
        <f>$B8-$C8-$D8</f>
        <v/>
      </c>
      <c r="F8" s="118">
        <f>KarsilikAyBasiKasa+SUM($E$6:E8)</f>
        <v/>
      </c>
      <c r="G8" s="120">
        <f>IF($F8&lt;KarsilikNakitEsigi,"EVET","HAYIR")</f>
        <v/>
      </c>
      <c r="H8" s="126" t="inlineStr">
        <is>
          <t>Örnek ay 3</t>
        </is>
      </c>
    </row>
    <row r="9" ht="15" customHeight="1" s="68">
      <c r="A9" s="126" t="inlineStr">
        <is>
          <t>Kasım 2026</t>
        </is>
      </c>
      <c r="B9" s="127" t="n">
        <v>950000</v>
      </c>
      <c r="C9" s="127" t="n">
        <v>680000</v>
      </c>
      <c r="D9" s="120">
        <f>ROUND($B9*KarliyukNakitKarliikOrani,0)</f>
        <v/>
      </c>
      <c r="E9" s="120">
        <f>$B9-$C9-$D9</f>
        <v/>
      </c>
      <c r="F9" s="118">
        <f>KarsilikAyBasiKasa+SUM($E$6:E9)</f>
        <v/>
      </c>
      <c r="G9" s="120">
        <f>IF($F9&lt;KarsilikNakitEsigi,"EVET","HAYIR")</f>
        <v/>
      </c>
      <c r="H9" s="126" t="inlineStr">
        <is>
          <t>Örnek ay 4</t>
        </is>
      </c>
    </row>
    <row r="10" ht="15" customHeight="1" s="68">
      <c r="A10" s="126" t="inlineStr">
        <is>
          <t>Aralık 2026</t>
        </is>
      </c>
      <c r="B10" s="127" t="n">
        <v>1010000</v>
      </c>
      <c r="C10" s="127" t="n">
        <v>700000</v>
      </c>
      <c r="D10" s="120">
        <f>ROUND($B10*KarliyukNakitKarliikOrani,0)</f>
        <v/>
      </c>
      <c r="E10" s="120">
        <f>$B10-$C10-$D10</f>
        <v/>
      </c>
      <c r="F10" s="118">
        <f>KarsilikAyBasiKasa+SUM($E$6:E10)</f>
        <v/>
      </c>
      <c r="G10" s="120">
        <f>IF($F10&lt;KarsilikNakitEsigi,"EVET","HAYIR")</f>
        <v/>
      </c>
      <c r="H10" s="126" t="inlineStr">
        <is>
          <t>Örnek ay 5</t>
        </is>
      </c>
    </row>
    <row r="11" ht="15" customHeight="1" s="68">
      <c r="A11" s="126" t="inlineStr">
        <is>
          <t>Ocak 2027</t>
        </is>
      </c>
      <c r="B11" s="127" t="n">
        <v>1080000</v>
      </c>
      <c r="C11" s="127" t="n">
        <v>740000</v>
      </c>
      <c r="D11" s="120">
        <f>ROUND($B11*KarliyukNakitKarliikOrani,0)</f>
        <v/>
      </c>
      <c r="E11" s="120">
        <f>$B11-$C11-$D11</f>
        <v/>
      </c>
      <c r="F11" s="118">
        <f>KarsilikAyBasiKasa+SUM($E$6:E11)</f>
        <v/>
      </c>
      <c r="G11" s="120">
        <f>IF($F11&lt;KarsilikNakitEsigi,"EVET","HAYIR")</f>
        <v/>
      </c>
      <c r="H11" s="126" t="inlineStr">
        <is>
          <t>Örnek ay 6</t>
        </is>
      </c>
    </row>
    <row r="12" ht="15" customHeight="1" s="68">
      <c r="D12" s="120">
        <f>ROUND($B12*KarliyukNakitKarliikOrani,0)</f>
        <v/>
      </c>
      <c r="E12" s="120">
        <f>$B12-$C12-$D12</f>
        <v/>
      </c>
      <c r="F12" s="118">
        <f>KarsilikAyBasiKasa+SUM($E$6:E12)</f>
        <v/>
      </c>
      <c r="G12" s="120">
        <f>IF($F12&lt;KarsilikNakitEsigi,"EVET","HAYIR")</f>
        <v/>
      </c>
    </row>
    <row r="13" ht="15" customHeight="1" s="68">
      <c r="D13" s="120">
        <f>ROUND($B13*KarliyukNakitKarliikOrani,0)</f>
        <v/>
      </c>
      <c r="E13" s="120">
        <f>$B13-$C13-$D13</f>
        <v/>
      </c>
      <c r="F13" s="118">
        <f>KarsilikAyBasiKasa+SUM($E$6:E13)</f>
        <v/>
      </c>
      <c r="G13" s="120">
        <f>IF($F13&lt;KarsilikNakitEsigi,"EVET","HAYIR")</f>
        <v/>
      </c>
    </row>
    <row r="14" ht="15" customHeight="1" s="68">
      <c r="D14" s="120">
        <f>ROUND($B14*KarliyukNakitKarliikOrani,0)</f>
        <v/>
      </c>
      <c r="E14" s="120">
        <f>$B14-$C14-$D14</f>
        <v/>
      </c>
      <c r="F14" s="118">
        <f>KarsilikAyBasiKasa+SUM($E$6:E14)</f>
        <v/>
      </c>
      <c r="G14" s="120">
        <f>IF($F14&lt;KarsilikNakitEsigi,"EVET","HAYIR")</f>
        <v/>
      </c>
    </row>
    <row r="15" ht="15" customHeight="1" s="68">
      <c r="D15" s="120">
        <f>ROUND($B15*KarliyukNakitKarliikOrani,0)</f>
        <v/>
      </c>
      <c r="E15" s="120">
        <f>$B15-$C15-$D15</f>
        <v/>
      </c>
      <c r="F15" s="118">
        <f>KarsilikAyBasiKasa+SUM($E$6:E15)</f>
        <v/>
      </c>
      <c r="G15" s="120">
        <f>IF($F15&lt;KarsilikNakitEsigi,"EVET","HAYIR")</f>
        <v/>
      </c>
    </row>
    <row r="16" ht="15" customHeight="1" s="68">
      <c r="D16" s="120">
        <f>ROUND($B16*KarliyukNakitKarliikOrani,0)</f>
        <v/>
      </c>
      <c r="E16" s="120">
        <f>$B16-$C16-$D16</f>
        <v/>
      </c>
      <c r="F16" s="118">
        <f>KarsilikAyBasiKasa+SUM($E$6:E16)</f>
        <v/>
      </c>
      <c r="G16" s="120">
        <f>IF($F16&lt;KarsilikNakitEsigi,"EVET","HAYIR")</f>
        <v/>
      </c>
    </row>
    <row r="17" ht="15" customHeight="1" s="68">
      <c r="D17" s="120">
        <f>ROUND($B17*KarliyukNakitKarliikOrani,0)</f>
        <v/>
      </c>
      <c r="E17" s="120">
        <f>$B17-$C17-$D17</f>
        <v/>
      </c>
      <c r="F17" s="118">
        <f>KarsilikAyBasiKasa+SUM($E$6:E17)</f>
        <v/>
      </c>
      <c r="G17" s="120">
        <f>IF($F17&lt;KarsilikNakitEsigi,"EVET","HAYIR")</f>
        <v/>
      </c>
    </row>
    <row r="18" ht="15" customHeight="1" s="68">
      <c r="D18" s="120">
        <f>ROUND($B18*KarliyukNakitKarliikOrani,0)</f>
        <v/>
      </c>
      <c r="E18" s="120">
        <f>$B18-$C18-$D18</f>
        <v/>
      </c>
      <c r="F18" s="118">
        <f>KarsilikAyBasiKasa+SUM($E$6:E18)</f>
        <v/>
      </c>
      <c r="G18" s="120">
        <f>IF($F18&lt;KarsilikNakitEsigi,"EVET","HAYIR")</f>
        <v/>
      </c>
    </row>
    <row r="19" ht="15" customHeight="1" s="68">
      <c r="D19" s="120">
        <f>ROUND($B19*KarliyukNakitKarliikOrani,0)</f>
        <v/>
      </c>
      <c r="E19" s="120">
        <f>$B19-$C19-$D19</f>
        <v/>
      </c>
      <c r="F19" s="118">
        <f>KarsilikAyBasiKasa+SUM($E$6:E19)</f>
        <v/>
      </c>
      <c r="G19" s="120">
        <f>IF($F19&lt;KarsilikNakitEsigi,"EVET","HAYIR")</f>
        <v/>
      </c>
    </row>
    <row r="20" ht="15" customHeight="1" s="68">
      <c r="D20" s="120">
        <f>ROUND($B20*KarliyukNakitKarliikOrani,0)</f>
        <v/>
      </c>
      <c r="E20" s="120">
        <f>$B20-$C20-$D20</f>
        <v/>
      </c>
      <c r="F20" s="118">
        <f>KarsilikAyBasiKasa+SUM($E$6:E20)</f>
        <v/>
      </c>
      <c r="G20" s="120">
        <f>IF($F20&lt;KarsilikNakitEsigi,"EVET","HAYIR")</f>
        <v/>
      </c>
    </row>
    <row r="21" ht="15" customHeight="1" s="68">
      <c r="D21" s="120">
        <f>ROUND($B21*KarliyukNakitKarliikOrani,0)</f>
        <v/>
      </c>
      <c r="E21" s="120">
        <f>$B21-$C21-$D21</f>
        <v/>
      </c>
      <c r="F21" s="118">
        <f>KarsilikAyBasiKasa+SUM($E$6:E21)</f>
        <v/>
      </c>
      <c r="G21" s="120">
        <f>IF($F21&lt;KarsilikNakitEsigi,"EVET","HAYIR")</f>
        <v/>
      </c>
    </row>
    <row r="22" ht="15" customHeight="1" s="68">
      <c r="D22" s="120">
        <f>ROUND($B22*KarliyukNakitKarliikOrani,0)</f>
        <v/>
      </c>
      <c r="E22" s="120">
        <f>$B22-$C22-$D22</f>
        <v/>
      </c>
      <c r="F22" s="118">
        <f>KarsilikAyBasiKasa+SUM($E$6:E22)</f>
        <v/>
      </c>
      <c r="G22" s="120">
        <f>IF($F22&lt;KarsilikNakitEsigi,"EVET","HAYIR")</f>
        <v/>
      </c>
    </row>
    <row r="23" ht="15" customHeight="1" s="68">
      <c r="D23" s="120">
        <f>ROUND($B23*KarliyukNakitKarliikOrani,0)</f>
        <v/>
      </c>
      <c r="E23" s="120">
        <f>$B23-$C23-$D23</f>
        <v/>
      </c>
      <c r="F23" s="118">
        <f>KarsilikAyBasiKasa+SUM($E$6:E23)</f>
        <v/>
      </c>
      <c r="G23" s="120">
        <f>IF($F23&lt;KarsilikNakitEsigi,"EVET","HAYIR")</f>
        <v/>
      </c>
    </row>
    <row r="24" ht="15" customHeight="1" s="68">
      <c r="D24" s="120">
        <f>ROUND($B24*KarliyukNakitKarliikOrani,0)</f>
        <v/>
      </c>
      <c r="E24" s="120">
        <f>$B24-$C24-$D24</f>
        <v/>
      </c>
      <c r="F24" s="118">
        <f>KarsilikAyBasiKasa+SUM($E$6:E24)</f>
        <v/>
      </c>
      <c r="G24" s="120">
        <f>IF($F24&lt;KarsilikNakitEsigi,"EVET","HAYIR")</f>
        <v/>
      </c>
    </row>
    <row r="25" ht="15" customHeight="1" s="68">
      <c r="D25" s="120">
        <f>ROUND($B25*KarliyukNakitKarliikOrani,0)</f>
        <v/>
      </c>
      <c r="E25" s="120">
        <f>$B25-$C25-$D25</f>
        <v/>
      </c>
      <c r="F25" s="118">
        <f>KarsilikAyBasiKasa+SUM($E$6:E25)</f>
        <v/>
      </c>
      <c r="G25" s="120">
        <f>IF($F25&lt;KarsilikNakitEsigi,"EVET","HAYIR")</f>
        <v/>
      </c>
    </row>
    <row r="26" ht="15" customHeight="1" s="68">
      <c r="D26" s="120">
        <f>ROUND($B26*KarliyukNakitKarliikOrani,0)</f>
        <v/>
      </c>
      <c r="E26" s="120">
        <f>$B26-$C26-$D26</f>
        <v/>
      </c>
      <c r="F26" s="118">
        <f>KarsilikAyBasiKasa+SUM($E$6:E26)</f>
        <v/>
      </c>
      <c r="G26" s="120">
        <f>IF($F26&lt;KarsilikNakitEsigi,"EVET","HAYIR")</f>
        <v/>
      </c>
    </row>
    <row r="27" ht="15" customHeight="1" s="68">
      <c r="D27" s="120">
        <f>ROUND($B27*KarliyukNakitKarliikOrani,0)</f>
        <v/>
      </c>
      <c r="E27" s="120">
        <f>$B27-$C27-$D27</f>
        <v/>
      </c>
      <c r="F27" s="118">
        <f>KarsilikAyBasiKasa+SUM($E$6:E27)</f>
        <v/>
      </c>
      <c r="G27" s="120">
        <f>IF($F27&lt;KarsilikNakitEsigi,"EVET","HAYIR")</f>
        <v/>
      </c>
    </row>
    <row r="28" ht="15" customHeight="1" s="68">
      <c r="D28" s="120">
        <f>ROUND($B28*KarliyukNakitKarliikOrani,0)</f>
        <v/>
      </c>
      <c r="E28" s="120">
        <f>$B28-$C28-$D28</f>
        <v/>
      </c>
      <c r="F28" s="118">
        <f>KarsilikAyBasiKasa+SUM($E$6:E28)</f>
        <v/>
      </c>
      <c r="G28" s="120">
        <f>IF($F28&lt;KarsilikNakitEsigi,"EVET","HAYIR")</f>
        <v/>
      </c>
    </row>
    <row r="29" ht="15" customHeight="1" s="68">
      <c r="D29" s="120">
        <f>ROUND($B29*KarliyukNakitKarliikOrani,0)</f>
        <v/>
      </c>
      <c r="E29" s="120">
        <f>$B29-$C29-$D29</f>
        <v/>
      </c>
      <c r="F29" s="118">
        <f>KarsilikAyBasiKasa+SUM($E$6:E29)</f>
        <v/>
      </c>
      <c r="G29" s="120">
        <f>IF($F29&lt;KarsilikNakitEsigi,"EVET","HAYIR")</f>
        <v/>
      </c>
    </row>
    <row r="30" ht="15" customHeight="1" s="68">
      <c r="D30" s="120">
        <f>ROUND($B30*KarliyukNakitKarliikOrani,0)</f>
        <v/>
      </c>
      <c r="E30" s="120">
        <f>$B30-$C30-$D30</f>
        <v/>
      </c>
      <c r="F30" s="118">
        <f>KarsilikAyBasiKasa+SUM($E$6:E30)</f>
        <v/>
      </c>
      <c r="G30" s="120">
        <f>IF($F30&lt;KarsilikNakitEsigi,"EVET","HAYIR")</f>
        <v/>
      </c>
    </row>
    <row r="31" ht="15" customHeight="1" s="68">
      <c r="D31" s="120">
        <f>ROUND($B31*KarliyukNakitKarliikOrani,0)</f>
        <v/>
      </c>
      <c r="E31" s="120">
        <f>$B31-$C31-$D31</f>
        <v/>
      </c>
      <c r="F31" s="118">
        <f>KarsilikAyBasiKasa+SUM($E$6:E31)</f>
        <v/>
      </c>
      <c r="G31" s="120">
        <f>IF($F31&lt;KarsilikNakitEsigi,"EVET","HAYIR")</f>
        <v/>
      </c>
    </row>
    <row r="32" ht="15" customHeight="1" s="68">
      <c r="D32" s="120">
        <f>ROUND($B32*KarliyukNakitKarliikOrani,0)</f>
        <v/>
      </c>
      <c r="E32" s="120">
        <f>$B32-$C32-$D32</f>
        <v/>
      </c>
      <c r="F32" s="118">
        <f>KarsilikAyBasiKasa+SUM($E$6:E32)</f>
        <v/>
      </c>
      <c r="G32" s="120">
        <f>IF($F32&lt;KarsilikNakitEsigi,"EVET","HAYIR")</f>
        <v/>
      </c>
    </row>
    <row r="33" ht="15" customHeight="1" s="68">
      <c r="D33" s="120">
        <f>ROUND($B33*KarliyukNakitKarliikOrani,0)</f>
        <v/>
      </c>
      <c r="E33" s="120">
        <f>$B33-$C33-$D33</f>
        <v/>
      </c>
      <c r="F33" s="118">
        <f>KarsilikAyBasiKasa+SUM($E$6:E33)</f>
        <v/>
      </c>
      <c r="G33" s="120">
        <f>IF($F33&lt;KarsilikNakitEsigi,"EVET","HAYIR")</f>
        <v/>
      </c>
    </row>
    <row r="34" ht="15" customHeight="1" s="68">
      <c r="D34" s="120">
        <f>ROUND($B34*KarliyukNakitKarliikOrani,0)</f>
        <v/>
      </c>
      <c r="E34" s="120">
        <f>$B34-$C34-$D34</f>
        <v/>
      </c>
      <c r="F34" s="118">
        <f>KarsilikAyBasiKasa+SUM($E$6:E34)</f>
        <v/>
      </c>
      <c r="G34" s="120">
        <f>IF($F34&lt;KarsilikNakitEsigi,"EVET","HAYIR")</f>
        <v/>
      </c>
    </row>
    <row r="35" ht="15" customHeight="1" s="68">
      <c r="D35" s="120">
        <f>ROUND($B35*KarliyukNakitKarliikOrani,0)</f>
        <v/>
      </c>
      <c r="E35" s="120">
        <f>$B35-$C35-$D35</f>
        <v/>
      </c>
      <c r="F35" s="118">
        <f>KarsilikAyBasiKasa+SUM($E$6:E35)</f>
        <v/>
      </c>
      <c r="G35" s="120">
        <f>IF($F35&lt;KarsilikNakitEsigi,"EVET","HAYIR")</f>
        <v/>
      </c>
    </row>
    <row r="36" ht="15" customHeight="1" s="68">
      <c r="D36" s="120">
        <f>ROUND($B36*KarliyukNakitKarliikOrani,0)</f>
        <v/>
      </c>
      <c r="E36" s="120">
        <f>$B36-$C36-$D36</f>
        <v/>
      </c>
      <c r="F36" s="118">
        <f>KarsilikAyBasiKasa+SUM($E$6:E36)</f>
        <v/>
      </c>
      <c r="G36" s="120">
        <f>IF($F36&lt;KarsilikNakitEsigi,"EVET","HAYIR")</f>
        <v/>
      </c>
    </row>
    <row r="37" ht="15" customHeight="1" s="68">
      <c r="D37" s="120">
        <f>ROUND($B37*KarliyukNakitKarliikOrani,0)</f>
        <v/>
      </c>
      <c r="E37" s="120">
        <f>$B37-$C37-$D37</f>
        <v/>
      </c>
      <c r="F37" s="118">
        <f>KarsilikAyBasiKasa+SUM($E$6:E37)</f>
        <v/>
      </c>
      <c r="G37" s="120">
        <f>IF($F37&lt;KarsilikNakitEsigi,"EVET","HAYIR")</f>
        <v/>
      </c>
    </row>
    <row r="38" ht="15" customHeight="1" s="68">
      <c r="D38" s="120">
        <f>ROUND($B38*KarliyukNakitKarliikOrani,0)</f>
        <v/>
      </c>
      <c r="E38" s="120">
        <f>$B38-$C38-$D38</f>
        <v/>
      </c>
      <c r="F38" s="118">
        <f>KarsilikAyBasiKasa+SUM($E$6:E38)</f>
        <v/>
      </c>
      <c r="G38" s="120">
        <f>IF($F38&lt;KarsilikNakitEsigi,"EVET","HAYIR")</f>
        <v/>
      </c>
    </row>
    <row r="39" ht="15" customHeight="1" s="68">
      <c r="D39" s="120">
        <f>ROUND($B39*KarliyukNakitKarliikOrani,0)</f>
        <v/>
      </c>
      <c r="E39" s="120">
        <f>$B39-$C39-$D39</f>
        <v/>
      </c>
      <c r="F39" s="118">
        <f>KarsilikAyBasiKasa+SUM($E$6:E39)</f>
        <v/>
      </c>
      <c r="G39" s="120">
        <f>IF($F39&lt;KarsilikNakitEsigi,"EVET","HAYIR")</f>
        <v/>
      </c>
    </row>
    <row r="40" ht="15" customHeight="1" s="68">
      <c r="D40" s="120">
        <f>ROUND($B40*KarliyukNakitKarliikOrani,0)</f>
        <v/>
      </c>
      <c r="E40" s="120">
        <f>$B40-$C40-$D40</f>
        <v/>
      </c>
      <c r="F40" s="118">
        <f>KarsilikAyBasiKasa+SUM($E$6:E40)</f>
        <v/>
      </c>
      <c r="G40" s="120">
        <f>IF($F40&lt;KarsilikNakitEsigi,"EVET","HAYIR")</f>
        <v/>
      </c>
    </row>
    <row r="41" ht="15" customHeight="1" s="68">
      <c r="D41" s="120">
        <f>ROUND($B41*KarliyukNakitKarliikOrani,0)</f>
        <v/>
      </c>
      <c r="E41" s="120">
        <f>$B41-$C41-$D41</f>
        <v/>
      </c>
      <c r="F41" s="118">
        <f>KarsilikAyBasiKasa+SUM($E$6:E41)</f>
        <v/>
      </c>
      <c r="G41" s="120">
        <f>IF($F41&lt;KarsilikNakitEsigi,"EVET","HAYIR")</f>
        <v/>
      </c>
    </row>
    <row r="42" ht="15" customHeight="1" s="68">
      <c r="D42" s="120">
        <f>ROUND($B42*KarliyukNakitKarliikOrani,0)</f>
        <v/>
      </c>
      <c r="E42" s="120">
        <f>$B42-$C42-$D42</f>
        <v/>
      </c>
      <c r="F42" s="118">
        <f>KarsilikAyBasiKasa+SUM($E$6:E42)</f>
        <v/>
      </c>
      <c r="G42" s="120">
        <f>IF($F42&lt;KarsilikNakitEsigi,"EVET","HAYIR")</f>
        <v/>
      </c>
    </row>
    <row r="43" ht="15" customHeight="1" s="68">
      <c r="D43" s="120">
        <f>ROUND($B43*KarliyukNakitKarliikOrani,0)</f>
        <v/>
      </c>
      <c r="E43" s="120">
        <f>$B43-$C43-$D43</f>
        <v/>
      </c>
      <c r="F43" s="118">
        <f>KarsilikAyBasiKasa+SUM($E$6:E43)</f>
        <v/>
      </c>
      <c r="G43" s="120">
        <f>IF($F43&lt;KarsilikNakitEsigi,"EVET","HAYIR")</f>
        <v/>
      </c>
    </row>
    <row r="44" ht="15" customHeight="1" s="68">
      <c r="D44" s="120">
        <f>ROUND($B44*KarliyukNakitKarliikOrani,0)</f>
        <v/>
      </c>
      <c r="E44" s="120">
        <f>$B44-$C44-$D44</f>
        <v/>
      </c>
      <c r="F44" s="118">
        <f>KarsilikAyBasiKasa+SUM($E$6:E44)</f>
        <v/>
      </c>
      <c r="G44" s="120">
        <f>IF($F44&lt;KarsilikNakitEsigi,"EVET","HAYIR")</f>
        <v/>
      </c>
    </row>
    <row r="45" ht="15" customHeight="1" s="68">
      <c r="D45" s="120">
        <f>ROUND($B45*KarliyukNakitKarliikOrani,0)</f>
        <v/>
      </c>
      <c r="E45" s="120">
        <f>$B45-$C45-$D45</f>
        <v/>
      </c>
      <c r="F45" s="118">
        <f>KarsilikAyBasiKasa+SUM($E$6:E45)</f>
        <v/>
      </c>
      <c r="G45" s="120">
        <f>IF($F45&lt;KarsilikNakitEsigi,"EVET","HAYIR")</f>
        <v/>
      </c>
    </row>
    <row r="46" ht="15" customHeight="1" s="68">
      <c r="D46" s="120">
        <f>ROUND($B46*KarliyukNakitKarliikOrani,0)</f>
        <v/>
      </c>
      <c r="E46" s="120">
        <f>$B46-$C46-$D46</f>
        <v/>
      </c>
      <c r="F46" s="118">
        <f>KarsilikAyBasiKasa+SUM($E$6:E46)</f>
        <v/>
      </c>
      <c r="G46" s="120">
        <f>IF($F46&lt;KarsilikNakitEsigi,"EVET","HAYIR")</f>
        <v/>
      </c>
    </row>
    <row r="47" ht="15" customHeight="1" s="68">
      <c r="D47" s="120">
        <f>ROUND($B47*KarliyukNakitKarliikOrani,0)</f>
        <v/>
      </c>
      <c r="E47" s="120">
        <f>$B47-$C47-$D47</f>
        <v/>
      </c>
      <c r="F47" s="118">
        <f>KarsilikAyBasiKasa+SUM($E$6:E47)</f>
        <v/>
      </c>
      <c r="G47" s="120">
        <f>IF($F47&lt;KarsilikNakitEsigi,"EVET","HAYIR")</f>
        <v/>
      </c>
    </row>
    <row r="48" ht="15" customHeight="1" s="68">
      <c r="D48" s="120">
        <f>ROUND($B48*KarliyukNakitKarliikOrani,0)</f>
        <v/>
      </c>
      <c r="E48" s="120">
        <f>$B48-$C48-$D48</f>
        <v/>
      </c>
      <c r="F48" s="118">
        <f>KarsilikAyBasiKasa+SUM($E$6:E48)</f>
        <v/>
      </c>
      <c r="G48" s="120">
        <f>IF($F48&lt;KarsilikNakitEsigi,"EVET","HAYIR")</f>
        <v/>
      </c>
    </row>
    <row r="49" ht="15" customHeight="1" s="68">
      <c r="D49" s="120">
        <f>ROUND($B49*KarliyukNakitKarliikOrani,0)</f>
        <v/>
      </c>
      <c r="E49" s="120">
        <f>$B49-$C49-$D49</f>
        <v/>
      </c>
      <c r="F49" s="118">
        <f>KarsilikAyBasiKasa+SUM($E$6:E49)</f>
        <v/>
      </c>
      <c r="G49" s="120">
        <f>IF($F49&lt;KarsilikNakitEsigi,"EVET","HAYIR")</f>
        <v/>
      </c>
    </row>
    <row r="50" ht="15" customHeight="1" s="68">
      <c r="D50" s="120">
        <f>ROUND($B50*KarliyukNakitKarliikOrani,0)</f>
        <v/>
      </c>
      <c r="E50" s="120">
        <f>$B50-$C50-$D50</f>
        <v/>
      </c>
      <c r="F50" s="118">
        <f>KarsilikAyBasiKasa+SUM($E$6:E50)</f>
        <v/>
      </c>
      <c r="G50" s="120">
        <f>IF($F50&lt;KarsilikNakitEsigi,"EVET","HAYIR")</f>
        <v/>
      </c>
    </row>
    <row r="51" ht="15" customHeight="1" s="68">
      <c r="D51" s="120">
        <f>ROUND($B51*KarliyukNakitKarliikOrani,0)</f>
        <v/>
      </c>
      <c r="E51" s="120">
        <f>$B51-$C51-$D51</f>
        <v/>
      </c>
      <c r="F51" s="118">
        <f>KarsilikAyBasiKasa+SUM($E$6:E51)</f>
        <v/>
      </c>
      <c r="G51" s="120">
        <f>IF($F51&lt;KarsilikNakitEsigi,"EVET","HAYIR")</f>
        <v/>
      </c>
    </row>
    <row r="52" ht="15" customHeight="1" s="68">
      <c r="D52" s="120">
        <f>ROUND($B52*KarliyukNakitKarliikOrani,0)</f>
        <v/>
      </c>
      <c r="E52" s="120">
        <f>$B52-$C52-$D52</f>
        <v/>
      </c>
      <c r="F52" s="118">
        <f>KarsilikAyBasiKasa+SUM($E$6:E52)</f>
        <v/>
      </c>
      <c r="G52" s="120">
        <f>IF($F52&lt;KarsilikNakitEsigi,"EVET","HAYIR")</f>
        <v/>
      </c>
    </row>
    <row r="53" ht="15" customHeight="1" s="68">
      <c r="D53" s="120">
        <f>ROUND($B53*KarliyukNakitKarliikOrani,0)</f>
        <v/>
      </c>
      <c r="E53" s="120">
        <f>$B53-$C53-$D53</f>
        <v/>
      </c>
      <c r="F53" s="118">
        <f>KarsilikAyBasiKasa+SUM($E$6:E53)</f>
        <v/>
      </c>
      <c r="G53" s="120">
        <f>IF($F53&lt;KarsilikNakitEsigi,"EVET","HAYIR")</f>
        <v/>
      </c>
    </row>
    <row r="54" ht="15" customHeight="1" s="68">
      <c r="D54" s="120">
        <f>ROUND($B54*KarliyukNakitKarliikOrani,0)</f>
        <v/>
      </c>
      <c r="E54" s="120">
        <f>$B54-$C54-$D54</f>
        <v/>
      </c>
      <c r="F54" s="118">
        <f>KarsilikAyBasiKasa+SUM($E$6:E54)</f>
        <v/>
      </c>
      <c r="G54" s="120">
        <f>IF($F54&lt;KarsilikNakitEsigi,"EVET","HAYIR")</f>
        <v/>
      </c>
    </row>
    <row r="55" ht="15" customHeight="1" s="68">
      <c r="D55" s="120">
        <f>ROUND($B55*KarliyukNakitKarliikOrani,0)</f>
        <v/>
      </c>
      <c r="E55" s="120">
        <f>$B55-$C55-$D55</f>
        <v/>
      </c>
      <c r="F55" s="118">
        <f>KarsilikAyBasiKasa+SUM($E$6:E55)</f>
        <v/>
      </c>
      <c r="G55" s="120">
        <f>IF($F55&lt;KarsilikNakitEsigi,"EVET","HAYIR")</f>
        <v/>
      </c>
    </row>
    <row r="56" ht="15" customHeight="1" s="68">
      <c r="D56" s="120">
        <f>ROUND($B56*KarliyukNakitKarliikOrani,0)</f>
        <v/>
      </c>
      <c r="E56" s="120">
        <f>$B56-$C56-$D56</f>
        <v/>
      </c>
      <c r="F56" s="118">
        <f>KarsilikAyBasiKasa+SUM($E$6:E56)</f>
        <v/>
      </c>
      <c r="G56" s="120">
        <f>IF($F56&lt;KarsilikNakitEsigi,"EVET","HAYIR")</f>
        <v/>
      </c>
    </row>
    <row r="57" ht="15" customHeight="1" s="68">
      <c r="D57" s="120">
        <f>ROUND($B57*KarliyukNakitKarliikOrani,0)</f>
        <v/>
      </c>
      <c r="E57" s="120">
        <f>$B57-$C57-$D57</f>
        <v/>
      </c>
      <c r="F57" s="118">
        <f>KarsilikAyBasiKasa+SUM($E$6:E57)</f>
        <v/>
      </c>
      <c r="G57" s="120">
        <f>IF($F57&lt;KarsilikNakitEsigi,"EVET","HAYIR")</f>
        <v/>
      </c>
    </row>
    <row r="58" ht="15" customHeight="1" s="68">
      <c r="D58" s="120">
        <f>ROUND($B58*KarliyukNakitKarliikOrani,0)</f>
        <v/>
      </c>
      <c r="E58" s="120">
        <f>$B58-$C58-$D58</f>
        <v/>
      </c>
      <c r="F58" s="118">
        <f>KarsilikAyBasiKasa+SUM($E$6:E58)</f>
        <v/>
      </c>
      <c r="G58" s="120">
        <f>IF($F58&lt;KarsilikNakitEsigi,"EVET","HAYIR")</f>
        <v/>
      </c>
    </row>
    <row r="59" ht="15" customHeight="1" s="68">
      <c r="D59" s="120">
        <f>ROUND($B59*KarliyukNakitKarliikOrani,0)</f>
        <v/>
      </c>
      <c r="E59" s="120">
        <f>$B59-$C59-$D59</f>
        <v/>
      </c>
      <c r="F59" s="118">
        <f>KarsilikAyBasiKasa+SUM($E$6:E59)</f>
        <v/>
      </c>
      <c r="G59" s="120">
        <f>IF($F59&lt;KarsilikNakitEsigi,"EVET","HAYIR")</f>
        <v/>
      </c>
    </row>
    <row r="60" ht="15" customHeight="1" s="68">
      <c r="D60" s="120">
        <f>ROUND($B60*KarliyukNakitKarliikOrani,0)</f>
        <v/>
      </c>
      <c r="E60" s="120">
        <f>$B60-$C60-$D60</f>
        <v/>
      </c>
      <c r="F60" s="118">
        <f>KarsilikAyBasiKasa+SUM($E$6:E60)</f>
        <v/>
      </c>
      <c r="G60" s="120">
        <f>IF($F60&lt;KarsilikNakitEsigi,"EVET","HAYIR")</f>
        <v/>
      </c>
    </row>
    <row r="61" ht="15" customHeight="1" s="68">
      <c r="D61" s="120">
        <f>ROUND($B61*KarliyukNakitKarliikOrani,0)</f>
        <v/>
      </c>
      <c r="E61" s="120">
        <f>$B61-$C61-$D61</f>
        <v/>
      </c>
      <c r="F61" s="118">
        <f>KarsilikAyBasiKasa+SUM($E$6:E61)</f>
        <v/>
      </c>
      <c r="G61" s="120">
        <f>IF($F61&lt;KarsilikNakitEsigi,"EVET","HAYIR")</f>
        <v/>
      </c>
    </row>
    <row r="62" ht="15" customHeight="1" s="68">
      <c r="D62" s="120">
        <f>ROUND($B62*KarliyukNakitKarliikOrani,0)</f>
        <v/>
      </c>
      <c r="E62" s="120">
        <f>$B62-$C62-$D62</f>
        <v/>
      </c>
      <c r="F62" s="118">
        <f>KarsilikAyBasiKasa+SUM($E$6:E62)</f>
        <v/>
      </c>
      <c r="G62" s="120">
        <f>IF($F62&lt;KarsilikNakitEsigi,"EVET","HAYIR")</f>
        <v/>
      </c>
    </row>
    <row r="63" ht="15" customHeight="1" s="68">
      <c r="D63" s="120">
        <f>ROUND($B63*KarliyukNakitKarliikOrani,0)</f>
        <v/>
      </c>
      <c r="E63" s="120">
        <f>$B63-$C63-$D63</f>
        <v/>
      </c>
      <c r="F63" s="118">
        <f>KarsilikAyBasiKasa+SUM($E$6:E63)</f>
        <v/>
      </c>
      <c r="G63" s="120">
        <f>IF($F63&lt;KarsilikNakitEsigi,"EVET","HAYIR")</f>
        <v/>
      </c>
    </row>
    <row r="64" ht="15" customHeight="1" s="68">
      <c r="D64" s="120">
        <f>ROUND($B64*KarliyukNakitKarliikOrani,0)</f>
        <v/>
      </c>
      <c r="E64" s="120">
        <f>$B64-$C64-$D64</f>
        <v/>
      </c>
      <c r="F64" s="118">
        <f>KarsilikAyBasiKasa+SUM($E$6:E64)</f>
        <v/>
      </c>
      <c r="G64" s="120">
        <f>IF($F64&lt;KarsilikNakitEsigi,"EVET","HAYIR")</f>
        <v/>
      </c>
    </row>
    <row r="65" ht="15" customHeight="1" s="68">
      <c r="D65" s="120">
        <f>ROUND($B65*KarliyukNakitKarliikOrani,0)</f>
        <v/>
      </c>
      <c r="E65" s="120">
        <f>$B65-$C65-$D65</f>
        <v/>
      </c>
      <c r="F65" s="118">
        <f>KarsilikAyBasiKasa+SUM($E$6:E65)</f>
        <v/>
      </c>
      <c r="G65" s="120">
        <f>IF($F65&lt;KarsilikNakitEsigi,"EVET","HAYIR")</f>
        <v/>
      </c>
    </row>
    <row r="66" ht="15" customHeight="1" s="68">
      <c r="D66" s="120">
        <f>ROUND($B66*KarliyukNakitKarliikOrani,0)</f>
        <v/>
      </c>
      <c r="E66" s="120">
        <f>$B66-$C66-$D66</f>
        <v/>
      </c>
      <c r="F66" s="118">
        <f>KarsilikAyBasiKasa+SUM($E$6:E66)</f>
        <v/>
      </c>
      <c r="G66" s="120">
        <f>IF($F66&lt;KarsilikNakitEsigi,"EVET","HAYIR")</f>
        <v/>
      </c>
    </row>
    <row r="67" ht="15" customHeight="1" s="68">
      <c r="D67" s="120">
        <f>ROUND($B67*KarliyukNakitKarliikOrani,0)</f>
        <v/>
      </c>
      <c r="E67" s="120">
        <f>$B67-$C67-$D67</f>
        <v/>
      </c>
      <c r="F67" s="118">
        <f>KarsilikAyBasiKasa+SUM($E$6:E67)</f>
        <v/>
      </c>
      <c r="G67" s="120">
        <f>IF($F67&lt;KarsilikNakitEsigi,"EVET","HAYIR")</f>
        <v/>
      </c>
    </row>
    <row r="68" ht="15" customHeight="1" s="68">
      <c r="D68" s="120">
        <f>ROUND($B68*KarliyukNakitKarliikOrani,0)</f>
        <v/>
      </c>
      <c r="E68" s="120">
        <f>$B68-$C68-$D68</f>
        <v/>
      </c>
      <c r="F68" s="118">
        <f>KarsilikAyBasiKasa+SUM($E$6:E68)</f>
        <v/>
      </c>
      <c r="G68" s="120">
        <f>IF($F68&lt;KarsilikNakitEsigi,"EVET","HAYIR")</f>
        <v/>
      </c>
    </row>
    <row r="69" ht="15" customHeight="1" s="68">
      <c r="D69" s="120">
        <f>ROUND($B69*KarliyukNakitKarliikOrani,0)</f>
        <v/>
      </c>
      <c r="E69" s="120">
        <f>$B69-$C69-$D69</f>
        <v/>
      </c>
      <c r="F69" s="118">
        <f>KarsilikAyBasiKasa+SUM($E$6:E69)</f>
        <v/>
      </c>
      <c r="G69" s="120">
        <f>IF($F69&lt;KarsilikNakitEsigi,"EVET","HAYIR")</f>
        <v/>
      </c>
    </row>
    <row r="70" ht="15" customHeight="1" s="68">
      <c r="D70" s="120">
        <f>ROUND($B70*KarliyukNakitKarliikOrani,0)</f>
        <v/>
      </c>
      <c r="E70" s="120">
        <f>$B70-$C70-$D70</f>
        <v/>
      </c>
      <c r="F70" s="118">
        <f>KarsilikAyBasiKasa+SUM($E$6:E70)</f>
        <v/>
      </c>
      <c r="G70" s="120">
        <f>IF($F70&lt;KarsilikNakitEsigi,"EVET","HAYIR")</f>
        <v/>
      </c>
    </row>
    <row r="71" ht="15" customHeight="1" s="68">
      <c r="D71" s="120">
        <f>ROUND($B71*KarliyukNakitKarliikOrani,0)</f>
        <v/>
      </c>
      <c r="E71" s="120">
        <f>$B71-$C71-$D71</f>
        <v/>
      </c>
      <c r="F71" s="118">
        <f>KarsilikAyBasiKasa+SUM($E$6:E71)</f>
        <v/>
      </c>
      <c r="G71" s="120">
        <f>IF($F71&lt;KarsilikNakitEsigi,"EVET","HAYIR")</f>
        <v/>
      </c>
    </row>
    <row r="72" ht="15" customHeight="1" s="68">
      <c r="D72" s="120">
        <f>ROUND($B72*KarliyukNakitKarliikOrani,0)</f>
        <v/>
      </c>
      <c r="E72" s="120">
        <f>$B72-$C72-$D72</f>
        <v/>
      </c>
      <c r="F72" s="118">
        <f>KarsilikAyBasiKasa+SUM($E$6:E72)</f>
        <v/>
      </c>
      <c r="G72" s="120">
        <f>IF($F72&lt;KarsilikNakitEsigi,"EVET","HAYIR")</f>
        <v/>
      </c>
    </row>
    <row r="73" ht="15" customHeight="1" s="68">
      <c r="D73" s="120">
        <f>ROUND($B73*KarliyukNakitKarliikOrani,0)</f>
        <v/>
      </c>
      <c r="E73" s="120">
        <f>$B73-$C73-$D73</f>
        <v/>
      </c>
      <c r="F73" s="118">
        <f>KarsilikAyBasiKasa+SUM($E$6:E73)</f>
        <v/>
      </c>
      <c r="G73" s="120">
        <f>IF($F73&lt;KarsilikNakitEsigi,"EVET","HAYIR")</f>
        <v/>
      </c>
    </row>
    <row r="74" ht="15" customHeight="1" s="68">
      <c r="D74" s="120">
        <f>ROUND($B74*KarliyukNakitKarliikOrani,0)</f>
        <v/>
      </c>
      <c r="E74" s="120">
        <f>$B74-$C74-$D74</f>
        <v/>
      </c>
      <c r="F74" s="118">
        <f>KarsilikAyBasiKasa+SUM($E$6:E74)</f>
        <v/>
      </c>
      <c r="G74" s="120">
        <f>IF($F74&lt;KarsilikNakitEsigi,"EVET","HAYIR")</f>
        <v/>
      </c>
    </row>
    <row r="75" ht="15" customHeight="1" s="68">
      <c r="D75" s="120">
        <f>ROUND($B75*KarliyukNakitKarliikOrani,0)</f>
        <v/>
      </c>
      <c r="E75" s="120">
        <f>$B75-$C75-$D75</f>
        <v/>
      </c>
      <c r="F75" s="118">
        <f>KarsilikAyBasiKasa+SUM($E$6:E75)</f>
        <v/>
      </c>
      <c r="G75" s="120">
        <f>IF($F75&lt;KarsilikNakitEsigi,"EVET","HAYIR")</f>
        <v/>
      </c>
    </row>
    <row r="76" ht="15" customHeight="1" s="68">
      <c r="D76" s="120">
        <f>ROUND($B76*KarliyukNakitKarliikOrani,0)</f>
        <v/>
      </c>
      <c r="E76" s="120">
        <f>$B76-$C76-$D76</f>
        <v/>
      </c>
      <c r="F76" s="118">
        <f>KarsilikAyBasiKasa+SUM($E$6:E76)</f>
        <v/>
      </c>
      <c r="G76" s="120">
        <f>IF($F76&lt;KarsilikNakitEsigi,"EVET","HAYIR")</f>
        <v/>
      </c>
    </row>
    <row r="77" ht="15" customHeight="1" s="68">
      <c r="D77" s="120">
        <f>ROUND($B77*KarliyukNakitKarliikOrani,0)</f>
        <v/>
      </c>
      <c r="E77" s="120">
        <f>$B77-$C77-$D77</f>
        <v/>
      </c>
      <c r="F77" s="118">
        <f>KarsilikAyBasiKasa+SUM($E$6:E77)</f>
        <v/>
      </c>
      <c r="G77" s="120">
        <f>IF($F77&lt;KarsilikNakitEsigi,"EVET","HAYIR")</f>
        <v/>
      </c>
    </row>
    <row r="78" ht="15" customHeight="1" s="68">
      <c r="D78" s="120">
        <f>ROUND($B78*KarliyukNakitKarliikOrani,0)</f>
        <v/>
      </c>
      <c r="E78" s="120">
        <f>$B78-$C78-$D78</f>
        <v/>
      </c>
      <c r="F78" s="118">
        <f>KarsilikAyBasiKasa+SUM($E$6:E78)</f>
        <v/>
      </c>
      <c r="G78" s="120">
        <f>IF($F78&lt;KarsilikNakitEsigi,"EVET","HAYIR")</f>
        <v/>
      </c>
    </row>
    <row r="79" ht="15" customHeight="1" s="68">
      <c r="D79" s="120">
        <f>ROUND($B79*KarliyukNakitKarliikOrani,0)</f>
        <v/>
      </c>
      <c r="E79" s="120">
        <f>$B79-$C79-$D79</f>
        <v/>
      </c>
      <c r="F79" s="118">
        <f>KarsilikAyBasiKasa+SUM($E$6:E79)</f>
        <v/>
      </c>
      <c r="G79" s="120">
        <f>IF($F79&lt;KarsilikNakitEsigi,"EVET","HAYIR")</f>
        <v/>
      </c>
    </row>
    <row r="80" ht="15" customHeight="1" s="68">
      <c r="D80" s="120">
        <f>ROUND($B80*KarliyukNakitKarliikOrani,0)</f>
        <v/>
      </c>
      <c r="E80" s="120">
        <f>$B80-$C80-$D80</f>
        <v/>
      </c>
      <c r="F80" s="118">
        <f>KarsilikAyBasiKasa+SUM($E$6:E80)</f>
        <v/>
      </c>
      <c r="G80" s="120">
        <f>IF($F80&lt;KarsilikNakitEsigi,"EVET","HAYIR")</f>
        <v/>
      </c>
    </row>
    <row r="81" ht="15" customHeight="1" s="68">
      <c r="D81" s="120">
        <f>ROUND($B81*KarliyukNakitKarliikOrani,0)</f>
        <v/>
      </c>
      <c r="E81" s="120">
        <f>$B81-$C81-$D81</f>
        <v/>
      </c>
      <c r="F81" s="118">
        <f>KarsilikAyBasiKasa+SUM($E$6:E81)</f>
        <v/>
      </c>
      <c r="G81" s="120">
        <f>IF($F81&lt;KarsilikNakitEsigi,"EVET","HAYIR")</f>
        <v/>
      </c>
    </row>
    <row r="82" ht="15" customHeight="1" s="68">
      <c r="D82" s="120">
        <f>ROUND($B82*KarliyukNakitKarliikOrani,0)</f>
        <v/>
      </c>
      <c r="E82" s="120">
        <f>$B82-$C82-$D82</f>
        <v/>
      </c>
      <c r="F82" s="118">
        <f>KarsilikAyBasiKasa+SUM($E$6:E82)</f>
        <v/>
      </c>
      <c r="G82" s="120">
        <f>IF($F82&lt;KarsilikNakitEsigi,"EVET","HAYIR")</f>
        <v/>
      </c>
    </row>
    <row r="83" ht="15" customHeight="1" s="68">
      <c r="D83" s="120">
        <f>ROUND($B83*KarliyukNakitKarliikOrani,0)</f>
        <v/>
      </c>
      <c r="E83" s="120">
        <f>$B83-$C83-$D83</f>
        <v/>
      </c>
      <c r="F83" s="118">
        <f>KarsilikAyBasiKasa+SUM($E$6:E83)</f>
        <v/>
      </c>
      <c r="G83" s="120">
        <f>IF($F83&lt;KarsilikNakitEsigi,"EVET","HAYIR")</f>
        <v/>
      </c>
    </row>
    <row r="84" ht="15" customHeight="1" s="68">
      <c r="D84" s="120">
        <f>ROUND($B84*KarliyukNakitKarliikOrani,0)</f>
        <v/>
      </c>
      <c r="E84" s="120">
        <f>$B84-$C84-$D84</f>
        <v/>
      </c>
      <c r="F84" s="118">
        <f>KarsilikAyBasiKasa+SUM($E$6:E84)</f>
        <v/>
      </c>
      <c r="G84" s="120">
        <f>IF($F84&lt;KarsilikNakitEsigi,"EVET","HAYIR")</f>
        <v/>
      </c>
    </row>
    <row r="85" ht="15" customHeight="1" s="68">
      <c r="D85" s="120">
        <f>ROUND($B85*KarliyukNakitKarliikOrani,0)</f>
        <v/>
      </c>
      <c r="E85" s="120">
        <f>$B85-$C85-$D85</f>
        <v/>
      </c>
      <c r="F85" s="118">
        <f>KarsilikAyBasiKasa+SUM($E$6:E85)</f>
        <v/>
      </c>
      <c r="G85" s="120">
        <f>IF($F85&lt;KarsilikNakitEsigi,"EVET","HAYIR")</f>
        <v/>
      </c>
    </row>
    <row r="86" ht="15" customHeight="1" s="68">
      <c r="D86" s="120">
        <f>ROUND($B86*KarliyukNakitKarliikOrani,0)</f>
        <v/>
      </c>
      <c r="E86" s="120">
        <f>$B86-$C86-$D86</f>
        <v/>
      </c>
      <c r="F86" s="118">
        <f>KarsilikAyBasiKasa+SUM($E$6:E86)</f>
        <v/>
      </c>
      <c r="G86" s="120">
        <f>IF($F86&lt;KarsilikNakitEsigi,"EVET","HAYIR")</f>
        <v/>
      </c>
    </row>
    <row r="87" ht="15" customHeight="1" s="68">
      <c r="D87" s="120">
        <f>ROUND($B87*KarliyukNakitKarliikOrani,0)</f>
        <v/>
      </c>
      <c r="E87" s="120">
        <f>$B87-$C87-$D87</f>
        <v/>
      </c>
      <c r="F87" s="118">
        <f>KarsilikAyBasiKasa+SUM($E$6:E87)</f>
        <v/>
      </c>
      <c r="G87" s="120">
        <f>IF($F87&lt;KarsilikNakitEsigi,"EVET","HAYIR")</f>
        <v/>
      </c>
    </row>
    <row r="88" ht="15" customHeight="1" s="68">
      <c r="D88" s="120">
        <f>ROUND($B88*KarliyukNakitKarliikOrani,0)</f>
        <v/>
      </c>
      <c r="E88" s="120">
        <f>$B88-$C88-$D88</f>
        <v/>
      </c>
      <c r="F88" s="118">
        <f>KarsilikAyBasiKasa+SUM($E$6:E88)</f>
        <v/>
      </c>
      <c r="G88" s="120">
        <f>IF($F88&lt;KarsilikNakitEsigi,"EVET","HAYIR")</f>
        <v/>
      </c>
    </row>
    <row r="89" ht="15" customHeight="1" s="68">
      <c r="D89" s="120">
        <f>ROUND($B89*KarliyukNakitKarliikOrani,0)</f>
        <v/>
      </c>
      <c r="E89" s="120">
        <f>$B89-$C89-$D89</f>
        <v/>
      </c>
      <c r="F89" s="118">
        <f>KarsilikAyBasiKasa+SUM($E$6:E89)</f>
        <v/>
      </c>
      <c r="G89" s="120">
        <f>IF($F89&lt;KarsilikNakitEsigi,"EVET","HAYIR")</f>
        <v/>
      </c>
    </row>
    <row r="90" ht="15" customHeight="1" s="68">
      <c r="D90" s="120">
        <f>ROUND($B90*KarliyukNakitKarliikOrani,0)</f>
        <v/>
      </c>
      <c r="E90" s="120">
        <f>$B90-$C90-$D90</f>
        <v/>
      </c>
      <c r="F90" s="118">
        <f>KarsilikAyBasiKasa+SUM($E$6:E90)</f>
        <v/>
      </c>
      <c r="G90" s="120">
        <f>IF($F90&lt;KarsilikNakitEsigi,"EVET","HAYIR")</f>
        <v/>
      </c>
    </row>
    <row r="91" ht="15" customHeight="1" s="68">
      <c r="D91" s="120">
        <f>ROUND($B91*KarliyukNakitKarliikOrani,0)</f>
        <v/>
      </c>
      <c r="E91" s="120">
        <f>$B91-$C91-$D91</f>
        <v/>
      </c>
      <c r="F91" s="118">
        <f>KarsilikAyBasiKasa+SUM($E$6:E91)</f>
        <v/>
      </c>
      <c r="G91" s="120">
        <f>IF($F91&lt;KarsilikNakitEsigi,"EVET","HAYIR")</f>
        <v/>
      </c>
    </row>
    <row r="92" ht="15" customHeight="1" s="68">
      <c r="D92" s="120">
        <f>ROUND($B92*KarliyukNakitKarliikOrani,0)</f>
        <v/>
      </c>
      <c r="E92" s="120">
        <f>$B92-$C92-$D92</f>
        <v/>
      </c>
      <c r="F92" s="118">
        <f>KarsilikAyBasiKasa+SUM($E$6:E92)</f>
        <v/>
      </c>
      <c r="G92" s="120">
        <f>IF($F92&lt;KarsilikNakitEsigi,"EVET","HAYIR")</f>
        <v/>
      </c>
    </row>
    <row r="93" ht="15" customHeight="1" s="68">
      <c r="D93" s="120">
        <f>ROUND($B93*KarliyukNakitKarliikOrani,0)</f>
        <v/>
      </c>
      <c r="E93" s="120">
        <f>$B93-$C93-$D93</f>
        <v/>
      </c>
      <c r="F93" s="118">
        <f>KarsilikAyBasiKasa+SUM($E$6:E93)</f>
        <v/>
      </c>
      <c r="G93" s="120">
        <f>IF($F93&lt;KarsilikNakitEsigi,"EVET","HAYIR")</f>
        <v/>
      </c>
    </row>
    <row r="94" ht="15" customHeight="1" s="68">
      <c r="D94" s="120">
        <f>ROUND($B94*KarliyukNakitKarliikOrani,0)</f>
        <v/>
      </c>
      <c r="E94" s="120">
        <f>$B94-$C94-$D94</f>
        <v/>
      </c>
      <c r="F94" s="118">
        <f>KarsilikAyBasiKasa+SUM($E$6:E94)</f>
        <v/>
      </c>
      <c r="G94" s="120">
        <f>IF($F94&lt;KarsilikNakitEsigi,"EVET","HAYIR")</f>
        <v/>
      </c>
    </row>
    <row r="95" ht="15" customHeight="1" s="68">
      <c r="D95" s="120">
        <f>ROUND($B95*KarliyukNakitKarliikOrani,0)</f>
        <v/>
      </c>
      <c r="E95" s="120">
        <f>$B95-$C95-$D95</f>
        <v/>
      </c>
      <c r="F95" s="118">
        <f>KarsilikAyBasiKasa+SUM($E$6:E95)</f>
        <v/>
      </c>
      <c r="G95" s="120">
        <f>IF($F95&lt;KarsilikNakitEsigi,"EVET","HAYIR")</f>
        <v/>
      </c>
    </row>
    <row r="96" ht="15" customHeight="1" s="68">
      <c r="D96" s="120">
        <f>ROUND($B96*KarliyukNakitKarliikOrani,0)</f>
        <v/>
      </c>
      <c r="E96" s="120">
        <f>$B96-$C96-$D96</f>
        <v/>
      </c>
      <c r="F96" s="118">
        <f>KarsilikAyBasiKasa+SUM($E$6:E96)</f>
        <v/>
      </c>
      <c r="G96" s="120">
        <f>IF($F96&lt;KarsilikNakitEsigi,"EVET","HAYIR")</f>
        <v/>
      </c>
    </row>
    <row r="97" ht="15" customHeight="1" s="68">
      <c r="D97" s="120">
        <f>ROUND($B97*KarliyukNakitKarliikOrani,0)</f>
        <v/>
      </c>
      <c r="E97" s="120">
        <f>$B97-$C97-$D97</f>
        <v/>
      </c>
      <c r="F97" s="118">
        <f>KarsilikAyBasiKasa+SUM($E$6:E97)</f>
        <v/>
      </c>
      <c r="G97" s="120">
        <f>IF($F97&lt;KarsilikNakitEsigi,"EVET","HAYIR")</f>
        <v/>
      </c>
    </row>
    <row r="98" ht="15" customHeight="1" s="68">
      <c r="D98" s="120">
        <f>ROUND($B98*KarliyukNakitKarliikOrani,0)</f>
        <v/>
      </c>
      <c r="E98" s="120">
        <f>$B98-$C98-$D98</f>
        <v/>
      </c>
      <c r="F98" s="118">
        <f>KarsilikAyBasiKasa+SUM($E$6:E98)</f>
        <v/>
      </c>
      <c r="G98" s="120">
        <f>IF($F98&lt;KarsilikNakitEsigi,"EVET","HAYIR")</f>
        <v/>
      </c>
    </row>
    <row r="99" ht="15" customHeight="1" s="68">
      <c r="D99" s="120">
        <f>ROUND($B99*KarliyukNakitKarliikOrani,0)</f>
        <v/>
      </c>
      <c r="E99" s="120">
        <f>$B99-$C99-$D99</f>
        <v/>
      </c>
      <c r="F99" s="118">
        <f>KarsilikAyBasiKasa+SUM($E$6:E99)</f>
        <v/>
      </c>
      <c r="G99" s="120">
        <f>IF($F99&lt;KarsilikNakitEsigi,"EVET","HAYIR")</f>
        <v/>
      </c>
    </row>
    <row r="100" ht="15" customHeight="1" s="68">
      <c r="D100" s="120">
        <f>ROUND($B100*KarliyukNakitKarliikOrani,0)</f>
        <v/>
      </c>
      <c r="E100" s="120">
        <f>$B100-$C100-$D100</f>
        <v/>
      </c>
      <c r="F100" s="118">
        <f>KarsilikAyBasiKasa+SUM($E$6:E100)</f>
        <v/>
      </c>
      <c r="G100" s="120">
        <f>IF($F100&lt;KarsilikNakitEsigi,"EVET","HAYIR")</f>
        <v/>
      </c>
    </row>
    <row r="101" ht="15" customHeight="1" s="68">
      <c r="D101" s="120">
        <f>ROUND($B101*KarliyukNakitKarliikOrani,0)</f>
        <v/>
      </c>
      <c r="E101" s="120">
        <f>$B101-$C101-$D101</f>
        <v/>
      </c>
      <c r="F101" s="118">
        <f>KarsilikAyBasiKasa+SUM($E$6:E101)</f>
        <v/>
      </c>
      <c r="G101" s="120">
        <f>IF($F101&lt;KarsilikNakitEsigi,"EVET","HAYIR")</f>
        <v/>
      </c>
    </row>
    <row r="102" ht="15" customHeight="1" s="68">
      <c r="D102" s="120">
        <f>ROUND($B102*KarliyukNakitKarliikOrani,0)</f>
        <v/>
      </c>
      <c r="E102" s="120">
        <f>$B102-$C102-$D102</f>
        <v/>
      </c>
      <c r="F102" s="118">
        <f>KarsilikAyBasiKasa+SUM($E$6:E102)</f>
        <v/>
      </c>
      <c r="G102" s="120">
        <f>IF($F102&lt;KarsilikNakitEsigi,"EVET","HAYIR")</f>
        <v/>
      </c>
    </row>
    <row r="103" ht="15" customHeight="1" s="68">
      <c r="D103" s="120">
        <f>ROUND($B103*KarliyukNakitKarliikOrani,0)</f>
        <v/>
      </c>
      <c r="E103" s="120">
        <f>$B103-$C103-$D103</f>
        <v/>
      </c>
      <c r="F103" s="118">
        <f>KarsilikAyBasiKasa+SUM($E$6:E103)</f>
        <v/>
      </c>
      <c r="G103" s="120">
        <f>IF($F103&lt;KarsilikNakitEsigi,"EVET","HAYIR")</f>
        <v/>
      </c>
    </row>
    <row r="104" ht="15" customHeight="1" s="68">
      <c r="D104" s="120">
        <f>ROUND($B104*KarliyukNakitKarliikOrani,0)</f>
        <v/>
      </c>
      <c r="E104" s="120">
        <f>$B104-$C104-$D104</f>
        <v/>
      </c>
      <c r="F104" s="118">
        <f>KarsilikAyBasiKasa+SUM($E$6:E104)</f>
        <v/>
      </c>
      <c r="G104" s="120">
        <f>IF($F104&lt;KarsilikNakitEsigi,"EVET","HAYIR")</f>
        <v/>
      </c>
    </row>
    <row r="105" ht="15" customHeight="1" s="68">
      <c r="D105" s="120">
        <f>ROUND($B105*KarliyukNakitKarliikOrani,0)</f>
        <v/>
      </c>
      <c r="E105" s="120">
        <f>$B105-$C105-$D105</f>
        <v/>
      </c>
      <c r="F105" s="118">
        <f>KarsilikAyBasiKasa+SUM($E$6:E105)</f>
        <v/>
      </c>
      <c r="G105" s="120">
        <f>IF($F105&lt;KarsilikNakitEsigi,"EVET","HAYIR")</f>
        <v/>
      </c>
    </row>
    <row r="106" ht="15" customHeight="1" s="68">
      <c r="D106" s="120">
        <f>ROUND($B106*KarliyukNakitKarliikOrani,0)</f>
        <v/>
      </c>
      <c r="E106" s="120">
        <f>$B106-$C106-$D106</f>
        <v/>
      </c>
      <c r="F106" s="118">
        <f>KarsilikAyBasiKasa+SUM($E$6:E106)</f>
        <v/>
      </c>
      <c r="G106" s="120">
        <f>IF($F106&lt;KarsilikNakitEsigi,"EVET","HAYIR")</f>
        <v/>
      </c>
    </row>
    <row r="107" ht="15" customHeight="1" s="68">
      <c r="D107" s="120">
        <f>ROUND($B107*KarliyukNakitKarliikOrani,0)</f>
        <v/>
      </c>
      <c r="E107" s="120">
        <f>$B107-$C107-$D107</f>
        <v/>
      </c>
      <c r="F107" s="118">
        <f>KarsilikAyBasiKasa+SUM($E$6:E107)</f>
        <v/>
      </c>
      <c r="G107" s="120">
        <f>IF($F107&lt;KarsilikNakitEsigi,"EVET","HAYIR")</f>
        <v/>
      </c>
    </row>
    <row r="108" ht="15" customHeight="1" s="68">
      <c r="D108" s="120">
        <f>ROUND($B108*KarliyukNakitKarliikOrani,0)</f>
        <v/>
      </c>
      <c r="E108" s="120">
        <f>$B108-$C108-$D108</f>
        <v/>
      </c>
      <c r="F108" s="118">
        <f>KarsilikAyBasiKasa+SUM($E$6:E108)</f>
        <v/>
      </c>
      <c r="G108" s="120">
        <f>IF($F108&lt;KarsilikNakitEsigi,"EVET","HAYIR")</f>
        <v/>
      </c>
    </row>
    <row r="109" ht="15" customHeight="1" s="68">
      <c r="D109" s="120">
        <f>ROUND($B109*KarliyukNakitKarliikOrani,0)</f>
        <v/>
      </c>
      <c r="E109" s="120">
        <f>$B109-$C109-$D109</f>
        <v/>
      </c>
      <c r="F109" s="118">
        <f>KarsilikAyBasiKasa+SUM($E$6:E109)</f>
        <v/>
      </c>
      <c r="G109" s="120">
        <f>IF($F109&lt;KarsilikNakitEsigi,"EVET","HAYIR")</f>
        <v/>
      </c>
    </row>
    <row r="110" ht="15" customHeight="1" s="68">
      <c r="D110" s="120">
        <f>ROUND($B110*KarliyukNakitKarliikOrani,0)</f>
        <v/>
      </c>
      <c r="E110" s="120">
        <f>$B110-$C110-$D110</f>
        <v/>
      </c>
      <c r="F110" s="118">
        <f>KarsilikAyBasiKasa+SUM($E$6:E110)</f>
        <v/>
      </c>
      <c r="G110" s="120">
        <f>IF($F110&lt;KarsilikNakitEsigi,"EVET","HAYIR")</f>
        <v/>
      </c>
    </row>
    <row r="111" ht="15" customHeight="1" s="68">
      <c r="D111" s="120">
        <f>ROUND($B111*KarliyukNakitKarliikOrani,0)</f>
        <v/>
      </c>
      <c r="E111" s="120">
        <f>$B111-$C111-$D111</f>
        <v/>
      </c>
      <c r="F111" s="118">
        <f>KarsilikAyBasiKasa+SUM($E$6:E111)</f>
        <v/>
      </c>
      <c r="G111" s="120">
        <f>IF($F111&lt;KarsilikNakitEsigi,"EVET","HAYIR")</f>
        <v/>
      </c>
    </row>
    <row r="112" ht="15" customHeight="1" s="68">
      <c r="D112" s="120">
        <f>ROUND($B112*KarliyukNakitKarliikOrani,0)</f>
        <v/>
      </c>
      <c r="E112" s="120">
        <f>$B112-$C112-$D112</f>
        <v/>
      </c>
      <c r="F112" s="118">
        <f>KarsilikAyBasiKasa+SUM($E$6:E112)</f>
        <v/>
      </c>
      <c r="G112" s="120">
        <f>IF($F112&lt;KarsilikNakitEsigi,"EVET","HAYIR")</f>
        <v/>
      </c>
    </row>
    <row r="113" ht="15" customHeight="1" s="68">
      <c r="D113" s="120">
        <f>ROUND($B113*KarliyukNakitKarliikOrani,0)</f>
        <v/>
      </c>
      <c r="E113" s="120">
        <f>$B113-$C113-$D113</f>
        <v/>
      </c>
      <c r="F113" s="118">
        <f>KarsilikAyBasiKasa+SUM($E$6:E113)</f>
        <v/>
      </c>
      <c r="G113" s="120">
        <f>IF($F113&lt;KarsilikNakitEsigi,"EVET","HAYIR")</f>
        <v/>
      </c>
    </row>
    <row r="114" ht="15" customHeight="1" s="68">
      <c r="D114" s="120">
        <f>ROUND($B114*KarliyukNakitKarliikOrani,0)</f>
        <v/>
      </c>
      <c r="E114" s="120">
        <f>$B114-$C114-$D114</f>
        <v/>
      </c>
      <c r="F114" s="118">
        <f>KarsilikAyBasiKasa+SUM($E$6:E114)</f>
        <v/>
      </c>
      <c r="G114" s="120">
        <f>IF($F114&lt;KarsilikNakitEsigi,"EVET","HAYIR")</f>
        <v/>
      </c>
    </row>
    <row r="115" ht="15" customHeight="1" s="68">
      <c r="D115" s="120">
        <f>ROUND($B115*KarliyukNakitKarliikOrani,0)</f>
        <v/>
      </c>
      <c r="E115" s="120">
        <f>$B115-$C115-$D115</f>
        <v/>
      </c>
      <c r="F115" s="118">
        <f>KarsilikAyBasiKasa+SUM($E$6:E115)</f>
        <v/>
      </c>
      <c r="G115" s="120">
        <f>IF($F115&lt;KarsilikNakitEsigi,"EVET","HAYIR")</f>
        <v/>
      </c>
    </row>
    <row r="116" ht="15" customHeight="1" s="68">
      <c r="D116" s="120">
        <f>ROUND($B116*KarliyukNakitKarliikOrani,0)</f>
        <v/>
      </c>
      <c r="E116" s="120">
        <f>$B116-$C116-$D116</f>
        <v/>
      </c>
      <c r="F116" s="118">
        <f>KarsilikAyBasiKasa+SUM($E$6:E116)</f>
        <v/>
      </c>
      <c r="G116" s="120">
        <f>IF($F116&lt;KarsilikNakitEsigi,"EVET","HAYIR")</f>
        <v/>
      </c>
    </row>
    <row r="117" ht="15" customHeight="1" s="68">
      <c r="D117" s="120">
        <f>ROUND($B117*KarliyukNakitKarliikOrani,0)</f>
        <v/>
      </c>
      <c r="E117" s="120">
        <f>$B117-$C117-$D117</f>
        <v/>
      </c>
      <c r="F117" s="118">
        <f>KarsilikAyBasiKasa+SUM($E$6:E117)</f>
        <v/>
      </c>
      <c r="G117" s="120">
        <f>IF($F117&lt;KarsilikNakitEsigi,"EVET","HAYIR")</f>
        <v/>
      </c>
    </row>
    <row r="118" ht="15" customHeight="1" s="68">
      <c r="D118" s="120">
        <f>ROUND($B118*KarliyukNakitKarliikOrani,0)</f>
        <v/>
      </c>
      <c r="E118" s="120">
        <f>$B118-$C118-$D118</f>
        <v/>
      </c>
      <c r="F118" s="118">
        <f>KarsilikAyBasiKasa+SUM($E$6:E118)</f>
        <v/>
      </c>
      <c r="G118" s="120">
        <f>IF($F118&lt;KarsilikNakitEsigi,"EVET","HAYIR")</f>
        <v/>
      </c>
    </row>
    <row r="119" ht="15" customHeight="1" s="68">
      <c r="D119" s="120">
        <f>ROUND($B119*KarliyukNakitKarliikOrani,0)</f>
        <v/>
      </c>
      <c r="E119" s="120">
        <f>$B119-$C119-$D119</f>
        <v/>
      </c>
      <c r="F119" s="118">
        <f>KarsilikAyBasiKasa+SUM($E$6:E119)</f>
        <v/>
      </c>
      <c r="G119" s="120">
        <f>IF($F119&lt;KarsilikNakitEsigi,"EVET","HAYIR")</f>
        <v/>
      </c>
    </row>
    <row r="120" ht="15" customHeight="1" s="68">
      <c r="D120" s="120">
        <f>ROUND($B120*KarliyukNakitKarliikOrani,0)</f>
        <v/>
      </c>
      <c r="E120" s="120">
        <f>$B120-$C120-$D120</f>
        <v/>
      </c>
      <c r="F120" s="118">
        <f>KarsilikAyBasiKasa+SUM($E$6:E120)</f>
        <v/>
      </c>
      <c r="G120" s="120">
        <f>IF($F120&lt;KarsilikNakitEsigi,"EVET","HAYIR")</f>
        <v/>
      </c>
    </row>
    <row r="121" ht="15" customHeight="1" s="68">
      <c r="D121" s="120">
        <f>ROUND($B121*KarliyukNakitKarliikOrani,0)</f>
        <v/>
      </c>
      <c r="E121" s="120">
        <f>$B121-$C121-$D121</f>
        <v/>
      </c>
      <c r="F121" s="118">
        <f>KarsilikAyBasiKasa+SUM($E$6:E121)</f>
        <v/>
      </c>
      <c r="G121" s="120">
        <f>IF($F121&lt;KarsilikNakitEsigi,"EVET","HAYIR")</f>
        <v/>
      </c>
    </row>
    <row r="122" ht="15" customHeight="1" s="68">
      <c r="D122" s="120">
        <f>ROUND($B122*KarliyukNakitKarliikOrani,0)</f>
        <v/>
      </c>
      <c r="E122" s="120">
        <f>$B122-$C122-$D122</f>
        <v/>
      </c>
      <c r="F122" s="118">
        <f>KarsilikAyBasiKasa+SUM($E$6:E122)</f>
        <v/>
      </c>
      <c r="G122" s="120">
        <f>IF($F122&lt;KarsilikNakitEsigi,"EVET","HAYIR")</f>
        <v/>
      </c>
    </row>
    <row r="123" ht="15" customHeight="1" s="68">
      <c r="D123" s="120">
        <f>ROUND($B123*KarliyukNakitKarliikOrani,0)</f>
        <v/>
      </c>
      <c r="E123" s="120">
        <f>$B123-$C123-$D123</f>
        <v/>
      </c>
      <c r="F123" s="118">
        <f>KarsilikAyBasiKasa+SUM($E$6:E123)</f>
        <v/>
      </c>
      <c r="G123" s="120">
        <f>IF($F123&lt;KarsilikNakitEsigi,"EVET","HAYIR")</f>
        <v/>
      </c>
    </row>
    <row r="124" ht="15" customHeight="1" s="68">
      <c r="D124" s="120">
        <f>ROUND($B124*KarliyukNakitKarliikOrani,0)</f>
        <v/>
      </c>
      <c r="E124" s="120">
        <f>$B124-$C124-$D124</f>
        <v/>
      </c>
      <c r="F124" s="118">
        <f>KarsilikAyBasiKasa+SUM($E$6:E124)</f>
        <v/>
      </c>
      <c r="G124" s="120">
        <f>IF($F124&lt;KarsilikNakitEsigi,"EVET","HAYIR")</f>
        <v/>
      </c>
    </row>
    <row r="125" ht="15" customHeight="1" s="68">
      <c r="D125" s="120">
        <f>ROUND($B125*KarliyukNakitKarliikOrani,0)</f>
        <v/>
      </c>
      <c r="E125" s="120">
        <f>$B125-$C125-$D125</f>
        <v/>
      </c>
      <c r="F125" s="118">
        <f>KarsilikAyBasiKasa+SUM($E$6:E125)</f>
        <v/>
      </c>
      <c r="G125" s="120">
        <f>IF($F125&lt;KarsilikNakitEsigi,"EVET","HAYIR")</f>
        <v/>
      </c>
    </row>
    <row r="126" ht="15" customHeight="1" s="68">
      <c r="D126" s="120">
        <f>ROUND($B126*KarliyukNakitKarliikOrani,0)</f>
        <v/>
      </c>
      <c r="E126" s="120">
        <f>$B126-$C126-$D126</f>
        <v/>
      </c>
      <c r="F126" s="118">
        <f>KarsilikAyBasiKasa+SUM($E$6:E126)</f>
        <v/>
      </c>
      <c r="G126" s="120">
        <f>IF($F126&lt;KarsilikNakitEsigi,"EVET","HAYIR")</f>
        <v/>
      </c>
    </row>
    <row r="127" ht="15" customHeight="1" s="68">
      <c r="D127" s="120">
        <f>ROUND($B127*KarliyukNakitKarliikOrani,0)</f>
        <v/>
      </c>
      <c r="E127" s="120">
        <f>$B127-$C127-$D127</f>
        <v/>
      </c>
      <c r="F127" s="118">
        <f>KarsilikAyBasiKasa+SUM($E$6:E127)</f>
        <v/>
      </c>
      <c r="G127" s="120">
        <f>IF($F127&lt;KarsilikNakitEsigi,"EVET","HAYIR")</f>
        <v/>
      </c>
    </row>
    <row r="128" ht="15" customHeight="1" s="68">
      <c r="D128" s="120">
        <f>ROUND($B128*KarliyukNakitKarliikOrani,0)</f>
        <v/>
      </c>
      <c r="E128" s="120">
        <f>$B128-$C128-$D128</f>
        <v/>
      </c>
      <c r="F128" s="118">
        <f>KarsilikAyBasiKasa+SUM($E$6:E128)</f>
        <v/>
      </c>
      <c r="G128" s="120">
        <f>IF($F128&lt;KarsilikNakitEsigi,"EVET","HAYIR")</f>
        <v/>
      </c>
    </row>
    <row r="129" ht="15" customHeight="1" s="68">
      <c r="D129" s="120">
        <f>ROUND($B129*KarliyukNakitKarliikOrani,0)</f>
        <v/>
      </c>
      <c r="E129" s="120">
        <f>$B129-$C129-$D129</f>
        <v/>
      </c>
      <c r="F129" s="118">
        <f>KarsilikAyBasiKasa+SUM($E$6:E129)</f>
        <v/>
      </c>
      <c r="G129" s="120">
        <f>IF($F129&lt;KarsilikNakitEsigi,"EVET","HAYIR")</f>
        <v/>
      </c>
    </row>
    <row r="130" ht="15" customHeight="1" s="68">
      <c r="D130" s="120">
        <f>ROUND($B130*KarliyukNakitKarliikOrani,0)</f>
        <v/>
      </c>
      <c r="E130" s="120">
        <f>$B130-$C130-$D130</f>
        <v/>
      </c>
      <c r="F130" s="118">
        <f>KarsilikAyBasiKasa+SUM($E$6:E130)</f>
        <v/>
      </c>
      <c r="G130" s="120">
        <f>IF($F130&lt;KarsilikNakitEsigi,"EVET","HAYIR")</f>
        <v/>
      </c>
    </row>
    <row r="131" ht="15" customHeight="1" s="68">
      <c r="D131" s="120">
        <f>ROUND($B131*KarliyukNakitKarliikOrani,0)</f>
        <v/>
      </c>
      <c r="E131" s="120">
        <f>$B131-$C131-$D131</f>
        <v/>
      </c>
      <c r="F131" s="118">
        <f>KarsilikAyBasiKasa+SUM($E$6:E131)</f>
        <v/>
      </c>
      <c r="G131" s="120">
        <f>IF($F131&lt;KarsilikNakitEsigi,"EVET","HAYIR")</f>
        <v/>
      </c>
    </row>
    <row r="132" ht="15" customHeight="1" s="68">
      <c r="D132" s="120">
        <f>ROUND($B132*KarliyukNakitKarliikOrani,0)</f>
        <v/>
      </c>
      <c r="E132" s="120">
        <f>$B132-$C132-$D132</f>
        <v/>
      </c>
      <c r="F132" s="118">
        <f>KarsilikAyBasiKasa+SUM($E$6:E132)</f>
        <v/>
      </c>
      <c r="G132" s="120">
        <f>IF($F132&lt;KarsilikNakitEsigi,"EVET","HAYIR")</f>
        <v/>
      </c>
    </row>
    <row r="133" ht="15" customHeight="1" s="68">
      <c r="D133" s="120">
        <f>ROUND($B133*KarliyukNakitKarliikOrani,0)</f>
        <v/>
      </c>
      <c r="E133" s="120">
        <f>$B133-$C133-$D133</f>
        <v/>
      </c>
      <c r="F133" s="118">
        <f>KarsilikAyBasiKasa+SUM($E$6:E133)</f>
        <v/>
      </c>
      <c r="G133" s="120">
        <f>IF($F133&lt;KarsilikNakitEsigi,"EVET","HAYIR")</f>
        <v/>
      </c>
    </row>
    <row r="134" ht="15" customHeight="1" s="68">
      <c r="D134" s="120">
        <f>ROUND($B134*KarliyukNakitKarliikOrani,0)</f>
        <v/>
      </c>
      <c r="E134" s="120">
        <f>$B134-$C134-$D134</f>
        <v/>
      </c>
      <c r="F134" s="118">
        <f>KarsilikAyBasiKasa+SUM($E$6:E134)</f>
        <v/>
      </c>
      <c r="G134" s="120">
        <f>IF($F134&lt;KarsilikNakitEsigi,"EVET","HAYIR")</f>
        <v/>
      </c>
    </row>
    <row r="135" ht="15" customHeight="1" s="68">
      <c r="D135" s="120">
        <f>ROUND($B135*KarliyukNakitKarliikOrani,0)</f>
        <v/>
      </c>
      <c r="E135" s="120">
        <f>$B135-$C135-$D135</f>
        <v/>
      </c>
      <c r="F135" s="118">
        <f>KarsilikAyBasiKasa+SUM($E$6:E135)</f>
        <v/>
      </c>
      <c r="G135" s="120">
        <f>IF($F135&lt;KarsilikNakitEsigi,"EVET","HAYIR")</f>
        <v/>
      </c>
    </row>
    <row r="136" ht="15" customHeight="1" s="68">
      <c r="D136" s="120">
        <f>ROUND($B136*KarliyukNakitKarliikOrani,0)</f>
        <v/>
      </c>
      <c r="E136" s="120">
        <f>$B136-$C136-$D136</f>
        <v/>
      </c>
      <c r="F136" s="118">
        <f>KarsilikAyBasiKasa+SUM($E$6:E136)</f>
        <v/>
      </c>
      <c r="G136" s="120">
        <f>IF($F136&lt;KarsilikNakitEsigi,"EVET","HAYIR")</f>
        <v/>
      </c>
    </row>
    <row r="137" ht="15" customHeight="1" s="68">
      <c r="D137" s="120">
        <f>ROUND($B137*KarliyukNakitKarliikOrani,0)</f>
        <v/>
      </c>
      <c r="E137" s="120">
        <f>$B137-$C137-$D137</f>
        <v/>
      </c>
      <c r="F137" s="118">
        <f>KarsilikAyBasiKasa+SUM($E$6:E137)</f>
        <v/>
      </c>
      <c r="G137" s="120">
        <f>IF($F137&lt;KarsilikNakitEsigi,"EVET","HAYIR")</f>
        <v/>
      </c>
    </row>
    <row r="138" ht="15" customHeight="1" s="68">
      <c r="D138" s="120">
        <f>ROUND($B138*KarliyukNakitKarliikOrani,0)</f>
        <v/>
      </c>
      <c r="E138" s="120">
        <f>$B138-$C138-$D138</f>
        <v/>
      </c>
      <c r="F138" s="118">
        <f>KarsilikAyBasiKasa+SUM($E$6:E138)</f>
        <v/>
      </c>
      <c r="G138" s="120">
        <f>IF($F138&lt;KarsilikNakitEsigi,"EVET","HAYIR")</f>
        <v/>
      </c>
    </row>
    <row r="139" ht="15" customHeight="1" s="68">
      <c r="D139" s="120">
        <f>ROUND($B139*KarliyukNakitKarliikOrani,0)</f>
        <v/>
      </c>
      <c r="E139" s="120">
        <f>$B139-$C139-$D139</f>
        <v/>
      </c>
      <c r="F139" s="118">
        <f>KarsilikAyBasiKasa+SUM($E$6:E139)</f>
        <v/>
      </c>
      <c r="G139" s="120">
        <f>IF($F139&lt;KarsilikNakitEsigi,"EVET","HAYIR")</f>
        <v/>
      </c>
    </row>
    <row r="140" ht="15" customHeight="1" s="68">
      <c r="D140" s="120">
        <f>ROUND($B140*KarliyukNakitKarliikOrani,0)</f>
        <v/>
      </c>
      <c r="E140" s="120">
        <f>$B140-$C140-$D140</f>
        <v/>
      </c>
      <c r="F140" s="118">
        <f>KarsilikAyBasiKasa+SUM($E$6:E140)</f>
        <v/>
      </c>
      <c r="G140" s="120">
        <f>IF($F140&lt;KarsilikNakitEsigi,"EVET","HAYIR")</f>
        <v/>
      </c>
    </row>
    <row r="141" ht="15" customHeight="1" s="68">
      <c r="D141" s="120">
        <f>ROUND($B141*KarliyukNakitKarliikOrani,0)</f>
        <v/>
      </c>
      <c r="E141" s="120">
        <f>$B141-$C141-$D141</f>
        <v/>
      </c>
      <c r="F141" s="118">
        <f>KarsilikAyBasiKasa+SUM($E$6:E141)</f>
        <v/>
      </c>
      <c r="G141" s="120">
        <f>IF($F141&lt;KarsilikNakitEsigi,"EVET","HAYIR")</f>
        <v/>
      </c>
    </row>
    <row r="142" ht="15" customHeight="1" s="68">
      <c r="D142" s="120">
        <f>ROUND($B142*KarliyukNakitKarliikOrani,0)</f>
        <v/>
      </c>
      <c r="E142" s="120">
        <f>$B142-$C142-$D142</f>
        <v/>
      </c>
      <c r="F142" s="118">
        <f>KarsilikAyBasiKasa+SUM($E$6:E142)</f>
        <v/>
      </c>
      <c r="G142" s="120">
        <f>IF($F142&lt;KarsilikNakitEsigi,"EVET","HAYIR")</f>
        <v/>
      </c>
    </row>
    <row r="143" ht="15" customHeight="1" s="68">
      <c r="D143" s="120">
        <f>ROUND($B143*KarliyukNakitKarliikOrani,0)</f>
        <v/>
      </c>
      <c r="E143" s="120">
        <f>$B143-$C143-$D143</f>
        <v/>
      </c>
      <c r="F143" s="118">
        <f>KarsilikAyBasiKasa+SUM($E$6:E143)</f>
        <v/>
      </c>
      <c r="G143" s="120">
        <f>IF($F143&lt;KarsilikNakitEsigi,"EVET","HAYIR")</f>
        <v/>
      </c>
    </row>
    <row r="144" ht="15" customHeight="1" s="68">
      <c r="D144" s="120">
        <f>ROUND($B144*KarliyukNakitKarliikOrani,0)</f>
        <v/>
      </c>
      <c r="E144" s="120">
        <f>$B144-$C144-$D144</f>
        <v/>
      </c>
      <c r="F144" s="118">
        <f>KarsilikAyBasiKasa+SUM($E$6:E144)</f>
        <v/>
      </c>
      <c r="G144" s="120">
        <f>IF($F144&lt;KarsilikNakitEsigi,"EVET","HAYIR")</f>
        <v/>
      </c>
    </row>
    <row r="145" ht="15" customHeight="1" s="68">
      <c r="D145" s="120">
        <f>ROUND($B145*KarliyukNakitKarliikOrani,0)</f>
        <v/>
      </c>
      <c r="E145" s="120">
        <f>$B145-$C145-$D145</f>
        <v/>
      </c>
      <c r="F145" s="118">
        <f>KarsilikAyBasiKasa+SUM($E$6:E145)</f>
        <v/>
      </c>
      <c r="G145" s="120">
        <f>IF($F145&lt;KarsilikNakitEsigi,"EVET","HAYIR")</f>
        <v/>
      </c>
    </row>
    <row r="146" ht="15" customHeight="1" s="68">
      <c r="D146" s="120">
        <f>ROUND($B146*KarliyukNakitKarliikOrani,0)</f>
        <v/>
      </c>
      <c r="E146" s="120">
        <f>$B146-$C146-$D146</f>
        <v/>
      </c>
      <c r="F146" s="118">
        <f>KarsilikAyBasiKasa+SUM($E$6:E146)</f>
        <v/>
      </c>
      <c r="G146" s="120">
        <f>IF($F146&lt;KarsilikNakitEsigi,"EVET","HAYIR")</f>
        <v/>
      </c>
    </row>
    <row r="147" ht="15" customHeight="1" s="68">
      <c r="D147" s="120">
        <f>ROUND($B147*KarliyukNakitKarliikOrani,0)</f>
        <v/>
      </c>
      <c r="E147" s="120">
        <f>$B147-$C147-$D147</f>
        <v/>
      </c>
      <c r="F147" s="118">
        <f>KarsilikAyBasiKasa+SUM($E$6:E147)</f>
        <v/>
      </c>
      <c r="G147" s="120">
        <f>IF($F147&lt;KarsilikNakitEsigi,"EVET","HAYIR")</f>
        <v/>
      </c>
    </row>
    <row r="148" ht="15" customHeight="1" s="68">
      <c r="D148" s="120">
        <f>ROUND($B148*KarliyukNakitKarliikOrani,0)</f>
        <v/>
      </c>
      <c r="E148" s="120">
        <f>$B148-$C148-$D148</f>
        <v/>
      </c>
      <c r="F148" s="118">
        <f>KarsilikAyBasiKasa+SUM($E$6:E148)</f>
        <v/>
      </c>
      <c r="G148" s="120">
        <f>IF($F148&lt;KarsilikNakitEsigi,"EVET","HAYIR")</f>
        <v/>
      </c>
    </row>
    <row r="149" ht="15" customHeight="1" s="68">
      <c r="D149" s="120">
        <f>ROUND($B149*KarliyukNakitKarliikOrani,0)</f>
        <v/>
      </c>
      <c r="E149" s="120">
        <f>$B149-$C149-$D149</f>
        <v/>
      </c>
      <c r="F149" s="118">
        <f>KarsilikAyBasiKasa+SUM($E$6:E149)</f>
        <v/>
      </c>
      <c r="G149" s="120">
        <f>IF($F149&lt;KarsilikNakitEsigi,"EVET","HAYIR")</f>
        <v/>
      </c>
    </row>
    <row r="150" ht="15" customHeight="1" s="68">
      <c r="D150" s="120">
        <f>ROUND($B150*KarliyukNakitKarliikOrani,0)</f>
        <v/>
      </c>
      <c r="E150" s="120">
        <f>$B150-$C150-$D150</f>
        <v/>
      </c>
      <c r="F150" s="118">
        <f>KarsilikAyBasiKasa+SUM($E$6:E150)</f>
        <v/>
      </c>
      <c r="G150" s="120">
        <f>IF($F150&lt;KarsilikNakitEsigi,"EVET","HAYIR")</f>
        <v/>
      </c>
    </row>
    <row r="151" ht="15" customHeight="1" s="68">
      <c r="D151" s="120">
        <f>ROUND($B151*KarliyukNakitKarliikOrani,0)</f>
        <v/>
      </c>
      <c r="E151" s="120">
        <f>$B151-$C151-$D151</f>
        <v/>
      </c>
      <c r="F151" s="118">
        <f>KarsilikAyBasiKasa+SUM($E$6:E151)</f>
        <v/>
      </c>
      <c r="G151" s="120">
        <f>IF($F151&lt;KarsilikNakitEsigi,"EVET","HAYIR")</f>
        <v/>
      </c>
    </row>
    <row r="152" ht="15" customHeight="1" s="68">
      <c r="D152" s="120">
        <f>ROUND($B152*KarliyukNakitKarliikOrani,0)</f>
        <v/>
      </c>
      <c r="E152" s="120">
        <f>$B152-$C152-$D152</f>
        <v/>
      </c>
      <c r="F152" s="118">
        <f>KarsilikAyBasiKasa+SUM($E$6:E152)</f>
        <v/>
      </c>
      <c r="G152" s="120">
        <f>IF($F152&lt;KarsilikNakitEsigi,"EVET","HAYIR")</f>
        <v/>
      </c>
    </row>
    <row r="153" ht="15" customHeight="1" s="68">
      <c r="D153" s="120">
        <f>ROUND($B153*KarliyukNakitKarliikOrani,0)</f>
        <v/>
      </c>
      <c r="E153" s="120">
        <f>$B153-$C153-$D153</f>
        <v/>
      </c>
      <c r="F153" s="118">
        <f>KarsilikAyBasiKasa+SUM($E$6:E153)</f>
        <v/>
      </c>
      <c r="G153" s="120">
        <f>IF($F153&lt;KarsilikNakitEsigi,"EVET","HAYIR")</f>
        <v/>
      </c>
    </row>
    <row r="154" ht="15" customHeight="1" s="68">
      <c r="D154" s="120">
        <f>ROUND($B154*KarliyukNakitKarliikOrani,0)</f>
        <v/>
      </c>
      <c r="E154" s="120">
        <f>$B154-$C154-$D154</f>
        <v/>
      </c>
      <c r="F154" s="118">
        <f>KarsilikAyBasiKasa+SUM($E$6:E154)</f>
        <v/>
      </c>
      <c r="G154" s="120">
        <f>IF($F154&lt;KarsilikNakitEsigi,"EVET","HAYIR")</f>
        <v/>
      </c>
    </row>
    <row r="155" ht="15" customHeight="1" s="68">
      <c r="D155" s="120">
        <f>ROUND($B155*KarliyukNakitKarliikOrani,0)</f>
        <v/>
      </c>
      <c r="E155" s="120">
        <f>$B155-$C155-$D155</f>
        <v/>
      </c>
      <c r="F155" s="118">
        <f>KarsilikAyBasiKasa+SUM($E$6:E155)</f>
        <v/>
      </c>
      <c r="G155" s="120">
        <f>IF($F155&lt;KarsilikNakitEsigi,"EVET","HAYIR")</f>
        <v/>
      </c>
    </row>
    <row r="156" ht="15" customHeight="1" s="68">
      <c r="D156" s="120">
        <f>ROUND($B156*KarliyukNakitKarliikOrani,0)</f>
        <v/>
      </c>
      <c r="E156" s="120">
        <f>$B156-$C156-$D156</f>
        <v/>
      </c>
      <c r="F156" s="118">
        <f>KarsilikAyBasiKasa+SUM($E$6:E156)</f>
        <v/>
      </c>
      <c r="G156" s="120">
        <f>IF($F156&lt;KarsilikNakitEsigi,"EVET","HAYIR")</f>
        <v/>
      </c>
    </row>
    <row r="157" ht="15" customHeight="1" s="68">
      <c r="D157" s="120">
        <f>ROUND($B157*KarliyukNakitKarliikOrani,0)</f>
        <v/>
      </c>
      <c r="E157" s="120">
        <f>$B157-$C157-$D157</f>
        <v/>
      </c>
      <c r="F157" s="118">
        <f>KarsilikAyBasiKasa+SUM($E$6:E157)</f>
        <v/>
      </c>
      <c r="G157" s="120">
        <f>IF($F157&lt;KarsilikNakitEsigi,"EVET","HAYIR")</f>
        <v/>
      </c>
    </row>
    <row r="158" ht="15" customHeight="1" s="68">
      <c r="D158" s="120">
        <f>ROUND($B158*KarliyukNakitKarliikOrani,0)</f>
        <v/>
      </c>
      <c r="E158" s="120">
        <f>$B158-$C158-$D158</f>
        <v/>
      </c>
      <c r="F158" s="118">
        <f>KarsilikAyBasiKasa+SUM($E$6:E158)</f>
        <v/>
      </c>
      <c r="G158" s="120">
        <f>IF($F158&lt;KarsilikNakitEsigi,"EVET","HAYIR")</f>
        <v/>
      </c>
    </row>
    <row r="159" ht="15" customHeight="1" s="68">
      <c r="D159" s="120">
        <f>ROUND($B159*KarliyukNakitKarliikOrani,0)</f>
        <v/>
      </c>
      <c r="E159" s="120">
        <f>$B159-$C159-$D159</f>
        <v/>
      </c>
      <c r="F159" s="118">
        <f>KarsilikAyBasiKasa+SUM($E$6:E159)</f>
        <v/>
      </c>
      <c r="G159" s="120">
        <f>IF($F159&lt;KarsilikNakitEsigi,"EVET","HAYIR")</f>
        <v/>
      </c>
    </row>
    <row r="160" ht="15" customHeight="1" s="68">
      <c r="D160" s="120">
        <f>ROUND($B160*KarliyukNakitKarliikOrani,0)</f>
        <v/>
      </c>
      <c r="E160" s="120">
        <f>$B160-$C160-$D160</f>
        <v/>
      </c>
      <c r="F160" s="118">
        <f>KarsilikAyBasiKasa+SUM($E$6:E160)</f>
        <v/>
      </c>
      <c r="G160" s="120">
        <f>IF($F160&lt;KarsilikNakitEsigi,"EVET","HAYIR")</f>
        <v/>
      </c>
    </row>
    <row r="161" ht="15" customHeight="1" s="68">
      <c r="D161" s="120">
        <f>ROUND($B161*KarliyukNakitKarliikOrani,0)</f>
        <v/>
      </c>
      <c r="E161" s="120">
        <f>$B161-$C161-$D161</f>
        <v/>
      </c>
      <c r="F161" s="118">
        <f>KarsilikAyBasiKasa+SUM($E$6:E161)</f>
        <v/>
      </c>
      <c r="G161" s="120">
        <f>IF($F161&lt;KarsilikNakitEsigi,"EVET","HAYIR")</f>
        <v/>
      </c>
    </row>
    <row r="162" ht="15" customHeight="1" s="68">
      <c r="D162" s="120">
        <f>ROUND($B162*KarliyukNakitKarliikOrani,0)</f>
        <v/>
      </c>
      <c r="E162" s="120">
        <f>$B162-$C162-$D162</f>
        <v/>
      </c>
      <c r="F162" s="118">
        <f>KarsilikAyBasiKasa+SUM($E$6:E162)</f>
        <v/>
      </c>
      <c r="G162" s="120">
        <f>IF($F162&lt;KarsilikNakitEsigi,"EVET","HAYIR")</f>
        <v/>
      </c>
    </row>
    <row r="163" ht="15" customHeight="1" s="68">
      <c r="D163" s="120">
        <f>ROUND($B163*KarliyukNakitKarliikOrani,0)</f>
        <v/>
      </c>
      <c r="E163" s="120">
        <f>$B163-$C163-$D163</f>
        <v/>
      </c>
      <c r="F163" s="118">
        <f>KarsilikAyBasiKasa+SUM($E$6:E163)</f>
        <v/>
      </c>
      <c r="G163" s="120">
        <f>IF($F163&lt;KarsilikNakitEsigi,"EVET","HAYIR")</f>
        <v/>
      </c>
    </row>
    <row r="164" ht="15" customHeight="1" s="68">
      <c r="D164" s="120">
        <f>ROUND($B164*KarliyukNakitKarliikOrani,0)</f>
        <v/>
      </c>
      <c r="E164" s="120">
        <f>$B164-$C164-$D164</f>
        <v/>
      </c>
      <c r="F164" s="118">
        <f>KarsilikAyBasiKasa+SUM($E$6:E164)</f>
        <v/>
      </c>
      <c r="G164" s="120">
        <f>IF($F164&lt;KarsilikNakitEsigi,"EVET","HAYIR")</f>
        <v/>
      </c>
    </row>
    <row r="165" ht="15" customHeight="1" s="68">
      <c r="D165" s="120">
        <f>ROUND($B165*KarliyukNakitKarliikOrani,0)</f>
        <v/>
      </c>
      <c r="E165" s="120">
        <f>$B165-$C165-$D165</f>
        <v/>
      </c>
      <c r="F165" s="118">
        <f>KarsilikAyBasiKasa+SUM($E$6:E165)</f>
        <v/>
      </c>
      <c r="G165" s="120">
        <f>IF($F165&lt;KarsilikNakitEsigi,"EVET","HAYIR")</f>
        <v/>
      </c>
    </row>
    <row r="166" ht="15" customHeight="1" s="68">
      <c r="D166" s="120">
        <f>ROUND($B166*KarliyukNakitKarliikOrani,0)</f>
        <v/>
      </c>
      <c r="E166" s="120">
        <f>$B166-$C166-$D166</f>
        <v/>
      </c>
      <c r="F166" s="118">
        <f>KarsilikAyBasiKasa+SUM($E$6:E166)</f>
        <v/>
      </c>
      <c r="G166" s="120">
        <f>IF($F166&lt;KarsilikNakitEsigi,"EVET","HAYIR")</f>
        <v/>
      </c>
    </row>
    <row r="167" ht="15" customHeight="1" s="68">
      <c r="D167" s="120">
        <f>ROUND($B167*KarliyukNakitKarliikOrani,0)</f>
        <v/>
      </c>
      <c r="E167" s="120">
        <f>$B167-$C167-$D167</f>
        <v/>
      </c>
      <c r="F167" s="118">
        <f>KarsilikAyBasiKasa+SUM($E$6:E167)</f>
        <v/>
      </c>
      <c r="G167" s="120">
        <f>IF($F167&lt;KarsilikNakitEsigi,"EVET","HAYIR")</f>
        <v/>
      </c>
    </row>
    <row r="168" ht="15" customHeight="1" s="68">
      <c r="D168" s="120">
        <f>ROUND($B168*KarliyukNakitKarliikOrani,0)</f>
        <v/>
      </c>
      <c r="E168" s="120">
        <f>$B168-$C168-$D168</f>
        <v/>
      </c>
      <c r="F168" s="118">
        <f>KarsilikAyBasiKasa+SUM($E$6:E168)</f>
        <v/>
      </c>
      <c r="G168" s="120">
        <f>IF($F168&lt;KarsilikNakitEsigi,"EVET","HAYIR")</f>
        <v/>
      </c>
    </row>
    <row r="169" ht="15" customHeight="1" s="68">
      <c r="D169" s="120">
        <f>ROUND($B169*KarliyukNakitKarliikOrani,0)</f>
        <v/>
      </c>
      <c r="E169" s="120">
        <f>$B169-$C169-$D169</f>
        <v/>
      </c>
      <c r="F169" s="118">
        <f>KarsilikAyBasiKasa+SUM($E$6:E169)</f>
        <v/>
      </c>
      <c r="G169" s="120">
        <f>IF($F169&lt;KarsilikNakitEsigi,"EVET","HAYIR")</f>
        <v/>
      </c>
    </row>
    <row r="170" ht="15" customHeight="1" s="68">
      <c r="D170" s="120">
        <f>ROUND($B170*KarliyukNakitKarliikOrani,0)</f>
        <v/>
      </c>
      <c r="E170" s="120">
        <f>$B170-$C170-$D170</f>
        <v/>
      </c>
      <c r="F170" s="118">
        <f>KarsilikAyBasiKasa+SUM($E$6:E170)</f>
        <v/>
      </c>
      <c r="G170" s="120">
        <f>IF($F170&lt;KarsilikNakitEsigi,"EVET","HAYIR")</f>
        <v/>
      </c>
    </row>
    <row r="171" ht="15" customHeight="1" s="68">
      <c r="D171" s="120">
        <f>ROUND($B171*KarliyukNakitKarliikOrani,0)</f>
        <v/>
      </c>
      <c r="E171" s="120">
        <f>$B171-$C171-$D171</f>
        <v/>
      </c>
      <c r="F171" s="118">
        <f>KarsilikAyBasiKasa+SUM($E$6:E171)</f>
        <v/>
      </c>
      <c r="G171" s="120">
        <f>IF($F171&lt;KarsilikNakitEsigi,"EVET","HAYIR")</f>
        <v/>
      </c>
    </row>
    <row r="172" ht="15" customHeight="1" s="68">
      <c r="D172" s="120">
        <f>ROUND($B172*KarliyukNakitKarliikOrani,0)</f>
        <v/>
      </c>
      <c r="E172" s="120">
        <f>$B172-$C172-$D172</f>
        <v/>
      </c>
      <c r="F172" s="118">
        <f>KarsilikAyBasiKasa+SUM($E$6:E172)</f>
        <v/>
      </c>
      <c r="G172" s="120">
        <f>IF($F172&lt;KarsilikNakitEsigi,"EVET","HAYIR")</f>
        <v/>
      </c>
    </row>
    <row r="173" ht="15" customHeight="1" s="68">
      <c r="D173" s="120">
        <f>ROUND($B173*KarliyukNakitKarliikOrani,0)</f>
        <v/>
      </c>
      <c r="E173" s="120">
        <f>$B173-$C173-$D173</f>
        <v/>
      </c>
      <c r="F173" s="118">
        <f>KarsilikAyBasiKasa+SUM($E$6:E173)</f>
        <v/>
      </c>
      <c r="G173" s="120">
        <f>IF($F173&lt;KarsilikNakitEsigi,"EVET","HAYIR")</f>
        <v/>
      </c>
    </row>
    <row r="174" ht="15" customHeight="1" s="68">
      <c r="D174" s="120">
        <f>ROUND($B174*KarliyukNakitKarliikOrani,0)</f>
        <v/>
      </c>
      <c r="E174" s="120">
        <f>$B174-$C174-$D174</f>
        <v/>
      </c>
      <c r="F174" s="118">
        <f>KarsilikAyBasiKasa+SUM($E$6:E174)</f>
        <v/>
      </c>
      <c r="G174" s="120">
        <f>IF($F174&lt;KarsilikNakitEsigi,"EVET","HAYIR")</f>
        <v/>
      </c>
    </row>
    <row r="175" ht="15" customHeight="1" s="68">
      <c r="D175" s="120">
        <f>ROUND($B175*KarliyukNakitKarliikOrani,0)</f>
        <v/>
      </c>
      <c r="E175" s="120">
        <f>$B175-$C175-$D175</f>
        <v/>
      </c>
      <c r="F175" s="118">
        <f>KarsilikAyBasiKasa+SUM($E$6:E175)</f>
        <v/>
      </c>
      <c r="G175" s="120">
        <f>IF($F175&lt;KarsilikNakitEsigi,"EVET","HAYIR")</f>
        <v/>
      </c>
    </row>
    <row r="176" ht="15" customHeight="1" s="68">
      <c r="D176" s="120">
        <f>ROUND($B176*KarliyukNakitKarliikOrani,0)</f>
        <v/>
      </c>
      <c r="E176" s="120">
        <f>$B176-$C176-$D176</f>
        <v/>
      </c>
      <c r="F176" s="118">
        <f>KarsilikAyBasiKasa+SUM($E$6:E176)</f>
        <v/>
      </c>
      <c r="G176" s="120">
        <f>IF($F176&lt;KarsilikNakitEsigi,"EVET","HAYIR")</f>
        <v/>
      </c>
    </row>
    <row r="177" ht="15" customHeight="1" s="68">
      <c r="D177" s="120">
        <f>ROUND($B177*KarliyukNakitKarliikOrani,0)</f>
        <v/>
      </c>
      <c r="E177" s="120">
        <f>$B177-$C177-$D177</f>
        <v/>
      </c>
      <c r="F177" s="118">
        <f>KarsilikAyBasiKasa+SUM($E$6:E177)</f>
        <v/>
      </c>
      <c r="G177" s="120">
        <f>IF($F177&lt;KarsilikNakitEsigi,"EVET","HAYIR")</f>
        <v/>
      </c>
    </row>
    <row r="178" ht="15" customHeight="1" s="68">
      <c r="D178" s="120">
        <f>ROUND($B178*KarliyukNakitKarliikOrani,0)</f>
        <v/>
      </c>
      <c r="E178" s="120">
        <f>$B178-$C178-$D178</f>
        <v/>
      </c>
      <c r="F178" s="118">
        <f>KarsilikAyBasiKasa+SUM($E$6:E178)</f>
        <v/>
      </c>
      <c r="G178" s="120">
        <f>IF($F178&lt;KarsilikNakitEsigi,"EVET","HAYIR")</f>
        <v/>
      </c>
    </row>
    <row r="179" ht="15" customHeight="1" s="68">
      <c r="D179" s="120">
        <f>ROUND($B179*KarliyukNakitKarliikOrani,0)</f>
        <v/>
      </c>
      <c r="E179" s="120">
        <f>$B179-$C179-$D179</f>
        <v/>
      </c>
      <c r="F179" s="118">
        <f>KarsilikAyBasiKasa+SUM($E$6:E179)</f>
        <v/>
      </c>
      <c r="G179" s="120">
        <f>IF($F179&lt;KarsilikNakitEsigi,"EVET","HAYIR")</f>
        <v/>
      </c>
    </row>
    <row r="180" ht="15" customHeight="1" s="68">
      <c r="D180" s="120">
        <f>ROUND($B180*KarliyukNakitKarliikOrani,0)</f>
        <v/>
      </c>
      <c r="E180" s="120">
        <f>$B180-$C180-$D180</f>
        <v/>
      </c>
      <c r="F180" s="118">
        <f>KarsilikAyBasiKasa+SUM($E$6:E180)</f>
        <v/>
      </c>
      <c r="G180" s="120">
        <f>IF($F180&lt;KarsilikNakitEsigi,"EVET","HAYIR")</f>
        <v/>
      </c>
    </row>
    <row r="181" ht="15" customHeight="1" s="68">
      <c r="D181" s="120">
        <f>ROUND($B181*KarliyukNakitKarliikOrani,0)</f>
        <v/>
      </c>
      <c r="E181" s="120">
        <f>$B181-$C181-$D181</f>
        <v/>
      </c>
      <c r="F181" s="118">
        <f>KarsilikAyBasiKasa+SUM($E$6:E181)</f>
        <v/>
      </c>
      <c r="G181" s="120">
        <f>IF($F181&lt;KarsilikNakitEsigi,"EVET","HAYIR")</f>
        <v/>
      </c>
    </row>
    <row r="182" ht="15" customHeight="1" s="68">
      <c r="D182" s="120">
        <f>ROUND($B182*KarliyukNakitKarliikOrani,0)</f>
        <v/>
      </c>
      <c r="E182" s="120">
        <f>$B182-$C182-$D182</f>
        <v/>
      </c>
      <c r="F182" s="118">
        <f>KarsilikAyBasiKasa+SUM($E$6:E182)</f>
        <v/>
      </c>
      <c r="G182" s="120">
        <f>IF($F182&lt;KarsilikNakitEsigi,"EVET","HAYIR")</f>
        <v/>
      </c>
    </row>
    <row r="183" ht="15" customHeight="1" s="68">
      <c r="D183" s="120">
        <f>ROUND($B183*KarliyukNakitKarliikOrani,0)</f>
        <v/>
      </c>
      <c r="E183" s="120">
        <f>$B183-$C183-$D183</f>
        <v/>
      </c>
      <c r="F183" s="118">
        <f>KarsilikAyBasiKasa+SUM($E$6:E183)</f>
        <v/>
      </c>
      <c r="G183" s="120">
        <f>IF($F183&lt;KarsilikNakitEsigi,"EVET","HAYIR")</f>
        <v/>
      </c>
    </row>
    <row r="184" ht="15" customHeight="1" s="68">
      <c r="D184" s="120">
        <f>ROUND($B184*KarliyukNakitKarliikOrani,0)</f>
        <v/>
      </c>
      <c r="E184" s="120">
        <f>$B184-$C184-$D184</f>
        <v/>
      </c>
      <c r="F184" s="118">
        <f>KarsilikAyBasiKasa+SUM($E$6:E184)</f>
        <v/>
      </c>
      <c r="G184" s="120">
        <f>IF($F184&lt;KarsilikNakitEsigi,"EVET","HAYIR")</f>
        <v/>
      </c>
    </row>
    <row r="185" ht="15" customHeight="1" s="68">
      <c r="D185" s="120">
        <f>ROUND($B185*KarliyukNakitKarliikOrani,0)</f>
        <v/>
      </c>
      <c r="E185" s="120">
        <f>$B185-$C185-$D185</f>
        <v/>
      </c>
      <c r="F185" s="118">
        <f>KarsilikAyBasiKasa+SUM($E$6:E185)</f>
        <v/>
      </c>
      <c r="G185" s="120">
        <f>IF($F185&lt;KarsilikNakitEsigi,"EVET","HAYIR")</f>
        <v/>
      </c>
    </row>
    <row r="186" ht="15" customHeight="1" s="68">
      <c r="D186" s="120">
        <f>ROUND($B186*KarliyukNakitKarliikOrani,0)</f>
        <v/>
      </c>
      <c r="E186" s="120">
        <f>$B186-$C186-$D186</f>
        <v/>
      </c>
      <c r="F186" s="118">
        <f>KarsilikAyBasiKasa+SUM($E$6:E186)</f>
        <v/>
      </c>
      <c r="G186" s="120">
        <f>IF($F186&lt;KarsilikNakitEsigi,"EVET","HAYIR")</f>
        <v/>
      </c>
    </row>
    <row r="187" ht="15" customHeight="1" s="68">
      <c r="D187" s="120">
        <f>ROUND($B187*KarliyukNakitKarliikOrani,0)</f>
        <v/>
      </c>
      <c r="E187" s="120">
        <f>$B187-$C187-$D187</f>
        <v/>
      </c>
      <c r="F187" s="118">
        <f>KarsilikAyBasiKasa+SUM($E$6:E187)</f>
        <v/>
      </c>
      <c r="G187" s="120">
        <f>IF($F187&lt;KarsilikNakitEsigi,"EVET","HAYIR")</f>
        <v/>
      </c>
    </row>
    <row r="188" ht="15" customHeight="1" s="68">
      <c r="D188" s="120">
        <f>ROUND($B188*KarliyukNakitKarliikOrani,0)</f>
        <v/>
      </c>
      <c r="E188" s="120">
        <f>$B188-$C188-$D188</f>
        <v/>
      </c>
      <c r="F188" s="118">
        <f>KarsilikAyBasiKasa+SUM($E$6:E188)</f>
        <v/>
      </c>
      <c r="G188" s="120">
        <f>IF($F188&lt;KarsilikNakitEsigi,"EVET","HAYIR")</f>
        <v/>
      </c>
    </row>
    <row r="189" ht="15" customHeight="1" s="68">
      <c r="D189" s="120">
        <f>ROUND($B189*KarliyukNakitKarliikOrani,0)</f>
        <v/>
      </c>
      <c r="E189" s="120">
        <f>$B189-$C189-$D189</f>
        <v/>
      </c>
      <c r="F189" s="118">
        <f>KarsilikAyBasiKasa+SUM($E$6:E189)</f>
        <v/>
      </c>
      <c r="G189" s="120">
        <f>IF($F189&lt;KarsilikNakitEsigi,"EVET","HAYIR")</f>
        <v/>
      </c>
    </row>
    <row r="190" ht="15" customHeight="1" s="68">
      <c r="D190" s="120">
        <f>ROUND($B190*KarliyukNakitKarliikOrani,0)</f>
        <v/>
      </c>
      <c r="E190" s="120">
        <f>$B190-$C190-$D190</f>
        <v/>
      </c>
      <c r="F190" s="118">
        <f>KarsilikAyBasiKasa+SUM($E$6:E190)</f>
        <v/>
      </c>
      <c r="G190" s="120">
        <f>IF($F190&lt;KarsilikNakitEsigi,"EVET","HAYIR")</f>
        <v/>
      </c>
    </row>
    <row r="191" ht="15" customHeight="1" s="68">
      <c r="D191" s="120">
        <f>ROUND($B191*KarliyukNakitKarliikOrani,0)</f>
        <v/>
      </c>
      <c r="E191" s="120">
        <f>$B191-$C191-$D191</f>
        <v/>
      </c>
      <c r="F191" s="118">
        <f>KarsilikAyBasiKasa+SUM($E$6:E191)</f>
        <v/>
      </c>
      <c r="G191" s="120">
        <f>IF($F191&lt;KarsilikNakitEsigi,"EVET","HAYIR")</f>
        <v/>
      </c>
    </row>
    <row r="192" ht="15" customHeight="1" s="68">
      <c r="D192" s="120">
        <f>ROUND($B192*KarliyukNakitKarliikOrani,0)</f>
        <v/>
      </c>
      <c r="E192" s="120">
        <f>$B192-$C192-$D192</f>
        <v/>
      </c>
      <c r="F192" s="118">
        <f>KarsilikAyBasiKasa+SUM($E$6:E192)</f>
        <v/>
      </c>
      <c r="G192" s="120">
        <f>IF($F192&lt;KarsilikNakitEsigi,"EVET","HAYIR")</f>
        <v/>
      </c>
    </row>
    <row r="193" ht="15" customHeight="1" s="68">
      <c r="D193" s="120">
        <f>ROUND($B193*KarliyukNakitKarliikOrani,0)</f>
        <v/>
      </c>
      <c r="E193" s="120">
        <f>$B193-$C193-$D193</f>
        <v/>
      </c>
      <c r="F193" s="118">
        <f>KarsilikAyBasiKasa+SUM($E$6:E193)</f>
        <v/>
      </c>
      <c r="G193" s="120">
        <f>IF($F193&lt;KarsilikNakitEsigi,"EVET","HAYIR")</f>
        <v/>
      </c>
    </row>
    <row r="194" ht="15" customHeight="1" s="68">
      <c r="D194" s="120">
        <f>ROUND($B194*KarliyukNakitKarliikOrani,0)</f>
        <v/>
      </c>
      <c r="E194" s="120">
        <f>$B194-$C194-$D194</f>
        <v/>
      </c>
      <c r="F194" s="118">
        <f>KarsilikAyBasiKasa+SUM($E$6:E194)</f>
        <v/>
      </c>
      <c r="G194" s="120">
        <f>IF($F194&lt;KarsilikNakitEsigi,"EVET","HAYIR")</f>
        <v/>
      </c>
    </row>
    <row r="195" ht="15" customHeight="1" s="68">
      <c r="D195" s="120">
        <f>ROUND($B195*KarliyukNakitKarliikOrani,0)</f>
        <v/>
      </c>
      <c r="E195" s="120">
        <f>$B195-$C195-$D195</f>
        <v/>
      </c>
      <c r="F195" s="118">
        <f>KarsilikAyBasiKasa+SUM($E$6:E195)</f>
        <v/>
      </c>
      <c r="G195" s="120">
        <f>IF($F195&lt;KarsilikNakitEsigi,"EVET","HAYIR")</f>
        <v/>
      </c>
    </row>
    <row r="196" ht="15" customHeight="1" s="68">
      <c r="D196" s="120">
        <f>ROUND($B196*KarliyukNakitKarliikOrani,0)</f>
        <v/>
      </c>
      <c r="E196" s="120">
        <f>$B196-$C196-$D196</f>
        <v/>
      </c>
      <c r="F196" s="118">
        <f>KarsilikAyBasiKasa+SUM($E$6:E196)</f>
        <v/>
      </c>
      <c r="G196" s="120">
        <f>IF($F196&lt;KarsilikNakitEsigi,"EVET","HAYIR")</f>
        <v/>
      </c>
    </row>
    <row r="197" ht="15" customHeight="1" s="68">
      <c r="D197" s="120">
        <f>ROUND($B197*KarliyukNakitKarliikOrani,0)</f>
        <v/>
      </c>
      <c r="E197" s="120">
        <f>$B197-$C197-$D197</f>
        <v/>
      </c>
      <c r="F197" s="118">
        <f>KarsilikAyBasiKasa+SUM($E$6:E197)</f>
        <v/>
      </c>
      <c r="G197" s="120">
        <f>IF($F197&lt;KarsilikNakitEsigi,"EVET","HAYIR")</f>
        <v/>
      </c>
    </row>
    <row r="198" ht="15" customHeight="1" s="68">
      <c r="D198" s="120">
        <f>ROUND($B198*KarliyukNakitKarliikOrani,0)</f>
        <v/>
      </c>
      <c r="E198" s="120">
        <f>$B198-$C198-$D198</f>
        <v/>
      </c>
      <c r="F198" s="118">
        <f>KarsilikAyBasiKasa+SUM($E$6:E198)</f>
        <v/>
      </c>
      <c r="G198" s="120">
        <f>IF($F198&lt;KarsilikNakitEsigi,"EVET","HAYIR")</f>
        <v/>
      </c>
    </row>
    <row r="199" ht="15" customHeight="1" s="68">
      <c r="D199" s="120">
        <f>ROUND($B199*KarliyukNakitKarliikOrani,0)</f>
        <v/>
      </c>
      <c r="E199" s="120">
        <f>$B199-$C199-$D199</f>
        <v/>
      </c>
      <c r="F199" s="118">
        <f>KarsilikAyBasiKasa+SUM($E$6:E199)</f>
        <v/>
      </c>
      <c r="G199" s="120">
        <f>IF($F199&lt;KarsilikNakitEsigi,"EVET","HAYIR")</f>
        <v/>
      </c>
    </row>
    <row r="200" ht="15" customHeight="1" s="68">
      <c r="D200" s="120">
        <f>ROUND($B200*KarliyukNakitKarliikOrani,0)</f>
        <v/>
      </c>
      <c r="E200" s="120">
        <f>$B200-$C200-$D200</f>
        <v/>
      </c>
      <c r="F200" s="118">
        <f>KarsilikAyBasiKasa+SUM($E$6:E200)</f>
        <v/>
      </c>
      <c r="G200" s="120">
        <f>IF($F200&lt;KarsilikNakitEsigi,"EVET","HAYIR")</f>
        <v/>
      </c>
    </row>
    <row r="201" ht="15" customHeight="1" s="68">
      <c r="D201" s="120">
        <f>ROUND($B201*KarliyukNakitKarliikOrani,0)</f>
        <v/>
      </c>
      <c r="E201" s="120">
        <f>$B201-$C201-$D201</f>
        <v/>
      </c>
      <c r="F201" s="118">
        <f>KarsilikAyBasiKasa+SUM($E$6:E201)</f>
        <v/>
      </c>
      <c r="G201" s="120">
        <f>IF($F201&lt;KarsilikNakitEsigi,"EVET","HAYIR")</f>
        <v/>
      </c>
    </row>
    <row r="202" ht="15" customHeight="1" s="68">
      <c r="D202" s="120">
        <f>ROUND($B202*KarliyukNakitKarliikOrani,0)</f>
        <v/>
      </c>
      <c r="E202" s="120">
        <f>$B202-$C202-$D202</f>
        <v/>
      </c>
      <c r="F202" s="118">
        <f>KarsilikAyBasiKasa+SUM($E$6:E202)</f>
        <v/>
      </c>
      <c r="G202" s="120">
        <f>IF($F202&lt;KarsilikNakitEsigi,"EVET","HAYIR")</f>
        <v/>
      </c>
    </row>
    <row r="203" ht="15" customHeight="1" s="68">
      <c r="D203" s="120">
        <f>ROUND($B203*KarliyukNakitKarliikOrani,0)</f>
        <v/>
      </c>
      <c r="E203" s="120">
        <f>$B203-$C203-$D203</f>
        <v/>
      </c>
      <c r="F203" s="118">
        <f>KarsilikAyBasiKasa+SUM($E$6:E203)</f>
        <v/>
      </c>
      <c r="G203" s="120">
        <f>IF($F203&lt;KarsilikNakitEsigi,"EVET","HAYIR")</f>
        <v/>
      </c>
    </row>
    <row r="204" ht="15" customHeight="1" s="68">
      <c r="D204" s="120">
        <f>ROUND($B204*KarliyukNakitKarliikOrani,0)</f>
        <v/>
      </c>
      <c r="E204" s="120">
        <f>$B204-$C204-$D204</f>
        <v/>
      </c>
      <c r="F204" s="118">
        <f>KarsilikAyBasiKasa+SUM($E$6:E204)</f>
        <v/>
      </c>
      <c r="G204" s="120">
        <f>IF($F204&lt;KarsilikNakitEsigi,"EVET","HAYIR")</f>
        <v/>
      </c>
    </row>
    <row r="205" ht="15" customHeight="1" s="68">
      <c r="D205" s="120">
        <f>ROUND($B205*KarliyukNakitKarliikOrani,0)</f>
        <v/>
      </c>
      <c r="E205" s="120">
        <f>$B205-$C205-$D205</f>
        <v/>
      </c>
      <c r="F205" s="118">
        <f>KarsilikAyBasiKasa+SUM($E$6:E205)</f>
        <v/>
      </c>
      <c r="G205" s="120">
        <f>IF($F205&lt;KarsilikNakitEsigi,"EVET","HAYIR")</f>
        <v/>
      </c>
    </row>
    <row r="206" ht="15" customHeight="1" s="68">
      <c r="D206" s="120">
        <f>ROUND($B206*KarliyukNakitKarliikOrani,0)</f>
        <v/>
      </c>
      <c r="E206" s="120">
        <f>$B206-$C206-$D206</f>
        <v/>
      </c>
      <c r="F206" s="118">
        <f>KarsilikAyBasiKasa+SUM($E$6:E206)</f>
        <v/>
      </c>
      <c r="G206" s="120">
        <f>IF($F206&lt;KarsilikNakitEsigi,"EVET","HAYIR")</f>
        <v/>
      </c>
    </row>
    <row r="207" ht="15" customHeight="1" s="68">
      <c r="D207" s="120">
        <f>ROUND($B207*KarliyukNakitKarliikOrani,0)</f>
        <v/>
      </c>
      <c r="E207" s="120">
        <f>$B207-$C207-$D207</f>
        <v/>
      </c>
      <c r="F207" s="118">
        <f>KarsilikAyBasiKasa+SUM($E$6:E207)</f>
        <v/>
      </c>
      <c r="G207" s="120">
        <f>IF($F207&lt;KarsilikNakitEsigi,"EVET","HAYIR")</f>
        <v/>
      </c>
    </row>
    <row r="208" ht="15" customHeight="1" s="68">
      <c r="D208" s="120">
        <f>ROUND($B208*KarliyukNakitKarliikOrani,0)</f>
        <v/>
      </c>
      <c r="E208" s="120">
        <f>$B208-$C208-$D208</f>
        <v/>
      </c>
      <c r="F208" s="118">
        <f>KarsilikAyBasiKasa+SUM($E$6:E208)</f>
        <v/>
      </c>
      <c r="G208" s="120">
        <f>IF($F208&lt;KarsilikNakitEsigi,"EVET","HAYIR")</f>
        <v/>
      </c>
    </row>
    <row r="209" ht="15" customHeight="1" s="68">
      <c r="D209" s="120">
        <f>ROUND($B209*KarliyukNakitKarliikOrani,0)</f>
        <v/>
      </c>
      <c r="E209" s="120">
        <f>$B209-$C209-$D209</f>
        <v/>
      </c>
      <c r="F209" s="118">
        <f>KarsilikAyBasiKasa+SUM($E$6:E209)</f>
        <v/>
      </c>
      <c r="G209" s="120">
        <f>IF($F209&lt;KarsilikNakitEsigi,"EVET","HAYIR")</f>
        <v/>
      </c>
    </row>
    <row r="210" ht="15" customHeight="1" s="68">
      <c r="D210" s="120">
        <f>ROUND($B210*KarliyukNakitKarliikOrani,0)</f>
        <v/>
      </c>
      <c r="E210" s="120">
        <f>$B210-$C210-$D210</f>
        <v/>
      </c>
      <c r="F210" s="118">
        <f>KarsilikAyBasiKasa+SUM($E$6:E210)</f>
        <v/>
      </c>
      <c r="G210" s="120">
        <f>IF($F210&lt;KarsilikNakitEsigi,"EVET","HAYIR")</f>
        <v/>
      </c>
    </row>
    <row r="211" ht="15" customHeight="1" s="68">
      <c r="D211" s="120">
        <f>ROUND($B211*KarliyukNakitKarliikOrani,0)</f>
        <v/>
      </c>
      <c r="E211" s="120">
        <f>$B211-$C211-$D211</f>
        <v/>
      </c>
      <c r="F211" s="118">
        <f>KarsilikAyBasiKasa+SUM($E$6:E211)</f>
        <v/>
      </c>
      <c r="G211" s="120">
        <f>IF($F211&lt;KarsilikNakitEsigi,"EVET","HAYIR")</f>
        <v/>
      </c>
    </row>
    <row r="212" ht="15" customHeight="1" s="68">
      <c r="D212" s="120">
        <f>ROUND($B212*KarliyukNakitKarliikOrani,0)</f>
        <v/>
      </c>
      <c r="E212" s="120">
        <f>$B212-$C212-$D212</f>
        <v/>
      </c>
      <c r="F212" s="118">
        <f>KarsilikAyBasiKasa+SUM($E$6:E212)</f>
        <v/>
      </c>
      <c r="G212" s="120">
        <f>IF($F212&lt;KarsilikNakitEsigi,"EVET","HAYIR")</f>
        <v/>
      </c>
    </row>
    <row r="213" ht="15" customHeight="1" s="68">
      <c r="D213" s="120">
        <f>ROUND($B213*KarliyukNakitKarliikOrani,0)</f>
        <v/>
      </c>
      <c r="E213" s="120">
        <f>$B213-$C213-$D213</f>
        <v/>
      </c>
      <c r="F213" s="118">
        <f>KarsilikAyBasiKasa+SUM($E$6:E213)</f>
        <v/>
      </c>
      <c r="G213" s="120">
        <f>IF($F213&lt;KarsilikNakitEsigi,"EVET","HAYIR")</f>
        <v/>
      </c>
    </row>
    <row r="214" ht="15" customHeight="1" s="68">
      <c r="D214" s="120">
        <f>ROUND($B214*KarliyukNakitKarliikOrani,0)</f>
        <v/>
      </c>
      <c r="E214" s="120">
        <f>$B214-$C214-$D214</f>
        <v/>
      </c>
      <c r="F214" s="118">
        <f>KarsilikAyBasiKasa+SUM($E$6:E214)</f>
        <v/>
      </c>
      <c r="G214" s="120">
        <f>IF($F214&lt;KarsilikNakitEsigi,"EVET","HAYIR")</f>
        <v/>
      </c>
    </row>
    <row r="215" ht="15" customHeight="1" s="68">
      <c r="D215" s="120">
        <f>ROUND($B215*KarliyukNakitKarliikOrani,0)</f>
        <v/>
      </c>
      <c r="E215" s="120">
        <f>$B215-$C215-$D215</f>
        <v/>
      </c>
      <c r="F215" s="118">
        <f>KarsilikAyBasiKasa+SUM($E$6:E215)</f>
        <v/>
      </c>
      <c r="G215" s="120">
        <f>IF($F215&lt;KarsilikNakitEsigi,"EVET","HAYIR")</f>
        <v/>
      </c>
    </row>
    <row r="216" ht="15" customHeight="1" s="68">
      <c r="D216" s="120">
        <f>ROUND($B216*KarliyukNakitKarliikOrani,0)</f>
        <v/>
      </c>
      <c r="E216" s="120">
        <f>$B216-$C216-$D216</f>
        <v/>
      </c>
      <c r="F216" s="118">
        <f>KarsilikAyBasiKasa+SUM($E$6:E216)</f>
        <v/>
      </c>
      <c r="G216" s="120">
        <f>IF($F216&lt;KarsilikNakitEsigi,"EVET","HAYIR")</f>
        <v/>
      </c>
    </row>
    <row r="217" ht="15" customHeight="1" s="68">
      <c r="D217" s="120">
        <f>ROUND($B217*KarliyukNakitKarliikOrani,0)</f>
        <v/>
      </c>
      <c r="E217" s="120">
        <f>$B217-$C217-$D217</f>
        <v/>
      </c>
      <c r="F217" s="118">
        <f>KarsilikAyBasiKasa+SUM($E$6:E217)</f>
        <v/>
      </c>
      <c r="G217" s="120">
        <f>IF($F217&lt;KarsilikNakitEsigi,"EVET","HAYIR")</f>
        <v/>
      </c>
    </row>
    <row r="218" ht="15" customHeight="1" s="68">
      <c r="D218" s="120">
        <f>ROUND($B218*KarliyukNakitKarliikOrani,0)</f>
        <v/>
      </c>
      <c r="E218" s="120">
        <f>$B218-$C218-$D218</f>
        <v/>
      </c>
      <c r="F218" s="118">
        <f>KarsilikAyBasiKasa+SUM($E$6:E218)</f>
        <v/>
      </c>
      <c r="G218" s="120">
        <f>IF($F218&lt;KarsilikNakitEsigi,"EVET","HAYIR")</f>
        <v/>
      </c>
    </row>
    <row r="219" ht="15" customHeight="1" s="68">
      <c r="D219" s="120">
        <f>ROUND($B219*KarliyukNakitKarliikOrani,0)</f>
        <v/>
      </c>
      <c r="E219" s="120">
        <f>$B219-$C219-$D219</f>
        <v/>
      </c>
      <c r="F219" s="118">
        <f>KarsilikAyBasiKasa+SUM($E$6:E219)</f>
        <v/>
      </c>
      <c r="G219" s="120">
        <f>IF($F219&lt;KarsilikNakitEsigi,"EVET","HAYIR")</f>
        <v/>
      </c>
    </row>
    <row r="220" ht="15" customHeight="1" s="68">
      <c r="D220" s="120">
        <f>ROUND($B220*KarliyukNakitKarliikOrani,0)</f>
        <v/>
      </c>
      <c r="E220" s="120">
        <f>$B220-$C220-$D220</f>
        <v/>
      </c>
      <c r="F220" s="118">
        <f>KarsilikAyBasiKasa+SUM($E$6:E220)</f>
        <v/>
      </c>
      <c r="G220" s="120">
        <f>IF($F220&lt;KarsilikNakitEsigi,"EVET","HAYIR")</f>
        <v/>
      </c>
    </row>
    <row r="221" ht="15" customHeight="1" s="68">
      <c r="D221" s="120">
        <f>ROUND($B221*KarliyukNakitKarliikOrani,0)</f>
        <v/>
      </c>
      <c r="E221" s="120">
        <f>$B221-$C221-$D221</f>
        <v/>
      </c>
      <c r="F221" s="118">
        <f>KarsilikAyBasiKasa+SUM($E$6:E221)</f>
        <v/>
      </c>
      <c r="G221" s="120">
        <f>IF($F221&lt;KarsilikNakitEsigi,"EVET","HAYIR")</f>
        <v/>
      </c>
    </row>
    <row r="222" ht="15" customHeight="1" s="68">
      <c r="D222" s="120">
        <f>ROUND($B222*KarliyukNakitKarliikOrani,0)</f>
        <v/>
      </c>
      <c r="E222" s="120">
        <f>$B222-$C222-$D222</f>
        <v/>
      </c>
      <c r="F222" s="118">
        <f>KarsilikAyBasiKasa+SUM($E$6:E222)</f>
        <v/>
      </c>
      <c r="G222" s="120">
        <f>IF($F222&lt;KarsilikNakitEsigi,"EVET","HAYIR")</f>
        <v/>
      </c>
    </row>
    <row r="223" ht="15" customHeight="1" s="68">
      <c r="D223" s="120">
        <f>ROUND($B223*KarliyukNakitKarliikOrani,0)</f>
        <v/>
      </c>
      <c r="E223" s="120">
        <f>$B223-$C223-$D223</f>
        <v/>
      </c>
      <c r="F223" s="118">
        <f>KarsilikAyBasiKasa+SUM($E$6:E223)</f>
        <v/>
      </c>
      <c r="G223" s="120">
        <f>IF($F223&lt;KarsilikNakitEsigi,"EVET","HAYIR")</f>
        <v/>
      </c>
    </row>
    <row r="224" ht="15" customHeight="1" s="68">
      <c r="D224" s="120">
        <f>ROUND($B224*KarliyukNakitKarliikOrani,0)</f>
        <v/>
      </c>
      <c r="E224" s="120">
        <f>$B224-$C224-$D224</f>
        <v/>
      </c>
      <c r="F224" s="118">
        <f>KarsilikAyBasiKasa+SUM($E$6:E224)</f>
        <v/>
      </c>
      <c r="G224" s="120">
        <f>IF($F224&lt;KarsilikNakitEsigi,"EVET","HAYIR")</f>
        <v/>
      </c>
    </row>
    <row r="225" ht="15" customHeight="1" s="68">
      <c r="D225" s="120">
        <f>ROUND($B225*KarliyukNakitKarliikOrani,0)</f>
        <v/>
      </c>
      <c r="E225" s="120">
        <f>$B225-$C225-$D225</f>
        <v/>
      </c>
      <c r="F225" s="118">
        <f>KarsilikAyBasiKasa+SUM($E$6:E225)</f>
        <v/>
      </c>
      <c r="G225" s="120">
        <f>IF($F225&lt;KarsilikNakitEsigi,"EVET","HAYIR")</f>
        <v/>
      </c>
    </row>
    <row r="226" ht="15" customHeight="1" s="68">
      <c r="D226" s="120">
        <f>ROUND($B226*KarliyukNakitKarliikOrani,0)</f>
        <v/>
      </c>
      <c r="E226" s="120">
        <f>$B226-$C226-$D226</f>
        <v/>
      </c>
      <c r="F226" s="118">
        <f>KarsilikAyBasiKasa+SUM($E$6:E226)</f>
        <v/>
      </c>
      <c r="G226" s="120">
        <f>IF($F226&lt;KarsilikNakitEsigi,"EVET","HAYIR")</f>
        <v/>
      </c>
    </row>
    <row r="227" ht="15" customHeight="1" s="68">
      <c r="D227" s="120">
        <f>ROUND($B227*KarliyukNakitKarliikOrani,0)</f>
        <v/>
      </c>
      <c r="E227" s="120">
        <f>$B227-$C227-$D227</f>
        <v/>
      </c>
      <c r="F227" s="118">
        <f>KarsilikAyBasiKasa+SUM($E$6:E227)</f>
        <v/>
      </c>
      <c r="G227" s="120">
        <f>IF($F227&lt;KarsilikNakitEsigi,"EVET","HAYIR")</f>
        <v/>
      </c>
    </row>
    <row r="228" ht="15" customHeight="1" s="68">
      <c r="D228" s="120">
        <f>ROUND($B228*KarliyukNakitKarliikOrani,0)</f>
        <v/>
      </c>
      <c r="E228" s="120">
        <f>$B228-$C228-$D228</f>
        <v/>
      </c>
      <c r="F228" s="118">
        <f>KarsilikAyBasiKasa+SUM($E$6:E228)</f>
        <v/>
      </c>
      <c r="G228" s="120">
        <f>IF($F228&lt;KarsilikNakitEsigi,"EVET","HAYIR")</f>
        <v/>
      </c>
    </row>
    <row r="229" ht="15" customHeight="1" s="68">
      <c r="D229" s="120">
        <f>ROUND($B229*KarliyukNakitKarliikOrani,0)</f>
        <v/>
      </c>
      <c r="E229" s="120">
        <f>$B229-$C229-$D229</f>
        <v/>
      </c>
      <c r="F229" s="118">
        <f>KarsilikAyBasiKasa+SUM($E$6:E229)</f>
        <v/>
      </c>
      <c r="G229" s="120">
        <f>IF($F229&lt;KarsilikNakitEsigi,"EVET","HAYIR")</f>
        <v/>
      </c>
    </row>
    <row r="230" ht="15" customHeight="1" s="68">
      <c r="D230" s="120">
        <f>ROUND($B230*KarliyukNakitKarliikOrani,0)</f>
        <v/>
      </c>
      <c r="E230" s="120">
        <f>$B230-$C230-$D230</f>
        <v/>
      </c>
      <c r="F230" s="118">
        <f>KarsilikAyBasiKasa+SUM($E$6:E230)</f>
        <v/>
      </c>
      <c r="G230" s="120">
        <f>IF($F230&lt;KarsilikNakitEsigi,"EVET","HAYIR")</f>
        <v/>
      </c>
    </row>
    <row r="231" ht="15" customHeight="1" s="68">
      <c r="D231" s="120">
        <f>ROUND($B231*KarliyukNakitKarliikOrani,0)</f>
        <v/>
      </c>
      <c r="E231" s="120">
        <f>$B231-$C231-$D231</f>
        <v/>
      </c>
      <c r="F231" s="118">
        <f>KarsilikAyBasiKasa+SUM($E$6:E231)</f>
        <v/>
      </c>
      <c r="G231" s="120">
        <f>IF($F231&lt;KarsilikNakitEsigi,"EVET","HAYIR")</f>
        <v/>
      </c>
    </row>
    <row r="232" ht="15" customHeight="1" s="68">
      <c r="D232" s="120">
        <f>ROUND($B232*KarliyukNakitKarliikOrani,0)</f>
        <v/>
      </c>
      <c r="E232" s="120">
        <f>$B232-$C232-$D232</f>
        <v/>
      </c>
      <c r="F232" s="118">
        <f>KarsilikAyBasiKasa+SUM($E$6:E232)</f>
        <v/>
      </c>
      <c r="G232" s="120">
        <f>IF($F232&lt;KarsilikNakitEsigi,"EVET","HAYIR")</f>
        <v/>
      </c>
    </row>
    <row r="233" ht="15" customHeight="1" s="68">
      <c r="D233" s="120">
        <f>ROUND($B233*KarliyukNakitKarliikOrani,0)</f>
        <v/>
      </c>
      <c r="E233" s="120">
        <f>$B233-$C233-$D233</f>
        <v/>
      </c>
      <c r="F233" s="118">
        <f>KarsilikAyBasiKasa+SUM($E$6:E233)</f>
        <v/>
      </c>
      <c r="G233" s="120">
        <f>IF($F233&lt;KarsilikNakitEsigi,"EVET","HAYIR")</f>
        <v/>
      </c>
    </row>
    <row r="234" ht="15" customHeight="1" s="68">
      <c r="D234" s="120">
        <f>ROUND($B234*KarliyukNakitKarliikOrani,0)</f>
        <v/>
      </c>
      <c r="E234" s="120">
        <f>$B234-$C234-$D234</f>
        <v/>
      </c>
      <c r="F234" s="118">
        <f>KarsilikAyBasiKasa+SUM($E$6:E234)</f>
        <v/>
      </c>
      <c r="G234" s="120">
        <f>IF($F234&lt;KarsilikNakitEsigi,"EVET","HAYIR")</f>
        <v/>
      </c>
    </row>
    <row r="235" ht="15" customHeight="1" s="68">
      <c r="D235" s="120">
        <f>ROUND($B235*KarliyukNakitKarliikOrani,0)</f>
        <v/>
      </c>
      <c r="E235" s="120">
        <f>$B235-$C235-$D235</f>
        <v/>
      </c>
      <c r="F235" s="118">
        <f>KarsilikAyBasiKasa+SUM($E$6:E235)</f>
        <v/>
      </c>
      <c r="G235" s="120">
        <f>IF($F235&lt;KarsilikNakitEsigi,"EVET","HAYIR")</f>
        <v/>
      </c>
    </row>
    <row r="236" ht="15" customHeight="1" s="68">
      <c r="D236" s="120">
        <f>ROUND($B236*KarliyukNakitKarliikOrani,0)</f>
        <v/>
      </c>
      <c r="E236" s="120">
        <f>$B236-$C236-$D236</f>
        <v/>
      </c>
      <c r="F236" s="118">
        <f>KarsilikAyBasiKasa+SUM($E$6:E236)</f>
        <v/>
      </c>
      <c r="G236" s="120">
        <f>IF($F236&lt;KarsilikNakitEsigi,"EVET","HAYIR")</f>
        <v/>
      </c>
    </row>
    <row r="237" ht="15" customHeight="1" s="68">
      <c r="D237" s="120">
        <f>ROUND($B237*KarliyukNakitKarliikOrani,0)</f>
        <v/>
      </c>
      <c r="E237" s="120">
        <f>$B237-$C237-$D237</f>
        <v/>
      </c>
      <c r="F237" s="118">
        <f>KarsilikAyBasiKasa+SUM($E$6:E237)</f>
        <v/>
      </c>
      <c r="G237" s="120">
        <f>IF($F237&lt;KarsilikNakitEsigi,"EVET","HAYIR")</f>
        <v/>
      </c>
    </row>
    <row r="238" ht="15" customHeight="1" s="68">
      <c r="D238" s="120">
        <f>ROUND($B238*KarliyukNakitKarliikOrani,0)</f>
        <v/>
      </c>
      <c r="E238" s="120">
        <f>$B238-$C238-$D238</f>
        <v/>
      </c>
      <c r="F238" s="118">
        <f>KarsilikAyBasiKasa+SUM($E$6:E238)</f>
        <v/>
      </c>
      <c r="G238" s="120">
        <f>IF($F238&lt;KarsilikNakitEsigi,"EVET","HAYIR")</f>
        <v/>
      </c>
    </row>
    <row r="239" ht="15" customHeight="1" s="68">
      <c r="D239" s="120">
        <f>ROUND($B239*KarliyukNakitKarliikOrani,0)</f>
        <v/>
      </c>
      <c r="E239" s="120">
        <f>$B239-$C239-$D239</f>
        <v/>
      </c>
      <c r="F239" s="118">
        <f>KarsilikAyBasiKasa+SUM($E$6:E239)</f>
        <v/>
      </c>
      <c r="G239" s="120">
        <f>IF($F239&lt;KarsilikNakitEsigi,"EVET","HAYIR")</f>
        <v/>
      </c>
    </row>
    <row r="240" ht="15" customHeight="1" s="68">
      <c r="D240" s="120">
        <f>ROUND($B240*KarliyukNakitKarliikOrani,0)</f>
        <v/>
      </c>
      <c r="E240" s="120">
        <f>$B240-$C240-$D240</f>
        <v/>
      </c>
      <c r="F240" s="118">
        <f>KarsilikAyBasiKasa+SUM($E$6:E240)</f>
        <v/>
      </c>
      <c r="G240" s="120">
        <f>IF($F240&lt;KarsilikNakitEsigi,"EVET","HAYIR")</f>
        <v/>
      </c>
    </row>
    <row r="241" ht="15" customHeight="1" s="68">
      <c r="D241" s="120">
        <f>ROUND($B241*KarliyukNakitKarliikOrani,0)</f>
        <v/>
      </c>
      <c r="E241" s="120">
        <f>$B241-$C241-$D241</f>
        <v/>
      </c>
      <c r="F241" s="118">
        <f>KarsilikAyBasiKasa+SUM($E$6:E241)</f>
        <v/>
      </c>
      <c r="G241" s="120">
        <f>IF($F241&lt;KarsilikNakitEsigi,"EVET","HAYIR")</f>
        <v/>
      </c>
    </row>
    <row r="242" ht="15" customHeight="1" s="68">
      <c r="D242" s="120">
        <f>ROUND($B242*KarliyukNakitKarliikOrani,0)</f>
        <v/>
      </c>
      <c r="E242" s="120">
        <f>$B242-$C242-$D242</f>
        <v/>
      </c>
      <c r="F242" s="118">
        <f>KarsilikAyBasiKasa+SUM($E$6:E242)</f>
        <v/>
      </c>
      <c r="G242" s="120">
        <f>IF($F242&lt;KarsilikNakitEsigi,"EVET","HAYIR")</f>
        <v/>
      </c>
    </row>
    <row r="243" ht="15" customHeight="1" s="68">
      <c r="D243" s="120">
        <f>ROUND($B243*KarliyukNakitKarliikOrani,0)</f>
        <v/>
      </c>
      <c r="E243" s="120">
        <f>$B243-$C243-$D243</f>
        <v/>
      </c>
      <c r="F243" s="118">
        <f>KarsilikAyBasiKasa+SUM($E$6:E243)</f>
        <v/>
      </c>
      <c r="G243" s="120">
        <f>IF($F243&lt;KarsilikNakitEsigi,"EVET","HAYIR")</f>
        <v/>
      </c>
    </row>
    <row r="244" ht="15" customHeight="1" s="68">
      <c r="D244" s="120">
        <f>ROUND($B244*KarliyukNakitKarliikOrani,0)</f>
        <v/>
      </c>
      <c r="E244" s="120">
        <f>$B244-$C244-$D244</f>
        <v/>
      </c>
      <c r="F244" s="118">
        <f>KarsilikAyBasiKasa+SUM($E$6:E244)</f>
        <v/>
      </c>
      <c r="G244" s="120">
        <f>IF($F244&lt;KarsilikNakitEsigi,"EVET","HAYIR")</f>
        <v/>
      </c>
    </row>
    <row r="245" ht="15" customHeight="1" s="68">
      <c r="D245" s="120">
        <f>ROUND($B245*KarliyukNakitKarliikOrani,0)</f>
        <v/>
      </c>
      <c r="E245" s="120">
        <f>$B245-$C245-$D245</f>
        <v/>
      </c>
      <c r="F245" s="118">
        <f>KarsilikAyBasiKasa+SUM($E$6:E245)</f>
        <v/>
      </c>
      <c r="G245" s="120">
        <f>IF($F245&lt;KarsilikNakitEsigi,"EVET","HAYIR")</f>
        <v/>
      </c>
    </row>
    <row r="246" ht="15" customHeight="1" s="68">
      <c r="D246" s="120">
        <f>ROUND($B246*KarliyukNakitKarliikOrani,0)</f>
        <v/>
      </c>
      <c r="E246" s="120">
        <f>$B246-$C246-$D246</f>
        <v/>
      </c>
      <c r="F246" s="118">
        <f>KarsilikAyBasiKasa+SUM($E$6:E246)</f>
        <v/>
      </c>
      <c r="G246" s="120">
        <f>IF($F246&lt;KarsilikNakitEsigi,"EVET","HAYIR")</f>
        <v/>
      </c>
    </row>
    <row r="247" ht="15" customHeight="1" s="68">
      <c r="D247" s="120">
        <f>ROUND($B247*KarliyukNakitKarliikOrani,0)</f>
        <v/>
      </c>
      <c r="E247" s="120">
        <f>$B247-$C247-$D247</f>
        <v/>
      </c>
      <c r="F247" s="118">
        <f>KarsilikAyBasiKasa+SUM($E$6:E247)</f>
        <v/>
      </c>
      <c r="G247" s="120">
        <f>IF($F247&lt;KarsilikNakitEsigi,"EVET","HAYIR")</f>
        <v/>
      </c>
    </row>
    <row r="248" ht="15" customHeight="1" s="68">
      <c r="D248" s="120">
        <f>ROUND($B248*KarliyukNakitKarliikOrani,0)</f>
        <v/>
      </c>
      <c r="E248" s="120">
        <f>$B248-$C248-$D248</f>
        <v/>
      </c>
      <c r="F248" s="118">
        <f>KarsilikAyBasiKasa+SUM($E$6:E248)</f>
        <v/>
      </c>
      <c r="G248" s="120">
        <f>IF($F248&lt;KarsilikNakitEsigi,"EVET","HAYIR")</f>
        <v/>
      </c>
    </row>
    <row r="249" ht="15" customHeight="1" s="68">
      <c r="D249" s="120">
        <f>ROUND($B249*KarliyukNakitKarliikOrani,0)</f>
        <v/>
      </c>
      <c r="E249" s="120">
        <f>$B249-$C249-$D249</f>
        <v/>
      </c>
      <c r="F249" s="118">
        <f>KarsilikAyBasiKasa+SUM($E$6:E249)</f>
        <v/>
      </c>
      <c r="G249" s="120">
        <f>IF($F249&lt;KarsilikNakitEsigi,"EVET","HAYIR")</f>
        <v/>
      </c>
    </row>
    <row r="250" ht="15" customHeight="1" s="68">
      <c r="D250" s="120">
        <f>ROUND($B250*KarliyukNakitKarliikOrani,0)</f>
        <v/>
      </c>
      <c r="E250" s="120">
        <f>$B250-$C250-$D250</f>
        <v/>
      </c>
      <c r="F250" s="118">
        <f>KarsilikAyBasiKasa+SUM($E$6:E250)</f>
        <v/>
      </c>
      <c r="G250" s="120">
        <f>IF($F250&lt;KarsilikNakitEsigi,"EVET","HAYIR")</f>
        <v/>
      </c>
    </row>
    <row r="251" ht="15" customHeight="1" s="68">
      <c r="D251" s="120">
        <f>ROUND($B251*KarliyukNakitKarliikOrani,0)</f>
        <v/>
      </c>
      <c r="E251" s="120">
        <f>$B251-$C251-$D251</f>
        <v/>
      </c>
      <c r="F251" s="118">
        <f>KarsilikAyBasiKasa+SUM($E$6:E251)</f>
        <v/>
      </c>
      <c r="G251" s="120">
        <f>IF($F251&lt;KarsilikNakitEsigi,"EVET","HAYIR")</f>
        <v/>
      </c>
    </row>
    <row r="252" ht="15" customHeight="1" s="68">
      <c r="D252" s="120">
        <f>ROUND($B252*KarliyukNakitKarliikOrani,0)</f>
        <v/>
      </c>
      <c r="E252" s="120">
        <f>$B252-$C252-$D252</f>
        <v/>
      </c>
      <c r="F252" s="118">
        <f>KarsilikAyBasiKasa+SUM($E$6:E252)</f>
        <v/>
      </c>
      <c r="G252" s="120">
        <f>IF($F252&lt;KarsilikNakitEsigi,"EVET","HAYIR")</f>
        <v/>
      </c>
    </row>
    <row r="253" ht="15" customHeight="1" s="68">
      <c r="D253" s="120">
        <f>ROUND($B253*KarliyukNakitKarliikOrani,0)</f>
        <v/>
      </c>
      <c r="E253" s="120">
        <f>$B253-$C253-$D253</f>
        <v/>
      </c>
      <c r="F253" s="118">
        <f>KarsilikAyBasiKasa+SUM($E$6:E253)</f>
        <v/>
      </c>
      <c r="G253" s="120">
        <f>IF($F253&lt;KarsilikNakitEsigi,"EVET","HAYIR")</f>
        <v/>
      </c>
    </row>
    <row r="254" ht="15" customHeight="1" s="68">
      <c r="D254" s="120">
        <f>ROUND($B254*KarliyukNakitKarliikOrani,0)</f>
        <v/>
      </c>
      <c r="E254" s="120">
        <f>$B254-$C254-$D254</f>
        <v/>
      </c>
      <c r="F254" s="118">
        <f>KarsilikAyBasiKasa+SUM($E$6:E254)</f>
        <v/>
      </c>
      <c r="G254" s="120">
        <f>IF($F254&lt;KarsilikNakitEsigi,"EVET","HAYIR")</f>
        <v/>
      </c>
    </row>
    <row r="255" ht="15" customHeight="1" s="68">
      <c r="D255" s="120">
        <f>ROUND($B255*KarliyukNakitKarliikOrani,0)</f>
        <v/>
      </c>
      <c r="E255" s="120">
        <f>$B255-$C255-$D255</f>
        <v/>
      </c>
      <c r="F255" s="118">
        <f>KarsilikAyBasiKasa+SUM($E$6:E255)</f>
        <v/>
      </c>
      <c r="G255" s="120">
        <f>IF($F255&lt;KarsilikNakitEsigi,"EVET","HAYIR")</f>
        <v/>
      </c>
    </row>
    <row r="256" ht="15" customHeight="1" s="68">
      <c r="D256" s="120">
        <f>ROUND($B256*KarliyukNakitKarliikOrani,0)</f>
        <v/>
      </c>
      <c r="E256" s="120">
        <f>$B256-$C256-$D256</f>
        <v/>
      </c>
      <c r="F256" s="118">
        <f>KarsilikAyBasiKasa+SUM($E$6:E256)</f>
        <v/>
      </c>
      <c r="G256" s="120">
        <f>IF($F256&lt;KarsilikNakitEsigi,"EVET","HAYIR")</f>
        <v/>
      </c>
    </row>
    <row r="257" ht="15" customHeight="1" s="68">
      <c r="D257" s="120">
        <f>ROUND($B257*KarliyukNakitKarliikOrani,0)</f>
        <v/>
      </c>
      <c r="E257" s="120">
        <f>$B257-$C257-$D257</f>
        <v/>
      </c>
      <c r="F257" s="118">
        <f>KarsilikAyBasiKasa+SUM($E$6:E257)</f>
        <v/>
      </c>
      <c r="G257" s="120">
        <f>IF($F257&lt;KarsilikNakitEsigi,"EVET","HAYIR")</f>
        <v/>
      </c>
    </row>
    <row r="258" ht="15" customHeight="1" s="68">
      <c r="D258" s="120">
        <f>ROUND($B258*KarliyukNakitKarliikOrani,0)</f>
        <v/>
      </c>
      <c r="E258" s="120">
        <f>$B258-$C258-$D258</f>
        <v/>
      </c>
      <c r="F258" s="118">
        <f>KarsilikAyBasiKasa+SUM($E$6:E258)</f>
        <v/>
      </c>
      <c r="G258" s="120">
        <f>IF($F258&lt;KarsilikNakitEsigi,"EVET","HAYIR")</f>
        <v/>
      </c>
    </row>
    <row r="259" ht="15" customHeight="1" s="68">
      <c r="D259" s="120">
        <f>ROUND($B259*KarliyukNakitKarliikOrani,0)</f>
        <v/>
      </c>
      <c r="E259" s="120">
        <f>$B259-$C259-$D259</f>
        <v/>
      </c>
      <c r="F259" s="118">
        <f>KarsilikAyBasiKasa+SUM($E$6:E259)</f>
        <v/>
      </c>
      <c r="G259" s="120">
        <f>IF($F259&lt;KarsilikNakitEsigi,"EVET","HAYIR")</f>
        <v/>
      </c>
    </row>
    <row r="260" ht="15" customHeight="1" s="68">
      <c r="D260" s="120">
        <f>ROUND($B260*KarliyukNakitKarliikOrani,0)</f>
        <v/>
      </c>
      <c r="E260" s="120">
        <f>$B260-$C260-$D260</f>
        <v/>
      </c>
      <c r="F260" s="118">
        <f>KarsilikAyBasiKasa+SUM($E$6:E260)</f>
        <v/>
      </c>
      <c r="G260" s="120">
        <f>IF($F260&lt;KarsilikNakitEsigi,"EVET","HAYIR")</f>
        <v/>
      </c>
    </row>
    <row r="261" ht="15" customHeight="1" s="68">
      <c r="D261" s="120">
        <f>ROUND($B261*KarliyukNakitKarliikOrani,0)</f>
        <v/>
      </c>
      <c r="E261" s="120">
        <f>$B261-$C261-$D261</f>
        <v/>
      </c>
      <c r="F261" s="118">
        <f>KarsilikAyBasiKasa+SUM($E$6:E261)</f>
        <v/>
      </c>
      <c r="G261" s="120">
        <f>IF($F261&lt;KarsilikNakitEsigi,"EVET","HAYIR")</f>
        <v/>
      </c>
    </row>
    <row r="262" ht="15" customHeight="1" s="68">
      <c r="D262" s="120">
        <f>ROUND($B262*KarliyukNakitKarliikOrani,0)</f>
        <v/>
      </c>
      <c r="E262" s="120">
        <f>$B262-$C262-$D262</f>
        <v/>
      </c>
      <c r="F262" s="118">
        <f>KarsilikAyBasiKasa+SUM($E$6:E262)</f>
        <v/>
      </c>
      <c r="G262" s="120">
        <f>IF($F262&lt;KarsilikNakitEsigi,"EVET","HAYIR")</f>
        <v/>
      </c>
    </row>
    <row r="263" ht="15" customHeight="1" s="68">
      <c r="D263" s="120">
        <f>ROUND($B263*KarliyukNakitKarliikOrani,0)</f>
        <v/>
      </c>
      <c r="E263" s="120">
        <f>$B263-$C263-$D263</f>
        <v/>
      </c>
      <c r="F263" s="118">
        <f>KarsilikAyBasiKasa+SUM($E$6:E263)</f>
        <v/>
      </c>
      <c r="G263" s="120">
        <f>IF($F263&lt;KarsilikNakitEsigi,"EVET","HAYIR")</f>
        <v/>
      </c>
    </row>
    <row r="264" ht="15" customHeight="1" s="68">
      <c r="D264" s="120">
        <f>ROUND($B264*KarliyukNakitKarliikOrani,0)</f>
        <v/>
      </c>
      <c r="E264" s="120">
        <f>$B264-$C264-$D264</f>
        <v/>
      </c>
      <c r="F264" s="118">
        <f>KarsilikAyBasiKasa+SUM($E$6:E264)</f>
        <v/>
      </c>
      <c r="G264" s="120">
        <f>IF($F264&lt;KarsilikNakitEsigi,"EVET","HAYIR")</f>
        <v/>
      </c>
    </row>
    <row r="265" ht="15" customHeight="1" s="68">
      <c r="D265" s="120">
        <f>ROUND($B265*KarliyukNakitKarliikOrani,0)</f>
        <v/>
      </c>
      <c r="E265" s="120">
        <f>$B265-$C265-$D265</f>
        <v/>
      </c>
      <c r="F265" s="118">
        <f>KarsilikAyBasiKasa+SUM($E$6:E265)</f>
        <v/>
      </c>
      <c r="G265" s="120">
        <f>IF($F265&lt;KarsilikNakitEsigi,"EVET","HAYIR")</f>
        <v/>
      </c>
    </row>
    <row r="266" ht="15" customHeight="1" s="68">
      <c r="D266" s="120">
        <f>ROUND($B266*KarliyukNakitKarliikOrani,0)</f>
        <v/>
      </c>
      <c r="E266" s="120">
        <f>$B266-$C266-$D266</f>
        <v/>
      </c>
      <c r="F266" s="118">
        <f>KarsilikAyBasiKasa+SUM($E$6:E266)</f>
        <v/>
      </c>
      <c r="G266" s="120">
        <f>IF($F266&lt;KarsilikNakitEsigi,"EVET","HAYIR")</f>
        <v/>
      </c>
    </row>
    <row r="267" ht="15" customHeight="1" s="68">
      <c r="D267" s="120">
        <f>ROUND($B267*KarliyukNakitKarliikOrani,0)</f>
        <v/>
      </c>
      <c r="E267" s="120">
        <f>$B267-$C267-$D267</f>
        <v/>
      </c>
      <c r="F267" s="118">
        <f>KarsilikAyBasiKasa+SUM($E$6:E267)</f>
        <v/>
      </c>
      <c r="G267" s="120">
        <f>IF($F267&lt;KarsilikNakitEsigi,"EVET","HAYIR")</f>
        <v/>
      </c>
    </row>
    <row r="268" ht="15" customHeight="1" s="68">
      <c r="D268" s="120">
        <f>ROUND($B268*KarliyukNakitKarliikOrani,0)</f>
        <v/>
      </c>
      <c r="E268" s="120">
        <f>$B268-$C268-$D268</f>
        <v/>
      </c>
      <c r="F268" s="118">
        <f>KarsilikAyBasiKasa+SUM($E$6:E268)</f>
        <v/>
      </c>
      <c r="G268" s="120">
        <f>IF($F268&lt;KarsilikNakitEsigi,"EVET","HAYIR")</f>
        <v/>
      </c>
    </row>
    <row r="269" ht="15" customHeight="1" s="68">
      <c r="D269" s="120">
        <f>ROUND($B269*KarliyukNakitKarliikOrani,0)</f>
        <v/>
      </c>
      <c r="E269" s="120">
        <f>$B269-$C269-$D269</f>
        <v/>
      </c>
      <c r="F269" s="118">
        <f>KarsilikAyBasiKasa+SUM($E$6:E269)</f>
        <v/>
      </c>
      <c r="G269" s="120">
        <f>IF($F269&lt;KarsilikNakitEsigi,"EVET","HAYIR")</f>
        <v/>
      </c>
    </row>
    <row r="270" ht="15" customHeight="1" s="68">
      <c r="D270" s="120">
        <f>ROUND($B270*KarliyukNakitKarliikOrani,0)</f>
        <v/>
      </c>
      <c r="E270" s="120">
        <f>$B270-$C270-$D270</f>
        <v/>
      </c>
      <c r="F270" s="118">
        <f>KarsilikAyBasiKasa+SUM($E$6:E270)</f>
        <v/>
      </c>
      <c r="G270" s="120">
        <f>IF($F270&lt;KarsilikNakitEsigi,"EVET","HAYIR")</f>
        <v/>
      </c>
    </row>
    <row r="271" ht="15" customHeight="1" s="68">
      <c r="D271" s="120">
        <f>ROUND($B271*KarliyukNakitKarliikOrani,0)</f>
        <v/>
      </c>
      <c r="E271" s="120">
        <f>$B271-$C271-$D271</f>
        <v/>
      </c>
      <c r="F271" s="118">
        <f>KarsilikAyBasiKasa+SUM($E$6:E271)</f>
        <v/>
      </c>
      <c r="G271" s="120">
        <f>IF($F271&lt;KarsilikNakitEsigi,"EVET","HAYIR")</f>
        <v/>
      </c>
    </row>
    <row r="272" ht="15" customHeight="1" s="68">
      <c r="D272" s="120">
        <f>ROUND($B272*KarliyukNakitKarliikOrani,0)</f>
        <v/>
      </c>
      <c r="E272" s="120">
        <f>$B272-$C272-$D272</f>
        <v/>
      </c>
      <c r="F272" s="118">
        <f>KarsilikAyBasiKasa+SUM($E$6:E272)</f>
        <v/>
      </c>
      <c r="G272" s="120">
        <f>IF($F272&lt;KarsilikNakitEsigi,"EVET","HAYIR")</f>
        <v/>
      </c>
    </row>
    <row r="273" ht="15" customHeight="1" s="68">
      <c r="D273" s="120">
        <f>ROUND($B273*KarliyukNakitKarliikOrani,0)</f>
        <v/>
      </c>
      <c r="E273" s="120">
        <f>$B273-$C273-$D273</f>
        <v/>
      </c>
      <c r="F273" s="118">
        <f>KarsilikAyBasiKasa+SUM($E$6:E273)</f>
        <v/>
      </c>
      <c r="G273" s="120">
        <f>IF($F273&lt;KarsilikNakitEsigi,"EVET","HAYIR")</f>
        <v/>
      </c>
    </row>
    <row r="274" ht="15" customHeight="1" s="68">
      <c r="D274" s="120">
        <f>ROUND($B274*KarliyukNakitKarliikOrani,0)</f>
        <v/>
      </c>
      <c r="E274" s="120">
        <f>$B274-$C274-$D274</f>
        <v/>
      </c>
      <c r="F274" s="118">
        <f>KarsilikAyBasiKasa+SUM($E$6:E274)</f>
        <v/>
      </c>
      <c r="G274" s="120">
        <f>IF($F274&lt;KarsilikNakitEsigi,"EVET","HAYIR")</f>
        <v/>
      </c>
    </row>
    <row r="275" ht="15" customHeight="1" s="68">
      <c r="D275" s="120">
        <f>ROUND($B275*KarliyukNakitKarliikOrani,0)</f>
        <v/>
      </c>
      <c r="E275" s="120">
        <f>$B275-$C275-$D275</f>
        <v/>
      </c>
      <c r="F275" s="118">
        <f>KarsilikAyBasiKasa+SUM($E$6:E275)</f>
        <v/>
      </c>
      <c r="G275" s="120">
        <f>IF($F275&lt;KarsilikNakitEsigi,"EVET","HAYIR")</f>
        <v/>
      </c>
    </row>
    <row r="276" ht="15" customHeight="1" s="68">
      <c r="D276" s="120">
        <f>ROUND($B276*KarliyukNakitKarliikOrani,0)</f>
        <v/>
      </c>
      <c r="E276" s="120">
        <f>$B276-$C276-$D276</f>
        <v/>
      </c>
      <c r="F276" s="118">
        <f>KarsilikAyBasiKasa+SUM($E$6:E276)</f>
        <v/>
      </c>
      <c r="G276" s="120">
        <f>IF($F276&lt;KarsilikNakitEsigi,"EVET","HAYIR")</f>
        <v/>
      </c>
    </row>
    <row r="277" ht="15" customHeight="1" s="68">
      <c r="D277" s="120">
        <f>ROUND($B277*KarliyukNakitKarliikOrani,0)</f>
        <v/>
      </c>
      <c r="E277" s="120">
        <f>$B277-$C277-$D277</f>
        <v/>
      </c>
      <c r="F277" s="118">
        <f>KarsilikAyBasiKasa+SUM($E$6:E277)</f>
        <v/>
      </c>
      <c r="G277" s="120">
        <f>IF($F277&lt;KarsilikNakitEsigi,"EVET","HAYIR")</f>
        <v/>
      </c>
    </row>
    <row r="278" ht="15" customHeight="1" s="68">
      <c r="D278" s="120">
        <f>ROUND($B278*KarliyukNakitKarliikOrani,0)</f>
        <v/>
      </c>
      <c r="E278" s="120">
        <f>$B278-$C278-$D278</f>
        <v/>
      </c>
      <c r="F278" s="118">
        <f>KarsilikAyBasiKasa+SUM($E$6:E278)</f>
        <v/>
      </c>
      <c r="G278" s="120">
        <f>IF($F278&lt;KarsilikNakitEsigi,"EVET","HAYIR")</f>
        <v/>
      </c>
    </row>
    <row r="279" ht="15" customHeight="1" s="68">
      <c r="D279" s="120">
        <f>ROUND($B279*KarliyukNakitKarliikOrani,0)</f>
        <v/>
      </c>
      <c r="E279" s="120">
        <f>$B279-$C279-$D279</f>
        <v/>
      </c>
      <c r="F279" s="118">
        <f>KarsilikAyBasiKasa+SUM($E$6:E279)</f>
        <v/>
      </c>
      <c r="G279" s="120">
        <f>IF($F279&lt;KarsilikNakitEsigi,"EVET","HAYIR")</f>
        <v/>
      </c>
    </row>
    <row r="280" ht="15" customHeight="1" s="68">
      <c r="D280" s="120">
        <f>ROUND($B280*KarliyukNakitKarliikOrani,0)</f>
        <v/>
      </c>
      <c r="E280" s="120">
        <f>$B280-$C280-$D280</f>
        <v/>
      </c>
      <c r="F280" s="118">
        <f>KarsilikAyBasiKasa+SUM($E$6:E280)</f>
        <v/>
      </c>
      <c r="G280" s="120">
        <f>IF($F280&lt;KarsilikNakitEsigi,"EVET","HAYIR")</f>
        <v/>
      </c>
    </row>
    <row r="281" ht="15" customHeight="1" s="68">
      <c r="D281" s="120">
        <f>ROUND($B281*KarliyukNakitKarliikOrani,0)</f>
        <v/>
      </c>
      <c r="E281" s="120">
        <f>$B281-$C281-$D281</f>
        <v/>
      </c>
      <c r="F281" s="118">
        <f>KarsilikAyBasiKasa+SUM($E$6:E281)</f>
        <v/>
      </c>
      <c r="G281" s="120">
        <f>IF($F281&lt;KarsilikNakitEsigi,"EVET","HAYIR")</f>
        <v/>
      </c>
    </row>
    <row r="282" ht="15" customHeight="1" s="68">
      <c r="D282" s="120">
        <f>ROUND($B282*KarliyukNakitKarliikOrani,0)</f>
        <v/>
      </c>
      <c r="E282" s="120">
        <f>$B282-$C282-$D282</f>
        <v/>
      </c>
      <c r="F282" s="118">
        <f>KarsilikAyBasiKasa+SUM($E$6:E282)</f>
        <v/>
      </c>
      <c r="G282" s="120">
        <f>IF($F282&lt;KarsilikNakitEsigi,"EVET","HAYIR")</f>
        <v/>
      </c>
    </row>
    <row r="283" ht="15" customHeight="1" s="68">
      <c r="D283" s="120">
        <f>ROUND($B283*KarliyukNakitKarliikOrani,0)</f>
        <v/>
      </c>
      <c r="E283" s="120">
        <f>$B283-$C283-$D283</f>
        <v/>
      </c>
      <c r="F283" s="118">
        <f>KarsilikAyBasiKasa+SUM($E$6:E283)</f>
        <v/>
      </c>
      <c r="G283" s="120">
        <f>IF($F283&lt;KarsilikNakitEsigi,"EVET","HAYIR")</f>
        <v/>
      </c>
    </row>
    <row r="284" ht="15" customHeight="1" s="68">
      <c r="D284" s="120">
        <f>ROUND($B284*KarliyukNakitKarliikOrani,0)</f>
        <v/>
      </c>
      <c r="E284" s="120">
        <f>$B284-$C284-$D284</f>
        <v/>
      </c>
      <c r="F284" s="118">
        <f>KarsilikAyBasiKasa+SUM($E$6:E284)</f>
        <v/>
      </c>
      <c r="G284" s="120">
        <f>IF($F284&lt;KarsilikNakitEsigi,"EVET","HAYIR")</f>
        <v/>
      </c>
    </row>
    <row r="285" ht="15" customHeight="1" s="68">
      <c r="D285" s="120">
        <f>ROUND($B285*KarliyukNakitKarliikOrani,0)</f>
        <v/>
      </c>
      <c r="E285" s="120">
        <f>$B285-$C285-$D285</f>
        <v/>
      </c>
      <c r="F285" s="118">
        <f>KarsilikAyBasiKasa+SUM($E$6:E285)</f>
        <v/>
      </c>
      <c r="G285" s="120">
        <f>IF($F285&lt;KarsilikNakitEsigi,"EVET","HAYIR")</f>
        <v/>
      </c>
    </row>
    <row r="286" ht="15" customHeight="1" s="68">
      <c r="D286" s="120">
        <f>ROUND($B286*KarliyukNakitKarliikOrani,0)</f>
        <v/>
      </c>
      <c r="E286" s="120">
        <f>$B286-$C286-$D286</f>
        <v/>
      </c>
      <c r="F286" s="118">
        <f>KarsilikAyBasiKasa+SUM($E$6:E286)</f>
        <v/>
      </c>
      <c r="G286" s="120">
        <f>IF($F286&lt;KarsilikNakitEsigi,"EVET","HAYIR")</f>
        <v/>
      </c>
    </row>
    <row r="287" ht="15" customHeight="1" s="68">
      <c r="D287" s="120">
        <f>ROUND($B287*KarliyukNakitKarliikOrani,0)</f>
        <v/>
      </c>
      <c r="E287" s="120">
        <f>$B287-$C287-$D287</f>
        <v/>
      </c>
      <c r="F287" s="118">
        <f>KarsilikAyBasiKasa+SUM($E$6:E287)</f>
        <v/>
      </c>
      <c r="G287" s="120">
        <f>IF($F287&lt;KarsilikNakitEsigi,"EVET","HAYIR")</f>
        <v/>
      </c>
    </row>
    <row r="288" ht="15" customHeight="1" s="68">
      <c r="D288" s="120">
        <f>ROUND($B288*KarliyukNakitKarliikOrani,0)</f>
        <v/>
      </c>
      <c r="E288" s="120">
        <f>$B288-$C288-$D288</f>
        <v/>
      </c>
      <c r="F288" s="118">
        <f>KarsilikAyBasiKasa+SUM($E$6:E288)</f>
        <v/>
      </c>
      <c r="G288" s="120">
        <f>IF($F288&lt;KarsilikNakitEsigi,"EVET","HAYIR")</f>
        <v/>
      </c>
    </row>
    <row r="289" ht="15" customHeight="1" s="68">
      <c r="D289" s="120">
        <f>ROUND($B289*KarliyukNakitKarliikOrani,0)</f>
        <v/>
      </c>
      <c r="E289" s="120">
        <f>$B289-$C289-$D289</f>
        <v/>
      </c>
      <c r="F289" s="118">
        <f>KarsilikAyBasiKasa+SUM($E$6:E289)</f>
        <v/>
      </c>
      <c r="G289" s="120">
        <f>IF($F289&lt;KarsilikNakitEsigi,"EVET","HAYIR")</f>
        <v/>
      </c>
    </row>
    <row r="290" ht="15" customHeight="1" s="68">
      <c r="D290" s="120">
        <f>ROUND($B290*KarliyukNakitKarliikOrani,0)</f>
        <v/>
      </c>
      <c r="E290" s="120">
        <f>$B290-$C290-$D290</f>
        <v/>
      </c>
      <c r="F290" s="118">
        <f>KarsilikAyBasiKasa+SUM($E$6:E290)</f>
        <v/>
      </c>
      <c r="G290" s="120">
        <f>IF($F290&lt;KarsilikNakitEsigi,"EVET","HAYIR")</f>
        <v/>
      </c>
    </row>
    <row r="291" ht="15" customHeight="1" s="68">
      <c r="D291" s="120">
        <f>ROUND($B291*KarliyukNakitKarliikOrani,0)</f>
        <v/>
      </c>
      <c r="E291" s="120">
        <f>$B291-$C291-$D291</f>
        <v/>
      </c>
      <c r="F291" s="118">
        <f>KarsilikAyBasiKasa+SUM($E$6:E291)</f>
        <v/>
      </c>
      <c r="G291" s="120">
        <f>IF($F291&lt;KarsilikNakitEsigi,"EVET","HAYIR")</f>
        <v/>
      </c>
    </row>
    <row r="292" ht="15" customHeight="1" s="68">
      <c r="D292" s="120">
        <f>ROUND($B292*KarliyukNakitKarliikOrani,0)</f>
        <v/>
      </c>
      <c r="E292" s="120">
        <f>$B292-$C292-$D292</f>
        <v/>
      </c>
      <c r="F292" s="118">
        <f>KarsilikAyBasiKasa+SUM($E$6:E292)</f>
        <v/>
      </c>
      <c r="G292" s="120">
        <f>IF($F292&lt;KarsilikNakitEsigi,"EVET","HAYIR")</f>
        <v/>
      </c>
    </row>
    <row r="293" ht="15" customHeight="1" s="68">
      <c r="D293" s="120">
        <f>ROUND($B293*KarliyukNakitKarliikOrani,0)</f>
        <v/>
      </c>
      <c r="E293" s="120">
        <f>$B293-$C293-$D293</f>
        <v/>
      </c>
      <c r="F293" s="118">
        <f>KarsilikAyBasiKasa+SUM($E$6:E293)</f>
        <v/>
      </c>
      <c r="G293" s="120">
        <f>IF($F293&lt;KarsilikNakitEsigi,"EVET","HAYIR")</f>
        <v/>
      </c>
    </row>
    <row r="294" ht="15" customHeight="1" s="68">
      <c r="D294" s="120">
        <f>ROUND($B294*KarliyukNakitKarliikOrani,0)</f>
        <v/>
      </c>
      <c r="E294" s="120">
        <f>$B294-$C294-$D294</f>
        <v/>
      </c>
      <c r="F294" s="118">
        <f>KarsilikAyBasiKasa+SUM($E$6:E294)</f>
        <v/>
      </c>
      <c r="G294" s="120">
        <f>IF($F294&lt;KarsilikNakitEsigi,"EVET","HAYIR")</f>
        <v/>
      </c>
    </row>
    <row r="295" ht="15" customHeight="1" s="68">
      <c r="D295" s="120">
        <f>ROUND($B295*KarliyukNakitKarliikOrani,0)</f>
        <v/>
      </c>
      <c r="E295" s="120">
        <f>$B295-$C295-$D295</f>
        <v/>
      </c>
      <c r="F295" s="118">
        <f>KarsilikAyBasiKasa+SUM($E$6:E295)</f>
        <v/>
      </c>
      <c r="G295" s="120">
        <f>IF($F295&lt;KarsilikNakitEsigi,"EVET","HAYIR")</f>
        <v/>
      </c>
    </row>
    <row r="296" ht="15" customHeight="1" s="68">
      <c r="D296" s="120">
        <f>ROUND($B296*KarliyukNakitKarliikOrani,0)</f>
        <v/>
      </c>
      <c r="E296" s="120">
        <f>$B296-$C296-$D296</f>
        <v/>
      </c>
      <c r="F296" s="118">
        <f>KarsilikAyBasiKasa+SUM($E$6:E296)</f>
        <v/>
      </c>
      <c r="G296" s="120">
        <f>IF($F296&lt;KarsilikNakitEsigi,"EVET","HAYIR")</f>
        <v/>
      </c>
    </row>
    <row r="297" ht="15" customHeight="1" s="68">
      <c r="D297" s="120">
        <f>ROUND($B297*KarliyukNakitKarliikOrani,0)</f>
        <v/>
      </c>
      <c r="E297" s="120">
        <f>$B297-$C297-$D297</f>
        <v/>
      </c>
      <c r="F297" s="118">
        <f>KarsilikAyBasiKasa+SUM($E$6:E297)</f>
        <v/>
      </c>
      <c r="G297" s="120">
        <f>IF($F297&lt;KarsilikNakitEsigi,"EVET","HAYIR")</f>
        <v/>
      </c>
    </row>
    <row r="298" ht="15" customHeight="1" s="68">
      <c r="D298" s="120">
        <f>ROUND($B298*KarliyukNakitKarliikOrani,0)</f>
        <v/>
      </c>
      <c r="E298" s="120">
        <f>$B298-$C298-$D298</f>
        <v/>
      </c>
      <c r="F298" s="118">
        <f>KarsilikAyBasiKasa+SUM($E$6:E298)</f>
        <v/>
      </c>
      <c r="G298" s="120">
        <f>IF($F298&lt;KarsilikNakitEsigi,"EVET","HAYIR")</f>
        <v/>
      </c>
    </row>
    <row r="299" ht="15" customHeight="1" s="68">
      <c r="D299" s="120">
        <f>ROUND($B299*KarliyukNakitKarliikOrani,0)</f>
        <v/>
      </c>
      <c r="E299" s="120">
        <f>$B299-$C299-$D299</f>
        <v/>
      </c>
      <c r="F299" s="118">
        <f>KarsilikAyBasiKasa+SUM($E$6:E299)</f>
        <v/>
      </c>
      <c r="G299" s="120">
        <f>IF($F299&lt;KarsilikNakitEsigi,"EVET","HAYIR")</f>
        <v/>
      </c>
    </row>
    <row r="300" ht="15" customHeight="1" s="68">
      <c r="D300" s="120">
        <f>ROUND($B300*KarliyukNakitKarliikOrani,0)</f>
        <v/>
      </c>
      <c r="E300" s="120">
        <f>$B300-$C300-$D300</f>
        <v/>
      </c>
      <c r="F300" s="118">
        <f>KarsilikAyBasiKasa+SUM($E$6:E300)</f>
        <v/>
      </c>
      <c r="G300" s="120">
        <f>IF($F300&lt;KarsilikNakitEsigi,"EVET","HAYIR")</f>
        <v/>
      </c>
    </row>
    <row r="301" ht="15" customHeight="1" s="68">
      <c r="D301" s="120">
        <f>ROUND($B301*KarliyukNakitKarliikOrani,0)</f>
        <v/>
      </c>
      <c r="E301" s="120">
        <f>$B301-$C301-$D301</f>
        <v/>
      </c>
      <c r="F301" s="118">
        <f>KarsilikAyBasiKasa+SUM($E$6:E301)</f>
        <v/>
      </c>
      <c r="G301" s="120">
        <f>IF($F301&lt;KarsilikNakitEsigi,"EVET","HAYIR")</f>
        <v/>
      </c>
    </row>
    <row r="302" ht="15" customHeight="1" s="68">
      <c r="D302" s="120">
        <f>ROUND($B302*KarliyukNakitKarliikOrani,0)</f>
        <v/>
      </c>
      <c r="E302" s="120">
        <f>$B302-$C302-$D302</f>
        <v/>
      </c>
      <c r="F302" s="118">
        <f>KarsilikAyBasiKasa+SUM($E$6:E302)</f>
        <v/>
      </c>
      <c r="G302" s="120">
        <f>IF($F302&lt;KarsilikNakitEsigi,"EVET","HAYIR")</f>
        <v/>
      </c>
    </row>
    <row r="303" ht="15" customHeight="1" s="68">
      <c r="D303" s="120">
        <f>ROUND($B303*KarliyukNakitKarliikOrani,0)</f>
        <v/>
      </c>
      <c r="E303" s="120">
        <f>$B303-$C303-$D303</f>
        <v/>
      </c>
      <c r="F303" s="118">
        <f>KarsilikAyBasiKasa+SUM($E$6:E303)</f>
        <v/>
      </c>
      <c r="G303" s="120">
        <f>IF($F303&lt;KarsilikNakitEsigi,"EVET","HAYIR")</f>
        <v/>
      </c>
    </row>
    <row r="304" ht="15" customHeight="1" s="68">
      <c r="D304" s="120">
        <f>ROUND($B304*KarliyukNakitKarliikOrani,0)</f>
        <v/>
      </c>
      <c r="E304" s="120">
        <f>$B304-$C304-$D304</f>
        <v/>
      </c>
      <c r="F304" s="118">
        <f>KarsilikAyBasiKasa+SUM($E$6:E304)</f>
        <v/>
      </c>
      <c r="G304" s="120">
        <f>IF($F304&lt;KarsilikNakitEsigi,"EVET","HAYIR")</f>
        <v/>
      </c>
    </row>
    <row r="305" ht="15" customHeight="1" s="68">
      <c r="D305" s="120">
        <f>ROUND($B305*KarliyukNakitKarliikOrani,0)</f>
        <v/>
      </c>
      <c r="E305" s="120">
        <f>$B305-$C305-$D305</f>
        <v/>
      </c>
      <c r="F305" s="118">
        <f>KarsilikAyBasiKasa+SUM($E$6:E305)</f>
        <v/>
      </c>
      <c r="G305" s="120">
        <f>IF($F305&lt;KarsilikNakitEsigi,"EVET","HAYIR")</f>
        <v/>
      </c>
    </row>
    <row r="306" ht="15" customHeight="1" s="68">
      <c r="D306" s="120">
        <f>ROUND($B306*KarliyukNakitKarliikOrani,0)</f>
        <v/>
      </c>
      <c r="E306" s="120">
        <f>$B306-$C306-$D306</f>
        <v/>
      </c>
      <c r="F306" s="118">
        <f>KarsilikAyBasiKasa+SUM($E$6:E306)</f>
        <v/>
      </c>
      <c r="G306" s="120">
        <f>IF($F306&lt;KarsilikNakitEsigi,"EVET","HAYIR")</f>
        <v/>
      </c>
    </row>
    <row r="307" ht="15" customHeight="1" s="68">
      <c r="D307" s="120">
        <f>ROUND($B307*KarliyukNakitKarliikOrani,0)</f>
        <v/>
      </c>
      <c r="E307" s="120">
        <f>$B307-$C307-$D307</f>
        <v/>
      </c>
      <c r="F307" s="118">
        <f>KarsilikAyBasiKasa+SUM($E$6:E307)</f>
        <v/>
      </c>
      <c r="G307" s="120">
        <f>IF($F307&lt;KarsilikNakitEsigi,"EVET","HAYIR")</f>
        <v/>
      </c>
    </row>
    <row r="308" ht="15" customHeight="1" s="68">
      <c r="D308" s="120">
        <f>ROUND($B308*KarliyukNakitKarliikOrani,0)</f>
        <v/>
      </c>
      <c r="E308" s="120">
        <f>$B308-$C308-$D308</f>
        <v/>
      </c>
      <c r="F308" s="118">
        <f>KarsilikAyBasiKasa+SUM($E$6:E308)</f>
        <v/>
      </c>
      <c r="G308" s="120">
        <f>IF($F308&lt;KarsilikNakitEsigi,"EVET","HAYIR")</f>
        <v/>
      </c>
    </row>
    <row r="309" ht="15" customHeight="1" s="68">
      <c r="D309" s="120">
        <f>ROUND($B309*KarliyukNakitKarliikOrani,0)</f>
        <v/>
      </c>
      <c r="E309" s="120">
        <f>$B309-$C309-$D309</f>
        <v/>
      </c>
      <c r="F309" s="118">
        <f>KarsilikAyBasiKasa+SUM($E$6:E309)</f>
        <v/>
      </c>
      <c r="G309" s="120">
        <f>IF($F309&lt;KarsilikNakitEsigi,"EVET","HAYIR")</f>
        <v/>
      </c>
    </row>
    <row r="310" ht="15" customHeight="1" s="68">
      <c r="D310" s="120">
        <f>ROUND($B310*KarliyukNakitKarliikOrani,0)</f>
        <v/>
      </c>
      <c r="E310" s="120">
        <f>$B310-$C310-$D310</f>
        <v/>
      </c>
      <c r="F310" s="118">
        <f>KarsilikAyBasiKasa+SUM($E$6:E310)</f>
        <v/>
      </c>
      <c r="G310" s="120">
        <f>IF($F310&lt;KarsilikNakitEsigi,"EVET","HAYIR")</f>
        <v/>
      </c>
    </row>
    <row r="311" ht="15" customHeight="1" s="68">
      <c r="D311" s="120">
        <f>ROUND($B311*KarliyukNakitKarliikOrani,0)</f>
        <v/>
      </c>
      <c r="E311" s="120">
        <f>$B311-$C311-$D311</f>
        <v/>
      </c>
      <c r="F311" s="118">
        <f>KarsilikAyBasiKasa+SUM($E$6:E311)</f>
        <v/>
      </c>
      <c r="G311" s="120">
        <f>IF($F311&lt;KarsilikNakitEsigi,"EVET","HAYIR")</f>
        <v/>
      </c>
    </row>
    <row r="312" ht="15" customHeight="1" s="68">
      <c r="D312" s="120">
        <f>ROUND($B312*KarliyukNakitKarliikOrani,0)</f>
        <v/>
      </c>
      <c r="E312" s="120">
        <f>$B312-$C312-$D312</f>
        <v/>
      </c>
      <c r="F312" s="118">
        <f>KarsilikAyBasiKasa+SUM($E$6:E312)</f>
        <v/>
      </c>
      <c r="G312" s="120">
        <f>IF($F312&lt;KarsilikNakitEsigi,"EVET","HAYIR")</f>
        <v/>
      </c>
    </row>
    <row r="313" ht="15" customHeight="1" s="68">
      <c r="D313" s="120">
        <f>ROUND($B313*KarliyukNakitKarliikOrani,0)</f>
        <v/>
      </c>
      <c r="E313" s="120">
        <f>$B313-$C313-$D313</f>
        <v/>
      </c>
      <c r="F313" s="118">
        <f>KarsilikAyBasiKasa+SUM($E$6:E313)</f>
        <v/>
      </c>
      <c r="G313" s="120">
        <f>IF($F313&lt;KarsilikNakitEsigi,"EVET","HAYIR")</f>
        <v/>
      </c>
    </row>
    <row r="314" ht="15" customHeight="1" s="68">
      <c r="D314" s="120">
        <f>ROUND($B314*KarliyukNakitKarliikOrani,0)</f>
        <v/>
      </c>
      <c r="E314" s="120">
        <f>$B314-$C314-$D314</f>
        <v/>
      </c>
      <c r="F314" s="118">
        <f>KarsilikAyBasiKasa+SUM($E$6:E314)</f>
        <v/>
      </c>
      <c r="G314" s="120">
        <f>IF($F314&lt;KarsilikNakitEsigi,"EVET","HAYIR")</f>
        <v/>
      </c>
    </row>
    <row r="315" ht="15" customHeight="1" s="68">
      <c r="D315" s="120">
        <f>ROUND($B315*KarliyukNakitKarliikOrani,0)</f>
        <v/>
      </c>
      <c r="E315" s="120">
        <f>$B315-$C315-$D315</f>
        <v/>
      </c>
      <c r="F315" s="118">
        <f>KarsilikAyBasiKasa+SUM($E$6:E315)</f>
        <v/>
      </c>
      <c r="G315" s="120">
        <f>IF($F315&lt;KarsilikNakitEsigi,"EVET","HAYIR")</f>
        <v/>
      </c>
    </row>
    <row r="316" ht="15" customHeight="1" s="68">
      <c r="D316" s="120">
        <f>ROUND($B316*KarliyukNakitKarliikOrani,0)</f>
        <v/>
      </c>
      <c r="E316" s="120">
        <f>$B316-$C316-$D316</f>
        <v/>
      </c>
      <c r="F316" s="118">
        <f>KarsilikAyBasiKasa+SUM($E$6:E316)</f>
        <v/>
      </c>
      <c r="G316" s="120">
        <f>IF($F316&lt;KarsilikNakitEsigi,"EVET","HAYIR")</f>
        <v/>
      </c>
    </row>
    <row r="317" ht="15" customHeight="1" s="68">
      <c r="D317" s="120">
        <f>ROUND($B317*KarliyukNakitKarliikOrani,0)</f>
        <v/>
      </c>
      <c r="E317" s="120">
        <f>$B317-$C317-$D317</f>
        <v/>
      </c>
      <c r="F317" s="118">
        <f>KarsilikAyBasiKasa+SUM($E$6:E317)</f>
        <v/>
      </c>
      <c r="G317" s="120">
        <f>IF($F317&lt;KarsilikNakitEsigi,"EVET","HAYIR")</f>
        <v/>
      </c>
    </row>
    <row r="318" ht="15" customHeight="1" s="68">
      <c r="D318" s="120">
        <f>ROUND($B318*KarliyukNakitKarliikOrani,0)</f>
        <v/>
      </c>
      <c r="E318" s="120">
        <f>$B318-$C318-$D318</f>
        <v/>
      </c>
      <c r="F318" s="118">
        <f>KarsilikAyBasiKasa+SUM($E$6:E318)</f>
        <v/>
      </c>
      <c r="G318" s="120">
        <f>IF($F318&lt;KarsilikNakitEsigi,"EVET","HAYIR")</f>
        <v/>
      </c>
    </row>
    <row r="319" ht="15" customHeight="1" s="68">
      <c r="D319" s="120">
        <f>ROUND($B319*KarliyukNakitKarliikOrani,0)</f>
        <v/>
      </c>
      <c r="E319" s="120">
        <f>$B319-$C319-$D319</f>
        <v/>
      </c>
      <c r="F319" s="118">
        <f>KarsilikAyBasiKasa+SUM($E$6:E319)</f>
        <v/>
      </c>
      <c r="G319" s="120">
        <f>IF($F319&lt;KarsilikNakitEsigi,"EVET","HAYIR")</f>
        <v/>
      </c>
    </row>
    <row r="320" ht="15" customHeight="1" s="68">
      <c r="D320" s="120">
        <f>ROUND($B320*KarliyukNakitKarliikOrani,0)</f>
        <v/>
      </c>
      <c r="E320" s="120">
        <f>$B320-$C320-$D320</f>
        <v/>
      </c>
      <c r="F320" s="118">
        <f>KarsilikAyBasiKasa+SUM($E$6:E320)</f>
        <v/>
      </c>
      <c r="G320" s="120">
        <f>IF($F320&lt;KarsilikNakitEsigi,"EVET","HAYIR")</f>
        <v/>
      </c>
    </row>
    <row r="321" ht="15" customHeight="1" s="68">
      <c r="D321" s="120">
        <f>ROUND($B321*KarliyukNakitKarliikOrani,0)</f>
        <v/>
      </c>
      <c r="E321" s="120">
        <f>$B321-$C321-$D321</f>
        <v/>
      </c>
      <c r="F321" s="118">
        <f>KarsilikAyBasiKasa+SUM($E$6:E321)</f>
        <v/>
      </c>
      <c r="G321" s="120">
        <f>IF($F321&lt;KarsilikNakitEsigi,"EVET","HAYIR")</f>
        <v/>
      </c>
    </row>
    <row r="322" ht="15" customHeight="1" s="68">
      <c r="D322" s="120">
        <f>ROUND($B322*KarliyukNakitKarliikOrani,0)</f>
        <v/>
      </c>
      <c r="E322" s="120">
        <f>$B322-$C322-$D322</f>
        <v/>
      </c>
      <c r="F322" s="118">
        <f>KarsilikAyBasiKasa+SUM($E$6:E322)</f>
        <v/>
      </c>
      <c r="G322" s="120">
        <f>IF($F322&lt;KarsilikNakitEsigi,"EVET","HAYIR")</f>
        <v/>
      </c>
    </row>
    <row r="323" ht="15" customHeight="1" s="68">
      <c r="D323" s="120">
        <f>ROUND($B323*KarliyukNakitKarliikOrani,0)</f>
        <v/>
      </c>
      <c r="E323" s="120">
        <f>$B323-$C323-$D323</f>
        <v/>
      </c>
      <c r="F323" s="118">
        <f>KarsilikAyBasiKasa+SUM($E$6:E323)</f>
        <v/>
      </c>
      <c r="G323" s="120">
        <f>IF($F323&lt;KarsilikNakitEsigi,"EVET","HAYIR")</f>
        <v/>
      </c>
    </row>
    <row r="324" ht="15" customHeight="1" s="68">
      <c r="D324" s="120">
        <f>ROUND($B324*KarliyukNakitKarliikOrani,0)</f>
        <v/>
      </c>
      <c r="E324" s="120">
        <f>$B324-$C324-$D324</f>
        <v/>
      </c>
      <c r="F324" s="118">
        <f>KarsilikAyBasiKasa+SUM($E$6:E324)</f>
        <v/>
      </c>
      <c r="G324" s="120">
        <f>IF($F324&lt;KarsilikNakitEsigi,"EVET","HAYIR")</f>
        <v/>
      </c>
    </row>
    <row r="325" ht="15" customHeight="1" s="68">
      <c r="D325" s="120">
        <f>ROUND($B325*KarliyukNakitKarliikOrani,0)</f>
        <v/>
      </c>
      <c r="E325" s="120">
        <f>$B325-$C325-$D325</f>
        <v/>
      </c>
      <c r="F325" s="118">
        <f>KarsilikAyBasiKasa+SUM($E$6:E325)</f>
        <v/>
      </c>
      <c r="G325" s="120">
        <f>IF($F325&lt;KarsilikNakitEsigi,"EVET","HAYIR")</f>
        <v/>
      </c>
    </row>
    <row r="326" ht="15" customHeight="1" s="68">
      <c r="D326" s="120">
        <f>ROUND($B326*KarliyukNakitKarliikOrani,0)</f>
        <v/>
      </c>
      <c r="E326" s="120">
        <f>$B326-$C326-$D326</f>
        <v/>
      </c>
      <c r="F326" s="118">
        <f>KarsilikAyBasiKasa+SUM($E$6:E326)</f>
        <v/>
      </c>
      <c r="G326" s="120">
        <f>IF($F326&lt;KarsilikNakitEsigi,"EVET","HAYIR")</f>
        <v/>
      </c>
    </row>
    <row r="327" ht="15" customHeight="1" s="68">
      <c r="D327" s="120">
        <f>ROUND($B327*KarliyukNakitKarliikOrani,0)</f>
        <v/>
      </c>
      <c r="E327" s="120">
        <f>$B327-$C327-$D327</f>
        <v/>
      </c>
      <c r="F327" s="118">
        <f>KarsilikAyBasiKasa+SUM($E$6:E327)</f>
        <v/>
      </c>
      <c r="G327" s="120">
        <f>IF($F327&lt;KarsilikNakitEsigi,"EVET","HAYIR")</f>
        <v/>
      </c>
    </row>
    <row r="328" ht="15" customHeight="1" s="68">
      <c r="D328" s="120">
        <f>ROUND($B328*KarliyukNakitKarliikOrani,0)</f>
        <v/>
      </c>
      <c r="E328" s="120">
        <f>$B328-$C328-$D328</f>
        <v/>
      </c>
      <c r="F328" s="118">
        <f>KarsilikAyBasiKasa+SUM($E$6:E328)</f>
        <v/>
      </c>
      <c r="G328" s="120">
        <f>IF($F328&lt;KarsilikNakitEsigi,"EVET","HAYIR")</f>
        <v/>
      </c>
    </row>
    <row r="329" ht="15" customHeight="1" s="68">
      <c r="D329" s="120">
        <f>ROUND($B329*KarliyukNakitKarliikOrani,0)</f>
        <v/>
      </c>
      <c r="E329" s="120">
        <f>$B329-$C329-$D329</f>
        <v/>
      </c>
      <c r="F329" s="118">
        <f>KarsilikAyBasiKasa+SUM($E$6:E329)</f>
        <v/>
      </c>
      <c r="G329" s="120">
        <f>IF($F329&lt;KarsilikNakitEsigi,"EVET","HAYIR")</f>
        <v/>
      </c>
    </row>
    <row r="330" ht="15" customHeight="1" s="68">
      <c r="D330" s="120">
        <f>ROUND($B330*KarliyukNakitKarliikOrani,0)</f>
        <v/>
      </c>
      <c r="E330" s="120">
        <f>$B330-$C330-$D330</f>
        <v/>
      </c>
      <c r="F330" s="118">
        <f>KarsilikAyBasiKasa+SUM($E$6:E330)</f>
        <v/>
      </c>
      <c r="G330" s="120">
        <f>IF($F330&lt;KarsilikNakitEsigi,"EVET","HAYIR")</f>
        <v/>
      </c>
    </row>
    <row r="331" ht="15" customHeight="1" s="68">
      <c r="D331" s="120">
        <f>ROUND($B331*KarliyukNakitKarliikOrani,0)</f>
        <v/>
      </c>
      <c r="E331" s="120">
        <f>$B331-$C331-$D331</f>
        <v/>
      </c>
      <c r="F331" s="118">
        <f>KarsilikAyBasiKasa+SUM($E$6:E331)</f>
        <v/>
      </c>
      <c r="G331" s="120">
        <f>IF($F331&lt;KarsilikNakitEsigi,"EVET","HAYIR")</f>
        <v/>
      </c>
    </row>
    <row r="332" ht="15" customHeight="1" s="68">
      <c r="D332" s="120">
        <f>ROUND($B332*KarliyukNakitKarliikOrani,0)</f>
        <v/>
      </c>
      <c r="E332" s="120">
        <f>$B332-$C332-$D332</f>
        <v/>
      </c>
      <c r="F332" s="118">
        <f>KarsilikAyBasiKasa+SUM($E$6:E332)</f>
        <v/>
      </c>
      <c r="G332" s="120">
        <f>IF($F332&lt;KarsilikNakitEsigi,"EVET","HAYIR")</f>
        <v/>
      </c>
    </row>
    <row r="333" ht="15" customHeight="1" s="68">
      <c r="D333" s="120">
        <f>ROUND($B333*KarliyukNakitKarliikOrani,0)</f>
        <v/>
      </c>
      <c r="E333" s="120">
        <f>$B333-$C333-$D333</f>
        <v/>
      </c>
      <c r="F333" s="118">
        <f>KarsilikAyBasiKasa+SUM($E$6:E333)</f>
        <v/>
      </c>
      <c r="G333" s="120">
        <f>IF($F333&lt;KarsilikNakitEsigi,"EVET","HAYIR")</f>
        <v/>
      </c>
    </row>
    <row r="334" ht="15" customHeight="1" s="68">
      <c r="D334" s="120">
        <f>ROUND($B334*KarliyukNakitKarliikOrani,0)</f>
        <v/>
      </c>
      <c r="E334" s="120">
        <f>$B334-$C334-$D334</f>
        <v/>
      </c>
      <c r="F334" s="118">
        <f>KarsilikAyBasiKasa+SUM($E$6:E334)</f>
        <v/>
      </c>
      <c r="G334" s="120">
        <f>IF($F334&lt;KarsilikNakitEsigi,"EVET","HAYIR")</f>
        <v/>
      </c>
    </row>
    <row r="335" ht="15" customHeight="1" s="68">
      <c r="D335" s="120">
        <f>ROUND($B335*KarliyukNakitKarliikOrani,0)</f>
        <v/>
      </c>
      <c r="E335" s="120">
        <f>$B335-$C335-$D335</f>
        <v/>
      </c>
      <c r="F335" s="118">
        <f>KarsilikAyBasiKasa+SUM($E$6:E335)</f>
        <v/>
      </c>
      <c r="G335" s="120">
        <f>IF($F335&lt;KarsilikNakitEsigi,"EVET","HAYIR")</f>
        <v/>
      </c>
    </row>
    <row r="336" ht="15" customHeight="1" s="68">
      <c r="D336" s="120">
        <f>ROUND($B336*KarliyukNakitKarliikOrani,0)</f>
        <v/>
      </c>
      <c r="E336" s="120">
        <f>$B336-$C336-$D336</f>
        <v/>
      </c>
      <c r="F336" s="118">
        <f>KarsilikAyBasiKasa+SUM($E$6:E336)</f>
        <v/>
      </c>
      <c r="G336" s="120">
        <f>IF($F336&lt;KarsilikNakitEsigi,"EVET","HAYIR")</f>
        <v/>
      </c>
    </row>
    <row r="337" ht="15" customHeight="1" s="68">
      <c r="D337" s="120">
        <f>ROUND($B337*KarliyukNakitKarliikOrani,0)</f>
        <v/>
      </c>
      <c r="E337" s="120">
        <f>$B337-$C337-$D337</f>
        <v/>
      </c>
      <c r="F337" s="118">
        <f>KarsilikAyBasiKasa+SUM($E$6:E337)</f>
        <v/>
      </c>
      <c r="G337" s="120">
        <f>IF($F337&lt;KarsilikNakitEsigi,"EVET","HAYIR")</f>
        <v/>
      </c>
    </row>
    <row r="338" ht="15" customHeight="1" s="68">
      <c r="D338" s="120">
        <f>ROUND($B338*KarliyukNakitKarliikOrani,0)</f>
        <v/>
      </c>
      <c r="E338" s="120">
        <f>$B338-$C338-$D338</f>
        <v/>
      </c>
      <c r="F338" s="118">
        <f>KarsilikAyBasiKasa+SUM($E$6:E338)</f>
        <v/>
      </c>
      <c r="G338" s="120">
        <f>IF($F338&lt;KarsilikNakitEsigi,"EVET","HAYIR")</f>
        <v/>
      </c>
    </row>
    <row r="339" ht="15" customHeight="1" s="68">
      <c r="D339" s="120">
        <f>ROUND($B339*KarliyukNakitKarliikOrani,0)</f>
        <v/>
      </c>
      <c r="E339" s="120">
        <f>$B339-$C339-$D339</f>
        <v/>
      </c>
      <c r="F339" s="118">
        <f>KarsilikAyBasiKasa+SUM($E$6:E339)</f>
        <v/>
      </c>
      <c r="G339" s="120">
        <f>IF($F339&lt;KarsilikNakitEsigi,"EVET","HAYIR")</f>
        <v/>
      </c>
    </row>
    <row r="340" ht="15" customHeight="1" s="68">
      <c r="D340" s="120">
        <f>ROUND($B340*KarliyukNakitKarliikOrani,0)</f>
        <v/>
      </c>
      <c r="E340" s="120">
        <f>$B340-$C340-$D340</f>
        <v/>
      </c>
      <c r="F340" s="118">
        <f>KarsilikAyBasiKasa+SUM($E$6:E340)</f>
        <v/>
      </c>
      <c r="G340" s="120">
        <f>IF($F340&lt;KarsilikNakitEsigi,"EVET","HAYIR")</f>
        <v/>
      </c>
    </row>
    <row r="341" ht="15" customHeight="1" s="68">
      <c r="D341" s="120">
        <f>ROUND($B341*KarliyukNakitKarliikOrani,0)</f>
        <v/>
      </c>
      <c r="E341" s="120">
        <f>$B341-$C341-$D341</f>
        <v/>
      </c>
      <c r="F341" s="118">
        <f>KarsilikAyBasiKasa+SUM($E$6:E341)</f>
        <v/>
      </c>
      <c r="G341" s="120">
        <f>IF($F341&lt;KarsilikNakitEsigi,"EVET","HAYIR")</f>
        <v/>
      </c>
    </row>
    <row r="342" ht="15" customHeight="1" s="68">
      <c r="D342" s="120">
        <f>ROUND($B342*KarliyukNakitKarliikOrani,0)</f>
        <v/>
      </c>
      <c r="E342" s="120">
        <f>$B342-$C342-$D342</f>
        <v/>
      </c>
      <c r="F342" s="118">
        <f>KarsilikAyBasiKasa+SUM($E$6:E342)</f>
        <v/>
      </c>
      <c r="G342" s="120">
        <f>IF($F342&lt;KarsilikNakitEsigi,"EVET","HAYIR")</f>
        <v/>
      </c>
    </row>
    <row r="343" ht="15" customHeight="1" s="68">
      <c r="D343" s="120">
        <f>ROUND($B343*KarliyukNakitKarliikOrani,0)</f>
        <v/>
      </c>
      <c r="E343" s="120">
        <f>$B343-$C343-$D343</f>
        <v/>
      </c>
      <c r="F343" s="118">
        <f>KarsilikAyBasiKasa+SUM($E$6:E343)</f>
        <v/>
      </c>
      <c r="G343" s="120">
        <f>IF($F343&lt;KarsilikNakitEsigi,"EVET","HAYIR")</f>
        <v/>
      </c>
    </row>
    <row r="344" ht="15" customHeight="1" s="68">
      <c r="D344" s="120">
        <f>ROUND($B344*KarliyukNakitKarliikOrani,0)</f>
        <v/>
      </c>
      <c r="E344" s="120">
        <f>$B344-$C344-$D344</f>
        <v/>
      </c>
      <c r="F344" s="118">
        <f>KarsilikAyBasiKasa+SUM($E$6:E344)</f>
        <v/>
      </c>
      <c r="G344" s="120">
        <f>IF($F344&lt;KarsilikNakitEsigi,"EVET","HAYIR")</f>
        <v/>
      </c>
    </row>
    <row r="345" ht="15" customHeight="1" s="68">
      <c r="D345" s="120">
        <f>ROUND($B345*KarliyukNakitKarliikOrani,0)</f>
        <v/>
      </c>
      <c r="E345" s="120">
        <f>$B345-$C345-$D345</f>
        <v/>
      </c>
      <c r="F345" s="118">
        <f>KarsilikAyBasiKasa+SUM($E$6:E345)</f>
        <v/>
      </c>
      <c r="G345" s="120">
        <f>IF($F345&lt;KarsilikNakitEsigi,"EVET","HAYIR")</f>
        <v/>
      </c>
    </row>
    <row r="346" ht="15" customHeight="1" s="68">
      <c r="D346" s="120">
        <f>ROUND($B346*KarliyukNakitKarliikOrani,0)</f>
        <v/>
      </c>
      <c r="E346" s="120">
        <f>$B346-$C346-$D346</f>
        <v/>
      </c>
      <c r="F346" s="118">
        <f>KarsilikAyBasiKasa+SUM($E$6:E346)</f>
        <v/>
      </c>
      <c r="G346" s="120">
        <f>IF($F346&lt;KarsilikNakitEsigi,"EVET","HAYIR")</f>
        <v/>
      </c>
    </row>
    <row r="347" ht="15" customHeight="1" s="68">
      <c r="D347" s="120">
        <f>ROUND($B347*KarliyukNakitKarliikOrani,0)</f>
        <v/>
      </c>
      <c r="E347" s="120">
        <f>$B347-$C347-$D347</f>
        <v/>
      </c>
      <c r="F347" s="118">
        <f>KarsilikAyBasiKasa+SUM($E$6:E347)</f>
        <v/>
      </c>
      <c r="G347" s="120">
        <f>IF($F347&lt;KarsilikNakitEsigi,"EVET","HAYIR")</f>
        <v/>
      </c>
    </row>
    <row r="348" ht="15" customHeight="1" s="68">
      <c r="D348" s="120">
        <f>ROUND($B348*KarliyukNakitKarliikOrani,0)</f>
        <v/>
      </c>
      <c r="E348" s="120">
        <f>$B348-$C348-$D348</f>
        <v/>
      </c>
      <c r="F348" s="118">
        <f>KarsilikAyBasiKasa+SUM($E$6:E348)</f>
        <v/>
      </c>
      <c r="G348" s="120">
        <f>IF($F348&lt;KarsilikNakitEsigi,"EVET","HAYIR")</f>
        <v/>
      </c>
    </row>
    <row r="349" ht="15" customHeight="1" s="68">
      <c r="D349" s="120">
        <f>ROUND($B349*KarliyukNakitKarliikOrani,0)</f>
        <v/>
      </c>
      <c r="E349" s="120">
        <f>$B349-$C349-$D349</f>
        <v/>
      </c>
      <c r="F349" s="118">
        <f>KarsilikAyBasiKasa+SUM($E$6:E349)</f>
        <v/>
      </c>
      <c r="G349" s="120">
        <f>IF($F349&lt;KarsilikNakitEsigi,"EVET","HAYIR")</f>
        <v/>
      </c>
    </row>
    <row r="350" ht="15" customHeight="1" s="68">
      <c r="D350" s="120">
        <f>ROUND($B350*KarliyukNakitKarliikOrani,0)</f>
        <v/>
      </c>
      <c r="E350" s="120">
        <f>$B350-$C350-$D350</f>
        <v/>
      </c>
      <c r="F350" s="118">
        <f>KarsilikAyBasiKasa+SUM($E$6:E350)</f>
        <v/>
      </c>
      <c r="G350" s="120">
        <f>IF($F350&lt;KarsilikNakitEsigi,"EVET","HAYIR")</f>
        <v/>
      </c>
    </row>
    <row r="351" ht="15" customHeight="1" s="68">
      <c r="D351" s="120">
        <f>ROUND($B351*KarliyukNakitKarliikOrani,0)</f>
        <v/>
      </c>
      <c r="E351" s="120">
        <f>$B351-$C351-$D351</f>
        <v/>
      </c>
      <c r="F351" s="118">
        <f>KarsilikAyBasiKasa+SUM($E$6:E351)</f>
        <v/>
      </c>
      <c r="G351" s="120">
        <f>IF($F351&lt;KarsilikNakitEsigi,"EVET","HAYIR")</f>
        <v/>
      </c>
    </row>
    <row r="352" ht="15" customHeight="1" s="68">
      <c r="D352" s="120">
        <f>ROUND($B352*KarliyukNakitKarliikOrani,0)</f>
        <v/>
      </c>
      <c r="E352" s="120">
        <f>$B352-$C352-$D352</f>
        <v/>
      </c>
      <c r="F352" s="118">
        <f>KarsilikAyBasiKasa+SUM($E$6:E352)</f>
        <v/>
      </c>
      <c r="G352" s="120">
        <f>IF($F352&lt;KarsilikNakitEsigi,"EVET","HAYIR")</f>
        <v/>
      </c>
    </row>
    <row r="353" ht="15" customHeight="1" s="68">
      <c r="D353" s="120">
        <f>ROUND($B353*KarliyukNakitKarliikOrani,0)</f>
        <v/>
      </c>
      <c r="E353" s="120">
        <f>$B353-$C353-$D353</f>
        <v/>
      </c>
      <c r="F353" s="118">
        <f>KarsilikAyBasiKasa+SUM($E$6:E353)</f>
        <v/>
      </c>
      <c r="G353" s="120">
        <f>IF($F353&lt;KarsilikNakitEsigi,"EVET","HAYIR")</f>
        <v/>
      </c>
    </row>
    <row r="354" ht="15" customHeight="1" s="68">
      <c r="D354" s="120">
        <f>ROUND($B354*KarliyukNakitKarliikOrani,0)</f>
        <v/>
      </c>
      <c r="E354" s="120">
        <f>$B354-$C354-$D354</f>
        <v/>
      </c>
      <c r="F354" s="118">
        <f>KarsilikAyBasiKasa+SUM($E$6:E354)</f>
        <v/>
      </c>
      <c r="G354" s="120">
        <f>IF($F354&lt;KarsilikNakitEsigi,"EVET","HAYIR")</f>
        <v/>
      </c>
    </row>
    <row r="355" ht="15" customHeight="1" s="68">
      <c r="D355" s="120">
        <f>ROUND($B355*KarliyukNakitKarliikOrani,0)</f>
        <v/>
      </c>
      <c r="E355" s="120">
        <f>$B355-$C355-$D355</f>
        <v/>
      </c>
      <c r="F355" s="118">
        <f>KarsilikAyBasiKasa+SUM($E$6:E355)</f>
        <v/>
      </c>
      <c r="G355" s="120">
        <f>IF($F355&lt;KarsilikNakitEsigi,"EVET","HAYIR")</f>
        <v/>
      </c>
    </row>
    <row r="356" ht="15" customHeight="1" s="68">
      <c r="D356" s="120">
        <f>ROUND($B356*KarliyukNakitKarliikOrani,0)</f>
        <v/>
      </c>
      <c r="E356" s="120">
        <f>$B356-$C356-$D356</f>
        <v/>
      </c>
      <c r="F356" s="118">
        <f>KarsilikAyBasiKasa+SUM($E$6:E356)</f>
        <v/>
      </c>
      <c r="G356" s="120">
        <f>IF($F356&lt;KarsilikNakitEsigi,"EVET","HAYIR")</f>
        <v/>
      </c>
    </row>
    <row r="357" ht="15" customHeight="1" s="68">
      <c r="D357" s="120">
        <f>ROUND($B357*KarliyukNakitKarliikOrani,0)</f>
        <v/>
      </c>
      <c r="E357" s="120">
        <f>$B357-$C357-$D357</f>
        <v/>
      </c>
      <c r="F357" s="118">
        <f>KarsilikAyBasiKasa+SUM($E$6:E357)</f>
        <v/>
      </c>
      <c r="G357" s="120">
        <f>IF($F357&lt;KarsilikNakitEsigi,"EVET","HAYIR")</f>
        <v/>
      </c>
    </row>
    <row r="358" ht="15" customHeight="1" s="68">
      <c r="D358" s="120">
        <f>ROUND($B358*KarliyukNakitKarliikOrani,0)</f>
        <v/>
      </c>
      <c r="E358" s="120">
        <f>$B358-$C358-$D358</f>
        <v/>
      </c>
      <c r="F358" s="118">
        <f>KarsilikAyBasiKasa+SUM($E$6:E358)</f>
        <v/>
      </c>
      <c r="G358" s="120">
        <f>IF($F358&lt;KarsilikNakitEsigi,"EVET","HAYIR")</f>
        <v/>
      </c>
    </row>
    <row r="359" ht="15" customHeight="1" s="68">
      <c r="D359" s="120">
        <f>ROUND($B359*KarliyukNakitKarliikOrani,0)</f>
        <v/>
      </c>
      <c r="E359" s="120">
        <f>$B359-$C359-$D359</f>
        <v/>
      </c>
      <c r="F359" s="118">
        <f>KarsilikAyBasiKasa+SUM($E$6:E359)</f>
        <v/>
      </c>
      <c r="G359" s="120">
        <f>IF($F359&lt;KarsilikNakitEsigi,"EVET","HAYIR")</f>
        <v/>
      </c>
    </row>
    <row r="360" ht="15" customHeight="1" s="68">
      <c r="D360" s="120">
        <f>ROUND($B360*KarliyukNakitKarliikOrani,0)</f>
        <v/>
      </c>
      <c r="E360" s="120">
        <f>$B360-$C360-$D360</f>
        <v/>
      </c>
      <c r="F360" s="118">
        <f>KarsilikAyBasiKasa+SUM($E$6:E360)</f>
        <v/>
      </c>
      <c r="G360" s="120">
        <f>IF($F360&lt;KarsilikNakitEsigi,"EVET","HAYIR")</f>
        <v/>
      </c>
    </row>
    <row r="361" ht="15" customHeight="1" s="68">
      <c r="D361" s="120">
        <f>ROUND($B361*KarliyukNakitKarliikOrani,0)</f>
        <v/>
      </c>
      <c r="E361" s="120">
        <f>$B361-$C361-$D361</f>
        <v/>
      </c>
      <c r="F361" s="118">
        <f>KarsilikAyBasiKasa+SUM($E$6:E361)</f>
        <v/>
      </c>
      <c r="G361" s="120">
        <f>IF($F361&lt;KarsilikNakitEsigi,"EVET","HAYIR")</f>
        <v/>
      </c>
    </row>
    <row r="362" ht="15" customHeight="1" s="68">
      <c r="D362" s="120">
        <f>ROUND($B362*KarliyukNakitKarliikOrani,0)</f>
        <v/>
      </c>
      <c r="E362" s="120">
        <f>$B362-$C362-$D362</f>
        <v/>
      </c>
      <c r="F362" s="118">
        <f>KarsilikAyBasiKasa+SUM($E$6:E362)</f>
        <v/>
      </c>
      <c r="G362" s="120">
        <f>IF($F362&lt;KarsilikNakitEsigi,"EVET","HAYIR")</f>
        <v/>
      </c>
    </row>
    <row r="363" ht="15" customHeight="1" s="68">
      <c r="D363" s="120">
        <f>ROUND($B363*KarliyukNakitKarliikOrani,0)</f>
        <v/>
      </c>
      <c r="E363" s="120">
        <f>$B363-$C363-$D363</f>
        <v/>
      </c>
      <c r="F363" s="118">
        <f>KarsilikAyBasiKasa+SUM($E$6:E363)</f>
        <v/>
      </c>
      <c r="G363" s="120">
        <f>IF($F363&lt;KarsilikNakitEsigi,"EVET","HAYIR")</f>
        <v/>
      </c>
    </row>
    <row r="364" ht="15" customHeight="1" s="68">
      <c r="D364" s="120">
        <f>ROUND($B364*KarliyukNakitKarliikOrani,0)</f>
        <v/>
      </c>
      <c r="E364" s="120">
        <f>$B364-$C364-$D364</f>
        <v/>
      </c>
      <c r="F364" s="118">
        <f>KarsilikAyBasiKasa+SUM($E$6:E364)</f>
        <v/>
      </c>
      <c r="G364" s="120">
        <f>IF($F364&lt;KarsilikNakitEsigi,"EVET","HAYIR")</f>
        <v/>
      </c>
    </row>
    <row r="365" ht="15" customHeight="1" s="68">
      <c r="D365" s="120">
        <f>ROUND($B365*KarliyukNakitKarliikOrani,0)</f>
        <v/>
      </c>
      <c r="E365" s="120">
        <f>$B365-$C365-$D365</f>
        <v/>
      </c>
      <c r="F365" s="118">
        <f>KarsilikAyBasiKasa+SUM($E$6:E365)</f>
        <v/>
      </c>
      <c r="G365" s="120">
        <f>IF($F365&lt;KarsilikNakitEsigi,"EVET","HAYIR")</f>
        <v/>
      </c>
    </row>
    <row r="366" ht="15" customHeight="1" s="68">
      <c r="D366" s="120">
        <f>ROUND($B366*KarliyukNakitKarliikOrani,0)</f>
        <v/>
      </c>
      <c r="E366" s="120">
        <f>$B366-$C366-$D366</f>
        <v/>
      </c>
      <c r="F366" s="118">
        <f>KarsilikAyBasiKasa+SUM($E$6:E366)</f>
        <v/>
      </c>
      <c r="G366" s="120">
        <f>IF($F366&lt;KarsilikNakitEsigi,"EVET","HAYIR")</f>
        <v/>
      </c>
    </row>
    <row r="367" ht="15" customHeight="1" s="68">
      <c r="D367" s="120">
        <f>ROUND($B367*KarliyukNakitKarliikOrani,0)</f>
        <v/>
      </c>
      <c r="E367" s="120">
        <f>$B367-$C367-$D367</f>
        <v/>
      </c>
      <c r="F367" s="118">
        <f>KarsilikAyBasiKasa+SUM($E$6:E367)</f>
        <v/>
      </c>
      <c r="G367" s="120">
        <f>IF($F367&lt;KarsilikNakitEsigi,"EVET","HAYIR")</f>
        <v/>
      </c>
    </row>
    <row r="368" ht="15" customHeight="1" s="68">
      <c r="D368" s="120">
        <f>ROUND($B368*KarliyukNakitKarliikOrani,0)</f>
        <v/>
      </c>
      <c r="E368" s="120">
        <f>$B368-$C368-$D368</f>
        <v/>
      </c>
      <c r="F368" s="118">
        <f>KarsilikAyBasiKasa+SUM($E$6:E368)</f>
        <v/>
      </c>
      <c r="G368" s="120">
        <f>IF($F368&lt;KarsilikNakitEsigi,"EVET","HAYIR")</f>
        <v/>
      </c>
    </row>
    <row r="369" ht="15" customHeight="1" s="68">
      <c r="D369" s="120">
        <f>ROUND($B369*KarliyukNakitKarliikOrani,0)</f>
        <v/>
      </c>
      <c r="E369" s="120">
        <f>$B369-$C369-$D369</f>
        <v/>
      </c>
      <c r="F369" s="118">
        <f>KarsilikAyBasiKasa+SUM($E$6:E369)</f>
        <v/>
      </c>
      <c r="G369" s="120">
        <f>IF($F369&lt;KarsilikNakitEsigi,"EVET","HAYIR")</f>
        <v/>
      </c>
    </row>
    <row r="370" ht="15" customHeight="1" s="68">
      <c r="D370" s="120">
        <f>ROUND($B370*KarliyukNakitKarliikOrani,0)</f>
        <v/>
      </c>
      <c r="E370" s="120">
        <f>$B370-$C370-$D370</f>
        <v/>
      </c>
      <c r="F370" s="118">
        <f>KarsilikAyBasiKasa+SUM($E$6:E370)</f>
        <v/>
      </c>
      <c r="G370" s="120">
        <f>IF($F370&lt;KarsilikNakitEsigi,"EVET","HAYIR")</f>
        <v/>
      </c>
    </row>
    <row r="371" ht="15" customHeight="1" s="68">
      <c r="D371" s="120">
        <f>ROUND($B371*KarliyukNakitKarliikOrani,0)</f>
        <v/>
      </c>
      <c r="E371" s="120">
        <f>$B371-$C371-$D371</f>
        <v/>
      </c>
      <c r="F371" s="118">
        <f>KarsilikAyBasiKasa+SUM($E$6:E371)</f>
        <v/>
      </c>
      <c r="G371" s="120">
        <f>IF($F371&lt;KarsilikNakitEsigi,"EVET","HAYIR")</f>
        <v/>
      </c>
    </row>
    <row r="372" ht="15" customHeight="1" s="68">
      <c r="D372" s="120">
        <f>ROUND($B372*KarliyukNakitKarliikOrani,0)</f>
        <v/>
      </c>
      <c r="E372" s="120">
        <f>$B372-$C372-$D372</f>
        <v/>
      </c>
      <c r="F372" s="118">
        <f>KarsilikAyBasiKasa+SUM($E$6:E372)</f>
        <v/>
      </c>
      <c r="G372" s="120">
        <f>IF($F372&lt;KarsilikNakitEsigi,"EVET","HAYIR")</f>
        <v/>
      </c>
    </row>
    <row r="373" ht="15" customHeight="1" s="68">
      <c r="D373" s="120">
        <f>ROUND($B373*KarliyukNakitKarliikOrani,0)</f>
        <v/>
      </c>
      <c r="E373" s="120">
        <f>$B373-$C373-$D373</f>
        <v/>
      </c>
      <c r="F373" s="118">
        <f>KarsilikAyBasiKasa+SUM($E$6:E373)</f>
        <v/>
      </c>
      <c r="G373" s="120">
        <f>IF($F373&lt;KarsilikNakitEsigi,"EVET","HAYIR")</f>
        <v/>
      </c>
    </row>
    <row r="374" ht="15" customHeight="1" s="68">
      <c r="D374" s="120">
        <f>ROUND($B374*KarliyukNakitKarliikOrani,0)</f>
        <v/>
      </c>
      <c r="E374" s="120">
        <f>$B374-$C374-$D374</f>
        <v/>
      </c>
      <c r="F374" s="118">
        <f>KarsilikAyBasiKasa+SUM($E$6:E374)</f>
        <v/>
      </c>
      <c r="G374" s="120">
        <f>IF($F374&lt;KarsilikNakitEsigi,"EVET","HAYIR")</f>
        <v/>
      </c>
    </row>
    <row r="375" ht="15" customHeight="1" s="68">
      <c r="D375" s="120">
        <f>ROUND($B375*KarliyukNakitKarliikOrani,0)</f>
        <v/>
      </c>
      <c r="E375" s="120">
        <f>$B375-$C375-$D375</f>
        <v/>
      </c>
      <c r="F375" s="118">
        <f>KarsilikAyBasiKasa+SUM($E$6:E375)</f>
        <v/>
      </c>
      <c r="G375" s="120">
        <f>IF($F375&lt;KarsilikNakitEsigi,"EVET","HAYIR")</f>
        <v/>
      </c>
    </row>
    <row r="376" ht="15" customHeight="1" s="68">
      <c r="D376" s="120">
        <f>ROUND($B376*KarliyukNakitKarliikOrani,0)</f>
        <v/>
      </c>
      <c r="E376" s="120">
        <f>$B376-$C376-$D376</f>
        <v/>
      </c>
      <c r="F376" s="118">
        <f>KarsilikAyBasiKasa+SUM($E$6:E376)</f>
        <v/>
      </c>
      <c r="G376" s="120">
        <f>IF($F376&lt;KarsilikNakitEsigi,"EVET","HAYIR")</f>
        <v/>
      </c>
    </row>
    <row r="377" ht="15" customHeight="1" s="68">
      <c r="D377" s="120">
        <f>ROUND($B377*KarliyukNakitKarliikOrani,0)</f>
        <v/>
      </c>
      <c r="E377" s="120">
        <f>$B377-$C377-$D377</f>
        <v/>
      </c>
      <c r="F377" s="118">
        <f>KarsilikAyBasiKasa+SUM($E$6:E377)</f>
        <v/>
      </c>
      <c r="G377" s="120">
        <f>IF($F377&lt;KarsilikNakitEsigi,"EVET","HAYIR")</f>
        <v/>
      </c>
    </row>
    <row r="378" ht="15" customHeight="1" s="68">
      <c r="D378" s="120">
        <f>ROUND($B378*KarliyukNakitKarliikOrani,0)</f>
        <v/>
      </c>
      <c r="E378" s="120">
        <f>$B378-$C378-$D378</f>
        <v/>
      </c>
      <c r="F378" s="118">
        <f>KarsilikAyBasiKasa+SUM($E$6:E378)</f>
        <v/>
      </c>
      <c r="G378" s="120">
        <f>IF($F378&lt;KarsilikNakitEsigi,"EVET","HAYIR")</f>
        <v/>
      </c>
    </row>
    <row r="379" ht="15" customHeight="1" s="68">
      <c r="D379" s="120">
        <f>ROUND($B379*KarliyukNakitKarliikOrani,0)</f>
        <v/>
      </c>
      <c r="E379" s="120">
        <f>$B379-$C379-$D379</f>
        <v/>
      </c>
      <c r="F379" s="118">
        <f>KarsilikAyBasiKasa+SUM($E$6:E379)</f>
        <v/>
      </c>
      <c r="G379" s="120">
        <f>IF($F379&lt;KarsilikNakitEsigi,"EVET","HAYIR")</f>
        <v/>
      </c>
    </row>
    <row r="380" ht="15" customHeight="1" s="68">
      <c r="D380" s="120">
        <f>ROUND($B380*KarliyukNakitKarliikOrani,0)</f>
        <v/>
      </c>
      <c r="E380" s="120">
        <f>$B380-$C380-$D380</f>
        <v/>
      </c>
      <c r="F380" s="118">
        <f>KarsilikAyBasiKasa+SUM($E$6:E380)</f>
        <v/>
      </c>
      <c r="G380" s="120">
        <f>IF($F380&lt;KarsilikNakitEsigi,"EVET","HAYIR")</f>
        <v/>
      </c>
    </row>
    <row r="381" ht="15" customHeight="1" s="68">
      <c r="D381" s="120">
        <f>ROUND($B381*KarliyukNakitKarliikOrani,0)</f>
        <v/>
      </c>
      <c r="E381" s="120">
        <f>$B381-$C381-$D381</f>
        <v/>
      </c>
      <c r="F381" s="118">
        <f>KarsilikAyBasiKasa+SUM($E$6:E381)</f>
        <v/>
      </c>
      <c r="G381" s="120">
        <f>IF($F381&lt;KarsilikNakitEsigi,"EVET","HAYIR")</f>
        <v/>
      </c>
    </row>
    <row r="382" ht="15" customHeight="1" s="68">
      <c r="D382" s="120">
        <f>ROUND($B382*KarliyukNakitKarliikOrani,0)</f>
        <v/>
      </c>
      <c r="E382" s="120">
        <f>$B382-$C382-$D382</f>
        <v/>
      </c>
      <c r="F382" s="118">
        <f>KarsilikAyBasiKasa+SUM($E$6:E382)</f>
        <v/>
      </c>
      <c r="G382" s="120">
        <f>IF($F382&lt;KarsilikNakitEsigi,"EVET","HAYIR")</f>
        <v/>
      </c>
    </row>
    <row r="383" ht="15" customHeight="1" s="68">
      <c r="D383" s="120">
        <f>ROUND($B383*KarliyukNakitKarliikOrani,0)</f>
        <v/>
      </c>
      <c r="E383" s="120">
        <f>$B383-$C383-$D383</f>
        <v/>
      </c>
      <c r="F383" s="118">
        <f>KarsilikAyBasiKasa+SUM($E$6:E383)</f>
        <v/>
      </c>
      <c r="G383" s="120">
        <f>IF($F383&lt;KarsilikNakitEsigi,"EVET","HAYIR")</f>
        <v/>
      </c>
    </row>
    <row r="384" ht="15" customHeight="1" s="68">
      <c r="D384" s="120">
        <f>ROUND($B384*KarliyukNakitKarliikOrani,0)</f>
        <v/>
      </c>
      <c r="E384" s="120">
        <f>$B384-$C384-$D384</f>
        <v/>
      </c>
      <c r="F384" s="118">
        <f>KarsilikAyBasiKasa+SUM($E$6:E384)</f>
        <v/>
      </c>
      <c r="G384" s="120">
        <f>IF($F384&lt;KarsilikNakitEsigi,"EVET","HAYIR")</f>
        <v/>
      </c>
    </row>
    <row r="385" ht="15" customHeight="1" s="68">
      <c r="D385" s="120">
        <f>ROUND($B385*KarliyukNakitKarliikOrani,0)</f>
        <v/>
      </c>
      <c r="E385" s="120">
        <f>$B385-$C385-$D385</f>
        <v/>
      </c>
      <c r="F385" s="118">
        <f>KarsilikAyBasiKasa+SUM($E$6:E385)</f>
        <v/>
      </c>
      <c r="G385" s="120">
        <f>IF($F385&lt;KarsilikNakitEsigi,"EVET","HAYIR")</f>
        <v/>
      </c>
    </row>
    <row r="386" ht="15" customHeight="1" s="68">
      <c r="D386" s="120">
        <f>ROUND($B386*KarliyukNakitKarliikOrani,0)</f>
        <v/>
      </c>
      <c r="E386" s="120">
        <f>$B386-$C386-$D386</f>
        <v/>
      </c>
      <c r="F386" s="118">
        <f>KarsilikAyBasiKasa+SUM($E$6:E386)</f>
        <v/>
      </c>
      <c r="G386" s="120">
        <f>IF($F386&lt;KarsilikNakitEsigi,"EVET","HAYIR")</f>
        <v/>
      </c>
    </row>
    <row r="387" ht="15" customHeight="1" s="68">
      <c r="D387" s="120">
        <f>ROUND($B387*KarliyukNakitKarliikOrani,0)</f>
        <v/>
      </c>
      <c r="E387" s="120">
        <f>$B387-$C387-$D387</f>
        <v/>
      </c>
      <c r="F387" s="118">
        <f>KarsilikAyBasiKasa+SUM($E$6:E387)</f>
        <v/>
      </c>
      <c r="G387" s="120">
        <f>IF($F387&lt;KarsilikNakitEsigi,"EVET","HAYIR")</f>
        <v/>
      </c>
    </row>
    <row r="388" ht="15" customHeight="1" s="68">
      <c r="D388" s="120">
        <f>ROUND($B388*KarliyukNakitKarliikOrani,0)</f>
        <v/>
      </c>
      <c r="E388" s="120">
        <f>$B388-$C388-$D388</f>
        <v/>
      </c>
      <c r="F388" s="118">
        <f>KarsilikAyBasiKasa+SUM($E$6:E388)</f>
        <v/>
      </c>
      <c r="G388" s="120">
        <f>IF($F388&lt;KarsilikNakitEsigi,"EVET","HAYIR")</f>
        <v/>
      </c>
    </row>
    <row r="389" ht="15" customHeight="1" s="68">
      <c r="D389" s="120">
        <f>ROUND($B389*KarliyukNakitKarliikOrani,0)</f>
        <v/>
      </c>
      <c r="E389" s="120">
        <f>$B389-$C389-$D389</f>
        <v/>
      </c>
      <c r="F389" s="118">
        <f>KarsilikAyBasiKasa+SUM($E$6:E389)</f>
        <v/>
      </c>
      <c r="G389" s="120">
        <f>IF($F389&lt;KarsilikNakitEsigi,"EVET","HAYIR")</f>
        <v/>
      </c>
    </row>
    <row r="390" ht="15" customHeight="1" s="68">
      <c r="D390" s="120">
        <f>ROUND($B390*KarliyukNakitKarliikOrani,0)</f>
        <v/>
      </c>
      <c r="E390" s="120">
        <f>$B390-$C390-$D390</f>
        <v/>
      </c>
      <c r="F390" s="118">
        <f>KarsilikAyBasiKasa+SUM($E$6:E390)</f>
        <v/>
      </c>
      <c r="G390" s="120">
        <f>IF($F390&lt;KarsilikNakitEsigi,"EVET","HAYIR")</f>
        <v/>
      </c>
    </row>
    <row r="391" ht="15" customHeight="1" s="68">
      <c r="D391" s="120">
        <f>ROUND($B391*KarliyukNakitKarliikOrani,0)</f>
        <v/>
      </c>
      <c r="E391" s="120">
        <f>$B391-$C391-$D391</f>
        <v/>
      </c>
      <c r="F391" s="118">
        <f>KarsilikAyBasiKasa+SUM($E$6:E391)</f>
        <v/>
      </c>
      <c r="G391" s="120">
        <f>IF($F391&lt;KarsilikNakitEsigi,"EVET","HAYIR")</f>
        <v/>
      </c>
    </row>
    <row r="392" ht="15" customHeight="1" s="68">
      <c r="D392" s="120">
        <f>ROUND($B392*KarliyukNakitKarliikOrani,0)</f>
        <v/>
      </c>
      <c r="E392" s="120">
        <f>$B392-$C392-$D392</f>
        <v/>
      </c>
      <c r="F392" s="118">
        <f>KarsilikAyBasiKasa+SUM($E$6:E392)</f>
        <v/>
      </c>
      <c r="G392" s="120">
        <f>IF($F392&lt;KarsilikNakitEsigi,"EVET","HAYIR")</f>
        <v/>
      </c>
    </row>
    <row r="393" ht="15" customHeight="1" s="68">
      <c r="D393" s="120">
        <f>ROUND($B393*KarliyukNakitKarliikOrani,0)</f>
        <v/>
      </c>
      <c r="E393" s="120">
        <f>$B393-$C393-$D393</f>
        <v/>
      </c>
      <c r="F393" s="118">
        <f>KarsilikAyBasiKasa+SUM($E$6:E393)</f>
        <v/>
      </c>
      <c r="G393" s="120">
        <f>IF($F393&lt;KarsilikNakitEsigi,"EVET","HAYIR")</f>
        <v/>
      </c>
    </row>
    <row r="394" ht="15" customHeight="1" s="68">
      <c r="D394" s="120">
        <f>ROUND($B394*KarliyukNakitKarliikOrani,0)</f>
        <v/>
      </c>
      <c r="E394" s="120">
        <f>$B394-$C394-$D394</f>
        <v/>
      </c>
      <c r="F394" s="118">
        <f>KarsilikAyBasiKasa+SUM($E$6:E394)</f>
        <v/>
      </c>
      <c r="G394" s="120">
        <f>IF($F394&lt;KarsilikNakitEsigi,"EVET","HAYIR")</f>
        <v/>
      </c>
    </row>
    <row r="395" ht="15" customHeight="1" s="68">
      <c r="D395" s="120">
        <f>ROUND($B395*KarliyukNakitKarliikOrani,0)</f>
        <v/>
      </c>
      <c r="E395" s="120">
        <f>$B395-$C395-$D395</f>
        <v/>
      </c>
      <c r="F395" s="118">
        <f>KarsilikAyBasiKasa+SUM($E$6:E395)</f>
        <v/>
      </c>
      <c r="G395" s="120">
        <f>IF($F395&lt;KarsilikNakitEsigi,"EVET","HAYIR")</f>
        <v/>
      </c>
    </row>
    <row r="396" ht="15" customHeight="1" s="68">
      <c r="D396" s="120">
        <f>ROUND($B396*KarliyukNakitKarliikOrani,0)</f>
        <v/>
      </c>
      <c r="E396" s="120">
        <f>$B396-$C396-$D396</f>
        <v/>
      </c>
      <c r="F396" s="118">
        <f>KarsilikAyBasiKasa+SUM($E$6:E396)</f>
        <v/>
      </c>
      <c r="G396" s="120">
        <f>IF($F396&lt;KarsilikNakitEsigi,"EVET","HAYIR")</f>
        <v/>
      </c>
    </row>
    <row r="397" ht="15" customHeight="1" s="68">
      <c r="D397" s="120">
        <f>ROUND($B397*KarliyukNakitKarliikOrani,0)</f>
        <v/>
      </c>
      <c r="E397" s="120">
        <f>$B397-$C397-$D397</f>
        <v/>
      </c>
      <c r="F397" s="118">
        <f>KarsilikAyBasiKasa+SUM($E$6:E397)</f>
        <v/>
      </c>
      <c r="G397" s="120">
        <f>IF($F397&lt;KarsilikNakitEsigi,"EVET","HAYIR")</f>
        <v/>
      </c>
    </row>
    <row r="398" ht="15" customHeight="1" s="68">
      <c r="D398" s="120">
        <f>ROUND($B398*KarliyukNakitKarliikOrani,0)</f>
        <v/>
      </c>
      <c r="E398" s="120">
        <f>$B398-$C398-$D398</f>
        <v/>
      </c>
      <c r="F398" s="118">
        <f>KarsilikAyBasiKasa+SUM($E$6:E398)</f>
        <v/>
      </c>
      <c r="G398" s="120">
        <f>IF($F398&lt;KarsilikNakitEsigi,"EVET","HAYIR")</f>
        <v/>
      </c>
    </row>
    <row r="399" ht="15" customHeight="1" s="68">
      <c r="D399" s="120">
        <f>ROUND($B399*KarliyukNakitKarliikOrani,0)</f>
        <v/>
      </c>
      <c r="E399" s="120">
        <f>$B399-$C399-$D399</f>
        <v/>
      </c>
      <c r="F399" s="118">
        <f>KarsilikAyBasiKasa+SUM($E$6:E399)</f>
        <v/>
      </c>
      <c r="G399" s="120">
        <f>IF($F399&lt;KarsilikNakitEsigi,"EVET","HAYIR")</f>
        <v/>
      </c>
    </row>
    <row r="400" ht="15" customHeight="1" s="68">
      <c r="D400" s="120">
        <f>ROUND($B400*KarliyukNakitKarliikOrani,0)</f>
        <v/>
      </c>
      <c r="E400" s="120">
        <f>$B400-$C400-$D400</f>
        <v/>
      </c>
      <c r="F400" s="118">
        <f>KarsilikAyBasiKasa+SUM($E$6:E400)</f>
        <v/>
      </c>
      <c r="G400" s="120">
        <f>IF($F400&lt;KarsilikNakitEsigi,"EVET","HAYIR")</f>
        <v/>
      </c>
    </row>
    <row r="401" ht="15" customHeight="1" s="68">
      <c r="D401" s="120">
        <f>ROUND($B401*KarliyukNakitKarliikOrani,0)</f>
        <v/>
      </c>
      <c r="E401" s="120">
        <f>$B401-$C401-$D401</f>
        <v/>
      </c>
      <c r="F401" s="118">
        <f>KarsilikAyBasiKasa+SUM($E$6:E401)</f>
        <v/>
      </c>
      <c r="G401" s="120">
        <f>IF($F401&lt;KarsilikNakitEsigi,"EVET","HAYIR")</f>
        <v/>
      </c>
    </row>
    <row r="402" ht="15" customHeight="1" s="68">
      <c r="D402" s="120">
        <f>ROUND($B402*KarliyukNakitKarliikOrani,0)</f>
        <v/>
      </c>
      <c r="E402" s="120">
        <f>$B402-$C402-$D402</f>
        <v/>
      </c>
      <c r="F402" s="118">
        <f>KarsilikAyBasiKasa+SUM($E$6:E402)</f>
        <v/>
      </c>
      <c r="G402" s="120">
        <f>IF($F402&lt;KarsilikNakitEsigi,"EVET","HAYIR")</f>
        <v/>
      </c>
    </row>
    <row r="403" ht="15" customHeight="1" s="68">
      <c r="D403" s="120">
        <f>ROUND($B403*KarliyukNakitKarliikOrani,0)</f>
        <v/>
      </c>
      <c r="E403" s="120">
        <f>$B403-$C403-$D403</f>
        <v/>
      </c>
      <c r="F403" s="118">
        <f>KarsilikAyBasiKasa+SUM($E$6:E403)</f>
        <v/>
      </c>
      <c r="G403" s="120">
        <f>IF($F403&lt;KarsilikNakitEsigi,"EVET","HAYIR")</f>
        <v/>
      </c>
    </row>
    <row r="404" ht="15" customHeight="1" s="68">
      <c r="D404" s="120">
        <f>ROUND($B404*KarliyukNakitKarliikOrani,0)</f>
        <v/>
      </c>
      <c r="E404" s="120">
        <f>$B404-$C404-$D404</f>
        <v/>
      </c>
      <c r="F404" s="118">
        <f>KarsilikAyBasiKasa+SUM($E$6:E404)</f>
        <v/>
      </c>
      <c r="G404" s="120">
        <f>IF($F404&lt;KarsilikNakitEsigi,"EVET","HAYIR")</f>
        <v/>
      </c>
    </row>
    <row r="405" ht="15" customHeight="1" s="68">
      <c r="D405" s="120">
        <f>ROUND($B405*KarliyukNakitKarliikOrani,0)</f>
        <v/>
      </c>
      <c r="E405" s="120">
        <f>$B405-$C405-$D405</f>
        <v/>
      </c>
      <c r="F405" s="118">
        <f>KarsilikAyBasiKasa+SUM($E$6:E405)</f>
        <v/>
      </c>
      <c r="G405" s="120">
        <f>IF($F405&lt;KarsilikNakitEsigi,"EVET","HAYIR")</f>
        <v/>
      </c>
    </row>
    <row r="406" ht="15" customHeight="1" s="68">
      <c r="D406" s="120">
        <f>ROUND($B406*KarliyukNakitKarliikOrani,0)</f>
        <v/>
      </c>
      <c r="E406" s="120">
        <f>$B406-$C406-$D406</f>
        <v/>
      </c>
      <c r="F406" s="118">
        <f>KarsilikAyBasiKasa+SUM($E$6:E406)</f>
        <v/>
      </c>
      <c r="G406" s="120">
        <f>IF($F406&lt;KarsilikNakitEsigi,"EVET","HAYIR")</f>
        <v/>
      </c>
    </row>
    <row r="407" ht="15" customHeight="1" s="68">
      <c r="D407" s="120">
        <f>ROUND($B407*KarliyukNakitKarliikOrani,0)</f>
        <v/>
      </c>
      <c r="E407" s="120">
        <f>$B407-$C407-$D407</f>
        <v/>
      </c>
      <c r="F407" s="118">
        <f>KarsilikAyBasiKasa+SUM($E$6:E407)</f>
        <v/>
      </c>
      <c r="G407" s="120">
        <f>IF($F407&lt;KarsilikNakitEsigi,"EVET","HAYIR")</f>
        <v/>
      </c>
    </row>
    <row r="408" ht="15" customHeight="1" s="68">
      <c r="D408" s="120">
        <f>ROUND($B408*KarliyukNakitKarliikOrani,0)</f>
        <v/>
      </c>
      <c r="E408" s="120">
        <f>$B408-$C408-$D408</f>
        <v/>
      </c>
      <c r="F408" s="118">
        <f>KarsilikAyBasiKasa+SUM($E$6:E408)</f>
        <v/>
      </c>
      <c r="G408" s="120">
        <f>IF($F408&lt;KarsilikNakitEsigi,"EVET","HAYIR")</f>
        <v/>
      </c>
    </row>
    <row r="409" ht="15" customHeight="1" s="68">
      <c r="D409" s="120">
        <f>ROUND($B409*KarliyukNakitKarliikOrani,0)</f>
        <v/>
      </c>
      <c r="E409" s="120">
        <f>$B409-$C409-$D409</f>
        <v/>
      </c>
      <c r="F409" s="118">
        <f>KarsilikAyBasiKasa+SUM($E$6:E409)</f>
        <v/>
      </c>
      <c r="G409" s="120">
        <f>IF($F409&lt;KarsilikNakitEsigi,"EVET","HAYIR")</f>
        <v/>
      </c>
    </row>
    <row r="410" ht="15" customHeight="1" s="68">
      <c r="D410" s="120">
        <f>ROUND($B410*KarliyukNakitKarliikOrani,0)</f>
        <v/>
      </c>
      <c r="E410" s="120">
        <f>$B410-$C410-$D410</f>
        <v/>
      </c>
      <c r="F410" s="118">
        <f>KarsilikAyBasiKasa+SUM($E$6:E410)</f>
        <v/>
      </c>
      <c r="G410" s="120">
        <f>IF($F410&lt;KarsilikNakitEsigi,"EVET","HAYIR")</f>
        <v/>
      </c>
    </row>
    <row r="411" ht="15" customHeight="1" s="68">
      <c r="D411" s="120">
        <f>ROUND($B411*KarliyukNakitKarliikOrani,0)</f>
        <v/>
      </c>
      <c r="E411" s="120">
        <f>$B411-$C411-$D411</f>
        <v/>
      </c>
      <c r="F411" s="118">
        <f>KarsilikAyBasiKasa+SUM($E$6:E411)</f>
        <v/>
      </c>
      <c r="G411" s="120">
        <f>IF($F411&lt;KarsilikNakitEsigi,"EVET","HAYIR")</f>
        <v/>
      </c>
    </row>
    <row r="412" ht="15" customHeight="1" s="68">
      <c r="D412" s="120">
        <f>ROUND($B412*KarliyukNakitKarliikOrani,0)</f>
        <v/>
      </c>
      <c r="E412" s="120">
        <f>$B412-$C412-$D412</f>
        <v/>
      </c>
      <c r="F412" s="118">
        <f>KarsilikAyBasiKasa+SUM($E$6:E412)</f>
        <v/>
      </c>
      <c r="G412" s="120">
        <f>IF($F412&lt;KarsilikNakitEsigi,"EVET","HAYIR")</f>
        <v/>
      </c>
    </row>
    <row r="413" ht="15" customHeight="1" s="68">
      <c r="D413" s="120">
        <f>ROUND($B413*KarliyukNakitKarliikOrani,0)</f>
        <v/>
      </c>
      <c r="E413" s="120">
        <f>$B413-$C413-$D413</f>
        <v/>
      </c>
      <c r="F413" s="118">
        <f>KarsilikAyBasiKasa+SUM($E$6:E413)</f>
        <v/>
      </c>
      <c r="G413" s="120">
        <f>IF($F413&lt;KarsilikNakitEsigi,"EVET","HAYIR")</f>
        <v/>
      </c>
    </row>
    <row r="414" ht="15" customHeight="1" s="68">
      <c r="D414" s="120">
        <f>ROUND($B414*KarliyukNakitKarliikOrani,0)</f>
        <v/>
      </c>
      <c r="E414" s="120">
        <f>$B414-$C414-$D414</f>
        <v/>
      </c>
      <c r="F414" s="118">
        <f>KarsilikAyBasiKasa+SUM($E$6:E414)</f>
        <v/>
      </c>
      <c r="G414" s="120">
        <f>IF($F414&lt;KarsilikNakitEsigi,"EVET","HAYIR")</f>
        <v/>
      </c>
    </row>
    <row r="415" ht="15" customHeight="1" s="68">
      <c r="D415" s="120">
        <f>ROUND($B415*KarliyukNakitKarliikOrani,0)</f>
        <v/>
      </c>
      <c r="E415" s="120">
        <f>$B415-$C415-$D415</f>
        <v/>
      </c>
      <c r="F415" s="118">
        <f>KarsilikAyBasiKasa+SUM($E$6:E415)</f>
        <v/>
      </c>
      <c r="G415" s="120">
        <f>IF($F415&lt;KarsilikNakitEsigi,"EVET","HAYIR")</f>
        <v/>
      </c>
    </row>
    <row r="416" ht="15" customHeight="1" s="68">
      <c r="D416" s="120">
        <f>ROUND($B416*KarliyukNakitKarliikOrani,0)</f>
        <v/>
      </c>
      <c r="E416" s="120">
        <f>$B416-$C416-$D416</f>
        <v/>
      </c>
      <c r="F416" s="118">
        <f>KarsilikAyBasiKasa+SUM($E$6:E416)</f>
        <v/>
      </c>
      <c r="G416" s="120">
        <f>IF($F416&lt;KarsilikNakitEsigi,"EVET","HAYIR")</f>
        <v/>
      </c>
    </row>
    <row r="417" ht="15" customHeight="1" s="68">
      <c r="D417" s="120">
        <f>ROUND($B417*KarliyukNakitKarliikOrani,0)</f>
        <v/>
      </c>
      <c r="E417" s="120">
        <f>$B417-$C417-$D417</f>
        <v/>
      </c>
      <c r="F417" s="118">
        <f>KarsilikAyBasiKasa+SUM($E$6:E417)</f>
        <v/>
      </c>
      <c r="G417" s="120">
        <f>IF($F417&lt;KarsilikNakitEsigi,"EVET","HAYIR")</f>
        <v/>
      </c>
    </row>
    <row r="418" ht="15" customHeight="1" s="68">
      <c r="D418" s="120">
        <f>ROUND($B418*KarliyukNakitKarliikOrani,0)</f>
        <v/>
      </c>
      <c r="E418" s="120">
        <f>$B418-$C418-$D418</f>
        <v/>
      </c>
      <c r="F418" s="118">
        <f>KarsilikAyBasiKasa+SUM($E$6:E418)</f>
        <v/>
      </c>
      <c r="G418" s="120">
        <f>IF($F418&lt;KarsilikNakitEsigi,"EVET","HAYIR")</f>
        <v/>
      </c>
    </row>
    <row r="419" ht="15" customHeight="1" s="68">
      <c r="D419" s="120">
        <f>ROUND($B419*KarliyukNakitKarliikOrani,0)</f>
        <v/>
      </c>
      <c r="E419" s="120">
        <f>$B419-$C419-$D419</f>
        <v/>
      </c>
      <c r="F419" s="118">
        <f>KarsilikAyBasiKasa+SUM($E$6:E419)</f>
        <v/>
      </c>
      <c r="G419" s="120">
        <f>IF($F419&lt;KarsilikNakitEsigi,"EVET","HAYIR")</f>
        <v/>
      </c>
    </row>
    <row r="420" ht="15" customHeight="1" s="68">
      <c r="D420" s="120">
        <f>ROUND($B420*KarliyukNakitKarliikOrani,0)</f>
        <v/>
      </c>
      <c r="E420" s="120">
        <f>$B420-$C420-$D420</f>
        <v/>
      </c>
      <c r="F420" s="118">
        <f>KarsilikAyBasiKasa+SUM($E$6:E420)</f>
        <v/>
      </c>
      <c r="G420" s="120">
        <f>IF($F420&lt;KarsilikNakitEsigi,"EVET","HAYIR")</f>
        <v/>
      </c>
    </row>
    <row r="421" ht="15" customHeight="1" s="68">
      <c r="D421" s="120">
        <f>ROUND($B421*KarliyukNakitKarliikOrani,0)</f>
        <v/>
      </c>
      <c r="E421" s="120">
        <f>$B421-$C421-$D421</f>
        <v/>
      </c>
      <c r="F421" s="118">
        <f>KarsilikAyBasiKasa+SUM($E$6:E421)</f>
        <v/>
      </c>
      <c r="G421" s="120">
        <f>IF($F421&lt;KarsilikNakitEsigi,"EVET","HAYIR")</f>
        <v/>
      </c>
    </row>
    <row r="422" ht="15" customHeight="1" s="68">
      <c r="D422" s="120">
        <f>ROUND($B422*KarliyukNakitKarliikOrani,0)</f>
        <v/>
      </c>
      <c r="E422" s="120">
        <f>$B422-$C422-$D422</f>
        <v/>
      </c>
      <c r="F422" s="118">
        <f>KarsilikAyBasiKasa+SUM($E$6:E422)</f>
        <v/>
      </c>
      <c r="G422" s="120">
        <f>IF($F422&lt;KarsilikNakitEsigi,"EVET","HAYIR")</f>
        <v/>
      </c>
    </row>
    <row r="423" ht="15" customHeight="1" s="68">
      <c r="D423" s="120">
        <f>ROUND($B423*KarliyukNakitKarliikOrani,0)</f>
        <v/>
      </c>
      <c r="E423" s="120">
        <f>$B423-$C423-$D423</f>
        <v/>
      </c>
      <c r="F423" s="118">
        <f>KarsilikAyBasiKasa+SUM($E$6:E423)</f>
        <v/>
      </c>
      <c r="G423" s="120">
        <f>IF($F423&lt;KarsilikNakitEsigi,"EVET","HAYIR")</f>
        <v/>
      </c>
    </row>
    <row r="424" ht="15" customHeight="1" s="68">
      <c r="D424" s="120">
        <f>ROUND($B424*KarliyukNakitKarliikOrani,0)</f>
        <v/>
      </c>
      <c r="E424" s="120">
        <f>$B424-$C424-$D424</f>
        <v/>
      </c>
      <c r="F424" s="118">
        <f>KarsilikAyBasiKasa+SUM($E$6:E424)</f>
        <v/>
      </c>
      <c r="G424" s="120">
        <f>IF($F424&lt;KarsilikNakitEsigi,"EVET","HAYIR")</f>
        <v/>
      </c>
    </row>
    <row r="425" ht="15" customHeight="1" s="68">
      <c r="D425" s="120">
        <f>ROUND($B425*KarliyukNakitKarliikOrani,0)</f>
        <v/>
      </c>
      <c r="E425" s="120">
        <f>$B425-$C425-$D425</f>
        <v/>
      </c>
      <c r="F425" s="118">
        <f>KarsilikAyBasiKasa+SUM($E$6:E425)</f>
        <v/>
      </c>
      <c r="G425" s="120">
        <f>IF($F425&lt;KarsilikNakitEsigi,"EVET","HAYIR")</f>
        <v/>
      </c>
    </row>
    <row r="426" ht="15" customHeight="1" s="68">
      <c r="D426" s="120">
        <f>ROUND($B426*KarliyukNakitKarliikOrani,0)</f>
        <v/>
      </c>
      <c r="E426" s="120">
        <f>$B426-$C426-$D426</f>
        <v/>
      </c>
      <c r="F426" s="118">
        <f>KarsilikAyBasiKasa+SUM($E$6:E426)</f>
        <v/>
      </c>
      <c r="G426" s="120">
        <f>IF($F426&lt;KarsilikNakitEsigi,"EVET","HAYIR")</f>
        <v/>
      </c>
    </row>
    <row r="427" ht="15" customHeight="1" s="68">
      <c r="D427" s="120">
        <f>ROUND($B427*KarliyukNakitKarliikOrani,0)</f>
        <v/>
      </c>
      <c r="E427" s="120">
        <f>$B427-$C427-$D427</f>
        <v/>
      </c>
      <c r="F427" s="118">
        <f>KarsilikAyBasiKasa+SUM($E$6:E427)</f>
        <v/>
      </c>
      <c r="G427" s="120">
        <f>IF($F427&lt;KarsilikNakitEsigi,"EVET","HAYIR")</f>
        <v/>
      </c>
    </row>
    <row r="428" ht="15" customHeight="1" s="68">
      <c r="D428" s="120">
        <f>ROUND($B428*KarliyukNakitKarliikOrani,0)</f>
        <v/>
      </c>
      <c r="E428" s="120">
        <f>$B428-$C428-$D428</f>
        <v/>
      </c>
      <c r="F428" s="118">
        <f>KarsilikAyBasiKasa+SUM($E$6:E428)</f>
        <v/>
      </c>
      <c r="G428" s="120">
        <f>IF($F428&lt;KarsilikNakitEsigi,"EVET","HAYIR")</f>
        <v/>
      </c>
    </row>
    <row r="429" ht="15" customHeight="1" s="68">
      <c r="D429" s="120">
        <f>ROUND($B429*KarliyukNakitKarliikOrani,0)</f>
        <v/>
      </c>
      <c r="E429" s="120">
        <f>$B429-$C429-$D429</f>
        <v/>
      </c>
      <c r="F429" s="118">
        <f>KarsilikAyBasiKasa+SUM($E$6:E429)</f>
        <v/>
      </c>
      <c r="G429" s="120">
        <f>IF($F429&lt;KarsilikNakitEsigi,"EVET","HAYIR")</f>
        <v/>
      </c>
    </row>
    <row r="430" ht="15" customHeight="1" s="68">
      <c r="D430" s="120">
        <f>ROUND($B430*KarliyukNakitKarliikOrani,0)</f>
        <v/>
      </c>
      <c r="E430" s="120">
        <f>$B430-$C430-$D430</f>
        <v/>
      </c>
      <c r="F430" s="118">
        <f>KarsilikAyBasiKasa+SUM($E$6:E430)</f>
        <v/>
      </c>
      <c r="G430" s="120">
        <f>IF($F430&lt;KarsilikNakitEsigi,"EVET","HAYIR")</f>
        <v/>
      </c>
    </row>
    <row r="431" ht="15" customHeight="1" s="68">
      <c r="D431" s="120">
        <f>ROUND($B431*KarliyukNakitKarliikOrani,0)</f>
        <v/>
      </c>
      <c r="E431" s="120">
        <f>$B431-$C431-$D431</f>
        <v/>
      </c>
      <c r="F431" s="118">
        <f>KarsilikAyBasiKasa+SUM($E$6:E431)</f>
        <v/>
      </c>
      <c r="G431" s="120">
        <f>IF($F431&lt;KarsilikNakitEsigi,"EVET","HAYIR")</f>
        <v/>
      </c>
    </row>
    <row r="432" ht="15" customHeight="1" s="68">
      <c r="D432" s="120">
        <f>ROUND($B432*KarliyukNakitKarliikOrani,0)</f>
        <v/>
      </c>
      <c r="E432" s="120">
        <f>$B432-$C432-$D432</f>
        <v/>
      </c>
      <c r="F432" s="118">
        <f>KarsilikAyBasiKasa+SUM($E$6:E432)</f>
        <v/>
      </c>
      <c r="G432" s="120">
        <f>IF($F432&lt;KarsilikNakitEsigi,"EVET","HAYIR")</f>
        <v/>
      </c>
    </row>
    <row r="433" ht="15" customHeight="1" s="68">
      <c r="D433" s="120">
        <f>ROUND($B433*KarliyukNakitKarliikOrani,0)</f>
        <v/>
      </c>
      <c r="E433" s="120">
        <f>$B433-$C433-$D433</f>
        <v/>
      </c>
      <c r="F433" s="118">
        <f>KarsilikAyBasiKasa+SUM($E$6:E433)</f>
        <v/>
      </c>
      <c r="G433" s="120">
        <f>IF($F433&lt;KarsilikNakitEsigi,"EVET","HAYIR")</f>
        <v/>
      </c>
    </row>
    <row r="434" ht="15" customHeight="1" s="68">
      <c r="D434" s="120">
        <f>ROUND($B434*KarliyukNakitKarliikOrani,0)</f>
        <v/>
      </c>
      <c r="E434" s="120">
        <f>$B434-$C434-$D434</f>
        <v/>
      </c>
      <c r="F434" s="118">
        <f>KarsilikAyBasiKasa+SUM($E$6:E434)</f>
        <v/>
      </c>
      <c r="G434" s="120">
        <f>IF($F434&lt;KarsilikNakitEsigi,"EVET","HAYIR")</f>
        <v/>
      </c>
    </row>
    <row r="435" ht="15" customHeight="1" s="68">
      <c r="D435" s="120">
        <f>ROUND($B435*KarliyukNakitKarliikOrani,0)</f>
        <v/>
      </c>
      <c r="E435" s="120">
        <f>$B435-$C435-$D435</f>
        <v/>
      </c>
      <c r="F435" s="118">
        <f>KarsilikAyBasiKasa+SUM($E$6:E435)</f>
        <v/>
      </c>
      <c r="G435" s="120">
        <f>IF($F435&lt;KarsilikNakitEsigi,"EVET","HAYIR")</f>
        <v/>
      </c>
    </row>
    <row r="436" ht="15" customHeight="1" s="68">
      <c r="D436" s="120">
        <f>ROUND($B436*KarliyukNakitKarliikOrani,0)</f>
        <v/>
      </c>
      <c r="E436" s="120">
        <f>$B436-$C436-$D436</f>
        <v/>
      </c>
      <c r="F436" s="118">
        <f>KarsilikAyBasiKasa+SUM($E$6:E436)</f>
        <v/>
      </c>
      <c r="G436" s="120">
        <f>IF($F436&lt;KarsilikNakitEsigi,"EVET","HAYIR")</f>
        <v/>
      </c>
    </row>
    <row r="437" ht="15" customHeight="1" s="68">
      <c r="D437" s="120">
        <f>ROUND($B437*KarliyukNakitKarliikOrani,0)</f>
        <v/>
      </c>
      <c r="E437" s="120">
        <f>$B437-$C437-$D437</f>
        <v/>
      </c>
      <c r="F437" s="118">
        <f>KarsilikAyBasiKasa+SUM($E$6:E437)</f>
        <v/>
      </c>
      <c r="G437" s="120">
        <f>IF($F437&lt;KarsilikNakitEsigi,"EVET","HAYIR")</f>
        <v/>
      </c>
    </row>
    <row r="438" ht="15" customHeight="1" s="68">
      <c r="D438" s="120">
        <f>ROUND($B438*KarliyukNakitKarliikOrani,0)</f>
        <v/>
      </c>
      <c r="E438" s="120">
        <f>$B438-$C438-$D438</f>
        <v/>
      </c>
      <c r="F438" s="118">
        <f>KarsilikAyBasiKasa+SUM($E$6:E438)</f>
        <v/>
      </c>
      <c r="G438" s="120">
        <f>IF($F438&lt;KarsilikNakitEsigi,"EVET","HAYIR")</f>
        <v/>
      </c>
    </row>
    <row r="439" ht="15" customHeight="1" s="68">
      <c r="D439" s="120">
        <f>ROUND($B439*KarliyukNakitKarliikOrani,0)</f>
        <v/>
      </c>
      <c r="E439" s="120">
        <f>$B439-$C439-$D439</f>
        <v/>
      </c>
      <c r="F439" s="118">
        <f>KarsilikAyBasiKasa+SUM($E$6:E439)</f>
        <v/>
      </c>
      <c r="G439" s="120">
        <f>IF($F439&lt;KarsilikNakitEsigi,"EVET","HAYIR")</f>
        <v/>
      </c>
    </row>
    <row r="440" ht="15" customHeight="1" s="68">
      <c r="D440" s="120">
        <f>ROUND($B440*KarliyukNakitKarliikOrani,0)</f>
        <v/>
      </c>
      <c r="E440" s="120">
        <f>$B440-$C440-$D440</f>
        <v/>
      </c>
      <c r="F440" s="118">
        <f>KarsilikAyBasiKasa+SUM($E$6:E440)</f>
        <v/>
      </c>
      <c r="G440" s="120">
        <f>IF($F440&lt;KarsilikNakitEsigi,"EVET","HAYIR")</f>
        <v/>
      </c>
    </row>
    <row r="441" ht="15" customHeight="1" s="68">
      <c r="D441" s="120">
        <f>ROUND($B441*KarliyukNakitKarliikOrani,0)</f>
        <v/>
      </c>
      <c r="E441" s="120">
        <f>$B441-$C441-$D441</f>
        <v/>
      </c>
      <c r="F441" s="118">
        <f>KarsilikAyBasiKasa+SUM($E$6:E441)</f>
        <v/>
      </c>
      <c r="G441" s="120">
        <f>IF($F441&lt;KarsilikNakitEsigi,"EVET","HAYIR")</f>
        <v/>
      </c>
    </row>
    <row r="442" ht="15" customHeight="1" s="68">
      <c r="D442" s="120">
        <f>ROUND($B442*KarliyukNakitKarliikOrani,0)</f>
        <v/>
      </c>
      <c r="E442" s="120">
        <f>$B442-$C442-$D442</f>
        <v/>
      </c>
      <c r="F442" s="118">
        <f>KarsilikAyBasiKasa+SUM($E$6:E442)</f>
        <v/>
      </c>
      <c r="G442" s="120">
        <f>IF($F442&lt;KarsilikNakitEsigi,"EVET","HAYIR")</f>
        <v/>
      </c>
    </row>
    <row r="443" ht="15" customHeight="1" s="68">
      <c r="D443" s="120">
        <f>ROUND($B443*KarliyukNakitKarliikOrani,0)</f>
        <v/>
      </c>
      <c r="E443" s="120">
        <f>$B443-$C443-$D443</f>
        <v/>
      </c>
      <c r="F443" s="118">
        <f>KarsilikAyBasiKasa+SUM($E$6:E443)</f>
        <v/>
      </c>
      <c r="G443" s="120">
        <f>IF($F443&lt;KarsilikNakitEsigi,"EVET","HAYIR")</f>
        <v/>
      </c>
    </row>
    <row r="444" ht="15" customHeight="1" s="68">
      <c r="D444" s="120">
        <f>ROUND($B444*KarliyukNakitKarliikOrani,0)</f>
        <v/>
      </c>
      <c r="E444" s="120">
        <f>$B444-$C444-$D444</f>
        <v/>
      </c>
      <c r="F444" s="118">
        <f>KarsilikAyBasiKasa+SUM($E$6:E444)</f>
        <v/>
      </c>
      <c r="G444" s="120">
        <f>IF($F444&lt;KarsilikNakitEsigi,"EVET","HAYIR")</f>
        <v/>
      </c>
    </row>
    <row r="445" ht="15" customHeight="1" s="68">
      <c r="D445" s="120">
        <f>ROUND($B445*KarliyukNakitKarliikOrani,0)</f>
        <v/>
      </c>
      <c r="E445" s="120">
        <f>$B445-$C445-$D445</f>
        <v/>
      </c>
      <c r="F445" s="118">
        <f>KarsilikAyBasiKasa+SUM($E$6:E445)</f>
        <v/>
      </c>
      <c r="G445" s="120">
        <f>IF($F445&lt;KarsilikNakitEsigi,"EVET","HAYIR")</f>
        <v/>
      </c>
    </row>
    <row r="446" ht="15" customHeight="1" s="68">
      <c r="D446" s="120">
        <f>ROUND($B446*KarliyukNakitKarliikOrani,0)</f>
        <v/>
      </c>
      <c r="E446" s="120">
        <f>$B446-$C446-$D446</f>
        <v/>
      </c>
      <c r="F446" s="118">
        <f>KarsilikAyBasiKasa+SUM($E$6:E446)</f>
        <v/>
      </c>
      <c r="G446" s="120">
        <f>IF($F446&lt;KarsilikNakitEsigi,"EVET","HAYIR")</f>
        <v/>
      </c>
    </row>
    <row r="447" ht="15" customHeight="1" s="68">
      <c r="D447" s="120">
        <f>ROUND($B447*KarliyukNakitKarliikOrani,0)</f>
        <v/>
      </c>
      <c r="E447" s="120">
        <f>$B447-$C447-$D447</f>
        <v/>
      </c>
      <c r="F447" s="118">
        <f>KarsilikAyBasiKasa+SUM($E$6:E447)</f>
        <v/>
      </c>
      <c r="G447" s="120">
        <f>IF($F447&lt;KarsilikNakitEsigi,"EVET","HAYIR")</f>
        <v/>
      </c>
    </row>
    <row r="448" ht="15" customHeight="1" s="68">
      <c r="D448" s="120">
        <f>ROUND($B448*KarliyukNakitKarliikOrani,0)</f>
        <v/>
      </c>
      <c r="E448" s="120">
        <f>$B448-$C448-$D448</f>
        <v/>
      </c>
      <c r="F448" s="118">
        <f>KarsilikAyBasiKasa+SUM($E$6:E448)</f>
        <v/>
      </c>
      <c r="G448" s="120">
        <f>IF($F448&lt;KarsilikNakitEsigi,"EVET","HAYIR")</f>
        <v/>
      </c>
    </row>
    <row r="449" ht="15" customHeight="1" s="68">
      <c r="D449" s="120">
        <f>ROUND($B449*KarliyukNakitKarliikOrani,0)</f>
        <v/>
      </c>
      <c r="E449" s="120">
        <f>$B449-$C449-$D449</f>
        <v/>
      </c>
      <c r="F449" s="118">
        <f>KarsilikAyBasiKasa+SUM($E$6:E449)</f>
        <v/>
      </c>
      <c r="G449" s="120">
        <f>IF($F449&lt;KarsilikNakitEsigi,"EVET","HAYIR")</f>
        <v/>
      </c>
    </row>
    <row r="450" ht="15" customHeight="1" s="68">
      <c r="D450" s="120">
        <f>ROUND($B450*KarliyukNakitKarliikOrani,0)</f>
        <v/>
      </c>
      <c r="E450" s="120">
        <f>$B450-$C450-$D450</f>
        <v/>
      </c>
      <c r="F450" s="118">
        <f>KarsilikAyBasiKasa+SUM($E$6:E450)</f>
        <v/>
      </c>
      <c r="G450" s="120">
        <f>IF($F450&lt;KarsilikNakitEsigi,"EVET","HAYIR")</f>
        <v/>
      </c>
    </row>
    <row r="451" ht="15" customHeight="1" s="68">
      <c r="D451" s="120">
        <f>ROUND($B451*KarliyukNakitKarliikOrani,0)</f>
        <v/>
      </c>
      <c r="E451" s="120">
        <f>$B451-$C451-$D451</f>
        <v/>
      </c>
      <c r="F451" s="118">
        <f>KarsilikAyBasiKasa+SUM($E$6:E451)</f>
        <v/>
      </c>
      <c r="G451" s="120">
        <f>IF($F451&lt;KarsilikNakitEsigi,"EVET","HAYIR")</f>
        <v/>
      </c>
    </row>
    <row r="452" ht="15" customHeight="1" s="68">
      <c r="D452" s="120">
        <f>ROUND($B452*KarliyukNakitKarliikOrani,0)</f>
        <v/>
      </c>
      <c r="E452" s="120">
        <f>$B452-$C452-$D452</f>
        <v/>
      </c>
      <c r="F452" s="118">
        <f>KarsilikAyBasiKasa+SUM($E$6:E452)</f>
        <v/>
      </c>
      <c r="G452" s="120">
        <f>IF($F452&lt;KarsilikNakitEsigi,"EVET","HAYIR")</f>
        <v/>
      </c>
    </row>
    <row r="453" ht="15" customHeight="1" s="68">
      <c r="D453" s="120">
        <f>ROUND($B453*KarliyukNakitKarliikOrani,0)</f>
        <v/>
      </c>
      <c r="E453" s="120">
        <f>$B453-$C453-$D453</f>
        <v/>
      </c>
      <c r="F453" s="118">
        <f>KarsilikAyBasiKasa+SUM($E$6:E453)</f>
        <v/>
      </c>
      <c r="G453" s="120">
        <f>IF($F453&lt;KarsilikNakitEsigi,"EVET","HAYIR")</f>
        <v/>
      </c>
    </row>
    <row r="454" ht="15" customHeight="1" s="68">
      <c r="D454" s="120">
        <f>ROUND($B454*KarliyukNakitKarliikOrani,0)</f>
        <v/>
      </c>
      <c r="E454" s="120">
        <f>$B454-$C454-$D454</f>
        <v/>
      </c>
      <c r="F454" s="118">
        <f>KarsilikAyBasiKasa+SUM($E$6:E454)</f>
        <v/>
      </c>
      <c r="G454" s="120">
        <f>IF($F454&lt;KarsilikNakitEsigi,"EVET","HAYIR")</f>
        <v/>
      </c>
    </row>
    <row r="455" ht="15" customHeight="1" s="68">
      <c r="D455" s="120">
        <f>ROUND($B455*KarliyukNakitKarliikOrani,0)</f>
        <v/>
      </c>
      <c r="E455" s="120">
        <f>$B455-$C455-$D455</f>
        <v/>
      </c>
      <c r="F455" s="118">
        <f>KarsilikAyBasiKasa+SUM($E$6:E455)</f>
        <v/>
      </c>
      <c r="G455" s="120">
        <f>IF($F455&lt;KarsilikNakitEsigi,"EVET","HAYIR")</f>
        <v/>
      </c>
    </row>
    <row r="456" ht="15" customHeight="1" s="68">
      <c r="D456" s="120">
        <f>ROUND($B456*KarliyukNakitKarliikOrani,0)</f>
        <v/>
      </c>
      <c r="E456" s="120">
        <f>$B456-$C456-$D456</f>
        <v/>
      </c>
      <c r="F456" s="118">
        <f>KarsilikAyBasiKasa+SUM($E$6:E456)</f>
        <v/>
      </c>
      <c r="G456" s="120">
        <f>IF($F456&lt;KarsilikNakitEsigi,"EVET","HAYIR")</f>
        <v/>
      </c>
    </row>
    <row r="457" ht="15" customHeight="1" s="68">
      <c r="D457" s="120">
        <f>ROUND($B457*KarliyukNakitKarliikOrani,0)</f>
        <v/>
      </c>
      <c r="E457" s="120">
        <f>$B457-$C457-$D457</f>
        <v/>
      </c>
      <c r="F457" s="118">
        <f>KarsilikAyBasiKasa+SUM($E$6:E457)</f>
        <v/>
      </c>
      <c r="G457" s="120">
        <f>IF($F457&lt;KarsilikNakitEsigi,"EVET","HAYIR")</f>
        <v/>
      </c>
    </row>
    <row r="458" ht="15" customHeight="1" s="68">
      <c r="D458" s="120">
        <f>ROUND($B458*KarliyukNakitKarliikOrani,0)</f>
        <v/>
      </c>
      <c r="E458" s="120">
        <f>$B458-$C458-$D458</f>
        <v/>
      </c>
      <c r="F458" s="118">
        <f>KarsilikAyBasiKasa+SUM($E$6:E458)</f>
        <v/>
      </c>
      <c r="G458" s="120">
        <f>IF($F458&lt;KarsilikNakitEsigi,"EVET","HAYIR")</f>
        <v/>
      </c>
    </row>
    <row r="459" ht="15" customHeight="1" s="68">
      <c r="D459" s="120">
        <f>ROUND($B459*KarliyukNakitKarliikOrani,0)</f>
        <v/>
      </c>
      <c r="E459" s="120">
        <f>$B459-$C459-$D459</f>
        <v/>
      </c>
      <c r="F459" s="118">
        <f>KarsilikAyBasiKasa+SUM($E$6:E459)</f>
        <v/>
      </c>
      <c r="G459" s="120">
        <f>IF($F459&lt;KarsilikNakitEsigi,"EVET","HAYIR")</f>
        <v/>
      </c>
    </row>
    <row r="460" ht="15" customHeight="1" s="68">
      <c r="D460" s="120">
        <f>ROUND($B460*KarliyukNakitKarliikOrani,0)</f>
        <v/>
      </c>
      <c r="E460" s="120">
        <f>$B460-$C460-$D460</f>
        <v/>
      </c>
      <c r="F460" s="118">
        <f>KarsilikAyBasiKasa+SUM($E$6:E460)</f>
        <v/>
      </c>
      <c r="G460" s="120">
        <f>IF($F460&lt;KarsilikNakitEsigi,"EVET","HAYIR")</f>
        <v/>
      </c>
    </row>
    <row r="461" ht="15" customHeight="1" s="68">
      <c r="D461" s="120">
        <f>ROUND($B461*KarliyukNakitKarliikOrani,0)</f>
        <v/>
      </c>
      <c r="E461" s="120">
        <f>$B461-$C461-$D461</f>
        <v/>
      </c>
      <c r="F461" s="118">
        <f>KarsilikAyBasiKasa+SUM($E$6:E461)</f>
        <v/>
      </c>
      <c r="G461" s="120">
        <f>IF($F461&lt;KarsilikNakitEsigi,"EVET","HAYIR")</f>
        <v/>
      </c>
    </row>
    <row r="462" ht="15" customHeight="1" s="68">
      <c r="D462" s="120">
        <f>ROUND($B462*KarliyukNakitKarliikOrani,0)</f>
        <v/>
      </c>
      <c r="E462" s="120">
        <f>$B462-$C462-$D462</f>
        <v/>
      </c>
      <c r="F462" s="118">
        <f>KarsilikAyBasiKasa+SUM($E$6:E462)</f>
        <v/>
      </c>
      <c r="G462" s="120">
        <f>IF($F462&lt;KarsilikNakitEsigi,"EVET","HAYIR")</f>
        <v/>
      </c>
    </row>
    <row r="463" ht="15" customHeight="1" s="68">
      <c r="D463" s="120">
        <f>ROUND($B463*KarliyukNakitKarliikOrani,0)</f>
        <v/>
      </c>
      <c r="E463" s="120">
        <f>$B463-$C463-$D463</f>
        <v/>
      </c>
      <c r="F463" s="118">
        <f>KarsilikAyBasiKasa+SUM($E$6:E463)</f>
        <v/>
      </c>
      <c r="G463" s="120">
        <f>IF($F463&lt;KarsilikNakitEsigi,"EVET","HAYIR")</f>
        <v/>
      </c>
    </row>
    <row r="464" ht="15" customHeight="1" s="68">
      <c r="D464" s="120">
        <f>ROUND($B464*KarliyukNakitKarliikOrani,0)</f>
        <v/>
      </c>
      <c r="E464" s="120">
        <f>$B464-$C464-$D464</f>
        <v/>
      </c>
      <c r="F464" s="118">
        <f>KarsilikAyBasiKasa+SUM($E$6:E464)</f>
        <v/>
      </c>
      <c r="G464" s="120">
        <f>IF($F464&lt;KarsilikNakitEsigi,"EVET","HAYIR")</f>
        <v/>
      </c>
    </row>
    <row r="465" ht="15" customHeight="1" s="68">
      <c r="D465" s="120">
        <f>ROUND($B465*KarliyukNakitKarliikOrani,0)</f>
        <v/>
      </c>
      <c r="E465" s="120">
        <f>$B465-$C465-$D465</f>
        <v/>
      </c>
      <c r="F465" s="118">
        <f>KarsilikAyBasiKasa+SUM($E$6:E465)</f>
        <v/>
      </c>
      <c r="G465" s="120">
        <f>IF($F465&lt;KarsilikNakitEsigi,"EVET","HAYIR")</f>
        <v/>
      </c>
    </row>
    <row r="466" ht="15" customHeight="1" s="68">
      <c r="D466" s="120">
        <f>ROUND($B466*KarliyukNakitKarliikOrani,0)</f>
        <v/>
      </c>
      <c r="E466" s="120">
        <f>$B466-$C466-$D466</f>
        <v/>
      </c>
      <c r="F466" s="118">
        <f>KarsilikAyBasiKasa+SUM($E$6:E466)</f>
        <v/>
      </c>
      <c r="G466" s="120">
        <f>IF($F466&lt;KarsilikNakitEsigi,"EVET","HAYIR")</f>
        <v/>
      </c>
    </row>
    <row r="467" ht="15" customHeight="1" s="68">
      <c r="D467" s="120">
        <f>ROUND($B467*KarliyukNakitKarliikOrani,0)</f>
        <v/>
      </c>
      <c r="E467" s="120">
        <f>$B467-$C467-$D467</f>
        <v/>
      </c>
      <c r="F467" s="118">
        <f>KarsilikAyBasiKasa+SUM($E$6:E467)</f>
        <v/>
      </c>
      <c r="G467" s="120">
        <f>IF($F467&lt;KarsilikNakitEsigi,"EVET","HAYIR")</f>
        <v/>
      </c>
    </row>
    <row r="468" ht="15" customHeight="1" s="68">
      <c r="D468" s="120">
        <f>ROUND($B468*KarliyukNakitKarliikOrani,0)</f>
        <v/>
      </c>
      <c r="E468" s="120">
        <f>$B468-$C468-$D468</f>
        <v/>
      </c>
      <c r="F468" s="118">
        <f>KarsilikAyBasiKasa+SUM($E$6:E468)</f>
        <v/>
      </c>
      <c r="G468" s="120">
        <f>IF($F468&lt;KarsilikNakitEsigi,"EVET","HAYIR")</f>
        <v/>
      </c>
    </row>
    <row r="469" ht="15" customHeight="1" s="68">
      <c r="D469" s="120">
        <f>ROUND($B469*KarliyukNakitKarliikOrani,0)</f>
        <v/>
      </c>
      <c r="E469" s="120">
        <f>$B469-$C469-$D469</f>
        <v/>
      </c>
      <c r="F469" s="118">
        <f>KarsilikAyBasiKasa+SUM($E$6:E469)</f>
        <v/>
      </c>
      <c r="G469" s="120">
        <f>IF($F469&lt;KarsilikNakitEsigi,"EVET","HAYIR")</f>
        <v/>
      </c>
    </row>
    <row r="470" ht="15" customHeight="1" s="68">
      <c r="D470" s="120">
        <f>ROUND($B470*KarliyukNakitKarliikOrani,0)</f>
        <v/>
      </c>
      <c r="E470" s="120">
        <f>$B470-$C470-$D470</f>
        <v/>
      </c>
      <c r="F470" s="118">
        <f>KarsilikAyBasiKasa+SUM($E$6:E470)</f>
        <v/>
      </c>
      <c r="G470" s="120">
        <f>IF($F470&lt;KarsilikNakitEsigi,"EVET","HAYIR")</f>
        <v/>
      </c>
    </row>
    <row r="471" ht="15" customHeight="1" s="68">
      <c r="D471" s="120">
        <f>ROUND($B471*KarliyukNakitKarliikOrani,0)</f>
        <v/>
      </c>
      <c r="E471" s="120">
        <f>$B471-$C471-$D471</f>
        <v/>
      </c>
      <c r="F471" s="118">
        <f>KarsilikAyBasiKasa+SUM($E$6:E471)</f>
        <v/>
      </c>
      <c r="G471" s="120">
        <f>IF($F471&lt;KarsilikNakitEsigi,"EVET","HAYIR")</f>
        <v/>
      </c>
    </row>
    <row r="472" ht="15" customHeight="1" s="68">
      <c r="D472" s="120">
        <f>ROUND($B472*KarliyukNakitKarliikOrani,0)</f>
        <v/>
      </c>
      <c r="E472" s="120">
        <f>$B472-$C472-$D472</f>
        <v/>
      </c>
      <c r="F472" s="118">
        <f>KarsilikAyBasiKasa+SUM($E$6:E472)</f>
        <v/>
      </c>
      <c r="G472" s="120">
        <f>IF($F472&lt;KarsilikNakitEsigi,"EVET","HAYIR")</f>
        <v/>
      </c>
    </row>
    <row r="473" ht="15" customHeight="1" s="68">
      <c r="D473" s="120">
        <f>ROUND($B473*KarliyukNakitKarliikOrani,0)</f>
        <v/>
      </c>
      <c r="E473" s="120">
        <f>$B473-$C473-$D473</f>
        <v/>
      </c>
      <c r="F473" s="118">
        <f>KarsilikAyBasiKasa+SUM($E$6:E473)</f>
        <v/>
      </c>
      <c r="G473" s="120">
        <f>IF($F473&lt;KarsilikNakitEsigi,"EVET","HAYIR")</f>
        <v/>
      </c>
    </row>
    <row r="474" ht="15" customHeight="1" s="68">
      <c r="D474" s="120">
        <f>ROUND($B474*KarliyukNakitKarliikOrani,0)</f>
        <v/>
      </c>
      <c r="E474" s="120">
        <f>$B474-$C474-$D474</f>
        <v/>
      </c>
      <c r="F474" s="118">
        <f>KarsilikAyBasiKasa+SUM($E$6:E474)</f>
        <v/>
      </c>
      <c r="G474" s="120">
        <f>IF($F474&lt;KarsilikNakitEsigi,"EVET","HAYIR")</f>
        <v/>
      </c>
    </row>
    <row r="475" ht="15" customHeight="1" s="68">
      <c r="D475" s="120">
        <f>ROUND($B475*KarliyukNakitKarliikOrani,0)</f>
        <v/>
      </c>
      <c r="E475" s="120">
        <f>$B475-$C475-$D475</f>
        <v/>
      </c>
      <c r="F475" s="118">
        <f>KarsilikAyBasiKasa+SUM($E$6:E475)</f>
        <v/>
      </c>
      <c r="G475" s="120">
        <f>IF($F475&lt;KarsilikNakitEsigi,"EVET","HAYIR")</f>
        <v/>
      </c>
    </row>
    <row r="476" ht="15" customHeight="1" s="68">
      <c r="D476" s="120">
        <f>ROUND($B476*KarliyukNakitKarliikOrani,0)</f>
        <v/>
      </c>
      <c r="E476" s="120">
        <f>$B476-$C476-$D476</f>
        <v/>
      </c>
      <c r="F476" s="118">
        <f>KarsilikAyBasiKasa+SUM($E$6:E476)</f>
        <v/>
      </c>
      <c r="G476" s="120">
        <f>IF($F476&lt;KarsilikNakitEsigi,"EVET","HAYIR")</f>
        <v/>
      </c>
    </row>
    <row r="477" ht="15" customHeight="1" s="68">
      <c r="D477" s="120">
        <f>ROUND($B477*KarliyukNakitKarliikOrani,0)</f>
        <v/>
      </c>
      <c r="E477" s="120">
        <f>$B477-$C477-$D477</f>
        <v/>
      </c>
      <c r="F477" s="118">
        <f>KarsilikAyBasiKasa+SUM($E$6:E477)</f>
        <v/>
      </c>
      <c r="G477" s="120">
        <f>IF($F477&lt;KarsilikNakitEsigi,"EVET","HAYIR")</f>
        <v/>
      </c>
    </row>
    <row r="478" ht="15" customHeight="1" s="68">
      <c r="D478" s="120">
        <f>ROUND($B478*KarliyukNakitKarliikOrani,0)</f>
        <v/>
      </c>
      <c r="E478" s="120">
        <f>$B478-$C478-$D478</f>
        <v/>
      </c>
      <c r="F478" s="118">
        <f>KarsilikAyBasiKasa+SUM($E$6:E478)</f>
        <v/>
      </c>
      <c r="G478" s="120">
        <f>IF($F478&lt;KarsilikNakitEsigi,"EVET","HAYIR")</f>
        <v/>
      </c>
    </row>
    <row r="479" ht="15" customHeight="1" s="68">
      <c r="D479" s="120">
        <f>ROUND($B479*KarliyukNakitKarliikOrani,0)</f>
        <v/>
      </c>
      <c r="E479" s="120">
        <f>$B479-$C479-$D479</f>
        <v/>
      </c>
      <c r="F479" s="118">
        <f>KarsilikAyBasiKasa+SUM($E$6:E479)</f>
        <v/>
      </c>
      <c r="G479" s="120">
        <f>IF($F479&lt;KarsilikNakitEsigi,"EVET","HAYIR")</f>
        <v/>
      </c>
    </row>
    <row r="480" ht="15" customHeight="1" s="68">
      <c r="D480" s="120">
        <f>ROUND($B480*KarliyukNakitKarliikOrani,0)</f>
        <v/>
      </c>
      <c r="E480" s="120">
        <f>$B480-$C480-$D480</f>
        <v/>
      </c>
      <c r="F480" s="118">
        <f>KarsilikAyBasiKasa+SUM($E$6:E480)</f>
        <v/>
      </c>
      <c r="G480" s="120">
        <f>IF($F480&lt;KarsilikNakitEsigi,"EVET","HAYIR")</f>
        <v/>
      </c>
    </row>
    <row r="481" ht="15" customHeight="1" s="68">
      <c r="D481" s="120">
        <f>ROUND($B481*KarliyukNakitKarliikOrani,0)</f>
        <v/>
      </c>
      <c r="E481" s="120">
        <f>$B481-$C481-$D481</f>
        <v/>
      </c>
      <c r="F481" s="118">
        <f>KarsilikAyBasiKasa+SUM($E$6:E481)</f>
        <v/>
      </c>
      <c r="G481" s="120">
        <f>IF($F481&lt;KarsilikNakitEsigi,"EVET","HAYIR")</f>
        <v/>
      </c>
    </row>
    <row r="482" ht="15" customHeight="1" s="68">
      <c r="D482" s="120">
        <f>ROUND($B482*KarliyukNakitKarliikOrani,0)</f>
        <v/>
      </c>
      <c r="E482" s="120">
        <f>$B482-$C482-$D482</f>
        <v/>
      </c>
      <c r="F482" s="118">
        <f>KarsilikAyBasiKasa+SUM($E$6:E482)</f>
        <v/>
      </c>
      <c r="G482" s="120">
        <f>IF($F482&lt;KarsilikNakitEsigi,"EVET","HAYIR")</f>
        <v/>
      </c>
    </row>
    <row r="483" ht="15" customHeight="1" s="68">
      <c r="D483" s="120">
        <f>ROUND($B483*KarliyukNakitKarliikOrani,0)</f>
        <v/>
      </c>
      <c r="E483" s="120">
        <f>$B483-$C483-$D483</f>
        <v/>
      </c>
      <c r="F483" s="118">
        <f>KarsilikAyBasiKasa+SUM($E$6:E483)</f>
        <v/>
      </c>
      <c r="G483" s="120">
        <f>IF($F483&lt;KarsilikNakitEsigi,"EVET","HAYIR")</f>
        <v/>
      </c>
    </row>
    <row r="484" ht="15" customHeight="1" s="68">
      <c r="D484" s="120">
        <f>ROUND($B484*KarliyukNakitKarliikOrani,0)</f>
        <v/>
      </c>
      <c r="E484" s="120">
        <f>$B484-$C484-$D484</f>
        <v/>
      </c>
      <c r="F484" s="118">
        <f>KarsilikAyBasiKasa+SUM($E$6:E484)</f>
        <v/>
      </c>
      <c r="G484" s="120">
        <f>IF($F484&lt;KarsilikNakitEsigi,"EVET","HAYIR")</f>
        <v/>
      </c>
    </row>
    <row r="485" ht="15" customHeight="1" s="68">
      <c r="D485" s="120">
        <f>ROUND($B485*KarliyukNakitKarliikOrani,0)</f>
        <v/>
      </c>
      <c r="E485" s="120">
        <f>$B485-$C485-$D485</f>
        <v/>
      </c>
      <c r="F485" s="118">
        <f>KarsilikAyBasiKasa+SUM($E$6:E485)</f>
        <v/>
      </c>
      <c r="G485" s="120">
        <f>IF($F485&lt;KarsilikNakitEsigi,"EVET","HAYIR")</f>
        <v/>
      </c>
    </row>
    <row r="486" ht="15" customHeight="1" s="68">
      <c r="D486" s="120">
        <f>ROUND($B486*KarliyukNakitKarliikOrani,0)</f>
        <v/>
      </c>
      <c r="E486" s="120">
        <f>$B486-$C486-$D486</f>
        <v/>
      </c>
      <c r="F486" s="118">
        <f>KarsilikAyBasiKasa+SUM($E$6:E486)</f>
        <v/>
      </c>
      <c r="G486" s="120">
        <f>IF($F486&lt;KarsilikNakitEsigi,"EVET","HAYIR")</f>
        <v/>
      </c>
    </row>
    <row r="487" ht="15" customHeight="1" s="68">
      <c r="D487" s="120">
        <f>ROUND($B487*KarliyukNakitKarliikOrani,0)</f>
        <v/>
      </c>
      <c r="E487" s="120">
        <f>$B487-$C487-$D487</f>
        <v/>
      </c>
      <c r="F487" s="118">
        <f>KarsilikAyBasiKasa+SUM($E$6:E487)</f>
        <v/>
      </c>
      <c r="G487" s="120">
        <f>IF($F487&lt;KarsilikNakitEsigi,"EVET","HAYIR")</f>
        <v/>
      </c>
    </row>
    <row r="488" ht="15" customHeight="1" s="68">
      <c r="D488" s="120">
        <f>ROUND($B488*KarliyukNakitKarliikOrani,0)</f>
        <v/>
      </c>
      <c r="E488" s="120">
        <f>$B488-$C488-$D488</f>
        <v/>
      </c>
      <c r="F488" s="118">
        <f>KarsilikAyBasiKasa+SUM($E$6:E488)</f>
        <v/>
      </c>
      <c r="G488" s="120">
        <f>IF($F488&lt;KarsilikNakitEsigi,"EVET","HAYIR")</f>
        <v/>
      </c>
    </row>
    <row r="489" ht="15" customHeight="1" s="68">
      <c r="D489" s="120">
        <f>ROUND($B489*KarliyukNakitKarliikOrani,0)</f>
        <v/>
      </c>
      <c r="E489" s="120">
        <f>$B489-$C489-$D489</f>
        <v/>
      </c>
      <c r="F489" s="118">
        <f>KarsilikAyBasiKasa+SUM($E$6:E489)</f>
        <v/>
      </c>
      <c r="G489" s="120">
        <f>IF($F489&lt;KarsilikNakitEsigi,"EVET","HAYIR")</f>
        <v/>
      </c>
    </row>
    <row r="490" ht="15" customHeight="1" s="68">
      <c r="D490" s="120">
        <f>ROUND($B490*KarliyukNakitKarliikOrani,0)</f>
        <v/>
      </c>
      <c r="E490" s="120">
        <f>$B490-$C490-$D490</f>
        <v/>
      </c>
      <c r="F490" s="118">
        <f>KarsilikAyBasiKasa+SUM($E$6:E490)</f>
        <v/>
      </c>
      <c r="G490" s="120">
        <f>IF($F490&lt;KarsilikNakitEsigi,"EVET","HAYIR")</f>
        <v/>
      </c>
    </row>
    <row r="491" ht="15" customHeight="1" s="68">
      <c r="D491" s="120">
        <f>ROUND($B491*KarliyukNakitKarliikOrani,0)</f>
        <v/>
      </c>
      <c r="E491" s="120">
        <f>$B491-$C491-$D491</f>
        <v/>
      </c>
      <c r="F491" s="118">
        <f>KarsilikAyBasiKasa+SUM($E$6:E491)</f>
        <v/>
      </c>
      <c r="G491" s="120">
        <f>IF($F491&lt;KarsilikNakitEsigi,"EVET","HAYIR")</f>
        <v/>
      </c>
    </row>
    <row r="492" ht="15" customHeight="1" s="68">
      <c r="D492" s="120">
        <f>ROUND($B492*KarliyukNakitKarliikOrani,0)</f>
        <v/>
      </c>
      <c r="E492" s="120">
        <f>$B492-$C492-$D492</f>
        <v/>
      </c>
      <c r="F492" s="118">
        <f>KarsilikAyBasiKasa+SUM($E$6:E492)</f>
        <v/>
      </c>
      <c r="G492" s="120">
        <f>IF($F492&lt;KarsilikNakitEsigi,"EVET","HAYIR")</f>
        <v/>
      </c>
    </row>
    <row r="493" ht="15" customHeight="1" s="68">
      <c r="D493" s="120">
        <f>ROUND($B493*KarliyukNakitKarliikOrani,0)</f>
        <v/>
      </c>
      <c r="E493" s="120">
        <f>$B493-$C493-$D493</f>
        <v/>
      </c>
      <c r="F493" s="118">
        <f>KarsilikAyBasiKasa+SUM($E$6:E493)</f>
        <v/>
      </c>
      <c r="G493" s="120">
        <f>IF($F493&lt;KarsilikNakitEsigi,"EVET","HAYIR")</f>
        <v/>
      </c>
    </row>
    <row r="494" ht="15" customHeight="1" s="68">
      <c r="D494" s="120">
        <f>ROUND($B494*KarliyukNakitKarliikOrani,0)</f>
        <v/>
      </c>
      <c r="E494" s="120">
        <f>$B494-$C494-$D494</f>
        <v/>
      </c>
      <c r="F494" s="118">
        <f>KarsilikAyBasiKasa+SUM($E$6:E494)</f>
        <v/>
      </c>
      <c r="G494" s="120">
        <f>IF($F494&lt;KarsilikNakitEsigi,"EVET","HAYIR")</f>
        <v/>
      </c>
    </row>
    <row r="495" ht="15" customHeight="1" s="68">
      <c r="D495" s="120">
        <f>ROUND($B495*KarliyukNakitKarliikOrani,0)</f>
        <v/>
      </c>
      <c r="E495" s="120">
        <f>$B495-$C495-$D495</f>
        <v/>
      </c>
      <c r="F495" s="118">
        <f>KarsilikAyBasiKasa+SUM($E$6:E495)</f>
        <v/>
      </c>
      <c r="G495" s="120">
        <f>IF($F495&lt;KarsilikNakitEsigi,"EVET","HAYIR")</f>
        <v/>
      </c>
    </row>
    <row r="496" ht="15" customHeight="1" s="68">
      <c r="D496" s="120">
        <f>ROUND($B496*KarliyukNakitKarliikOrani,0)</f>
        <v/>
      </c>
      <c r="E496" s="120">
        <f>$B496-$C496-$D496</f>
        <v/>
      </c>
      <c r="F496" s="118">
        <f>KarsilikAyBasiKasa+SUM($E$6:E496)</f>
        <v/>
      </c>
      <c r="G496" s="120">
        <f>IF($F496&lt;KarsilikNakitEsigi,"EVET","HAYIR")</f>
        <v/>
      </c>
    </row>
    <row r="497" ht="15" customHeight="1" s="68">
      <c r="D497" s="120">
        <f>ROUND($B497*KarliyukNakitKarliikOrani,0)</f>
        <v/>
      </c>
      <c r="E497" s="120">
        <f>$B497-$C497-$D497</f>
        <v/>
      </c>
      <c r="F497" s="118">
        <f>KarsilikAyBasiKasa+SUM($E$6:E497)</f>
        <v/>
      </c>
      <c r="G497" s="120">
        <f>IF($F497&lt;KarsilikNakitEsigi,"EVET","HAYIR")</f>
        <v/>
      </c>
    </row>
    <row r="498" ht="15" customHeight="1" s="68">
      <c r="D498" s="120">
        <f>ROUND($B498*KarliyukNakitKarliikOrani,0)</f>
        <v/>
      </c>
      <c r="E498" s="120">
        <f>$B498-$C498-$D498</f>
        <v/>
      </c>
      <c r="F498" s="118">
        <f>KarsilikAyBasiKasa+SUM($E$6:E498)</f>
        <v/>
      </c>
      <c r="G498" s="120">
        <f>IF($F498&lt;KarsilikNakitEsigi,"EVET","HAYIR")</f>
        <v/>
      </c>
    </row>
    <row r="499" ht="15" customHeight="1" s="68">
      <c r="D499" s="120">
        <f>ROUND($B499*KarliyukNakitKarliikOrani,0)</f>
        <v/>
      </c>
      <c r="E499" s="120">
        <f>$B499-$C499-$D499</f>
        <v/>
      </c>
      <c r="F499" s="118">
        <f>KarsilikAyBasiKasa+SUM($E$6:E499)</f>
        <v/>
      </c>
      <c r="G499" s="120">
        <f>IF($F499&lt;KarsilikNakitEsigi,"EVET","HAYIR")</f>
        <v/>
      </c>
    </row>
    <row r="500" ht="15" customHeight="1" s="68">
      <c r="D500" s="120">
        <f>ROUND($B500*KarliyukNakitKarliikOrani,0)</f>
        <v/>
      </c>
      <c r="E500" s="120">
        <f>$B500-$C500-$D500</f>
        <v/>
      </c>
      <c r="F500" s="118">
        <f>KarsilikAyBasiKasa+SUM($E$6:E500)</f>
        <v/>
      </c>
      <c r="G500" s="120">
        <f>IF($F500&lt;KarsilikNakitEsigi,"EVET","HAYIR")</f>
        <v/>
      </c>
    </row>
    <row r="501" ht="15" customHeight="1" s="68">
      <c r="D501" s="120">
        <f>ROUND($B501*KarliyukNakitKarliikOrani,0)</f>
        <v/>
      </c>
      <c r="E501" s="120">
        <f>$B501-$C501-$D501</f>
        <v/>
      </c>
      <c r="F501" s="118">
        <f>KarsilikAyBasiKasa+SUM($E$6:E501)</f>
        <v/>
      </c>
      <c r="G501" s="120">
        <f>IF($F501&lt;KarsilikNakitEsigi,"EVET","HAYIR")</f>
        <v/>
      </c>
    </row>
    <row r="502" ht="15" customHeight="1" s="68">
      <c r="D502" s="120">
        <f>ROUND($B502*KarliyukNakitKarliikOrani,0)</f>
        <v/>
      </c>
      <c r="E502" s="120">
        <f>$B502-$C502-$D502</f>
        <v/>
      </c>
      <c r="F502" s="118">
        <f>KarsilikAyBasiKasa+SUM($E$6:E502)</f>
        <v/>
      </c>
      <c r="G502" s="120">
        <f>IF($F502&lt;KarsilikNakitEsigi,"EVET","HAYIR")</f>
        <v/>
      </c>
    </row>
    <row r="503" ht="15" customHeight="1" s="68">
      <c r="D503" s="120">
        <f>ROUND($B503*KarliyukNakitKarliikOrani,0)</f>
        <v/>
      </c>
      <c r="E503" s="120">
        <f>$B503-$C503-$D503</f>
        <v/>
      </c>
      <c r="F503" s="118">
        <f>KarsilikAyBasiKasa+SUM($E$6:E503)</f>
        <v/>
      </c>
      <c r="G503" s="120">
        <f>IF($F503&lt;KarsilikNakitEsigi,"EVET","HAYIR")</f>
        <v/>
      </c>
    </row>
    <row r="504" ht="15" customHeight="1" s="68">
      <c r="D504" s="120">
        <f>ROUND($B504*KarliyukNakitKarliikOrani,0)</f>
        <v/>
      </c>
      <c r="E504" s="120">
        <f>$B504-$C504-$D504</f>
        <v/>
      </c>
      <c r="F504" s="118">
        <f>KarsilikAyBasiKasa+SUM($E$6:E504)</f>
        <v/>
      </c>
      <c r="G504" s="120">
        <f>IF($F504&lt;KarsilikNakitEsigi,"EVET","HAYIR")</f>
        <v/>
      </c>
    </row>
    <row r="505" ht="15" customHeight="1" s="68">
      <c r="D505" s="120">
        <f>ROUND($B505*KarliyukNakitKarliikOrani,0)</f>
        <v/>
      </c>
      <c r="E505" s="120">
        <f>$B505-$C505-$D505</f>
        <v/>
      </c>
      <c r="F505" s="118">
        <f>KarsilikAyBasiKasa+SUM($E$6:E505)</f>
        <v/>
      </c>
      <c r="G505" s="120">
        <f>IF($F505&lt;KarsilikNakitEsigi,"EVET","HAYIR")</f>
        <v/>
      </c>
    </row>
    <row r="506" ht="15" customHeight="1" s="68">
      <c r="D506" s="120">
        <f>ROUND($B506*KarliyukNakitKarliikOrani,0)</f>
        <v/>
      </c>
      <c r="E506" s="120">
        <f>$B506-$C506-$D506</f>
        <v/>
      </c>
      <c r="F506" s="118">
        <f>KarsilikAyBasiKasa+SUM($E$6:E506)</f>
        <v/>
      </c>
      <c r="G506" s="120">
        <f>IF($F506&lt;KarsilikNakitEsigi,"EVET","HAYIR")</f>
        <v/>
      </c>
    </row>
    <row r="507" ht="15" customHeight="1" s="68">
      <c r="D507" s="120">
        <f>ROUND($B507*KarliyukNakitKarliikOrani,0)</f>
        <v/>
      </c>
      <c r="E507" s="120">
        <f>$B507-$C507-$D507</f>
        <v/>
      </c>
      <c r="F507" s="118">
        <f>KarsilikAyBasiKasa+SUM($E$6:E507)</f>
        <v/>
      </c>
      <c r="G507" s="120">
        <f>IF($F507&lt;KarsilikNakitEsigi,"EVET","HAYIR")</f>
        <v/>
      </c>
    </row>
    <row r="508" ht="15" customHeight="1" s="68">
      <c r="D508" s="120">
        <f>ROUND($B508*KarliyukNakitKarliikOrani,0)</f>
        <v/>
      </c>
      <c r="E508" s="120">
        <f>$B508-$C508-$D508</f>
        <v/>
      </c>
      <c r="F508" s="118">
        <f>KarsilikAyBasiKasa+SUM($E$6:E508)</f>
        <v/>
      </c>
      <c r="G508" s="120">
        <f>IF($F508&lt;KarsilikNakitEsigi,"EVET","HAYIR")</f>
        <v/>
      </c>
    </row>
    <row r="509" ht="15" customHeight="1" s="68">
      <c r="D509" s="120">
        <f>ROUND($B509*KarliyukNakitKarliikOrani,0)</f>
        <v/>
      </c>
      <c r="E509" s="120">
        <f>$B509-$C509-$D509</f>
        <v/>
      </c>
      <c r="F509" s="118">
        <f>KarsilikAyBasiKasa+SUM($E$6:E509)</f>
        <v/>
      </c>
      <c r="G509" s="120">
        <f>IF($F509&lt;KarsilikNakitEsigi,"EVET","HAYIR")</f>
        <v/>
      </c>
    </row>
    <row r="510" ht="15" customHeight="1" s="68">
      <c r="D510" s="120">
        <f>ROUND($B510*KarliyukNakitKarliikOrani,0)</f>
        <v/>
      </c>
      <c r="E510" s="120">
        <f>$B510-$C510-$D510</f>
        <v/>
      </c>
      <c r="F510" s="118">
        <f>KarsilikAyBasiKasa+SUM($E$6:E510)</f>
        <v/>
      </c>
      <c r="G510" s="120">
        <f>IF($F510&lt;KarsilikNakitEsigi,"EVET","HAYIR")</f>
        <v/>
      </c>
    </row>
    <row r="511" ht="15" customHeight="1" s="68">
      <c r="D511" s="120">
        <f>ROUND($B511*KarliyukNakitKarliikOrani,0)</f>
        <v/>
      </c>
      <c r="E511" s="120">
        <f>$B511-$C511-$D511</f>
        <v/>
      </c>
      <c r="F511" s="118">
        <f>KarsilikAyBasiKasa+SUM($E$6:E511)</f>
        <v/>
      </c>
      <c r="G511" s="120">
        <f>IF($F511&lt;KarsilikNakitEsigi,"EVET","HAYIR")</f>
        <v/>
      </c>
    </row>
    <row r="512" ht="15" customHeight="1" s="68">
      <c r="D512" s="120">
        <f>ROUND($B512*KarliyukNakitKarliikOrani,0)</f>
        <v/>
      </c>
      <c r="E512" s="120">
        <f>$B512-$C512-$D512</f>
        <v/>
      </c>
      <c r="F512" s="118">
        <f>KarsilikAyBasiKasa+SUM($E$6:E512)</f>
        <v/>
      </c>
      <c r="G512" s="120">
        <f>IF($F512&lt;KarsilikNakitEsigi,"EVET","HAYIR")</f>
        <v/>
      </c>
    </row>
    <row r="513" ht="15" customHeight="1" s="68">
      <c r="D513" s="120">
        <f>ROUND($B513*KarliyukNakitKarliikOrani,0)</f>
        <v/>
      </c>
      <c r="E513" s="120">
        <f>$B513-$C513-$D513</f>
        <v/>
      </c>
      <c r="F513" s="118">
        <f>KarsilikAyBasiKasa+SUM($E$6:E513)</f>
        <v/>
      </c>
      <c r="G513" s="120">
        <f>IF($F513&lt;KarsilikNakitEsigi,"EVET","HAYIR")</f>
        <v/>
      </c>
    </row>
    <row r="514" ht="15" customHeight="1" s="68">
      <c r="D514" s="120">
        <f>ROUND($B514*KarliyukNakitKarliikOrani,0)</f>
        <v/>
      </c>
      <c r="E514" s="120">
        <f>$B514-$C514-$D514</f>
        <v/>
      </c>
      <c r="F514" s="118">
        <f>KarsilikAyBasiKasa+SUM($E$6:E514)</f>
        <v/>
      </c>
      <c r="G514" s="120">
        <f>IF($F514&lt;KarsilikNakitEsigi,"EVET","HAYIR")</f>
        <v/>
      </c>
    </row>
    <row r="515" ht="15" customHeight="1" s="68">
      <c r="D515" s="120">
        <f>ROUND($B515*KarliyukNakitKarliikOrani,0)</f>
        <v/>
      </c>
      <c r="E515" s="120">
        <f>$B515-$C515-$D515</f>
        <v/>
      </c>
      <c r="F515" s="118">
        <f>KarsilikAyBasiKasa+SUM($E$6:E515)</f>
        <v/>
      </c>
      <c r="G515" s="120">
        <f>IF($F515&lt;KarsilikNakitEsigi,"EVET","HAYIR")</f>
        <v/>
      </c>
    </row>
    <row r="516" ht="15" customHeight="1" s="68">
      <c r="D516" s="120">
        <f>ROUND($B516*KarliyukNakitKarliikOrani,0)</f>
        <v/>
      </c>
      <c r="E516" s="120">
        <f>$B516-$C516-$D516</f>
        <v/>
      </c>
      <c r="F516" s="118">
        <f>KarsilikAyBasiKasa+SUM($E$6:E516)</f>
        <v/>
      </c>
      <c r="G516" s="120">
        <f>IF($F516&lt;KarsilikNakitEsigi,"EVET","HAYIR")</f>
        <v/>
      </c>
    </row>
    <row r="517" ht="15" customHeight="1" s="68">
      <c r="D517" s="120">
        <f>ROUND($B517*KarliyukNakitKarliikOrani,0)</f>
        <v/>
      </c>
      <c r="E517" s="120">
        <f>$B517-$C517-$D517</f>
        <v/>
      </c>
      <c r="F517" s="118">
        <f>KarsilikAyBasiKasa+SUM($E$6:E517)</f>
        <v/>
      </c>
      <c r="G517" s="120">
        <f>IF($F517&lt;KarsilikNakitEsigi,"EVET","HAYIR")</f>
        <v/>
      </c>
    </row>
    <row r="518" ht="15" customHeight="1" s="68">
      <c r="D518" s="120">
        <f>ROUND($B518*KarliyukNakitKarliikOrani,0)</f>
        <v/>
      </c>
      <c r="E518" s="120">
        <f>$B518-$C518-$D518</f>
        <v/>
      </c>
      <c r="F518" s="118">
        <f>KarsilikAyBasiKasa+SUM($E$6:E518)</f>
        <v/>
      </c>
      <c r="G518" s="120">
        <f>IF($F518&lt;KarsilikNakitEsigi,"EVET","HAYIR")</f>
        <v/>
      </c>
    </row>
    <row r="519" ht="15" customHeight="1" s="68">
      <c r="D519" s="120">
        <f>ROUND($B519*KarliyukNakitKarliikOrani,0)</f>
        <v/>
      </c>
      <c r="E519" s="120">
        <f>$B519-$C519-$D519</f>
        <v/>
      </c>
      <c r="F519" s="118">
        <f>KarsilikAyBasiKasa+SUM($E$6:E519)</f>
        <v/>
      </c>
      <c r="G519" s="120">
        <f>IF($F519&lt;KarsilikNakitEsigi,"EVET","HAYIR")</f>
        <v/>
      </c>
    </row>
    <row r="520" ht="15" customHeight="1" s="68">
      <c r="D520" s="120">
        <f>ROUND($B520*KarliyukNakitKarliikOrani,0)</f>
        <v/>
      </c>
      <c r="E520" s="120">
        <f>$B520-$C520-$D520</f>
        <v/>
      </c>
      <c r="F520" s="118">
        <f>KarsilikAyBasiKasa+SUM($E$6:E520)</f>
        <v/>
      </c>
      <c r="G520" s="120">
        <f>IF($F520&lt;KarsilikNakitEsigi,"EVET","HAYIR")</f>
        <v/>
      </c>
    </row>
    <row r="521" ht="15" customHeight="1" s="68">
      <c r="D521" s="120">
        <f>ROUND($B521*KarliyukNakitKarliikOrani,0)</f>
        <v/>
      </c>
      <c r="E521" s="120">
        <f>$B521-$C521-$D521</f>
        <v/>
      </c>
      <c r="F521" s="118">
        <f>KarsilikAyBasiKasa+SUM($E$6:E521)</f>
        <v/>
      </c>
      <c r="G521" s="120">
        <f>IF($F521&lt;KarsilikNakitEsigi,"EVET","HAYIR")</f>
        <v/>
      </c>
    </row>
    <row r="522" ht="15" customHeight="1" s="68">
      <c r="D522" s="120">
        <f>ROUND($B522*KarliyukNakitKarliikOrani,0)</f>
        <v/>
      </c>
      <c r="E522" s="120">
        <f>$B522-$C522-$D522</f>
        <v/>
      </c>
      <c r="F522" s="118">
        <f>KarsilikAyBasiKasa+SUM($E$6:E522)</f>
        <v/>
      </c>
      <c r="G522" s="120">
        <f>IF($F522&lt;KarsilikNakitEsigi,"EVET","HAYIR")</f>
        <v/>
      </c>
    </row>
    <row r="523" ht="15" customHeight="1" s="68">
      <c r="D523" s="120">
        <f>ROUND($B523*KarliyukNakitKarliikOrani,0)</f>
        <v/>
      </c>
      <c r="E523" s="120">
        <f>$B523-$C523-$D523</f>
        <v/>
      </c>
      <c r="F523" s="118">
        <f>KarsilikAyBasiKasa+SUM($E$6:E523)</f>
        <v/>
      </c>
      <c r="G523" s="120">
        <f>IF($F523&lt;KarsilikNakitEsigi,"EVET","HAYIR")</f>
        <v/>
      </c>
    </row>
    <row r="524" ht="15" customHeight="1" s="68">
      <c r="D524" s="120">
        <f>ROUND($B524*KarliyukNakitKarliikOrani,0)</f>
        <v/>
      </c>
      <c r="E524" s="120">
        <f>$B524-$C524-$D524</f>
        <v/>
      </c>
      <c r="F524" s="118">
        <f>KarsilikAyBasiKasa+SUM($E$6:E524)</f>
        <v/>
      </c>
      <c r="G524" s="120">
        <f>IF($F524&lt;KarsilikNakitEsigi,"EVET","HAYIR")</f>
        <v/>
      </c>
    </row>
    <row r="525" ht="15" customHeight="1" s="68">
      <c r="D525" s="120">
        <f>ROUND($B525*KarliyukNakitKarliikOrani,0)</f>
        <v/>
      </c>
      <c r="E525" s="120">
        <f>$B525-$C525-$D525</f>
        <v/>
      </c>
      <c r="F525" s="118">
        <f>KarsilikAyBasiKasa+SUM($E$6:E525)</f>
        <v/>
      </c>
      <c r="G525" s="120">
        <f>IF($F525&lt;KarsilikNakitEsigi,"EVET","HAYIR")</f>
        <v/>
      </c>
    </row>
    <row r="526" ht="15" customHeight="1" s="68">
      <c r="D526" s="120">
        <f>ROUND($B526*KarliyukNakitKarliikOrani,0)</f>
        <v/>
      </c>
      <c r="E526" s="120">
        <f>$B526-$C526-$D526</f>
        <v/>
      </c>
      <c r="F526" s="118">
        <f>KarsilikAyBasiKasa+SUM($E$6:E526)</f>
        <v/>
      </c>
      <c r="G526" s="120">
        <f>IF($F526&lt;KarsilikNakitEsigi,"EVET","HAYIR")</f>
        <v/>
      </c>
    </row>
    <row r="527" ht="15" customHeight="1" s="68">
      <c r="D527" s="120">
        <f>ROUND($B527*KarliyukNakitKarliikOrani,0)</f>
        <v/>
      </c>
      <c r="E527" s="120">
        <f>$B527-$C527-$D527</f>
        <v/>
      </c>
      <c r="F527" s="118">
        <f>KarsilikAyBasiKasa+SUM($E$6:E527)</f>
        <v/>
      </c>
      <c r="G527" s="120">
        <f>IF($F527&lt;KarsilikNakitEsigi,"EVET","HAYIR")</f>
        <v/>
      </c>
    </row>
    <row r="528" ht="15" customHeight="1" s="68">
      <c r="D528" s="120">
        <f>ROUND($B528*KarliyukNakitKarliikOrani,0)</f>
        <v/>
      </c>
      <c r="E528" s="120">
        <f>$B528-$C528-$D528</f>
        <v/>
      </c>
      <c r="F528" s="118">
        <f>KarsilikAyBasiKasa+SUM($E$6:E528)</f>
        <v/>
      </c>
      <c r="G528" s="120">
        <f>IF($F528&lt;KarsilikNakitEsigi,"EVET","HAYIR")</f>
        <v/>
      </c>
    </row>
    <row r="529" ht="15" customHeight="1" s="68">
      <c r="D529" s="120">
        <f>ROUND($B529*KarliyukNakitKarliikOrani,0)</f>
        <v/>
      </c>
      <c r="E529" s="120">
        <f>$B529-$C529-$D529</f>
        <v/>
      </c>
      <c r="F529" s="118">
        <f>KarsilikAyBasiKasa+SUM($E$6:E529)</f>
        <v/>
      </c>
      <c r="G529" s="120">
        <f>IF($F529&lt;KarsilikNakitEsigi,"EVET","HAYIR")</f>
        <v/>
      </c>
    </row>
    <row r="530" ht="15" customHeight="1" s="68">
      <c r="D530" s="120">
        <f>ROUND($B530*KarliyukNakitKarliikOrani,0)</f>
        <v/>
      </c>
      <c r="E530" s="120">
        <f>$B530-$C530-$D530</f>
        <v/>
      </c>
      <c r="F530" s="118">
        <f>KarsilikAyBasiKasa+SUM($E$6:E530)</f>
        <v/>
      </c>
      <c r="G530" s="120">
        <f>IF($F530&lt;KarsilikNakitEsigi,"EVET","HAYIR")</f>
        <v/>
      </c>
    </row>
    <row r="531" ht="15" customHeight="1" s="68">
      <c r="D531" s="120">
        <f>ROUND($B531*KarliyukNakitKarliikOrani,0)</f>
        <v/>
      </c>
      <c r="E531" s="120">
        <f>$B531-$C531-$D531</f>
        <v/>
      </c>
      <c r="F531" s="118">
        <f>KarsilikAyBasiKasa+SUM($E$6:E531)</f>
        <v/>
      </c>
      <c r="G531" s="120">
        <f>IF($F531&lt;KarsilikNakitEsigi,"EVET","HAYIR")</f>
        <v/>
      </c>
    </row>
    <row r="532" ht="15" customHeight="1" s="68">
      <c r="D532" s="120">
        <f>ROUND($B532*KarliyukNakitKarliikOrani,0)</f>
        <v/>
      </c>
      <c r="E532" s="120">
        <f>$B532-$C532-$D532</f>
        <v/>
      </c>
      <c r="F532" s="118">
        <f>KarsilikAyBasiKasa+SUM($E$6:E532)</f>
        <v/>
      </c>
      <c r="G532" s="120">
        <f>IF($F532&lt;KarsilikNakitEsigi,"EVET","HAYIR")</f>
        <v/>
      </c>
    </row>
    <row r="533" ht="15" customHeight="1" s="68">
      <c r="D533" s="120">
        <f>ROUND($B533*KarliyukNakitKarliikOrani,0)</f>
        <v/>
      </c>
      <c r="E533" s="120">
        <f>$B533-$C533-$D533</f>
        <v/>
      </c>
      <c r="F533" s="118">
        <f>KarsilikAyBasiKasa+SUM($E$6:E533)</f>
        <v/>
      </c>
      <c r="G533" s="120">
        <f>IF($F533&lt;KarsilikNakitEsigi,"EVET","HAYIR")</f>
        <v/>
      </c>
    </row>
    <row r="534" ht="15" customHeight="1" s="68">
      <c r="D534" s="120">
        <f>ROUND($B534*KarliyukNakitKarliikOrani,0)</f>
        <v/>
      </c>
      <c r="E534" s="120">
        <f>$B534-$C534-$D534</f>
        <v/>
      </c>
      <c r="F534" s="118">
        <f>KarsilikAyBasiKasa+SUM($E$6:E534)</f>
        <v/>
      </c>
      <c r="G534" s="120">
        <f>IF($F534&lt;KarsilikNakitEsigi,"EVET","HAYIR")</f>
        <v/>
      </c>
    </row>
    <row r="535" ht="15" customHeight="1" s="68">
      <c r="D535" s="120">
        <f>ROUND($B535*KarliyukNakitKarliikOrani,0)</f>
        <v/>
      </c>
      <c r="E535" s="120">
        <f>$B535-$C535-$D535</f>
        <v/>
      </c>
      <c r="F535" s="118">
        <f>KarsilikAyBasiKasa+SUM($E$6:E535)</f>
        <v/>
      </c>
      <c r="G535" s="120">
        <f>IF($F535&lt;KarsilikNakitEsigi,"EVET","HAYIR")</f>
        <v/>
      </c>
    </row>
    <row r="536" ht="15" customHeight="1" s="68">
      <c r="D536" s="120">
        <f>ROUND($B536*KarliyukNakitKarliikOrani,0)</f>
        <v/>
      </c>
      <c r="E536" s="120">
        <f>$B536-$C536-$D536</f>
        <v/>
      </c>
      <c r="F536" s="118">
        <f>KarsilikAyBasiKasa+SUM($E$6:E536)</f>
        <v/>
      </c>
      <c r="G536" s="120">
        <f>IF($F536&lt;KarsilikNakitEsigi,"EVET","HAYIR")</f>
        <v/>
      </c>
    </row>
    <row r="537" ht="15" customHeight="1" s="68">
      <c r="D537" s="120">
        <f>ROUND($B537*KarliyukNakitKarliikOrani,0)</f>
        <v/>
      </c>
      <c r="E537" s="120">
        <f>$B537-$C537-$D537</f>
        <v/>
      </c>
      <c r="F537" s="118">
        <f>KarsilikAyBasiKasa+SUM($E$6:E537)</f>
        <v/>
      </c>
      <c r="G537" s="120">
        <f>IF($F537&lt;KarsilikNakitEsigi,"EVET","HAYIR")</f>
        <v/>
      </c>
    </row>
    <row r="538" ht="15" customHeight="1" s="68">
      <c r="D538" s="120">
        <f>ROUND($B538*KarliyukNakitKarliikOrani,0)</f>
        <v/>
      </c>
      <c r="E538" s="120">
        <f>$B538-$C538-$D538</f>
        <v/>
      </c>
      <c r="F538" s="118">
        <f>KarsilikAyBasiKasa+SUM($E$6:E538)</f>
        <v/>
      </c>
      <c r="G538" s="120">
        <f>IF($F538&lt;KarsilikNakitEsigi,"EVET","HAYIR")</f>
        <v/>
      </c>
    </row>
    <row r="539" ht="15" customHeight="1" s="68">
      <c r="D539" s="120">
        <f>ROUND($B539*KarliyukNakitKarliikOrani,0)</f>
        <v/>
      </c>
      <c r="E539" s="120">
        <f>$B539-$C539-$D539</f>
        <v/>
      </c>
      <c r="F539" s="118">
        <f>KarsilikAyBasiKasa+SUM($E$6:E539)</f>
        <v/>
      </c>
      <c r="G539" s="120">
        <f>IF($F539&lt;KarsilikNakitEsigi,"EVET","HAYIR")</f>
        <v/>
      </c>
    </row>
    <row r="540" ht="15" customHeight="1" s="68">
      <c r="D540" s="120">
        <f>ROUND($B540*KarliyukNakitKarliikOrani,0)</f>
        <v/>
      </c>
      <c r="E540" s="120">
        <f>$B540-$C540-$D540</f>
        <v/>
      </c>
      <c r="F540" s="118">
        <f>KarsilikAyBasiKasa+SUM($E$6:E540)</f>
        <v/>
      </c>
      <c r="G540" s="120">
        <f>IF($F540&lt;KarsilikNakitEsigi,"EVET","HAYIR")</f>
        <v/>
      </c>
    </row>
    <row r="541" ht="15" customHeight="1" s="68">
      <c r="D541" s="120">
        <f>ROUND($B541*KarliyukNakitKarliikOrani,0)</f>
        <v/>
      </c>
      <c r="E541" s="120">
        <f>$B541-$C541-$D541</f>
        <v/>
      </c>
      <c r="F541" s="118">
        <f>KarsilikAyBasiKasa+SUM($E$6:E541)</f>
        <v/>
      </c>
      <c r="G541" s="120">
        <f>IF($F541&lt;KarsilikNakitEsigi,"EVET","HAYIR")</f>
        <v/>
      </c>
    </row>
    <row r="542" ht="15" customHeight="1" s="68">
      <c r="D542" s="120">
        <f>ROUND($B542*KarliyukNakitKarliikOrani,0)</f>
        <v/>
      </c>
      <c r="E542" s="120">
        <f>$B542-$C542-$D542</f>
        <v/>
      </c>
      <c r="F542" s="118">
        <f>KarsilikAyBasiKasa+SUM($E$6:E542)</f>
        <v/>
      </c>
      <c r="G542" s="120">
        <f>IF($F542&lt;KarsilikNakitEsigi,"EVET","HAYIR")</f>
        <v/>
      </c>
    </row>
    <row r="543" ht="15" customHeight="1" s="68">
      <c r="D543" s="120">
        <f>ROUND($B543*KarliyukNakitKarliikOrani,0)</f>
        <v/>
      </c>
      <c r="E543" s="120">
        <f>$B543-$C543-$D543</f>
        <v/>
      </c>
      <c r="F543" s="118">
        <f>KarsilikAyBasiKasa+SUM($E$6:E543)</f>
        <v/>
      </c>
      <c r="G543" s="120">
        <f>IF($F543&lt;KarsilikNakitEsigi,"EVET","HAYIR")</f>
        <v/>
      </c>
    </row>
    <row r="544" ht="15" customHeight="1" s="68">
      <c r="D544" s="120">
        <f>ROUND($B544*KarliyukNakitKarliikOrani,0)</f>
        <v/>
      </c>
      <c r="E544" s="120">
        <f>$B544-$C544-$D544</f>
        <v/>
      </c>
      <c r="F544" s="118">
        <f>KarsilikAyBasiKasa+SUM($E$6:E544)</f>
        <v/>
      </c>
      <c r="G544" s="120">
        <f>IF($F544&lt;KarsilikNakitEsigi,"EVET","HAYIR")</f>
        <v/>
      </c>
    </row>
    <row r="545" ht="15" customHeight="1" s="68">
      <c r="D545" s="120">
        <f>ROUND($B545*KarliyukNakitKarliikOrani,0)</f>
        <v/>
      </c>
      <c r="E545" s="120">
        <f>$B545-$C545-$D545</f>
        <v/>
      </c>
      <c r="F545" s="118">
        <f>KarsilikAyBasiKasa+SUM($E$6:E545)</f>
        <v/>
      </c>
      <c r="G545" s="120">
        <f>IF($F545&lt;KarsilikNakitEsigi,"EVET","HAYIR")</f>
        <v/>
      </c>
    </row>
    <row r="546" ht="15" customHeight="1" s="68">
      <c r="D546" s="120">
        <f>ROUND($B546*KarliyukNakitKarliikOrani,0)</f>
        <v/>
      </c>
      <c r="E546" s="120">
        <f>$B546-$C546-$D546</f>
        <v/>
      </c>
      <c r="F546" s="118">
        <f>KarsilikAyBasiKasa+SUM($E$6:E546)</f>
        <v/>
      </c>
      <c r="G546" s="120">
        <f>IF($F546&lt;KarsilikNakitEsigi,"EVET","HAYIR")</f>
        <v/>
      </c>
    </row>
    <row r="547" ht="15" customHeight="1" s="68">
      <c r="D547" s="120">
        <f>ROUND($B547*KarliyukNakitKarliikOrani,0)</f>
        <v/>
      </c>
      <c r="E547" s="120">
        <f>$B547-$C547-$D547</f>
        <v/>
      </c>
      <c r="F547" s="118">
        <f>KarsilikAyBasiKasa+SUM($E$6:E547)</f>
        <v/>
      </c>
      <c r="G547" s="120">
        <f>IF($F547&lt;KarsilikNakitEsigi,"EVET","HAYIR")</f>
        <v/>
      </c>
    </row>
    <row r="548" ht="15" customHeight="1" s="68">
      <c r="D548" s="120">
        <f>ROUND($B548*KarliyukNakitKarliikOrani,0)</f>
        <v/>
      </c>
      <c r="E548" s="120">
        <f>$B548-$C548-$D548</f>
        <v/>
      </c>
      <c r="F548" s="118">
        <f>KarsilikAyBasiKasa+SUM($E$6:E548)</f>
        <v/>
      </c>
      <c r="G548" s="120">
        <f>IF($F548&lt;KarsilikNakitEsigi,"EVET","HAYIR")</f>
        <v/>
      </c>
    </row>
    <row r="549" ht="15" customHeight="1" s="68">
      <c r="D549" s="120">
        <f>ROUND($B549*KarliyukNakitKarliikOrani,0)</f>
        <v/>
      </c>
      <c r="E549" s="120">
        <f>$B549-$C549-$D549</f>
        <v/>
      </c>
      <c r="F549" s="118">
        <f>KarsilikAyBasiKasa+SUM($E$6:E549)</f>
        <v/>
      </c>
      <c r="G549" s="120">
        <f>IF($F549&lt;KarsilikNakitEsigi,"EVET","HAYIR")</f>
        <v/>
      </c>
    </row>
    <row r="550" ht="15" customHeight="1" s="68">
      <c r="D550" s="120">
        <f>ROUND($B550*KarliyukNakitKarliikOrani,0)</f>
        <v/>
      </c>
      <c r="E550" s="120">
        <f>$B550-$C550-$D550</f>
        <v/>
      </c>
      <c r="F550" s="118">
        <f>KarsilikAyBasiKasa+SUM($E$6:E550)</f>
        <v/>
      </c>
      <c r="G550" s="120">
        <f>IF($F550&lt;KarsilikNakitEsigi,"EVET","HAYIR")</f>
        <v/>
      </c>
    </row>
    <row r="551" ht="15" customHeight="1" s="68">
      <c r="D551" s="120">
        <f>ROUND($B551*KarliyukNakitKarliikOrani,0)</f>
        <v/>
      </c>
      <c r="E551" s="120">
        <f>$B551-$C551-$D551</f>
        <v/>
      </c>
      <c r="F551" s="118">
        <f>KarsilikAyBasiKasa+SUM($E$6:E551)</f>
        <v/>
      </c>
      <c r="G551" s="120">
        <f>IF($F551&lt;KarsilikNakitEsigi,"EVET","HAYIR")</f>
        <v/>
      </c>
    </row>
    <row r="552" ht="15" customHeight="1" s="68">
      <c r="D552" s="120">
        <f>ROUND($B552*KarliyukNakitKarliikOrani,0)</f>
        <v/>
      </c>
      <c r="E552" s="120">
        <f>$B552-$C552-$D552</f>
        <v/>
      </c>
      <c r="F552" s="118">
        <f>KarsilikAyBasiKasa+SUM($E$6:E552)</f>
        <v/>
      </c>
      <c r="G552" s="120">
        <f>IF($F552&lt;KarsilikNakitEsigi,"EVET","HAYIR")</f>
        <v/>
      </c>
    </row>
    <row r="553" ht="15" customHeight="1" s="68">
      <c r="D553" s="120">
        <f>ROUND($B553*KarliyukNakitKarliikOrani,0)</f>
        <v/>
      </c>
      <c r="E553" s="120">
        <f>$B553-$C553-$D553</f>
        <v/>
      </c>
      <c r="F553" s="118">
        <f>KarsilikAyBasiKasa+SUM($E$6:E553)</f>
        <v/>
      </c>
      <c r="G553" s="120">
        <f>IF($F553&lt;KarsilikNakitEsigi,"EVET","HAYIR")</f>
        <v/>
      </c>
    </row>
    <row r="554" ht="15" customHeight="1" s="68">
      <c r="D554" s="120">
        <f>ROUND($B554*KarliyukNakitKarliikOrani,0)</f>
        <v/>
      </c>
      <c r="E554" s="120">
        <f>$B554-$C554-$D554</f>
        <v/>
      </c>
      <c r="F554" s="118">
        <f>KarsilikAyBasiKasa+SUM($E$6:E554)</f>
        <v/>
      </c>
      <c r="G554" s="120">
        <f>IF($F554&lt;KarsilikNakitEsigi,"EVET","HAYIR")</f>
        <v/>
      </c>
    </row>
    <row r="555" ht="15" customHeight="1" s="68">
      <c r="D555" s="120">
        <f>ROUND($B555*KarliyukNakitKarliikOrani,0)</f>
        <v/>
      </c>
      <c r="E555" s="120">
        <f>$B555-$C555-$D555</f>
        <v/>
      </c>
      <c r="F555" s="118">
        <f>KarsilikAyBasiKasa+SUM($E$6:E555)</f>
        <v/>
      </c>
      <c r="G555" s="120">
        <f>IF($F555&lt;KarsilikNakitEsigi,"EVET","HAYIR")</f>
        <v/>
      </c>
    </row>
    <row r="556" ht="15" customHeight="1" s="68">
      <c r="D556" s="120">
        <f>ROUND($B556*KarliyukNakitKarliikOrani,0)</f>
        <v/>
      </c>
      <c r="E556" s="120">
        <f>$B556-$C556-$D556</f>
        <v/>
      </c>
      <c r="F556" s="118">
        <f>KarsilikAyBasiKasa+SUM($E$6:E556)</f>
        <v/>
      </c>
      <c r="G556" s="120">
        <f>IF($F556&lt;KarsilikNakitEsigi,"EVET","HAYIR")</f>
        <v/>
      </c>
    </row>
    <row r="557" ht="15" customHeight="1" s="68">
      <c r="D557" s="120">
        <f>ROUND($B557*KarliyukNakitKarliikOrani,0)</f>
        <v/>
      </c>
      <c r="E557" s="120">
        <f>$B557-$C557-$D557</f>
        <v/>
      </c>
      <c r="F557" s="118">
        <f>KarsilikAyBasiKasa+SUM($E$6:E557)</f>
        <v/>
      </c>
      <c r="G557" s="120">
        <f>IF($F557&lt;KarsilikNakitEsigi,"EVET","HAYIR")</f>
        <v/>
      </c>
    </row>
    <row r="558" ht="15" customHeight="1" s="68">
      <c r="D558" s="120">
        <f>ROUND($B558*KarliyukNakitKarliikOrani,0)</f>
        <v/>
      </c>
      <c r="E558" s="120">
        <f>$B558-$C558-$D558</f>
        <v/>
      </c>
      <c r="F558" s="118">
        <f>KarsilikAyBasiKasa+SUM($E$6:E558)</f>
        <v/>
      </c>
      <c r="G558" s="120">
        <f>IF($F558&lt;KarsilikNakitEsigi,"EVET","HAYIR")</f>
        <v/>
      </c>
    </row>
    <row r="559" ht="15" customHeight="1" s="68">
      <c r="D559" s="120">
        <f>ROUND($B559*KarliyukNakitKarliikOrani,0)</f>
        <v/>
      </c>
      <c r="E559" s="120">
        <f>$B559-$C559-$D559</f>
        <v/>
      </c>
      <c r="F559" s="118">
        <f>KarsilikAyBasiKasa+SUM($E$6:E559)</f>
        <v/>
      </c>
      <c r="G559" s="120">
        <f>IF($F559&lt;KarsilikNakitEsigi,"EVET","HAYIR")</f>
        <v/>
      </c>
    </row>
    <row r="560" ht="15" customHeight="1" s="68">
      <c r="D560" s="120">
        <f>ROUND($B560*KarliyukNakitKarliikOrani,0)</f>
        <v/>
      </c>
      <c r="E560" s="120">
        <f>$B560-$C560-$D560</f>
        <v/>
      </c>
      <c r="F560" s="118">
        <f>KarsilikAyBasiKasa+SUM($E$6:E560)</f>
        <v/>
      </c>
      <c r="G560" s="120">
        <f>IF($F560&lt;KarsilikNakitEsigi,"EVET","HAYIR")</f>
        <v/>
      </c>
    </row>
    <row r="561" ht="15" customHeight="1" s="68">
      <c r="D561" s="120">
        <f>ROUND($B561*KarliyukNakitKarliikOrani,0)</f>
        <v/>
      </c>
      <c r="E561" s="120">
        <f>$B561-$C561-$D561</f>
        <v/>
      </c>
      <c r="F561" s="118">
        <f>KarsilikAyBasiKasa+SUM($E$6:E561)</f>
        <v/>
      </c>
      <c r="G561" s="120">
        <f>IF($F561&lt;KarsilikNakitEsigi,"EVET","HAYIR")</f>
        <v/>
      </c>
    </row>
    <row r="562" ht="15" customHeight="1" s="68">
      <c r="D562" s="120">
        <f>ROUND($B562*KarliyukNakitKarliikOrani,0)</f>
        <v/>
      </c>
      <c r="E562" s="120">
        <f>$B562-$C562-$D562</f>
        <v/>
      </c>
      <c r="F562" s="118">
        <f>KarsilikAyBasiKasa+SUM($E$6:E562)</f>
        <v/>
      </c>
      <c r="G562" s="120">
        <f>IF($F562&lt;KarsilikNakitEsigi,"EVET","HAYIR")</f>
        <v/>
      </c>
    </row>
    <row r="563" ht="15" customHeight="1" s="68">
      <c r="D563" s="120">
        <f>ROUND($B563*KarliyukNakitKarliikOrani,0)</f>
        <v/>
      </c>
      <c r="E563" s="120">
        <f>$B563-$C563-$D563</f>
        <v/>
      </c>
      <c r="F563" s="118">
        <f>KarsilikAyBasiKasa+SUM($E$6:E563)</f>
        <v/>
      </c>
      <c r="G563" s="120">
        <f>IF($F563&lt;KarsilikNakitEsigi,"EVET","HAYIR")</f>
        <v/>
      </c>
    </row>
    <row r="564" ht="15" customHeight="1" s="68">
      <c r="D564" s="120">
        <f>ROUND($B564*KarliyukNakitKarliikOrani,0)</f>
        <v/>
      </c>
      <c r="E564" s="120">
        <f>$B564-$C564-$D564</f>
        <v/>
      </c>
      <c r="F564" s="118">
        <f>KarsilikAyBasiKasa+SUM($E$6:E564)</f>
        <v/>
      </c>
      <c r="G564" s="120">
        <f>IF($F564&lt;KarsilikNakitEsigi,"EVET","HAYIR")</f>
        <v/>
      </c>
    </row>
    <row r="565" ht="15" customHeight="1" s="68">
      <c r="D565" s="120">
        <f>ROUND($B565*KarliyukNakitKarliikOrani,0)</f>
        <v/>
      </c>
      <c r="E565" s="120">
        <f>$B565-$C565-$D565</f>
        <v/>
      </c>
      <c r="F565" s="118">
        <f>KarsilikAyBasiKasa+SUM($E$6:E565)</f>
        <v/>
      </c>
      <c r="G565" s="120">
        <f>IF($F565&lt;KarsilikNakitEsigi,"EVET","HAYIR")</f>
        <v/>
      </c>
    </row>
    <row r="566" ht="15" customHeight="1" s="68">
      <c r="D566" s="120">
        <f>ROUND($B566*KarliyukNakitKarliikOrani,0)</f>
        <v/>
      </c>
      <c r="E566" s="120">
        <f>$B566-$C566-$D566</f>
        <v/>
      </c>
      <c r="F566" s="118">
        <f>KarsilikAyBasiKasa+SUM($E$6:E566)</f>
        <v/>
      </c>
      <c r="G566" s="120">
        <f>IF($F566&lt;KarsilikNakitEsigi,"EVET","HAYIR")</f>
        <v/>
      </c>
    </row>
    <row r="567" ht="15" customHeight="1" s="68">
      <c r="D567" s="120">
        <f>ROUND($B567*KarliyukNakitKarliikOrani,0)</f>
        <v/>
      </c>
      <c r="E567" s="120">
        <f>$B567-$C567-$D567</f>
        <v/>
      </c>
      <c r="F567" s="118">
        <f>KarsilikAyBasiKasa+SUM($E$6:E567)</f>
        <v/>
      </c>
      <c r="G567" s="120">
        <f>IF($F567&lt;KarsilikNakitEsigi,"EVET","HAYIR")</f>
        <v/>
      </c>
    </row>
    <row r="568" ht="15" customHeight="1" s="68">
      <c r="D568" s="120">
        <f>ROUND($B568*KarliyukNakitKarliikOrani,0)</f>
        <v/>
      </c>
      <c r="E568" s="120">
        <f>$B568-$C568-$D568</f>
        <v/>
      </c>
      <c r="F568" s="118">
        <f>KarsilikAyBasiKasa+SUM($E$6:E568)</f>
        <v/>
      </c>
      <c r="G568" s="120">
        <f>IF($F568&lt;KarsilikNakitEsigi,"EVET","HAYIR")</f>
        <v/>
      </c>
    </row>
    <row r="569" ht="15" customHeight="1" s="68">
      <c r="D569" s="120">
        <f>ROUND($B569*KarliyukNakitKarliikOrani,0)</f>
        <v/>
      </c>
      <c r="E569" s="120">
        <f>$B569-$C569-$D569</f>
        <v/>
      </c>
      <c r="F569" s="118">
        <f>KarsilikAyBasiKasa+SUM($E$6:E569)</f>
        <v/>
      </c>
      <c r="G569" s="120">
        <f>IF($F569&lt;KarsilikNakitEsigi,"EVET","HAYIR")</f>
        <v/>
      </c>
    </row>
    <row r="570" ht="15" customHeight="1" s="68">
      <c r="D570" s="120">
        <f>ROUND($B570*KarliyukNakitKarliikOrani,0)</f>
        <v/>
      </c>
      <c r="E570" s="120">
        <f>$B570-$C570-$D570</f>
        <v/>
      </c>
      <c r="F570" s="118">
        <f>KarsilikAyBasiKasa+SUM($E$6:E570)</f>
        <v/>
      </c>
      <c r="G570" s="120">
        <f>IF($F570&lt;KarsilikNakitEsigi,"EVET","HAYIR")</f>
        <v/>
      </c>
    </row>
    <row r="571" ht="15" customHeight="1" s="68">
      <c r="D571" s="120">
        <f>ROUND($B571*KarliyukNakitKarliikOrani,0)</f>
        <v/>
      </c>
      <c r="E571" s="120">
        <f>$B571-$C571-$D571</f>
        <v/>
      </c>
      <c r="F571" s="118">
        <f>KarsilikAyBasiKasa+SUM($E$6:E571)</f>
        <v/>
      </c>
      <c r="G571" s="120">
        <f>IF($F571&lt;KarsilikNakitEsigi,"EVET","HAYIR")</f>
        <v/>
      </c>
    </row>
    <row r="572" ht="15" customHeight="1" s="68">
      <c r="D572" s="120">
        <f>ROUND($B572*KarliyukNakitKarliikOrani,0)</f>
        <v/>
      </c>
      <c r="E572" s="120">
        <f>$B572-$C572-$D572</f>
        <v/>
      </c>
      <c r="F572" s="118">
        <f>KarsilikAyBasiKasa+SUM($E$6:E572)</f>
        <v/>
      </c>
      <c r="G572" s="120">
        <f>IF($F572&lt;KarsilikNakitEsigi,"EVET","HAYIR")</f>
        <v/>
      </c>
    </row>
    <row r="573" ht="15" customHeight="1" s="68">
      <c r="D573" s="120">
        <f>ROUND($B573*KarliyukNakitKarliikOrani,0)</f>
        <v/>
      </c>
      <c r="E573" s="120">
        <f>$B573-$C573-$D573</f>
        <v/>
      </c>
      <c r="F573" s="118">
        <f>KarsilikAyBasiKasa+SUM($E$6:E573)</f>
        <v/>
      </c>
      <c r="G573" s="120">
        <f>IF($F573&lt;KarsilikNakitEsigi,"EVET","HAYIR")</f>
        <v/>
      </c>
    </row>
    <row r="574" ht="15" customHeight="1" s="68">
      <c r="D574" s="120">
        <f>ROUND($B574*KarliyukNakitKarliikOrani,0)</f>
        <v/>
      </c>
      <c r="E574" s="120">
        <f>$B574-$C574-$D574</f>
        <v/>
      </c>
      <c r="F574" s="118">
        <f>KarsilikAyBasiKasa+SUM($E$6:E574)</f>
        <v/>
      </c>
      <c r="G574" s="120">
        <f>IF($F574&lt;KarsilikNakitEsigi,"EVET","HAYIR")</f>
        <v/>
      </c>
    </row>
    <row r="575" ht="15" customHeight="1" s="68">
      <c r="D575" s="120">
        <f>ROUND($B575*KarliyukNakitKarliikOrani,0)</f>
        <v/>
      </c>
      <c r="E575" s="120">
        <f>$B575-$C575-$D575</f>
        <v/>
      </c>
      <c r="F575" s="118">
        <f>KarsilikAyBasiKasa+SUM($E$6:E575)</f>
        <v/>
      </c>
      <c r="G575" s="120">
        <f>IF($F575&lt;KarsilikNakitEsigi,"EVET","HAYIR")</f>
        <v/>
      </c>
    </row>
    <row r="576" ht="15" customHeight="1" s="68">
      <c r="D576" s="120">
        <f>ROUND($B576*KarliyukNakitKarliikOrani,0)</f>
        <v/>
      </c>
      <c r="E576" s="120">
        <f>$B576-$C576-$D576</f>
        <v/>
      </c>
      <c r="F576" s="118">
        <f>KarsilikAyBasiKasa+SUM($E$6:E576)</f>
        <v/>
      </c>
      <c r="G576" s="120">
        <f>IF($F576&lt;KarsilikNakitEsigi,"EVET","HAYIR")</f>
        <v/>
      </c>
    </row>
    <row r="577" ht="15" customHeight="1" s="68">
      <c r="D577" s="120">
        <f>ROUND($B577*KarliyukNakitKarliikOrani,0)</f>
        <v/>
      </c>
      <c r="E577" s="120">
        <f>$B577-$C577-$D577</f>
        <v/>
      </c>
      <c r="F577" s="118">
        <f>KarsilikAyBasiKasa+SUM($E$6:E577)</f>
        <v/>
      </c>
      <c r="G577" s="120">
        <f>IF($F577&lt;KarsilikNakitEsigi,"EVET","HAYIR")</f>
        <v/>
      </c>
    </row>
    <row r="578" ht="15" customHeight="1" s="68">
      <c r="D578" s="120">
        <f>ROUND($B578*KarliyukNakitKarliikOrani,0)</f>
        <v/>
      </c>
      <c r="E578" s="120">
        <f>$B578-$C578-$D578</f>
        <v/>
      </c>
      <c r="F578" s="118">
        <f>KarsilikAyBasiKasa+SUM($E$6:E578)</f>
        <v/>
      </c>
      <c r="G578" s="120">
        <f>IF($F578&lt;KarsilikNakitEsigi,"EVET","HAYIR")</f>
        <v/>
      </c>
    </row>
    <row r="579" ht="15" customHeight="1" s="68">
      <c r="D579" s="120">
        <f>ROUND($B579*KarliyukNakitKarliikOrani,0)</f>
        <v/>
      </c>
      <c r="E579" s="120">
        <f>$B579-$C579-$D579</f>
        <v/>
      </c>
      <c r="F579" s="118">
        <f>KarsilikAyBasiKasa+SUM($E$6:E579)</f>
        <v/>
      </c>
      <c r="G579" s="120">
        <f>IF($F579&lt;KarsilikNakitEsigi,"EVET","HAYIR")</f>
        <v/>
      </c>
    </row>
    <row r="580" ht="15" customHeight="1" s="68">
      <c r="D580" s="120">
        <f>ROUND($B580*KarliyukNakitKarliikOrani,0)</f>
        <v/>
      </c>
      <c r="E580" s="120">
        <f>$B580-$C580-$D580</f>
        <v/>
      </c>
      <c r="F580" s="118">
        <f>KarsilikAyBasiKasa+SUM($E$6:E580)</f>
        <v/>
      </c>
      <c r="G580" s="120">
        <f>IF($F580&lt;KarsilikNakitEsigi,"EVET","HAYIR")</f>
        <v/>
      </c>
    </row>
    <row r="581" ht="15" customHeight="1" s="68">
      <c r="D581" s="120">
        <f>ROUND($B581*KarliyukNakitKarliikOrani,0)</f>
        <v/>
      </c>
      <c r="E581" s="120">
        <f>$B581-$C581-$D581</f>
        <v/>
      </c>
      <c r="F581" s="118">
        <f>KarsilikAyBasiKasa+SUM($E$6:E581)</f>
        <v/>
      </c>
      <c r="G581" s="120">
        <f>IF($F581&lt;KarsilikNakitEsigi,"EVET","HAYIR")</f>
        <v/>
      </c>
    </row>
    <row r="582" ht="15" customHeight="1" s="68">
      <c r="D582" s="120">
        <f>ROUND($B582*KarliyukNakitKarliikOrani,0)</f>
        <v/>
      </c>
      <c r="E582" s="120">
        <f>$B582-$C582-$D582</f>
        <v/>
      </c>
      <c r="F582" s="118">
        <f>KarsilikAyBasiKasa+SUM($E$6:E582)</f>
        <v/>
      </c>
      <c r="G582" s="120">
        <f>IF($F582&lt;KarsilikNakitEsigi,"EVET","HAYIR")</f>
        <v/>
      </c>
    </row>
    <row r="583" ht="15" customHeight="1" s="68">
      <c r="D583" s="120">
        <f>ROUND($B583*KarliyukNakitKarliikOrani,0)</f>
        <v/>
      </c>
      <c r="E583" s="120">
        <f>$B583-$C583-$D583</f>
        <v/>
      </c>
      <c r="F583" s="118">
        <f>KarsilikAyBasiKasa+SUM($E$6:E583)</f>
        <v/>
      </c>
      <c r="G583" s="120">
        <f>IF($F583&lt;KarsilikNakitEsigi,"EVET","HAYIR")</f>
        <v/>
      </c>
    </row>
    <row r="584" ht="15" customHeight="1" s="68">
      <c r="D584" s="120">
        <f>ROUND($B584*KarliyukNakitKarliikOrani,0)</f>
        <v/>
      </c>
      <c r="E584" s="120">
        <f>$B584-$C584-$D584</f>
        <v/>
      </c>
      <c r="F584" s="118">
        <f>KarsilikAyBasiKasa+SUM($E$6:E584)</f>
        <v/>
      </c>
      <c r="G584" s="120">
        <f>IF($F584&lt;KarsilikNakitEsigi,"EVET","HAYIR")</f>
        <v/>
      </c>
    </row>
    <row r="585" ht="15" customHeight="1" s="68">
      <c r="D585" s="120">
        <f>ROUND($B585*KarliyukNakitKarliikOrani,0)</f>
        <v/>
      </c>
      <c r="E585" s="120">
        <f>$B585-$C585-$D585</f>
        <v/>
      </c>
      <c r="F585" s="118">
        <f>KarsilikAyBasiKasa+SUM($E$6:E585)</f>
        <v/>
      </c>
      <c r="G585" s="120">
        <f>IF($F585&lt;KarsilikNakitEsigi,"EVET","HAYIR")</f>
        <v/>
      </c>
    </row>
    <row r="586" ht="15" customHeight="1" s="68">
      <c r="D586" s="120">
        <f>ROUND($B586*KarliyukNakitKarliikOrani,0)</f>
        <v/>
      </c>
      <c r="E586" s="120">
        <f>$B586-$C586-$D586</f>
        <v/>
      </c>
      <c r="F586" s="118">
        <f>KarsilikAyBasiKasa+SUM($E$6:E586)</f>
        <v/>
      </c>
      <c r="G586" s="120">
        <f>IF($F586&lt;KarsilikNakitEsigi,"EVET","HAYIR")</f>
        <v/>
      </c>
    </row>
    <row r="587" ht="15" customHeight="1" s="68">
      <c r="D587" s="120">
        <f>ROUND($B587*KarliyukNakitKarliikOrani,0)</f>
        <v/>
      </c>
      <c r="E587" s="120">
        <f>$B587-$C587-$D587</f>
        <v/>
      </c>
      <c r="F587" s="118">
        <f>KarsilikAyBasiKasa+SUM($E$6:E587)</f>
        <v/>
      </c>
      <c r="G587" s="120">
        <f>IF($F587&lt;KarsilikNakitEsigi,"EVET","HAYIR")</f>
        <v/>
      </c>
    </row>
    <row r="588" ht="15" customHeight="1" s="68">
      <c r="D588" s="120">
        <f>ROUND($B588*KarliyukNakitKarliikOrani,0)</f>
        <v/>
      </c>
      <c r="E588" s="120">
        <f>$B588-$C588-$D588</f>
        <v/>
      </c>
      <c r="F588" s="118">
        <f>KarsilikAyBasiKasa+SUM($E$6:E588)</f>
        <v/>
      </c>
      <c r="G588" s="120">
        <f>IF($F588&lt;KarsilikNakitEsigi,"EVET","HAYIR")</f>
        <v/>
      </c>
    </row>
    <row r="589" ht="15" customHeight="1" s="68">
      <c r="D589" s="120">
        <f>ROUND($B589*KarliyukNakitKarliikOrani,0)</f>
        <v/>
      </c>
      <c r="E589" s="120">
        <f>$B589-$C589-$D589</f>
        <v/>
      </c>
      <c r="F589" s="118">
        <f>KarsilikAyBasiKasa+SUM($E$6:E589)</f>
        <v/>
      </c>
      <c r="G589" s="120">
        <f>IF($F589&lt;KarsilikNakitEsigi,"EVET","HAYIR")</f>
        <v/>
      </c>
    </row>
    <row r="590" ht="15" customHeight="1" s="68">
      <c r="D590" s="120">
        <f>ROUND($B590*KarliyukNakitKarliikOrani,0)</f>
        <v/>
      </c>
      <c r="E590" s="120">
        <f>$B590-$C590-$D590</f>
        <v/>
      </c>
      <c r="F590" s="118">
        <f>KarsilikAyBasiKasa+SUM($E$6:E590)</f>
        <v/>
      </c>
      <c r="G590" s="120">
        <f>IF($F590&lt;KarsilikNakitEsigi,"EVET","HAYIR")</f>
        <v/>
      </c>
    </row>
    <row r="591" ht="15" customHeight="1" s="68">
      <c r="D591" s="120">
        <f>ROUND($B591*KarliyukNakitKarliikOrani,0)</f>
        <v/>
      </c>
      <c r="E591" s="120">
        <f>$B591-$C591-$D591</f>
        <v/>
      </c>
      <c r="F591" s="118">
        <f>KarsilikAyBasiKasa+SUM($E$6:E591)</f>
        <v/>
      </c>
      <c r="G591" s="120">
        <f>IF($F591&lt;KarsilikNakitEsigi,"EVET","HAYIR")</f>
        <v/>
      </c>
    </row>
    <row r="592" ht="15" customHeight="1" s="68">
      <c r="D592" s="120">
        <f>ROUND($B592*KarliyukNakitKarliikOrani,0)</f>
        <v/>
      </c>
      <c r="E592" s="120">
        <f>$B592-$C592-$D592</f>
        <v/>
      </c>
      <c r="F592" s="118">
        <f>KarsilikAyBasiKasa+SUM($E$6:E592)</f>
        <v/>
      </c>
      <c r="G592" s="120">
        <f>IF($F592&lt;KarsilikNakitEsigi,"EVET","HAYIR")</f>
        <v/>
      </c>
    </row>
    <row r="593" ht="15" customHeight="1" s="68">
      <c r="D593" s="120">
        <f>ROUND($B593*KarliyukNakitKarliikOrani,0)</f>
        <v/>
      </c>
      <c r="E593" s="120">
        <f>$B593-$C593-$D593</f>
        <v/>
      </c>
      <c r="F593" s="118">
        <f>KarsilikAyBasiKasa+SUM($E$6:E593)</f>
        <v/>
      </c>
      <c r="G593" s="120">
        <f>IF($F593&lt;KarsilikNakitEsigi,"EVET","HAYIR")</f>
        <v/>
      </c>
    </row>
    <row r="594" ht="15" customHeight="1" s="68">
      <c r="D594" s="120">
        <f>ROUND($B594*KarliyukNakitKarliikOrani,0)</f>
        <v/>
      </c>
      <c r="E594" s="120">
        <f>$B594-$C594-$D594</f>
        <v/>
      </c>
      <c r="F594" s="118">
        <f>KarsilikAyBasiKasa+SUM($E$6:E594)</f>
        <v/>
      </c>
      <c r="G594" s="120">
        <f>IF($F594&lt;KarsilikNakitEsigi,"EVET","HAYIR")</f>
        <v/>
      </c>
    </row>
    <row r="595" ht="15" customHeight="1" s="68">
      <c r="D595" s="120">
        <f>ROUND($B595*KarliyukNakitKarliikOrani,0)</f>
        <v/>
      </c>
      <c r="E595" s="120">
        <f>$B595-$C595-$D595</f>
        <v/>
      </c>
      <c r="F595" s="118">
        <f>KarsilikAyBasiKasa+SUM($E$6:E595)</f>
        <v/>
      </c>
      <c r="G595" s="120">
        <f>IF($F595&lt;KarsilikNakitEsigi,"EVET","HAYIR")</f>
        <v/>
      </c>
    </row>
    <row r="596" ht="15" customHeight="1" s="68">
      <c r="D596" s="120">
        <f>ROUND($B596*KarliyukNakitKarliikOrani,0)</f>
        <v/>
      </c>
      <c r="E596" s="120">
        <f>$B596-$C596-$D596</f>
        <v/>
      </c>
      <c r="F596" s="118">
        <f>KarsilikAyBasiKasa+SUM($E$6:E596)</f>
        <v/>
      </c>
      <c r="G596" s="120">
        <f>IF($F596&lt;KarsilikNakitEsigi,"EVET","HAYIR")</f>
        <v/>
      </c>
    </row>
    <row r="597" ht="15" customHeight="1" s="68">
      <c r="D597" s="120">
        <f>ROUND($B597*KarliyukNakitKarliikOrani,0)</f>
        <v/>
      </c>
      <c r="E597" s="120">
        <f>$B597-$C597-$D597</f>
        <v/>
      </c>
      <c r="F597" s="118">
        <f>KarsilikAyBasiKasa+SUM($E$6:E597)</f>
        <v/>
      </c>
      <c r="G597" s="120">
        <f>IF($F597&lt;KarsilikNakitEsigi,"EVET","HAYIR")</f>
        <v/>
      </c>
    </row>
    <row r="598" ht="15" customHeight="1" s="68">
      <c r="D598" s="120">
        <f>ROUND($B598*KarliyukNakitKarliikOrani,0)</f>
        <v/>
      </c>
      <c r="E598" s="120">
        <f>$B598-$C598-$D598</f>
        <v/>
      </c>
      <c r="F598" s="118">
        <f>KarsilikAyBasiKasa+SUM($E$6:E598)</f>
        <v/>
      </c>
      <c r="G598" s="120">
        <f>IF($F598&lt;KarsilikNakitEsigi,"EVET","HAYIR")</f>
        <v/>
      </c>
    </row>
    <row r="599" ht="15" customHeight="1" s="68">
      <c r="D599" s="120">
        <f>ROUND($B599*KarliyukNakitKarliikOrani,0)</f>
        <v/>
      </c>
      <c r="E599" s="120">
        <f>$B599-$C599-$D599</f>
        <v/>
      </c>
      <c r="F599" s="118">
        <f>KarsilikAyBasiKasa+SUM($E$6:E599)</f>
        <v/>
      </c>
      <c r="G599" s="120">
        <f>IF($F599&lt;KarsilikNakitEsigi,"EVET","HAYIR")</f>
        <v/>
      </c>
    </row>
    <row r="600" ht="15" customHeight="1" s="68">
      <c r="D600" s="120">
        <f>ROUND($B600*KarliyukNakitKarliikOrani,0)</f>
        <v/>
      </c>
      <c r="E600" s="120">
        <f>$B600-$C600-$D600</f>
        <v/>
      </c>
      <c r="F600" s="118">
        <f>KarsilikAyBasiKasa+SUM($E$6:E600)</f>
        <v/>
      </c>
      <c r="G600" s="120">
        <f>IF($F600&lt;KarsilikNakitEsigi,"EVET","HAYIR")</f>
        <v/>
      </c>
    </row>
    <row r="601" ht="15" customHeight="1" s="68">
      <c r="D601" s="120">
        <f>ROUND($B601*KarliyukNakitKarliikOrani,0)</f>
        <v/>
      </c>
      <c r="E601" s="120">
        <f>$B601-$C601-$D601</f>
        <v/>
      </c>
      <c r="F601" s="118">
        <f>KarsilikAyBasiKasa+SUM($E$6:E601)</f>
        <v/>
      </c>
      <c r="G601" s="120">
        <f>IF($F601&lt;KarsilikNakitEsigi,"EVET","HAYIR")</f>
        <v/>
      </c>
    </row>
    <row r="602" ht="15" customHeight="1" s="68">
      <c r="D602" s="120">
        <f>ROUND($B602*KarliyukNakitKarliikOrani,0)</f>
        <v/>
      </c>
      <c r="E602" s="120">
        <f>$B602-$C602-$D602</f>
        <v/>
      </c>
      <c r="F602" s="118">
        <f>KarsilikAyBasiKasa+SUM($E$6:E602)</f>
        <v/>
      </c>
      <c r="G602" s="120">
        <f>IF($F602&lt;KarsilikNakitEsigi,"EVET","HAYIR")</f>
        <v/>
      </c>
    </row>
    <row r="603" ht="15" customHeight="1" s="68">
      <c r="D603" s="120">
        <f>ROUND($B603*KarliyukNakitKarliikOrani,0)</f>
        <v/>
      </c>
      <c r="E603" s="120">
        <f>$B603-$C603-$D603</f>
        <v/>
      </c>
      <c r="F603" s="118">
        <f>KarsilikAyBasiKasa+SUM($E$6:E603)</f>
        <v/>
      </c>
      <c r="G603" s="120">
        <f>IF($F603&lt;KarsilikNakitEsigi,"EVET","HAYIR")</f>
        <v/>
      </c>
    </row>
    <row r="604" ht="15" customHeight="1" s="68">
      <c r="D604" s="120">
        <f>ROUND($B604*KarliyukNakitKarliikOrani,0)</f>
        <v/>
      </c>
      <c r="E604" s="120">
        <f>$B604-$C604-$D604</f>
        <v/>
      </c>
      <c r="F604" s="118">
        <f>KarsilikAyBasiKasa+SUM($E$6:E604)</f>
        <v/>
      </c>
      <c r="G604" s="120">
        <f>IF($F604&lt;KarsilikNakitEsigi,"EVET","HAYIR")</f>
        <v/>
      </c>
    </row>
    <row r="605" ht="15" customHeight="1" s="68">
      <c r="D605" s="120">
        <f>ROUND($B605*KarliyukNakitKarliikOrani,0)</f>
        <v/>
      </c>
      <c r="E605" s="120">
        <f>$B605-$C605-$D605</f>
        <v/>
      </c>
      <c r="F605" s="118">
        <f>KarsilikAyBasiKasa+SUM($E$6:E605)</f>
        <v/>
      </c>
      <c r="G605" s="120">
        <f>IF($F605&lt;KarsilikNakitEsigi,"EVET","HAYIR")</f>
        <v/>
      </c>
    </row>
    <row r="606" ht="15" customHeight="1" s="68">
      <c r="D606" s="120">
        <f>ROUND($B606*KarliyukNakitKarliikOrani,0)</f>
        <v/>
      </c>
      <c r="E606" s="120">
        <f>$B606-$C606-$D606</f>
        <v/>
      </c>
      <c r="F606" s="118">
        <f>KarsilikAyBasiKasa+SUM($E$6:E606)</f>
        <v/>
      </c>
      <c r="G606" s="120">
        <f>IF($F606&lt;KarsilikNakitEsigi,"EVET","HAYIR")</f>
        <v/>
      </c>
    </row>
    <row r="607" ht="15" customHeight="1" s="68">
      <c r="D607" s="120">
        <f>ROUND($B607*KarliyukNakitKarliikOrani,0)</f>
        <v/>
      </c>
      <c r="E607" s="120">
        <f>$B607-$C607-$D607</f>
        <v/>
      </c>
      <c r="F607" s="118">
        <f>KarsilikAyBasiKasa+SUM($E$6:E607)</f>
        <v/>
      </c>
      <c r="G607" s="120">
        <f>IF($F607&lt;KarsilikNakitEsigi,"EVET","HAYIR")</f>
        <v/>
      </c>
    </row>
    <row r="608" ht="15" customHeight="1" s="68">
      <c r="D608" s="120">
        <f>ROUND($B608*KarliyukNakitKarliikOrani,0)</f>
        <v/>
      </c>
      <c r="E608" s="120">
        <f>$B608-$C608-$D608</f>
        <v/>
      </c>
      <c r="F608" s="118">
        <f>KarsilikAyBasiKasa+SUM($E$6:E608)</f>
        <v/>
      </c>
      <c r="G608" s="120">
        <f>IF($F608&lt;KarsilikNakitEsigi,"EVET","HAYIR")</f>
        <v/>
      </c>
    </row>
    <row r="609" ht="15" customHeight="1" s="68">
      <c r="D609" s="120">
        <f>ROUND($B609*KarliyukNakitKarliikOrani,0)</f>
        <v/>
      </c>
      <c r="E609" s="120">
        <f>$B609-$C609-$D609</f>
        <v/>
      </c>
      <c r="F609" s="118">
        <f>KarsilikAyBasiKasa+SUM($E$6:E609)</f>
        <v/>
      </c>
      <c r="G609" s="120">
        <f>IF($F609&lt;KarsilikNakitEsigi,"EVET","HAYIR")</f>
        <v/>
      </c>
    </row>
    <row r="610" ht="15" customHeight="1" s="68">
      <c r="D610" s="120">
        <f>ROUND($B610*KarliyukNakitKarliikOrani,0)</f>
        <v/>
      </c>
      <c r="E610" s="120">
        <f>$B610-$C610-$D610</f>
        <v/>
      </c>
      <c r="F610" s="118">
        <f>KarsilikAyBasiKasa+SUM($E$6:E610)</f>
        <v/>
      </c>
      <c r="G610" s="120">
        <f>IF($F610&lt;KarsilikNakitEsigi,"EVET","HAYIR")</f>
        <v/>
      </c>
    </row>
    <row r="611" ht="15" customHeight="1" s="68">
      <c r="D611" s="120">
        <f>ROUND($B611*KarliyukNakitKarliikOrani,0)</f>
        <v/>
      </c>
      <c r="E611" s="120">
        <f>$B611-$C611-$D611</f>
        <v/>
      </c>
      <c r="F611" s="118">
        <f>KarsilikAyBasiKasa+SUM($E$6:E611)</f>
        <v/>
      </c>
      <c r="G611" s="120">
        <f>IF($F611&lt;KarsilikNakitEsigi,"EVET","HAYIR")</f>
        <v/>
      </c>
    </row>
    <row r="612" ht="15" customHeight="1" s="68">
      <c r="D612" s="120">
        <f>ROUND($B612*KarliyukNakitKarliikOrani,0)</f>
        <v/>
      </c>
      <c r="E612" s="120">
        <f>$B612-$C612-$D612</f>
        <v/>
      </c>
      <c r="F612" s="118">
        <f>KarsilikAyBasiKasa+SUM($E$6:E612)</f>
        <v/>
      </c>
      <c r="G612" s="120">
        <f>IF($F612&lt;KarsilikNakitEsigi,"EVET","HAYIR")</f>
        <v/>
      </c>
    </row>
    <row r="613" ht="15" customHeight="1" s="68">
      <c r="D613" s="120">
        <f>ROUND($B613*KarliyukNakitKarliikOrani,0)</f>
        <v/>
      </c>
      <c r="E613" s="120">
        <f>$B613-$C613-$D613</f>
        <v/>
      </c>
      <c r="F613" s="118">
        <f>KarsilikAyBasiKasa+SUM($E$6:E613)</f>
        <v/>
      </c>
      <c r="G613" s="120">
        <f>IF($F613&lt;KarsilikNakitEsigi,"EVET","HAYIR")</f>
        <v/>
      </c>
    </row>
    <row r="614" ht="15" customHeight="1" s="68">
      <c r="D614" s="120">
        <f>ROUND($B614*KarliyukNakitKarliikOrani,0)</f>
        <v/>
      </c>
      <c r="E614" s="120">
        <f>$B614-$C614-$D614</f>
        <v/>
      </c>
      <c r="F614" s="118">
        <f>KarsilikAyBasiKasa+SUM($E$6:E614)</f>
        <v/>
      </c>
      <c r="G614" s="120">
        <f>IF($F614&lt;KarsilikNakitEsigi,"EVET","HAYIR")</f>
        <v/>
      </c>
    </row>
    <row r="615" ht="15" customHeight="1" s="68">
      <c r="D615" s="120">
        <f>ROUND($B615*KarliyukNakitKarliikOrani,0)</f>
        <v/>
      </c>
      <c r="E615" s="120">
        <f>$B615-$C615-$D615</f>
        <v/>
      </c>
      <c r="F615" s="118">
        <f>KarsilikAyBasiKasa+SUM($E$6:E615)</f>
        <v/>
      </c>
      <c r="G615" s="120">
        <f>IF($F615&lt;KarsilikNakitEsigi,"EVET","HAYIR")</f>
        <v/>
      </c>
    </row>
    <row r="616" ht="15" customHeight="1" s="68">
      <c r="D616" s="120">
        <f>ROUND($B616*KarliyukNakitKarliikOrani,0)</f>
        <v/>
      </c>
      <c r="E616" s="120">
        <f>$B616-$C616-$D616</f>
        <v/>
      </c>
      <c r="F616" s="118">
        <f>KarsilikAyBasiKasa+SUM($E$6:E616)</f>
        <v/>
      </c>
      <c r="G616" s="120">
        <f>IF($F616&lt;KarsilikNakitEsigi,"EVET","HAYIR")</f>
        <v/>
      </c>
    </row>
    <row r="617" ht="15" customHeight="1" s="68">
      <c r="D617" s="120">
        <f>ROUND($B617*KarliyukNakitKarliikOrani,0)</f>
        <v/>
      </c>
      <c r="E617" s="120">
        <f>$B617-$C617-$D617</f>
        <v/>
      </c>
      <c r="F617" s="118">
        <f>KarsilikAyBasiKasa+SUM($E$6:E617)</f>
        <v/>
      </c>
      <c r="G617" s="120">
        <f>IF($F617&lt;KarsilikNakitEsigi,"EVET","HAYIR")</f>
        <v/>
      </c>
    </row>
    <row r="618" ht="15" customHeight="1" s="68">
      <c r="D618" s="120">
        <f>ROUND($B618*KarliyukNakitKarliikOrani,0)</f>
        <v/>
      </c>
      <c r="E618" s="120">
        <f>$B618-$C618-$D618</f>
        <v/>
      </c>
      <c r="F618" s="118">
        <f>KarsilikAyBasiKasa+SUM($E$6:E618)</f>
        <v/>
      </c>
      <c r="G618" s="120">
        <f>IF($F618&lt;KarsilikNakitEsigi,"EVET","HAYIR")</f>
        <v/>
      </c>
    </row>
    <row r="619" ht="15" customHeight="1" s="68">
      <c r="D619" s="120">
        <f>ROUND($B619*KarliyukNakitKarliikOrani,0)</f>
        <v/>
      </c>
      <c r="E619" s="120">
        <f>$B619-$C619-$D619</f>
        <v/>
      </c>
      <c r="F619" s="118">
        <f>KarsilikAyBasiKasa+SUM($E$6:E619)</f>
        <v/>
      </c>
      <c r="G619" s="120">
        <f>IF($F619&lt;KarsilikNakitEsigi,"EVET","HAYIR")</f>
        <v/>
      </c>
    </row>
    <row r="620" ht="15" customHeight="1" s="68">
      <c r="D620" s="120">
        <f>ROUND($B620*KarliyukNakitKarliikOrani,0)</f>
        <v/>
      </c>
      <c r="E620" s="120">
        <f>$B620-$C620-$D620</f>
        <v/>
      </c>
      <c r="F620" s="118">
        <f>KarsilikAyBasiKasa+SUM($E$6:E620)</f>
        <v/>
      </c>
      <c r="G620" s="120">
        <f>IF($F620&lt;KarsilikNakitEsigi,"EVET","HAYIR")</f>
        <v/>
      </c>
    </row>
    <row r="621" ht="15" customHeight="1" s="68">
      <c r="D621" s="120">
        <f>ROUND($B621*KarliyukNakitKarliikOrani,0)</f>
        <v/>
      </c>
      <c r="E621" s="120">
        <f>$B621-$C621-$D621</f>
        <v/>
      </c>
      <c r="F621" s="118">
        <f>KarsilikAyBasiKasa+SUM($E$6:E621)</f>
        <v/>
      </c>
      <c r="G621" s="120">
        <f>IF($F621&lt;KarsilikNakitEsigi,"EVET","HAYIR")</f>
        <v/>
      </c>
    </row>
    <row r="622" ht="15" customHeight="1" s="68">
      <c r="D622" s="120">
        <f>ROUND($B622*KarliyukNakitKarliikOrani,0)</f>
        <v/>
      </c>
      <c r="E622" s="120">
        <f>$B622-$C622-$D622</f>
        <v/>
      </c>
      <c r="F622" s="118">
        <f>KarsilikAyBasiKasa+SUM($E$6:E622)</f>
        <v/>
      </c>
      <c r="G622" s="120">
        <f>IF($F622&lt;KarsilikNakitEsigi,"EVET","HAYIR")</f>
        <v/>
      </c>
    </row>
    <row r="623" ht="15" customHeight="1" s="68">
      <c r="D623" s="120">
        <f>ROUND($B623*KarliyukNakitKarliikOrani,0)</f>
        <v/>
      </c>
      <c r="E623" s="120">
        <f>$B623-$C623-$D623</f>
        <v/>
      </c>
      <c r="F623" s="118">
        <f>KarsilikAyBasiKasa+SUM($E$6:E623)</f>
        <v/>
      </c>
      <c r="G623" s="120">
        <f>IF($F623&lt;KarsilikNakitEsigi,"EVET","HAYIR")</f>
        <v/>
      </c>
    </row>
    <row r="624" ht="15" customHeight="1" s="68">
      <c r="D624" s="120">
        <f>ROUND($B624*KarliyukNakitKarliikOrani,0)</f>
        <v/>
      </c>
      <c r="E624" s="120">
        <f>$B624-$C624-$D624</f>
        <v/>
      </c>
      <c r="F624" s="118">
        <f>KarsilikAyBasiKasa+SUM($E$6:E624)</f>
        <v/>
      </c>
      <c r="G624" s="120">
        <f>IF($F624&lt;KarsilikNakitEsigi,"EVET","HAYIR")</f>
        <v/>
      </c>
    </row>
    <row r="625" ht="15" customHeight="1" s="68">
      <c r="D625" s="120">
        <f>ROUND($B625*KarliyukNakitKarliikOrani,0)</f>
        <v/>
      </c>
      <c r="E625" s="120">
        <f>$B625-$C625-$D625</f>
        <v/>
      </c>
      <c r="F625" s="118">
        <f>KarsilikAyBasiKasa+SUM($E$6:E625)</f>
        <v/>
      </c>
      <c r="G625" s="120">
        <f>IF($F625&lt;KarsilikNakitEsigi,"EVET","HAYIR")</f>
        <v/>
      </c>
    </row>
    <row r="626" ht="15" customHeight="1" s="68">
      <c r="D626" s="120">
        <f>ROUND($B626*KarliyukNakitKarliikOrani,0)</f>
        <v/>
      </c>
      <c r="E626" s="120">
        <f>$B626-$C626-$D626</f>
        <v/>
      </c>
      <c r="F626" s="118">
        <f>KarsilikAyBasiKasa+SUM($E$6:E626)</f>
        <v/>
      </c>
      <c r="G626" s="120">
        <f>IF($F626&lt;KarsilikNakitEsigi,"EVET","HAYIR")</f>
        <v/>
      </c>
    </row>
    <row r="627" ht="15" customHeight="1" s="68">
      <c r="D627" s="120">
        <f>ROUND($B627*KarliyukNakitKarliikOrani,0)</f>
        <v/>
      </c>
      <c r="E627" s="120">
        <f>$B627-$C627-$D627</f>
        <v/>
      </c>
      <c r="F627" s="118">
        <f>KarsilikAyBasiKasa+SUM($E$6:E627)</f>
        <v/>
      </c>
      <c r="G627" s="120">
        <f>IF($F627&lt;KarsilikNakitEsigi,"EVET","HAYIR")</f>
        <v/>
      </c>
    </row>
    <row r="628" ht="15" customHeight="1" s="68">
      <c r="D628" s="120">
        <f>ROUND($B628*KarliyukNakitKarliikOrani,0)</f>
        <v/>
      </c>
      <c r="E628" s="120">
        <f>$B628-$C628-$D628</f>
        <v/>
      </c>
      <c r="F628" s="118">
        <f>KarsilikAyBasiKasa+SUM($E$6:E628)</f>
        <v/>
      </c>
      <c r="G628" s="120">
        <f>IF($F628&lt;KarsilikNakitEsigi,"EVET","HAYIR")</f>
        <v/>
      </c>
    </row>
    <row r="629" ht="15" customHeight="1" s="68">
      <c r="D629" s="120">
        <f>ROUND($B629*KarliyukNakitKarliikOrani,0)</f>
        <v/>
      </c>
      <c r="E629" s="120">
        <f>$B629-$C629-$D629</f>
        <v/>
      </c>
      <c r="F629" s="118">
        <f>KarsilikAyBasiKasa+SUM($E$6:E629)</f>
        <v/>
      </c>
      <c r="G629" s="120">
        <f>IF($F629&lt;KarsilikNakitEsigi,"EVET","HAYIR")</f>
        <v/>
      </c>
    </row>
    <row r="630" ht="15" customHeight="1" s="68">
      <c r="D630" s="120">
        <f>ROUND($B630*KarliyukNakitKarliikOrani,0)</f>
        <v/>
      </c>
      <c r="E630" s="120">
        <f>$B630-$C630-$D630</f>
        <v/>
      </c>
      <c r="F630" s="118">
        <f>KarsilikAyBasiKasa+SUM($E$6:E630)</f>
        <v/>
      </c>
      <c r="G630" s="120">
        <f>IF($F630&lt;KarsilikNakitEsigi,"EVET","HAYIR")</f>
        <v/>
      </c>
    </row>
    <row r="631" ht="15" customHeight="1" s="68">
      <c r="D631" s="120">
        <f>ROUND($B631*KarliyukNakitKarliikOrani,0)</f>
        <v/>
      </c>
      <c r="E631" s="120">
        <f>$B631-$C631-$D631</f>
        <v/>
      </c>
      <c r="F631" s="118">
        <f>KarsilikAyBasiKasa+SUM($E$6:E631)</f>
        <v/>
      </c>
      <c r="G631" s="120">
        <f>IF($F631&lt;KarsilikNakitEsigi,"EVET","HAYIR")</f>
        <v/>
      </c>
    </row>
    <row r="632" ht="15" customHeight="1" s="68">
      <c r="D632" s="120">
        <f>ROUND($B632*KarliyukNakitKarliikOrani,0)</f>
        <v/>
      </c>
      <c r="E632" s="120">
        <f>$B632-$C632-$D632</f>
        <v/>
      </c>
      <c r="F632" s="118">
        <f>KarsilikAyBasiKasa+SUM($E$6:E632)</f>
        <v/>
      </c>
      <c r="G632" s="120">
        <f>IF($F632&lt;KarsilikNakitEsigi,"EVET","HAYIR")</f>
        <v/>
      </c>
    </row>
    <row r="633" ht="15" customHeight="1" s="68">
      <c r="D633" s="120">
        <f>ROUND($B633*KarliyukNakitKarliikOrani,0)</f>
        <v/>
      </c>
      <c r="E633" s="120">
        <f>$B633-$C633-$D633</f>
        <v/>
      </c>
      <c r="F633" s="118">
        <f>KarsilikAyBasiKasa+SUM($E$6:E633)</f>
        <v/>
      </c>
      <c r="G633" s="120">
        <f>IF($F633&lt;KarsilikNakitEsigi,"EVET","HAYIR")</f>
        <v/>
      </c>
    </row>
    <row r="634" ht="15" customHeight="1" s="68">
      <c r="D634" s="120">
        <f>ROUND($B634*KarliyukNakitKarliikOrani,0)</f>
        <v/>
      </c>
      <c r="E634" s="120">
        <f>$B634-$C634-$D634</f>
        <v/>
      </c>
      <c r="F634" s="118">
        <f>KarsilikAyBasiKasa+SUM($E$6:E634)</f>
        <v/>
      </c>
      <c r="G634" s="120">
        <f>IF($F634&lt;KarsilikNakitEsigi,"EVET","HAYIR")</f>
        <v/>
      </c>
    </row>
    <row r="635" ht="15" customHeight="1" s="68">
      <c r="D635" s="120">
        <f>ROUND($B635*KarliyukNakitKarliikOrani,0)</f>
        <v/>
      </c>
      <c r="E635" s="120">
        <f>$B635-$C635-$D635</f>
        <v/>
      </c>
      <c r="F635" s="118">
        <f>KarsilikAyBasiKasa+SUM($E$6:E635)</f>
        <v/>
      </c>
      <c r="G635" s="120">
        <f>IF($F635&lt;KarsilikNakitEsigi,"EVET","HAYIR")</f>
        <v/>
      </c>
    </row>
    <row r="636" ht="15" customHeight="1" s="68">
      <c r="D636" s="120">
        <f>ROUND($B636*KarliyukNakitKarliikOrani,0)</f>
        <v/>
      </c>
      <c r="E636" s="120">
        <f>$B636-$C636-$D636</f>
        <v/>
      </c>
      <c r="F636" s="118">
        <f>KarsilikAyBasiKasa+SUM($E$6:E636)</f>
        <v/>
      </c>
      <c r="G636" s="120">
        <f>IF($F636&lt;KarsilikNakitEsigi,"EVET","HAYIR")</f>
        <v/>
      </c>
    </row>
    <row r="637" ht="15" customHeight="1" s="68">
      <c r="D637" s="120">
        <f>ROUND($B637*KarliyukNakitKarliikOrani,0)</f>
        <v/>
      </c>
      <c r="E637" s="120">
        <f>$B637-$C637-$D637</f>
        <v/>
      </c>
      <c r="F637" s="118">
        <f>KarsilikAyBasiKasa+SUM($E$6:E637)</f>
        <v/>
      </c>
      <c r="G637" s="120">
        <f>IF($F637&lt;KarsilikNakitEsigi,"EVET","HAYIR")</f>
        <v/>
      </c>
    </row>
    <row r="638" ht="15" customHeight="1" s="68">
      <c r="D638" s="120">
        <f>ROUND($B638*KarliyukNakitKarliikOrani,0)</f>
        <v/>
      </c>
      <c r="E638" s="120">
        <f>$B638-$C638-$D638</f>
        <v/>
      </c>
      <c r="F638" s="118">
        <f>KarsilikAyBasiKasa+SUM($E$6:E638)</f>
        <v/>
      </c>
      <c r="G638" s="120">
        <f>IF($F638&lt;KarsilikNakitEsigi,"EVET","HAYIR")</f>
        <v/>
      </c>
    </row>
    <row r="639" ht="15" customHeight="1" s="68">
      <c r="D639" s="120">
        <f>ROUND($B639*KarliyukNakitKarliikOrani,0)</f>
        <v/>
      </c>
      <c r="E639" s="120">
        <f>$B639-$C639-$D639</f>
        <v/>
      </c>
      <c r="F639" s="118">
        <f>KarsilikAyBasiKasa+SUM($E$6:E639)</f>
        <v/>
      </c>
      <c r="G639" s="120">
        <f>IF($F639&lt;KarsilikNakitEsigi,"EVET","HAYIR")</f>
        <v/>
      </c>
    </row>
    <row r="640" ht="15" customHeight="1" s="68">
      <c r="D640" s="120">
        <f>ROUND($B640*KarliyukNakitKarliikOrani,0)</f>
        <v/>
      </c>
      <c r="E640" s="120">
        <f>$B640-$C640-$D640</f>
        <v/>
      </c>
      <c r="F640" s="118">
        <f>KarsilikAyBasiKasa+SUM($E$6:E640)</f>
        <v/>
      </c>
      <c r="G640" s="120">
        <f>IF($F640&lt;KarsilikNakitEsigi,"EVET","HAYIR")</f>
        <v/>
      </c>
    </row>
    <row r="641" ht="15" customHeight="1" s="68">
      <c r="D641" s="120">
        <f>ROUND($B641*KarliyukNakitKarliikOrani,0)</f>
        <v/>
      </c>
      <c r="E641" s="120">
        <f>$B641-$C641-$D641</f>
        <v/>
      </c>
      <c r="F641" s="118">
        <f>KarsilikAyBasiKasa+SUM($E$6:E641)</f>
        <v/>
      </c>
      <c r="G641" s="120">
        <f>IF($F641&lt;KarsilikNakitEsigi,"EVET","HAYIR")</f>
        <v/>
      </c>
    </row>
    <row r="642" ht="15" customHeight="1" s="68">
      <c r="D642" s="120">
        <f>ROUND($B642*KarliyukNakitKarliikOrani,0)</f>
        <v/>
      </c>
      <c r="E642" s="120">
        <f>$B642-$C642-$D642</f>
        <v/>
      </c>
      <c r="F642" s="118">
        <f>KarsilikAyBasiKasa+SUM($E$6:E642)</f>
        <v/>
      </c>
      <c r="G642" s="120">
        <f>IF($F642&lt;KarsilikNakitEsigi,"EVET","HAYIR")</f>
        <v/>
      </c>
    </row>
    <row r="643" ht="15" customHeight="1" s="68">
      <c r="D643" s="120">
        <f>ROUND($B643*KarliyukNakitKarliikOrani,0)</f>
        <v/>
      </c>
      <c r="E643" s="120">
        <f>$B643-$C643-$D643</f>
        <v/>
      </c>
      <c r="F643" s="118">
        <f>KarsilikAyBasiKasa+SUM($E$6:E643)</f>
        <v/>
      </c>
      <c r="G643" s="120">
        <f>IF($F643&lt;KarsilikNakitEsigi,"EVET","HAYIR")</f>
        <v/>
      </c>
    </row>
    <row r="644" ht="15" customHeight="1" s="68">
      <c r="D644" s="120">
        <f>ROUND($B644*KarliyukNakitKarliikOrani,0)</f>
        <v/>
      </c>
      <c r="E644" s="120">
        <f>$B644-$C644-$D644</f>
        <v/>
      </c>
      <c r="F644" s="118">
        <f>KarsilikAyBasiKasa+SUM($E$6:E644)</f>
        <v/>
      </c>
      <c r="G644" s="120">
        <f>IF($F644&lt;KarsilikNakitEsigi,"EVET","HAYIR")</f>
        <v/>
      </c>
    </row>
    <row r="645" ht="15" customHeight="1" s="68">
      <c r="D645" s="120">
        <f>ROUND($B645*KarliyukNakitKarliikOrani,0)</f>
        <v/>
      </c>
      <c r="E645" s="120">
        <f>$B645-$C645-$D645</f>
        <v/>
      </c>
      <c r="F645" s="118">
        <f>KarsilikAyBasiKasa+SUM($E$6:E645)</f>
        <v/>
      </c>
      <c r="G645" s="120">
        <f>IF($F645&lt;KarsilikNakitEsigi,"EVET","HAYIR")</f>
        <v/>
      </c>
    </row>
    <row r="646" ht="15" customHeight="1" s="68">
      <c r="D646" s="120">
        <f>ROUND($B646*KarliyukNakitKarliikOrani,0)</f>
        <v/>
      </c>
      <c r="E646" s="120">
        <f>$B646-$C646-$D646</f>
        <v/>
      </c>
      <c r="F646" s="118">
        <f>KarsilikAyBasiKasa+SUM($E$6:E646)</f>
        <v/>
      </c>
      <c r="G646" s="120">
        <f>IF($F646&lt;KarsilikNakitEsigi,"EVET","HAYIR")</f>
        <v/>
      </c>
    </row>
    <row r="647" ht="15" customHeight="1" s="68">
      <c r="D647" s="120">
        <f>ROUND($B647*KarliyukNakitKarliikOrani,0)</f>
        <v/>
      </c>
      <c r="E647" s="120">
        <f>$B647-$C647-$D647</f>
        <v/>
      </c>
      <c r="F647" s="118">
        <f>KarsilikAyBasiKasa+SUM($E$6:E647)</f>
        <v/>
      </c>
      <c r="G647" s="120">
        <f>IF($F647&lt;KarsilikNakitEsigi,"EVET","HAYIR")</f>
        <v/>
      </c>
    </row>
    <row r="648" ht="15" customHeight="1" s="68">
      <c r="D648" s="120">
        <f>ROUND($B648*KarliyukNakitKarliikOrani,0)</f>
        <v/>
      </c>
      <c r="E648" s="120">
        <f>$B648-$C648-$D648</f>
        <v/>
      </c>
      <c r="F648" s="118">
        <f>KarsilikAyBasiKasa+SUM($E$6:E648)</f>
        <v/>
      </c>
      <c r="G648" s="120">
        <f>IF($F648&lt;KarsilikNakitEsigi,"EVET","HAYIR")</f>
        <v/>
      </c>
    </row>
    <row r="649" ht="15" customHeight="1" s="68">
      <c r="D649" s="120">
        <f>ROUND($B649*KarliyukNakitKarliikOrani,0)</f>
        <v/>
      </c>
      <c r="E649" s="120">
        <f>$B649-$C649-$D649</f>
        <v/>
      </c>
      <c r="F649" s="118">
        <f>KarsilikAyBasiKasa+SUM($E$6:E649)</f>
        <v/>
      </c>
      <c r="G649" s="120">
        <f>IF($F649&lt;KarsilikNakitEsigi,"EVET","HAYIR")</f>
        <v/>
      </c>
    </row>
    <row r="650" ht="15" customHeight="1" s="68">
      <c r="D650" s="120">
        <f>ROUND($B650*KarliyukNakitKarliikOrani,0)</f>
        <v/>
      </c>
      <c r="E650" s="120">
        <f>$B650-$C650-$D650</f>
        <v/>
      </c>
      <c r="F650" s="118">
        <f>KarsilikAyBasiKasa+SUM($E$6:E650)</f>
        <v/>
      </c>
      <c r="G650" s="120">
        <f>IF($F650&lt;KarsilikNakitEsigi,"EVET","HAYIR")</f>
        <v/>
      </c>
    </row>
    <row r="651" ht="15" customHeight="1" s="68">
      <c r="D651" s="120">
        <f>ROUND($B651*KarliyukNakitKarliikOrani,0)</f>
        <v/>
      </c>
      <c r="E651" s="120">
        <f>$B651-$C651-$D651</f>
        <v/>
      </c>
      <c r="F651" s="118">
        <f>KarsilikAyBasiKasa+SUM($E$6:E651)</f>
        <v/>
      </c>
      <c r="G651" s="120">
        <f>IF($F651&lt;KarsilikNakitEsigi,"EVET","HAYIR")</f>
        <v/>
      </c>
    </row>
    <row r="652" ht="15" customHeight="1" s="68">
      <c r="D652" s="120">
        <f>ROUND($B652*KarliyukNakitKarliikOrani,0)</f>
        <v/>
      </c>
      <c r="E652" s="120">
        <f>$B652-$C652-$D652</f>
        <v/>
      </c>
      <c r="F652" s="118">
        <f>KarsilikAyBasiKasa+SUM($E$6:E652)</f>
        <v/>
      </c>
      <c r="G652" s="120">
        <f>IF($F652&lt;KarsilikNakitEsigi,"EVET","HAYIR")</f>
        <v/>
      </c>
    </row>
    <row r="653" ht="15" customHeight="1" s="68">
      <c r="D653" s="120">
        <f>ROUND($B653*KarliyukNakitKarliikOrani,0)</f>
        <v/>
      </c>
      <c r="E653" s="120">
        <f>$B653-$C653-$D653</f>
        <v/>
      </c>
      <c r="F653" s="118">
        <f>KarsilikAyBasiKasa+SUM($E$6:E653)</f>
        <v/>
      </c>
      <c r="G653" s="120">
        <f>IF($F653&lt;KarsilikNakitEsigi,"EVET","HAYIR")</f>
        <v/>
      </c>
    </row>
    <row r="654" ht="15" customHeight="1" s="68">
      <c r="D654" s="120">
        <f>ROUND($B654*KarliyukNakitKarliikOrani,0)</f>
        <v/>
      </c>
      <c r="E654" s="120">
        <f>$B654-$C654-$D654</f>
        <v/>
      </c>
      <c r="F654" s="118">
        <f>KarsilikAyBasiKasa+SUM($E$6:E654)</f>
        <v/>
      </c>
      <c r="G654" s="120">
        <f>IF($F654&lt;KarsilikNakitEsigi,"EVET","HAYIR")</f>
        <v/>
      </c>
    </row>
    <row r="655" ht="15" customHeight="1" s="68">
      <c r="D655" s="120">
        <f>ROUND($B655*KarliyukNakitKarliikOrani,0)</f>
        <v/>
      </c>
      <c r="E655" s="120">
        <f>$B655-$C655-$D655</f>
        <v/>
      </c>
      <c r="F655" s="118">
        <f>KarsilikAyBasiKasa+SUM($E$6:E655)</f>
        <v/>
      </c>
      <c r="G655" s="120">
        <f>IF($F655&lt;KarsilikNakitEsigi,"EVET","HAYIR")</f>
        <v/>
      </c>
    </row>
    <row r="656" ht="15" customHeight="1" s="68">
      <c r="D656" s="120">
        <f>ROUND($B656*KarliyukNakitKarliikOrani,0)</f>
        <v/>
      </c>
      <c r="E656" s="120">
        <f>$B656-$C656-$D656</f>
        <v/>
      </c>
      <c r="F656" s="118">
        <f>KarsilikAyBasiKasa+SUM($E$6:E656)</f>
        <v/>
      </c>
      <c r="G656" s="120">
        <f>IF($F656&lt;KarsilikNakitEsigi,"EVET","HAYIR")</f>
        <v/>
      </c>
    </row>
    <row r="657" ht="15" customHeight="1" s="68">
      <c r="D657" s="120">
        <f>ROUND($B657*KarliyukNakitKarliikOrani,0)</f>
        <v/>
      </c>
      <c r="E657" s="120">
        <f>$B657-$C657-$D657</f>
        <v/>
      </c>
      <c r="F657" s="118">
        <f>KarsilikAyBasiKasa+SUM($E$6:E657)</f>
        <v/>
      </c>
      <c r="G657" s="120">
        <f>IF($F657&lt;KarsilikNakitEsigi,"EVET","HAYIR")</f>
        <v/>
      </c>
    </row>
    <row r="658" ht="15" customHeight="1" s="68">
      <c r="D658" s="120">
        <f>ROUND($B658*KarliyukNakitKarliikOrani,0)</f>
        <v/>
      </c>
      <c r="E658" s="120">
        <f>$B658-$C658-$D658</f>
        <v/>
      </c>
      <c r="F658" s="118">
        <f>KarsilikAyBasiKasa+SUM($E$6:E658)</f>
        <v/>
      </c>
      <c r="G658" s="120">
        <f>IF($F658&lt;KarsilikNakitEsigi,"EVET","HAYIR")</f>
        <v/>
      </c>
    </row>
    <row r="659" ht="15" customHeight="1" s="68">
      <c r="D659" s="120">
        <f>ROUND($B659*KarliyukNakitKarliikOrani,0)</f>
        <v/>
      </c>
      <c r="E659" s="120">
        <f>$B659-$C659-$D659</f>
        <v/>
      </c>
      <c r="F659" s="118">
        <f>KarsilikAyBasiKasa+SUM($E$6:E659)</f>
        <v/>
      </c>
      <c r="G659" s="120">
        <f>IF($F659&lt;KarsilikNakitEsigi,"EVET","HAYIR")</f>
        <v/>
      </c>
    </row>
    <row r="660" ht="15" customHeight="1" s="68">
      <c r="D660" s="120">
        <f>ROUND($B660*KarliyukNakitKarliikOrani,0)</f>
        <v/>
      </c>
      <c r="E660" s="120">
        <f>$B660-$C660-$D660</f>
        <v/>
      </c>
      <c r="F660" s="118">
        <f>KarsilikAyBasiKasa+SUM($E$6:E660)</f>
        <v/>
      </c>
      <c r="G660" s="120">
        <f>IF($F660&lt;KarsilikNakitEsigi,"EVET","HAYIR")</f>
        <v/>
      </c>
    </row>
    <row r="661" ht="15" customHeight="1" s="68">
      <c r="D661" s="120">
        <f>ROUND($B661*KarliyukNakitKarliikOrani,0)</f>
        <v/>
      </c>
      <c r="E661" s="120">
        <f>$B661-$C661-$D661</f>
        <v/>
      </c>
      <c r="F661" s="118">
        <f>KarsilikAyBasiKasa+SUM($E$6:E661)</f>
        <v/>
      </c>
      <c r="G661" s="120">
        <f>IF($F661&lt;KarsilikNakitEsigi,"EVET","HAYIR")</f>
        <v/>
      </c>
    </row>
    <row r="662" ht="15" customHeight="1" s="68">
      <c r="D662" s="120">
        <f>ROUND($B662*KarliyukNakitKarliikOrani,0)</f>
        <v/>
      </c>
      <c r="E662" s="120">
        <f>$B662-$C662-$D662</f>
        <v/>
      </c>
      <c r="F662" s="118">
        <f>KarsilikAyBasiKasa+SUM($E$6:E662)</f>
        <v/>
      </c>
      <c r="G662" s="120">
        <f>IF($F662&lt;KarsilikNakitEsigi,"EVET","HAYIR")</f>
        <v/>
      </c>
    </row>
    <row r="663" ht="15" customHeight="1" s="68">
      <c r="D663" s="120">
        <f>ROUND($B663*KarliyukNakitKarliikOrani,0)</f>
        <v/>
      </c>
      <c r="E663" s="120">
        <f>$B663-$C663-$D663</f>
        <v/>
      </c>
      <c r="F663" s="118">
        <f>KarsilikAyBasiKasa+SUM($E$6:E663)</f>
        <v/>
      </c>
      <c r="G663" s="120">
        <f>IF($F663&lt;KarsilikNakitEsigi,"EVET","HAYIR")</f>
        <v/>
      </c>
    </row>
    <row r="664" ht="15" customHeight="1" s="68">
      <c r="D664" s="120">
        <f>ROUND($B664*KarliyukNakitKarliikOrani,0)</f>
        <v/>
      </c>
      <c r="E664" s="120">
        <f>$B664-$C664-$D664</f>
        <v/>
      </c>
      <c r="F664" s="118">
        <f>KarsilikAyBasiKasa+SUM($E$6:E664)</f>
        <v/>
      </c>
      <c r="G664" s="120">
        <f>IF($F664&lt;KarsilikNakitEsigi,"EVET","HAYIR")</f>
        <v/>
      </c>
    </row>
    <row r="665" ht="15" customHeight="1" s="68">
      <c r="D665" s="120">
        <f>ROUND($B665*KarliyukNakitKarliikOrani,0)</f>
        <v/>
      </c>
      <c r="E665" s="120">
        <f>$B665-$C665-$D665</f>
        <v/>
      </c>
      <c r="F665" s="118">
        <f>KarsilikAyBasiKasa+SUM($E$6:E665)</f>
        <v/>
      </c>
      <c r="G665" s="120">
        <f>IF($F665&lt;KarsilikNakitEsigi,"EVET","HAYIR")</f>
        <v/>
      </c>
    </row>
    <row r="666" ht="15" customHeight="1" s="68">
      <c r="D666" s="120">
        <f>ROUND($B666*KarliyukNakitKarliikOrani,0)</f>
        <v/>
      </c>
      <c r="E666" s="120">
        <f>$B666-$C666-$D666</f>
        <v/>
      </c>
      <c r="F666" s="118">
        <f>KarsilikAyBasiKasa+SUM($E$6:E666)</f>
        <v/>
      </c>
      <c r="G666" s="120">
        <f>IF($F666&lt;KarsilikNakitEsigi,"EVET","HAYIR")</f>
        <v/>
      </c>
    </row>
    <row r="667" ht="15" customHeight="1" s="68">
      <c r="D667" s="120">
        <f>ROUND($B667*KarliyukNakitKarliikOrani,0)</f>
        <v/>
      </c>
      <c r="E667" s="120">
        <f>$B667-$C667-$D667</f>
        <v/>
      </c>
      <c r="F667" s="118">
        <f>KarsilikAyBasiKasa+SUM($E$6:E667)</f>
        <v/>
      </c>
      <c r="G667" s="120">
        <f>IF($F667&lt;KarsilikNakitEsigi,"EVET","HAYIR")</f>
        <v/>
      </c>
    </row>
    <row r="668" ht="15" customHeight="1" s="68">
      <c r="D668" s="120">
        <f>ROUND($B668*KarliyukNakitKarliikOrani,0)</f>
        <v/>
      </c>
      <c r="E668" s="120">
        <f>$B668-$C668-$D668</f>
        <v/>
      </c>
      <c r="F668" s="118">
        <f>KarsilikAyBasiKasa+SUM($E$6:E668)</f>
        <v/>
      </c>
      <c r="G668" s="120">
        <f>IF($F668&lt;KarsilikNakitEsigi,"EVET","HAYIR")</f>
        <v/>
      </c>
    </row>
    <row r="669" ht="15" customHeight="1" s="68">
      <c r="D669" s="120">
        <f>ROUND($B669*KarliyukNakitKarliikOrani,0)</f>
        <v/>
      </c>
      <c r="E669" s="120">
        <f>$B669-$C669-$D669</f>
        <v/>
      </c>
      <c r="F669" s="118">
        <f>KarsilikAyBasiKasa+SUM($E$6:E669)</f>
        <v/>
      </c>
      <c r="G669" s="120">
        <f>IF($F669&lt;KarsilikNakitEsigi,"EVET","HAYIR")</f>
        <v/>
      </c>
    </row>
    <row r="670" ht="15" customHeight="1" s="68">
      <c r="D670" s="120">
        <f>ROUND($B670*KarliyukNakitKarliikOrani,0)</f>
        <v/>
      </c>
      <c r="E670" s="120">
        <f>$B670-$C670-$D670</f>
        <v/>
      </c>
      <c r="F670" s="118">
        <f>KarsilikAyBasiKasa+SUM($E$6:E670)</f>
        <v/>
      </c>
      <c r="G670" s="120">
        <f>IF($F670&lt;KarsilikNakitEsigi,"EVET","HAYIR")</f>
        <v/>
      </c>
    </row>
    <row r="671" ht="15" customHeight="1" s="68">
      <c r="D671" s="120">
        <f>ROUND($B671*KarliyukNakitKarliikOrani,0)</f>
        <v/>
      </c>
      <c r="E671" s="120">
        <f>$B671-$C671-$D671</f>
        <v/>
      </c>
      <c r="F671" s="118">
        <f>KarsilikAyBasiKasa+SUM($E$6:E671)</f>
        <v/>
      </c>
      <c r="G671" s="120">
        <f>IF($F671&lt;KarsilikNakitEsigi,"EVET","HAYIR")</f>
        <v/>
      </c>
    </row>
    <row r="672" ht="15" customHeight="1" s="68">
      <c r="D672" s="120">
        <f>ROUND($B672*KarliyukNakitKarliikOrani,0)</f>
        <v/>
      </c>
      <c r="E672" s="120">
        <f>$B672-$C672-$D672</f>
        <v/>
      </c>
      <c r="F672" s="118">
        <f>KarsilikAyBasiKasa+SUM($E$6:E672)</f>
        <v/>
      </c>
      <c r="G672" s="120">
        <f>IF($F672&lt;KarsilikNakitEsigi,"EVET","HAYIR")</f>
        <v/>
      </c>
    </row>
    <row r="673" ht="15" customHeight="1" s="68">
      <c r="D673" s="120">
        <f>ROUND($B673*KarliyukNakitKarliikOrani,0)</f>
        <v/>
      </c>
      <c r="E673" s="120">
        <f>$B673-$C673-$D673</f>
        <v/>
      </c>
      <c r="F673" s="118">
        <f>KarsilikAyBasiKasa+SUM($E$6:E673)</f>
        <v/>
      </c>
      <c r="G673" s="120">
        <f>IF($F673&lt;KarsilikNakitEsigi,"EVET","HAYIR")</f>
        <v/>
      </c>
    </row>
    <row r="674" ht="15" customHeight="1" s="68">
      <c r="D674" s="120">
        <f>ROUND($B674*KarliyukNakitKarliikOrani,0)</f>
        <v/>
      </c>
      <c r="E674" s="120">
        <f>$B674-$C674-$D674</f>
        <v/>
      </c>
      <c r="F674" s="118">
        <f>KarsilikAyBasiKasa+SUM($E$6:E674)</f>
        <v/>
      </c>
      <c r="G674" s="120">
        <f>IF($F674&lt;KarsilikNakitEsigi,"EVET","HAYIR")</f>
        <v/>
      </c>
    </row>
    <row r="675" ht="15" customHeight="1" s="68">
      <c r="D675" s="120">
        <f>ROUND($B675*KarliyukNakitKarliikOrani,0)</f>
        <v/>
      </c>
      <c r="E675" s="120">
        <f>$B675-$C675-$D675</f>
        <v/>
      </c>
      <c r="F675" s="118">
        <f>KarsilikAyBasiKasa+SUM($E$6:E675)</f>
        <v/>
      </c>
      <c r="G675" s="120">
        <f>IF($F675&lt;KarsilikNakitEsigi,"EVET","HAYIR")</f>
        <v/>
      </c>
    </row>
    <row r="676" ht="15" customHeight="1" s="68">
      <c r="D676" s="120">
        <f>ROUND($B676*KarliyukNakitKarliikOrani,0)</f>
        <v/>
      </c>
      <c r="E676" s="120">
        <f>$B676-$C676-$D676</f>
        <v/>
      </c>
      <c r="F676" s="118">
        <f>KarsilikAyBasiKasa+SUM($E$6:E676)</f>
        <v/>
      </c>
      <c r="G676" s="120">
        <f>IF($F676&lt;KarsilikNakitEsigi,"EVET","HAYIR")</f>
        <v/>
      </c>
    </row>
    <row r="677" ht="15" customHeight="1" s="68">
      <c r="D677" s="120">
        <f>ROUND($B677*KarliyukNakitKarliikOrani,0)</f>
        <v/>
      </c>
      <c r="E677" s="120">
        <f>$B677-$C677-$D677</f>
        <v/>
      </c>
      <c r="F677" s="118">
        <f>KarsilikAyBasiKasa+SUM($E$6:E677)</f>
        <v/>
      </c>
      <c r="G677" s="120">
        <f>IF($F677&lt;KarsilikNakitEsigi,"EVET","HAYIR")</f>
        <v/>
      </c>
    </row>
    <row r="678" ht="15" customHeight="1" s="68">
      <c r="D678" s="120">
        <f>ROUND($B678*KarliyukNakitKarliikOrani,0)</f>
        <v/>
      </c>
      <c r="E678" s="120">
        <f>$B678-$C678-$D678</f>
        <v/>
      </c>
      <c r="F678" s="118">
        <f>KarsilikAyBasiKasa+SUM($E$6:E678)</f>
        <v/>
      </c>
      <c r="G678" s="120">
        <f>IF($F678&lt;KarsilikNakitEsigi,"EVET","HAYIR")</f>
        <v/>
      </c>
    </row>
    <row r="679" ht="15" customHeight="1" s="68">
      <c r="D679" s="120">
        <f>ROUND($B679*KarliyukNakitKarliikOrani,0)</f>
        <v/>
      </c>
      <c r="E679" s="120">
        <f>$B679-$C679-$D679</f>
        <v/>
      </c>
      <c r="F679" s="118">
        <f>KarsilikAyBasiKasa+SUM($E$6:E679)</f>
        <v/>
      </c>
      <c r="G679" s="120">
        <f>IF($F679&lt;KarsilikNakitEsigi,"EVET","HAYIR")</f>
        <v/>
      </c>
    </row>
    <row r="680" ht="15" customHeight="1" s="68">
      <c r="D680" s="120">
        <f>ROUND($B680*KarliyukNakitKarliikOrani,0)</f>
        <v/>
      </c>
      <c r="E680" s="120">
        <f>$B680-$C680-$D680</f>
        <v/>
      </c>
      <c r="F680" s="118">
        <f>KarsilikAyBasiKasa+SUM($E$6:E680)</f>
        <v/>
      </c>
      <c r="G680" s="120">
        <f>IF($F680&lt;KarsilikNakitEsigi,"EVET","HAYIR")</f>
        <v/>
      </c>
    </row>
    <row r="681" ht="15" customHeight="1" s="68">
      <c r="D681" s="120">
        <f>ROUND($B681*KarliyukNakitKarliikOrani,0)</f>
        <v/>
      </c>
      <c r="E681" s="120">
        <f>$B681-$C681-$D681</f>
        <v/>
      </c>
      <c r="F681" s="118">
        <f>KarsilikAyBasiKasa+SUM($E$6:E681)</f>
        <v/>
      </c>
      <c r="G681" s="120">
        <f>IF($F681&lt;KarsilikNakitEsigi,"EVET","HAYIR")</f>
        <v/>
      </c>
    </row>
    <row r="682" ht="15" customHeight="1" s="68">
      <c r="D682" s="120">
        <f>ROUND($B682*KarliyukNakitKarliikOrani,0)</f>
        <v/>
      </c>
      <c r="E682" s="120">
        <f>$B682-$C682-$D682</f>
        <v/>
      </c>
      <c r="F682" s="118">
        <f>KarsilikAyBasiKasa+SUM($E$6:E682)</f>
        <v/>
      </c>
      <c r="G682" s="120">
        <f>IF($F682&lt;KarsilikNakitEsigi,"EVET","HAYIR")</f>
        <v/>
      </c>
    </row>
    <row r="683" ht="15" customHeight="1" s="68">
      <c r="D683" s="120">
        <f>ROUND($B683*KarliyukNakitKarliikOrani,0)</f>
        <v/>
      </c>
      <c r="E683" s="120">
        <f>$B683-$C683-$D683</f>
        <v/>
      </c>
      <c r="F683" s="118">
        <f>KarsilikAyBasiKasa+SUM($E$6:E683)</f>
        <v/>
      </c>
      <c r="G683" s="120">
        <f>IF($F683&lt;KarsilikNakitEsigi,"EVET","HAYIR")</f>
        <v/>
      </c>
    </row>
    <row r="684" ht="15" customHeight="1" s="68">
      <c r="D684" s="120">
        <f>ROUND($B684*KarliyukNakitKarliikOrani,0)</f>
        <v/>
      </c>
      <c r="E684" s="120">
        <f>$B684-$C684-$D684</f>
        <v/>
      </c>
      <c r="F684" s="118">
        <f>KarsilikAyBasiKasa+SUM($E$6:E684)</f>
        <v/>
      </c>
      <c r="G684" s="120">
        <f>IF($F684&lt;KarsilikNakitEsigi,"EVET","HAYIR")</f>
        <v/>
      </c>
    </row>
    <row r="685" ht="15" customHeight="1" s="68">
      <c r="D685" s="120">
        <f>ROUND($B685*KarliyukNakitKarliikOrani,0)</f>
        <v/>
      </c>
      <c r="E685" s="120">
        <f>$B685-$C685-$D685</f>
        <v/>
      </c>
      <c r="F685" s="118">
        <f>KarsilikAyBasiKasa+SUM($E$6:E685)</f>
        <v/>
      </c>
      <c r="G685" s="120">
        <f>IF($F685&lt;KarsilikNakitEsigi,"EVET","HAYIR")</f>
        <v/>
      </c>
    </row>
    <row r="686" ht="15" customHeight="1" s="68">
      <c r="D686" s="120">
        <f>ROUND($B686*KarliyukNakitKarliikOrani,0)</f>
        <v/>
      </c>
      <c r="E686" s="120">
        <f>$B686-$C686-$D686</f>
        <v/>
      </c>
      <c r="F686" s="118">
        <f>KarsilikAyBasiKasa+SUM($E$6:E686)</f>
        <v/>
      </c>
      <c r="G686" s="120">
        <f>IF($F686&lt;KarsilikNakitEsigi,"EVET","HAYIR")</f>
        <v/>
      </c>
    </row>
    <row r="687" ht="15" customHeight="1" s="68">
      <c r="D687" s="120">
        <f>ROUND($B687*KarliyukNakitKarliikOrani,0)</f>
        <v/>
      </c>
      <c r="E687" s="120">
        <f>$B687-$C687-$D687</f>
        <v/>
      </c>
      <c r="F687" s="118">
        <f>KarsilikAyBasiKasa+SUM($E$6:E687)</f>
        <v/>
      </c>
      <c r="G687" s="120">
        <f>IF($F687&lt;KarsilikNakitEsigi,"EVET","HAYIR")</f>
        <v/>
      </c>
    </row>
    <row r="688" ht="15" customHeight="1" s="68">
      <c r="D688" s="120">
        <f>ROUND($B688*KarliyukNakitKarliikOrani,0)</f>
        <v/>
      </c>
      <c r="E688" s="120">
        <f>$B688-$C688-$D688</f>
        <v/>
      </c>
      <c r="F688" s="118">
        <f>KarsilikAyBasiKasa+SUM($E$6:E688)</f>
        <v/>
      </c>
      <c r="G688" s="120">
        <f>IF($F688&lt;KarsilikNakitEsigi,"EVET","HAYIR")</f>
        <v/>
      </c>
    </row>
    <row r="689" ht="15" customHeight="1" s="68">
      <c r="D689" s="120">
        <f>ROUND($B689*KarliyukNakitKarliikOrani,0)</f>
        <v/>
      </c>
      <c r="E689" s="120">
        <f>$B689-$C689-$D689</f>
        <v/>
      </c>
      <c r="F689" s="118">
        <f>KarsilikAyBasiKasa+SUM($E$6:E689)</f>
        <v/>
      </c>
      <c r="G689" s="120">
        <f>IF($F689&lt;KarsilikNakitEsigi,"EVET","HAYIR")</f>
        <v/>
      </c>
    </row>
    <row r="690" ht="15" customHeight="1" s="68">
      <c r="D690" s="120">
        <f>ROUND($B690*KarliyukNakitKarliikOrani,0)</f>
        <v/>
      </c>
      <c r="E690" s="120">
        <f>$B690-$C690-$D690</f>
        <v/>
      </c>
      <c r="F690" s="118">
        <f>KarsilikAyBasiKasa+SUM($E$6:E690)</f>
        <v/>
      </c>
      <c r="G690" s="120">
        <f>IF($F690&lt;KarsilikNakitEsigi,"EVET","HAYIR")</f>
        <v/>
      </c>
    </row>
    <row r="691" ht="15" customHeight="1" s="68">
      <c r="D691" s="120">
        <f>ROUND($B691*KarliyukNakitKarliikOrani,0)</f>
        <v/>
      </c>
      <c r="E691" s="120">
        <f>$B691-$C691-$D691</f>
        <v/>
      </c>
      <c r="F691" s="118">
        <f>KarsilikAyBasiKasa+SUM($E$6:E691)</f>
        <v/>
      </c>
      <c r="G691" s="120">
        <f>IF($F691&lt;KarsilikNakitEsigi,"EVET","HAYIR")</f>
        <v/>
      </c>
    </row>
    <row r="692" ht="15" customHeight="1" s="68">
      <c r="D692" s="120">
        <f>ROUND($B692*KarliyukNakitKarliikOrani,0)</f>
        <v/>
      </c>
      <c r="E692" s="120">
        <f>$B692-$C692-$D692</f>
        <v/>
      </c>
      <c r="F692" s="118">
        <f>KarsilikAyBasiKasa+SUM($E$6:E692)</f>
        <v/>
      </c>
      <c r="G692" s="120">
        <f>IF($F692&lt;KarsilikNakitEsigi,"EVET","HAYIR")</f>
        <v/>
      </c>
    </row>
    <row r="693" ht="15" customHeight="1" s="68">
      <c r="D693" s="120">
        <f>ROUND($B693*KarliyukNakitKarliikOrani,0)</f>
        <v/>
      </c>
      <c r="E693" s="120">
        <f>$B693-$C693-$D693</f>
        <v/>
      </c>
      <c r="F693" s="118">
        <f>KarsilikAyBasiKasa+SUM($E$6:E693)</f>
        <v/>
      </c>
      <c r="G693" s="120">
        <f>IF($F693&lt;KarsilikNakitEsigi,"EVET","HAYIR")</f>
        <v/>
      </c>
    </row>
    <row r="694" ht="15" customHeight="1" s="68">
      <c r="D694" s="120">
        <f>ROUND($B694*KarliyukNakitKarliikOrani,0)</f>
        <v/>
      </c>
      <c r="E694" s="120">
        <f>$B694-$C694-$D694</f>
        <v/>
      </c>
      <c r="F694" s="118">
        <f>KarsilikAyBasiKasa+SUM($E$6:E694)</f>
        <v/>
      </c>
      <c r="G694" s="120">
        <f>IF($F694&lt;KarsilikNakitEsigi,"EVET","HAYIR")</f>
        <v/>
      </c>
    </row>
    <row r="695" ht="15" customHeight="1" s="68">
      <c r="D695" s="120">
        <f>ROUND($B695*KarliyukNakitKarliikOrani,0)</f>
        <v/>
      </c>
      <c r="E695" s="120">
        <f>$B695-$C695-$D695</f>
        <v/>
      </c>
      <c r="F695" s="118">
        <f>KarsilikAyBasiKasa+SUM($E$6:E695)</f>
        <v/>
      </c>
      <c r="G695" s="120">
        <f>IF($F695&lt;KarsilikNakitEsigi,"EVET","HAYIR")</f>
        <v/>
      </c>
    </row>
    <row r="696" ht="15" customHeight="1" s="68">
      <c r="D696" s="120">
        <f>ROUND($B696*KarliyukNakitKarliikOrani,0)</f>
        <v/>
      </c>
      <c r="E696" s="120">
        <f>$B696-$C696-$D696</f>
        <v/>
      </c>
      <c r="F696" s="118">
        <f>KarsilikAyBasiKasa+SUM($E$6:E696)</f>
        <v/>
      </c>
      <c r="G696" s="120">
        <f>IF($F696&lt;KarsilikNakitEsigi,"EVET","HAYIR")</f>
        <v/>
      </c>
    </row>
    <row r="697" ht="15" customHeight="1" s="68">
      <c r="D697" s="120">
        <f>ROUND($B697*KarliyukNakitKarliikOrani,0)</f>
        <v/>
      </c>
      <c r="E697" s="120">
        <f>$B697-$C697-$D697</f>
        <v/>
      </c>
      <c r="F697" s="118">
        <f>KarsilikAyBasiKasa+SUM($E$6:E697)</f>
        <v/>
      </c>
      <c r="G697" s="120">
        <f>IF($F697&lt;KarsilikNakitEsigi,"EVET","HAYIR")</f>
        <v/>
      </c>
    </row>
    <row r="698" ht="15" customHeight="1" s="68">
      <c r="D698" s="120">
        <f>ROUND($B698*KarliyukNakitKarliikOrani,0)</f>
        <v/>
      </c>
      <c r="E698" s="120">
        <f>$B698-$C698-$D698</f>
        <v/>
      </c>
      <c r="F698" s="118">
        <f>KarsilikAyBasiKasa+SUM($E$6:E698)</f>
        <v/>
      </c>
      <c r="G698" s="120">
        <f>IF($F698&lt;KarsilikNakitEsigi,"EVET","HAYIR")</f>
        <v/>
      </c>
    </row>
    <row r="699" ht="15" customHeight="1" s="68">
      <c r="D699" s="120">
        <f>ROUND($B699*KarliyukNakitKarliikOrani,0)</f>
        <v/>
      </c>
      <c r="E699" s="120">
        <f>$B699-$C699-$D699</f>
        <v/>
      </c>
      <c r="F699" s="118">
        <f>KarsilikAyBasiKasa+SUM($E$6:E699)</f>
        <v/>
      </c>
      <c r="G699" s="120">
        <f>IF($F699&lt;KarsilikNakitEsigi,"EVET","HAYIR")</f>
        <v/>
      </c>
    </row>
    <row r="700" ht="15" customHeight="1" s="68">
      <c r="D700" s="120">
        <f>ROUND($B700*KarliyukNakitKarliikOrani,0)</f>
        <v/>
      </c>
      <c r="E700" s="120">
        <f>$B700-$C700-$D700</f>
        <v/>
      </c>
      <c r="F700" s="118">
        <f>KarsilikAyBasiKasa+SUM($E$6:E700)</f>
        <v/>
      </c>
      <c r="G700" s="120">
        <f>IF($F700&lt;KarsilikNakitEsigi,"EVET","HAYIR")</f>
        <v/>
      </c>
    </row>
    <row r="701" ht="15" customHeight="1" s="68">
      <c r="D701" s="120">
        <f>ROUND($B701*KarliyukNakitKarliikOrani,0)</f>
        <v/>
      </c>
      <c r="E701" s="120">
        <f>$B701-$C701-$D701</f>
        <v/>
      </c>
      <c r="F701" s="118">
        <f>KarsilikAyBasiKasa+SUM($E$6:E701)</f>
        <v/>
      </c>
      <c r="G701" s="120">
        <f>IF($F701&lt;KarsilikNakitEsigi,"EVET","HAYIR")</f>
        <v/>
      </c>
    </row>
    <row r="702" ht="15" customHeight="1" s="68">
      <c r="D702" s="120">
        <f>ROUND($B702*KarliyukNakitKarliikOrani,0)</f>
        <v/>
      </c>
      <c r="E702" s="120">
        <f>$B702-$C702-$D702</f>
        <v/>
      </c>
      <c r="F702" s="118">
        <f>KarsilikAyBasiKasa+SUM($E$6:E702)</f>
        <v/>
      </c>
      <c r="G702" s="120">
        <f>IF($F702&lt;KarsilikNakitEsigi,"EVET","HAYIR")</f>
        <v/>
      </c>
    </row>
    <row r="703" ht="15" customHeight="1" s="68">
      <c r="D703" s="120">
        <f>ROUND($B703*KarliyukNakitKarliikOrani,0)</f>
        <v/>
      </c>
      <c r="E703" s="120">
        <f>$B703-$C703-$D703</f>
        <v/>
      </c>
      <c r="F703" s="118">
        <f>KarsilikAyBasiKasa+SUM($E$6:E703)</f>
        <v/>
      </c>
      <c r="G703" s="120">
        <f>IF($F703&lt;KarsilikNakitEsigi,"EVET","HAYIR")</f>
        <v/>
      </c>
    </row>
    <row r="704" ht="15" customHeight="1" s="68">
      <c r="D704" s="120">
        <f>ROUND($B704*KarliyukNakitKarliikOrani,0)</f>
        <v/>
      </c>
      <c r="E704" s="120">
        <f>$B704-$C704-$D704</f>
        <v/>
      </c>
      <c r="F704" s="118">
        <f>KarsilikAyBasiKasa+SUM($E$6:E704)</f>
        <v/>
      </c>
      <c r="G704" s="120">
        <f>IF($F704&lt;KarsilikNakitEsigi,"EVET","HAYIR")</f>
        <v/>
      </c>
    </row>
    <row r="705" ht="15" customHeight="1" s="68">
      <c r="D705" s="120">
        <f>ROUND($B705*KarliyukNakitKarliikOrani,0)</f>
        <v/>
      </c>
      <c r="E705" s="120">
        <f>$B705-$C705-$D705</f>
        <v/>
      </c>
      <c r="F705" s="118">
        <f>KarsilikAyBasiKasa+SUM($E$6:E705)</f>
        <v/>
      </c>
      <c r="G705" s="120">
        <f>IF($F705&lt;KarsilikNakitEsigi,"EVET","HAYIR")</f>
        <v/>
      </c>
    </row>
    <row r="706" ht="15" customHeight="1" s="68">
      <c r="D706" s="120">
        <f>ROUND($B706*KarliyukNakitKarliikOrani,0)</f>
        <v/>
      </c>
      <c r="E706" s="120">
        <f>$B706-$C706-$D706</f>
        <v/>
      </c>
      <c r="F706" s="118">
        <f>KarsilikAyBasiKasa+SUM($E$6:E706)</f>
        <v/>
      </c>
      <c r="G706" s="120">
        <f>IF($F706&lt;KarsilikNakitEsigi,"EVET","HAYIR")</f>
        <v/>
      </c>
    </row>
    <row r="707" ht="15" customHeight="1" s="68">
      <c r="D707" s="120">
        <f>ROUND($B707*KarliyukNakitKarliikOrani,0)</f>
        <v/>
      </c>
      <c r="E707" s="120">
        <f>$B707-$C707-$D707</f>
        <v/>
      </c>
      <c r="F707" s="118">
        <f>KarsilikAyBasiKasa+SUM($E$6:E707)</f>
        <v/>
      </c>
      <c r="G707" s="120">
        <f>IF($F707&lt;KarsilikNakitEsigi,"EVET","HAYIR")</f>
        <v/>
      </c>
    </row>
    <row r="708" ht="15" customHeight="1" s="68">
      <c r="D708" s="120">
        <f>ROUND($B708*KarliyukNakitKarliikOrani,0)</f>
        <v/>
      </c>
      <c r="E708" s="120">
        <f>$B708-$C708-$D708</f>
        <v/>
      </c>
      <c r="F708" s="118">
        <f>KarsilikAyBasiKasa+SUM($E$6:E708)</f>
        <v/>
      </c>
      <c r="G708" s="120">
        <f>IF($F708&lt;KarsilikNakitEsigi,"EVET","HAYIR")</f>
        <v/>
      </c>
    </row>
    <row r="709" ht="15" customHeight="1" s="68">
      <c r="D709" s="120">
        <f>ROUND($B709*KarliyukNakitKarliikOrani,0)</f>
        <v/>
      </c>
      <c r="E709" s="120">
        <f>$B709-$C709-$D709</f>
        <v/>
      </c>
      <c r="F709" s="118">
        <f>KarsilikAyBasiKasa+SUM($E$6:E709)</f>
        <v/>
      </c>
      <c r="G709" s="120">
        <f>IF($F709&lt;KarsilikNakitEsigi,"EVET","HAYIR")</f>
        <v/>
      </c>
    </row>
    <row r="710" ht="15" customHeight="1" s="68">
      <c r="D710" s="120">
        <f>ROUND($B710*KarliyukNakitKarliikOrani,0)</f>
        <v/>
      </c>
      <c r="E710" s="120">
        <f>$B710-$C710-$D710</f>
        <v/>
      </c>
      <c r="F710" s="118">
        <f>KarsilikAyBasiKasa+SUM($E$6:E710)</f>
        <v/>
      </c>
      <c r="G710" s="120">
        <f>IF($F710&lt;KarsilikNakitEsigi,"EVET","HAYIR")</f>
        <v/>
      </c>
    </row>
    <row r="711" ht="15" customHeight="1" s="68">
      <c r="D711" s="120">
        <f>ROUND($B711*KarliyukNakitKarliikOrani,0)</f>
        <v/>
      </c>
      <c r="E711" s="120">
        <f>$B711-$C711-$D711</f>
        <v/>
      </c>
      <c r="F711" s="118">
        <f>KarsilikAyBasiKasa+SUM($E$6:E711)</f>
        <v/>
      </c>
      <c r="G711" s="120">
        <f>IF($F711&lt;KarsilikNakitEsigi,"EVET","HAYIR")</f>
        <v/>
      </c>
    </row>
    <row r="712" ht="15" customHeight="1" s="68">
      <c r="D712" s="120">
        <f>ROUND($B712*KarliyukNakitKarliikOrani,0)</f>
        <v/>
      </c>
      <c r="E712" s="120">
        <f>$B712-$C712-$D712</f>
        <v/>
      </c>
      <c r="F712" s="118">
        <f>KarsilikAyBasiKasa+SUM($E$6:E712)</f>
        <v/>
      </c>
      <c r="G712" s="120">
        <f>IF($F712&lt;KarsilikNakitEsigi,"EVET","HAYIR")</f>
        <v/>
      </c>
    </row>
    <row r="713" ht="15" customHeight="1" s="68">
      <c r="D713" s="120">
        <f>ROUND($B713*KarliyukNakitKarliikOrani,0)</f>
        <v/>
      </c>
      <c r="E713" s="120">
        <f>$B713-$C713-$D713</f>
        <v/>
      </c>
      <c r="F713" s="118">
        <f>KarsilikAyBasiKasa+SUM($E$6:E713)</f>
        <v/>
      </c>
      <c r="G713" s="120">
        <f>IF($F713&lt;KarsilikNakitEsigi,"EVET","HAYIR")</f>
        <v/>
      </c>
    </row>
    <row r="714" ht="15" customHeight="1" s="68">
      <c r="D714" s="120">
        <f>ROUND($B714*KarliyukNakitKarliikOrani,0)</f>
        <v/>
      </c>
      <c r="E714" s="120">
        <f>$B714-$C714-$D714</f>
        <v/>
      </c>
      <c r="F714" s="118">
        <f>KarsilikAyBasiKasa+SUM($E$6:E714)</f>
        <v/>
      </c>
      <c r="G714" s="120">
        <f>IF($F714&lt;KarsilikNakitEsigi,"EVET","HAYIR")</f>
        <v/>
      </c>
    </row>
    <row r="715" ht="15" customHeight="1" s="68">
      <c r="D715" s="120">
        <f>ROUND($B715*KarliyukNakitKarliikOrani,0)</f>
        <v/>
      </c>
      <c r="E715" s="120">
        <f>$B715-$C715-$D715</f>
        <v/>
      </c>
      <c r="F715" s="118">
        <f>KarsilikAyBasiKasa+SUM($E$6:E715)</f>
        <v/>
      </c>
      <c r="G715" s="120">
        <f>IF($F715&lt;KarsilikNakitEsigi,"EVET","HAYIR")</f>
        <v/>
      </c>
    </row>
    <row r="716" ht="15" customHeight="1" s="68">
      <c r="D716" s="120">
        <f>ROUND($B716*KarliyukNakitKarliikOrani,0)</f>
        <v/>
      </c>
      <c r="E716" s="120">
        <f>$B716-$C716-$D716</f>
        <v/>
      </c>
      <c r="F716" s="118">
        <f>KarsilikAyBasiKasa+SUM($E$6:E716)</f>
        <v/>
      </c>
      <c r="G716" s="120">
        <f>IF($F716&lt;KarsilikNakitEsigi,"EVET","HAYIR")</f>
        <v/>
      </c>
    </row>
    <row r="717" ht="15" customHeight="1" s="68">
      <c r="D717" s="120">
        <f>ROUND($B717*KarliyukNakitKarliikOrani,0)</f>
        <v/>
      </c>
      <c r="E717" s="120">
        <f>$B717-$C717-$D717</f>
        <v/>
      </c>
      <c r="F717" s="118">
        <f>KarsilikAyBasiKasa+SUM($E$6:E717)</f>
        <v/>
      </c>
      <c r="G717" s="120">
        <f>IF($F717&lt;KarsilikNakitEsigi,"EVET","HAYIR")</f>
        <v/>
      </c>
    </row>
    <row r="718" ht="15" customHeight="1" s="68">
      <c r="D718" s="120">
        <f>ROUND($B718*KarliyukNakitKarliikOrani,0)</f>
        <v/>
      </c>
      <c r="E718" s="120">
        <f>$B718-$C718-$D718</f>
        <v/>
      </c>
      <c r="F718" s="118">
        <f>KarsilikAyBasiKasa+SUM($E$6:E718)</f>
        <v/>
      </c>
      <c r="G718" s="120">
        <f>IF($F718&lt;KarsilikNakitEsigi,"EVET","HAYIR")</f>
        <v/>
      </c>
    </row>
    <row r="719" ht="15" customHeight="1" s="68">
      <c r="D719" s="120">
        <f>ROUND($B719*KarliyukNakitKarliikOrani,0)</f>
        <v/>
      </c>
      <c r="E719" s="120">
        <f>$B719-$C719-$D719</f>
        <v/>
      </c>
      <c r="F719" s="118">
        <f>KarsilikAyBasiKasa+SUM($E$6:E719)</f>
        <v/>
      </c>
      <c r="G719" s="120">
        <f>IF($F719&lt;KarsilikNakitEsigi,"EVET","HAYIR")</f>
        <v/>
      </c>
    </row>
    <row r="720" ht="15" customHeight="1" s="68">
      <c r="D720" s="120">
        <f>ROUND($B720*KarliyukNakitKarliikOrani,0)</f>
        <v/>
      </c>
      <c r="E720" s="120">
        <f>$B720-$C720-$D720</f>
        <v/>
      </c>
      <c r="F720" s="118">
        <f>KarsilikAyBasiKasa+SUM($E$6:E720)</f>
        <v/>
      </c>
      <c r="G720" s="120">
        <f>IF($F720&lt;KarsilikNakitEsigi,"EVET","HAYIR")</f>
        <v/>
      </c>
    </row>
    <row r="721" ht="15" customHeight="1" s="68">
      <c r="D721" s="120">
        <f>ROUND($B721*KarliyukNakitKarliikOrani,0)</f>
        <v/>
      </c>
      <c r="E721" s="120">
        <f>$B721-$C721-$D721</f>
        <v/>
      </c>
      <c r="F721" s="118">
        <f>KarsilikAyBasiKasa+SUM($E$6:E721)</f>
        <v/>
      </c>
      <c r="G721" s="120">
        <f>IF($F721&lt;KarsilikNakitEsigi,"EVET","HAYIR")</f>
        <v/>
      </c>
    </row>
    <row r="722" ht="15" customHeight="1" s="68">
      <c r="D722" s="120">
        <f>ROUND($B722*KarliyukNakitKarliikOrani,0)</f>
        <v/>
      </c>
      <c r="E722" s="120">
        <f>$B722-$C722-$D722</f>
        <v/>
      </c>
      <c r="F722" s="118">
        <f>KarsilikAyBasiKasa+SUM($E$6:E722)</f>
        <v/>
      </c>
      <c r="G722" s="120">
        <f>IF($F722&lt;KarsilikNakitEsigi,"EVET","HAYIR")</f>
        <v/>
      </c>
    </row>
    <row r="723" ht="15" customHeight="1" s="68">
      <c r="D723" s="120">
        <f>ROUND($B723*KarliyukNakitKarliikOrani,0)</f>
        <v/>
      </c>
      <c r="E723" s="120">
        <f>$B723-$C723-$D723</f>
        <v/>
      </c>
      <c r="F723" s="118">
        <f>KarsilikAyBasiKasa+SUM($E$6:E723)</f>
        <v/>
      </c>
      <c r="G723" s="120">
        <f>IF($F723&lt;KarsilikNakitEsigi,"EVET","HAYIR")</f>
        <v/>
      </c>
    </row>
    <row r="724" ht="15" customHeight="1" s="68">
      <c r="D724" s="120">
        <f>ROUND($B724*KarliyukNakitKarliikOrani,0)</f>
        <v/>
      </c>
      <c r="E724" s="120">
        <f>$B724-$C724-$D724</f>
        <v/>
      </c>
      <c r="F724" s="118">
        <f>KarsilikAyBasiKasa+SUM($E$6:E724)</f>
        <v/>
      </c>
      <c r="G724" s="120">
        <f>IF($F724&lt;KarsilikNakitEsigi,"EVET","HAYIR")</f>
        <v/>
      </c>
    </row>
    <row r="725" ht="15" customHeight="1" s="68">
      <c r="D725" s="120">
        <f>ROUND($B725*KarliyukNakitKarliikOrani,0)</f>
        <v/>
      </c>
      <c r="E725" s="120">
        <f>$B725-$C725-$D725</f>
        <v/>
      </c>
      <c r="F725" s="118">
        <f>KarsilikAyBasiKasa+SUM($E$6:E725)</f>
        <v/>
      </c>
      <c r="G725" s="120">
        <f>IF($F725&lt;KarsilikNakitEsigi,"EVET","HAYIR")</f>
        <v/>
      </c>
    </row>
    <row r="726" ht="15" customHeight="1" s="68">
      <c r="D726" s="120">
        <f>ROUND($B726*KarliyukNakitKarliikOrani,0)</f>
        <v/>
      </c>
      <c r="E726" s="120">
        <f>$B726-$C726-$D726</f>
        <v/>
      </c>
      <c r="F726" s="118">
        <f>KarsilikAyBasiKasa+SUM($E$6:E726)</f>
        <v/>
      </c>
      <c r="G726" s="120">
        <f>IF($F726&lt;KarsilikNakitEsigi,"EVET","HAYIR")</f>
        <v/>
      </c>
    </row>
    <row r="727" ht="15" customHeight="1" s="68">
      <c r="D727" s="120">
        <f>ROUND($B727*KarliyukNakitKarliikOrani,0)</f>
        <v/>
      </c>
      <c r="E727" s="120">
        <f>$B727-$C727-$D727</f>
        <v/>
      </c>
      <c r="F727" s="118">
        <f>KarsilikAyBasiKasa+SUM($E$6:E727)</f>
        <v/>
      </c>
      <c r="G727" s="120">
        <f>IF($F727&lt;KarsilikNakitEsigi,"EVET","HAYIR")</f>
        <v/>
      </c>
    </row>
    <row r="728" ht="15" customHeight="1" s="68">
      <c r="D728" s="120">
        <f>ROUND($B728*KarliyukNakitKarliikOrani,0)</f>
        <v/>
      </c>
      <c r="E728" s="120">
        <f>$B728-$C728-$D728</f>
        <v/>
      </c>
      <c r="F728" s="118">
        <f>KarsilikAyBasiKasa+SUM($E$6:E728)</f>
        <v/>
      </c>
      <c r="G728" s="120">
        <f>IF($F728&lt;KarsilikNakitEsigi,"EVET","HAYIR")</f>
        <v/>
      </c>
    </row>
    <row r="729" ht="15" customHeight="1" s="68">
      <c r="D729" s="120">
        <f>ROUND($B729*KarliyukNakitKarliikOrani,0)</f>
        <v/>
      </c>
      <c r="E729" s="120">
        <f>$B729-$C729-$D729</f>
        <v/>
      </c>
      <c r="F729" s="118">
        <f>KarsilikAyBasiKasa+SUM($E$6:E729)</f>
        <v/>
      </c>
      <c r="G729" s="120">
        <f>IF($F729&lt;KarsilikNakitEsigi,"EVET","HAYIR")</f>
        <v/>
      </c>
    </row>
    <row r="730" ht="15" customHeight="1" s="68">
      <c r="D730" s="120">
        <f>ROUND($B730*KarliyukNakitKarliikOrani,0)</f>
        <v/>
      </c>
      <c r="E730" s="120">
        <f>$B730-$C730-$D730</f>
        <v/>
      </c>
      <c r="F730" s="118">
        <f>KarsilikAyBasiKasa+SUM($E$6:E730)</f>
        <v/>
      </c>
      <c r="G730" s="120">
        <f>IF($F730&lt;KarsilikNakitEsigi,"EVET","HAYIR")</f>
        <v/>
      </c>
    </row>
    <row r="731" ht="15" customHeight="1" s="68">
      <c r="D731" s="120">
        <f>ROUND($B731*KarliyukNakitKarliikOrani,0)</f>
        <v/>
      </c>
      <c r="E731" s="120">
        <f>$B731-$C731-$D731</f>
        <v/>
      </c>
      <c r="F731" s="118">
        <f>KarsilikAyBasiKasa+SUM($E$6:E731)</f>
        <v/>
      </c>
      <c r="G731" s="120">
        <f>IF($F731&lt;KarsilikNakitEsigi,"EVET","HAYIR")</f>
        <v/>
      </c>
    </row>
    <row r="732" ht="15" customHeight="1" s="68">
      <c r="D732" s="120">
        <f>ROUND($B732*KarliyukNakitKarliikOrani,0)</f>
        <v/>
      </c>
      <c r="E732" s="120">
        <f>$B732-$C732-$D732</f>
        <v/>
      </c>
      <c r="F732" s="118">
        <f>KarsilikAyBasiKasa+SUM($E$6:E732)</f>
        <v/>
      </c>
      <c r="G732" s="120">
        <f>IF($F732&lt;KarsilikNakitEsigi,"EVET","HAYIR")</f>
        <v/>
      </c>
    </row>
    <row r="733" ht="15" customHeight="1" s="68">
      <c r="D733" s="120">
        <f>ROUND($B733*KarliyukNakitKarliikOrani,0)</f>
        <v/>
      </c>
      <c r="E733" s="120">
        <f>$B733-$C733-$D733</f>
        <v/>
      </c>
      <c r="F733" s="118">
        <f>KarsilikAyBasiKasa+SUM($E$6:E733)</f>
        <v/>
      </c>
      <c r="G733" s="120">
        <f>IF($F733&lt;KarsilikNakitEsigi,"EVET","HAYIR")</f>
        <v/>
      </c>
    </row>
    <row r="734" ht="15" customHeight="1" s="68">
      <c r="D734" s="120">
        <f>ROUND($B734*KarliyukNakitKarliikOrani,0)</f>
        <v/>
      </c>
      <c r="E734" s="120">
        <f>$B734-$C734-$D734</f>
        <v/>
      </c>
      <c r="F734" s="118">
        <f>KarsilikAyBasiKasa+SUM($E$6:E734)</f>
        <v/>
      </c>
      <c r="G734" s="120">
        <f>IF($F734&lt;KarsilikNakitEsigi,"EVET","HAYIR")</f>
        <v/>
      </c>
    </row>
    <row r="735" ht="15" customHeight="1" s="68">
      <c r="D735" s="120">
        <f>ROUND($B735*KarliyukNakitKarliikOrani,0)</f>
        <v/>
      </c>
      <c r="E735" s="120">
        <f>$B735-$C735-$D735</f>
        <v/>
      </c>
      <c r="F735" s="118">
        <f>KarsilikAyBasiKasa+SUM($E$6:E735)</f>
        <v/>
      </c>
      <c r="G735" s="120">
        <f>IF($F735&lt;KarsilikNakitEsigi,"EVET","HAYIR")</f>
        <v/>
      </c>
    </row>
    <row r="736" ht="15" customHeight="1" s="68">
      <c r="D736" s="120">
        <f>ROUND($B736*KarliyukNakitKarliikOrani,0)</f>
        <v/>
      </c>
      <c r="E736" s="120">
        <f>$B736-$C736-$D736</f>
        <v/>
      </c>
      <c r="F736" s="118">
        <f>KarsilikAyBasiKasa+SUM($E$6:E736)</f>
        <v/>
      </c>
      <c r="G736" s="120">
        <f>IF($F736&lt;KarsilikNakitEsigi,"EVET","HAYIR")</f>
        <v/>
      </c>
    </row>
    <row r="737" ht="15" customHeight="1" s="68">
      <c r="D737" s="120">
        <f>ROUND($B737*KarliyukNakitKarliikOrani,0)</f>
        <v/>
      </c>
      <c r="E737" s="120">
        <f>$B737-$C737-$D737</f>
        <v/>
      </c>
      <c r="F737" s="118">
        <f>KarsilikAyBasiKasa+SUM($E$6:E737)</f>
        <v/>
      </c>
      <c r="G737" s="120">
        <f>IF($F737&lt;KarsilikNakitEsigi,"EVET","HAYIR")</f>
        <v/>
      </c>
    </row>
    <row r="738" ht="15" customHeight="1" s="68">
      <c r="D738" s="120">
        <f>ROUND($B738*KarliyukNakitKarliikOrani,0)</f>
        <v/>
      </c>
      <c r="E738" s="120">
        <f>$B738-$C738-$D738</f>
        <v/>
      </c>
      <c r="F738" s="118">
        <f>KarsilikAyBasiKasa+SUM($E$6:E738)</f>
        <v/>
      </c>
      <c r="G738" s="120">
        <f>IF($F738&lt;KarsilikNakitEsigi,"EVET","HAYIR")</f>
        <v/>
      </c>
    </row>
    <row r="739" ht="15" customHeight="1" s="68">
      <c r="D739" s="120">
        <f>ROUND($B739*KarliyukNakitKarliikOrani,0)</f>
        <v/>
      </c>
      <c r="E739" s="120">
        <f>$B739-$C739-$D739</f>
        <v/>
      </c>
      <c r="F739" s="118">
        <f>KarsilikAyBasiKasa+SUM($E$6:E739)</f>
        <v/>
      </c>
      <c r="G739" s="120">
        <f>IF($F739&lt;KarsilikNakitEsigi,"EVET","HAYIR")</f>
        <v/>
      </c>
    </row>
    <row r="740" ht="15" customHeight="1" s="68">
      <c r="D740" s="120">
        <f>ROUND($B740*KarliyukNakitKarliikOrani,0)</f>
        <v/>
      </c>
      <c r="E740" s="120">
        <f>$B740-$C740-$D740</f>
        <v/>
      </c>
      <c r="F740" s="118">
        <f>KarsilikAyBasiKasa+SUM($E$6:E740)</f>
        <v/>
      </c>
      <c r="G740" s="120">
        <f>IF($F740&lt;KarsilikNakitEsigi,"EVET","HAYIR")</f>
        <v/>
      </c>
    </row>
    <row r="741" ht="15" customHeight="1" s="68">
      <c r="D741" s="120">
        <f>ROUND($B741*KarliyukNakitKarliikOrani,0)</f>
        <v/>
      </c>
      <c r="E741" s="120">
        <f>$B741-$C741-$D741</f>
        <v/>
      </c>
      <c r="F741" s="118">
        <f>KarsilikAyBasiKasa+SUM($E$6:E741)</f>
        <v/>
      </c>
      <c r="G741" s="120">
        <f>IF($F741&lt;KarsilikNakitEsigi,"EVET","HAYIR")</f>
        <v/>
      </c>
    </row>
    <row r="742" ht="15" customHeight="1" s="68">
      <c r="D742" s="120">
        <f>ROUND($B742*KarliyukNakitKarliikOrani,0)</f>
        <v/>
      </c>
      <c r="E742" s="120">
        <f>$B742-$C742-$D742</f>
        <v/>
      </c>
      <c r="F742" s="118">
        <f>KarsilikAyBasiKasa+SUM($E$6:E742)</f>
        <v/>
      </c>
      <c r="G742" s="120">
        <f>IF($F742&lt;KarsilikNakitEsigi,"EVET","HAYIR")</f>
        <v/>
      </c>
    </row>
    <row r="743" ht="15" customHeight="1" s="68">
      <c r="D743" s="120">
        <f>ROUND($B743*KarliyukNakitKarliikOrani,0)</f>
        <v/>
      </c>
      <c r="E743" s="120">
        <f>$B743-$C743-$D743</f>
        <v/>
      </c>
      <c r="F743" s="118">
        <f>KarsilikAyBasiKasa+SUM($E$6:E743)</f>
        <v/>
      </c>
      <c r="G743" s="120">
        <f>IF($F743&lt;KarsilikNakitEsigi,"EVET","HAYIR")</f>
        <v/>
      </c>
    </row>
    <row r="744" ht="15" customHeight="1" s="68">
      <c r="D744" s="120">
        <f>ROUND($B744*KarliyukNakitKarliikOrani,0)</f>
        <v/>
      </c>
      <c r="E744" s="120">
        <f>$B744-$C744-$D744</f>
        <v/>
      </c>
      <c r="F744" s="118">
        <f>KarsilikAyBasiKasa+SUM($E$6:E744)</f>
        <v/>
      </c>
      <c r="G744" s="120">
        <f>IF($F744&lt;KarsilikNakitEsigi,"EVET","HAYIR")</f>
        <v/>
      </c>
    </row>
    <row r="745" ht="15" customHeight="1" s="68">
      <c r="D745" s="120">
        <f>ROUND($B745*KarliyukNakitKarliikOrani,0)</f>
        <v/>
      </c>
      <c r="E745" s="120">
        <f>$B745-$C745-$D745</f>
        <v/>
      </c>
      <c r="F745" s="118">
        <f>KarsilikAyBasiKasa+SUM($E$6:E745)</f>
        <v/>
      </c>
      <c r="G745" s="120">
        <f>IF($F745&lt;KarsilikNakitEsigi,"EVET","HAYIR")</f>
        <v/>
      </c>
    </row>
    <row r="746" ht="15" customHeight="1" s="68">
      <c r="D746" s="120">
        <f>ROUND($B746*KarliyukNakitKarliikOrani,0)</f>
        <v/>
      </c>
      <c r="E746" s="120">
        <f>$B746-$C746-$D746</f>
        <v/>
      </c>
      <c r="F746" s="118">
        <f>KarsilikAyBasiKasa+SUM($E$6:E746)</f>
        <v/>
      </c>
      <c r="G746" s="120">
        <f>IF($F746&lt;KarsilikNakitEsigi,"EVET","HAYIR")</f>
        <v/>
      </c>
    </row>
    <row r="747" ht="15" customHeight="1" s="68">
      <c r="D747" s="120">
        <f>ROUND($B747*KarliyukNakitKarliikOrani,0)</f>
        <v/>
      </c>
      <c r="E747" s="120">
        <f>$B747-$C747-$D747</f>
        <v/>
      </c>
      <c r="F747" s="118">
        <f>KarsilikAyBasiKasa+SUM($E$6:E747)</f>
        <v/>
      </c>
      <c r="G747" s="120">
        <f>IF($F747&lt;KarsilikNakitEsigi,"EVET","HAYIR")</f>
        <v/>
      </c>
    </row>
    <row r="748" ht="15" customHeight="1" s="68">
      <c r="D748" s="120">
        <f>ROUND($B748*KarliyukNakitKarliikOrani,0)</f>
        <v/>
      </c>
      <c r="E748" s="120">
        <f>$B748-$C748-$D748</f>
        <v/>
      </c>
      <c r="F748" s="118">
        <f>KarsilikAyBasiKasa+SUM($E$6:E748)</f>
        <v/>
      </c>
      <c r="G748" s="120">
        <f>IF($F748&lt;KarsilikNakitEsigi,"EVET","HAYIR")</f>
        <v/>
      </c>
    </row>
    <row r="749" ht="15" customHeight="1" s="68">
      <c r="D749" s="120">
        <f>ROUND($B749*KarliyukNakitKarliikOrani,0)</f>
        <v/>
      </c>
      <c r="E749" s="120">
        <f>$B749-$C749-$D749</f>
        <v/>
      </c>
      <c r="F749" s="118">
        <f>KarsilikAyBasiKasa+SUM($E$6:E749)</f>
        <v/>
      </c>
      <c r="G749" s="120">
        <f>IF($F749&lt;KarsilikNakitEsigi,"EVET","HAYIR")</f>
        <v/>
      </c>
    </row>
    <row r="750" ht="15" customHeight="1" s="68">
      <c r="D750" s="120">
        <f>ROUND($B750*KarliyukNakitKarliikOrani,0)</f>
        <v/>
      </c>
      <c r="E750" s="120">
        <f>$B750-$C750-$D750</f>
        <v/>
      </c>
      <c r="F750" s="118">
        <f>KarsilikAyBasiKasa+SUM($E$6:E750)</f>
        <v/>
      </c>
      <c r="G750" s="120">
        <f>IF($F750&lt;KarsilikNakitEsigi,"EVET","HAYIR")</f>
        <v/>
      </c>
    </row>
    <row r="751" ht="15" customHeight="1" s="68">
      <c r="D751" s="120">
        <f>ROUND($B751*KarliyukNakitKarliikOrani,0)</f>
        <v/>
      </c>
      <c r="E751" s="120">
        <f>$B751-$C751-$D751</f>
        <v/>
      </c>
      <c r="F751" s="118">
        <f>KarsilikAyBasiKasa+SUM($E$6:E751)</f>
        <v/>
      </c>
      <c r="G751" s="120">
        <f>IF($F751&lt;KarsilikNakitEsigi,"EVET","HAYIR")</f>
        <v/>
      </c>
    </row>
    <row r="752" ht="15" customHeight="1" s="68">
      <c r="D752" s="120">
        <f>ROUND($B752*KarliyukNakitKarliikOrani,0)</f>
        <v/>
      </c>
      <c r="E752" s="120">
        <f>$B752-$C752-$D752</f>
        <v/>
      </c>
      <c r="F752" s="118">
        <f>KarsilikAyBasiKasa+SUM($E$6:E752)</f>
        <v/>
      </c>
      <c r="G752" s="120">
        <f>IF($F752&lt;KarsilikNakitEsigi,"EVET","HAYIR")</f>
        <v/>
      </c>
    </row>
    <row r="753" ht="15" customHeight="1" s="68">
      <c r="D753" s="120">
        <f>ROUND($B753*KarliyukNakitKarliikOrani,0)</f>
        <v/>
      </c>
      <c r="E753" s="120">
        <f>$B753-$C753-$D753</f>
        <v/>
      </c>
      <c r="F753" s="118">
        <f>KarsilikAyBasiKasa+SUM($E$6:E753)</f>
        <v/>
      </c>
      <c r="G753" s="120">
        <f>IF($F753&lt;KarsilikNakitEsigi,"EVET","HAYIR")</f>
        <v/>
      </c>
    </row>
    <row r="754" ht="15" customHeight="1" s="68">
      <c r="D754" s="120">
        <f>ROUND($B754*KarliyukNakitKarliikOrani,0)</f>
        <v/>
      </c>
      <c r="E754" s="120">
        <f>$B754-$C754-$D754</f>
        <v/>
      </c>
      <c r="F754" s="118">
        <f>KarsilikAyBasiKasa+SUM($E$6:E754)</f>
        <v/>
      </c>
      <c r="G754" s="120">
        <f>IF($F754&lt;KarsilikNakitEsigi,"EVET","HAYIR")</f>
        <v/>
      </c>
    </row>
    <row r="755" ht="15" customHeight="1" s="68">
      <c r="D755" s="120">
        <f>ROUND($B755*KarliyukNakitKarliikOrani,0)</f>
        <v/>
      </c>
      <c r="E755" s="120">
        <f>$B755-$C755-$D755</f>
        <v/>
      </c>
      <c r="F755" s="118">
        <f>KarsilikAyBasiKasa+SUM($E$6:E755)</f>
        <v/>
      </c>
      <c r="G755" s="120">
        <f>IF($F755&lt;KarsilikNakitEsigi,"EVET","HAYIR")</f>
        <v/>
      </c>
    </row>
    <row r="756" ht="15" customHeight="1" s="68">
      <c r="D756" s="120">
        <f>ROUND($B756*KarliyukNakitKarliikOrani,0)</f>
        <v/>
      </c>
      <c r="E756" s="120">
        <f>$B756-$C756-$D756</f>
        <v/>
      </c>
      <c r="F756" s="118">
        <f>KarsilikAyBasiKasa+SUM($E$6:E756)</f>
        <v/>
      </c>
      <c r="G756" s="120">
        <f>IF($F756&lt;KarsilikNakitEsigi,"EVET","HAYIR")</f>
        <v/>
      </c>
    </row>
    <row r="757" ht="15" customHeight="1" s="68">
      <c r="D757" s="120">
        <f>ROUND($B757*KarliyukNakitKarliikOrani,0)</f>
        <v/>
      </c>
      <c r="E757" s="120">
        <f>$B757-$C757-$D757</f>
        <v/>
      </c>
      <c r="F757" s="118">
        <f>KarsilikAyBasiKasa+SUM($E$6:E757)</f>
        <v/>
      </c>
      <c r="G757" s="120">
        <f>IF($F757&lt;KarsilikNakitEsigi,"EVET","HAYIR")</f>
        <v/>
      </c>
    </row>
    <row r="758" ht="15" customHeight="1" s="68">
      <c r="D758" s="120">
        <f>ROUND($B758*KarliyukNakitKarliikOrani,0)</f>
        <v/>
      </c>
      <c r="E758" s="120">
        <f>$B758-$C758-$D758</f>
        <v/>
      </c>
      <c r="F758" s="118">
        <f>KarsilikAyBasiKasa+SUM($E$6:E758)</f>
        <v/>
      </c>
      <c r="G758" s="120">
        <f>IF($F758&lt;KarsilikNakitEsigi,"EVET","HAYIR")</f>
        <v/>
      </c>
    </row>
    <row r="759" ht="15" customHeight="1" s="68">
      <c r="D759" s="120">
        <f>ROUND($B759*KarliyukNakitKarliikOrani,0)</f>
        <v/>
      </c>
      <c r="E759" s="120">
        <f>$B759-$C759-$D759</f>
        <v/>
      </c>
      <c r="F759" s="118">
        <f>KarsilikAyBasiKasa+SUM($E$6:E759)</f>
        <v/>
      </c>
      <c r="G759" s="120">
        <f>IF($F759&lt;KarsilikNakitEsigi,"EVET","HAYIR")</f>
        <v/>
      </c>
    </row>
    <row r="760" ht="15" customHeight="1" s="68">
      <c r="D760" s="120">
        <f>ROUND($B760*KarliyukNakitKarliikOrani,0)</f>
        <v/>
      </c>
      <c r="E760" s="120">
        <f>$B760-$C760-$D760</f>
        <v/>
      </c>
      <c r="F760" s="118">
        <f>KarsilikAyBasiKasa+SUM($E$6:E760)</f>
        <v/>
      </c>
      <c r="G760" s="120">
        <f>IF($F760&lt;KarsilikNakitEsigi,"EVET","HAYIR")</f>
        <v/>
      </c>
    </row>
    <row r="761" ht="15" customHeight="1" s="68">
      <c r="D761" s="120">
        <f>ROUND($B761*KarliyukNakitKarliikOrani,0)</f>
        <v/>
      </c>
      <c r="E761" s="120">
        <f>$B761-$C761-$D761</f>
        <v/>
      </c>
      <c r="F761" s="118">
        <f>KarsilikAyBasiKasa+SUM($E$6:E761)</f>
        <v/>
      </c>
      <c r="G761" s="120">
        <f>IF($F761&lt;KarsilikNakitEsigi,"EVET","HAYIR")</f>
        <v/>
      </c>
    </row>
    <row r="762" ht="15" customHeight="1" s="68">
      <c r="D762" s="120">
        <f>ROUND($B762*KarliyukNakitKarliikOrani,0)</f>
        <v/>
      </c>
      <c r="E762" s="120">
        <f>$B762-$C762-$D762</f>
        <v/>
      </c>
      <c r="F762" s="118">
        <f>KarsilikAyBasiKasa+SUM($E$6:E762)</f>
        <v/>
      </c>
      <c r="G762" s="120">
        <f>IF($F762&lt;KarsilikNakitEsigi,"EVET","HAYIR")</f>
        <v/>
      </c>
    </row>
    <row r="763" ht="15" customHeight="1" s="68">
      <c r="D763" s="120">
        <f>ROUND($B763*KarliyukNakitKarliikOrani,0)</f>
        <v/>
      </c>
      <c r="E763" s="120">
        <f>$B763-$C763-$D763</f>
        <v/>
      </c>
      <c r="F763" s="118">
        <f>KarsilikAyBasiKasa+SUM($E$6:E763)</f>
        <v/>
      </c>
      <c r="G763" s="120">
        <f>IF($F763&lt;KarsilikNakitEsigi,"EVET","HAYIR")</f>
        <v/>
      </c>
    </row>
    <row r="764" ht="15" customHeight="1" s="68">
      <c r="D764" s="120">
        <f>ROUND($B764*KarliyukNakitKarliikOrani,0)</f>
        <v/>
      </c>
      <c r="E764" s="120">
        <f>$B764-$C764-$D764</f>
        <v/>
      </c>
      <c r="F764" s="118">
        <f>KarsilikAyBasiKasa+SUM($E$6:E764)</f>
        <v/>
      </c>
      <c r="G764" s="120">
        <f>IF($F764&lt;KarsilikNakitEsigi,"EVET","HAYIR")</f>
        <v/>
      </c>
    </row>
    <row r="765" ht="15" customHeight="1" s="68">
      <c r="D765" s="120">
        <f>ROUND($B765*KarliyukNakitKarliikOrani,0)</f>
        <v/>
      </c>
      <c r="E765" s="120">
        <f>$B765-$C765-$D765</f>
        <v/>
      </c>
      <c r="F765" s="118">
        <f>KarsilikAyBasiKasa+SUM($E$6:E765)</f>
        <v/>
      </c>
      <c r="G765" s="120">
        <f>IF($F765&lt;KarsilikNakitEsigi,"EVET","HAYIR")</f>
        <v/>
      </c>
    </row>
    <row r="766" ht="15" customHeight="1" s="68">
      <c r="D766" s="120">
        <f>ROUND($B766*KarliyukNakitKarliikOrani,0)</f>
        <v/>
      </c>
      <c r="E766" s="120">
        <f>$B766-$C766-$D766</f>
        <v/>
      </c>
      <c r="F766" s="118">
        <f>KarsilikAyBasiKasa+SUM($E$6:E766)</f>
        <v/>
      </c>
      <c r="G766" s="120">
        <f>IF($F766&lt;KarsilikNakitEsigi,"EVET","HAYIR")</f>
        <v/>
      </c>
    </row>
    <row r="767" ht="15" customHeight="1" s="68">
      <c r="D767" s="120">
        <f>ROUND($B767*KarliyukNakitKarliikOrani,0)</f>
        <v/>
      </c>
      <c r="E767" s="120">
        <f>$B767-$C767-$D767</f>
        <v/>
      </c>
      <c r="F767" s="118">
        <f>KarsilikAyBasiKasa+SUM($E$6:E767)</f>
        <v/>
      </c>
      <c r="G767" s="120">
        <f>IF($F767&lt;KarsilikNakitEsigi,"EVET","HAYIR")</f>
        <v/>
      </c>
    </row>
    <row r="768" ht="15" customHeight="1" s="68">
      <c r="D768" s="120">
        <f>ROUND($B768*KarliyukNakitKarliikOrani,0)</f>
        <v/>
      </c>
      <c r="E768" s="120">
        <f>$B768-$C768-$D768</f>
        <v/>
      </c>
      <c r="F768" s="118">
        <f>KarsilikAyBasiKasa+SUM($E$6:E768)</f>
        <v/>
      </c>
      <c r="G768" s="120">
        <f>IF($F768&lt;KarsilikNakitEsigi,"EVET","HAYIR")</f>
        <v/>
      </c>
    </row>
    <row r="769" ht="15" customHeight="1" s="68">
      <c r="D769" s="120">
        <f>ROUND($B769*KarliyukNakitKarliikOrani,0)</f>
        <v/>
      </c>
      <c r="E769" s="120">
        <f>$B769-$C769-$D769</f>
        <v/>
      </c>
      <c r="F769" s="118">
        <f>KarsilikAyBasiKasa+SUM($E$6:E769)</f>
        <v/>
      </c>
      <c r="G769" s="120">
        <f>IF($F769&lt;KarsilikNakitEsigi,"EVET","HAYIR")</f>
        <v/>
      </c>
    </row>
    <row r="770" ht="15" customHeight="1" s="68">
      <c r="D770" s="120">
        <f>ROUND($B770*KarliyukNakitKarliikOrani,0)</f>
        <v/>
      </c>
      <c r="E770" s="120">
        <f>$B770-$C770-$D770</f>
        <v/>
      </c>
      <c r="F770" s="118">
        <f>KarsilikAyBasiKasa+SUM($E$6:E770)</f>
        <v/>
      </c>
      <c r="G770" s="120">
        <f>IF($F770&lt;KarsilikNakitEsigi,"EVET","HAYIR")</f>
        <v/>
      </c>
    </row>
    <row r="771" ht="15" customHeight="1" s="68">
      <c r="D771" s="120">
        <f>ROUND($B771*KarliyukNakitKarliikOrani,0)</f>
        <v/>
      </c>
      <c r="E771" s="120">
        <f>$B771-$C771-$D771</f>
        <v/>
      </c>
      <c r="F771" s="118">
        <f>KarsilikAyBasiKasa+SUM($E$6:E771)</f>
        <v/>
      </c>
      <c r="G771" s="120">
        <f>IF($F771&lt;KarsilikNakitEsigi,"EVET","HAYIR")</f>
        <v/>
      </c>
    </row>
    <row r="772" ht="15" customHeight="1" s="68">
      <c r="D772" s="120">
        <f>ROUND($B772*KarliyukNakitKarliikOrani,0)</f>
        <v/>
      </c>
      <c r="E772" s="120">
        <f>$B772-$C772-$D772</f>
        <v/>
      </c>
      <c r="F772" s="118">
        <f>KarsilikAyBasiKasa+SUM($E$6:E772)</f>
        <v/>
      </c>
      <c r="G772" s="120">
        <f>IF($F772&lt;KarsilikNakitEsigi,"EVET","HAYIR")</f>
        <v/>
      </c>
    </row>
    <row r="773" ht="15" customHeight="1" s="68">
      <c r="D773" s="120">
        <f>ROUND($B773*KarliyukNakitKarliikOrani,0)</f>
        <v/>
      </c>
      <c r="E773" s="120">
        <f>$B773-$C773-$D773</f>
        <v/>
      </c>
      <c r="F773" s="118">
        <f>KarsilikAyBasiKasa+SUM($E$6:E773)</f>
        <v/>
      </c>
      <c r="G773" s="120">
        <f>IF($F773&lt;KarsilikNakitEsigi,"EVET","HAYIR")</f>
        <v/>
      </c>
    </row>
    <row r="774" ht="15" customHeight="1" s="68">
      <c r="D774" s="120">
        <f>ROUND($B774*KarliyukNakitKarliikOrani,0)</f>
        <v/>
      </c>
      <c r="E774" s="120">
        <f>$B774-$C774-$D774</f>
        <v/>
      </c>
      <c r="F774" s="118">
        <f>KarsilikAyBasiKasa+SUM($E$6:E774)</f>
        <v/>
      </c>
      <c r="G774" s="120">
        <f>IF($F774&lt;KarsilikNakitEsigi,"EVET","HAYIR")</f>
        <v/>
      </c>
    </row>
    <row r="775" ht="15" customHeight="1" s="68">
      <c r="D775" s="120">
        <f>ROUND($B775*KarliyukNakitKarliikOrani,0)</f>
        <v/>
      </c>
      <c r="E775" s="120">
        <f>$B775-$C775-$D775</f>
        <v/>
      </c>
      <c r="F775" s="118">
        <f>KarsilikAyBasiKasa+SUM($E$6:E775)</f>
        <v/>
      </c>
      <c r="G775" s="120">
        <f>IF($F775&lt;KarsilikNakitEsigi,"EVET","HAYIR")</f>
        <v/>
      </c>
    </row>
    <row r="776" ht="15" customHeight="1" s="68">
      <c r="D776" s="120">
        <f>ROUND($B776*KarliyukNakitKarliikOrani,0)</f>
        <v/>
      </c>
      <c r="E776" s="120">
        <f>$B776-$C776-$D776</f>
        <v/>
      </c>
      <c r="F776" s="118">
        <f>KarsilikAyBasiKasa+SUM($E$6:E776)</f>
        <v/>
      </c>
      <c r="G776" s="120">
        <f>IF($F776&lt;KarsilikNakitEsigi,"EVET","HAYIR")</f>
        <v/>
      </c>
    </row>
    <row r="777" ht="15" customHeight="1" s="68">
      <c r="D777" s="120">
        <f>ROUND($B777*KarliyukNakitKarliikOrani,0)</f>
        <v/>
      </c>
      <c r="E777" s="120">
        <f>$B777-$C777-$D777</f>
        <v/>
      </c>
      <c r="F777" s="118">
        <f>KarsilikAyBasiKasa+SUM($E$6:E777)</f>
        <v/>
      </c>
      <c r="G777" s="120">
        <f>IF($F777&lt;KarsilikNakitEsigi,"EVET","HAYIR")</f>
        <v/>
      </c>
    </row>
    <row r="778" ht="15" customHeight="1" s="68">
      <c r="D778" s="120">
        <f>ROUND($B778*KarliyukNakitKarliikOrani,0)</f>
        <v/>
      </c>
      <c r="E778" s="120">
        <f>$B778-$C778-$D778</f>
        <v/>
      </c>
      <c r="F778" s="118">
        <f>KarsilikAyBasiKasa+SUM($E$6:E778)</f>
        <v/>
      </c>
      <c r="G778" s="120">
        <f>IF($F778&lt;KarsilikNakitEsigi,"EVET","HAYIR")</f>
        <v/>
      </c>
    </row>
    <row r="779" ht="15" customHeight="1" s="68">
      <c r="D779" s="120">
        <f>ROUND($B779*KarliyukNakitKarliikOrani,0)</f>
        <v/>
      </c>
      <c r="E779" s="120">
        <f>$B779-$C779-$D779</f>
        <v/>
      </c>
      <c r="F779" s="118">
        <f>KarsilikAyBasiKasa+SUM($E$6:E779)</f>
        <v/>
      </c>
      <c r="G779" s="120">
        <f>IF($F779&lt;KarsilikNakitEsigi,"EVET","HAYIR")</f>
        <v/>
      </c>
    </row>
    <row r="780" ht="15" customHeight="1" s="68">
      <c r="D780" s="120">
        <f>ROUND($B780*KarliyukNakitKarliikOrani,0)</f>
        <v/>
      </c>
      <c r="E780" s="120">
        <f>$B780-$C780-$D780</f>
        <v/>
      </c>
      <c r="F780" s="118">
        <f>KarsilikAyBasiKasa+SUM($E$6:E780)</f>
        <v/>
      </c>
      <c r="G780" s="120">
        <f>IF($F780&lt;KarsilikNakitEsigi,"EVET","HAYIR")</f>
        <v/>
      </c>
    </row>
    <row r="781" ht="15" customHeight="1" s="68">
      <c r="D781" s="120">
        <f>ROUND($B781*KarliyukNakitKarliikOrani,0)</f>
        <v/>
      </c>
      <c r="E781" s="120">
        <f>$B781-$C781-$D781</f>
        <v/>
      </c>
      <c r="F781" s="118">
        <f>KarsilikAyBasiKasa+SUM($E$6:E781)</f>
        <v/>
      </c>
      <c r="G781" s="120">
        <f>IF($F781&lt;KarsilikNakitEsigi,"EVET","HAYIR")</f>
        <v/>
      </c>
    </row>
    <row r="782" ht="15" customHeight="1" s="68">
      <c r="D782" s="120">
        <f>ROUND($B782*KarliyukNakitKarliikOrani,0)</f>
        <v/>
      </c>
      <c r="E782" s="120">
        <f>$B782-$C782-$D782</f>
        <v/>
      </c>
      <c r="F782" s="118">
        <f>KarsilikAyBasiKasa+SUM($E$6:E782)</f>
        <v/>
      </c>
      <c r="G782" s="120">
        <f>IF($F782&lt;KarsilikNakitEsigi,"EVET","HAYIR")</f>
        <v/>
      </c>
    </row>
    <row r="783" ht="15" customHeight="1" s="68">
      <c r="D783" s="120">
        <f>ROUND($B783*KarliyukNakitKarliikOrani,0)</f>
        <v/>
      </c>
      <c r="E783" s="120">
        <f>$B783-$C783-$D783</f>
        <v/>
      </c>
      <c r="F783" s="118">
        <f>KarsilikAyBasiKasa+SUM($E$6:E783)</f>
        <v/>
      </c>
      <c r="G783" s="120">
        <f>IF($F783&lt;KarsilikNakitEsigi,"EVET","HAYIR")</f>
        <v/>
      </c>
    </row>
    <row r="784" ht="15" customHeight="1" s="68">
      <c r="D784" s="120">
        <f>ROUND($B784*KarliyukNakitKarliikOrani,0)</f>
        <v/>
      </c>
      <c r="E784" s="120">
        <f>$B784-$C784-$D784</f>
        <v/>
      </c>
      <c r="F784" s="118">
        <f>KarsilikAyBasiKasa+SUM($E$6:E784)</f>
        <v/>
      </c>
      <c r="G784" s="120">
        <f>IF($F784&lt;KarsilikNakitEsigi,"EVET","HAYIR")</f>
        <v/>
      </c>
    </row>
    <row r="785" ht="15" customHeight="1" s="68">
      <c r="D785" s="120">
        <f>ROUND($B785*KarliyukNakitKarliikOrani,0)</f>
        <v/>
      </c>
      <c r="E785" s="120">
        <f>$B785-$C785-$D785</f>
        <v/>
      </c>
      <c r="F785" s="118">
        <f>KarsilikAyBasiKasa+SUM($E$6:E785)</f>
        <v/>
      </c>
      <c r="G785" s="120">
        <f>IF($F785&lt;KarsilikNakitEsigi,"EVET","HAYIR")</f>
        <v/>
      </c>
    </row>
    <row r="786" ht="15" customHeight="1" s="68">
      <c r="D786" s="120">
        <f>ROUND($B786*KarliyukNakitKarliikOrani,0)</f>
        <v/>
      </c>
      <c r="E786" s="120">
        <f>$B786-$C786-$D786</f>
        <v/>
      </c>
      <c r="F786" s="118">
        <f>KarsilikAyBasiKasa+SUM($E$6:E786)</f>
        <v/>
      </c>
      <c r="G786" s="120">
        <f>IF($F786&lt;KarsilikNakitEsigi,"EVET","HAYIR")</f>
        <v/>
      </c>
    </row>
    <row r="787" ht="15" customHeight="1" s="68">
      <c r="D787" s="120">
        <f>ROUND($B787*KarliyukNakitKarliikOrani,0)</f>
        <v/>
      </c>
      <c r="E787" s="120">
        <f>$B787-$C787-$D787</f>
        <v/>
      </c>
      <c r="F787" s="118">
        <f>KarsilikAyBasiKasa+SUM($E$6:E787)</f>
        <v/>
      </c>
      <c r="G787" s="120">
        <f>IF($F787&lt;KarsilikNakitEsigi,"EVET","HAYIR")</f>
        <v/>
      </c>
    </row>
    <row r="788" ht="15" customHeight="1" s="68">
      <c r="D788" s="120">
        <f>ROUND($B788*KarliyukNakitKarliikOrani,0)</f>
        <v/>
      </c>
      <c r="E788" s="120">
        <f>$B788-$C788-$D788</f>
        <v/>
      </c>
      <c r="F788" s="118">
        <f>KarsilikAyBasiKasa+SUM($E$6:E788)</f>
        <v/>
      </c>
      <c r="G788" s="120">
        <f>IF($F788&lt;KarsilikNakitEsigi,"EVET","HAYIR")</f>
        <v/>
      </c>
    </row>
    <row r="789" ht="15" customHeight="1" s="68">
      <c r="D789" s="120">
        <f>ROUND($B789*KarliyukNakitKarliikOrani,0)</f>
        <v/>
      </c>
      <c r="E789" s="120">
        <f>$B789-$C789-$D789</f>
        <v/>
      </c>
      <c r="F789" s="118">
        <f>KarsilikAyBasiKasa+SUM($E$6:E789)</f>
        <v/>
      </c>
      <c r="G789" s="120">
        <f>IF($F789&lt;KarsilikNakitEsigi,"EVET","HAYIR")</f>
        <v/>
      </c>
    </row>
    <row r="790" ht="15" customHeight="1" s="68">
      <c r="D790" s="120">
        <f>ROUND($B790*KarliyukNakitKarliikOrani,0)</f>
        <v/>
      </c>
      <c r="E790" s="120">
        <f>$B790-$C790-$D790</f>
        <v/>
      </c>
      <c r="F790" s="118">
        <f>KarsilikAyBasiKasa+SUM($E$6:E790)</f>
        <v/>
      </c>
      <c r="G790" s="120">
        <f>IF($F790&lt;KarsilikNakitEsigi,"EVET","HAYIR")</f>
        <v/>
      </c>
    </row>
    <row r="791" ht="15" customHeight="1" s="68">
      <c r="D791" s="120">
        <f>ROUND($B791*KarliyukNakitKarliikOrani,0)</f>
        <v/>
      </c>
      <c r="E791" s="120">
        <f>$B791-$C791-$D791</f>
        <v/>
      </c>
      <c r="F791" s="118">
        <f>KarsilikAyBasiKasa+SUM($E$6:E791)</f>
        <v/>
      </c>
      <c r="G791" s="120">
        <f>IF($F791&lt;KarsilikNakitEsigi,"EVET","HAYIR")</f>
        <v/>
      </c>
    </row>
    <row r="792" ht="15" customHeight="1" s="68">
      <c r="D792" s="120">
        <f>ROUND($B792*KarliyukNakitKarliikOrani,0)</f>
        <v/>
      </c>
      <c r="E792" s="120">
        <f>$B792-$C792-$D792</f>
        <v/>
      </c>
      <c r="F792" s="118">
        <f>KarsilikAyBasiKasa+SUM($E$6:E792)</f>
        <v/>
      </c>
      <c r="G792" s="120">
        <f>IF($F792&lt;KarsilikNakitEsigi,"EVET","HAYIR")</f>
        <v/>
      </c>
    </row>
    <row r="793" ht="15" customHeight="1" s="68">
      <c r="D793" s="120">
        <f>ROUND($B793*KarliyukNakitKarliikOrani,0)</f>
        <v/>
      </c>
      <c r="E793" s="120">
        <f>$B793-$C793-$D793</f>
        <v/>
      </c>
      <c r="F793" s="118">
        <f>KarsilikAyBasiKasa+SUM($E$6:E793)</f>
        <v/>
      </c>
      <c r="G793" s="120">
        <f>IF($F793&lt;KarsilikNakitEsigi,"EVET","HAYIR")</f>
        <v/>
      </c>
    </row>
    <row r="794" ht="15" customHeight="1" s="68">
      <c r="D794" s="120">
        <f>ROUND($B794*KarliyukNakitKarliikOrani,0)</f>
        <v/>
      </c>
      <c r="E794" s="120">
        <f>$B794-$C794-$D794</f>
        <v/>
      </c>
      <c r="F794" s="118">
        <f>KarsilikAyBasiKasa+SUM($E$6:E794)</f>
        <v/>
      </c>
      <c r="G794" s="120">
        <f>IF($F794&lt;KarsilikNakitEsigi,"EVET","HAYIR")</f>
        <v/>
      </c>
    </row>
    <row r="795" ht="15" customHeight="1" s="68">
      <c r="D795" s="120">
        <f>ROUND($B795*KarliyukNakitKarliikOrani,0)</f>
        <v/>
      </c>
      <c r="E795" s="120">
        <f>$B795-$C795-$D795</f>
        <v/>
      </c>
      <c r="F795" s="118">
        <f>KarsilikAyBasiKasa+SUM($E$6:E795)</f>
        <v/>
      </c>
      <c r="G795" s="120">
        <f>IF($F795&lt;KarsilikNakitEsigi,"EVET","HAYIR")</f>
        <v/>
      </c>
    </row>
    <row r="796" ht="15" customHeight="1" s="68">
      <c r="D796" s="120">
        <f>ROUND($B796*KarliyukNakitKarliikOrani,0)</f>
        <v/>
      </c>
      <c r="E796" s="120">
        <f>$B796-$C796-$D796</f>
        <v/>
      </c>
      <c r="F796" s="118">
        <f>KarsilikAyBasiKasa+SUM($E$6:E796)</f>
        <v/>
      </c>
      <c r="G796" s="120">
        <f>IF($F796&lt;KarsilikNakitEsigi,"EVET","HAYIR")</f>
        <v/>
      </c>
    </row>
    <row r="797" ht="15" customHeight="1" s="68">
      <c r="D797" s="120">
        <f>ROUND($B797*KarliyukNakitKarliikOrani,0)</f>
        <v/>
      </c>
      <c r="E797" s="120">
        <f>$B797-$C797-$D797</f>
        <v/>
      </c>
      <c r="F797" s="118">
        <f>KarsilikAyBasiKasa+SUM($E$6:E797)</f>
        <v/>
      </c>
      <c r="G797" s="120">
        <f>IF($F797&lt;KarsilikNakitEsigi,"EVET","HAYIR")</f>
        <v/>
      </c>
    </row>
    <row r="798" ht="15" customHeight="1" s="68">
      <c r="D798" s="120">
        <f>ROUND($B798*KarliyukNakitKarliikOrani,0)</f>
        <v/>
      </c>
      <c r="E798" s="120">
        <f>$B798-$C798-$D798</f>
        <v/>
      </c>
      <c r="F798" s="118">
        <f>KarsilikAyBasiKasa+SUM($E$6:E798)</f>
        <v/>
      </c>
      <c r="G798" s="120">
        <f>IF($F798&lt;KarsilikNakitEsigi,"EVET","HAYIR")</f>
        <v/>
      </c>
    </row>
    <row r="799" ht="15" customHeight="1" s="68">
      <c r="D799" s="120">
        <f>ROUND($B799*KarliyukNakitKarliikOrani,0)</f>
        <v/>
      </c>
      <c r="E799" s="120">
        <f>$B799-$C799-$D799</f>
        <v/>
      </c>
      <c r="F799" s="118">
        <f>KarsilikAyBasiKasa+SUM($E$6:E799)</f>
        <v/>
      </c>
      <c r="G799" s="120">
        <f>IF($F799&lt;KarsilikNakitEsigi,"EVET","HAYIR")</f>
        <v/>
      </c>
    </row>
    <row r="800" ht="15" customHeight="1" s="68">
      <c r="D800" s="120">
        <f>ROUND($B800*KarliyukNakitKarliikOrani,0)</f>
        <v/>
      </c>
      <c r="E800" s="120">
        <f>$B800-$C800-$D800</f>
        <v/>
      </c>
      <c r="F800" s="118">
        <f>KarsilikAyBasiKasa+SUM($E$6:E800)</f>
        <v/>
      </c>
      <c r="G800" s="120">
        <f>IF($F800&lt;KarsilikNakitEsigi,"EVET","HAYIR")</f>
        <v/>
      </c>
    </row>
    <row r="801" ht="15" customHeight="1" s="68">
      <c r="D801" s="120">
        <f>ROUND($B801*KarliyukNakitKarliikOrani,0)</f>
        <v/>
      </c>
      <c r="E801" s="120">
        <f>$B801-$C801-$D801</f>
        <v/>
      </c>
      <c r="F801" s="118">
        <f>KarsilikAyBasiKasa+SUM($E$6:E801)</f>
        <v/>
      </c>
      <c r="G801" s="120">
        <f>IF($F801&lt;KarsilikNakitEsigi,"EVET","HAYIR")</f>
        <v/>
      </c>
    </row>
    <row r="802" ht="15" customHeight="1" s="68">
      <c r="D802" s="120">
        <f>ROUND($B802*KarliyukNakitKarliikOrani,0)</f>
        <v/>
      </c>
      <c r="E802" s="120">
        <f>$B802-$C802-$D802</f>
        <v/>
      </c>
      <c r="F802" s="118">
        <f>KarsilikAyBasiKasa+SUM($E$6:E802)</f>
        <v/>
      </c>
      <c r="G802" s="120">
        <f>IF($F802&lt;KarsilikNakitEsigi,"EVET","HAYIR")</f>
        <v/>
      </c>
    </row>
    <row r="803" ht="15" customHeight="1" s="68">
      <c r="D803" s="120">
        <f>ROUND($B803*KarliyukNakitKarliikOrani,0)</f>
        <v/>
      </c>
      <c r="E803" s="120">
        <f>$B803-$C803-$D803</f>
        <v/>
      </c>
      <c r="F803" s="118">
        <f>KarsilikAyBasiKasa+SUM($E$6:E803)</f>
        <v/>
      </c>
      <c r="G803" s="120">
        <f>IF($F803&lt;KarsilikNakitEsigi,"EVET","HAYIR")</f>
        <v/>
      </c>
    </row>
    <row r="804" ht="15" customHeight="1" s="68">
      <c r="D804" s="120">
        <f>ROUND($B804*KarliyukNakitKarliikOrani,0)</f>
        <v/>
      </c>
      <c r="E804" s="120">
        <f>$B804-$C804-$D804</f>
        <v/>
      </c>
      <c r="F804" s="118">
        <f>KarsilikAyBasiKasa+SUM($E$6:E804)</f>
        <v/>
      </c>
      <c r="G804" s="120">
        <f>IF($F804&lt;KarsilikNakitEsigi,"EVET","HAYIR")</f>
        <v/>
      </c>
    </row>
    <row r="805" ht="15" customHeight="1" s="68">
      <c r="D805" s="120">
        <f>ROUND($B805*KarliyukNakitKarliikOrani,0)</f>
        <v/>
      </c>
      <c r="E805" s="120">
        <f>$B805-$C805-$D805</f>
        <v/>
      </c>
      <c r="F805" s="118">
        <f>KarsilikAyBasiKasa+SUM($E$6:E805)</f>
        <v/>
      </c>
      <c r="G805" s="120">
        <f>IF($F805&lt;KarsilikNakitEsigi,"EVET","HAYIR")</f>
        <v/>
      </c>
    </row>
    <row r="806" ht="15" customHeight="1" s="68">
      <c r="D806" s="120">
        <f>ROUND($B806*KarliyukNakitKarliikOrani,0)</f>
        <v/>
      </c>
      <c r="E806" s="120">
        <f>$B806-$C806-$D806</f>
        <v/>
      </c>
      <c r="F806" s="118">
        <f>KarsilikAyBasiKasa+SUM($E$6:E806)</f>
        <v/>
      </c>
      <c r="G806" s="120">
        <f>IF($F806&lt;KarsilikNakitEsigi,"EVET","HAYIR")</f>
        <v/>
      </c>
    </row>
    <row r="807" ht="15" customHeight="1" s="68">
      <c r="D807" s="120">
        <f>ROUND($B807*KarliyukNakitKarliikOrani,0)</f>
        <v/>
      </c>
      <c r="E807" s="120">
        <f>$B807-$C807-$D807</f>
        <v/>
      </c>
      <c r="F807" s="118">
        <f>KarsilikAyBasiKasa+SUM($E$6:E807)</f>
        <v/>
      </c>
      <c r="G807" s="120">
        <f>IF($F807&lt;KarsilikNakitEsigi,"EVET","HAYIR")</f>
        <v/>
      </c>
    </row>
    <row r="808" ht="15" customHeight="1" s="68">
      <c r="D808" s="120">
        <f>ROUND($B808*KarliyukNakitKarliikOrani,0)</f>
        <v/>
      </c>
      <c r="E808" s="120">
        <f>$B808-$C808-$D808</f>
        <v/>
      </c>
      <c r="F808" s="118">
        <f>KarsilikAyBasiKasa+SUM($E$6:E808)</f>
        <v/>
      </c>
      <c r="G808" s="120">
        <f>IF($F808&lt;KarsilikNakitEsigi,"EVET","HAYIR")</f>
        <v/>
      </c>
    </row>
    <row r="809" ht="15" customHeight="1" s="68">
      <c r="D809" s="120">
        <f>ROUND($B809*KarliyukNakitKarliikOrani,0)</f>
        <v/>
      </c>
      <c r="E809" s="120">
        <f>$B809-$C809-$D809</f>
        <v/>
      </c>
      <c r="F809" s="118">
        <f>KarsilikAyBasiKasa+SUM($E$6:E809)</f>
        <v/>
      </c>
      <c r="G809" s="120">
        <f>IF($F809&lt;KarsilikNakitEsigi,"EVET","HAYIR")</f>
        <v/>
      </c>
    </row>
    <row r="810" ht="15" customHeight="1" s="68">
      <c r="D810" s="120">
        <f>ROUND($B810*KarliyukNakitKarliikOrani,0)</f>
        <v/>
      </c>
      <c r="E810" s="120">
        <f>$B810-$C810-$D810</f>
        <v/>
      </c>
      <c r="F810" s="118">
        <f>KarsilikAyBasiKasa+SUM($E$6:E810)</f>
        <v/>
      </c>
      <c r="G810" s="120">
        <f>IF($F810&lt;KarsilikNakitEsigi,"EVET","HAYIR")</f>
        <v/>
      </c>
    </row>
    <row r="811" ht="15" customHeight="1" s="68">
      <c r="D811" s="120">
        <f>ROUND($B811*KarliyukNakitKarliikOrani,0)</f>
        <v/>
      </c>
      <c r="E811" s="120">
        <f>$B811-$C811-$D811</f>
        <v/>
      </c>
      <c r="F811" s="118">
        <f>KarsilikAyBasiKasa+SUM($E$6:E811)</f>
        <v/>
      </c>
      <c r="G811" s="120">
        <f>IF($F811&lt;KarsilikNakitEsigi,"EVET","HAYIR")</f>
        <v/>
      </c>
    </row>
    <row r="812" ht="15" customHeight="1" s="68">
      <c r="D812" s="120">
        <f>ROUND($B812*KarliyukNakitKarliikOrani,0)</f>
        <v/>
      </c>
      <c r="E812" s="120">
        <f>$B812-$C812-$D812</f>
        <v/>
      </c>
      <c r="F812" s="118">
        <f>KarsilikAyBasiKasa+SUM($E$6:E812)</f>
        <v/>
      </c>
      <c r="G812" s="120">
        <f>IF($F812&lt;KarsilikNakitEsigi,"EVET","HAYIR")</f>
        <v/>
      </c>
    </row>
    <row r="813" ht="15" customHeight="1" s="68">
      <c r="D813" s="120">
        <f>ROUND($B813*KarliyukNakitKarliikOrani,0)</f>
        <v/>
      </c>
      <c r="E813" s="120">
        <f>$B813-$C813-$D813</f>
        <v/>
      </c>
      <c r="F813" s="118">
        <f>KarsilikAyBasiKasa+SUM($E$6:E813)</f>
        <v/>
      </c>
      <c r="G813" s="120">
        <f>IF($F813&lt;KarsilikNakitEsigi,"EVET","HAYIR")</f>
        <v/>
      </c>
    </row>
    <row r="814" ht="15" customHeight="1" s="68">
      <c r="D814" s="120">
        <f>ROUND($B814*KarliyukNakitKarliikOrani,0)</f>
        <v/>
      </c>
      <c r="E814" s="120">
        <f>$B814-$C814-$D814</f>
        <v/>
      </c>
      <c r="F814" s="118">
        <f>KarsilikAyBasiKasa+SUM($E$6:E814)</f>
        <v/>
      </c>
      <c r="G814" s="120">
        <f>IF($F814&lt;KarsilikNakitEsigi,"EVET","HAYIR")</f>
        <v/>
      </c>
    </row>
    <row r="815" ht="15" customHeight="1" s="68">
      <c r="D815" s="120">
        <f>ROUND($B815*KarliyukNakitKarliikOrani,0)</f>
        <v/>
      </c>
      <c r="E815" s="120">
        <f>$B815-$C815-$D815</f>
        <v/>
      </c>
      <c r="F815" s="118">
        <f>KarsilikAyBasiKasa+SUM($E$6:E815)</f>
        <v/>
      </c>
      <c r="G815" s="120">
        <f>IF($F815&lt;KarsilikNakitEsigi,"EVET","HAYIR")</f>
        <v/>
      </c>
    </row>
    <row r="816" ht="15" customHeight="1" s="68">
      <c r="D816" s="120">
        <f>ROUND($B816*KarliyukNakitKarliikOrani,0)</f>
        <v/>
      </c>
      <c r="E816" s="120">
        <f>$B816-$C816-$D816</f>
        <v/>
      </c>
      <c r="F816" s="118">
        <f>KarsilikAyBasiKasa+SUM($E$6:E816)</f>
        <v/>
      </c>
      <c r="G816" s="120">
        <f>IF($F816&lt;KarsilikNakitEsigi,"EVET","HAYIR")</f>
        <v/>
      </c>
    </row>
    <row r="817" ht="15" customHeight="1" s="68">
      <c r="D817" s="120">
        <f>ROUND($B817*KarliyukNakitKarliikOrani,0)</f>
        <v/>
      </c>
      <c r="E817" s="120">
        <f>$B817-$C817-$D817</f>
        <v/>
      </c>
      <c r="F817" s="118">
        <f>KarsilikAyBasiKasa+SUM($E$6:E817)</f>
        <v/>
      </c>
      <c r="G817" s="120">
        <f>IF($F817&lt;KarsilikNakitEsigi,"EVET","HAYIR")</f>
        <v/>
      </c>
    </row>
    <row r="818" ht="15" customHeight="1" s="68">
      <c r="D818" s="120">
        <f>ROUND($B818*KarliyukNakitKarliikOrani,0)</f>
        <v/>
      </c>
      <c r="E818" s="120">
        <f>$B818-$C818-$D818</f>
        <v/>
      </c>
      <c r="F818" s="118">
        <f>KarsilikAyBasiKasa+SUM($E$6:E818)</f>
        <v/>
      </c>
      <c r="G818" s="120">
        <f>IF($F818&lt;KarsilikNakitEsigi,"EVET","HAYIR")</f>
        <v/>
      </c>
    </row>
    <row r="819" ht="15" customHeight="1" s="68">
      <c r="D819" s="120">
        <f>ROUND($B819*KarliyukNakitKarliikOrani,0)</f>
        <v/>
      </c>
      <c r="E819" s="120">
        <f>$B819-$C819-$D819</f>
        <v/>
      </c>
      <c r="F819" s="118">
        <f>KarsilikAyBasiKasa+SUM($E$6:E819)</f>
        <v/>
      </c>
      <c r="G819" s="120">
        <f>IF($F819&lt;KarsilikNakitEsigi,"EVET","HAYIR")</f>
        <v/>
      </c>
    </row>
    <row r="820" ht="15" customHeight="1" s="68">
      <c r="D820" s="120">
        <f>ROUND($B820*KarliyukNakitKarliikOrani,0)</f>
        <v/>
      </c>
      <c r="E820" s="120">
        <f>$B820-$C820-$D820</f>
        <v/>
      </c>
      <c r="F820" s="118">
        <f>KarsilikAyBasiKasa+SUM($E$6:E820)</f>
        <v/>
      </c>
      <c r="G820" s="120">
        <f>IF($F820&lt;KarsilikNakitEsigi,"EVET","HAYIR")</f>
        <v/>
      </c>
    </row>
    <row r="821" ht="15" customHeight="1" s="68">
      <c r="D821" s="120">
        <f>ROUND($B821*KarliyukNakitKarliikOrani,0)</f>
        <v/>
      </c>
      <c r="E821" s="120">
        <f>$B821-$C821-$D821</f>
        <v/>
      </c>
      <c r="F821" s="118">
        <f>KarsilikAyBasiKasa+SUM($E$6:E821)</f>
        <v/>
      </c>
      <c r="G821" s="120">
        <f>IF($F821&lt;KarsilikNakitEsigi,"EVET","HAYIR")</f>
        <v/>
      </c>
    </row>
    <row r="822" ht="15" customHeight="1" s="68">
      <c r="D822" s="120">
        <f>ROUND($B822*KarliyukNakitKarliikOrani,0)</f>
        <v/>
      </c>
      <c r="E822" s="120">
        <f>$B822-$C822-$D822</f>
        <v/>
      </c>
      <c r="F822" s="118">
        <f>KarsilikAyBasiKasa+SUM($E$6:E822)</f>
        <v/>
      </c>
      <c r="G822" s="120">
        <f>IF($F822&lt;KarsilikNakitEsigi,"EVET","HAYIR")</f>
        <v/>
      </c>
    </row>
    <row r="823" ht="15" customHeight="1" s="68">
      <c r="D823" s="120">
        <f>ROUND($B823*KarliyukNakitKarliikOrani,0)</f>
        <v/>
      </c>
      <c r="E823" s="120">
        <f>$B823-$C823-$D823</f>
        <v/>
      </c>
      <c r="F823" s="118">
        <f>KarsilikAyBasiKasa+SUM($E$6:E823)</f>
        <v/>
      </c>
      <c r="G823" s="120">
        <f>IF($F823&lt;KarsilikNakitEsigi,"EVET","HAYIR")</f>
        <v/>
      </c>
    </row>
    <row r="824" ht="15" customHeight="1" s="68">
      <c r="D824" s="120">
        <f>ROUND($B824*KarliyukNakitKarliikOrani,0)</f>
        <v/>
      </c>
      <c r="E824" s="120">
        <f>$B824-$C824-$D824</f>
        <v/>
      </c>
      <c r="F824" s="118">
        <f>KarsilikAyBasiKasa+SUM($E$6:E824)</f>
        <v/>
      </c>
      <c r="G824" s="120">
        <f>IF($F824&lt;KarsilikNakitEsigi,"EVET","HAYIR")</f>
        <v/>
      </c>
    </row>
    <row r="825" ht="15" customHeight="1" s="68">
      <c r="D825" s="120">
        <f>ROUND($B825*KarliyukNakitKarliikOrani,0)</f>
        <v/>
      </c>
      <c r="E825" s="120">
        <f>$B825-$C825-$D825</f>
        <v/>
      </c>
      <c r="F825" s="118">
        <f>KarsilikAyBasiKasa+SUM($E$6:E825)</f>
        <v/>
      </c>
      <c r="G825" s="120">
        <f>IF($F825&lt;KarsilikNakitEsigi,"EVET","HAYIR")</f>
        <v/>
      </c>
    </row>
    <row r="826" ht="15" customHeight="1" s="68">
      <c r="D826" s="120">
        <f>ROUND($B826*KarliyukNakitKarliikOrani,0)</f>
        <v/>
      </c>
      <c r="E826" s="120">
        <f>$B826-$C826-$D826</f>
        <v/>
      </c>
      <c r="F826" s="118">
        <f>KarsilikAyBasiKasa+SUM($E$6:E826)</f>
        <v/>
      </c>
      <c r="G826" s="120">
        <f>IF($F826&lt;KarsilikNakitEsigi,"EVET","HAYIR")</f>
        <v/>
      </c>
    </row>
    <row r="827" ht="15" customHeight="1" s="68">
      <c r="D827" s="120">
        <f>ROUND($B827*KarliyukNakitKarliikOrani,0)</f>
        <v/>
      </c>
      <c r="E827" s="120">
        <f>$B827-$C827-$D827</f>
        <v/>
      </c>
      <c r="F827" s="118">
        <f>KarsilikAyBasiKasa+SUM($E$6:E827)</f>
        <v/>
      </c>
      <c r="G827" s="120">
        <f>IF($F827&lt;KarsilikNakitEsigi,"EVET","HAYIR")</f>
        <v/>
      </c>
    </row>
    <row r="828" ht="15" customHeight="1" s="68">
      <c r="D828" s="120">
        <f>ROUND($B828*KarliyukNakitKarliikOrani,0)</f>
        <v/>
      </c>
      <c r="E828" s="120">
        <f>$B828-$C828-$D828</f>
        <v/>
      </c>
      <c r="F828" s="118">
        <f>KarsilikAyBasiKasa+SUM($E$6:E828)</f>
        <v/>
      </c>
      <c r="G828" s="120">
        <f>IF($F828&lt;KarsilikNakitEsigi,"EVET","HAYIR")</f>
        <v/>
      </c>
    </row>
    <row r="829" ht="15" customHeight="1" s="68">
      <c r="D829" s="120">
        <f>ROUND($B829*KarliyukNakitKarliikOrani,0)</f>
        <v/>
      </c>
      <c r="E829" s="120">
        <f>$B829-$C829-$D829</f>
        <v/>
      </c>
      <c r="F829" s="118">
        <f>KarsilikAyBasiKasa+SUM($E$6:E829)</f>
        <v/>
      </c>
      <c r="G829" s="120">
        <f>IF($F829&lt;KarsilikNakitEsigi,"EVET","HAYIR")</f>
        <v/>
      </c>
    </row>
    <row r="830" ht="15" customHeight="1" s="68">
      <c r="D830" s="120">
        <f>ROUND($B830*KarliyukNakitKarliikOrani,0)</f>
        <v/>
      </c>
      <c r="E830" s="120">
        <f>$B830-$C830-$D830</f>
        <v/>
      </c>
      <c r="F830" s="118">
        <f>KarsilikAyBasiKasa+SUM($E$6:E830)</f>
        <v/>
      </c>
      <c r="G830" s="120">
        <f>IF($F830&lt;KarsilikNakitEsigi,"EVET","HAYIR")</f>
        <v/>
      </c>
    </row>
    <row r="831" ht="15" customHeight="1" s="68">
      <c r="D831" s="120">
        <f>ROUND($B831*KarliyukNakitKarliikOrani,0)</f>
        <v/>
      </c>
      <c r="E831" s="120">
        <f>$B831-$C831-$D831</f>
        <v/>
      </c>
      <c r="F831" s="118">
        <f>KarsilikAyBasiKasa+SUM($E$6:E831)</f>
        <v/>
      </c>
      <c r="G831" s="120">
        <f>IF($F831&lt;KarsilikNakitEsigi,"EVET","HAYIR")</f>
        <v/>
      </c>
    </row>
    <row r="832" ht="15" customHeight="1" s="68">
      <c r="D832" s="120">
        <f>ROUND($B832*KarliyukNakitKarliikOrani,0)</f>
        <v/>
      </c>
      <c r="E832" s="120">
        <f>$B832-$C832-$D832</f>
        <v/>
      </c>
      <c r="F832" s="118">
        <f>KarsilikAyBasiKasa+SUM($E$6:E832)</f>
        <v/>
      </c>
      <c r="G832" s="120">
        <f>IF($F832&lt;KarsilikNakitEsigi,"EVET","HAYIR")</f>
        <v/>
      </c>
    </row>
    <row r="833" ht="15" customHeight="1" s="68">
      <c r="D833" s="120">
        <f>ROUND($B833*KarliyukNakitKarliikOrani,0)</f>
        <v/>
      </c>
      <c r="E833" s="120">
        <f>$B833-$C833-$D833</f>
        <v/>
      </c>
      <c r="F833" s="118">
        <f>KarsilikAyBasiKasa+SUM($E$6:E833)</f>
        <v/>
      </c>
      <c r="G833" s="120">
        <f>IF($F833&lt;KarsilikNakitEsigi,"EVET","HAYIR")</f>
        <v/>
      </c>
    </row>
    <row r="834" ht="15" customHeight="1" s="68">
      <c r="D834" s="120">
        <f>ROUND($B834*KarliyukNakitKarliikOrani,0)</f>
        <v/>
      </c>
      <c r="E834" s="120">
        <f>$B834-$C834-$D834</f>
        <v/>
      </c>
      <c r="F834" s="118">
        <f>KarsilikAyBasiKasa+SUM($E$6:E834)</f>
        <v/>
      </c>
      <c r="G834" s="120">
        <f>IF($F834&lt;KarsilikNakitEsigi,"EVET","HAYIR")</f>
        <v/>
      </c>
    </row>
    <row r="835" ht="15" customHeight="1" s="68">
      <c r="D835" s="120">
        <f>ROUND($B835*KarliyukNakitKarliikOrani,0)</f>
        <v/>
      </c>
      <c r="E835" s="120">
        <f>$B835-$C835-$D835</f>
        <v/>
      </c>
      <c r="F835" s="118">
        <f>KarsilikAyBasiKasa+SUM($E$6:E835)</f>
        <v/>
      </c>
      <c r="G835" s="120">
        <f>IF($F835&lt;KarsilikNakitEsigi,"EVET","HAYIR")</f>
        <v/>
      </c>
    </row>
    <row r="836" ht="15" customHeight="1" s="68">
      <c r="D836" s="120">
        <f>ROUND($B836*KarliyukNakitKarliikOrani,0)</f>
        <v/>
      </c>
      <c r="E836" s="120">
        <f>$B836-$C836-$D836</f>
        <v/>
      </c>
      <c r="F836" s="118">
        <f>KarsilikAyBasiKasa+SUM($E$6:E836)</f>
        <v/>
      </c>
      <c r="G836" s="120">
        <f>IF($F836&lt;KarsilikNakitEsigi,"EVET","HAYIR")</f>
        <v/>
      </c>
    </row>
    <row r="837" ht="15" customHeight="1" s="68">
      <c r="D837" s="120">
        <f>ROUND($B837*KarliyukNakitKarliikOrani,0)</f>
        <v/>
      </c>
      <c r="E837" s="120">
        <f>$B837-$C837-$D837</f>
        <v/>
      </c>
      <c r="F837" s="118">
        <f>KarsilikAyBasiKasa+SUM($E$6:E837)</f>
        <v/>
      </c>
      <c r="G837" s="120">
        <f>IF($F837&lt;KarsilikNakitEsigi,"EVET","HAYIR")</f>
        <v/>
      </c>
    </row>
    <row r="838" ht="15" customHeight="1" s="68">
      <c r="D838" s="120">
        <f>ROUND($B838*KarliyukNakitKarliikOrani,0)</f>
        <v/>
      </c>
      <c r="E838" s="120">
        <f>$B838-$C838-$D838</f>
        <v/>
      </c>
      <c r="F838" s="118">
        <f>KarsilikAyBasiKasa+SUM($E$6:E838)</f>
        <v/>
      </c>
      <c r="G838" s="120">
        <f>IF($F838&lt;KarsilikNakitEsigi,"EVET","HAYIR")</f>
        <v/>
      </c>
    </row>
    <row r="839" ht="15" customHeight="1" s="68">
      <c r="D839" s="120">
        <f>ROUND($B839*KarliyukNakitKarliikOrani,0)</f>
        <v/>
      </c>
      <c r="E839" s="120">
        <f>$B839-$C839-$D839</f>
        <v/>
      </c>
      <c r="F839" s="118">
        <f>KarsilikAyBasiKasa+SUM($E$6:E839)</f>
        <v/>
      </c>
      <c r="G839" s="120">
        <f>IF($F839&lt;KarsilikNakitEsigi,"EVET","HAYIR")</f>
        <v/>
      </c>
    </row>
    <row r="840" ht="15" customHeight="1" s="68">
      <c r="D840" s="120">
        <f>ROUND($B840*KarliyukNakitKarliikOrani,0)</f>
        <v/>
      </c>
      <c r="E840" s="120">
        <f>$B840-$C840-$D840</f>
        <v/>
      </c>
      <c r="F840" s="118">
        <f>KarsilikAyBasiKasa+SUM($E$6:E840)</f>
        <v/>
      </c>
      <c r="G840" s="120">
        <f>IF($F840&lt;KarsilikNakitEsigi,"EVET","HAYIR")</f>
        <v/>
      </c>
    </row>
    <row r="841" ht="15" customHeight="1" s="68">
      <c r="D841" s="120">
        <f>ROUND($B841*KarliyukNakitKarliikOrani,0)</f>
        <v/>
      </c>
      <c r="E841" s="120">
        <f>$B841-$C841-$D841</f>
        <v/>
      </c>
      <c r="F841" s="118">
        <f>KarsilikAyBasiKasa+SUM($E$6:E841)</f>
        <v/>
      </c>
      <c r="G841" s="120">
        <f>IF($F841&lt;KarsilikNakitEsigi,"EVET","HAYIR")</f>
        <v/>
      </c>
    </row>
    <row r="842" ht="15" customHeight="1" s="68">
      <c r="D842" s="120">
        <f>ROUND($B842*KarliyukNakitKarliikOrani,0)</f>
        <v/>
      </c>
      <c r="E842" s="120">
        <f>$B842-$C842-$D842</f>
        <v/>
      </c>
      <c r="F842" s="118">
        <f>KarsilikAyBasiKasa+SUM($E$6:E842)</f>
        <v/>
      </c>
      <c r="G842" s="120">
        <f>IF($F842&lt;KarsilikNakitEsigi,"EVET","HAYIR")</f>
        <v/>
      </c>
    </row>
    <row r="843" ht="15" customHeight="1" s="68">
      <c r="D843" s="120">
        <f>ROUND($B843*KarliyukNakitKarliikOrani,0)</f>
        <v/>
      </c>
      <c r="E843" s="120">
        <f>$B843-$C843-$D843</f>
        <v/>
      </c>
      <c r="F843" s="118">
        <f>KarsilikAyBasiKasa+SUM($E$6:E843)</f>
        <v/>
      </c>
      <c r="G843" s="120">
        <f>IF($F843&lt;KarsilikNakitEsigi,"EVET","HAYIR")</f>
        <v/>
      </c>
    </row>
    <row r="844" ht="15" customHeight="1" s="68">
      <c r="D844" s="120">
        <f>ROUND($B844*KarliyukNakitKarliikOrani,0)</f>
        <v/>
      </c>
      <c r="E844" s="120">
        <f>$B844-$C844-$D844</f>
        <v/>
      </c>
      <c r="F844" s="118">
        <f>KarsilikAyBasiKasa+SUM($E$6:E844)</f>
        <v/>
      </c>
      <c r="G844" s="120">
        <f>IF($F844&lt;KarsilikNakitEsigi,"EVET","HAYIR")</f>
        <v/>
      </c>
    </row>
    <row r="845" ht="15" customHeight="1" s="68">
      <c r="D845" s="120">
        <f>ROUND($B845*KarliyukNakitKarliikOrani,0)</f>
        <v/>
      </c>
      <c r="E845" s="120">
        <f>$B845-$C845-$D845</f>
        <v/>
      </c>
      <c r="F845" s="118">
        <f>KarsilikAyBasiKasa+SUM($E$6:E845)</f>
        <v/>
      </c>
      <c r="G845" s="120">
        <f>IF($F845&lt;KarsilikNakitEsigi,"EVET","HAYIR")</f>
        <v/>
      </c>
    </row>
    <row r="846" ht="15" customHeight="1" s="68">
      <c r="D846" s="120">
        <f>ROUND($B846*KarliyukNakitKarliikOrani,0)</f>
        <v/>
      </c>
      <c r="E846" s="120">
        <f>$B846-$C846-$D846</f>
        <v/>
      </c>
      <c r="F846" s="118">
        <f>KarsilikAyBasiKasa+SUM($E$6:E846)</f>
        <v/>
      </c>
      <c r="G846" s="120">
        <f>IF($F846&lt;KarsilikNakitEsigi,"EVET","HAYIR")</f>
        <v/>
      </c>
    </row>
    <row r="847" ht="15" customHeight="1" s="68">
      <c r="D847" s="120">
        <f>ROUND($B847*KarliyukNakitKarliikOrani,0)</f>
        <v/>
      </c>
      <c r="E847" s="120">
        <f>$B847-$C847-$D847</f>
        <v/>
      </c>
      <c r="F847" s="118">
        <f>KarsilikAyBasiKasa+SUM($E$6:E847)</f>
        <v/>
      </c>
      <c r="G847" s="120">
        <f>IF($F847&lt;KarsilikNakitEsigi,"EVET","HAYIR")</f>
        <v/>
      </c>
    </row>
    <row r="848" ht="15" customHeight="1" s="68">
      <c r="D848" s="120">
        <f>ROUND($B848*KarliyukNakitKarliikOrani,0)</f>
        <v/>
      </c>
      <c r="E848" s="120">
        <f>$B848-$C848-$D848</f>
        <v/>
      </c>
      <c r="F848" s="118">
        <f>KarsilikAyBasiKasa+SUM($E$6:E848)</f>
        <v/>
      </c>
      <c r="G848" s="120">
        <f>IF($F848&lt;KarsilikNakitEsigi,"EVET","HAYIR")</f>
        <v/>
      </c>
    </row>
    <row r="849" ht="15" customHeight="1" s="68">
      <c r="D849" s="120">
        <f>ROUND($B849*KarliyukNakitKarliikOrani,0)</f>
        <v/>
      </c>
      <c r="E849" s="120">
        <f>$B849-$C849-$D849</f>
        <v/>
      </c>
      <c r="F849" s="118">
        <f>KarsilikAyBasiKasa+SUM($E$6:E849)</f>
        <v/>
      </c>
      <c r="G849" s="120">
        <f>IF($F849&lt;KarsilikNakitEsigi,"EVET","HAYIR")</f>
        <v/>
      </c>
    </row>
    <row r="850" ht="15" customHeight="1" s="68">
      <c r="D850" s="120">
        <f>ROUND($B850*KarliyukNakitKarliikOrani,0)</f>
        <v/>
      </c>
      <c r="E850" s="120">
        <f>$B850-$C850-$D850</f>
        <v/>
      </c>
      <c r="F850" s="118">
        <f>KarsilikAyBasiKasa+SUM($E$6:E850)</f>
        <v/>
      </c>
      <c r="G850" s="120">
        <f>IF($F850&lt;KarsilikNakitEsigi,"EVET","HAYIR")</f>
        <v/>
      </c>
    </row>
    <row r="851" ht="15" customHeight="1" s="68">
      <c r="D851" s="120">
        <f>ROUND($B851*KarliyukNakitKarliikOrani,0)</f>
        <v/>
      </c>
      <c r="E851" s="120">
        <f>$B851-$C851-$D851</f>
        <v/>
      </c>
      <c r="F851" s="118">
        <f>KarsilikAyBasiKasa+SUM($E$6:E851)</f>
        <v/>
      </c>
      <c r="G851" s="120">
        <f>IF($F851&lt;KarsilikNakitEsigi,"EVET","HAYIR")</f>
        <v/>
      </c>
    </row>
    <row r="852" ht="15" customHeight="1" s="68">
      <c r="D852" s="120">
        <f>ROUND($B852*KarliyukNakitKarliikOrani,0)</f>
        <v/>
      </c>
      <c r="E852" s="120">
        <f>$B852-$C852-$D852</f>
        <v/>
      </c>
      <c r="F852" s="118">
        <f>KarsilikAyBasiKasa+SUM($E$6:E852)</f>
        <v/>
      </c>
      <c r="G852" s="120">
        <f>IF($F852&lt;KarsilikNakitEsigi,"EVET","HAYIR")</f>
        <v/>
      </c>
    </row>
    <row r="853" ht="15" customHeight="1" s="68">
      <c r="D853" s="120">
        <f>ROUND($B853*KarliyukNakitKarliikOrani,0)</f>
        <v/>
      </c>
      <c r="E853" s="120">
        <f>$B853-$C853-$D853</f>
        <v/>
      </c>
      <c r="F853" s="118">
        <f>KarsilikAyBasiKasa+SUM($E$6:E853)</f>
        <v/>
      </c>
      <c r="G853" s="120">
        <f>IF($F853&lt;KarsilikNakitEsigi,"EVET","HAYIR")</f>
        <v/>
      </c>
    </row>
    <row r="854" ht="15" customHeight="1" s="68">
      <c r="D854" s="120">
        <f>ROUND($B854*KarliyukNakitKarliikOrani,0)</f>
        <v/>
      </c>
      <c r="E854" s="120">
        <f>$B854-$C854-$D854</f>
        <v/>
      </c>
      <c r="F854" s="118">
        <f>KarsilikAyBasiKasa+SUM($E$6:E854)</f>
        <v/>
      </c>
      <c r="G854" s="120">
        <f>IF($F854&lt;KarsilikNakitEsigi,"EVET","HAYIR")</f>
        <v/>
      </c>
    </row>
    <row r="855" ht="15" customHeight="1" s="68">
      <c r="D855" s="120">
        <f>ROUND($B855*KarliyukNakitKarliikOrani,0)</f>
        <v/>
      </c>
      <c r="E855" s="120">
        <f>$B855-$C855-$D855</f>
        <v/>
      </c>
      <c r="F855" s="118">
        <f>KarsilikAyBasiKasa+SUM($E$6:E855)</f>
        <v/>
      </c>
      <c r="G855" s="120">
        <f>IF($F855&lt;KarsilikNakitEsigi,"EVET","HAYIR")</f>
        <v/>
      </c>
    </row>
    <row r="856" ht="15" customHeight="1" s="68">
      <c r="D856" s="120">
        <f>ROUND($B856*KarliyukNakitKarliikOrani,0)</f>
        <v/>
      </c>
      <c r="E856" s="120">
        <f>$B856-$C856-$D856</f>
        <v/>
      </c>
      <c r="F856" s="118">
        <f>KarsilikAyBasiKasa+SUM($E$6:E856)</f>
        <v/>
      </c>
      <c r="G856" s="120">
        <f>IF($F856&lt;KarsilikNakitEsigi,"EVET","HAYIR")</f>
        <v/>
      </c>
    </row>
    <row r="857" ht="15" customHeight="1" s="68">
      <c r="D857" s="120">
        <f>ROUND($B857*KarliyukNakitKarliikOrani,0)</f>
        <v/>
      </c>
      <c r="E857" s="120">
        <f>$B857-$C857-$D857</f>
        <v/>
      </c>
      <c r="F857" s="118">
        <f>KarsilikAyBasiKasa+SUM($E$6:E857)</f>
        <v/>
      </c>
      <c r="G857" s="120">
        <f>IF($F857&lt;KarsilikNakitEsigi,"EVET","HAYIR")</f>
        <v/>
      </c>
    </row>
    <row r="858" ht="15" customHeight="1" s="68">
      <c r="D858" s="120">
        <f>ROUND($B858*KarliyukNakitKarliikOrani,0)</f>
        <v/>
      </c>
      <c r="E858" s="120">
        <f>$B858-$C858-$D858</f>
        <v/>
      </c>
      <c r="F858" s="118">
        <f>KarsilikAyBasiKasa+SUM($E$6:E858)</f>
        <v/>
      </c>
      <c r="G858" s="120">
        <f>IF($F858&lt;KarsilikNakitEsigi,"EVET","HAYIR")</f>
        <v/>
      </c>
    </row>
    <row r="859" ht="15" customHeight="1" s="68">
      <c r="D859" s="120">
        <f>ROUND($B859*KarliyukNakitKarliikOrani,0)</f>
        <v/>
      </c>
      <c r="E859" s="120">
        <f>$B859-$C859-$D859</f>
        <v/>
      </c>
      <c r="F859" s="118">
        <f>KarsilikAyBasiKasa+SUM($E$6:E859)</f>
        <v/>
      </c>
      <c r="G859" s="120">
        <f>IF($F859&lt;KarsilikNakitEsigi,"EVET","HAYIR")</f>
        <v/>
      </c>
    </row>
    <row r="860" ht="15" customHeight="1" s="68">
      <c r="D860" s="120">
        <f>ROUND($B860*KarliyukNakitKarliikOrani,0)</f>
        <v/>
      </c>
      <c r="E860" s="120">
        <f>$B860-$C860-$D860</f>
        <v/>
      </c>
      <c r="F860" s="118">
        <f>KarsilikAyBasiKasa+SUM($E$6:E860)</f>
        <v/>
      </c>
      <c r="G860" s="120">
        <f>IF($F860&lt;KarsilikNakitEsigi,"EVET","HAYIR")</f>
        <v/>
      </c>
    </row>
    <row r="861" ht="15" customHeight="1" s="68">
      <c r="D861" s="120">
        <f>ROUND($B861*KarliyukNakitKarliikOrani,0)</f>
        <v/>
      </c>
      <c r="E861" s="120">
        <f>$B861-$C861-$D861</f>
        <v/>
      </c>
      <c r="F861" s="118">
        <f>KarsilikAyBasiKasa+SUM($E$6:E861)</f>
        <v/>
      </c>
      <c r="G861" s="120">
        <f>IF($F861&lt;KarsilikNakitEsigi,"EVET","HAYIR")</f>
        <v/>
      </c>
    </row>
    <row r="862" ht="15" customHeight="1" s="68">
      <c r="D862" s="120">
        <f>ROUND($B862*KarliyukNakitKarliikOrani,0)</f>
        <v/>
      </c>
      <c r="E862" s="120">
        <f>$B862-$C862-$D862</f>
        <v/>
      </c>
      <c r="F862" s="118">
        <f>KarsilikAyBasiKasa+SUM($E$6:E862)</f>
        <v/>
      </c>
      <c r="G862" s="120">
        <f>IF($F862&lt;KarsilikNakitEsigi,"EVET","HAYIR")</f>
        <v/>
      </c>
    </row>
    <row r="863" ht="15" customHeight="1" s="68">
      <c r="D863" s="120">
        <f>ROUND($B863*KarliyukNakitKarliikOrani,0)</f>
        <v/>
      </c>
      <c r="E863" s="120">
        <f>$B863-$C863-$D863</f>
        <v/>
      </c>
      <c r="F863" s="118">
        <f>KarsilikAyBasiKasa+SUM($E$6:E863)</f>
        <v/>
      </c>
      <c r="G863" s="120">
        <f>IF($F863&lt;KarsilikNakitEsigi,"EVET","HAYIR")</f>
        <v/>
      </c>
    </row>
    <row r="864" ht="15" customHeight="1" s="68">
      <c r="D864" s="120">
        <f>ROUND($B864*KarliyukNakitKarliikOrani,0)</f>
        <v/>
      </c>
      <c r="E864" s="120">
        <f>$B864-$C864-$D864</f>
        <v/>
      </c>
      <c r="F864" s="118">
        <f>KarsilikAyBasiKasa+SUM($E$6:E864)</f>
        <v/>
      </c>
      <c r="G864" s="120">
        <f>IF($F864&lt;KarsilikNakitEsigi,"EVET","HAYIR")</f>
        <v/>
      </c>
    </row>
    <row r="865" ht="15" customHeight="1" s="68">
      <c r="D865" s="120">
        <f>ROUND($B865*KarliyukNakitKarliikOrani,0)</f>
        <v/>
      </c>
      <c r="E865" s="120">
        <f>$B865-$C865-$D865</f>
        <v/>
      </c>
      <c r="F865" s="118">
        <f>KarsilikAyBasiKasa+SUM($E$6:E865)</f>
        <v/>
      </c>
      <c r="G865" s="120">
        <f>IF($F865&lt;KarsilikNakitEsigi,"EVET","HAYIR")</f>
        <v/>
      </c>
    </row>
    <row r="866" ht="15" customHeight="1" s="68">
      <c r="D866" s="120">
        <f>ROUND($B866*KarliyukNakitKarliikOrani,0)</f>
        <v/>
      </c>
      <c r="E866" s="120">
        <f>$B866-$C866-$D866</f>
        <v/>
      </c>
      <c r="F866" s="118">
        <f>KarsilikAyBasiKasa+SUM($E$6:E866)</f>
        <v/>
      </c>
      <c r="G866" s="120">
        <f>IF($F866&lt;KarsilikNakitEsigi,"EVET","HAYIR")</f>
        <v/>
      </c>
    </row>
    <row r="867" ht="15" customHeight="1" s="68">
      <c r="D867" s="120">
        <f>ROUND($B867*KarliyukNakitKarliikOrani,0)</f>
        <v/>
      </c>
      <c r="E867" s="120">
        <f>$B867-$C867-$D867</f>
        <v/>
      </c>
      <c r="F867" s="118">
        <f>KarsilikAyBasiKasa+SUM($E$6:E867)</f>
        <v/>
      </c>
      <c r="G867" s="120">
        <f>IF($F867&lt;KarsilikNakitEsigi,"EVET","HAYIR")</f>
        <v/>
      </c>
    </row>
    <row r="868" ht="15" customHeight="1" s="68">
      <c r="D868" s="120">
        <f>ROUND($B868*KarliyukNakitKarliikOrani,0)</f>
        <v/>
      </c>
      <c r="E868" s="120">
        <f>$B868-$C868-$D868</f>
        <v/>
      </c>
      <c r="F868" s="118">
        <f>KarsilikAyBasiKasa+SUM($E$6:E868)</f>
        <v/>
      </c>
      <c r="G868" s="120">
        <f>IF($F868&lt;KarsilikNakitEsigi,"EVET","HAYIR")</f>
        <v/>
      </c>
    </row>
    <row r="869" ht="15" customHeight="1" s="68">
      <c r="D869" s="120">
        <f>ROUND($B869*KarliyukNakitKarliikOrani,0)</f>
        <v/>
      </c>
      <c r="E869" s="120">
        <f>$B869-$C869-$D869</f>
        <v/>
      </c>
      <c r="F869" s="118">
        <f>KarsilikAyBasiKasa+SUM($E$6:E869)</f>
        <v/>
      </c>
      <c r="G869" s="120">
        <f>IF($F869&lt;KarsilikNakitEsigi,"EVET","HAYIR")</f>
        <v/>
      </c>
    </row>
    <row r="870" ht="15" customHeight="1" s="68">
      <c r="D870" s="120">
        <f>ROUND($B870*KarliyukNakitKarliikOrani,0)</f>
        <v/>
      </c>
      <c r="E870" s="120">
        <f>$B870-$C870-$D870</f>
        <v/>
      </c>
      <c r="F870" s="118">
        <f>KarsilikAyBasiKasa+SUM($E$6:E870)</f>
        <v/>
      </c>
      <c r="G870" s="120">
        <f>IF($F870&lt;KarsilikNakitEsigi,"EVET","HAYIR")</f>
        <v/>
      </c>
    </row>
    <row r="871" ht="15" customHeight="1" s="68">
      <c r="D871" s="120">
        <f>ROUND($B871*KarliyukNakitKarliikOrani,0)</f>
        <v/>
      </c>
      <c r="E871" s="120">
        <f>$B871-$C871-$D871</f>
        <v/>
      </c>
      <c r="F871" s="118">
        <f>KarsilikAyBasiKasa+SUM($E$6:E871)</f>
        <v/>
      </c>
      <c r="G871" s="120">
        <f>IF($F871&lt;KarsilikNakitEsigi,"EVET","HAYIR")</f>
        <v/>
      </c>
    </row>
    <row r="872" ht="15" customHeight="1" s="68">
      <c r="D872" s="120">
        <f>ROUND($B872*KarliyukNakitKarliikOrani,0)</f>
        <v/>
      </c>
      <c r="E872" s="120">
        <f>$B872-$C872-$D872</f>
        <v/>
      </c>
      <c r="F872" s="118">
        <f>KarsilikAyBasiKasa+SUM($E$6:E872)</f>
        <v/>
      </c>
      <c r="G872" s="120">
        <f>IF($F872&lt;KarsilikNakitEsigi,"EVET","HAYIR")</f>
        <v/>
      </c>
    </row>
    <row r="873" ht="15" customHeight="1" s="68">
      <c r="D873" s="120">
        <f>ROUND($B873*KarliyukNakitKarliikOrani,0)</f>
        <v/>
      </c>
      <c r="E873" s="120">
        <f>$B873-$C873-$D873</f>
        <v/>
      </c>
      <c r="F873" s="118">
        <f>KarsilikAyBasiKasa+SUM($E$6:E873)</f>
        <v/>
      </c>
      <c r="G873" s="120">
        <f>IF($F873&lt;KarsilikNakitEsigi,"EVET","HAYIR")</f>
        <v/>
      </c>
    </row>
    <row r="874" ht="15" customHeight="1" s="68">
      <c r="D874" s="120">
        <f>ROUND($B874*KarliyukNakitKarliikOrani,0)</f>
        <v/>
      </c>
      <c r="E874" s="120">
        <f>$B874-$C874-$D874</f>
        <v/>
      </c>
      <c r="F874" s="118">
        <f>KarsilikAyBasiKasa+SUM($E$6:E874)</f>
        <v/>
      </c>
      <c r="G874" s="120">
        <f>IF($F874&lt;KarsilikNakitEsigi,"EVET","HAYIR")</f>
        <v/>
      </c>
    </row>
    <row r="875" ht="15" customHeight="1" s="68">
      <c r="D875" s="120">
        <f>ROUND($B875*KarliyukNakitKarliikOrani,0)</f>
        <v/>
      </c>
      <c r="E875" s="120">
        <f>$B875-$C875-$D875</f>
        <v/>
      </c>
      <c r="F875" s="118">
        <f>KarsilikAyBasiKasa+SUM($E$6:E875)</f>
        <v/>
      </c>
      <c r="G875" s="120">
        <f>IF($F875&lt;KarsilikNakitEsigi,"EVET","HAYIR")</f>
        <v/>
      </c>
    </row>
    <row r="876" ht="15" customHeight="1" s="68">
      <c r="D876" s="120">
        <f>ROUND($B876*KarliyukNakitKarliikOrani,0)</f>
        <v/>
      </c>
      <c r="E876" s="120">
        <f>$B876-$C876-$D876</f>
        <v/>
      </c>
      <c r="F876" s="118">
        <f>KarsilikAyBasiKasa+SUM($E$6:E876)</f>
        <v/>
      </c>
      <c r="G876" s="120">
        <f>IF($F876&lt;KarsilikNakitEsigi,"EVET","HAYIR")</f>
        <v/>
      </c>
    </row>
    <row r="877" ht="15" customHeight="1" s="68">
      <c r="D877" s="120">
        <f>ROUND($B877*KarliyukNakitKarliikOrani,0)</f>
        <v/>
      </c>
      <c r="E877" s="120">
        <f>$B877-$C877-$D877</f>
        <v/>
      </c>
      <c r="F877" s="118">
        <f>KarsilikAyBasiKasa+SUM($E$6:E877)</f>
        <v/>
      </c>
      <c r="G877" s="120">
        <f>IF($F877&lt;KarsilikNakitEsigi,"EVET","HAYIR")</f>
        <v/>
      </c>
    </row>
    <row r="878" ht="15" customHeight="1" s="68">
      <c r="D878" s="120">
        <f>ROUND($B878*KarliyukNakitKarliikOrani,0)</f>
        <v/>
      </c>
      <c r="E878" s="120">
        <f>$B878-$C878-$D878</f>
        <v/>
      </c>
      <c r="F878" s="118">
        <f>KarsilikAyBasiKasa+SUM($E$6:E878)</f>
        <v/>
      </c>
      <c r="G878" s="120">
        <f>IF($F878&lt;KarsilikNakitEsigi,"EVET","HAYIR")</f>
        <v/>
      </c>
    </row>
    <row r="879" ht="15" customHeight="1" s="68">
      <c r="D879" s="120">
        <f>ROUND($B879*KarliyukNakitKarliikOrani,0)</f>
        <v/>
      </c>
      <c r="E879" s="120">
        <f>$B879-$C879-$D879</f>
        <v/>
      </c>
      <c r="F879" s="118">
        <f>KarsilikAyBasiKasa+SUM($E$6:E879)</f>
        <v/>
      </c>
      <c r="G879" s="120">
        <f>IF($F879&lt;KarsilikNakitEsigi,"EVET","HAYIR")</f>
        <v/>
      </c>
    </row>
    <row r="880" ht="15" customHeight="1" s="68">
      <c r="D880" s="120">
        <f>ROUND($B880*KarliyukNakitKarliikOrani,0)</f>
        <v/>
      </c>
      <c r="E880" s="120">
        <f>$B880-$C880-$D880</f>
        <v/>
      </c>
      <c r="F880" s="118">
        <f>KarsilikAyBasiKasa+SUM($E$6:E880)</f>
        <v/>
      </c>
      <c r="G880" s="120">
        <f>IF($F880&lt;KarsilikNakitEsigi,"EVET","HAYIR")</f>
        <v/>
      </c>
    </row>
    <row r="881" ht="15" customHeight="1" s="68">
      <c r="D881" s="120">
        <f>ROUND($B881*KarliyukNakitKarliikOrani,0)</f>
        <v/>
      </c>
      <c r="E881" s="120">
        <f>$B881-$C881-$D881</f>
        <v/>
      </c>
      <c r="F881" s="118">
        <f>KarsilikAyBasiKasa+SUM($E$6:E881)</f>
        <v/>
      </c>
      <c r="G881" s="120">
        <f>IF($F881&lt;KarsilikNakitEsigi,"EVET","HAYIR")</f>
        <v/>
      </c>
    </row>
    <row r="882" ht="15" customHeight="1" s="68">
      <c r="D882" s="120">
        <f>ROUND($B882*KarliyukNakitKarliikOrani,0)</f>
        <v/>
      </c>
      <c r="E882" s="120">
        <f>$B882-$C882-$D882</f>
        <v/>
      </c>
      <c r="F882" s="118">
        <f>KarsilikAyBasiKasa+SUM($E$6:E882)</f>
        <v/>
      </c>
      <c r="G882" s="120">
        <f>IF($F882&lt;KarsilikNakitEsigi,"EVET","HAYIR")</f>
        <v/>
      </c>
    </row>
    <row r="883" ht="15" customHeight="1" s="68">
      <c r="D883" s="120">
        <f>ROUND($B883*KarliyukNakitKarliikOrani,0)</f>
        <v/>
      </c>
      <c r="E883" s="120">
        <f>$B883-$C883-$D883</f>
        <v/>
      </c>
      <c r="F883" s="118">
        <f>KarsilikAyBasiKasa+SUM($E$6:E883)</f>
        <v/>
      </c>
      <c r="G883" s="120">
        <f>IF($F883&lt;KarsilikNakitEsigi,"EVET","HAYIR")</f>
        <v/>
      </c>
    </row>
    <row r="884" ht="15" customHeight="1" s="68">
      <c r="D884" s="120">
        <f>ROUND($B884*KarliyukNakitKarliikOrani,0)</f>
        <v/>
      </c>
      <c r="E884" s="120">
        <f>$B884-$C884-$D884</f>
        <v/>
      </c>
      <c r="F884" s="118">
        <f>KarsilikAyBasiKasa+SUM($E$6:E884)</f>
        <v/>
      </c>
      <c r="G884" s="120">
        <f>IF($F884&lt;KarsilikNakitEsigi,"EVET","HAYIR")</f>
        <v/>
      </c>
    </row>
    <row r="885" ht="15" customHeight="1" s="68">
      <c r="D885" s="120">
        <f>ROUND($B885*KarliyukNakitKarliikOrani,0)</f>
        <v/>
      </c>
      <c r="E885" s="120">
        <f>$B885-$C885-$D885</f>
        <v/>
      </c>
      <c r="F885" s="118">
        <f>KarsilikAyBasiKasa+SUM($E$6:E885)</f>
        <v/>
      </c>
      <c r="G885" s="120">
        <f>IF($F885&lt;KarsilikNakitEsigi,"EVET","HAYIR")</f>
        <v/>
      </c>
    </row>
    <row r="886" ht="15" customHeight="1" s="68">
      <c r="D886" s="120">
        <f>ROUND($B886*KarliyukNakitKarliikOrani,0)</f>
        <v/>
      </c>
      <c r="E886" s="120">
        <f>$B886-$C886-$D886</f>
        <v/>
      </c>
      <c r="F886" s="118">
        <f>KarsilikAyBasiKasa+SUM($E$6:E886)</f>
        <v/>
      </c>
      <c r="G886" s="120">
        <f>IF($F886&lt;KarsilikNakitEsigi,"EVET","HAYIR")</f>
        <v/>
      </c>
    </row>
    <row r="887" ht="15" customHeight="1" s="68">
      <c r="D887" s="120">
        <f>ROUND($B887*KarliyukNakitKarliikOrani,0)</f>
        <v/>
      </c>
      <c r="E887" s="120">
        <f>$B887-$C887-$D887</f>
        <v/>
      </c>
      <c r="F887" s="118">
        <f>KarsilikAyBasiKasa+SUM($E$6:E887)</f>
        <v/>
      </c>
      <c r="G887" s="120">
        <f>IF($F887&lt;KarsilikNakitEsigi,"EVET","HAYIR")</f>
        <v/>
      </c>
    </row>
    <row r="888" ht="15" customHeight="1" s="68">
      <c r="D888" s="120">
        <f>ROUND($B888*KarliyukNakitKarliikOrani,0)</f>
        <v/>
      </c>
      <c r="E888" s="120">
        <f>$B888-$C888-$D888</f>
        <v/>
      </c>
      <c r="F888" s="118">
        <f>KarsilikAyBasiKasa+SUM($E$6:E888)</f>
        <v/>
      </c>
      <c r="G888" s="120">
        <f>IF($F888&lt;KarsilikNakitEsigi,"EVET","HAYIR")</f>
        <v/>
      </c>
    </row>
    <row r="889" ht="15" customHeight="1" s="68">
      <c r="D889" s="120">
        <f>ROUND($B889*KarliyukNakitKarliikOrani,0)</f>
        <v/>
      </c>
      <c r="E889" s="120">
        <f>$B889-$C889-$D889</f>
        <v/>
      </c>
      <c r="F889" s="118">
        <f>KarsilikAyBasiKasa+SUM($E$6:E889)</f>
        <v/>
      </c>
      <c r="G889" s="120">
        <f>IF($F889&lt;KarsilikNakitEsigi,"EVET","HAYIR")</f>
        <v/>
      </c>
    </row>
    <row r="890" ht="15" customHeight="1" s="68">
      <c r="D890" s="120">
        <f>ROUND($B890*KarliyukNakitKarliikOrani,0)</f>
        <v/>
      </c>
      <c r="E890" s="120">
        <f>$B890-$C890-$D890</f>
        <v/>
      </c>
      <c r="F890" s="118">
        <f>KarsilikAyBasiKasa+SUM($E$6:E890)</f>
        <v/>
      </c>
      <c r="G890" s="120">
        <f>IF($F890&lt;KarsilikNakitEsigi,"EVET","HAYIR")</f>
        <v/>
      </c>
    </row>
    <row r="891" ht="15" customHeight="1" s="68">
      <c r="D891" s="120">
        <f>ROUND($B891*KarliyukNakitKarliikOrani,0)</f>
        <v/>
      </c>
      <c r="E891" s="120">
        <f>$B891-$C891-$D891</f>
        <v/>
      </c>
      <c r="F891" s="118">
        <f>KarsilikAyBasiKasa+SUM($E$6:E891)</f>
        <v/>
      </c>
      <c r="G891" s="120">
        <f>IF($F891&lt;KarsilikNakitEsigi,"EVET","HAYIR")</f>
        <v/>
      </c>
    </row>
    <row r="892" ht="15" customHeight="1" s="68">
      <c r="D892" s="120">
        <f>ROUND($B892*KarliyukNakitKarliikOrani,0)</f>
        <v/>
      </c>
      <c r="E892" s="120">
        <f>$B892-$C892-$D892</f>
        <v/>
      </c>
      <c r="F892" s="118">
        <f>KarsilikAyBasiKasa+SUM($E$6:E892)</f>
        <v/>
      </c>
      <c r="G892" s="120">
        <f>IF($F892&lt;KarsilikNakitEsigi,"EVET","HAYIR")</f>
        <v/>
      </c>
    </row>
    <row r="893" ht="15" customHeight="1" s="68">
      <c r="D893" s="120">
        <f>ROUND($B893*KarliyukNakitKarliikOrani,0)</f>
        <v/>
      </c>
      <c r="E893" s="120">
        <f>$B893-$C893-$D893</f>
        <v/>
      </c>
      <c r="F893" s="118">
        <f>KarsilikAyBasiKasa+SUM($E$6:E893)</f>
        <v/>
      </c>
      <c r="G893" s="120">
        <f>IF($F893&lt;KarsilikNakitEsigi,"EVET","HAYIR")</f>
        <v/>
      </c>
    </row>
    <row r="894" ht="15" customHeight="1" s="68">
      <c r="D894" s="120">
        <f>ROUND($B894*KarliyukNakitKarliikOrani,0)</f>
        <v/>
      </c>
      <c r="E894" s="120">
        <f>$B894-$C894-$D894</f>
        <v/>
      </c>
      <c r="F894" s="118">
        <f>KarsilikAyBasiKasa+SUM($E$6:E894)</f>
        <v/>
      </c>
      <c r="G894" s="120">
        <f>IF($F894&lt;KarsilikNakitEsigi,"EVET","HAYIR")</f>
        <v/>
      </c>
    </row>
    <row r="895" ht="15" customHeight="1" s="68">
      <c r="D895" s="120">
        <f>ROUND($B895*KarliyukNakitKarliikOrani,0)</f>
        <v/>
      </c>
      <c r="E895" s="120">
        <f>$B895-$C895-$D895</f>
        <v/>
      </c>
      <c r="F895" s="118">
        <f>KarsilikAyBasiKasa+SUM($E$6:E895)</f>
        <v/>
      </c>
      <c r="G895" s="120">
        <f>IF($F895&lt;KarsilikNakitEsigi,"EVET","HAYIR")</f>
        <v/>
      </c>
    </row>
    <row r="896" ht="15" customHeight="1" s="68">
      <c r="D896" s="120">
        <f>ROUND($B896*KarliyukNakitKarliikOrani,0)</f>
        <v/>
      </c>
      <c r="E896" s="120">
        <f>$B896-$C896-$D896</f>
        <v/>
      </c>
      <c r="F896" s="118">
        <f>KarsilikAyBasiKasa+SUM($E$6:E896)</f>
        <v/>
      </c>
      <c r="G896" s="120">
        <f>IF($F896&lt;KarsilikNakitEsigi,"EVET","HAYIR")</f>
        <v/>
      </c>
    </row>
    <row r="897" ht="15" customHeight="1" s="68">
      <c r="D897" s="120">
        <f>ROUND($B897*KarliyukNakitKarliikOrani,0)</f>
        <v/>
      </c>
      <c r="E897" s="120">
        <f>$B897-$C897-$D897</f>
        <v/>
      </c>
      <c r="F897" s="118">
        <f>KarsilikAyBasiKasa+SUM($E$6:E897)</f>
        <v/>
      </c>
      <c r="G897" s="120">
        <f>IF($F897&lt;KarsilikNakitEsigi,"EVET","HAYIR")</f>
        <v/>
      </c>
    </row>
    <row r="898" ht="15" customHeight="1" s="68">
      <c r="D898" s="120">
        <f>ROUND($B898*KarliyukNakitKarliikOrani,0)</f>
        <v/>
      </c>
      <c r="E898" s="120">
        <f>$B898-$C898-$D898</f>
        <v/>
      </c>
      <c r="F898" s="118">
        <f>KarsilikAyBasiKasa+SUM($E$6:E898)</f>
        <v/>
      </c>
      <c r="G898" s="120">
        <f>IF($F898&lt;KarsilikNakitEsigi,"EVET","HAYIR")</f>
        <v/>
      </c>
    </row>
    <row r="899" ht="15" customHeight="1" s="68">
      <c r="D899" s="120">
        <f>ROUND($B899*KarliyukNakitKarliikOrani,0)</f>
        <v/>
      </c>
      <c r="E899" s="120">
        <f>$B899-$C899-$D899</f>
        <v/>
      </c>
      <c r="F899" s="118">
        <f>KarsilikAyBasiKasa+SUM($E$6:E899)</f>
        <v/>
      </c>
      <c r="G899" s="120">
        <f>IF($F899&lt;KarsilikNakitEsigi,"EVET","HAYIR")</f>
        <v/>
      </c>
    </row>
    <row r="900" ht="15" customHeight="1" s="68">
      <c r="D900" s="120">
        <f>ROUND($B900*KarliyukNakitKarliikOrani,0)</f>
        <v/>
      </c>
      <c r="E900" s="120">
        <f>$B900-$C900-$D900</f>
        <v/>
      </c>
      <c r="F900" s="118">
        <f>KarsilikAyBasiKasa+SUM($E$6:E900)</f>
        <v/>
      </c>
      <c r="G900" s="120">
        <f>IF($F900&lt;KarsilikNakitEsigi,"EVET","HAYIR")</f>
        <v/>
      </c>
    </row>
    <row r="901" ht="15" customHeight="1" s="68">
      <c r="D901" s="120">
        <f>ROUND($B901*KarliyukNakitKarliikOrani,0)</f>
        <v/>
      </c>
      <c r="E901" s="120">
        <f>$B901-$C901-$D901</f>
        <v/>
      </c>
      <c r="F901" s="118">
        <f>KarsilikAyBasiKasa+SUM($E$6:E901)</f>
        <v/>
      </c>
      <c r="G901" s="120">
        <f>IF($F901&lt;KarsilikNakitEsigi,"EVET","HAYIR")</f>
        <v/>
      </c>
    </row>
    <row r="902" ht="15" customHeight="1" s="68">
      <c r="D902" s="120">
        <f>ROUND($B902*KarliyukNakitKarliikOrani,0)</f>
        <v/>
      </c>
      <c r="E902" s="120">
        <f>$B902-$C902-$D902</f>
        <v/>
      </c>
      <c r="F902" s="118">
        <f>KarsilikAyBasiKasa+SUM($E$6:E902)</f>
        <v/>
      </c>
      <c r="G902" s="120">
        <f>IF($F902&lt;KarsilikNakitEsigi,"EVET","HAYIR")</f>
        <v/>
      </c>
    </row>
    <row r="903" ht="15" customHeight="1" s="68">
      <c r="D903" s="120">
        <f>ROUND($B903*KarliyukNakitKarliikOrani,0)</f>
        <v/>
      </c>
      <c r="E903" s="120">
        <f>$B903-$C903-$D903</f>
        <v/>
      </c>
      <c r="F903" s="118">
        <f>KarsilikAyBasiKasa+SUM($E$6:E903)</f>
        <v/>
      </c>
      <c r="G903" s="120">
        <f>IF($F903&lt;KarsilikNakitEsigi,"EVET","HAYIR")</f>
        <v/>
      </c>
    </row>
    <row r="904" ht="15" customHeight="1" s="68">
      <c r="D904" s="120">
        <f>ROUND($B904*KarliyukNakitKarliikOrani,0)</f>
        <v/>
      </c>
      <c r="E904" s="120">
        <f>$B904-$C904-$D904</f>
        <v/>
      </c>
      <c r="F904" s="118">
        <f>KarsilikAyBasiKasa+SUM($E$6:E904)</f>
        <v/>
      </c>
      <c r="G904" s="120">
        <f>IF($F904&lt;KarsilikNakitEsigi,"EVET","HAYIR")</f>
        <v/>
      </c>
    </row>
    <row r="905" ht="15" customHeight="1" s="68">
      <c r="D905" s="120">
        <f>ROUND($B905*KarliyukNakitKarliikOrani,0)</f>
        <v/>
      </c>
      <c r="E905" s="120">
        <f>$B905-$C905-$D905</f>
        <v/>
      </c>
      <c r="F905" s="118">
        <f>KarsilikAyBasiKasa+SUM($E$6:E905)</f>
        <v/>
      </c>
      <c r="G905" s="120">
        <f>IF($F905&lt;KarsilikNakitEsigi,"EVET","HAYIR")</f>
        <v/>
      </c>
    </row>
    <row r="906" ht="15" customHeight="1" s="68">
      <c r="D906" s="120">
        <f>ROUND($B906*KarliyukNakitKarliikOrani,0)</f>
        <v/>
      </c>
      <c r="E906" s="120">
        <f>$B906-$C906-$D906</f>
        <v/>
      </c>
      <c r="F906" s="118">
        <f>KarsilikAyBasiKasa+SUM($E$6:E906)</f>
        <v/>
      </c>
      <c r="G906" s="120">
        <f>IF($F906&lt;KarsilikNakitEsigi,"EVET","HAYIR")</f>
        <v/>
      </c>
    </row>
    <row r="907" ht="15" customHeight="1" s="68">
      <c r="D907" s="120">
        <f>ROUND($B907*KarliyukNakitKarliikOrani,0)</f>
        <v/>
      </c>
      <c r="E907" s="120">
        <f>$B907-$C907-$D907</f>
        <v/>
      </c>
      <c r="F907" s="118">
        <f>KarsilikAyBasiKasa+SUM($E$6:E907)</f>
        <v/>
      </c>
      <c r="G907" s="120">
        <f>IF($F907&lt;KarsilikNakitEsigi,"EVET","HAYIR")</f>
        <v/>
      </c>
    </row>
    <row r="908" ht="15" customHeight="1" s="68">
      <c r="D908" s="120">
        <f>ROUND($B908*KarliyukNakitKarliikOrani,0)</f>
        <v/>
      </c>
      <c r="E908" s="120">
        <f>$B908-$C908-$D908</f>
        <v/>
      </c>
      <c r="F908" s="118">
        <f>KarsilikAyBasiKasa+SUM($E$6:E908)</f>
        <v/>
      </c>
      <c r="G908" s="120">
        <f>IF($F908&lt;KarsilikNakitEsigi,"EVET","HAYIR")</f>
        <v/>
      </c>
    </row>
    <row r="909" ht="15" customHeight="1" s="68">
      <c r="D909" s="120">
        <f>ROUND($B909*KarliyukNakitKarliikOrani,0)</f>
        <v/>
      </c>
      <c r="E909" s="120">
        <f>$B909-$C909-$D909</f>
        <v/>
      </c>
      <c r="F909" s="118">
        <f>KarsilikAyBasiKasa+SUM($E$6:E909)</f>
        <v/>
      </c>
      <c r="G909" s="120">
        <f>IF($F909&lt;KarsilikNakitEsigi,"EVET","HAYIR")</f>
        <v/>
      </c>
    </row>
    <row r="910" ht="15" customHeight="1" s="68">
      <c r="D910" s="120">
        <f>ROUND($B910*KarliyukNakitKarliikOrani,0)</f>
        <v/>
      </c>
      <c r="E910" s="120">
        <f>$B910-$C910-$D910</f>
        <v/>
      </c>
      <c r="F910" s="118">
        <f>KarsilikAyBasiKasa+SUM($E$6:E910)</f>
        <v/>
      </c>
      <c r="G910" s="120">
        <f>IF($F910&lt;KarsilikNakitEsigi,"EVET","HAYIR")</f>
        <v/>
      </c>
    </row>
    <row r="911" ht="15" customHeight="1" s="68">
      <c r="D911" s="120">
        <f>ROUND($B911*KarliyukNakitKarliikOrani,0)</f>
        <v/>
      </c>
      <c r="E911" s="120">
        <f>$B911-$C911-$D911</f>
        <v/>
      </c>
      <c r="F911" s="118">
        <f>KarsilikAyBasiKasa+SUM($E$6:E911)</f>
        <v/>
      </c>
      <c r="G911" s="120">
        <f>IF($F911&lt;KarsilikNakitEsigi,"EVET","HAYIR")</f>
        <v/>
      </c>
    </row>
    <row r="912" ht="15" customHeight="1" s="68">
      <c r="D912" s="120">
        <f>ROUND($B912*KarliyukNakitKarliikOrani,0)</f>
        <v/>
      </c>
      <c r="E912" s="120">
        <f>$B912-$C912-$D912</f>
        <v/>
      </c>
      <c r="F912" s="118">
        <f>KarsilikAyBasiKasa+SUM($E$6:E912)</f>
        <v/>
      </c>
      <c r="G912" s="120">
        <f>IF($F912&lt;KarsilikNakitEsigi,"EVET","HAYIR")</f>
        <v/>
      </c>
    </row>
    <row r="913" ht="15" customHeight="1" s="68">
      <c r="D913" s="120">
        <f>ROUND($B913*KarliyukNakitKarliikOrani,0)</f>
        <v/>
      </c>
      <c r="E913" s="120">
        <f>$B913-$C913-$D913</f>
        <v/>
      </c>
      <c r="F913" s="118">
        <f>KarsilikAyBasiKasa+SUM($E$6:E913)</f>
        <v/>
      </c>
      <c r="G913" s="120">
        <f>IF($F913&lt;KarsilikNakitEsigi,"EVET","HAYIR")</f>
        <v/>
      </c>
    </row>
    <row r="914" ht="15" customHeight="1" s="68">
      <c r="D914" s="120">
        <f>ROUND($B914*KarliyukNakitKarliikOrani,0)</f>
        <v/>
      </c>
      <c r="E914" s="120">
        <f>$B914-$C914-$D914</f>
        <v/>
      </c>
      <c r="F914" s="118">
        <f>KarsilikAyBasiKasa+SUM($E$6:E914)</f>
        <v/>
      </c>
      <c r="G914" s="120">
        <f>IF($F914&lt;KarsilikNakitEsigi,"EVET","HAYIR")</f>
        <v/>
      </c>
    </row>
    <row r="915" ht="15" customHeight="1" s="68">
      <c r="D915" s="120">
        <f>ROUND($B915*KarliyukNakitKarliikOrani,0)</f>
        <v/>
      </c>
      <c r="E915" s="120">
        <f>$B915-$C915-$D915</f>
        <v/>
      </c>
      <c r="F915" s="118">
        <f>KarsilikAyBasiKasa+SUM($E$6:E915)</f>
        <v/>
      </c>
      <c r="G915" s="120">
        <f>IF($F915&lt;KarsilikNakitEsigi,"EVET","HAYIR")</f>
        <v/>
      </c>
    </row>
    <row r="916" ht="15" customHeight="1" s="68">
      <c r="D916" s="120">
        <f>ROUND($B916*KarliyukNakitKarliikOrani,0)</f>
        <v/>
      </c>
      <c r="E916" s="120">
        <f>$B916-$C916-$D916</f>
        <v/>
      </c>
      <c r="F916" s="118">
        <f>KarsilikAyBasiKasa+SUM($E$6:E916)</f>
        <v/>
      </c>
      <c r="G916" s="120">
        <f>IF($F916&lt;KarsilikNakitEsigi,"EVET","HAYIR")</f>
        <v/>
      </c>
    </row>
    <row r="917" ht="15" customHeight="1" s="68">
      <c r="D917" s="120">
        <f>ROUND($B917*KarliyukNakitKarliikOrani,0)</f>
        <v/>
      </c>
      <c r="E917" s="120">
        <f>$B917-$C917-$D917</f>
        <v/>
      </c>
      <c r="F917" s="118">
        <f>KarsilikAyBasiKasa+SUM($E$6:E917)</f>
        <v/>
      </c>
      <c r="G917" s="120">
        <f>IF($F917&lt;KarsilikNakitEsigi,"EVET","HAYIR")</f>
        <v/>
      </c>
    </row>
    <row r="918" ht="15" customHeight="1" s="68">
      <c r="D918" s="120">
        <f>ROUND($B918*KarliyukNakitKarliikOrani,0)</f>
        <v/>
      </c>
      <c r="E918" s="120">
        <f>$B918-$C918-$D918</f>
        <v/>
      </c>
      <c r="F918" s="118">
        <f>KarsilikAyBasiKasa+SUM($E$6:E918)</f>
        <v/>
      </c>
      <c r="G918" s="120">
        <f>IF($F918&lt;KarsilikNakitEsigi,"EVET","HAYIR")</f>
        <v/>
      </c>
    </row>
    <row r="919" ht="15" customHeight="1" s="68">
      <c r="D919" s="120">
        <f>ROUND($B919*KarliyukNakitKarliikOrani,0)</f>
        <v/>
      </c>
      <c r="E919" s="120">
        <f>$B919-$C919-$D919</f>
        <v/>
      </c>
      <c r="F919" s="118">
        <f>KarsilikAyBasiKasa+SUM($E$6:E919)</f>
        <v/>
      </c>
      <c r="G919" s="120">
        <f>IF($F919&lt;KarsilikNakitEsigi,"EVET","HAYIR")</f>
        <v/>
      </c>
    </row>
    <row r="920" ht="15" customHeight="1" s="68">
      <c r="D920" s="120">
        <f>ROUND($B920*KarliyukNakitKarliikOrani,0)</f>
        <v/>
      </c>
      <c r="E920" s="120">
        <f>$B920-$C920-$D920</f>
        <v/>
      </c>
      <c r="F920" s="118">
        <f>KarsilikAyBasiKasa+SUM($E$6:E920)</f>
        <v/>
      </c>
      <c r="G920" s="120">
        <f>IF($F920&lt;KarsilikNakitEsigi,"EVET","HAYIR")</f>
        <v/>
      </c>
    </row>
    <row r="921" ht="15" customHeight="1" s="68">
      <c r="D921" s="120">
        <f>ROUND($B921*KarliyukNakitKarliikOrani,0)</f>
        <v/>
      </c>
      <c r="E921" s="120">
        <f>$B921-$C921-$D921</f>
        <v/>
      </c>
      <c r="F921" s="118">
        <f>KarsilikAyBasiKasa+SUM($E$6:E921)</f>
        <v/>
      </c>
      <c r="G921" s="120">
        <f>IF($F921&lt;KarsilikNakitEsigi,"EVET","HAYIR")</f>
        <v/>
      </c>
    </row>
    <row r="922" ht="15" customHeight="1" s="68">
      <c r="D922" s="120">
        <f>ROUND($B922*KarliyukNakitKarliikOrani,0)</f>
        <v/>
      </c>
      <c r="E922" s="120">
        <f>$B922-$C922-$D922</f>
        <v/>
      </c>
      <c r="F922" s="118">
        <f>KarsilikAyBasiKasa+SUM($E$6:E922)</f>
        <v/>
      </c>
      <c r="G922" s="120">
        <f>IF($F922&lt;KarsilikNakitEsigi,"EVET","HAYIR")</f>
        <v/>
      </c>
    </row>
    <row r="923" ht="15" customHeight="1" s="68">
      <c r="D923" s="120">
        <f>ROUND($B923*KarliyukNakitKarliikOrani,0)</f>
        <v/>
      </c>
      <c r="E923" s="120">
        <f>$B923-$C923-$D923</f>
        <v/>
      </c>
      <c r="F923" s="118">
        <f>KarsilikAyBasiKasa+SUM($E$6:E923)</f>
        <v/>
      </c>
      <c r="G923" s="120">
        <f>IF($F923&lt;KarsilikNakitEsigi,"EVET","HAYIR")</f>
        <v/>
      </c>
    </row>
    <row r="924" ht="15" customHeight="1" s="68">
      <c r="D924" s="120">
        <f>ROUND($B924*KarliyukNakitKarliikOrani,0)</f>
        <v/>
      </c>
      <c r="E924" s="120">
        <f>$B924-$C924-$D924</f>
        <v/>
      </c>
      <c r="F924" s="118">
        <f>KarsilikAyBasiKasa+SUM($E$6:E924)</f>
        <v/>
      </c>
      <c r="G924" s="120">
        <f>IF($F924&lt;KarsilikNakitEsigi,"EVET","HAYIR")</f>
        <v/>
      </c>
    </row>
    <row r="925" ht="15" customHeight="1" s="68">
      <c r="D925" s="120">
        <f>ROUND($B925*KarliyukNakitKarliikOrani,0)</f>
        <v/>
      </c>
      <c r="E925" s="120">
        <f>$B925-$C925-$D925</f>
        <v/>
      </c>
      <c r="F925" s="118">
        <f>KarsilikAyBasiKasa+SUM($E$6:E925)</f>
        <v/>
      </c>
      <c r="G925" s="120">
        <f>IF($F925&lt;KarsilikNakitEsigi,"EVET","HAYIR")</f>
        <v/>
      </c>
    </row>
    <row r="926" ht="15" customHeight="1" s="68">
      <c r="D926" s="120">
        <f>ROUND($B926*KarliyukNakitKarliikOrani,0)</f>
        <v/>
      </c>
      <c r="E926" s="120">
        <f>$B926-$C926-$D926</f>
        <v/>
      </c>
      <c r="F926" s="118">
        <f>KarsilikAyBasiKasa+SUM($E$6:E926)</f>
        <v/>
      </c>
      <c r="G926" s="120">
        <f>IF($F926&lt;KarsilikNakitEsigi,"EVET","HAYIR")</f>
        <v/>
      </c>
    </row>
    <row r="927" ht="15" customHeight="1" s="68">
      <c r="D927" s="120">
        <f>ROUND($B927*KarliyukNakitKarliikOrani,0)</f>
        <v/>
      </c>
      <c r="E927" s="120">
        <f>$B927-$C927-$D927</f>
        <v/>
      </c>
      <c r="F927" s="118">
        <f>KarsilikAyBasiKasa+SUM($E$6:E927)</f>
        <v/>
      </c>
      <c r="G927" s="120">
        <f>IF($F927&lt;KarsilikNakitEsigi,"EVET","HAYIR")</f>
        <v/>
      </c>
    </row>
    <row r="928" ht="15" customHeight="1" s="68">
      <c r="D928" s="120">
        <f>ROUND($B928*KarliyukNakitKarliikOrani,0)</f>
        <v/>
      </c>
      <c r="E928" s="120">
        <f>$B928-$C928-$D928</f>
        <v/>
      </c>
      <c r="F928" s="118">
        <f>KarsilikAyBasiKasa+SUM($E$6:E928)</f>
        <v/>
      </c>
      <c r="G928" s="120">
        <f>IF($F928&lt;KarsilikNakitEsigi,"EVET","HAYIR")</f>
        <v/>
      </c>
    </row>
    <row r="929" ht="15" customHeight="1" s="68">
      <c r="D929" s="120">
        <f>ROUND($B929*KarliyukNakitKarliikOrani,0)</f>
        <v/>
      </c>
      <c r="E929" s="120">
        <f>$B929-$C929-$D929</f>
        <v/>
      </c>
      <c r="F929" s="118">
        <f>KarsilikAyBasiKasa+SUM($E$6:E929)</f>
        <v/>
      </c>
      <c r="G929" s="120">
        <f>IF($F929&lt;KarsilikNakitEsigi,"EVET","HAYIR")</f>
        <v/>
      </c>
    </row>
    <row r="930" ht="15" customHeight="1" s="68">
      <c r="D930" s="120">
        <f>ROUND($B930*KarliyukNakitKarliikOrani,0)</f>
        <v/>
      </c>
      <c r="E930" s="120">
        <f>$B930-$C930-$D930</f>
        <v/>
      </c>
      <c r="F930" s="118">
        <f>KarsilikAyBasiKasa+SUM($E$6:E930)</f>
        <v/>
      </c>
      <c r="G930" s="120">
        <f>IF($F930&lt;KarsilikNakitEsigi,"EVET","HAYIR")</f>
        <v/>
      </c>
    </row>
    <row r="931" ht="15" customHeight="1" s="68">
      <c r="D931" s="120">
        <f>ROUND($B931*KarliyukNakitKarliikOrani,0)</f>
        <v/>
      </c>
      <c r="E931" s="120">
        <f>$B931-$C931-$D931</f>
        <v/>
      </c>
      <c r="F931" s="118">
        <f>KarsilikAyBasiKasa+SUM($E$6:E931)</f>
        <v/>
      </c>
      <c r="G931" s="120">
        <f>IF($F931&lt;KarsilikNakitEsigi,"EVET","HAYIR")</f>
        <v/>
      </c>
    </row>
    <row r="932" ht="15" customHeight="1" s="68">
      <c r="D932" s="120">
        <f>ROUND($B932*KarliyukNakitKarliikOrani,0)</f>
        <v/>
      </c>
      <c r="E932" s="120">
        <f>$B932-$C932-$D932</f>
        <v/>
      </c>
      <c r="F932" s="118">
        <f>KarsilikAyBasiKasa+SUM($E$6:E932)</f>
        <v/>
      </c>
      <c r="G932" s="120">
        <f>IF($F932&lt;KarsilikNakitEsigi,"EVET","HAYIR")</f>
        <v/>
      </c>
    </row>
    <row r="933" ht="15" customHeight="1" s="68">
      <c r="D933" s="120">
        <f>ROUND($B933*KarliyukNakitKarliikOrani,0)</f>
        <v/>
      </c>
      <c r="E933" s="120">
        <f>$B933-$C933-$D933</f>
        <v/>
      </c>
      <c r="F933" s="118">
        <f>KarsilikAyBasiKasa+SUM($E$6:E933)</f>
        <v/>
      </c>
      <c r="G933" s="120">
        <f>IF($F933&lt;KarsilikNakitEsigi,"EVET","HAYIR")</f>
        <v/>
      </c>
    </row>
    <row r="934" ht="15" customHeight="1" s="68">
      <c r="D934" s="120">
        <f>ROUND($B934*KarliyukNakitKarliikOrani,0)</f>
        <v/>
      </c>
      <c r="E934" s="120">
        <f>$B934-$C934-$D934</f>
        <v/>
      </c>
      <c r="F934" s="118">
        <f>KarsilikAyBasiKasa+SUM($E$6:E934)</f>
        <v/>
      </c>
      <c r="G934" s="120">
        <f>IF($F934&lt;KarsilikNakitEsigi,"EVET","HAYIR")</f>
        <v/>
      </c>
    </row>
    <row r="935" ht="15" customHeight="1" s="68">
      <c r="D935" s="120">
        <f>ROUND($B935*KarliyukNakitKarliikOrani,0)</f>
        <v/>
      </c>
      <c r="E935" s="120">
        <f>$B935-$C935-$D935</f>
        <v/>
      </c>
      <c r="F935" s="118">
        <f>KarsilikAyBasiKasa+SUM($E$6:E935)</f>
        <v/>
      </c>
      <c r="G935" s="120">
        <f>IF($F935&lt;KarsilikNakitEsigi,"EVET","HAYIR")</f>
        <v/>
      </c>
    </row>
    <row r="936" ht="15" customHeight="1" s="68">
      <c r="D936" s="120">
        <f>ROUND($B936*KarliyukNakitKarliikOrani,0)</f>
        <v/>
      </c>
      <c r="E936" s="120">
        <f>$B936-$C936-$D936</f>
        <v/>
      </c>
      <c r="F936" s="118">
        <f>KarsilikAyBasiKasa+SUM($E$6:E936)</f>
        <v/>
      </c>
      <c r="G936" s="120">
        <f>IF($F936&lt;KarsilikNakitEsigi,"EVET","HAYIR")</f>
        <v/>
      </c>
    </row>
    <row r="937" ht="15" customHeight="1" s="68">
      <c r="D937" s="120">
        <f>ROUND($B937*KarliyukNakitKarliikOrani,0)</f>
        <v/>
      </c>
      <c r="E937" s="120">
        <f>$B937-$C937-$D937</f>
        <v/>
      </c>
      <c r="F937" s="118">
        <f>KarsilikAyBasiKasa+SUM($E$6:E937)</f>
        <v/>
      </c>
      <c r="G937" s="120">
        <f>IF($F937&lt;KarsilikNakitEsigi,"EVET","HAYIR")</f>
        <v/>
      </c>
    </row>
    <row r="938" ht="15" customHeight="1" s="68">
      <c r="D938" s="120">
        <f>ROUND($B938*KarliyukNakitKarliikOrani,0)</f>
        <v/>
      </c>
      <c r="E938" s="120">
        <f>$B938-$C938-$D938</f>
        <v/>
      </c>
      <c r="F938" s="118">
        <f>KarsilikAyBasiKasa+SUM($E$6:E938)</f>
        <v/>
      </c>
      <c r="G938" s="120">
        <f>IF($F938&lt;KarsilikNakitEsigi,"EVET","HAYIR")</f>
        <v/>
      </c>
    </row>
    <row r="939" ht="15" customHeight="1" s="68">
      <c r="D939" s="120">
        <f>ROUND($B939*KarliyukNakitKarliikOrani,0)</f>
        <v/>
      </c>
      <c r="E939" s="120">
        <f>$B939-$C939-$D939</f>
        <v/>
      </c>
      <c r="F939" s="118">
        <f>KarsilikAyBasiKasa+SUM($E$6:E939)</f>
        <v/>
      </c>
      <c r="G939" s="120">
        <f>IF($F939&lt;KarsilikNakitEsigi,"EVET","HAYIR")</f>
        <v/>
      </c>
    </row>
    <row r="940" ht="15" customHeight="1" s="68">
      <c r="D940" s="120">
        <f>ROUND($B940*KarliyukNakitKarliikOrani,0)</f>
        <v/>
      </c>
      <c r="E940" s="120">
        <f>$B940-$C940-$D940</f>
        <v/>
      </c>
      <c r="F940" s="118">
        <f>KarsilikAyBasiKasa+SUM($E$6:E940)</f>
        <v/>
      </c>
      <c r="G940" s="120">
        <f>IF($F940&lt;KarsilikNakitEsigi,"EVET","HAYIR")</f>
        <v/>
      </c>
    </row>
    <row r="941" ht="15" customHeight="1" s="68">
      <c r="D941" s="120">
        <f>ROUND($B941*KarliyukNakitKarliikOrani,0)</f>
        <v/>
      </c>
      <c r="E941" s="120">
        <f>$B941-$C941-$D941</f>
        <v/>
      </c>
      <c r="F941" s="118">
        <f>KarsilikAyBasiKasa+SUM($E$6:E941)</f>
        <v/>
      </c>
      <c r="G941" s="120">
        <f>IF($F941&lt;KarsilikNakitEsigi,"EVET","HAYIR")</f>
        <v/>
      </c>
    </row>
    <row r="942" ht="15" customHeight="1" s="68">
      <c r="D942" s="120">
        <f>ROUND($B942*KarliyukNakitKarliikOrani,0)</f>
        <v/>
      </c>
      <c r="E942" s="120">
        <f>$B942-$C942-$D942</f>
        <v/>
      </c>
      <c r="F942" s="118">
        <f>KarsilikAyBasiKasa+SUM($E$6:E942)</f>
        <v/>
      </c>
      <c r="G942" s="120">
        <f>IF($F942&lt;KarsilikNakitEsigi,"EVET","HAYIR")</f>
        <v/>
      </c>
    </row>
    <row r="943" ht="15" customHeight="1" s="68">
      <c r="D943" s="120">
        <f>ROUND($B943*KarliyukNakitKarliikOrani,0)</f>
        <v/>
      </c>
      <c r="E943" s="120">
        <f>$B943-$C943-$D943</f>
        <v/>
      </c>
      <c r="F943" s="118">
        <f>KarsilikAyBasiKasa+SUM($E$6:E943)</f>
        <v/>
      </c>
      <c r="G943" s="120">
        <f>IF($F943&lt;KarsilikNakitEsigi,"EVET","HAYIR")</f>
        <v/>
      </c>
    </row>
    <row r="944" ht="15" customHeight="1" s="68">
      <c r="D944" s="120">
        <f>ROUND($B944*KarliyukNakitKarliikOrani,0)</f>
        <v/>
      </c>
      <c r="E944" s="120">
        <f>$B944-$C944-$D944</f>
        <v/>
      </c>
      <c r="F944" s="118">
        <f>KarsilikAyBasiKasa+SUM($E$6:E944)</f>
        <v/>
      </c>
      <c r="G944" s="120">
        <f>IF($F944&lt;KarsilikNakitEsigi,"EVET","HAYIR")</f>
        <v/>
      </c>
    </row>
    <row r="945" ht="15" customHeight="1" s="68">
      <c r="D945" s="120">
        <f>ROUND($B945*KarliyukNakitKarliikOrani,0)</f>
        <v/>
      </c>
      <c r="E945" s="120">
        <f>$B945-$C945-$D945</f>
        <v/>
      </c>
      <c r="F945" s="118">
        <f>KarsilikAyBasiKasa+SUM($E$6:E945)</f>
        <v/>
      </c>
      <c r="G945" s="120">
        <f>IF($F945&lt;KarsilikNakitEsigi,"EVET","HAYIR")</f>
        <v/>
      </c>
    </row>
    <row r="946" ht="15" customHeight="1" s="68">
      <c r="D946" s="120">
        <f>ROUND($B946*KarliyukNakitKarliikOrani,0)</f>
        <v/>
      </c>
      <c r="E946" s="120">
        <f>$B946-$C946-$D946</f>
        <v/>
      </c>
      <c r="F946" s="118">
        <f>KarsilikAyBasiKasa+SUM($E$6:E946)</f>
        <v/>
      </c>
      <c r="G946" s="120">
        <f>IF($F946&lt;KarsilikNakitEsigi,"EVET","HAYIR")</f>
        <v/>
      </c>
    </row>
    <row r="947" ht="15" customHeight="1" s="68">
      <c r="D947" s="120">
        <f>ROUND($B947*KarliyukNakitKarliikOrani,0)</f>
        <v/>
      </c>
      <c r="E947" s="120">
        <f>$B947-$C947-$D947</f>
        <v/>
      </c>
      <c r="F947" s="118">
        <f>KarsilikAyBasiKasa+SUM($E$6:E947)</f>
        <v/>
      </c>
      <c r="G947" s="120">
        <f>IF($F947&lt;KarsilikNakitEsigi,"EVET","HAYIR")</f>
        <v/>
      </c>
    </row>
    <row r="948" ht="15" customHeight="1" s="68">
      <c r="D948" s="120">
        <f>ROUND($B948*KarliyukNakitKarliikOrani,0)</f>
        <v/>
      </c>
      <c r="E948" s="120">
        <f>$B948-$C948-$D948</f>
        <v/>
      </c>
      <c r="F948" s="118">
        <f>KarsilikAyBasiKasa+SUM($E$6:E948)</f>
        <v/>
      </c>
      <c r="G948" s="120">
        <f>IF($F948&lt;KarsilikNakitEsigi,"EVET","HAYIR")</f>
        <v/>
      </c>
    </row>
    <row r="949" ht="15" customHeight="1" s="68">
      <c r="D949" s="120">
        <f>ROUND($B949*KarliyukNakitKarliikOrani,0)</f>
        <v/>
      </c>
      <c r="E949" s="120">
        <f>$B949-$C949-$D949</f>
        <v/>
      </c>
      <c r="F949" s="118">
        <f>KarsilikAyBasiKasa+SUM($E$6:E949)</f>
        <v/>
      </c>
      <c r="G949" s="120">
        <f>IF($F949&lt;KarsilikNakitEsigi,"EVET","HAYIR")</f>
        <v/>
      </c>
    </row>
    <row r="950" ht="15" customHeight="1" s="68">
      <c r="D950" s="120">
        <f>ROUND($B950*KarliyukNakitKarliikOrani,0)</f>
        <v/>
      </c>
      <c r="E950" s="120">
        <f>$B950-$C950-$D950</f>
        <v/>
      </c>
      <c r="F950" s="118">
        <f>KarsilikAyBasiKasa+SUM($E$6:E950)</f>
        <v/>
      </c>
      <c r="G950" s="120">
        <f>IF($F950&lt;KarsilikNakitEsigi,"EVET","HAYIR")</f>
        <v/>
      </c>
    </row>
    <row r="951" ht="15" customHeight="1" s="68">
      <c r="D951" s="120">
        <f>ROUND($B951*KarliyukNakitKarliikOrani,0)</f>
        <v/>
      </c>
      <c r="E951" s="120">
        <f>$B951-$C951-$D951</f>
        <v/>
      </c>
      <c r="F951" s="118">
        <f>KarsilikAyBasiKasa+SUM($E$6:E951)</f>
        <v/>
      </c>
      <c r="G951" s="120">
        <f>IF($F951&lt;KarsilikNakitEsigi,"EVET","HAYIR")</f>
        <v/>
      </c>
    </row>
    <row r="952" ht="15" customHeight="1" s="68">
      <c r="D952" s="120">
        <f>ROUND($B952*KarliyukNakitKarliikOrani,0)</f>
        <v/>
      </c>
      <c r="E952" s="120">
        <f>$B952-$C952-$D952</f>
        <v/>
      </c>
      <c r="F952" s="118">
        <f>KarsilikAyBasiKasa+SUM($E$6:E952)</f>
        <v/>
      </c>
      <c r="G952" s="120">
        <f>IF($F952&lt;KarsilikNakitEsigi,"EVET","HAYIR")</f>
        <v/>
      </c>
    </row>
    <row r="953" ht="15" customHeight="1" s="68">
      <c r="D953" s="120">
        <f>ROUND($B953*KarliyukNakitKarliikOrani,0)</f>
        <v/>
      </c>
      <c r="E953" s="120">
        <f>$B953-$C953-$D953</f>
        <v/>
      </c>
      <c r="F953" s="118">
        <f>KarsilikAyBasiKasa+SUM($E$6:E953)</f>
        <v/>
      </c>
      <c r="G953" s="120">
        <f>IF($F953&lt;KarsilikNakitEsigi,"EVET","HAYIR")</f>
        <v/>
      </c>
    </row>
    <row r="954" ht="15" customHeight="1" s="68">
      <c r="D954" s="120">
        <f>ROUND($B954*KarliyukNakitKarliikOrani,0)</f>
        <v/>
      </c>
      <c r="E954" s="120">
        <f>$B954-$C954-$D954</f>
        <v/>
      </c>
      <c r="F954" s="118">
        <f>KarsilikAyBasiKasa+SUM($E$6:E954)</f>
        <v/>
      </c>
      <c r="G954" s="120">
        <f>IF($F954&lt;KarsilikNakitEsigi,"EVET","HAYIR")</f>
        <v/>
      </c>
    </row>
    <row r="955" ht="15" customHeight="1" s="68">
      <c r="D955" s="120">
        <f>ROUND($B955*KarliyukNakitKarliikOrani,0)</f>
        <v/>
      </c>
      <c r="E955" s="120">
        <f>$B955-$C955-$D955</f>
        <v/>
      </c>
      <c r="F955" s="118">
        <f>KarsilikAyBasiKasa+SUM($E$6:E955)</f>
        <v/>
      </c>
      <c r="G955" s="120">
        <f>IF($F955&lt;KarsilikNakitEsigi,"EVET","HAYIR")</f>
        <v/>
      </c>
    </row>
    <row r="956" ht="15" customHeight="1" s="68">
      <c r="D956" s="120">
        <f>ROUND($B956*KarliyukNakitKarliikOrani,0)</f>
        <v/>
      </c>
      <c r="E956" s="120">
        <f>$B956-$C956-$D956</f>
        <v/>
      </c>
      <c r="F956" s="118">
        <f>KarsilikAyBasiKasa+SUM($E$6:E956)</f>
        <v/>
      </c>
      <c r="G956" s="120">
        <f>IF($F956&lt;KarsilikNakitEsigi,"EVET","HAYIR")</f>
        <v/>
      </c>
    </row>
    <row r="957" ht="15" customHeight="1" s="68">
      <c r="D957" s="120">
        <f>ROUND($B957*KarliyukNakitKarliikOrani,0)</f>
        <v/>
      </c>
      <c r="E957" s="120">
        <f>$B957-$C957-$D957</f>
        <v/>
      </c>
      <c r="F957" s="118">
        <f>KarsilikAyBasiKasa+SUM($E$6:E957)</f>
        <v/>
      </c>
      <c r="G957" s="120">
        <f>IF($F957&lt;KarsilikNakitEsigi,"EVET","HAYIR")</f>
        <v/>
      </c>
    </row>
    <row r="958" ht="15" customHeight="1" s="68">
      <c r="D958" s="120">
        <f>ROUND($B958*KarliyukNakitKarliikOrani,0)</f>
        <v/>
      </c>
      <c r="E958" s="120">
        <f>$B958-$C958-$D958</f>
        <v/>
      </c>
      <c r="F958" s="118">
        <f>KarsilikAyBasiKasa+SUM($E$6:E958)</f>
        <v/>
      </c>
      <c r="G958" s="120">
        <f>IF($F958&lt;KarsilikNakitEsigi,"EVET","HAYIR")</f>
        <v/>
      </c>
    </row>
    <row r="959" ht="15" customHeight="1" s="68">
      <c r="D959" s="120">
        <f>ROUND($B959*KarliyukNakitKarliikOrani,0)</f>
        <v/>
      </c>
      <c r="E959" s="120">
        <f>$B959-$C959-$D959</f>
        <v/>
      </c>
      <c r="F959" s="118">
        <f>KarsilikAyBasiKasa+SUM($E$6:E959)</f>
        <v/>
      </c>
      <c r="G959" s="120">
        <f>IF($F959&lt;KarsilikNakitEsigi,"EVET","HAYIR")</f>
        <v/>
      </c>
    </row>
    <row r="960" ht="15" customHeight="1" s="68">
      <c r="D960" s="120">
        <f>ROUND($B960*KarliyukNakitKarliikOrani,0)</f>
        <v/>
      </c>
      <c r="E960" s="120">
        <f>$B960-$C960-$D960</f>
        <v/>
      </c>
      <c r="F960" s="118">
        <f>KarsilikAyBasiKasa+SUM($E$6:E960)</f>
        <v/>
      </c>
      <c r="G960" s="120">
        <f>IF($F960&lt;KarsilikNakitEsigi,"EVET","HAYIR")</f>
        <v/>
      </c>
    </row>
    <row r="961" ht="15" customHeight="1" s="68">
      <c r="D961" s="120">
        <f>ROUND($B961*KarliyukNakitKarliikOrani,0)</f>
        <v/>
      </c>
      <c r="E961" s="120">
        <f>$B961-$C961-$D961</f>
        <v/>
      </c>
      <c r="F961" s="118">
        <f>KarsilikAyBasiKasa+SUM($E$6:E961)</f>
        <v/>
      </c>
      <c r="G961" s="120">
        <f>IF($F961&lt;KarsilikNakitEsigi,"EVET","HAYIR")</f>
        <v/>
      </c>
    </row>
    <row r="962" ht="15" customHeight="1" s="68">
      <c r="D962" s="120">
        <f>ROUND($B962*KarliyukNakitKarliikOrani,0)</f>
        <v/>
      </c>
      <c r="E962" s="120">
        <f>$B962-$C962-$D962</f>
        <v/>
      </c>
      <c r="F962" s="118">
        <f>KarsilikAyBasiKasa+SUM($E$6:E962)</f>
        <v/>
      </c>
      <c r="G962" s="120">
        <f>IF($F962&lt;KarsilikNakitEsigi,"EVET","HAYIR")</f>
        <v/>
      </c>
    </row>
    <row r="963" ht="15" customHeight="1" s="68">
      <c r="D963" s="120">
        <f>ROUND($B963*KarliyukNakitKarliikOrani,0)</f>
        <v/>
      </c>
      <c r="E963" s="120">
        <f>$B963-$C963-$D963</f>
        <v/>
      </c>
      <c r="F963" s="118">
        <f>KarsilikAyBasiKasa+SUM($E$6:E963)</f>
        <v/>
      </c>
      <c r="G963" s="120">
        <f>IF($F963&lt;KarsilikNakitEsigi,"EVET","HAYIR")</f>
        <v/>
      </c>
    </row>
    <row r="964" ht="15" customHeight="1" s="68">
      <c r="D964" s="120">
        <f>ROUND($B964*KarliyukNakitKarliikOrani,0)</f>
        <v/>
      </c>
      <c r="E964" s="120">
        <f>$B964-$C964-$D964</f>
        <v/>
      </c>
      <c r="F964" s="118">
        <f>KarsilikAyBasiKasa+SUM($E$6:E964)</f>
        <v/>
      </c>
      <c r="G964" s="120">
        <f>IF($F964&lt;KarsilikNakitEsigi,"EVET","HAYIR")</f>
        <v/>
      </c>
    </row>
    <row r="965" ht="15" customHeight="1" s="68">
      <c r="D965" s="120">
        <f>ROUND($B965*KarliyukNakitKarliikOrani,0)</f>
        <v/>
      </c>
      <c r="E965" s="120">
        <f>$B965-$C965-$D965</f>
        <v/>
      </c>
      <c r="F965" s="118">
        <f>KarsilikAyBasiKasa+SUM($E$6:E965)</f>
        <v/>
      </c>
      <c r="G965" s="120">
        <f>IF($F965&lt;KarsilikNakitEsigi,"EVET","HAYIR")</f>
        <v/>
      </c>
    </row>
    <row r="966" ht="15" customHeight="1" s="68">
      <c r="D966" s="120">
        <f>ROUND($B966*KarliyukNakitKarliikOrani,0)</f>
        <v/>
      </c>
      <c r="E966" s="120">
        <f>$B966-$C966-$D966</f>
        <v/>
      </c>
      <c r="F966" s="118">
        <f>KarsilikAyBasiKasa+SUM($E$6:E966)</f>
        <v/>
      </c>
      <c r="G966" s="120">
        <f>IF($F966&lt;KarsilikNakitEsigi,"EVET","HAYIR")</f>
        <v/>
      </c>
    </row>
    <row r="967" ht="15" customHeight="1" s="68">
      <c r="D967" s="120">
        <f>ROUND($B967*KarliyukNakitKarliikOrani,0)</f>
        <v/>
      </c>
      <c r="E967" s="120">
        <f>$B967-$C967-$D967</f>
        <v/>
      </c>
      <c r="F967" s="118">
        <f>KarsilikAyBasiKasa+SUM($E$6:E967)</f>
        <v/>
      </c>
      <c r="G967" s="120">
        <f>IF($F967&lt;KarsilikNakitEsigi,"EVET","HAYIR")</f>
        <v/>
      </c>
    </row>
    <row r="968" ht="15" customHeight="1" s="68">
      <c r="D968" s="120">
        <f>ROUND($B968*KarliyukNakitKarliikOrani,0)</f>
        <v/>
      </c>
      <c r="E968" s="120">
        <f>$B968-$C968-$D968</f>
        <v/>
      </c>
      <c r="F968" s="118">
        <f>KarsilikAyBasiKasa+SUM($E$6:E968)</f>
        <v/>
      </c>
      <c r="G968" s="120">
        <f>IF($F968&lt;KarsilikNakitEsigi,"EVET","HAYIR")</f>
        <v/>
      </c>
    </row>
    <row r="969" ht="15" customHeight="1" s="68">
      <c r="D969" s="120">
        <f>ROUND($B969*KarliyukNakitKarliikOrani,0)</f>
        <v/>
      </c>
      <c r="E969" s="120">
        <f>$B969-$C969-$D969</f>
        <v/>
      </c>
      <c r="F969" s="118">
        <f>KarsilikAyBasiKasa+SUM($E$6:E969)</f>
        <v/>
      </c>
      <c r="G969" s="120">
        <f>IF($F969&lt;KarsilikNakitEsigi,"EVET","HAYIR")</f>
        <v/>
      </c>
    </row>
    <row r="970" ht="15" customHeight="1" s="68">
      <c r="D970" s="120">
        <f>ROUND($B970*KarliyukNakitKarliikOrani,0)</f>
        <v/>
      </c>
      <c r="E970" s="120">
        <f>$B970-$C970-$D970</f>
        <v/>
      </c>
      <c r="F970" s="118">
        <f>KarsilikAyBasiKasa+SUM($E$6:E970)</f>
        <v/>
      </c>
      <c r="G970" s="120">
        <f>IF($F970&lt;KarsilikNakitEsigi,"EVET","HAYIR")</f>
        <v/>
      </c>
    </row>
    <row r="971" ht="15" customHeight="1" s="68">
      <c r="D971" s="120">
        <f>ROUND($B971*KarliyukNakitKarliikOrani,0)</f>
        <v/>
      </c>
      <c r="E971" s="120">
        <f>$B971-$C971-$D971</f>
        <v/>
      </c>
      <c r="F971" s="118">
        <f>KarsilikAyBasiKasa+SUM($E$6:E971)</f>
        <v/>
      </c>
      <c r="G971" s="120">
        <f>IF($F971&lt;KarsilikNakitEsigi,"EVET","HAYIR")</f>
        <v/>
      </c>
    </row>
    <row r="972" ht="15" customHeight="1" s="68">
      <c r="D972" s="120">
        <f>ROUND($B972*KarliyukNakitKarliikOrani,0)</f>
        <v/>
      </c>
      <c r="E972" s="120">
        <f>$B972-$C972-$D972</f>
        <v/>
      </c>
      <c r="F972" s="118">
        <f>KarsilikAyBasiKasa+SUM($E$6:E972)</f>
        <v/>
      </c>
      <c r="G972" s="120">
        <f>IF($F972&lt;KarsilikNakitEsigi,"EVET","HAYIR")</f>
        <v/>
      </c>
    </row>
    <row r="973" ht="15" customHeight="1" s="68">
      <c r="D973" s="120">
        <f>ROUND($B973*KarliyukNakitKarliikOrani,0)</f>
        <v/>
      </c>
      <c r="E973" s="120">
        <f>$B973-$C973-$D973</f>
        <v/>
      </c>
      <c r="F973" s="118">
        <f>KarsilikAyBasiKasa+SUM($E$6:E973)</f>
        <v/>
      </c>
      <c r="G973" s="120">
        <f>IF($F973&lt;KarsilikNakitEsigi,"EVET","HAYIR")</f>
        <v/>
      </c>
    </row>
    <row r="974" ht="15" customHeight="1" s="68">
      <c r="D974" s="120">
        <f>ROUND($B974*KarliyukNakitKarliikOrani,0)</f>
        <v/>
      </c>
      <c r="E974" s="120">
        <f>$B974-$C974-$D974</f>
        <v/>
      </c>
      <c r="F974" s="118">
        <f>KarsilikAyBasiKasa+SUM($E$6:E974)</f>
        <v/>
      </c>
      <c r="G974" s="120">
        <f>IF($F974&lt;KarsilikNakitEsigi,"EVET","HAYIR")</f>
        <v/>
      </c>
    </row>
    <row r="975" ht="15" customHeight="1" s="68">
      <c r="D975" s="120">
        <f>ROUND($B975*KarliyukNakitKarliikOrani,0)</f>
        <v/>
      </c>
      <c r="E975" s="120">
        <f>$B975-$C975-$D975</f>
        <v/>
      </c>
      <c r="F975" s="118">
        <f>KarsilikAyBasiKasa+SUM($E$6:E975)</f>
        <v/>
      </c>
      <c r="G975" s="120">
        <f>IF($F975&lt;KarsilikNakitEsigi,"EVET","HAYIR")</f>
        <v/>
      </c>
    </row>
    <row r="976" ht="15" customHeight="1" s="68">
      <c r="D976" s="120">
        <f>ROUND($B976*KarliyukNakitKarliikOrani,0)</f>
        <v/>
      </c>
      <c r="E976" s="120">
        <f>$B976-$C976-$D976</f>
        <v/>
      </c>
      <c r="F976" s="118">
        <f>KarsilikAyBasiKasa+SUM($E$6:E976)</f>
        <v/>
      </c>
      <c r="G976" s="120">
        <f>IF($F976&lt;KarsilikNakitEsigi,"EVET","HAYIR")</f>
        <v/>
      </c>
    </row>
    <row r="977" ht="15" customHeight="1" s="68">
      <c r="D977" s="120">
        <f>ROUND($B977*KarliyukNakitKarliikOrani,0)</f>
        <v/>
      </c>
      <c r="E977" s="120">
        <f>$B977-$C977-$D977</f>
        <v/>
      </c>
      <c r="F977" s="118">
        <f>KarsilikAyBasiKasa+SUM($E$6:E977)</f>
        <v/>
      </c>
      <c r="G977" s="120">
        <f>IF($F977&lt;KarsilikNakitEsigi,"EVET","HAYIR")</f>
        <v/>
      </c>
    </row>
    <row r="978" ht="15" customHeight="1" s="68">
      <c r="D978" s="120">
        <f>ROUND($B978*KarliyukNakitKarliikOrani,0)</f>
        <v/>
      </c>
      <c r="E978" s="120">
        <f>$B978-$C978-$D978</f>
        <v/>
      </c>
      <c r="F978" s="118">
        <f>KarsilikAyBasiKasa+SUM($E$6:E978)</f>
        <v/>
      </c>
      <c r="G978" s="120">
        <f>IF($F978&lt;KarsilikNakitEsigi,"EVET","HAYIR")</f>
        <v/>
      </c>
    </row>
    <row r="979" ht="15" customHeight="1" s="68">
      <c r="D979" s="120">
        <f>ROUND($B979*KarliyukNakitKarliikOrani,0)</f>
        <v/>
      </c>
      <c r="E979" s="120">
        <f>$B979-$C979-$D979</f>
        <v/>
      </c>
      <c r="F979" s="118">
        <f>KarsilikAyBasiKasa+SUM($E$6:E979)</f>
        <v/>
      </c>
      <c r="G979" s="120">
        <f>IF($F979&lt;KarsilikNakitEsigi,"EVET","HAYIR")</f>
        <v/>
      </c>
    </row>
    <row r="980" ht="15" customHeight="1" s="68">
      <c r="D980" s="120">
        <f>ROUND($B980*KarliyukNakitKarliikOrani,0)</f>
        <v/>
      </c>
      <c r="E980" s="120">
        <f>$B980-$C980-$D980</f>
        <v/>
      </c>
      <c r="F980" s="118">
        <f>KarsilikAyBasiKasa+SUM($E$6:E980)</f>
        <v/>
      </c>
      <c r="G980" s="120">
        <f>IF($F980&lt;KarsilikNakitEsigi,"EVET","HAYIR")</f>
        <v/>
      </c>
    </row>
    <row r="981" ht="15" customHeight="1" s="68">
      <c r="D981" s="120">
        <f>ROUND($B981*KarliyukNakitKarliikOrani,0)</f>
        <v/>
      </c>
      <c r="E981" s="120">
        <f>$B981-$C981-$D981</f>
        <v/>
      </c>
      <c r="F981" s="118">
        <f>KarsilikAyBasiKasa+SUM($E$6:E981)</f>
        <v/>
      </c>
      <c r="G981" s="120">
        <f>IF($F981&lt;KarsilikNakitEsigi,"EVET","HAYIR")</f>
        <v/>
      </c>
    </row>
    <row r="982" ht="15" customHeight="1" s="68">
      <c r="D982" s="120">
        <f>ROUND($B982*KarliyukNakitKarliikOrani,0)</f>
        <v/>
      </c>
      <c r="E982" s="120">
        <f>$B982-$C982-$D982</f>
        <v/>
      </c>
      <c r="F982" s="118">
        <f>KarsilikAyBasiKasa+SUM($E$6:E982)</f>
        <v/>
      </c>
      <c r="G982" s="120">
        <f>IF($F982&lt;KarsilikNakitEsigi,"EVET","HAYIR")</f>
        <v/>
      </c>
    </row>
    <row r="983" ht="15" customHeight="1" s="68">
      <c r="D983" s="120">
        <f>ROUND($B983*KarliyukNakitKarliikOrani,0)</f>
        <v/>
      </c>
      <c r="E983" s="120">
        <f>$B983-$C983-$D983</f>
        <v/>
      </c>
      <c r="F983" s="118">
        <f>KarsilikAyBasiKasa+SUM($E$6:E983)</f>
        <v/>
      </c>
      <c r="G983" s="120">
        <f>IF($F983&lt;KarsilikNakitEsigi,"EVET","HAYIR")</f>
        <v/>
      </c>
    </row>
    <row r="984" ht="15" customHeight="1" s="68">
      <c r="D984" s="120">
        <f>ROUND($B984*KarliyukNakitKarliikOrani,0)</f>
        <v/>
      </c>
      <c r="E984" s="120">
        <f>$B984-$C984-$D984</f>
        <v/>
      </c>
      <c r="F984" s="118">
        <f>KarsilikAyBasiKasa+SUM($E$6:E984)</f>
        <v/>
      </c>
      <c r="G984" s="120">
        <f>IF($F984&lt;KarsilikNakitEsigi,"EVET","HAYIR")</f>
        <v/>
      </c>
    </row>
    <row r="985" ht="15" customHeight="1" s="68">
      <c r="D985" s="120">
        <f>ROUND($B985*KarliyukNakitKarliikOrani,0)</f>
        <v/>
      </c>
      <c r="E985" s="120">
        <f>$B985-$C985-$D985</f>
        <v/>
      </c>
      <c r="F985" s="118">
        <f>KarsilikAyBasiKasa+SUM($E$6:E985)</f>
        <v/>
      </c>
      <c r="G985" s="120">
        <f>IF($F985&lt;KarsilikNakitEsigi,"EVET","HAYIR")</f>
        <v/>
      </c>
    </row>
    <row r="986" ht="15" customHeight="1" s="68">
      <c r="D986" s="120">
        <f>ROUND($B986*KarliyukNakitKarliikOrani,0)</f>
        <v/>
      </c>
      <c r="E986" s="120">
        <f>$B986-$C986-$D986</f>
        <v/>
      </c>
      <c r="F986" s="118">
        <f>KarsilikAyBasiKasa+SUM($E$6:E986)</f>
        <v/>
      </c>
      <c r="G986" s="120">
        <f>IF($F986&lt;KarsilikNakitEsigi,"EVET","HAYIR")</f>
        <v/>
      </c>
    </row>
    <row r="987" ht="15" customHeight="1" s="68">
      <c r="D987" s="120">
        <f>ROUND($B987*KarliyukNakitKarliikOrani,0)</f>
        <v/>
      </c>
      <c r="E987" s="120">
        <f>$B987-$C987-$D987</f>
        <v/>
      </c>
      <c r="F987" s="118">
        <f>KarsilikAyBasiKasa+SUM($E$6:E987)</f>
        <v/>
      </c>
      <c r="G987" s="120">
        <f>IF($F987&lt;KarsilikNakitEsigi,"EVET","HAYIR")</f>
        <v/>
      </c>
    </row>
    <row r="988" ht="15" customHeight="1" s="68">
      <c r="D988" s="120">
        <f>ROUND($B988*KarliyukNakitKarliikOrani,0)</f>
        <v/>
      </c>
      <c r="E988" s="120">
        <f>$B988-$C988-$D988</f>
        <v/>
      </c>
      <c r="F988" s="118">
        <f>KarsilikAyBasiKasa+SUM($E$6:E988)</f>
        <v/>
      </c>
      <c r="G988" s="120">
        <f>IF($F988&lt;KarsilikNakitEsigi,"EVET","HAYIR")</f>
        <v/>
      </c>
    </row>
    <row r="989" ht="15" customHeight="1" s="68">
      <c r="D989" s="120">
        <f>ROUND($B989*KarliyukNakitKarliikOrani,0)</f>
        <v/>
      </c>
      <c r="E989" s="120">
        <f>$B989-$C989-$D989</f>
        <v/>
      </c>
      <c r="F989" s="118">
        <f>KarsilikAyBasiKasa+SUM($E$6:E989)</f>
        <v/>
      </c>
      <c r="G989" s="120">
        <f>IF($F989&lt;KarsilikNakitEsigi,"EVET","HAYIR")</f>
        <v/>
      </c>
    </row>
    <row r="990" ht="15" customHeight="1" s="68">
      <c r="D990" s="120">
        <f>ROUND($B990*KarliyukNakitKarliikOrani,0)</f>
        <v/>
      </c>
      <c r="E990" s="120">
        <f>$B990-$C990-$D990</f>
        <v/>
      </c>
      <c r="F990" s="118">
        <f>KarsilikAyBasiKasa+SUM($E$6:E990)</f>
        <v/>
      </c>
      <c r="G990" s="120">
        <f>IF($F990&lt;KarsilikNakitEsigi,"EVET","HAYIR")</f>
        <v/>
      </c>
    </row>
    <row r="991" ht="15" customHeight="1" s="68">
      <c r="D991" s="120">
        <f>ROUND($B991*KarliyukNakitKarliikOrani,0)</f>
        <v/>
      </c>
      <c r="E991" s="120">
        <f>$B991-$C991-$D991</f>
        <v/>
      </c>
      <c r="F991" s="118">
        <f>KarsilikAyBasiKasa+SUM($E$6:E991)</f>
        <v/>
      </c>
      <c r="G991" s="120">
        <f>IF($F991&lt;KarsilikNakitEsigi,"EVET","HAYIR")</f>
        <v/>
      </c>
    </row>
    <row r="992" ht="15" customHeight="1" s="68">
      <c r="D992" s="120">
        <f>ROUND($B992*KarliyukNakitKarliikOrani,0)</f>
        <v/>
      </c>
      <c r="E992" s="120">
        <f>$B992-$C992-$D992</f>
        <v/>
      </c>
      <c r="F992" s="118">
        <f>KarsilikAyBasiKasa+SUM($E$6:E992)</f>
        <v/>
      </c>
      <c r="G992" s="120">
        <f>IF($F992&lt;KarsilikNakitEsigi,"EVET","HAYIR")</f>
        <v/>
      </c>
    </row>
    <row r="993" ht="15" customHeight="1" s="68">
      <c r="D993" s="120">
        <f>ROUND($B993*KarliyukNakitKarliikOrani,0)</f>
        <v/>
      </c>
      <c r="E993" s="120">
        <f>$B993-$C993-$D993</f>
        <v/>
      </c>
      <c r="F993" s="118">
        <f>KarsilikAyBasiKasa+SUM($E$6:E993)</f>
        <v/>
      </c>
      <c r="G993" s="120">
        <f>IF($F993&lt;KarsilikNakitEsigi,"EVET","HAYIR")</f>
        <v/>
      </c>
    </row>
    <row r="994" ht="15" customHeight="1" s="68">
      <c r="D994" s="120">
        <f>ROUND($B994*KarliyukNakitKarliikOrani,0)</f>
        <v/>
      </c>
      <c r="E994" s="120">
        <f>$B994-$C994-$D994</f>
        <v/>
      </c>
      <c r="F994" s="118">
        <f>KarsilikAyBasiKasa+SUM($E$6:E994)</f>
        <v/>
      </c>
      <c r="G994" s="120">
        <f>IF($F994&lt;KarsilikNakitEsigi,"EVET","HAYIR")</f>
        <v/>
      </c>
    </row>
    <row r="995" ht="15" customHeight="1" s="68">
      <c r="D995" s="120">
        <f>ROUND($B995*KarliyukNakitKarliikOrani,0)</f>
        <v/>
      </c>
      <c r="E995" s="120">
        <f>$B995-$C995-$D995</f>
        <v/>
      </c>
      <c r="F995" s="118">
        <f>KarsilikAyBasiKasa+SUM($E$6:E995)</f>
        <v/>
      </c>
      <c r="G995" s="120">
        <f>IF($F995&lt;KarsilikNakitEsigi,"EVET","HAYIR")</f>
        <v/>
      </c>
    </row>
    <row r="996" ht="15" customHeight="1" s="68">
      <c r="D996" s="120">
        <f>ROUND($B996*KarliyukNakitKarliikOrani,0)</f>
        <v/>
      </c>
      <c r="E996" s="120">
        <f>$B996-$C996-$D996</f>
        <v/>
      </c>
      <c r="F996" s="118">
        <f>KarsilikAyBasiKasa+SUM($E$6:E996)</f>
        <v/>
      </c>
      <c r="G996" s="120">
        <f>IF($F996&lt;KarsilikNakitEsigi,"EVET","HAYIR")</f>
        <v/>
      </c>
    </row>
    <row r="997" ht="15" customHeight="1" s="68">
      <c r="D997" s="120">
        <f>ROUND($B997*KarliyukNakitKarliikOrani,0)</f>
        <v/>
      </c>
      <c r="E997" s="120">
        <f>$B997-$C997-$D997</f>
        <v/>
      </c>
      <c r="F997" s="118">
        <f>KarsilikAyBasiKasa+SUM($E$6:E997)</f>
        <v/>
      </c>
      <c r="G997" s="120">
        <f>IF($F997&lt;KarsilikNakitEsigi,"EVET","HAYIR")</f>
        <v/>
      </c>
    </row>
    <row r="998" ht="15" customHeight="1" s="68">
      <c r="D998" s="120">
        <f>ROUND($B998*KarliyukNakitKarliikOrani,0)</f>
        <v/>
      </c>
      <c r="E998" s="120">
        <f>$B998-$C998-$D998</f>
        <v/>
      </c>
      <c r="F998" s="118">
        <f>KarsilikAyBasiKasa+SUM($E$6:E998)</f>
        <v/>
      </c>
      <c r="G998" s="120">
        <f>IF($F998&lt;KarsilikNakitEsigi,"EVET","HAYIR")</f>
        <v/>
      </c>
    </row>
    <row r="999" ht="15" customHeight="1" s="68">
      <c r="D999" s="120">
        <f>ROUND($B999*KarliyukNakitKarliikOrani,0)</f>
        <v/>
      </c>
      <c r="E999" s="120">
        <f>$B999-$C999-$D999</f>
        <v/>
      </c>
      <c r="F999" s="118">
        <f>KarsilikAyBasiKasa+SUM($E$6:E999)</f>
        <v/>
      </c>
      <c r="G999" s="120">
        <f>IF($F999&lt;KarsilikNakitEsigi,"EVET","HAYIR")</f>
        <v/>
      </c>
    </row>
    <row r="1000" ht="15" customHeight="1" s="68">
      <c r="D1000" s="120">
        <f>ROUND($B1000*KarliyukNakitKarliikOrani,0)</f>
        <v/>
      </c>
      <c r="E1000" s="120">
        <f>$B1000-$C1000-$D1000</f>
        <v/>
      </c>
      <c r="F1000" s="118">
        <f>KarsilikAyBasiKasa+SUM($E$6:E1000)</f>
        <v/>
      </c>
      <c r="G1000" s="120">
        <f>IF($F1000&lt;KarsilikNakitEsigi,"EVET","HAYIR")</f>
        <v/>
      </c>
    </row>
    <row r="1001" ht="15" customHeight="1" s="68">
      <c r="D1001" s="120">
        <f>ROUND($B1001*KarliyukNakitKarliikOrani,0)</f>
        <v/>
      </c>
      <c r="E1001" s="120">
        <f>$B1001-$C1001-$D1001</f>
        <v/>
      </c>
      <c r="F1001" s="118">
        <f>KarsilikAyBasiKasa+SUM($E$6:E1001)</f>
        <v/>
      </c>
      <c r="G1001" s="120">
        <f>IF($F1001&lt;KarsilikNakitEsigi,"EVET","HAYIR")</f>
        <v/>
      </c>
    </row>
    <row r="1002" ht="15" customHeight="1" s="68">
      <c r="D1002" s="120">
        <f>ROUND($B1002*KarliyukNakitKarliikOrani,0)</f>
        <v/>
      </c>
      <c r="E1002" s="120">
        <f>$B1002-$C1002-$D1002</f>
        <v/>
      </c>
      <c r="F1002" s="118">
        <f>KarsilikAyBasiKasa+SUM($E$6:E1002)</f>
        <v/>
      </c>
      <c r="G1002" s="120">
        <f>IF($F1002&lt;KarsilikNakitEsigi,"EVET","HAYIR")</f>
        <v/>
      </c>
    </row>
    <row r="1003" ht="15" customHeight="1" s="68">
      <c r="D1003" s="120">
        <f>ROUND($B1003*KarliyukNakitKarliikOrani,0)</f>
        <v/>
      </c>
      <c r="E1003" s="120">
        <f>$B1003-$C1003-$D1003</f>
        <v/>
      </c>
      <c r="F1003" s="118">
        <f>KarsilikAyBasiKasa+SUM($E$6:E1003)</f>
        <v/>
      </c>
      <c r="G1003" s="120">
        <f>IF($F1003&lt;KarsilikNakitEsigi,"EVET","HAYIR")</f>
        <v/>
      </c>
    </row>
    <row r="1004" ht="15" customHeight="1" s="68">
      <c r="D1004" s="120">
        <f>ROUND($B1004*KarliyukNakitKarliikOrani,0)</f>
        <v/>
      </c>
      <c r="E1004" s="120">
        <f>$B1004-$C1004-$D1004</f>
        <v/>
      </c>
      <c r="F1004" s="118">
        <f>KarsilikAyBasiKasa+SUM($E$6:E1004)</f>
        <v/>
      </c>
      <c r="G1004" s="120">
        <f>IF($F1004&lt;KarsilikNakitEsigi,"EVET","HAYIR")</f>
        <v/>
      </c>
    </row>
    <row r="1005"/>
    <row r="1006" ht="19.5" customHeight="1" s="68">
      <c r="A1006" s="105" t="inlineStr">
        <is>
          <t>Dönem Karşılık Yükü, girişlerin ortalama karşılık oranıyla tahminlenir; eşik AYARLAR'dan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A1006:AN1006"/>
    <mergeCell ref="A1:H1"/>
  </mergeCells>
  <conditionalFormatting sqref="G6:G1004">
    <cfRule type="cellIs" rank="0" priority="2" equalAverage="0" operator="equal" aboveAverage="0" dxfId="10" text="" percent="0" bottom="0">
      <formula>"EVET"</formula>
    </cfRule>
  </conditionalFormatting>
  <conditionalFormatting sqref="F6:F1004">
    <cfRule type="cellIs" rank="0" priority="3" equalAverage="0" operator="lessThan" aboveAverage="0" dxfId="10" text="" percent="0" bottom="0">
      <formula>0</formula>
    </cfRule>
  </conditionalFormatting>
  <conditionalFormatting sqref="E6:E1004">
    <cfRule type="cellIs" rank="0" priority="4" equalAverage="0" operator="lessThan" aboveAverage="0" dxfId="7" text="" percent="0" bottom="0">
      <formula>0</formula>
    </cfRule>
  </conditionalFormatting>
  <dataValidations count="2">
    <dataValidation sqref="B6:B1004" showDropDown="0" showInputMessage="1" showErrorMessage="1" allowBlank="1" errorTitle="Hatalı giriş" error="Nakit girişi negatif olamaz." promptTitle="Nakit Girişi" prompt="Beklenen nakit girişini TL olarak girin." type="whole" errorStyle="stop" operator="greaterThanOrEqual">
      <formula1>0</formula1>
      <formula2>0</formula2>
    </dataValidation>
    <dataValidation sqref="C6:C1004" showDropDown="0" showInputMessage="1" showErrorMessage="1" allowBlank="1" errorTitle="Hatalı giriş" error="Nakit çıkışı negatif olamaz." promptTitle="Nakit Çıkışı" prompt="Beklenen nakit çıkışını TL olarak girin.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4" min="1" max="1"/>
    <col width="55" customWidth="1" style="94" min="2" max="2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KONTROLLER — VERGİ, SGK VE MAAŞ KARŞILIK AYIRMA SİSTEMİ</t>
        </is>
      </c>
    </row>
    <row r="2"/>
    <row r="3" ht="22" customHeight="1" s="68">
      <c r="A3" s="286" t="inlineStr">
        <is>
          <t>Giriş Kalite Kontrolleri</t>
        </is>
      </c>
    </row>
    <row r="4" ht="27.75" customHeight="1" s="68">
      <c r="A4" s="108" t="inlineStr">
        <is>
          <t>Aşağıdaki kontroller canlı formüllerle çalışır; sorun varsa uyarı üretir.</t>
        </is>
      </c>
    </row>
    <row r="5"/>
    <row r="6" ht="15" customHeight="1" s="68">
      <c r="A6" s="128" t="inlineStr">
        <is>
          <t>Boş gelir satırı var mı?</t>
        </is>
      </c>
      <c r="B6" s="123">
        <f>IF(COUNTBLANK(tblDonem[Gelir (₺)])=0,"TEMİZ","BOŞ VAR")</f>
        <v/>
      </c>
    </row>
    <row r="7" ht="15" customHeight="1" s="68">
      <c r="A7" s="128" t="inlineStr">
        <is>
          <t>Boş gider satırı var mı?</t>
        </is>
      </c>
      <c r="B7" s="123">
        <f>IF(COUNTBLANK(tblDonem[Gider (₺)])=0,"TEMİZ","BOŞ VAR")</f>
        <v/>
      </c>
    </row>
    <row r="8" ht="15" customHeight="1" s="68">
      <c r="A8" s="128" t="inlineStr">
        <is>
          <t>Negatif gelir var mı?</t>
        </is>
      </c>
      <c r="B8" s="123">
        <f>IF(COUNTIF(tblDonem[Gelir (₺)],"&lt;0")=0,"TEMİZ","NEGATİF VAR")</f>
        <v/>
      </c>
    </row>
    <row r="9" ht="15" customHeight="1" s="68">
      <c r="A9" s="128" t="inlineStr">
        <is>
          <t>KDV yüklenimi &gt; KDV tutarı olan ay var mı?</t>
        </is>
      </c>
      <c r="B9" s="123">
        <f>IF(SUMPRODUCT((tblDonem[[KDV Yüklenimi (₺)]]&gt;tblDonem[[KDV Tutarı (₺)]])*1)=0,"TEMİZ","FARK VAR")</f>
        <v/>
      </c>
    </row>
    <row r="10" ht="15" customHeight="1" s="68">
      <c r="A10" s="128" t="inlineStr">
        <is>
          <t>Boş brüt maaş satırı var mı?</t>
        </is>
      </c>
      <c r="B10" s="123">
        <f>IF(COUNTBLANK(tblBordro[Brüt Maaş (₺)])=0,"TEMİZ","BOŞ VAR")</f>
        <v/>
      </c>
    </row>
    <row r="11" ht="15" customHeight="1" s="68">
      <c r="A11" s="128" t="inlineStr">
        <is>
          <t>Negatif matrah farkı toplamı var mı?</t>
        </is>
      </c>
      <c r="B11" s="123">
        <f>IF(SUM(tblDonem[Matrah Farkı (₺)])&lt;0,"ZARAR","KÂR")</f>
        <v/>
      </c>
    </row>
    <row r="12" ht="15" customHeight="1" s="68">
      <c r="A12" s="128" t="inlineStr">
        <is>
          <t>Karşılık / Gelir oranı eşiği aşıyor mu?</t>
        </is>
      </c>
      <c r="B12" s="123">
        <f>IF(KarsilikGelirOrani&gt;KarliyukUstOran,"AŞIYOR","NORMAL")</f>
        <v/>
      </c>
    </row>
    <row r="13" ht="15" customHeight="1" s="68">
      <c r="A13" s="128" t="inlineStr">
        <is>
          <t>Kümülatif nakit eşik altına düşüyor mu?</t>
        </is>
      </c>
      <c r="B13" s="123">
        <f>IF(COUNTIF(tblProjeksiyon[Eşik Altı mı?],"EVET")=0,"GÜVENLİ","RİSK")</f>
        <v/>
      </c>
    </row>
    <row r="14"/>
    <row r="15" ht="15" customHeight="1" s="68">
      <c r="A15" s="115" t="inlineStr">
        <is>
          <t>Veri Kalitesi Skoru (0-100)</t>
        </is>
      </c>
    </row>
    <row r="16" ht="27.75" customHeight="1" s="68">
      <c r="A16" s="108" t="inlineStr">
        <is>
          <t>Boş ve negatif girişlerin oranına göre üretilen kalite skoru.</t>
        </is>
      </c>
    </row>
    <row r="17" ht="15" customHeight="1" s="68">
      <c r="A17" s="128" t="inlineStr">
        <is>
          <t>Toplam Giriş Hücresi</t>
        </is>
      </c>
      <c r="B17" s="125">
        <f>ROWS(tblDonem[Dönem])*GirisKolonDonem+ROWS(tblBordro[Çalışan])*GirisKolonBordro+ROWS(tblProjeksiyon[Ay Etiketi])*GirisKolonNakit+ROWS(tblAylikKarsilik[Dönem])*GirisKolonAylik</f>
        <v/>
      </c>
    </row>
    <row r="18" ht="15" customHeight="1" s="68">
      <c r="A18" s="128" t="inlineStr">
        <is>
          <t>Dolu Giriş Hücresi</t>
        </is>
      </c>
      <c r="B18" s="125">
        <f>COUNTA(tblDonem[Dönem])+COUNTA(tblDonem[Gelir (₺)])+COUNTA(tblDonem[Gider (₺)])+COUNTA(tblDonem[[KDV Yüklenimi (₺)]])+COUNTA(tblDonem[Not])+COUNTA(tblBordro[Çalışan])+COUNTA(tblBordro[Brüt Maaş (₺)])+COUNTA(tblBordro[Not])+COUNTA(tblProjeksiyon[Ay Etiketi])+COUNTA(tblProjeksiyon[[Beklenen Nakit Girişi (₺)]])+COUNTA(tblProjeksiyon[[Beklenen Nakit Çıkışı (₺)]])+COUNTA(tblProjeksiyon[Not])+COUNTA(tblAylikKarsilik[Dönem])</f>
        <v/>
      </c>
    </row>
    <row r="19" ht="15" customHeight="1" s="68">
      <c r="A19" s="129" t="inlineStr">
        <is>
          <t>Kalite Skoru</t>
        </is>
      </c>
      <c r="B19" s="130">
        <f>ROUND(IF(B17=0,0,B18/B17*100),0)</f>
        <v/>
      </c>
    </row>
    <row r="20" ht="15" customHeight="1" s="68">
      <c r="A20" s="128" t="inlineStr">
        <is>
          <t>Kalite Seviyesi</t>
        </is>
      </c>
      <c r="B20" s="123">
        <f>IF(KarsilikKaliteSkoru&gt;=KarsilikKaliteIyi,"YÜKSEK",IF(KarsilikKaliteSkoru&gt;=KarsilikKaliteOrta,"ORTA","DÜŞÜK"))</f>
        <v/>
      </c>
    </row>
    <row r="21"/>
    <row r="22" ht="19.5" customHeight="1" s="68">
      <c r="A22" s="105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2:AN22"/>
    <mergeCell ref="A3:I3"/>
  </mergeCells>
  <conditionalFormatting sqref="B6:B15">
    <cfRule type="cellIs" rank="0" priority="2" equalAverage="0" operator="equal" aboveAverage="0" dxfId="10" text="" percent="0" bottom="0">
      <formula>"BOŞ VAR"</formula>
    </cfRule>
    <cfRule type="cellIs" rank="0" priority="3" equalAverage="0" operator="equal" aboveAverage="0" dxfId="10" text="" percent="0" bottom="0">
      <formula>"NEGATİF VAR"</formula>
    </cfRule>
    <cfRule type="cellIs" rank="0" priority="4" equalAverage="0" operator="equal" aboveAverage="0" dxfId="10" text="" percent="0" bottom="0">
      <formula>"FARK VAR"</formula>
    </cfRule>
    <cfRule type="cellIs" rank="0" priority="5" equalAverage="0" operator="equal" aboveAverage="0" dxfId="10" text="" percent="0" bottom="0">
      <formula>"RİSK"</formula>
    </cfRule>
    <cfRule type="cellIs" rank="0" priority="6" equalAverage="0" operator="equal" aboveAverage="0" dxfId="7" text="" percent="0" bottom="0">
      <formula>"ZARAR"</formula>
    </cfRule>
    <cfRule type="cellIs" rank="0" priority="7" equalAverage="0" operator="equal" aboveAverage="0" dxfId="7" text="" percent="0" bottom="0">
      <formula>"AŞIYOR"</formula>
    </cfRule>
    <cfRule type="cellIs" rank="0" priority="8" equalAverage="0" operator="equal" aboveAverage="0" dxfId="11" text="" percent="0" bottom="0">
      <formula>"TEMİZ"</formula>
    </cfRule>
    <cfRule type="cellIs" rank="0" priority="9" equalAverage="0" operator="equal" aboveAverage="0" dxfId="11" text="" percent="0" bottom="0">
      <formula>"GÜVENLİ"</formula>
    </cfRule>
    <cfRule type="cellIs" rank="0" priority="10" equalAverage="0" operator="equal" aboveAverage="0" dxfId="11" text="" percent="0" bottom="0">
      <formula>"KÂR"</formula>
    </cfRule>
    <cfRule type="cellIs" rank="0" priority="11" equalAverage="0" operator="equal" aboveAverage="0" dxfId="11" text="" percent="0" bottom="0">
      <formula>"NORMAL"</formula>
    </cfRule>
  </conditionalFormatting>
  <conditionalFormatting sqref="B19:B20">
    <cfRule type="cellIs" rank="0" priority="12" equalAverage="0" operator="lessThan" aboveAverage="0" dxfId="7" text="" percent="0" bottom="0">
      <formula>70</formula>
    </cfRule>
    <cfRule type="cellIs" rank="0" priority="13" equalAverage="0" operator="between" aboveAverage="0" dxfId="8" text="" percent="0" bottom="0">
      <formula>70</formula>
      <formula>90</formula>
    </cfRule>
    <cfRule type="cellIs" rank="0" priority="14" equalAverage="0" operator="greaterThanOrEqual" aboveAverage="0" dxfId="11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4" min="1" max="1"/>
    <col width="60" customWidth="1" style="94" min="2" max="2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KARAR — VERGİ, SGK VE MAAŞ KARŞILIK AYIRMA SİSTEMİ</t>
        </is>
      </c>
    </row>
    <row r="2"/>
    <row r="3" ht="22" customHeight="1" s="68">
      <c r="A3" s="286" t="inlineStr">
        <is>
          <t>Karar Kapısı — Karşılık Yeterliliği</t>
        </is>
      </c>
    </row>
    <row r="4" ht="27.75" customHeight="1" s="68">
      <c r="A4" s="108" t="inlineStr">
        <is>
          <t>Nakit fazlası, karşılık/gelir oranı ve eşik kontrolüne göre üretilen karar.</t>
        </is>
      </c>
    </row>
    <row r="5"/>
    <row r="6" ht="15" customHeight="1" s="68">
      <c r="A6" s="128" t="inlineStr">
        <is>
          <t>Karşılık Sonrası Nakit Fazlası</t>
        </is>
      </c>
      <c r="B6" s="131">
        <f>KarsilikNakitFazla</f>
        <v/>
      </c>
    </row>
    <row r="7" ht="15" customHeight="1" s="68">
      <c r="A7" s="128" t="inlineStr">
        <is>
          <t>Karşılık / Gelir Oranı</t>
        </is>
      </c>
      <c r="B7" s="119">
        <f>KarsilikGelirOrani</f>
        <v/>
      </c>
    </row>
    <row r="8" ht="15" customHeight="1" s="68">
      <c r="A8" s="128" t="inlineStr">
        <is>
          <t>Nakit Eşik Altı Ay Sayısı</t>
        </is>
      </c>
      <c r="B8" s="125">
        <f>COUNTIF(tblProjeksiyon[Eşik Altı mı?],"EVET")</f>
        <v/>
      </c>
    </row>
    <row r="9"/>
    <row r="10" ht="21" customHeight="1" s="68">
      <c r="A10" s="132" t="inlineStr">
        <is>
          <t>KARAR</t>
        </is>
      </c>
      <c r="B10" s="133">
        <f>IF(COUNT(tblDonem[Gelir (₺)])=0,"VERİ YOK",IF(KarsilikNakitFazla&lt;KarsilikZorunluEsik,"DURDUR",IF(KarsilikEskikAy&gt;0,"İNCELE","UYGUN")))</f>
        <v/>
      </c>
    </row>
    <row r="11" ht="15" customHeight="1" s="68">
      <c r="A11" s="129" t="inlineStr">
        <is>
          <t>Gerekçe</t>
        </is>
      </c>
      <c r="B11" s="124">
        <f>IF(KarsilikNakitFazla&lt;KarsilikZorunluEsik,"Karşılık sonrası nakit zorunlu eşiğin altında; ödeme planı revize edilmeli.","Gerekçe detayı: nakit fazlası AND eşik kontrolü uygun.")</f>
        <v/>
      </c>
    </row>
    <row r="12"/>
    <row r="13" ht="15" customHeight="1" s="68">
      <c r="A13" s="115" t="inlineStr">
        <is>
          <t>Önerilen Aksiyonlar</t>
        </is>
      </c>
    </row>
    <row r="14" ht="15" customHeight="1" s="68">
      <c r="A14" s="128" t="inlineStr">
        <is>
          <t>Aksiyon 1</t>
        </is>
      </c>
      <c r="B14" s="124">
        <f>Aksiyon1_ACIKLAMA</f>
        <v/>
      </c>
    </row>
    <row r="15" ht="15" customHeight="1" s="68">
      <c r="A15" s="128" t="inlineStr">
        <is>
          <t>Aksiyon 2</t>
        </is>
      </c>
      <c r="B15" s="124">
        <f>Aksiyon2_ACIKLAMA</f>
        <v/>
      </c>
    </row>
    <row r="16" ht="15" customHeight="1" s="68">
      <c r="A16" s="128" t="inlineStr">
        <is>
          <t>Aksiyon 3</t>
        </is>
      </c>
      <c r="B16" s="124">
        <f>Aksiyon3_ACIKLAMA</f>
        <v/>
      </c>
    </row>
    <row r="17"/>
    <row r="18" ht="19.5" customHeight="1" s="68">
      <c r="A18" s="105" t="inlineStr">
        <is>
          <t>Karar yalnızca giriş verisi ve AYARLAR'daki eşiklerden türetilir; kesin finansal tavsiye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B15:J15"/>
    <mergeCell ref="B11:J11"/>
    <mergeCell ref="A18:AN18"/>
    <mergeCell ref="B14:J14"/>
    <mergeCell ref="A1:I1"/>
    <mergeCell ref="A3:I3"/>
    <mergeCell ref="B16:J16"/>
  </mergeCells>
  <conditionalFormatting sqref="B10">
    <cfRule type="cellIs" rank="0" priority="2" equalAverage="0" operator="equal" aboveAverage="0" dxfId="12" text="" percent="0" bottom="0">
      <formula>"UYGUN"</formula>
    </cfRule>
    <cfRule type="cellIs" rank="0" priority="3" equalAverage="0" operator="equal" aboveAverage="0" dxfId="13" text="" percent="0" bottom="0">
      <formula>"İNCELE"</formula>
    </cfRule>
    <cfRule type="cellIs" rank="0" priority="4" equalAverage="0" operator="equal" aboveAverage="0" dxfId="10" text="" percent="0" bottom="0">
      <formula>"DURDUR"</formula>
    </cfRule>
  </conditionalFormatting>
  <conditionalFormatting sqref="B6:B8">
    <cfRule type="cellIs" rank="0" priority="5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4" min="1" max="1"/>
    <col width="30" customWidth="1" style="94" min="2" max="2"/>
    <col width="16" customWidth="1" style="94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SENARYO DUYARLILIK — VERGİ, SGK VE MAAŞ KARŞILIK AYIRMA SİSTEMİ</t>
        </is>
      </c>
    </row>
    <row r="2"/>
    <row r="3" ht="22" customHeight="1" s="68">
      <c r="A3" s="286" t="inlineStr">
        <is>
          <t>Senaryo ve Duyarlılık Analizi</t>
        </is>
      </c>
    </row>
    <row r="4" ht="41.25" customHeight="1" s="68">
      <c r="A4" s="108" t="inlineStr">
        <is>
          <t>İyimser, baz ve kötümser senaryolarda karşılık yükü; ardından hangi değişkenin sonucu en çok etkilediğini gösteren tornado analizi.</t>
        </is>
      </c>
    </row>
    <row r="5"/>
    <row r="6" ht="15" customHeight="1" s="68">
      <c r="A6" s="140" t="inlineStr">
        <is>
          <t>Senaryo</t>
        </is>
      </c>
      <c r="B6" s="140" t="inlineStr">
        <is>
          <t>Senaryo Karşılık Yükü (₺)</t>
        </is>
      </c>
      <c r="C6" s="140" t="inlineStr">
        <is>
          <t>Senaryo Nakit Fazlası (₺)</t>
        </is>
      </c>
      <c r="D6" s="140" t="inlineStr">
        <is>
          <t>Senaryo Kararı</t>
        </is>
      </c>
    </row>
    <row r="7" ht="15" customHeight="1" s="68">
      <c r="A7" s="129" t="inlineStr">
        <is>
          <t>İYİMSER</t>
        </is>
      </c>
      <c r="B7" s="118">
        <f>ROUND(KarsilikToplam*KarliyukIyiSenaryo,0)</f>
        <v/>
      </c>
      <c r="C7" s="118">
        <f>KarsilikAyBasiKasa+KarsilikNakitGiris-KarsilikNakitCikis-B7</f>
        <v/>
      </c>
      <c r="D7" s="141">
        <f>IF(C7&lt;KarsilikZorunluEsik,"DURDUR",IF(C7&lt;KarsilikZorunluEsik*2,"İNCELE","UYGUN"))</f>
        <v/>
      </c>
    </row>
    <row r="8" ht="15" customHeight="1" s="68">
      <c r="A8" s="129" t="inlineStr">
        <is>
          <t>BAZ</t>
        </is>
      </c>
      <c r="B8" s="118">
        <f>ROUND(KarsilikToplam*KarliyukBazSenaryo,0)</f>
        <v/>
      </c>
      <c r="C8" s="118">
        <f>KarsilikAyBasiKasa+KarsilikNakitGiris-KarsilikNakitCikis-B8</f>
        <v/>
      </c>
      <c r="D8" s="141">
        <f>IF(C8&lt;KarsilikZorunluEsik,"DURDUR",IF(C8&lt;KarsilikZorunluEsik*2,"İNCELE","UYGUN"))</f>
        <v/>
      </c>
    </row>
    <row r="9" ht="15" customHeight="1" s="68">
      <c r="A9" s="129" t="inlineStr">
        <is>
          <t>KÖTÜMSER</t>
        </is>
      </c>
      <c r="B9" s="118">
        <f>ROUND(KarsilikToplam*KarliyukKotuSenaryo,0)</f>
        <v/>
      </c>
      <c r="C9" s="118">
        <f>KarsilikAyBasiKasa+KarsilikNakitGiris-KarsilikNakitCikis-B9</f>
        <v/>
      </c>
      <c r="D9" s="141">
        <f>IF(C9&lt;KarsilikZorunluEsik,"DURDUR",IF(C9&lt;KarsilikZorunluEsik*2,"İNCELE","UYGUN"))</f>
        <v/>
      </c>
    </row>
    <row r="10"/>
    <row r="11" ht="15" customHeight="1" s="68">
      <c r="A11" s="115" t="inlineStr">
        <is>
          <t>Tornado: Toplam Karşılığa Etki</t>
        </is>
      </c>
    </row>
    <row r="12" ht="15" customHeight="1" s="68">
      <c r="A12" s="128" t="inlineStr">
        <is>
          <t>Gelir +10%</t>
        </is>
      </c>
      <c r="B12" s="118">
        <f>ROUND(SUM(tblDonem[Gelir (₺)])*KarliyukTornadoGelir*KarliyukKurumlarOrani,0)</f>
        <v/>
      </c>
    </row>
    <row r="13" ht="15" customHeight="1" s="68">
      <c r="A13" s="128" t="inlineStr">
        <is>
          <t>KDV Oranı +1 puan</t>
        </is>
      </c>
      <c r="B13" s="118">
        <f>ROUND(SUM(tblDonem[Gelir (₺)])*KarliyukTornadoKdv,0)</f>
        <v/>
      </c>
    </row>
    <row r="14" ht="15" customHeight="1" s="68">
      <c r="A14" s="128" t="inlineStr">
        <is>
          <t>KV Oranı +1 puan</t>
        </is>
      </c>
      <c r="B14" s="118">
        <f>ROUND(SUM(tblDonem[Matrah Farkı (₺)])*KarliyukTornadoKurumlar,0)</f>
        <v/>
      </c>
    </row>
    <row r="15" ht="15" customHeight="1" s="68">
      <c r="A15" s="128" t="inlineStr">
        <is>
          <t>SGK Oranı +1 puan</t>
        </is>
      </c>
      <c r="B15" s="118">
        <f>ROUND(SUM(tblBordro[Brüt Maaş (₺)])*KarliyukTornadoSgk,0)</f>
        <v/>
      </c>
    </row>
    <row r="16"/>
    <row r="17" ht="15" customHeight="1" s="68">
      <c r="A17" s="117" t="inlineStr">
        <is>
          <t>En Etkili Değişken</t>
        </is>
      </c>
      <c r="B17" s="141">
        <f>KarsilikEnEtkiliDegisken</f>
        <v/>
      </c>
    </row>
    <row r="18"/>
    <row r="19" ht="19.5" customHeight="1" s="68">
      <c r="A19" s="105" t="inlineStr">
        <is>
          <t>Tornado etkileri AYARLAR'daki çarpanlardan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9:AN19"/>
    <mergeCell ref="A3:I3"/>
  </mergeCells>
  <conditionalFormatting sqref="D7:D9">
    <cfRule type="cellIs" rank="0" priority="2" equalAverage="0" operator="lessThan" aboveAverage="0" dxfId="7" text="" percent="0" bottom="0">
      <formula>0</formula>
    </cfRule>
  </conditionalFormatting>
  <conditionalFormatting sqref="B12:B15">
    <cfRule type="cellIs" rank="0" priority="3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1"/>
  </sheetPr>
  <dimension ref="A1:L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94" min="1" max="1"/>
    <col width="40" customWidth="1" style="94" min="2" max="2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VERGİ, SGK VE MAAŞ KARŞILIK AYIRMA SİSTEMİ — YÖNETİCİ ÖZETİ</t>
        </is>
      </c>
    </row>
    <row r="2" ht="15" customHeight="1" s="68">
      <c r="A2" s="143">
        <f>_xlfn.CONCAT("Rapor Tarihi: ",TEXT(RaporTarihi,"dd.mm.yyyy")," | Hazırlayan: ",RaporHazirlayan," | Sürüm: ",DosyaSurumu)</f>
        <v/>
      </c>
    </row>
    <row r="3"/>
    <row r="4" ht="17.25" customHeight="1" s="68">
      <c r="A4" s="115" t="inlineStr">
        <is>
          <t>Karar</t>
        </is>
      </c>
      <c r="B4" s="133">
        <f>KARAR!B10</f>
        <v/>
      </c>
    </row>
    <row r="5"/>
    <row r="6" ht="15" customHeight="1" s="68">
      <c r="A6" s="128" t="inlineStr">
        <is>
          <t>Toplam Gelir</t>
        </is>
      </c>
      <c r="B6" s="118">
        <f>SUM(tblDonem[Gelir (₺)])</f>
        <v/>
      </c>
    </row>
    <row r="7" ht="15" customHeight="1" s="68">
      <c r="A7" s="128" t="inlineStr">
        <is>
          <t>Toplam Gider</t>
        </is>
      </c>
      <c r="B7" s="118">
        <f>SUM(tblDonem[Gider (₺)])</f>
        <v/>
      </c>
    </row>
    <row r="8" ht="15" customHeight="1" s="68">
      <c r="A8" s="128" t="inlineStr">
        <is>
          <t>Net Kâr/Zarar</t>
        </is>
      </c>
      <c r="B8" s="118">
        <f>SUM(tblDonem[Matrah Farkı (₺)])</f>
        <v/>
      </c>
    </row>
    <row r="9" ht="15" customHeight="1" s="68">
      <c r="A9" s="128" t="inlineStr">
        <is>
          <t>Toplam Karşılık Yükü</t>
        </is>
      </c>
      <c r="B9" s="118">
        <f>KarsilikToplam</f>
        <v/>
      </c>
    </row>
    <row r="10" ht="15" customHeight="1" s="68">
      <c r="A10" s="128" t="inlineStr">
        <is>
          <t>Karşılık / Gelir Oranı</t>
        </is>
      </c>
      <c r="B10" s="119">
        <f>KarsilikGelirOrani</f>
        <v/>
      </c>
    </row>
    <row r="11" ht="15" customHeight="1" s="68">
      <c r="A11" s="128" t="inlineStr">
        <is>
          <t>Karşılık Sonrası Nakit Fazlası</t>
        </is>
      </c>
      <c r="B11" s="118">
        <f>KarsilikNakitFazla</f>
        <v/>
      </c>
    </row>
    <row r="12" ht="15" customHeight="1" s="68">
      <c r="A12" s="128" t="inlineStr">
        <is>
          <t>Nakit Eşik Altı Ay</t>
        </is>
      </c>
      <c r="B12" s="125">
        <f>KarsilikEskikAy</f>
        <v/>
      </c>
    </row>
    <row r="13" ht="15" customHeight="1" s="68">
      <c r="A13" s="128" t="inlineStr">
        <is>
          <t>Kalite Skoru</t>
        </is>
      </c>
      <c r="B13" s="125">
        <f>KarsilikKaliteSkoru</f>
        <v/>
      </c>
    </row>
    <row r="14"/>
    <row r="15" ht="15" customHeight="1" s="68">
      <c r="A15" s="136" t="inlineStr">
        <is>
          <t>Varsayımlar ve Önemli Notlar</t>
        </is>
      </c>
    </row>
    <row r="16" ht="15" customHeight="1" s="68">
      <c r="A16" s="103" t="inlineStr">
        <is>
          <t>• KDV, kurumlar vergisi, SGK, işsizlik, stopaj ve damga oranları AYARLAR sayfasından alınır.</t>
        </is>
      </c>
    </row>
    <row r="17" ht="15" customHeight="1" s="68">
      <c r="A17" s="103" t="inlineStr">
        <is>
          <t>• Oranlar örnek dönem değerleridir; mali müşavir teyidiyle güncellenmelidir.</t>
        </is>
      </c>
    </row>
    <row r="18" ht="15" customHeight="1" s="68">
      <c r="A18" s="103" t="inlineStr">
        <is>
          <t>• Bu dosya beyanname hazırlama aracı değildir; karşılık ayırma ve nakit planlama destek aracıdır.</t>
        </is>
      </c>
    </row>
    <row r="19" ht="15" customHeight="1" s="68">
      <c r="A19" s="103" t="inlineStr">
        <is>
          <t>• Demo veriler gerçek müşteri verisi değildir; kullanımdan önce temizlenmelidir.</t>
        </is>
      </c>
    </row>
    <row r="20"/>
    <row r="21" ht="15" customHeight="1" s="68">
      <c r="A21" s="136" t="inlineStr">
        <is>
          <t>Önerilen Aksiyonlar</t>
        </is>
      </c>
    </row>
    <row r="22" ht="15" customHeight="1" s="68">
      <c r="A22" s="103">
        <f>Aksiyon1_ACIKLAMA</f>
        <v/>
      </c>
    </row>
    <row r="23" ht="15" customHeight="1" s="68">
      <c r="A23" s="103">
        <f>Aksiyon2_ACIKLAMA</f>
        <v/>
      </c>
    </row>
    <row r="24" ht="15" customHeight="1" s="68">
      <c r="A24" s="103">
        <f>Aksiyon3_ACIKLAMA</f>
        <v/>
      </c>
    </row>
    <row r="25"/>
    <row r="26" ht="21.75" customHeight="1" s="68">
      <c r="A26" s="144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24:L24"/>
    <mergeCell ref="A2:L2"/>
    <mergeCell ref="A16:L16"/>
    <mergeCell ref="A19:L19"/>
    <mergeCell ref="A23:L23"/>
    <mergeCell ref="A1:I1"/>
    <mergeCell ref="A22:L22"/>
    <mergeCell ref="A17:L17"/>
    <mergeCell ref="A18:L18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&amp;LVERGİ, SGK VE MAAŞ KARŞILIK AYIRMA SİSTEMİ&amp;CExcelArşiv&amp;RSayfa &amp;P /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4" min="1" max="1"/>
    <col width="16" customWidth="1" style="94" min="2" max="4"/>
    <col width="13.5" customWidth="1" style="68" min="3" max="3"/>
    <col width="21.5" customWidth="1" style="68" min="4" max="4"/>
    <col width="22" customWidth="1" style="94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ORNEK VERI — VERGİ, SGK VE MAAŞ KARŞILIK AYIRMA SİSTEMİ</t>
        </is>
      </c>
    </row>
    <row r="2"/>
    <row r="3" ht="22" customHeight="1" s="68">
      <c r="A3" s="286" t="inlineStr">
        <is>
          <t>Örnek Veri (Demo)</t>
        </is>
      </c>
    </row>
    <row r="4" ht="81.75" customHeight="1" s="68">
      <c r="A4" s="108" t="inlineStr">
        <is>
          <t>Gerçek girişlere başlamadan önce demo veri ile ürünü deneyin. Bu satırlar örnektir; gerçek verilerle değiştirin.</t>
        </is>
      </c>
    </row>
    <row r="5" ht="30" customHeight="1" s="68">
      <c r="A5" s="109" t="inlineStr">
        <is>
          <t>Dönem</t>
        </is>
      </c>
      <c r="B5" s="109" t="inlineStr">
        <is>
          <t>Gelir (₺)</t>
        </is>
      </c>
      <c r="C5" s="109" t="inlineStr">
        <is>
          <t>Gider (₺)</t>
        </is>
      </c>
      <c r="D5" s="109" t="inlineStr">
        <is>
          <t>KDV Yüklenimi (₺)</t>
        </is>
      </c>
      <c r="E5" s="109" t="inlineStr">
        <is>
          <t>Not</t>
        </is>
      </c>
    </row>
    <row r="6" ht="15" customHeight="1" s="68">
      <c r="A6" s="126" t="inlineStr">
        <is>
          <t>Ağustos 2026</t>
        </is>
      </c>
      <c r="B6" s="127" t="n">
        <v>850000</v>
      </c>
      <c r="C6" s="127" t="n">
        <v>620000</v>
      </c>
      <c r="D6" s="127" t="n">
        <v>50000</v>
      </c>
      <c r="E6" s="126" t="inlineStr">
        <is>
          <t>Örnek ay 1</t>
        </is>
      </c>
    </row>
    <row r="7" ht="15" customHeight="1" s="68">
      <c r="A7" s="126" t="inlineStr">
        <is>
          <t>Eylül 2026</t>
        </is>
      </c>
      <c r="B7" s="127" t="n">
        <v>920000</v>
      </c>
      <c r="C7" s="127" t="n">
        <v>650000</v>
      </c>
      <c r="D7" s="127" t="n">
        <v>55000</v>
      </c>
      <c r="E7" s="126" t="inlineStr">
        <is>
          <t>Örnek ay 2</t>
        </is>
      </c>
    </row>
    <row r="8" ht="15" customHeight="1" s="68">
      <c r="A8" s="126" t="inlineStr">
        <is>
          <t>Ekim 2026</t>
        </is>
      </c>
      <c r="B8" s="127" t="n">
        <v>880000</v>
      </c>
      <c r="C8" s="127" t="n">
        <v>610000</v>
      </c>
      <c r="D8" s="127" t="n">
        <v>52000</v>
      </c>
      <c r="E8" s="126" t="inlineStr">
        <is>
          <t>Örnek ay 3</t>
        </is>
      </c>
    </row>
    <row r="9" ht="15" customHeight="1" s="68">
      <c r="A9" s="126" t="inlineStr">
        <is>
          <t>Kasım 2026</t>
        </is>
      </c>
      <c r="B9" s="127" t="n">
        <v>950000</v>
      </c>
      <c r="C9" s="127" t="n">
        <v>680000</v>
      </c>
      <c r="D9" s="127" t="n">
        <v>58000</v>
      </c>
      <c r="E9" s="126" t="inlineStr">
        <is>
          <t>Örnek ay 4</t>
        </is>
      </c>
    </row>
    <row r="10" ht="15" customHeight="1" s="68">
      <c r="A10" s="126" t="inlineStr">
        <is>
          <t>Aralık 2026</t>
        </is>
      </c>
      <c r="B10" s="127" t="n">
        <v>1010000</v>
      </c>
      <c r="C10" s="127" t="n">
        <v>700000</v>
      </c>
      <c r="D10" s="127" t="n">
        <v>60000</v>
      </c>
      <c r="E10" s="126" t="inlineStr">
        <is>
          <t>Örnek ay 5</t>
        </is>
      </c>
    </row>
    <row r="11" ht="15" customHeight="1" s="68">
      <c r="A11" s="126" t="inlineStr">
        <is>
          <t>Ocak 2027</t>
        </is>
      </c>
      <c r="B11" s="127" t="n">
        <v>1080000</v>
      </c>
      <c r="C11" s="127" t="n">
        <v>740000</v>
      </c>
      <c r="D11" s="127" t="n">
        <v>65000</v>
      </c>
      <c r="E11" s="126" t="inlineStr">
        <is>
          <t>Örnek ay 6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 ht="19.5" customHeight="1" s="68">
      <c r="A1006" s="105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06:AN1006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.5" customWidth="1" style="94" min="1" max="1"/>
    <col width="16" customWidth="1" style="94" min="2" max="2"/>
    <col width="14" customWidth="1" style="94" min="3" max="4"/>
    <col width="13" customWidth="1" style="68" min="4" max="4"/>
    <col width="10" customWidth="1" style="94" min="5" max="5"/>
    <col width="16.5" customWidth="1" style="94" min="6" max="6"/>
    <col width="40.5" customWidth="1" style="94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AKIS — VergiSgkVeMaasKarsilikAyirmaSistemi</t>
        </is>
      </c>
    </row>
    <row r="2"/>
    <row r="3" ht="15" customHeight="1" s="68">
      <c r="A3" s="94" t="inlineStr">
        <is>
          <t>islem_id</t>
        </is>
      </c>
      <c r="B3" s="94" t="inlineStr">
        <is>
          <t>kaynak_kart_id</t>
        </is>
      </c>
      <c r="C3" s="94" t="inlineStr">
        <is>
          <t>onceki_durum</t>
        </is>
      </c>
      <c r="D3" s="94" t="inlineStr">
        <is>
          <t>yeni_durum</t>
        </is>
      </c>
      <c r="E3" s="94" t="inlineStr">
        <is>
          <t>tutar</t>
        </is>
      </c>
      <c r="F3" s="94" t="inlineStr">
        <is>
          <t>bayrak</t>
        </is>
      </c>
      <c r="G3" s="94" t="inlineStr">
        <is>
          <t>not</t>
        </is>
      </c>
    </row>
    <row r="4" ht="15" customHeight="1" s="68">
      <c r="A4" s="94" t="inlineStr">
        <is>
          <t>I-001</t>
        </is>
      </c>
      <c r="B4" s="94" t="inlineStr">
        <is>
          <t>KART-01</t>
        </is>
      </c>
      <c r="C4" s="94" t="inlineStr">
        <is>
          <t>ACIK</t>
        </is>
      </c>
      <c r="D4" s="94" t="inlineStr">
        <is>
          <t>ISLEMDE</t>
        </is>
      </c>
      <c r="E4" s="139" t="n">
        <v>1000</v>
      </c>
      <c r="F4" s="94" t="inlineStr">
        <is>
          <t>OK</t>
        </is>
      </c>
      <c r="G4" s="94" t="inlineStr">
        <is>
          <t>normal geçiş</t>
        </is>
      </c>
    </row>
    <row r="5" ht="15" customHeight="1" s="68">
      <c r="A5" s="94" t="inlineStr">
        <is>
          <t>I-002</t>
        </is>
      </c>
      <c r="B5" s="94" t="inlineStr">
        <is>
          <t>YETİM</t>
        </is>
      </c>
      <c r="C5" s="94" t="inlineStr">
        <is>
          <t>ACIK</t>
        </is>
      </c>
      <c r="D5" s="94" t="inlineStr">
        <is>
          <t>KAPALI</t>
        </is>
      </c>
      <c r="E5" s="139" t="n">
        <v>0</v>
      </c>
      <c r="F5" s="94" t="inlineStr">
        <is>
          <t>YETİM</t>
        </is>
      </c>
      <c r="G5" s="94" t="inlineStr">
        <is>
          <t>kaynak_kart_id yok — yetim kayıt</t>
        </is>
      </c>
    </row>
    <row r="6" ht="15" customHeight="1" s="68">
      <c r="A6" s="94" t="inlineStr">
        <is>
          <t>I-003</t>
        </is>
      </c>
      <c r="B6" s="94" t="inlineStr">
        <is>
          <t>KART-02</t>
        </is>
      </c>
      <c r="C6" s="94" t="inlineStr">
        <is>
          <t>ACIK</t>
        </is>
      </c>
      <c r="D6" s="94" t="inlineStr">
        <is>
          <t>KAPALI</t>
        </is>
      </c>
      <c r="E6" s="139" t="n">
        <v>500</v>
      </c>
      <c r="F6" s="94" t="inlineStr">
        <is>
          <t>GECERSIZ</t>
        </is>
      </c>
      <c r="G6" s="94" t="inlineStr">
        <is>
          <t>geçersiz durum geçişi</t>
        </is>
      </c>
    </row>
    <row r="7" ht="15" customHeight="1" s="68">
      <c r="A7" s="94" t="inlineStr">
        <is>
          <t>I-004</t>
        </is>
      </c>
      <c r="B7" s="94" t="inlineStr">
        <is>
          <t>KART-03</t>
        </is>
      </c>
      <c r="C7" s="94" t="inlineStr">
        <is>
          <t>ISLEMDE</t>
        </is>
      </c>
      <c r="D7" s="94" t="inlineStr">
        <is>
          <t>ISLEMDE</t>
        </is>
      </c>
      <c r="E7" s="139" t="n">
        <v>250</v>
      </c>
      <c r="F7" s="94" t="inlineStr">
        <is>
          <t>ZINCIR_KIRIK</t>
        </is>
      </c>
      <c r="G7" s="94" t="inlineStr">
        <is>
          <t>ZİNCİR KIRIK — tutar zinciri sapması</t>
        </is>
      </c>
    </row>
    <row r="8"/>
    <row r="9" ht="15" customHeight="1" s="68">
      <c r="A9" s="94" t="inlineStr">
        <is>
          <t>kuyruk_kanit</t>
        </is>
      </c>
      <c r="B9" s="94">
        <f>IFERROR(COUNTIF($F$4:$F$1000,"OK"),0)</f>
        <v/>
      </c>
      <c r="C9" s="94" t="n"/>
      <c r="D9" s="94" t="n"/>
      <c r="E9" s="94" t="n"/>
      <c r="F9" s="94" t="n"/>
      <c r="G9" s="9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94" min="1" max="1"/>
    <col width="10" customWidth="1" style="94" min="2" max="2"/>
    <col width="40" customWidth="1" style="94" min="3" max="3"/>
    <col width="30.5" customWidth="1" style="94" min="4" max="4"/>
    <col width="14.5" customWidth="1" style="94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DEGISIKLIK KAYDI — VERGİ, SGK VE MAAŞ KARŞILIK AYIRMA SİSTEMİ</t>
        </is>
      </c>
    </row>
    <row r="2"/>
    <row r="3" ht="22" customHeight="1" s="68">
      <c r="A3" s="286" t="inlineStr">
        <is>
          <t>Değişiklik Kaydı</t>
        </is>
      </c>
    </row>
    <row r="4" ht="30" customHeight="1" s="68">
      <c r="A4" s="109" t="inlineStr">
        <is>
          <t>Tarih</t>
        </is>
      </c>
      <c r="B4" s="109" t="inlineStr">
        <is>
          <t>Sürüm</t>
        </is>
      </c>
      <c r="C4" s="109" t="inlineStr">
        <is>
          <t>Değişiklik</t>
        </is>
      </c>
      <c r="D4" s="109" t="inlineStr">
        <is>
          <t>Neden</t>
        </is>
      </c>
      <c r="E4" s="109" t="inlineStr">
        <is>
          <t>Yapan</t>
        </is>
      </c>
    </row>
    <row r="5" ht="15" customHeight="1" s="68">
      <c r="A5" s="126" t="inlineStr">
        <is>
          <t>01.08.2026</t>
        </is>
      </c>
      <c r="B5" s="126" t="inlineStr">
        <is>
          <t>1.0.0</t>
        </is>
      </c>
      <c r="C5" s="126" t="inlineStr">
        <is>
          <t>İlk üretim</t>
        </is>
      </c>
      <c r="D5" s="126" t="inlineStr">
        <is>
          <t>Ürünün yayına hazırlanması</t>
        </is>
      </c>
      <c r="E5" s="126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I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94" min="1" max="1"/>
    <col width="13" customWidth="1" style="68" min="2" max="2"/>
    <col width="22" customWidth="1" style="94" min="3" max="3"/>
    <col width="13" customWidth="1" style="68" min="4" max="4"/>
    <col width="22" customWidth="1" style="94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LISTELER — VERGİ, SGK VE MAAŞ KARŞILIK AYIRMA SİSTEMİ</t>
        </is>
      </c>
    </row>
    <row r="2"/>
    <row r="3" ht="15" customHeight="1" s="68">
      <c r="A3" s="115" t="inlineStr">
        <is>
          <t>Bağlı Listeler</t>
        </is>
      </c>
    </row>
    <row r="4" ht="54.75" customHeight="1" s="68">
      <c r="A4" s="108" t="inlineStr">
        <is>
          <t>Bu sayfadaki listeler açılır menüleri besler; yeni seçenek eklemek için sarı hücrelere yazın.</t>
        </is>
      </c>
    </row>
    <row r="5" ht="15" customHeight="1" s="68">
      <c r="A5" s="140" t="inlineStr">
        <is>
          <t>Dönem Etiketi</t>
        </is>
      </c>
      <c r="C5" s="140" t="inlineStr">
        <is>
          <t>Karşılık Türü</t>
        </is>
      </c>
      <c r="E5" s="140" t="inlineStr">
        <is>
          <t>Kalite Seviyesi</t>
        </is>
      </c>
    </row>
    <row r="6" ht="15" customHeight="1" s="68">
      <c r="A6" s="145" t="inlineStr">
        <is>
          <t>Ağustos 2026</t>
        </is>
      </c>
      <c r="C6" s="145" t="inlineStr">
        <is>
          <t>KDV</t>
        </is>
      </c>
      <c r="E6" s="145" t="inlineStr">
        <is>
          <t>YÜKSEK</t>
        </is>
      </c>
    </row>
    <row r="7" ht="15" customHeight="1" s="68">
      <c r="A7" s="145" t="inlineStr">
        <is>
          <t>Eylül 2026</t>
        </is>
      </c>
      <c r="C7" s="145" t="inlineStr">
        <is>
          <t>Kurumlar Vergisi</t>
        </is>
      </c>
      <c r="E7" s="145" t="inlineStr">
        <is>
          <t>ORTA</t>
        </is>
      </c>
    </row>
    <row r="8" ht="15" customHeight="1" s="68">
      <c r="A8" s="145" t="inlineStr">
        <is>
          <t>Ekim 2026</t>
        </is>
      </c>
      <c r="C8" s="145" t="inlineStr">
        <is>
          <t>SGK</t>
        </is>
      </c>
      <c r="E8" s="145" t="inlineStr">
        <is>
          <t>DÜŞÜK</t>
        </is>
      </c>
    </row>
    <row r="9" ht="15" customHeight="1" s="68">
      <c r="A9" s="145" t="inlineStr">
        <is>
          <t>Kasım 2026</t>
        </is>
      </c>
      <c r="C9" s="145" t="inlineStr">
        <is>
          <t>Maaş</t>
        </is>
      </c>
      <c r="E9" s="114" t="n"/>
    </row>
    <row r="10" ht="15" customHeight="1" s="68">
      <c r="A10" s="145" t="inlineStr">
        <is>
          <t>Aralık 2026</t>
        </is>
      </c>
      <c r="C10" s="114" t="n"/>
      <c r="E10" s="114" t="n"/>
    </row>
    <row r="11" ht="15" customHeight="1" s="68">
      <c r="A11" s="145" t="inlineStr">
        <is>
          <t>Ocak 2027</t>
        </is>
      </c>
      <c r="C11" s="114" t="n"/>
      <c r="E11" s="114" t="n"/>
    </row>
    <row r="12" ht="15" customHeight="1" s="68">
      <c r="A12" s="145" t="inlineStr">
        <is>
          <t>Şubat 2027</t>
        </is>
      </c>
      <c r="C12" s="114" t="n"/>
      <c r="E12" s="114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N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94" min="1" max="1"/>
    <col width="22" customWidth="1" style="94" min="2" max="2"/>
    <col width="12" customWidth="1" style="94" min="3" max="3"/>
    <col width="10" customWidth="1" style="94" min="4" max="5"/>
    <col width="13" customWidth="1" style="68" min="5" max="5"/>
    <col width="60" customWidth="1" style="94" min="6" max="6"/>
    <col width="42" customWidth="1" style="94" min="7" max="7"/>
    <col width="16" customWidth="1" style="94" min="8" max="8"/>
    <col width="18" customWidth="1" style="94" min="9" max="9"/>
    <col width="16" customWidth="1" style="94" min="10" max="10"/>
    <col width="13" customWidth="1" style="94" min="11" max="11"/>
    <col width="28" customWidth="1" style="94" min="12" max="12"/>
    <col width="16" customWidth="1" style="94" min="13" max="13"/>
    <col width="13" customWidth="1" style="94" min="14" max="14"/>
  </cols>
  <sheetData>
    <row r="1" ht="32" customHeight="1" s="68">
      <c r="A1" s="267" t="inlineStr">
        <is>
          <t>AYARLAR — VERGİ, SGK VE MAAŞ KARŞILIK AYIRMA SİSTEMİ</t>
        </is>
      </c>
    </row>
    <row r="2"/>
    <row r="3" ht="22" customHeight="1" s="68">
      <c r="A3" s="286" t="inlineStr">
        <is>
          <t>Sistem Ayarları ve Oranlar</t>
        </is>
      </c>
    </row>
    <row r="4" ht="41.25" customHeight="1" s="68">
      <c r="A4" s="108" t="inlineStr">
        <is>
          <t>Tüm sabitler bu sayfadadır. Oranları kendi döneminize göre mali müşavir teyidiyle güncelleyin.</t>
        </is>
      </c>
    </row>
    <row r="5"/>
    <row r="6" ht="15" customHeight="1" s="68">
      <c r="A6" s="140" t="inlineStr">
        <is>
          <t>anahtar</t>
        </is>
      </c>
      <c r="B6" s="140" t="inlineStr">
        <is>
          <t>deger</t>
        </is>
      </c>
      <c r="C6" s="140" t="inlineStr">
        <is>
          <t>birim</t>
        </is>
      </c>
      <c r="D6" s="140" t="inlineStr">
        <is>
          <t>alt</t>
        </is>
      </c>
      <c r="E6" s="140" t="inlineStr">
        <is>
          <t>ust</t>
        </is>
      </c>
      <c r="F6" s="140" t="inlineStr">
        <is>
          <t>aciklama</t>
        </is>
      </c>
      <c r="G6" s="140" t="inlineStr">
        <is>
          <t>kaynak</t>
        </is>
      </c>
      <c r="H6" s="140" t="inlineStr">
        <is>
          <t>yururluk_tarihi</t>
        </is>
      </c>
      <c r="I6" s="140" t="inlineStr">
        <is>
          <t>dogrulama_tarihi</t>
        </is>
      </c>
    </row>
    <row r="7" ht="25.5" customHeight="1" s="68">
      <c r="A7" s="146" t="inlineStr">
        <is>
          <t>FirmaUnvan</t>
        </is>
      </c>
      <c r="B7" s="147" t="inlineStr">
        <is>
          <t>Örnek Firma A.Ş.</t>
        </is>
      </c>
      <c r="C7" s="101" t="inlineStr">
        <is>
          <t>metin</t>
        </is>
      </c>
      <c r="D7" s="101" t="n"/>
      <c r="E7" s="101" t="n"/>
      <c r="F7" s="148" t="inlineStr">
        <is>
          <t>Rapor ve kapakta görünen firma adı.</t>
        </is>
      </c>
      <c r="G7" s="148" t="inlineStr">
        <is>
          <t>Kullanıcı</t>
        </is>
      </c>
      <c r="H7" s="149" t="n">
        <v>46023</v>
      </c>
      <c r="I7" s="149" t="n">
        <v>46244</v>
      </c>
    </row>
    <row r="8" ht="25.5" customHeight="1" s="68">
      <c r="A8" s="146" t="inlineStr">
        <is>
          <t>RaporTarihi</t>
        </is>
      </c>
      <c r="B8" s="150" t="inlineStr">
        <is>
          <t>2026-08-08</t>
        </is>
      </c>
      <c r="C8" s="101" t="inlineStr">
        <is>
          <t>tarih</t>
        </is>
      </c>
      <c r="D8" s="101" t="n"/>
      <c r="E8" s="101" t="n"/>
      <c r="F8" s="148" t="inlineStr">
        <is>
          <t>Tüm hesapların ve kararın alındığı tarih.</t>
        </is>
      </c>
      <c r="G8" s="148" t="inlineStr">
        <is>
          <t>Kullanıcı</t>
        </is>
      </c>
      <c r="H8" s="149" t="n">
        <v>46023</v>
      </c>
      <c r="I8" s="149" t="n">
        <v>46244</v>
      </c>
    </row>
    <row r="9" ht="25.5" customHeight="1" s="68">
      <c r="A9" s="146" t="inlineStr">
        <is>
          <t>RaporHazirlayan</t>
        </is>
      </c>
      <c r="B9" s="147" t="inlineStr">
        <is>
          <t>Finans Direktörü</t>
        </is>
      </c>
      <c r="C9" s="101" t="inlineStr">
        <is>
          <t>metin</t>
        </is>
      </c>
      <c r="D9" s="101" t="n"/>
      <c r="E9" s="101" t="n"/>
      <c r="F9" s="148" t="inlineStr">
        <is>
          <t>Raporu hazırlayan kişi/rol.</t>
        </is>
      </c>
      <c r="G9" s="148" t="inlineStr">
        <is>
          <t>Kullanıcı</t>
        </is>
      </c>
      <c r="H9" s="149" t="n">
        <v>46023</v>
      </c>
      <c r="I9" s="149" t="n">
        <v>46244</v>
      </c>
    </row>
    <row r="10" ht="25.5" customHeight="1" s="68">
      <c r="A10" s="146" t="inlineStr">
        <is>
          <t>DosyaSurumu</t>
        </is>
      </c>
      <c r="B10" s="147" t="inlineStr">
        <is>
          <t>1.0.0</t>
        </is>
      </c>
      <c r="C10" s="101" t="inlineStr">
        <is>
          <t>metin</t>
        </is>
      </c>
      <c r="D10" s="101" t="n"/>
      <c r="E10" s="101" t="n"/>
      <c r="F10" s="148" t="inlineStr">
        <is>
          <t>Ürün sürüm bilgisi; rapor alt bilgisinde görünür.</t>
        </is>
      </c>
      <c r="G10" s="148" t="inlineStr">
        <is>
          <t>Kullanıcı</t>
        </is>
      </c>
      <c r="H10" s="149" t="n">
        <v>46023</v>
      </c>
      <c r="I10" s="149" t="n">
        <v>46244</v>
      </c>
    </row>
    <row r="11" ht="25.5" customHeight="1" s="68">
      <c r="A11" s="146" t="inlineStr">
        <is>
          <t>KarliyukKdvOrani</t>
        </is>
      </c>
      <c r="B11" s="151" t="n">
        <v>0.2</v>
      </c>
      <c r="C11" s="101" t="inlineStr">
        <is>
          <t>oran (%)</t>
        </is>
      </c>
      <c r="D11" s="101" t="n"/>
      <c r="E11" s="101" t="n"/>
      <c r="F11" s="148" t="inlineStr">
        <is>
          <t>Satışlarda uygulanan KDV oranı.</t>
        </is>
      </c>
      <c r="G11" s="148" t="inlineStr">
        <is>
          <t>Mevzuat: KDVK 28. m. + Cumhurbaşkanı Kararı</t>
        </is>
      </c>
      <c r="H11" s="149" t="n">
        <v>46023</v>
      </c>
      <c r="I11" s="149" t="n">
        <v>46244</v>
      </c>
    </row>
    <row r="12" ht="25.5" customHeight="1" s="68">
      <c r="A12" s="146" t="inlineStr">
        <is>
          <t>KarliyukKurumlarOrani</t>
        </is>
      </c>
      <c r="B12" s="151" t="n">
        <v>0.25</v>
      </c>
      <c r="C12" s="101" t="inlineStr">
        <is>
          <t>oran (%)</t>
        </is>
      </c>
      <c r="D12" s="101" t="n"/>
      <c r="E12" s="101" t="n"/>
      <c r="F12" s="148" t="inlineStr">
        <is>
          <t>Kurumlar vergisi oranı.</t>
        </is>
      </c>
      <c r="G12" s="148" t="inlineStr">
        <is>
          <t>Mevzuat: KVK 32. m. (5520 s.)</t>
        </is>
      </c>
      <c r="H12" s="149" t="n">
        <v>46023</v>
      </c>
      <c r="I12" s="149" t="n">
        <v>46244</v>
      </c>
    </row>
    <row r="13" ht="25.5" customHeight="1" s="68">
      <c r="A13" s="146" t="inlineStr">
        <is>
          <t>KarliyukSgkIsciOrani</t>
        </is>
      </c>
      <c r="B13" s="151" t="n">
        <v>0.14</v>
      </c>
      <c r="C13" s="101" t="inlineStr">
        <is>
          <t>oran (%)</t>
        </is>
      </c>
      <c r="D13" s="101" t="n"/>
      <c r="E13" s="101" t="n"/>
      <c r="F13" s="148" t="inlineStr">
        <is>
          <t>SGK işçi prim oranı.</t>
        </is>
      </c>
      <c r="G13" s="148" t="inlineStr">
        <is>
          <t>Mevzuat: 5510 s. SGK K. 81. m.</t>
        </is>
      </c>
      <c r="H13" s="149" t="n">
        <v>46023</v>
      </c>
      <c r="I13" s="149" t="n">
        <v>46244</v>
      </c>
    </row>
    <row r="14" ht="25.5" customHeight="1" s="68">
      <c r="A14" s="146" t="inlineStr">
        <is>
          <t>KarliyukSgkIsverenOrani</t>
        </is>
      </c>
      <c r="B14" s="151" t="n">
        <v>0.205</v>
      </c>
      <c r="C14" s="101" t="inlineStr">
        <is>
          <t>oran (%)</t>
        </is>
      </c>
      <c r="D14" s="101" t="n"/>
      <c r="E14" s="101" t="n"/>
      <c r="F14" s="148" t="inlineStr">
        <is>
          <t>SGK işveren prim oranı.</t>
        </is>
      </c>
      <c r="G14" s="148" t="inlineStr">
        <is>
          <t>Mevzuat: 5510 s. SGK K. 81. m.</t>
        </is>
      </c>
      <c r="H14" s="149" t="n">
        <v>46023</v>
      </c>
      <c r="I14" s="149" t="n">
        <v>46244</v>
      </c>
    </row>
    <row r="15" ht="25.5" customHeight="1" s="68">
      <c r="A15" s="146" t="inlineStr">
        <is>
          <t>KarliyukIssizlikIsciOrani</t>
        </is>
      </c>
      <c r="B15" s="151" t="n">
        <v>0.01</v>
      </c>
      <c r="C15" s="101" t="inlineStr">
        <is>
          <t>oran (%)</t>
        </is>
      </c>
      <c r="D15" s="101" t="n"/>
      <c r="E15" s="101" t="n"/>
      <c r="F15" s="148" t="inlineStr">
        <is>
          <t>İşsizlik sigortası işçi payı.</t>
        </is>
      </c>
      <c r="G15" s="148" t="inlineStr">
        <is>
          <t>Mevzuat: 4447 s. İşsizlik Sigortası K.</t>
        </is>
      </c>
      <c r="H15" s="149" t="n">
        <v>46023</v>
      </c>
      <c r="I15" s="149" t="n">
        <v>46244</v>
      </c>
    </row>
    <row r="16" ht="25.5" customHeight="1" s="68">
      <c r="A16" s="146" t="inlineStr">
        <is>
          <t>KarliyukIssizlikIsverenOrani</t>
        </is>
      </c>
      <c r="B16" s="151" t="n">
        <v>0.02</v>
      </c>
      <c r="C16" s="101" t="inlineStr">
        <is>
          <t>oran (%)</t>
        </is>
      </c>
      <c r="D16" s="101" t="n"/>
      <c r="E16" s="101" t="n"/>
      <c r="F16" s="148" t="inlineStr">
        <is>
          <t>İşsizlik sigortası işveren payı.</t>
        </is>
      </c>
      <c r="G16" s="148" t="inlineStr">
        <is>
          <t>Mevzuat: 4447 s. İşsizlik Sigortası K.</t>
        </is>
      </c>
      <c r="H16" s="149" t="n">
        <v>46023</v>
      </c>
      <c r="I16" s="149" t="n">
        <v>46244</v>
      </c>
    </row>
    <row r="17" ht="25.5" customHeight="1" s="68">
      <c r="A17" s="146" t="inlineStr">
        <is>
          <t>KarliyukStopajOrani</t>
        </is>
      </c>
      <c r="B17" s="151" t="n">
        <v>0.15</v>
      </c>
      <c r="C17" s="101" t="inlineStr">
        <is>
          <t>oran (%)</t>
        </is>
      </c>
      <c r="D17" s="101" t="n"/>
      <c r="E17" s="101" t="n"/>
      <c r="F17" s="148" t="inlineStr">
        <is>
          <t>Ücret stopajı gelir vergisi oranı.</t>
        </is>
      </c>
      <c r="G17" s="148" t="inlineStr">
        <is>
          <t>Mevzuat: GVK 103. m. (2026 tarifesi)</t>
        </is>
      </c>
      <c r="H17" s="149" t="n">
        <v>46023</v>
      </c>
      <c r="I17" s="149" t="n">
        <v>46244</v>
      </c>
    </row>
    <row r="18" ht="25.5" customHeight="1" s="68">
      <c r="A18" s="146" t="inlineStr">
        <is>
          <t>KarliyukDamgaOrani</t>
        </is>
      </c>
      <c r="B18" s="151" t="n">
        <v>0.00759</v>
      </c>
      <c r="C18" s="101" t="inlineStr">
        <is>
          <t>oran (%)</t>
        </is>
      </c>
      <c r="D18" s="101" t="n"/>
      <c r="E18" s="101" t="n"/>
      <c r="F18" s="148" t="inlineStr">
        <is>
          <t>Bordro damga vergisi oranı.</t>
        </is>
      </c>
      <c r="G18" s="148" t="inlineStr">
        <is>
          <t>Mevzuat: DVK 528 sayılı Karar</t>
        </is>
      </c>
      <c r="H18" s="149" t="n">
        <v>46023</v>
      </c>
      <c r="I18" s="149" t="n">
        <v>46244</v>
      </c>
    </row>
    <row r="19" ht="25.5" customHeight="1" s="68">
      <c r="A19" s="146" t="inlineStr">
        <is>
          <t>KarliyukNakitKarliikOrani</t>
        </is>
      </c>
      <c r="B19" s="151" t="n">
        <v>0.25</v>
      </c>
      <c r="C19" s="101" t="inlineStr">
        <is>
          <t>oran (%)</t>
        </is>
      </c>
      <c r="D19" s="101" t="n"/>
      <c r="E19" s="101" t="n"/>
      <c r="F19" s="148" t="inlineStr">
        <is>
          <t>Projeksiyonda gelirin karşılık yükü oranı.</t>
        </is>
      </c>
      <c r="G19" s="148" t="inlineStr">
        <is>
          <t>Varsayım</t>
        </is>
      </c>
      <c r="H19" s="149" t="n">
        <v>46023</v>
      </c>
      <c r="I19" s="149" t="n">
        <v>46244</v>
      </c>
    </row>
    <row r="20" ht="25.5" customHeight="1" s="68">
      <c r="A20" s="146" t="inlineStr">
        <is>
          <t>KarliyukUstOran</t>
        </is>
      </c>
      <c r="B20" s="151" t="n">
        <v>0.4</v>
      </c>
      <c r="C20" s="101" t="inlineStr">
        <is>
          <t>oran (%)</t>
        </is>
      </c>
      <c r="D20" s="101" t="n"/>
      <c r="E20" s="101" t="n"/>
      <c r="F20" s="148" t="inlineStr">
        <is>
          <t>Karşılık/gelir oranının üst sınırı.</t>
        </is>
      </c>
      <c r="G20" s="148" t="inlineStr">
        <is>
          <t>Varsayım</t>
        </is>
      </c>
      <c r="H20" s="149" t="n">
        <v>46023</v>
      </c>
      <c r="I20" s="149" t="n">
        <v>46244</v>
      </c>
    </row>
    <row r="21" ht="25.5" customHeight="1" s="68">
      <c r="A21" s="146" t="inlineStr">
        <is>
          <t>AyBasiKasaGiris</t>
        </is>
      </c>
      <c r="B21" s="152" t="n">
        <v>500000</v>
      </c>
      <c r="C21" s="101" t="inlineStr">
        <is>
          <t>tutar (₺)</t>
        </is>
      </c>
      <c r="D21" s="101" t="n"/>
      <c r="E21" s="101" t="n"/>
      <c r="F21" s="148" t="inlineStr">
        <is>
          <t>Dönem başı kasa bakiyesi.</t>
        </is>
      </c>
      <c r="G21" s="148" t="inlineStr">
        <is>
          <t>Kullanıcı</t>
        </is>
      </c>
      <c r="H21" s="149" t="n">
        <v>46023</v>
      </c>
      <c r="I21" s="149" t="n">
        <v>46244</v>
      </c>
    </row>
    <row r="22" ht="25.5" customHeight="1" s="68">
      <c r="A22" s="146" t="inlineStr">
        <is>
          <t>KarsilikNakitEsigi</t>
        </is>
      </c>
      <c r="B22" s="152" t="n">
        <v>100000</v>
      </c>
      <c r="C22" s="101" t="inlineStr">
        <is>
          <t>tutar (₺)</t>
        </is>
      </c>
      <c r="D22" s="101" t="n"/>
      <c r="E22" s="101" t="n"/>
      <c r="F22" s="148" t="inlineStr">
        <is>
          <t>Kümülatif nakit alt eşiği.</t>
        </is>
      </c>
      <c r="G22" s="148" t="inlineStr">
        <is>
          <t>Varsayım</t>
        </is>
      </c>
      <c r="H22" s="149" t="n">
        <v>46023</v>
      </c>
      <c r="I22" s="149" t="n">
        <v>46244</v>
      </c>
    </row>
    <row r="23" ht="25.5" customHeight="1" s="68">
      <c r="A23" s="146" t="inlineStr">
        <is>
          <t>KarsilikZorunluEsik</t>
        </is>
      </c>
      <c r="B23" s="152" t="n">
        <v>150000</v>
      </c>
      <c r="C23" s="101" t="inlineStr">
        <is>
          <t>tutar (₺)</t>
        </is>
      </c>
      <c r="D23" s="101" t="n"/>
      <c r="E23" s="101" t="n"/>
      <c r="F23" s="148" t="inlineStr">
        <is>
          <t>Kararın DURDUR olması için nakit eşiği.</t>
        </is>
      </c>
      <c r="G23" s="148" t="inlineStr">
        <is>
          <t>Varsayım</t>
        </is>
      </c>
      <c r="H23" s="149" t="n">
        <v>46023</v>
      </c>
      <c r="I23" s="149" t="n">
        <v>46244</v>
      </c>
    </row>
    <row r="24" ht="25.5" customHeight="1" s="68">
      <c r="A24" s="146" t="inlineStr">
        <is>
          <t>KarliyukIyiSenaryo</t>
        </is>
      </c>
      <c r="B24" s="151" t="n">
        <v>0.9</v>
      </c>
      <c r="C24" s="101" t="inlineStr">
        <is>
          <t>oran (%)</t>
        </is>
      </c>
      <c r="D24" s="101" t="n"/>
      <c r="E24" s="101" t="n"/>
      <c r="F24" s="148" t="inlineStr">
        <is>
          <t>İyimser senaryoda karşılık yükü çarpanı.</t>
        </is>
      </c>
      <c r="G24" s="148" t="inlineStr">
        <is>
          <t>Varsayım</t>
        </is>
      </c>
      <c r="H24" s="149" t="n">
        <v>46023</v>
      </c>
      <c r="I24" s="149" t="n">
        <v>46244</v>
      </c>
    </row>
    <row r="25" ht="25.5" customHeight="1" s="68">
      <c r="A25" s="146" t="inlineStr">
        <is>
          <t>KarliyukBazSenaryo</t>
        </is>
      </c>
      <c r="B25" s="151" t="n">
        <v>1</v>
      </c>
      <c r="C25" s="101" t="inlineStr">
        <is>
          <t>oran (%)</t>
        </is>
      </c>
      <c r="D25" s="101" t="n"/>
      <c r="E25" s="101" t="n"/>
      <c r="F25" s="148" t="inlineStr">
        <is>
          <t>Baz senaryoda karşılık yükü çarpanı.</t>
        </is>
      </c>
      <c r="G25" s="148" t="inlineStr">
        <is>
          <t>Varsayım</t>
        </is>
      </c>
      <c r="H25" s="149" t="n">
        <v>46023</v>
      </c>
      <c r="I25" s="149" t="n">
        <v>46244</v>
      </c>
    </row>
    <row r="26" ht="25.5" customHeight="1" s="68">
      <c r="A26" s="146" t="inlineStr">
        <is>
          <t>KarliyukKotuSenaryo</t>
        </is>
      </c>
      <c r="B26" s="151" t="n">
        <v>1.2</v>
      </c>
      <c r="C26" s="101" t="inlineStr">
        <is>
          <t>oran (%)</t>
        </is>
      </c>
      <c r="D26" s="101" t="n"/>
      <c r="E26" s="101" t="n"/>
      <c r="F26" s="148" t="inlineStr">
        <is>
          <t>Kötümser senaryoda karşılık yükü çarpanı.</t>
        </is>
      </c>
      <c r="G26" s="148" t="inlineStr">
        <is>
          <t>Varsayım</t>
        </is>
      </c>
      <c r="H26" s="149" t="n">
        <v>46023</v>
      </c>
      <c r="I26" s="149" t="n">
        <v>46244</v>
      </c>
    </row>
    <row r="27" ht="25.5" customHeight="1" s="68">
      <c r="A27" s="146" t="inlineStr">
        <is>
          <t>KarliyukTornadoKdv</t>
        </is>
      </c>
      <c r="B27" s="151" t="n">
        <v>0.01</v>
      </c>
      <c r="C27" s="101" t="inlineStr">
        <is>
          <t>oran (%)</t>
        </is>
      </c>
      <c r="D27" s="101" t="n"/>
      <c r="E27" s="101" t="n"/>
      <c r="F27" s="148" t="inlineStr">
        <is>
          <t>KDV oranındaki %1 değişimin karşılığa etkisi.</t>
        </is>
      </c>
      <c r="G27" s="148" t="inlineStr">
        <is>
          <t>Varsayım</t>
        </is>
      </c>
      <c r="H27" s="149" t="n">
        <v>46023</v>
      </c>
      <c r="I27" s="149" t="n">
        <v>46244</v>
      </c>
    </row>
    <row r="28" ht="25.5" customHeight="1" s="68">
      <c r="A28" s="146" t="inlineStr">
        <is>
          <t>KarliyukTornadoKurumlar</t>
        </is>
      </c>
      <c r="B28" s="151" t="n">
        <v>0.01</v>
      </c>
      <c r="C28" s="101" t="inlineStr">
        <is>
          <t>oran (%)</t>
        </is>
      </c>
      <c r="D28" s="101" t="n"/>
      <c r="E28" s="101" t="n"/>
      <c r="F28" s="148" t="inlineStr">
        <is>
          <t>KV oranındaki %1 değişimin karşılığa etkisi.</t>
        </is>
      </c>
      <c r="G28" s="148" t="inlineStr">
        <is>
          <t>Varsayım</t>
        </is>
      </c>
      <c r="H28" s="149" t="n">
        <v>46023</v>
      </c>
      <c r="I28" s="149" t="n">
        <v>46244</v>
      </c>
    </row>
    <row r="29" ht="25.5" customHeight="1" s="68">
      <c r="A29" s="146" t="inlineStr">
        <is>
          <t>KarliyukTornadoSgk</t>
        </is>
      </c>
      <c r="B29" s="151" t="n">
        <v>0.01</v>
      </c>
      <c r="C29" s="101" t="inlineStr">
        <is>
          <t>oran (%)</t>
        </is>
      </c>
      <c r="D29" s="101" t="n"/>
      <c r="E29" s="101" t="n"/>
      <c r="F29" s="148" t="inlineStr">
        <is>
          <t>SGK oranındaki %1 değişimin karşılığa etkisi.</t>
        </is>
      </c>
      <c r="G29" s="148" t="inlineStr">
        <is>
          <t>Varsayım</t>
        </is>
      </c>
      <c r="H29" s="149" t="n">
        <v>46023</v>
      </c>
      <c r="I29" s="149" t="n">
        <v>46244</v>
      </c>
    </row>
    <row r="30" ht="25.5" customHeight="1" s="68">
      <c r="A30" s="146" t="inlineStr">
        <is>
          <t>KarsilikTahminCarpan</t>
        </is>
      </c>
      <c r="B30" s="151" t="n">
        <v>1.645</v>
      </c>
      <c r="C30" s="101" t="inlineStr">
        <is>
          <t>oran (%)</t>
        </is>
      </c>
      <c r="D30" s="101" t="n"/>
      <c r="E30" s="101" t="n"/>
      <c r="F30" s="148" t="inlineStr">
        <is>
          <t>Tahmin bandı genişliği (standart sapma katı).</t>
        </is>
      </c>
      <c r="G30" s="148" t="inlineStr">
        <is>
          <t>Varsayım</t>
        </is>
      </c>
      <c r="H30" s="149" t="n">
        <v>46023</v>
      </c>
      <c r="I30" s="149" t="n">
        <v>46244</v>
      </c>
    </row>
    <row r="31" ht="25.5" customHeight="1" s="68">
      <c r="A31" s="146" t="inlineStr">
        <is>
          <t>KarsilikKaliteIyi</t>
        </is>
      </c>
      <c r="B31" s="153" t="n">
        <v>90</v>
      </c>
      <c r="C31" s="101" t="inlineStr">
        <is>
          <t>sayı</t>
        </is>
      </c>
      <c r="D31" s="101" t="n"/>
      <c r="E31" s="101" t="n"/>
      <c r="F31" s="148" t="inlineStr">
        <is>
          <t>Kalite skoru YÜKSEK eşiği.</t>
        </is>
      </c>
      <c r="G31" s="148" t="inlineStr">
        <is>
          <t>Varsayım</t>
        </is>
      </c>
      <c r="H31" s="149" t="n">
        <v>46023</v>
      </c>
      <c r="I31" s="149" t="n">
        <v>46244</v>
      </c>
    </row>
    <row r="32" ht="25.5" customHeight="1" s="68">
      <c r="A32" s="146" t="inlineStr">
        <is>
          <t>KarsilikKaliteOrta</t>
        </is>
      </c>
      <c r="B32" s="153" t="n">
        <v>70</v>
      </c>
      <c r="C32" s="101" t="inlineStr">
        <is>
          <t>sayı</t>
        </is>
      </c>
      <c r="D32" s="101" t="n"/>
      <c r="E32" s="101" t="n"/>
      <c r="F32" s="148" t="inlineStr">
        <is>
          <t>Kalite skoru ORTA eşiği.</t>
        </is>
      </c>
      <c r="G32" s="148" t="inlineStr">
        <is>
          <t>Varsayım</t>
        </is>
      </c>
      <c r="H32" s="149" t="n">
        <v>46023</v>
      </c>
      <c r="I32" s="149" t="n">
        <v>46244</v>
      </c>
    </row>
    <row r="33" ht="25.5" customHeight="1" s="68">
      <c r="A33" s="146" t="inlineStr">
        <is>
          <t>KarsilikToplamGirisHucre</t>
        </is>
      </c>
      <c r="B33" s="153" t="n">
        <v>1300</v>
      </c>
      <c r="C33" s="101" t="inlineStr">
        <is>
          <t>sayı</t>
        </is>
      </c>
      <c r="D33" s="101" t="n"/>
      <c r="E33" s="101" t="n"/>
      <c r="F33" s="148" t="inlineStr">
        <is>
          <t>Bilgi amaçlıdır; kalite skoru paydası KONTROLLER'de canlı hesaplanır.</t>
        </is>
      </c>
      <c r="G33" s="148" t="inlineStr">
        <is>
          <t>Varsayım</t>
        </is>
      </c>
      <c r="H33" s="149" t="n">
        <v>46023</v>
      </c>
      <c r="I33" s="149" t="n">
        <v>46244</v>
      </c>
    </row>
    <row r="34" ht="25.5" customHeight="1" s="68">
      <c r="A34" s="146" t="inlineStr">
        <is>
          <t>KarsilikDoluGirisHucre</t>
        </is>
      </c>
      <c r="B34" s="153" t="n">
        <v>1300</v>
      </c>
      <c r="C34" s="101" t="inlineStr">
        <is>
          <t>sayı</t>
        </is>
      </c>
      <c r="D34" s="101" t="n"/>
      <c r="E34" s="101" t="n"/>
      <c r="F34" s="148" t="inlineStr">
        <is>
          <t>Bilgi amaçlıdır; kalite skoru payı KONTROLLER'de canlı hesaplanır.</t>
        </is>
      </c>
      <c r="G34" s="148" t="inlineStr">
        <is>
          <t>Varsayım</t>
        </is>
      </c>
      <c r="H34" s="149" t="n">
        <v>46023</v>
      </c>
      <c r="I34" s="149" t="n">
        <v>46244</v>
      </c>
    </row>
    <row r="35" ht="25.5" customHeight="1" s="68">
      <c r="A35" s="146" t="inlineStr">
        <is>
          <t>KarsilikEnEtkiliDegisken</t>
        </is>
      </c>
      <c r="B35" s="147" t="inlineStr">
        <is>
          <t>Gelir</t>
        </is>
      </c>
      <c r="C35" s="101" t="inlineStr">
        <is>
          <t>metin</t>
        </is>
      </c>
      <c r="D35" s="101" t="n"/>
      <c r="E35" s="101" t="n"/>
      <c r="F35" s="148" t="inlineStr">
        <is>
          <t>Tornado analizinde en etkili değişken.</t>
        </is>
      </c>
      <c r="G35" s="148" t="inlineStr">
        <is>
          <t>Varsayım</t>
        </is>
      </c>
      <c r="H35" s="149" t="n">
        <v>46023</v>
      </c>
      <c r="I35" s="149" t="n">
        <v>46244</v>
      </c>
    </row>
    <row r="36" ht="25.5" customHeight="1" s="68">
      <c r="A36" s="146" t="inlineStr">
        <is>
          <t>Aksiyon1_ACIKLAMA</t>
        </is>
      </c>
      <c r="B36" s="154" t="inlineStr">
        <is>
          <t>KDV yüklenim belgelerini aylık toplayın; yüklenim artışı ödenecek KDV'yi azaltır.</t>
        </is>
      </c>
      <c r="C36" s="101" t="inlineStr">
        <is>
          <t>metin</t>
        </is>
      </c>
      <c r="D36" s="101" t="n"/>
      <c r="E36" s="101" t="n"/>
      <c r="F36" s="148" t="inlineStr">
        <is>
          <t>DURDUR kararında gösterilen ilk öneri.</t>
        </is>
      </c>
      <c r="G36" s="148" t="inlineStr">
        <is>
          <t>Varsayım</t>
        </is>
      </c>
      <c r="H36" s="149" t="n">
        <v>46023</v>
      </c>
      <c r="I36" s="149" t="n">
        <v>46244</v>
      </c>
    </row>
    <row r="37" ht="25.5" customHeight="1" s="68">
      <c r="A37" s="146" t="inlineStr">
        <is>
          <t>Aksiyon2_ACIKLAMA</t>
        </is>
      </c>
      <c r="B37" s="154" t="inlineStr">
        <is>
          <t>Karşılık/gelir oranı eşiği aşıyorsa ödeme planını revize edin.</t>
        </is>
      </c>
      <c r="C37" s="101" t="inlineStr">
        <is>
          <t>metin</t>
        </is>
      </c>
      <c r="D37" s="101" t="n"/>
      <c r="E37" s="101" t="n"/>
      <c r="F37" s="148" t="inlineStr">
        <is>
          <t>İNCELE kararında gösterilen ikinci öneri.</t>
        </is>
      </c>
      <c r="G37" s="148" t="inlineStr">
        <is>
          <t>Varsayım</t>
        </is>
      </c>
      <c r="H37" s="149" t="n">
        <v>46023</v>
      </c>
      <c r="I37" s="149" t="n">
        <v>46244</v>
      </c>
    </row>
    <row r="38" ht="25.5" customHeight="1" s="68">
      <c r="A38" s="146" t="inlineStr">
        <is>
          <t>Aksiyon3_ACIKLAMA</t>
        </is>
      </c>
      <c r="B38" s="154" t="inlineStr">
        <is>
          <t>Kümülatif nakit eşik altındaysa kısa vadeli kredi veya tahsilat hızlandırın.</t>
        </is>
      </c>
      <c r="C38" s="101" t="inlineStr">
        <is>
          <t>metin</t>
        </is>
      </c>
      <c r="D38" s="101" t="n"/>
      <c r="E38" s="101" t="n"/>
      <c r="F38" s="148" t="inlineStr">
        <is>
          <t>İNCELE kararında gösterilen üçüncü öneri.</t>
        </is>
      </c>
      <c r="G38" s="148" t="inlineStr">
        <is>
          <t>Varsayım</t>
        </is>
      </c>
      <c r="H38" s="149" t="n">
        <v>46023</v>
      </c>
      <c r="I38" s="149" t="n">
        <v>46244</v>
      </c>
    </row>
    <row r="39" ht="25.5" customHeight="1" s="68">
      <c r="A39" s="146" t="inlineStr">
        <is>
          <t>KarliyukTornadoGelir</t>
        </is>
      </c>
      <c r="B39" s="151" t="n">
        <v>0.1</v>
      </c>
      <c r="C39" s="101" t="inlineStr">
        <is>
          <t>oran (%)</t>
        </is>
      </c>
      <c r="D39" s="101" t="n"/>
      <c r="E39" s="101" t="n"/>
      <c r="F39" s="148" t="inlineStr">
        <is>
          <t>Gelirdeki %10 değişimin karşılığa etkisi.</t>
        </is>
      </c>
      <c r="G39" s="148" t="inlineStr">
        <is>
          <t>Varsayım</t>
        </is>
      </c>
      <c r="H39" s="149" t="n">
        <v>46023</v>
      </c>
      <c r="I39" s="149" t="n">
        <v>46244</v>
      </c>
    </row>
    <row r="40" ht="25.5" customHeight="1" s="68">
      <c r="A40" s="146" t="inlineStr">
        <is>
          <t>PanelSatir1</t>
        </is>
      </c>
      <c r="B40" s="153" t="n">
        <v>1</v>
      </c>
      <c r="C40" s="101" t="inlineStr">
        <is>
          <t>sayı</t>
        </is>
      </c>
      <c r="D40" s="101" t="n"/>
      <c r="E40" s="101" t="n"/>
      <c r="F40" s="148" t="inlineStr">
        <is>
          <t>PANO aylık grafiğinde kullanılan tablo satırı.</t>
        </is>
      </c>
      <c r="G40" s="148" t="inlineStr">
        <is>
          <t>Kullanıcı</t>
        </is>
      </c>
      <c r="H40" s="149" t="n">
        <v>46023</v>
      </c>
      <c r="I40" s="149" t="n">
        <v>46244</v>
      </c>
    </row>
    <row r="41" ht="25.5" customHeight="1" s="68">
      <c r="A41" s="146" t="inlineStr">
        <is>
          <t>PanelSatir2</t>
        </is>
      </c>
      <c r="B41" s="153" t="n">
        <v>2</v>
      </c>
      <c r="C41" s="101" t="inlineStr">
        <is>
          <t>sayı</t>
        </is>
      </c>
      <c r="D41" s="101" t="n"/>
      <c r="E41" s="101" t="n"/>
      <c r="F41" s="148" t="inlineStr">
        <is>
          <t>PANO aylık grafiğinde kullanılan tablo satırı.</t>
        </is>
      </c>
      <c r="G41" s="148" t="inlineStr">
        <is>
          <t>Kullanıcı</t>
        </is>
      </c>
      <c r="H41" s="149" t="n">
        <v>46023</v>
      </c>
      <c r="I41" s="149" t="n">
        <v>46244</v>
      </c>
    </row>
    <row r="42" ht="25.5" customHeight="1" s="68">
      <c r="A42" s="146" t="inlineStr">
        <is>
          <t>PanelSatir3</t>
        </is>
      </c>
      <c r="B42" s="153" t="n">
        <v>3</v>
      </c>
      <c r="C42" s="101" t="inlineStr">
        <is>
          <t>sayı</t>
        </is>
      </c>
      <c r="D42" s="101" t="n"/>
      <c r="E42" s="101" t="n"/>
      <c r="F42" s="148" t="inlineStr">
        <is>
          <t>PANO aylık grafiğinde kullanılan tablo satırı.</t>
        </is>
      </c>
      <c r="G42" s="148" t="inlineStr">
        <is>
          <t>Kullanıcı</t>
        </is>
      </c>
      <c r="H42" s="149" t="n">
        <v>46023</v>
      </c>
      <c r="I42" s="149" t="n">
        <v>46244</v>
      </c>
    </row>
    <row r="43" ht="25.5" customHeight="1" s="68">
      <c r="A43" s="146" t="inlineStr">
        <is>
          <t>PanelSatir4</t>
        </is>
      </c>
      <c r="B43" s="153" t="n">
        <v>4</v>
      </c>
      <c r="C43" s="101" t="inlineStr">
        <is>
          <t>sayı</t>
        </is>
      </c>
      <c r="D43" s="101" t="n"/>
      <c r="E43" s="101" t="n"/>
      <c r="F43" s="148" t="inlineStr">
        <is>
          <t>PANO aylık grafiğinde kullanılan tablo satırı.</t>
        </is>
      </c>
      <c r="G43" s="148" t="inlineStr">
        <is>
          <t>Kullanıcı</t>
        </is>
      </c>
      <c r="H43" s="149" t="n">
        <v>46023</v>
      </c>
      <c r="I43" s="149" t="n">
        <v>46244</v>
      </c>
    </row>
    <row r="44" ht="25.5" customHeight="1" s="68">
      <c r="A44" s="146" t="inlineStr">
        <is>
          <t>PanelSatir5</t>
        </is>
      </c>
      <c r="B44" s="153" t="n">
        <v>5</v>
      </c>
      <c r="C44" s="101" t="inlineStr">
        <is>
          <t>sayı</t>
        </is>
      </c>
      <c r="D44" s="101" t="n"/>
      <c r="E44" s="101" t="n"/>
      <c r="F44" s="148" t="inlineStr">
        <is>
          <t>PANO aylık grafiğinde kullanılan tablo satırı.</t>
        </is>
      </c>
      <c r="G44" s="148" t="inlineStr">
        <is>
          <t>Kullanıcı</t>
        </is>
      </c>
      <c r="H44" s="149" t="n">
        <v>46023</v>
      </c>
      <c r="I44" s="149" t="n">
        <v>46244</v>
      </c>
    </row>
    <row r="45" ht="25.5" customHeight="1" s="68">
      <c r="A45" s="146" t="inlineStr">
        <is>
          <t>PanelSatir6</t>
        </is>
      </c>
      <c r="B45" s="153" t="n">
        <v>6</v>
      </c>
      <c r="C45" s="101" t="inlineStr">
        <is>
          <t>sayı</t>
        </is>
      </c>
      <c r="D45" s="101" t="n"/>
      <c r="E45" s="101" t="n"/>
      <c r="F45" s="148" t="inlineStr">
        <is>
          <t>PANO aylık grafiğinde kullanılan tablo satırı.</t>
        </is>
      </c>
      <c r="G45" s="148" t="inlineStr">
        <is>
          <t>Kullanıcı</t>
        </is>
      </c>
      <c r="H45" s="149" t="n">
        <v>46023</v>
      </c>
      <c r="I45" s="149" t="n">
        <v>46244</v>
      </c>
    </row>
    <row r="46" ht="25.5" customHeight="1" s="68">
      <c r="A46" s="146" t="inlineStr">
        <is>
          <t>PanelSatir7</t>
        </is>
      </c>
      <c r="B46" s="153" t="n">
        <v>7</v>
      </c>
      <c r="C46" s="101" t="inlineStr">
        <is>
          <t>sayı</t>
        </is>
      </c>
      <c r="D46" s="101" t="n"/>
      <c r="E46" s="101" t="n"/>
      <c r="F46" s="148" t="inlineStr">
        <is>
          <t>PANO aylık grafiğinde kullanılan tablo satırı.</t>
        </is>
      </c>
      <c r="G46" s="148" t="inlineStr">
        <is>
          <t>Kullanıcı</t>
        </is>
      </c>
      <c r="H46" s="149" t="n">
        <v>46023</v>
      </c>
      <c r="I46" s="149" t="n">
        <v>46244</v>
      </c>
    </row>
    <row r="47" ht="25.5" customHeight="1" s="68">
      <c r="A47" s="146" t="inlineStr">
        <is>
          <t>PanelSatir8</t>
        </is>
      </c>
      <c r="B47" s="153" t="n">
        <v>8</v>
      </c>
      <c r="C47" s="101" t="inlineStr">
        <is>
          <t>sayı</t>
        </is>
      </c>
      <c r="D47" s="101" t="n"/>
      <c r="E47" s="101" t="n"/>
      <c r="F47" s="148" t="inlineStr">
        <is>
          <t>PANO aylık grafiğinde kullanılan tablo satırı.</t>
        </is>
      </c>
      <c r="G47" s="148" t="inlineStr">
        <is>
          <t>Kullanıcı</t>
        </is>
      </c>
      <c r="H47" s="149" t="n">
        <v>46023</v>
      </c>
      <c r="I47" s="149" t="n">
        <v>46244</v>
      </c>
    </row>
    <row r="48" ht="25.5" customHeight="1" s="68">
      <c r="A48" s="146" t="inlineStr">
        <is>
          <t>PanelSatir9</t>
        </is>
      </c>
      <c r="B48" s="153" t="n">
        <v>9</v>
      </c>
      <c r="C48" s="101" t="inlineStr">
        <is>
          <t>sayı</t>
        </is>
      </c>
      <c r="D48" s="101" t="n"/>
      <c r="E48" s="101" t="n"/>
      <c r="F48" s="148" t="inlineStr">
        <is>
          <t>PANO aylık grafiğinde kullanılan tablo satırı.</t>
        </is>
      </c>
      <c r="G48" s="148" t="inlineStr">
        <is>
          <t>Kullanıcı</t>
        </is>
      </c>
      <c r="H48" s="149" t="n">
        <v>46023</v>
      </c>
      <c r="I48" s="149" t="n">
        <v>46244</v>
      </c>
    </row>
    <row r="49" ht="25.5" customHeight="1" s="68">
      <c r="A49" s="146" t="inlineStr">
        <is>
          <t>PanelSatir10</t>
        </is>
      </c>
      <c r="B49" s="153" t="n">
        <v>10</v>
      </c>
      <c r="C49" s="101" t="inlineStr">
        <is>
          <t>sayı</t>
        </is>
      </c>
      <c r="D49" s="101" t="n"/>
      <c r="E49" s="101" t="n"/>
      <c r="F49" s="148" t="inlineStr">
        <is>
          <t>PANO aylık grafiğinde kullanılan tablo satırı.</t>
        </is>
      </c>
      <c r="G49" s="148" t="inlineStr">
        <is>
          <t>Kullanıcı</t>
        </is>
      </c>
      <c r="H49" s="149" t="n">
        <v>46023</v>
      </c>
      <c r="I49" s="149" t="n">
        <v>46244</v>
      </c>
    </row>
    <row r="50" ht="25.5" customHeight="1" s="68">
      <c r="A50" s="146" t="inlineStr">
        <is>
          <t>PanelSatir11</t>
        </is>
      </c>
      <c r="B50" s="153" t="n">
        <v>11</v>
      </c>
      <c r="C50" s="101" t="inlineStr">
        <is>
          <t>sayı</t>
        </is>
      </c>
      <c r="D50" s="101" t="n"/>
      <c r="E50" s="101" t="n"/>
      <c r="F50" s="148" t="inlineStr">
        <is>
          <t>PANO aylık grafiğinde kullanılan tablo satırı.</t>
        </is>
      </c>
      <c r="G50" s="148" t="inlineStr">
        <is>
          <t>Kullanıcı</t>
        </is>
      </c>
      <c r="H50" s="149" t="n">
        <v>46023</v>
      </c>
      <c r="I50" s="149" t="n">
        <v>46244</v>
      </c>
    </row>
    <row r="51" ht="25.5" customHeight="1" s="68">
      <c r="A51" s="146" t="inlineStr">
        <is>
          <t>PanelSatir12</t>
        </is>
      </c>
      <c r="B51" s="153" t="n">
        <v>12</v>
      </c>
      <c r="C51" s="101" t="inlineStr">
        <is>
          <t>sayı</t>
        </is>
      </c>
      <c r="D51" s="101" t="n"/>
      <c r="E51" s="101" t="n"/>
      <c r="F51" s="148" t="inlineStr">
        <is>
          <t>PANO aylık grafiğinde kullanılan tablo satırı.</t>
        </is>
      </c>
      <c r="G51" s="148" t="inlineStr">
        <is>
          <t>Kullanıcı</t>
        </is>
      </c>
      <c r="H51" s="149" t="n">
        <v>46023</v>
      </c>
      <c r="I51" s="149" t="n">
        <v>46244</v>
      </c>
    </row>
    <row r="52" ht="25.5" customHeight="1" s="68">
      <c r="A52" s="146" t="inlineStr">
        <is>
          <t>KarsilikP90Oran</t>
        </is>
      </c>
      <c r="B52" s="151" t="n">
        <v>0.9</v>
      </c>
      <c r="C52" s="101" t="inlineStr">
        <is>
          <t>oran (%)</t>
        </is>
      </c>
      <c r="D52" s="101" t="n"/>
      <c r="E52" s="101" t="n"/>
      <c r="F52" s="148" t="inlineStr">
        <is>
          <t>ANALITIK_MOTOR'da gelir yüzdelik P90 hesabında kullanılan oran.</t>
        </is>
      </c>
      <c r="G52" s="148" t="inlineStr">
        <is>
          <t>Varsayım</t>
        </is>
      </c>
      <c r="H52" s="149" t="n">
        <v>46023</v>
      </c>
      <c r="I52" s="149" t="n">
        <v>46244</v>
      </c>
    </row>
    <row r="53" ht="25.5" customHeight="1" s="68">
      <c r="A53" s="146" t="inlineStr">
        <is>
          <t>GirisKolonDonem</t>
        </is>
      </c>
      <c r="B53" s="153" t="n">
        <v>5</v>
      </c>
      <c r="C53" s="101" t="inlineStr">
        <is>
          <t>sayı</t>
        </is>
      </c>
      <c r="D53" s="101" t="n"/>
      <c r="E53" s="101" t="n"/>
      <c r="F53" s="148" t="inlineStr">
        <is>
          <t>Kalite skoru paydasında DÖNEM tablosunun giriş kolonu sayısı.</t>
        </is>
      </c>
      <c r="G53" s="148" t="inlineStr">
        <is>
          <t>Varsayım</t>
        </is>
      </c>
      <c r="H53" s="149" t="n">
        <v>46023</v>
      </c>
      <c r="I53" s="149" t="n">
        <v>46244</v>
      </c>
    </row>
    <row r="54" ht="25.5" customHeight="1" s="68">
      <c r="A54" s="146" t="inlineStr">
        <is>
          <t>GirisKolonBordro</t>
        </is>
      </c>
      <c r="B54" s="153" t="n">
        <v>3</v>
      </c>
      <c r="C54" s="101" t="inlineStr">
        <is>
          <t>sayı</t>
        </is>
      </c>
      <c r="D54" s="101" t="n"/>
      <c r="E54" s="101" t="n"/>
      <c r="F54" s="148" t="inlineStr">
        <is>
          <t>Kalite skoru paydasında BORDRO tablosunun giriş kolonu sayısı.</t>
        </is>
      </c>
      <c r="G54" s="148" t="inlineStr">
        <is>
          <t>Varsayım</t>
        </is>
      </c>
      <c r="H54" s="149" t="n">
        <v>46023</v>
      </c>
      <c r="I54" s="149" t="n">
        <v>46244</v>
      </c>
    </row>
    <row r="55" ht="25.5" customHeight="1" s="68">
      <c r="A55" s="146" t="inlineStr">
        <is>
          <t>GirisKolonNakit</t>
        </is>
      </c>
      <c r="B55" s="153" t="n">
        <v>3</v>
      </c>
      <c r="C55" s="101" t="inlineStr">
        <is>
          <t>sayı</t>
        </is>
      </c>
      <c r="D55" s="101" t="n"/>
      <c r="E55" s="101" t="n"/>
      <c r="F55" s="148" t="inlineStr">
        <is>
          <t>Kalite skoru paydasında NAKIT tablosunun giriş kolonu sayısı.</t>
        </is>
      </c>
      <c r="G55" s="148" t="inlineStr">
        <is>
          <t>Varsayım</t>
        </is>
      </c>
      <c r="H55" s="149" t="n">
        <v>46023</v>
      </c>
      <c r="I55" s="149" t="n">
        <v>46244</v>
      </c>
    </row>
    <row r="56" ht="25.5" customHeight="1" s="68">
      <c r="A56" s="146" t="inlineStr">
        <is>
          <t>GirisKolonAylik</t>
        </is>
      </c>
      <c r="B56" s="153" t="n">
        <v>1</v>
      </c>
      <c r="C56" s="101" t="inlineStr">
        <is>
          <t>sayı</t>
        </is>
      </c>
      <c r="D56" s="101" t="n"/>
      <c r="E56" s="101" t="n"/>
      <c r="F56" s="148" t="inlineStr">
        <is>
          <t>Kalite skoru paydasında AYLIK tablosunun giriş kolonu sayısı.</t>
        </is>
      </c>
      <c r="G56" s="148" t="inlineStr">
        <is>
          <t>Varsayım</t>
        </is>
      </c>
      <c r="H56" s="149" t="n">
        <v>46023</v>
      </c>
      <c r="I56" s="149" t="n">
        <v>46244</v>
      </c>
    </row>
    <row r="57"/>
    <row r="58" ht="15" customHeight="1" s="68">
      <c r="J58" s="94" t="inlineStr">
        <is>
          <t>durum_haritasi</t>
        </is>
      </c>
      <c r="K58" s="94" t="inlineStr">
        <is>
          <t>durum_id</t>
        </is>
      </c>
      <c r="L58" s="94" t="inlineStr">
        <is>
          <t>durum_adi</t>
        </is>
      </c>
      <c r="M58" s="94" t="inlineStr">
        <is>
          <t>izinli_sonraki</t>
        </is>
      </c>
      <c r="N58" s="94" t="inlineStr">
        <is>
          <t>kategori</t>
        </is>
      </c>
    </row>
    <row r="59" ht="15" customHeight="1" s="68">
      <c r="J59" s="94" t="inlineStr">
        <is>
          <t>HARITA</t>
        </is>
      </c>
      <c r="K59" s="94" t="inlineStr">
        <is>
          <t>ACIK</t>
        </is>
      </c>
      <c r="L59" s="94" t="inlineStr">
        <is>
          <t>Açık</t>
        </is>
      </c>
      <c r="M59" s="94" t="inlineStr">
        <is>
          <t>ISLEMDE</t>
        </is>
      </c>
      <c r="N59" s="94" t="inlineStr">
        <is>
          <t>acik</t>
        </is>
      </c>
    </row>
    <row r="60" ht="15" customHeight="1" s="68">
      <c r="J60" s="94" t="inlineStr">
        <is>
          <t>HARITA</t>
        </is>
      </c>
      <c r="K60" s="94" t="inlineStr">
        <is>
          <t>ISLEMDE</t>
        </is>
      </c>
      <c r="L60" s="94" t="inlineStr">
        <is>
          <t>İşlemde</t>
        </is>
      </c>
      <c r="M60" s="94" t="inlineStr">
        <is>
          <t>KAPALI</t>
        </is>
      </c>
      <c r="N60" s="94" t="inlineStr">
        <is>
          <t>acik</t>
        </is>
      </c>
    </row>
    <row r="61" ht="15" customHeight="1" s="68">
      <c r="J61" s="94" t="inlineStr">
        <is>
          <t>HARITA</t>
        </is>
      </c>
      <c r="K61" s="94" t="inlineStr">
        <is>
          <t>KAPALI</t>
        </is>
      </c>
      <c r="L61" s="94" t="inlineStr">
        <is>
          <t>Kapalı</t>
        </is>
      </c>
      <c r="M61" s="94" t="inlineStr">
        <is>
          <t>-</t>
        </is>
      </c>
      <c r="N61" s="94" t="inlineStr">
        <is>
          <t>kapali</t>
        </is>
      </c>
    </row>
    <row r="62" ht="15" customHeight="1" s="68">
      <c r="J62" s="94" t="inlineStr">
        <is>
          <t>HARITA</t>
        </is>
      </c>
      <c r="K62" s="94" t="inlineStr">
        <is>
          <t>GECERSIZ</t>
        </is>
      </c>
      <c r="L62" s="94" t="inlineStr">
        <is>
          <t>Geçersiz geçiş uyarısı</t>
        </is>
      </c>
      <c r="M62" s="94" t="inlineStr">
        <is>
          <t>-</t>
        </is>
      </c>
      <c r="N62" s="94" t="inlineStr">
        <is>
          <t>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AN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9.5" customWidth="1" style="68" min="1" max="1"/>
    <col width="13" customWidth="1" style="68" min="2" max="2"/>
    <col width="13" customWidth="1" style="68" min="3" max="3"/>
    <col width="13" customWidth="1" style="68" min="4" max="4"/>
    <col width="13" customWidth="1" style="68" min="5" max="5"/>
    <col width="13" customWidth="1" style="68" min="6" max="6"/>
    <col width="13" customWidth="1" style="68" min="7" max="7"/>
    <col width="13" customWidth="1" style="68" min="8" max="8"/>
    <col width="13" customWidth="1" style="68" min="9" max="9"/>
    <col width="13" customWidth="1" style="68" min="10" max="10"/>
  </cols>
  <sheetData>
    <row r="1" ht="32" customHeight="1" s="68">
      <c r="A1" s="267" t="inlineStr">
        <is>
          <t>KILAVUZ — VERGİ, SGK VE MAAŞ KARŞILIK AYIRMA SİSTEMİ</t>
        </is>
      </c>
    </row>
    <row r="2"/>
    <row r="3" ht="22" customHeight="1" s="68">
      <c r="A3" s="286" t="inlineStr">
        <is>
          <t>Kullanım Kılavuzu</t>
        </is>
      </c>
    </row>
    <row r="4" ht="15" customHeight="1" s="68">
      <c r="A4" s="117" t="inlineStr">
        <is>
          <t>1. Genel Bakış</t>
        </is>
      </c>
    </row>
    <row r="5" ht="15" customHeight="1" s="68">
      <c r="A5" s="117" t="inlineStr">
        <is>
          <t>2. İlk Kurulum</t>
        </is>
      </c>
    </row>
    <row r="6" ht="15" customHeight="1" s="68">
      <c r="A6" s="117" t="inlineStr">
        <is>
          <t>3. Veri Girişi</t>
        </is>
      </c>
    </row>
    <row r="7" ht="15" customHeight="1" s="68">
      <c r="A7" s="117" t="inlineStr">
        <is>
          <t>4. Sonuçları Okuma</t>
        </is>
      </c>
    </row>
    <row r="8" ht="15" customHeight="1" s="68">
      <c r="A8" s="117" t="inlineStr">
        <is>
          <t>5. Senaryo Çalışması</t>
        </is>
      </c>
    </row>
    <row r="9" ht="15" customHeight="1" s="68">
      <c r="A9" s="117" t="inlineStr">
        <is>
          <t>6. Koruma</t>
        </is>
      </c>
    </row>
    <row r="10" ht="15" customHeight="1" s="68">
      <c r="A10" s="117" t="inlineStr">
        <is>
          <t>7. Güncelleme</t>
        </is>
      </c>
    </row>
    <row r="11" ht="15" customHeight="1" s="68">
      <c r="A11" s="103" t="inlineStr">
        <is>
          <t>Oranlar mevzuata göre AYARLAR'dan güncellenir; formüller değişmez.</t>
        </is>
      </c>
    </row>
    <row r="12"/>
    <row r="13"/>
    <row r="14"/>
    <row r="15"/>
    <row r="16"/>
    <row r="17"/>
    <row r="18"/>
    <row r="19" ht="15" customHeight="1" s="68">
      <c r="A19" s="148" t="inlineStr">
        <is>
          <t>Bu dosya karar destek aracıdır; beyanname hazırlama, muhasebe kaydı ve hukuki tavsiye niteliği taşımaz.</t>
        </is>
      </c>
    </row>
    <row r="20"/>
    <row r="21" ht="15" customHeight="1" s="68">
      <c r="A21" s="115" t="inlineStr">
        <is>
          <t>Varsayım İşaretli Parametreler</t>
        </is>
      </c>
    </row>
    <row r="22" ht="27.75" customHeight="1" s="68">
      <c r="A22" s="103" t="inlineStr">
        <is>
          <t>Aşağıdaki eşik ve çarpanlar AYARLAR sayfasında kaynak=Varsayım olarak işaretlidir; mevzuat zorunluluğu yoktur ve işletmeye göre güncellenmelidir.</t>
        </is>
      </c>
    </row>
    <row r="23" ht="60.75" customHeight="1" s="68">
      <c r="A23" s="155" t="inlineStr">
        <is>
          <t>• Nakit Karşılık Oranı ve Karşılık Üst Oran</t>
        </is>
      </c>
    </row>
    <row r="24" ht="48.75" customHeight="1" s="68">
      <c r="A24" s="155" t="inlineStr">
        <is>
          <t>• Nakit Eşiği ve Zorunlu Nakit Eşiği</t>
        </is>
      </c>
    </row>
    <row r="25" ht="60.75" customHeight="1" s="68">
      <c r="A25" s="155" t="inlineStr">
        <is>
          <t>• İyimser, Baz ve Kötümser Senaryo Çarpanları</t>
        </is>
      </c>
    </row>
    <row r="26" ht="60.75" customHeight="1" s="68">
      <c r="A26" s="155" t="inlineStr">
        <is>
          <t>• Tornado KDV, KV, SGK ve Gelir Etkileri</t>
        </is>
      </c>
    </row>
    <row r="27" ht="60.75" customHeight="1" s="68">
      <c r="A27" s="155" t="inlineStr">
        <is>
          <t>• Tahmin Çarpanı (standart sapma katı)</t>
        </is>
      </c>
    </row>
    <row r="28" ht="48.75" customHeight="1" s="68">
      <c r="A28" s="155" t="inlineStr">
        <is>
          <t>• Kalite Skoru İyi ve Orta Eşikleri</t>
        </is>
      </c>
    </row>
    <row r="29" ht="72.75" customHeight="1" s="68">
      <c r="A29" s="155" t="inlineStr">
        <is>
          <t>• P90 Yüzdelik Oranı ve Giriş Kolonu Sayıları</t>
        </is>
      </c>
    </row>
    <row r="30" ht="48.75" customHeight="1" s="68">
      <c r="A30" s="155" t="inlineStr">
        <is>
          <t>• Aksiyon Önerisi Açıklamaları</t>
        </is>
      </c>
    </row>
    <row r="31"/>
    <row r="32"/>
    <row r="33" ht="15" customHeight="1" s="68">
      <c r="A33" s="148" t="inlineStr">
        <is>
          <t>Bu dosya tamamen çevrimdışı çalışır; verileriniz cihazınızdan çıkmaz. Makro ve dış bağlantı yoktur.</t>
        </is>
      </c>
    </row>
    <row r="34"/>
    <row r="35"/>
    <row r="36" ht="19.5" customHeight="1" s="68">
      <c r="A36" s="105" t="inlineStr">
        <is>
          <t>Destek: ExcelArşiv — mevzuat oran değişikliklerinde sürüm güncellemeleri satın alma döneminden itibaren 12 ay ücretsizdir.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10:L10"/>
    <mergeCell ref="A7:L7"/>
    <mergeCell ref="A19:L19"/>
    <mergeCell ref="A11:L11"/>
    <mergeCell ref="A33:L33"/>
    <mergeCell ref="A5:L5"/>
    <mergeCell ref="A1:I1"/>
    <mergeCell ref="A8:L8"/>
    <mergeCell ref="A6:L6"/>
    <mergeCell ref="A22:L22"/>
    <mergeCell ref="A3:I3"/>
    <mergeCell ref="A9:L9"/>
    <mergeCell ref="A36:AN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2026-08-10T09:43:54Z</dcterms:created>
  <dcterms:modified xmlns:dcterms="http://purl.org/dc/terms/" xmlns:xsi="http://www.w3.org/2001/XMLSchema-instance" xsi:type="dcterms:W3CDTF">2026-09-25T21:22:38Z</dcterms:modified>
  <cp:revision>0</cp:revision>
</cp:coreProperties>
</file>