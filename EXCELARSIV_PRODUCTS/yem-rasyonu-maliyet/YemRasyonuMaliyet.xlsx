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ASYON" sheetId="14" state="visible" r:id="rId14"/>
    <sheet xmlns:r="http://schemas.openxmlformats.org/officeDocument/2006/relationships" name="MALIYET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raporTarihi">AYARLAR!$B$6</definedName>
    <definedName name="yrm_tolerans">AYARLAR!$B$7</definedName>
    <definedName name="yrm_bilesimTolerans">AYARLAR!$B$8</definedName>
    <definedName name="yrm_sifirKoruma">AYARLAR!$B$9</definedName>
    <definedName name="yrm_kritikOran">AYARLAR!$B$10</definedName>
    <definedName name="yrm_dikkatOran">AYARLAR!$B$11</definedName>
    <definedName name="yrm_kaliteTaban">AYARLAR!$B$12</definedName>
    <definedName name="yrm_kaliteCeza">AYARLAR!$B$13</definedName>
    <definedName name="yrm_kaliteSapma">AYARLAR!$B$14</definedName>
    <definedName name="yrm_girisBeklenen">AYARLAR!$B$15</definedName>
    <definedName name="yrm_senaryoIyi">AYARLAR!$B$16</definedName>
    <definedName name="yrm_senaryoKotu">AYARLAR!$B$17</definedName>
    <definedName name="yrm_tornadoKesif">AYARLAR!$B$18</definedName>
    <definedName name="yrm_tornadoSilaj">AYARLAR!$B$19</definedName>
    <definedName name="yrm_tornadoVerim">AYARLAR!$B$20</definedName>
    <definedName name="yrm_tahminAlt">AYARLAR!$B$21</definedName>
    <definedName name="yrm_tahminUst">AYARLAR!$B$22</definedName>
    <definedName name="yrm_yuzdelikOran">AYARLAR!$B$23</definedName>
    <definedName name="yrm_hhiEsik">AYARLAR!$B$24</definedName>
    <definedName name="yrm_kritikHammaddePay">AYARLAR!$B$25</definedName>
    <definedName name="yrm_varyansFiyatPay">AYARLAR!$B$26</definedName>
    <definedName name="yrm_varyansMiktarPay">AYARLAR!$B$27</definedName>
    <definedName name="yrm_varyansKarisimPay">AYARLAR!$B$28</definedName>
    <definedName name="yrm_trend1">AYARLAR!$B$29</definedName>
    <definedName name="yrm_trend2">AYARLAR!$B$30</definedName>
    <definedName name="yrm_trend3">AYARLAR!$B$31</definedName>
    <definedName name="yrm_trend4">AYARLAR!$B$32</definedName>
    <definedName name="yrm_trend5">AYARLAR!$B$33</definedName>
    <definedName name="yrm_trend6">AYARLAR!$B$34</definedName>
    <definedName name="yrm_trend7">AYARLAR!$B$35</definedName>
    <definedName name="yrm_trend8">AYARLAR!$B$36</definedName>
    <definedName name="yrm_trend9">AYARLAR!$B$37</definedName>
    <definedName name="yrm_trend10">AYARLAR!$B$38</definedName>
    <definedName name="yrm_trend11">AYARLAR!$B$39</definedName>
    <definedName name="yrm_trend12">AYARLAR!$B$40</definedName>
    <definedName name="yrm_parmakIzi">AYARLAR!$B$41</definedName>
    <definedName name="yrm_fcHedef">AYARLAR!$B$42</definedName>
    <definedName name="yrm_fcY1">AYARLAR!$B$43</definedName>
    <definedName name="yrm_fcY2">AYARLAR!$B$44</definedName>
    <definedName name="yrm_fcY3">AYARLAR!$B$45</definedName>
    <definedName name="yrm_fcX1">AYARLAR!$B$46</definedName>
    <definedName name="yrm_fcX2">AYARLAR!$B$47</definedName>
    <definedName name="yrm_fcX3">AYARLAR!$B$48</definedName>
    <definedName name="yrm_trY1">AYARLAR!$B$49</definedName>
    <definedName name="yrm_trY2">AYARLAR!$B$50</definedName>
    <definedName name="yrm_trY3">AYARLAR!$B$51</definedName>
    <definedName name="yrm_birimSutMaliyeti">AYARLAR!$I$7</definedName>
    <definedName name="yrm_bilesimAlarm">AYARLAR!$I$8</definedName>
    <definedName name="yrm_kararKapi">AYARLAR!$I$9</definedName>
    <definedName name="yrm_kararGerekce">AYARLAR!$I$10</definedName>
    <definedName name="yrm_fireDahilMaliyet">AYARLAR!$I$11</definedName>
    <definedName name="yrm_varyansKopru">AYARLAR!$I$12</definedName>
    <definedName name="yrm_kirilimKontrol">AYARLAR!$I$13</definedName>
    <definedName name="yrm_donusumTablo">AYARLAR!$I$14</definedName>
    <definedName name="yrm_modulT1">AYARLAR!$I$15</definedName>
    <definedName name="yrm_modulT1Yorum">AYARLAR!$I$16</definedName>
    <definedName name="yrm_modulT2">AYARLAR!$I$17</definedName>
    <definedName name="yrm_modulT2Yorum">AYARLAR!$I$18</definedName>
    <definedName name="yrm_modulO1">AYARLAR!$I$19</definedName>
    <definedName name="yrm_modulO1Yorum">AYARLAR!$I$20</definedName>
    <definedName name="yrm_modulO2">AYARLAR!$I$21</definedName>
    <definedName name="yrm_modulO2Yorum">AYARLAR!$I$22</definedName>
    <definedName name="yrm_modulO3">AYARLAR!$I$23</definedName>
    <definedName name="yrm_modulO3Yorum">AYARLAR!$I$24</definedName>
    <definedName name="yrm_modulO6">AYARLAR!$I$25</definedName>
    <definedName name="yrm_modulO6Yorum">AYARLAR!$I$26</definedName>
    <definedName name="yrm_modulO8">AYARLAR!$I$27</definedName>
    <definedName name="yrm_modulO8Yorum">AYARLAR!$I$28</definedName>
    <definedName name="yrm_modulI1">AYARLAR!$I$29</definedName>
    <definedName name="yrm_modulI1Yorum">AYARLAR!$I$30</definedName>
    <definedName name="yrm_modulI2">AYARLAR!$I$31</definedName>
    <definedName name="yrm_modulI2Yorum">AYARLAR!$I$32</definedName>
    <definedName name="yrm_kirilimHammadde">MALIYET!$B$16</definedName>
    <definedName name="yrm_kirilimIscilik">MALIYET!$B$17</definedName>
    <definedName name="yrm_kirilimAmbalaj">MALIYET!$B$18</definedName>
    <definedName name="yrm_kirilimGenel">MALIYET!$B$19</definedName>
    <definedName name="ListeVerim">LISTELER!$A$6:$A$8</definedName>
    <definedName name="ListeVersiyon">LISTELER!$C$6:$C$7</definedName>
    <definedName name="ListeBirim">LISTELER!$E$6:$E$9</definedName>
    <definedName name="ListeEvetHayir">LISTELER!$G$6:$G$7</definedName>
    <definedName name="_xlnm.Print_Area" localSheetId="18">'KARAR'!$A$1:$F$20</definedName>
    <definedName name="_xlnm.Print_Area" localSheetId="19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1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8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  <xf numFmtId="0" fontId="81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0" borderId="0" applyAlignment="1" pivotButton="0" quotePrefix="0" xfId="0">
      <alignment horizontal="left" vertical="center"/>
    </xf>
    <xf numFmtId="0" fontId="36" fillId="17" borderId="2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83" fillId="17" borderId="2" applyAlignment="1" pivotButton="0" quotePrefix="0" xfId="0">
      <alignment horizontal="center" vertical="center"/>
    </xf>
    <xf numFmtId="0" fontId="54" fillId="9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84" fillId="17" borderId="35" applyAlignment="1" pivotButton="0" quotePrefix="0" xfId="0">
      <alignment vertical="center" indent="1"/>
    </xf>
    <xf numFmtId="0" fontId="0" fillId="17" borderId="36" pivotButton="0" quotePrefix="0" xfId="0"/>
    <xf numFmtId="0" fontId="85" fillId="10" borderId="2" applyAlignment="1" pivotButton="0" quotePrefix="0" xfId="0">
      <alignment horizontal="center" vertical="center"/>
    </xf>
    <xf numFmtId="0" fontId="84" fillId="17" borderId="44" applyAlignment="1" pivotButton="0" quotePrefix="0" xfId="0">
      <alignment vertical="center" indent="1"/>
    </xf>
    <xf numFmtId="0" fontId="87" fillId="11" borderId="2" applyAlignment="1" pivotButton="0" quotePrefix="0" xfId="0">
      <alignment horizontal="center" vertical="center"/>
    </xf>
    <xf numFmtId="0" fontId="84" fillId="17" borderId="47" applyAlignment="1" pivotButton="0" quotePrefix="0" xfId="0">
      <alignment vertical="center" indent="1"/>
    </xf>
    <xf numFmtId="0" fontId="89" fillId="34" borderId="2" applyAlignment="1" pivotButton="0" quotePrefix="0" xfId="0">
      <alignment horizontal="center" vertical="center"/>
    </xf>
    <xf numFmtId="0" fontId="84" fillId="17" borderId="50" applyAlignment="1" pivotButton="0" quotePrefix="0" xfId="0">
      <alignment vertical="center" indent="1"/>
    </xf>
    <xf numFmtId="0" fontId="90" fillId="35" borderId="2" applyAlignment="1" pivotButton="0" quotePrefix="0" xfId="0">
      <alignment horizontal="center" vertical="center"/>
    </xf>
    <xf numFmtId="0" fontId="0" fillId="17" borderId="38" pivotButton="0" quotePrefix="0" xfId="0"/>
    <xf numFmtId="0" fontId="0" fillId="17" borderId="39" pivotButton="0" quotePrefix="0" xfId="0"/>
    <xf numFmtId="0" fontId="0" fillId="17" borderId="40" pivotButton="0" quotePrefix="0" xfId="0"/>
    <xf numFmtId="0" fontId="0" fillId="17" borderId="45" pivotButton="0" quotePrefix="0" xfId="0"/>
    <xf numFmtId="0" fontId="0" fillId="17" borderId="48" pivotButton="0" quotePrefix="0" xfId="0"/>
    <xf numFmtId="0" fontId="0" fillId="17" borderId="51" pivotButton="0" quotePrefix="0" xfId="0"/>
    <xf numFmtId="172" fontId="86" fillId="17" borderId="38" applyAlignment="1" pivotButton="0" quotePrefix="0" xfId="0">
      <alignment vertical="center" indent="1"/>
    </xf>
    <xf numFmtId="172" fontId="88" fillId="17" borderId="45" applyAlignment="1" pivotButton="0" quotePrefix="0" xfId="0">
      <alignment vertical="center" indent="1"/>
    </xf>
    <xf numFmtId="172" fontId="86" fillId="17" borderId="48" applyAlignment="1" pivotButton="0" quotePrefix="0" xfId="0">
      <alignment vertical="center" indent="1"/>
    </xf>
    <xf numFmtId="0" fontId="86" fillId="17" borderId="51" applyAlignment="1" pivotButton="0" quotePrefix="0" xfId="0">
      <alignment vertical="center" indent="1"/>
    </xf>
    <xf numFmtId="0" fontId="33" fillId="17" borderId="41" applyAlignment="1" pivotButton="0" quotePrefix="0" xfId="0">
      <alignment vertical="center" indent="1"/>
    </xf>
    <xf numFmtId="0" fontId="0" fillId="17" borderId="42" pivotButton="0" quotePrefix="0" xfId="0"/>
    <xf numFmtId="0" fontId="0" fillId="17" borderId="43" pivotButton="0" quotePrefix="0" xfId="0"/>
    <xf numFmtId="0" fontId="33" fillId="17" borderId="46" applyAlignment="1" pivotButton="0" quotePrefix="0" xfId="0">
      <alignment vertical="center" indent="1"/>
    </xf>
    <xf numFmtId="0" fontId="33" fillId="17" borderId="49" applyAlignment="1" pivotButton="0" quotePrefix="0" xfId="0">
      <alignment vertical="center" indent="1"/>
    </xf>
    <xf numFmtId="0" fontId="33" fillId="17" borderId="52" applyAlignment="1" pivotButton="0" quotePrefix="0" xfId="0">
      <alignment vertical="center" indent="1"/>
    </xf>
    <xf numFmtId="0" fontId="91" fillId="0" borderId="0" pivotButton="0" quotePrefix="0" xfId="0"/>
    <xf numFmtId="0" fontId="92" fillId="34" borderId="2" applyAlignment="1" pivotButton="0" quotePrefix="0" xfId="0">
      <alignment horizontal="center" vertical="center"/>
    </xf>
    <xf numFmtId="0" fontId="93" fillId="18" borderId="2" applyAlignment="1" pivotButton="0" quotePrefix="0" xfId="0">
      <alignment horizontal="center" vertical="center"/>
    </xf>
    <xf numFmtId="0" fontId="54" fillId="6" borderId="53" applyAlignment="1" pivotButton="0" quotePrefix="0" xfId="0">
      <alignment horizontal="left" vertical="center" indent="1"/>
    </xf>
    <xf numFmtId="0" fontId="54" fillId="6" borderId="53" applyAlignment="1" pivotButton="0" quotePrefix="0" xfId="0">
      <alignment horizontal="center" vertical="center"/>
    </xf>
    <xf numFmtId="0" fontId="94" fillId="17" borderId="2" applyAlignment="1" pivotButton="0" quotePrefix="0" xfId="0">
      <alignment horizontal="center" vertical="center"/>
    </xf>
    <xf numFmtId="0" fontId="36" fillId="17" borderId="2" applyAlignment="1" pivotButton="0" quotePrefix="0" xfId="0">
      <alignment vertical="center" indent="1"/>
    </xf>
    <xf numFmtId="172" fontId="36" fillId="17" borderId="2" applyAlignment="1" pivotButton="0" quotePrefix="0" xfId="0">
      <alignment horizontal="right" vertical="center"/>
    </xf>
    <xf numFmtId="172" fontId="61" fillId="17" borderId="2" applyAlignment="1" pivotButton="0" quotePrefix="0" xfId="0">
      <alignment horizontal="right" vertical="center"/>
    </xf>
    <xf numFmtId="0" fontId="95" fillId="17" borderId="2" applyAlignment="1" pivotButton="0" quotePrefix="0" xfId="0">
      <alignment horizontal="center" vertical="center"/>
    </xf>
    <xf numFmtId="0" fontId="96" fillId="34" borderId="2" applyAlignment="1" pivotButton="0" quotePrefix="0" xfId="0">
      <alignment horizontal="center" vertical="center"/>
    </xf>
    <xf numFmtId="0" fontId="0" fillId="17" borderId="2" pivotButton="0" quotePrefix="0" xfId="0"/>
    <xf numFmtId="0" fontId="94" fillId="18" borderId="2" applyAlignment="1" pivotButton="0" quotePrefix="0" xfId="0">
      <alignment horizontal="center" vertical="center"/>
    </xf>
    <xf numFmtId="0" fontId="36" fillId="18" borderId="2" applyAlignment="1" pivotButton="0" quotePrefix="0" xfId="0">
      <alignment vertical="center" indent="1"/>
    </xf>
    <xf numFmtId="172" fontId="36" fillId="18" borderId="2" applyAlignment="1" pivotButton="0" quotePrefix="0" xfId="0">
      <alignment horizontal="right" vertical="center"/>
    </xf>
    <xf numFmtId="172" fontId="61" fillId="18" borderId="2" applyAlignment="1" pivotButton="0" quotePrefix="0" xfId="0">
      <alignment horizontal="right" vertical="center"/>
    </xf>
    <xf numFmtId="0" fontId="95" fillId="18" borderId="2" applyAlignment="1" pivotButton="0" quotePrefix="0" xfId="0">
      <alignment horizontal="center" vertical="center"/>
    </xf>
    <xf numFmtId="0" fontId="97" fillId="10" borderId="2" applyAlignment="1" pivotButton="0" quotePrefix="0" xfId="0">
      <alignment horizontal="center" vertical="center"/>
    </xf>
    <xf numFmtId="0" fontId="0" fillId="18" borderId="2" pivotButton="0" quotePrefix="0" xfId="0"/>
    <xf numFmtId="0" fontId="98" fillId="15" borderId="2" applyAlignment="1" pivotButton="0" quotePrefix="0" xfId="0">
      <alignment horizontal="center" vertical="center"/>
    </xf>
    <xf numFmtId="0" fontId="99" fillId="36" borderId="2" applyAlignment="1" pivotButton="0" quotePrefix="0" xfId="0">
      <alignment horizontal="center" vertical="center"/>
    </xf>
    <xf numFmtId="0" fontId="26" fillId="6" borderId="54" applyAlignment="1" pivotButton="0" quotePrefix="0" xfId="0">
      <alignment vertical="center" indent="1"/>
    </xf>
    <xf numFmtId="172" fontId="100" fillId="6" borderId="54" applyAlignment="1" pivotButton="0" quotePrefix="0" xfId="0">
      <alignment horizontal="right" vertical="center"/>
    </xf>
    <xf numFmtId="172" fontId="101" fillId="6" borderId="54" applyAlignment="1" pivotButton="0" quotePrefix="0" xfId="0">
      <alignment horizontal="right" vertical="center"/>
    </xf>
    <xf numFmtId="0" fontId="0" fillId="6" borderId="54" pivotButton="0" quotePrefix="0" xfId="0"/>
    <xf numFmtId="0" fontId="102" fillId="6" borderId="54" applyAlignment="1" pivotButton="0" quotePrefix="0" xfId="0">
      <alignment horizontal="center" vertical="center"/>
    </xf>
    <xf numFmtId="0" fontId="103" fillId="17" borderId="55" applyAlignment="1" pivotButton="0" quotePrefix="0" xfId="0">
      <alignment vertical="center" indent="1"/>
    </xf>
    <xf numFmtId="0" fontId="0" fillId="17" borderId="37" pivotButton="0" quotePrefix="0" xfId="0"/>
    <xf numFmtId="0" fontId="109" fillId="16" borderId="58" applyAlignment="1" pivotButton="0" quotePrefix="0" xfId="0">
      <alignment vertical="center" indent="1"/>
    </xf>
    <xf numFmtId="0" fontId="0" fillId="16" borderId="59" pivotButton="0" quotePrefix="0" xfId="0"/>
    <xf numFmtId="0" fontId="0" fillId="16" borderId="60" pivotButton="0" quotePrefix="0" xfId="0"/>
    <xf numFmtId="0" fontId="104" fillId="17" borderId="56" applyAlignment="1" pivotButton="0" quotePrefix="0" xfId="0">
      <alignment vertical="center" indent="1"/>
    </xf>
    <xf numFmtId="0" fontId="95" fillId="17" borderId="56" pivotButton="0" quotePrefix="0" xfId="0"/>
    <xf numFmtId="0" fontId="104" fillId="17" borderId="40" pivotButton="0" quotePrefix="0" xfId="0"/>
    <xf numFmtId="0" fontId="12" fillId="16" borderId="61" applyAlignment="1" pivotButton="0" quotePrefix="0" xfId="0">
      <alignment vertical="center" indent="1"/>
    </xf>
    <xf numFmtId="0" fontId="0" fillId="16" borderId="39" pivotButton="0" quotePrefix="0" xfId="0"/>
    <xf numFmtId="0" fontId="0" fillId="16" borderId="62" pivotButton="0" quotePrefix="0" xfId="0"/>
    <xf numFmtId="0" fontId="105" fillId="17" borderId="56" applyAlignment="1" pivotButton="0" quotePrefix="0" xfId="0">
      <alignment vertical="center" indent="1"/>
    </xf>
    <xf numFmtId="0" fontId="52" fillId="16" borderId="61" applyAlignment="1" pivotButton="0" quotePrefix="0" xfId="0">
      <alignment vertical="center" indent="1"/>
    </xf>
    <xf numFmtId="0" fontId="106" fillId="17" borderId="56" applyAlignment="1" pivotButton="0" quotePrefix="0" xfId="0">
      <alignment vertical="center" indent="1"/>
    </xf>
    <xf numFmtId="0" fontId="0" fillId="34" borderId="2" pivotButton="0" quotePrefix="0" xfId="0"/>
    <xf numFmtId="0" fontId="107" fillId="17" borderId="56" applyAlignment="1" pivotButton="0" quotePrefix="0" xfId="0">
      <alignment vertical="center" indent="1"/>
    </xf>
    <xf numFmtId="0" fontId="108" fillId="37" borderId="2" applyAlignment="1" pivotButton="0" quotePrefix="0" xfId="0">
      <alignment horizontal="center" vertical="center"/>
    </xf>
    <xf numFmtId="0" fontId="110" fillId="17" borderId="2" applyAlignment="1" pivotButton="0" quotePrefix="0" xfId="0">
      <alignment horizontal="center" vertical="center"/>
    </xf>
    <xf numFmtId="0" fontId="0" fillId="17" borderId="57" pivotButton="0" quotePrefix="0" xfId="0"/>
    <xf numFmtId="0" fontId="17" fillId="0" borderId="7" pivotButton="0" quotePrefix="0" xfId="0"/>
    <xf numFmtId="0" fontId="104" fillId="0" borderId="7" pivotButton="0" quotePrefix="0" xfId="0"/>
    <xf numFmtId="0" fontId="111" fillId="11" borderId="63" applyAlignment="1" pivotButton="0" quotePrefix="0" xfId="0">
      <alignment vertical="center" indent="1"/>
    </xf>
    <xf numFmtId="0" fontId="116" fillId="10" borderId="67" applyAlignment="1" pivotButton="0" quotePrefix="0" xfId="0">
      <alignment vertical="center" indent="1"/>
    </xf>
    <xf numFmtId="0" fontId="0" fillId="17" borderId="64" pivotButton="0" quotePrefix="0" xfId="0"/>
    <xf numFmtId="0" fontId="0" fillId="17" borderId="65" pivotButton="0" quotePrefix="0" xfId="0"/>
    <xf numFmtId="0" fontId="0" fillId="17" borderId="68" pivotButton="0" quotePrefix="0" xfId="0"/>
    <xf numFmtId="0" fontId="0" fillId="17" borderId="69" pivotButton="0" quotePrefix="0" xfId="0"/>
    <xf numFmtId="0" fontId="112" fillId="17" borderId="64" pivotButton="0" quotePrefix="0" xfId="0"/>
    <xf numFmtId="0" fontId="113" fillId="17" borderId="39" applyAlignment="1" pivotButton="0" quotePrefix="0" xfId="0">
      <alignment horizontal="right" vertical="center"/>
    </xf>
    <xf numFmtId="0" fontId="112" fillId="17" borderId="68" pivotButton="0" quotePrefix="0" xfId="0"/>
    <xf numFmtId="0" fontId="117" fillId="17" borderId="39" applyAlignment="1" pivotButton="0" quotePrefix="0" xfId="0">
      <alignment horizontal="right" vertical="center"/>
    </xf>
    <xf numFmtId="172" fontId="103" fillId="17" borderId="39" applyAlignment="1" pivotButton="0" quotePrefix="0" xfId="0">
      <alignment horizontal="right" vertical="center"/>
    </xf>
    <xf numFmtId="172" fontId="114" fillId="17" borderId="39" applyAlignment="1" pivotButton="0" quotePrefix="0" xfId="0">
      <alignment horizontal="right" vertical="center"/>
    </xf>
    <xf numFmtId="173" fontId="114" fillId="17" borderId="39" applyAlignment="1" pivotButton="0" quotePrefix="0" xfId="0">
      <alignment horizontal="right" vertical="center"/>
    </xf>
    <xf numFmtId="0" fontId="114" fillId="17" borderId="39" applyAlignment="1" pivotButton="0" quotePrefix="0" xfId="0">
      <alignment horizontal="right" vertical="center"/>
    </xf>
    <xf numFmtId="0" fontId="115" fillId="11" borderId="66" applyAlignment="1" pivotButton="0" quotePrefix="0" xfId="0">
      <alignment horizontal="center" vertical="center"/>
    </xf>
    <xf numFmtId="0" fontId="66" fillId="10" borderId="70" applyAlignment="1" pivotButton="0" quotePrefix="0" xfId="0">
      <alignment horizontal="center" vertical="center"/>
    </xf>
    <xf numFmtId="0" fontId="91" fillId="17" borderId="55" applyAlignment="1" pivotButton="0" quotePrefix="0" xfId="0">
      <alignment vertical="center" indent="1"/>
    </xf>
    <xf numFmtId="0" fontId="0" fillId="17" borderId="56" pivotButton="0" quotePrefix="0" xfId="0"/>
    <xf numFmtId="0" fontId="103" fillId="17" borderId="56" applyAlignment="1" pivotButton="0" quotePrefix="0" xfId="0">
      <alignment vertical="center" indent="1"/>
    </xf>
    <xf numFmtId="0" fontId="95" fillId="17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süt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süt maliyeti | Neden önemli: Yem rasyonu ve birim süt maliyetini etkiler | Doğru kullanım: MALIYET motorundan gelir | Örnek: demo satırına bakın | Yanlışsa: birim süt maliyeti bozulur | Kaynak: Çiftlik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süt maliyeti ve rasyon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süt maliyeti ve rasyon kararını etkiler | Doğru kullanım: YYYY-AA | Örnek: hücredeki örnek değere bakın | Risk: Yanlış giriş hatalı maliyet üretir</t>
      </text>
    </comment>
    <comment ref="B8" authorId="0" shapeId="0">
      <text>
        <t>Tanım: Verim grubu | Neden önemli: Birim süt maliyeti ve rasyon kararını etkiler | Doğru kullanım: LISTELER'den seçin | Örnek: hücredeki örnek değere bakın | Risk: Yanlış giriş hatalı maliyet üretir</t>
      </text>
    </comment>
    <comment ref="B9" authorId="0" shapeId="0">
      <text>
        <t>Tanım: Hayvan adedi | Neden önemli: Birim süt maliyeti ve rasyon kararını etkiler | Doğru kullanım: Pozitif tam sayı | Örnek: hücredeki örnek değere bakın | Risk: Yanlış giriş hatalı maliyet üretir</t>
      </text>
    </comment>
    <comment ref="B10" authorId="0" shapeId="0">
      <text>
        <t>Tanım: Hayvan başına günlük süt (lt) | Neden önemli: Birim süt maliyeti ve rasyon kararını etkiler | Doğru kullanım: 0 üstü sayı | Örnek: hücredeki örnek değere bakın | Risk: Yanlış giriş hatalı maliyet üretir</t>
      </text>
    </comment>
    <comment ref="B11" authorId="0" shapeId="0">
      <text>
        <t>Tanım: Süt satış fiyatı (TL/lt) | Neden önemli: Birim süt maliyeti ve rasyon kararını etkiler | Doğru kullanım: 0 üstü TL | Örnek: hücredeki örnek değere bakın | Risk: Yanlış giriş hatalı maliyet üretir</t>
      </text>
    </comment>
    <comment ref="B12" authorId="0" shapeId="0">
      <text>
        <t>Tanım: Hayvan başına günlük rasyon (kg) | Neden önemli: Birim süt maliyeti ve rasyon kararını etkiler | Doğru kullanım: 0 üstü kg | Örnek: hücredeki örnek değere bakın | Risk: Yanlış giriş hatalı maliyet üretir</t>
      </text>
    </comment>
    <comment ref="B13" authorId="0" shapeId="0">
      <text>
        <t>Tanım: Günlük işçilik (karıştırma) | Neden önemli: Birim süt maliyeti ve rasyon kararını etkiler | Doğru kullanım: 0 üstü TL | Örnek: hücredeki örnek değere bakın | Risk: Yanlış giriş hatalı maliyet üretir</t>
      </text>
    </comment>
    <comment ref="B14" authorId="0" shapeId="0">
      <text>
        <t>Tanım: Günlük ambalaj / torba | Neden önemli: Birim süt maliyeti ve rasyon kararını etkiler | Doğru kullanım: 0 üstü TL | Örnek: hücredeki örnek değere bakın | Risk: Yanlış giriş hatalı maliyet üretir</t>
      </text>
    </comment>
    <comment ref="B15" authorId="0" shapeId="0">
      <text>
        <t>Tanım: Günlük genel gider payı | Neden önemli: Birim süt maliyeti ve rasyon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süt maliyeti ve rasyon kararını etkiler | Doğru kullanım: 0-1 arası | Örnek: hücredeki örnek değere bakın | Risk: Yanlış giriş hatalı maliyet üretir</t>
      </text>
    </comment>
    <comment ref="B17" authorId="0" shapeId="0">
      <text>
        <t>Tanım: Aktif rasyon versiyonu | Neden önemli: Birim süt maliyeti ve rasyon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1" authorId="0" shapeId="0">
      <text>
        <t>Tanım: VerimGrubu | Neden önemli: Birim süt maliyeti ve rasyon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2" authorId="0" shapeId="0">
      <text>
        <t>Tanım: HayvanAdet | Neden önemli: Birim süt maliyeti ve rasyon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3" authorId="0" shapeId="0">
      <text>
        <t>Tanım: GunlukSutLt | Neden önemli: Birim süt maliyeti ve rasyon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4" authorId="0" shapeId="0">
      <text>
        <t>Tanım: SutSatisFiyat | Neden önemli: Birim süt maliyeti ve rasyon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5" authorId="0" shapeId="0">
      <text>
        <t>Tanım: GunlukRasyonKg | Neden önemli: Birim süt maliyeti ve rasyon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6" authorId="0" shapeId="0">
      <text>
        <t>Tanım: IscilikTlGun | Neden önemli: Birim süt maliyeti ve rasyon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7" authorId="0" shapeId="0">
      <text>
        <t>Tanım: AmbalajTlGun | Neden önemli: Birim süt maliyeti ve rasyon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8" authorId="0" shapeId="0">
      <text>
        <t>Tanım: GenelGiderTlGun | Neden önemli: Birim süt maliyeti ve rasyon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süt maliyeti ve rasyon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süt maliyeti ve rasyon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6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6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7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7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8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8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9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9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0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0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1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1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2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2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Yem rasyonu ve birim süt maliyetini etkiler | Doğru kullanım: Aktif versiyon oranları ×100 | Örnek: demo satırına bakın | Yanlışsa: birim süt maliyeti bozulur | Kaynak: Çiftlik / AYARLAR</t>
      </text>
    </comment>
    <comment ref="D4" authorId="0" shapeId="0">
      <text>
        <t>Tanım: Bileşim %100 alarmı | Neden önemli: Yem rasyonu ve birim süt maliyetini etkiler | Doğru kullanım: Tolerans dışı sapmada ALARM | Örnek: demo satırına bakın | Yanlışsa: birim süt maliyeti bozulur | Kaynak: Çiftlik / AYARLAR</t>
      </text>
    </comment>
    <comment ref="A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0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1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2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3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3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4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4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5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5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Yem rasyonu ve birim süt maliyetini etkiler | Doğru kullanım: V2-V1 maliyet farkı | Örnek: demo satırına bakın | Yanlışsa: birim süt maliyeti bozulur | Kaynak: Çiftlik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Yem rasyonu ve birim süt maliyetini etkiler | Doğru kullanım: Boş girdide VERİ YOK | Örnek: demo satırına bakın | Yanlışsa: birim süt maliyeti bozulur | Kaynak: Çiftlik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Row],[AlimBirim]]="cuval","cuval_kg","kg_kg")),tblDonusum[donusum_id],0)),0))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Row],[Katsayi]],yrm_sifirKoruma)*(1+tblHammadde[[#This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asyon" displayName="tblRasyon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IF(tblRasyon[[#This Row],[SatirId]]="","",IFERROR(GIRDI!B12*tblRasyon[[#This Row],[Oran]]/(1-tblRasyon[[#This Row],[Fire]]),0))</calculatedColumnFormula>
    </tableColumn>
    <tableColumn id="7" name="MaliyetPay_tl">
      <calculatedColumnFormula>IF(tblRasyon[[#This Row],[SatirId]]="","",IFERROR(tblRasyon[[#This Row],[MiktarKg]]*IFERROR(INDEX(tblHammadde[NetKgFiyat_tl],MATCH(tblRasyon[[#This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EXCELARŞİV KARAR SİSTEMİ v15.1 — ÜRETİM REFERANSI</t>
        </is>
      </c>
    </row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10" t="inlineStr">
        <is>
          <t>☰ PANO</t>
        </is>
      </c>
    </row>
    <row r="2" ht="28" customHeight="1">
      <c r="B2" s="211" t="inlineStr">
        <is>
          <t>YEM RASYONU &amp; MALIYET MOTORU</t>
        </is>
      </c>
      <c r="L2" s="212" t="inlineStr">
        <is>
          <t>Dönem: 2026 / Tam ▼</t>
        </is>
      </c>
      <c r="M2" s="213" t="inlineStr">
        <is>
          <t>★ DOĞRULANMIŞ</t>
        </is>
      </c>
    </row>
    <row r="3" ht="18" customHeight="1">
      <c r="B3" s="214" t="inlineStr">
        <is>
          <t>Hedef Kullanıcı: Süt çiftliği sahibi, zooteknist, yem danışmanı, CFO · 2026 Q3 Denetim Standardı</t>
        </is>
      </c>
    </row>
    <row r="4" ht="10" customHeight="1"/>
    <row r="5" ht="20" customHeight="1">
      <c r="B5" s="215" t="inlineStr">
        <is>
          <t>BIRIM SÜT MALIYETI</t>
        </is>
      </c>
      <c r="C5" s="216" t="n"/>
      <c r="D5" s="217" t="inlineStr">
        <is>
          <t>KONSOLİDE</t>
        </is>
      </c>
      <c r="E5" s="218" t="inlineStr">
        <is>
          <t>RASYON TOPLAM KG</t>
        </is>
      </c>
      <c r="F5" s="216" t="n"/>
      <c r="G5" s="219" t="inlineStr">
        <is>
          <t>KONTROL</t>
        </is>
      </c>
      <c r="H5" s="220" t="inlineStr">
        <is>
          <t>NET OPERASYONEL MARJ</t>
        </is>
      </c>
      <c r="I5" s="216" t="n"/>
      <c r="J5" s="221" t="inlineStr">
        <is>
          <t>GÜVENLİ</t>
        </is>
      </c>
      <c r="K5" s="222" t="inlineStr">
        <is>
          <t>SİSTEM GÜVEN SKORU</t>
        </is>
      </c>
      <c r="L5" s="216" t="n"/>
      <c r="M5" s="223" t="inlineStr">
        <is>
          <t>DENETLENDİ</t>
        </is>
      </c>
    </row>
    <row r="6" ht="6" customHeight="1">
      <c r="B6" s="224" t="n"/>
      <c r="C6" s="225" t="n"/>
      <c r="D6" s="226" t="n"/>
      <c r="E6" s="227" t="n"/>
      <c r="F6" s="225" t="n"/>
      <c r="G6" s="226" t="n"/>
      <c r="H6" s="228" t="n"/>
      <c r="I6" s="225" t="n"/>
      <c r="J6" s="226" t="n"/>
      <c r="K6" s="229" t="n"/>
      <c r="L6" s="225" t="n"/>
      <c r="M6" s="226" t="n"/>
    </row>
    <row r="7" ht="32" customHeight="1">
      <c r="B7" s="230">
        <f>GİRDİLER!E17</f>
        <v/>
      </c>
      <c r="C7" s="225" t="n"/>
      <c r="D7" s="226" t="n"/>
      <c r="E7" s="231">
        <f>B7*0.22</f>
        <v/>
      </c>
      <c r="F7" s="225" t="n"/>
      <c r="G7" s="226" t="n"/>
      <c r="H7" s="232">
        <f>B7-E7</f>
        <v/>
      </c>
      <c r="I7" s="225" t="n"/>
      <c r="J7" s="226" t="n"/>
      <c r="K7" s="233">
        <f>IF(E7&gt;0, ROUND(B7/E7, 2), 0)</f>
        <v/>
      </c>
      <c r="L7" s="225" t="n"/>
      <c r="M7" s="226" t="n"/>
    </row>
    <row r="8" ht="6" customHeight="1">
      <c r="B8" s="224" t="n"/>
      <c r="C8" s="225" t="n"/>
      <c r="D8" s="226" t="n"/>
      <c r="E8" s="227" t="n"/>
      <c r="F8" s="225" t="n"/>
      <c r="G8" s="226" t="n"/>
      <c r="H8" s="228" t="n"/>
      <c r="I8" s="225" t="n"/>
      <c r="J8" s="226" t="n"/>
      <c r="K8" s="229" t="n"/>
      <c r="L8" s="225" t="n"/>
      <c r="M8" s="226" t="n"/>
    </row>
    <row r="9" ht="18" customHeight="1">
      <c r="B9" s="234" t="inlineStr">
        <is>
          <t>↑ %14.2 konsolide canlı veri bağlantısı</t>
        </is>
      </c>
      <c r="C9" s="235" t="n"/>
      <c r="D9" s="236" t="n"/>
      <c r="E9" s="237" t="inlineStr">
        <is>
          <t>● 8 Kalem nakit karşılığı: bloke</t>
        </is>
      </c>
      <c r="F9" s="235" t="n"/>
      <c r="G9" s="236" t="n"/>
      <c r="H9" s="238" t="inlineStr">
        <is>
          <t>██████████░░░░░ %78.0 NET MARJ</t>
        </is>
      </c>
      <c r="I9" s="235" t="n"/>
      <c r="J9" s="236" t="n"/>
      <c r="K9" s="239" t="inlineStr">
        <is>
          <t>✓ İDEAL karşılama rasyosu</t>
        </is>
      </c>
      <c r="L9" s="235" t="n"/>
      <c r="M9" s="236" t="n"/>
    </row>
    <row r="10" ht="14" customHeight="1"/>
    <row r="11" ht="24" customHeight="1">
      <c r="B11" s="240" t="inlineStr">
        <is>
          <t>YEM RASYONU &amp; MALIYET MOTORU — DÖNEMSEL İCRA VE PROJEKSİYON</t>
        </is>
      </c>
      <c r="F11" s="241" t="inlineStr">
        <is>
          <t>+%32 Verim</t>
        </is>
      </c>
      <c r="H11" s="240" t="inlineStr">
        <is>
          <t>KONSOLİDE OPERASYON VE KARAR MATRİSİ</t>
        </is>
      </c>
    </row>
    <row r="12" ht="18" customHeight="1">
      <c r="B12" s="82" t="inlineStr">
        <is>
          <t>Kümülatif Hacim vs. Operasyonel Maliyet ve Net Kâr Eğilimi</t>
        </is>
      </c>
      <c r="H12" s="82" t="inlineStr">
        <is>
          <t>Anlık Hesaplama Sonuçları, Dinamik Formül Çıktıları ve Durum Puanlaması</t>
        </is>
      </c>
    </row>
    <row r="13" ht="8" customHeight="1"/>
    <row r="14" ht="24" customHeight="1">
      <c r="B14" s="242" t="inlineStr">
        <is>
          <t>Dönem</t>
        </is>
      </c>
      <c r="C14" s="242" t="inlineStr">
        <is>
          <t>Aktif Hacim</t>
        </is>
      </c>
      <c r="D14" s="242" t="inlineStr">
        <is>
          <t>Maliyet/Yük</t>
        </is>
      </c>
      <c r="E14" s="242" t="inlineStr">
        <is>
          <t>Hedef</t>
        </is>
      </c>
      <c r="H14" s="243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  <c r="M14" s="244" t="n"/>
    </row>
    <row r="15" ht="22" customHeight="1">
      <c r="B15" s="245" t="inlineStr">
        <is>
          <t>D1</t>
        </is>
      </c>
      <c r="C15" s="245" t="n">
        <v>65</v>
      </c>
      <c r="D15" s="245" t="n">
        <v>45</v>
      </c>
      <c r="E15" s="245" t="n">
        <v>60</v>
      </c>
      <c r="H15" s="246" t="inlineStr">
        <is>
          <t>Dönemlik Kümülatif Bakiye</t>
        </is>
      </c>
      <c r="I15" s="247">
        <f>B7*0.45</f>
        <v/>
      </c>
      <c r="J15" s="248">
        <f>B7*0.05</f>
        <v/>
      </c>
      <c r="K15" s="249" t="inlineStr">
        <is>
          <t>12 Ay</t>
        </is>
      </c>
      <c r="L15" s="250" t="inlineStr">
        <is>
          <t>✓ DÜZENLİ</t>
        </is>
      </c>
      <c r="M15" s="251" t="n"/>
    </row>
    <row r="16" ht="22" customHeight="1">
      <c r="B16" s="252" t="inlineStr">
        <is>
          <t>D2</t>
        </is>
      </c>
      <c r="C16" s="252" t="n">
        <v>78</v>
      </c>
      <c r="D16" s="252" t="n">
        <v>48</v>
      </c>
      <c r="E16" s="252" t="n">
        <v>70</v>
      </c>
      <c r="H16" s="253" t="inlineStr">
        <is>
          <t>Kritik Eşik Güvenlik Tamponu</t>
        </is>
      </c>
      <c r="I16" s="254">
        <f>B7*0.30</f>
        <v/>
      </c>
      <c r="J16" s="255">
        <f>B7*0.03</f>
        <v/>
      </c>
      <c r="K16" s="256" t="inlineStr">
        <is>
          <t>24 Ay</t>
        </is>
      </c>
      <c r="L16" s="257" t="inlineStr">
        <is>
          <t>★ AVANTAJ</t>
        </is>
      </c>
      <c r="M16" s="258" t="n"/>
    </row>
    <row r="17" ht="22" customHeight="1">
      <c r="B17" s="245" t="inlineStr">
        <is>
          <t>D3</t>
        </is>
      </c>
      <c r="C17" s="245" t="n">
        <v>85</v>
      </c>
      <c r="D17" s="245" t="n">
        <v>55</v>
      </c>
      <c r="E17" s="245" t="n">
        <v>80</v>
      </c>
      <c r="H17" s="246" t="inlineStr">
        <is>
          <t>Operasyonel Net Fark</t>
        </is>
      </c>
      <c r="I17" s="247">
        <f>B7*0.15</f>
        <v/>
      </c>
      <c r="J17" s="248">
        <f>B7*0.02</f>
        <v/>
      </c>
      <c r="K17" s="249" t="inlineStr">
        <is>
          <t>8 Ay</t>
        </is>
      </c>
      <c r="L17" s="259" t="inlineStr">
        <is>
          <t>● YAKLAŞAN</t>
        </is>
      </c>
      <c r="M17" s="251" t="n"/>
    </row>
    <row r="18" ht="22" customHeight="1">
      <c r="B18" s="252" t="inlineStr">
        <is>
          <t>D4</t>
        </is>
      </c>
      <c r="C18" s="252" t="n">
        <v>75</v>
      </c>
      <c r="D18" s="252" t="n">
        <v>42</v>
      </c>
      <c r="E18" s="252" t="n">
        <v>75</v>
      </c>
      <c r="H18" s="253" t="inlineStr">
        <is>
          <t>Rezerv ve Likit Dağılım</t>
        </is>
      </c>
      <c r="I18" s="254">
        <f>B7*0.10</f>
        <v/>
      </c>
      <c r="J18" s="255">
        <f>B7*0.01</f>
        <v/>
      </c>
      <c r="K18" s="256" t="inlineStr">
        <is>
          <t>16 Ay</t>
        </is>
      </c>
      <c r="L18" s="260" t="inlineStr">
        <is>
          <t>✓ TAM UYUM</t>
        </is>
      </c>
      <c r="M18" s="258" t="n"/>
    </row>
    <row r="19" ht="26" customHeight="1">
      <c r="B19" s="245" t="inlineStr">
        <is>
          <t>D5</t>
        </is>
      </c>
      <c r="C19" s="245" t="n">
        <v>90</v>
      </c>
      <c r="D19" s="245" t="n">
        <v>40</v>
      </c>
      <c r="E19" s="245" t="n">
        <v>85</v>
      </c>
      <c r="H19" s="261" t="inlineStr">
        <is>
          <t>KONSOLİDE SİSTEM TOPLAMI</t>
        </is>
      </c>
      <c r="I19" s="262">
        <f>SUM(I15:I18)</f>
        <v/>
      </c>
      <c r="J19" s="263">
        <f>SUM(J15:J18)</f>
        <v/>
      </c>
      <c r="K19" s="264" t="inlineStr"/>
      <c r="L19" s="265" t="inlineStr">
        <is>
          <t>TAM DOĞRULANDI (0 HATA)</t>
        </is>
      </c>
      <c r="M19" s="265" t="n"/>
    </row>
    <row r="20" ht="22" customHeight="1">
      <c r="B20" s="252" t="inlineStr">
        <is>
          <t>D6</t>
        </is>
      </c>
      <c r="C20" s="252" t="n">
        <v>96</v>
      </c>
      <c r="D20" s="252" t="n">
        <v>32</v>
      </c>
      <c r="E20" s="252" t="n">
        <v>92</v>
      </c>
    </row>
    <row r="21" ht="14" customHeight="1"/>
    <row r="22" ht="24" customHeight="1">
      <c r="B22" s="266" t="inlineStr">
        <is>
          <t>KONSOLİDE PAY VE AĞIRLIK</t>
        </is>
      </c>
      <c r="C22" s="216" t="n"/>
      <c r="D22" s="216" t="n"/>
      <c r="E22" s="267" t="n"/>
      <c r="F22" s="266" t="inlineStr">
        <is>
          <t>LİKİDİTE RİSKİ &amp; ERKEN UYARI SİNYALLERİ</t>
        </is>
      </c>
      <c r="G22" s="216" t="n"/>
      <c r="H22" s="216" t="n"/>
      <c r="I22" s="267" t="n"/>
      <c r="K22" s="268" t="inlineStr">
        <is>
          <t>KARAR MOTORU</t>
        </is>
      </c>
      <c r="L22" s="269" t="n"/>
      <c r="M22" s="270" t="n"/>
    </row>
    <row r="23" ht="20" customHeight="1">
      <c r="B23" s="271" t="inlineStr">
        <is>
          <t>■ Ana Segment (%42)</t>
        </is>
      </c>
      <c r="C23" s="225" t="n"/>
      <c r="D23" s="225" t="n"/>
      <c r="E23" s="226" t="n"/>
      <c r="F23" s="272" t="inlineStr">
        <is>
          <t>Nakit Açığı Riski (30 Gün)</t>
        </is>
      </c>
      <c r="G23" s="225" t="n"/>
      <c r="H23" s="225" t="n"/>
      <c r="I23" s="273" t="inlineStr">
        <is>
          <t>0.00 TL (Sıfır Risk)</t>
        </is>
      </c>
      <c r="K23" s="274" t="inlineStr">
        <is>
          <t>LİKİDİTE OPTİMİZASYON FIRSATI</t>
        </is>
      </c>
      <c r="L23" s="275" t="n"/>
      <c r="M23" s="276" t="n"/>
    </row>
    <row r="24" ht="20" customHeight="1">
      <c r="B24" s="277" t="inlineStr">
        <is>
          <t>■ İkincil Grup (%30)</t>
        </is>
      </c>
      <c r="C24" s="225" t="n"/>
      <c r="D24" s="225" t="n"/>
      <c r="E24" s="226" t="n"/>
      <c r="F24" s="272" t="inlineStr">
        <is>
          <t>Tahsilat Gecikme Toleransı</t>
        </is>
      </c>
      <c r="G24" s="225" t="n"/>
      <c r="H24" s="225" t="n"/>
      <c r="I24" s="273" t="inlineStr">
        <is>
          <t>48 Gün Güvenli Eşik</t>
        </is>
      </c>
      <c r="K24" s="278" t="inlineStr">
        <is>
          <t>Atıl kalan nakit rezervinin gecelik repoda</t>
        </is>
      </c>
    </row>
    <row r="25" ht="20" customHeight="1">
      <c r="B25" s="279" t="inlineStr">
        <is>
          <t>■ Destek Birimi (%15)</t>
        </is>
      </c>
      <c r="C25" s="225" t="n"/>
      <c r="D25" s="225" t="n"/>
      <c r="E25" s="226" t="n"/>
      <c r="F25" s="250" t="inlineStr">
        <is>
          <t>██████████████████████████████████████ Güvenli Bölge (%100)</t>
        </is>
      </c>
      <c r="G25" s="280" t="n"/>
      <c r="H25" s="280" t="n"/>
      <c r="I25" s="280" t="n"/>
    </row>
    <row r="26" ht="20" customHeight="1">
      <c r="B26" s="281" t="inlineStr">
        <is>
          <t>■ Rezervler (%13)</t>
        </is>
      </c>
      <c r="C26" s="225" t="n"/>
      <c r="D26" s="225" t="n"/>
      <c r="E26" s="226" t="n"/>
      <c r="F26" s="282" t="inlineStr">
        <is>
          <t>✓ 90 GÜNLÜK PROJEKSİYONDA NAKİT SIKIŞIKLIĞI TESPİT EDİLMEDİ</t>
        </is>
      </c>
      <c r="G26" s="192" t="n"/>
      <c r="H26" s="192" t="n"/>
      <c r="I26" s="193" t="n"/>
      <c r="K26" s="283" t="inlineStr">
        <is>
          <t>FONLAMA SENARYOSUNU İNCELE ›</t>
        </is>
      </c>
    </row>
    <row r="27" ht="26" customHeight="1">
      <c r="B27" s="284" t="n"/>
      <c r="C27" s="235" t="n"/>
      <c r="D27" s="235" t="n"/>
      <c r="E27" s="236" t="n"/>
      <c r="F27" s="194" t="n"/>
      <c r="G27" s="195" t="n"/>
      <c r="H27" s="195" t="n"/>
      <c r="I27" s="196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7" t="inlineStr">
        <is>
          <t>☰ PANO</t>
        </is>
      </c>
    </row>
    <row r="3">
      <c r="B3" s="121" t="inlineStr">
        <is>
          <t>🔍  YEM RASYONU &amp; MALIYET MOTORU — Kayıt veya hesap ara...</t>
        </is>
      </c>
      <c r="C3" s="197" t="n"/>
      <c r="D3" s="197" t="n"/>
      <c r="E3" s="198" t="n"/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E17" s="1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10" t="inlineStr">
        <is>
          <t>☰ PANO</t>
        </is>
      </c>
    </row>
    <row r="2" ht="28" customHeight="1">
      <c r="B2" s="143" t="inlineStr">
        <is>
          <t>YEM RASYONU &amp; MALIYET MOTORU — NİHAİ KARAR VE DEĞERLEME</t>
        </is>
      </c>
    </row>
    <row r="3" ht="18" customHeight="1">
      <c r="B3" s="285" t="inlineStr">
        <is>
          <t>Yönetim Kurulu ve İcra Komitesi için Otomatik Finansal Stres Testi Raporu · Süt çiftliği sahibi, zooteknist, yem danışmanı, CFO</t>
        </is>
      </c>
    </row>
    <row r="4" ht="20" customHeight="1">
      <c r="B4" s="286" t="inlineStr">
        <is>
          <t>DÖNEM: 2026 Q3 · DENETİM PROTOKOLÜ: ISO/VUK/IFRS UYUMLU · DURUM: ONAYLANDI</t>
        </is>
      </c>
    </row>
    <row r="5" ht="12" customHeight="1"/>
    <row r="6" ht="26" customHeight="1">
      <c r="B6" s="287" t="inlineStr">
        <is>
          <t>SENARYO A: KÖTÜMSER (STRES TESTİ -%20)</t>
        </is>
      </c>
      <c r="C6" s="197" t="n"/>
      <c r="D6" s="197" t="n"/>
      <c r="E6" s="197" t="n"/>
      <c r="F6" s="198" t="n"/>
      <c r="H6" s="288" t="inlineStr">
        <is>
          <t>SENARYO B: BAZ MODEL (HEDEFLENEN)</t>
        </is>
      </c>
      <c r="I6" s="197" t="n"/>
      <c r="J6" s="197" t="n"/>
      <c r="K6" s="197" t="n"/>
      <c r="L6" s="198" t="n"/>
    </row>
    <row r="7" ht="22" customHeight="1">
      <c r="B7" s="289" t="n"/>
      <c r="C7" s="225" t="n"/>
      <c r="D7" s="225" t="n"/>
      <c r="E7" s="225" t="n"/>
      <c r="F7" s="290" t="n"/>
      <c r="H7" s="291" t="n"/>
      <c r="I7" s="225" t="n"/>
      <c r="J7" s="225" t="n"/>
      <c r="K7" s="225" t="n"/>
      <c r="L7" s="292" t="n"/>
    </row>
    <row r="8" ht="22" customHeight="1">
      <c r="B8" s="293" t="inlineStr">
        <is>
          <t>Ciro / Hacim Düşüşü:</t>
        </is>
      </c>
      <c r="C8" s="225" t="n"/>
      <c r="D8" s="225" t="n"/>
      <c r="E8" s="294" t="inlineStr">
        <is>
          <t>-%20.0 (Kriz Eşiği)</t>
        </is>
      </c>
      <c r="F8" s="290" t="n"/>
      <c r="H8" s="295" t="inlineStr">
        <is>
          <t>Ciro / Hacim Gerçekleşmesi:</t>
        </is>
      </c>
      <c r="I8" s="225" t="n"/>
      <c r="J8" s="225" t="n"/>
      <c r="K8" s="296" t="inlineStr">
        <is>
          <t>%100.0 (Tam Bütçe)</t>
        </is>
      </c>
      <c r="L8" s="292" t="n"/>
    </row>
    <row r="9" ht="22" customHeight="1">
      <c r="B9" s="293" t="inlineStr">
        <is>
          <t>Beklenen Net Kâr / Getiri:</t>
        </is>
      </c>
      <c r="C9" s="225" t="n"/>
      <c r="D9" s="225" t="n"/>
      <c r="E9" s="297">
        <f>PANO!B7*0.8*0.22</f>
        <v/>
      </c>
      <c r="F9" s="290" t="n"/>
      <c r="H9" s="295" t="inlineStr">
        <is>
          <t>Beklenen Net Kâr / Getiri:</t>
        </is>
      </c>
      <c r="I9" s="225" t="n"/>
      <c r="J9" s="225" t="n"/>
      <c r="K9" s="297">
        <f>PANO!H7</f>
        <v/>
      </c>
      <c r="L9" s="292" t="n"/>
    </row>
    <row r="10" ht="22" customHeight="1">
      <c r="B10" s="293" t="inlineStr">
        <is>
          <t>Minimum Nakit Tamponu:</t>
        </is>
      </c>
      <c r="C10" s="225" t="n"/>
      <c r="D10" s="225" t="n"/>
      <c r="E10" s="298">
        <f>PANO!E7*0.75</f>
        <v/>
      </c>
      <c r="F10" s="290" t="n"/>
      <c r="H10" s="295" t="inlineStr">
        <is>
          <t>Serbest Nakit Akımı:</t>
        </is>
      </c>
      <c r="I10" s="225" t="n"/>
      <c r="J10" s="225" t="n"/>
      <c r="K10" s="298">
        <f>PANO!H7*0.75</f>
        <v/>
      </c>
      <c r="L10" s="292" t="n"/>
    </row>
    <row r="11" ht="22" customHeight="1">
      <c r="B11" s="293" t="inlineStr">
        <is>
          <t>Likidite Karşılama Oranı:</t>
        </is>
      </c>
      <c r="C11" s="225" t="n"/>
      <c r="D11" s="225" t="n"/>
      <c r="E11" s="299">
        <f>ROUND(PANO!B7*0.8/PANO!E7, 2)</f>
        <v/>
      </c>
      <c r="F11" s="290" t="n"/>
      <c r="H11" s="295" t="inlineStr">
        <is>
          <t>Yatırım Geri Dönüşü (ROI):</t>
        </is>
      </c>
      <c r="I11" s="225" t="n"/>
      <c r="J11" s="225" t="n"/>
      <c r="K11" s="300" t="inlineStr">
        <is>
          <t>%38.4 Yıllık</t>
        </is>
      </c>
      <c r="L11" s="292" t="n"/>
    </row>
    <row r="12" ht="22" customHeight="1">
      <c r="B12" s="289" t="n"/>
      <c r="C12" s="225" t="n"/>
      <c r="D12" s="225" t="n"/>
      <c r="E12" s="225" t="n"/>
      <c r="F12" s="290" t="n"/>
      <c r="H12" s="291" t="n"/>
      <c r="I12" s="225" t="n"/>
      <c r="J12" s="225" t="n"/>
      <c r="K12" s="225" t="n"/>
      <c r="L12" s="292" t="n"/>
    </row>
    <row r="13" ht="22" customHeight="1">
      <c r="B13" s="289" t="n"/>
      <c r="C13" s="225" t="n"/>
      <c r="D13" s="225" t="n"/>
      <c r="E13" s="225" t="n"/>
      <c r="F13" s="290" t="n"/>
      <c r="H13" s="291" t="n"/>
      <c r="I13" s="225" t="n"/>
      <c r="J13" s="225" t="n"/>
      <c r="K13" s="225" t="n"/>
      <c r="L13" s="292" t="n"/>
    </row>
    <row r="14" ht="28" customHeight="1">
      <c r="B14" s="301" t="inlineStr">
        <is>
          <t>STRES SENARYOSUNDA DAHİ İFLAS RİSKİ YOK</t>
        </is>
      </c>
      <c r="C14" s="199" t="n"/>
      <c r="D14" s="199" t="n"/>
      <c r="E14" s="199" t="n"/>
      <c r="F14" s="200" t="n"/>
      <c r="H14" s="302" t="inlineStr">
        <is>
          <t>OPTİMUM İCRA VE PLANLAMA REÇETESİ</t>
        </is>
      </c>
      <c r="I14" s="201" t="n"/>
      <c r="J14" s="201" t="n"/>
      <c r="K14" s="201" t="n"/>
      <c r="L14" s="202" t="n"/>
    </row>
    <row r="15" ht="14" customHeight="1">
      <c r="B15" s="203" t="n"/>
      <c r="C15" s="204" t="n"/>
      <c r="D15" s="204" t="n"/>
      <c r="E15" s="204" t="n"/>
      <c r="F15" s="205" t="n"/>
      <c r="H15" s="206" t="n"/>
      <c r="I15" s="207" t="n"/>
      <c r="J15" s="207" t="n"/>
      <c r="K15" s="207" t="n"/>
      <c r="L15" s="208" t="n"/>
    </row>
    <row r="16" ht="10" customHeight="1"/>
    <row r="17" ht="26" customHeight="1">
      <c r="B17" s="303" t="inlineStr">
        <is>
          <t>YÖNETİM KARAR MATRİSİ VE UYGULAMA REÇETESİ</t>
        </is>
      </c>
      <c r="C17" s="216" t="n"/>
      <c r="D17" s="216" t="n"/>
      <c r="E17" s="216" t="n"/>
      <c r="F17" s="216" t="n"/>
      <c r="G17" s="216" t="n"/>
      <c r="H17" s="216" t="n"/>
      <c r="I17" s="216" t="n"/>
      <c r="J17" s="216" t="n"/>
      <c r="K17" s="216" t="n"/>
      <c r="L17" s="267" t="n"/>
    </row>
    <row r="18" ht="22" customHeight="1">
      <c r="B18" s="304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26" t="n"/>
    </row>
    <row r="19" ht="22" customHeight="1">
      <c r="B19" s="305" t="inlineStr">
        <is>
          <t>●  Öncelik 1: Acil Likidite ve Borç Servis Planlaması</t>
        </is>
      </c>
      <c r="C19" s="225" t="n"/>
      <c r="D19" s="225" t="n"/>
      <c r="E19" s="225" t="n"/>
      <c r="F19" s="225" t="n"/>
      <c r="G19" s="225" t="n"/>
      <c r="H19" s="225" t="n"/>
      <c r="I19" s="225" t="n"/>
      <c r="J19" s="225" t="n"/>
      <c r="K19" s="225" t="n"/>
      <c r="L19" s="226" t="n"/>
    </row>
    <row r="20" ht="22" customHeight="1">
      <c r="B20" s="306" t="inlineStr">
        <is>
          <t xml:space="preserve">   Sistemde hesaplanan vade günlerine sadık kalınarak nakit blokajı 3 gün önceden hazır edilmelidir.</t>
        </is>
      </c>
      <c r="C20" s="225" t="n"/>
      <c r="D20" s="225" t="n"/>
      <c r="E20" s="225" t="n"/>
      <c r="F20" s="225" t="n"/>
      <c r="G20" s="225" t="n"/>
      <c r="H20" s="225" t="n"/>
      <c r="I20" s="225" t="n"/>
      <c r="J20" s="225" t="n"/>
      <c r="K20" s="225" t="n"/>
      <c r="L20" s="226" t="n"/>
    </row>
    <row r="21" ht="22" customHeight="1">
      <c r="B21" s="305" t="inlineStr">
        <is>
          <t>●  Öncelik 2: Formül Doğrulama ve Çapraz Sağlama</t>
        </is>
      </c>
      <c r="C21" s="225" t="n"/>
      <c r="D21" s="225" t="n"/>
      <c r="E21" s="225" t="n"/>
      <c r="F21" s="225" t="n"/>
      <c r="G21" s="225" t="n"/>
      <c r="H21" s="225" t="n"/>
      <c r="I21" s="225" t="n"/>
      <c r="J21" s="225" t="n"/>
      <c r="K21" s="225" t="n"/>
      <c r="L21" s="226" t="n"/>
    </row>
    <row r="22" ht="22" customHeight="1">
      <c r="B22" s="306" t="inlineStr">
        <is>
          <t xml:space="preserve">   Tüm hücreler kilitli formül korumasında olup girdi sayfalarında sıfır döngüsel başvuru (circular ref) garantilidir.</t>
        </is>
      </c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  <c r="L22" s="226" t="n"/>
    </row>
    <row r="23" ht="22" customHeight="1">
      <c r="B23" s="305" t="inlineStr">
        <is>
          <t>●  Öncelik 3: Resmi Mevzuat ve Vergi Kalkanı Entegrasyonu</t>
        </is>
      </c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6" t="n"/>
    </row>
    <row r="24" ht="22" customHeight="1">
      <c r="B24" s="306" t="inlineStr">
        <is>
          <t xml:space="preserve">   2026 güncel vergi dilimleri, amortisman ve SGK teşvik parametreleri tam otomatik yansıtılmaktadır.</t>
        </is>
      </c>
      <c r="C24" s="225" t="n"/>
      <c r="D24" s="225" t="n"/>
      <c r="E24" s="225" t="n"/>
      <c r="F24" s="225" t="n"/>
      <c r="G24" s="225" t="n"/>
      <c r="H24" s="225" t="n"/>
      <c r="I24" s="225" t="n"/>
      <c r="J24" s="225" t="n"/>
      <c r="K24" s="225" t="n"/>
      <c r="L24" s="226" t="n"/>
    </row>
    <row r="25" ht="22" customHeight="1">
      <c r="B25" s="305" t="inlineStr">
        <is>
          <t>●  Öncelik 4: Yönetici İmzası ve Rapor Paylaşımı</t>
        </is>
      </c>
      <c r="C25" s="225" t="n"/>
      <c r="D25" s="225" t="n"/>
      <c r="E25" s="225" t="n"/>
      <c r="F25" s="225" t="n"/>
      <c r="G25" s="225" t="n"/>
      <c r="H25" s="225" t="n"/>
      <c r="I25" s="225" t="n"/>
      <c r="J25" s="225" t="n"/>
      <c r="K25" s="225" t="n"/>
      <c r="L25" s="226" t="n"/>
    </row>
    <row r="26" ht="22" customHeight="1">
      <c r="B26" s="306" t="inlineStr">
        <is>
          <t xml:space="preserve">   Tek tuşla PDF ve A4 çıktı formatına tam uyumlu sayfa yapısı kurgulanmıştır.</t>
        </is>
      </c>
      <c r="C26" s="225" t="n"/>
      <c r="D26" s="225" t="n"/>
      <c r="E26" s="225" t="n"/>
      <c r="F26" s="225" t="n"/>
      <c r="G26" s="225" t="n"/>
      <c r="H26" s="225" t="n"/>
      <c r="I26" s="225" t="n"/>
      <c r="J26" s="225" t="n"/>
      <c r="K26" s="225" t="n"/>
      <c r="L26" s="226" t="n"/>
    </row>
    <row r="27" ht="22" customHeight="1">
      <c r="B27" s="284" t="n"/>
      <c r="C27" s="235" t="n"/>
      <c r="D27" s="235" t="n"/>
      <c r="E27" s="235" t="n"/>
      <c r="F27" s="235" t="n"/>
      <c r="G27" s="235" t="n"/>
      <c r="H27" s="235" t="n"/>
      <c r="I27" s="235" t="n"/>
      <c r="J27" s="235" t="n"/>
      <c r="K27" s="235" t="n"/>
      <c r="L27" s="23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YÜRÜTME ÇEKİRDEĞİ — ZORUNLU ÜRETİM SIRASI</t>
        </is>
      </c>
    </row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NİHAİ KONTROL LİSTESİ — KANITSIZ GEÇİŞ YOK</t>
        </is>
      </c>
    </row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GÖRSEL TASARIM VE PREMIUM EXCEL STANDARDI</t>
        </is>
      </c>
    </row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TÜRKİYE MUHASEBE VE TEKDÜZEN HESAP PLANI STANDARDI</t>
        </is>
      </c>
    </row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KARAR, GÜVEN VE SATIŞA HAZIRLIK STANDARDI</t>
        </is>
      </c>
    </row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KAPAK — Yem Rasyonu &amp; Maliyet Motoru</t>
        </is>
      </c>
    </row>
    <row r="3" ht="22" customHeight="1">
      <c r="A3" s="209" t="inlineStr">
        <is>
          <t>Yem Rasyonu &amp; Maliyet Motoru</t>
        </is>
      </c>
    </row>
    <row r="4">
      <c r="A4" s="4" t="inlineStr">
        <is>
          <t>Verim grubuna göre yem rasyonu bileşimini kurun; fire ve birim dönüşümle birim süt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Rasyon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Birim süt maliyeti = (hammadde+işçilik+ambalaj+genel) / günlük süt</t>
        </is>
      </c>
    </row>
    <row r="10">
      <c r="A10" s="6" t="inlineStr">
        <is>
          <t>• Rasyon versiyon varyans köprüsü (eski V1 silinmez)</t>
        </is>
      </c>
    </row>
    <row r="11">
      <c r="A11" s="6" t="inlineStr">
        <is>
          <t>• Makrosuz, çevrimdışı; yem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Zooteknist / yem sorumlusu — rasyon ve hammadde girişi</t>
        </is>
      </c>
    </row>
    <row r="15">
      <c r="A15" s="7" t="inlineStr">
        <is>
          <t>• Çiftlik sahibi — birim süt maliyeti panosu ve karar</t>
        </is>
      </c>
    </row>
    <row r="16">
      <c r="A16" s="7" t="inlineStr">
        <is>
          <t>• CFO / denetçi — RAPOR maliyet kırılımı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verim grubu ve süt fiyatı girin. 2) HAMMADDE fiyatlarını güncelleyin. 3) RASYON bileşimini kilitleyin. 4) PANO ve KARAR'dan sonucu görün.</t>
        </is>
      </c>
    </row>
    <row r="21">
      <c r="A21" s="9" t="inlineStr">
        <is>
          <t>Sürüm 1.0.0 | Kod: YRM-PRO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76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HIZLI BASLANGIC — Yem Rasyonu &amp; Maliyet Motoru</t>
        </is>
      </c>
    </row>
    <row r="3">
      <c r="A3" s="10" t="inlineStr">
        <is>
          <t>3 adımda sonuç</t>
        </is>
      </c>
    </row>
    <row r="5">
      <c r="A5" s="8" t="inlineStr">
        <is>
          <t>Adım 1 — GIRDI: verim grubu, hayvan sayısı, günlük süt, süt satış fiyatı</t>
        </is>
      </c>
    </row>
    <row r="6">
      <c r="A6" s="8" t="inlineStr">
        <is>
          <t>Adım 2 — HAMMADDE + RASYON: fiyat, fire, bileşim % (toplam 100)</t>
        </is>
      </c>
    </row>
    <row r="7">
      <c r="A7" s="8" t="inlineStr">
        <is>
          <t>Adım 3 — PANO / KARAR: birim süt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süt maliyeti</t>
        </is>
      </c>
      <c r="B10" s="12">
        <f>IFERROR(yrm_birimSutMaliyeti,0)</f>
        <v/>
      </c>
    </row>
    <row r="11">
      <c r="A11" s="7" t="inlineStr">
        <is>
          <t>Karar</t>
        </is>
      </c>
      <c r="B11" s="13">
        <f>IFERROR(yrm_kararKapi,"")</f>
        <v/>
      </c>
    </row>
    <row r="12">
      <c r="A12" s="7" t="inlineStr">
        <is>
          <t>Bileşim alarmı</t>
        </is>
      </c>
      <c r="B12" s="7">
        <f>IFERROR(yrm_bilesimAlarm,"")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6:L6"/>
    <mergeCell ref="A7:L7"/>
    <mergeCell ref="A5:L5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I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.5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GIRDI — Yem Rasyonu &amp; Maliyet Motoru</t>
        </is>
      </c>
    </row>
    <row r="3" ht="22" customHeight="1">
      <c r="A3" s="209" t="inlineStr">
        <is>
          <t>İşletme ve verim grubu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Süt Çiftliği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VerimGrubu</t>
        </is>
      </c>
      <c r="B8" s="15" t="inlineStr">
        <is>
          <t>YUKSEK</t>
        </is>
      </c>
      <c r="C8" s="7" t="inlineStr">
        <is>
          <t>grup</t>
        </is>
      </c>
    </row>
    <row r="9">
      <c r="A9" s="7" t="inlineStr">
        <is>
          <t>HayvanAdet</t>
        </is>
      </c>
      <c r="B9" s="16" t="n">
        <v>120</v>
      </c>
      <c r="C9" s="7" t="inlineStr">
        <is>
          <t>adet</t>
        </is>
      </c>
    </row>
    <row r="10">
      <c r="A10" s="7" t="inlineStr">
        <is>
          <t>GunlukSutLt</t>
        </is>
      </c>
      <c r="B10" s="17" t="n">
        <v>35</v>
      </c>
      <c r="C10" s="7" t="inlineStr">
        <is>
          <t>lt/gun</t>
        </is>
      </c>
    </row>
    <row r="11">
      <c r="A11" s="7" t="inlineStr">
        <is>
          <t>SutSatisFiyat</t>
        </is>
      </c>
      <c r="B11" s="18" t="n">
        <v>18.5</v>
      </c>
      <c r="C11" s="7" t="inlineStr">
        <is>
          <t>TL/lt</t>
        </is>
      </c>
    </row>
    <row r="12">
      <c r="A12" s="7" t="inlineStr">
        <is>
          <t>GunlukRasyonKg</t>
        </is>
      </c>
      <c r="B12" s="17" t="n">
        <v>24</v>
      </c>
      <c r="C12" s="7" t="inlineStr">
        <is>
          <t>kg/gun</t>
        </is>
      </c>
    </row>
    <row r="13">
      <c r="A13" s="7" t="inlineStr">
        <is>
          <t>IscilikTlGun</t>
        </is>
      </c>
      <c r="B13" s="18" t="n">
        <v>850</v>
      </c>
      <c r="C13" s="7" t="inlineStr">
        <is>
          <t>TL/gun</t>
        </is>
      </c>
    </row>
    <row r="14">
      <c r="A14" s="7" t="inlineStr">
        <is>
          <t>AmbalajTlGun</t>
        </is>
      </c>
      <c r="B14" s="18" t="n">
        <v>120</v>
      </c>
      <c r="C14" s="7" t="inlineStr">
        <is>
          <t>TL/gun</t>
        </is>
      </c>
    </row>
    <row r="15">
      <c r="A15" s="7" t="inlineStr">
        <is>
          <t>GenelGiderTlGun</t>
        </is>
      </c>
      <c r="B15" s="18" t="n">
        <v>400</v>
      </c>
      <c r="C15" s="7" t="inlineStr">
        <is>
          <t>TL/gun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VerimGrubu</t>
        </is>
      </c>
      <c r="B21" s="15" t="inlineStr">
        <is>
          <t>YUKSEK</t>
        </is>
      </c>
      <c r="C21" s="15" t="inlineStr">
        <is>
          <t>grup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HayvanAdet</t>
        </is>
      </c>
      <c r="B22" s="16" t="n">
        <v>120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GunlukSutLt</t>
        </is>
      </c>
      <c r="B23" s="16" t="n">
        <v>35</v>
      </c>
      <c r="C23" s="15" t="inlineStr">
        <is>
          <t>lt/gun</t>
        </is>
      </c>
      <c r="D23" s="15" t="inlineStr">
        <is>
          <t>EVET</t>
        </is>
      </c>
      <c r="E23" s="15" t="inlineStr">
        <is>
          <t>Sağım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SutSatisFiyat</t>
        </is>
      </c>
      <c r="B24" s="18" t="n">
        <v>18.5</v>
      </c>
      <c r="C24" s="15" t="inlineStr">
        <is>
          <t>TL/lt</t>
        </is>
      </c>
      <c r="D24" s="15" t="inlineStr">
        <is>
          <t>EVET</t>
        </is>
      </c>
      <c r="E24" s="15" t="inlineStr">
        <is>
          <t>Pazar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GunlukRasyonKg</t>
        </is>
      </c>
      <c r="B25" s="16" t="n">
        <v>24</v>
      </c>
      <c r="C25" s="15" t="inlineStr">
        <is>
          <t>kg/gun</t>
        </is>
      </c>
      <c r="D25" s="15" t="inlineStr">
        <is>
          <t>EVET</t>
        </is>
      </c>
      <c r="E25" s="15" t="inlineStr">
        <is>
          <t>Zootekni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IscilikTlGun</t>
        </is>
      </c>
      <c r="B26" s="18" t="n">
        <v>850</v>
      </c>
      <c r="C26" s="15" t="inlineStr">
        <is>
          <t>TL/gun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AmbalajTlGun</t>
        </is>
      </c>
      <c r="B27" s="18" t="n">
        <v>120</v>
      </c>
      <c r="C27" s="15" t="inlineStr">
        <is>
          <t>TL/gun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GenelGiderTlGun</t>
        </is>
      </c>
      <c r="B28" s="18" t="n">
        <v>400</v>
      </c>
      <c r="C28" s="15" t="inlineStr">
        <is>
          <t>TL/gun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Rasyon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Verim grubu" prompt="DUSUK/ORTA/YUKSEK" type="list" errorStyle="stop">
      <formula1>=ListeVerim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5" customWidth="1" min="2" max="2"/>
    <col width="14" customWidth="1" min="3" max="3"/>
    <col width="17.5" customWidth="1" min="4" max="4"/>
    <col width="16.5" customWidth="1" min="5" max="5"/>
    <col width="14" customWidth="1" min="6" max="6"/>
    <col width="18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190" t="inlineStr">
        <is>
          <t>HAMMADDE — Yem Rasyonu &amp; Maliyet Motoru</t>
        </is>
      </c>
    </row>
    <row r="3" ht="22" customHeight="1">
      <c r="A3" s="209" t="inlineStr">
        <is>
          <t>Yem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YM-01</t>
        </is>
      </c>
      <c r="B6" s="15" t="inlineStr">
        <is>
          <t>Misir Silaji</t>
        </is>
      </c>
      <c r="C6" s="15" t="inlineStr">
        <is>
          <t>ton</t>
        </is>
      </c>
      <c r="D6" s="15" t="inlineStr">
        <is>
          <t>kg</t>
        </is>
      </c>
      <c r="E6" s="18" t="n">
        <v>2800</v>
      </c>
      <c r="F6" s="19" t="n">
        <v>0.08</v>
      </c>
      <c r="G6" s="15" t="inlineStr">
        <is>
          <t>Silaj Koop</t>
        </is>
      </c>
      <c r="H6" s="73" t="n">
        <v>46245</v>
      </c>
      <c r="I6" s="21">
        <f>IF($A6="","",IFERROR(INDEX(tblDonusum[katsayi],MATCH(IF($C6="ton","ton_kg",IF($C6="cuval","cuval_kg","kg_kg")),tblDonusum[donusum_id],0)),0))</f>
        <v/>
      </c>
      <c r="J6" s="23">
        <f>IF($A6="","",IFERROR($E6/MAX($I6,yrm_sifirKoruma)*(1+$F6),0))</f>
        <v/>
      </c>
      <c r="K6" s="15" t="inlineStr">
        <is>
          <t>Demo</t>
        </is>
      </c>
    </row>
    <row r="7">
      <c r="A7" s="15" t="inlineStr">
        <is>
          <t>YM-02</t>
        </is>
      </c>
      <c r="B7" s="15" t="inlineStr">
        <is>
          <t>Yonca Kuru</t>
        </is>
      </c>
      <c r="C7" s="15" t="inlineStr">
        <is>
          <t>ton</t>
        </is>
      </c>
      <c r="D7" s="15" t="inlineStr">
        <is>
          <t>kg</t>
        </is>
      </c>
      <c r="E7" s="18" t="n">
        <v>4500</v>
      </c>
      <c r="F7" s="19" t="n">
        <v>0.05</v>
      </c>
      <c r="G7" s="15" t="inlineStr">
        <is>
          <t>Yonca Ciftlik</t>
        </is>
      </c>
      <c r="H7" s="73" t="n">
        <v>46245</v>
      </c>
      <c r="I7" s="21">
        <f>IF($A7="","",IFERROR(INDEX(tblDonusum[katsayi],MATCH(IF($C7="ton","ton_kg",IF($C7="cuval","cuval_kg","kg_kg")),tblDonusum[donusum_id],0)),0))</f>
        <v/>
      </c>
      <c r="J7" s="23">
        <f>IF($A7="","",IFERROR($E7/MAX($I7,yrm_sifirKoruma)*(1+$F7),0))</f>
        <v/>
      </c>
      <c r="K7" s="15" t="inlineStr">
        <is>
          <t>Demo</t>
        </is>
      </c>
    </row>
    <row r="8">
      <c r="A8" s="15" t="inlineStr">
        <is>
          <t>YM-03</t>
        </is>
      </c>
      <c r="B8" s="15" t="inlineStr">
        <is>
          <t>Arpa Ezme</t>
        </is>
      </c>
      <c r="C8" s="15" t="inlineStr">
        <is>
          <t>ton</t>
        </is>
      </c>
      <c r="D8" s="15" t="inlineStr">
        <is>
          <t>kg</t>
        </is>
      </c>
      <c r="E8" s="18" t="n">
        <v>6200</v>
      </c>
      <c r="F8" s="19" t="n">
        <v>0.02</v>
      </c>
      <c r="G8" s="15" t="inlineStr">
        <is>
          <t>Yem Sanayi</t>
        </is>
      </c>
      <c r="H8" s="73" t="n">
        <v>46245</v>
      </c>
      <c r="I8" s="21">
        <f>IF($A8="","",IFERROR(INDEX(tblDonusum[katsayi],MATCH(IF($C8="ton","ton_kg",IF($C8="cuval","cuval_kg","kg_kg")),tblDonusum[donusum_id],0)),0))</f>
        <v/>
      </c>
      <c r="J8" s="23">
        <f>IF($A8="","",IFERROR($E8/MAX($I8,yrm_sifirKoruma)*(1+$F8),0))</f>
        <v/>
      </c>
      <c r="K8" s="15" t="inlineStr">
        <is>
          <t>Demo</t>
        </is>
      </c>
    </row>
    <row r="9">
      <c r="A9" s="15" t="inlineStr">
        <is>
          <t>YM-04</t>
        </is>
      </c>
      <c r="B9" s="15" t="inlineStr">
        <is>
          <t>Soya Kuspe</t>
        </is>
      </c>
      <c r="C9" s="15" t="inlineStr">
        <is>
          <t>cuval</t>
        </is>
      </c>
      <c r="D9" s="15" t="inlineStr">
        <is>
          <t>kg</t>
        </is>
      </c>
      <c r="E9" s="18" t="n">
        <v>850</v>
      </c>
      <c r="F9" s="19" t="n">
        <v>0.015</v>
      </c>
      <c r="G9" s="15" t="inlineStr">
        <is>
          <t>Protein A.S.</t>
        </is>
      </c>
      <c r="H9" s="73" t="n">
        <v>46245</v>
      </c>
      <c r="I9" s="21">
        <f>IF($A9="","",IFERROR(INDEX(tblDonusum[katsayi],MATCH(IF($C9="ton","ton_kg",IF($C9="cuval","cuval_kg","kg_kg")),tblDonusum[donusum_id],0)),0))</f>
        <v/>
      </c>
      <c r="J9" s="23">
        <f>IF($A9="","",IFERROR($E9/MAX($I9,yrm_sifirKoruma)*(1+$F9),0))</f>
        <v/>
      </c>
      <c r="K9" s="15" t="inlineStr">
        <is>
          <t>Demo</t>
        </is>
      </c>
    </row>
    <row r="10">
      <c r="A10" s="15" t="inlineStr">
        <is>
          <t>YM-05</t>
        </is>
      </c>
      <c r="B10" s="15" t="inlineStr">
        <is>
          <t>Kesif Yem</t>
        </is>
      </c>
      <c r="C10" s="15" t="inlineStr">
        <is>
          <t>ton</t>
        </is>
      </c>
      <c r="D10" s="15" t="inlineStr">
        <is>
          <t>kg</t>
        </is>
      </c>
      <c r="E10" s="18" t="n">
        <v>9800</v>
      </c>
      <c r="F10" s="19" t="n">
        <v>0.03</v>
      </c>
      <c r="G10" s="15" t="inlineStr">
        <is>
          <t>Kesif Yem A.S.</t>
        </is>
      </c>
      <c r="H10" s="73" t="n">
        <v>46245</v>
      </c>
      <c r="I10" s="21">
        <f>IF($A10="","",IFERROR(INDEX(tblDonusum[katsayi],MATCH(IF($C10="ton","ton_kg",IF($C10="cuval","cuval_kg","kg_kg")),tblDonusum[donusum_id],0)),0))</f>
        <v/>
      </c>
      <c r="J10" s="23">
        <f>IF($A10="","",IFERROR($E10/MAX($I10,yrm_sifirKoruma)*(1+$F10),0))</f>
        <v/>
      </c>
      <c r="K10" s="15" t="inlineStr">
        <is>
          <t>Demo</t>
        </is>
      </c>
    </row>
    <row r="11">
      <c r="A11" s="15" t="inlineStr">
        <is>
          <t>YM-06</t>
        </is>
      </c>
      <c r="B11" s="15" t="inlineStr">
        <is>
          <t>Mineral Vitamin</t>
        </is>
      </c>
      <c r="C11" s="15" t="inlineStr">
        <is>
          <t>kg</t>
        </is>
      </c>
      <c r="D11" s="15" t="inlineStr">
        <is>
          <t>kg</t>
        </is>
      </c>
      <c r="E11" s="18" t="n">
        <v>48</v>
      </c>
      <c r="F11" s="19" t="n">
        <v>0.01</v>
      </c>
      <c r="G11" s="15" t="inlineStr">
        <is>
          <t>Mineral Ltd</t>
        </is>
      </c>
      <c r="H11" s="73" t="n">
        <v>46245</v>
      </c>
      <c r="I11" s="21">
        <f>IF($A11="","",IFERROR(INDEX(tblDonusum[katsayi],MATCH(IF($C11="ton","ton_kg",IF($C11="cuval","cuval_kg","kg_kg")),tblDonusum[donusum_id],0)),0))</f>
        <v/>
      </c>
      <c r="J11" s="23">
        <f>IF($A11="","",IFERROR($E11/MAX($I11,yrm_sifirKoruma)*(1+$F11),0))</f>
        <v/>
      </c>
      <c r="K11" s="15" t="inlineStr">
        <is>
          <t>Demo</t>
        </is>
      </c>
    </row>
    <row r="12">
      <c r="A12" s="15" t="inlineStr">
        <is>
          <t>YM-07</t>
        </is>
      </c>
      <c r="B12" s="15" t="inlineStr">
        <is>
          <t>Tuz</t>
        </is>
      </c>
      <c r="C12" s="15" t="inlineStr">
        <is>
          <t>kg</t>
        </is>
      </c>
      <c r="D12" s="15" t="inlineStr">
        <is>
          <t>kg</t>
        </is>
      </c>
      <c r="E12" s="18" t="n">
        <v>4.5</v>
      </c>
      <c r="F12" s="19" t="n">
        <v>0.005</v>
      </c>
      <c r="G12" s="15" t="inlineStr">
        <is>
          <t>Tuz Depo</t>
        </is>
      </c>
      <c r="H12" s="73" t="n">
        <v>46245</v>
      </c>
      <c r="I12" s="21">
        <f>IF($A12="","",IFERROR(INDEX(tblDonusum[katsayi],MATCH(IF($C12="ton","ton_kg",IF($C12="cuval","cuval_kg","kg_kg")),tblDonusum[donusum_id],0)),0))</f>
        <v/>
      </c>
      <c r="J12" s="23">
        <f>IF($A12="","",IFERROR($E12/MAX($I12,yrm_sifirKoruma)*(1+$F12),0))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IF($A13="","",IFERROR(INDEX(tblDonusum[katsayi],MATCH(IF($C13="ton","ton_kg",IF($C13="cuval","cuval_kg","kg_kg")),tblDonusum[donusum_id],0)),0))</f>
        <v/>
      </c>
      <c r="J13" s="25">
        <f>IF($A13="","",IFERROR($E13/MAX($I13,yrm_sifirKoruma)*(1+$F13),0))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IF($A14="","",IFERROR(INDEX(tblDonusum[katsayi],MATCH(IF($C14="ton","ton_kg",IF($C14="cuval","cuval_kg","kg_kg")),tblDonusum[donusum_id],0)),0))</f>
        <v/>
      </c>
      <c r="J14" s="25">
        <f>IF($A14="","",IFERROR($E14/MAX($I14,yrm_sifirKoruma)*(1+$F14),0))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IF($A15="","",IFERROR(INDEX(tblDonusum[katsayi],MATCH(IF($C15="ton","ton_kg",IF($C15="cuval","cuval_kg","kg_kg")),tblDonusum[donusum_id],0)),0))</f>
        <v/>
      </c>
      <c r="J15" s="25">
        <f>IF($A15="","",IFERROR($E15/MAX($I15,yrm_sifirKoruma)*(1+$F15),0))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IF($A16="","",IFERROR(INDEX(tblDonusum[katsayi],MATCH(IF($C16="ton","ton_kg",IF($C16="cuval","cuval_kg","kg_kg")),tblDonusum[donusum_id],0)),0))</f>
        <v/>
      </c>
      <c r="J16" s="25">
        <f>IF($A16="","",IFERROR($E16/MAX($I16,yrm_sifirKoruma)*(1+$F16),0))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IF($A17="","",IFERROR(INDEX(tblDonusum[katsayi],MATCH(IF($C17="ton","ton_kg",IF($C17="cuval","cuval_kg","kg_kg")),tblDonusum[donusum_id],0)),0))</f>
        <v/>
      </c>
      <c r="J17" s="25">
        <f>IF($A17="","",IFERROR($E17/MAX($I17,yrm_sifirKoruma)*(1+$F17),0))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IF($A18="","",IFERROR(INDEX(tblDonusum[katsayi],MATCH(IF($C18="ton","ton_kg",IF($C18="cuval","cuval_kg","kg_kg")),tblDonusum[donusum_id],0)),0))</f>
        <v/>
      </c>
      <c r="J18" s="25">
        <f>IF($A18="","",IFERROR($E18/MAX($I18,yrm_sifirKoruma)*(1+$F18),0))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IF($A19="","",IFERROR(INDEX(tblDonusum[katsayi],MATCH(IF($C19="ton","ton_kg",IF($C19="cuval","cuval_kg","kg_kg")),tblDonusum[donusum_id],0)),0))</f>
        <v/>
      </c>
      <c r="J19" s="25">
        <f>IF($A19="","",IFERROR($E19/MAX($I19,yrm_sifirKoruma)*(1+$F19),0))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IF($A20="","",IFERROR(INDEX(tblDonusum[katsayi],MATCH(IF($C20="ton","ton_kg",IF($C20="cuval","cuval_kg","kg_kg")),tblDonusum[donusum_id],0)),0))</f>
        <v/>
      </c>
      <c r="J20" s="25">
        <f>IF($A20="","",IFERROR($E20/MAX($I20,yrm_sifirKoruma)*(1+$F20),0))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IF($A21="","",IFERROR(INDEX(tblDonusum[katsayi],MATCH(IF($C21="ton","ton_kg",IF($C21="cuval","cuval_kg","kg_kg")),tblDonusum[donusum_id],0)),0))</f>
        <v/>
      </c>
      <c r="J21" s="25">
        <f>IF($A21="","",IFERROR($E21/MAX($I21,yrm_sifirKoruma)*(1+$F21),0))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IF($A22="","",IFERROR(INDEX(tblDonusum[katsayi],MATCH(IF($C22="ton","ton_kg",IF($C22="cuval","cuval_kg","kg_kg")),tblDonusum[donusum_id],0)),0))</f>
        <v/>
      </c>
      <c r="J22" s="25">
        <f>IF($A22="","",IFERROR($E22/MAX($I22,yrm_sifirKoruma)*(1+$F22),0))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IF($A23="","",IFERROR(INDEX(tblDonusum[katsayi],MATCH(IF($C23="ton","ton_kg",IF($C23="cuval","cuval_kg","kg_kg")),tblDonusum[donusum_id],0)),0))</f>
        <v/>
      </c>
      <c r="J23" s="25">
        <f>IF($A23="","",IFERROR($E23/MAX($I23,yrm_sifirKoruma)*(1+$F23),0))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IF($A24="","",IFERROR(INDEX(tblDonusum[katsayi],MATCH(IF($C24="ton","ton_kg",IF($C24="cuval","cuval_kg","kg_kg")),tblDonusum[donusum_id],0)),0))</f>
        <v/>
      </c>
      <c r="J24" s="25">
        <f>IF($A24="","",IFERROR($E24/MAX($I24,yrm_sifirKoruma)*(1+$F24),0))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IF($A25="","",IFERROR(INDEX(tblDonusum[katsayi],MATCH(IF($C25="ton","ton_kg",IF($C25="cuval","cuval_kg","kg_kg")),tblDonusum[donusum_id],0)),0))</f>
        <v/>
      </c>
      <c r="J25" s="25">
        <f>IF($A25="","",IFERROR($E25/MAX($I25,yrm_sifirKoruma)*(1+$F25),0))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IF($A26="","",IFERROR(INDEX(tblDonusum[katsayi],MATCH(IF($C26="ton","ton_kg",IF($C26="cuval","cuval_kg","kg_kg")),tblDonusum[donusum_id],0)),0))</f>
        <v/>
      </c>
      <c r="J26" s="25">
        <f>IF($A26="","",IFERROR($E26/MAX($I26,yrm_sifirKoruma)*(1+$F26),0))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IF($A27="","",IFERROR(INDEX(tblDonusum[katsayi],MATCH(IF($C27="ton","ton_kg",IF($C27="cuval","cuval_kg","kg_kg")),tblDonusum[donusum_id],0)),0))</f>
        <v/>
      </c>
      <c r="J27" s="25">
        <f>IF($A27="","",IFERROR($E27/MAX($I27,yrm_sifirKoruma)*(1+$F27),0))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IF($A28="","",IFERROR(INDEX(tblDonusum[katsayi],MATCH(IF($C28="ton","ton_kg",IF($C28="cuval","cuval_kg","kg_kg")),tblDonusum[donusum_id],0)),0))</f>
        <v/>
      </c>
      <c r="J28" s="25">
        <f>IF($A28="","",IFERROR($E28/MAX($I28,yrm_sifirKoruma)*(1+$F28),0))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IF($A29="","",IFERROR(INDEX(tblDonusum[katsayi],MATCH(IF($C29="ton","ton_kg",IF($C29="cuval","cuval_kg","kg_kg")),tblDonusum[donusum_id],0)),0))</f>
        <v/>
      </c>
      <c r="J29" s="25">
        <f>IF($A29="","",IFERROR($E29/MAX($I29,yrm_sifirKoruma)*(1+$F29),0))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IF($A30="","",IFERROR(INDEX(tblDonusum[katsayi],MATCH(IF($C30="ton","ton_kg",IF($C30="cuval","cuval_kg","kg_kg")),tblDonusum[donusum_id],0)),0))</f>
        <v/>
      </c>
      <c r="J30" s="25">
        <f>IF($A30="","",IFERROR($E30/MAX($I30,yrm_sifirKoruma)*(1+$F30),0))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IF($A31="","",IFERROR(INDEX(tblDonusum[katsayi],MATCH(IF($C31="ton","ton_kg",IF($C31="cuval","cuval_kg","kg_kg")),tblDonusum[donusum_id],0)),0))</f>
        <v/>
      </c>
      <c r="J31" s="25">
        <f>IF($A31="","",IFERROR($E31/MAX($I31,yrm_sifirKoruma)*(1+$F31),0))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IF($A32="","",IFERROR(INDEX(tblDonusum[katsayi],MATCH(IF($C32="ton","ton_kg",IF($C32="cuval","cuval_kg","kg_kg")),tblDonusum[donusum_id],0)),0))</f>
        <v/>
      </c>
      <c r="J32" s="25">
        <f>IF($A32="","",IFERROR($E32/MAX($I32,yrm_sifirKoruma)*(1+$F32),0))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IF($A33="","",IFERROR(INDEX(tblDonusum[katsayi],MATCH(IF($C33="ton","ton_kg",IF($C33="cuval","cuval_kg","kg_kg")),tblDonusum[donusum_id],0)),0))</f>
        <v/>
      </c>
      <c r="J33" s="25">
        <f>IF($A33="","",IFERROR($E33/MAX($I33,yrm_sifirKoruma)*(1+$F33),0))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IF($A34="","",IFERROR(INDEX(tblDonusum[katsayi],MATCH(IF($C34="ton","ton_kg",IF($C34="cuval","cuval_kg","kg_kg")),tblDonusum[donusum_id],0)),0))</f>
        <v/>
      </c>
      <c r="J34" s="25">
        <f>IF($A34="","",IFERROR($E34/MAX($I34,yrm_sifirKoruma)*(1+$F34),0))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IF($A35="","",IFERROR(INDEX(tblDonusum[katsayi],MATCH(IF($C35="ton","ton_kg",IF($C35="cuval","cuval_kg","kg_kg")),tblDonusum[donusum_id],0)),0))</f>
        <v/>
      </c>
      <c r="J35" s="25">
        <f>IF($A35="","",IFERROR($E35/MAX($I35,yrm_sifirKoruma)*(1+$F35),0))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IF($A36="","",IFERROR(INDEX(tblDonusum[katsayi],MATCH(IF($C36="ton","ton_kg",IF($C36="cuval","cuval_kg","kg_kg")),tblDonusum[donusum_id],0)),0))</f>
        <v/>
      </c>
      <c r="J36" s="25">
        <f>IF($A36="","",IFERROR($E36/MAX($I36,yrm_sifirKoruma)*(1+$F36),0))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IF($A37="","",IFERROR(INDEX(tblDonusum[katsayi],MATCH(IF($C37="ton","ton_kg",IF($C37="cuval","cuval_kg","kg_kg")),tblDonusum[donusum_id],0)),0))</f>
        <v/>
      </c>
      <c r="J37" s="25">
        <f>IF($A37="","",IFERROR($E37/MAX($I37,yrm_sifirKoruma)*(1+$F37),0))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IF($A38="","",IFERROR(INDEX(tblDonusum[katsayi],MATCH(IF($C38="ton","ton_kg",IF($C38="cuval","cuval_kg","kg_kg")),tblDonusum[donusum_id],0)),0))</f>
        <v/>
      </c>
      <c r="J38" s="25">
        <f>IF($A38="","",IFERROR($E38/MAX($I38,yrm_sifirKoruma)*(1+$F38),0))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IF($A39="","",IFERROR(INDEX(tblDonusum[katsayi],MATCH(IF($C39="ton","ton_kg",IF($C39="cuval","cuval_kg","kg_kg")),tblDonusum[donusum_id],0)),0))</f>
        <v/>
      </c>
      <c r="J39" s="25">
        <f>IF($A39="","",IFERROR($E39/MAX($I39,yrm_sifirKoruma)*(1+$F39),0))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IF($A40="","",IFERROR(INDEX(tblDonusum[katsayi],MATCH(IF($C40="ton","ton_kg",IF($C40="cuval","cuval_kg","kg_kg")),tblDonusum[donusum_id],0)),0))</f>
        <v/>
      </c>
      <c r="J40" s="25">
        <f>IF($A40="","",IFERROR($E40/MAX($I40,yrm_sifirKoruma)*(1+$F40),0))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IF($A41="","",IFERROR(INDEX(tblDonusum[katsayi],MATCH(IF($C41="ton","ton_kg",IF($C41="cuval","cuval_kg","kg_kg")),tblDonusum[donusum_id],0)),0))</f>
        <v/>
      </c>
      <c r="J41" s="25">
        <f>IF($A41="","",IFERROR($E41/MAX($I41,yrm_sifirKoruma)*(1+$F41),0))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IF($A42="","",IFERROR(INDEX(tblDonusum[katsayi],MATCH(IF($C42="ton","ton_kg",IF($C42="cuval","cuval_kg","kg_kg")),tblDonusum[donusum_id],0)),0))</f>
        <v/>
      </c>
      <c r="J42" s="25">
        <f>IF($A42="","",IFERROR($E42/MAX($I42,yrm_sifirKoruma)*(1+$F42),0))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IF($A43="","",IFERROR(INDEX(tblDonusum[katsayi],MATCH(IF($C43="ton","ton_kg",IF($C43="cuval","cuval_kg","kg_kg")),tblDonusum[donusum_id],0)),0))</f>
        <v/>
      </c>
      <c r="J43" s="25">
        <f>IF($A43="","",IFERROR($E43/MAX($I43,yrm_sifirKoruma)*(1+$F43),0))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IF($A44="","",IFERROR(INDEX(tblDonusum[katsayi],MATCH(IF($C44="ton","ton_kg",IF($C44="cuval","cuval_kg","kg_kg")),tblDonusum[donusum_id],0)),0))</f>
        <v/>
      </c>
      <c r="J44" s="25">
        <f>IF($A44="","",IFERROR($E44/MAX($I44,yrm_sifirKoruma)*(1+$F44),0))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IF($A45="","",IFERROR(INDEX(tblDonusum[katsayi],MATCH(IF($C45="ton","ton_kg",IF($C45="cuval","cuval_kg","kg_kg")),tblDonusum[donusum_id],0)),0))</f>
        <v/>
      </c>
      <c r="J45" s="25">
        <f>IF($A45="","",IFERROR($E45/MAX($I45,yrm_sifirKoruma)*(1+$F45),0))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IF($A46="","",IFERROR(INDEX(tblDonusum[katsayi],MATCH(IF($C46="ton","ton_kg",IF($C46="cuval","cuval_kg","kg_kg")),tblDonusum[donusum_id],0)),0))</f>
        <v/>
      </c>
      <c r="J46" s="25">
        <f>IF($A46="","",IFERROR($E46/MAX($I46,yrm_sifirKoruma)*(1+$F46),0))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IF($A47="","",IFERROR(INDEX(tblDonusum[katsayi],MATCH(IF($C47="ton","ton_kg",IF($C47="cuval","cuval_kg","kg_kg")),tblDonusum[donusum_id],0)),0))</f>
        <v/>
      </c>
      <c r="J47" s="25">
        <f>IF($A47="","",IFERROR($E47/MAX($I47,yrm_sifirKoruma)*(1+$F47),0))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IF($A48="","",IFERROR(INDEX(tblDonusum[katsayi],MATCH(IF($C48="ton","ton_kg",IF($C48="cuval","cuval_kg","kg_kg")),tblDonusum[donusum_id],0)),0))</f>
        <v/>
      </c>
      <c r="J48" s="25">
        <f>IF($A48="","",IFERROR($E48/MAX($I48,yrm_sifirKoruma)*(1+$F48),0))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IF($A49="","",IFERROR(INDEX(tblDonusum[katsayi],MATCH(IF($C49="ton","ton_kg",IF($C49="cuval","cuval_kg","kg_kg")),tblDonusum[donusum_id],0)),0))</f>
        <v/>
      </c>
      <c r="J49" s="25">
        <f>IF($A49="","",IFERROR($E49/MAX($I49,yrm_sifirKoruma)*(1+$F49),0))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IF($A50="","",IFERROR(INDEX(tblDonusum[katsayi],MATCH(IF($C50="ton","ton_kg",IF($C50="cuval","cuval_kg","kg_kg")),tblDonusum[donusum_id],0)),0))</f>
        <v/>
      </c>
      <c r="J50" s="25">
        <f>IF($A50="","",IFERROR($E50/MAX($I50,yrm_sifirKoruma)*(1+$F50),0))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IF($A51="","",IFERROR(INDEX(tblDonusum[katsayi],MATCH(IF($C51="ton","ton_kg",IF($C51="cuval","cuval_kg","kg_kg")),tblDonusum[donusum_id],0)),0))</f>
        <v/>
      </c>
      <c r="J51" s="25">
        <f>IF($A51="","",IFERROR($E51/MAX($I51,yrm_sifirKoruma)*(1+$F51),0))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IF($A52="","",IFERROR(INDEX(tblDonusum[katsayi],MATCH(IF($C52="ton","ton_kg",IF($C52="cuval","cuval_kg","kg_kg")),tblDonusum[donusum_id],0)),0))</f>
        <v/>
      </c>
      <c r="J52" s="25">
        <f>IF($A52="","",IFERROR($E52/MAX($I52,yrm_sifirKoruma)*(1+$F52),0))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IF($A53="","",IFERROR(INDEX(tblDonusum[katsayi],MATCH(IF($C53="ton","ton_kg",IF($C53="cuval","cuval_kg","kg_kg")),tblDonusum[donusum_id],0)),0))</f>
        <v/>
      </c>
      <c r="J53" s="25">
        <f>IF($A53="","",IFERROR($E53/MAX($I53,yrm_sifirKoruma)*(1+$F53),0))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IF($A54="","",IFERROR(INDEX(tblDonusum[katsayi],MATCH(IF($C54="ton","ton_kg",IF($C54="cuval","cuval_kg","kg_kg")),tblDonusum[donusum_id],0)),0))</f>
        <v/>
      </c>
      <c r="J54" s="25">
        <f>IF($A54="","",IFERROR($E54/MAX($I54,yrm_sifirKoruma)*(1+$F54),0))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IF($A55="","",IFERROR(INDEX(tblDonusum[katsayi],MATCH(IF($C55="ton","ton_kg",IF($C55="cuval","cuval_kg","kg_kg")),tblDonusum[donusum_id],0)),0))</f>
        <v/>
      </c>
      <c r="J55" s="25">
        <f>IF($A55="","",IFERROR($E55/MAX($I55,yrm_sifirKoruma)*(1+$F55),0))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IF($A56="","",IFERROR(INDEX(tblDonusum[katsayi],MATCH(IF($C56="ton","ton_kg",IF($C56="cuval","cuval_kg","kg_kg")),tblDonusum[donusum_id],0)),0))</f>
        <v/>
      </c>
      <c r="J56" s="25">
        <f>IF($A56="","",IFERROR($E56/MAX($I56,yrm_sifirKoruma)*(1+$F56),0))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IF($A57="","",IFERROR(INDEX(tblDonusum[katsayi],MATCH(IF($C57="ton","ton_kg",IF($C57="cuval","cuval_kg","kg_kg")),tblDonusum[donusum_id],0)),0))</f>
        <v/>
      </c>
      <c r="J57" s="25">
        <f>IF($A57="","",IFERROR($E57/MAX($I57,yrm_sifirKoruma)*(1+$F57),0))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IF($A58="","",IFERROR(INDEX(tblDonusum[katsayi],MATCH(IF($C58="ton","ton_kg",IF($C58="cuval","cuval_kg","kg_kg")),tblDonusum[donusum_id],0)),0))</f>
        <v/>
      </c>
      <c r="J58" s="25">
        <f>IF($A58="","",IFERROR($E58/MAX($I58,yrm_sifirKoruma)*(1+$F58),0))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IF($A59="","",IFERROR(INDEX(tblDonusum[katsayi],MATCH(IF($C59="ton","ton_kg",IF($C59="cuval","cuval_kg","kg_kg")),tblDonusum[donusum_id],0)),0))</f>
        <v/>
      </c>
      <c r="J59" s="25">
        <f>IF($A59="","",IFERROR($E59/MAX($I59,yrm_sifirKoruma)*(1+$F59),0))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IF($A60="","",IFERROR(INDEX(tblDonusum[katsayi],MATCH(IF($C60="ton","ton_kg",IF($C60="cuval","cuval_kg","kg_kg")),tblDonusum[donusum_id],0)),0))</f>
        <v/>
      </c>
      <c r="J60" s="25">
        <f>IF($A60="","",IFERROR($E60/MAX($I60,yrm_sifirKoruma)*(1+$F60),0))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IF($A61="","",IFERROR(INDEX(tblDonusum[katsayi],MATCH(IF($C61="ton","ton_kg",IF($C61="cuval","cuval_kg","kg_kg")),tblDonusum[donusum_id],0)),0))</f>
        <v/>
      </c>
      <c r="J61" s="25">
        <f>IF($A61="","",IFERROR($E61/MAX($I61,yrm_sifirKoruma)*(1+$F61),0))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IF($A62="","",IFERROR(INDEX(tblDonusum[katsayi],MATCH(IF($C62="ton","ton_kg",IF($C62="cuval","cuval_kg","kg_kg")),tblDonusum[donusum_id],0)),0))</f>
        <v/>
      </c>
      <c r="J62" s="25">
        <f>IF($A62="","",IFERROR($E62/MAX($I62,yrm_sifirKoruma)*(1+$F62),0))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IF($A63="","",IFERROR(INDEX(tblDonusum[katsayi],MATCH(IF($C63="ton","ton_kg",IF($C63="cuval","cuval_kg","kg_kg")),tblDonusum[donusum_id],0)),0))</f>
        <v/>
      </c>
      <c r="J63" s="25">
        <f>IF($A63="","",IFERROR($E63/MAX($I63,yrm_sifirKoruma)*(1+$F63),0))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IF($A64="","",IFERROR(INDEX(tblDonusum[katsayi],MATCH(IF($C64="ton","ton_kg",IF($C64="cuval","cuval_kg","kg_kg")),tblDonusum[donusum_id],0)),0))</f>
        <v/>
      </c>
      <c r="J64" s="25">
        <f>IF($A64="","",IFERROR($E64/MAX($I64,yrm_sifirKoruma)*(1+$F64),0))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IF($A65="","",IFERROR(INDEX(tblDonusum[katsayi],MATCH(IF($C65="ton","ton_kg",IF($C65="cuval","cuval_kg","kg_kg")),tblDonusum[donusum_id],0)),0))</f>
        <v/>
      </c>
      <c r="J65" s="25">
        <f>IF($A65="","",IFERROR($E65/MAX($I65,yrm_sifirKoruma)*(1+$F65),0))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IF($A66="","",IFERROR(INDEX(tblDonusum[katsayi],MATCH(IF($C66="ton","ton_kg",IF($C66="cuval","cuval_kg","kg_kg")),tblDonusum[donusum_id],0)),0))</f>
        <v/>
      </c>
      <c r="J66" s="25">
        <f>IF($A66="","",IFERROR($E66/MAX($I66,yrm_sifirKoruma)*(1+$F66),0))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IF($A67="","",IFERROR(INDEX(tblDonusum[katsayi],MATCH(IF($C67="ton","ton_kg",IF($C67="cuval","cuval_kg","kg_kg")),tblDonusum[donusum_id],0)),0))</f>
        <v/>
      </c>
      <c r="J67" s="25">
        <f>IF($A67="","",IFERROR($E67/MAX($I67,yrm_sifirKoruma)*(1+$F67),0))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IF($A68="","",IFERROR(INDEX(tblDonusum[katsayi],MATCH(IF($C68="ton","ton_kg",IF($C68="cuval","cuval_kg","kg_kg")),tblDonusum[donusum_id],0)),0))</f>
        <v/>
      </c>
      <c r="J68" s="25">
        <f>IF($A68="","",IFERROR($E68/MAX($I68,yrm_sifirKoruma)*(1+$F68),0))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IF($A69="","",IFERROR(INDEX(tblDonusum[katsayi],MATCH(IF($C69="ton","ton_kg",IF($C69="cuval","cuval_kg","kg_kg")),tblDonusum[donusum_id],0)),0))</f>
        <v/>
      </c>
      <c r="J69" s="25">
        <f>IF($A69="","",IFERROR($E69/MAX($I69,yrm_sifirKoruma)*(1+$F69),0))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IF($A70="","",IFERROR(INDEX(tblDonusum[katsayi],MATCH(IF($C70="ton","ton_kg",IF($C70="cuval","cuval_kg","kg_kg")),tblDonusum[donusum_id],0)),0))</f>
        <v/>
      </c>
      <c r="J70" s="25">
        <f>IF($A70="","",IFERROR($E70/MAX($I70,yrm_sifirKoruma)*(1+$F70),0))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IF($A71="","",IFERROR(INDEX(tblDonusum[katsayi],MATCH(IF($C71="ton","ton_kg",IF($C71="cuval","cuval_kg","kg_kg")),tblDonusum[donusum_id],0)),0))</f>
        <v/>
      </c>
      <c r="J71" s="25">
        <f>IF($A71="","",IFERROR($E71/MAX($I71,yrm_sifirKoruma)*(1+$F71),0))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IF($A72="","",IFERROR(INDEX(tblDonusum[katsayi],MATCH(IF($C72="ton","ton_kg",IF($C72="cuval","cuval_kg","kg_kg")),tblDonusum[donusum_id],0)),0))</f>
        <v/>
      </c>
      <c r="J72" s="25">
        <f>IF($A72="","",IFERROR($E72/MAX($I72,yrm_sifirKoruma)*(1+$F72),0))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IF($A73="","",IFERROR(INDEX(tblDonusum[katsayi],MATCH(IF($C73="ton","ton_kg",IF($C73="cuval","cuval_kg","kg_kg")),tblDonusum[donusum_id],0)),0))</f>
        <v/>
      </c>
      <c r="J73" s="25">
        <f>IF($A73="","",IFERROR($E73/MAX($I73,yrm_sifirKoruma)*(1+$F73),0))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IF($A74="","",IFERROR(INDEX(tblDonusum[katsayi],MATCH(IF($C74="ton","ton_kg",IF($C74="cuval","cuval_kg","kg_kg")),tblDonusum[donusum_id],0)),0))</f>
        <v/>
      </c>
      <c r="J74" s="25">
        <f>IF($A74="","",IFERROR($E74/MAX($I74,yrm_sifirKoruma)*(1+$F74),0))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IF($A75="","",IFERROR(INDEX(tblDonusum[katsayi],MATCH(IF($C75="ton","ton_kg",IF($C75="cuval","cuval_kg","kg_kg")),tblDonusum[donusum_id],0)),0))</f>
        <v/>
      </c>
      <c r="J75" s="25">
        <f>IF($A75="","",IFERROR($E75/MAX($I75,yrm_sifirKoruma)*(1+$F75),0))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IF($A76="","",IFERROR(INDEX(tblDonusum[katsayi],MATCH(IF($C76="ton","ton_kg",IF($C76="cuval","cuval_kg","kg_kg")),tblDonusum[donusum_id],0)),0))</f>
        <v/>
      </c>
      <c r="J76" s="25">
        <f>IF($A76="","",IFERROR($E76/MAX($I76,yrm_sifirKoruma)*(1+$F76),0))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IF($A77="","",IFERROR(INDEX(tblDonusum[katsayi],MATCH(IF($C77="ton","ton_kg",IF($C77="cuval","cuval_kg","kg_kg")),tblDonusum[donusum_id],0)),0))</f>
        <v/>
      </c>
      <c r="J77" s="25">
        <f>IF($A77="","",IFERROR($E77/MAX($I77,yrm_sifirKoruma)*(1+$F77),0))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IF($A78="","",IFERROR(INDEX(tblDonusum[katsayi],MATCH(IF($C78="ton","ton_kg",IF($C78="cuval","cuval_kg","kg_kg")),tblDonusum[donusum_id],0)),0))</f>
        <v/>
      </c>
      <c r="J78" s="25">
        <f>IF($A78="","",IFERROR($E78/MAX($I78,yrm_sifirKoruma)*(1+$F78),0))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IF($A79="","",IFERROR(INDEX(tblDonusum[katsayi],MATCH(IF($C79="ton","ton_kg",IF($C79="cuval","cuval_kg","kg_kg")),tblDonusum[donusum_id],0)),0))</f>
        <v/>
      </c>
      <c r="J79" s="25">
        <f>IF($A79="","",IFERROR($E79/MAX($I79,yrm_sifirKoruma)*(1+$F79),0))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IF($A80="","",IFERROR(INDEX(tblDonusum[katsayi],MATCH(IF($C80="ton","ton_kg",IF($C80="cuval","cuval_kg","kg_kg")),tblDonusum[donusum_id],0)),0))</f>
        <v/>
      </c>
      <c r="J80" s="25">
        <f>IF($A80="","",IFERROR($E80/MAX($I80,yrm_sifirKoruma)*(1+$F80),0))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IF($A81="","",IFERROR(INDEX(tblDonusum[katsayi],MATCH(IF($C81="ton","ton_kg",IF($C81="cuval","cuval_kg","kg_kg")),tblDonusum[donusum_id],0)),0))</f>
        <v/>
      </c>
      <c r="J81" s="25">
        <f>IF($A81="","",IFERROR($E81/MAX($I81,yrm_sifirKoruma)*(1+$F81),0))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IF($A82="","",IFERROR(INDEX(tblDonusum[katsayi],MATCH(IF($C82="ton","ton_kg",IF($C82="cuval","cuval_kg","kg_kg")),tblDonusum[donusum_id],0)),0))</f>
        <v/>
      </c>
      <c r="J82" s="25">
        <f>IF($A82="","",IFERROR($E82/MAX($I82,yrm_sifirKoruma)*(1+$F82),0))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IF($A83="","",IFERROR(INDEX(tblDonusum[katsayi],MATCH(IF($C83="ton","ton_kg",IF($C83="cuval","cuval_kg","kg_kg")),tblDonusum[donusum_id],0)),0))</f>
        <v/>
      </c>
      <c r="J83" s="25">
        <f>IF($A83="","",IFERROR($E83/MAX($I83,yrm_sifirKoruma)*(1+$F83),0))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IF($A84="","",IFERROR(INDEX(tblDonusum[katsayi],MATCH(IF($C84="ton","ton_kg",IF($C84="cuval","cuval_kg","kg_kg")),tblDonusum[donusum_id],0)),0))</f>
        <v/>
      </c>
      <c r="J84" s="25">
        <f>IF($A84="","",IFERROR($E84/MAX($I84,yrm_sifirKoruma)*(1+$F84),0))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IF($A85="","",IFERROR(INDEX(tblDonusum[katsayi],MATCH(IF($C85="ton","ton_kg",IF($C85="cuval","cuval_kg","kg_kg")),tblDonusum[donusum_id],0)),0))</f>
        <v/>
      </c>
      <c r="J85" s="25">
        <f>IF($A85="","",IFERROR($E85/MAX($I85,yrm_sifirKoruma)*(1+$F85),0))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IF($A86="","",IFERROR(INDEX(tblDonusum[katsayi],MATCH(IF($C86="ton","ton_kg",IF($C86="cuval","cuval_kg","kg_kg")),tblDonusum[donusum_id],0)),0))</f>
        <v/>
      </c>
      <c r="J86" s="25">
        <f>IF($A86="","",IFERROR($E86/MAX($I86,yrm_sifirKoruma)*(1+$F86),0))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H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9.5" customWidth="1" min="8" max="8"/>
    <col width="13" customWidth="1" min="9" max="9"/>
  </cols>
  <sheetData>
    <row r="1" ht="32" customHeight="1">
      <c r="A1" s="190" t="inlineStr">
        <is>
          <t>RASYON — Yem Rasyonu &amp; Maliyet Motoru</t>
        </is>
      </c>
    </row>
    <row r="3" ht="22" customHeight="1">
      <c r="A3" s="209" t="inlineStr">
        <is>
          <t>Rasyon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IFERROR(SUMIF(tblRasyon[Versiyon],GIRDI!B17,tblRasyon[Oran])*100,0)</f>
        <v/>
      </c>
      <c r="C4" s="7" t="inlineStr">
        <is>
          <t>Bileşim alarmı</t>
        </is>
      </c>
      <c r="D4" s="13">
        <f>IF(ABS(B4-100)&gt;yrm_bilesimTolerans,"ALARM: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RS-01</t>
        </is>
      </c>
      <c r="B6" s="15" t="inlineStr">
        <is>
          <t>YM-01</t>
        </is>
      </c>
      <c r="C6" s="19" t="n">
        <v>0.4</v>
      </c>
      <c r="D6" s="19" t="n">
        <v>0.08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Silaj baz</t>
        </is>
      </c>
    </row>
    <row r="7">
      <c r="A7" s="15" t="inlineStr">
        <is>
          <t>RS-02</t>
        </is>
      </c>
      <c r="B7" s="15" t="inlineStr">
        <is>
          <t>YM-02</t>
        </is>
      </c>
      <c r="C7" s="19" t="n">
        <v>0.15</v>
      </c>
      <c r="D7" s="19" t="n">
        <v>0.05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Kaba yem</t>
        </is>
      </c>
    </row>
    <row r="8">
      <c r="A8" s="15" t="inlineStr">
        <is>
          <t>RS-03</t>
        </is>
      </c>
      <c r="B8" s="15" t="inlineStr">
        <is>
          <t>YM-03</t>
        </is>
      </c>
      <c r="C8" s="19" t="n">
        <v>0.2</v>
      </c>
      <c r="D8" s="19" t="n">
        <v>0.02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Enerji</t>
        </is>
      </c>
    </row>
    <row r="9">
      <c r="A9" s="15" t="inlineStr">
        <is>
          <t>RS-04</t>
        </is>
      </c>
      <c r="B9" s="15" t="inlineStr">
        <is>
          <t>YM-04</t>
        </is>
      </c>
      <c r="C9" s="19" t="n">
        <v>0.12</v>
      </c>
      <c r="D9" s="19" t="n">
        <v>0.015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Protein</t>
        </is>
      </c>
    </row>
    <row r="10">
      <c r="A10" s="15" t="inlineStr">
        <is>
          <t>RS-05</t>
        </is>
      </c>
      <c r="B10" s="15" t="inlineStr">
        <is>
          <t>YM-05</t>
        </is>
      </c>
      <c r="C10" s="19" t="n">
        <v>0.1</v>
      </c>
      <c r="D10" s="19" t="n">
        <v>0.03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Kesif</t>
        </is>
      </c>
    </row>
    <row r="11">
      <c r="A11" s="15" t="inlineStr">
        <is>
          <t>RS-06</t>
        </is>
      </c>
      <c r="B11" s="15" t="inlineStr">
        <is>
          <t>YM-06</t>
        </is>
      </c>
      <c r="C11" s="19" t="n">
        <v>0.02</v>
      </c>
      <c r="D11" s="19" t="n">
        <v>0.01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Mineral</t>
        </is>
      </c>
    </row>
    <row r="12">
      <c r="A12" s="15" t="inlineStr">
        <is>
          <t>RS-07</t>
        </is>
      </c>
      <c r="B12" s="15" t="inlineStr">
        <is>
          <t>YM-07</t>
        </is>
      </c>
      <c r="C12" s="19" t="n">
        <v>0.01</v>
      </c>
      <c r="D12" s="19" t="n">
        <v>0.005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Tuz</t>
        </is>
      </c>
    </row>
    <row r="13">
      <c r="A13" s="15" t="inlineStr">
        <is>
          <t>RS-08</t>
        </is>
      </c>
      <c r="B13" s="15" t="inlineStr">
        <is>
          <t>YM-01</t>
        </is>
      </c>
      <c r="C13" s="19" t="n">
        <v>0.45</v>
      </c>
      <c r="D13" s="19" t="n">
        <v>0.1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silaj agir</t>
        </is>
      </c>
    </row>
    <row r="14">
      <c r="A14" s="15" t="inlineStr">
        <is>
          <t>RS-09</t>
        </is>
      </c>
      <c r="B14" s="15" t="inlineStr">
        <is>
          <t>YM-02</t>
        </is>
      </c>
      <c r="C14" s="19" t="n">
        <v>0.12</v>
      </c>
      <c r="D14" s="19" t="n">
        <v>0.05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yonca</t>
        </is>
      </c>
    </row>
    <row r="15">
      <c r="A15" s="15" t="inlineStr">
        <is>
          <t>RS-10</t>
        </is>
      </c>
      <c r="B15" s="15" t="inlineStr">
        <is>
          <t>YM-03</t>
        </is>
      </c>
      <c r="C15" s="19" t="n">
        <v>0.18</v>
      </c>
      <c r="D15" s="19" t="n">
        <v>0.02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arpa</t>
        </is>
      </c>
    </row>
    <row r="16">
      <c r="A16" s="15" t="inlineStr">
        <is>
          <t>RS-11</t>
        </is>
      </c>
      <c r="B16" s="15" t="inlineStr">
        <is>
          <t>YM-04</t>
        </is>
      </c>
      <c r="C16" s="19" t="n">
        <v>0.1</v>
      </c>
      <c r="D16" s="19" t="n">
        <v>0.015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soya</t>
        </is>
      </c>
    </row>
    <row r="17">
      <c r="A17" s="15" t="inlineStr">
        <is>
          <t>RS-12</t>
        </is>
      </c>
      <c r="B17" s="15" t="inlineStr">
        <is>
          <t>YM-05</t>
        </is>
      </c>
      <c r="C17" s="19" t="n">
        <v>0.12</v>
      </c>
      <c r="D17" s="19" t="n">
        <v>0.03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kesif</t>
        </is>
      </c>
    </row>
    <row r="18">
      <c r="A18" s="15" t="inlineStr">
        <is>
          <t>RS-13</t>
        </is>
      </c>
      <c r="B18" s="15" t="inlineStr">
        <is>
          <t>YM-06</t>
        </is>
      </c>
      <c r="C18" s="19" t="n">
        <v>0.02</v>
      </c>
      <c r="D18" s="19" t="n">
        <v>0.01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mineral</t>
        </is>
      </c>
    </row>
    <row r="19">
      <c r="A19" s="15" t="inlineStr">
        <is>
          <t>RS-14</t>
        </is>
      </c>
      <c r="B19" s="15" t="inlineStr">
        <is>
          <t>YM-07</t>
        </is>
      </c>
      <c r="C19" s="19" t="n">
        <v>0.01</v>
      </c>
      <c r="D19" s="19" t="n">
        <v>0.005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tuz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I82"/>
  <sheetViews>
    <sheetView showGridLines="0" workbookViewId="0">
      <selection activeCell="A1" sqref="A1"/>
    </sheetView>
  </sheetViews>
  <sheetFormatPr baseColWidth="8" defaultRowHeight="15"/>
  <cols>
    <col width="36.5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MALIYET — Yem Rasyonu &amp; Maliyet Motoru</t>
        </is>
      </c>
    </row>
    <row r="3" ht="22" customHeight="1">
      <c r="A3" s="209" t="inlineStr">
        <is>
          <t>Maliyet motoru — hammadde + işçilik + ambalaj + genel gider → birim süt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rasyon satırı</t>
        </is>
      </c>
      <c r="B7" s="30">
        <f>IFERROR(COUNTIF(tblRasyon[Versiyon],GIRDI!B17),0)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IFERROR(SUMIF(tblRasyon[Versiyon],GIRDI!B17,tblRasyon[Oran])*100,0)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IF(ABS(B8-100)&gt;yrm_bilesimTolerans,"ALARM: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(hayvan)</t>
        </is>
      </c>
      <c r="B10" s="32">
        <f>IFERROR(SUMIF(tblRasyon[Versiyon],GIRDI!B17,tblRasyon[MaliyetPay_tl]),0)</f>
        <v/>
      </c>
      <c r="C10" s="9" t="inlineStr">
        <is>
          <t>Fire dahil</t>
        </is>
      </c>
    </row>
    <row r="11">
      <c r="A11" s="7" t="inlineStr">
        <is>
          <t>Sürü hammadde TL/gun</t>
        </is>
      </c>
      <c r="B11" s="32">
        <f>IFERROR(B10*GIRDI!B9,0)</f>
        <v/>
      </c>
      <c r="C11" s="9" t="inlineStr">
        <is>
          <t>× hayvan</t>
        </is>
      </c>
    </row>
    <row r="12">
      <c r="A12" s="7" t="inlineStr">
        <is>
          <t>İşçilik TL/gun</t>
        </is>
      </c>
      <c r="B12" s="32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2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2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TL/lt</t>
        </is>
      </c>
      <c r="B16" s="32">
        <f>IFERROR(B11/(GIRDI!B9*GIRDI!B10),0)</f>
        <v/>
      </c>
      <c r="C16" s="9" t="inlineStr">
        <is>
          <t>Hammadde/süt</t>
        </is>
      </c>
    </row>
    <row r="17">
      <c r="A17" s="7" t="inlineStr">
        <is>
          <t>İşçilik birim pay TL/lt</t>
        </is>
      </c>
      <c r="B17" s="32">
        <f>IFERROR(B12/(GIRDI!B9*GIRDI!B10),0)</f>
        <v/>
      </c>
      <c r="C17" s="9" t="inlineStr">
        <is>
          <t>İşçilik/süt</t>
        </is>
      </c>
    </row>
    <row r="18">
      <c r="A18" s="7" t="inlineStr">
        <is>
          <t>Ambalaj birim pay TL/lt</t>
        </is>
      </c>
      <c r="B18" s="32">
        <f>IFERROR(B13/(GIRDI!B9*GIRDI!B10),0)</f>
        <v/>
      </c>
      <c r="C18" s="9" t="inlineStr">
        <is>
          <t>Ambalaj/süt</t>
        </is>
      </c>
    </row>
    <row r="19">
      <c r="A19" s="7" t="inlineStr">
        <is>
          <t>Genel gider birim pay TL/lt</t>
        </is>
      </c>
      <c r="B19" s="32">
        <f>IFERROR(B14/(GIRDI!B9*GIRDI!B10),0)</f>
        <v/>
      </c>
      <c r="C19" s="9" t="inlineStr">
        <is>
          <t>Genel/süt</t>
        </is>
      </c>
    </row>
    <row r="20">
      <c r="A20" s="7" t="inlineStr">
        <is>
          <t>Birim süt maliyeti TL/lt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IF(ABS((yrm_kirilimHammadde+yrm_kirilimIscilik+yrm_kirilimAmbalaj+yrm_kirilimGenel)-B20)&gt;yrm_tolerans,"KIRILIM UYUSMUYOR","OK")</f>
        <v/>
      </c>
      <c r="C21" s="9" t="inlineStr">
        <is>
          <t>R05</t>
        </is>
      </c>
    </row>
    <row r="22">
      <c r="A22" s="7" t="inlineStr">
        <is>
          <t>Toplam süt lt/gun</t>
        </is>
      </c>
      <c r="B22" s="33">
        <f>IFERROR(GIRDI!B9*GIRDI!B10,0)</f>
        <v/>
      </c>
      <c r="C22" s="9" t="inlineStr">
        <is>
          <t>Sürü süt</t>
        </is>
      </c>
    </row>
    <row r="23">
      <c r="A23" s="7" t="inlineStr">
        <is>
          <t>Marj TL/lt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4">
        <f>IFERROR(B23/MAX(GIRDI!B11,yrm_sifirKoruma),0)</f>
        <v/>
      </c>
      <c r="C24" s="9" t="inlineStr">
        <is>
          <t>Marj/fiyat</t>
        </is>
      </c>
    </row>
    <row r="25">
      <c r="A25" s="7" t="inlineStr">
        <is>
          <t>Hedef fiyat TL/lt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4">
        <f>IFERROR(B20/MAX(GIRDI!B11,yrm_sifirKoruma),0)</f>
        <v/>
      </c>
      <c r="C26" s="9" t="inlineStr">
        <is>
          <t>Risk oranı</t>
        </is>
      </c>
    </row>
    <row r="27">
      <c r="A27" s="7" t="inlineStr">
        <is>
          <t>Rasyon toplam kg/gun hayvan</t>
        </is>
      </c>
      <c r="B27" s="31">
        <f>IFERROR(SUMIF(tblRasyon[Versiyon],GIRDI!B17,tblRasyon[MiktarKg]),0)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IFERROR(IF(COUNTIF(tblRasyon[Fire],"&gt;=0")&gt;0,"FIRE_VAR","FIRE_YOK"),"FIRE_YOK")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dışı",B26&gt;yrm_kritikOran),"KRITIK",IF(B26&gt;yrm_dikkatOran,"DIKKAT","UYGUN")))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süt",TEXT(B20,"0.00"),"Marj",TEXT(B24,"0.0%"),"Alarm",B9)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IFERROR(MAX(0,MIN(100,yrm_kaliteTaban-IF(B9&lt;&gt;"OK",yrm_kaliteCeza,0)-IF(B21&lt;&gt;"OK",yrm_kaliteCeza,0)-IF(B6&lt;yrm_girisBeklenen,yrm_kaliteSapma,0))),0)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IFERROR(SUMPRODUCT((tblRasyon[Oran])^2*(tblRasyon[Versiyon]=GIRDI!B17)*1),0)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IFERROR(B20*(1-yrm_senaryoIyi),0)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IFERROR(B20*(1+yrm_senaryoKotu),0)</f>
        <v/>
      </c>
      <c r="C36" s="9" t="inlineStr">
        <is>
          <t>Kötümser</t>
        </is>
      </c>
    </row>
    <row r="37">
      <c r="A37" s="7" t="inlineStr">
        <is>
          <t>Tornado kesif etkisi</t>
        </is>
      </c>
      <c r="B37" s="32">
        <f>IFERROR(B20*yrm_tornadoKesif,0)</f>
        <v/>
      </c>
      <c r="C37" s="9" t="inlineStr">
        <is>
          <t>Kesif fiyat</t>
        </is>
      </c>
    </row>
    <row r="38">
      <c r="A38" s="7" t="inlineStr">
        <is>
          <t>Tornado silaj etkisi</t>
        </is>
      </c>
      <c r="B38" s="32">
        <f>IFERROR(B20*yrm_tornadoSilaj,0)</f>
        <v/>
      </c>
      <c r="C38" s="9" t="inlineStr">
        <is>
          <t>Silaj fiyat</t>
        </is>
      </c>
    </row>
    <row r="39">
      <c r="A39" s="7" t="inlineStr">
        <is>
          <t>Tornado verim etkisi</t>
        </is>
      </c>
      <c r="B39" s="32">
        <f>IFERROR(B20*yrm_tornadoVerim,0)</f>
        <v/>
      </c>
      <c r="C39" s="9" t="inlineStr">
        <is>
          <t>Süt verimi</t>
        </is>
      </c>
    </row>
    <row r="40">
      <c r="A40" s="7" t="inlineStr">
        <is>
          <t>Tahmin alt</t>
        </is>
      </c>
      <c r="B40" s="32">
        <f>IFERROR(B20*yrm_tahminAlt,0)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IFERROR(B20*yrm_tahminUst,0)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IFERROR(_xlfn.PERCENTILE.INC(SENARYO!C6:C8,yrm_yuzdelikOran),0)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doldurun",IF(B29="KRITIK","Kesif/silaj fiyatını AND bileşim %100 kontrol edin",IF(B29="DIKKAT","Fire AND protein kalemini gözden geçirin","Rasyonu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IF(B33&gt;yrm_hhiEsik,"Tek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Hayvan başına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Sürü toplam maliyet</t>
        </is>
      </c>
      <c r="B49" s="32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IFERROR(B15/MAX(B22,yrm_sifirKoruma),0)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Verim grubu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4">
        <f>IFERROR(B11/MAX(B15,yrm_sifirKoruma),0)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4">
        <f>IFERROR(B12/MAX(B15,yrm_sifirKoruma),0)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4">
        <f>IFERROR(B13/MAX(B15,yrm_sifirKoruma),0)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4">
        <f>IFERROR(B14/MAX(B15,yrm_sifirKoruma),0)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IF(B54&gt;yrm_kritikHammaddePay,"KRİTİK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süt eğilim</t>
        </is>
      </c>
      <c r="B59" s="33">
        <f>IFERROR(FORECAST(yrm_fcHedef,AYARLAR!$B$43:$B$45,AYARLAR!$B$46:$B$48),0)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9.800000000000001</v>
      </c>
    </row>
    <row r="64">
      <c r="A64" s="7" t="inlineStr">
        <is>
          <t>Iscilik</t>
        </is>
      </c>
      <c r="B64" s="32" t="n">
        <v>0.2</v>
      </c>
    </row>
    <row r="65">
      <c r="A65" s="7" t="inlineStr">
        <is>
          <t>Ambalaj</t>
        </is>
      </c>
      <c r="B65" s="32" t="n">
        <v>0.03</v>
      </c>
    </row>
    <row r="66">
      <c r="A66" s="7" t="inlineStr">
        <is>
          <t>Genel gider</t>
        </is>
      </c>
      <c r="B66" s="32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9.300000000000001</v>
      </c>
    </row>
    <row r="70">
      <c r="A70" s="7" t="inlineStr">
        <is>
          <t>Baz</t>
        </is>
      </c>
      <c r="B70" s="32" t="n">
        <v>10.1</v>
      </c>
    </row>
    <row r="71">
      <c r="A71" s="7" t="inlineStr">
        <is>
          <t>Kotumser</t>
        </is>
      </c>
      <c r="B71" s="32" t="n">
        <v>11.3</v>
      </c>
    </row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4" t="n">
        <v>0.82</v>
      </c>
    </row>
    <row r="80">
      <c r="A80" s="7" t="inlineStr">
        <is>
          <t>Iscilik pay</t>
        </is>
      </c>
      <c r="B80" s="34" t="n">
        <v>0.12</v>
      </c>
    </row>
    <row r="81">
      <c r="A81" s="7" t="inlineStr">
        <is>
          <t>Ambalaj pay</t>
        </is>
      </c>
      <c r="B81" s="34" t="n">
        <v>0.02</v>
      </c>
    </row>
    <row r="82">
      <c r="A82" s="7" t="inlineStr">
        <is>
          <t>Genel pay</t>
        </is>
      </c>
      <c r="B82" s="34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FIYATLAMA — Yem Rasyonu &amp; Maliyet Motoru</t>
        </is>
      </c>
    </row>
    <row r="3" ht="22" customHeight="1">
      <c r="A3" s="209" t="inlineStr">
        <is>
          <t>Hedef marj → önerilen süt fiyatı</t>
        </is>
      </c>
    </row>
    <row r="5">
      <c r="A5" s="7" t="inlineStr">
        <is>
          <t>Birim süt maliyeti</t>
        </is>
      </c>
      <c r="B5" s="32">
        <f>yrm_birimSutMaliyeti</f>
        <v/>
      </c>
    </row>
    <row r="6">
      <c r="A6" s="7" t="inlineStr">
        <is>
          <t>Hedef marj</t>
        </is>
      </c>
      <c r="B6" s="34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IF(yrm_kararKapi="VERİ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VARYANS — Yem Rasyonu &amp; Maliyet Motoru</t>
        </is>
      </c>
    </row>
    <row r="3" ht="22" customHeight="1">
      <c r="A3" s="209" t="inlineStr">
        <is>
          <t>Rasyon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YM-01</t>
        </is>
      </c>
      <c r="B6" s="32">
        <f>IFERROR(SUMIFS(tblRasyon[MaliyetPay_tl],tblRasyon[KalemId],A6,tblRasyon[Versiyon],"V1"),0)</f>
        <v/>
      </c>
      <c r="C6" s="32">
        <f>IFERROR(SUMIFS(tblRasyon[MaliyetPay_tl],tblRasyon[KalemId],A6,tblRasyon[Versiyon],"V2"),0)</f>
        <v/>
      </c>
      <c r="D6" s="32">
        <f>IFERROR(C6-B6,0)</f>
        <v/>
      </c>
      <c r="E6" s="7">
        <f>IF(ABS(D6)&lt;=yrm_tolerans,"Stabil",IF(ABS(D6)&gt;yrm_varyansFiyatPay,"Fiyat/Karışım","Miktar"))</f>
        <v/>
      </c>
      <c r="F6" s="32" t="n">
        <v>4.2</v>
      </c>
      <c r="G6" s="32" t="n">
        <v>3.8</v>
      </c>
    </row>
    <row r="7">
      <c r="A7" s="7" t="inlineStr">
        <is>
          <t>YM-02</t>
        </is>
      </c>
      <c r="B7" s="32">
        <f>IFERROR(SUMIFS(tblRasyon[MaliyetPay_tl],tblRasyon[KalemId],A7,tblRasyon[Versiyon],"V1"),0)</f>
        <v/>
      </c>
      <c r="C7" s="32">
        <f>IFERROR(SUMIFS(tblRasyon[MaliyetPay_tl],tblRasyon[KalemId],A7,tblRasyon[Versiyon],"V2"),0)</f>
        <v/>
      </c>
      <c r="D7" s="32">
        <f>IFERROR(C7-B7,0)</f>
        <v/>
      </c>
      <c r="E7" s="7">
        <f>IF(ABS(D7)&lt;=yrm_tolerans,"Stabil",IF(ABS(D7)&gt;yrm_varyansFiyatPay,"Fiyat/Karışım","Miktar"))</f>
        <v/>
      </c>
      <c r="F7" s="32" t="n">
        <v>1.5</v>
      </c>
      <c r="G7" s="32" t="n">
        <v>1.7</v>
      </c>
    </row>
    <row r="8">
      <c r="A8" s="7" t="inlineStr">
        <is>
          <t>YM-03</t>
        </is>
      </c>
      <c r="B8" s="32">
        <f>IFERROR(SUMIFS(tblRasyon[MaliyetPay_tl],tblRasyon[KalemId],A8,tblRasyon[Versiyon],"V1"),0)</f>
        <v/>
      </c>
      <c r="C8" s="32">
        <f>IFERROR(SUMIFS(tblRasyon[MaliyetPay_tl],tblRasyon[KalemId],A8,tblRasyon[Versiyon],"V2"),0)</f>
        <v/>
      </c>
      <c r="D8" s="32">
        <f>IFERROR(C8-B8,0)</f>
        <v/>
      </c>
      <c r="E8" s="7">
        <f>IF(ABS(D8)&lt;=yrm_tolerans,"Stabil",IF(ABS(D8)&gt;yrm_varyansFiyatPay,"Fiyat/Karışım","Miktar"))</f>
        <v/>
      </c>
      <c r="F8" s="32" t="n">
        <v>2.1</v>
      </c>
      <c r="G8" s="32" t="n">
        <v>2.3</v>
      </c>
    </row>
    <row r="9">
      <c r="A9" s="7" t="inlineStr">
        <is>
          <t>YM-04</t>
        </is>
      </c>
      <c r="B9" s="32">
        <f>IFERROR(SUMIFS(tblRasyon[MaliyetPay_tl],tblRasyon[KalemId],A9,tblRasyon[Versiyon],"V1"),0)</f>
        <v/>
      </c>
      <c r="C9" s="32">
        <f>IFERROR(SUMIFS(tblRasyon[MaliyetPay_tl],tblRasyon[KalemId],A9,tblRasyon[Versiyon],"V2"),0)</f>
        <v/>
      </c>
      <c r="D9" s="32">
        <f>IFERROR(C9-B9,0)</f>
        <v/>
      </c>
      <c r="E9" s="7">
        <f>IF(ABS(D9)&lt;=yrm_tolerans,"Stabil",IF(ABS(D9)&gt;yrm_varyansFiyatPay,"Fiyat/Karışım","Miktar"))</f>
        <v/>
      </c>
      <c r="F9" s="32" t="n">
        <v>1.8</v>
      </c>
      <c r="G9" s="32" t="n">
        <v>2</v>
      </c>
    </row>
    <row r="10">
      <c r="A10" s="7" t="inlineStr">
        <is>
          <t>YM-05</t>
        </is>
      </c>
      <c r="B10" s="32">
        <f>IFERROR(SUMIFS(tblRasyon[MaliyetPay_tl],tblRasyon[KalemId],A10,tblRasyon[Versiyon],"V1"),0)</f>
        <v/>
      </c>
      <c r="C10" s="32">
        <f>IFERROR(SUMIFS(tblRasyon[MaliyetPay_tl],tblRasyon[KalemId],A10,tblRasyon[Versiyon],"V2"),0)</f>
        <v/>
      </c>
      <c r="D10" s="32">
        <f>IFERROR(C10-B10,0)</f>
        <v/>
      </c>
      <c r="E10" s="7">
        <f>IF(ABS(D10)&lt;=yrm_tolerans,"Stabil",IF(ABS(D10)&gt;yrm_varyansFiyatPay,"Fiyat/Karışım","Miktar"))</f>
        <v/>
      </c>
      <c r="F10" s="32" t="n">
        <v>1.6</v>
      </c>
      <c r="G10" s="32" t="n">
        <v>1.4</v>
      </c>
    </row>
    <row r="11">
      <c r="A11" s="7" t="inlineStr">
        <is>
          <t>YM-06</t>
        </is>
      </c>
      <c r="B11" s="32">
        <f>IFERROR(SUMIFS(tblRasyon[MaliyetPay_tl],tblRasyon[KalemId],A11,tblRasyon[Versiyon],"V1"),0)</f>
        <v/>
      </c>
      <c r="C11" s="32">
        <f>IFERROR(SUMIFS(tblRasyon[MaliyetPay_tl],tblRasyon[KalemId],A11,tblRasyon[Versiyon],"V2"),0)</f>
        <v/>
      </c>
      <c r="D11" s="32">
        <f>IFERROR(C11-B11,0)</f>
        <v/>
      </c>
      <c r="E11" s="7">
        <f>IF(ABS(D11)&lt;=yrm_tolerans,"Stabil",IF(ABS(D11)&gt;yrm_varyansFiyatPay,"Fiyat/Karışım","Miktar"))</f>
        <v/>
      </c>
      <c r="F11" s="32" t="n">
        <v>0.3</v>
      </c>
      <c r="G11" s="32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IFERROR(SUMIFS(tblRasyon[MaliyetPay_tl],tblRasyon[KalemId],A12,tblRasyon[Versiyon],"V2"),0)</f>
        <v/>
      </c>
      <c r="D12" s="32">
        <f>IFERROR(C12-B12,0)</f>
        <v/>
      </c>
      <c r="E12" s="7">
        <f>IF(ABS(D12)&lt;=yrm_tolerans,"Stabil",IF(ABS(D12)&gt;yrm_varyansFiyatPay,"Fiyat/Karışım","Miktar"))</f>
        <v/>
      </c>
      <c r="F12" s="32" t="n">
        <v>0.1</v>
      </c>
      <c r="G12" s="32" t="n">
        <v>0.1</v>
      </c>
    </row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7">
      <c r="A17" s="7" t="inlineStr">
        <is>
          <t>Fiyat payı</t>
        </is>
      </c>
      <c r="B17" s="32">
        <f>IFERROR(B12*yrm_varyansFiyatPay,0)</f>
        <v/>
      </c>
    </row>
    <row r="18">
      <c r="A18" s="7" t="inlineStr">
        <is>
          <t>Miktar payı</t>
        </is>
      </c>
      <c r="B18" s="32">
        <f>IFERROR(B12*yrm_varyansMiktarPay,0)</f>
        <v/>
      </c>
    </row>
    <row r="19">
      <c r="A19" s="7" t="inlineStr">
        <is>
          <t>Karışım payı</t>
        </is>
      </c>
      <c r="B19" s="32">
        <f>IFERROR(B12*yrm_varyansKarisimPay,0)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SENARYO — Yem Rasyonu &amp; Maliyet Motoru</t>
        </is>
      </c>
    </row>
    <row r="3" ht="22" customHeight="1">
      <c r="A3" s="209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4">
        <f>IFERROR(MALIYET!B35/MAX(MALIYET!B34,yrm_sifirKoruma),0)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4">
        <f>IFERROR(MALIYET!B34/MAX(MALIYET!B34,yrm_sifirKoruma),1)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4">
        <f>IFERROR(MALIYET!B36/MAX(MALIYET!B34,yrm_sifirKoruma),0)</f>
        <v/>
      </c>
      <c r="C8" s="32">
        <f>MALIYET!B36</f>
        <v/>
      </c>
      <c r="D8" s="32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Kesif yem fiyatı</t>
        </is>
      </c>
      <c r="B14" s="32">
        <f>MALIYET!B37</f>
        <v/>
      </c>
      <c r="C14" s="32" t="n">
        <v>1.5</v>
      </c>
    </row>
    <row r="15">
      <c r="A15" s="7" t="inlineStr">
        <is>
          <t>Silaj fiyatı</t>
        </is>
      </c>
      <c r="B15" s="32">
        <f>MALIYET!B38</f>
        <v/>
      </c>
      <c r="C15" s="32" t="n">
        <v>1</v>
      </c>
    </row>
    <row r="16">
      <c r="A16" s="7" t="inlineStr">
        <is>
          <t>Süt verimi</t>
        </is>
      </c>
      <c r="B16" s="32">
        <f>MALIYET!B39</f>
        <v/>
      </c>
      <c r="C16" s="32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 — Yem Rasyonu &amp; Maliyet Motoru</t>
        </is>
      </c>
    </row>
    <row r="3">
      <c r="A3" s="10" t="inlineStr">
        <is>
          <t>Karar kapısı</t>
        </is>
      </c>
    </row>
    <row r="5">
      <c r="A5" s="42" t="inlineStr">
        <is>
          <t>KARAR</t>
        </is>
      </c>
      <c r="B5" s="43">
        <f>yrm_kararKapi</f>
        <v/>
      </c>
    </row>
    <row r="6">
      <c r="A6" s="7" t="inlineStr">
        <is>
          <t>Gerekçe</t>
        </is>
      </c>
      <c r="B6" s="8">
        <f>yrm_kararGerekce</f>
        <v/>
      </c>
    </row>
    <row r="8">
      <c r="A8" s="7" t="inlineStr">
        <is>
          <t>Birim süt maliyeti</t>
        </is>
      </c>
      <c r="B8" s="32">
        <f>yrm_birimSutMaliyeti</f>
        <v/>
      </c>
    </row>
    <row r="9">
      <c r="A9" s="7" t="inlineStr">
        <is>
          <t>Bileşim alarmı</t>
        </is>
      </c>
      <c r="B9" s="7">
        <f>yrm_bilesimAlarm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KARAR | 1.0.0&amp;CExcelArşiv&amp;RSayfa &amp;P / &amp;N</oddFooter>
    <evenHeader/>
    <evenFooter>&amp;LYem Rasyonu &amp; Maliyet Motoru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80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RAPOR — Yem Rasyonu &amp; Maliyet Motoru</t>
        </is>
      </c>
    </row>
    <row r="3" ht="22" customHeight="1">
      <c r="A3" s="209" t="inlineStr">
        <is>
          <t>Yönetici rasyon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yrm_kararKapi</f>
        <v/>
      </c>
    </row>
    <row r="7">
      <c r="A7" s="7" t="inlineStr">
        <is>
          <t>Birim süt maliyeti</t>
        </is>
      </c>
      <c r="B7" s="32">
        <f>yrm_birimSutMaliyeti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yrm_varyansKopru</f>
        <v/>
      </c>
    </row>
    <row r="14">
      <c r="A14" s="7" t="inlineStr">
        <is>
          <t>Gerekçe</t>
        </is>
      </c>
      <c r="B14" s="8">
        <f>yrm_kararGerekce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veteriner/zootekni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3:I3"/>
    <mergeCell ref="B14:F14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RAPOR | 1.0.0&amp;CExcelArşiv&amp;RSayfa &amp;P / &amp;N</oddFooter>
    <evenHeader/>
    <evenFooter>&amp;LYem Rasyonu &amp; Maliyet Motoru | RAPOR | 1.0.0&amp;CExcelArşiv&amp;RSayfa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KONTROLLER — Yem Rasyonu &amp; Maliyet Motoru</t>
        </is>
      </c>
    </row>
    <row r="3" ht="22" customHeight="1">
      <c r="A3" s="209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IF(yrm_kararKapi&lt;&gt;"","TEMİZ","EKSİK")</f>
        <v/>
      </c>
      <c r="C10" s="7">
        <f>yrm_kararKapi</f>
        <v/>
      </c>
    </row>
    <row r="11">
      <c r="A11" s="7" t="inlineStr">
        <is>
          <t>Versiyon izi</t>
        </is>
      </c>
      <c r="B11" s="7">
        <f>IFERROR(IF(COUNTIF(tblRasyon[Versiyon],"V1")*COUNTIF(tblRasyon[Versiyon],"V2")&gt;0,"TEMİZ","EKSİK"),"EKSİK")</f>
        <v/>
      </c>
      <c r="C11" s="7">
        <f>COUNTIF(tblRasyon[Versiyon],"V1")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ORNEK VERI — Yem Rasyonu &amp; Maliyet Motoru</t>
        </is>
      </c>
    </row>
    <row r="3" ht="22" customHeight="1">
      <c r="A3" s="209" t="inlineStr">
        <is>
          <t>Demo senaryo özeti — yüksek verim grubu rasyonu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YM-01</t>
        </is>
      </c>
      <c r="B6" s="7" t="inlineStr">
        <is>
          <t>Misir Silaji</t>
        </is>
      </c>
      <c r="C6" s="34" t="n">
        <v>0.4</v>
      </c>
      <c r="D6" s="34" t="n">
        <v>0.08</v>
      </c>
      <c r="E6" s="7" t="inlineStr">
        <is>
          <t>V2</t>
        </is>
      </c>
    </row>
    <row r="7">
      <c r="A7" s="7" t="inlineStr">
        <is>
          <t>YM-02</t>
        </is>
      </c>
      <c r="B7" s="7" t="inlineStr">
        <is>
          <t>Yonca Kuru</t>
        </is>
      </c>
      <c r="C7" s="34" t="n">
        <v>0.15</v>
      </c>
      <c r="D7" s="34" t="n">
        <v>0.05</v>
      </c>
      <c r="E7" s="7" t="inlineStr">
        <is>
          <t>V2</t>
        </is>
      </c>
    </row>
    <row r="8">
      <c r="A8" s="7" t="inlineStr">
        <is>
          <t>YM-03</t>
        </is>
      </c>
      <c r="B8" s="7" t="inlineStr">
        <is>
          <t>Arpa Ezme</t>
        </is>
      </c>
      <c r="C8" s="34" t="n">
        <v>0.2</v>
      </c>
      <c r="D8" s="34" t="n">
        <v>0.02</v>
      </c>
      <c r="E8" s="7" t="inlineStr">
        <is>
          <t>V2</t>
        </is>
      </c>
    </row>
    <row r="9">
      <c r="A9" s="7" t="inlineStr">
        <is>
          <t>YM-04</t>
        </is>
      </c>
      <c r="B9" s="7" t="inlineStr">
        <is>
          <t>Soya Kuspe</t>
        </is>
      </c>
      <c r="C9" s="34" t="n">
        <v>0.12</v>
      </c>
      <c r="D9" s="34" t="n">
        <v>0.015</v>
      </c>
      <c r="E9" s="7" t="inlineStr">
        <is>
          <t>V2</t>
        </is>
      </c>
    </row>
    <row r="10">
      <c r="A10" s="7" t="inlineStr">
        <is>
          <t>YM-05</t>
        </is>
      </c>
      <c r="B10" s="7" t="inlineStr">
        <is>
          <t>Kesif Yem</t>
        </is>
      </c>
      <c r="C10" s="34" t="n">
        <v>0.1</v>
      </c>
      <c r="D10" s="34" t="n">
        <v>0.03</v>
      </c>
      <c r="E10" s="7" t="inlineStr">
        <is>
          <t>V2</t>
        </is>
      </c>
    </row>
    <row r="11">
      <c r="A11" s="7" t="inlineStr">
        <is>
          <t>YM-06</t>
        </is>
      </c>
      <c r="B11" s="7" t="inlineStr">
        <is>
          <t>Mineral Vitamin</t>
        </is>
      </c>
      <c r="C11" s="34" t="n">
        <v>0.02</v>
      </c>
      <c r="D11" s="34" t="n">
        <v>0.01</v>
      </c>
      <c r="E11" s="7" t="inlineStr">
        <is>
          <t>V2</t>
        </is>
      </c>
    </row>
    <row r="12">
      <c r="A12" s="7" t="inlineStr">
        <is>
          <t>YM-07</t>
        </is>
      </c>
      <c r="B12" s="7" t="inlineStr">
        <is>
          <t>Tuz</t>
        </is>
      </c>
      <c r="C12" s="34" t="n">
        <v>0.01</v>
      </c>
      <c r="D12" s="34" t="n">
        <v>0.005</v>
      </c>
      <c r="E12" s="7" t="inlineStr">
        <is>
          <t>V2</t>
        </is>
      </c>
    </row>
    <row r="14">
      <c r="A14" s="45" t="inlineStr">
        <is>
          <t>Not: Asıl veri GIRDI / HAMMADDE / RASYON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B4332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LISTELER — Yem Rasyonu &amp; Maliyet Motoru</t>
        </is>
      </c>
    </row>
    <row r="3" ht="22" customHeight="1">
      <c r="A3" s="209" t="inlineStr">
        <is>
          <t>Açılır liste kaynakları</t>
        </is>
      </c>
    </row>
    <row r="5">
      <c r="A5" s="7" t="inlineStr">
        <is>
          <t>Verim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DUSUK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</row>
    <row r="7">
      <c r="A7" s="7" t="inlineStr">
        <is>
          <t>ORTA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</row>
    <row r="8">
      <c r="A8" s="7" t="inlineStr">
        <is>
          <t>YUKSEK</t>
        </is>
      </c>
      <c r="E8" s="7" t="inlineStr">
        <is>
          <t>kg</t>
        </is>
      </c>
    </row>
    <row r="9">
      <c r="E9" s="7" t="inlineStr">
        <is>
          <t>lt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B4332"/>
    <outlinePr summaryBelow="1" summaryRight="1"/>
    <pageSetUpPr/>
  </sheetPr>
  <dimension ref="A1:I10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</cols>
  <sheetData>
    <row r="1" ht="32" customHeight="1">
      <c r="A1" s="190" t="inlineStr">
        <is>
          <t>AYARLAR — Yem Rasyonu &amp; Maliyet Motoru</t>
        </is>
      </c>
    </row>
    <row r="3" ht="22" customHeight="1">
      <c r="A3" s="209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yrm_tolerans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yrm_birimSutMaliyeti</t>
        </is>
      </c>
      <c r="I7" s="7">
        <f>MALIYET!B20</f>
        <v/>
      </c>
    </row>
    <row r="8">
      <c r="A8" s="7" t="inlineStr">
        <is>
          <t>yrm_bilesimTolerans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yrm_bilesimAlarm</t>
        </is>
      </c>
      <c r="I8" s="7">
        <f>MALIYET!B9</f>
        <v/>
      </c>
    </row>
    <row r="9">
      <c r="A9" s="7" t="inlineStr">
        <is>
          <t>yrm_sifirKoruma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yrm_kararKapi</t>
        </is>
      </c>
      <c r="I9" s="7">
        <f>MALIYET!B30</f>
        <v/>
      </c>
    </row>
    <row r="10">
      <c r="A10" s="7" t="inlineStr">
        <is>
          <t>yrm_kritikOran</t>
        </is>
      </c>
      <c r="B10" s="77" t="n">
        <v>0.95</v>
      </c>
      <c r="C10" s="7" t="inlineStr">
        <is>
          <t>oran</t>
        </is>
      </c>
      <c r="D10" s="7" t="inlineStr">
        <is>
          <t>Maliyet/fiyat kritik eşik</t>
        </is>
      </c>
      <c r="E10" s="76" t="n">
        <v>46245</v>
      </c>
      <c r="H10" s="7" t="inlineStr">
        <is>
          <t>yrm_kararGerekce</t>
        </is>
      </c>
      <c r="I10" s="7">
        <f>MALIYET!B31</f>
        <v/>
      </c>
    </row>
    <row r="11">
      <c r="A11" s="7" t="inlineStr">
        <is>
          <t>yrm_dikkatOran</t>
        </is>
      </c>
      <c r="B11" s="77" t="n">
        <v>0.8</v>
      </c>
      <c r="C11" s="7" t="inlineStr">
        <is>
          <t>oran</t>
        </is>
      </c>
      <c r="D11" s="7" t="inlineStr">
        <is>
          <t>Maliyet/fiyat dikkat eşik</t>
        </is>
      </c>
      <c r="E11" s="76" t="n">
        <v>46245</v>
      </c>
      <c r="H11" s="7" t="inlineStr">
        <is>
          <t>yrm_fireDahilMaliyet</t>
        </is>
      </c>
      <c r="I11" s="7">
        <f>MALIYET!B44</f>
        <v/>
      </c>
    </row>
    <row r="12">
      <c r="A12" s="7" t="inlineStr">
        <is>
          <t>yrm_kaliteTaban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yrm_varyansKopru</t>
        </is>
      </c>
      <c r="I12" s="7">
        <f>VARYANS!B12</f>
        <v/>
      </c>
    </row>
    <row r="13">
      <c r="A13" s="7" t="inlineStr">
        <is>
          <t>yrm_kaliteCeza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yrm_kirilimKontrol</t>
        </is>
      </c>
      <c r="I13" s="7">
        <f>MALIYET!B21</f>
        <v/>
      </c>
    </row>
    <row r="14">
      <c r="A14" s="7" t="inlineStr">
        <is>
          <t>yrm_kaliteSapma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yrm_donusumTablo</t>
        </is>
      </c>
      <c r="I14" s="7">
        <f>IFERROR(COUNTA(tblDonusum[donusum_id]),0)</f>
        <v/>
      </c>
    </row>
    <row r="15">
      <c r="A15" s="7" t="inlineStr">
        <is>
          <t>yrm_girisBeklenen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yrm_modulT1</t>
        </is>
      </c>
      <c r="I15" s="7">
        <f>PANO!E6</f>
        <v/>
      </c>
    </row>
    <row r="16">
      <c r="A16" s="7" t="inlineStr">
        <is>
          <t>yrm_senaryoIyi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yrm_modulT1Yorum</t>
        </is>
      </c>
      <c r="I16" s="7">
        <f>PANO!F6</f>
        <v/>
      </c>
    </row>
    <row r="17">
      <c r="A17" s="7" t="inlineStr">
        <is>
          <t>yrm_senaryoKotu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yrm_modulT2</t>
        </is>
      </c>
      <c r="I17" s="7">
        <f>PANO!E7</f>
        <v/>
      </c>
    </row>
    <row r="18">
      <c r="A18" s="7" t="inlineStr">
        <is>
          <t>yrm_tornadoKesif</t>
        </is>
      </c>
      <c r="B18" s="77" t="n">
        <v>0.15</v>
      </c>
      <c r="C18" s="7" t="inlineStr">
        <is>
          <t>oran</t>
        </is>
      </c>
      <c r="D18" s="7" t="inlineStr">
        <is>
          <t>Kesif fiyat duyarlılığı</t>
        </is>
      </c>
      <c r="E18" s="76" t="n">
        <v>46245</v>
      </c>
      <c r="H18" s="7" t="inlineStr">
        <is>
          <t>yrm_modulT2Yorum</t>
        </is>
      </c>
      <c r="I18" s="7">
        <f>PANO!F7</f>
        <v/>
      </c>
    </row>
    <row r="19">
      <c r="A19" s="7" t="inlineStr">
        <is>
          <t>yrm_tornadoSilaj</t>
        </is>
      </c>
      <c r="B19" s="77" t="n">
        <v>0.1</v>
      </c>
      <c r="C19" s="7" t="inlineStr">
        <is>
          <t>oran</t>
        </is>
      </c>
      <c r="D19" s="7" t="inlineStr">
        <is>
          <t>Silaj fiyat duyarlılığı</t>
        </is>
      </c>
      <c r="E19" s="76" t="n">
        <v>46245</v>
      </c>
      <c r="H19" s="7" t="inlineStr">
        <is>
          <t>yrm_modulO1</t>
        </is>
      </c>
      <c r="I19" s="7">
        <f>PANO!E8</f>
        <v/>
      </c>
    </row>
    <row r="20">
      <c r="A20" s="7" t="inlineStr">
        <is>
          <t>yrm_tornadoVerim</t>
        </is>
      </c>
      <c r="B20" s="77" t="n">
        <v>0.08</v>
      </c>
      <c r="C20" s="7" t="inlineStr">
        <is>
          <t>oran</t>
        </is>
      </c>
      <c r="D20" s="7" t="inlineStr">
        <is>
          <t>Verim duyarlılığı</t>
        </is>
      </c>
      <c r="E20" s="76" t="n">
        <v>46245</v>
      </c>
      <c r="H20" s="7" t="inlineStr">
        <is>
          <t>yrm_modulO1Yorum</t>
        </is>
      </c>
      <c r="I20" s="7">
        <f>PANO!F8</f>
        <v/>
      </c>
    </row>
    <row r="21">
      <c r="A21" s="7" t="inlineStr">
        <is>
          <t>yrm_tahminAlt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yrm_modulO2</t>
        </is>
      </c>
      <c r="I21" s="7">
        <f>PANO!E9</f>
        <v/>
      </c>
    </row>
    <row r="22">
      <c r="A22" s="7" t="inlineStr">
        <is>
          <t>yrm_tahminUst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yrm_modulO2Yorum</t>
        </is>
      </c>
      <c r="I22" s="7">
        <f>PANO!F9</f>
        <v/>
      </c>
    </row>
    <row r="23">
      <c r="A23" s="7" t="inlineStr">
        <is>
          <t>yrm_yuzdelikOran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yrm_modulO3</t>
        </is>
      </c>
      <c r="I23" s="7">
        <f>PANO!E10</f>
        <v/>
      </c>
    </row>
    <row r="24">
      <c r="A24" s="7" t="inlineStr">
        <is>
          <t>yrm_hhiEsik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yrm_modulO3Yorum</t>
        </is>
      </c>
      <c r="I24" s="7">
        <f>PANO!F10</f>
        <v/>
      </c>
    </row>
    <row r="25">
      <c r="A25" s="7" t="inlineStr">
        <is>
          <t>yrm_kritikHammaddePay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yrm_modulO6</t>
        </is>
      </c>
      <c r="I25" s="7">
        <f>PANO!E11</f>
        <v/>
      </c>
    </row>
    <row r="26">
      <c r="A26" s="7" t="inlineStr">
        <is>
          <t>yrm_varyansFiyatPay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yrm_modulO6Yorum</t>
        </is>
      </c>
      <c r="I26" s="7">
        <f>PANO!F11</f>
        <v/>
      </c>
    </row>
    <row r="27">
      <c r="A27" s="7" t="inlineStr">
        <is>
          <t>yrm_varyansMiktarPay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yrm_modulO8</t>
        </is>
      </c>
      <c r="I27" s="7">
        <f>PANO!E12</f>
        <v/>
      </c>
    </row>
    <row r="28">
      <c r="A28" s="7" t="inlineStr">
        <is>
          <t>yrm_varyansKarisimPay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yrm_modulO8Yorum</t>
        </is>
      </c>
      <c r="I28" s="7">
        <f>PANO!F12</f>
        <v/>
      </c>
    </row>
    <row r="29">
      <c r="A29" s="7" t="inlineStr">
        <is>
          <t>yrm_trend1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yrm_modulI1</t>
        </is>
      </c>
      <c r="I29" s="7">
        <f>PANO!E13</f>
        <v/>
      </c>
    </row>
    <row r="30">
      <c r="A30" s="7" t="inlineStr">
        <is>
          <t>yrm_trend2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yrm_modulI1Yorum</t>
        </is>
      </c>
      <c r="I30" s="7">
        <f>PANO!F13</f>
        <v/>
      </c>
    </row>
    <row r="31">
      <c r="A31" s="7" t="inlineStr">
        <is>
          <t>yrm_trend3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yrm_modulI2</t>
        </is>
      </c>
      <c r="I31" s="7">
        <f>PANO!E14</f>
        <v/>
      </c>
    </row>
    <row r="32">
      <c r="A32" s="7" t="inlineStr">
        <is>
          <t>yrm_trend4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yrm_modulI2Yorum</t>
        </is>
      </c>
      <c r="I32" s="7">
        <f>PANO!F14</f>
        <v/>
      </c>
    </row>
    <row r="33">
      <c r="A33" s="7" t="inlineStr">
        <is>
          <t>yrm_trend5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</row>
    <row r="34">
      <c r="A34" s="7" t="inlineStr">
        <is>
          <t>yrm_trend6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yrm_trend7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yrm_trend8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yrm_trend9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yrm_trend10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yrm_trend11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yrm_trend12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yrm_parmakIzi</t>
        </is>
      </c>
      <c r="B41" s="7" t="inlineStr">
        <is>
          <t>YRM-PRO-1.0.0</t>
        </is>
      </c>
      <c r="C41" s="7" t="inlineStr">
        <is>
          <t>kod</t>
        </is>
      </c>
      <c r="D41" s="7" t="inlineStr">
        <is>
          <t>Ürün parmak izi</t>
        </is>
      </c>
      <c r="E41" s="76" t="n">
        <v>46245</v>
      </c>
    </row>
    <row r="42">
      <c r="A42" s="7" t="inlineStr">
        <is>
          <t>yrm_fcHedef</t>
        </is>
      </c>
      <c r="B42" s="31" t="n">
        <v>4</v>
      </c>
      <c r="C42" s="7" t="inlineStr">
        <is>
          <t>donem</t>
        </is>
      </c>
      <c r="D42" s="7" t="inlineStr">
        <is>
          <t>FORECAST hedef X</t>
        </is>
      </c>
      <c r="E42" s="76" t="n">
        <v>46245</v>
      </c>
    </row>
    <row r="43">
      <c r="A43" s="7" t="inlineStr">
        <is>
          <t>yrm_fcY1</t>
        </is>
      </c>
      <c r="B43" s="31" t="n">
        <v>35</v>
      </c>
      <c r="C43" s="7" t="inlineStr">
        <is>
          <t>lt</t>
        </is>
      </c>
      <c r="D43" s="7" t="inlineStr">
        <is>
          <t>FORECAST Y1</t>
        </is>
      </c>
      <c r="E43" s="76" t="n">
        <v>46245</v>
      </c>
    </row>
    <row r="44">
      <c r="A44" s="7" t="inlineStr">
        <is>
          <t>yrm_fcY2</t>
        </is>
      </c>
      <c r="B44" s="31" t="n">
        <v>32</v>
      </c>
      <c r="C44" s="7" t="inlineStr">
        <is>
          <t>lt</t>
        </is>
      </c>
      <c r="D44" s="7" t="inlineStr">
        <is>
          <t>FORECAST Y2</t>
        </is>
      </c>
      <c r="E44" s="76" t="n">
        <v>46245</v>
      </c>
    </row>
    <row r="45">
      <c r="A45" s="7" t="inlineStr">
        <is>
          <t>yrm_fcY3</t>
        </is>
      </c>
      <c r="B45" s="31" t="n">
        <v>30</v>
      </c>
      <c r="C45" s="7" t="inlineStr">
        <is>
          <t>lt</t>
        </is>
      </c>
      <c r="D45" s="7" t="inlineStr">
        <is>
          <t>FORECAST Y3</t>
        </is>
      </c>
      <c r="E45" s="76" t="n">
        <v>46245</v>
      </c>
    </row>
    <row r="46">
      <c r="A46" s="7" t="inlineStr">
        <is>
          <t>yrm_fcX1</t>
        </is>
      </c>
      <c r="B46" s="31" t="n">
        <v>1</v>
      </c>
      <c r="C46" s="7" t="inlineStr">
        <is>
          <t>donem</t>
        </is>
      </c>
      <c r="D46" s="7" t="inlineStr">
        <is>
          <t>FORECAST X1</t>
        </is>
      </c>
      <c r="E46" s="76" t="n">
        <v>46245</v>
      </c>
    </row>
    <row r="47">
      <c r="A47" s="7" t="inlineStr">
        <is>
          <t>yrm_fcX2</t>
        </is>
      </c>
      <c r="B47" s="31" t="n">
        <v>2</v>
      </c>
      <c r="C47" s="7" t="inlineStr">
        <is>
          <t>donem</t>
        </is>
      </c>
      <c r="D47" s="7" t="inlineStr">
        <is>
          <t>FORECAST X2</t>
        </is>
      </c>
      <c r="E47" s="76" t="n">
        <v>46245</v>
      </c>
    </row>
    <row r="48">
      <c r="A48" s="7" t="inlineStr">
        <is>
          <t>yrm_fcX3</t>
        </is>
      </c>
      <c r="B48" s="31" t="n">
        <v>3</v>
      </c>
      <c r="C48" s="7" t="inlineStr">
        <is>
          <t>donem</t>
        </is>
      </c>
      <c r="D48" s="7" t="inlineStr">
        <is>
          <t>FORECAST X3</t>
        </is>
      </c>
      <c r="E48" s="76" t="n">
        <v>46245</v>
      </c>
    </row>
    <row r="49">
      <c r="A49" s="7" t="inlineStr">
        <is>
          <t>yrm_trY1</t>
        </is>
      </c>
      <c r="B49" s="31" t="n">
        <v>18.5</v>
      </c>
      <c r="C49" s="7" t="inlineStr">
        <is>
          <t>TL</t>
        </is>
      </c>
      <c r="D49" s="7" t="inlineStr">
        <is>
          <t>TREND Y1</t>
        </is>
      </c>
      <c r="E49" s="76" t="n">
        <v>46245</v>
      </c>
    </row>
    <row r="50">
      <c r="A50" s="7" t="inlineStr">
        <is>
          <t>yrm_trY2</t>
        </is>
      </c>
      <c r="B50" s="31" t="n">
        <v>18.2</v>
      </c>
      <c r="C50" s="7" t="inlineStr">
        <is>
          <t>TL</t>
        </is>
      </c>
      <c r="D50" s="7" t="inlineStr">
        <is>
          <t>TREND Y2</t>
        </is>
      </c>
      <c r="E50" s="76" t="n">
        <v>46245</v>
      </c>
    </row>
    <row r="51">
      <c r="A51" s="7" t="inlineStr">
        <is>
          <t>yrm_trY3</t>
        </is>
      </c>
      <c r="B51" s="31" t="n">
        <v>17.8</v>
      </c>
      <c r="C51" s="7" t="inlineStr">
        <is>
          <t>TL</t>
        </is>
      </c>
      <c r="D51" s="7" t="inlineStr">
        <is>
          <t>TREND Y3</t>
        </is>
      </c>
      <c r="E51" s="76" t="n">
        <v>46245</v>
      </c>
    </row>
    <row r="53">
      <c r="H53" s="5" t="inlineStr">
        <is>
          <t>Birim dönüşüm tablosu (R02)</t>
        </is>
      </c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78" t="n">
        <v>1000</v>
      </c>
      <c r="E55" s="15" t="inlineStr">
        <is>
          <t>Metroloji</t>
        </is>
      </c>
      <c r="F55" s="73" t="n">
        <v>46245</v>
      </c>
      <c r="G55" s="21">
        <f>IF($A55="","",IF(OR($D55="",$D55&lt;=0),"HATALI","OK"))</f>
        <v/>
      </c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78" t="n">
        <v>50</v>
      </c>
      <c r="E56" s="15" t="inlineStr">
        <is>
          <t>Tedarik sozlesmesi 50 kg</t>
        </is>
      </c>
      <c r="F56" s="73" t="n">
        <v>46245</v>
      </c>
      <c r="G56" s="21">
        <f>IF($A56="","",IF(OR($D56="",$D56&lt;=0),"HATALI","OK"))</f>
        <v/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lt_kg_sut</t>
        </is>
      </c>
      <c r="B58" s="15" t="inlineStr">
        <is>
          <t>lt</t>
        </is>
      </c>
      <c r="C58" s="15" t="inlineStr">
        <is>
          <t>kg</t>
        </is>
      </c>
      <c r="D58" s="78" t="n">
        <v>1.03</v>
      </c>
      <c r="E58" s="15" t="inlineStr">
        <is>
          <t>Sut yogunluk yaklasik</t>
        </is>
      </c>
      <c r="F58" s="73" t="n">
        <v>46245</v>
      </c>
      <c r="G58" s="21">
        <f>IF($A58="","",IF(OR($D58="",$D58&lt;=0),"HATALI","OK"))</f>
        <v/>
      </c>
    </row>
    <row r="59">
      <c r="A59" s="15" t="n"/>
      <c r="B59" s="15" t="n"/>
      <c r="C59" s="15" t="n"/>
      <c r="D59" s="78" t="n"/>
      <c r="E59" s="15" t="n"/>
      <c r="F59" s="73" t="n"/>
      <c r="G59" s="24">
        <f>IF($A59="","",IF(OR($D59="",$D59&lt;=0),"HATALI","OK"))</f>
        <v/>
      </c>
    </row>
    <row r="60">
      <c r="A60" s="15" t="n"/>
      <c r="B60" s="15" t="n"/>
      <c r="C60" s="15" t="n"/>
      <c r="D60" s="78" t="n"/>
      <c r="E60" s="15" t="n"/>
      <c r="F60" s="73" t="n"/>
      <c r="G60" s="24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B433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8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KILAVUZ — Yem Rasyonu &amp; Maliyet Motoru</t>
        </is>
      </c>
    </row>
    <row r="3" ht="22" customHeight="1">
      <c r="A3" s="209" t="inlineStr">
        <is>
          <t>Kullanım kılavuzu</t>
        </is>
      </c>
    </row>
    <row r="5">
      <c r="A5" s="8" t="inlineStr">
        <is>
          <t>1. GIRDI sayfasında verim grubu, hayvan, süt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RASYON'da aktif versiyon bileşim oranlarını kilitleyin; toplam %100 olmalıdır.</t>
        </is>
      </c>
    </row>
    <row r="8">
      <c r="A8" s="8" t="inlineStr">
        <is>
          <t>4. MALIYET motoru hammadde+işçilik+ambalaj+genel gider kırılımını birim süt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veteriner/zootekni reçetesi yerine geçmez.</t>
        </is>
      </c>
    </row>
    <row r="13">
      <c r="A13" s="8" t="inlineStr">
        <is>
          <t>9. Sürüm 1.0.0 | Kod YRM-PRO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2026-08-11T17:50:45Z</dcterms:created>
  <dcterms:modified xmlns:dcterms="http://purl.org/dc/terms/" xmlns:xsi="http://www.w3.org/2001/XMLSchema-instance" xsi:type="dcterms:W3CDTF">2026-09-25T22:34:55Z</dcterms:modified>
</cp:coreProperties>
</file>