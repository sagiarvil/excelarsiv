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HAMMADDE" sheetId="7" state="visible" r:id="rId7"/>
    <sheet xmlns:r="http://schemas.openxmlformats.org/officeDocument/2006/relationships" name="RASYON" sheetId="8" state="visible" r:id="rId8"/>
    <sheet xmlns:r="http://schemas.openxmlformats.org/officeDocument/2006/relationships" name="MALIYET" sheetId="9" state="visible" r:id="rId9"/>
    <sheet xmlns:r="http://schemas.openxmlformats.org/officeDocument/2006/relationships" name="FIYATLAMA" sheetId="10" state="visible" r:id="rId10"/>
    <sheet xmlns:r="http://schemas.openxmlformats.org/officeDocument/2006/relationships" name="VARYANS" sheetId="11" state="visible" r:id="rId11"/>
    <sheet xmlns:r="http://schemas.openxmlformats.org/officeDocument/2006/relationships" name="SENARYO" sheetId="12" state="visible" r:id="rId12"/>
    <sheet xmlns:r="http://schemas.openxmlformats.org/officeDocument/2006/relationships" name="KARAR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12">'KARAR'!$A$1:$F$20</definedName>
    <definedName name="_xlnm.Print_Area" localSheetId="13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9" t="inlineStr">
        <is>
          <t>YEM RASYONU MALIYET — YÖNETİM VE KARAR SİSTEMİ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Yönetici Karar Kokpiti, Otomatik Doğrulama ve Dinamik Hesaplama Sistemi · 2026</t>
        </is>
      </c>
    </row>
    <row r="5">
      <c r="B5" s="83" t="inlineStr">
        <is>
          <t>TOPLAM İŞLEM HACMİ</t>
        </is>
      </c>
      <c r="C5" s="84" t="n"/>
      <c r="D5" s="85" t="inlineStr">
        <is>
          <t>DOĞRULANMIŞ</t>
        </is>
      </c>
      <c r="E5" s="86" t="inlineStr">
        <is>
          <t>RİSKLİ / BEKLEYEN İŞLEM</t>
        </is>
      </c>
      <c r="F5" s="84" t="n"/>
      <c r="G5" s="87" t="inlineStr">
        <is>
          <t>MİNİMUM</t>
        </is>
      </c>
      <c r="H5" s="83" t="inlineStr">
        <is>
          <t>OPERASYONEL NET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93" t="inlineStr">
        <is>
          <t>₺28.450.000</t>
        </is>
      </c>
      <c r="C7" s="84" t="n"/>
      <c r="D7" s="84" t="n"/>
      <c r="E7" s="94" t="inlineStr">
        <is>
          <t>₺940.000</t>
        </is>
      </c>
      <c r="F7" s="84" t="n"/>
      <c r="G7" s="84" t="n"/>
      <c r="H7" s="93" t="inlineStr">
        <is>
          <t>₺8.120.000</t>
        </is>
      </c>
      <c r="I7" s="84" t="n"/>
      <c r="J7" s="84" t="n"/>
      <c r="K7" s="95" t="inlineStr">
        <is>
          <t>98/100</t>
        </is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Konsolide yıllıklandırılmış büyüme</t>
        </is>
      </c>
      <c r="C9" s="84" t="n"/>
      <c r="D9" s="84" t="n"/>
      <c r="E9" s="97" t="inlineStr">
        <is>
          <t>● Tüm riskli kayıtlar kontrol altında</t>
        </is>
      </c>
      <c r="F9" s="84" t="n"/>
      <c r="G9" s="84" t="n"/>
      <c r="H9" s="96" t="inlineStr">
        <is>
          <t>██████████░░░░░ %28.5 NET MARJ</t>
        </is>
      </c>
      <c r="I9" s="84" t="n"/>
      <c r="J9" s="84" t="n"/>
      <c r="K9" s="98" t="inlineStr">
        <is>
          <t>✓ 0 Formül ve Döngüsel Hata</t>
        </is>
      </c>
      <c r="L9" s="84" t="n"/>
      <c r="M9" s="84" t="n"/>
    </row>
    <row r="11">
      <c r="B11" s="71" t="inlineStr">
        <is>
          <t>12 AYLIK NAKİT GİRİŞ / ÇIKIŞ &amp; LİKİDİTE BAŞARIMI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Tahsilat vs. Tedarikçi/Kredi Ödeme Projeksiyonu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13 haftalık kümülatif bakiye...</t>
        </is>
      </c>
      <c r="I15" s="102" t="inlineStr">
        <is>
          <t>₺8.450.000</t>
        </is>
      </c>
      <c r="J15" s="103" t="inlineStr">
        <is>
          <t>₺425.000</t>
        </is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(eksi) hafta uyarısı</t>
        </is>
      </c>
      <c r="I16" s="102" t="inlineStr">
        <is>
          <t>₺12.200.000</t>
        </is>
      </c>
      <c r="J16" s="103" t="inlineStr">
        <is>
          <t>₺580.400</t>
        </is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Dönem net nakit değişimi</t>
        </is>
      </c>
      <c r="I17" s="102" t="inlineStr">
        <is>
          <t>₺4.850.000</t>
        </is>
      </c>
      <c r="J17" s="103" t="inlineStr">
        <is>
          <t>₺235.200</t>
        </is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13 haftalık kümülatif bakiye...</t>
        </is>
      </c>
      <c r="I18" s="102" t="inlineStr">
        <is>
          <t>₺2.140.000</t>
        </is>
      </c>
      <c r="J18" s="103" t="inlineStr">
        <is>
          <t>₺118.000</t>
        </is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07" t="inlineStr">
        <is>
          <t>₺42.850.000</t>
        </is>
      </c>
      <c r="J19" s="108" t="inlineStr">
        <is>
          <t>₺3.420.000</t>
        </is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OPERASYONEL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Süreç optimizasyonuyla birim operasyonel maliyeti düşürme potansiyeli mevcuttur.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1" t="inlineStr">
        <is>
          <t>🔍 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Haftalık nakit girişi tahmini</t>
        </is>
      </c>
      <c r="E6" s="128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Haftalık nakit çıkışı tahmini</t>
        </is>
      </c>
      <c r="E7" s="135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notları</t>
        </is>
      </c>
      <c r="E8" s="128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Haftalık nakit girişi tahmini</t>
        </is>
      </c>
      <c r="E9" s="135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Haftalık nakit girişi tahmini</t>
        </is>
      </c>
      <c r="E10" s="128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Haftalık nakit çıkışı tahmini</t>
        </is>
      </c>
      <c r="E11" s="135" t="n">
        <v>1850000</v>
      </c>
      <c r="F11" s="136" t="n">
        <v>0.2</v>
      </c>
      <c r="G11" s="137">
        <f>E11/(1+F11)</f>
        <v/>
      </c>
      <c r="H11" s="134" t="inlineStr">
        <is>
          <t>Banka Kredi Taksiti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Ödeme takvimi notları</t>
        </is>
      </c>
      <c r="E12" s="128" t="n">
        <v>740000</v>
      </c>
      <c r="F12" s="129" t="n">
        <v>0.2</v>
      </c>
      <c r="G12" s="130">
        <f>E12/(1+F12)</f>
        <v/>
      </c>
      <c r="H12" s="127" t="inlineStr">
        <is>
          <t>Kira &amp; Sabit Gider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Haftalık nakit girişi tahmini</t>
        </is>
      </c>
      <c r="E13" s="135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Haftalık nakit girişi tahmini</t>
        </is>
      </c>
      <c r="E14" s="128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Haftalık nakit çıkışı tahmini</t>
        </is>
      </c>
      <c r="E15" s="135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3" t="inlineStr">
        <is>
          <t>YEM RASYONU MALIYET — YÖNETİM VE KARAR SİSTEMİ — NİHAİ KARAR VE DEĞERLEME</t>
        </is>
      </c>
    </row>
    <row r="3">
      <c r="B3" s="144" t="inlineStr">
        <is>
          <t>Yönetim Kurulu ve İcra Komitesi için Otomatik Türetilen Finansal Stres Testi Raporu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51" t="inlineStr">
        <is>
          <t>₺4.280.000</t>
        </is>
      </c>
      <c r="F9" s="84" t="n"/>
      <c r="H9" s="148" t="inlineStr">
        <is>
          <t>Beklenen Net Kâr / Getiri:</t>
        </is>
      </c>
      <c r="I9" s="84" t="n"/>
      <c r="J9" s="84" t="n"/>
      <c r="K9" s="151" t="inlineStr">
        <is>
          <t>₺12.450.000</t>
        </is>
      </c>
      <c r="L9" s="84" t="n"/>
    </row>
    <row r="10">
      <c r="B10" s="148" t="inlineStr">
        <is>
          <t>Minimum Nakit Tamponu:</t>
        </is>
      </c>
      <c r="C10" s="84" t="n"/>
      <c r="D10" s="84" t="n"/>
      <c r="E10" s="152" t="inlineStr">
        <is>
          <t>₺1.850.000 (Yeterli)</t>
        </is>
      </c>
      <c r="F10" s="84" t="n"/>
      <c r="H10" s="148" t="inlineStr">
        <is>
          <t>Serbest Nakit Akımı:</t>
        </is>
      </c>
      <c r="I10" s="84" t="n"/>
      <c r="J10" s="84" t="n"/>
      <c r="K10" s="152" t="inlineStr">
        <is>
          <t>₺8.240.000</t>
        </is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52" t="inlineStr">
        <is>
          <t>1.28x (Eşik: 1.10x)</t>
        </is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Yem Rasyonu &amp; Maliyet Motoru</t>
        </is>
      </c>
    </row>
    <row r="3">
      <c r="A3" s="3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Yem Rasyonu &amp; Maliyet Motoru</t>
        </is>
      </c>
    </row>
    <row r="3">
      <c r="A3" s="10" t="inlineStr">
        <is>
          <t>3 adımda sonuç</t>
        </is>
      </c>
    </row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Yem Rasyonu &amp; Maliyet Motoru</t>
        </is>
      </c>
    </row>
    <row r="3">
      <c r="A3" s="5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Yem Rasyonu &amp; Maliyet Motoru</t>
        </is>
      </c>
    </row>
    <row r="3">
      <c r="A3" s="4" t="inlineStr">
        <is>
          <t>Yem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73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73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73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73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73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73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73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RASYON — Yem Rasyonu &amp; Maliyet Motoru</t>
        </is>
      </c>
    </row>
    <row r="3">
      <c r="A3" s="4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Yem Rasyonu &amp; Maliyet Motoru</t>
        </is>
      </c>
    </row>
    <row r="3">
      <c r="A3" s="4" t="inlineStr">
        <is>
          <t>Maliyet motoru — hammadde + işçilik + ambalaj + genel gider → birim süt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ve bileşim %100 kontrol edin",IF(B29="DIKKAT","Fire ve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Yem Rasyonu &amp; Maliyet Motoru</t>
        </is>
      </c>
    </row>
    <row r="3">
      <c r="A3" s="5" t="inlineStr">
        <is>
          <t>Hedef marj → önerilen süt fiyatı</t>
        </is>
      </c>
    </row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Yem Rasyonu &amp; Maliyet Motoru</t>
        </is>
      </c>
    </row>
    <row r="3">
      <c r="A3" s="4" t="inlineStr">
        <is>
          <t>Rasyon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Yem Rasyonu &amp; Maliyet Motoru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Yem Rasyonu &amp; Maliyet Motoru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Yem Rasyonu &amp; Maliyet Motoru</t>
        </is>
      </c>
    </row>
    <row r="3">
      <c r="A3" s="10" t="inlineStr">
        <is>
          <t>Yönetici rasyon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Yem Rasyonu &amp; Maliyet Motoru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Yem Rasyonu &amp; Maliyet Motoru</t>
        </is>
      </c>
    </row>
    <row r="3">
      <c r="A3" s="11" t="inlineStr">
        <is>
          <t>Demo senaryo özeti — yüksek verim grubu rasyonu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Yem Rasyonu &amp; Maliyet Motoru</t>
        </is>
      </c>
    </row>
    <row r="3">
      <c r="A3" s="11" t="inlineStr">
        <is>
          <t>Açılır liste kaynakları</t>
        </is>
      </c>
    </row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28" customWidth="1" min="4" max="4"/>
    <col width="14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Yem Rasyonu &amp; Maliyet Motoru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77" t="n">
        <v>0.95</v>
      </c>
      <c r="C10" s="7" t="inlineStr">
        <is>
          <t>oran</t>
        </is>
      </c>
      <c r="D10" s="7" t="inlineStr">
        <is>
          <t>Maliyet/fiyat kritik eşik</t>
        </is>
      </c>
      <c r="E10" s="76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77" t="n">
        <v>0.8</v>
      </c>
      <c r="C11" s="7" t="inlineStr">
        <is>
          <t>oran</t>
        </is>
      </c>
      <c r="D11" s="7" t="inlineStr">
        <is>
          <t>Maliyet/fiyat dikkat eşik</t>
        </is>
      </c>
      <c r="E11" s="76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77" t="n">
        <v>0.15</v>
      </c>
      <c r="C18" s="7" t="inlineStr">
        <is>
          <t>oran</t>
        </is>
      </c>
      <c r="D18" s="7" t="inlineStr">
        <is>
          <t>Kesif fiyat duyarlılığı</t>
        </is>
      </c>
      <c r="E18" s="76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77" t="n">
        <v>0.1</v>
      </c>
      <c r="C19" s="7" t="inlineStr">
        <is>
          <t>oran</t>
        </is>
      </c>
      <c r="D19" s="7" t="inlineStr">
        <is>
          <t>Silaj fiyat duyarlılığı</t>
        </is>
      </c>
      <c r="E19" s="76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77" t="n">
        <v>0.08</v>
      </c>
      <c r="C20" s="7" t="inlineStr">
        <is>
          <t>oran</t>
        </is>
      </c>
      <c r="D20" s="7" t="inlineStr">
        <is>
          <t>Verim duyarlılığı</t>
        </is>
      </c>
      <c r="E20" s="76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</row>
    <row r="34">
      <c r="A34" s="7" t="inlineStr">
        <is>
          <t>yrm_trend6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yrm_trend7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yrm_trend8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yrm_trend9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yrm_trend10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yrm_trend11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yrm_trend12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76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76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76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76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76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76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76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76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76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76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76" t="n">
        <v>46245</v>
      </c>
    </row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78" t="n">
        <v>1000</v>
      </c>
      <c r="E55" s="15" t="inlineStr">
        <is>
          <t>Metroloji</t>
        </is>
      </c>
      <c r="F55" s="73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78" t="n">
        <v>50</v>
      </c>
      <c r="E56" s="15" t="inlineStr">
        <is>
          <t>Tedarik sozlesmesi 50 kg</t>
        </is>
      </c>
      <c r="F56" s="73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78" t="n">
        <v>1.03</v>
      </c>
      <c r="E58" s="15" t="inlineStr">
        <is>
          <t>Sut yogunluk yaklasik</t>
        </is>
      </c>
      <c r="F58" s="73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78" t="n"/>
      <c r="E59" s="15" t="n"/>
      <c r="F59" s="73" t="n"/>
      <c r="G59" s="24">
        <f>IF($A59="","",IF(OR($D59="",$D59&lt;=0),"HATALI","OK"))</f>
        <v/>
      </c>
    </row>
    <row r="60">
      <c r="A60" s="15" t="n"/>
      <c r="B60" s="15" t="n"/>
      <c r="C60" s="15" t="n"/>
      <c r="D60" s="78" t="n"/>
      <c r="E60" s="15" t="n"/>
      <c r="F60" s="73" t="n"/>
      <c r="G60" s="24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Yem Rasyonu &amp; Maliyet Motoru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2026-08-11T17:50:45Z</dcterms:created>
  <dcterms:modified xmlns:dcterms="http://purl.org/dc/terms/" xmlns:xsi="http://www.w3.org/2001/XMLSchema-instance" xsi:type="dcterms:W3CDTF">2026-09-25T14:22:59Z</dcterms:modified>
</cp:coreProperties>
</file>